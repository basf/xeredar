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5.xml" ContentType="application/vnd.openxmlformats-officedocument.drawingml.chartshapes+xml"/>
  <Override PartName="/xl/drawings/drawing10.xml" ContentType="application/vnd.openxmlformats-officedocument.drawingml.chartshapes+xml"/>
  <Override PartName="/xl/drawings/drawing4.xml" ContentType="application/vnd.openxmlformats-officedocument.drawingml.chartshapes+xml"/>
  <Override PartName="/xl/drawings/drawing13.xml" ContentType="application/vnd.openxmlformats-officedocument.drawingml.chartshapes+xml"/>
  <Override PartName="/xl/drawings/drawing18.xml" ContentType="application/vnd.openxmlformats-officedocument.drawingml.chartshapes+xml"/>
  <Override PartName="/xl/drawings/drawing17.xml" ContentType="application/vnd.openxmlformats-officedocument.drawingml.chartshapes+xml"/>
  <Override PartName="/xl/drawings/drawing16.xml" ContentType="application/vnd.openxmlformats-officedocument.drawingml.chartshapes+xml"/>
  <Override PartName="/xl/drawings/drawing12.xml" ContentType="application/vnd.openxmlformats-officedocument.drawingml.chartshapes+xml"/>
  <Override PartName="/xl/drawings/drawing11.xml" ContentType="application/vnd.openxmlformats-officedocument.drawingml.chartshapes+xml"/>
  <Override PartName="/xl/drawings/drawing2.xml" ContentType="application/vnd.openxmlformats-officedocument.drawingml.chartshapes+xml"/>
  <Override PartName="/xl/drawings/drawing6.xml" ContentType="application/vnd.openxmlformats-officedocument.drawingml.chartshap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tables/table6.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29"/>
  <workbookPr filterPrivacy="1" hidePivotFieldList="1" defaultThemeVersion="124226"/>
  <xr:revisionPtr revIDLastSave="0" documentId="13_ncr:1_{968FFBEE-B8A4-418D-8671-B3E6272F37CD}" xr6:coauthVersionLast="47" xr6:coauthVersionMax="47" xr10:uidLastSave="{00000000-0000-0000-0000-000000000000}"/>
  <bookViews>
    <workbookView xWindow="-110" yWindow="-110" windowWidth="19420" windowHeight="10420" firstSheet="8" activeTab="11" xr2:uid="{00000000-000D-0000-FFFF-FFFF00000000}"/>
  </bookViews>
  <sheets>
    <sheet name="Page de garde" sheetId="10" r:id="rId1"/>
    <sheet name="Feuil1" sheetId="39" r:id="rId2"/>
    <sheet name="Raw data R1" sheetId="35" r:id="rId3"/>
    <sheet name="R1" sheetId="1" r:id="rId4"/>
    <sheet name="Graph R1" sheetId="8" r:id="rId5"/>
    <sheet name="Raw data R2" sheetId="36" r:id="rId6"/>
    <sheet name="R2" sheetId="23" r:id="rId7"/>
    <sheet name="Graph R2" sheetId="19" r:id="rId8"/>
    <sheet name="Raw data R3" sheetId="37" r:id="rId9"/>
    <sheet name="R3" sheetId="33" r:id="rId10"/>
    <sheet name="Graph R3"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s>
  <definedNames>
    <definedName name="_xlnm.Print_Area" localSheetId="0">'Page de garde'!$A$1:$I$52</definedName>
  </definedNames>
  <calcPr calcId="181029"/>
  <pivotCaches>
    <pivotCache cacheId="12" r:id="rId20"/>
    <pivotCache cacheId="13" r:id="rId21"/>
    <pivotCache cacheId="14" r:id="rId22"/>
    <pivotCache cacheId="15" r:id="rId23"/>
  </pivotCaches>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V94" i="4" l="1"/>
  <c r="U94" i="4"/>
  <c r="T94" i="4"/>
  <c r="S94" i="4"/>
  <c r="R94" i="4"/>
  <c r="Q94" i="4"/>
  <c r="P94" i="4"/>
  <c r="O94" i="4"/>
  <c r="N94" i="4"/>
  <c r="M94" i="4"/>
  <c r="L94" i="4"/>
  <c r="K94" i="4"/>
  <c r="J94" i="4"/>
  <c r="I94" i="4"/>
  <c r="H94" i="4"/>
  <c r="G94" i="4"/>
  <c r="F94" i="4"/>
  <c r="E94" i="4"/>
  <c r="D94" i="4"/>
  <c r="C94" i="4"/>
  <c r="B94" i="4"/>
  <c r="A1011" i="37" l="1"/>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40" i="10" l="1"/>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A7" i="10" l="1"/>
  <c r="A8" i="10"/>
  <c r="A9" i="10"/>
  <c r="A10" i="10"/>
  <c r="A11" i="10"/>
  <c r="A12" i="10"/>
  <c r="A13" i="10"/>
  <c r="A14" i="10"/>
  <c r="A7" i="22"/>
  <c r="A8" i="22"/>
  <c r="A9" i="22"/>
  <c r="A10" i="22"/>
  <c r="A11" i="22"/>
  <c r="A20" i="10"/>
  <c r="A12" i="22" s="1"/>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A39" i="10"/>
  <c r="A40" i="10"/>
  <c r="A41" i="10"/>
  <c r="A42" i="10"/>
  <c r="A43" i="10"/>
  <c r="A44" i="10"/>
  <c r="A45" i="10"/>
  <c r="A46" i="10"/>
  <c r="A47" i="10"/>
  <c r="A48" i="10"/>
  <c r="A49" i="10"/>
  <c r="A50" i="10"/>
  <c r="A51" i="10"/>
  <c r="A52" i="10"/>
  <c r="A53" i="10"/>
  <c r="A54" i="10"/>
  <c r="A55" i="10"/>
  <c r="A56" i="10"/>
  <c r="A57" i="10"/>
  <c r="A58"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I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F33" i="33"/>
  <c r="F43" i="4" s="1"/>
  <c r="U32" i="33"/>
  <c r="U42" i="4" s="1"/>
  <c r="P31" i="33"/>
  <c r="P41" i="4" s="1"/>
  <c r="G31" i="33"/>
  <c r="G41" i="4" s="1"/>
  <c r="E30" i="33"/>
  <c r="E40" i="4" s="1"/>
  <c r="S29" i="33"/>
  <c r="S39" i="4" s="1"/>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B35" i="33" s="1"/>
  <c r="B45" i="4" s="1"/>
  <c r="L23" i="33"/>
  <c r="J23" i="33"/>
  <c r="I23" i="33"/>
  <c r="H23" i="33"/>
  <c r="G23" i="33"/>
  <c r="F23" i="33"/>
  <c r="E23" i="33"/>
  <c r="D23" i="33"/>
  <c r="C23" i="33"/>
  <c r="B23" i="33"/>
  <c r="A22" i="33"/>
  <c r="H22" i="33"/>
  <c r="G45" i="33"/>
  <c r="F27" i="33"/>
  <c r="F52" i="33" s="1"/>
  <c r="E45" i="33"/>
  <c r="D22" i="33"/>
  <c r="C45" i="33"/>
  <c r="B45" i="33"/>
  <c r="M35" i="33" l="1"/>
  <c r="M45" i="4" s="1"/>
  <c r="O30" i="33"/>
  <c r="O40" i="4" s="1"/>
  <c r="P29" i="33"/>
  <c r="P39" i="4" s="1"/>
  <c r="T28" i="33"/>
  <c r="T38" i="4" s="1"/>
  <c r="R31" i="33"/>
  <c r="R41" i="4" s="1"/>
  <c r="S30" i="33"/>
  <c r="S40" i="4" s="1"/>
  <c r="V31" i="33"/>
  <c r="V41" i="4" s="1"/>
  <c r="S33" i="33"/>
  <c r="S43" i="4" s="1"/>
  <c r="P35" i="33"/>
  <c r="P45" i="4" s="1"/>
  <c r="T29" i="33"/>
  <c r="T39" i="4" s="1"/>
  <c r="S32" i="33"/>
  <c r="S42" i="4" s="1"/>
  <c r="P34" i="33"/>
  <c r="P44" i="4" s="1"/>
  <c r="T35" i="33"/>
  <c r="T45" i="4" s="1"/>
  <c r="P28" i="33"/>
  <c r="T34" i="33"/>
  <c r="T44" i="4" s="1"/>
  <c r="Q28" i="33"/>
  <c r="U28" i="33"/>
  <c r="U38" i="4" s="1"/>
  <c r="Q29" i="33"/>
  <c r="Q39" i="4" s="1"/>
  <c r="U29" i="33"/>
  <c r="U39" i="4" s="1"/>
  <c r="P30" i="33"/>
  <c r="T30" i="33"/>
  <c r="M31" i="33"/>
  <c r="M41" i="4" s="1"/>
  <c r="S31" i="33"/>
  <c r="S41" i="4" s="1"/>
  <c r="P32" i="33"/>
  <c r="P42" i="4" s="1"/>
  <c r="T32" i="33"/>
  <c r="T42" i="4" s="1"/>
  <c r="P33" i="33"/>
  <c r="P43" i="4" s="1"/>
  <c r="T33" i="33"/>
  <c r="T43" i="4" s="1"/>
  <c r="Q34" i="33"/>
  <c r="Q44" i="4" s="1"/>
  <c r="U34" i="33"/>
  <c r="U44" i="4" s="1"/>
  <c r="Q35" i="33"/>
  <c r="Q45" i="4" s="1"/>
  <c r="U35" i="33"/>
  <c r="U45" i="4" s="1"/>
  <c r="R28" i="33"/>
  <c r="V28" i="33"/>
  <c r="V38" i="4" s="1"/>
  <c r="R29" i="33"/>
  <c r="R39" i="4" s="1"/>
  <c r="V29" i="33"/>
  <c r="V39" i="4" s="1"/>
  <c r="Q30" i="33"/>
  <c r="Q40" i="4" s="1"/>
  <c r="U30" i="33"/>
  <c r="U40" i="4" s="1"/>
  <c r="T31" i="33"/>
  <c r="T41" i="4" s="1"/>
  <c r="Q32" i="33"/>
  <c r="Q42" i="4" s="1"/>
  <c r="Q33" i="33"/>
  <c r="Q43" i="4" s="1"/>
  <c r="U33" i="33"/>
  <c r="U43" i="4" s="1"/>
  <c r="R34" i="33"/>
  <c r="R44" i="4" s="1"/>
  <c r="V34" i="33"/>
  <c r="V44" i="4" s="1"/>
  <c r="R35" i="33"/>
  <c r="R45" i="4" s="1"/>
  <c r="V35" i="33"/>
  <c r="V45" i="4" s="1"/>
  <c r="S28" i="33"/>
  <c r="S38" i="4" s="1"/>
  <c r="R30" i="33"/>
  <c r="R40" i="4" s="1"/>
  <c r="V30" i="33"/>
  <c r="V40" i="4" s="1"/>
  <c r="Q31" i="33"/>
  <c r="Q41" i="4" s="1"/>
  <c r="U31" i="33"/>
  <c r="U41" i="4" s="1"/>
  <c r="R32" i="33"/>
  <c r="R42" i="4" s="1"/>
  <c r="V32" i="33"/>
  <c r="V42" i="4" s="1"/>
  <c r="R33" i="33"/>
  <c r="R43" i="4" s="1"/>
  <c r="V33" i="33"/>
  <c r="V43" i="4" s="1"/>
  <c r="S34" i="33"/>
  <c r="S44" i="4" s="1"/>
  <c r="S35" i="33"/>
  <c r="S45" i="4" s="1"/>
  <c r="O28" i="33"/>
  <c r="O38" i="4" s="1"/>
  <c r="O29" i="33"/>
  <c r="O39" i="4" s="1"/>
  <c r="O36" i="33"/>
  <c r="O46" i="4" s="1"/>
  <c r="O37" i="33"/>
  <c r="O47" i="4" s="1"/>
  <c r="O38" i="33"/>
  <c r="O48" i="4" s="1"/>
  <c r="O39" i="33"/>
  <c r="O49" i="4" s="1"/>
  <c r="O40" i="33"/>
  <c r="O50" i="4" s="1"/>
  <c r="O41" i="33"/>
  <c r="O51" i="4" s="1"/>
  <c r="O42" i="33"/>
  <c r="O52" i="4" s="1"/>
  <c r="O43" i="33"/>
  <c r="O53" i="4" s="1"/>
  <c r="E31" i="33"/>
  <c r="E41" i="4" s="1"/>
  <c r="O31" i="33"/>
  <c r="O32" i="33"/>
  <c r="O42" i="4" s="1"/>
  <c r="I28" i="33"/>
  <c r="I29" i="33"/>
  <c r="I39" i="4" s="1"/>
  <c r="I30" i="33"/>
  <c r="I40" i="4" s="1"/>
  <c r="O33" i="33"/>
  <c r="O43" i="4" s="1"/>
  <c r="O34" i="33"/>
  <c r="O44" i="4" s="1"/>
  <c r="E28" i="33"/>
  <c r="E29" i="33"/>
  <c r="E39" i="4" s="1"/>
  <c r="M28" i="33"/>
  <c r="M38" i="4" s="1"/>
  <c r="B29" i="33"/>
  <c r="B39" i="4" s="1"/>
  <c r="M29" i="33"/>
  <c r="M39" i="4" s="1"/>
  <c r="B30" i="33"/>
  <c r="B40" i="4" s="1"/>
  <c r="M30" i="33"/>
  <c r="M40" i="4" s="1"/>
  <c r="B31" i="33"/>
  <c r="B41" i="4" s="1"/>
  <c r="I31" i="33"/>
  <c r="I41" i="4" s="1"/>
  <c r="O35" i="33"/>
  <c r="O45" i="4" s="1"/>
  <c r="B28" i="33"/>
  <c r="B38" i="4" s="1"/>
  <c r="J28" i="33"/>
  <c r="J38" i="4" s="1"/>
  <c r="J29" i="33"/>
  <c r="J39" i="4" s="1"/>
  <c r="F30" i="33"/>
  <c r="F40" i="4" s="1"/>
  <c r="J31" i="33"/>
  <c r="J41" i="4" s="1"/>
  <c r="J32" i="33"/>
  <c r="J42" i="4" s="1"/>
  <c r="J33" i="33"/>
  <c r="J43" i="4" s="1"/>
  <c r="J34" i="33"/>
  <c r="J44" i="4" s="1"/>
  <c r="G35" i="33"/>
  <c r="G45" i="4" s="1"/>
  <c r="C28" i="33"/>
  <c r="C38" i="4" s="1"/>
  <c r="G28" i="33"/>
  <c r="G38" i="4" s="1"/>
  <c r="K28" i="33"/>
  <c r="C29" i="33"/>
  <c r="C39" i="4" s="1"/>
  <c r="G29" i="33"/>
  <c r="G39" i="4" s="1"/>
  <c r="K29" i="33"/>
  <c r="K39" i="4" s="1"/>
  <c r="C30" i="33"/>
  <c r="C40" i="4" s="1"/>
  <c r="G30" i="33"/>
  <c r="G40" i="4" s="1"/>
  <c r="K30" i="33"/>
  <c r="K40" i="4" s="1"/>
  <c r="C31" i="33"/>
  <c r="C41" i="4" s="1"/>
  <c r="K31" i="33"/>
  <c r="K41" i="4" s="1"/>
  <c r="C32" i="33"/>
  <c r="C42" i="4" s="1"/>
  <c r="G32" i="33"/>
  <c r="G42" i="4" s="1"/>
  <c r="K32" i="33"/>
  <c r="K42" i="4" s="1"/>
  <c r="C33" i="33"/>
  <c r="C43" i="4" s="1"/>
  <c r="G33" i="33"/>
  <c r="G43" i="4" s="1"/>
  <c r="K33" i="33"/>
  <c r="K43" i="4" s="1"/>
  <c r="C34" i="33"/>
  <c r="C44" i="4" s="1"/>
  <c r="G34" i="33"/>
  <c r="G44" i="4" s="1"/>
  <c r="K34" i="33"/>
  <c r="K44" i="4" s="1"/>
  <c r="D35" i="33"/>
  <c r="D45" i="4" s="1"/>
  <c r="H35" i="33"/>
  <c r="H45" i="4" s="1"/>
  <c r="L35" i="33"/>
  <c r="L45" i="4" s="1"/>
  <c r="F28" i="33"/>
  <c r="F38" i="4" s="1"/>
  <c r="F29" i="33"/>
  <c r="F39" i="4" s="1"/>
  <c r="J30" i="33"/>
  <c r="J40" i="4" s="1"/>
  <c r="F31" i="33"/>
  <c r="F41" i="4" s="1"/>
  <c r="F32" i="33"/>
  <c r="F42" i="4" s="1"/>
  <c r="F34" i="33"/>
  <c r="F44" i="4" s="1"/>
  <c r="C35" i="33"/>
  <c r="C45" i="4" s="1"/>
  <c r="K35" i="33"/>
  <c r="K45" i="4" s="1"/>
  <c r="D28" i="33"/>
  <c r="D38" i="4" s="1"/>
  <c r="H28" i="33"/>
  <c r="H38" i="4" s="1"/>
  <c r="L28" i="33"/>
  <c r="D29" i="33"/>
  <c r="D39" i="4" s="1"/>
  <c r="H29" i="33"/>
  <c r="H39" i="4" s="1"/>
  <c r="L29" i="33"/>
  <c r="L39" i="4" s="1"/>
  <c r="D30" i="33"/>
  <c r="D40" i="4" s="1"/>
  <c r="H30" i="33"/>
  <c r="H40" i="4" s="1"/>
  <c r="L30" i="33"/>
  <c r="L40" i="4" s="1"/>
  <c r="D31" i="33"/>
  <c r="D41" i="4" s="1"/>
  <c r="H31" i="33"/>
  <c r="H41" i="4" s="1"/>
  <c r="L31" i="33"/>
  <c r="L41" i="4" s="1"/>
  <c r="D32" i="33"/>
  <c r="D42" i="4" s="1"/>
  <c r="H32" i="33"/>
  <c r="H42" i="4" s="1"/>
  <c r="L32" i="33"/>
  <c r="L42" i="4" s="1"/>
  <c r="D33" i="33"/>
  <c r="D43" i="4" s="1"/>
  <c r="H33" i="33"/>
  <c r="H43" i="4" s="1"/>
  <c r="L33" i="33"/>
  <c r="L43" i="4" s="1"/>
  <c r="D34" i="33"/>
  <c r="D44" i="4" s="1"/>
  <c r="H34" i="33"/>
  <c r="H44" i="4" s="1"/>
  <c r="L34" i="33"/>
  <c r="L44" i="4" s="1"/>
  <c r="E35" i="33"/>
  <c r="E45" i="4" s="1"/>
  <c r="I35" i="33"/>
  <c r="I45" i="4" s="1"/>
  <c r="B32" i="33"/>
  <c r="B42" i="4" s="1"/>
  <c r="E32" i="33"/>
  <c r="I32" i="33"/>
  <c r="M32" i="33"/>
  <c r="B33" i="33"/>
  <c r="B43" i="4" s="1"/>
  <c r="E33" i="33"/>
  <c r="E43" i="4" s="1"/>
  <c r="I33" i="33"/>
  <c r="I43" i="4" s="1"/>
  <c r="M33" i="33"/>
  <c r="M43" i="4" s="1"/>
  <c r="B34" i="33"/>
  <c r="B44" i="4" s="1"/>
  <c r="E34" i="33"/>
  <c r="E44" i="4" s="1"/>
  <c r="I34" i="33"/>
  <c r="I44" i="4" s="1"/>
  <c r="M34" i="33"/>
  <c r="M44" i="4" s="1"/>
  <c r="F35" i="33"/>
  <c r="F45" i="4" s="1"/>
  <c r="J35" i="33"/>
  <c r="J45" i="4" s="1"/>
  <c r="I38" i="4"/>
  <c r="E38" i="4"/>
  <c r="R38" i="4"/>
  <c r="B22" i="33"/>
  <c r="E22" i="33"/>
  <c r="I45" i="33"/>
  <c r="I52" i="33"/>
  <c r="I27" i="33"/>
  <c r="P38" i="4"/>
  <c r="B27" i="33"/>
  <c r="B52" i="33" s="1"/>
  <c r="Q38" i="4"/>
  <c r="D27" i="33"/>
  <c r="D52" i="33" s="1"/>
  <c r="I22" i="33"/>
  <c r="E27" i="33"/>
  <c r="E52" i="33" s="1"/>
  <c r="D45" i="33"/>
  <c r="F22" i="33"/>
  <c r="F45" i="33"/>
  <c r="G22" i="33"/>
  <c r="G27" i="33"/>
  <c r="G52" i="33" s="1"/>
  <c r="C22" i="33"/>
  <c r="C27" i="33"/>
  <c r="C52" i="33" s="1"/>
  <c r="H27" i="33"/>
  <c r="H52" i="33" s="1"/>
  <c r="H45" i="33"/>
  <c r="J56" i="33"/>
  <c r="V56" i="33"/>
  <c r="O56" i="33"/>
  <c r="D56" i="33"/>
  <c r="I56" i="33"/>
  <c r="B56" i="33"/>
  <c r="S56" i="33"/>
  <c r="Q56" i="33"/>
  <c r="G56" i="33"/>
  <c r="F56" i="33"/>
  <c r="K56" i="33"/>
  <c r="H56" i="33"/>
  <c r="P56" i="33"/>
  <c r="U56" i="33"/>
  <c r="T56" i="33"/>
  <c r="E56" i="33"/>
  <c r="C56" i="33"/>
  <c r="R56" i="33"/>
  <c r="M56" i="33"/>
  <c r="L56" i="33"/>
  <c r="B46" i="33" l="1"/>
  <c r="S47" i="33"/>
  <c r="S48" i="33" s="1"/>
  <c r="S54" i="33" s="1"/>
  <c r="U47" i="33"/>
  <c r="U48" i="33" s="1"/>
  <c r="U54" i="33" s="1"/>
  <c r="J46" i="33"/>
  <c r="J53" i="33" s="1"/>
  <c r="V46" i="33"/>
  <c r="V53" i="33" s="1"/>
  <c r="E47" i="33"/>
  <c r="E48" i="33" s="1"/>
  <c r="E54" i="33" s="1"/>
  <c r="T46" i="33"/>
  <c r="T53" i="33" s="1"/>
  <c r="R46" i="33"/>
  <c r="R53" i="33" s="1"/>
  <c r="R55" i="33" s="1"/>
  <c r="D47" i="33"/>
  <c r="P47" i="33"/>
  <c r="P48" i="33" s="1"/>
  <c r="P54" i="33" s="1"/>
  <c r="M47" i="33"/>
  <c r="M48" i="33" s="1"/>
  <c r="M54" i="33" s="1"/>
  <c r="G46" i="33"/>
  <c r="G53" i="33" s="1"/>
  <c r="L47" i="33"/>
  <c r="P46" i="33"/>
  <c r="P53" i="33" s="1"/>
  <c r="S57" i="33"/>
  <c r="V57" i="33"/>
  <c r="T57" i="33"/>
  <c r="U57" i="33"/>
  <c r="R57" i="33"/>
  <c r="P57" i="33"/>
  <c r="Q57" i="33"/>
  <c r="V47" i="33"/>
  <c r="V48" i="33" s="1"/>
  <c r="V54" i="33" s="1"/>
  <c r="I46" i="33"/>
  <c r="I53" i="33" s="1"/>
  <c r="D46" i="33"/>
  <c r="D53" i="33" s="1"/>
  <c r="O46" i="33"/>
  <c r="O53" i="33" s="1"/>
  <c r="O55" i="33" s="1"/>
  <c r="T40" i="4"/>
  <c r="R47" i="33"/>
  <c r="R48" i="33" s="1"/>
  <c r="R54" i="33" s="1"/>
  <c r="Q46" i="33"/>
  <c r="Q53" i="33" s="1"/>
  <c r="U46" i="33"/>
  <c r="U53" i="33" s="1"/>
  <c r="U55" i="33" s="1"/>
  <c r="S46" i="33"/>
  <c r="S53" i="33" s="1"/>
  <c r="J47" i="33"/>
  <c r="J48" i="33" s="1"/>
  <c r="J54" i="33" s="1"/>
  <c r="Q47" i="33"/>
  <c r="Q48" i="33" s="1"/>
  <c r="Q54" i="33" s="1"/>
  <c r="T47" i="33"/>
  <c r="T48" i="33" s="1"/>
  <c r="T54" i="33" s="1"/>
  <c r="P40" i="4"/>
  <c r="C46" i="33"/>
  <c r="C53" i="33" s="1"/>
  <c r="M46" i="33"/>
  <c r="M53" i="33" s="1"/>
  <c r="L46" i="33"/>
  <c r="L53" i="33" s="1"/>
  <c r="G47" i="33"/>
  <c r="G48" i="33" s="1"/>
  <c r="G54" i="33" s="1"/>
  <c r="F46" i="33"/>
  <c r="F53" i="33" s="1"/>
  <c r="I47" i="33"/>
  <c r="I48" i="33" s="1"/>
  <c r="I54" i="33" s="1"/>
  <c r="O57" i="33"/>
  <c r="B47" i="33"/>
  <c r="B48" i="33" s="1"/>
  <c r="B54" i="33" s="1"/>
  <c r="H47" i="33"/>
  <c r="H48" i="33" s="1"/>
  <c r="H54" i="33" s="1"/>
  <c r="O47" i="33"/>
  <c r="O48" i="33" s="1"/>
  <c r="O54" i="33" s="1"/>
  <c r="L38" i="4"/>
  <c r="C47" i="33"/>
  <c r="C48" i="33" s="1"/>
  <c r="C54" i="33" s="1"/>
  <c r="E46" i="33"/>
  <c r="E53" i="33" s="1"/>
  <c r="H46" i="33"/>
  <c r="H53" i="33" s="1"/>
  <c r="F47" i="33"/>
  <c r="F48" i="33" s="1"/>
  <c r="F54" i="33" s="1"/>
  <c r="O41" i="4"/>
  <c r="K57" i="33"/>
  <c r="M57" i="33"/>
  <c r="L57" i="33"/>
  <c r="G57" i="33"/>
  <c r="I57" i="33"/>
  <c r="H57" i="33"/>
  <c r="C57" i="33"/>
  <c r="J57" i="33"/>
  <c r="E57" i="33"/>
  <c r="D57" i="33"/>
  <c r="F57" i="33"/>
  <c r="B57" i="33"/>
  <c r="K46" i="33"/>
  <c r="K53" i="33" s="1"/>
  <c r="M42" i="4"/>
  <c r="D48" i="33"/>
  <c r="D54" i="33" s="1"/>
  <c r="K38" i="4"/>
  <c r="I42" i="4"/>
  <c r="L48" i="33"/>
  <c r="L54" i="33" s="1"/>
  <c r="K47" i="33"/>
  <c r="K48" i="33" s="1"/>
  <c r="K54" i="33" s="1"/>
  <c r="E42" i="4"/>
  <c r="B53" i="33"/>
  <c r="P59" i="33" l="1"/>
  <c r="P60" i="33" s="1"/>
  <c r="P61" i="33" s="1"/>
  <c r="V55" i="33"/>
  <c r="S55" i="33"/>
  <c r="P55" i="33"/>
  <c r="M55" i="33"/>
  <c r="R59" i="33"/>
  <c r="R60" i="33" s="1"/>
  <c r="R61" i="33" s="1"/>
  <c r="T59" i="33"/>
  <c r="V59" i="33"/>
  <c r="T55" i="33"/>
  <c r="Q55" i="33"/>
  <c r="Q59" i="33"/>
  <c r="Q60" i="33" s="1"/>
  <c r="Q61" i="33" s="1"/>
  <c r="M59" i="33"/>
  <c r="M60" i="33" s="1"/>
  <c r="M61" i="33" s="1"/>
  <c r="S59" i="33"/>
  <c r="U59" i="33"/>
  <c r="K59" i="33"/>
  <c r="B64" i="33"/>
  <c r="F59" i="33"/>
  <c r="B65" i="33"/>
  <c r="I59" i="33"/>
  <c r="E59" i="33"/>
  <c r="E60" i="33" s="1"/>
  <c r="E61" i="33" s="1"/>
  <c r="H59" i="33"/>
  <c r="H60" i="33" s="1"/>
  <c r="H61" i="33" s="1"/>
  <c r="J59" i="33"/>
  <c r="J60" i="33" s="1"/>
  <c r="J61" i="33" s="1"/>
  <c r="L59" i="33"/>
  <c r="L60" i="33" s="1"/>
  <c r="L61" i="33" s="1"/>
  <c r="D59" i="33"/>
  <c r="D60" i="33" s="1"/>
  <c r="D61" i="33" s="1"/>
  <c r="O59" i="33"/>
  <c r="O60" i="33" s="1"/>
  <c r="O61" i="33" s="1"/>
  <c r="C59" i="33"/>
  <c r="G59" i="33"/>
  <c r="V60" i="33"/>
  <c r="V61" i="33" s="1"/>
  <c r="T60" i="33"/>
  <c r="T61" i="33" s="1"/>
  <c r="G60" i="33"/>
  <c r="G61" i="33" s="1"/>
  <c r="K60" i="33"/>
  <c r="K61" i="33" s="1"/>
  <c r="I60" i="33"/>
  <c r="I61" i="33" s="1"/>
  <c r="F60" i="33"/>
  <c r="F61" i="33" s="1"/>
  <c r="D55" i="33"/>
  <c r="B55" i="33"/>
  <c r="K55" i="33"/>
  <c r="L55" i="33"/>
  <c r="G55" i="33"/>
  <c r="F55" i="33"/>
  <c r="C55" i="33"/>
  <c r="J55" i="33"/>
  <c r="H55" i="33"/>
  <c r="I55" i="33"/>
  <c r="E55" i="33"/>
  <c r="S60" i="33"/>
  <c r="U60" i="33"/>
  <c r="C60" i="33"/>
  <c r="U61" i="33" l="1"/>
  <c r="C61" i="33"/>
  <c r="S61" i="33"/>
  <c r="M4" i="33"/>
  <c r="L4" i="33" l="1"/>
  <c r="L22" i="33" s="1"/>
  <c r="K4" i="33"/>
  <c r="K22" i="33" s="1"/>
  <c r="J4" i="33"/>
  <c r="J52" i="33" s="1"/>
  <c r="M45" i="33"/>
  <c r="M52" i="33"/>
  <c r="M27" i="33"/>
  <c r="M22" i="33"/>
  <c r="K52" i="33" l="1"/>
  <c r="K45" i="33"/>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P28" i="23"/>
  <c r="Q28" i="23"/>
  <c r="R28" i="23"/>
  <c r="S28" i="23"/>
  <c r="U28" i="23"/>
  <c r="U22" i="4" s="1"/>
  <c r="V28" i="23"/>
  <c r="R29" i="23"/>
  <c r="R23" i="4" s="1"/>
  <c r="V29" i="23"/>
  <c r="V23" i="4" s="1"/>
  <c r="P30" i="23"/>
  <c r="P24" i="4" s="1"/>
  <c r="T30" i="23"/>
  <c r="T24" i="4" s="1"/>
  <c r="Q31" i="23"/>
  <c r="Q25" i="4" s="1"/>
  <c r="U31" i="23"/>
  <c r="U25" i="4" s="1"/>
  <c r="Q32" i="23"/>
  <c r="Q26" i="4" s="1"/>
  <c r="U32" i="23"/>
  <c r="U26" i="4" s="1"/>
  <c r="P33" i="23"/>
  <c r="P27" i="4" s="1"/>
  <c r="T33" i="23"/>
  <c r="R34" i="23"/>
  <c r="R28" i="4" s="1"/>
  <c r="V34" i="23"/>
  <c r="V28" i="4" s="1"/>
  <c r="Q35" i="23"/>
  <c r="Q29" i="4" s="1"/>
  <c r="U35" i="23"/>
  <c r="V35" i="23"/>
  <c r="V29" i="4" s="1"/>
  <c r="P36" i="23"/>
  <c r="P30" i="4" s="1"/>
  <c r="Q36" i="23"/>
  <c r="Q30" i="4" s="1"/>
  <c r="R36" i="23"/>
  <c r="R30" i="4" s="1"/>
  <c r="S36" i="23"/>
  <c r="T36" i="23"/>
  <c r="T30" i="4" s="1"/>
  <c r="U36" i="23"/>
  <c r="U30" i="4" s="1"/>
  <c r="V36" i="23"/>
  <c r="V30" i="4" s="1"/>
  <c r="P37" i="23"/>
  <c r="P31" i="4" s="1"/>
  <c r="Q37" i="23"/>
  <c r="Q31" i="4" s="1"/>
  <c r="R37" i="23"/>
  <c r="R31" i="4" s="1"/>
  <c r="S37" i="23"/>
  <c r="S31" i="4" s="1"/>
  <c r="T37" i="23"/>
  <c r="T31" i="4" s="1"/>
  <c r="U37" i="23"/>
  <c r="U31" i="4" s="1"/>
  <c r="V37" i="23"/>
  <c r="V31" i="4" s="1"/>
  <c r="P38" i="23"/>
  <c r="P32" i="4" s="1"/>
  <c r="Q38" i="23"/>
  <c r="Q32" i="4" s="1"/>
  <c r="R38" i="23"/>
  <c r="R32" i="4" s="1"/>
  <c r="S38" i="23"/>
  <c r="T38" i="23"/>
  <c r="T32" i="4" s="1"/>
  <c r="U38" i="23"/>
  <c r="U32" i="4" s="1"/>
  <c r="V38" i="23"/>
  <c r="V32" i="4" s="1"/>
  <c r="P39" i="23"/>
  <c r="P33" i="4" s="1"/>
  <c r="Q39" i="23"/>
  <c r="Q33" i="4" s="1"/>
  <c r="R39" i="23"/>
  <c r="R33" i="4" s="1"/>
  <c r="S39" i="23"/>
  <c r="S33" i="4" s="1"/>
  <c r="T39" i="23"/>
  <c r="T33" i="4" s="1"/>
  <c r="U39" i="23"/>
  <c r="V39" i="23"/>
  <c r="V33" i="4" s="1"/>
  <c r="P40" i="23"/>
  <c r="P34" i="4" s="1"/>
  <c r="Q40" i="23"/>
  <c r="Q34" i="4" s="1"/>
  <c r="R40" i="23"/>
  <c r="R34" i="4" s="1"/>
  <c r="S40" i="23"/>
  <c r="T40" i="23"/>
  <c r="T34" i="4" s="1"/>
  <c r="U40" i="23"/>
  <c r="U34" i="4" s="1"/>
  <c r="V40" i="23"/>
  <c r="V34" i="4" s="1"/>
  <c r="P41" i="23"/>
  <c r="P35" i="4" s="1"/>
  <c r="Q41" i="23"/>
  <c r="Q35" i="4" s="1"/>
  <c r="R41" i="23"/>
  <c r="R35" i="4" s="1"/>
  <c r="S41" i="23"/>
  <c r="S35" i="4" s="1"/>
  <c r="T41" i="23"/>
  <c r="T35" i="4" s="1"/>
  <c r="U41" i="23"/>
  <c r="U35" i="4" s="1"/>
  <c r="V41" i="23"/>
  <c r="V35" i="4" s="1"/>
  <c r="P42" i="23"/>
  <c r="P36" i="4" s="1"/>
  <c r="Q42" i="23"/>
  <c r="Q36" i="4" s="1"/>
  <c r="R42" i="23"/>
  <c r="R36" i="4" s="1"/>
  <c r="S42" i="23"/>
  <c r="T42" i="23"/>
  <c r="T36" i="4" s="1"/>
  <c r="U42" i="23"/>
  <c r="U36" i="4" s="1"/>
  <c r="V42" i="23"/>
  <c r="V36" i="4" s="1"/>
  <c r="P43" i="23"/>
  <c r="Q43" i="23"/>
  <c r="R43" i="23"/>
  <c r="S43" i="23"/>
  <c r="T43" i="23"/>
  <c r="U43" i="23"/>
  <c r="V43" i="23"/>
  <c r="O41" i="23"/>
  <c r="O35" i="4" s="1"/>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S36" i="1"/>
  <c r="S14" i="4" s="1"/>
  <c r="T36" i="1"/>
  <c r="T14" i="4" s="1"/>
  <c r="U36" i="1"/>
  <c r="U14" i="4" s="1"/>
  <c r="V36" i="1"/>
  <c r="V14" i="4" s="1"/>
  <c r="S37" i="1"/>
  <c r="S15" i="4" s="1"/>
  <c r="T37" i="1"/>
  <c r="T15" i="4" s="1"/>
  <c r="U37" i="1"/>
  <c r="U15" i="4" s="1"/>
  <c r="V37" i="1"/>
  <c r="V15" i="4" s="1"/>
  <c r="S38" i="1"/>
  <c r="S16" i="4" s="1"/>
  <c r="T38" i="1"/>
  <c r="T16" i="4" s="1"/>
  <c r="U38" i="1"/>
  <c r="U16" i="4" s="1"/>
  <c r="V38" i="1"/>
  <c r="V16" i="4" s="1"/>
  <c r="S39" i="1"/>
  <c r="S17" i="4" s="1"/>
  <c r="T39" i="1"/>
  <c r="T17" i="4" s="1"/>
  <c r="U39" i="1"/>
  <c r="U17" i="4" s="1"/>
  <c r="V39" i="1"/>
  <c r="V17" i="4" s="1"/>
  <c r="S40" i="1"/>
  <c r="S18" i="4" s="1"/>
  <c r="T40" i="1"/>
  <c r="T18" i="4" s="1"/>
  <c r="U40" i="1"/>
  <c r="U18" i="4" s="1"/>
  <c r="V40" i="1"/>
  <c r="V18" i="4" s="1"/>
  <c r="S41" i="1"/>
  <c r="S19" i="4" s="1"/>
  <c r="T41" i="1"/>
  <c r="T19" i="4" s="1"/>
  <c r="U41" i="1"/>
  <c r="U19" i="4" s="1"/>
  <c r="V41" i="1"/>
  <c r="V19" i="4" s="1"/>
  <c r="S42" i="1"/>
  <c r="S20" i="4" s="1"/>
  <c r="T42" i="1"/>
  <c r="T20" i="4" s="1"/>
  <c r="U42" i="1"/>
  <c r="U20" i="4" s="1"/>
  <c r="V42" i="1"/>
  <c r="V20" i="4" s="1"/>
  <c r="S43" i="1"/>
  <c r="S21" i="4" s="1"/>
  <c r="T43" i="1"/>
  <c r="U43" i="1"/>
  <c r="V43" i="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N45" i="1"/>
  <c r="A45" i="1"/>
  <c r="A45" i="23"/>
  <c r="A22" i="23"/>
  <c r="A22" i="1"/>
  <c r="B1" i="4"/>
  <c r="A52" i="23"/>
  <c r="U37" i="4"/>
  <c r="Q37" i="4"/>
  <c r="I43" i="23"/>
  <c r="H43" i="23"/>
  <c r="G43" i="23"/>
  <c r="F43" i="23"/>
  <c r="E43" i="23"/>
  <c r="D43" i="23"/>
  <c r="C43" i="23"/>
  <c r="B43" i="23"/>
  <c r="S36" i="4"/>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S34" i="4"/>
  <c r="I40" i="23"/>
  <c r="I34" i="4" s="1"/>
  <c r="H40" i="23"/>
  <c r="H34" i="4" s="1"/>
  <c r="G40" i="23"/>
  <c r="G34" i="4" s="1"/>
  <c r="F40" i="23"/>
  <c r="F34" i="4" s="1"/>
  <c r="E40" i="23"/>
  <c r="E34" i="4" s="1"/>
  <c r="D40" i="23"/>
  <c r="D34" i="4" s="1"/>
  <c r="C40" i="23"/>
  <c r="C34" i="4" s="1"/>
  <c r="B40" i="23"/>
  <c r="B34" i="4" s="1"/>
  <c r="U33" i="4"/>
  <c r="I39" i="23"/>
  <c r="I33" i="4" s="1"/>
  <c r="H39" i="23"/>
  <c r="H33" i="4" s="1"/>
  <c r="G39" i="23"/>
  <c r="G33" i="4" s="1"/>
  <c r="F39" i="23"/>
  <c r="F33" i="4" s="1"/>
  <c r="E39" i="23"/>
  <c r="E33" i="4" s="1"/>
  <c r="D39" i="23"/>
  <c r="D33" i="4" s="1"/>
  <c r="C39" i="23"/>
  <c r="C33" i="4" s="1"/>
  <c r="B39" i="23"/>
  <c r="B33" i="4" s="1"/>
  <c r="S32" i="4"/>
  <c r="I38" i="23"/>
  <c r="I32" i="4" s="1"/>
  <c r="H38" i="23"/>
  <c r="H32" i="4" s="1"/>
  <c r="G38" i="23"/>
  <c r="G32" i="4" s="1"/>
  <c r="F38" i="23"/>
  <c r="F32" i="4" s="1"/>
  <c r="E38" i="23"/>
  <c r="E32" i="4" s="1"/>
  <c r="D38" i="23"/>
  <c r="D32" i="4" s="1"/>
  <c r="C38" i="23"/>
  <c r="C32" i="4" s="1"/>
  <c r="I37" i="23"/>
  <c r="I31" i="4" s="1"/>
  <c r="H37" i="23"/>
  <c r="H31" i="4" s="1"/>
  <c r="G37" i="23"/>
  <c r="G31" i="4" s="1"/>
  <c r="F37" i="23"/>
  <c r="F31" i="4" s="1"/>
  <c r="E37" i="23"/>
  <c r="E31" i="4" s="1"/>
  <c r="D37" i="23"/>
  <c r="D31" i="4" s="1"/>
  <c r="C37" i="23"/>
  <c r="C31" i="4" s="1"/>
  <c r="B37" i="23"/>
  <c r="B31" i="4" s="1"/>
  <c r="S30" i="4"/>
  <c r="I36" i="23"/>
  <c r="I30" i="4" s="1"/>
  <c r="H36" i="23"/>
  <c r="H30" i="4" s="1"/>
  <c r="G36" i="23"/>
  <c r="G30" i="4" s="1"/>
  <c r="F36" i="23"/>
  <c r="F30" i="4" s="1"/>
  <c r="E36" i="23"/>
  <c r="E30" i="4" s="1"/>
  <c r="D36" i="23"/>
  <c r="D30" i="4" s="1"/>
  <c r="C36" i="23"/>
  <c r="C30" i="4" s="1"/>
  <c r="B36" i="23"/>
  <c r="B30" i="4" s="1"/>
  <c r="S22" i="4"/>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J40" i="23"/>
  <c r="J34" i="4" s="1"/>
  <c r="J36" i="23"/>
  <c r="J30" i="4" s="1"/>
  <c r="J42" i="23"/>
  <c r="J36" i="4" s="1"/>
  <c r="J38" i="23"/>
  <c r="J32" i="4" s="1"/>
  <c r="J41" i="23"/>
  <c r="J35" i="4" s="1"/>
  <c r="J37" i="23"/>
  <c r="J31" i="4" s="1"/>
  <c r="J43" i="23"/>
  <c r="J39" i="23"/>
  <c r="J33" i="4" s="1"/>
  <c r="H29" i="23"/>
  <c r="H23" i="4" s="1"/>
  <c r="P22" i="23"/>
  <c r="S23" i="1"/>
  <c r="T23" i="1"/>
  <c r="U23" i="1"/>
  <c r="V23" i="1"/>
  <c r="S24" i="1"/>
  <c r="T24" i="1"/>
  <c r="U24" i="1"/>
  <c r="V24" i="1"/>
  <c r="L23" i="1"/>
  <c r="M23" i="1"/>
  <c r="L24" i="1"/>
  <c r="M24" i="1"/>
  <c r="O9" i="12"/>
  <c r="O10" i="12" s="1"/>
  <c r="I23" i="1"/>
  <c r="I24"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P28" i="1"/>
  <c r="Q33" i="1"/>
  <c r="Q11" i="4" s="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G29" i="23" l="1"/>
  <c r="G23" i="4" s="1"/>
  <c r="G34" i="23"/>
  <c r="G28" i="4" s="1"/>
  <c r="J29" i="23"/>
  <c r="J23" i="4" s="1"/>
  <c r="L30" i="23"/>
  <c r="L24" i="4" s="1"/>
  <c r="M28" i="23"/>
  <c r="T35" i="23"/>
  <c r="T29" i="4" s="1"/>
  <c r="P35" i="23"/>
  <c r="P29" i="4" s="1"/>
  <c r="U34" i="23"/>
  <c r="U28" i="4" s="1"/>
  <c r="Q34" i="23"/>
  <c r="Q28" i="4" s="1"/>
  <c r="S33" i="23"/>
  <c r="S27" i="4" s="1"/>
  <c r="T32" i="23"/>
  <c r="T26" i="4" s="1"/>
  <c r="P32" i="23"/>
  <c r="P26" i="4" s="1"/>
  <c r="T31" i="23"/>
  <c r="T25" i="4" s="1"/>
  <c r="P31" i="23"/>
  <c r="P25" i="4" s="1"/>
  <c r="S30" i="23"/>
  <c r="S24" i="4" s="1"/>
  <c r="U29" i="23"/>
  <c r="Q29" i="23"/>
  <c r="T28" i="23"/>
  <c r="S35" i="23"/>
  <c r="S29" i="4" s="1"/>
  <c r="T34" i="23"/>
  <c r="T28" i="4" s="1"/>
  <c r="P34" i="23"/>
  <c r="P28" i="4" s="1"/>
  <c r="V33" i="23"/>
  <c r="V27" i="4" s="1"/>
  <c r="R33" i="23"/>
  <c r="R27" i="4" s="1"/>
  <c r="S32" i="23"/>
  <c r="S26" i="4" s="1"/>
  <c r="S31" i="23"/>
  <c r="S25" i="4" s="1"/>
  <c r="V30" i="23"/>
  <c r="R30" i="23"/>
  <c r="T29" i="23"/>
  <c r="T23" i="4" s="1"/>
  <c r="P29" i="23"/>
  <c r="R35" i="23"/>
  <c r="R29" i="4" s="1"/>
  <c r="S34" i="23"/>
  <c r="S28" i="4" s="1"/>
  <c r="U33" i="23"/>
  <c r="U27" i="4" s="1"/>
  <c r="Q33" i="23"/>
  <c r="Q27" i="4" s="1"/>
  <c r="V32" i="23"/>
  <c r="V26" i="4" s="1"/>
  <c r="R32" i="23"/>
  <c r="R26" i="4" s="1"/>
  <c r="V31" i="23"/>
  <c r="V25" i="4" s="1"/>
  <c r="R31" i="23"/>
  <c r="R25" i="4" s="1"/>
  <c r="U30" i="23"/>
  <c r="U24" i="4" s="1"/>
  <c r="Q30" i="23"/>
  <c r="Q24" i="4" s="1"/>
  <c r="S29" i="23"/>
  <c r="J34" i="23"/>
  <c r="J28" i="4" s="1"/>
  <c r="J32" i="23"/>
  <c r="J26" i="4" s="1"/>
  <c r="L34" i="23"/>
  <c r="L28" i="4" s="1"/>
  <c r="O42" i="23"/>
  <c r="O36" i="4" s="1"/>
  <c r="I30" i="23"/>
  <c r="I24" i="4" s="1"/>
  <c r="J31" i="23"/>
  <c r="J25" i="4" s="1"/>
  <c r="J35" i="23"/>
  <c r="J29" i="4" s="1"/>
  <c r="J33" i="23"/>
  <c r="J27" i="4" s="1"/>
  <c r="I32" i="23"/>
  <c r="I26" i="4" s="1"/>
  <c r="E34" i="23"/>
  <c r="E28" i="4" s="1"/>
  <c r="H30" i="23"/>
  <c r="H24" i="4" s="1"/>
  <c r="H34" i="23"/>
  <c r="H28" i="4" s="1"/>
  <c r="K28" i="23"/>
  <c r="K22" i="4" s="1"/>
  <c r="O40" i="23"/>
  <c r="O34" i="4" s="1"/>
  <c r="I31" i="23"/>
  <c r="I25" i="4" s="1"/>
  <c r="J28" i="23"/>
  <c r="J22" i="4" s="1"/>
  <c r="O36" i="23"/>
  <c r="O30" i="4" s="1"/>
  <c r="H32" i="23"/>
  <c r="H26" i="4" s="1"/>
  <c r="I29" i="23"/>
  <c r="I23" i="4" s="1"/>
  <c r="I33" i="23"/>
  <c r="I27" i="4" s="1"/>
  <c r="O33" i="23"/>
  <c r="O27" i="4" s="1"/>
  <c r="I35" i="23"/>
  <c r="I29" i="4" s="1"/>
  <c r="H28" i="23"/>
  <c r="H22" i="4" s="1"/>
  <c r="I28" i="23"/>
  <c r="I22" i="4" s="1"/>
  <c r="D33" i="23"/>
  <c r="D27" i="4" s="1"/>
  <c r="H35" i="23"/>
  <c r="H29" i="4" s="1"/>
  <c r="J30" i="23"/>
  <c r="J24" i="4" s="1"/>
  <c r="F34" i="23"/>
  <c r="F28" i="4" s="1"/>
  <c r="F28" i="23"/>
  <c r="G31" i="23"/>
  <c r="G25" i="4" s="1"/>
  <c r="C35" i="23"/>
  <c r="C29" i="4" s="1"/>
  <c r="K31" i="23"/>
  <c r="K25" i="4" s="1"/>
  <c r="M30" i="23"/>
  <c r="M24" i="4" s="1"/>
  <c r="O43" i="23"/>
  <c r="O39" i="23"/>
  <c r="O33" i="4" s="1"/>
  <c r="K33" i="23"/>
  <c r="K27" i="4" s="1"/>
  <c r="O29" i="23"/>
  <c r="O23" i="4" s="1"/>
  <c r="H31" i="23"/>
  <c r="F31" i="23"/>
  <c r="F25" i="4" s="1"/>
  <c r="H33" i="23"/>
  <c r="H27" i="4" s="1"/>
  <c r="I34" i="23"/>
  <c r="E33" i="23"/>
  <c r="E27" i="4" s="1"/>
  <c r="E30" i="23"/>
  <c r="E24" i="4" s="1"/>
  <c r="L29" i="23"/>
  <c r="L23" i="4" s="1"/>
  <c r="M35" i="23"/>
  <c r="M29" i="4" s="1"/>
  <c r="O35" i="23"/>
  <c r="O29" i="4" s="1"/>
  <c r="L35" i="23"/>
  <c r="L29" i="4" s="1"/>
  <c r="K34" i="23"/>
  <c r="K28" i="4" s="1"/>
  <c r="M32" i="23"/>
  <c r="M26" i="4" s="1"/>
  <c r="K29" i="23"/>
  <c r="K35" i="23"/>
  <c r="K29" i="4" s="1"/>
  <c r="M33" i="23"/>
  <c r="M27" i="4" s="1"/>
  <c r="L32" i="23"/>
  <c r="L26" i="4" s="1"/>
  <c r="M31" i="23"/>
  <c r="M25" i="4" s="1"/>
  <c r="K30" i="23"/>
  <c r="K24" i="4" s="1"/>
  <c r="M34" i="23"/>
  <c r="M28" i="4" s="1"/>
  <c r="L33" i="23"/>
  <c r="L27" i="4" s="1"/>
  <c r="K32" i="23"/>
  <c r="K26" i="4" s="1"/>
  <c r="L31" i="23"/>
  <c r="L25" i="4" s="1"/>
  <c r="M29" i="23"/>
  <c r="L28" i="23"/>
  <c r="L22" i="4" s="1"/>
  <c r="D35" i="23"/>
  <c r="D29" i="4" s="1"/>
  <c r="D32" i="23"/>
  <c r="D26" i="4" s="1"/>
  <c r="E28" i="23"/>
  <c r="E22" i="4" s="1"/>
  <c r="F35" i="23"/>
  <c r="F29" i="4" s="1"/>
  <c r="F30" i="23"/>
  <c r="F24" i="4" s="1"/>
  <c r="D30" i="23"/>
  <c r="D24" i="4" s="1"/>
  <c r="F32" i="23"/>
  <c r="F26" i="4" s="1"/>
  <c r="G35" i="23"/>
  <c r="G29" i="4" s="1"/>
  <c r="C28" i="23"/>
  <c r="C22" i="4" s="1"/>
  <c r="G32" i="23"/>
  <c r="G26" i="4" s="1"/>
  <c r="G33" i="23"/>
  <c r="G27" i="4" s="1"/>
  <c r="C30" i="23"/>
  <c r="C24" i="4" s="1"/>
  <c r="D28" i="23"/>
  <c r="D22" i="4" s="1"/>
  <c r="C33" i="23"/>
  <c r="C27" i="4" s="1"/>
  <c r="E29" i="23"/>
  <c r="E23" i="4" s="1"/>
  <c r="D34" i="23"/>
  <c r="D28" i="4" s="1"/>
  <c r="D31" i="23"/>
  <c r="D25" i="4" s="1"/>
  <c r="E32" i="23"/>
  <c r="E26" i="4" s="1"/>
  <c r="C32" i="23"/>
  <c r="C26" i="4" s="1"/>
  <c r="G28" i="23"/>
  <c r="F33" i="23"/>
  <c r="F27" i="4" s="1"/>
  <c r="E35" i="23"/>
  <c r="E29" i="4" s="1"/>
  <c r="D29" i="23"/>
  <c r="D23" i="4" s="1"/>
  <c r="G30" i="23"/>
  <c r="G24" i="4" s="1"/>
  <c r="C34" i="23"/>
  <c r="C28" i="4" s="1"/>
  <c r="C29" i="23"/>
  <c r="C23" i="4" s="1"/>
  <c r="E31" i="23"/>
  <c r="E25" i="4" s="1"/>
  <c r="C31" i="23"/>
  <c r="C25" i="4" s="1"/>
  <c r="F29" i="23"/>
  <c r="R33" i="1"/>
  <c r="R11" i="4" s="1"/>
  <c r="T35" i="1"/>
  <c r="T13" i="4" s="1"/>
  <c r="V34" i="1"/>
  <c r="V12" i="4" s="1"/>
  <c r="S33" i="1"/>
  <c r="S11" i="4" s="1"/>
  <c r="V32" i="1"/>
  <c r="V10" i="4" s="1"/>
  <c r="T31" i="1"/>
  <c r="T9" i="4" s="1"/>
  <c r="S30" i="1"/>
  <c r="S8" i="4" s="1"/>
  <c r="U29" i="1"/>
  <c r="U7" i="4" s="1"/>
  <c r="U28" i="1"/>
  <c r="O43" i="1"/>
  <c r="Q28" i="1"/>
  <c r="Q6" i="4" s="1"/>
  <c r="O32" i="1"/>
  <c r="O10" i="4" s="1"/>
  <c r="S35" i="1"/>
  <c r="S13" i="4" s="1"/>
  <c r="U34" i="1"/>
  <c r="U12" i="4" s="1"/>
  <c r="V33" i="1"/>
  <c r="V11" i="4" s="1"/>
  <c r="U32" i="1"/>
  <c r="U10" i="4" s="1"/>
  <c r="S31" i="1"/>
  <c r="S9" i="4" s="1"/>
  <c r="V30" i="1"/>
  <c r="V8" i="4" s="1"/>
  <c r="T29" i="1"/>
  <c r="T7" i="4" s="1"/>
  <c r="T28" i="1"/>
  <c r="P33" i="1"/>
  <c r="P11" i="4" s="1"/>
  <c r="Q34" i="1"/>
  <c r="Q12" i="4" s="1"/>
  <c r="V35" i="1"/>
  <c r="V13" i="4" s="1"/>
  <c r="T34" i="1"/>
  <c r="T12" i="4" s="1"/>
  <c r="U33" i="1"/>
  <c r="U11" i="4" s="1"/>
  <c r="T32" i="1"/>
  <c r="T10" i="4" s="1"/>
  <c r="V31" i="1"/>
  <c r="V9" i="4" s="1"/>
  <c r="U30" i="1"/>
  <c r="U8" i="4" s="1"/>
  <c r="S29" i="1"/>
  <c r="S7" i="4" s="1"/>
  <c r="S28" i="1"/>
  <c r="Q35" i="1"/>
  <c r="Q13" i="4" s="1"/>
  <c r="P30" i="1"/>
  <c r="P8" i="4" s="1"/>
  <c r="Q31" i="1"/>
  <c r="Q9" i="4" s="1"/>
  <c r="U35" i="1"/>
  <c r="U13" i="4" s="1"/>
  <c r="S34" i="1"/>
  <c r="S12" i="4" s="1"/>
  <c r="T33" i="1"/>
  <c r="T11" i="4" s="1"/>
  <c r="S32" i="1"/>
  <c r="S10" i="4" s="1"/>
  <c r="U31" i="1"/>
  <c r="U9" i="4" s="1"/>
  <c r="T30" i="1"/>
  <c r="T8" i="4" s="1"/>
  <c r="V29" i="1"/>
  <c r="V7" i="4" s="1"/>
  <c r="V28" i="1"/>
  <c r="O38" i="1"/>
  <c r="O16" i="4" s="1"/>
  <c r="O41" i="1"/>
  <c r="O19" i="4" s="1"/>
  <c r="O40" i="1"/>
  <c r="O18" i="4" s="1"/>
  <c r="F29" i="1"/>
  <c r="F7" i="4" s="1"/>
  <c r="E29" i="1"/>
  <c r="E7" i="4" s="1"/>
  <c r="E30" i="1"/>
  <c r="E8" i="4" s="1"/>
  <c r="E35" i="1"/>
  <c r="E13" i="4" s="1"/>
  <c r="E33" i="1"/>
  <c r="E11" i="4" s="1"/>
  <c r="G35" i="1"/>
  <c r="G13" i="4" s="1"/>
  <c r="O42" i="1"/>
  <c r="O20" i="4" s="1"/>
  <c r="O39" i="1"/>
  <c r="O17" i="4" s="1"/>
  <c r="I34" i="1"/>
  <c r="I12" i="4" s="1"/>
  <c r="H30" i="1"/>
  <c r="H8" i="4" s="1"/>
  <c r="G30" i="1"/>
  <c r="G8" i="4" s="1"/>
  <c r="F30" i="1"/>
  <c r="I30" i="1"/>
  <c r="I8" i="4" s="1"/>
  <c r="G29" i="1"/>
  <c r="G7" i="4" s="1"/>
  <c r="J34" i="1"/>
  <c r="J12" i="4" s="1"/>
  <c r="I33" i="1"/>
  <c r="I11" i="4" s="1"/>
  <c r="H35" i="1"/>
  <c r="H13" i="4" s="1"/>
  <c r="M28" i="1"/>
  <c r="M6" i="4" s="1"/>
  <c r="G34" i="1"/>
  <c r="G12" i="4" s="1"/>
  <c r="F34" i="1"/>
  <c r="F12" i="4" s="1"/>
  <c r="I29" i="1"/>
  <c r="H33" i="1"/>
  <c r="H11" i="4" s="1"/>
  <c r="H31" i="1"/>
  <c r="H9" i="4" s="1"/>
  <c r="P34" i="1"/>
  <c r="P12" i="4" s="1"/>
  <c r="F33" i="1"/>
  <c r="F11" i="4" s="1"/>
  <c r="C35" i="1"/>
  <c r="C13" i="4" s="1"/>
  <c r="H32" i="1"/>
  <c r="H10" i="4" s="1"/>
  <c r="F35" i="1"/>
  <c r="F13" i="4" s="1"/>
  <c r="D33" i="1"/>
  <c r="D11" i="4" s="1"/>
  <c r="D35" i="1"/>
  <c r="D13" i="4" s="1"/>
  <c r="H34" i="1"/>
  <c r="H12" i="4" s="1"/>
  <c r="J33" i="1"/>
  <c r="J11" i="4" s="1"/>
  <c r="E32" i="1"/>
  <c r="E10" i="4" s="1"/>
  <c r="F32" i="1"/>
  <c r="F10" i="4" s="1"/>
  <c r="J29" i="1"/>
  <c r="J7" i="4" s="1"/>
  <c r="J28" i="1"/>
  <c r="J6" i="4" s="1"/>
  <c r="M34" i="1"/>
  <c r="M12" i="4" s="1"/>
  <c r="L33" i="1"/>
  <c r="L11" i="4" s="1"/>
  <c r="K30" i="1"/>
  <c r="K8" i="4" s="1"/>
  <c r="J32" i="1"/>
  <c r="M35" i="1"/>
  <c r="M13" i="4" s="1"/>
  <c r="L34" i="1"/>
  <c r="L12" i="4" s="1"/>
  <c r="K33" i="1"/>
  <c r="K11" i="4" s="1"/>
  <c r="M32" i="1"/>
  <c r="M10" i="4" s="1"/>
  <c r="M31" i="1"/>
  <c r="M9" i="4" s="1"/>
  <c r="M29" i="1"/>
  <c r="L28" i="1"/>
  <c r="L6" i="4" s="1"/>
  <c r="J35" i="1"/>
  <c r="J13" i="4" s="1"/>
  <c r="J31" i="1"/>
  <c r="J9" i="4" s="1"/>
  <c r="L35" i="1"/>
  <c r="L13" i="4" s="1"/>
  <c r="K34" i="1"/>
  <c r="K12" i="4" s="1"/>
  <c r="L32" i="1"/>
  <c r="L10" i="4" s="1"/>
  <c r="L31" i="1"/>
  <c r="L9" i="4" s="1"/>
  <c r="M30" i="1"/>
  <c r="M8" i="4" s="1"/>
  <c r="L29" i="1"/>
  <c r="L7" i="4" s="1"/>
  <c r="K28" i="1"/>
  <c r="C33" i="1"/>
  <c r="C11" i="4" s="1"/>
  <c r="J30" i="1"/>
  <c r="K35" i="1"/>
  <c r="K13" i="4" s="1"/>
  <c r="M33" i="1"/>
  <c r="M11" i="4" s="1"/>
  <c r="K32" i="1"/>
  <c r="K10" i="4" s="1"/>
  <c r="K31" i="1"/>
  <c r="K9" i="4" s="1"/>
  <c r="L30" i="1"/>
  <c r="L8" i="4" s="1"/>
  <c r="K29" i="1"/>
  <c r="K7" i="4" s="1"/>
  <c r="B33" i="1"/>
  <c r="B11" i="4" s="1"/>
  <c r="T6" i="4"/>
  <c r="M22" i="4"/>
  <c r="P6" i="4"/>
  <c r="S6" i="4"/>
  <c r="Q22" i="4"/>
  <c r="U6" i="4"/>
  <c r="P22" i="4"/>
  <c r="T4" i="33"/>
  <c r="T22" i="33" s="1"/>
  <c r="Q22" i="1"/>
  <c r="S9" i="12"/>
  <c r="S10" i="12" s="1"/>
  <c r="N9" i="12"/>
  <c r="N10" i="12" s="1"/>
  <c r="M9" i="12"/>
  <c r="M10" i="12" s="1"/>
  <c r="I9" i="12"/>
  <c r="I10" i="12" s="1"/>
  <c r="P9" i="12"/>
  <c r="P10" i="12" s="1"/>
  <c r="R35" i="1"/>
  <c r="R13" i="4" s="1"/>
  <c r="G32" i="1"/>
  <c r="G10" i="4" s="1"/>
  <c r="H29" i="1"/>
  <c r="E28" i="1"/>
  <c r="D34" i="1"/>
  <c r="D12" i="4" s="1"/>
  <c r="I31" i="1"/>
  <c r="I9" i="4" s="1"/>
  <c r="F28" i="1"/>
  <c r="R41" i="1"/>
  <c r="R19" i="4" s="1"/>
  <c r="R37" i="1"/>
  <c r="R15" i="4" s="1"/>
  <c r="Q29" i="1"/>
  <c r="O37" i="1"/>
  <c r="O15" i="4" s="1"/>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E55" i="4"/>
  <c r="E62" i="4"/>
  <c r="K9" i="12"/>
  <c r="K10" i="12" s="1"/>
  <c r="P21" i="4"/>
  <c r="I52" i="23"/>
  <c r="R4" i="33"/>
  <c r="V37" i="4"/>
  <c r="R37" i="4"/>
  <c r="K37" i="4"/>
  <c r="I45" i="23"/>
  <c r="U4" i="33"/>
  <c r="O21" i="4"/>
  <c r="R21" i="4"/>
  <c r="Q21" i="4"/>
  <c r="S4" i="33"/>
  <c r="C27" i="23"/>
  <c r="C52" i="23" s="1"/>
  <c r="I27" i="23"/>
  <c r="V21" i="4"/>
  <c r="T21" i="4"/>
  <c r="B21" i="4"/>
  <c r="O37" i="23"/>
  <c r="O31" i="4" s="1"/>
  <c r="O34" i="23"/>
  <c r="O28" i="4" s="1"/>
  <c r="O38" i="23"/>
  <c r="T37" i="4"/>
  <c r="B38" i="23"/>
  <c r="F37" i="4"/>
  <c r="L37" i="4"/>
  <c r="P37" i="4"/>
  <c r="S37" i="4"/>
  <c r="J37" i="4"/>
  <c r="H37" i="4"/>
  <c r="M37" i="4"/>
  <c r="O37" i="4"/>
  <c r="Q4" i="4"/>
  <c r="Q62" i="4" s="1"/>
  <c r="H7" i="22"/>
  <c r="A44" i="22"/>
  <c r="H22" i="22"/>
  <c r="H19" i="22"/>
  <c r="H15" i="22"/>
  <c r="H25" i="22"/>
  <c r="H21" i="22"/>
  <c r="H18" i="22"/>
  <c r="P27" i="23"/>
  <c r="P52" i="23" s="1"/>
  <c r="H20" i="22"/>
  <c r="H17" i="22"/>
  <c r="H23" i="22"/>
  <c r="H16" i="22"/>
  <c r="A49" i="22"/>
  <c r="J4" i="1"/>
  <c r="J4" i="4" s="1"/>
  <c r="J4" i="23"/>
  <c r="J45" i="23" s="1"/>
  <c r="M4" i="23"/>
  <c r="M27" i="23" s="1"/>
  <c r="H10" i="22"/>
  <c r="M4" i="1"/>
  <c r="M4" i="4" s="1"/>
  <c r="H13" i="22"/>
  <c r="H12" i="22"/>
  <c r="H11" i="22"/>
  <c r="L45" i="1"/>
  <c r="L27" i="1"/>
  <c r="L52" i="1" s="1"/>
  <c r="H9" i="22"/>
  <c r="H8" i="22"/>
  <c r="O32" i="23"/>
  <c r="O31" i="23"/>
  <c r="O25" i="4" s="1"/>
  <c r="O30" i="23"/>
  <c r="O24" i="4" s="1"/>
  <c r="B33" i="23"/>
  <c r="B27" i="4" s="1"/>
  <c r="B28" i="23"/>
  <c r="B30" i="23"/>
  <c r="B24" i="4" s="1"/>
  <c r="B34" i="23"/>
  <c r="B28" i="4" s="1"/>
  <c r="B35" i="23"/>
  <c r="O28" i="23"/>
  <c r="B31" i="23"/>
  <c r="B25" i="4" s="1"/>
  <c r="B29" i="23"/>
  <c r="B23" i="4" s="1"/>
  <c r="Q32" i="1"/>
  <c r="P32" i="1"/>
  <c r="P10" i="4" s="1"/>
  <c r="D4" i="4"/>
  <c r="O29" i="1"/>
  <c r="O7" i="4" s="1"/>
  <c r="B27" i="23"/>
  <c r="B52" i="23" s="1"/>
  <c r="K45" i="23"/>
  <c r="E27" i="23"/>
  <c r="E52" i="23" s="1"/>
  <c r="Q30" i="1"/>
  <c r="Q8" i="4" s="1"/>
  <c r="B29" i="1"/>
  <c r="B7" i="4" s="1"/>
  <c r="P35" i="1"/>
  <c r="P13" i="4" s="1"/>
  <c r="P31" i="1"/>
  <c r="P9" i="4" s="1"/>
  <c r="H22" i="23"/>
  <c r="P37" i="1"/>
  <c r="F22" i="23"/>
  <c r="O36" i="1"/>
  <c r="H45" i="23"/>
  <c r="R31" i="1"/>
  <c r="R9" i="4" s="1"/>
  <c r="R22" i="4"/>
  <c r="V22" i="4"/>
  <c r="U29" i="4"/>
  <c r="T27" i="4"/>
  <c r="J21" i="4"/>
  <c r="E37" i="4"/>
  <c r="M21" i="4"/>
  <c r="R28" i="1"/>
  <c r="R30" i="1"/>
  <c r="R8" i="4" s="1"/>
  <c r="L21" i="4"/>
  <c r="U21" i="4"/>
  <c r="R29" i="1"/>
  <c r="R7" i="4" s="1"/>
  <c r="D21" i="4"/>
  <c r="C37" i="4"/>
  <c r="I37" i="4"/>
  <c r="K21" i="4"/>
  <c r="P36" i="1"/>
  <c r="P14" i="4" s="1"/>
  <c r="R32" i="1"/>
  <c r="C21" i="4"/>
  <c r="B37" i="4"/>
  <c r="D37" i="4"/>
  <c r="G37" i="4"/>
  <c r="O34" i="1"/>
  <c r="O12" i="4" s="1"/>
  <c r="O35" i="1"/>
  <c r="O13" i="4" s="1"/>
  <c r="O33" i="1"/>
  <c r="O11" i="4" s="1"/>
  <c r="O30" i="1"/>
  <c r="O8" i="4" s="1"/>
  <c r="B31" i="1"/>
  <c r="B9" i="4" s="1"/>
  <c r="O31" i="1"/>
  <c r="O9" i="4" s="1"/>
  <c r="B32" i="1"/>
  <c r="D28" i="1"/>
  <c r="C32" i="1"/>
  <c r="B28" i="1"/>
  <c r="D32" i="1"/>
  <c r="B30" i="1"/>
  <c r="B8" i="4" s="1"/>
  <c r="C28" i="1"/>
  <c r="D31" i="1"/>
  <c r="D9" i="4" s="1"/>
  <c r="O28" i="1"/>
  <c r="C30" i="1"/>
  <c r="C8" i="4" s="1"/>
  <c r="C31" i="1"/>
  <c r="C9" i="4" s="1"/>
  <c r="D29" i="1"/>
  <c r="D7" i="4" s="1"/>
  <c r="D30" i="1"/>
  <c r="V6" i="4"/>
  <c r="G21" i="4"/>
  <c r="I21" i="4"/>
  <c r="F21" i="4"/>
  <c r="H21" i="4"/>
  <c r="E21" i="4"/>
  <c r="L52" i="23"/>
  <c r="D17" i="4"/>
  <c r="F8" i="4"/>
  <c r="J10" i="4"/>
  <c r="C4" i="4"/>
  <c r="A47" i="22"/>
  <c r="G27" i="23"/>
  <c r="G52" i="23" s="1"/>
  <c r="A50" i="22"/>
  <c r="H50" i="22" s="1"/>
  <c r="K27" i="23"/>
  <c r="L22" i="1"/>
  <c r="I7" i="4"/>
  <c r="D27" i="1"/>
  <c r="D52" i="1" s="1"/>
  <c r="D45" i="1"/>
  <c r="D22" i="23"/>
  <c r="D45" i="23"/>
  <c r="D27" i="23"/>
  <c r="D52" i="23" s="1"/>
  <c r="F45" i="23"/>
  <c r="E22" i="23"/>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M56" i="23"/>
  <c r="C56" i="1"/>
  <c r="T56" i="23"/>
  <c r="R56" i="1"/>
  <c r="T56" i="1"/>
  <c r="J56" i="23"/>
  <c r="J56" i="1"/>
  <c r="I56" i="1"/>
  <c r="L56" i="1"/>
  <c r="G56" i="23"/>
  <c r="D56" i="23"/>
  <c r="O56" i="23"/>
  <c r="K56" i="23"/>
  <c r="G56" i="1"/>
  <c r="B56" i="23"/>
  <c r="L56" i="23"/>
  <c r="H56" i="1"/>
  <c r="S56" i="23"/>
  <c r="F56" i="1"/>
  <c r="K56" i="1"/>
  <c r="R56" i="23"/>
  <c r="U56" i="1"/>
  <c r="L78" i="4"/>
  <c r="S56" i="1"/>
  <c r="V56" i="23"/>
  <c r="E56" i="1"/>
  <c r="F56" i="23"/>
  <c r="D56" i="1"/>
  <c r="I56" i="23"/>
  <c r="Q56" i="23"/>
  <c r="O56" i="1"/>
  <c r="P56" i="23"/>
  <c r="M56" i="1"/>
  <c r="Q56" i="1"/>
  <c r="P56" i="1"/>
  <c r="C56" i="23"/>
  <c r="U56" i="23"/>
  <c r="V56" i="1"/>
  <c r="B56" i="1"/>
  <c r="E56" i="23"/>
  <c r="H56" i="23"/>
  <c r="P46" i="23" l="1"/>
  <c r="P53" i="23" s="1"/>
  <c r="S46" i="1"/>
  <c r="S53" i="1" s="1"/>
  <c r="T46" i="1"/>
  <c r="T53" i="1" s="1"/>
  <c r="F47" i="23"/>
  <c r="F48" i="23" s="1"/>
  <c r="F54" i="23" s="1"/>
  <c r="J46" i="23"/>
  <c r="J53" i="23" s="1"/>
  <c r="H46" i="23"/>
  <c r="H53" i="23" s="1"/>
  <c r="S47" i="23"/>
  <c r="S48" i="23" s="1"/>
  <c r="S54" i="23" s="1"/>
  <c r="E46" i="23"/>
  <c r="E53" i="23" s="1"/>
  <c r="Q46" i="23"/>
  <c r="Q53" i="23" s="1"/>
  <c r="R47" i="23"/>
  <c r="R48" i="23" s="1"/>
  <c r="R54" i="23" s="1"/>
  <c r="U47" i="23"/>
  <c r="U48" i="23" s="1"/>
  <c r="U54" i="23" s="1"/>
  <c r="P47" i="23"/>
  <c r="P48" i="23" s="1"/>
  <c r="P54" i="23" s="1"/>
  <c r="V47" i="23"/>
  <c r="V48" i="23" s="1"/>
  <c r="V54" i="23" s="1"/>
  <c r="U46" i="23"/>
  <c r="U53" i="23" s="1"/>
  <c r="S46" i="23"/>
  <c r="S53" i="23" s="1"/>
  <c r="J47" i="23"/>
  <c r="J48" i="23" s="1"/>
  <c r="J54" i="23" s="1"/>
  <c r="Q47" i="23"/>
  <c r="Q48" i="23" s="1"/>
  <c r="Q54" i="23" s="1"/>
  <c r="F22" i="4"/>
  <c r="T47" i="23"/>
  <c r="T48" i="23" s="1"/>
  <c r="T54" i="23" s="1"/>
  <c r="V46" i="23"/>
  <c r="V53" i="23" s="1"/>
  <c r="T46" i="23"/>
  <c r="T53" i="23" s="1"/>
  <c r="P23" i="4"/>
  <c r="R46" i="23"/>
  <c r="R53" i="23" s="1"/>
  <c r="V46" i="1"/>
  <c r="V53" i="1" s="1"/>
  <c r="S47" i="1"/>
  <c r="S48" i="1" s="1"/>
  <c r="S54" i="1" s="1"/>
  <c r="U47" i="1"/>
  <c r="U48" i="1" s="1"/>
  <c r="U54" i="1" s="1"/>
  <c r="V47" i="1"/>
  <c r="V48" i="1" s="1"/>
  <c r="V54" i="1" s="1"/>
  <c r="T47" i="1"/>
  <c r="T48" i="1" s="1"/>
  <c r="T54" i="1" s="1"/>
  <c r="U46" i="1"/>
  <c r="U53" i="1" s="1"/>
  <c r="F46" i="1"/>
  <c r="F53" i="1" s="1"/>
  <c r="P57" i="23"/>
  <c r="Q57" i="23"/>
  <c r="S57" i="23"/>
  <c r="U57" i="23"/>
  <c r="R57" i="23"/>
  <c r="V57" i="23"/>
  <c r="T57" i="23"/>
  <c r="Q23" i="4"/>
  <c r="M47" i="23"/>
  <c r="M48" i="23" s="1"/>
  <c r="M54" i="23" s="1"/>
  <c r="S23" i="4"/>
  <c r="S63" i="4" s="1"/>
  <c r="S64" i="4" s="1"/>
  <c r="U23" i="4"/>
  <c r="U63" i="4" s="1"/>
  <c r="U64" i="4" s="1"/>
  <c r="R24" i="4"/>
  <c r="V24" i="4"/>
  <c r="V57" i="4" s="1"/>
  <c r="V58" i="4" s="1"/>
  <c r="V76" i="4" s="1"/>
  <c r="T22" i="4"/>
  <c r="T63" i="4" s="1"/>
  <c r="T64" i="4" s="1"/>
  <c r="J57" i="23"/>
  <c r="I46" i="23"/>
  <c r="I53" i="23" s="1"/>
  <c r="M46" i="23"/>
  <c r="M53" i="23" s="1"/>
  <c r="F46" i="23"/>
  <c r="F53" i="23" s="1"/>
  <c r="C47" i="23"/>
  <c r="C48" i="23" s="1"/>
  <c r="C54" i="23" s="1"/>
  <c r="C46" i="23"/>
  <c r="C53" i="23" s="1"/>
  <c r="E47" i="23"/>
  <c r="E48" i="23" s="1"/>
  <c r="E54" i="23" s="1"/>
  <c r="H47" i="23"/>
  <c r="H48" i="23" s="1"/>
  <c r="H54" i="23" s="1"/>
  <c r="L46" i="23"/>
  <c r="L53" i="23" s="1"/>
  <c r="I47" i="23"/>
  <c r="I48" i="23" s="1"/>
  <c r="I54" i="23" s="1"/>
  <c r="H57" i="23"/>
  <c r="I57" i="23"/>
  <c r="D46" i="23"/>
  <c r="D53" i="23" s="1"/>
  <c r="L47" i="23"/>
  <c r="L48" i="23" s="1"/>
  <c r="L54" i="23" s="1"/>
  <c r="D47" i="23"/>
  <c r="D48" i="23" s="1"/>
  <c r="D54" i="23" s="1"/>
  <c r="H25" i="4"/>
  <c r="K46" i="23"/>
  <c r="K53" i="23" s="1"/>
  <c r="I28" i="4"/>
  <c r="K47" i="23"/>
  <c r="K48" i="23" s="1"/>
  <c r="K54" i="23" s="1"/>
  <c r="K57" i="23"/>
  <c r="L57" i="23"/>
  <c r="M57" i="23"/>
  <c r="K23" i="4"/>
  <c r="M23" i="4"/>
  <c r="G57" i="23"/>
  <c r="E57" i="23"/>
  <c r="F57" i="23"/>
  <c r="D57" i="23"/>
  <c r="C57" i="23"/>
  <c r="G46" i="23"/>
  <c r="G53" i="23" s="1"/>
  <c r="G47" i="23"/>
  <c r="G48" i="23" s="1"/>
  <c r="G54" i="23" s="1"/>
  <c r="G22" i="4"/>
  <c r="F23" i="4"/>
  <c r="T57" i="1"/>
  <c r="S57" i="1"/>
  <c r="V57" i="1"/>
  <c r="U57" i="1"/>
  <c r="L46" i="1"/>
  <c r="L53" i="1" s="1"/>
  <c r="J47" i="1"/>
  <c r="J48" i="1" s="1"/>
  <c r="J54" i="1" s="1"/>
  <c r="M47" i="1"/>
  <c r="M48" i="1" s="1"/>
  <c r="M54" i="1" s="1"/>
  <c r="L47" i="1"/>
  <c r="L48" i="1" s="1"/>
  <c r="L54" i="1" s="1"/>
  <c r="K46" i="1"/>
  <c r="K53" i="1" s="1"/>
  <c r="J46" i="1"/>
  <c r="J53" i="1" s="1"/>
  <c r="K47" i="1"/>
  <c r="K48" i="1" s="1"/>
  <c r="K54" i="1" s="1"/>
  <c r="M46" i="1"/>
  <c r="M53" i="1" s="1"/>
  <c r="K57" i="1"/>
  <c r="L57" i="1"/>
  <c r="J57" i="1"/>
  <c r="M57" i="1"/>
  <c r="L63" i="4"/>
  <c r="L64" i="4" s="1"/>
  <c r="P47" i="1"/>
  <c r="P48" i="1" s="1"/>
  <c r="P54" i="1" s="1"/>
  <c r="K6" i="4"/>
  <c r="J8" i="4"/>
  <c r="J63" i="4" s="1"/>
  <c r="J64" i="4" s="1"/>
  <c r="M7" i="4"/>
  <c r="D6" i="4"/>
  <c r="R6" i="4"/>
  <c r="C6" i="4"/>
  <c r="B22" i="4"/>
  <c r="I6" i="4"/>
  <c r="P7" i="4"/>
  <c r="E6" i="4"/>
  <c r="H6" i="4"/>
  <c r="F6" i="4"/>
  <c r="O6" i="4"/>
  <c r="B6" i="4"/>
  <c r="G6" i="4"/>
  <c r="Q7" i="4"/>
  <c r="V63" i="4"/>
  <c r="V64" i="4" s="1"/>
  <c r="H47" i="22"/>
  <c r="H49" i="22"/>
  <c r="H44" i="22"/>
  <c r="A46" i="22"/>
  <c r="H46" i="22" s="1"/>
  <c r="T27" i="33"/>
  <c r="T52" i="33" s="1"/>
  <c r="A34" i="22"/>
  <c r="H34" i="22" s="1"/>
  <c r="A35" i="22"/>
  <c r="H35" i="22" s="1"/>
  <c r="T45" i="33"/>
  <c r="A38" i="22"/>
  <c r="H38" i="22" s="1"/>
  <c r="A42" i="22"/>
  <c r="H42" i="22" s="1"/>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45" i="22"/>
  <c r="H45" i="22" s="1"/>
  <c r="H57" i="1"/>
  <c r="G57" i="1"/>
  <c r="F57" i="1"/>
  <c r="I57" i="1"/>
  <c r="E57" i="1"/>
  <c r="H7" i="4"/>
  <c r="G46" i="1"/>
  <c r="G53" i="1" s="1"/>
  <c r="H46" i="1"/>
  <c r="H53" i="1" s="1"/>
  <c r="H47" i="1"/>
  <c r="H48" i="1" s="1"/>
  <c r="H54" i="1" s="1"/>
  <c r="G11" i="4"/>
  <c r="F9" i="4"/>
  <c r="I13" i="4"/>
  <c r="E12" i="4"/>
  <c r="I55" i="4"/>
  <c r="I62" i="4"/>
  <c r="V56" i="4"/>
  <c r="V75" i="4" s="1"/>
  <c r="U57" i="4"/>
  <c r="U58" i="4" s="1"/>
  <c r="U76" i="4" s="1"/>
  <c r="L56" i="4"/>
  <c r="L75" i="4" s="1"/>
  <c r="O55" i="4"/>
  <c r="O62" i="4"/>
  <c r="F55" i="4"/>
  <c r="F62" i="4"/>
  <c r="M55" i="4"/>
  <c r="M62" i="4"/>
  <c r="J55" i="4"/>
  <c r="J62" i="4"/>
  <c r="L57" i="4"/>
  <c r="L58" i="4" s="1"/>
  <c r="L76" i="4" s="1"/>
  <c r="P55" i="4"/>
  <c r="P62" i="4"/>
  <c r="G55" i="4"/>
  <c r="G62" i="4"/>
  <c r="H74" i="4"/>
  <c r="H62" i="4"/>
  <c r="U22" i="33"/>
  <c r="U45" i="33"/>
  <c r="U27" i="33"/>
  <c r="U52" i="33" s="1"/>
  <c r="R45" i="33"/>
  <c r="R27" i="33"/>
  <c r="R52" i="33" s="1"/>
  <c r="R22" i="33"/>
  <c r="C74" i="4"/>
  <c r="C62" i="4"/>
  <c r="D55" i="4"/>
  <c r="D62" i="4"/>
  <c r="S27" i="33"/>
  <c r="S52" i="33" s="1"/>
  <c r="S22" i="33"/>
  <c r="S45" i="33"/>
  <c r="A36" i="22"/>
  <c r="H36" i="22" s="1"/>
  <c r="V4" i="33"/>
  <c r="Q55" i="4"/>
  <c r="V4" i="1"/>
  <c r="V45" i="1" s="1"/>
  <c r="O32" i="4"/>
  <c r="Q10" i="4"/>
  <c r="B32" i="4"/>
  <c r="H55" i="4"/>
  <c r="R10" i="4"/>
  <c r="O14" i="4"/>
  <c r="P15" i="4"/>
  <c r="V4" i="23"/>
  <c r="V45" i="23" s="1"/>
  <c r="B10" i="4"/>
  <c r="A32" i="22"/>
  <c r="H32" i="22" s="1"/>
  <c r="D13" i="28"/>
  <c r="D9" i="28"/>
  <c r="D5" i="28"/>
  <c r="D14" i="28"/>
  <c r="D10" i="28"/>
  <c r="D6" i="28"/>
  <c r="D15" i="28"/>
  <c r="D11" i="28"/>
  <c r="D7" i="28"/>
  <c r="D3" i="28"/>
  <c r="D12" i="28"/>
  <c r="D8" i="28"/>
  <c r="D4" i="28"/>
  <c r="L79" i="4"/>
  <c r="O26" i="4"/>
  <c r="P46" i="1"/>
  <c r="P53" i="1" s="1"/>
  <c r="A37" i="22"/>
  <c r="H37" i="22" s="1"/>
  <c r="U4" i="1"/>
  <c r="U22" i="1" s="1"/>
  <c r="M74" i="4"/>
  <c r="I2" i="12" s="1"/>
  <c r="M27" i="1"/>
  <c r="M52" i="1" s="1"/>
  <c r="M22" i="1"/>
  <c r="J52" i="1"/>
  <c r="J74" i="4"/>
  <c r="F2" i="12" s="1"/>
  <c r="J27" i="1"/>
  <c r="J45" i="1"/>
  <c r="A48" i="22"/>
  <c r="H48" i="22" s="1"/>
  <c r="S4" i="1"/>
  <c r="A33" i="22"/>
  <c r="H33" i="22" s="1"/>
  <c r="S4" i="23"/>
  <c r="A43" i="22"/>
  <c r="H43" i="22" s="1"/>
  <c r="A41" i="22"/>
  <c r="H41" i="22" s="1"/>
  <c r="A39" i="22"/>
  <c r="H39" i="22" s="1"/>
  <c r="C55" i="4"/>
  <c r="U4" i="23"/>
  <c r="U22" i="23" s="1"/>
  <c r="J22" i="23"/>
  <c r="J52" i="23"/>
  <c r="J22" i="1"/>
  <c r="J27" i="23"/>
  <c r="R4" i="1"/>
  <c r="R22" i="1" s="1"/>
  <c r="R4" i="23"/>
  <c r="R22" i="23" s="1"/>
  <c r="M52" i="23"/>
  <c r="M22" i="23"/>
  <c r="M45" i="23"/>
  <c r="L2" i="12"/>
  <c r="M45" i="1"/>
  <c r="B46" i="23"/>
  <c r="B53" i="23" s="1"/>
  <c r="B55" i="23" s="1"/>
  <c r="O46" i="23"/>
  <c r="O53" i="23" s="1"/>
  <c r="O55" i="23" s="1"/>
  <c r="O47" i="23"/>
  <c r="O48" i="23" s="1"/>
  <c r="O54" i="23" s="1"/>
  <c r="B47" i="23"/>
  <c r="B48" i="23" s="1"/>
  <c r="B54" i="23" s="1"/>
  <c r="B57" i="23"/>
  <c r="O57" i="23"/>
  <c r="B29" i="4"/>
  <c r="O22" i="4"/>
  <c r="R47" i="1"/>
  <c r="R48" i="1" s="1"/>
  <c r="R54" i="1" s="1"/>
  <c r="Q57" i="1"/>
  <c r="D74" i="4"/>
  <c r="M2" i="12"/>
  <c r="R46" i="1"/>
  <c r="R53" i="1" s="1"/>
  <c r="J2" i="12"/>
  <c r="C47" i="1"/>
  <c r="C48" i="1" s="1"/>
  <c r="C54" i="1" s="1"/>
  <c r="G74" i="4"/>
  <c r="D57" i="1"/>
  <c r="R57" i="1"/>
  <c r="P57" i="1"/>
  <c r="O57" i="1"/>
  <c r="C57" i="1"/>
  <c r="D10" i="4"/>
  <c r="C10" i="4"/>
  <c r="B57" i="1"/>
  <c r="C46" i="1"/>
  <c r="C53" i="1" s="1"/>
  <c r="B46" i="1"/>
  <c r="B53" i="1" s="1"/>
  <c r="B47" i="1"/>
  <c r="B48" i="1" s="1"/>
  <c r="B54" i="1" s="1"/>
  <c r="D46" i="1"/>
  <c r="D53" i="1" s="1"/>
  <c r="O47" i="1"/>
  <c r="O48" i="1" s="1"/>
  <c r="O54" i="1" s="1"/>
  <c r="O46" i="1"/>
  <c r="O53" i="1" s="1"/>
  <c r="O55" i="1" s="1"/>
  <c r="D47" i="1"/>
  <c r="D48" i="1" s="1"/>
  <c r="D54" i="1" s="1"/>
  <c r="D8" i="4"/>
  <c r="T4" i="1"/>
  <c r="T4" i="23"/>
  <c r="F74" i="4"/>
  <c r="I74" i="4"/>
  <c r="O74" i="4"/>
  <c r="P74" i="4"/>
  <c r="AD2" i="12"/>
  <c r="G78" i="4"/>
  <c r="Q78" i="4"/>
  <c r="U78" i="4"/>
  <c r="J78" i="4"/>
  <c r="P78" i="4"/>
  <c r="T78" i="4"/>
  <c r="C78" i="4"/>
  <c r="K78" i="4"/>
  <c r="H78" i="4"/>
  <c r="E78" i="4"/>
  <c r="B78" i="4"/>
  <c r="O78" i="4"/>
  <c r="F78" i="4"/>
  <c r="R78" i="4"/>
  <c r="D78" i="4"/>
  <c r="M78" i="4"/>
  <c r="S78" i="4"/>
  <c r="V78" i="4"/>
  <c r="I78" i="4"/>
  <c r="T57" i="4" l="1"/>
  <c r="T58" i="4" s="1"/>
  <c r="T76" i="4" s="1"/>
  <c r="T56" i="4"/>
  <c r="T75" i="4" s="1"/>
  <c r="U56" i="4"/>
  <c r="U75" i="4" s="1"/>
  <c r="S57" i="4"/>
  <c r="S58" i="4" s="1"/>
  <c r="S76" i="4" s="1"/>
  <c r="C63" i="4"/>
  <c r="C64" i="4" s="1"/>
  <c r="S56" i="4"/>
  <c r="S75" i="4" s="1"/>
  <c r="K56" i="4"/>
  <c r="K75" i="4" s="1"/>
  <c r="F63" i="4"/>
  <c r="F64" i="4" s="1"/>
  <c r="U79" i="4"/>
  <c r="T79" i="4"/>
  <c r="S79" i="4"/>
  <c r="V79" i="4"/>
  <c r="K57" i="4"/>
  <c r="K58" i="4" s="1"/>
  <c r="K76" i="4" s="1"/>
  <c r="F55" i="23"/>
  <c r="M56" i="4"/>
  <c r="M75" i="4" s="1"/>
  <c r="C55" i="23"/>
  <c r="M57" i="4"/>
  <c r="M58" i="4" s="1"/>
  <c r="M76" i="4" s="1"/>
  <c r="R63" i="4"/>
  <c r="R64" i="4" s="1"/>
  <c r="J56" i="4"/>
  <c r="J75" i="4" s="1"/>
  <c r="J57" i="4"/>
  <c r="J58" i="4" s="1"/>
  <c r="J76" i="4" s="1"/>
  <c r="H56" i="4"/>
  <c r="H75" i="4" s="1"/>
  <c r="I57" i="4"/>
  <c r="I58" i="4" s="1"/>
  <c r="I76" i="4" s="1"/>
  <c r="K79" i="4"/>
  <c r="M79" i="4"/>
  <c r="J79" i="4"/>
  <c r="V4" i="4"/>
  <c r="V55" i="4" s="1"/>
  <c r="K63" i="4"/>
  <c r="K64" i="4" s="1"/>
  <c r="M63" i="4"/>
  <c r="M64" i="4" s="1"/>
  <c r="G55" i="1"/>
  <c r="I63" i="4"/>
  <c r="I64" i="4" s="1"/>
  <c r="P55" i="23"/>
  <c r="V55" i="23"/>
  <c r="Q55" i="23"/>
  <c r="U55" i="23"/>
  <c r="T55" i="1"/>
  <c r="R55" i="23"/>
  <c r="T55" i="23"/>
  <c r="V55" i="1"/>
  <c r="R55" i="1"/>
  <c r="P55" i="1"/>
  <c r="S55" i="1"/>
  <c r="U55" i="1"/>
  <c r="Q55" i="1"/>
  <c r="S55" i="23"/>
  <c r="D63" i="4"/>
  <c r="D64" i="4" s="1"/>
  <c r="B63" i="4"/>
  <c r="B64" i="4" s="1"/>
  <c r="O63" i="4"/>
  <c r="O64" i="4" s="1"/>
  <c r="G56" i="4"/>
  <c r="G75" i="4" s="1"/>
  <c r="H57" i="4"/>
  <c r="H58" i="4" s="1"/>
  <c r="H76" i="4" s="1"/>
  <c r="H63" i="4"/>
  <c r="H64" i="4" s="1"/>
  <c r="P63" i="4"/>
  <c r="P64" i="4" s="1"/>
  <c r="G63" i="4"/>
  <c r="G64" i="4" s="1"/>
  <c r="E63" i="4"/>
  <c r="E64" i="4" s="1"/>
  <c r="Q63" i="4"/>
  <c r="Q64" i="4" s="1"/>
  <c r="V27" i="23"/>
  <c r="V52" i="23" s="1"/>
  <c r="I56" i="4"/>
  <c r="I75" i="4" s="1"/>
  <c r="H3" i="12" s="1"/>
  <c r="J4" i="12"/>
  <c r="M4" i="12"/>
  <c r="L4" i="12"/>
  <c r="U45" i="1"/>
  <c r="V22" i="1"/>
  <c r="V22" i="23"/>
  <c r="V27" i="1"/>
  <c r="V52" i="1" s="1"/>
  <c r="G57" i="4"/>
  <c r="G58" i="4" s="1"/>
  <c r="G76" i="4" s="1"/>
  <c r="F57" i="4"/>
  <c r="F58" i="4" s="1"/>
  <c r="F76" i="4" s="1"/>
  <c r="B56" i="4"/>
  <c r="E79" i="4"/>
  <c r="G79" i="4"/>
  <c r="I79" i="4"/>
  <c r="H79" i="4"/>
  <c r="F79" i="4"/>
  <c r="E57" i="4"/>
  <c r="E58" i="4" s="1"/>
  <c r="E76" i="4" s="1"/>
  <c r="E56" i="4"/>
  <c r="E75" i="4" s="1"/>
  <c r="F56" i="4"/>
  <c r="F75" i="4" s="1"/>
  <c r="P57" i="4"/>
  <c r="P58" i="4" s="1"/>
  <c r="P76" i="4" s="1"/>
  <c r="R56" i="4"/>
  <c r="R75" i="4" s="1"/>
  <c r="D56" i="4"/>
  <c r="D75" i="4" s="1"/>
  <c r="B57" i="4"/>
  <c r="B58" i="4" s="1"/>
  <c r="B76" i="4" s="1"/>
  <c r="V45" i="33"/>
  <c r="V27" i="33"/>
  <c r="V52" i="33" s="1"/>
  <c r="V22" i="33"/>
  <c r="D57" i="4"/>
  <c r="D58" i="4" s="1"/>
  <c r="D76" i="4" s="1"/>
  <c r="O57" i="4"/>
  <c r="O58" i="4" s="1"/>
  <c r="O76" i="4" s="1"/>
  <c r="C57" i="4"/>
  <c r="C58" i="4" s="1"/>
  <c r="C76" i="4" s="1"/>
  <c r="Q2" i="12"/>
  <c r="Q4" i="12" s="1"/>
  <c r="P2" i="12"/>
  <c r="P4" i="12" s="1"/>
  <c r="Q56" i="4"/>
  <c r="Q75" i="4" s="1"/>
  <c r="O56" i="4"/>
  <c r="O75" i="4" s="1"/>
  <c r="T77" i="4" s="1"/>
  <c r="C56" i="4"/>
  <c r="C75" i="4" s="1"/>
  <c r="R2" i="12"/>
  <c r="R4" i="12" s="1"/>
  <c r="P56" i="4"/>
  <c r="R57" i="4"/>
  <c r="R58" i="4" s="1"/>
  <c r="R76" i="4" s="1"/>
  <c r="Q57" i="4"/>
  <c r="Q58" i="4" s="1"/>
  <c r="Q76" i="4" s="1"/>
  <c r="Q79" i="4"/>
  <c r="P79" i="4"/>
  <c r="R79" i="4"/>
  <c r="U4" i="4"/>
  <c r="F2" i="27"/>
  <c r="O2" i="12"/>
  <c r="O4" i="12" s="1"/>
  <c r="U27" i="1"/>
  <c r="U52" i="1" s="1"/>
  <c r="C79" i="4"/>
  <c r="D79" i="4"/>
  <c r="K15" i="28"/>
  <c r="K13" i="28"/>
  <c r="K11" i="28"/>
  <c r="K9" i="28"/>
  <c r="K7" i="28"/>
  <c r="K5" i="28"/>
  <c r="L14" i="28"/>
  <c r="L12" i="28"/>
  <c r="L10" i="28"/>
  <c r="L8" i="28"/>
  <c r="L6" i="28"/>
  <c r="L4" i="28"/>
  <c r="L15" i="28"/>
  <c r="L13" i="28"/>
  <c r="L11" i="28"/>
  <c r="L9" i="28"/>
  <c r="L7" i="28"/>
  <c r="L5" i="28"/>
  <c r="K14" i="28"/>
  <c r="K12" i="28"/>
  <c r="K10" i="28"/>
  <c r="K8" i="28"/>
  <c r="K6" i="28"/>
  <c r="K4" i="28"/>
  <c r="L55" i="23"/>
  <c r="D55" i="23"/>
  <c r="H55" i="23"/>
  <c r="K55" i="23"/>
  <c r="J55" i="23"/>
  <c r="M55" i="23"/>
  <c r="G55" i="23"/>
  <c r="E55" i="23"/>
  <c r="I55" i="23"/>
  <c r="R59" i="23"/>
  <c r="R60" i="23" s="1"/>
  <c r="O79" i="4"/>
  <c r="B79" i="4"/>
  <c r="B64" i="23"/>
  <c r="L59" i="23"/>
  <c r="L60" i="23" s="1"/>
  <c r="F59" i="23"/>
  <c r="F60" i="23" s="1"/>
  <c r="Q59" i="23"/>
  <c r="Q60" i="23" s="1"/>
  <c r="V59" i="23"/>
  <c r="V60" i="23" s="1"/>
  <c r="P59" i="23"/>
  <c r="P60" i="23" s="1"/>
  <c r="T59" i="23"/>
  <c r="U59" i="23"/>
  <c r="S59" i="23"/>
  <c r="S60" i="23" s="1"/>
  <c r="B65" i="23"/>
  <c r="N2" i="12"/>
  <c r="N4" i="12" s="1"/>
  <c r="R45" i="23"/>
  <c r="S4" i="4"/>
  <c r="S62" i="4" s="1"/>
  <c r="S45" i="1"/>
  <c r="S27" i="1"/>
  <c r="S52" i="1" s="1"/>
  <c r="S22" i="1"/>
  <c r="S2" i="12"/>
  <c r="S4" i="12" s="1"/>
  <c r="U27" i="23"/>
  <c r="U52" i="23" s="1"/>
  <c r="U45" i="23"/>
  <c r="S45" i="23"/>
  <c r="S27" i="23"/>
  <c r="S52" i="23" s="1"/>
  <c r="S22" i="23"/>
  <c r="R45" i="1"/>
  <c r="R4" i="4"/>
  <c r="R62" i="4" s="1"/>
  <c r="R27" i="1"/>
  <c r="R52" i="1" s="1"/>
  <c r="R27" i="23"/>
  <c r="R52" i="23" s="1"/>
  <c r="C59" i="23"/>
  <c r="C60" i="23" s="1"/>
  <c r="E59" i="23"/>
  <c r="E60" i="23" s="1"/>
  <c r="J59" i="23"/>
  <c r="J60" i="23" s="1"/>
  <c r="K59" i="23"/>
  <c r="K60" i="23" s="1"/>
  <c r="D59" i="23"/>
  <c r="D60" i="23" s="1"/>
  <c r="I59" i="23"/>
  <c r="I60" i="23" s="1"/>
  <c r="O59" i="23"/>
  <c r="O60" i="23" s="1"/>
  <c r="G59" i="23"/>
  <c r="G60" i="23" s="1"/>
  <c r="H59" i="23"/>
  <c r="H60" i="23" s="1"/>
  <c r="M59" i="23"/>
  <c r="M60" i="23" s="1"/>
  <c r="C55" i="1"/>
  <c r="H55" i="1"/>
  <c r="F55" i="1"/>
  <c r="I55" i="1"/>
  <c r="L55" i="1"/>
  <c r="J55" i="1"/>
  <c r="D55" i="1"/>
  <c r="K55" i="1"/>
  <c r="E55" i="1"/>
  <c r="O59" i="1"/>
  <c r="J59" i="1"/>
  <c r="J60" i="1" s="1"/>
  <c r="F59" i="1"/>
  <c r="F60" i="1" s="1"/>
  <c r="M59" i="1"/>
  <c r="M60" i="1" s="1"/>
  <c r="I59" i="1"/>
  <c r="I60" i="1" s="1"/>
  <c r="E59" i="1"/>
  <c r="L59" i="1"/>
  <c r="H59" i="1"/>
  <c r="H60" i="1" s="1"/>
  <c r="D59" i="1"/>
  <c r="D60" i="1" s="1"/>
  <c r="K59" i="1"/>
  <c r="K60" i="1" s="1"/>
  <c r="C59" i="1"/>
  <c r="C60" i="1" s="1"/>
  <c r="G59" i="1"/>
  <c r="G60" i="1" s="1"/>
  <c r="M55" i="1"/>
  <c r="T59" i="1"/>
  <c r="P59" i="1"/>
  <c r="P60" i="1" s="1"/>
  <c r="S59" i="1"/>
  <c r="S60" i="1" s="1"/>
  <c r="V59" i="1"/>
  <c r="V60" i="1" s="1"/>
  <c r="R59" i="1"/>
  <c r="U59" i="1"/>
  <c r="U60" i="1" s="1"/>
  <c r="Q59" i="1"/>
  <c r="Q60" i="1" s="1"/>
  <c r="B65" i="1"/>
  <c r="B64" i="1"/>
  <c r="B55" i="1"/>
  <c r="T27" i="23"/>
  <c r="T52" i="23" s="1"/>
  <c r="T45" i="23"/>
  <c r="T22" i="23"/>
  <c r="J3" i="12"/>
  <c r="T27" i="1"/>
  <c r="T52" i="1" s="1"/>
  <c r="T45" i="1"/>
  <c r="T4" i="4"/>
  <c r="T62" i="4" s="1"/>
  <c r="T22" i="1"/>
  <c r="O60" i="1"/>
  <c r="T60" i="23"/>
  <c r="U60" i="23"/>
  <c r="T60" i="1"/>
  <c r="R60" i="1"/>
  <c r="E60" i="1"/>
  <c r="L60" i="1"/>
  <c r="V62" i="4" l="1"/>
  <c r="V74" i="4"/>
  <c r="Z2" i="12" s="1"/>
  <c r="AH2" i="12"/>
  <c r="I3" i="12"/>
  <c r="F3" i="12"/>
  <c r="F4" i="12"/>
  <c r="H4" i="12"/>
  <c r="G3" i="12"/>
  <c r="J80" i="4"/>
  <c r="I4" i="12"/>
  <c r="G4" i="12"/>
  <c r="F4" i="27"/>
  <c r="AA2" i="12"/>
  <c r="P75" i="4"/>
  <c r="B5" i="27" s="1"/>
  <c r="O81" i="4"/>
  <c r="O82" i="4" s="1"/>
  <c r="AE2" i="12"/>
  <c r="U74" i="4"/>
  <c r="Y2" i="12" s="1"/>
  <c r="U62" i="4"/>
  <c r="B6" i="12"/>
  <c r="B6" i="27"/>
  <c r="R61" i="23"/>
  <c r="U55" i="4"/>
  <c r="F3" i="27"/>
  <c r="V77" i="4"/>
  <c r="U77" i="4"/>
  <c r="O77" i="4"/>
  <c r="S77" i="4"/>
  <c r="Q77" i="4"/>
  <c r="R77" i="4"/>
  <c r="P81" i="4"/>
  <c r="P82" i="4" s="1"/>
  <c r="Q81" i="4"/>
  <c r="Q82" i="4" s="1"/>
  <c r="B86" i="4"/>
  <c r="B87" i="4"/>
  <c r="B75" i="4"/>
  <c r="M61" i="23"/>
  <c r="I61" i="23"/>
  <c r="E61" i="23"/>
  <c r="D61" i="23"/>
  <c r="C61" i="23"/>
  <c r="Q61" i="23"/>
  <c r="U61" i="23"/>
  <c r="P61" i="23"/>
  <c r="F61" i="23"/>
  <c r="H61" i="23"/>
  <c r="K61" i="23"/>
  <c r="G61" i="23"/>
  <c r="J61" i="23"/>
  <c r="S61" i="23"/>
  <c r="T61" i="23"/>
  <c r="V61" i="23"/>
  <c r="L61" i="23"/>
  <c r="D61" i="1"/>
  <c r="U61" i="1"/>
  <c r="S61" i="1"/>
  <c r="G61" i="1"/>
  <c r="M61" i="1"/>
  <c r="L61" i="1"/>
  <c r="T61" i="1"/>
  <c r="E61" i="1"/>
  <c r="F61" i="1"/>
  <c r="K61" i="1"/>
  <c r="I61" i="1"/>
  <c r="J61" i="1"/>
  <c r="V61" i="1"/>
  <c r="H61" i="1"/>
  <c r="O3" i="12"/>
  <c r="R3" i="12"/>
  <c r="S3" i="12"/>
  <c r="N3" i="12"/>
  <c r="M3" i="12"/>
  <c r="L3" i="12"/>
  <c r="AC2" i="12"/>
  <c r="S55" i="4"/>
  <c r="S74" i="4"/>
  <c r="W2" i="12" s="1"/>
  <c r="AG2" i="12"/>
  <c r="R55" i="4"/>
  <c r="R74" i="4"/>
  <c r="AD4" i="12" s="1"/>
  <c r="P3" i="12"/>
  <c r="Q3" i="12"/>
  <c r="K2" i="12"/>
  <c r="K4" i="12" s="1"/>
  <c r="B4" i="27"/>
  <c r="B4" i="12"/>
  <c r="O61" i="1"/>
  <c r="Q61" i="1"/>
  <c r="P61" i="1"/>
  <c r="C61" i="1"/>
  <c r="R61" i="1"/>
  <c r="AB2" i="12"/>
  <c r="AB4" i="12" s="1"/>
  <c r="AF2" i="12"/>
  <c r="T55" i="4"/>
  <c r="T74" i="4"/>
  <c r="B5" i="12" l="1"/>
  <c r="P77" i="4"/>
  <c r="AE4" i="12"/>
  <c r="Z4" i="12"/>
  <c r="W4" i="12"/>
  <c r="AG4" i="12"/>
  <c r="AC4" i="12"/>
  <c r="AH4" i="12"/>
  <c r="AF4" i="12"/>
  <c r="Y4" i="12"/>
  <c r="AA4" i="12"/>
  <c r="K77" i="4"/>
  <c r="J77" i="4"/>
  <c r="G77" i="4"/>
  <c r="F77" i="4"/>
  <c r="L77" i="4"/>
  <c r="B77" i="4"/>
  <c r="B2" i="27"/>
  <c r="G6" i="27" s="1"/>
  <c r="M77" i="4"/>
  <c r="I77" i="4"/>
  <c r="I3" i="28" s="1"/>
  <c r="B2" i="12"/>
  <c r="E6" i="12" s="1"/>
  <c r="H77" i="4"/>
  <c r="D77" i="4"/>
  <c r="C77" i="4"/>
  <c r="E77" i="4"/>
  <c r="AG8" i="12"/>
  <c r="U8" i="12"/>
  <c r="AJ8" i="12"/>
  <c r="AB8" i="12"/>
  <c r="Z8" i="12"/>
  <c r="AC8" i="12"/>
  <c r="V8" i="12"/>
  <c r="X8" i="12"/>
  <c r="AH8" i="12"/>
  <c r="AD8" i="12"/>
  <c r="AI8" i="12"/>
  <c r="W8" i="12"/>
  <c r="Y8" i="12"/>
  <c r="AE8" i="12"/>
  <c r="AA8" i="12"/>
  <c r="AF8" i="12"/>
  <c r="H8" i="27"/>
  <c r="H9" i="27" s="1"/>
  <c r="H10" i="27" s="1"/>
  <c r="J8" i="27"/>
  <c r="J9" i="27" s="1"/>
  <c r="J10" i="27" s="1"/>
  <c r="I8" i="27"/>
  <c r="I9" i="27" s="1"/>
  <c r="I10" i="27" s="1"/>
  <c r="Q5" i="12"/>
  <c r="R5" i="12"/>
  <c r="P83" i="4"/>
  <c r="S5" i="12"/>
  <c r="Q83" i="4"/>
  <c r="P5" i="12"/>
  <c r="O83" i="4"/>
  <c r="O61" i="23"/>
  <c r="AG3" i="12"/>
  <c r="AD3" i="12"/>
  <c r="AE3" i="12"/>
  <c r="AC3" i="12"/>
  <c r="W3" i="12"/>
  <c r="Y3" i="12"/>
  <c r="I2" i="27"/>
  <c r="I4" i="27" s="1"/>
  <c r="V2" i="12"/>
  <c r="V4" i="12" s="1"/>
  <c r="J2" i="28"/>
  <c r="K3" i="12"/>
  <c r="F2" i="28"/>
  <c r="J3" i="28"/>
  <c r="F3" i="28"/>
  <c r="Z3" i="12"/>
  <c r="AA3" i="12"/>
  <c r="AH3" i="12"/>
  <c r="I2" i="28"/>
  <c r="E3" i="28"/>
  <c r="AH7" i="12"/>
  <c r="AD7" i="12"/>
  <c r="AC7" i="12"/>
  <c r="V7" i="12"/>
  <c r="AI7" i="12"/>
  <c r="AG7" i="12"/>
  <c r="W7" i="12"/>
  <c r="X7" i="12"/>
  <c r="Y7" i="12"/>
  <c r="U7" i="12"/>
  <c r="AA7" i="12"/>
  <c r="AE7" i="12"/>
  <c r="Z7" i="12"/>
  <c r="AF7" i="12"/>
  <c r="AB7" i="12"/>
  <c r="AJ7" i="12"/>
  <c r="I7" i="27"/>
  <c r="H7" i="27"/>
  <c r="J7" i="27"/>
  <c r="AF3" i="12"/>
  <c r="F15" i="28"/>
  <c r="F8" i="28"/>
  <c r="AB3" i="12"/>
  <c r="F9" i="28"/>
  <c r="F13" i="28"/>
  <c r="J13" i="28"/>
  <c r="F5" i="28"/>
  <c r="F4" i="28"/>
  <c r="J11" i="28"/>
  <c r="J9" i="28"/>
  <c r="F14" i="28"/>
  <c r="F12" i="28"/>
  <c r="J6" i="28"/>
  <c r="J7" i="28"/>
  <c r="F11" i="28"/>
  <c r="F6" i="28"/>
  <c r="J14" i="28"/>
  <c r="J5" i="28"/>
  <c r="J8" i="28"/>
  <c r="F10" i="28"/>
  <c r="J10" i="28"/>
  <c r="J4" i="28"/>
  <c r="J12" i="28"/>
  <c r="F7" i="28"/>
  <c r="J15" i="28"/>
  <c r="AI2" i="12"/>
  <c r="AI4" i="12" s="1"/>
  <c r="X2" i="12"/>
  <c r="X4" i="12" s="1"/>
  <c r="E13" i="28" l="1"/>
  <c r="I15" i="28"/>
  <c r="I10" i="28"/>
  <c r="E8" i="28"/>
  <c r="I14" i="28"/>
  <c r="E11" i="28"/>
  <c r="E7" i="28"/>
  <c r="I12" i="28"/>
  <c r="I4" i="28"/>
  <c r="E6" i="28"/>
  <c r="E15" i="28"/>
  <c r="I11" i="28"/>
  <c r="I7" i="28"/>
  <c r="E12" i="28"/>
  <c r="I6" i="28"/>
  <c r="E4" i="28"/>
  <c r="E9" i="28"/>
  <c r="I5" i="28"/>
  <c r="I9" i="28"/>
  <c r="I13" i="28"/>
  <c r="I8" i="28"/>
  <c r="E5" i="28"/>
  <c r="E10" i="28"/>
  <c r="E14" i="28"/>
  <c r="AF9" i="12"/>
  <c r="AF10" i="12" s="1"/>
  <c r="W9" i="12"/>
  <c r="W10" i="12" s="1"/>
  <c r="X9" i="12"/>
  <c r="X10" i="12" s="1"/>
  <c r="AB9" i="12"/>
  <c r="AB10" i="12" s="1"/>
  <c r="AA9" i="12"/>
  <c r="AA10" i="12" s="1"/>
  <c r="AI9" i="12"/>
  <c r="AI10" i="12" s="1"/>
  <c r="V9" i="12"/>
  <c r="V10" i="12" s="1"/>
  <c r="AJ9" i="12"/>
  <c r="AJ10" i="12" s="1"/>
  <c r="AE9" i="12"/>
  <c r="AE10" i="12" s="1"/>
  <c r="AD9" i="12"/>
  <c r="AD10" i="12" s="1"/>
  <c r="AC9" i="12"/>
  <c r="AC10" i="12" s="1"/>
  <c r="U9" i="12"/>
  <c r="U10" i="12" s="1"/>
  <c r="Y9" i="12"/>
  <c r="Y10" i="12" s="1"/>
  <c r="AH9" i="12"/>
  <c r="AH10" i="12" s="1"/>
  <c r="Z9" i="12"/>
  <c r="Z10" i="12" s="1"/>
  <c r="AG9" i="12"/>
  <c r="AG10" i="12" s="1"/>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G7" i="22" s="1"/>
  <c r="F19" i="22"/>
  <c r="G19" i="22" s="1"/>
  <c r="F23" i="22"/>
  <c r="G23" i="22" s="1"/>
  <c r="N5" i="12"/>
  <c r="M5" i="12"/>
  <c r="I5" i="12"/>
  <c r="F20" i="22"/>
  <c r="I20" i="22" s="1"/>
  <c r="F9" i="22"/>
  <c r="F12" i="22"/>
  <c r="G12" i="22" s="1"/>
  <c r="F16" i="22"/>
  <c r="G16" i="22" s="1"/>
  <c r="F22" i="22"/>
  <c r="I22" i="22" s="1"/>
  <c r="J5" i="12"/>
  <c r="F15" i="22"/>
  <c r="K15" i="22" s="1"/>
  <c r="M15" i="22" s="1"/>
  <c r="L5" i="12"/>
  <c r="F21" i="22"/>
  <c r="G21" i="22" s="1"/>
  <c r="F5" i="12"/>
  <c r="F24" i="22"/>
  <c r="G24" i="22" s="1"/>
  <c r="F10" i="22"/>
  <c r="F11" i="22"/>
  <c r="F13" i="22"/>
  <c r="I13" i="22" s="1"/>
  <c r="F14" i="22"/>
  <c r="I14" i="22" s="1"/>
  <c r="F18" i="22"/>
  <c r="G18" i="22" s="1"/>
  <c r="F8" i="22"/>
  <c r="G8" i="22" s="1"/>
  <c r="F5" i="27"/>
  <c r="F25" i="22"/>
  <c r="K25" i="22" s="1"/>
  <c r="M25" i="22" s="1"/>
  <c r="G5" i="12"/>
  <c r="H5" i="12"/>
  <c r="F17" i="22"/>
  <c r="K17" i="22" s="1"/>
  <c r="M17" i="22" s="1"/>
  <c r="K5" i="12"/>
  <c r="G51" i="22"/>
  <c r="J51" i="22" s="1"/>
  <c r="G44" i="22"/>
  <c r="J44" i="22" s="1"/>
  <c r="G38" i="22"/>
  <c r="J38" i="22" s="1"/>
  <c r="G33" i="22"/>
  <c r="J33" i="22" s="1"/>
  <c r="G46" i="22"/>
  <c r="J46" i="22" s="1"/>
  <c r="G37" i="22"/>
  <c r="J37" i="22" s="1"/>
  <c r="G40" i="22"/>
  <c r="J40" i="22" s="1"/>
  <c r="G41" i="22"/>
  <c r="J41" i="22" s="1"/>
  <c r="G50" i="22"/>
  <c r="J50" i="22" s="1"/>
  <c r="G35" i="22"/>
  <c r="J35" i="22" s="1"/>
  <c r="G42" i="22"/>
  <c r="J42" i="22" s="1"/>
  <c r="G47" i="22"/>
  <c r="J47" i="22" s="1"/>
  <c r="G49" i="22"/>
  <c r="J49" i="22" s="1"/>
  <c r="G34" i="22"/>
  <c r="J34" i="22" s="1"/>
  <c r="I12" i="22"/>
  <c r="G39" i="22"/>
  <c r="J39" i="22" s="1"/>
  <c r="G32" i="22"/>
  <c r="J32" i="22" s="1"/>
  <c r="G45" i="22"/>
  <c r="J45" i="22" s="1"/>
  <c r="G36" i="22"/>
  <c r="J36" i="22" s="1"/>
  <c r="G48" i="22"/>
  <c r="J48" i="22" s="1"/>
  <c r="G43" i="22"/>
  <c r="J43" i="22" s="1"/>
  <c r="L3" i="28"/>
  <c r="G13" i="22" l="1"/>
  <c r="K26" i="22"/>
  <c r="M26" i="22" s="1"/>
  <c r="I39" i="22"/>
  <c r="M39" i="22" s="1"/>
  <c r="I49" i="22"/>
  <c r="M49" i="22" s="1"/>
  <c r="I51" i="22"/>
  <c r="M51" i="22" s="1"/>
  <c r="I37" i="22"/>
  <c r="M37" i="22" s="1"/>
  <c r="I44" i="22"/>
  <c r="K39" i="22"/>
  <c r="N39" i="22" s="1"/>
  <c r="I38" i="22"/>
  <c r="I15" i="22"/>
  <c r="G15" i="22"/>
  <c r="K12" i="22"/>
  <c r="M12" i="22" s="1"/>
  <c r="K19" i="22"/>
  <c r="M19" i="22" s="1"/>
  <c r="K18" i="22"/>
  <c r="M18" i="22" s="1"/>
  <c r="K24" i="22"/>
  <c r="M24" i="22" s="1"/>
  <c r="G25" i="22"/>
  <c r="K14" i="22"/>
  <c r="M14" i="22" s="1"/>
  <c r="I36" i="22"/>
  <c r="I35" i="22"/>
  <c r="I48" i="22"/>
  <c r="I50" i="22"/>
  <c r="M50" i="22" s="1"/>
  <c r="G14" i="22"/>
  <c r="I41" i="22"/>
  <c r="I40" i="22"/>
  <c r="I43" i="22"/>
  <c r="I32" i="22"/>
  <c r="K2" i="28" s="1"/>
  <c r="K16" i="22"/>
  <c r="M16" i="22" s="1"/>
  <c r="I19" i="22"/>
  <c r="I42" i="22"/>
  <c r="I18" i="22"/>
  <c r="I33" i="22"/>
  <c r="I45" i="22"/>
  <c r="I34" i="22"/>
  <c r="I47" i="22"/>
  <c r="I46" i="22"/>
  <c r="G10" i="22"/>
  <c r="I10" i="22" s="1"/>
  <c r="K10" i="22" s="1"/>
  <c r="I25" i="22"/>
  <c r="I24" i="22"/>
  <c r="G9" i="22"/>
  <c r="I9" i="22" s="1"/>
  <c r="K9" i="22" s="1"/>
  <c r="M9" i="22" s="1"/>
  <c r="I7" i="22"/>
  <c r="G3" i="28" s="1"/>
  <c r="G22" i="22"/>
  <c r="K21" i="22"/>
  <c r="M21" i="22" s="1"/>
  <c r="G11" i="22"/>
  <c r="I11" i="22" s="1"/>
  <c r="K11" i="22" s="1"/>
  <c r="M11" i="22" s="1"/>
  <c r="I17" i="22"/>
  <c r="I26" i="22"/>
  <c r="G17" i="22"/>
  <c r="K13" i="22"/>
  <c r="M13" i="22" s="1"/>
  <c r="I16" i="22"/>
  <c r="G20" i="22"/>
  <c r="K23" i="22"/>
  <c r="M23" i="22" s="1"/>
  <c r="I21" i="22"/>
  <c r="K22" i="22"/>
  <c r="M22" i="22" s="1"/>
  <c r="I8" i="22"/>
  <c r="K8" i="22" s="1"/>
  <c r="M8" i="22" s="1"/>
  <c r="I23" i="22"/>
  <c r="K20" i="22"/>
  <c r="M20" i="22" s="1"/>
  <c r="H3" i="28"/>
  <c r="N15" i="22"/>
  <c r="N25" i="22"/>
  <c r="N17" i="22"/>
  <c r="N26" i="22"/>
  <c r="K3" i="28"/>
  <c r="H6" i="28"/>
  <c r="H15" i="28"/>
  <c r="H10" i="28"/>
  <c r="H11" i="28"/>
  <c r="H7" i="28"/>
  <c r="M10" i="22" l="1"/>
  <c r="N10" i="22"/>
  <c r="K7" i="22"/>
  <c r="M7" i="22" s="1"/>
  <c r="G11" i="28"/>
  <c r="K51" i="22"/>
  <c r="N51" i="22" s="1"/>
  <c r="H5" i="28"/>
  <c r="H14" i="28"/>
  <c r="G7" i="28"/>
  <c r="G8" i="28"/>
  <c r="H8" i="28"/>
  <c r="H9" i="28"/>
  <c r="G15" i="28"/>
  <c r="K49" i="22"/>
  <c r="N49" i="22" s="1"/>
  <c r="G6" i="28"/>
  <c r="G14" i="28"/>
  <c r="G10" i="28"/>
  <c r="G12" i="28"/>
  <c r="G13" i="28"/>
  <c r="K37" i="22"/>
  <c r="N37" i="22" s="1"/>
  <c r="H4" i="28"/>
  <c r="H13" i="28"/>
  <c r="H12" i="28"/>
  <c r="G5" i="28"/>
  <c r="G9" i="28"/>
  <c r="G4" i="28"/>
  <c r="K50" i="22"/>
  <c r="N50" i="22" s="1"/>
  <c r="M44" i="22"/>
  <c r="K44" i="22"/>
  <c r="N44" i="22" s="1"/>
  <c r="M38" i="22"/>
  <c r="K38" i="22"/>
  <c r="N38" i="22" s="1"/>
  <c r="N19" i="22"/>
  <c r="N18" i="22"/>
  <c r="N12" i="22"/>
  <c r="N24" i="22"/>
  <c r="K36" i="22"/>
  <c r="N36" i="22" s="1"/>
  <c r="N14" i="22"/>
  <c r="K35" i="22"/>
  <c r="N35" i="22" s="1"/>
  <c r="M41" i="22"/>
  <c r="K41" i="22"/>
  <c r="N41" i="22" s="1"/>
  <c r="G2" i="28"/>
  <c r="H2" i="28"/>
  <c r="N16" i="22"/>
  <c r="M40" i="22"/>
  <c r="K40" i="22"/>
  <c r="N40" i="22" s="1"/>
  <c r="M48" i="22"/>
  <c r="K48" i="22"/>
  <c r="N48" i="22" s="1"/>
  <c r="M46" i="22"/>
  <c r="K46" i="22"/>
  <c r="N46" i="22" s="1"/>
  <c r="K33" i="22"/>
  <c r="N33" i="22" s="1"/>
  <c r="K34" i="22"/>
  <c r="N34" i="22" s="1"/>
  <c r="K32" i="22"/>
  <c r="M32" i="22" s="1"/>
  <c r="M47" i="22"/>
  <c r="K47" i="22"/>
  <c r="N47" i="22" s="1"/>
  <c r="M45" i="22"/>
  <c r="K45" i="22"/>
  <c r="N45" i="22" s="1"/>
  <c r="M42" i="22"/>
  <c r="K42" i="22"/>
  <c r="N42" i="22" s="1"/>
  <c r="M43" i="22"/>
  <c r="K43" i="22"/>
  <c r="N43" i="22" s="1"/>
  <c r="N20" i="22"/>
  <c r="N13" i="22"/>
  <c r="N7" i="22"/>
  <c r="N8" i="22"/>
  <c r="N21" i="22"/>
  <c r="N11" i="22"/>
  <c r="N9" i="22"/>
  <c r="N23" i="22"/>
  <c r="N22" i="22"/>
  <c r="M33" i="22" l="1"/>
  <c r="M35" i="22"/>
  <c r="M34" i="22"/>
  <c r="M36" i="22"/>
  <c r="L2" i="28"/>
  <c r="N32"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<sst xmlns="http://schemas.openxmlformats.org/spreadsheetml/2006/main" count="7451" uniqueCount="4259">
  <si>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</si>
  <si>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</si>
  <si>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</si>
  <si>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</si>
  <si>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</si>
  <si>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</si>
  <si>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</si>
  <si>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</si>
  <si>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</si>
  <si>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</si>
  <si>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</si>
  <si>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</si>
  <si>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</si>
  <si>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</si>
  <si>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</si>
  <si>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</si>
  <si>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</si>
  <si>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</si>
  <si>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</si>
  <si>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</si>
  <si>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</si>
  <si>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</si>
  <si>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</si>
  <si>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</si>
  <si>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</si>
  <si>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</si>
  <si>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</si>
  <si>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</si>
  <si>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</si>
  <si>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</si>
  <si>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</si>
  <si>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</si>
  <si>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</si>
  <si>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</si>
  <si>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</si>
  <si>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</si>
  <si>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</si>
  <si>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</si>
  <si>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</si>
  <si>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</si>
  <si>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</si>
  <si>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</si>
  <si>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</si>
  <si>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</si>
  <si>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</si>
  <si>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</si>
  <si>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</si>
  <si>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</si>
  <si>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</si>
  <si>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</si>
  <si>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</si>
  <si>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</si>
  <si>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</si>
  <si>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</si>
  <si>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</si>
  <si>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</si>
  <si>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</si>
  <si>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</si>
  <si>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</si>
  <si>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</si>
  <si>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</si>
  <si>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</si>
  <si>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</si>
  <si>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</si>
  <si>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</si>
  <si>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</si>
  <si>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</si>
  <si>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</si>
  <si>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</si>
  <si>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</si>
  <si>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</si>
  <si>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</si>
  <si>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</si>
  <si>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</si>
  <si>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</si>
  <si>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</si>
  <si>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</si>
  <si>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</si>
  <si>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</si>
  <si>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</si>
  <si>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</si>
  <si>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</si>
  <si>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</si>
  <si>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</si>
  <si>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</si>
  <si>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</si>
  <si>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</si>
  <si>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</si>
  <si>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</si>
  <si>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</si>
  <si>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</si>
  <si>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</si>
  <si>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</si>
  <si>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</si>
  <si>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</si>
  <si>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</si>
  <si>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</si>
  <si>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</si>
  <si>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</si>
  <si>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</si>
  <si>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</si>
  <si>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</si>
  <si>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</si>
  <si>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</si>
  <si>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</si>
  <si>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</si>
  <si>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</si>
  <si>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</si>
  <si>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</si>
  <si>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</si>
  <si>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</si>
  <si>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</si>
  <si>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</si>
  <si>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</si>
  <si>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</si>
  <si>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</si>
  <si>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</si>
  <si>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</si>
  <si>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</si>
  <si>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</si>
  <si>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</si>
  <si>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</si>
  <si>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</si>
  <si>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</si>
  <si>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</si>
  <si>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</si>
  <si>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</si>
  <si>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</si>
  <si>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</si>
  <si>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mg/L</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</si>
  <si>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</si>
  <si>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</si>
  <si>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</si>
  <si>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</si>
  <si>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</si>
  <si>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</si>
  <si>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</si>
  <si>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</si>
  <si>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</si>
  <si>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</si>
  <si>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</si>
  <si>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</si>
  <si>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</si>
  <si>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</si>
  <si>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</si>
  <si>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</si>
  <si>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</si>
  <si>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</si>
  <si>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</si>
  <si>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</si>
  <si>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</si>
  <si>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</si>
  <si>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</si>
  <si>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</si>
  <si>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</si>
  <si>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</si>
  <si>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</si>
  <si>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</si>
  <si>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</si>
  <si>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</si>
  <si>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</si>
  <si>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</si>
  <si>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</si>
  <si>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</si>
  <si>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</si>
  <si>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n'utilisez pas cette ligne SVP</t>
  </si>
  <si>
    <t>ns</t>
  </si>
  <si>
    <t>&gt;0,99</t>
  </si>
  <si>
    <t>*</t>
  </si>
  <si>
    <t>***</t>
  </si>
  <si>
    <t>&lt;0,001</t>
  </si>
  <si>
    <t>Kruskal-Wallis</t>
  </si>
  <si>
    <t xml:space="preserve">file name </t>
  </si>
  <si>
    <t xml:space="preserve">C:\Users\andre\Desktop\REACTIV CEFAS\Cefuroxime\Cefuroxime/20201124_Cefas_Test7_Run1/Plate 1/@1/A10_01.tif </t>
  </si>
  <si>
    <t xml:space="preserve"> 1470.8328 </t>
  </si>
  <si>
    <t xml:space="preserve"> 38.3529 </t>
  </si>
  <si>
    <t xml:space="preserve">C:\Users\andre\Desktop\REACTIV CEFAS\Cefuroxime\Cefuroxime/20201124_Cefas_Test7_Run1/Plate 1/@1/A10_02.tif </t>
  </si>
  <si>
    <t xml:space="preserve"> 4196.1996 </t>
  </si>
  <si>
    <t xml:space="preserve"> 39.1237 </t>
  </si>
  <si>
    <t xml:space="preserve">C:\Users\andre\Desktop\REACTIV CEFAS\Cefuroxime\Cefuroxime/20201124_Cefas_Test7_Run1/Plate 1/@1/A10_03.tif </t>
  </si>
  <si>
    <t xml:space="preserve"> 6640.3777 </t>
  </si>
  <si>
    <t xml:space="preserve"> 38.9837 </t>
  </si>
  <si>
    <t xml:space="preserve">C:\Users\andre\Desktop\REACTIV CEFAS\Cefuroxime\Cefuroxime/20201124_Cefas_Test7_Run1/Plate 1/@1/B10_01.tif </t>
  </si>
  <si>
    <t xml:space="preserve"> 108.1495 </t>
  </si>
  <si>
    <t xml:space="preserve">C:\Users\andre\Desktop\REACTIV CEFAS\Cefuroxime\Cefuroxime/20201124_Cefas_Test7_Run1/Plate 1/@1/B10_02.tif </t>
  </si>
  <si>
    <t xml:space="preserve">C:\Users\andre\Desktop\REACTIV CEFAS\Cefuroxime\Cefuroxime/20201124_Cefas_Test7_Run1/Plate 1/@1/B10_03.tif </t>
  </si>
  <si>
    <t xml:space="preserve"> 367.7082 </t>
  </si>
  <si>
    <t xml:space="preserve"> 31.5882 </t>
  </si>
  <si>
    <t xml:space="preserve">C:\Users\andre\Desktop\REACTIV CEFAS\Cefuroxime\Cefuroxime/20201124_Cefas_Test7_Run1/Plate 1/@1/C10_01.tif </t>
  </si>
  <si>
    <t xml:space="preserve"> 6099.6303 </t>
  </si>
  <si>
    <t xml:space="preserve"> 36.4929 </t>
  </si>
  <si>
    <t xml:space="preserve">C:\Users\andre\Desktop\REACTIV CEFAS\Cefuroxime\Cefuroxime/20201124_Cefas_Test7_Run1/Plate 1/@1/C10_02.tif </t>
  </si>
  <si>
    <t xml:space="preserve"> 7592.093 </t>
  </si>
  <si>
    <t xml:space="preserve"> 37.8689 </t>
  </si>
  <si>
    <t xml:space="preserve">C:\Users\andre\Desktop\REACTIV CEFAS\Cefuroxime\Cefuroxime/20201124_Cefas_Test7_Run1/Plate 1/@1/C10_03.tif </t>
  </si>
  <si>
    <t xml:space="preserve"> 6705.2673 </t>
  </si>
  <si>
    <t xml:space="preserve"> 35.8097 </t>
  </si>
  <si>
    <t xml:space="preserve">C:\Users\andre\Desktop\REACTIV CEFAS\Cefuroxime\Cefuroxime/20201124_Cefas_Test7_Run1/Plate 1/@1/D10_01.tif </t>
  </si>
  <si>
    <t xml:space="preserve"> 6964.8261 </t>
  </si>
  <si>
    <t xml:space="preserve"> 37.0248 </t>
  </si>
  <si>
    <t xml:space="preserve">C:\Users\andre\Desktop\REACTIV CEFAS\Cefuroxime\Cefuroxime/20201124_Cefas_Test7_Run1/Plate 1/@1/D10_02.tif </t>
  </si>
  <si>
    <t xml:space="preserve"> 3049.8151 </t>
  </si>
  <si>
    <t xml:space="preserve"> 32.7518 </t>
  </si>
  <si>
    <t xml:space="preserve">C:\Users\andre\Desktop\REACTIV CEFAS\Cefuroxime\Cefuroxime/20201124_Cefas_Test7_Run1/Plate 1/@1/D10_03.tif </t>
  </si>
  <si>
    <t xml:space="preserve"> 5818.4417 </t>
  </si>
  <si>
    <t xml:space="preserve"> 38.1115 </t>
  </si>
  <si>
    <t xml:space="preserve">C:\Users\andre\Desktop\REACTIV CEFAS\Cefuroxime\Cefuroxime/20201124_Cefas_Test7_Run1/Plate 1/@1/E10_01.tif </t>
  </si>
  <si>
    <t xml:space="preserve"> 8197.7301 </t>
  </si>
  <si>
    <t xml:space="preserve"> 39.2032 </t>
  </si>
  <si>
    <t xml:space="preserve">C:\Users\andre\Desktop\REACTIV CEFAS\Cefuroxime\Cefuroxime/20201124_Cefas_Test7_Run1/Plate 1/@1/E10_02.tif </t>
  </si>
  <si>
    <t xml:space="preserve"> 15011.1469 </t>
  </si>
  <si>
    <t xml:space="preserve"> 44.1844 </t>
  </si>
  <si>
    <t xml:space="preserve">C:\Users\andre\Desktop\REACTIV CEFAS\Cefuroxime\Cefuroxime/20201124_Cefas_Test7_Run1/Plate 1/@1/E10_03.tif </t>
  </si>
  <si>
    <t xml:space="preserve"> 8154.4703 </t>
  </si>
  <si>
    <t xml:space="preserve"> 42.7586 </t>
  </si>
  <si>
    <t xml:space="preserve">C:\Users\andre\Desktop\REACTIV CEFAS\Cefuroxime\Cefuroxime/20201124_Cefas_Test7_Run1/Plate 1/@1/F10_01.tif </t>
  </si>
  <si>
    <t xml:space="preserve"> 3028.1852 </t>
  </si>
  <si>
    <t xml:space="preserve"> 34.5786 </t>
  </si>
  <si>
    <t xml:space="preserve">C:\Users\andre\Desktop\REACTIV CEFAS\Cefuroxime\Cefuroxime/20201124_Cefas_Test7_Run1/Plate 1/@1/F10_02.tif </t>
  </si>
  <si>
    <t xml:space="preserve"> 2509.0678 </t>
  </si>
  <si>
    <t xml:space="preserve"> 32.7931 </t>
  </si>
  <si>
    <t xml:space="preserve">C:\Users\andre\Desktop\REACTIV CEFAS\Cefuroxime\Cefuroxime/20201124_Cefas_Test7_Run1/Plate 1/@1/F10_03.tif </t>
  </si>
  <si>
    <t xml:space="preserve"> 1860.1709 </t>
  </si>
  <si>
    <t xml:space="preserve"> 32.093 </t>
  </si>
  <si>
    <t xml:space="preserve">C:\Users\andre\Desktop\REACTIV CEFAS\Cefuroxime\Cefuroxime/20201124_Cefas_Test7_Run1/Plate 1/@1/G10_01.tif </t>
  </si>
  <si>
    <t xml:space="preserve"> 6575.488 </t>
  </si>
  <si>
    <t xml:space="preserve"> 40.5822 </t>
  </si>
  <si>
    <t xml:space="preserve">C:\Users\andre\Desktop\REACTIV CEFAS\Cefuroxime\Cefuroxime/20201124_Cefas_Test7_Run1/Plate 1/@1/G10_02.tif </t>
  </si>
  <si>
    <t xml:space="preserve"> 64.8897 </t>
  </si>
  <si>
    <t xml:space="preserve"> 31.6667 </t>
  </si>
  <si>
    <t xml:space="preserve">C:\Users\andre\Desktop\REACTIV CEFAS\Cefuroxime\Cefuroxime/20201124_Cefas_Test7_Run1/Plate 1/@1/G10_03.tif </t>
  </si>
  <si>
    <t xml:space="preserve">C:\Users\andre\Desktop\REACTIV CEFAS\Cefuroxime\Cefuroxime/20201124_Cefas_Test7_Run1/Plate 1/@1/H10_01.tif </t>
  </si>
  <si>
    <t xml:space="preserve"> 194.6691 </t>
  </si>
  <si>
    <t xml:space="preserve">C:\Users\andre\Desktop\REACTIV CEFAS\Cefuroxime\Cefuroxime/20201124_Cefas_Test7_Run1/Plate 1/@1/H10_02.tif </t>
  </si>
  <si>
    <t xml:space="preserve"> 627.2669 </t>
  </si>
  <si>
    <t xml:space="preserve"> 31.4828 </t>
  </si>
  <si>
    <t xml:space="preserve">C:\Users\andre\Desktop\REACTIV CEFAS\Cefuroxime\Cefuroxime/20201124_Cefas_Test7_Run1/Plate 1/@1/H10_03.tif </t>
  </si>
  <si>
    <t xml:space="preserve"> 865.1958 </t>
  </si>
  <si>
    <t xml:space="preserve"> 33.075 </t>
  </si>
  <si>
    <t xml:space="preserve">group </t>
  </si>
  <si>
    <t xml:space="preserve"> mean of mean fluo </t>
  </si>
  <si>
    <t xml:space="preserve"> SD mean fluo </t>
  </si>
  <si>
    <t xml:space="preserve"> mean of total fluo </t>
  </si>
  <si>
    <t xml:space="preserve"> SD total fluo </t>
  </si>
  <si>
    <t xml:space="preserve">C:\Users\andre\Desktop\REACTIV CEFAS\Cefuroxime\Cefuroxime/20201124_Cefas_Test7_Run1/Plate 1/@1/ </t>
  </si>
  <si>
    <t xml:space="preserve"> 32.9386 </t>
  </si>
  <si>
    <t xml:space="preserve"> 10.8343 </t>
  </si>
  <si>
    <t xml:space="preserve"> 155309.917 </t>
  </si>
  <si>
    <t xml:space="preserve"> 160490.921 </t>
  </si>
  <si>
    <t xml:space="preserve">C:\Users\andre\Desktop\REACTIV CEFAS\Cefuroxime\Cefuroxime/20201124_Cefas_Test7_Run1/Plate 1/@13/A8_01.tif </t>
  </si>
  <si>
    <t xml:space="preserve"> 2336.0286 </t>
  </si>
  <si>
    <t xml:space="preserve"> 32.4722 </t>
  </si>
  <si>
    <t xml:space="preserve">C:\Users\andre\Desktop\REACTIV CEFAS\Cefuroxime\Cefuroxime/20201124_Cefas_Test7_Run1/Plate 1/@13/A8_02.tif </t>
  </si>
  <si>
    <t xml:space="preserve"> 1578.9823 </t>
  </si>
  <si>
    <t xml:space="preserve"> 31.589 </t>
  </si>
  <si>
    <t xml:space="preserve">C:\Users\andre\Desktop\REACTIV CEFAS\Cefuroxime\Cefuroxime/20201124_Cefas_Test7_Run1/Plate 1/@13/A8_03.tif </t>
  </si>
  <si>
    <t xml:space="preserve"> 1687.1318 </t>
  </si>
  <si>
    <t xml:space="preserve"> 32.6026 </t>
  </si>
  <si>
    <t xml:space="preserve">C:\Users\andre\Desktop\REACTIV CEFAS\Cefuroxime\Cefuroxime/20201124_Cefas_Test7_Run1/Plate 1/@13/B8_01.tif </t>
  </si>
  <si>
    <t xml:space="preserve"> 1276.1638 </t>
  </si>
  <si>
    <t xml:space="preserve"> 31.5763 </t>
  </si>
  <si>
    <t>C:\Users\andre\Desktop\REACTIV CEFAS\Cefuroxime\Cefuroxime/20201124_Cefas_Test7_Run1/Plate 1/@13/B8_02- exclu.tif</t>
  </si>
  <si>
    <t>C:\Users\andre\Desktop\REACTIV CEFAS\Cefuroxime\Cefuroxime/20201124_Cefas_Test7_Run1/Plate 1/@13/B8_03- exclu.tif</t>
  </si>
  <si>
    <t xml:space="preserve">C:\Users\andre\Desktop\REACTIV CEFAS\Cefuroxime\Cefuroxime/20201124_Cefas_Test7_Run1/Plate 1/@13/C8_01.tif </t>
  </si>
  <si>
    <t xml:space="preserve"> 44644.1025 </t>
  </si>
  <si>
    <t xml:space="preserve"> 39.0664 </t>
  </si>
  <si>
    <t xml:space="preserve">C:\Users\andre\Desktop\REACTIV CEFAS\Cefuroxime\Cefuroxime/20201124_Cefas_Test7_Run1/Plate 1/@13/C8_02.tif </t>
  </si>
  <si>
    <t xml:space="preserve"> 45292.9994 </t>
  </si>
  <si>
    <t xml:space="preserve"> 37.7053 </t>
  </si>
  <si>
    <t xml:space="preserve">C:\Users\andre\Desktop\REACTIV CEFAS\Cefuroxime\Cefuroxime/20201124_Cefas_Test7_Run1/Plate 1/@13/C8_03.tif </t>
  </si>
  <si>
    <t xml:space="preserve"> 48580.7433 </t>
  </si>
  <si>
    <t xml:space="preserve"> 39.0347 </t>
  </si>
  <si>
    <t xml:space="preserve">C:\Users\andre\Desktop\REACTIV CEFAS\Cefuroxime\Cefuroxime/20201124_Cefas_Test7_Run1/Plate 1/@13/D8_01.tif </t>
  </si>
  <si>
    <t xml:space="preserve"> 52084.7863 </t>
  </si>
  <si>
    <t xml:space="preserve"> 41.1877 </t>
  </si>
  <si>
    <t xml:space="preserve">C:\Users\andre\Desktop\REACTIV CEFAS\Cefuroxime\Cefuroxime/20201124_Cefas_Test7_Run1/Plate 1/@13/D8_02.tif </t>
  </si>
  <si>
    <t xml:space="preserve"> 53815.1778 </t>
  </si>
  <si>
    <t xml:space="preserve"> 43.1905 </t>
  </si>
  <si>
    <t xml:space="preserve">C:\Users\andre\Desktop\REACTIV CEFAS\Cefuroxime\Cefuroxime/20201124_Cefas_Test7_Run1/Plate 1/@13/D8_03.tif </t>
  </si>
  <si>
    <t xml:space="preserve"> 57449.0001 </t>
  </si>
  <si>
    <t xml:space="preserve"> 45.4661 </t>
  </si>
  <si>
    <t xml:space="preserve">C:\Users\andre\Desktop\REACTIV CEFAS\Cefuroxime\Cefuroxime/20201124_Cefas_Test7_Run1/Plate 1/@13/E8_01.tif </t>
  </si>
  <si>
    <t xml:space="preserve"> 25393.4963 </t>
  </si>
  <si>
    <t xml:space="preserve"> 34.2785 </t>
  </si>
  <si>
    <t xml:space="preserve">C:\Users\andre\Desktop\REACTIV CEFAS\Cefuroxime\Cefuroxime/20201124_Cefas_Test7_Run1/Plate 1/@13/E8_02.tif </t>
  </si>
  <si>
    <t xml:space="preserve"> 24549.9304 </t>
  </si>
  <si>
    <t xml:space="preserve"> 34.1427 </t>
  </si>
  <si>
    <t xml:space="preserve">C:\Users\andre\Desktop\REACTIV CEFAS\Cefuroxime\Cefuroxime/20201124_Cefas_Test7_Run1/Plate 1/@13/E8_03.tif </t>
  </si>
  <si>
    <t xml:space="preserve"> 27989.0836 </t>
  </si>
  <si>
    <t xml:space="preserve"> 35.2156 </t>
  </si>
  <si>
    <t xml:space="preserve">C:\Users\andre\Desktop\REACTIV CEFAS\Cefuroxime\Cefuroxime/20201124_Cefas_Test7_Run1/Plate 1/@13/F8_01.tif </t>
  </si>
  <si>
    <t xml:space="preserve"> 19142.4567 </t>
  </si>
  <si>
    <t xml:space="preserve"> 36.1073 </t>
  </si>
  <si>
    <t xml:space="preserve">C:\Users\andre\Desktop\REACTIV CEFAS\Cefuroxime\Cefuroxime/20201124_Cefas_Test7_Run1/Plate 1/@13/F8_02.tif </t>
  </si>
  <si>
    <t xml:space="preserve"> 14902.9974 </t>
  </si>
  <si>
    <t xml:space="preserve"> 44.7286 </t>
  </si>
  <si>
    <t xml:space="preserve">C:\Users\andre\Desktop\REACTIV CEFAS\Cefuroxime\Cefuroxime/20201124_Cefas_Test7_Run1/Plate 1/@13/F8_03.tif </t>
  </si>
  <si>
    <t xml:space="preserve"> 22019.2327 </t>
  </si>
  <si>
    <t xml:space="preserve"> 45.3271 </t>
  </si>
  <si>
    <t xml:space="preserve">C:\Users\andre\Desktop\REACTIV CEFAS\Cefuroxime\Cefuroxime/20201124_Cefas_Test7_Run1/Plate 1/@13/G8_01.tif </t>
  </si>
  <si>
    <t xml:space="preserve"> 47737.1774 </t>
  </si>
  <si>
    <t xml:space="preserve"> 39.3883 </t>
  </si>
  <si>
    <t xml:space="preserve">C:\Users\andre\Desktop\REACTIV CEFAS\Cefuroxime\Cefuroxime/20201124_Cefas_Test7_Run1/Plate 1/@13/G8_02.tif </t>
  </si>
  <si>
    <t xml:space="preserve"> 59785.0288 </t>
  </si>
  <si>
    <t xml:space="preserve"> 42.504 </t>
  </si>
  <si>
    <t xml:space="preserve">C:\Users\andre\Desktop\REACTIV CEFAS\Cefuroxime\Cefuroxime/20201124_Cefas_Test7_Run1/Plate 1/@13/G8_03.tif </t>
  </si>
  <si>
    <t xml:space="preserve"> 58162.7867 </t>
  </si>
  <si>
    <t xml:space="preserve"> 40.2793 </t>
  </si>
  <si>
    <t xml:space="preserve">C:\Users\andre\Desktop\REACTIV CEFAS\Cefuroxime\Cefuroxime/20201124_Cefas_Test7_Run1/Plate 1/@13/H8_01.tif </t>
  </si>
  <si>
    <t xml:space="preserve"> 45725.5972 </t>
  </si>
  <si>
    <t xml:space="preserve"> 35.7526 </t>
  </si>
  <si>
    <t xml:space="preserve">C:\Users\andre\Desktop\REACTIV CEFAS\Cefuroxime\Cefuroxime/20201124_Cefas_Test7_Run1/Plate 1/@13/H8_02.tif </t>
  </si>
  <si>
    <t xml:space="preserve"> 54117.9964 </t>
  </si>
  <si>
    <t xml:space="preserve"> 39.0847 </t>
  </si>
  <si>
    <t xml:space="preserve">C:\Users\andre\Desktop\REACTIV CEFAS\Cefuroxime\Cefuroxime/20201124_Cefas_Test7_Run1/Plate 1/@13/H8_03.tif </t>
  </si>
  <si>
    <t xml:space="preserve"> 43692.3872 </t>
  </si>
  <si>
    <t xml:space="preserve"> 37.1238 </t>
  </si>
  <si>
    <t xml:space="preserve">C:\Users\andre\Desktop\REACTIV CEFAS\Cefuroxime\Cefuroxime/20201124_Cefas_Test7_Run1/Plate 1/@13/ </t>
  </si>
  <si>
    <t xml:space="preserve"> 38.3374 </t>
  </si>
  <si>
    <t xml:space="preserve"> 4.3254 </t>
  </si>
  <si>
    <t xml:space="preserve"> 1328624.42 </t>
  </si>
  <si>
    <t xml:space="preserve"> 839027.546 </t>
  </si>
  <si>
    <t>C:\Users\andre\Desktop\REACTIV CEFAS\Cefuroxime\Cefuroxime/20201124_Cefas_Test7_Run1/Plate 1/@14/A9_01- exclu.tif</t>
  </si>
  <si>
    <t>C:\Users\andre\Desktop\REACTIV CEFAS\Cefuroxime\Cefuroxime/20201124_Cefas_Test7_Run1/Plate 1/@14/A9_02- exclu.tif</t>
  </si>
  <si>
    <t>C:\Users\andre\Desktop\REACTIV CEFAS\Cefuroxime\Cefuroxime/20201124_Cefas_Test7_Run1/Plate 1/@14/A9_03- exclu.tif</t>
  </si>
  <si>
    <t xml:space="preserve">C:\Users\andre\Desktop\REACTIV CEFAS\Cefuroxime\Cefuroxime/20201124_Cefas_Test7_Run1/Plate 1/@14/B9_01.tif </t>
  </si>
  <si>
    <t xml:space="preserve"> 32358.3224 </t>
  </si>
  <si>
    <t xml:space="preserve"> 35.1364 </t>
  </si>
  <si>
    <t xml:space="preserve">C:\Users\andre\Desktop\REACTIV CEFAS\Cefuroxime\Cefuroxime/20201124_Cefas_Test7_Run1/Plate 1/@14/B9_02.tif </t>
  </si>
  <si>
    <t xml:space="preserve"> 28464.9413 </t>
  </si>
  <si>
    <t xml:space="preserve"> 34.9719 </t>
  </si>
  <si>
    <t xml:space="preserve">C:\Users\andre\Desktop\REACTIV CEFAS\Cefuroxime\Cefuroxime/20201124_Cefas_Test7_Run1/Plate 1/@14/B9_03.tif </t>
  </si>
  <si>
    <t xml:space="preserve"> 29719.4752 </t>
  </si>
  <si>
    <t xml:space="preserve"> 35.2904 </t>
  </si>
  <si>
    <t xml:space="preserve">C:\Users\andre\Desktop\REACTIV CEFAS\Cefuroxime\Cefuroxime/20201124_Cefas_Test7_Run1/Plate 1/@14/C9_01.tif </t>
  </si>
  <si>
    <t xml:space="preserve"> 60693.4843 </t>
  </si>
  <si>
    <t xml:space="preserve"> 45.3564 </t>
  </si>
  <si>
    <t xml:space="preserve">C:\Users\andre\Desktop\REACTIV CEFAS\Cefuroxime\Cefuroxime/20201124_Cefas_Test7_Run1/Plate 1/@14/C9_02.tif </t>
  </si>
  <si>
    <t xml:space="preserve"> 62034.5378 </t>
  </si>
  <si>
    <t xml:space="preserve"> 43.5035 </t>
  </si>
  <si>
    <t xml:space="preserve">C:\Users\andre\Desktop\REACTIV CEFAS\Cefuroxime\Cefuroxime/20201124_Cefas_Test7_Run1/Plate 1/@14/C9_03.tif </t>
  </si>
  <si>
    <t xml:space="preserve"> 59958.0679 </t>
  </si>
  <si>
    <t xml:space="preserve"> 41.2886 </t>
  </si>
  <si>
    <t xml:space="preserve">C:\Users\andre\Desktop\REACTIV CEFAS\Cefuroxime\Cefuroxime/20201124_Cefas_Test7_Run1/Plate 1/@14/D9_01.tif </t>
  </si>
  <si>
    <t xml:space="preserve"> 31536.3864 </t>
  </si>
  <si>
    <t xml:space="preserve"> 46.3532 </t>
  </si>
  <si>
    <t xml:space="preserve">C:\Users\andre\Desktop\REACTIV CEFAS\Cefuroxime\Cefuroxime/20201124_Cefas_Test7_Run1/Plate 1/@14/D9_02.tif </t>
  </si>
  <si>
    <t xml:space="preserve"> 37311.5682 </t>
  </si>
  <si>
    <t xml:space="preserve"> 47.8394 </t>
  </si>
  <si>
    <t xml:space="preserve">C:\Users\andre\Desktop\REACTIV CEFAS\Cefuroxime\Cefuroxime/20201124_Cefas_Test7_Run1/Plate 1/@14/D9_03.tif </t>
  </si>
  <si>
    <t xml:space="preserve"> 35473.0272 </t>
  </si>
  <si>
    <t xml:space="preserve"> 45.914 </t>
  </si>
  <si>
    <t xml:space="preserve">C:\Users\andre\Desktop\REACTIV CEFAS\Cefuroxime\Cefuroxime/20201124_Cefas_Test7_Run1/Plate 1/@14/E9_01.tif </t>
  </si>
  <si>
    <t xml:space="preserve"> 74212.1685 </t>
  </si>
  <si>
    <t xml:space="preserve"> 46.5887 </t>
  </si>
  <si>
    <t>C:\Users\andre\Desktop\REACTIV CEFAS\Cefuroxime\Cefuroxime/20201124_Cefas_Test7_Run1/Plate 1/@14/E9_02- exclu.tif</t>
  </si>
  <si>
    <t>C:\Users\andre\Desktop\REACTIV CEFAS\Cefuroxime\Cefuroxime/20201124_Cefas_Test7_Run1/Plate 1/@14/E9_03- exclu.tif</t>
  </si>
  <si>
    <t xml:space="preserve">C:\Users\andre\Desktop\REACTIV CEFAS\Cefuroxime\Cefuroxime/20201124_Cefas_Test7_Run1/Plate 1/@14/F9_01.tif </t>
  </si>
  <si>
    <t xml:space="preserve"> 41096.7998 </t>
  </si>
  <si>
    <t xml:space="preserve"> 39.4295 </t>
  </si>
  <si>
    <t xml:space="preserve">C:\Users\andre\Desktop\REACTIV CEFAS\Cefuroxime\Cefuroxime/20201124_Cefas_Test7_Run1/Plate 1/@14/F9_02.tif </t>
  </si>
  <si>
    <t xml:space="preserve"> 28551.4609 </t>
  </si>
  <si>
    <t xml:space="preserve"> 39.7068 </t>
  </si>
  <si>
    <t xml:space="preserve">C:\Users\andre\Desktop\REACTIV CEFAS\Cefuroxime\Cefuroxime/20201124_Cefas_Test7_Run1/Plate 1/@14/F9_03.tif </t>
  </si>
  <si>
    <t xml:space="preserve"> 28118.863 </t>
  </si>
  <si>
    <t xml:space="preserve"> 39.9131 </t>
  </si>
  <si>
    <t xml:space="preserve">C:\Users\andre\Desktop\REACTIV CEFAS\Cefuroxime\Cefuroxime/20201124_Cefas_Test7_Run1/Plate 1/@14/G9_01.tif </t>
  </si>
  <si>
    <t xml:space="preserve"> 4131.3099 </t>
  </si>
  <si>
    <t xml:space="preserve"> 39.4555 </t>
  </si>
  <si>
    <t xml:space="preserve">C:\Users\andre\Desktop\REACTIV CEFAS\Cefuroxime\Cefuroxime/20201124_Cefas_Test7_Run1/Plate 1/@14/G9_02.tif </t>
  </si>
  <si>
    <t xml:space="preserve">C:\Users\andre\Desktop\REACTIV CEFAS\Cefuroxime\Cefuroxime/20201124_Cefas_Test7_Run1/Plate 1/@14/G9_03.tif </t>
  </si>
  <si>
    <t xml:space="preserve"> 3763.6017 </t>
  </si>
  <si>
    <t xml:space="preserve"> 39.6092 </t>
  </si>
  <si>
    <t xml:space="preserve">C:\Users\andre\Desktop\REACTIV CEFAS\Cefuroxime\Cefuroxime/20201124_Cefas_Test7_Run1/Plate 1/@14/H9_01.tif </t>
  </si>
  <si>
    <t xml:space="preserve"> 25782.8344 </t>
  </si>
  <si>
    <t xml:space="preserve"> 36.0319 </t>
  </si>
  <si>
    <t xml:space="preserve">C:\Users\andre\Desktop\REACTIV CEFAS\Cefuroxime\Cefuroxime/20201124_Cefas_Test7_Run1/Plate 1/@14/H9_02.tif </t>
  </si>
  <si>
    <t xml:space="preserve"> 25847.7241 </t>
  </si>
  <si>
    <t xml:space="preserve"> 35.954 </t>
  </si>
  <si>
    <t xml:space="preserve">C:\Users\andre\Desktop\REACTIV CEFAS\Cefuroxime\Cefuroxime/20201124_Cefas_Test7_Run1/Plate 1/@14/H9_03.tif </t>
  </si>
  <si>
    <t xml:space="preserve"> 27816.0445 </t>
  </si>
  <si>
    <t xml:space="preserve"> 36.0723 </t>
  </si>
  <si>
    <t xml:space="preserve">C:\Users\andre\Desktop\REACTIV CEFAS\Cefuroxime\Cefuroxime/20201124_Cefas_Test7_Run1/Plate 1/@14/ </t>
  </si>
  <si>
    <t xml:space="preserve"> 39.8268 </t>
  </si>
  <si>
    <t xml:space="preserve"> 10.0395 </t>
  </si>
  <si>
    <t xml:space="preserve"> 1429516.17 </t>
  </si>
  <si>
    <t xml:space="preserve"> 978282.246 </t>
  </si>
  <si>
    <t xml:space="preserve">C:\Users\andre\Desktop\REACTIV CEFAS\Cefuroxime\Cefuroxime/20201124_Cefas_Test7_Run1/Plate 1/@15/A11_01.tif </t>
  </si>
  <si>
    <t xml:space="preserve"> 72114.0687 </t>
  </si>
  <si>
    <t xml:space="preserve"> 50.0033 </t>
  </si>
  <si>
    <t xml:space="preserve">C:\Users\andre\Desktop\REACTIV CEFAS\Cefuroxime\Cefuroxime/20201124_Cefas_Test7_Run1/Plate 1/@15/A11_02.tif </t>
  </si>
  <si>
    <t xml:space="preserve"> 73909.3499 </t>
  </si>
  <si>
    <t xml:space="preserve"> 52.0421 </t>
  </si>
  <si>
    <t xml:space="preserve">C:\Users\andre\Desktop\REACTIV CEFAS\Cefuroxime\Cefuroxime/20201124_Cefas_Test7_Run1/Plate 1/@15/A11_03.tif </t>
  </si>
  <si>
    <t xml:space="preserve"> 62705.0645 </t>
  </si>
  <si>
    <t xml:space="preserve"> 51.4232 </t>
  </si>
  <si>
    <t xml:space="preserve">C:\Users\andre\Desktop\REACTIV CEFAS\Cefuroxime\Cefuroxime/20201124_Cefas_Test7_Run1/Plate 1/@15/B11_01.tif </t>
  </si>
  <si>
    <t xml:space="preserve"> 70124.1184 </t>
  </si>
  <si>
    <t xml:space="preserve"> 51.0074 </t>
  </si>
  <si>
    <t xml:space="preserve">C:\Users\andre\Desktop\REACTIV CEFAS\Cefuroxime\Cefuroxime/20201124_Cefas_Test7_Run1/Plate 1/@15/B11_02.tif </t>
  </si>
  <si>
    <t xml:space="preserve"> 76418.4177 </t>
  </si>
  <si>
    <t xml:space="preserve"> 48.9901 </t>
  </si>
  <si>
    <t xml:space="preserve">C:\Users\andre\Desktop\REACTIV CEFAS\Cefuroxime\Cefuroxime/20201124_Cefas_Test7_Run1/Plate 1/@15/B11_03.tif </t>
  </si>
  <si>
    <t xml:space="preserve"> 80073.8699 </t>
  </si>
  <si>
    <t xml:space="preserve"> 55.6545 </t>
  </si>
  <si>
    <t xml:space="preserve">C:\Users\andre\Desktop\REACTIV CEFAS\Cefuroxime\Cefuroxime/20201124_Cefas_Test7_Run1/Plate 1/@15/C11_01.tif </t>
  </si>
  <si>
    <t xml:space="preserve"> 60563.705 </t>
  </si>
  <si>
    <t xml:space="preserve"> 48.7568 </t>
  </si>
  <si>
    <t xml:space="preserve">C:\Users\andre\Desktop\REACTIV CEFAS\Cefuroxime\Cefuroxime/20201124_Cefas_Test7_Run1/Plate 1/@15/C11_02.tif </t>
  </si>
  <si>
    <t xml:space="preserve"> 48.3135 </t>
  </si>
  <si>
    <t xml:space="preserve">C:\Users\andre\Desktop\REACTIV CEFAS\Cefuroxime\Cefuroxime/20201124_Cefas_Test7_Run1/Plate 1/@15/C11_03.tif </t>
  </si>
  <si>
    <t xml:space="preserve"> 63137.6624 </t>
  </si>
  <si>
    <t xml:space="preserve"> 47.0935 </t>
  </si>
  <si>
    <t>C:\Users\andre\Desktop\REACTIV CEFAS\Cefuroxime\Cefuroxime/20201124_Cefas_Test7_Run1/Plate 1/@15/D11_01- exclu.tif</t>
  </si>
  <si>
    <t xml:space="preserve">C:\Users\andre\Desktop\REACTIV CEFAS\Cefuroxime\Cefuroxime/20201124_Cefas_Test7_Run1/Plate 1/@15/D11_02.tif </t>
  </si>
  <si>
    <t xml:space="preserve"> 55221.121 </t>
  </si>
  <si>
    <t xml:space="preserve"> 47.8888 </t>
  </si>
  <si>
    <t xml:space="preserve">C:\Users\andre\Desktop\REACTIV CEFAS\Cefuroxime\Cefuroxime/20201124_Cefas_Test7_Run1/Plate 1/@15/D11_03.tif </t>
  </si>
  <si>
    <t xml:space="preserve"> 43.7994 </t>
  </si>
  <si>
    <t xml:space="preserve">C:\Users\andre\Desktop\REACTIV CEFAS\Cefuroxime\Cefuroxime/20201124_Cefas_Test7_Run1/Plate 1/@15/E11_01.tif </t>
  </si>
  <si>
    <t xml:space="preserve"> 73282.083 </t>
  </si>
  <si>
    <t xml:space="preserve"> 55.0732 </t>
  </si>
  <si>
    <t xml:space="preserve">C:\Users\andre\Desktop\REACTIV CEFAS\Cefuroxime\Cefuroxime/20201124_Cefas_Test7_Run1/Plate 1/@15/E11_02.tif </t>
  </si>
  <si>
    <t xml:space="preserve"> 76634.7167 </t>
  </si>
  <si>
    <t xml:space="preserve"> 56.2904 </t>
  </si>
  <si>
    <t xml:space="preserve">C:\Users\andre\Desktop\REACTIV CEFAS\Cefuroxime\Cefuroxime/20201124_Cefas_Test7_Run1/Plate 1/@15/E11_03.tif </t>
  </si>
  <si>
    <t xml:space="preserve"> 87190.1052 </t>
  </si>
  <si>
    <t xml:space="preserve"> 51.7948 </t>
  </si>
  <si>
    <t xml:space="preserve">C:\Users\andre\Desktop\REACTIV CEFAS\Cefuroxime\Cefuroxime/20201124_Cefas_Test7_Run1/Plate 1/@15/F11_01.tif </t>
  </si>
  <si>
    <t xml:space="preserve"> 75899.3003 </t>
  </si>
  <si>
    <t xml:space="preserve"> 46.9364 </t>
  </si>
  <si>
    <t xml:space="preserve">C:\Users\andre\Desktop\REACTIV CEFAS\Cefuroxime\Cefuroxime/20201124_Cefas_Test7_Run1/Plate 1/@15/F11_02.tif </t>
  </si>
  <si>
    <t xml:space="preserve"> 70643.2359 </t>
  </si>
  <si>
    <t xml:space="preserve"> 45.9198 </t>
  </si>
  <si>
    <t xml:space="preserve">C:\Users\andre\Desktop\REACTIV CEFAS\Cefuroxime\Cefuroxime/20201124_Cefas_Test7_Run1/Plate 1/@15/F11_03.tif </t>
  </si>
  <si>
    <t xml:space="preserve"> 68458.6165 </t>
  </si>
  <si>
    <t xml:space="preserve"> 46.0821 </t>
  </si>
  <si>
    <t xml:space="preserve">C:\Users\andre\Desktop\REACTIV CEFAS\Cefuroxime\Cefuroxime/20201124_Cefas_Test7_Run1/Plate 1/@15/G11_01.tif </t>
  </si>
  <si>
    <t xml:space="preserve"> 83750.952 </t>
  </si>
  <si>
    <t xml:space="preserve"> 51.0953 </t>
  </si>
  <si>
    <t xml:space="preserve">C:\Users\andre\Desktop\REACTIV CEFAS\Cefuroxime\Cefuroxime/20201124_Cefas_Test7_Run1/Plate 1/@15/G11_02.tif </t>
  </si>
  <si>
    <t xml:space="preserve"> 83102.0552 </t>
  </si>
  <si>
    <t xml:space="preserve"> 55.1996 </t>
  </si>
  <si>
    <t xml:space="preserve">C:\Users\andre\Desktop\REACTIV CEFAS\Cefuroxime\Cefuroxime/20201124_Cefas_Test7_Run1/Plate 1/@15/G11_03.tif </t>
  </si>
  <si>
    <t xml:space="preserve"> 80030.6101 </t>
  </si>
  <si>
    <t xml:space="preserve"> 55.4376 </t>
  </si>
  <si>
    <t xml:space="preserve">C:\Users\andre\Desktop\REACTIV CEFAS\Cefuroxime\Cefuroxime/20201124_Cefas_Test7_Run1/Plate 1/@15/H11_01.tif </t>
  </si>
  <si>
    <t xml:space="preserve"> 58206.0464 </t>
  </si>
  <si>
    <t xml:space="preserve"> 44.9647 </t>
  </si>
  <si>
    <t xml:space="preserve">C:\Users\andre\Desktop\REACTIV CEFAS\Cefuroxime\Cefuroxime/20201124_Cefas_Test7_Run1/Plate 1/@15/H11_02.tif </t>
  </si>
  <si>
    <t xml:space="preserve"> 48688.8928 </t>
  </si>
  <si>
    <t xml:space="preserve"> 45.7006 </t>
  </si>
  <si>
    <t xml:space="preserve">C:\Users\andre\Desktop\REACTIV CEFAS\Cefuroxime\Cefuroxime/20201124_Cefas_Test7_Run1/Plate 1/@15/H11_03.tif </t>
  </si>
  <si>
    <t xml:space="preserve"> 45314.6292 </t>
  </si>
  <si>
    <t xml:space="preserve"> 45.1819 </t>
  </si>
  <si>
    <t xml:space="preserve">C:\Users\andre\Desktop\REACTIV CEFAS\Cefuroxime\Cefuroxime/20201124_Cefas_Test7_Run1/Plate 1/@15/ </t>
  </si>
  <si>
    <t xml:space="preserve"> 49.5078 </t>
  </si>
  <si>
    <t xml:space="preserve"> 3.9927 </t>
  </si>
  <si>
    <t xml:space="preserve"> 3423853.67 </t>
  </si>
  <si>
    <t xml:space="preserve"> 772212.941 </t>
  </si>
  <si>
    <t xml:space="preserve">C:\Users\andre\Desktop\REACTIV CEFAS\Cefuroxime\Cefuroxime/20201124_Cefas_Test7_Run1/Plate 1/@16/A12_01.tif </t>
  </si>
  <si>
    <t xml:space="preserve">C:\Users\andre\Desktop\REACTIV CEFAS\Cefuroxime\Cefuroxime/20201124_Cefas_Test7_Run1/Plate 1/@16/A12_02.tif </t>
  </si>
  <si>
    <t xml:space="preserve">C:\Users\andre\Desktop\REACTIV CEFAS\Cefuroxime\Cefuroxime/20201124_Cefas_Test7_Run1/Plate 1/@16/A12_03.tif </t>
  </si>
  <si>
    <t xml:space="preserve"> 21.6299 </t>
  </si>
  <si>
    <t xml:space="preserve">C:\Users\andre\Desktop\REACTIV CEFAS\Cefuroxime\Cefuroxime/20201124_Cefas_Test7_Run1/Plate 1/@16/B12_01.tif </t>
  </si>
  <si>
    <t xml:space="preserve"> 346.0783 </t>
  </si>
  <si>
    <t xml:space="preserve"> 30.75 </t>
  </si>
  <si>
    <t xml:space="preserve">C:\Users\andre\Desktop\REACTIV CEFAS\Cefuroxime\Cefuroxime/20201124_Cefas_Test7_Run1/Plate 1/@16/B12_02.tif </t>
  </si>
  <si>
    <t xml:space="preserve"> 3828.4913 </t>
  </si>
  <si>
    <t xml:space="preserve"> 36.5537 </t>
  </si>
  <si>
    <t xml:space="preserve">C:\Users\andre\Desktop\REACTIV CEFAS\Cefuroxime\Cefuroxime/20201124_Cefas_Test7_Run1/Plate 1/@16/B12_03.tif </t>
  </si>
  <si>
    <t xml:space="preserve"> 36.8684 </t>
  </si>
  <si>
    <t xml:space="preserve">C:\Users\andre\Desktop\REACTIV CEFAS\Cefuroxime\Cefuroxime/20201124_Cefas_Test7_Run1/Plate 1/@16/C12_01.tif </t>
  </si>
  <si>
    <t xml:space="preserve"> 3936.6408 </t>
  </si>
  <si>
    <t xml:space="preserve"> 35.3681 </t>
  </si>
  <si>
    <t xml:space="preserve">C:\Users\andre\Desktop\REACTIV CEFAS\Cefuroxime\Cefuroxime/20201124_Cefas_Test7_Run1/Plate 1/@16/C12_02.tif </t>
  </si>
  <si>
    <t xml:space="preserve"> 6013.1107 </t>
  </si>
  <si>
    <t xml:space="preserve"> 40.4532 </t>
  </si>
  <si>
    <t xml:space="preserve">C:\Users\andre\Desktop\REACTIV CEFAS\Cefuroxime\Cefuroxime/20201124_Cefas_Test7_Run1/Plate 1/@16/C12_03.tif </t>
  </si>
  <si>
    <t xml:space="preserve"> 5039.7654 </t>
  </si>
  <si>
    <t xml:space="preserve"> 36.6738 </t>
  </si>
  <si>
    <t xml:space="preserve">C:\Users\andre\Desktop\REACTIV CEFAS\Cefuroxime\Cefuroxime/20201124_Cefas_Test7_Run1/Plate 1/@16/D12_01.tif </t>
  </si>
  <si>
    <t xml:space="preserve"> 4628.7975 </t>
  </si>
  <si>
    <t xml:space="preserve"> 33.4579 </t>
  </si>
  <si>
    <t xml:space="preserve">C:\Users\andre\Desktop\REACTIV CEFAS\Cefuroxime\Cefuroxime/20201124_Cefas_Test7_Run1/Plate 1/@16/D12_02.tif </t>
  </si>
  <si>
    <t xml:space="preserve"> 8998.0362 </t>
  </si>
  <si>
    <t xml:space="preserve"> 41.3558 </t>
  </si>
  <si>
    <t xml:space="preserve">C:\Users\andre\Desktop\REACTIV CEFAS\Cefuroxime\Cefuroxime/20201124_Cefas_Test7_Run1/Plate 1/@16/D12_03.tif </t>
  </si>
  <si>
    <t xml:space="preserve"> 6186.1499 </t>
  </si>
  <si>
    <t xml:space="preserve"> 34.3881 </t>
  </si>
  <si>
    <t xml:space="preserve">C:\Users\andre\Desktop\REACTIV CEFAS\Cefuroxime\Cefuroxime/20201124_Cefas_Test7_Run1/Plate 1/@16/E12_01.tif </t>
  </si>
  <si>
    <t xml:space="preserve"> 540.7474 </t>
  </si>
  <si>
    <t xml:space="preserve"> 32.88 </t>
  </si>
  <si>
    <t xml:space="preserve">C:\Users\andre\Desktop\REACTIV CEFAS\Cefuroxime\Cefuroxime/20201124_Cefas_Test7_Run1/Plate 1/@16/E12_02.tif </t>
  </si>
  <si>
    <t xml:space="preserve"> 4239.4593 </t>
  </si>
  <si>
    <t xml:space="preserve"> 37.8724 </t>
  </si>
  <si>
    <t xml:space="preserve">C:\Users\andre\Desktop\REACTIV CEFAS\Cefuroxime\Cefuroxime/20201124_Cefas_Test7_Run1/Plate 1/@16/E12_03.tif </t>
  </si>
  <si>
    <t xml:space="preserve"> 3633.8223 </t>
  </si>
  <si>
    <t xml:space="preserve"> 37.7857 </t>
  </si>
  <si>
    <t xml:space="preserve">C:\Users\andre\Desktop\REACTIV CEFAS\Cefuroxime\Cefuroxime/20201124_Cefas_Test7_Run1/Plate 1/@16/F12_01.tif </t>
  </si>
  <si>
    <t xml:space="preserve"> 9365.7444 </t>
  </si>
  <si>
    <t xml:space="preserve"> 43.2771 </t>
  </si>
  <si>
    <t xml:space="preserve">C:\Users\andre\Desktop\REACTIV CEFAS\Cefuroxime\Cefuroxime/20201124_Cefas_Test7_Run1/Plate 1/@16/F12_02.tif </t>
  </si>
  <si>
    <t xml:space="preserve"> 5385.8438 </t>
  </si>
  <si>
    <t xml:space="preserve"> 44.502 </t>
  </si>
  <si>
    <t xml:space="preserve">C:\Users\andre\Desktop\REACTIV CEFAS\Cefuroxime\Cefuroxime/20201124_Cefas_Test7_Run1/Plate 1/@16/F12_03.tif </t>
  </si>
  <si>
    <t xml:space="preserve"> 5299.3242 </t>
  </si>
  <si>
    <t xml:space="preserve"> 40.5102 </t>
  </si>
  <si>
    <t xml:space="preserve">C:\Users\andre\Desktop\REACTIV CEFAS\Cefuroxime\Cefuroxime/20201124_Cefas_Test7_Run1/Plate 1/@16/G12_01.tif </t>
  </si>
  <si>
    <t xml:space="preserve"> 8565.4383 </t>
  </si>
  <si>
    <t xml:space="preserve"> 42.9318 </t>
  </si>
  <si>
    <t xml:space="preserve">C:\Users\andre\Desktop\REACTIV CEFAS\Cefuroxime\Cefuroxime/20201124_Cefas_Test7_Run1/Plate 1/@16/G12_02.tif </t>
  </si>
  <si>
    <t xml:space="preserve"> 8803.3671 </t>
  </si>
  <si>
    <t xml:space="preserve"> 38.3514 </t>
  </si>
  <si>
    <t xml:space="preserve">C:\Users\andre\Desktop\REACTIV CEFAS\Cefuroxime\Cefuroxime/20201124_Cefas_Test7_Run1/Plate 1/@16/G12_03.tif </t>
  </si>
  <si>
    <t xml:space="preserve"> 5126.285 </t>
  </si>
  <si>
    <t xml:space="preserve"> 37.2532 </t>
  </si>
  <si>
    <t xml:space="preserve">C:\Users\andre\Desktop\REACTIV CEFAS\Cefuroxime\Cefuroxime/20201124_Cefas_Test7_Run1/Plate 1/@16/H12_01.tif </t>
  </si>
  <si>
    <t xml:space="preserve"> 4736.9469 </t>
  </si>
  <si>
    <t xml:space="preserve"> 37.3288 </t>
  </si>
  <si>
    <t xml:space="preserve">C:\Users\andre\Desktop\REACTIV CEFAS\Cefuroxime\Cefuroxime/20201124_Cefas_Test7_Run1/Plate 1/@16/H12_02.tif </t>
  </si>
  <si>
    <t xml:space="preserve"> 12112.741 </t>
  </si>
  <si>
    <t xml:space="preserve"> 34.3804 </t>
  </si>
  <si>
    <t xml:space="preserve">C:\Users\andre\Desktop\REACTIV CEFAS\Cefuroxime\Cefuroxime/20201124_Cefas_Test7_Run1/Plate 1/@16/H12_03.tif </t>
  </si>
  <si>
    <t xml:space="preserve"> 33.5887 </t>
  </si>
  <si>
    <t xml:space="preserve">C:\Users\andre\Desktop\REACTIV CEFAS\Cefuroxime\Cefuroxime/20201124_Cefas_Test7_Run1/Plate 1/@16/ </t>
  </si>
  <si>
    <t xml:space="preserve"> 34.0221 </t>
  </si>
  <si>
    <t xml:space="preserve"> 11.1287 </t>
  </si>
  <si>
    <t xml:space="preserve"> 183643.25 </t>
  </si>
  <si>
    <t xml:space="preserve"> 128100.657 </t>
  </si>
  <si>
    <t xml:space="preserve">C:\Users\andre\Desktop\REACTIV CEFAS\Cefuroxime\Cefuroxime/20201124_Cefas_Test7_Run1/Plate 1/@2/A2_01.tif </t>
  </si>
  <si>
    <t xml:space="preserve"> 886.8257 </t>
  </si>
  <si>
    <t xml:space="preserve"> 34.5122 </t>
  </si>
  <si>
    <t xml:space="preserve">C:\Users\andre\Desktop\REACTIV CEFAS\Cefuroxime\Cefuroxime/20201124_Cefas_Test7_Run1/Plate 1/@2/A2_02.tif </t>
  </si>
  <si>
    <t xml:space="preserve"> 973.3453 </t>
  </si>
  <si>
    <t xml:space="preserve"> 32.4222 </t>
  </si>
  <si>
    <t xml:space="preserve">C:\Users\andre\Desktop\REACTIV CEFAS\Cefuroxime\Cefuroxime/20201124_Cefas_Test7_Run1/Plate 1/@2/A2_03.tif </t>
  </si>
  <si>
    <t xml:space="preserve"> 32.1781 </t>
  </si>
  <si>
    <t xml:space="preserve">C:\Users\andre\Desktop\REACTIV CEFAS\Cefuroxime\Cefuroxime/20201124_Cefas_Test7_Run1/Plate 1/@2/B2_01.tif </t>
  </si>
  <si>
    <t xml:space="preserve"> 5948.221 </t>
  </si>
  <si>
    <t xml:space="preserve"> 39.36 </t>
  </si>
  <si>
    <t xml:space="preserve">C:\Users\andre\Desktop\REACTIV CEFAS\Cefuroxime\Cefuroxime/20201124_Cefas_Test7_Run1/Plate 1/@2/B2_02.tif </t>
  </si>
  <si>
    <t xml:space="preserve"> 10144.4206 </t>
  </si>
  <si>
    <t xml:space="preserve"> 41.9957 </t>
  </si>
  <si>
    <t xml:space="preserve">C:\Users\andre\Desktop\REACTIV CEFAS\Cefuroxime\Cefuroxime/20201124_Cefas_Test7_Run1/Plate 1/@2/B2_03.tif </t>
  </si>
  <si>
    <t xml:space="preserve"> 9171.0753 </t>
  </si>
  <si>
    <t xml:space="preserve"> 40.5778 </t>
  </si>
  <si>
    <t xml:space="preserve">C:\Users\andre\Desktop\REACTIV CEFAS\Cefuroxime\Cefuroxime/20201124_Cefas_Test7_Run1/Plate 1/@2/C2_01.tif </t>
  </si>
  <si>
    <t xml:space="preserve"> 8435.6589 </t>
  </si>
  <si>
    <t xml:space="preserve"> 38.9154 </t>
  </si>
  <si>
    <t xml:space="preserve">C:\Users\andre\Desktop\REACTIV CEFAS\Cefuroxime\Cefuroxime/20201124_Cefas_Test7_Run1/Plate 1/@2/C2_02.tif </t>
  </si>
  <si>
    <t xml:space="preserve"> 10555.3886 </t>
  </si>
  <si>
    <t xml:space="preserve"> 41.6107 </t>
  </si>
  <si>
    <t xml:space="preserve">C:\Users\andre\Desktop\REACTIV CEFAS\Cefuroxime\Cefuroxime/20201124_Cefas_Test7_Run1/Plate 1/@2/C2_03.tif </t>
  </si>
  <si>
    <t xml:space="preserve"> 9884.8618 </t>
  </si>
  <si>
    <t xml:space="preserve"> 41.221 </t>
  </si>
  <si>
    <t xml:space="preserve">C:\Users\andre\Desktop\REACTIV CEFAS\Cefuroxime\Cefuroxime/20201124_Cefas_Test7_Run1/Plate 1/@2/D2_01.tif </t>
  </si>
  <si>
    <t xml:space="preserve"> 2465.808 </t>
  </si>
  <si>
    <t xml:space="preserve"> 32.8596 </t>
  </si>
  <si>
    <t>C:\Users\andre\Desktop\REACTIV CEFAS\Cefuroxime\Cefuroxime/20201124_Cefas_Test7_Run1/Plate 1/@2/D2_02- exclu.tif</t>
  </si>
  <si>
    <t>C:\Users\andre\Desktop\REACTIV CEFAS\Cefuroxime\Cefuroxime/20201124_Cefas_Test7_Run1/Plate 1/@2/D2_03- exclu.tif</t>
  </si>
  <si>
    <t xml:space="preserve">C:\Users\andre\Desktop\REACTIV CEFAS\Cefuroxime\Cefuroxime/20201124_Cefas_Test7_Run1/Plate 1/@2/E2_01.tif </t>
  </si>
  <si>
    <t xml:space="preserve"> 3395.8935 </t>
  </si>
  <si>
    <t xml:space="preserve"> 31.5287 </t>
  </si>
  <si>
    <t xml:space="preserve">C:\Users\andre\Desktop\REACTIV CEFAS\Cefuroxime\Cefuroxime/20201124_Cefas_Test7_Run1/Plate 1/@2/E2_02.tif </t>
  </si>
  <si>
    <t xml:space="preserve"> 7267.6446 </t>
  </si>
  <si>
    <t xml:space="preserve"> 37.1071 </t>
  </si>
  <si>
    <t xml:space="preserve">C:\Users\andre\Desktop\REACTIV CEFAS\Cefuroxime\Cefuroxime/20201124_Cefas_Test7_Run1/Plate 1/@2/E2_03.tif </t>
  </si>
  <si>
    <t xml:space="preserve"> 37.4776 </t>
  </si>
  <si>
    <t xml:space="preserve">C:\Users\andre\Desktop\REACTIV CEFAS\Cefuroxime\Cefuroxime/20201124_Cefas_Test7_Run1/Plate 1/@2/F2_01.tif </t>
  </si>
  <si>
    <t xml:space="preserve"> 2076.4699 </t>
  </si>
  <si>
    <t xml:space="preserve"> 34.1875 </t>
  </si>
  <si>
    <t xml:space="preserve">C:\Users\andre\Desktop\REACTIV CEFAS\Cefuroxime\Cefuroxime/20201124_Cefas_Test7_Run1/Plate 1/@2/F2_02.tif </t>
  </si>
  <si>
    <t xml:space="preserve"> 33.1418 </t>
  </si>
  <si>
    <t xml:space="preserve">C:\Users\andre\Desktop\REACTIV CEFAS\Cefuroxime\Cefuroxime/20201124_Cefas_Test7_Run1/Plate 1/@2/F2_03.tif </t>
  </si>
  <si>
    <t xml:space="preserve"> 4542.2779 </t>
  </si>
  <si>
    <t xml:space="preserve"> 33.1381 </t>
  </si>
  <si>
    <t xml:space="preserve">C:\Users\andre\Desktop\REACTIV CEFAS\Cefuroxime\Cefuroxime/20201124_Cefas_Test7_Run1/Plate 1/@2/G2_01.tif </t>
  </si>
  <si>
    <t xml:space="preserve"> 6056.3705 </t>
  </si>
  <si>
    <t xml:space="preserve"> 39.5929 </t>
  </si>
  <si>
    <t xml:space="preserve">C:\Users\andre\Desktop\REACTIV CEFAS\Cefuroxime\Cefuroxime/20201124_Cefas_Test7_Run1/Plate 1/@2/G2_02.tif </t>
  </si>
  <si>
    <t xml:space="preserve"> 5191.1747 </t>
  </si>
  <si>
    <t xml:space="preserve"> 36.4458 </t>
  </si>
  <si>
    <t xml:space="preserve">C:\Users\andre\Desktop\REACTIV CEFAS\Cefuroxime\Cefuroxime/20201124_Cefas_Test7_Run1/Plate 1/@2/G2_03.tif </t>
  </si>
  <si>
    <t xml:space="preserve"> 4715.317 </t>
  </si>
  <si>
    <t xml:space="preserve"> 34.7156 </t>
  </si>
  <si>
    <t xml:space="preserve">C:\Users\andre\Desktop\REACTIV CEFAS\Cefuroxime\Cefuroxime/20201124_Cefas_Test7_Run1/Plate 1/@2/H2_01.tif </t>
  </si>
  <si>
    <t xml:space="preserve"> 2162.9895 </t>
  </si>
  <si>
    <t xml:space="preserve"> 36.81 </t>
  </si>
  <si>
    <t xml:space="preserve">C:\Users\andre\Desktop\REACTIV CEFAS\Cefuroxime\Cefuroxime/20201124_Cefas_Test7_Run1/Plate 1/@2/H2_02.tif </t>
  </si>
  <si>
    <t xml:space="preserve"> 4455.7583 </t>
  </si>
  <si>
    <t xml:space="preserve"> 39.7864 </t>
  </si>
  <si>
    <t xml:space="preserve">C:\Users\andre\Desktop\REACTIV CEFAS\Cefuroxime\Cefuroxime/20201124_Cefas_Test7_Run1/Plate 1/@2/H2_03.tif </t>
  </si>
  <si>
    <t xml:space="preserve"> 2400.9183 </t>
  </si>
  <si>
    <t xml:space="preserve"> 35.3243 </t>
  </si>
  <si>
    <t xml:space="preserve">C:\Users\andre\Desktop\REACTIV CEFAS\Cefuroxime\Cefuroxime/20201124_Cefas_Test7_Run1/Plate 1/@2/ </t>
  </si>
  <si>
    <t xml:space="preserve"> 36.3657 </t>
  </si>
  <si>
    <t xml:space="preserve"> 3.3232 </t>
  </si>
  <si>
    <t xml:space="preserve"> 194740.25 </t>
  </si>
  <si>
    <t xml:space="preserve"> 128360.634 </t>
  </si>
  <si>
    <t xml:space="preserve">C:\Users\andre\Desktop\REACTIV CEFAS\Cefuroxime\Cefuroxime/20201124_Cefas_Test7_Run1/Plate 1/@3/A3_01.tif </t>
  </si>
  <si>
    <t xml:space="preserve"> 584.0072 </t>
  </si>
  <si>
    <t xml:space="preserve">C:\Users\andre\Desktop\REACTIV CEFAS\Cefuroxime\Cefuroxime/20201124_Cefas_Test7_Run1/Plate 1/@3/A3_02.tif </t>
  </si>
  <si>
    <t xml:space="preserve"> 2855.1461 </t>
  </si>
  <si>
    <t xml:space="preserve"> 31.8106 </t>
  </si>
  <si>
    <t xml:space="preserve">C:\Users\andre\Desktop\REACTIV CEFAS\Cefuroxime\Cefuroxime/20201124_Cefas_Test7_Run1/Plate 1/@3/A3_03.tif </t>
  </si>
  <si>
    <t xml:space="preserve"> 670.5267 </t>
  </si>
  <si>
    <t xml:space="preserve"> 32.2258 </t>
  </si>
  <si>
    <t xml:space="preserve">C:\Users\andre\Desktop\REACTIV CEFAS\Cefuroxime\Cefuroxime/20201124_Cefas_Test7_Run1/Plate 1/@3/B3_01.tif </t>
  </si>
  <si>
    <t xml:space="preserve"> 31.3333 </t>
  </si>
  <si>
    <t xml:space="preserve">C:\Users\andre\Desktop\REACTIV CEFAS\Cefuroxime\Cefuroxime/20201124_Cefas_Test7_Run1/Plate 1/@3/B3_02.tif </t>
  </si>
  <si>
    <t xml:space="preserve"> 259.5587 </t>
  </si>
  <si>
    <t xml:space="preserve"> 30.4167 </t>
  </si>
  <si>
    <t xml:space="preserve">C:\Users\andre\Desktop\REACTIV CEFAS\Cefuroxime\Cefuroxime/20201124_Cefas_Test7_Run1/Plate 1/@3/B3_03.tif </t>
  </si>
  <si>
    <t xml:space="preserve"> 3309.3739 </t>
  </si>
  <si>
    <t xml:space="preserve"> 35.5948 </t>
  </si>
  <si>
    <t xml:space="preserve">C:\Users\andre\Desktop\REACTIV CEFAS\Cefuroxime\Cefuroxime/20201124_Cefas_Test7_Run1/Plate 1/@3/C3_01.tif </t>
  </si>
  <si>
    <t xml:space="preserve"> 2314.3987 </t>
  </si>
  <si>
    <t xml:space="preserve"> 35.4206 </t>
  </si>
  <si>
    <t xml:space="preserve">C:\Users\andre\Desktop\REACTIV CEFAS\Cefuroxime\Cefuroxime/20201124_Cefas_Test7_Run1/Plate 1/@3/C3_02.tif </t>
  </si>
  <si>
    <t xml:space="preserve"> 4953.2459 </t>
  </si>
  <si>
    <t xml:space="preserve"> 39.0175 </t>
  </si>
  <si>
    <t xml:space="preserve">C:\Users\andre\Desktop\REACTIV CEFAS\Cefuroxime\Cefuroxime/20201124_Cefas_Test7_Run1/Plate 1/@3/C3_03.tif </t>
  </si>
  <si>
    <t xml:space="preserve"> 31.7778 </t>
  </si>
  <si>
    <t xml:space="preserve">C:\Users\andre\Desktop\REACTIV CEFAS\Cefuroxime\Cefuroxime/20201124_Cefas_Test7_Run1/Plate 1/@3/D3_01.tif </t>
  </si>
  <si>
    <t xml:space="preserve"> 1622.2421 </t>
  </si>
  <si>
    <t xml:space="preserve"> 32.24 </t>
  </si>
  <si>
    <t xml:space="preserve">C:\Users\andre\Desktop\REACTIV CEFAS\Cefuroxime\Cefuroxime/20201124_Cefas_Test7_Run1/Plate 1/@3/D3_02.tif </t>
  </si>
  <si>
    <t xml:space="preserve"> 1016.605 </t>
  </si>
  <si>
    <t xml:space="preserve"> 32.1277 </t>
  </si>
  <si>
    <t xml:space="preserve">C:\Users\andre\Desktop\REACTIV CEFAS\Cefuroxime\Cefuroxime/20201124_Cefas_Test7_Run1/Plate 1/@3/D3_03.tif </t>
  </si>
  <si>
    <t xml:space="preserve"> 33.1733 </t>
  </si>
  <si>
    <t xml:space="preserve">C:\Users\andre\Desktop\REACTIV CEFAS\Cefuroxime\Cefuroxime/20201124_Cefas_Test7_Run1/Plate 1/@3/E3_01.tif </t>
  </si>
  <si>
    <t xml:space="preserve">C:\Users\andre\Desktop\REACTIV CEFAS\Cefuroxime\Cefuroxime/20201124_Cefas_Test7_Run1/Plate 1/@3/E3_02.tif </t>
  </si>
  <si>
    <t xml:space="preserve">C:\Users\andre\Desktop\REACTIV CEFAS\Cefuroxime\Cefuroxime/20201124_Cefas_Test7_Run1/Plate 1/@3/E3_03.tif </t>
  </si>
  <si>
    <t xml:space="preserve">C:\Users\andre\Desktop\REACTIV CEFAS\Cefuroxime\Cefuroxime/20201124_Cefas_Test7_Run1/Plate 1/@3/F3_01.tif </t>
  </si>
  <si>
    <t xml:space="preserve"> 843.5659 </t>
  </si>
  <si>
    <t xml:space="preserve"> 31.2564 </t>
  </si>
  <si>
    <t xml:space="preserve">C:\Users\andre\Desktop\REACTIV CEFAS\Cefuroxime\Cefuroxime/20201124_Cefas_Test7_Run1/Plate 1/@3/F3_02.tif </t>
  </si>
  <si>
    <t xml:space="preserve"> 32.5616 </t>
  </si>
  <si>
    <t xml:space="preserve">C:\Users\andre\Desktop\REACTIV CEFAS\Cefuroxime\Cefuroxime/20201124_Cefas_Test7_Run1/Plate 1/@3/F3_03.tif </t>
  </si>
  <si>
    <t xml:space="preserve"> 4693.6871 </t>
  </si>
  <si>
    <t xml:space="preserve"> 33.6959 </t>
  </si>
  <si>
    <t xml:space="preserve">C:\Users\andre\Desktop\REACTIV CEFAS\Cefuroxime\Cefuroxime/20201124_Cefas_Test7_Run1/Plate 1/@3/G3_01.tif </t>
  </si>
  <si>
    <t xml:space="preserve"> 8262.6197 </t>
  </si>
  <si>
    <t xml:space="preserve"> 41.1283 </t>
  </si>
  <si>
    <t xml:space="preserve">C:\Users\andre\Desktop\REACTIV CEFAS\Cefuroxime\Cefuroxime/20201124_Cefas_Test7_Run1/Plate 1/@3/G3_02.tif </t>
  </si>
  <si>
    <t xml:space="preserve"> 8219.36 </t>
  </si>
  <si>
    <t xml:space="preserve"> 35.2711 </t>
  </si>
  <si>
    <t xml:space="preserve">C:\Users\andre\Desktop\REACTIV CEFAS\Cefuroxime\Cefuroxime/20201124_Cefas_Test7_Run1/Plate 1/@3/G3_03.tif </t>
  </si>
  <si>
    <t xml:space="preserve"> 1773.6514 </t>
  </si>
  <si>
    <t xml:space="preserve"> 33.061 </t>
  </si>
  <si>
    <t xml:space="preserve">C:\Users\andre\Desktop\REACTIV CEFAS\Cefuroxime\Cefuroxime/20201124_Cefas_Test7_Run1/Plate 1/@3/H3_01.tif </t>
  </si>
  <si>
    <t xml:space="preserve"> 13972.9119 </t>
  </si>
  <si>
    <t xml:space="preserve"> 34.4009 </t>
  </si>
  <si>
    <t xml:space="preserve">C:\Users\andre\Desktop\REACTIV CEFAS\Cefuroxime\Cefuroxime/20201124_Cefas_Test7_Run1/Plate 1/@3/H3_02.tif </t>
  </si>
  <si>
    <t xml:space="preserve">C:\Users\andre\Desktop\REACTIV CEFAS\Cefuroxime\Cefuroxime/20201124_Cefas_Test7_Run1/Plate 1/@3/H3_03.tif </t>
  </si>
  <si>
    <t xml:space="preserve"> 5212.8046 </t>
  </si>
  <si>
    <t xml:space="preserve"> 37.5145 </t>
  </si>
  <si>
    <t xml:space="preserve">C:\Users\andre\Desktop\REACTIV CEFAS\Cefuroxime\Cefuroxime/20201124_Cefas_Test7_Run1/Plate 1/@3/ </t>
  </si>
  <si>
    <t xml:space="preserve"> 30.6956 </t>
  </si>
  <si>
    <t xml:space="preserve"> 9.8373 </t>
  </si>
  <si>
    <t xml:space="preserve"> 124705.983 </t>
  </si>
  <si>
    <t xml:space="preserve">C:\Users\andre\Desktop\REACTIV CEFAS\Cefuroxime\Cefuroxime/20201124_Cefas_Test7_Run1/Plate 1/@4/A4_01.tif </t>
  </si>
  <si>
    <t xml:space="preserve"> 6662.0075 </t>
  </si>
  <si>
    <t xml:space="preserve"> 34.8539 </t>
  </si>
  <si>
    <t xml:space="preserve">C:\Users\andre\Desktop\REACTIV CEFAS\Cefuroxime\Cefuroxime/20201124_Cefas_Test7_Run1/Plate 1/@4/A4_02.tif </t>
  </si>
  <si>
    <t xml:space="preserve"> 2292.7688 </t>
  </si>
  <si>
    <t xml:space="preserve"> 32.2547 </t>
  </si>
  <si>
    <t xml:space="preserve">C:\Users\andre\Desktop\REACTIV CEFAS\Cefuroxime\Cefuroxime/20201124_Cefas_Test7_Run1/Plate 1/@4/A4_03.tif </t>
  </si>
  <si>
    <t xml:space="preserve"> 5061.3953 </t>
  </si>
  <si>
    <t xml:space="preserve"> 35.5897 </t>
  </si>
  <si>
    <t xml:space="preserve">C:\Users\andre\Desktop\REACTIV CEFAS\Cefuroxime\Cefuroxime/20201124_Cefas_Test7_Run1/Plate 1/@4/B4_01.tif </t>
  </si>
  <si>
    <t xml:space="preserve"> 28962.4289 </t>
  </si>
  <si>
    <t xml:space="preserve"> 35.289 </t>
  </si>
  <si>
    <t xml:space="preserve">C:\Users\andre\Desktop\REACTIV CEFAS\Cefuroxime\Cefuroxime/20201124_Cefas_Test7_Run1/Plate 1/@4/B4_02.tif </t>
  </si>
  <si>
    <t xml:space="preserve"> 34953.9097 </t>
  </si>
  <si>
    <t xml:space="preserve"> 37.5835 </t>
  </si>
  <si>
    <t xml:space="preserve">C:\Users\andre\Desktop\REACTIV CEFAS\Cefuroxime\Cefuroxime/20201124_Cefas_Test7_Run1/Plate 1/@4/B4_03.tif </t>
  </si>
  <si>
    <t xml:space="preserve"> 31795.9451 </t>
  </si>
  <si>
    <t xml:space="preserve"> 36.0327 </t>
  </si>
  <si>
    <t xml:space="preserve">C:\Users\andre\Desktop\REACTIV CEFAS\Cefuroxime\Cefuroxime/20201124_Cefas_Test7_Run1/Plate 1/@4/C4_01.tif </t>
  </si>
  <si>
    <t xml:space="preserve"> 18882.898 </t>
  </si>
  <si>
    <t xml:space="preserve"> 39.7652 </t>
  </si>
  <si>
    <t xml:space="preserve">C:\Users\andre\Desktop\REACTIV CEFAS\Cefuroxime\Cefuroxime/20201124_Cefas_Test7_Run1/Plate 1/@4/C4_02.tif </t>
  </si>
  <si>
    <t xml:space="preserve"> 21954.343 </t>
  </si>
  <si>
    <t xml:space="preserve"> 37.9458 </t>
  </si>
  <si>
    <t xml:space="preserve">C:\Users\andre\Desktop\REACTIV CEFAS\Cefuroxime\Cefuroxime/20201124_Cefas_Test7_Run1/Plate 1/@4/C4_03.tif </t>
  </si>
  <si>
    <t xml:space="preserve"> 12091.1111 </t>
  </si>
  <si>
    <t xml:space="preserve"> 38.7013 </t>
  </si>
  <si>
    <t xml:space="preserve">C:\Users\andre\Desktop\REACTIV CEFAS\Cefuroxime\Cefuroxime/20201124_Cefas_Test7_Run1/Plate 1/@4/D4_01.tif </t>
  </si>
  <si>
    <t xml:space="preserve"> 33.0733 </t>
  </si>
  <si>
    <t xml:space="preserve">C:\Users\andre\Desktop\REACTIV CEFAS\Cefuroxime\Cefuroxime/20201124_Cefas_Test7_Run1/Plate 1/@4/D4_02.tif </t>
  </si>
  <si>
    <t xml:space="preserve"> 16763.1683 </t>
  </si>
  <si>
    <t xml:space="preserve"> 34.0929 </t>
  </si>
  <si>
    <t xml:space="preserve">C:\Users\andre\Desktop\REACTIV CEFAS\Cefuroxime\Cefuroxime/20201124_Cefas_Test7_Run1/Plate 1/@4/D4_03.tif </t>
  </si>
  <si>
    <t xml:space="preserve"> 7959.8012 </t>
  </si>
  <si>
    <t xml:space="preserve"> 33.0245 </t>
  </si>
  <si>
    <t xml:space="preserve">C:\Users\andre\Desktop\REACTIV CEFAS\Cefuroxime\Cefuroxime/20201124_Cefas_Test7_Run1/Plate 1/@4/E4_01.tif </t>
  </si>
  <si>
    <t xml:space="preserve"> 5667.0324 </t>
  </si>
  <si>
    <t xml:space="preserve"> 31.6107 </t>
  </si>
  <si>
    <t xml:space="preserve">C:\Users\andre\Desktop\REACTIV CEFAS\Cefuroxime\Cefuroxime/20201124_Cefas_Test7_Run1/Plate 1/@4/E4_02.tif </t>
  </si>
  <si>
    <t xml:space="preserve"> 7440.6838 </t>
  </si>
  <si>
    <t xml:space="preserve"> 32.0727 </t>
  </si>
  <si>
    <t xml:space="preserve">C:\Users\andre\Desktop\REACTIV CEFAS\Cefuroxime\Cefuroxime/20201124_Cefas_Test7_Run1/Plate 1/@4/E4_03.tif </t>
  </si>
  <si>
    <t xml:space="preserve"> 8608.6981 </t>
  </si>
  <si>
    <t xml:space="preserve"> 31.3291 </t>
  </si>
  <si>
    <t xml:space="preserve">C:\Users\andre\Desktop\REACTIV CEFAS\Cefuroxime\Cefuroxime/20201124_Cefas_Test7_Run1/Plate 1/@4/F4_01.tif </t>
  </si>
  <si>
    <t xml:space="preserve"> 5926.5911 </t>
  </si>
  <si>
    <t xml:space="preserve"> 31.3321 </t>
  </si>
  <si>
    <t xml:space="preserve">C:\Users\andre\Desktop\REACTIV CEFAS\Cefuroxime\Cefuroxime/20201124_Cefas_Test7_Run1/Plate 1/@4/F4_02.tif </t>
  </si>
  <si>
    <t xml:space="preserve"> 15292.3355 </t>
  </si>
  <si>
    <t xml:space="preserve"> 32.7765 </t>
  </si>
  <si>
    <t xml:space="preserve">C:\Users\andre\Desktop\REACTIV CEFAS\Cefuroxime\Cefuroxime/20201124_Cefas_Test7_Run1/Plate 1/@4/F4_03.tif </t>
  </si>
  <si>
    <t xml:space="preserve"> 2098.0998 </t>
  </si>
  <si>
    <t xml:space="preserve"> 31.433 </t>
  </si>
  <si>
    <t xml:space="preserve">C:\Users\andre\Desktop\REACTIV CEFAS\Cefuroxime\Cefuroxime/20201124_Cefas_Test7_Run1/Plate 1/@4/G4_01.tif </t>
  </si>
  <si>
    <t xml:space="preserve"> 7354.1642 </t>
  </si>
  <si>
    <t xml:space="preserve"> 32.4147 </t>
  </si>
  <si>
    <t xml:space="preserve">C:\Users\andre\Desktop\REACTIV CEFAS\Cefuroxime\Cefuroxime/20201124_Cefas_Test7_Run1/Plate 1/@4/G4_02.tif </t>
  </si>
  <si>
    <t xml:space="preserve"> 10209.3103 </t>
  </si>
  <si>
    <t xml:space="preserve"> 32.553 </t>
  </si>
  <si>
    <t xml:space="preserve">C:\Users\andre\Desktop\REACTIV CEFAS\Cefuroxime\Cefuroxime/20201124_Cefas_Test7_Run1/Plate 1/@4/G4_03.tif </t>
  </si>
  <si>
    <t xml:space="preserve"> 31.9184 </t>
  </si>
  <si>
    <t xml:space="preserve">C:\Users\andre\Desktop\REACTIV CEFAS\Cefuroxime\Cefuroxime/20201124_Cefas_Test7_Run1/Plate 1/@4/H4_01.tif </t>
  </si>
  <si>
    <t xml:space="preserve"> 10057.901 </t>
  </si>
  <si>
    <t xml:space="preserve"> 34.7548 </t>
  </si>
  <si>
    <t>C:\Users\andre\Desktop\REACTIV CEFAS\Cefuroxime\Cefuroxime/20201124_Cefas_Test7_Run1/Plate 1/@4/H4_02- exclu.tif</t>
  </si>
  <si>
    <t>C:\Users\andre\Desktop\REACTIV CEFAS\Cefuroxime\Cefuroxime/20201124_Cefas_Test7_Run1/Plate 1/@4/H4_03- exclu.tif</t>
  </si>
  <si>
    <t xml:space="preserve">C:\Users\andre\Desktop\REACTIV CEFAS\Cefuroxime\Cefuroxime/20201124_Cefas_Test7_Run1/Plate 1/@4/ </t>
  </si>
  <si>
    <t xml:space="preserve"> 34.2111 </t>
  </si>
  <si>
    <t xml:space="preserve"> 2.53 </t>
  </si>
  <si>
    <t xml:space="preserve"> 417661.625 </t>
  </si>
  <si>
    <t xml:space="preserve"> 347878.811 </t>
  </si>
  <si>
    <t>C:\Users\andre\Desktop\REACTIV CEFAS\Cefuroxime\Cefuroxime/20201124_Cefas_Test7_Run1/Plate 1/@5/A5_01- exclu.tif</t>
  </si>
  <si>
    <t>C:\Users\andre\Desktop\REACTIV CEFAS\Cefuroxime\Cefuroxime/20201124_Cefas_Test7_Run1/Plate 1/@5/A5_02- exclu.tif</t>
  </si>
  <si>
    <t>C:\Users\andre\Desktop\REACTIV CEFAS\Cefuroxime\Cefuroxime/20201124_Cefas_Test7_Run1/Plate 1/@5/A5_03- exclu.tif</t>
  </si>
  <si>
    <t xml:space="preserve">C:\Users\andre\Desktop\REACTIV CEFAS\Cefuroxime\Cefuroxime/20201124_Cefas_Test7_Run1/Plate 1/@5/B5_01.tif </t>
  </si>
  <si>
    <t xml:space="preserve"> 2054.84 </t>
  </si>
  <si>
    <t xml:space="preserve"> 35.4 </t>
  </si>
  <si>
    <t xml:space="preserve">C:\Users\andre\Desktop\REACTIV CEFAS\Cefuroxime\Cefuroxime/20201124_Cefas_Test7_Run1/Plate 1/@5/B5_02.tif </t>
  </si>
  <si>
    <t xml:space="preserve"> 3568.9326 </t>
  </si>
  <si>
    <t xml:space="preserve"> 35.1879 </t>
  </si>
  <si>
    <t xml:space="preserve">C:\Users\andre\Desktop\REACTIV CEFAS\Cefuroxime\Cefuroxime/20201124_Cefas_Test7_Run1/Plate 1/@5/B5_03.tif </t>
  </si>
  <si>
    <t xml:space="preserve"> 35.4324 </t>
  </si>
  <si>
    <t xml:space="preserve">C:\Users\andre\Desktop\REACTIV CEFAS\Cefuroxime\Cefuroxime/20201124_Cefas_Test7_Run1/Plate 1/@5/C5_01.tif </t>
  </si>
  <si>
    <t xml:space="preserve"> 65992.8085 </t>
  </si>
  <si>
    <t xml:space="preserve"> 42.6958 </t>
  </si>
  <si>
    <t xml:space="preserve">C:\Users\andre\Desktop\REACTIV CEFAS\Cefuroxime\Cefuroxime/20201124_Cefas_Test7_Run1/Plate 1/@5/C5_02.tif </t>
  </si>
  <si>
    <t xml:space="preserve"> 55372.5302 </t>
  </si>
  <si>
    <t xml:space="preserve"> 37.8359 </t>
  </si>
  <si>
    <t xml:space="preserve">C:\Users\andre\Desktop\REACTIV CEFAS\Cefuroxime\Cefuroxime/20201124_Cefas_Test7_Run1/Plate 1/@5/C5_03.tif </t>
  </si>
  <si>
    <t xml:space="preserve"> 50527.4339 </t>
  </si>
  <si>
    <t xml:space="preserve"> 37.3536 </t>
  </si>
  <si>
    <t xml:space="preserve">C:\Users\andre\Desktop\REACTIV CEFAS\Cefuroxime\Cefuroxime/20201124_Cefas_Test7_Run1/Plate 1/@5/D5_01.tif </t>
  </si>
  <si>
    <t xml:space="preserve"> 61861.4986 </t>
  </si>
  <si>
    <t xml:space="preserve"> 40.5941 </t>
  </si>
  <si>
    <t xml:space="preserve">C:\Users\andre\Desktop\REACTIV CEFAS\Cefuroxime\Cefuroxime/20201124_Cefas_Test7_Run1/Plate 1/@5/D5_02.tif </t>
  </si>
  <si>
    <t xml:space="preserve"> 58011.3774 </t>
  </si>
  <si>
    <t xml:space="preserve"> 41.5969 </t>
  </si>
  <si>
    <t xml:space="preserve">C:\Users\andre\Desktop\REACTIV CEFAS\Cefuroxime\Cefuroxime/20201124_Cefas_Test7_Run1/Plate 1/@5/D5_03.tif </t>
  </si>
  <si>
    <t xml:space="preserve"> 53209.5408 </t>
  </si>
  <si>
    <t xml:space="preserve"> 41.9073 </t>
  </si>
  <si>
    <t xml:space="preserve">C:\Users\andre\Desktop\REACTIV CEFAS\Cefuroxime\Cefuroxime/20201124_Cefas_Test7_Run1/Plate 1/@5/E5_01.tif </t>
  </si>
  <si>
    <t xml:space="preserve"> 47109.9105 </t>
  </si>
  <si>
    <t xml:space="preserve"> 34.5964 </t>
  </si>
  <si>
    <t xml:space="preserve">C:\Users\andre\Desktop\REACTIV CEFAS\Cefuroxime\Cefuroxime/20201124_Cefas_Test7_Run1/Plate 1/@5/E5_02.tif </t>
  </si>
  <si>
    <t xml:space="preserve"> 48169.7753 </t>
  </si>
  <si>
    <t xml:space="preserve"> 35.1208 </t>
  </si>
  <si>
    <t xml:space="preserve">C:\Users\andre\Desktop\REACTIV CEFAS\Cefuroxime\Cefuroxime/20201124_Cefas_Test7_Run1/Plate 1/@5/E5_03.tif </t>
  </si>
  <si>
    <t xml:space="preserve"> 35.3624 </t>
  </si>
  <si>
    <t xml:space="preserve">C:\Users\andre\Desktop\REACTIV CEFAS\Cefuroxime\Cefuroxime/20201124_Cefas_Test7_Run1/Plate 1/@5/F5_01.tif </t>
  </si>
  <si>
    <t xml:space="preserve"> 62834.8439 </t>
  </si>
  <si>
    <t xml:space="preserve"> 38.8076 </t>
  </si>
  <si>
    <t xml:space="preserve">C:\Users\andre\Desktop\REACTIV CEFAS\Cefuroxime\Cefuroxime/20201124_Cefas_Test7_Run1/Plate 1/@5/F5_02.tif </t>
  </si>
  <si>
    <t xml:space="preserve"> 64803.1643 </t>
  </si>
  <si>
    <t xml:space="preserve"> 39.9249 </t>
  </si>
  <si>
    <t xml:space="preserve">C:\Users\andre\Desktop\REACTIV CEFAS\Cefuroxime\Cefuroxime/20201124_Cefas_Test7_Run1/Plate 1/@5/F5_03.tif </t>
  </si>
  <si>
    <t xml:space="preserve"> 55761.8684 </t>
  </si>
  <si>
    <t xml:space="preserve"> 37.0326 </t>
  </si>
  <si>
    <t xml:space="preserve">C:\Users\andre\Desktop\REACTIV CEFAS\Cefuroxime\Cefuroxime/20201124_Cefas_Test7_Run1/Plate 1/@5/G5_01.tif </t>
  </si>
  <si>
    <t xml:space="preserve"> 43108.38 </t>
  </si>
  <si>
    <t xml:space="preserve"> 36.585 </t>
  </si>
  <si>
    <t>C:\Users\andre\Desktop\REACTIV CEFAS\Cefuroxime\Cefuroxime/20201124_Cefas_Test7_Run1/Plate 1/@5/G5_02- exclu.tif</t>
  </si>
  <si>
    <t xml:space="preserve">C:\Users\andre\Desktop\REACTIV CEFAS\Cefuroxime\Cefuroxime/20201124_Cefas_Test7_Run1/Plate 1/@5/G5_03.tif </t>
  </si>
  <si>
    <t xml:space="preserve"> 38.3634 </t>
  </si>
  <si>
    <t xml:space="preserve">C:\Users\andre\Desktop\REACTIV CEFAS\Cefuroxime\Cefuroxime/20201124_Cefas_Test7_Run1/Plate 1/@5/H5_01.tif </t>
  </si>
  <si>
    <t xml:space="preserve"> 65170.8725 </t>
  </si>
  <si>
    <t xml:space="preserve"> 42.1829 </t>
  </si>
  <si>
    <t xml:space="preserve">C:\Users\andre\Desktop\REACTIV CEFAS\Cefuroxime\Cefuroxime/20201124_Cefas_Test7_Run1/Plate 1/@5/H5_02.tif </t>
  </si>
  <si>
    <t xml:space="preserve"> 69626.6308 </t>
  </si>
  <si>
    <t xml:space="preserve"> 40.1429 </t>
  </si>
  <si>
    <t xml:space="preserve">C:\Users\andre\Desktop\REACTIV CEFAS\Cefuroxime\Cefuroxime/20201124_Cefas_Test7_Run1/Plate 1/@5/H5_03.tif </t>
  </si>
  <si>
    <t xml:space="preserve"> 70881.1647 </t>
  </si>
  <si>
    <t xml:space="preserve"> 45.2789 </t>
  </si>
  <si>
    <t xml:space="preserve">C:\Users\andre\Desktop\REACTIV CEFAS\Cefuroxime\Cefuroxime/20201124_Cefas_Test7_Run1/Plate 1/@5/ </t>
  </si>
  <si>
    <t xml:space="preserve"> 37.5395 </t>
  </si>
  <si>
    <t xml:space="preserve"> 3.6832 </t>
  </si>
  <si>
    <t xml:space="preserve"> 1639029.62 </t>
  </si>
  <si>
    <t xml:space="preserve"> 1055138.91 </t>
  </si>
  <si>
    <t xml:space="preserve">C:\Users\andre\Desktop\REACTIV CEFAS\Cefuroxime\Cefuroxime/20201124_Cefas_Test7_Run1/Plate 1/@6/A6_01.tif </t>
  </si>
  <si>
    <t xml:space="preserve"> 9776.7124 </t>
  </si>
  <si>
    <t xml:space="preserve"> 36.9646 </t>
  </si>
  <si>
    <t xml:space="preserve">C:\Users\andre\Desktop\REACTIV CEFAS\Cefuroxime\Cefuroxime/20201124_Cefas_Test7_Run1/Plate 1/@6/A6_02.tif </t>
  </si>
  <si>
    <t xml:space="preserve"> 14081.0614 </t>
  </si>
  <si>
    <t xml:space="preserve"> 38.2519 </t>
  </si>
  <si>
    <t>C:\Users\andre\Desktop\REACTIV CEFAS\Cefuroxime\Cefuroxime/20201124_Cefas_Test7_Run1/Plate 1/@6/A6_03- exclu.tif</t>
  </si>
  <si>
    <t xml:space="preserve">C:\Users\andre\Desktop\REACTIV CEFAS\Cefuroxime\Cefuroxime/20201124_Cefas_Test7_Run1/Plate 1/@6/B6_01.tif </t>
  </si>
  <si>
    <t xml:space="preserve"> 23230.5068 </t>
  </si>
  <si>
    <t xml:space="preserve"> 37.6778 </t>
  </si>
  <si>
    <t xml:space="preserve">C:\Users\andre\Desktop\REACTIV CEFAS\Cefuroxime\Cefuroxime/20201124_Cefas_Test7_Run1/Plate 1/@6/B6_02.tif </t>
  </si>
  <si>
    <t xml:space="preserve"> 25198.8272 </t>
  </si>
  <si>
    <t xml:space="preserve"> 36.9039 </t>
  </si>
  <si>
    <t xml:space="preserve">C:\Users\andre\Desktop\REACTIV CEFAS\Cefuroxime\Cefuroxime/20201124_Cefas_Test7_Run1/Plate 1/@6/B6_03.tif </t>
  </si>
  <si>
    <t xml:space="preserve"> 22343.6812 </t>
  </si>
  <si>
    <t xml:space="preserve"> 39.1946 </t>
  </si>
  <si>
    <t xml:space="preserve">C:\Users\andre\Desktop\REACTIV CEFAS\Cefuroxime\Cefuroxime/20201124_Cefas_Test7_Run1/Plate 1/@6/C6_01.tif </t>
  </si>
  <si>
    <t xml:space="preserve"> 64781.5344 </t>
  </si>
  <si>
    <t xml:space="preserve"> 45.8467 </t>
  </si>
  <si>
    <t xml:space="preserve">C:\Users\andre\Desktop\REACTIV CEFAS\Cefuroxime\Cefuroxime/20201124_Cefas_Test7_Run1/Plate 1/@6/C6_02.tif </t>
  </si>
  <si>
    <t xml:space="preserve"> 60174.3669 </t>
  </si>
  <si>
    <t xml:space="preserve"> 44.2617 </t>
  </si>
  <si>
    <t xml:space="preserve">C:\Users\andre\Desktop\REACTIV CEFAS\Cefuroxime\Cefuroxime/20201124_Cefas_Test7_Run1/Plate 1/@6/C6_03.tif </t>
  </si>
  <si>
    <t xml:space="preserve"> 66879.6342 </t>
  </si>
  <si>
    <t xml:space="preserve"> 45.8373 </t>
  </si>
  <si>
    <t xml:space="preserve">C:\Users\andre\Desktop\REACTIV CEFAS\Cefuroxime\Cefuroxime/20201124_Cefas_Test7_Run1/Plate 1/@6/D6_01.tif </t>
  </si>
  <si>
    <t xml:space="preserve"> 54312.6654 </t>
  </si>
  <si>
    <t xml:space="preserve"> 50.6551 </t>
  </si>
  <si>
    <t xml:space="preserve">C:\Users\andre\Desktop\REACTIV CEFAS\Cefuroxime\Cefuroxime/20201124_Cefas_Test7_Run1/Plate 1/@6/D6_02.tif </t>
  </si>
  <si>
    <t xml:space="preserve"> 52149.676 </t>
  </si>
  <si>
    <t xml:space="preserve"> 48.8693 </t>
  </si>
  <si>
    <t xml:space="preserve">C:\Users\andre\Desktop\REACTIV CEFAS\Cefuroxime\Cefuroxime/20201124_Cefas_Test7_Run1/Plate 1/@6/D6_03.tif </t>
  </si>
  <si>
    <t xml:space="preserve"> 49186.3804 </t>
  </si>
  <si>
    <t xml:space="preserve"> 46.8074 </t>
  </si>
  <si>
    <t>C:\Users\andre\Desktop\REACTIV CEFAS\Cefuroxime\Cefuroxime/20201124_Cefas_Test7_Run1/Plate 1/@6/E6_01- exclu.tif</t>
  </si>
  <si>
    <t xml:space="preserve">C:\Users\andre\Desktop\REACTIV CEFAS\Cefuroxime\Cefuroxime/20201124_Cefas_Test7_Run1/Plate 1/@6/E6_02.tif </t>
  </si>
  <si>
    <t xml:space="preserve"> 66771.4847 </t>
  </si>
  <si>
    <t xml:space="preserve"> 45.955 </t>
  </si>
  <si>
    <t>C:\Users\andre\Desktop\REACTIV CEFAS\Cefuroxime\Cefuroxime/20201124_Cefas_Test7_Run1/Plate 1/@6/E6_03- exclu.tif</t>
  </si>
  <si>
    <t xml:space="preserve">C:\Users\andre\Desktop\REACTIV CEFAS\Cefuroxime\Cefuroxime/20201124_Cefas_Test7_Run1/Plate 1/@6/F6_01.tif </t>
  </si>
  <si>
    <t xml:space="preserve"> 63570.2603 </t>
  </si>
  <si>
    <t xml:space="preserve"> 48.673 </t>
  </si>
  <si>
    <t xml:space="preserve">C:\Users\andre\Desktop\REACTIV CEFAS\Cefuroxime\Cefuroxime/20201124_Cefas_Test7_Run1/Plate 1/@6/F6_02.tif </t>
  </si>
  <si>
    <t xml:space="preserve"> 63375.5913 </t>
  </si>
  <si>
    <t xml:space="preserve"> 47.9027 </t>
  </si>
  <si>
    <t xml:space="preserve">C:\Users\andre\Desktop\REACTIV CEFAS\Cefuroxime\Cefuroxime/20201124_Cefas_Test7_Run1/Plate 1/@6/F6_03.tif </t>
  </si>
  <si>
    <t xml:space="preserve"> 69886.1895 </t>
  </si>
  <si>
    <t xml:space="preserve"> 49.0275 </t>
  </si>
  <si>
    <t xml:space="preserve">C:\Users\andre\Desktop\REACTIV CEFAS\Cefuroxime\Cefuroxime/20201124_Cefas_Test7_Run1/Plate 1/@6/G6_01.tif </t>
  </si>
  <si>
    <t xml:space="preserve"> 57211.0713 </t>
  </si>
  <si>
    <t xml:space="preserve"> 49.9399 </t>
  </si>
  <si>
    <t xml:space="preserve">C:\Users\andre\Desktop\REACTIV CEFAS\Cefuroxime\Cefuroxime/20201124_Cefas_Test7_Run1/Plate 1/@6/G6_02.tif </t>
  </si>
  <si>
    <t xml:space="preserve"> 61753.3492 </t>
  </si>
  <si>
    <t xml:space="preserve"> 52.3391 </t>
  </si>
  <si>
    <t xml:space="preserve">C:\Users\andre\Desktop\REACTIV CEFAS\Cefuroxime\Cefuroxime/20201124_Cefas_Test7_Run1/Plate 1/@6/G6_03.tif </t>
  </si>
  <si>
    <t xml:space="preserve"> 56043.057 </t>
  </si>
  <si>
    <t xml:space="preserve"> 48.6442 </t>
  </si>
  <si>
    <t xml:space="preserve">C:\Users\andre\Desktop\REACTIV CEFAS\Cefuroxime\Cefuroxime/20201124_Cefas_Test7_Run1/Plate 1/@6/H6_01.tif </t>
  </si>
  <si>
    <t xml:space="preserve"> 42481.1131 </t>
  </si>
  <si>
    <t xml:space="preserve"> 44.0407 </t>
  </si>
  <si>
    <t xml:space="preserve">C:\Users\andre\Desktop\REACTIV CEFAS\Cefuroxime\Cefuroxime/20201124_Cefas_Test7_Run1/Plate 1/@6/H6_02.tif </t>
  </si>
  <si>
    <t xml:space="preserve"> 40469.5329 </t>
  </si>
  <si>
    <t xml:space="preserve"> 49.147 </t>
  </si>
  <si>
    <t xml:space="preserve">C:\Users\andre\Desktop\REACTIV CEFAS\Cefuroxime\Cefuroxime/20201124_Cefas_Test7_Run1/Plate 1/@6/H6_03.tif </t>
  </si>
  <si>
    <t xml:space="preserve"> 53598.8789 </t>
  </si>
  <si>
    <t xml:space="preserve"> 45.1336 </t>
  </si>
  <si>
    <t xml:space="preserve">C:\Users\andre\Desktop\REACTIV CEFAS\Cefuroxime\Cefuroxime/20201124_Cefas_Test7_Run1/Plate 1/@6/ </t>
  </si>
  <si>
    <t xml:space="preserve"> 45.344 </t>
  </si>
  <si>
    <t xml:space="preserve"> 4.981 </t>
  </si>
  <si>
    <t xml:space="preserve"> 2171305.12 </t>
  </si>
  <si>
    <t xml:space="preserve"> 983402.115 </t>
  </si>
  <si>
    <t xml:space="preserve">C:\Users\andre\Desktop\REACTIV CEFAS\Cefuroxime\Cefuroxime/20201124_Cefas_Test7_Run1/Plate 1/@7/A7_01.tif </t>
  </si>
  <si>
    <t xml:space="preserve"> 51.2621 </t>
  </si>
  <si>
    <t xml:space="preserve">C:\Users\andre\Desktop\REACTIV CEFAS\Cefuroxime\Cefuroxime/20201124_Cefas_Test7_Run1/Plate 1/@7/A7_02.tif </t>
  </si>
  <si>
    <t xml:space="preserve"> 53014.8717 </t>
  </si>
  <si>
    <t xml:space="preserve"> 53.6944 </t>
  </si>
  <si>
    <t xml:space="preserve">C:\Users\andre\Desktop\REACTIV CEFAS\Cefuroxime\Cefuroxime/20201124_Cefas_Test7_Run1/Plate 1/@7/A7_03.tif </t>
  </si>
  <si>
    <t xml:space="preserve"> 47650.6579 </t>
  </si>
  <si>
    <t xml:space="preserve"> 52.227 </t>
  </si>
  <si>
    <t xml:space="preserve">C:\Users\andre\Desktop\REACTIV CEFAS\Cefuroxime\Cefuroxime/20201124_Cefas_Test7_Run1/Plate 1/@7/B7_01.tif </t>
  </si>
  <si>
    <t xml:space="preserve"> 50138.0957 </t>
  </si>
  <si>
    <t xml:space="preserve"> 51.9202 </t>
  </si>
  <si>
    <t xml:space="preserve">C:\Users\andre\Desktop\REACTIV CEFAS\Cefuroxime\Cefuroxime/20201124_Cefas_Test7_Run1/Plate 1/@7/B7_02.tif </t>
  </si>
  <si>
    <t xml:space="preserve"> 54896.6726 </t>
  </si>
  <si>
    <t xml:space="preserve"> 53.9232 </t>
  </si>
  <si>
    <t xml:space="preserve">C:\Users\andre\Desktop\REACTIV CEFAS\Cefuroxime\Cefuroxime/20201124_Cefas_Test7_Run1/Plate 1/@7/B7_03.tif </t>
  </si>
  <si>
    <t xml:space="preserve"> 61883.1285 </t>
  </si>
  <si>
    <t xml:space="preserve"> 51.9969 </t>
  </si>
  <si>
    <t xml:space="preserve">C:\Users\andre\Desktop\REACTIV CEFAS\Cefuroxime\Cefuroxime/20201124_Cefas_Test7_Run1/Plate 1/@7/C7_01.tif </t>
  </si>
  <si>
    <t xml:space="preserve"> 41961.9956 </t>
  </si>
  <si>
    <t xml:space="preserve"> 55.5763 </t>
  </si>
  <si>
    <t xml:space="preserve">C:\Users\andre\Desktop\REACTIV CEFAS\Cefuroxime\Cefuroxime/20201124_Cefas_Test7_Run1/Plate 1/@7/C7_02.tif </t>
  </si>
  <si>
    <t xml:space="preserve"> 44860.4015 </t>
  </si>
  <si>
    <t xml:space="preserve"> 61.161 </t>
  </si>
  <si>
    <t xml:space="preserve">C:\Users\andre\Desktop\REACTIV CEFAS\Cefuroxime\Cefuroxime/20201124_Cefas_Test7_Run1/Plate 1/@7/C7_03.tif </t>
  </si>
  <si>
    <t xml:space="preserve"> 43562.6078 </t>
  </si>
  <si>
    <t xml:space="preserve"> 58.5 </t>
  </si>
  <si>
    <t xml:space="preserve">C:\Users\andre\Desktop\REACTIV CEFAS\Cefuroxime\Cefuroxime/20201124_Cefas_Test7_Run1/Plate 1/@7/D7_01.tif </t>
  </si>
  <si>
    <t xml:space="preserve"> 66987.7837 </t>
  </si>
  <si>
    <t xml:space="preserve"> 52.3264 </t>
  </si>
  <si>
    <t xml:space="preserve">C:\Users\andre\Desktop\REACTIV CEFAS\Cefuroxime\Cefuroxime/20201124_Cefas_Test7_Run1/Plate 1/@7/D7_02.tif </t>
  </si>
  <si>
    <t xml:space="preserve"> 70578.3462 </t>
  </si>
  <si>
    <t xml:space="preserve"> 52.8026 </t>
  </si>
  <si>
    <t xml:space="preserve">C:\Users\andre\Desktop\REACTIV CEFAS\Cefuroxime\Cefuroxime/20201124_Cefas_Test7_Run1/Plate 1/@7/D7_03.tif </t>
  </si>
  <si>
    <t xml:space="preserve"> 73368.6026 </t>
  </si>
  <si>
    <t xml:space="preserve"> 52.5363 </t>
  </si>
  <si>
    <t xml:space="preserve">C:\Users\andre\Desktop\REACTIV CEFAS\Cefuroxime\Cefuroxime/20201124_Cefas_Test7_Run1/Plate 1/@7/E7_01.tif </t>
  </si>
  <si>
    <t xml:space="preserve"> 77694.5815 </t>
  </si>
  <si>
    <t xml:space="preserve"> 56.7099 </t>
  </si>
  <si>
    <t xml:space="preserve">C:\Users\andre\Desktop\REACTIV CEFAS\Cefuroxime\Cefuroxime/20201124_Cefas_Test7_Run1/Plate 1/@7/E7_02.tif </t>
  </si>
  <si>
    <t xml:space="preserve"> 84378.2189 </t>
  </si>
  <si>
    <t xml:space="preserve"> 59.7529 </t>
  </si>
  <si>
    <t xml:space="preserve">C:\Users\andre\Desktop\REACTIV CEFAS\Cefuroxime\Cefuroxime/20201124_Cefas_Test7_Run1/Plate 1/@7/E7_03.tif </t>
  </si>
  <si>
    <t xml:space="preserve"> 79965.7204 </t>
  </si>
  <si>
    <t xml:space="preserve"> 58.3381 </t>
  </si>
  <si>
    <t xml:space="preserve">C:\Users\andre\Desktop\REACTIV CEFAS\Cefuroxime\Cefuroxime/20201124_Cefas_Test7_Run1/Plate 1/@7/F7_01.tif </t>
  </si>
  <si>
    <t xml:space="preserve"> 43432.8284 </t>
  </si>
  <si>
    <t xml:space="preserve"> 57.1738 </t>
  </si>
  <si>
    <t xml:space="preserve">C:\Users\andre\Desktop\REACTIV CEFAS\Cefuroxime\Cefuroxime/20201124_Cefas_Test7_Run1/Plate 1/@7/F7_02.tif </t>
  </si>
  <si>
    <t xml:space="preserve"> 45682.3375 </t>
  </si>
  <si>
    <t xml:space="preserve"> 61.2301 </t>
  </si>
  <si>
    <t xml:space="preserve">C:\Users\andre\Desktop\REACTIV CEFAS\Cefuroxime\Cefuroxime/20201124_Cefas_Test7_Run1/Plate 1/@7/F7_03.tif </t>
  </si>
  <si>
    <t xml:space="preserve"> 46915.2415 </t>
  </si>
  <si>
    <t xml:space="preserve"> 61.2218 </t>
  </si>
  <si>
    <t xml:space="preserve">C:\Users\andre\Desktop\REACTIV CEFAS\Cefuroxime\Cefuroxime/20201124_Cefas_Test7_Run1/Plate 1/@7/G7_01.tif </t>
  </si>
  <si>
    <t xml:space="preserve"> 77889.2506 </t>
  </si>
  <si>
    <t xml:space="preserve"> 51.0053 </t>
  </si>
  <si>
    <t xml:space="preserve">C:\Users\andre\Desktop\REACTIV CEFAS\Cefuroxime\Cefuroxime/20201124_Cefas_Test7_Run1/Plate 1/@7/G7_02.tif </t>
  </si>
  <si>
    <t xml:space="preserve"> 77867.6207 </t>
  </si>
  <si>
    <t xml:space="preserve"> 52.1478 </t>
  </si>
  <si>
    <t xml:space="preserve">C:\Users\andre\Desktop\REACTIV CEFAS\Cefuroxime\Cefuroxime/20201124_Cefas_Test7_Run1/Plate 1/@7/G7_03.tif </t>
  </si>
  <si>
    <t xml:space="preserve"> 83534.6531 </t>
  </si>
  <si>
    <t xml:space="preserve"> 58.3949 </t>
  </si>
  <si>
    <t xml:space="preserve">C:\Users\andre\Desktop\REACTIV CEFAS\Cefuroxime\Cefuroxime/20201124_Cefas_Test7_Run1/Plate 1/@7/H7_01.tif </t>
  </si>
  <si>
    <t xml:space="preserve"> 65668.3601 </t>
  </si>
  <si>
    <t xml:space="preserve"> 60.1884 </t>
  </si>
  <si>
    <t xml:space="preserve">C:\Users\andre\Desktop\REACTIV CEFAS\Cefuroxime\Cefuroxime/20201124_Cefas_Test7_Run1/Plate 1/@7/H7_02.tif </t>
  </si>
  <si>
    <t xml:space="preserve"> 65473.691 </t>
  </si>
  <si>
    <t xml:space="preserve"> 55.7681 </t>
  </si>
  <si>
    <t xml:space="preserve">C:\Users\andre\Desktop\REACTIV CEFAS\Cefuroxime\Cefuroxime/20201124_Cefas_Test7_Run1/Plate 1/@7/H7_03.tif </t>
  </si>
  <si>
    <t xml:space="preserve"> 71638.211 </t>
  </si>
  <si>
    <t xml:space="preserve"> 57.5909 </t>
  </si>
  <si>
    <t xml:space="preserve">C:\Users\andre\Desktop\REACTIV CEFAS\Cefuroxime\Cefuroxime/20201124_Cefas_Test7_Run1/Plate 1/@7/ </t>
  </si>
  <si>
    <t xml:space="preserve"> 55.727 </t>
  </si>
  <si>
    <t xml:space="preserve"> 3.5366 </t>
  </si>
  <si>
    <t xml:space="preserve"> 3419894.54 </t>
  </si>
  <si>
    <t xml:space="preserve"> 843373.095 </t>
  </si>
  <si>
    <t xml:space="preserve">C:\Users\andre\Desktop\REACTIV CEFAS\Cefuroxime\Cefuroxime/20201124_Cefas_Test7_Run1/Plate 4/@10/A4_01.tif </t>
  </si>
  <si>
    <t xml:space="preserve">C:\Users\andre\Desktop\REACTIV CEFAS\Cefuroxime\Cefuroxime/20201124_Cefas_Test7_Run1/Plate 4/@10/A4_02.tif </t>
  </si>
  <si>
    <t xml:space="preserve"> 38.3903 </t>
  </si>
  <si>
    <t xml:space="preserve">C:\Users\andre\Desktop\REACTIV CEFAS\Cefuroxime\Cefuroxime/20201124_Cefas_Test7_Run1/Plate 4/@10/A4_03.tif </t>
  </si>
  <si>
    <t xml:space="preserve"> 5104.6551 </t>
  </si>
  <si>
    <t xml:space="preserve"> 35.678 </t>
  </si>
  <si>
    <t xml:space="preserve">C:\Users\andre\Desktop\REACTIV CEFAS\Cefuroxime\Cefuroxime/20201124_Cefas_Test7_Run1/Plate 4/@10/B4_01.tif </t>
  </si>
  <si>
    <t xml:space="preserve"> 37.8241 </t>
  </si>
  <si>
    <t xml:space="preserve">C:\Users\andre\Desktop\REACTIV CEFAS\Cefuroxime\Cefuroxime/20201124_Cefas_Test7_Run1/Plate 4/@10/B4_02.tif </t>
  </si>
  <si>
    <t xml:space="preserve"> 5277.6943 </t>
  </si>
  <si>
    <t xml:space="preserve"> 37.3443 </t>
  </si>
  <si>
    <t xml:space="preserve">C:\Users\andre\Desktop\REACTIV CEFAS\Cefuroxime\Cefuroxime/20201124_Cefas_Test7_Run1/Plate 4/@10/B4_03.tif </t>
  </si>
  <si>
    <t xml:space="preserve"> 8003.061 </t>
  </si>
  <si>
    <t xml:space="preserve"> 39.7676 </t>
  </si>
  <si>
    <t xml:space="preserve">C:\Users\andre\Desktop\REACTIV CEFAS\Cefuroxime\Cefuroxime/20201124_Cefas_Test7_Run1/Plate 4/@10/C4_01.tif </t>
  </si>
  <si>
    <t xml:space="preserve"> 34.7626 </t>
  </si>
  <si>
    <t xml:space="preserve">C:\Users\andre\Desktop\REACTIV CEFAS\Cefuroxime\Cefuroxime/20201124_Cefas_Test7_Run1/Plate 4/@10/C4_02.tif </t>
  </si>
  <si>
    <t xml:space="preserve"> 3698.712 </t>
  </si>
  <si>
    <t xml:space="preserve"> 32.2456 </t>
  </si>
  <si>
    <t xml:space="preserve">C:\Users\andre\Desktop\REACTIV CEFAS\Cefuroxime\Cefuroxime/20201124_Cefas_Test7_Run1/Plate 4/@10/C4_03.tif </t>
  </si>
  <si>
    <t xml:space="preserve"> 4174.5697 </t>
  </si>
  <si>
    <t xml:space="preserve"> 33.5907 </t>
  </si>
  <si>
    <t xml:space="preserve">C:\Users\andre\Desktop\REACTIV CEFAS\Cefuroxime\Cefuroxime/20201124_Cefas_Test7_Run1/Plate 4/@10/D4_01.tif </t>
  </si>
  <si>
    <t xml:space="preserve"> 34.3981 </t>
  </si>
  <si>
    <t xml:space="preserve">C:\Users\andre\Desktop\REACTIV CEFAS\Cefuroxime\Cefuroxime/20201124_Cefas_Test7_Run1/Plate 4/@10/D4_02.tif </t>
  </si>
  <si>
    <t xml:space="preserve"> 32.8718 </t>
  </si>
  <si>
    <t xml:space="preserve">C:\Users\andre\Desktop\REACTIV CEFAS\Cefuroxime\Cefuroxime/20201124_Cefas_Test7_Run1/Plate 4/@10/D4_03.tif </t>
  </si>
  <si>
    <t xml:space="preserve"> 2660.477 </t>
  </si>
  <si>
    <t xml:space="preserve"> 35.0976 </t>
  </si>
  <si>
    <t xml:space="preserve">C:\Users\andre\Desktop\REACTIV CEFAS\Cefuroxime\Cefuroxime/20201124_Cefas_Test7_Run1/Plate 4/@10/E4_01.tif </t>
  </si>
  <si>
    <t>C:\Users\andre\Desktop\REACTIV CEFAS\Cefuroxime\Cefuroxime/20201124_Cefas_Test7_Run1/Plate 4/@10/E4_02- exclu.tif</t>
  </si>
  <si>
    <t xml:space="preserve">C:\Users\andre\Desktop\REACTIV CEFAS\Cefuroxime\Cefuroxime/20201124_Cefas_Test7_Run1/Plate 4/@10/E4_03.tif </t>
  </si>
  <si>
    <t xml:space="preserve">C:\Users\andre\Desktop\REACTIV CEFAS\Cefuroxime\Cefuroxime/20201124_Cefas_Test7_Run1/Plate 4/@10/F4_01.tif </t>
  </si>
  <si>
    <t xml:space="preserve"> 32.6512 </t>
  </si>
  <si>
    <t xml:space="preserve">C:\Users\andre\Desktop\REACTIV CEFAS\Cefuroxime\Cefuroxime/20201124_Cefas_Test7_Run1/Plate 4/@10/F4_02.tif </t>
  </si>
  <si>
    <t xml:space="preserve">C:\Users\andre\Desktop\REACTIV CEFAS\Cefuroxime\Cefuroxime/20201124_Cefas_Test7_Run1/Plate 4/@10/F4_03.tif </t>
  </si>
  <si>
    <t xml:space="preserve"> 1232.904 </t>
  </si>
  <si>
    <t xml:space="preserve"> 35.9649 </t>
  </si>
  <si>
    <t xml:space="preserve">C:\Users\andre\Desktop\REACTIV CEFAS\Cefuroxime\Cefuroxime/20201124_Cefas_Test7_Run1/Plate 4/@10/G4_01.tif </t>
  </si>
  <si>
    <t xml:space="preserve"> 39.1327 </t>
  </si>
  <si>
    <t xml:space="preserve">C:\Users\andre\Desktop\REACTIV CEFAS\Cefuroxime\Cefuroxime/20201124_Cefas_Test7_Run1/Plate 4/@10/G4_02.tif </t>
  </si>
  <si>
    <t xml:space="preserve"> 951.7154 </t>
  </si>
  <si>
    <t xml:space="preserve"> 33.2727 </t>
  </si>
  <si>
    <t xml:space="preserve">C:\Users\andre\Desktop\REACTIV CEFAS\Cefuroxime\Cefuroxime/20201124_Cefas_Test7_Run1/Plate 4/@10/G4_03.tif </t>
  </si>
  <si>
    <t xml:space="preserve"> 1384.3133 </t>
  </si>
  <si>
    <t xml:space="preserve"> 32.75 </t>
  </si>
  <si>
    <t xml:space="preserve">C:\Users\andre\Desktop\REACTIV CEFAS\Cefuroxime\Cefuroxime/20201124_Cefas_Test7_Run1/Plate 4/@10/H4_01.tif </t>
  </si>
  <si>
    <t xml:space="preserve"> 4888.3562 </t>
  </si>
  <si>
    <t xml:space="preserve"> 34.4867 </t>
  </si>
  <si>
    <t xml:space="preserve">C:\Users\andre\Desktop\REACTIV CEFAS\Cefuroxime\Cefuroxime/20201124_Cefas_Test7_Run1/Plate 4/@10/H4_02.tif </t>
  </si>
  <si>
    <t xml:space="preserve"> 31.7671 </t>
  </si>
  <si>
    <t xml:space="preserve">C:\Users\andre\Desktop\REACTIV CEFAS\Cefuroxime\Cefuroxime/20201124_Cefas_Test7_Run1/Plate 4/@10/H4_03.tif </t>
  </si>
  <si>
    <t xml:space="preserve"> 2444.1781 </t>
  </si>
  <si>
    <t xml:space="preserve"> 33.1416 </t>
  </si>
  <si>
    <t xml:space="preserve">C:\Users\andre\Desktop\REACTIV CEFAS\Cefuroxime\Cefuroxime/20201124_Cefas_Test7_Run1/Plate 4/@10/ </t>
  </si>
  <si>
    <t xml:space="preserve"> 30.2676 </t>
  </si>
  <si>
    <t xml:space="preserve"> 11.9495 </t>
  </si>
  <si>
    <t xml:space="preserve"> 108207.125 </t>
  </si>
  <si>
    <t xml:space="preserve"> 91342.9809 </t>
  </si>
  <si>
    <t xml:space="preserve">C:\Users\andre\Desktop\REACTIV CEFAS\Cefuroxime\Cefuroxime/20201124_Cefas_Test7_Run1/Plate 4/@11/A5_01.tif </t>
  </si>
  <si>
    <t xml:space="preserve"> 7548.8332 </t>
  </si>
  <si>
    <t xml:space="preserve"> 38.0802 </t>
  </si>
  <si>
    <t xml:space="preserve">C:\Users\andre\Desktop\REACTIV CEFAS\Cefuroxime\Cefuroxime/20201124_Cefas_Test7_Run1/Plate 4/@11/A5_02.tif </t>
  </si>
  <si>
    <t xml:space="preserve"> 7159.4951 </t>
  </si>
  <si>
    <t xml:space="preserve"> 36.6677 </t>
  </si>
  <si>
    <t xml:space="preserve">C:\Users\andre\Desktop\REACTIV CEFAS\Cefuroxime\Cefuroxime/20201124_Cefas_Test7_Run1/Plate 4/@11/A5_03.tif </t>
  </si>
  <si>
    <t xml:space="preserve"> 8024.6909 </t>
  </si>
  <si>
    <t xml:space="preserve"> 36.0296 </t>
  </si>
  <si>
    <t xml:space="preserve">C:\Users\andre\Desktop\REACTIV CEFAS\Cefuroxime\Cefuroxime/20201124_Cefas_Test7_Run1/Plate 4/@11/B5_01.tif </t>
  </si>
  <si>
    <t xml:space="preserve">C:\Users\andre\Desktop\REACTIV CEFAS\Cefuroxime\Cefuroxime/20201124_Cefas_Test7_Run1/Plate 4/@11/B5_02.tif </t>
  </si>
  <si>
    <t xml:space="preserve"> 410.968 </t>
  </si>
  <si>
    <t xml:space="preserve"> 32.9474 </t>
  </si>
  <si>
    <t xml:space="preserve">C:\Users\andre\Desktop\REACTIV CEFAS\Cefuroxime\Cefuroxime/20201124_Cefas_Test7_Run1/Plate 4/@11/B5_03.tif </t>
  </si>
  <si>
    <t>C:\Users\andre\Desktop\REACTIV CEFAS\Cefuroxime\Cefuroxime/20201124_Cefas_Test7_Run1/Plate 4/@11/C5_01- exclu.tif</t>
  </si>
  <si>
    <t>C:\Users\andre\Desktop\REACTIV CEFAS\Cefuroxime\Cefuroxime/20201124_Cefas_Test7_Run1/Plate 4/@11/C5_02- exclu.tif</t>
  </si>
  <si>
    <t>C:\Users\andre\Desktop\REACTIV CEFAS\Cefuroxime\Cefuroxime/20201124_Cefas_Test7_Run1/Plate 4/@11/C5_03- exclu.tif</t>
  </si>
  <si>
    <t xml:space="preserve">C:\Users\andre\Desktop\REACTIV CEFAS\Cefuroxime\Cefuroxime/20201124_Cefas_Test7_Run1/Plate 4/@11/D5_01.tif </t>
  </si>
  <si>
    <t xml:space="preserve"> 7570.4631 </t>
  </si>
  <si>
    <t xml:space="preserve"> 42.16 </t>
  </si>
  <si>
    <t xml:space="preserve">C:\Users\andre\Desktop\REACTIV CEFAS\Cefuroxime\Cefuroxime/20201124_Cefas_Test7_Run1/Plate 4/@11/D5_02.tif </t>
  </si>
  <si>
    <t xml:space="preserve"> 6251.0395 </t>
  </si>
  <si>
    <t xml:space="preserve"> 38.8824 </t>
  </si>
  <si>
    <t xml:space="preserve">C:\Users\andre\Desktop\REACTIV CEFAS\Cefuroxime\Cefuroxime/20201124_Cefas_Test7_Run1/Plate 4/@11/D5_03.tif </t>
  </si>
  <si>
    <t xml:space="preserve"> 6467.3385 </t>
  </si>
  <si>
    <t xml:space="preserve"> 32.5686 </t>
  </si>
  <si>
    <t xml:space="preserve">C:\Users\andre\Desktop\REACTIV CEFAS\Cefuroxime\Cefuroxime/20201124_Cefas_Test7_Run1/Plate 4/@11/E5_01.tif </t>
  </si>
  <si>
    <t xml:space="preserve"> 216.2989 </t>
  </si>
  <si>
    <t xml:space="preserve"> 31.2 </t>
  </si>
  <si>
    <t xml:space="preserve">C:\Users\andre\Desktop\REACTIV CEFAS\Cefuroxime\Cefuroxime/20201124_Cefas_Test7_Run1/Plate 4/@11/E5_02.tif </t>
  </si>
  <si>
    <t xml:space="preserve"> 34.4 </t>
  </si>
  <si>
    <t xml:space="preserve">C:\Users\andre\Desktop\REACTIV CEFAS\Cefuroxime\Cefuroxime/20201124_Cefas_Test7_Run1/Plate 4/@11/E5_03.tif </t>
  </si>
  <si>
    <t xml:space="preserve">C:\Users\andre\Desktop\REACTIV CEFAS\Cefuroxime\Cefuroxime/20201124_Cefas_Test7_Run1/Plate 4/@11/F5_01.tif </t>
  </si>
  <si>
    <t xml:space="preserve"> 6337.5591 </t>
  </si>
  <si>
    <t xml:space="preserve"> 36.1672 </t>
  </si>
  <si>
    <t xml:space="preserve">C:\Users\andre\Desktop\REACTIV CEFAS\Cefuroxime\Cefuroxime/20201124_Cefas_Test7_Run1/Plate 4/@11/F5_02.tif </t>
  </si>
  <si>
    <t xml:space="preserve"> 6597.1179 </t>
  </si>
  <si>
    <t xml:space="preserve"> 40.8262 </t>
  </si>
  <si>
    <t xml:space="preserve">C:\Users\andre\Desktop\REACTIV CEFAS\Cefuroxime\Cefuroxime/20201124_Cefas_Test7_Run1/Plate 4/@11/F5_03.tif </t>
  </si>
  <si>
    <t xml:space="preserve"> 1449.2029 </t>
  </si>
  <si>
    <t xml:space="preserve"> 37.4328 </t>
  </si>
  <si>
    <t>C:\Users\andre\Desktop\REACTIV CEFAS\Cefuroxime\Cefuroxime/20201124_Cefas_Test7_Run1/Plate 4/@11/G5_01- exclu.tif</t>
  </si>
  <si>
    <t xml:space="preserve">C:\Users\andre\Desktop\REACTIV CEFAS\Cefuroxime\Cefuroxime/20201124_Cefas_Test7_Run1/Plate 4/@11/G5_02.tif </t>
  </si>
  <si>
    <t xml:space="preserve"> 4261.0892 </t>
  </si>
  <si>
    <t xml:space="preserve"> 35.7716 </t>
  </si>
  <si>
    <t xml:space="preserve">C:\Users\andre\Desktop\REACTIV CEFAS\Cefuroxime\Cefuroxime/20201124_Cefas_Test7_Run1/Plate 4/@11/G5_03.tif </t>
  </si>
  <si>
    <t xml:space="preserve"> 39.0236 </t>
  </si>
  <si>
    <t>C:\Users\andre\Desktop\REACTIV CEFAS\Cefuroxime\Cefuroxime/20201124_Cefas_Test7_Run1/Plate 4/@11/H5_01- exclu.tif</t>
  </si>
  <si>
    <t xml:space="preserve">C:\Users\andre\Desktop\REACTIV CEFAS\Cefuroxime\Cefuroxime/20201124_Cefas_Test7_Run1/Plate 4/@11/H5_02.tif </t>
  </si>
  <si>
    <t xml:space="preserve">C:\Users\andre\Desktop\REACTIV CEFAS\Cefuroxime\Cefuroxime/20201124_Cefas_Test7_Run1/Plate 4/@11/H5_03.tif </t>
  </si>
  <si>
    <t xml:space="preserve">C:\Users\andre\Desktop\REACTIV CEFAS\Cefuroxime\Cefuroxime/20201124_Cefas_Test7_Run1/Plate 4/@11/ </t>
  </si>
  <si>
    <t xml:space="preserve"> 24.484 </t>
  </si>
  <si>
    <t xml:space="preserve"> 17.954 </t>
  </si>
  <si>
    <t xml:space="preserve"> 135843.875 </t>
  </si>
  <si>
    <t xml:space="preserve"> 157938.382 </t>
  </si>
  <si>
    <t xml:space="preserve">C:\Users\andre\Desktop\REACTIV CEFAS\Cefuroxime\Cefuroxime/20201124_Cefas_Test7_Run1/Plate 4/@12/A6_01.tif </t>
  </si>
  <si>
    <t xml:space="preserve"> 4845.0964 </t>
  </si>
  <si>
    <t xml:space="preserve"> 38.7723 </t>
  </si>
  <si>
    <t xml:space="preserve">C:\Users\andre\Desktop\REACTIV CEFAS\Cefuroxime\Cefuroxime/20201124_Cefas_Test7_Run1/Plate 4/@12/A6_02.tif </t>
  </si>
  <si>
    <t xml:space="preserve"> 6835.0467 </t>
  </si>
  <si>
    <t xml:space="preserve"> 41.4146 </t>
  </si>
  <si>
    <t xml:space="preserve">C:\Users\andre\Desktop\REACTIV CEFAS\Cefuroxime\Cefuroxime/20201124_Cefas_Test7_Run1/Plate 4/@12/A6_03.tif </t>
  </si>
  <si>
    <t xml:space="preserve"> 5602.1427 </t>
  </si>
  <si>
    <t xml:space="preserve"> 38.9382 </t>
  </si>
  <si>
    <t xml:space="preserve">C:\Users\andre\Desktop\REACTIV CEFAS\Cefuroxime\Cefuroxime/20201124_Cefas_Test7_Run1/Plate 4/@12/B6_01.tif </t>
  </si>
  <si>
    <t xml:space="preserve"> 30.4 </t>
  </si>
  <si>
    <t xml:space="preserve">C:\Users\andre\Desktop\REACTIV CEFAS\Cefuroxime\Cefuroxime/20201124_Cefas_Test7_Run1/Plate 4/@12/B6_02.tif </t>
  </si>
  <si>
    <t xml:space="preserve">C:\Users\andre\Desktop\REACTIV CEFAS\Cefuroxime\Cefuroxime/20201124_Cefas_Test7_Run1/Plate 4/@12/B6_03.tif </t>
  </si>
  <si>
    <t xml:space="preserve"> 1254.5339 </t>
  </si>
  <si>
    <t xml:space="preserve"> 33.8793 </t>
  </si>
  <si>
    <t xml:space="preserve">C:\Users\andre\Desktop\REACTIV CEFAS\Cefuroxime\Cefuroxime/20201124_Cefas_Test7_Run1/Plate 4/@12/C6_01.tif </t>
  </si>
  <si>
    <t xml:space="preserve"> 5083.0252 </t>
  </si>
  <si>
    <t xml:space="preserve"> 38.7617 </t>
  </si>
  <si>
    <t xml:space="preserve">C:\Users\andre\Desktop\REACTIV CEFAS\Cefuroxime\Cefuroxime/20201124_Cefas_Test7_Run1/Plate 4/@12/C6_02.tif </t>
  </si>
  <si>
    <t xml:space="preserve"> 2963.2956 </t>
  </si>
  <si>
    <t xml:space="preserve"> 35.708 </t>
  </si>
  <si>
    <t xml:space="preserve">C:\Users\andre\Desktop\REACTIV CEFAS\Cefuroxime\Cefuroxime/20201124_Cefas_Test7_Run1/Plate 4/@12/C6_03.tif </t>
  </si>
  <si>
    <t xml:space="preserve"> 6424.0787 </t>
  </si>
  <si>
    <t xml:space="preserve"> 41.3333 </t>
  </si>
  <si>
    <t xml:space="preserve">C:\Users\andre\Desktop\REACTIV CEFAS\Cefuroxime\Cefuroxime/20201124_Cefas_Test7_Run1/Plate 4/@12/D6_01.tif </t>
  </si>
  <si>
    <t xml:space="preserve"> 3136.3347 </t>
  </si>
  <si>
    <t xml:space="preserve"> 33.6483 </t>
  </si>
  <si>
    <t xml:space="preserve">C:\Users\andre\Desktop\REACTIV CEFAS\Cefuroxime\Cefuroxime/20201124_Cefas_Test7_Run1/Plate 4/@12/D6_02.tif </t>
  </si>
  <si>
    <t xml:space="preserve"> 2746.9966 </t>
  </si>
  <si>
    <t xml:space="preserve"> 33.0787 </t>
  </si>
  <si>
    <t xml:space="preserve">C:\Users\andre\Desktop\REACTIV CEFAS\Cefuroxime\Cefuroxime/20201124_Cefas_Test7_Run1/Plate 4/@12/D6_03.tif </t>
  </si>
  <si>
    <t xml:space="preserve"> 5904.9612 </t>
  </si>
  <si>
    <t xml:space="preserve"> 33.4542 </t>
  </si>
  <si>
    <t xml:space="preserve">C:\Users\andre\Desktop\REACTIV CEFAS\Cefuroxime\Cefuroxime/20201124_Cefas_Test7_Run1/Plate 4/@12/E6_01.tif </t>
  </si>
  <si>
    <t xml:space="preserve"> 6034.7406 </t>
  </si>
  <si>
    <t xml:space="preserve"> 36.4875 </t>
  </si>
  <si>
    <t xml:space="preserve">C:\Users\andre\Desktop\REACTIV CEFAS\Cefuroxime\Cefuroxime/20201124_Cefas_Test7_Run1/Plate 4/@12/E6_02.tif </t>
  </si>
  <si>
    <t xml:space="preserve"> 648.8968 </t>
  </si>
  <si>
    <t xml:space="preserve">C:\Users\andre\Desktop\REACTIV CEFAS\Cefuroxime\Cefuroxime/20201124_Cefas_Test7_Run1/Plate 4/@12/E6_03.tif </t>
  </si>
  <si>
    <t xml:space="preserve"> 2379.2884 </t>
  </si>
  <si>
    <t xml:space="preserve"> 32.5545 </t>
  </si>
  <si>
    <t xml:space="preserve">C:\Users\andre\Desktop\REACTIV CEFAS\Cefuroxime\Cefuroxime/20201124_Cefas_Test7_Run1/Plate 4/@12/F6_01.tif </t>
  </si>
  <si>
    <t xml:space="preserve"> 605.637 </t>
  </si>
  <si>
    <t xml:space="preserve"> 32.0714 </t>
  </si>
  <si>
    <t xml:space="preserve">C:\Users\andre\Desktop\REACTIV CEFAS\Cefuroxime\Cefuroxime/20201124_Cefas_Test7_Run1/Plate 4/@12/F6_02.tif </t>
  </si>
  <si>
    <t xml:space="preserve"> 33.0566 </t>
  </si>
  <si>
    <t xml:space="preserve">C:\Users\andre\Desktop\REACTIV CEFAS\Cefuroxime\Cefuroxime/20201124_Cefas_Test7_Run1/Plate 4/@12/F6_03.tif </t>
  </si>
  <si>
    <t xml:space="preserve"> 1492.4627 </t>
  </si>
  <si>
    <t xml:space="preserve"> 31.4928 </t>
  </si>
  <si>
    <t xml:space="preserve">C:\Users\andre\Desktop\REACTIV CEFAS\Cefuroxime\Cefuroxime/20201124_Cefas_Test7_Run1/Plate 4/@12/G6_01.tif </t>
  </si>
  <si>
    <t xml:space="preserve"> 9257.5949 </t>
  </si>
  <si>
    <t xml:space="preserve"> 36.8575 </t>
  </si>
  <si>
    <t xml:space="preserve">C:\Users\andre\Desktop\REACTIV CEFAS\Cefuroxime\Cefuroxime/20201124_Cefas_Test7_Run1/Plate 4/@12/G6_02.tif </t>
  </si>
  <si>
    <t xml:space="preserve"> 10987.9865 </t>
  </si>
  <si>
    <t xml:space="preserve"> 42.7736 </t>
  </si>
  <si>
    <t xml:space="preserve">C:\Users\andre\Desktop\REACTIV CEFAS\Cefuroxime\Cefuroxime/20201124_Cefas_Test7_Run1/Plate 4/@12/G6_03.tif </t>
  </si>
  <si>
    <t xml:space="preserve">C:\Users\andre\Desktop\REACTIV CEFAS\Cefuroxime\Cefuroxime/20201124_Cefas_Test7_Run1/Plate 4/@12/H6_01.tif </t>
  </si>
  <si>
    <t xml:space="preserve"> 8392.3991 </t>
  </si>
  <si>
    <t xml:space="preserve"> 39.3299 </t>
  </si>
  <si>
    <t xml:space="preserve">C:\Users\andre\Desktop\REACTIV CEFAS\Cefuroxime\Cefuroxime/20201124_Cefas_Test7_Run1/Plate 4/@12/H6_02.tif </t>
  </si>
  <si>
    <t xml:space="preserve"> 6359.189 </t>
  </si>
  <si>
    <t xml:space="preserve"> 33.7109 </t>
  </si>
  <si>
    <t xml:space="preserve">C:\Users\andre\Desktop\REACTIV CEFAS\Cefuroxime\Cefuroxime/20201124_Cefas_Test7_Run1/Plate 4/@12/H6_03.tif </t>
  </si>
  <si>
    <t xml:space="preserve"> 32.3333 </t>
  </si>
  <si>
    <t xml:space="preserve">C:\Users\andre\Desktop\REACTIV CEFAS\Cefuroxime\Cefuroxime/20201124_Cefas_Test7_Run1/Plate 4/@12/ </t>
  </si>
  <si>
    <t xml:space="preserve"> 33.8496 </t>
  </si>
  <si>
    <t xml:space="preserve"> 8.0835 </t>
  </si>
  <si>
    <t xml:space="preserve"> 146628.167 </t>
  </si>
  <si>
    <t xml:space="preserve"> 129086.245 </t>
  </si>
  <si>
    <t xml:space="preserve">C:\Users\andre\Desktop\REACTIV CEFAS\Cefuroxime\Cefuroxime/20201124_Cefas_Test7_Run1/Plate 4/@17/A8_01.tif </t>
  </si>
  <si>
    <t xml:space="preserve"> 9733.4526 </t>
  </si>
  <si>
    <t xml:space="preserve"> 37.9778 </t>
  </si>
  <si>
    <t xml:space="preserve">C:\Users\andre\Desktop\REACTIV CEFAS\Cefuroxime\Cefuroxime/20201124_Cefas_Test7_Run1/Plate 4/@17/A8_02.tif </t>
  </si>
  <si>
    <t xml:space="preserve"> 11874.8122 </t>
  </si>
  <si>
    <t xml:space="preserve"> 40.7413 </t>
  </si>
  <si>
    <t xml:space="preserve">C:\Users\andre\Desktop\REACTIV CEFAS\Cefuroxime\Cefuroxime/20201124_Cefas_Test7_Run1/Plate 4/@17/A8_03.tif </t>
  </si>
  <si>
    <t xml:space="preserve"> 8976.4063 </t>
  </si>
  <si>
    <t xml:space="preserve"> 41.2361 </t>
  </si>
  <si>
    <t xml:space="preserve">C:\Users\andre\Desktop\REACTIV CEFAS\Cefuroxime\Cefuroxime/20201124_Cefas_Test7_Run1/Plate 4/@17/B8_01.tif </t>
  </si>
  <si>
    <t xml:space="preserve"> 20656.5494 </t>
  </si>
  <si>
    <t xml:space="preserve"> 37.4586 </t>
  </si>
  <si>
    <t xml:space="preserve">C:\Users\andre\Desktop\REACTIV CEFAS\Cefuroxime\Cefuroxime/20201124_Cefas_Test7_Run1/Plate 4/@17/B8_02.tif </t>
  </si>
  <si>
    <t xml:space="preserve"> 11615.2534 </t>
  </si>
  <si>
    <t xml:space="preserve"> 34.1043 </t>
  </si>
  <si>
    <t xml:space="preserve">C:\Users\andre\Desktop\REACTIV CEFAS\Cefuroxime\Cefuroxime/20201124_Cefas_Test7_Run1/Plate 4/@17/B8_03.tif </t>
  </si>
  <si>
    <t xml:space="preserve"> 12220.8905 </t>
  </si>
  <si>
    <t xml:space="preserve"> 33.7522 </t>
  </si>
  <si>
    <t xml:space="preserve">C:\Users\andre\Desktop\REACTIV CEFAS\Cefuroxime\Cefuroxime/20201124_Cefas_Test7_Run1/Plate 4/@17/C8_01.tif </t>
  </si>
  <si>
    <t xml:space="preserve"> 38.5941 </t>
  </si>
  <si>
    <t xml:space="preserve">C:\Users\andre\Desktop\REACTIV CEFAS\Cefuroxime\Cefuroxime/20201124_Cefas_Test7_Run1/Plate 4/@17/C8_02.tif </t>
  </si>
  <si>
    <t xml:space="preserve"> 8457.2888 </t>
  </si>
  <si>
    <t xml:space="preserve"> 37.798 </t>
  </si>
  <si>
    <t xml:space="preserve">C:\Users\andre\Desktop\REACTIV CEFAS\Cefuroxime\Cefuroxime/20201124_Cefas_Test7_Run1/Plate 4/@17/C8_03.tif </t>
  </si>
  <si>
    <t xml:space="preserve"> 40.7268 </t>
  </si>
  <si>
    <t xml:space="preserve">C:\Users\andre\Desktop\REACTIV CEFAS\Cefuroxime\Cefuroxime/20201124_Cefas_Test7_Run1/Plate 4/@17/D8_01.tif </t>
  </si>
  <si>
    <t xml:space="preserve"> 11939.7018 </t>
  </si>
  <si>
    <t xml:space="preserve"> 36.2971 </t>
  </si>
  <si>
    <t xml:space="preserve">C:\Users\andre\Desktop\REACTIV CEFAS\Cefuroxime\Cefuroxime/20201124_Cefas_Test7_Run1/Plate 4/@17/D8_02.tif </t>
  </si>
  <si>
    <t xml:space="preserve"> 11550.3637 </t>
  </si>
  <si>
    <t xml:space="preserve"> 39.0449 </t>
  </si>
  <si>
    <t xml:space="preserve">C:\Users\andre\Desktop\REACTIV CEFAS\Cefuroxime\Cefuroxime/20201124_Cefas_Test7_Run1/Plate 4/@17/D8_03.tif </t>
  </si>
  <si>
    <t xml:space="preserve"> 9127.8155 </t>
  </si>
  <si>
    <t xml:space="preserve"> 36.5569 </t>
  </si>
  <si>
    <t xml:space="preserve">C:\Users\andre\Desktop\REACTIV CEFAS\Cefuroxime\Cefuroxime/20201124_Cefas_Test7_Run1/Plate 4/@17/E8_01.tif </t>
  </si>
  <si>
    <t xml:space="preserve"> 1211.2741 </t>
  </si>
  <si>
    <t xml:space="preserve"> 31.5536 </t>
  </si>
  <si>
    <t>C:\Users\andre\Desktop\REACTIV CEFAS\Cefuroxime\Cefuroxime/20201124_Cefas_Test7_Run1/Plate 4/@17/E8_02- exclu.tif</t>
  </si>
  <si>
    <t>C:\Users\andre\Desktop\REACTIV CEFAS\Cefuroxime\Cefuroxime/20201124_Cefas_Test7_Run1/Plate 4/@17/E8_03- exclu.tif</t>
  </si>
  <si>
    <t xml:space="preserve">C:\Users\andre\Desktop\REACTIV CEFAS\Cefuroxime\Cefuroxime/20201124_Cefas_Test7_Run1/Plate 4/@17/F8_01.tif </t>
  </si>
  <si>
    <t xml:space="preserve"> 56994.7723 </t>
  </si>
  <si>
    <t xml:space="preserve"> 41.0869 </t>
  </si>
  <si>
    <t xml:space="preserve">C:\Users\andre\Desktop\REACTIV CEFAS\Cefuroxime\Cefuroxime/20201124_Cefas_Test7_Run1/Plate 4/@17/F8_02.tif </t>
  </si>
  <si>
    <t xml:space="preserve"> 57102.9218 </t>
  </si>
  <si>
    <t xml:space="preserve"> 39.9436 </t>
  </si>
  <si>
    <t xml:space="preserve">C:\Users\andre\Desktop\REACTIV CEFAS\Cefuroxime\Cefuroxime/20201124_Cefas_Test7_Run1/Plate 4/@17/F8_03.tif </t>
  </si>
  <si>
    <t xml:space="preserve"> 52474.1244 </t>
  </si>
  <si>
    <t xml:space="preserve"> 39.1991 </t>
  </si>
  <si>
    <t xml:space="preserve">C:\Users\andre\Desktop\REACTIV CEFAS\Cefuroxime\Cefuroxime/20201124_Cefas_Test7_Run1/Plate 4/@17/G8_01.tif </t>
  </si>
  <si>
    <t xml:space="preserve"> 13042.8265 </t>
  </si>
  <si>
    <t xml:space="preserve"> 34.8259 </t>
  </si>
  <si>
    <t xml:space="preserve">C:\Users\andre\Desktop\REACTIV CEFAS\Cefuroxime\Cefuroxime/20201124_Cefas_Test7_Run1/Plate 4/@17/G8_02.tif </t>
  </si>
  <si>
    <t xml:space="preserve"> 6402.4488 </t>
  </si>
  <si>
    <t xml:space="preserve"> 33.3142 </t>
  </si>
  <si>
    <t xml:space="preserve">C:\Users\andre\Desktop\REACTIV CEFAS\Cefuroxime\Cefuroxime/20201124_Cefas_Test7_Run1/Plate 4/@17/G8_03.tif </t>
  </si>
  <si>
    <t xml:space="preserve"> 8370.7692 </t>
  </si>
  <si>
    <t xml:space="preserve"> 32.0698 </t>
  </si>
  <si>
    <t xml:space="preserve">C:\Users\andre\Desktop\REACTIV CEFAS\Cefuroxime\Cefuroxime/20201124_Cefas_Test7_Run1/Plate 4/@17/H8_01.tif </t>
  </si>
  <si>
    <t xml:space="preserve"> 48213.0351 </t>
  </si>
  <si>
    <t xml:space="preserve"> 42.7425 </t>
  </si>
  <si>
    <t>C:\Users\andre\Desktop\REACTIV CEFAS\Cefuroxime\Cefuroxime/20201124_Cefas_Test7_Run1/Plate 4/@17/H8_02- exclu.tif</t>
  </si>
  <si>
    <t xml:space="preserve">C:\Users\andre\Desktop\REACTIV CEFAS\Cefuroxime\Cefuroxime/20201124_Cefas_Test7_Run1/Plate 4/@17/H8_03.tif </t>
  </si>
  <si>
    <t xml:space="preserve"> 27599.7455 </t>
  </si>
  <si>
    <t xml:space="preserve"> 38.185 </t>
  </si>
  <si>
    <t xml:space="preserve">C:\Users\andre\Desktop\REACTIV CEFAS\Cefuroxime\Cefuroxime/20201124_Cefas_Test7_Run1/Plate 4/@17/ </t>
  </si>
  <si>
    <t xml:space="preserve"> 37.0036 </t>
  </si>
  <si>
    <t xml:space="preserve"> 3.5369 </t>
  </si>
  <si>
    <t xml:space="preserve"> 685882.125 </t>
  </si>
  <si>
    <t xml:space="preserve"> 723917.251 </t>
  </si>
  <si>
    <t>C:\Users\andre\Desktop\REACTIV CEFAS\Cefuroxime\Cefuroxime/20201124_Cefas_Test7_Run1/Plate 4/@18/A9_01- exclu.tif</t>
  </si>
  <si>
    <t>C:\Users\andre\Desktop\REACTIV CEFAS\Cefuroxime\Cefuroxime/20201124_Cefas_Test7_Run1/Plate 4/@18/A9_02- exclu.tif</t>
  </si>
  <si>
    <t>C:\Users\andre\Desktop\REACTIV CEFAS\Cefuroxime\Cefuroxime/20201124_Cefas_Test7_Run1/Plate 4/@18/A9_03- exclu.tif</t>
  </si>
  <si>
    <t xml:space="preserve">C:\Users\andre\Desktop\REACTIV CEFAS\Cefuroxime\Cefuroxime/20201124_Cefas_Test7_Run1/Plate 4/@18/B9_01.tif </t>
  </si>
  <si>
    <t xml:space="preserve"> 33547.9666 </t>
  </si>
  <si>
    <t xml:space="preserve"> 36.196 </t>
  </si>
  <si>
    <t xml:space="preserve">C:\Users\andre\Desktop\REACTIV CEFAS\Cefuroxime\Cefuroxime/20201124_Cefas_Test7_Run1/Plate 4/@18/B9_02.tif </t>
  </si>
  <si>
    <t xml:space="preserve"> 33288.4078 </t>
  </si>
  <si>
    <t xml:space="preserve"> 34.7323 </t>
  </si>
  <si>
    <t xml:space="preserve">C:\Users\andre\Desktop\REACTIV CEFAS\Cefuroxime\Cefuroxime/20201124_Cefas_Test7_Run1/Plate 4/@18/B9_03.tif </t>
  </si>
  <si>
    <t xml:space="preserve"> 27491.5961 </t>
  </si>
  <si>
    <t xml:space="preserve"> 35.7459 </t>
  </si>
  <si>
    <t xml:space="preserve">C:\Users\andre\Desktop\REACTIV CEFAS\Cefuroxime\Cefuroxime/20201124_Cefas_Test7_Run1/Plate 4/@18/C9_01.tif </t>
  </si>
  <si>
    <t xml:space="preserve"> 12783.2677 </t>
  </si>
  <si>
    <t xml:space="preserve"> 32.6887 </t>
  </si>
  <si>
    <t xml:space="preserve">C:\Users\andre\Desktop\REACTIV CEFAS\Cefuroxime\Cefuroxime/20201124_Cefas_Test7_Run1/Plate 4/@18/C9_02.tif </t>
  </si>
  <si>
    <t xml:space="preserve"> 35.1965 </t>
  </si>
  <si>
    <t xml:space="preserve">C:\Users\andre\Desktop\REACTIV CEFAS\Cefuroxime\Cefuroxime/20201124_Cefas_Test7_Run1/Plate 4/@18/C9_03.tif </t>
  </si>
  <si>
    <t xml:space="preserve"> 10901.4669 </t>
  </si>
  <si>
    <t xml:space="preserve"> 33.0873 </t>
  </si>
  <si>
    <t xml:space="preserve">C:\Users\andre\Desktop\REACTIV CEFAS\Cefuroxime\Cefuroxime/20201124_Cefas_Test7_Run1/Plate 4/@18/D9_01.tif </t>
  </si>
  <si>
    <t xml:space="preserve"> 21348.706 </t>
  </si>
  <si>
    <t xml:space="preserve"> 33.5522 </t>
  </si>
  <si>
    <t xml:space="preserve">C:\Users\andre\Desktop\REACTIV CEFAS\Cefuroxime\Cefuroxime/20201124_Cefas_Test7_Run1/Plate 4/@18/D9_02.tif </t>
  </si>
  <si>
    <t xml:space="preserve"> 17520.2146 </t>
  </si>
  <si>
    <t xml:space="preserve"> 33.979 </t>
  </si>
  <si>
    <t xml:space="preserve">C:\Users\andre\Desktop\REACTIV CEFAS\Cefuroxime\Cefuroxime/20201124_Cefas_Test7_Run1/Plate 4/@18/D9_03.tif </t>
  </si>
  <si>
    <t xml:space="preserve"> 22278.7915 </t>
  </si>
  <si>
    <t xml:space="preserve"> 35.0466 </t>
  </si>
  <si>
    <t xml:space="preserve">C:\Users\andre\Desktop\REACTIV CEFAS\Cefuroxime\Cefuroxime/20201124_Cefas_Test7_Run1/Plate 4/@18/E9_01.tif </t>
  </si>
  <si>
    <t xml:space="preserve"> 12026.2214 </t>
  </si>
  <si>
    <t xml:space="preserve"> 34.7986 </t>
  </si>
  <si>
    <t xml:space="preserve">C:\Users\andre\Desktop\REACTIV CEFAS\Cefuroxime\Cefuroxime/20201124_Cefas_Test7_Run1/Plate 4/@18/E9_02.tif </t>
  </si>
  <si>
    <t xml:space="preserve"> 13172.6058 </t>
  </si>
  <si>
    <t xml:space="preserve"> 42.4483 </t>
  </si>
  <si>
    <t xml:space="preserve">C:\Users\andre\Desktop\REACTIV CEFAS\Cefuroxime\Cefuroxime/20201124_Cefas_Test7_Run1/Plate 4/@18/E9_03.tif </t>
  </si>
  <si>
    <t xml:space="preserve"> 15595.154 </t>
  </si>
  <si>
    <t xml:space="preserve"> 40.871 </t>
  </si>
  <si>
    <t>C:\Users\andre\Desktop\REACTIV CEFAS\Cefuroxime\Cefuroxime/20201124_Cefas_Test7_Run1/Plate 4/@18/F9_01- exclu.tif</t>
  </si>
  <si>
    <t xml:space="preserve">C:\Users\andre\Desktop\REACTIV CEFAS\Cefuroxime\Cefuroxime/20201124_Cefas_Test7_Run1/Plate 4/@18/F9_02.tif </t>
  </si>
  <si>
    <t xml:space="preserve"> 23468.4357 </t>
  </si>
  <si>
    <t xml:space="preserve"> 34.8304 </t>
  </si>
  <si>
    <t xml:space="preserve">C:\Users\andre\Desktop\REACTIV CEFAS\Cefuroxime\Cefuroxime/20201124_Cefas_Test7_Run1/Plate 4/@18/F9_03.tif </t>
  </si>
  <si>
    <t xml:space="preserve"> 20180.6917 </t>
  </si>
  <si>
    <t xml:space="preserve"> 34.09 </t>
  </si>
  <si>
    <t xml:space="preserve">C:\Users\andre\Desktop\REACTIV CEFAS\Cefuroxime\Cefuroxime/20201124_Cefas_Test7_Run1/Plate 4/@18/G9_01.tif </t>
  </si>
  <si>
    <t xml:space="preserve"> 39193.3691 </t>
  </si>
  <si>
    <t xml:space="preserve"> 37.6015 </t>
  </si>
  <si>
    <t xml:space="preserve">C:\Users\andre\Desktop\REACTIV CEFAS\Cefuroxime\Cefuroxime/20201124_Cefas_Test7_Run1/Plate 4/@18/G9_02.tif </t>
  </si>
  <si>
    <t xml:space="preserve"> 36662.6714 </t>
  </si>
  <si>
    <t xml:space="preserve"> 36.1994 </t>
  </si>
  <si>
    <t xml:space="preserve">C:\Users\andre\Desktop\REACTIV CEFAS\Cefuroxime\Cefuroxime/20201124_Cefas_Test7_Run1/Plate 4/@18/G9_03.tif </t>
  </si>
  <si>
    <t xml:space="preserve"> 47672.2878 </t>
  </si>
  <si>
    <t xml:space="preserve"> 40.0195 </t>
  </si>
  <si>
    <t xml:space="preserve">C:\Users\andre\Desktop\REACTIV CEFAS\Cefuroxime\Cefuroxime/20201124_Cefas_Test7_Run1/Plate 4/@18/H9_01.tif </t>
  </si>
  <si>
    <t xml:space="preserve"> 53382.5799 </t>
  </si>
  <si>
    <t xml:space="preserve"> 39.2447 </t>
  </si>
  <si>
    <t xml:space="preserve">C:\Users\andre\Desktop\REACTIV CEFAS\Cefuroxime\Cefuroxime/20201124_Cefas_Test7_Run1/Plate 4/@18/H9_02.tif </t>
  </si>
  <si>
    <t xml:space="preserve"> 45011.8107 </t>
  </si>
  <si>
    <t xml:space="preserve"> 36.4383 </t>
  </si>
  <si>
    <t xml:space="preserve">C:\Users\andre\Desktop\REACTIV CEFAS\Cefuroxime\Cefuroxime/20201124_Cefas_Test7_Run1/Plate 4/@18/H9_03.tif </t>
  </si>
  <si>
    <t xml:space="preserve"> 51500.7791 </t>
  </si>
  <si>
    <t xml:space="preserve"> 38.7598 </t>
  </si>
  <si>
    <t xml:space="preserve">C:\Users\andre\Desktop\REACTIV CEFAS\Cefuroxime\Cefuroxime/20201124_Cefas_Test7_Run1/Plate 4/@18/ </t>
  </si>
  <si>
    <t xml:space="preserve"> 37.5232 </t>
  </si>
  <si>
    <t xml:space="preserve"> 5.2229 </t>
  </si>
  <si>
    <t xml:space="preserve"> 944000.667 </t>
  </si>
  <si>
    <t xml:space="preserve"> 538216.267 </t>
  </si>
  <si>
    <t xml:space="preserve">C:\Users\andre\Desktop\REACTIV CEFAS\Cefuroxime\Cefuroxime/20201124_Cefas_Test7_Run1/Plate 4/@19/A10_01.tif </t>
  </si>
  <si>
    <t xml:space="preserve"> 13908.0222 </t>
  </si>
  <si>
    <t xml:space="preserve"> 34.8429 </t>
  </si>
  <si>
    <t xml:space="preserve">C:\Users\andre\Desktop\REACTIV CEFAS\Cefuroxime\Cefuroxime/20201124_Cefas_Test7_Run1/Plate 4/@19/A10_02.tif </t>
  </si>
  <si>
    <t xml:space="preserve"> 11723.4029 </t>
  </si>
  <si>
    <t xml:space="preserve"> 33.0111 </t>
  </si>
  <si>
    <t xml:space="preserve">C:\Users\andre\Desktop\REACTIV CEFAS\Cefuroxime\Cefuroxime/20201124_Cefas_Test7_Run1/Plate 4/@19/A10_03.tif </t>
  </si>
  <si>
    <t xml:space="preserve"> 4650.4273 </t>
  </si>
  <si>
    <t xml:space="preserve"> 32.707 </t>
  </si>
  <si>
    <t>C:\Users\andre\Desktop\REACTIV CEFAS\Cefuroxime\Cefuroxime/20201124_Cefas_Test7_Run1/Plate 4/@19/B10_01- exclu.tif</t>
  </si>
  <si>
    <t>C:\Users\andre\Desktop\REACTIV CEFAS\Cefuroxime\Cefuroxime/20201124_Cefas_Test7_Run1/Plate 4/@19/B10_02- exclu.tif</t>
  </si>
  <si>
    <t xml:space="preserve">C:\Users\andre\Desktop\REACTIV CEFAS\Cefuroxime\Cefuroxime/20201124_Cefas_Test7_Run1/Plate 4/@19/B10_03.tif </t>
  </si>
  <si>
    <t xml:space="preserve"> 33.136 </t>
  </si>
  <si>
    <t xml:space="preserve">C:\Users\andre\Desktop\REACTIV CEFAS\Cefuroxime\Cefuroxime/20201124_Cefas_Test7_Run1/Plate 4/@19/C10_01.tif </t>
  </si>
  <si>
    <t xml:space="preserve"> 31731.0554 </t>
  </si>
  <si>
    <t xml:space="preserve"> 42.9243 </t>
  </si>
  <si>
    <t xml:space="preserve">C:\Users\andre\Desktop\REACTIV CEFAS\Cefuroxime\Cefuroxime/20201124_Cefas_Test7_Run1/Plate 4/@19/C10_02.tif </t>
  </si>
  <si>
    <t xml:space="preserve"> 41291.4688 </t>
  </si>
  <si>
    <t xml:space="preserve"> 41.1687 </t>
  </si>
  <si>
    <t xml:space="preserve">C:\Users\andre\Desktop\REACTIV CEFAS\Cefuroxime\Cefuroxime/20201124_Cefas_Test7_Run1/Plate 4/@19/C10_03.tif </t>
  </si>
  <si>
    <t xml:space="preserve"> 62185.9471 </t>
  </si>
  <si>
    <t xml:space="preserve"> 40.9857 </t>
  </si>
  <si>
    <t>C:\Users\andre\Desktop\REACTIV CEFAS\Cefuroxime\Cefuroxime/20201124_Cefas_Test7_Run1/Plate 4/@19/D10_01- exclu.tif</t>
  </si>
  <si>
    <t>C:\Users\andre\Desktop\REACTIV CEFAS\Cefuroxime\Cefuroxime/20201124_Cefas_Test7_Run1/Plate 4/@19/D10_02- exclu.tif</t>
  </si>
  <si>
    <t xml:space="preserve">C:\Users\andre\Desktop\REACTIV CEFAS\Cefuroxime\Cefuroxime/20201124_Cefas_Test7_Run1/Plate 4/@19/D10_03.tif </t>
  </si>
  <si>
    <t xml:space="preserve"> 61688.4595 </t>
  </si>
  <si>
    <t xml:space="preserve"> 44.48 </t>
  </si>
  <si>
    <t xml:space="preserve">C:\Users\andre\Desktop\REACTIV CEFAS\Cefuroxime\Cefuroxime/20201124_Cefas_Test7_Run1/Plate 4/@19/E10_01.tif </t>
  </si>
  <si>
    <t xml:space="preserve"> 302.8185 </t>
  </si>
  <si>
    <t xml:space="preserve"> 33.2857 </t>
  </si>
  <si>
    <t xml:space="preserve">C:\Users\andre\Desktop\REACTIV CEFAS\Cefuroxime\Cefuroxime/20201124_Cefas_Test7_Run1/Plate 4/@19/E10_02.tif </t>
  </si>
  <si>
    <t xml:space="preserve"> 1600.6122 </t>
  </si>
  <si>
    <t xml:space="preserve"> 31.9054 </t>
  </si>
  <si>
    <t xml:space="preserve">C:\Users\andre\Desktop\REACTIV CEFAS\Cefuroxime\Cefuroxime/20201124_Cefas_Test7_Run1/Plate 4/@19/E10_03.tif </t>
  </si>
  <si>
    <t xml:space="preserve"> 32.3901 </t>
  </si>
  <si>
    <t>C:\Users\andre\Desktop\REACTIV CEFAS\Cefuroxime\Cefuroxime/20201124_Cefas_Test7_Run1/Plate 4/@19/F10_01- exclu.tif</t>
  </si>
  <si>
    <t>C:\Users\andre\Desktop\REACTIV CEFAS\Cefuroxime\Cefuroxime/20201124_Cefas_Test7_Run1/Plate 4/@19/F10_02- exclu.tif</t>
  </si>
  <si>
    <t xml:space="preserve">C:\Users\andre\Desktop\REACTIV CEFAS\Cefuroxime\Cefuroxime/20201124_Cefas_Test7_Run1/Plate 4/@19/F10_03.tif </t>
  </si>
  <si>
    <t xml:space="preserve"> 12891.4172 </t>
  </si>
  <si>
    <t xml:space="preserve"> 34.2584 </t>
  </si>
  <si>
    <t xml:space="preserve">C:\Users\andre\Desktop\REACTIV CEFAS\Cefuroxime\Cefuroxime/20201124_Cefas_Test7_Run1/Plate 4/@19/G10_01.tif </t>
  </si>
  <si>
    <t xml:space="preserve"> 31.3305 </t>
  </si>
  <si>
    <t>C:\Users\andre\Desktop\REACTIV CEFAS\Cefuroxime\Cefuroxime/20201124_Cefas_Test7_Run1/Plate 4/@19/G10_02- exclu.tif</t>
  </si>
  <si>
    <t>C:\Users\andre\Desktop\REACTIV CEFAS\Cefuroxime\Cefuroxime/20201124_Cefas_Test7_Run1/Plate 4/@19/G10_03- exclu.tif</t>
  </si>
  <si>
    <t xml:space="preserve">C:\Users\andre\Desktop\REACTIV CEFAS\Cefuroxime\Cefuroxime/20201124_Cefas_Test7_Run1/Plate 4/@19/H10_01.tif </t>
  </si>
  <si>
    <t xml:space="preserve"> 70210.638 </t>
  </si>
  <si>
    <t xml:space="preserve"> 41.8993 </t>
  </si>
  <si>
    <t xml:space="preserve">C:\Users\andre\Desktop\REACTIV CEFAS\Cefuroxime\Cefuroxime/20201124_Cefas_Test7_Run1/Plate 4/@19/H10_02.tif </t>
  </si>
  <si>
    <t xml:space="preserve"> 64111.0077 </t>
  </si>
  <si>
    <t xml:space="preserve"> 40.889 </t>
  </si>
  <si>
    <t xml:space="preserve">C:\Users\andre\Desktop\REACTIV CEFAS\Cefuroxime\Cefuroxime/20201124_Cefas_Test7_Run1/Plate 4/@19/H10_03.tif </t>
  </si>
  <si>
    <t xml:space="preserve"> 63894.7087 </t>
  </si>
  <si>
    <t xml:space="preserve"> 40.6185 </t>
  </si>
  <si>
    <t xml:space="preserve">C:\Users\andre\Desktop\REACTIV CEFAS\Cefuroxime\Cefuroxime/20201124_Cefas_Test7_Run1/Plate 4/@19/ </t>
  </si>
  <si>
    <t xml:space="preserve"> 36.5994 </t>
  </si>
  <si>
    <t xml:space="preserve"> 5.2114 </t>
  </si>
  <si>
    <t xml:space="preserve"> 980230.708 </t>
  </si>
  <si>
    <t xml:space="preserve"> 1134853.71 </t>
  </si>
  <si>
    <t xml:space="preserve">C:\Users\andre\Desktop\REACTIV CEFAS\Cefuroxime\Cefuroxime/20201124_Cefas_Test7_Run1/Plate 4/@20/A11_01.tif </t>
  </si>
  <si>
    <t xml:space="preserve"> 10166.0505 </t>
  </si>
  <si>
    <t xml:space="preserve"> 33.6362 </t>
  </si>
  <si>
    <t xml:space="preserve">C:\Users\andre\Desktop\REACTIV CEFAS\Cefuroxime\Cefuroxime/20201124_Cefas_Test7_Run1/Plate 4/@20/A11_02.tif </t>
  </si>
  <si>
    <t xml:space="preserve"> 21521.7452 </t>
  </si>
  <si>
    <t xml:space="preserve"> 35.3809 </t>
  </si>
  <si>
    <t xml:space="preserve">C:\Users\andre\Desktop\REACTIV CEFAS\Cefuroxime\Cefuroxime/20201124_Cefas_Test7_Run1/Plate 4/@20/A11_03.tif </t>
  </si>
  <si>
    <t xml:space="preserve"> 13626.8336 </t>
  </si>
  <si>
    <t xml:space="preserve"> 33.9683 </t>
  </si>
  <si>
    <t xml:space="preserve">C:\Users\andre\Desktop\REACTIV CEFAS\Cefuroxime\Cefuroxime/20201124_Cefas_Test7_Run1/Plate 4/@20/B11_01.tif </t>
  </si>
  <si>
    <t xml:space="preserve"> 38090.2444 </t>
  </si>
  <si>
    <t xml:space="preserve"> 36.9926 </t>
  </si>
  <si>
    <t xml:space="preserve">C:\Users\andre\Desktop\REACTIV CEFAS\Cefuroxime\Cefuroxime/20201124_Cefas_Test7_Run1/Plate 4/@20/B11_02.tif </t>
  </si>
  <si>
    <t xml:space="preserve"> 41853.8461 </t>
  </si>
  <si>
    <t xml:space="preserve"> 36.4165 </t>
  </si>
  <si>
    <t xml:space="preserve">C:\Users\andre\Desktop\REACTIV CEFAS\Cefuroxime\Cefuroxime/20201124_Cefas_Test7_Run1/Plate 4/@20/B11_03.tif </t>
  </si>
  <si>
    <t xml:space="preserve"> 64327.3066 </t>
  </si>
  <si>
    <t xml:space="preserve"> 39.3164 </t>
  </si>
  <si>
    <t xml:space="preserve">C:\Users\andre\Desktop\REACTIV CEFAS\Cefuroxime\Cefuroxime/20201124_Cefas_Test7_Run1/Plate 4/@20/C11_01.tif </t>
  </si>
  <si>
    <t xml:space="preserve"> 33.6721 </t>
  </si>
  <si>
    <t xml:space="preserve">C:\Users\andre\Desktop\REACTIV CEFAS\Cefuroxime\Cefuroxime/20201124_Cefas_Test7_Run1/Plate 4/@20/C11_02.tif </t>
  </si>
  <si>
    <t xml:space="preserve"> 14859.7376 </t>
  </si>
  <si>
    <t xml:space="preserve"> 33.639 </t>
  </si>
  <si>
    <t xml:space="preserve">C:\Users\andre\Desktop\REACTIV CEFAS\Cefuroxime\Cefuroxime/20201124_Cefas_Test7_Run1/Plate 4/@20/C11_03.tif </t>
  </si>
  <si>
    <t xml:space="preserve"> 12566.9688 </t>
  </si>
  <si>
    <t xml:space="preserve"> 34.4234 </t>
  </si>
  <si>
    <t xml:space="preserve">C:\Users\andre\Desktop\REACTIV CEFAS\Cefuroxime\Cefuroxime/20201124_Cefas_Test7_Run1/Plate 4/@20/D11_01.tif </t>
  </si>
  <si>
    <t xml:space="preserve"> 6748.5271 </t>
  </si>
  <si>
    <t xml:space="preserve"> 34.266 </t>
  </si>
  <si>
    <t xml:space="preserve">C:\Users\andre\Desktop\REACTIV CEFAS\Cefuroxime\Cefuroxime/20201124_Cefas_Test7_Run1/Plate 4/@20/D11_02.tif </t>
  </si>
  <si>
    <t xml:space="preserve"> 4866.7263 </t>
  </si>
  <si>
    <t xml:space="preserve"> 33.4533 </t>
  </si>
  <si>
    <t>C:\Users\andre\Desktop\REACTIV CEFAS\Cefuroxime\Cefuroxime/20201124_Cefas_Test7_Run1/Plate 4/@20/D11_03- exclu.tif</t>
  </si>
  <si>
    <t xml:space="preserve">C:\Users\andre\Desktop\REACTIV CEFAS\Cefuroxime\Cefuroxime/20201124_Cefas_Test7_Run1/Plate 4/@20/E11_01.tif </t>
  </si>
  <si>
    <t xml:space="preserve"> 45466.0385 </t>
  </si>
  <si>
    <t xml:space="preserve"> 37.519 </t>
  </si>
  <si>
    <t xml:space="preserve">C:\Users\andre\Desktop\REACTIV CEFAS\Cefuroxime\Cefuroxime/20201124_Cefas_Test7_Run1/Plate 4/@20/E11_02.tif </t>
  </si>
  <si>
    <t xml:space="preserve"> 50008.3164 </t>
  </si>
  <si>
    <t xml:space="preserve"> 40.9109 </t>
  </si>
  <si>
    <t xml:space="preserve">C:\Users\andre\Desktop\REACTIV CEFAS\Cefuroxime\Cefuroxime/20201124_Cefas_Test7_Run1/Plate 4/@20/E11_03.tif </t>
  </si>
  <si>
    <t xml:space="preserve"> 49164.7505 </t>
  </si>
  <si>
    <t xml:space="preserve"> 38.938 </t>
  </si>
  <si>
    <t xml:space="preserve">C:\Users\andre\Desktop\REACTIV CEFAS\Cefuroxime\Cefuroxime/20201124_Cefas_Test7_Run1/Plate 4/@20/F11_01.tif </t>
  </si>
  <si>
    <t xml:space="preserve"> 48710.5227 </t>
  </si>
  <si>
    <t xml:space="preserve"> 45.5071 </t>
  </si>
  <si>
    <t xml:space="preserve">C:\Users\andre\Desktop\REACTIV CEFAS\Cefuroxime\Cefuroxime/20201124_Cefas_Test7_Run1/Plate 4/@20/F11_02.tif </t>
  </si>
  <si>
    <t xml:space="preserve"> 47196.4301 </t>
  </si>
  <si>
    <t xml:space="preserve"> 44.6948 </t>
  </si>
  <si>
    <t xml:space="preserve">C:\Users\andre\Desktop\REACTIV CEFAS\Cefuroxime\Cefuroxime/20201124_Cefas_Test7_Run1/Plate 4/@20/F11_03.tif </t>
  </si>
  <si>
    <t xml:space="preserve"> 44730.6221 </t>
  </si>
  <si>
    <t xml:space="preserve"> 46.0817 </t>
  </si>
  <si>
    <t>C:\Users\andre\Desktop\REACTIV CEFAS\Cefuroxime\Cefuroxime/20201124_Cefas_Test7_Run1/Plate 4/@20/G11_01- exclu.tif</t>
  </si>
  <si>
    <t>C:\Users\andre\Desktop\REACTIV CEFAS\Cefuroxime\Cefuroxime/20201124_Cefas_Test7_Run1/Plate 4/@20/G11_02- exclu.tif</t>
  </si>
  <si>
    <t>C:\Users\andre\Desktop\REACTIV CEFAS\Cefuroxime\Cefuroxime/20201124_Cefas_Test7_Run1/Plate 4/@20/G11_03- exclu.tif</t>
  </si>
  <si>
    <t xml:space="preserve">C:\Users\andre\Desktop\REACTIV CEFAS\Cefuroxime\Cefuroxime/20201124_Cefas_Test7_Run1/Plate 4/@20/H11_01.tif </t>
  </si>
  <si>
    <t xml:space="preserve"> 29632.9556 </t>
  </si>
  <si>
    <t xml:space="preserve"> 35.819 </t>
  </si>
  <si>
    <t xml:space="preserve">C:\Users\andre\Desktop\REACTIV CEFAS\Cefuroxime\Cefuroxime/20201124_Cefas_Test7_Run1/Plate 4/@20/H11_02.tif </t>
  </si>
  <si>
    <t xml:space="preserve"> 28162.1228 </t>
  </si>
  <si>
    <t xml:space="preserve"> 36.2972 </t>
  </si>
  <si>
    <t xml:space="preserve">C:\Users\andre\Desktop\REACTIV CEFAS\Cefuroxime\Cefuroxime/20201124_Cefas_Test7_Run1/Plate 4/@20/H11_03.tif </t>
  </si>
  <si>
    <t xml:space="preserve"> 26453.3611 </t>
  </si>
  <si>
    <t xml:space="preserve"> 35.8144 </t>
  </si>
  <si>
    <t xml:space="preserve">C:\Users\andre\Desktop\REACTIV CEFAS\Cefuroxime\Cefuroxime/20201124_Cefas_Test7_Run1/Plate 4/@20/ </t>
  </si>
  <si>
    <t xml:space="preserve"> 37.118 </t>
  </si>
  <si>
    <t xml:space="preserve"> 3.9077 </t>
  </si>
  <si>
    <t xml:space="preserve"> 1034460.5 </t>
  </si>
  <si>
    <t xml:space="preserve"> 789118.935 </t>
  </si>
  <si>
    <t xml:space="preserve">C:\Users\andre\Desktop\REACTIV CEFAS\Cefuroxime\Cefuroxime/20201124_Cefas_Test7_Run1/Plate 4/@21/A12_01.tif </t>
  </si>
  <si>
    <t xml:space="preserve"> 562.3773 </t>
  </si>
  <si>
    <t xml:space="preserve"> 31.7692 </t>
  </si>
  <si>
    <t xml:space="preserve">C:\Users\andre\Desktop\REACTIV CEFAS\Cefuroxime\Cefuroxime/20201124_Cefas_Test7_Run1/Plate 4/@21/A12_02.tif </t>
  </si>
  <si>
    <t xml:space="preserve"> 1968.3204 </t>
  </si>
  <si>
    <t xml:space="preserve"> 32.1758 </t>
  </si>
  <si>
    <t xml:space="preserve">C:\Users\andre\Desktop\REACTIV CEFAS\Cefuroxime\Cefuroxime/20201124_Cefas_Test7_Run1/Plate 4/@21/A12_03.tif </t>
  </si>
  <si>
    <t xml:space="preserve"> 3114.7048 </t>
  </si>
  <si>
    <t xml:space="preserve"> 35.5972 </t>
  </si>
  <si>
    <t xml:space="preserve">C:\Users\andre\Desktop\REACTIV CEFAS\Cefuroxime\Cefuroxime/20201124_Cefas_Test7_Run1/Plate 4/@21/B12_01.tif </t>
  </si>
  <si>
    <t xml:space="preserve"> 692.1566 </t>
  </si>
  <si>
    <t xml:space="preserve"> 31.5312 </t>
  </si>
  <si>
    <t xml:space="preserve">C:\Users\andre\Desktop\REACTIV CEFAS\Cefuroxime\Cefuroxime/20201124_Cefas_Test7_Run1/Plate 4/@21/B12_02.tif </t>
  </si>
  <si>
    <t xml:space="preserve"> 2573.9575 </t>
  </si>
  <si>
    <t xml:space="preserve">C:\Users\andre\Desktop\REACTIV CEFAS\Cefuroxime\Cefuroxime/20201124_Cefas_Test7_Run1/Plate 4/@21/B12_03.tif </t>
  </si>
  <si>
    <t xml:space="preserve"> 821.936 </t>
  </si>
  <si>
    <t xml:space="preserve"> 31.0526 </t>
  </si>
  <si>
    <t xml:space="preserve">C:\Users\andre\Desktop\REACTIV CEFAS\Cefuroxime\Cefuroxime/20201124_Cefas_Test7_Run1/Plate 4/@21/C12_01.tif </t>
  </si>
  <si>
    <t xml:space="preserve"> 3482.413 </t>
  </si>
  <si>
    <t xml:space="preserve"> 31.205 </t>
  </si>
  <si>
    <t xml:space="preserve">C:\Users\andre\Desktop\REACTIV CEFAS\Cefuroxime\Cefuroxime/20201124_Cefas_Test7_Run1/Plate 4/@21/C12_02.tif </t>
  </si>
  <si>
    <t xml:space="preserve"> 1946.6905 </t>
  </si>
  <si>
    <t xml:space="preserve"> 31.7 </t>
  </si>
  <si>
    <t xml:space="preserve">C:\Users\andre\Desktop\REACTIV CEFAS\Cefuroxime\Cefuroxime/20201124_Cefas_Test7_Run1/Plate 4/@21/C12_03.tif </t>
  </si>
  <si>
    <t xml:space="preserve"> 1124.7545 </t>
  </si>
  <si>
    <t xml:space="preserve"> 31.8269 </t>
  </si>
  <si>
    <t xml:space="preserve">C:\Users\andre\Desktop\REACTIV CEFAS\Cefuroxime\Cefuroxime/20201124_Cefas_Test7_Run1/Plate 4/@21/D12_01.tif </t>
  </si>
  <si>
    <t xml:space="preserve"> 12156.0008 </t>
  </si>
  <si>
    <t xml:space="preserve"> 34.194 </t>
  </si>
  <si>
    <t>C:\Users\andre\Desktop\REACTIV CEFAS\Cefuroxime\Cefuroxime/20201124_Cefas_Test7_Run1/Plate 4/@21/D12_02- exclu.tif</t>
  </si>
  <si>
    <t>C:\Users\andre\Desktop\REACTIV CEFAS\Cefuroxime\Cefuroxime/20201124_Cefas_Test7_Run1/Plate 4/@21/D12_03- exclu.tif</t>
  </si>
  <si>
    <t xml:space="preserve">C:\Users\andre\Desktop\REACTIV CEFAS\Cefuroxime\Cefuroxime/20201124_Cefas_Test7_Run1/Plate 4/@21/E12_01.tif </t>
  </si>
  <si>
    <t xml:space="preserve"> 26907.5889 </t>
  </si>
  <si>
    <t xml:space="preserve"> 37.3055 </t>
  </si>
  <si>
    <t xml:space="preserve">C:\Users\andre\Desktop\REACTIV CEFAS\Cefuroxime\Cefuroxime/20201124_Cefas_Test7_Run1/Plate 4/@21/E12_02.tif </t>
  </si>
  <si>
    <t xml:space="preserve"> 45595.8179 </t>
  </si>
  <si>
    <t xml:space="preserve"> 38.723 </t>
  </si>
  <si>
    <t xml:space="preserve">C:\Users\andre\Desktop\REACTIV CEFAS\Cefuroxime\Cefuroxime/20201124_Cefas_Test7_Run1/Plate 4/@21/E12_03.tif </t>
  </si>
  <si>
    <t xml:space="preserve"> 38068.6145 </t>
  </si>
  <si>
    <t xml:space="preserve"> 38.608 </t>
  </si>
  <si>
    <t xml:space="preserve">C:\Users\andre\Desktop\REACTIV CEFAS\Cefuroxime\Cefuroxime/20201124_Cefas_Test7_Run1/Plate 4/@21/F12_01.tif </t>
  </si>
  <si>
    <t xml:space="preserve"> 28811.0196 </t>
  </si>
  <si>
    <t xml:space="preserve"> 39.5646 </t>
  </si>
  <si>
    <t>C:\Users\andre\Desktop\REACTIV CEFAS\Cefuroxime\Cefuroxime/20201124_Cefas_Test7_Run1/Plate 4/@21/F12_02- exclu.tif</t>
  </si>
  <si>
    <t xml:space="preserve">C:\Users\andre\Desktop\REACTIV CEFAS\Cefuroxime\Cefuroxime/20201124_Cefas_Test7_Run1/Plate 4/@21/F12_03.tif </t>
  </si>
  <si>
    <t xml:space="preserve"> 29265.2474 </t>
  </si>
  <si>
    <t xml:space="preserve"> 36.6445 </t>
  </si>
  <si>
    <t xml:space="preserve">C:\Users\andre\Desktop\REACTIV CEFAS\Cefuroxime\Cefuroxime/20201124_Cefas_Test7_Run1/Plate 4/@21/G12_01.tif </t>
  </si>
  <si>
    <t xml:space="preserve"> 44817.1417 </t>
  </si>
  <si>
    <t xml:space="preserve"> 40.8644 </t>
  </si>
  <si>
    <t xml:space="preserve">C:\Users\andre\Desktop\REACTIV CEFAS\Cefuroxime\Cefuroxime/20201124_Cefas_Test7_Run1/Plate 4/@21/G12_02.tif </t>
  </si>
  <si>
    <t xml:space="preserve"> 44276.3943 </t>
  </si>
  <si>
    <t xml:space="preserve"> 41.6629 </t>
  </si>
  <si>
    <t xml:space="preserve">C:\Users\andre\Desktop\REACTIV CEFAS\Cefuroxime\Cefuroxime/20201124_Cefas_Test7_Run1/Plate 4/@21/G12_03.tif </t>
  </si>
  <si>
    <t xml:space="preserve"> 38890.5505 </t>
  </si>
  <si>
    <t xml:space="preserve"> 39.3276 </t>
  </si>
  <si>
    <t xml:space="preserve">C:\Users\andre\Desktop\REACTIV CEFAS\Cefuroxime\Cefuroxime/20201124_Cefas_Test7_Run1/Plate 4/@21/H12_01.tif </t>
  </si>
  <si>
    <t xml:space="preserve"> 10750.0576 </t>
  </si>
  <si>
    <t xml:space="preserve"> 33.7726 </t>
  </si>
  <si>
    <t xml:space="preserve">C:\Users\andre\Desktop\REACTIV CEFAS\Cefuroxime\Cefuroxime/20201124_Cefas_Test7_Run1/Plate 4/@21/H12_02.tif </t>
  </si>
  <si>
    <t xml:space="preserve"> 10490.4989 </t>
  </si>
  <si>
    <t xml:space="preserve"> 34.8124 </t>
  </si>
  <si>
    <t xml:space="preserve">C:\Users\andre\Desktop\REACTIV CEFAS\Cefuroxime\Cefuroxime/20201124_Cefas_Test7_Run1/Plate 4/@21/H12_03.tif </t>
  </si>
  <si>
    <t xml:space="preserve"> 13021.1966 </t>
  </si>
  <si>
    <t xml:space="preserve"> 34.7525 </t>
  </si>
  <si>
    <t xml:space="preserve">C:\Users\andre\Desktop\REACTIV CEFAS\Cefuroxime\Cefuroxime/20201124_Cefas_Test7_Run1/Plate 4/@21/ </t>
  </si>
  <si>
    <t xml:space="preserve"> 35.6166 </t>
  </si>
  <si>
    <t xml:space="preserve"> 3.6369 </t>
  </si>
  <si>
    <t xml:space="preserve"> 678655.042 </t>
  </si>
  <si>
    <t xml:space="preserve"> 669625.136 </t>
  </si>
  <si>
    <t xml:space="preserve">C:\Users\andre\Desktop\REACTIV CEFAS\Cefuroxime\Cefuroxime/20201124_Cefas_Test7_Run1/Plate 4/@8/A2_01.tif </t>
  </si>
  <si>
    <t xml:space="preserve">C:\Users\andre\Desktop\REACTIV CEFAS\Cefuroxime\Cefuroxime/20201124_Cefas_Test7_Run1/Plate 4/@8/A2_02.tif </t>
  </si>
  <si>
    <t xml:space="preserve">C:\Users\andre\Desktop\REACTIV CEFAS\Cefuroxime\Cefuroxime/20201124_Cefas_Test7_Run1/Plate 4/@8/A2_03.tif </t>
  </si>
  <si>
    <t xml:space="preserve"> 173.0392 </t>
  </si>
  <si>
    <t xml:space="preserve"> 30.375 </t>
  </si>
  <si>
    <t xml:space="preserve">C:\Users\andre\Desktop\REACTIV CEFAS\Cefuroxime\Cefuroxime/20201124_Cefas_Test7_Run1/Plate 4/@8/B2_01.tif </t>
  </si>
  <si>
    <t xml:space="preserve"> 32.125 </t>
  </si>
  <si>
    <t xml:space="preserve">C:\Users\andre\Desktop\REACTIV CEFAS\Cefuroxime\Cefuroxime/20201124_Cefas_Test7_Run1/Plate 4/@8/B2_02.tif </t>
  </si>
  <si>
    <t xml:space="preserve"> 31.2143 </t>
  </si>
  <si>
    <t xml:space="preserve">C:\Users\andre\Desktop\REACTIV CEFAS\Cefuroxime\Cefuroxime/20201124_Cefas_Test7_Run1/Plate 4/@8/B2_03.tif </t>
  </si>
  <si>
    <t xml:space="preserve"> 36.7423 </t>
  </si>
  <si>
    <t>C:\Users\andre\Desktop\REACTIV CEFAS\Cefuroxime\Cefuroxime/20201124_Cefas_Test7_Run1/Plate 4/@8/C2_01- exclu.tif</t>
  </si>
  <si>
    <t>C:\Users\andre\Desktop\REACTIV CEFAS\Cefuroxime\Cefuroxime/20201124_Cefas_Test7_Run1/Plate 4/@8/C2_02- exclu.tif</t>
  </si>
  <si>
    <t xml:space="preserve">C:\Users\andre\Desktop\REACTIV CEFAS\Cefuroxime\Cefuroxime/20201124_Cefas_Test7_Run1/Plate 4/@8/C2_03.tif </t>
  </si>
  <si>
    <t xml:space="preserve"> 6618.7478 </t>
  </si>
  <si>
    <t xml:space="preserve"> 33.4641 </t>
  </si>
  <si>
    <t xml:space="preserve">C:\Users\andre\Desktop\REACTIV CEFAS\Cefuroxime\Cefuroxime/20201124_Cefas_Test7_Run1/Plate 4/@8/D2_01.tif </t>
  </si>
  <si>
    <t xml:space="preserve"> 3741.9718 </t>
  </si>
  <si>
    <t xml:space="preserve"> 32.8786 </t>
  </si>
  <si>
    <t xml:space="preserve">C:\Users\andre\Desktop\REACTIV CEFAS\Cefuroxime\Cefuroxime/20201124_Cefas_Test7_Run1/Plate 4/@8/D2_02.tif </t>
  </si>
  <si>
    <t xml:space="preserve"> 2011.5802 </t>
  </si>
  <si>
    <t xml:space="preserve"> 31.6559 </t>
  </si>
  <si>
    <t xml:space="preserve">C:\Users\andre\Desktop\REACTIV CEFAS\Cefuroxime\Cefuroxime/20201124_Cefas_Test7_Run1/Plate 4/@8/D2_03.tif </t>
  </si>
  <si>
    <t>C:\Users\andre\Desktop\REACTIV CEFAS\Cefuroxime\Cefuroxime/20201124_Cefas_Test7_Run1/Plate 4/@8/E2_01- exclu.tif</t>
  </si>
  <si>
    <t>C:\Users\andre\Desktop\REACTIV CEFAS\Cefuroxime\Cefuroxime/20201124_Cefas_Test7_Run1/Plate 4/@8/E2_02- exclu.tif</t>
  </si>
  <si>
    <t xml:space="preserve">C:\Users\andre\Desktop\REACTIV CEFAS\Cefuroxime\Cefuroxime/20201124_Cefas_Test7_Run1/Plate 4/@8/E2_03.tif </t>
  </si>
  <si>
    <t xml:space="preserve"> 7051.3456 </t>
  </si>
  <si>
    <t xml:space="preserve"> 37.8374 </t>
  </si>
  <si>
    <t xml:space="preserve">C:\Users\andre\Desktop\REACTIV CEFAS\Cefuroxime\Cefuroxime/20201124_Cefas_Test7_Run1/Plate 4/@8/F2_01.tif </t>
  </si>
  <si>
    <t xml:space="preserve"> 11269.1751 </t>
  </si>
  <si>
    <t xml:space="preserve"> 47.9136 </t>
  </si>
  <si>
    <t xml:space="preserve">C:\Users\andre\Desktop\REACTIV CEFAS\Cefuroxime\Cefuroxime/20201124_Cefas_Test7_Run1/Plate 4/@8/F2_02.tif </t>
  </si>
  <si>
    <t xml:space="preserve"> 10706.7978 </t>
  </si>
  <si>
    <t xml:space="preserve"> 45.2505 </t>
  </si>
  <si>
    <t xml:space="preserve">C:\Users\andre\Desktop\REACTIV CEFAS\Cefuroxime\Cefuroxime/20201124_Cefas_Test7_Run1/Plate 4/@8/F2_03.tif </t>
  </si>
  <si>
    <t xml:space="preserve"> 43.2171 </t>
  </si>
  <si>
    <t xml:space="preserve">C:\Users\andre\Desktop\REACTIV CEFAS\Cefuroxime\Cefuroxime/20201124_Cefas_Test7_Run1/Plate 4/@8/G2_01.tif </t>
  </si>
  <si>
    <t xml:space="preserve"> 31.125 </t>
  </si>
  <si>
    <t xml:space="preserve">C:\Users\andre\Desktop\REACTIV CEFAS\Cefuroxime\Cefuroxime/20201124_Cefas_Test7_Run1/Plate 4/@8/G2_02.tif </t>
  </si>
  <si>
    <t xml:space="preserve"> 454.2278 </t>
  </si>
  <si>
    <t xml:space="preserve"> 32.1429 </t>
  </si>
  <si>
    <t xml:space="preserve">C:\Users\andre\Desktop\REACTIV CEFAS\Cefuroxime\Cefuroxime/20201124_Cefas_Test7_Run1/Plate 4/@8/G2_03.tif </t>
  </si>
  <si>
    <t xml:space="preserve"> 5840.0715 </t>
  </si>
  <si>
    <t xml:space="preserve">C:\Users\andre\Desktop\REACTIV CEFAS\Cefuroxime\Cefuroxime/20201124_Cefas_Test7_Run1/Plate 4/@8/H2_01.tif </t>
  </si>
  <si>
    <t xml:space="preserve"> 3222.8543 </t>
  </si>
  <si>
    <t xml:space="preserve"> 33.5906 </t>
  </si>
  <si>
    <t xml:space="preserve">C:\Users\andre\Desktop\REACTIV CEFAS\Cefuroxime\Cefuroxime/20201124_Cefas_Test7_Run1/Plate 4/@8/H2_02.tif </t>
  </si>
  <si>
    <t xml:space="preserve"> 2898.4059 </t>
  </si>
  <si>
    <t xml:space="preserve"> 33.3806 </t>
  </si>
  <si>
    <t xml:space="preserve">C:\Users\andre\Desktop\REACTIV CEFAS\Cefuroxime\Cefuroxime/20201124_Cefas_Test7_Run1/Plate 4/@8/H2_03.tif </t>
  </si>
  <si>
    <t xml:space="preserve"> 3352.6337 </t>
  </si>
  <si>
    <t xml:space="preserve"> 34.7871 </t>
  </si>
  <si>
    <t xml:space="preserve">C:\Users\andre\Desktop\REACTIV CEFAS\Cefuroxime\Cefuroxime/20201124_Cefas_Test7_Run1/Plate 4/@8/ </t>
  </si>
  <si>
    <t xml:space="preserve"> 33.2619 </t>
  </si>
  <si>
    <t xml:space="preserve"> 11.9107 </t>
  </si>
  <si>
    <t xml:space="preserve"> 166291.583 </t>
  </si>
  <si>
    <t xml:space="preserve"> 210226.618 </t>
  </si>
  <si>
    <t>C:\Users\andre\Desktop\REACTIV CEFAS\Cefuroxime\Cefuroxime/20201124_Cefas_Test7_Run1/Plate 4/@9/A3_01- exclu.tif</t>
  </si>
  <si>
    <t>C:\Users\andre\Desktop\REACTIV CEFAS\Cefuroxime\Cefuroxime/20201124_Cefas_Test7_Run1/Plate 4/@9/A3_02- exclu.tif</t>
  </si>
  <si>
    <t>C:\Users\andre\Desktop\REACTIV CEFAS\Cefuroxime\Cefuroxime/20201124_Cefas_Test7_Run1/Plate 4/@9/A3_03- exclu.tif</t>
  </si>
  <si>
    <t xml:space="preserve">C:\Users\andre\Desktop\REACTIV CEFAS\Cefuroxime\Cefuroxime/20201124_Cefas_Test7_Run1/Plate 4/@9/B3_01.tif </t>
  </si>
  <si>
    <t xml:space="preserve"> 32.8136 </t>
  </si>
  <si>
    <t xml:space="preserve">C:\Users\andre\Desktop\REACTIV CEFAS\Cefuroxime\Cefuroxime/20201124_Cefas_Test7_Run1/Plate 4/@9/B3_02.tif </t>
  </si>
  <si>
    <t xml:space="preserve"> 5429.1036 </t>
  </si>
  <si>
    <t xml:space="preserve"> 38.004 </t>
  </si>
  <si>
    <t xml:space="preserve">C:\Users\andre\Desktop\REACTIV CEFAS\Cefuroxime\Cefuroxime/20201124_Cefas_Test7_Run1/Plate 4/@9/B3_03.tif </t>
  </si>
  <si>
    <t xml:space="preserve"> 5537.253 </t>
  </si>
  <si>
    <t xml:space="preserve"> 40.7461 </t>
  </si>
  <si>
    <t xml:space="preserve">C:\Users\andre\Desktop\REACTIV CEFAS\Cefuroxime\Cefuroxime/20201124_Cefas_Test7_Run1/Plate 4/@9/C3_01.tif </t>
  </si>
  <si>
    <t xml:space="preserve"> 33.1579 </t>
  </si>
  <si>
    <t xml:space="preserve">C:\Users\andre\Desktop\REACTIV CEFAS\Cefuroxime\Cefuroxime/20201124_Cefas_Test7_Run1/Plate 4/@9/C3_02.tif </t>
  </si>
  <si>
    <t xml:space="preserve"> 237.9288 </t>
  </si>
  <si>
    <t xml:space="preserve">C:\Users\andre\Desktop\REACTIV CEFAS\Cefuroxime\Cefuroxime/20201124_Cefas_Test7_Run1/Plate 4/@9/C3_03.tif </t>
  </si>
  <si>
    <t xml:space="preserve"> 2357.6585 </t>
  </si>
  <si>
    <t xml:space="preserve"> 35.2385 </t>
  </si>
  <si>
    <t xml:space="preserve">C:\Users\andre\Desktop\REACTIV CEFAS\Cefuroxime\Cefuroxime/20201124_Cefas_Test7_Run1/Plate 4/@9/D3_01.tif </t>
  </si>
  <si>
    <t xml:space="preserve"> 37.8981 </t>
  </si>
  <si>
    <t xml:space="preserve">C:\Users\andre\Desktop\REACTIV CEFAS\Cefuroxime\Cefuroxime/20201124_Cefas_Test7_Run1/Plate 4/@9/D3_02.tif </t>
  </si>
  <si>
    <t xml:space="preserve"> 35.5042 </t>
  </si>
  <si>
    <t xml:space="preserve">C:\Users\andre\Desktop\REACTIV CEFAS\Cefuroxime\Cefuroxime/20201124_Cefas_Test7_Run1/Plate 4/@9/D3_03.tif </t>
  </si>
  <si>
    <t xml:space="preserve"> 38.2068 </t>
  </si>
  <si>
    <t xml:space="preserve">C:\Users\andre\Desktop\REACTIV CEFAS\Cefuroxime\Cefuroxime/20201124_Cefas_Test7_Run1/Plate 4/@9/E3_01.tif </t>
  </si>
  <si>
    <t xml:space="preserve"> 39.7032 </t>
  </si>
  <si>
    <t xml:space="preserve">C:\Users\andre\Desktop\REACTIV CEFAS\Cefuroxime\Cefuroxime/20201124_Cefas_Test7_Run1/Plate 4/@9/E3_02.tif </t>
  </si>
  <si>
    <t xml:space="preserve"> 9214.3351 </t>
  </si>
  <si>
    <t xml:space="preserve"> 38.4577 </t>
  </si>
  <si>
    <t xml:space="preserve">C:\Users\andre\Desktop\REACTIV CEFAS\Cefuroxime\Cefuroxime/20201124_Cefas_Test7_Run1/Plate 4/@9/E3_03.tif </t>
  </si>
  <si>
    <t xml:space="preserve"> 41.5655 </t>
  </si>
  <si>
    <t xml:space="preserve">C:\Users\andre\Desktop\REACTIV CEFAS\Cefuroxime\Cefuroxime/20201124_Cefas_Test7_Run1/Plate 4/@9/F3_01.tif </t>
  </si>
  <si>
    <t xml:space="preserve"> 32.0833 </t>
  </si>
  <si>
    <t xml:space="preserve">C:\Users\andre\Desktop\REACTIV CEFAS\Cefuroxime\Cefuroxime/20201124_Cefas_Test7_Run1/Plate 4/@9/F3_02.tif </t>
  </si>
  <si>
    <t xml:space="preserve"> 30.3333 </t>
  </si>
  <si>
    <t xml:space="preserve">C:\Users\andre\Desktop\REACTIV CEFAS\Cefuroxime\Cefuroxime/20201124_Cefas_Test7_Run1/Plate 4/@9/F3_03.tif </t>
  </si>
  <si>
    <t xml:space="preserve">C:\Users\andre\Desktop\REACTIV CEFAS\Cefuroxime\Cefuroxime/20201124_Cefas_Test7_Run1/Plate 4/@9/G3_01.tif </t>
  </si>
  <si>
    <t xml:space="preserve"> 39.1445 </t>
  </si>
  <si>
    <t xml:space="preserve">C:\Users\andre\Desktop\REACTIV CEFAS\Cefuroxime\Cefuroxime/20201124_Cefas_Test7_Run1/Plate 4/@9/G3_02.tif </t>
  </si>
  <si>
    <t xml:space="preserve"> 32.4138 </t>
  </si>
  <si>
    <t xml:space="preserve">C:\Users\andre\Desktop\REACTIV CEFAS\Cefuroxime\Cefuroxime/20201124_Cefas_Test7_Run1/Plate 4/@9/G3_03.tif </t>
  </si>
  <si>
    <t xml:space="preserve"> 31.4231 </t>
  </si>
  <si>
    <t xml:space="preserve">C:\Users\andre\Desktop\REACTIV CEFAS\Cefuroxime\Cefuroxime/20201124_Cefas_Test7_Run1/Plate 4/@9/H3_01.tif </t>
  </si>
  <si>
    <t xml:space="preserve"> 8846.6269 </t>
  </si>
  <si>
    <t xml:space="preserve"> 42.3472 </t>
  </si>
  <si>
    <t xml:space="preserve">C:\Users\andre\Desktop\REACTIV CEFAS\Cefuroxime\Cefuroxime/20201124_Cefas_Test7_Run1/Plate 4/@9/H3_02.tif </t>
  </si>
  <si>
    <t xml:space="preserve"> 5580.5128 </t>
  </si>
  <si>
    <t xml:space="preserve"> 35.4496 </t>
  </si>
  <si>
    <t xml:space="preserve">C:\Users\andre\Desktop\REACTIV CEFAS\Cefuroxime\Cefuroxime/20201124_Cefas_Test7_Run1/Plate 4/@9/H3_03.tif </t>
  </si>
  <si>
    <t xml:space="preserve"> 2833.5162 </t>
  </si>
  <si>
    <t xml:space="preserve"> 33.855 </t>
  </si>
  <si>
    <t xml:space="preserve">C:\Users\andre\Desktop\REACTIV CEFAS\Cefuroxime\Cefuroxime/20201124_Cefas_Test7_Run1/Plate 4/@9/ </t>
  </si>
  <si>
    <t xml:space="preserve"> 35.4389 </t>
  </si>
  <si>
    <t xml:space="preserve"> 8.5828 </t>
  </si>
  <si>
    <t xml:space="preserve"> 173687.25 </t>
  </si>
  <si>
    <t xml:space="preserve"> 154079.305 </t>
  </si>
  <si>
    <t>1</t>
  </si>
  <si>
    <t>13</t>
  </si>
  <si>
    <t>14</t>
  </si>
  <si>
    <t>15</t>
  </si>
  <si>
    <t>16</t>
  </si>
  <si>
    <t>2</t>
  </si>
  <si>
    <t>3</t>
  </si>
  <si>
    <t>4</t>
  </si>
  <si>
    <t>5</t>
  </si>
  <si>
    <t>6</t>
  </si>
  <si>
    <t>7</t>
  </si>
  <si>
    <t>10</t>
  </si>
  <si>
    <t>11</t>
  </si>
  <si>
    <t>12</t>
  </si>
  <si>
    <t>17</t>
  </si>
  <si>
    <t>18</t>
  </si>
  <si>
    <t>19</t>
  </si>
  <si>
    <t>20</t>
  </si>
  <si>
    <t>21</t>
  </si>
  <si>
    <t>8</t>
  </si>
  <si>
    <t>9</t>
  </si>
  <si>
    <t>B</t>
  </si>
  <si>
    <t>C</t>
  </si>
  <si>
    <t>D</t>
  </si>
  <si>
    <t>E</t>
  </si>
  <si>
    <t>F</t>
  </si>
  <si>
    <t>G</t>
  </si>
  <si>
    <t>H</t>
  </si>
  <si>
    <t>Chemical</t>
  </si>
  <si>
    <t>Cefuroxime</t>
  </si>
  <si>
    <t>Cefuroxime-0.001mg/L</t>
  </si>
  <si>
    <t>Cefuroxime-0.01mg/L</t>
  </si>
  <si>
    <t>Cefuroxime-0.1mg/L</t>
  </si>
  <si>
    <t>Cefuroxime-1mg/L</t>
  </si>
  <si>
    <t>Cefuroxime-10mg/L</t>
  </si>
  <si>
    <t xml:space="preserve">C:\Users\andre\Desktop\REACTIV CEFAS\Cefuroxime\Cefuroxime/20201125_Cefas_Test7_Run2/Plate 1/@1/A10_01.tif </t>
  </si>
  <si>
    <t xml:space="preserve"> 8889.8867 </t>
  </si>
  <si>
    <t xml:space="preserve"> 36.3552 </t>
  </si>
  <si>
    <t xml:space="preserve">C:\Users\andre\Desktop\REACTIV CEFAS\Cefuroxime\Cefuroxime/20201125_Cefas_Test7_Run2/Plate 1/@1/A10_02.tif </t>
  </si>
  <si>
    <t xml:space="preserve"> 9062.9258 </t>
  </si>
  <si>
    <t xml:space="preserve"> 35.9332 </t>
  </si>
  <si>
    <t xml:space="preserve">C:\Users\andre\Desktop\REACTIV CEFAS\Cefuroxime\Cefuroxime/20201125_Cefas_Test7_Run2/Plate 1/@1/A10_03.tif </t>
  </si>
  <si>
    <t xml:space="preserve"> 7224.3848 </t>
  </si>
  <si>
    <t xml:space="preserve"> 37.6557 </t>
  </si>
  <si>
    <t xml:space="preserve">C:\Users\andre\Desktop\REACTIV CEFAS\Cefuroxime\Cefuroxime/20201125_Cefas_Test7_Run2/Plate 1/@1/B10_01.tif </t>
  </si>
  <si>
    <t xml:space="preserve"> 6532.2282 </t>
  </si>
  <si>
    <t xml:space="preserve"> 37.0596 </t>
  </si>
  <si>
    <t xml:space="preserve">C:\Users\andre\Desktop\REACTIV CEFAS\Cefuroxime\Cefuroxime/20201125_Cefas_Test7_Run2/Plate 1/@1/B10_02.tif </t>
  </si>
  <si>
    <t xml:space="preserve"> 8478.9187 </t>
  </si>
  <si>
    <t xml:space="preserve"> 38.375 </t>
  </si>
  <si>
    <t xml:space="preserve">C:\Users\andre\Desktop\REACTIV CEFAS\Cefuroxime\Cefuroxime/20201125_Cefas_Test7_Run2/Plate 1/@1/B10_03.tif </t>
  </si>
  <si>
    <t xml:space="preserve"> 4996.5057 </t>
  </si>
  <si>
    <t xml:space="preserve"> 38.7922 </t>
  </si>
  <si>
    <t>C:\Users\andre\Desktop\REACTIV CEFAS\Cefuroxime\Cefuroxime/20201125_Cefas_Test7_Run2/Plate 1/@1/C10_01- exclu.tif</t>
  </si>
  <si>
    <t xml:space="preserve">C:\Users\andre\Desktop\REACTIV CEFAS\Cefuroxime\Cefuroxime/20201125_Cefas_Test7_Run2/Plate 1/@1/C10_02.tif </t>
  </si>
  <si>
    <t xml:space="preserve"> 10512.1288 </t>
  </si>
  <si>
    <t xml:space="preserve"> 36.6543 </t>
  </si>
  <si>
    <t xml:space="preserve">C:\Users\andre\Desktop\REACTIV CEFAS\Cefuroxime\Cefuroxime/20201125_Cefas_Test7_Run2/Plate 1/@1/C10_03.tif </t>
  </si>
  <si>
    <t xml:space="preserve"> 8933.1465 </t>
  </si>
  <si>
    <t xml:space="preserve"> 39.2082 </t>
  </si>
  <si>
    <t xml:space="preserve">C:\Users\andre\Desktop\REACTIV CEFAS\Cefuroxime\Cefuroxime/20201125_Cefas_Test7_Run2/Plate 1/@1/D10_01.tif </t>
  </si>
  <si>
    <t xml:space="preserve"> 41.9936 </t>
  </si>
  <si>
    <t xml:space="preserve">C:\Users\andre\Desktop\REACTIV CEFAS\Cefuroxime\Cefuroxime/20201125_Cefas_Test7_Run2/Plate 1/@1/D10_02.tif </t>
  </si>
  <si>
    <t xml:space="preserve"> 42.2495 </t>
  </si>
  <si>
    <t xml:space="preserve">C:\Users\andre\Desktop\REACTIV CEFAS\Cefuroxime\Cefuroxime/20201125_Cefas_Test7_Run2/Plate 1/@1/D10_03.tif </t>
  </si>
  <si>
    <t xml:space="preserve"> 281.1886 </t>
  </si>
  <si>
    <t xml:space="preserve"> 31.1538 </t>
  </si>
  <si>
    <t xml:space="preserve">C:\Users\andre\Desktop\REACTIV CEFAS\Cefuroxime\Cefuroxime/20201125_Cefas_Test7_Run2/Plate 1/@1/E10_01.tif </t>
  </si>
  <si>
    <t xml:space="preserve"> 8046.3208 </t>
  </si>
  <si>
    <t xml:space="preserve"> 36.672 </t>
  </si>
  <si>
    <t xml:space="preserve">C:\Users\andre\Desktop\REACTIV CEFAS\Cefuroxime\Cefuroxime/20201125_Cefas_Test7_Run2/Plate 1/@1/E10_02.tif </t>
  </si>
  <si>
    <t xml:space="preserve"> 34.8182 </t>
  </si>
  <si>
    <t xml:space="preserve">C:\Users\andre\Desktop\REACTIV CEFAS\Cefuroxime\Cefuroxime/20201125_Cefas_Test7_Run2/Plate 1/@1/E10_03.tif </t>
  </si>
  <si>
    <t xml:space="preserve"> 7916.5414 </t>
  </si>
  <si>
    <t xml:space="preserve"> 36.1557 </t>
  </si>
  <si>
    <t xml:space="preserve">C:\Users\andre\Desktop\REACTIV CEFAS\Cefuroxime\Cefuroxime/20201125_Cefas_Test7_Run2/Plate 1/@1/F10_01.tif </t>
  </si>
  <si>
    <t xml:space="preserve"> 34.8462 </t>
  </si>
  <si>
    <t xml:space="preserve">C:\Users\andre\Desktop\REACTIV CEFAS\Cefuroxime\Cefuroxime/20201125_Cefas_Test7_Run2/Plate 1/@1/F10_02.tif </t>
  </si>
  <si>
    <t xml:space="preserve"> 32.7909 </t>
  </si>
  <si>
    <t xml:space="preserve">C:\Users\andre\Desktop\REACTIV CEFAS\Cefuroxime\Cefuroxime/20201125_Cefas_Test7_Run2/Plate 1/@1/F10_03.tif </t>
  </si>
  <si>
    <t xml:space="preserve"> 33.9643 </t>
  </si>
  <si>
    <t xml:space="preserve">C:\Users\andre\Desktop\REACTIV CEFAS\Cefuroxime\Cefuroxime/20201125_Cefas_Test7_Run2/Plate 1/@1/G10_01.tif </t>
  </si>
  <si>
    <t xml:space="preserve"> 37.7714 </t>
  </si>
  <si>
    <t xml:space="preserve">C:\Users\andre\Desktop\REACTIV CEFAS\Cefuroxime\Cefuroxime/20201125_Cefas_Test7_Run2/Plate 1/@1/G10_02.tif </t>
  </si>
  <si>
    <t xml:space="preserve">C:\Users\andre\Desktop\REACTIV CEFAS\Cefuroxime\Cefuroxime/20201125_Cefas_Test7_Run2/Plate 1/@1/G10_03.tif </t>
  </si>
  <si>
    <t xml:space="preserve"> 432.5979 </t>
  </si>
  <si>
    <t xml:space="preserve"> 30.5 </t>
  </si>
  <si>
    <t xml:space="preserve">C:\Users\andre\Desktop\REACTIV CEFAS\Cefuroxime\Cefuroxime/20201125_Cefas_Test7_Run2/Plate 1/@1/H10_01.tif </t>
  </si>
  <si>
    <t xml:space="preserve"> 43.2598 </t>
  </si>
  <si>
    <t xml:space="preserve"> 33.5 </t>
  </si>
  <si>
    <t xml:space="preserve">C:\Users\andre\Desktop\REACTIV CEFAS\Cefuroxime\Cefuroxime/20201125_Cefas_Test7_Run2/Plate 1/@1/H10_02.tif </t>
  </si>
  <si>
    <t xml:space="preserve"> 2725.3667 </t>
  </si>
  <si>
    <t xml:space="preserve"> 35.3889 </t>
  </si>
  <si>
    <t xml:space="preserve">C:\Users\andre\Desktop\REACTIV CEFAS\Cefuroxime\Cefuroxime/20201125_Cefas_Test7_Run2/Plate 1/@1/H10_03.tif </t>
  </si>
  <si>
    <t xml:space="preserve"> 1535.7225 </t>
  </si>
  <si>
    <t xml:space="preserve"> 33.6761 </t>
  </si>
  <si>
    <t xml:space="preserve">C:\Users\andre\Desktop\REACTIV CEFAS\Cefuroxime\Cefuroxime/20201125_Cefas_Test7_Run2/Plate 1/@1/ </t>
  </si>
  <si>
    <t xml:space="preserve"> 34.3964 </t>
  </si>
  <si>
    <t xml:space="preserve"> 7.9672 </t>
  </si>
  <si>
    <t xml:space="preserve"> 195721.667 </t>
  </si>
  <si>
    <t xml:space="preserve"> 146495.472 </t>
  </si>
  <si>
    <t xml:space="preserve">C:\Users\andre\Desktop\REACTIV CEFAS\Cefuroxime\Cefuroxime/20201125_Cefas_Test7_Run2/Plate 1/@13/A8_01.tif </t>
  </si>
  <si>
    <t xml:space="preserve"> 41486.1379 </t>
  </si>
  <si>
    <t xml:space="preserve"> 35.5448 </t>
  </si>
  <si>
    <t xml:space="preserve">C:\Users\andre\Desktop\REACTIV CEFAS\Cefuroxime\Cefuroxime/20201125_Cefas_Test7_Run2/Plate 1/@13/A8_02.tif </t>
  </si>
  <si>
    <t xml:space="preserve"> 34434.7922 </t>
  </si>
  <si>
    <t xml:space="preserve"> 35.1445 </t>
  </si>
  <si>
    <t xml:space="preserve">C:\Users\andre\Desktop\REACTIV CEFAS\Cefuroxime\Cefuroxime/20201125_Cefas_Test7_Run2/Plate 1/@13/A8_03.tif </t>
  </si>
  <si>
    <t xml:space="preserve"> 29524.8062 </t>
  </si>
  <si>
    <t xml:space="preserve"> 35.1538 </t>
  </si>
  <si>
    <t>C:\Users\andre\Desktop\REACTIV CEFAS\Cefuroxime\Cefuroxime/20201125_Cefas_Test7_Run2/Plate 1/@13/B8_01- exclu.tif</t>
  </si>
  <si>
    <t xml:space="preserve">C:\Users\andre\Desktop\REACTIV CEFAS\Cefuroxime\Cefuroxime/20201125_Cefas_Test7_Run2/Plate 1/@13/B8_02.tif </t>
  </si>
  <si>
    <t xml:space="preserve"> 56800.1033 </t>
  </si>
  <si>
    <t xml:space="preserve"> 47.1329 </t>
  </si>
  <si>
    <t xml:space="preserve">C:\Users\andre\Desktop\REACTIV CEFAS\Cefuroxime\Cefuroxime/20201125_Cefas_Test7_Run2/Plate 1/@13/B8_03.tif </t>
  </si>
  <si>
    <t xml:space="preserve"> 53447.4696 </t>
  </si>
  <si>
    <t xml:space="preserve"> 45.2036 </t>
  </si>
  <si>
    <t xml:space="preserve">C:\Users\andre\Desktop\REACTIV CEFAS\Cefuroxime\Cefuroxime/20201125_Cefas_Test7_Run2/Plate 1/@13/C8_01.tif </t>
  </si>
  <si>
    <t xml:space="preserve"> 19402.0155 </t>
  </si>
  <si>
    <t xml:space="preserve"> 35.2497 </t>
  </si>
  <si>
    <t xml:space="preserve">C:\Users\andre\Desktop\REACTIV CEFAS\Cefuroxime\Cefuroxime/20201125_Cefas_Test7_Run2/Plate 1/@13/C8_02.tif </t>
  </si>
  <si>
    <t xml:space="preserve"> 20483.5102 </t>
  </si>
  <si>
    <t xml:space="preserve"> 36.2196 </t>
  </si>
  <si>
    <t xml:space="preserve">C:\Users\andre\Desktop\REACTIV CEFAS\Cefuroxime\Cefuroxime/20201125_Cefas_Test7_Run2/Plate 1/@13/C8_03.tif </t>
  </si>
  <si>
    <t xml:space="preserve"> 35.4215 </t>
  </si>
  <si>
    <t xml:space="preserve">C:\Users\andre\Desktop\REACTIV CEFAS\Cefuroxime\Cefuroxime/20201125_Cefas_Test7_Run2/Plate 1/@13/D8_01.tif </t>
  </si>
  <si>
    <t xml:space="preserve"> 37787.4259 </t>
  </si>
  <si>
    <t xml:space="preserve"> 41.0246 </t>
  </si>
  <si>
    <t xml:space="preserve">C:\Users\andre\Desktop\REACTIV CEFAS\Cefuroxime\Cefuroxime/20201125_Cefas_Test7_Run2/Plate 1/@13/D8_02.tif </t>
  </si>
  <si>
    <t xml:space="preserve"> 48818.6722 </t>
  </si>
  <si>
    <t xml:space="preserve"> 42.8285 </t>
  </si>
  <si>
    <t xml:space="preserve">C:\Users\andre\Desktop\REACTIV CEFAS\Cefuroxime\Cefuroxime/20201125_Cefas_Test7_Run2/Plate 1/@13/D8_03.tif </t>
  </si>
  <si>
    <t xml:space="preserve"> 46807.092 </t>
  </si>
  <si>
    <t xml:space="preserve"> 42.3757 </t>
  </si>
  <si>
    <t xml:space="preserve">C:\Users\andre\Desktop\REACTIV CEFAS\Cefuroxime\Cefuroxime/20201125_Cefas_Test7_Run2/Plate 1/@13/E8_01.tif </t>
  </si>
  <si>
    <t xml:space="preserve"> 17779.7734 </t>
  </si>
  <si>
    <t xml:space="preserve"> 35.8358 </t>
  </si>
  <si>
    <t xml:space="preserve">C:\Users\andre\Desktop\REACTIV CEFAS\Cefuroxime\Cefuroxime/20201125_Cefas_Test7_Run2/Plate 1/@13/E8_02.tif </t>
  </si>
  <si>
    <t xml:space="preserve"> 18212.3713 </t>
  </si>
  <si>
    <t xml:space="preserve"> 36.7114 </t>
  </si>
  <si>
    <t xml:space="preserve">C:\Users\andre\Desktop\REACTIV CEFAS\Cefuroxime\Cefuroxime/20201125_Cefas_Test7_Run2/Plate 1/@13/E8_03.tif </t>
  </si>
  <si>
    <t xml:space="preserve"> 13929.6521 </t>
  </si>
  <si>
    <t xml:space="preserve"> 33.9224 </t>
  </si>
  <si>
    <t xml:space="preserve">C:\Users\andre\Desktop\REACTIV CEFAS\Cefuroxime\Cefuroxime/20201125_Cefas_Test7_Run2/Plate 1/@13/F8_01.tif </t>
  </si>
  <si>
    <t xml:space="preserve"> 12264.1503 </t>
  </si>
  <si>
    <t xml:space="preserve"> 33.9312 </t>
  </si>
  <si>
    <t xml:space="preserve">C:\Users\andre\Desktop\REACTIV CEFAS\Cefuroxime\Cefuroxime/20201125_Cefas_Test7_Run2/Plate 1/@13/F8_02.tif </t>
  </si>
  <si>
    <t xml:space="preserve"> 16784.7982 </t>
  </si>
  <si>
    <t xml:space="preserve"> 34.2758 </t>
  </si>
  <si>
    <t xml:space="preserve">C:\Users\andre\Desktop\REACTIV CEFAS\Cefuroxime\Cefuroxime/20201125_Cefas_Test7_Run2/Plate 1/@13/F8_03.tif </t>
  </si>
  <si>
    <t xml:space="preserve"> 13951.282 </t>
  </si>
  <si>
    <t xml:space="preserve"> 34.1411 </t>
  </si>
  <si>
    <t xml:space="preserve">C:\Users\andre\Desktop\REACTIV CEFAS\Cefuroxime\Cefuroxime/20201125_Cefas_Test7_Run2/Plate 1/@13/G8_01.tif </t>
  </si>
  <si>
    <t xml:space="preserve"> 30.931 </t>
  </si>
  <si>
    <t xml:space="preserve">C:\Users\andre\Desktop\REACTIV CEFAS\Cefuroxime\Cefuroxime/20201125_Cefas_Test7_Run2/Plate 1/@13/G8_02.tif </t>
  </si>
  <si>
    <t xml:space="preserve"> 2184.6194 </t>
  </si>
  <si>
    <t xml:space="preserve"> 33.2475 </t>
  </si>
  <si>
    <t xml:space="preserve">C:\Users\andre\Desktop\REACTIV CEFAS\Cefuroxime\Cefuroxime/20201125_Cefas_Test7_Run2/Plate 1/@13/G8_03.tif </t>
  </si>
  <si>
    <t xml:space="preserve"> 34.3542 </t>
  </si>
  <si>
    <t xml:space="preserve">C:\Users\andre\Desktop\REACTIV CEFAS\Cefuroxime\Cefuroxime/20201125_Cefas_Test7_Run2/Plate 1/@13/H8_01.tif </t>
  </si>
  <si>
    <t xml:space="preserve"> 40209.9741 </t>
  </si>
  <si>
    <t xml:space="preserve"> 40.1372 </t>
  </si>
  <si>
    <t xml:space="preserve">C:\Users\andre\Desktop\REACTIV CEFAS\Cefuroxime\Cefuroxime/20201125_Cefas_Test7_Run2/Plate 1/@13/H8_02.tif </t>
  </si>
  <si>
    <t xml:space="preserve"> 39604.3371 </t>
  </si>
  <si>
    <t xml:space="preserve"> 39.7739 </t>
  </si>
  <si>
    <t xml:space="preserve">C:\Users\andre\Desktop\REACTIV CEFAS\Cefuroxime\Cefuroxime/20201125_Cefas_Test7_Run2/Plate 1/@13/H8_03.tif </t>
  </si>
  <si>
    <t xml:space="preserve"> 34845.7602 </t>
  </si>
  <si>
    <t xml:space="preserve"> 39.7381 </t>
  </si>
  <si>
    <t xml:space="preserve">C:\Users\andre\Desktop\REACTIV CEFAS\Cefuroxime\Cefuroxime/20201125_Cefas_Test7_Run2/Plate 1/@13/ </t>
  </si>
  <si>
    <t xml:space="preserve"> 37.4447 </t>
  </si>
  <si>
    <t xml:space="preserve"> 4.1161 </t>
  </si>
  <si>
    <t xml:space="preserve"> 1102193.75 </t>
  </si>
  <si>
    <t xml:space="preserve"> 760495.783 </t>
  </si>
  <si>
    <t xml:space="preserve">C:\Users\andre\Desktop\REACTIV CEFAS\Cefuroxime\Cefuroxime/20201125_Cefas_Test7_Run2/Plate 1/@14/A9_01.tif </t>
  </si>
  <si>
    <t xml:space="preserve"> 33.0952 </t>
  </si>
  <si>
    <t xml:space="preserve">C:\Users\andre\Desktop\REACTIV CEFAS\Cefuroxime\Cefuroxime/20201125_Cefas_Test7_Run2/Plate 1/@14/A9_02.tif </t>
  </si>
  <si>
    <t xml:space="preserve"> 3785.2316 </t>
  </si>
  <si>
    <t xml:space="preserve"> 33.04 </t>
  </si>
  <si>
    <t>C:\Users\andre\Desktop\REACTIV CEFAS\Cefuroxime\Cefuroxime/20201125_Cefas_Test7_Run2/Plate 1/@14/A9_03- exclu.tif</t>
  </si>
  <si>
    <t xml:space="preserve">C:\Users\andre\Desktop\REACTIV CEFAS\Cefuroxime\Cefuroxime/20201125_Cefas_Test7_Run2/Plate 1/@14/B9_01.tif </t>
  </si>
  <si>
    <t xml:space="preserve"> 18666.5991 </t>
  </si>
  <si>
    <t xml:space="preserve"> 34.7671 </t>
  </si>
  <si>
    <t xml:space="preserve">C:\Users\andre\Desktop\REACTIV CEFAS\Cefuroxime\Cefuroxime/20201125_Cefas_Test7_Run2/Plate 1/@14/B9_02.tif </t>
  </si>
  <si>
    <t xml:space="preserve"> 16633.389 </t>
  </si>
  <si>
    <t xml:space="preserve"> 34.7321 </t>
  </si>
  <si>
    <t xml:space="preserve">C:\Users\andre\Desktop\REACTIV CEFAS\Cefuroxime\Cefuroxime/20201125_Cefas_Test7_Run2/Plate 1/@14/B9_03.tif </t>
  </si>
  <si>
    <t xml:space="preserve"> 8673.5877 </t>
  </si>
  <si>
    <t xml:space="preserve"> 34.606 </t>
  </si>
  <si>
    <t xml:space="preserve">C:\Users\andre\Desktop\REACTIV CEFAS\Cefuroxime\Cefuroxime/20201125_Cefas_Test7_Run2/Plate 1/@14/C9_01.tif </t>
  </si>
  <si>
    <t xml:space="preserve"> 30130.4432 </t>
  </si>
  <si>
    <t xml:space="preserve"> 36.9655 </t>
  </si>
  <si>
    <t xml:space="preserve">C:\Users\andre\Desktop\REACTIV CEFAS\Cefuroxime\Cefuroxime/20201125_Cefas_Test7_Run2/Plate 1/@14/C9_02.tif </t>
  </si>
  <si>
    <t xml:space="preserve"> 23381.9161 </t>
  </si>
  <si>
    <t xml:space="preserve"> 35.5791 </t>
  </si>
  <si>
    <t xml:space="preserve">C:\Users\andre\Desktop\REACTIV CEFAS\Cefuroxime\Cefuroxime/20201125_Cefas_Test7_Run2/Plate 1/@14/C9_03.tif </t>
  </si>
  <si>
    <t xml:space="preserve"> 36.1 </t>
  </si>
  <si>
    <t xml:space="preserve">C:\Users\andre\Desktop\REACTIV CEFAS\Cefuroxime\Cefuroxime/20201125_Cefas_Test7_Run2/Plate 1/@14/D9_01.tif </t>
  </si>
  <si>
    <t xml:space="preserve"> 30563.0411 </t>
  </si>
  <si>
    <t xml:space="preserve"> 36.6362 </t>
  </si>
  <si>
    <t xml:space="preserve">C:\Users\andre\Desktop\REACTIV CEFAS\Cefuroxime\Cefuroxime/20201125_Cefas_Test7_Run2/Plate 1/@14/D9_02.tif </t>
  </si>
  <si>
    <t xml:space="preserve"> 30476.5215 </t>
  </si>
  <si>
    <t xml:space="preserve"> 40.401 </t>
  </si>
  <si>
    <t>C:\Users\andre\Desktop\REACTIV CEFAS\Cefuroxime\Cefuroxime/20201125_Cefas_Test7_Run2/Plate 1/@14/D9_03- exclu.tif</t>
  </si>
  <si>
    <t xml:space="preserve">C:\Users\andre\Desktop\REACTIV CEFAS\Cefuroxime\Cefuroxime/20201125_Cefas_Test7_Run2/Plate 1/@14/E9_01.tif </t>
  </si>
  <si>
    <t xml:space="preserve"> 52019.8966 </t>
  </si>
  <si>
    <t xml:space="preserve"> 39.4316 </t>
  </si>
  <si>
    <t xml:space="preserve">C:\Users\andre\Desktop\REACTIV CEFAS\Cefuroxime\Cefuroxime/20201125_Cefas_Test7_Run2/Plate 1/@14/E9_02.tif </t>
  </si>
  <si>
    <t xml:space="preserve"> 52928.3522 </t>
  </si>
  <si>
    <t xml:space="preserve"> 37.6984 </t>
  </si>
  <si>
    <t xml:space="preserve">C:\Users\andre\Desktop\REACTIV CEFAS\Cefuroxime\Cefuroxime/20201125_Cefas_Test7_Run2/Plate 1/@14/E9_03.tif </t>
  </si>
  <si>
    <t xml:space="preserve"> 40.2029 </t>
  </si>
  <si>
    <t>C:\Users\andre\Desktop\REACTIV CEFAS\Cefuroxime\Cefuroxime/20201125_Cefas_Test7_Run2/Plate 1/@14/F9_01- exclu.tif</t>
  </si>
  <si>
    <t>C:\Users\andre\Desktop\REACTIV CEFAS\Cefuroxime\Cefuroxime/20201125_Cefas_Test7_Run2/Plate 1/@14/F9_02- exclu.tif</t>
  </si>
  <si>
    <t>C:\Users\andre\Desktop\REACTIV CEFAS\Cefuroxime\Cefuroxime/20201125_Cefas_Test7_Run2/Plate 1/@14/F9_03- exclu.tif</t>
  </si>
  <si>
    <t xml:space="preserve">C:\Users\andre\Desktop\REACTIV CEFAS\Cefuroxime\Cefuroxime/20201125_Cefas_Test7_Run2/Plate 1/@14/G9_01.tif </t>
  </si>
  <si>
    <t xml:space="preserve"> 40318.1236 </t>
  </si>
  <si>
    <t xml:space="preserve"> 36.3256 </t>
  </si>
  <si>
    <t xml:space="preserve">C:\Users\andre\Desktop\REACTIV CEFAS\Cefuroxime\Cefuroxime/20201125_Cefas_Test7_Run2/Plate 1/@14/G9_02.tif </t>
  </si>
  <si>
    <t xml:space="preserve"> 46006.7859 </t>
  </si>
  <si>
    <t xml:space="preserve"> 36.4725 </t>
  </si>
  <si>
    <t xml:space="preserve">C:\Users\andre\Desktop\REACTIV CEFAS\Cefuroxime\Cefuroxime/20201125_Cefas_Test7_Run2/Plate 1/@14/G9_03.tif </t>
  </si>
  <si>
    <t xml:space="preserve"> 43605.8676 </t>
  </si>
  <si>
    <t xml:space="preserve"> 35.5154 </t>
  </si>
  <si>
    <t xml:space="preserve">C:\Users\andre\Desktop\REACTIV CEFAS\Cefuroxime\Cefuroxime/20201125_Cefas_Test7_Run2/Plate 1/@14/H9_01.tif </t>
  </si>
  <si>
    <t xml:space="preserve"> 20050.9123 </t>
  </si>
  <si>
    <t xml:space="preserve"> 33.7789 </t>
  </si>
  <si>
    <t xml:space="preserve">C:\Users\andre\Desktop\REACTIV CEFAS\Cefuroxime\Cefuroxime/20201125_Cefas_Test7_Run2/Plate 1/@14/H9_02.tif </t>
  </si>
  <si>
    <t xml:space="preserve"> 13843.1326 </t>
  </si>
  <si>
    <t xml:space="preserve"> 35.4922 </t>
  </si>
  <si>
    <t xml:space="preserve">C:\Users\andre\Desktop\REACTIV CEFAS\Cefuroxime\Cefuroxime/20201125_Cefas_Test7_Run2/Plate 1/@14/H9_03.tif </t>
  </si>
  <si>
    <t xml:space="preserve"> 12199.2606 </t>
  </si>
  <si>
    <t xml:space="preserve"> 33.3812 </t>
  </si>
  <si>
    <t xml:space="preserve">C:\Users\andre\Desktop\REACTIV CEFAS\Cefuroxime\Cefuroxime/20201125_Cefas_Test7_Run2/Plate 1/@14/ </t>
  </si>
  <si>
    <t xml:space="preserve"> 29.7975 </t>
  </si>
  <si>
    <t xml:space="preserve"> 13.7913 </t>
  </si>
  <si>
    <t xml:space="preserve"> 797770.042 </t>
  </si>
  <si>
    <t xml:space="preserve"> 694203.93 </t>
  </si>
  <si>
    <t>C:\Users\andre\Desktop\REACTIV CEFAS\Cefuroxime\Cefuroxime/20201125_Cefas_Test7_Run2/Plate 1/@15/A11_01- exclu.tif</t>
  </si>
  <si>
    <t>C:\Users\andre\Desktop\REACTIV CEFAS\Cefuroxime\Cefuroxime/20201125_Cefas_Test7_Run2/Plate 1/@15/A11_02- exclu.tif</t>
  </si>
  <si>
    <t>C:\Users\andre\Desktop\REACTIV CEFAS\Cefuroxime\Cefuroxime/20201125_Cefas_Test7_Run2/Plate 1/@15/A11_03- exclu.tif</t>
  </si>
  <si>
    <t xml:space="preserve">C:\Users\andre\Desktop\REACTIV CEFAS\Cefuroxime\Cefuroxime/20201125_Cefas_Test7_Run2/Plate 1/@15/B11_01.tif </t>
  </si>
  <si>
    <t xml:space="preserve"> 64413.8262 </t>
  </si>
  <si>
    <t xml:space="preserve"> 49.4389 </t>
  </si>
  <si>
    <t>C:\Users\andre\Desktop\REACTIV CEFAS\Cefuroxime\Cefuroxime/20201125_Cefas_Test7_Run2/Plate 1/@15/B11_02- exclu.tif</t>
  </si>
  <si>
    <t>C:\Users\andre\Desktop\REACTIV CEFAS\Cefuroxime\Cefuroxime/20201125_Cefas_Test7_Run2/Plate 1/@15/B11_03- exclu.tif</t>
  </si>
  <si>
    <t xml:space="preserve">C:\Users\andre\Desktop\REACTIV CEFAS\Cefuroxime\Cefuroxime/20201125_Cefas_Test7_Run2/Plate 1/@15/C11_01.tif </t>
  </si>
  <si>
    <t xml:space="preserve"> 23317.0264 </t>
  </si>
  <si>
    <t xml:space="preserve"> 46.2727 </t>
  </si>
  <si>
    <t xml:space="preserve">C:\Users\andre\Desktop\REACTIV CEFAS\Cefuroxime\Cefuroxime/20201125_Cefas_Test7_Run2/Plate 1/@15/C11_02.tif </t>
  </si>
  <si>
    <t xml:space="preserve"> 20505.1401 </t>
  </si>
  <si>
    <t xml:space="preserve"> 45.8914 </t>
  </si>
  <si>
    <t xml:space="preserve">C:\Users\andre\Desktop\REACTIV CEFAS\Cefuroxime\Cefuroxime/20201125_Cefas_Test7_Run2/Plate 1/@15/C11_03.tif </t>
  </si>
  <si>
    <t xml:space="preserve"> 16806.4281 </t>
  </si>
  <si>
    <t xml:space="preserve"> 46.3668 </t>
  </si>
  <si>
    <t xml:space="preserve">C:\Users\andre\Desktop\REACTIV CEFAS\Cefuroxime\Cefuroxime/20201125_Cefas_Test7_Run2/Plate 1/@15/D11_01.tif </t>
  </si>
  <si>
    <t xml:space="preserve"> 88617.6783 </t>
  </si>
  <si>
    <t xml:space="preserve"> 47.8584 </t>
  </si>
  <si>
    <t xml:space="preserve">C:\Users\andre\Desktop\REACTIV CEFAS\Cefuroxime\Cefuroxime/20201125_Cefas_Test7_Run2/Plate 1/@15/D11_02.tif </t>
  </si>
  <si>
    <t xml:space="preserve"> 86757.5074 </t>
  </si>
  <si>
    <t xml:space="preserve"> 51.1149 </t>
  </si>
  <si>
    <t xml:space="preserve">C:\Users\andre\Desktop\REACTIV CEFAS\Cefuroxime\Cefuroxime/20201125_Cefas_Test7_Run2/Plate 1/@15/D11_03.tif </t>
  </si>
  <si>
    <t xml:space="preserve"> 83686.0623 </t>
  </si>
  <si>
    <t xml:space="preserve"> 47.5348 </t>
  </si>
  <si>
    <t xml:space="preserve">C:\Users\andre\Desktop\REACTIV CEFAS\Cefuroxime\Cefuroxime/20201125_Cefas_Test7_Run2/Plate 1/@15/E11_01.tif </t>
  </si>
  <si>
    <t xml:space="preserve"> 60044.5875 </t>
  </si>
  <si>
    <t xml:space="preserve"> 43.4143 </t>
  </si>
  <si>
    <t xml:space="preserve">C:\Users\andre\Desktop\REACTIV CEFAS\Cefuroxime\Cefuroxime/20201125_Cefas_Test7_Run2/Plate 1/@15/E11_02.tif </t>
  </si>
  <si>
    <t xml:space="preserve"> 63116.0325 </t>
  </si>
  <si>
    <t xml:space="preserve"> 46.9469 </t>
  </si>
  <si>
    <t xml:space="preserve">C:\Users\andre\Desktop\REACTIV CEFAS\Cefuroxime\Cefuroxime/20201125_Cefas_Test7_Run2/Plate 1/@15/E11_03.tif </t>
  </si>
  <si>
    <t xml:space="preserve"> 63591.8902 </t>
  </si>
  <si>
    <t xml:space="preserve"> 45.9776 </t>
  </si>
  <si>
    <t xml:space="preserve">C:\Users\andre\Desktop\REACTIV CEFAS\Cefuroxime\Cefuroxime/20201125_Cefas_Test7_Run2/Plate 1/@15/F11_01.tif </t>
  </si>
  <si>
    <t xml:space="preserve"> 81263.5141 </t>
  </si>
  <si>
    <t xml:space="preserve"> 54.4913 </t>
  </si>
  <si>
    <t xml:space="preserve">C:\Users\andre\Desktop\REACTIV CEFAS\Cefuroxime\Cefuroxime/20201125_Cefas_Test7_Run2/Plate 1/@15/F11_02.tif </t>
  </si>
  <si>
    <t xml:space="preserve"> 54.8802 </t>
  </si>
  <si>
    <t xml:space="preserve">C:\Users\andre\Desktop\REACTIV CEFAS\Cefuroxime\Cefuroxime/20201125_Cefas_Test7_Run2/Plate 1/@15/F11_03.tif </t>
  </si>
  <si>
    <t xml:space="preserve"> 76894.2754 </t>
  </si>
  <si>
    <t xml:space="preserve"> 51.2515 </t>
  </si>
  <si>
    <t xml:space="preserve">C:\Users\andre\Desktop\REACTIV CEFAS\Cefuroxime\Cefuroxime/20201125_Cefas_Test7_Run2/Plate 1/@15/G11_01.tif </t>
  </si>
  <si>
    <t xml:space="preserve"> 60239.2565 </t>
  </si>
  <si>
    <t xml:space="preserve"> 52.4977 </t>
  </si>
  <si>
    <t xml:space="preserve">C:\Users\andre\Desktop\REACTIV CEFAS\Cefuroxime\Cefuroxime/20201125_Cefas_Test7_Run2/Plate 1/@15/G11_02.tif </t>
  </si>
  <si>
    <t xml:space="preserve"> 57167.8115 </t>
  </si>
  <si>
    <t xml:space="preserve"> 48.4268 </t>
  </si>
  <si>
    <t xml:space="preserve">C:\Users\andre\Desktop\REACTIV CEFAS\Cefuroxime\Cefuroxime/20201125_Cefas_Test7_Run2/Plate 1/@15/G11_03.tif </t>
  </si>
  <si>
    <t xml:space="preserve"> 51.5471 </t>
  </si>
  <si>
    <t xml:space="preserve">C:\Users\andre\Desktop\REACTIV CEFAS\Cefuroxime\Cefuroxime/20201125_Cefas_Test7_Run2/Plate 1/@15/H11_01.tif </t>
  </si>
  <si>
    <t xml:space="preserve"> 53988.217 </t>
  </si>
  <si>
    <t xml:space="preserve"> 52.3922 </t>
  </si>
  <si>
    <t xml:space="preserve">C:\Users\andre\Desktop\REACTIV CEFAS\Cefuroxime\Cefuroxime/20201125_Cefas_Test7_Run2/Plate 1/@15/H11_02.tif </t>
  </si>
  <si>
    <t xml:space="preserve"> 53166.281 </t>
  </si>
  <si>
    <t xml:space="preserve"> 55.2823 </t>
  </si>
  <si>
    <t xml:space="preserve">C:\Users\andre\Desktop\REACTIV CEFAS\Cefuroxime\Cefuroxime/20201125_Cefas_Test7_Run2/Plate 1/@15/H11_03.tif </t>
  </si>
  <si>
    <t xml:space="preserve"> 49489.1989 </t>
  </si>
  <si>
    <t xml:space="preserve"> 52.1075 </t>
  </si>
  <si>
    <t xml:space="preserve">C:\Users\andre\Desktop\REACTIV CEFAS\Cefuroxime\Cefuroxime/20201125_Cefas_Test7_Run2/Plate 1/@15/ </t>
  </si>
  <si>
    <t xml:space="preserve"> 50.417 </t>
  </si>
  <si>
    <t xml:space="preserve"> 4.0759 </t>
  </si>
  <si>
    <t xml:space="preserve"> 3003694.75 </t>
  </si>
  <si>
    <t xml:space="preserve"> 1073057.3 </t>
  </si>
  <si>
    <t>C:\Users\andre\Desktop\REACTIV CEFAS\Cefuroxime\Cefuroxime/20201125_Cefas_Test7_Run2/Plate 1/@16/A12_01- exclu.tif</t>
  </si>
  <si>
    <t>C:\Users\andre\Desktop\REACTIV CEFAS\Cefuroxime\Cefuroxime/20201125_Cefas_Test7_Run2/Plate 1/@16/A12_02- exclu.tif</t>
  </si>
  <si>
    <t>C:\Users\andre\Desktop\REACTIV CEFAS\Cefuroxime\Cefuroxime/20201125_Cefas_Test7_Run2/Plate 1/@16/A12_03- exclu.tif</t>
  </si>
  <si>
    <t xml:space="preserve">C:\Users\andre\Desktop\REACTIV CEFAS\Cefuroxime\Cefuroxime/20201125_Cefas_Test7_Run2/Plate 1/@16/B12_01.tif </t>
  </si>
  <si>
    <t xml:space="preserve"> 33.16 </t>
  </si>
  <si>
    <t xml:space="preserve">C:\Users\andre\Desktop\REACTIV CEFAS\Cefuroxime\Cefuroxime/20201125_Cefas_Test7_Run2/Plate 1/@16/B12_02.tif </t>
  </si>
  <si>
    <t xml:space="preserve">C:\Users\andre\Desktop\REACTIV CEFAS\Cefuroxime\Cefuroxime/20201125_Cefas_Test7_Run2/Plate 1/@16/B12_03.tif </t>
  </si>
  <si>
    <t xml:space="preserve"> 34.3364 </t>
  </si>
  <si>
    <t xml:space="preserve">C:\Users\andre\Desktop\REACTIV CEFAS\Cefuroxime\Cefuroxime/20201125_Cefas_Test7_Run2/Plate 1/@16/C12_01.tif </t>
  </si>
  <si>
    <t xml:space="preserve"> 33.9041 </t>
  </si>
  <si>
    <t xml:space="preserve">C:\Users\andre\Desktop\REACTIV CEFAS\Cefuroxime\Cefuroxime/20201125_Cefas_Test7_Run2/Plate 1/@16/C12_02.tif </t>
  </si>
  <si>
    <t xml:space="preserve"> 32.3053 </t>
  </si>
  <si>
    <t xml:space="preserve">C:\Users\andre\Desktop\REACTIV CEFAS\Cefuroxime\Cefuroxime/20201125_Cefas_Test7_Run2/Plate 1/@16/C12_03.tif </t>
  </si>
  <si>
    <t xml:space="preserve"> 5753.552 </t>
  </si>
  <si>
    <t xml:space="preserve"> 34.9887 </t>
  </si>
  <si>
    <t xml:space="preserve">C:\Users\andre\Desktop\REACTIV CEFAS\Cefuroxime\Cefuroxime/20201125_Cefas_Test7_Run2/Plate 1/@16/D12_01.tif </t>
  </si>
  <si>
    <t xml:space="preserve"> 7202.7549 </t>
  </si>
  <si>
    <t xml:space="preserve"> 42.1862 </t>
  </si>
  <si>
    <t xml:space="preserve">C:\Users\andre\Desktop\REACTIV CEFAS\Cefuroxime\Cefuroxime/20201125_Cefas_Test7_Run2/Plate 1/@16/D12_02.tif </t>
  </si>
  <si>
    <t xml:space="preserve"> 42.4726 </t>
  </si>
  <si>
    <t xml:space="preserve">C:\Users\andre\Desktop\REACTIV CEFAS\Cefuroxime\Cefuroxime/20201125_Cefas_Test7_Run2/Plate 1/@16/D12_03.tif </t>
  </si>
  <si>
    <t xml:space="preserve"> 40.5765 </t>
  </si>
  <si>
    <t xml:space="preserve">C:\Users\andre\Desktop\REACTIV CEFAS\Cefuroxime\Cefuroxime/20201125_Cefas_Test7_Run2/Plate 1/@16/E12_01.tif </t>
  </si>
  <si>
    <t xml:space="preserve"> 34.4031 </t>
  </si>
  <si>
    <t xml:space="preserve">C:\Users\andre\Desktop\REACTIV CEFAS\Cefuroxime\Cefuroxime/20201125_Cefas_Test7_Run2/Plate 1/@16/E12_02.tif </t>
  </si>
  <si>
    <t xml:space="preserve"> 1103.1246 </t>
  </si>
  <si>
    <t xml:space="preserve">C:\Users\andre\Desktop\REACTIV CEFAS\Cefuroxime\Cefuroxime/20201125_Cefas_Test7_Run2/Plate 1/@16/E12_03.tif </t>
  </si>
  <si>
    <t xml:space="preserve"> 34.1538 </t>
  </si>
  <si>
    <t xml:space="preserve">C:\Users\andre\Desktop\REACTIV CEFAS\Cefuroxime\Cefuroxime/20201125_Cefas_Test7_Run2/Plate 1/@16/F12_01.tif </t>
  </si>
  <si>
    <t xml:space="preserve"> 10403.9793 </t>
  </si>
  <si>
    <t xml:space="preserve"> 45.7214 </t>
  </si>
  <si>
    <t xml:space="preserve">C:\Users\andre\Desktop\REACTIV CEFAS\Cefuroxime\Cefuroxime/20201125_Cefas_Test7_Run2/Plate 1/@16/F12_02.tif </t>
  </si>
  <si>
    <t xml:space="preserve"> 47.9153 </t>
  </si>
  <si>
    <t xml:space="preserve">C:\Users\andre\Desktop\REACTIV CEFAS\Cefuroxime\Cefuroxime/20201125_Cefas_Test7_Run2/Plate 1/@16/F12_03.tif </t>
  </si>
  <si>
    <t xml:space="preserve"> 7029.7158 </t>
  </si>
  <si>
    <t xml:space="preserve"> 39.1723 </t>
  </si>
  <si>
    <t xml:space="preserve">C:\Users\andre\Desktop\REACTIV CEFAS\Cefuroxime\Cefuroxime/20201125_Cefas_Test7_Run2/Plate 1/@16/G12_01.tif </t>
  </si>
  <si>
    <t xml:space="preserve"> 4563.9078 </t>
  </si>
  <si>
    <t xml:space="preserve"> 39.436 </t>
  </si>
  <si>
    <t xml:space="preserve">C:\Users\andre\Desktop\REACTIV CEFAS\Cefuroxime\Cefuroxime/20201125_Cefas_Test7_Run2/Plate 1/@16/G12_02.tif </t>
  </si>
  <si>
    <t xml:space="preserve"> 4412.4985 </t>
  </si>
  <si>
    <t xml:space="preserve"> 39.8873 </t>
  </si>
  <si>
    <t xml:space="preserve">C:\Users\andre\Desktop\REACTIV CEFAS\Cefuroxime\Cefuroxime/20201125_Cefas_Test7_Run2/Plate 1/@16/G12_03.tif </t>
  </si>
  <si>
    <t xml:space="preserve"> 1297.7937 </t>
  </si>
  <si>
    <t xml:space="preserve"> 33.1833 </t>
  </si>
  <si>
    <t xml:space="preserve">C:\Users\andre\Desktop\REACTIV CEFAS\Cefuroxime\Cefuroxime/20201125_Cefas_Test7_Run2/Plate 1/@16/H12_01.tif </t>
  </si>
  <si>
    <t xml:space="preserve"> 2617.2173 </t>
  </si>
  <si>
    <t xml:space="preserve"> 32.4959 </t>
  </si>
  <si>
    <t xml:space="preserve">C:\Users\andre\Desktop\REACTIV CEFAS\Cefuroxime\Cefuroxime/20201125_Cefas_Test7_Run2/Plate 1/@16/H12_02.tif </t>
  </si>
  <si>
    <t xml:space="preserve">C:\Users\andre\Desktop\REACTIV CEFAS\Cefuroxime\Cefuroxime/20201125_Cefas_Test7_Run2/Plate 1/@16/H12_03.tif </t>
  </si>
  <si>
    <t xml:space="preserve"> 3612.1924 </t>
  </si>
  <si>
    <t xml:space="preserve"> 38.1916 </t>
  </si>
  <si>
    <t xml:space="preserve">C:\Users\andre\Desktop\REACTIV CEFAS\Cefuroxime\Cefuroxime/20201125_Cefas_Test7_Run2/Plate 1/@16/ </t>
  </si>
  <si>
    <t xml:space="preserve"> 35.4494 </t>
  </si>
  <si>
    <t xml:space="preserve"> 12.0859 </t>
  </si>
  <si>
    <t xml:space="preserve"> 245550.667 </t>
  </si>
  <si>
    <t xml:space="preserve"> 237990.303 </t>
  </si>
  <si>
    <t>C:\Users\andre\Desktop\REACTIV CEFAS\Cefuroxime\Cefuroxime/20201125_Cefas_Test7_Run2/Plate 1/@2/A2_01- exclu.tif</t>
  </si>
  <si>
    <t>C:\Users\andre\Desktop\REACTIV CEFAS\Cefuroxime\Cefuroxime/20201125_Cefas_Test7_Run2/Plate 1/@2/A2_02- exclu.tif</t>
  </si>
  <si>
    <t>C:\Users\andre\Desktop\REACTIV CEFAS\Cefuroxime\Cefuroxime/20201125_Cefas_Test7_Run2/Plate 1/@2/A2_03- exclu.tif</t>
  </si>
  <si>
    <t xml:space="preserve">C:\Users\andre\Desktop\REACTIV CEFAS\Cefuroxime\Cefuroxime/20201125_Cefas_Test7_Run2/Plate 1/@2/B2_01.tif </t>
  </si>
  <si>
    <t xml:space="preserve">C:\Users\andre\Desktop\REACTIV CEFAS\Cefuroxime\Cefuroxime/20201125_Cefas_Test7_Run2/Plate 1/@2/B2_02.tif </t>
  </si>
  <si>
    <t xml:space="preserve">C:\Users\andre\Desktop\REACTIV CEFAS\Cefuroxime\Cefuroxime/20201125_Cefas_Test7_Run2/Plate 1/@2/B2_03.tif </t>
  </si>
  <si>
    <t xml:space="preserve"> 33.3975 </t>
  </si>
  <si>
    <t>C:\Users\andre\Desktop\REACTIV CEFAS\Cefuroxime\Cefuroxime/20201125_Cefas_Test7_Run2/Plate 1/@2/C2_01- exclu.tif</t>
  </si>
  <si>
    <t xml:space="preserve">C:\Users\andre\Desktop\REACTIV CEFAS\Cefuroxime\Cefuroxime/20201125_Cefas_Test7_Run2/Plate 1/@2/C2_02.tif </t>
  </si>
  <si>
    <t xml:space="preserve"> 12177.6307 </t>
  </si>
  <si>
    <t xml:space="preserve"> 36.4281 </t>
  </si>
  <si>
    <t xml:space="preserve">C:\Users\andre\Desktop\REACTIV CEFAS\Cefuroxime\Cefuroxime/20201125_Cefas_Test7_Run2/Plate 1/@2/C2_03.tif </t>
  </si>
  <si>
    <t xml:space="preserve"> 3504.0429 </t>
  </si>
  <si>
    <t xml:space="preserve"> 33.1049 </t>
  </si>
  <si>
    <t xml:space="preserve">C:\Users\andre\Desktop\REACTIV CEFAS\Cefuroxime\Cefuroxime/20201125_Cefas_Test7_Run2/Plate 1/@2/D2_01.tif </t>
  </si>
  <si>
    <t xml:space="preserve"> 475.8577 </t>
  </si>
  <si>
    <t xml:space="preserve"> 31.8636 </t>
  </si>
  <si>
    <t xml:space="preserve">C:\Users\andre\Desktop\REACTIV CEFAS\Cefuroxime\Cefuroxime/20201125_Cefas_Test7_Run2/Plate 1/@2/D2_02.tif </t>
  </si>
  <si>
    <t xml:space="preserve"> 31.8846 </t>
  </si>
  <si>
    <t xml:space="preserve">C:\Users\andre\Desktop\REACTIV CEFAS\Cefuroxime\Cefuroxime/20201125_Cefas_Test7_Run2/Plate 1/@2/D2_03.tif </t>
  </si>
  <si>
    <t xml:space="preserve"> 35.5 </t>
  </si>
  <si>
    <t xml:space="preserve">C:\Users\andre\Desktop\REACTIV CEFAS\Cefuroxime\Cefuroxime/20201125_Cefas_Test7_Run2/Plate 1/@2/E2_01.tif </t>
  </si>
  <si>
    <t xml:space="preserve"> 757.0463 </t>
  </si>
  <si>
    <t xml:space="preserve"> 33.5429 </t>
  </si>
  <si>
    <t xml:space="preserve">C:\Users\andre\Desktop\REACTIV CEFAS\Cefuroxime\Cefuroxime/20201125_Cefas_Test7_Run2/Plate 1/@2/E2_02.tif </t>
  </si>
  <si>
    <t xml:space="preserve"> 35.1321 </t>
  </si>
  <si>
    <t xml:space="preserve">C:\Users\andre\Desktop\REACTIV CEFAS\Cefuroxime\Cefuroxime/20201125_Cefas_Test7_Run2/Plate 1/@2/E2_03.tif </t>
  </si>
  <si>
    <t xml:space="preserve"> 1643.872 </t>
  </si>
  <si>
    <t xml:space="preserve"> 34.0263 </t>
  </si>
  <si>
    <t xml:space="preserve">C:\Users\andre\Desktop\REACTIV CEFAS\Cefuroxime\Cefuroxime/20201125_Cefas_Test7_Run2/Plate 1/@2/F2_01.tif </t>
  </si>
  <si>
    <t xml:space="preserve"> 16027.7519 </t>
  </si>
  <si>
    <t xml:space="preserve"> 44.4224 </t>
  </si>
  <si>
    <t xml:space="preserve">C:\Users\andre\Desktop\REACTIV CEFAS\Cefuroxime\Cefuroxime/20201125_Cefas_Test7_Run2/Plate 1/@2/F2_02.tif </t>
  </si>
  <si>
    <t xml:space="preserve"> 14145.9511 </t>
  </si>
  <si>
    <t xml:space="preserve"> 41.3135 </t>
  </si>
  <si>
    <t xml:space="preserve">C:\Users\andre\Desktop\REACTIV CEFAS\Cefuroxime\Cefuroxime/20201125_Cefas_Test7_Run2/Plate 1/@2/F2_03.tif </t>
  </si>
  <si>
    <t xml:space="preserve"> 9582.0433 </t>
  </si>
  <si>
    <t xml:space="preserve"> 39.4673 </t>
  </si>
  <si>
    <t xml:space="preserve">C:\Users\andre\Desktop\REACTIV CEFAS\Cefuroxime\Cefuroxime/20201125_Cefas_Test7_Run2/Plate 1/@2/G2_01.tif </t>
  </si>
  <si>
    <t xml:space="preserve"> 36.5563 </t>
  </si>
  <si>
    <t xml:space="preserve">C:\Users\andre\Desktop\REACTIV CEFAS\Cefuroxime\Cefuroxime/20201125_Cefas_Test7_Run2/Plate 1/@2/G2_02.tif </t>
  </si>
  <si>
    <t xml:space="preserve">C:\Users\andre\Desktop\REACTIV CEFAS\Cefuroxime\Cefuroxime/20201125_Cefas_Test7_Run2/Plate 1/@2/G2_03.tif </t>
  </si>
  <si>
    <t xml:space="preserve"> 12869.7873 </t>
  </si>
  <si>
    <t xml:space="preserve"> 42.916 </t>
  </si>
  <si>
    <t xml:space="preserve">C:\Users\andre\Desktop\REACTIV CEFAS\Cefuroxime\Cefuroxime/20201125_Cefas_Test7_Run2/Plate 1/@2/H2_01.tif </t>
  </si>
  <si>
    <t xml:space="preserve"> 1925.0606 </t>
  </si>
  <si>
    <t xml:space="preserve"> 34.1124 </t>
  </si>
  <si>
    <t xml:space="preserve">C:\Users\andre\Desktop\REACTIV CEFAS\Cefuroxime\Cefuroxime/20201125_Cefas_Test7_Run2/Plate 1/@2/H2_02.tif </t>
  </si>
  <si>
    <t xml:space="preserve"> 38.3526 </t>
  </si>
  <si>
    <t xml:space="preserve">C:\Users\andre\Desktop\REACTIV CEFAS\Cefuroxime\Cefuroxime/20201125_Cefas_Test7_Run2/Plate 1/@2/H2_03.tif </t>
  </si>
  <si>
    <t xml:space="preserve"> 31.4 </t>
  </si>
  <si>
    <t xml:space="preserve">C:\Users\andre\Desktop\REACTIV CEFAS\Cefuroxime\Cefuroxime/20201125_Cefas_Test7_Run2/Plate 1/@2/ </t>
  </si>
  <si>
    <t xml:space="preserve"> 34.9813 </t>
  </si>
  <si>
    <t xml:space="preserve"> 3.7881 </t>
  </si>
  <si>
    <t xml:space="preserve"> 176882.958 </t>
  </si>
  <si>
    <t xml:space="preserve"> 205798.906 </t>
  </si>
  <si>
    <t xml:space="preserve">C:\Users\andre\Desktop\REACTIV CEFAS\Cefuroxime\Cefuroxime/20201125_Cefas_Test7_Run2/Plate 1/@3/A3_01.tif </t>
  </si>
  <si>
    <t xml:space="preserve"> 32.9118 </t>
  </si>
  <si>
    <t xml:space="preserve">C:\Users\andre\Desktop\REACTIV CEFAS\Cefuroxime\Cefuroxime/20201125_Cefas_Test7_Run2/Plate 1/@3/A3_02.tif </t>
  </si>
  <si>
    <t xml:space="preserve"> 33.1348 </t>
  </si>
  <si>
    <t xml:space="preserve">C:\Users\andre\Desktop\REACTIV CEFAS\Cefuroxime\Cefuroxime/20201125_Cefas_Test7_Run2/Plate 1/@3/A3_03.tif </t>
  </si>
  <si>
    <t xml:space="preserve"> 324.4484 </t>
  </si>
  <si>
    <t xml:space="preserve"> 33.3333 </t>
  </si>
  <si>
    <t xml:space="preserve">C:\Users\andre\Desktop\REACTIV CEFAS\Cefuroxime\Cefuroxime/20201125_Cefas_Test7_Run2/Plate 1/@3/B3_01.tif </t>
  </si>
  <si>
    <t xml:space="preserve"> 34.8065 </t>
  </si>
  <si>
    <t xml:space="preserve">C:\Users\andre\Desktop\REACTIV CEFAS\Cefuroxime\Cefuroxime/20201125_Cefas_Test7_Run2/Plate 1/@3/B3_02.tif </t>
  </si>
  <si>
    <t xml:space="preserve"> 31.4615 </t>
  </si>
  <si>
    <t xml:space="preserve">C:\Users\andre\Desktop\REACTIV CEFAS\Cefuroxime\Cefuroxime/20201125_Cefas_Test7_Run2/Plate 1/@3/B3_03.tif </t>
  </si>
  <si>
    <t xml:space="preserve">C:\Users\andre\Desktop\REACTIV CEFAS\Cefuroxime\Cefuroxime/20201125_Cefas_Test7_Run2/Plate 1/@3/C3_01.tif </t>
  </si>
  <si>
    <t xml:space="preserve"> 32.2708 </t>
  </si>
  <si>
    <t xml:space="preserve">C:\Users\andre\Desktop\REACTIV CEFAS\Cefuroxime\Cefuroxime/20201125_Cefas_Test7_Run2/Plate 1/@3/C3_02.tif </t>
  </si>
  <si>
    <t xml:space="preserve"> 9928.1216 </t>
  </si>
  <si>
    <t xml:space="preserve"> 46.3312 </t>
  </si>
  <si>
    <t xml:space="preserve">C:\Users\andre\Desktop\REACTIV CEFAS\Cefuroxime\Cefuroxime/20201125_Cefas_Test7_Run2/Plate 1/@3/C3_03.tif </t>
  </si>
  <si>
    <t xml:space="preserve"> 3201.2244 </t>
  </si>
  <si>
    <t xml:space="preserve"> 39.0676 </t>
  </si>
  <si>
    <t xml:space="preserve">C:\Users\andre\Desktop\REACTIV CEFAS\Cefuroxime\Cefuroxime/20201125_Cefas_Test7_Run2/Plate 1/@3/D3_01.tif </t>
  </si>
  <si>
    <t xml:space="preserve"> 6943.1962 </t>
  </si>
  <si>
    <t xml:space="preserve"> 31.9813 </t>
  </si>
  <si>
    <t xml:space="preserve">C:\Users\andre\Desktop\REACTIV CEFAS\Cefuroxime\Cefuroxime/20201125_Cefas_Test7_Run2/Plate 1/@3/D3_02.tif </t>
  </si>
  <si>
    <t xml:space="preserve"> 32.7186 </t>
  </si>
  <si>
    <t xml:space="preserve">C:\Users\andre\Desktop\REACTIV CEFAS\Cefuroxime\Cefuroxime/20201125_Cefas_Test7_Run2/Plate 1/@3/D3_03.tif </t>
  </si>
  <si>
    <t xml:space="preserve"> 32.372 </t>
  </si>
  <si>
    <t xml:space="preserve">C:\Users\andre\Desktop\REACTIV CEFAS\Cefuroxime\Cefuroxime/20201125_Cefas_Test7_Run2/Plate 1/@3/E3_01.tif </t>
  </si>
  <si>
    <t xml:space="preserve"> 33.5667 </t>
  </si>
  <si>
    <t xml:space="preserve">C:\Users\andre\Desktop\REACTIV CEFAS\Cefuroxime\Cefuroxime/20201125_Cefas_Test7_Run2/Plate 1/@3/E3_02.tif </t>
  </si>
  <si>
    <t xml:space="preserve"> 36.531 </t>
  </si>
  <si>
    <t xml:space="preserve">C:\Users\andre\Desktop\REACTIV CEFAS\Cefuroxime\Cefuroxime/20201125_Cefas_Test7_Run2/Plate 1/@3/E3_03.tif </t>
  </si>
  <si>
    <t xml:space="preserve"> 33.9333 </t>
  </si>
  <si>
    <t xml:space="preserve">C:\Users\andre\Desktop\REACTIV CEFAS\Cefuroxime\Cefuroxime/20201125_Cefas_Test7_Run2/Plate 1/@3/F3_01.tif </t>
  </si>
  <si>
    <t xml:space="preserve"> 35.7425 </t>
  </si>
  <si>
    <t xml:space="preserve">C:\Users\andre\Desktop\REACTIV CEFAS\Cefuroxime\Cefuroxime/20201125_Cefas_Test7_Run2/Plate 1/@3/F3_02.tif </t>
  </si>
  <si>
    <t xml:space="preserve"> 4909.9861 </t>
  </si>
  <si>
    <t xml:space="preserve"> 33.9207 </t>
  </si>
  <si>
    <t xml:space="preserve">C:\Users\andre\Desktop\REACTIV CEFAS\Cefuroxime\Cefuroxime/20201125_Cefas_Test7_Run2/Plate 1/@3/F3_03.tif </t>
  </si>
  <si>
    <t xml:space="preserve"> 32.0909 </t>
  </si>
  <si>
    <t xml:space="preserve">C:\Users\andre\Desktop\REACTIV CEFAS\Cefuroxime\Cefuroxime/20201125_Cefas_Test7_Run2/Plate 1/@3/G3_01.tif </t>
  </si>
  <si>
    <t xml:space="preserve"> 5493.9932 </t>
  </si>
  <si>
    <t xml:space="preserve"> 39.7953 </t>
  </si>
  <si>
    <t xml:space="preserve">C:\Users\andre\Desktop\REACTIV CEFAS\Cefuroxime\Cefuroxime/20201125_Cefas_Test7_Run2/Plate 1/@3/G3_02.tif </t>
  </si>
  <si>
    <t xml:space="preserve"> 44.2559 </t>
  </si>
  <si>
    <t xml:space="preserve">C:\Users\andre\Desktop\REACTIV CEFAS\Cefuroxime\Cefuroxime/20201125_Cefas_Test7_Run2/Plate 1/@3/G3_03.tif </t>
  </si>
  <si>
    <t xml:space="preserve"> 7527.2033 </t>
  </si>
  <si>
    <t xml:space="preserve"> 44.8994 </t>
  </si>
  <si>
    <t xml:space="preserve">C:\Users\andre\Desktop\REACTIV CEFAS\Cefuroxime\Cefuroxime/20201125_Cefas_Test7_Run2/Plate 1/@3/H3_01.tif </t>
  </si>
  <si>
    <t xml:space="preserve"> 40.5939 </t>
  </si>
  <si>
    <t xml:space="preserve">C:\Users\andre\Desktop\REACTIV CEFAS\Cefuroxime\Cefuroxime/20201125_Cefas_Test7_Run2/Plate 1/@3/H3_02.tif </t>
  </si>
  <si>
    <t xml:space="preserve"> 11139.3957 </t>
  </si>
  <si>
    <t xml:space="preserve"> 38.9592 </t>
  </si>
  <si>
    <t xml:space="preserve">C:\Users\andre\Desktop\REACTIV CEFAS\Cefuroxime\Cefuroxime/20201125_Cefas_Test7_Run2/Plate 1/@3/H3_03.tif </t>
  </si>
  <si>
    <t xml:space="preserve"> 41.516 </t>
  </si>
  <si>
    <t xml:space="preserve">C:\Users\andre\Desktop\REACTIV CEFAS\Cefuroxime\Cefuroxime/20201125_Cefas_Test7_Run2/Plate 1/@3/ </t>
  </si>
  <si>
    <t xml:space="preserve"> 36.0914 </t>
  </si>
  <si>
    <t xml:space="preserve"> 4.6858 </t>
  </si>
  <si>
    <t xml:space="preserve"> 197631.5 </t>
  </si>
  <si>
    <t xml:space="preserve"> 160861.076 </t>
  </si>
  <si>
    <t xml:space="preserve">C:\Users\andre\Desktop\REACTIV CEFAS\Cefuroxime\Cefuroxime/20201125_Cefas_Test7_Run2/Plate 1/@4/A4_01.tif </t>
  </si>
  <si>
    <t xml:space="preserve"> 44882.0314 </t>
  </si>
  <si>
    <t xml:space="preserve"> 37.7142 </t>
  </si>
  <si>
    <t xml:space="preserve">C:\Users\andre\Desktop\REACTIV CEFAS\Cefuroxime\Cefuroxime/20201125_Cefas_Test7_Run2/Plate 1/@4/A4_02.tif </t>
  </si>
  <si>
    <t xml:space="preserve"> 52387.6048 </t>
  </si>
  <si>
    <t xml:space="preserve"> 40.5879 </t>
  </si>
  <si>
    <t xml:space="preserve">C:\Users\andre\Desktop\REACTIV CEFAS\Cefuroxime\Cefuroxime/20201125_Cefas_Test7_Run2/Plate 1/@4/A4_03.tif </t>
  </si>
  <si>
    <t xml:space="preserve"> 56821.7332 </t>
  </si>
  <si>
    <t xml:space="preserve"> 38.804 </t>
  </si>
  <si>
    <t xml:space="preserve">C:\Users\andre\Desktop\REACTIV CEFAS\Cefuroxime\Cefuroxime/20201125_Cefas_Test7_Run2/Plate 1/@4/B4_01.tif </t>
  </si>
  <si>
    <t xml:space="preserve"> 43973.5758 </t>
  </si>
  <si>
    <t xml:space="preserve"> 35.2691 </t>
  </si>
  <si>
    <t xml:space="preserve">C:\Users\andre\Desktop\REACTIV CEFAS\Cefuroxime\Cefuroxime/20201125_Cefas_Test7_Run2/Plate 1/@4/B4_02.tif </t>
  </si>
  <si>
    <t xml:space="preserve"> 46547.5332 </t>
  </si>
  <si>
    <t xml:space="preserve"> 37.0028 </t>
  </si>
  <si>
    <t xml:space="preserve">C:\Users\andre\Desktop\REACTIV CEFAS\Cefuroxime\Cefuroxime/20201125_Cefas_Test7_Run2/Plate 1/@4/B4_03.tif </t>
  </si>
  <si>
    <t xml:space="preserve"> 42372.9636 </t>
  </si>
  <si>
    <t xml:space="preserve"> 35.5539 </t>
  </si>
  <si>
    <t xml:space="preserve">C:\Users\andre\Desktop\REACTIV CEFAS\Cefuroxime\Cefuroxime/20201125_Cefas_Test7_Run2/Plate 1/@4/C4_01.tif </t>
  </si>
  <si>
    <t xml:space="preserve"> 32.6149 </t>
  </si>
  <si>
    <t xml:space="preserve">C:\Users\andre\Desktop\REACTIV CEFAS\Cefuroxime\Cefuroxime/20201125_Cefas_Test7_Run2/Plate 1/@4/C4_02.tif </t>
  </si>
  <si>
    <t xml:space="preserve"> 32.6826 </t>
  </si>
  <si>
    <t xml:space="preserve">C:\Users\andre\Desktop\REACTIV CEFAS\Cefuroxime\Cefuroxime/20201125_Cefas_Test7_Run2/Plate 1/@4/C4_03.tif </t>
  </si>
  <si>
    <t xml:space="preserve"> 713.7865 </t>
  </si>
  <si>
    <t xml:space="preserve"> 31.8788 </t>
  </si>
  <si>
    <t xml:space="preserve">C:\Users\andre\Desktop\REACTIV CEFAS\Cefuroxime\Cefuroxime/20201125_Cefas_Test7_Run2/Plate 1/@4/D4_01.tif </t>
  </si>
  <si>
    <t xml:space="preserve"> 3157.9646 </t>
  </si>
  <si>
    <t xml:space="preserve"> 32.5822 </t>
  </si>
  <si>
    <t xml:space="preserve">C:\Users\andre\Desktop\REACTIV CEFAS\Cefuroxime\Cefuroxime/20201125_Cefas_Test7_Run2/Plate 1/@4/D4_02.tif </t>
  </si>
  <si>
    <t xml:space="preserve"> 37.4137 </t>
  </si>
  <si>
    <t xml:space="preserve">C:\Users\andre\Desktop\REACTIV CEFAS\Cefuroxime\Cefuroxime/20201125_Cefas_Test7_Run2/Plate 1/@4/D4_03.tif </t>
  </si>
  <si>
    <t xml:space="preserve"> 41.2104 </t>
  </si>
  <si>
    <t xml:space="preserve">C:\Users\andre\Desktop\REACTIV CEFAS\Cefuroxime\Cefuroxime/20201125_Cefas_Test7_Run2/Plate 1/@4/E4_01.tif </t>
  </si>
  <si>
    <t xml:space="preserve"> 33.9074 </t>
  </si>
  <si>
    <t xml:space="preserve">C:\Users\andre\Desktop\REACTIV CEFAS\Cefuroxime\Cefuroxime/20201125_Cefas_Test7_Run2/Plate 1/@4/E4_02.tif </t>
  </si>
  <si>
    <t xml:space="preserve"> 22841.1687 </t>
  </si>
  <si>
    <t xml:space="preserve"> 37.392 </t>
  </si>
  <si>
    <t xml:space="preserve">C:\Users\andre\Desktop\REACTIV CEFAS\Cefuroxime\Cefuroxime/20201125_Cefas_Test7_Run2/Plate 1/@4/E4_03.tif </t>
  </si>
  <si>
    <t xml:space="preserve"> 12307.41 </t>
  </si>
  <si>
    <t xml:space="preserve"> 33.3058 </t>
  </si>
  <si>
    <t xml:space="preserve">C:\Users\andre\Desktop\REACTIV CEFAS\Cefuroxime\Cefuroxime/20201125_Cefas_Test7_Run2/Plate 1/@4/F4_01.tif </t>
  </si>
  <si>
    <t xml:space="preserve"> 14297.3603 </t>
  </si>
  <si>
    <t xml:space="preserve"> 34.7882 </t>
  </si>
  <si>
    <t xml:space="preserve">C:\Users\andre\Desktop\REACTIV CEFAS\Cefuroxime\Cefuroxime/20201125_Cefas_Test7_Run2/Plate 1/@4/F4_02.tif </t>
  </si>
  <si>
    <t xml:space="preserve"> 13518.6841 </t>
  </si>
  <si>
    <t xml:space="preserve"> 33.0992 </t>
  </si>
  <si>
    <t xml:space="preserve">C:\Users\andre\Desktop\REACTIV CEFAS\Cefuroxime\Cefuroxime/20201125_Cefas_Test7_Run2/Plate 1/@4/F4_03.tif </t>
  </si>
  <si>
    <t xml:space="preserve"> 18017.7022 </t>
  </si>
  <si>
    <t xml:space="preserve"> 35.6639 </t>
  </si>
  <si>
    <t xml:space="preserve">C:\Users\andre\Desktop\REACTIV CEFAS\Cefuroxime\Cefuroxime/20201125_Cefas_Test7_Run2/Plate 1/@4/G4_01.tif </t>
  </si>
  <si>
    <t xml:space="preserve"> 35.0558 </t>
  </si>
  <si>
    <t xml:space="preserve">C:\Users\andre\Desktop\REACTIV CEFAS\Cefuroxime\Cefuroxime/20201125_Cefas_Test7_Run2/Plate 1/@4/G4_02.tif </t>
  </si>
  <si>
    <t xml:space="preserve"> 38.2569 </t>
  </si>
  <si>
    <t xml:space="preserve">C:\Users\andre\Desktop\REACTIV CEFAS\Cefuroxime\Cefuroxime/20201125_Cefas_Test7_Run2/Plate 1/@4/G4_03.tif </t>
  </si>
  <si>
    <t xml:space="preserve"> 30.8559 </t>
  </si>
  <si>
    <t xml:space="preserve">C:\Users\andre\Desktop\REACTIV CEFAS\Cefuroxime\Cefuroxime/20201125_Cefas_Test7_Run2/Plate 1/@4/H4_01.tif </t>
  </si>
  <si>
    <t xml:space="preserve"> 15530.2643 </t>
  </si>
  <si>
    <t xml:space="preserve"> 33.6783 </t>
  </si>
  <si>
    <t xml:space="preserve">C:\Users\andre\Desktop\REACTIV CEFAS\Cefuroxime\Cefuroxime/20201125_Cefas_Test7_Run2/Plate 1/@4/H4_02.tif </t>
  </si>
  <si>
    <t xml:space="preserve"> 10966.3566 </t>
  </si>
  <si>
    <t xml:space="preserve"> 35.8876 </t>
  </si>
  <si>
    <t xml:space="preserve">C:\Users\andre\Desktop\REACTIV CEFAS\Cefuroxime\Cefuroxime/20201125_Cefas_Test7_Run2/Plate 1/@4/H4_03.tif </t>
  </si>
  <si>
    <t xml:space="preserve"> 13821.5027 </t>
  </si>
  <si>
    <t xml:space="preserve"> 39.5196 </t>
  </si>
  <si>
    <t xml:space="preserve">C:\Users\andre\Desktop\REACTIV CEFAS\Cefuroxime\Cefuroxime/20201125_Cefas_Test7_Run2/Plate 1/@4/ </t>
  </si>
  <si>
    <t xml:space="preserve"> 35.6135 </t>
  </si>
  <si>
    <t xml:space="preserve"> 2.8291 </t>
  </si>
  <si>
    <t xml:space="preserve"> 723845.333 </t>
  </si>
  <si>
    <t xml:space="preserve"> 681247.563 </t>
  </si>
  <si>
    <t xml:space="preserve">C:\Users\andre\Desktop\REACTIV CEFAS\Cefuroxime\Cefuroxime/20201125_Cefas_Test7_Run2/Plate 1/@5/A5_01.tif </t>
  </si>
  <si>
    <t xml:space="preserve"> 62769.9542 </t>
  </si>
  <si>
    <t xml:space="preserve"> 43.948 </t>
  </si>
  <si>
    <t xml:space="preserve">C:\Users\andre\Desktop\REACTIV CEFAS\Cefuroxime\Cefuroxime/20201125_Cefas_Test7_Run2/Plate 1/@5/A5_02.tif </t>
  </si>
  <si>
    <t xml:space="preserve"> 58227.6763 </t>
  </si>
  <si>
    <t xml:space="preserve"> 40.3804 </t>
  </si>
  <si>
    <t xml:space="preserve">C:\Users\andre\Desktop\REACTIV CEFAS\Cefuroxime\Cefuroxime/20201125_Cefas_Test7_Run2/Plate 1/@5/A5_03.tif </t>
  </si>
  <si>
    <t xml:space="preserve"> 55156.2313 </t>
  </si>
  <si>
    <t xml:space="preserve"> 43.2216 </t>
  </si>
  <si>
    <t xml:space="preserve">C:\Users\andre\Desktop\REACTIV CEFAS\Cefuroxime\Cefuroxime/20201125_Cefas_Test7_Run2/Plate 1/@5/B5_01.tif </t>
  </si>
  <si>
    <t xml:space="preserve"> 32315.0626 </t>
  </si>
  <si>
    <t xml:space="preserve"> 37.4177 </t>
  </si>
  <si>
    <t xml:space="preserve">C:\Users\andre\Desktop\REACTIV CEFAS\Cefuroxime\Cefuroxime/20201125_Cefas_Test7_Run2/Plate 1/@5/B5_02.tif </t>
  </si>
  <si>
    <t xml:space="preserve"> 36359.8529 </t>
  </si>
  <si>
    <t xml:space="preserve"> 36.5776 </t>
  </si>
  <si>
    <t xml:space="preserve">C:\Users\andre\Desktop\REACTIV CEFAS\Cefuroxime\Cefuroxime/20201125_Cefas_Test7_Run2/Plate 1/@5/B5_03.tif </t>
  </si>
  <si>
    <t xml:space="preserve"> 35.8294 </t>
  </si>
  <si>
    <t>C:\Users\andre\Desktop\REACTIV CEFAS\Cefuroxime\Cefuroxime/20201125_Cefas_Test7_Run2/Plate 1/@5/C5_01- exclu.tif</t>
  </si>
  <si>
    <t>C:\Users\andre\Desktop\REACTIV CEFAS\Cefuroxime\Cefuroxime/20201125_Cefas_Test7_Run2/Plate 1/@5/C5_02- exclu.tif</t>
  </si>
  <si>
    <t>C:\Users\andre\Desktop\REACTIV CEFAS\Cefuroxime\Cefuroxime/20201125_Cefas_Test7_Run2/Plate 1/@5/C5_03- exclu.tif</t>
  </si>
  <si>
    <t xml:space="preserve">C:\Users\andre\Desktop\REACTIV CEFAS\Cefuroxime\Cefuroxime/20201125_Cefas_Test7_Run2/Plate 1/@5/D5_01.tif </t>
  </si>
  <si>
    <t xml:space="preserve"> 55394.1601 </t>
  </si>
  <si>
    <t xml:space="preserve"> 38.0894 </t>
  </si>
  <si>
    <t xml:space="preserve">C:\Users\andre\Desktop\REACTIV CEFAS\Cefuroxime\Cefuroxime/20201125_Cefas_Test7_Run2/Plate 1/@5/D5_02.tif </t>
  </si>
  <si>
    <t xml:space="preserve"> 47282.9497 </t>
  </si>
  <si>
    <t xml:space="preserve"> 39.0206 </t>
  </si>
  <si>
    <t xml:space="preserve">C:\Users\andre\Desktop\REACTIV CEFAS\Cefuroxime\Cefuroxime/20201125_Cefas_Test7_Run2/Plate 1/@5/D5_03.tif </t>
  </si>
  <si>
    <t xml:space="preserve"> 47326.2094 </t>
  </si>
  <si>
    <t xml:space="preserve"> 37.3167 </t>
  </si>
  <si>
    <t xml:space="preserve">C:\Users\andre\Desktop\REACTIV CEFAS\Cefuroxime\Cefuroxime/20201125_Cefas_Test7_Run2/Plate 1/@5/E5_01.tif </t>
  </si>
  <si>
    <t xml:space="preserve"> 48018.3661 </t>
  </si>
  <si>
    <t xml:space="preserve"> 38.0378 </t>
  </si>
  <si>
    <t xml:space="preserve">C:\Users\andre\Desktop\REACTIV CEFAS\Cefuroxime\Cefuroxime/20201125_Cefas_Test7_Run2/Plate 1/@5/E5_02.tif </t>
  </si>
  <si>
    <t xml:space="preserve"> 43324.6789 </t>
  </si>
  <si>
    <t xml:space="preserve"> 35.8183 </t>
  </si>
  <si>
    <t xml:space="preserve">C:\Users\andre\Desktop\REACTIV CEFAS\Cefuroxime\Cefuroxime/20201125_Cefas_Test7_Run2/Plate 1/@5/E5_03.tif </t>
  </si>
  <si>
    <t xml:space="preserve"> 42524.3728 </t>
  </si>
  <si>
    <t xml:space="preserve"> 35.4736 </t>
  </si>
  <si>
    <t xml:space="preserve">C:\Users\andre\Desktop\REACTIV CEFAS\Cefuroxime\Cefuroxime/20201125_Cefas_Test7_Run2/Plate 1/@5/F5_01.tif </t>
  </si>
  <si>
    <t xml:space="preserve"> 37052.0095 </t>
  </si>
  <si>
    <t xml:space="preserve"> 37.5902 </t>
  </si>
  <si>
    <t>C:\Users\andre\Desktop\REACTIV CEFAS\Cefuroxime\Cefuroxime/20201125_Cefas_Test7_Run2/Plate 1/@5/F5_02- exclu.tif</t>
  </si>
  <si>
    <t xml:space="preserve">C:\Users\andre\Desktop\REACTIV CEFAS\Cefuroxime\Cefuroxime/20201125_Cefas_Test7_Run2/Plate 1/@5/F5_03.tif </t>
  </si>
  <si>
    <t xml:space="preserve"> 42632.5223 </t>
  </si>
  <si>
    <t xml:space="preserve"> 38.4216 </t>
  </si>
  <si>
    <t xml:space="preserve">C:\Users\andre\Desktop\REACTIV CEFAS\Cefuroxime\Cefuroxime/20201125_Cefas_Test7_Run2/Plate 1/@5/G5_01.tif </t>
  </si>
  <si>
    <t xml:space="preserve"> 34.409 </t>
  </si>
  <si>
    <t xml:space="preserve">C:\Users\andre\Desktop\REACTIV CEFAS\Cefuroxime\Cefuroxime/20201125_Cefas_Test7_Run2/Plate 1/@5/G5_02.tif </t>
  </si>
  <si>
    <t xml:space="preserve"> 14967.8871 </t>
  </si>
  <si>
    <t xml:space="preserve"> 31.8728 </t>
  </si>
  <si>
    <t xml:space="preserve">C:\Users\andre\Desktop\REACTIV CEFAS\Cefuroxime\Cefuroxime/20201125_Cefas_Test7_Run2/Plate 1/@5/G5_03.tif </t>
  </si>
  <si>
    <t xml:space="preserve"> 21759.674 </t>
  </si>
  <si>
    <t xml:space="preserve"> 34.2087 </t>
  </si>
  <si>
    <t xml:space="preserve">C:\Users\andre\Desktop\REACTIV CEFAS\Cefuroxime\Cefuroxime/20201125_Cefas_Test7_Run2/Plate 1/@5/H5_01.tif </t>
  </si>
  <si>
    <t xml:space="preserve"> 75098.9942 </t>
  </si>
  <si>
    <t xml:space="preserve"> 39.6604 </t>
  </si>
  <si>
    <t xml:space="preserve">C:\Users\andre\Desktop\REACTIV CEFAS\Cefuroxime\Cefuroxime/20201125_Cefas_Test7_Run2/Plate 1/@5/H5_02.tif </t>
  </si>
  <si>
    <t xml:space="preserve"> 76829.3857 </t>
  </si>
  <si>
    <t xml:space="preserve"> 41.0909 </t>
  </si>
  <si>
    <t xml:space="preserve">C:\Users\andre\Desktop\REACTIV CEFAS\Cefuroxime\Cefuroxime/20201125_Cefas_Test7_Run2/Plate 1/@5/H5_03.tif </t>
  </si>
  <si>
    <t xml:space="preserve"> 62423.8759 </t>
  </si>
  <si>
    <t xml:space="preserve"> 37.9615 </t>
  </si>
  <si>
    <t xml:space="preserve">C:\Users\andre\Desktop\REACTIV CEFAS\Cefuroxime\Cefuroxime/20201125_Cefas_Test7_Run2/Plate 1/@5/ </t>
  </si>
  <si>
    <t xml:space="preserve"> 34.8357 </t>
  </si>
  <si>
    <t xml:space="preserve"> 11.1335 </t>
  </si>
  <si>
    <t xml:space="preserve"> 1587408.83 </t>
  </si>
  <si>
    <t xml:space="preserve"> 841427.826 </t>
  </si>
  <si>
    <t xml:space="preserve">C:\Users\andre\Desktop\REACTIV CEFAS\Cefuroxime\Cefuroxime/20201125_Cefas_Test7_Run2/Plate 1/@6/A6_01.tif </t>
  </si>
  <si>
    <t xml:space="preserve"> 14794.8479 </t>
  </si>
  <si>
    <t xml:space="preserve"> 37.3947 </t>
  </si>
  <si>
    <t xml:space="preserve">C:\Users\andre\Desktop\REACTIV CEFAS\Cefuroxime\Cefuroxime/20201125_Cefas_Test7_Run2/Plate 1/@6/A6_02.tif </t>
  </si>
  <si>
    <t xml:space="preserve"> 6770.157 </t>
  </si>
  <si>
    <t xml:space="preserve"> 34.508 </t>
  </si>
  <si>
    <t xml:space="preserve">C:\Users\andre\Desktop\REACTIV CEFAS\Cefuroxime\Cefuroxime/20201125_Cefas_Test7_Run2/Plate 1/@6/A6_03.tif </t>
  </si>
  <si>
    <t xml:space="preserve"> 8868.2568 </t>
  </si>
  <si>
    <t xml:space="preserve"> 34.661 </t>
  </si>
  <si>
    <t xml:space="preserve">C:\Users\andre\Desktop\REACTIV CEFAS\Cefuroxime\Cefuroxime/20201125_Cefas_Test7_Run2/Plate 1/@6/B6_01.tif </t>
  </si>
  <si>
    <t xml:space="preserve"> 79662.9019 </t>
  </si>
  <si>
    <t xml:space="preserve"> 43.7203 </t>
  </si>
  <si>
    <t xml:space="preserve">C:\Users\andre\Desktop\REACTIV CEFAS\Cefuroxime\Cefuroxime/20201125_Cefas_Test7_Run2/Plate 1/@6/B6_02.tif </t>
  </si>
  <si>
    <t xml:space="preserve"> 69929.4493 </t>
  </si>
  <si>
    <t xml:space="preserve"> 43.6421 </t>
  </si>
  <si>
    <t xml:space="preserve">C:\Users\andre\Desktop\REACTIV CEFAS\Cefuroxime\Cefuroxime/20201125_Cefas_Test7_Run2/Plate 1/@6/B6_03.tif </t>
  </si>
  <si>
    <t xml:space="preserve"> 71789.6203 </t>
  </si>
  <si>
    <t xml:space="preserve"> 42.1657 </t>
  </si>
  <si>
    <t xml:space="preserve">C:\Users\andre\Desktop\REACTIV CEFAS\Cefuroxime\Cefuroxime/20201125_Cefas_Test7_Run2/Plate 1/@6/C6_01.tif </t>
  </si>
  <si>
    <t xml:space="preserve"> 37527.8672 </t>
  </si>
  <si>
    <t xml:space="preserve"> 43.1879 </t>
  </si>
  <si>
    <t xml:space="preserve">C:\Users\andre\Desktop\REACTIV CEFAS\Cefuroxime\Cefuroxime/20201125_Cefas_Test7_Run2/Plate 1/@6/C6_02.tif </t>
  </si>
  <si>
    <t xml:space="preserve"> 36900.6002 </t>
  </si>
  <si>
    <t xml:space="preserve"> 43.9631 </t>
  </si>
  <si>
    <t xml:space="preserve">C:\Users\andre\Desktop\REACTIV CEFAS\Cefuroxime\Cefuroxime/20201125_Cefas_Test7_Run2/Plate 1/@6/C6_03.tif </t>
  </si>
  <si>
    <t xml:space="preserve"> 42805.5615 </t>
  </si>
  <si>
    <t xml:space="preserve"> 42.4275 </t>
  </si>
  <si>
    <t xml:space="preserve">C:\Users\andre\Desktop\REACTIV CEFAS\Cefuroxime\Cefuroxime/20201125_Cefas_Test7_Run2/Plate 1/@6/D6_01.tif </t>
  </si>
  <si>
    <t xml:space="preserve"> 44622.4726 </t>
  </si>
  <si>
    <t xml:space="preserve"> 36.2574 </t>
  </si>
  <si>
    <t xml:space="preserve">C:\Users\andre\Desktop\REACTIV CEFAS\Cefuroxime\Cefuroxime/20201125_Cefas_Test7_Run2/Plate 1/@6/D6_02.tif </t>
  </si>
  <si>
    <t xml:space="preserve"> 50159.7256 </t>
  </si>
  <si>
    <t xml:space="preserve"> 39.1259 </t>
  </si>
  <si>
    <t xml:space="preserve">C:\Users\andre\Desktop\REACTIV CEFAS\Cefuroxime\Cefuroxime/20201125_Cefas_Test7_Run2/Plate 1/@6/D6_03.tif </t>
  </si>
  <si>
    <t xml:space="preserve"> 19207.3464 </t>
  </si>
  <si>
    <t xml:space="preserve"> 33.4583 </t>
  </si>
  <si>
    <t xml:space="preserve">C:\Users\andre\Desktop\REACTIV CEFAS\Cefuroxime\Cefuroxime/20201125_Cefas_Test7_Run2/Plate 1/@6/E6_01.tif </t>
  </si>
  <si>
    <t xml:space="preserve"> 60412.2957 </t>
  </si>
  <si>
    <t xml:space="preserve"> 43.1078 </t>
  </si>
  <si>
    <t>C:\Users\andre\Desktop\REACTIV CEFAS\Cefuroxime\Cefuroxime/20201125_Cefas_Test7_Run2/Plate 1/@6/E6_02- exclu.tif</t>
  </si>
  <si>
    <t xml:space="preserve">C:\Users\andre\Desktop\REACTIV CEFAS\Cefuroxime\Cefuroxime/20201125_Cefas_Test7_Run2/Plate 1/@6/E6_03.tif </t>
  </si>
  <si>
    <t xml:space="preserve"> 77564.8021 </t>
  </si>
  <si>
    <t xml:space="preserve"> 47.7931 </t>
  </si>
  <si>
    <t xml:space="preserve">C:\Users\andre\Desktop\REACTIV CEFAS\Cefuroxime\Cefuroxime/20201125_Cefas_Test7_Run2/Plate 1/@6/F6_01.tif </t>
  </si>
  <si>
    <t xml:space="preserve"> 64219.1572 </t>
  </si>
  <si>
    <t xml:space="preserve"> 42.6278 </t>
  </si>
  <si>
    <t xml:space="preserve">C:\Users\andre\Desktop\REACTIV CEFAS\Cefuroxime\Cefuroxime/20201125_Cefas_Test7_Run2/Plate 1/@6/F6_02.tif </t>
  </si>
  <si>
    <t xml:space="preserve"> 63873.0788 </t>
  </si>
  <si>
    <t xml:space="preserve"> 43.3207 </t>
  </si>
  <si>
    <t xml:space="preserve">C:\Users\andre\Desktop\REACTIV CEFAS\Cefuroxime\Cefuroxime/20201125_Cefas_Test7_Run2/Plate 1/@6/F6_03.tif </t>
  </si>
  <si>
    <t xml:space="preserve"> 42.8704 </t>
  </si>
  <si>
    <t xml:space="preserve">C:\Users\andre\Desktop\REACTIV CEFAS\Cefuroxime\Cefuroxime/20201125_Cefas_Test7_Run2/Plate 1/@6/G6_01.tif </t>
  </si>
  <si>
    <t xml:space="preserve"> 44.3025 </t>
  </si>
  <si>
    <t xml:space="preserve">C:\Users\andre\Desktop\REACTIV CEFAS\Cefuroxime\Cefuroxime/20201125_Cefas_Test7_Run2/Plate 1/@6/G6_02.tif </t>
  </si>
  <si>
    <t xml:space="preserve"> 42026.8853 </t>
  </si>
  <si>
    <t xml:space="preserve"> 48.5409 </t>
  </si>
  <si>
    <t xml:space="preserve">C:\Users\andre\Desktop\REACTIV CEFAS\Cefuroxime\Cefuroxime/20201125_Cefas_Test7_Run2/Plate 1/@6/G6_03.tif </t>
  </si>
  <si>
    <t xml:space="preserve"> 37571.127 </t>
  </si>
  <si>
    <t xml:space="preserve"> 44.1952 </t>
  </si>
  <si>
    <t xml:space="preserve">C:\Users\andre\Desktop\REACTIV CEFAS\Cefuroxime\Cefuroxime/20201125_Cefas_Test7_Run2/Plate 1/@6/H6_01.tif </t>
  </si>
  <si>
    <t xml:space="preserve"> 39.1658 </t>
  </si>
  <si>
    <t xml:space="preserve">C:\Users\andre\Desktop\REACTIV CEFAS\Cefuroxime\Cefuroxime/20201125_Cefas_Test7_Run2/Plate 1/@6/H6_02.tif </t>
  </si>
  <si>
    <t xml:space="preserve"> 68177.4279 </t>
  </si>
  <si>
    <t xml:space="preserve"> 40.1129 </t>
  </si>
  <si>
    <t xml:space="preserve">C:\Users\andre\Desktop\REACTIV CEFAS\Cefuroxime\Cefuroxime/20201125_Cefas_Test7_Run2/Plate 1/@6/H6_03.tif </t>
  </si>
  <si>
    <t xml:space="preserve"> 56843.3631 </t>
  </si>
  <si>
    <t xml:space="preserve"> 38.3116 </t>
  </si>
  <si>
    <t xml:space="preserve">C:\Users\andre\Desktop\REACTIV CEFAS\Cefuroxime\Cefuroxime/20201125_Cefas_Test7_Run2/Plate 1/@6/ </t>
  </si>
  <si>
    <t xml:space="preserve"> 41.121 </t>
  </si>
  <si>
    <t xml:space="preserve"> 4.0077 </t>
  </si>
  <si>
    <t xml:space="preserve"> 2061520.83 </t>
  </si>
  <si>
    <t xml:space="preserve"> 947436.581 </t>
  </si>
  <si>
    <t xml:space="preserve">C:\Users\andre\Desktop\REACTIV CEFAS\Cefuroxime\Cefuroxime/20201125_Cefas_Test7_Run2/Plate 1/@7/A7_01.tif </t>
  </si>
  <si>
    <t xml:space="preserve"> 86000.461 </t>
  </si>
  <si>
    <t xml:space="preserve"> 56.7558 </t>
  </si>
  <si>
    <t xml:space="preserve">C:\Users\andre\Desktop\REACTIV CEFAS\Cefuroxime\Cefuroxime/20201125_Cefas_Test7_Run2/Plate 1/@7/A7_02.tif </t>
  </si>
  <si>
    <t xml:space="preserve"> 85221.7848 </t>
  </si>
  <si>
    <t xml:space="preserve"> 54.5635 </t>
  </si>
  <si>
    <t xml:space="preserve">C:\Users\andre\Desktop\REACTIV CEFAS\Cefuroxime\Cefuroxime/20201125_Cefas_Test7_Run2/Plate 1/@7/A7_03.tif </t>
  </si>
  <si>
    <t xml:space="preserve"> 82193.5996 </t>
  </si>
  <si>
    <t xml:space="preserve"> 54.6979 </t>
  </si>
  <si>
    <t>C:\Users\andre\Desktop\REACTIV CEFAS\Cefuroxime\Cefuroxime/20201125_Cefas_Test7_Run2/Plate 1/@7/B7_01- exclu.tif</t>
  </si>
  <si>
    <t>C:\Users\andre\Desktop\REACTIV CEFAS\Cefuroxime\Cefuroxime/20201125_Cefas_Test7_Run2/Plate 1/@7/B7_02- exclu.tif</t>
  </si>
  <si>
    <t>C:\Users\andre\Desktop\REACTIV CEFAS\Cefuroxime\Cefuroxime/20201125_Cefas_Test7_Run2/Plate 1/@7/B7_03- exclu.tif</t>
  </si>
  <si>
    <t xml:space="preserve">C:\Users\andre\Desktop\REACTIV CEFAS\Cefuroxime\Cefuroxime/20201125_Cefas_Test7_Run2/Plate 1/@7/C7_01.tif </t>
  </si>
  <si>
    <t xml:space="preserve"> 66749.8548 </t>
  </si>
  <si>
    <t xml:space="preserve"> 54.7168 </t>
  </si>
  <si>
    <t xml:space="preserve">C:\Users\andre\Desktop\REACTIV CEFAS\Cefuroxime\Cefuroxime/20201125_Cefas_Test7_Run2/Plate 1/@7/C7_02.tif </t>
  </si>
  <si>
    <t xml:space="preserve"> 73563.2716 </t>
  </si>
  <si>
    <t xml:space="preserve"> 51.6442 </t>
  </si>
  <si>
    <t xml:space="preserve">C:\Users\andre\Desktop\REACTIV CEFAS\Cefuroxime\Cefuroxime/20201125_Cefas_Test7_Run2/Plate 1/@7/C7_03.tif </t>
  </si>
  <si>
    <t xml:space="preserve"> 64543.6056 </t>
  </si>
  <si>
    <t xml:space="preserve"> 54.0697 </t>
  </si>
  <si>
    <t xml:space="preserve">C:\Users\andre\Desktop\REACTIV CEFAS\Cefuroxime\Cefuroxime/20201125_Cefas_Test7_Run2/Plate 1/@7/D7_01.tif </t>
  </si>
  <si>
    <t xml:space="preserve"> 58379.0856 </t>
  </si>
  <si>
    <t xml:space="preserve"> 55.0582 </t>
  </si>
  <si>
    <t xml:space="preserve">C:\Users\andre\Desktop\REACTIV CEFAS\Cefuroxime\Cefuroxime/20201125_Cefas_Test7_Run2/Plate 1/@7/D7_02.tif </t>
  </si>
  <si>
    <t xml:space="preserve"> 61234.2317 </t>
  </si>
  <si>
    <t xml:space="preserve"> 59.5878 </t>
  </si>
  <si>
    <t xml:space="preserve">C:\Users\andre\Desktop\REACTIV CEFAS\Cefuroxime\Cefuroxime/20201125_Cefas_Test7_Run2/Plate 1/@7/D7_03.tif </t>
  </si>
  <si>
    <t xml:space="preserve"> 56302.6157 </t>
  </si>
  <si>
    <t xml:space="preserve"> 53.2516 </t>
  </si>
  <si>
    <t xml:space="preserve">C:\Users\andre\Desktop\REACTIV CEFAS\Cefuroxime\Cefuroxime/20201125_Cefas_Test7_Run2/Plate 1/@7/E7_01.tif </t>
  </si>
  <si>
    <t xml:space="preserve"> 85632.7528 </t>
  </si>
  <si>
    <t xml:space="preserve"> 56.2064 </t>
  </si>
  <si>
    <t xml:space="preserve">C:\Users\andre\Desktop\REACTIV CEFAS\Cefuroxime\Cefuroxime/20201125_Cefas_Test7_Run2/Plate 1/@7/E7_02.tif </t>
  </si>
  <si>
    <t xml:space="preserve"> 86411.429 </t>
  </si>
  <si>
    <t xml:space="preserve"> 61.4711 </t>
  </si>
  <si>
    <t xml:space="preserve">C:\Users\andre\Desktop\REACTIV CEFAS\Cefuroxime\Cefuroxime/20201125_Cefas_Test7_Run2/Plate 1/@7/E7_03.tif </t>
  </si>
  <si>
    <t xml:space="preserve"> 78148.8093 </t>
  </si>
  <si>
    <t xml:space="preserve"> 57.1143 </t>
  </si>
  <si>
    <t xml:space="preserve">C:\Users\andre\Desktop\REACTIV CEFAS\Cefuroxime\Cefuroxime/20201125_Cefas_Test7_Run2/Plate 1/@7/F7_01.tif </t>
  </si>
  <si>
    <t xml:space="preserve"> 47542.5084 </t>
  </si>
  <si>
    <t xml:space="preserve"> 53.3385 </t>
  </si>
  <si>
    <t xml:space="preserve">C:\Users\andre\Desktop\REACTIV CEFAS\Cefuroxime\Cefuroxime/20201125_Cefas_Test7_Run2/Plate 1/@7/F7_02.tif </t>
  </si>
  <si>
    <t xml:space="preserve"> 52.3304 </t>
  </si>
  <si>
    <t xml:space="preserve">C:\Users\andre\Desktop\REACTIV CEFAS\Cefuroxime\Cefuroxime/20201125_Cefas_Test7_Run2/Plate 1/@7/F7_03.tif </t>
  </si>
  <si>
    <t xml:space="preserve"> 49986.6865 </t>
  </si>
  <si>
    <t xml:space="preserve"> 55.2627 </t>
  </si>
  <si>
    <t xml:space="preserve">C:\Users\andre\Desktop\REACTIV CEFAS\Cefuroxime\Cefuroxime/20201125_Cefas_Test7_Run2/Plate 1/@7/G7_01.tif </t>
  </si>
  <si>
    <t xml:space="preserve"> 66858.0043 </t>
  </si>
  <si>
    <t xml:space="preserve"> 60.8651 </t>
  </si>
  <si>
    <t xml:space="preserve">C:\Users\andre\Desktop\REACTIV CEFAS\Cefuroxime\Cefuroxime/20201125_Cefas_Test7_Run2/Plate 1/@7/G7_02.tif </t>
  </si>
  <si>
    <t xml:space="preserve"> 62683.4346 </t>
  </si>
  <si>
    <t xml:space="preserve"> 63.4275 </t>
  </si>
  <si>
    <t xml:space="preserve">C:\Users\andre\Desktop\REACTIV CEFAS\Cefuroxime\Cefuroxime/20201125_Cefas_Test7_Run2/Plate 1/@7/G7_03.tif </t>
  </si>
  <si>
    <t xml:space="preserve"> 69042.6237 </t>
  </si>
  <si>
    <t xml:space="preserve"> 59.8725 </t>
  </si>
  <si>
    <t xml:space="preserve">C:\Users\andre\Desktop\REACTIV CEFAS\Cefuroxime\Cefuroxime/20201125_Cefas_Test7_Run2/Plate 1/@7/H7_01.tif </t>
  </si>
  <si>
    <t xml:space="preserve"> 61731.7193 </t>
  </si>
  <si>
    <t xml:space="preserve"> 59.3563 </t>
  </si>
  <si>
    <t xml:space="preserve">C:\Users\andre\Desktop\REACTIV CEFAS\Cefuroxime\Cefuroxime/20201125_Cefas_Test7_Run2/Plate 1/@7/H7_02.tif </t>
  </si>
  <si>
    <t xml:space="preserve"> 66036.0683 </t>
  </si>
  <si>
    <t xml:space="preserve"> 55.734 </t>
  </si>
  <si>
    <t xml:space="preserve">C:\Users\andre\Desktop\REACTIV CEFAS\Cefuroxime\Cefuroxime/20201125_Cefas_Test7_Run2/Plate 1/@7/H7_03.tif </t>
  </si>
  <si>
    <t xml:space="preserve"> 57730.1888 </t>
  </si>
  <si>
    <t xml:space="preserve"> 61.2825 </t>
  </si>
  <si>
    <t xml:space="preserve">C:\Users\andre\Desktop\REACTIV CEFAS\Cefuroxime\Cefuroxime/20201125_Cefas_Test7_Run2/Plate 1/@7/ </t>
  </si>
  <si>
    <t xml:space="preserve"> 54.1366 </t>
  </si>
  <si>
    <t xml:space="preserve"> 7.5914 </t>
  </si>
  <si>
    <t xml:space="preserve"> 3446944.58 </t>
  </si>
  <si>
    <t xml:space="preserve"> 1236038.46 </t>
  </si>
  <si>
    <t xml:space="preserve">C:\Users\andre\Desktop\REACTIV CEFAS\Cefuroxime\Cefuroxime/20201125_Cefas_Test7_Run2/Plate 4/@10/A4_01.tif </t>
  </si>
  <si>
    <t xml:space="preserve">C:\Users\andre\Desktop\REACTIV CEFAS\Cefuroxime\Cefuroxime/20201125_Cefas_Test7_Run2/Plate 4/@10/A4_02.tif </t>
  </si>
  <si>
    <t>C:\Users\andre\Desktop\REACTIV CEFAS\Cefuroxime\Cefuroxime/20201125_Cefas_Test7_Run2/Plate 4/@10/A4_03- exclu.tif</t>
  </si>
  <si>
    <t>C:\Users\andre\Desktop\REACTIV CEFAS\Cefuroxime\Cefuroxime/20201125_Cefas_Test7_Run2/Plate 4/@10/B4_01- exclu.tif</t>
  </si>
  <si>
    <t>C:\Users\andre\Desktop\REACTIV CEFAS\Cefuroxime\Cefuroxime/20201125_Cefas_Test7_Run2/Plate 4/@10/B4_02- exclu.tif</t>
  </si>
  <si>
    <t>C:\Users\andre\Desktop\REACTIV CEFAS\Cefuroxime\Cefuroxime/20201125_Cefas_Test7_Run2/Plate 4/@10/B4_03- exclu.tif</t>
  </si>
  <si>
    <t xml:space="preserve">C:\Users\andre\Desktop\REACTIV CEFAS\Cefuroxime\Cefuroxime/20201125_Cefas_Test7_Run2/Plate 4/@10/C4_01.tif </t>
  </si>
  <si>
    <t xml:space="preserve"> 48.5214 </t>
  </si>
  <si>
    <t>C:\Users\andre\Desktop\REACTIV CEFAS\Cefuroxime\Cefuroxime/20201125_Cefas_Test7_Run2/Plate 4/@10/C4_02- exclu.tif</t>
  </si>
  <si>
    <t>C:\Users\andre\Desktop\REACTIV CEFAS\Cefuroxime\Cefuroxime/20201125_Cefas_Test7_Run2/Plate 4/@10/C4_03- exclu.tif</t>
  </si>
  <si>
    <t xml:space="preserve">C:\Users\andre\Desktop\REACTIV CEFAS\Cefuroxime\Cefuroxime/20201125_Cefas_Test7_Run2/Plate 4/@10/D4_01.tif </t>
  </si>
  <si>
    <t xml:space="preserve"> 40.6714 </t>
  </si>
  <si>
    <t xml:space="preserve">C:\Users\andre\Desktop\REACTIV CEFAS\Cefuroxime\Cefuroxime/20201125_Cefas_Test7_Run2/Plate 4/@10/D4_02.tif </t>
  </si>
  <si>
    <t xml:space="preserve"> 8067.9507 </t>
  </si>
  <si>
    <t xml:space="preserve"> 37.9732 </t>
  </si>
  <si>
    <t xml:space="preserve">C:\Users\andre\Desktop\REACTIV CEFAS\Cefuroxime\Cefuroxime/20201125_Cefas_Test7_Run2/Plate 4/@10/D4_03.tif </t>
  </si>
  <si>
    <t xml:space="preserve"> 8824.997 </t>
  </si>
  <si>
    <t xml:space="preserve"> 38.5196 </t>
  </si>
  <si>
    <t xml:space="preserve">C:\Users\andre\Desktop\REACTIV CEFAS\Cefuroxime\Cefuroxime/20201125_Cefas_Test7_Run2/Plate 4/@10/E4_01.tif </t>
  </si>
  <si>
    <t xml:space="preserve"> 11377.3246 </t>
  </si>
  <si>
    <t xml:space="preserve"> 36.4125 </t>
  </si>
  <si>
    <t xml:space="preserve">C:\Users\andre\Desktop\REACTIV CEFAS\Cefuroxime\Cefuroxime/20201125_Cefas_Test7_Run2/Plate 4/@10/E4_02.tif </t>
  </si>
  <si>
    <t xml:space="preserve"> 34.5674 </t>
  </si>
  <si>
    <t xml:space="preserve">C:\Users\andre\Desktop\REACTIV CEFAS\Cefuroxime\Cefuroxime/20201125_Cefas_Test7_Run2/Plate 4/@10/E4_03.tif </t>
  </si>
  <si>
    <t xml:space="preserve"> 32.9087 </t>
  </si>
  <si>
    <t xml:space="preserve">C:\Users\andre\Desktop\REACTIV CEFAS\Cefuroxime\Cefuroxime/20201125_Cefas_Test7_Run2/Plate 4/@10/F4_01.tif </t>
  </si>
  <si>
    <t xml:space="preserve"> 31.8125 </t>
  </si>
  <si>
    <t xml:space="preserve">C:\Users\andre\Desktop\REACTIV CEFAS\Cefuroxime\Cefuroxime/20201125_Cefas_Test7_Run2/Plate 4/@10/F4_02.tif </t>
  </si>
  <si>
    <t xml:space="preserve">C:\Users\andre\Desktop\REACTIV CEFAS\Cefuroxime\Cefuroxime/20201125_Cefas_Test7_Run2/Plate 4/@10/F4_03.tif </t>
  </si>
  <si>
    <t xml:space="preserve"> 33.3077 </t>
  </si>
  <si>
    <t xml:space="preserve">C:\Users\andre\Desktop\REACTIV CEFAS\Cefuroxime\Cefuroxime/20201125_Cefas_Test7_Run2/Plate 4/@10/G4_01.tif </t>
  </si>
  <si>
    <t xml:space="preserve"> 32.85 </t>
  </si>
  <si>
    <t xml:space="preserve">C:\Users\andre\Desktop\REACTIV CEFAS\Cefuroxime\Cefuroxime/20201125_Cefas_Test7_Run2/Plate 4/@10/G4_02.tif </t>
  </si>
  <si>
    <t xml:space="preserve">C:\Users\andre\Desktop\REACTIV CEFAS\Cefuroxime\Cefuroxime/20201125_Cefas_Test7_Run2/Plate 4/@10/G4_03.tif </t>
  </si>
  <si>
    <t xml:space="preserve"> 735.4164 </t>
  </si>
  <si>
    <t xml:space="preserve"> 33.3235 </t>
  </si>
  <si>
    <t xml:space="preserve">C:\Users\andre\Desktop\REACTIV CEFAS\Cefuroxime\Cefuroxime/20201125_Cefas_Test7_Run2/Plate 4/@10/H4_01.tif </t>
  </si>
  <si>
    <t xml:space="preserve"> 7397.424 </t>
  </si>
  <si>
    <t xml:space="preserve"> 37.1287 </t>
  </si>
  <si>
    <t xml:space="preserve">C:\Users\andre\Desktop\REACTIV CEFAS\Cefuroxime\Cefuroxime/20201125_Cefas_Test7_Run2/Plate 4/@10/H4_02.tif </t>
  </si>
  <si>
    <t xml:space="preserve"> 129.7794 </t>
  </si>
  <si>
    <t xml:space="preserve">C:\Users\andre\Desktop\REACTIV CEFAS\Cefuroxime\Cefuroxime/20201125_Cefas_Test7_Run2/Plate 4/@10/H4_03.tif </t>
  </si>
  <si>
    <t xml:space="preserve"> 3287.744 </t>
  </si>
  <si>
    <t xml:space="preserve"> 33.625 </t>
  </si>
  <si>
    <t xml:space="preserve">C:\Users\andre\Desktop\REACTIV CEFAS\Cefuroxime\Cefuroxime/20201125_Cefas_Test7_Run2/Plate 4/@10/ </t>
  </si>
  <si>
    <t xml:space="preserve"> 31.4139 </t>
  </si>
  <si>
    <t xml:space="preserve"> 15.7989 </t>
  </si>
  <si>
    <t xml:space="preserve"> 221339.625 </t>
  </si>
  <si>
    <t xml:space="preserve"> 276428.625 </t>
  </si>
  <si>
    <t xml:space="preserve">C:\Users\andre\Desktop\REACTIV CEFAS\Cefuroxime\Cefuroxime/20201125_Cefas_Test7_Run2/Plate 4/@11/A5_01.tif </t>
  </si>
  <si>
    <t xml:space="preserve">C:\Users\andre\Desktop\REACTIV CEFAS\Cefuroxime\Cefuroxime/20201125_Cefas_Test7_Run2/Plate 4/@11/A5_02.tif </t>
  </si>
  <si>
    <t xml:space="preserve">C:\Users\andre\Desktop\REACTIV CEFAS\Cefuroxime\Cefuroxime/20201125_Cefas_Test7_Run2/Plate 4/@11/A5_03.tif </t>
  </si>
  <si>
    <t xml:space="preserve"> 42.5433 </t>
  </si>
  <si>
    <t xml:space="preserve">C:\Users\andre\Desktop\REACTIV CEFAS\Cefuroxime\Cefuroxime/20201125_Cefas_Test7_Run2/Plate 4/@11/B5_01.tif </t>
  </si>
  <si>
    <t xml:space="preserve"> 35.6511 </t>
  </si>
  <si>
    <t xml:space="preserve">C:\Users\andre\Desktop\REACTIV CEFAS\Cefuroxime\Cefuroxime/20201125_Cefas_Test7_Run2/Plate 4/@11/B5_02.tif </t>
  </si>
  <si>
    <t xml:space="preserve"> 3006.5554 </t>
  </si>
  <si>
    <t xml:space="preserve"> 36.3094 </t>
  </si>
  <si>
    <t xml:space="preserve">C:\Users\andre\Desktop\REACTIV CEFAS\Cefuroxime\Cefuroxime/20201125_Cefas_Test7_Run2/Plate 4/@11/B5_03.tif </t>
  </si>
  <si>
    <t xml:space="preserve"> 5364.2139 </t>
  </si>
  <si>
    <t xml:space="preserve"> 36.7379 </t>
  </si>
  <si>
    <t>C:\Users\andre\Desktop\REACTIV CEFAS\Cefuroxime\Cefuroxime/20201125_Cefas_Test7_Run2/Plate 4/@11/C5_01- exclu.tif</t>
  </si>
  <si>
    <t xml:space="preserve">C:\Users\andre\Desktop\REACTIV CEFAS\Cefuroxime\Cefuroxime/20201125_Cefas_Test7_Run2/Plate 4/@11/C5_02.tif </t>
  </si>
  <si>
    <t xml:space="preserve">C:\Users\andre\Desktop\REACTIV CEFAS\Cefuroxime\Cefuroxime/20201125_Cefas_Test7_Run2/Plate 4/@11/C5_03.tif </t>
  </si>
  <si>
    <t xml:space="preserve">C:\Users\andre\Desktop\REACTIV CEFAS\Cefuroxime\Cefuroxime/20201125_Cefas_Test7_Run2/Plate 4/@11/D5_01.tif </t>
  </si>
  <si>
    <t xml:space="preserve"> 33.0357 </t>
  </si>
  <si>
    <t xml:space="preserve">C:\Users\andre\Desktop\REACTIV CEFAS\Cefuroxime\Cefuroxime/20201125_Cefas_Test7_Run2/Plate 4/@11/D5_02.tif </t>
  </si>
  <si>
    <t xml:space="preserve"> 5018.1356 </t>
  </si>
  <si>
    <t xml:space="preserve"> 36.9612 </t>
  </si>
  <si>
    <t>C:\Users\andre\Desktop\REACTIV CEFAS\Cefuroxime\Cefuroxime/20201125_Cefas_Test7_Run2/Plate 4/@11/D5_03- exclu.tif</t>
  </si>
  <si>
    <t xml:space="preserve">C:\Users\andre\Desktop\REACTIV CEFAS\Cefuroxime\Cefuroxime/20201125_Cefas_Test7_Run2/Plate 4/@11/E5_01.tif </t>
  </si>
  <si>
    <t xml:space="preserve"> 39.6566 </t>
  </si>
  <si>
    <t xml:space="preserve">C:\Users\andre\Desktop\REACTIV CEFAS\Cefuroxime\Cefuroxime/20201125_Cefas_Test7_Run2/Plate 4/@11/E5_02.tif </t>
  </si>
  <si>
    <t xml:space="preserve"> 4801.8366 </t>
  </si>
  <si>
    <t xml:space="preserve"> 33.9685 </t>
  </si>
  <si>
    <t xml:space="preserve">C:\Users\andre\Desktop\REACTIV CEFAS\Cefuroxime\Cefuroxime/20201125_Cefas_Test7_Run2/Plate 4/@11/E5_03.tif </t>
  </si>
  <si>
    <t xml:space="preserve">C:\Users\andre\Desktop\REACTIV CEFAS\Cefuroxime\Cefuroxime/20201125_Cefas_Test7_Run2/Plate 4/@11/F5_01.tif </t>
  </si>
  <si>
    <t xml:space="preserve"> 33.7697 </t>
  </si>
  <si>
    <t xml:space="preserve">C:\Users\andre\Desktop\REACTIV CEFAS\Cefuroxime\Cefuroxime/20201125_Cefas_Test7_Run2/Plate 4/@11/F5_02.tif </t>
  </si>
  <si>
    <t xml:space="preserve"> 30.6667 </t>
  </si>
  <si>
    <t xml:space="preserve">C:\Users\andre\Desktop\REACTIV CEFAS\Cefuroxime\Cefuroxime/20201125_Cefas_Test7_Run2/Plate 4/@11/F5_03.tif </t>
  </si>
  <si>
    <t xml:space="preserve"> 2271.1389 </t>
  </si>
  <si>
    <t xml:space="preserve"> 35.2 </t>
  </si>
  <si>
    <t xml:space="preserve">C:\Users\andre\Desktop\REACTIV CEFAS\Cefuroxime\Cefuroxime/20201125_Cefas_Test7_Run2/Plate 4/@11/G5_01.tif </t>
  </si>
  <si>
    <t xml:space="preserve"> 35.2276 </t>
  </si>
  <si>
    <t xml:space="preserve">C:\Users\andre\Desktop\REACTIV CEFAS\Cefuroxime\Cefuroxime/20201125_Cefas_Test7_Run2/Plate 4/@11/G5_02.tif </t>
  </si>
  <si>
    <t xml:space="preserve"> 2703.7368 </t>
  </si>
  <si>
    <t xml:space="preserve"> 35.984 </t>
  </si>
  <si>
    <t xml:space="preserve">C:\Users\andre\Desktop\REACTIV CEFAS\Cefuroxime\Cefuroxime/20201125_Cefas_Test7_Run2/Plate 4/@11/G5_03.tif </t>
  </si>
  <si>
    <t xml:space="preserve"> 1730.3916 </t>
  </si>
  <si>
    <t xml:space="preserve"> 33.1 </t>
  </si>
  <si>
    <t xml:space="preserve">C:\Users\andre\Desktop\REACTIV CEFAS\Cefuroxime\Cefuroxime/20201125_Cefas_Test7_Run2/Plate 4/@11/H5_01.tif </t>
  </si>
  <si>
    <t xml:space="preserve"> 37.9528 </t>
  </si>
  <si>
    <t xml:space="preserve">C:\Users\andre\Desktop\REACTIV CEFAS\Cefuroxime\Cefuroxime/20201125_Cefas_Test7_Run2/Plate 4/@11/H5_02.tif </t>
  </si>
  <si>
    <t xml:space="preserve"> 33.3902 </t>
  </si>
  <si>
    <t xml:space="preserve">C:\Users\andre\Desktop\REACTIV CEFAS\Cefuroxime\Cefuroxime/20201125_Cefas_Test7_Run2/Plate 4/@11/H5_03.tif </t>
  </si>
  <si>
    <t xml:space="preserve"> 36.0714 </t>
  </si>
  <si>
    <t xml:space="preserve">C:\Users\andre\Desktop\REACTIV CEFAS\Cefuroxime\Cefuroxime/20201125_Cefas_Test7_Run2/Plate 4/@11/ </t>
  </si>
  <si>
    <t xml:space="preserve"> 30.4573 </t>
  </si>
  <si>
    <t xml:space="preserve"> 12.1023 </t>
  </si>
  <si>
    <t xml:space="preserve"> 125369.458 </t>
  </si>
  <si>
    <t xml:space="preserve"> 141602.245 </t>
  </si>
  <si>
    <t>C:\Users\andre\Desktop\REACTIV CEFAS\Cefuroxime\Cefuroxime/20201125_Cefas_Test7_Run2/Plate 4/@12/A6_01- exclu.tif</t>
  </si>
  <si>
    <t xml:space="preserve">C:\Users\andre\Desktop\REACTIV CEFAS\Cefuroxime\Cefuroxime/20201125_Cefas_Test7_Run2/Plate 4/@12/A6_02.tif </t>
  </si>
  <si>
    <t xml:space="preserve"> 36.9401 </t>
  </si>
  <si>
    <t xml:space="preserve">C:\Users\andre\Desktop\REACTIV CEFAS\Cefuroxime\Cefuroxime/20201125_Cefas_Test7_Run2/Plate 4/@12/A6_03.tif </t>
  </si>
  <si>
    <t xml:space="preserve"> 50.4016 </t>
  </si>
  <si>
    <t xml:space="preserve">C:\Users\andre\Desktop\REACTIV CEFAS\Cefuroxime\Cefuroxime/20201125_Cefas_Test7_Run2/Plate 4/@12/B6_01.tif </t>
  </si>
  <si>
    <t xml:space="preserve"> 37.8524 </t>
  </si>
  <si>
    <t xml:space="preserve">C:\Users\andre\Desktop\REACTIV CEFAS\Cefuroxime\Cefuroxime/20201125_Cefas_Test7_Run2/Plate 4/@12/B6_02.tif </t>
  </si>
  <si>
    <t xml:space="preserve"> 2422.5482 </t>
  </si>
  <si>
    <t xml:space="preserve"> 33.2946 </t>
  </si>
  <si>
    <t xml:space="preserve">C:\Users\andre\Desktop\REACTIV CEFAS\Cefuroxime\Cefuroxime/20201125_Cefas_Test7_Run2/Plate 4/@12/B6_03.tif </t>
  </si>
  <si>
    <t xml:space="preserve"> 36.1008 </t>
  </si>
  <si>
    <t xml:space="preserve">C:\Users\andre\Desktop\REACTIV CEFAS\Cefuroxime\Cefuroxime/20201125_Cefas_Test7_Run2/Plate 4/@12/C6_01.tif </t>
  </si>
  <si>
    <t xml:space="preserve">C:\Users\andre\Desktop\REACTIV CEFAS\Cefuroxime\Cefuroxime/20201125_Cefas_Test7_Run2/Plate 4/@12/C6_02.tif </t>
  </si>
  <si>
    <t xml:space="preserve">C:\Users\andre\Desktop\REACTIV CEFAS\Cefuroxime\Cefuroxime/20201125_Cefas_Test7_Run2/Plate 4/@12/C6_03.tif </t>
  </si>
  <si>
    <t xml:space="preserve">C:\Users\andre\Desktop\REACTIV CEFAS\Cefuroxime\Cefuroxime/20201125_Cefas_Test7_Run2/Plate 4/@12/D6_01.tif </t>
  </si>
  <si>
    <t xml:space="preserve"> 5320.9541 </t>
  </si>
  <si>
    <t xml:space="preserve"> 35.4675 </t>
  </si>
  <si>
    <t>C:\Users\andre\Desktop\REACTIV CEFAS\Cefuroxime\Cefuroxime/20201125_Cefas_Test7_Run2/Plate 4/@12/D6_02- exclu.tif</t>
  </si>
  <si>
    <t xml:space="preserve">C:\Users\andre\Desktop\REACTIV CEFAS\Cefuroxime\Cefuroxime/20201125_Cefas_Test7_Run2/Plate 4/@12/D6_03.tif </t>
  </si>
  <si>
    <t xml:space="preserve"> 38.4309 </t>
  </si>
  <si>
    <t xml:space="preserve">C:\Users\andre\Desktop\REACTIV CEFAS\Cefuroxime\Cefuroxime/20201125_Cefas_Test7_Run2/Plate 4/@12/E6_01.tif </t>
  </si>
  <si>
    <t xml:space="preserve"> 4001.5305 </t>
  </si>
  <si>
    <t xml:space="preserve"> 35.5892 </t>
  </si>
  <si>
    <t xml:space="preserve">C:\Users\andre\Desktop\REACTIV CEFAS\Cefuroxime\Cefuroxime/20201125_Cefas_Test7_Run2/Plate 4/@12/E6_02.tif </t>
  </si>
  <si>
    <t xml:space="preserve"> 34.7545 </t>
  </si>
  <si>
    <t xml:space="preserve">C:\Users\andre\Desktop\REACTIV CEFAS\Cefuroxime\Cefuroxime/20201125_Cefas_Test7_Run2/Plate 4/@12/E6_03.tif </t>
  </si>
  <si>
    <t xml:space="preserve"> 3590.5625 </t>
  </si>
  <si>
    <t xml:space="preserve"> 35.3012 </t>
  </si>
  <si>
    <t xml:space="preserve">C:\Users\andre\Desktop\REACTIV CEFAS\Cefuroxime\Cefuroxime/20201125_Cefas_Test7_Run2/Plate 4/@12/F6_01.tif </t>
  </si>
  <si>
    <t xml:space="preserve"> 10620.2783 </t>
  </si>
  <si>
    <t xml:space="preserve">C:\Users\andre\Desktop\REACTIV CEFAS\Cefuroxime\Cefuroxime/20201125_Cefas_Test7_Run2/Plate 4/@12/F6_02.tif </t>
  </si>
  <si>
    <t xml:space="preserve"> 11096.1359 </t>
  </si>
  <si>
    <t xml:space="preserve"> 42.6589 </t>
  </si>
  <si>
    <t xml:space="preserve">C:\Users\andre\Desktop\REACTIV CEFAS\Cefuroxime\Cefuroxime/20201125_Cefas_Test7_Run2/Plate 4/@12/F6_03.tif </t>
  </si>
  <si>
    <t xml:space="preserve"> 12545.3389 </t>
  </si>
  <si>
    <t xml:space="preserve"> 39.9224 </t>
  </si>
  <si>
    <t xml:space="preserve">C:\Users\andre\Desktop\REACTIV CEFAS\Cefuroxime\Cefuroxime/20201125_Cefas_Test7_Run2/Plate 4/@12/G6_01.tif </t>
  </si>
  <si>
    <t xml:space="preserve"> 8543.8084 </t>
  </si>
  <si>
    <t xml:space="preserve"> 36.4557 </t>
  </si>
  <si>
    <t xml:space="preserve">C:\Users\andre\Desktop\REACTIV CEFAS\Cefuroxime\Cefuroxime/20201125_Cefas_Test7_Run2/Plate 4/@12/G6_02.tif </t>
  </si>
  <si>
    <t xml:space="preserve"> 5688.6623 </t>
  </si>
  <si>
    <t xml:space="preserve"> 34.654 </t>
  </si>
  <si>
    <t xml:space="preserve">C:\Users\andre\Desktop\REACTIV CEFAS\Cefuroxime\Cefuroxime/20201125_Cefas_Test7_Run2/Plate 4/@12/G6_03.tif </t>
  </si>
  <si>
    <t xml:space="preserve"> 33.1781 </t>
  </si>
  <si>
    <t xml:space="preserve">C:\Users\andre\Desktop\REACTIV CEFAS\Cefuroxime\Cefuroxime/20201125_Cefas_Test7_Run2/Plate 4/@12/H6_01.tif </t>
  </si>
  <si>
    <t xml:space="preserve"> 4390.8686 </t>
  </si>
  <si>
    <t xml:space="preserve"> 34.5961 </t>
  </si>
  <si>
    <t xml:space="preserve">C:\Users\andre\Desktop\REACTIV CEFAS\Cefuroxime\Cefuroxime/20201125_Cefas_Test7_Run2/Plate 4/@12/H6_02.tif </t>
  </si>
  <si>
    <t xml:space="preserve"> 36.2887 </t>
  </si>
  <si>
    <t xml:space="preserve">C:\Users\andre\Desktop\REACTIV CEFAS\Cefuroxime\Cefuroxime/20201125_Cefas_Test7_Run2/Plate 4/@12/H6_03.tif </t>
  </si>
  <si>
    <t xml:space="preserve"> 3417.5234 </t>
  </si>
  <si>
    <t xml:space="preserve"> 35.3544 </t>
  </si>
  <si>
    <t xml:space="preserve">C:\Users\andre\Desktop\REACTIV CEFAS\Cefuroxime\Cefuroxime/20201125_Cefas_Test7_Run2/Plate 4/@12/ </t>
  </si>
  <si>
    <t xml:space="preserve"> 31.4336 </t>
  </si>
  <si>
    <t xml:space="preserve"> 14.957 </t>
  </si>
  <si>
    <t xml:space="preserve"> 212829.208 </t>
  </si>
  <si>
    <t xml:space="preserve"> 206619.698 </t>
  </si>
  <si>
    <t xml:space="preserve">C:\Users\andre\Desktop\REACTIV CEFAS\Cefuroxime\Cefuroxime/20201125_Cefas_Test7_Run2/Plate 4/@17/A8_01.tif </t>
  </si>
  <si>
    <t xml:space="preserve"> 57859.9681 </t>
  </si>
  <si>
    <t xml:space="preserve"> 42.3323 </t>
  </si>
  <si>
    <t xml:space="preserve">C:\Users\andre\Desktop\REACTIV CEFAS\Cefuroxime\Cefuroxime/20201125_Cefas_Test7_Run2/Plate 4/@17/A8_02.tif </t>
  </si>
  <si>
    <t xml:space="preserve"> 47369.4692 </t>
  </si>
  <si>
    <t xml:space="preserve"> 39.7808 </t>
  </si>
  <si>
    <t xml:space="preserve">C:\Users\andre\Desktop\REACTIV CEFAS\Cefuroxime\Cefuroxime/20201125_Cefas_Test7_Run2/Plate 4/@17/A8_03.tif </t>
  </si>
  <si>
    <t xml:space="preserve"> 57384.1105 </t>
  </si>
  <si>
    <t xml:space="preserve"> 42.3837 </t>
  </si>
  <si>
    <t xml:space="preserve">C:\Users\andre\Desktop\REACTIV CEFAS\Cefuroxime\Cefuroxime/20201125_Cefas_Test7_Run2/Plate 4/@17/B8_01.tif </t>
  </si>
  <si>
    <t xml:space="preserve"> 11918.0719 </t>
  </si>
  <si>
    <t xml:space="preserve"> 35.5426 </t>
  </si>
  <si>
    <t xml:space="preserve">C:\Users\andre\Desktop\REACTIV CEFAS\Cefuroxime\Cefuroxime/20201125_Cefas_Test7_Run2/Plate 4/@17/B8_02.tif </t>
  </si>
  <si>
    <t xml:space="preserve"> 34.8663 </t>
  </si>
  <si>
    <t xml:space="preserve">C:\Users\andre\Desktop\REACTIV CEFAS\Cefuroxime\Cefuroxime/20201125_Cefas_Test7_Run2/Plate 4/@17/B8_03.tif </t>
  </si>
  <si>
    <t xml:space="preserve"> 35.207 </t>
  </si>
  <si>
    <t xml:space="preserve">C:\Users\andre\Desktop\REACTIV CEFAS\Cefuroxime\Cefuroxime/20201125_Cefas_Test7_Run2/Plate 4/@17/C8_01.tif </t>
  </si>
  <si>
    <t xml:space="preserve"> 37.2791 </t>
  </si>
  <si>
    <t xml:space="preserve">C:\Users\andre\Desktop\REACTIV CEFAS\Cefuroxime\Cefuroxime/20201125_Cefas_Test7_Run2/Plate 4/@17/C8_02.tif </t>
  </si>
  <si>
    <t xml:space="preserve"> 23944.2934 </t>
  </si>
  <si>
    <t xml:space="preserve"> 36.7886 </t>
  </si>
  <si>
    <t xml:space="preserve">C:\Users\andre\Desktop\REACTIV CEFAS\Cefuroxime\Cefuroxime/20201125_Cefas_Test7_Run2/Plate 4/@17/C8_03.tif </t>
  </si>
  <si>
    <t xml:space="preserve"> 26128.9127 </t>
  </si>
  <si>
    <t xml:space="preserve"> 37.0389 </t>
  </si>
  <si>
    <t xml:space="preserve">C:\Users\andre\Desktop\REACTIV CEFAS\Cefuroxime\Cefuroxime/20201125_Cefas_Test7_Run2/Plate 4/@17/D8_01.tif </t>
  </si>
  <si>
    <t xml:space="preserve"> 34.372 </t>
  </si>
  <si>
    <t xml:space="preserve">C:\Users\andre\Desktop\REACTIV CEFAS\Cefuroxime\Cefuroxime/20201125_Cefas_Test7_Run2/Plate 4/@17/D8_02.tif </t>
  </si>
  <si>
    <t xml:space="preserve"> 37.7117 </t>
  </si>
  <si>
    <t xml:space="preserve">C:\Users\andre\Desktop\REACTIV CEFAS\Cefuroxime\Cefuroxime/20201125_Cefas_Test7_Run2/Plate 4/@17/D8_03.tif </t>
  </si>
  <si>
    <t xml:space="preserve"> 38.1914 </t>
  </si>
  <si>
    <t xml:space="preserve">C:\Users\andre\Desktop\REACTIV CEFAS\Cefuroxime\Cefuroxime/20201125_Cefas_Test7_Run2/Plate 4/@17/E8_01.tif </t>
  </si>
  <si>
    <t xml:space="preserve"> 46569.1631 </t>
  </si>
  <si>
    <t xml:space="preserve"> 36.0664 </t>
  </si>
  <si>
    <t xml:space="preserve">C:\Users\andre\Desktop\REACTIV CEFAS\Cefuroxime\Cefuroxime/20201125_Cefas_Test7_Run2/Plate 4/@17/E8_02.tif </t>
  </si>
  <si>
    <t xml:space="preserve"> 49445.9391 </t>
  </si>
  <si>
    <t xml:space="preserve"> 37.2384 </t>
  </si>
  <si>
    <t xml:space="preserve">C:\Users\andre\Desktop\REACTIV CEFAS\Cefuroxime\Cefuroxime/20201125_Cefas_Test7_Run2/Plate 4/@17/E8_03.tif </t>
  </si>
  <si>
    <t xml:space="preserve"> 42243.1842 </t>
  </si>
  <si>
    <t xml:space="preserve"> 35.8776 </t>
  </si>
  <si>
    <t xml:space="preserve">C:\Users\andre\Desktop\REACTIV CEFAS\Cefuroxime\Cefuroxime/20201125_Cefas_Test7_Run2/Plate 4/@17/F8_01.tif </t>
  </si>
  <si>
    <t xml:space="preserve"> 36294.9632 </t>
  </si>
  <si>
    <t xml:space="preserve"> 34.1514 </t>
  </si>
  <si>
    <t xml:space="preserve">C:\Users\andre\Desktop\REACTIV CEFAS\Cefuroxime\Cefuroxime/20201125_Cefas_Test7_Run2/Plate 4/@17/F8_02.tif </t>
  </si>
  <si>
    <t xml:space="preserve"> 18277.261 </t>
  </si>
  <si>
    <t xml:space="preserve"> 33.1787 </t>
  </si>
  <si>
    <t xml:space="preserve">C:\Users\andre\Desktop\REACTIV CEFAS\Cefuroxime\Cefuroxime/20201125_Cefas_Test7_Run2/Plate 4/@17/F8_03.tif </t>
  </si>
  <si>
    <t xml:space="preserve"> 26410.1013 </t>
  </si>
  <si>
    <t xml:space="preserve"> 33.5184 </t>
  </si>
  <si>
    <t xml:space="preserve">C:\Users\andre\Desktop\REACTIV CEFAS\Cefuroxime\Cefuroxime/20201125_Cefas_Test7_Run2/Plate 4/@17/G8_01.tif </t>
  </si>
  <si>
    <t xml:space="preserve"> 17736.5136 </t>
  </si>
  <si>
    <t xml:space="preserve"> 34.8415 </t>
  </si>
  <si>
    <t xml:space="preserve">C:\Users\andre\Desktop\REACTIV CEFAS\Cefuroxime\Cefuroxime/20201125_Cefas_Test7_Run2/Plate 4/@17/G8_02.tif </t>
  </si>
  <si>
    <t xml:space="preserve"> 19466.9052 </t>
  </si>
  <si>
    <t xml:space="preserve"> 35.6544 </t>
  </si>
  <si>
    <t xml:space="preserve">C:\Users\andre\Desktop\REACTIV CEFAS\Cefuroxime\Cefuroxime/20201125_Cefas_Test7_Run2/Plate 4/@17/G8_03.tif </t>
  </si>
  <si>
    <t xml:space="preserve"> 36.1457 </t>
  </si>
  <si>
    <t>C:\Users\andre\Desktop\REACTIV CEFAS\Cefuroxime\Cefuroxime/20201125_Cefas_Test7_Run2/Plate 4/@17/H8_01- exclu.tif</t>
  </si>
  <si>
    <t>C:\Users\andre\Desktop\REACTIV CEFAS\Cefuroxime\Cefuroxime/20201125_Cefas_Test7_Run2/Plate 4/@17/H8_02- exclu.tif</t>
  </si>
  <si>
    <t>C:\Users\andre\Desktop\REACTIV CEFAS\Cefuroxime\Cefuroxime/20201125_Cefas_Test7_Run2/Plate 4/@17/H8_03- exclu.tif</t>
  </si>
  <si>
    <t xml:space="preserve">C:\Users\andre\Desktop\REACTIV CEFAS\Cefuroxime\Cefuroxime/20201125_Cefas_Test7_Run2/Plate 4/@17/ </t>
  </si>
  <si>
    <t xml:space="preserve"> 32.007 </t>
  </si>
  <si>
    <t xml:space="preserve"> 12.5748 </t>
  </si>
  <si>
    <t xml:space="preserve"> 859783.792 </t>
  </si>
  <si>
    <t xml:space="preserve"> 742645.592 </t>
  </si>
  <si>
    <t xml:space="preserve">C:\Users\andre\Desktop\REACTIV CEFAS\Cefuroxime\Cefuroxime/20201125_Cefas_Test7_Run2/Plate 4/@18/A9_01.tif </t>
  </si>
  <si>
    <t xml:space="preserve"> 40815.6112 </t>
  </si>
  <si>
    <t xml:space="preserve"> 36.9963 </t>
  </si>
  <si>
    <t xml:space="preserve">C:\Users\andre\Desktop\REACTIV CEFAS\Cefuroxime\Cefuroxime/20201125_Cefas_Test7_Run2/Plate 4/@18/A9_02.tif </t>
  </si>
  <si>
    <t xml:space="preserve"> 42459.4832 </t>
  </si>
  <si>
    <t xml:space="preserve"> 37.9404 </t>
  </si>
  <si>
    <t xml:space="preserve">C:\Users\andre\Desktop\REACTIV CEFAS\Cefuroxime\Cefuroxime/20201125_Cefas_Test7_Run2/Plate 4/@18/A9_03.tif </t>
  </si>
  <si>
    <t xml:space="preserve"> 37917.2053 </t>
  </si>
  <si>
    <t xml:space="preserve"> 36.6726 </t>
  </si>
  <si>
    <t xml:space="preserve">C:\Users\andre\Desktop\REACTIV CEFAS\Cefuroxime\Cefuroxime/20201125_Cefas_Test7_Run2/Plate 4/@18/B9_01.tif </t>
  </si>
  <si>
    <t xml:space="preserve"> 65625.1003 </t>
  </si>
  <si>
    <t xml:space="preserve"> 39.6964 </t>
  </si>
  <si>
    <t xml:space="preserve">C:\Users\andre\Desktop\REACTIV CEFAS\Cefuroxime\Cefuroxime/20201125_Cefas_Test7_Run2/Plate 4/@18/B9_02.tif </t>
  </si>
  <si>
    <t xml:space="preserve"> 63635.15 </t>
  </si>
  <si>
    <t xml:space="preserve"> 39.847 </t>
  </si>
  <si>
    <t xml:space="preserve">C:\Users\andre\Desktop\REACTIV CEFAS\Cefuroxime\Cefuroxime/20201125_Cefas_Test7_Run2/Plate 4/@18/B9_03.tif </t>
  </si>
  <si>
    <t xml:space="preserve"> 67528.531 </t>
  </si>
  <si>
    <t xml:space="preserve"> 41.705 </t>
  </si>
  <si>
    <t xml:space="preserve">C:\Users\andre\Desktop\REACTIV CEFAS\Cefuroxime\Cefuroxime/20201125_Cefas_Test7_Run2/Plate 4/@18/C9_01.tif </t>
  </si>
  <si>
    <t xml:space="preserve"> 10295.8298 </t>
  </si>
  <si>
    <t xml:space="preserve"> 42.9538 </t>
  </si>
  <si>
    <t xml:space="preserve">C:\Users\andre\Desktop\REACTIV CEFAS\Cefuroxime\Cefuroxime/20201125_Cefas_Test7_Run2/Plate 4/@18/C9_02.tif </t>
  </si>
  <si>
    <t xml:space="preserve"> 11161.0256 </t>
  </si>
  <si>
    <t xml:space="preserve"> 42.2054 </t>
  </si>
  <si>
    <t xml:space="preserve">C:\Users\andre\Desktop\REACTIV CEFAS\Cefuroxime\Cefuroxime/20201125_Cefas_Test7_Run2/Plate 4/@18/C9_03.tif </t>
  </si>
  <si>
    <t xml:space="preserve"> 13734.9831 </t>
  </si>
  <si>
    <t xml:space="preserve"> 43.7244 </t>
  </si>
  <si>
    <t xml:space="preserve">C:\Users\andre\Desktop\REACTIV CEFAS\Cefuroxime\Cefuroxime/20201125_Cefas_Test7_Run2/Plate 4/@18/D9_01.tif </t>
  </si>
  <si>
    <t xml:space="preserve"> 2790.2564 </t>
  </si>
  <si>
    <t xml:space="preserve"> 34.6434 </t>
  </si>
  <si>
    <t xml:space="preserve">C:\Users\andre\Desktop\REACTIV CEFAS\Cefuroxime\Cefuroxime/20201125_Cefas_Test7_Run2/Plate 4/@18/D9_02.tif </t>
  </si>
  <si>
    <t xml:space="preserve"> 35.0049 </t>
  </si>
  <si>
    <t xml:space="preserve">C:\Users\andre\Desktop\REACTIV CEFAS\Cefuroxime\Cefuroxime/20201125_Cefas_Test7_Run2/Plate 4/@18/D9_03.tif </t>
  </si>
  <si>
    <t xml:space="preserve"> 33.8507 </t>
  </si>
  <si>
    <t xml:space="preserve">C:\Users\andre\Desktop\REACTIV CEFAS\Cefuroxime\Cefuroxime/20201125_Cefas_Test7_Run2/Plate 4/@18/E9_01.tif </t>
  </si>
  <si>
    <t xml:space="preserve"> 59092.8721 </t>
  </si>
  <si>
    <t xml:space="preserve"> 38.8693 </t>
  </si>
  <si>
    <t xml:space="preserve">C:\Users\andre\Desktop\REACTIV CEFAS\Cefuroxime\Cefuroxime/20201125_Cefas_Test7_Run2/Plate 4/@18/E9_02.tif </t>
  </si>
  <si>
    <t xml:space="preserve"> 66836.3744 </t>
  </si>
  <si>
    <t xml:space="preserve"> 43.011 </t>
  </si>
  <si>
    <t xml:space="preserve">C:\Users\andre\Desktop\REACTIV CEFAS\Cefuroxime\Cefuroxime/20201125_Cefas_Test7_Run2/Plate 4/@18/E9_03.tif </t>
  </si>
  <si>
    <t xml:space="preserve"> 56627.0641 </t>
  </si>
  <si>
    <t xml:space="preserve"> 40.2754 </t>
  </si>
  <si>
    <t xml:space="preserve">C:\Users\andre\Desktop\REACTIV CEFAS\Cefuroxime\Cefuroxime/20201125_Cefas_Test7_Run2/Plate 4/@18/F9_01.tif </t>
  </si>
  <si>
    <t xml:space="preserve"> 8414.029 </t>
  </si>
  <si>
    <t xml:space="preserve"> 35.4961 </t>
  </si>
  <si>
    <t>C:\Users\andre\Desktop\REACTIV CEFAS\Cefuroxime\Cefuroxime/20201125_Cefas_Test7_Run2/Plate 4/@18/F9_02- exclu.tif</t>
  </si>
  <si>
    <t>C:\Users\andre\Desktop\REACTIV CEFAS\Cefuroxime\Cefuroxime/20201125_Cefas_Test7_Run2/Plate 4/@18/F9_03- exclu.tif</t>
  </si>
  <si>
    <t xml:space="preserve">C:\Users\andre\Desktop\REACTIV CEFAS\Cefuroxime\Cefuroxime/20201125_Cefas_Test7_Run2/Plate 4/@18/G9_01.tif </t>
  </si>
  <si>
    <t xml:space="preserve"> 37.828 </t>
  </si>
  <si>
    <t xml:space="preserve">C:\Users\andre\Desktop\REACTIV CEFAS\Cefuroxime\Cefuroxime/20201125_Cefas_Test7_Run2/Plate 4/@18/G9_02.tif </t>
  </si>
  <si>
    <t xml:space="preserve"> 33223.5181 </t>
  </si>
  <si>
    <t xml:space="preserve"> 37.4681 </t>
  </si>
  <si>
    <t xml:space="preserve">C:\Users\andre\Desktop\REACTIV CEFAS\Cefuroxime\Cefuroxime/20201125_Cefas_Test7_Run2/Plate 4/@18/G9_03.tif </t>
  </si>
  <si>
    <t xml:space="preserve"> 32985.5893 </t>
  </si>
  <si>
    <t xml:space="preserve"> 37.2669 </t>
  </si>
  <si>
    <t xml:space="preserve">C:\Users\andre\Desktop\REACTIV CEFAS\Cefuroxime\Cefuroxime/20201125_Cefas_Test7_Run2/Plate 4/@18/H9_01.tif </t>
  </si>
  <si>
    <t xml:space="preserve"> 18298.8909 </t>
  </si>
  <si>
    <t xml:space="preserve"> 34.2683 </t>
  </si>
  <si>
    <t xml:space="preserve">C:\Users\andre\Desktop\REACTIV CEFAS\Cefuroxime\Cefuroxime/20201125_Cefas_Test7_Run2/Plate 4/@18/H9_02.tif </t>
  </si>
  <si>
    <t xml:space="preserve"> 19012.6774 </t>
  </si>
  <si>
    <t xml:space="preserve"> 34.2332 </t>
  </si>
  <si>
    <t xml:space="preserve">C:\Users\andre\Desktop\REACTIV CEFAS\Cefuroxime\Cefuroxime/20201125_Cefas_Test7_Run2/Plate 4/@18/H9_03.tif </t>
  </si>
  <si>
    <t xml:space="preserve"> 27426.7064 </t>
  </si>
  <si>
    <t xml:space="preserve"> 41.8872 </t>
  </si>
  <si>
    <t xml:space="preserve">C:\Users\andre\Desktop\REACTIV CEFAS\Cefuroxime\Cefuroxime/20201125_Cefas_Test7_Run2/Plate 4/@18/ </t>
  </si>
  <si>
    <t xml:space="preserve"> 38.8227 </t>
  </si>
  <si>
    <t xml:space="preserve"> 3.2932 </t>
  </si>
  <si>
    <t xml:space="preserve"> 1218654.46 </t>
  </si>
  <si>
    <t xml:space="preserve"> 913632.583 </t>
  </si>
  <si>
    <t xml:space="preserve">C:\Users\andre\Desktop\REACTIV CEFAS\Cefuroxime\Cefuroxime/20201125_Cefas_Test7_Run2/Plate 4/@19/A10_01.tif </t>
  </si>
  <si>
    <t xml:space="preserve"> 56475.6549 </t>
  </si>
  <si>
    <t xml:space="preserve"> 43.5098 </t>
  </si>
  <si>
    <t>C:\Users\andre\Desktop\REACTIV CEFAS\Cefuroxime\Cefuroxime/20201125_Cefas_Test7_Run2/Plate 4/@19/A10_02- exclu.tif</t>
  </si>
  <si>
    <t xml:space="preserve">C:\Users\andre\Desktop\REACTIV CEFAS\Cefuroxime\Cefuroxime/20201125_Cefas_Test7_Run2/Plate 4/@19/A10_03.tif </t>
  </si>
  <si>
    <t xml:space="preserve"> 42978.6006 </t>
  </si>
  <si>
    <t xml:space="preserve"> 41.9909 </t>
  </si>
  <si>
    <t xml:space="preserve">C:\Users\andre\Desktop\REACTIV CEFAS\Cefuroxime\Cefuroxime/20201125_Cefas_Test7_Run2/Plate 4/@19/B10_01.tif </t>
  </si>
  <si>
    <t xml:space="preserve"> 19250.6062 </t>
  </si>
  <si>
    <t xml:space="preserve"> 34.7921 </t>
  </si>
  <si>
    <t xml:space="preserve">C:\Users\andre\Desktop\REACTIV CEFAS\Cefuroxime\Cefuroxime/20201125_Cefas_Test7_Run2/Plate 4/@19/B10_02.tif </t>
  </si>
  <si>
    <t xml:space="preserve"> 16222.421 </t>
  </si>
  <si>
    <t xml:space="preserve"> 34.7013 </t>
  </si>
  <si>
    <t xml:space="preserve">C:\Users\andre\Desktop\REACTIV CEFAS\Cefuroxime\Cefuroxime/20201125_Cefas_Test7_Run2/Plate 4/@19/B10_03.tif </t>
  </si>
  <si>
    <t xml:space="preserve"> 24398.5211 </t>
  </si>
  <si>
    <t xml:space="preserve"> 35.6534 </t>
  </si>
  <si>
    <t xml:space="preserve">C:\Users\andre\Desktop\REACTIV CEFAS\Cefuroxime\Cefuroxime/20201125_Cefas_Test7_Run2/Plate 4/@19/C10_01.tif </t>
  </si>
  <si>
    <t xml:space="preserve"> 57773.4486 </t>
  </si>
  <si>
    <t xml:space="preserve"> 41.0753 </t>
  </si>
  <si>
    <t xml:space="preserve">C:\Users\andre\Desktop\REACTIV CEFAS\Cefuroxime\Cefuroxime/20201125_Cefas_Test7_Run2/Plate 4/@19/C10_02.tif </t>
  </si>
  <si>
    <t xml:space="preserve"> 59525.47 </t>
  </si>
  <si>
    <t xml:space="preserve"> 41.2329 </t>
  </si>
  <si>
    <t xml:space="preserve">C:\Users\andre\Desktop\REACTIV CEFAS\Cefuroxime\Cefuroxime/20201125_Cefas_Test7_Run2/Plate 4/@19/C10_03.tif </t>
  </si>
  <si>
    <t xml:space="preserve"> 58833.3134 </t>
  </si>
  <si>
    <t xml:space="preserve"> 41.5415 </t>
  </si>
  <si>
    <t xml:space="preserve">C:\Users\andre\Desktop\REACTIV CEFAS\Cefuroxime\Cefuroxime/20201125_Cefas_Test7_Run2/Plate 4/@19/D10_01.tif </t>
  </si>
  <si>
    <t xml:space="preserve"> 49402.6793 </t>
  </si>
  <si>
    <t xml:space="preserve"> 41.4067 </t>
  </si>
  <si>
    <t xml:space="preserve">C:\Users\andre\Desktop\REACTIV CEFAS\Cefuroxime\Cefuroxime/20201125_Cefas_Test7_Run2/Plate 4/@19/D10_02.tif </t>
  </si>
  <si>
    <t xml:space="preserve"> 47629.028 </t>
  </si>
  <si>
    <t xml:space="preserve"> 41.7629 </t>
  </si>
  <si>
    <t xml:space="preserve">C:\Users\andre\Desktop\REACTIV CEFAS\Cefuroxime\Cefuroxime/20201125_Cefas_Test7_Run2/Plate 4/@19/D10_03.tif </t>
  </si>
  <si>
    <t xml:space="preserve"> 47153.1703 </t>
  </si>
  <si>
    <t xml:space="preserve"> 40.2486 </t>
  </si>
  <si>
    <t xml:space="preserve">C:\Users\andre\Desktop\REACTIV CEFAS\Cefuroxime\Cefuroxime/20201125_Cefas_Test7_Run2/Plate 4/@19/E10_01.tif </t>
  </si>
  <si>
    <t xml:space="preserve"> 41659.1771 </t>
  </si>
  <si>
    <t xml:space="preserve"> 38.2248 </t>
  </si>
  <si>
    <t xml:space="preserve">C:\Users\andre\Desktop\REACTIV CEFAS\Cefuroxime\Cefuroxime/20201125_Cefas_Test7_Run2/Plate 4/@19/E10_02.tif </t>
  </si>
  <si>
    <t xml:space="preserve"> 25177.1973 </t>
  </si>
  <si>
    <t xml:space="preserve"> 35.543 </t>
  </si>
  <si>
    <t xml:space="preserve">C:\Users\andre\Desktop\REACTIV CEFAS\Cefuroxime\Cefuroxime/20201125_Cefas_Test7_Run2/Plate 4/@19/E10_03.tif </t>
  </si>
  <si>
    <t xml:space="preserve"> 33850.7851 </t>
  </si>
  <si>
    <t xml:space="preserve"> 36.299 </t>
  </si>
  <si>
    <t xml:space="preserve">C:\Users\andre\Desktop\REACTIV CEFAS\Cefuroxime\Cefuroxime/20201125_Cefas_Test7_Run2/Plate 4/@19/F10_01.tif </t>
  </si>
  <si>
    <t xml:space="preserve"> 34.7568 </t>
  </si>
  <si>
    <t xml:space="preserve">C:\Users\andre\Desktop\REACTIV CEFAS\Cefuroxime\Cefuroxime/20201125_Cefas_Test7_Run2/Plate 4/@19/F10_02.tif </t>
  </si>
  <si>
    <t xml:space="preserve"> 6813.4168 </t>
  </si>
  <si>
    <t xml:space="preserve"> 37.327 </t>
  </si>
  <si>
    <t xml:space="preserve">C:\Users\andre\Desktop\REACTIV CEFAS\Cefuroxime\Cefuroxime/20201125_Cefas_Test7_Run2/Plate 4/@19/F10_03.tif </t>
  </si>
  <si>
    <t xml:space="preserve"> 36.9489 </t>
  </si>
  <si>
    <t xml:space="preserve">C:\Users\andre\Desktop\REACTIV CEFAS\Cefuroxime\Cefuroxime/20201125_Cefas_Test7_Run2/Plate 4/@19/G10_01.tif </t>
  </si>
  <si>
    <t xml:space="preserve"> 59893.1782 </t>
  </si>
  <si>
    <t xml:space="preserve"> 41.8346 </t>
  </si>
  <si>
    <t xml:space="preserve">C:\Users\andre\Desktop\REACTIV CEFAS\Cefuroxime\Cefuroxime/20201125_Cefas_Test7_Run2/Plate 4/@19/G10_02.tif </t>
  </si>
  <si>
    <t xml:space="preserve"> 66598.4456 </t>
  </si>
  <si>
    <t xml:space="preserve"> 43.1952 </t>
  </si>
  <si>
    <t xml:space="preserve">C:\Users\andre\Desktop\REACTIV CEFAS\Cefuroxime\Cefuroxime/20201125_Cefas_Test7_Run2/Plate 4/@19/G10_03.tif </t>
  </si>
  <si>
    <t xml:space="preserve"> 69778.0401 </t>
  </si>
  <si>
    <t xml:space="preserve"> 41.7384 </t>
  </si>
  <si>
    <t xml:space="preserve">C:\Users\andre\Desktop\REACTIV CEFAS\Cefuroxime\Cefuroxime/20201125_Cefas_Test7_Run2/Plate 4/@19/H10_01.tif </t>
  </si>
  <si>
    <t xml:space="preserve"> 52128.0461 </t>
  </si>
  <si>
    <t xml:space="preserve"> 41.7535 </t>
  </si>
  <si>
    <t xml:space="preserve">C:\Users\andre\Desktop\REACTIV CEFAS\Cefuroxime\Cefuroxime/20201125_Cefas_Test7_Run2/Plate 4/@19/H10_02.tif </t>
  </si>
  <si>
    <t xml:space="preserve"> 40.0812 </t>
  </si>
  <si>
    <t xml:space="preserve">C:\Users\andre\Desktop\REACTIV CEFAS\Cefuroxime\Cefuroxime/20201125_Cefas_Test7_Run2/Plate 4/@19/H10_03.tif </t>
  </si>
  <si>
    <t xml:space="preserve"> 56259.3559 </t>
  </si>
  <si>
    <t xml:space="preserve"> 41.1734 </t>
  </si>
  <si>
    <t xml:space="preserve">C:\Users\andre\Desktop\REACTIV CEFAS\Cefuroxime\Cefuroxime/20201125_Cefas_Test7_Run2/Plate 4/@19/ </t>
  </si>
  <si>
    <t xml:space="preserve"> 39.8765 </t>
  </si>
  <si>
    <t xml:space="preserve"> 3.6527 </t>
  </si>
  <si>
    <t xml:space="preserve"> 1718929.58 </t>
  </si>
  <si>
    <t xml:space="preserve"> 899493.955 </t>
  </si>
  <si>
    <t>C:\Users\andre\Desktop\REACTIV CEFAS\Cefuroxime\Cefuroxime/20201125_Cefas_Test7_Run2/Plate 4/@20/A11_01- exclu.tif</t>
  </si>
  <si>
    <t>C:\Users\andre\Desktop\REACTIV CEFAS\Cefuroxime\Cefuroxime/20201125_Cefas_Test7_Run2/Plate 4/@20/A11_02- exclu.tif</t>
  </si>
  <si>
    <t>C:\Users\andre\Desktop\REACTIV CEFAS\Cefuroxime\Cefuroxime/20201125_Cefas_Test7_Run2/Plate 4/@20/A11_03- exclu.tif</t>
  </si>
  <si>
    <t xml:space="preserve">C:\Users\andre\Desktop\REACTIV CEFAS\Cefuroxime\Cefuroxime/20201125_Cefas_Test7_Run2/Plate 4/@20/B11_01.tif </t>
  </si>
  <si>
    <t xml:space="preserve"> 34.2914 </t>
  </si>
  <si>
    <t xml:space="preserve">C:\Users\andre\Desktop\REACTIV CEFAS\Cefuroxime\Cefuroxime/20201125_Cefas_Test7_Run2/Plate 4/@20/B11_02.tif </t>
  </si>
  <si>
    <t xml:space="preserve"> 8176.1002 </t>
  </si>
  <si>
    <t xml:space="preserve"> 34.6587 </t>
  </si>
  <si>
    <t xml:space="preserve">C:\Users\andre\Desktop\REACTIV CEFAS\Cefuroxime\Cefuroxime/20201125_Cefas_Test7_Run2/Plate 4/@20/B11_03.tif </t>
  </si>
  <si>
    <t xml:space="preserve"> 35.2544 </t>
  </si>
  <si>
    <t xml:space="preserve">C:\Users\andre\Desktop\REACTIV CEFAS\Cefuroxime\Cefuroxime/20201125_Cefas_Test7_Run2/Plate 4/@20/C11_01.tif </t>
  </si>
  <si>
    <t xml:space="preserve"> 27102.258 </t>
  </si>
  <si>
    <t xml:space="preserve"> 34.6879 </t>
  </si>
  <si>
    <t xml:space="preserve">C:\Users\andre\Desktop\REACTIV CEFAS\Cefuroxime\Cefuroxime/20201125_Cefas_Test7_Run2/Plate 4/@20/C11_02.tif </t>
  </si>
  <si>
    <t xml:space="preserve"> 35.2424 </t>
  </si>
  <si>
    <t xml:space="preserve">C:\Users\andre\Desktop\REACTIV CEFAS\Cefuroxime\Cefuroxime/20201125_Cefas_Test7_Run2/Plate 4/@20/C11_03.tif </t>
  </si>
  <si>
    <t xml:space="preserve"> 16892.9477 </t>
  </si>
  <si>
    <t xml:space="preserve"> 33.5659 </t>
  </si>
  <si>
    <t xml:space="preserve">C:\Users\andre\Desktop\REACTIV CEFAS\Cefuroxime\Cefuroxime/20201125_Cefas_Test7_Run2/Plate 4/@20/D11_01.tif </t>
  </si>
  <si>
    <t xml:space="preserve"> 38782.4011 </t>
  </si>
  <si>
    <t xml:space="preserve"> 38.8996 </t>
  </si>
  <si>
    <t xml:space="preserve">C:\Users\andre\Desktop\REACTIV CEFAS\Cefuroxime\Cefuroxime/20201125_Cefas_Test7_Run2/Plate 4/@20/D11_02.tif </t>
  </si>
  <si>
    <t xml:space="preserve"> 42654.1522 </t>
  </si>
  <si>
    <t xml:space="preserve"> 40.3276 </t>
  </si>
  <si>
    <t xml:space="preserve">C:\Users\andre\Desktop\REACTIV CEFAS\Cefuroxime\Cefuroxime/20201125_Cefas_Test7_Run2/Plate 4/@20/D11_03.tif </t>
  </si>
  <si>
    <t xml:space="preserve"> 39582.7072 </t>
  </si>
  <si>
    <t xml:space="preserve"> 39.9421 </t>
  </si>
  <si>
    <t xml:space="preserve">C:\Users\andre\Desktop\REACTIV CEFAS\Cefuroxime\Cefuroxime/20201125_Cefas_Test7_Run2/Plate 4/@20/E11_01.tif </t>
  </si>
  <si>
    <t xml:space="preserve"> 83642.8025 </t>
  </si>
  <si>
    <t xml:space="preserve"> 48.369 </t>
  </si>
  <si>
    <t xml:space="preserve">C:\Users\andre\Desktop\REACTIV CEFAS\Cefuroxime\Cefuroxime/20201125_Cefas_Test7_Run2/Plate 4/@20/E11_02.tif </t>
  </si>
  <si>
    <t xml:space="preserve"> 85762.5322 </t>
  </si>
  <si>
    <t xml:space="preserve"> 45.9544 </t>
  </si>
  <si>
    <t xml:space="preserve">C:\Users\andre\Desktop\REACTIV CEFAS\Cefuroxime\Cefuroxime/20201125_Cefas_Test7_Run2/Plate 4/@20/E11_03.tif </t>
  </si>
  <si>
    <t xml:space="preserve"> 80636.2472 </t>
  </si>
  <si>
    <t xml:space="preserve"> 44.9201 </t>
  </si>
  <si>
    <t xml:space="preserve">C:\Users\andre\Desktop\REACTIV CEFAS\Cefuroxime\Cefuroxime/20201125_Cefas_Test7_Run2/Plate 4/@20/F11_01.tif </t>
  </si>
  <si>
    <t xml:space="preserve"> 12804.8976 </t>
  </si>
  <si>
    <t xml:space="preserve"> 35.8024 </t>
  </si>
  <si>
    <t xml:space="preserve">C:\Users\andre\Desktop\REACTIV CEFAS\Cefuroxime\Cefuroxime/20201125_Cefas_Test7_Run2/Plate 4/@20/F11_02.tif </t>
  </si>
  <si>
    <t xml:space="preserve"> 13756.613 </t>
  </si>
  <si>
    <t xml:space="preserve"> 39.4119 </t>
  </si>
  <si>
    <t xml:space="preserve">C:\Users\andre\Desktop\REACTIV CEFAS\Cefuroxime\Cefuroxime/20201125_Cefas_Test7_Run2/Plate 4/@20/F11_03.tif </t>
  </si>
  <si>
    <t xml:space="preserve"> 32.7689 </t>
  </si>
  <si>
    <t xml:space="preserve">C:\Users\andre\Desktop\REACTIV CEFAS\Cefuroxime\Cefuroxime/20201125_Cefas_Test7_Run2/Plate 4/@20/G11_01.tif </t>
  </si>
  <si>
    <t xml:space="preserve"> 16244.0509 </t>
  </si>
  <si>
    <t xml:space="preserve"> 34.5153 </t>
  </si>
  <si>
    <t xml:space="preserve">C:\Users\andre\Desktop\REACTIV CEFAS\Cefuroxime\Cefuroxime/20201125_Cefas_Test7_Run2/Plate 4/@20/G11_02.tif </t>
  </si>
  <si>
    <t xml:space="preserve"> 37.85 </t>
  </si>
  <si>
    <t xml:space="preserve">C:\Users\andre\Desktop\REACTIV CEFAS\Cefuroxime\Cefuroxime/20201125_Cefas_Test7_Run2/Plate 4/@20/G11_03.tif </t>
  </si>
  <si>
    <t xml:space="preserve"> 2920.0358 </t>
  </si>
  <si>
    <t xml:space="preserve"> 32.4963 </t>
  </si>
  <si>
    <t xml:space="preserve">C:\Users\andre\Desktop\REACTIV CEFAS\Cefuroxime\Cefuroxime/20201125_Cefas_Test7_Run2/Plate 4/@20/H11_01.tif </t>
  </si>
  <si>
    <t xml:space="preserve"> 9344.1145 </t>
  </si>
  <si>
    <t xml:space="preserve"> 32.5509 </t>
  </si>
  <si>
    <t xml:space="preserve">C:\Users\andre\Desktop\REACTIV CEFAS\Cefuroxime\Cefuroxime/20201125_Cefas_Test7_Run2/Plate 4/@20/H11_02.tif </t>
  </si>
  <si>
    <t xml:space="preserve"> 11701.773 </t>
  </si>
  <si>
    <t xml:space="preserve"> 32.6044 </t>
  </si>
  <si>
    <t xml:space="preserve">C:\Users\andre\Desktop\REACTIV CEFAS\Cefuroxime\Cefuroxime/20201125_Cefas_Test7_Run2/Plate 4/@20/H11_03.tif </t>
  </si>
  <si>
    <t xml:space="preserve"> 16287.3107 </t>
  </si>
  <si>
    <t xml:space="preserve"> 33.6587 </t>
  </si>
  <si>
    <t xml:space="preserve">C:\Users\andre\Desktop\REACTIV CEFAS\Cefuroxime\Cefuroxime/20201125_Cefas_Test7_Run2/Plate 4/@20/ </t>
  </si>
  <si>
    <t xml:space="preserve"> 37.6951 </t>
  </si>
  <si>
    <t xml:space="preserve"> 4.7133 </t>
  </si>
  <si>
    <t xml:space="preserve"> 1129205.75 </t>
  </si>
  <si>
    <t xml:space="preserve"> 1169045.84 </t>
  </si>
  <si>
    <t xml:space="preserve">C:\Users\andre\Desktop\REACTIV CEFAS\Cefuroxime\Cefuroxime/20201125_Cefas_Test7_Run2/Plate 4/@21/A12_01.tif </t>
  </si>
  <si>
    <t xml:space="preserve"> 22322.0513 </t>
  </si>
  <si>
    <t xml:space="preserve"> 35.3944 </t>
  </si>
  <si>
    <t xml:space="preserve">C:\Users\andre\Desktop\REACTIV CEFAS\Cefuroxime\Cefuroxime/20201125_Cefas_Test7_Run2/Plate 4/@21/A12_02.tif </t>
  </si>
  <si>
    <t xml:space="preserve"> 35.2653 </t>
  </si>
  <si>
    <t xml:space="preserve">C:\Users\andre\Desktop\REACTIV CEFAS\Cefuroxime\Cefuroxime/20201125_Cefas_Test7_Run2/Plate 4/@21/A12_03.tif </t>
  </si>
  <si>
    <t xml:space="preserve"> 2768.6265 </t>
  </si>
  <si>
    <t xml:space="preserve"> 32.1719 </t>
  </si>
  <si>
    <t xml:space="preserve">C:\Users\andre\Desktop\REACTIV CEFAS\Cefuroxime\Cefuroxime/20201125_Cefas_Test7_Run2/Plate 4/@21/B12_01.tif </t>
  </si>
  <si>
    <t xml:space="preserve"> 14167.581 </t>
  </si>
  <si>
    <t xml:space="preserve"> 42.3634 </t>
  </si>
  <si>
    <t xml:space="preserve">C:\Users\andre\Desktop\REACTIV CEFAS\Cefuroxime\Cefuroxime/20201125_Cefas_Test7_Run2/Plate 4/@21/B12_02.tif </t>
  </si>
  <si>
    <t xml:space="preserve"> 9235.965 </t>
  </si>
  <si>
    <t xml:space="preserve"> 43.7705 </t>
  </si>
  <si>
    <t xml:space="preserve">C:\Users\andre\Desktop\REACTIV CEFAS\Cefuroxime\Cefuroxime/20201125_Cefas_Test7_Run2/Plate 4/@21/B12_03.tif </t>
  </si>
  <si>
    <t xml:space="preserve"> 16092.6416 </t>
  </si>
  <si>
    <t xml:space="preserve"> 43.5 </t>
  </si>
  <si>
    <t xml:space="preserve">C:\Users\andre\Desktop\REACTIV CEFAS\Cefuroxime\Cefuroxime/20201125_Cefas_Test7_Run2/Plate 4/@21/C12_01.tif </t>
  </si>
  <si>
    <t xml:space="preserve"> 40729.0916 </t>
  </si>
  <si>
    <t xml:space="preserve"> 36.7424 </t>
  </si>
  <si>
    <t xml:space="preserve">C:\Users\andre\Desktop\REACTIV CEFAS\Cefuroxime\Cefuroxime/20201125_Cefas_Test7_Run2/Plate 4/@21/C12_02.tif </t>
  </si>
  <si>
    <t xml:space="preserve"> 53252.8006 </t>
  </si>
  <si>
    <t xml:space="preserve"> 40.1178 </t>
  </si>
  <si>
    <t xml:space="preserve">C:\Users\andre\Desktop\REACTIV CEFAS\Cefuroxime\Cefuroxime/20201125_Cefas_Test7_Run2/Plate 4/@21/C12_03.tif </t>
  </si>
  <si>
    <t xml:space="preserve"> 36.3402 </t>
  </si>
  <si>
    <t xml:space="preserve">C:\Users\andre\Desktop\REACTIV CEFAS\Cefuroxime\Cefuroxime/20201125_Cefas_Test7_Run2/Plate 4/@21/D12_01.tif </t>
  </si>
  <si>
    <t xml:space="preserve"> 28724.5001 </t>
  </si>
  <si>
    <t xml:space="preserve"> 35.6032 </t>
  </si>
  <si>
    <t xml:space="preserve">C:\Users\andre\Desktop\REACTIV CEFAS\Cefuroxime\Cefuroxime/20201125_Cefas_Test7_Run2/Plate 4/@21/D12_02.tif </t>
  </si>
  <si>
    <t xml:space="preserve"> 29568.066 </t>
  </si>
  <si>
    <t xml:space="preserve"> 35.1836 </t>
  </si>
  <si>
    <t xml:space="preserve">C:\Users\andre\Desktop\REACTIV CEFAS\Cefuroxime\Cefuroxime/20201125_Cefas_Test7_Run2/Plate 4/@21/D12_03.tif </t>
  </si>
  <si>
    <t xml:space="preserve"> 33353.2975 </t>
  </si>
  <si>
    <t xml:space="preserve"> 35.8962 </t>
  </si>
  <si>
    <t xml:space="preserve">C:\Users\andre\Desktop\REACTIV CEFAS\Cefuroxime\Cefuroxime/20201125_Cefas_Test7_Run2/Plate 4/@21/E12_01.tif </t>
  </si>
  <si>
    <t xml:space="preserve"> 12999.5667 </t>
  </si>
  <si>
    <t xml:space="preserve"> 40.7072 </t>
  </si>
  <si>
    <t>C:\Users\andre\Desktop\REACTIV CEFAS\Cefuroxime\Cefuroxime/20201125_Cefas_Test7_Run2/Plate 4/@21/E12_02- exclu.tif</t>
  </si>
  <si>
    <t xml:space="preserve">C:\Users\andre\Desktop\REACTIV CEFAS\Cefuroxime\Cefuroxime/20201125_Cefas_Test7_Run2/Plate 4/@21/E12_03.tif </t>
  </si>
  <si>
    <t xml:space="preserve"> 26431.7312 </t>
  </si>
  <si>
    <t xml:space="preserve"> 37.2512 </t>
  </si>
  <si>
    <t xml:space="preserve">C:\Users\andre\Desktop\REACTIV CEFAS\Cefuroxime\Cefuroxime/20201125_Cefas_Test7_Run2/Plate 4/@21/F12_01.tif </t>
  </si>
  <si>
    <t xml:space="preserve"> 63245.8119 </t>
  </si>
  <si>
    <t xml:space="preserve"> 43.2654 </t>
  </si>
  <si>
    <t xml:space="preserve">C:\Users\andre\Desktop\REACTIV CEFAS\Cefuroxime\Cefuroxime/20201125_Cefas_Test7_Run2/Plate 4/@21/F12_02.tif </t>
  </si>
  <si>
    <t xml:space="preserve"> 62748.3243 </t>
  </si>
  <si>
    <t xml:space="preserve"> 44.0269 </t>
  </si>
  <si>
    <t xml:space="preserve">C:\Users\andre\Desktop\REACTIV CEFAS\Cefuroxime\Cefuroxime/20201125_Cefas_Test7_Run2/Plate 4/@21/F12_03.tif </t>
  </si>
  <si>
    <t xml:space="preserve"> 61904.7584 </t>
  </si>
  <si>
    <t xml:space="preserve"> 44.731 </t>
  </si>
  <si>
    <t xml:space="preserve">C:\Users\andre\Desktop\REACTIV CEFAS\Cefuroxime\Cefuroxime/20201125_Cefas_Test7_Run2/Plate 4/@21/G12_01.tif </t>
  </si>
  <si>
    <t xml:space="preserve"> 64673.3849 </t>
  </si>
  <si>
    <t xml:space="preserve"> 45.293 </t>
  </si>
  <si>
    <t xml:space="preserve">C:\Users\andre\Desktop\REACTIV CEFAS\Cefuroxime\Cefuroxime/20201125_Cefas_Test7_Run2/Plate 4/@21/G12_02.tif </t>
  </si>
  <si>
    <t xml:space="preserve"> 56345.8755 </t>
  </si>
  <si>
    <t xml:space="preserve"> 42.9397 </t>
  </si>
  <si>
    <t xml:space="preserve">C:\Users\andre\Desktop\REACTIV CEFAS\Cefuroxime\Cefuroxime/20201125_Cefas_Test7_Run2/Plate 4/@21/G12_03.tif </t>
  </si>
  <si>
    <t xml:space="preserve"> 57924.8578 </t>
  </si>
  <si>
    <t xml:space="preserve"> 44.0721 </t>
  </si>
  <si>
    <t xml:space="preserve">C:\Users\andre\Desktop\REACTIV CEFAS\Cefuroxime\Cefuroxime/20201125_Cefas_Test7_Run2/Plate 4/@21/H12_01.tif </t>
  </si>
  <si>
    <t xml:space="preserve"> 15919.6024 </t>
  </si>
  <si>
    <t xml:space="preserve"> 33.5258 </t>
  </si>
  <si>
    <t xml:space="preserve">C:\Users\andre\Desktop\REACTIV CEFAS\Cefuroxime\Cefuroxime/20201125_Cefas_Test7_Run2/Plate 4/@21/H12_02.tif </t>
  </si>
  <si>
    <t xml:space="preserve"> 10641.9082 </t>
  </si>
  <si>
    <t xml:space="preserve"> 32.0569 </t>
  </si>
  <si>
    <t xml:space="preserve">C:\Users\andre\Desktop\REACTIV CEFAS\Cefuroxime\Cefuroxime/20201125_Cefas_Test7_Run2/Plate 4/@21/H12_03.tif </t>
  </si>
  <si>
    <t xml:space="preserve"> 11831.5524 </t>
  </si>
  <si>
    <t xml:space="preserve"> 32.958 </t>
  </si>
  <si>
    <t xml:space="preserve">C:\Users\andre\Desktop\REACTIV CEFAS\Cefuroxime\Cefuroxime/20201125_Cefas_Test7_Run2/Plate 4/@21/ </t>
  </si>
  <si>
    <t xml:space="preserve"> 38.828 </t>
  </si>
  <si>
    <t xml:space="preserve"> 4.444 </t>
  </si>
  <si>
    <t xml:space="preserve"> 1290314.25 </t>
  </si>
  <si>
    <t xml:space="preserve"> 936051.961 </t>
  </si>
  <si>
    <t xml:space="preserve">C:\Users\andre\Desktop\REACTIV CEFAS\Cefuroxime\Cefuroxime/20201125_Cefas_Test7_Run2/Plate 4/@8/A2_01.tif </t>
  </si>
  <si>
    <t xml:space="preserve"> 38.9655 </t>
  </si>
  <si>
    <t xml:space="preserve">C:\Users\andre\Desktop\REACTIV CEFAS\Cefuroxime\Cefuroxime/20201125_Cefas_Test7_Run2/Plate 4/@8/A2_02.tif </t>
  </si>
  <si>
    <t xml:space="preserve"> 41.0914 </t>
  </si>
  <si>
    <t>C:\Users\andre\Desktop\REACTIV CEFAS\Cefuroxime\Cefuroxime/20201125_Cefas_Test7_Run2/Plate 4/@8/A2_03- exclu.tif</t>
  </si>
  <si>
    <t>C:\Users\andre\Desktop\REACTIV CEFAS\Cefuroxime\Cefuroxime/20201125_Cefas_Test7_Run2/Plate 4/@8/B2_01- exclu.tif</t>
  </si>
  <si>
    <t>C:\Users\andre\Desktop\REACTIV CEFAS\Cefuroxime\Cefuroxime/20201125_Cefas_Test7_Run2/Plate 4/@8/B2_02- exclu.tif</t>
  </si>
  <si>
    <t>C:\Users\andre\Desktop\REACTIV CEFAS\Cefuroxime\Cefuroxime/20201125_Cefas_Test7_Run2/Plate 4/@8/B2_03- exclu.tif</t>
  </si>
  <si>
    <t xml:space="preserve">C:\Users\andre\Desktop\REACTIV CEFAS\Cefuroxime\Cefuroxime/20201125_Cefas_Test7_Run2/Plate 4/@8/C2_01.tif </t>
  </si>
  <si>
    <t xml:space="preserve">C:\Users\andre\Desktop\REACTIV CEFAS\Cefuroxime\Cefuroxime/20201125_Cefas_Test7_Run2/Plate 4/@8/C2_02.tif </t>
  </si>
  <si>
    <t xml:space="preserve"> 35.4011 </t>
  </si>
  <si>
    <t xml:space="preserve">C:\Users\andre\Desktop\REACTIV CEFAS\Cefuroxime\Cefuroxime/20201125_Cefas_Test7_Run2/Plate 4/@8/C2_03.tif </t>
  </si>
  <si>
    <t xml:space="preserve"> 86.5196 </t>
  </si>
  <si>
    <t xml:space="preserve"> 31.5 </t>
  </si>
  <si>
    <t xml:space="preserve">C:\Users\andre\Desktop\REACTIV CEFAS\Cefuroxime\Cefuroxime/20201125_Cefas_Test7_Run2/Plate 4/@8/D2_01.tif </t>
  </si>
  <si>
    <t xml:space="preserve"> 3915.0109 </t>
  </si>
  <si>
    <t xml:space="preserve"> 39.5083 </t>
  </si>
  <si>
    <t xml:space="preserve">C:\Users\andre\Desktop\REACTIV CEFAS\Cefuroxime\Cefuroxime/20201125_Cefas_Test7_Run2/Plate 4/@8/D2_02.tif </t>
  </si>
  <si>
    <t xml:space="preserve"> 3677.0821 </t>
  </si>
  <si>
    <t xml:space="preserve"> 39.6353 </t>
  </si>
  <si>
    <t xml:space="preserve">C:\Users\andre\Desktop\REACTIV CEFAS\Cefuroxime\Cefuroxime/20201125_Cefas_Test7_Run2/Plate 4/@8/D2_03.tif </t>
  </si>
  <si>
    <t xml:space="preserve"> 38.6612 </t>
  </si>
  <si>
    <t>C:\Users\andre\Desktop\REACTIV CEFAS\Cefuroxime\Cefuroxime/20201125_Cefas_Test7_Run2/Plate 4/@8/E2_01- exclu.tif</t>
  </si>
  <si>
    <t>C:\Users\andre\Desktop\REACTIV CEFAS\Cefuroxime\Cefuroxime/20201125_Cefas_Test7_Run2/Plate 4/@8/E2_02- exclu.tif</t>
  </si>
  <si>
    <t>C:\Users\andre\Desktop\REACTIV CEFAS\Cefuroxime\Cefuroxime/20201125_Cefas_Test7_Run2/Plate 4/@8/E2_03- exclu.tif</t>
  </si>
  <si>
    <t xml:space="preserve">C:\Users\andre\Desktop\REACTIV CEFAS\Cefuroxime\Cefuroxime/20201125_Cefas_Test7_Run2/Plate 4/@8/F2_01.tif </t>
  </si>
  <si>
    <t xml:space="preserve"> 42.8614 </t>
  </si>
  <si>
    <t>C:\Users\andre\Desktop\REACTIV CEFAS\Cefuroxime\Cefuroxime/20201125_Cefas_Test7_Run2/Plate 4/@8/F2_02- exclu.tif</t>
  </si>
  <si>
    <t>C:\Users\andre\Desktop\REACTIV CEFAS\Cefuroxime\Cefuroxime/20201125_Cefas_Test7_Run2/Plate 4/@8/F2_03- exclu.tif</t>
  </si>
  <si>
    <t xml:space="preserve">C:\Users\andre\Desktop\REACTIV CEFAS\Cefuroxime\Cefuroxime/20201125_Cefas_Test7_Run2/Plate 4/@8/G2_01.tif </t>
  </si>
  <si>
    <t xml:space="preserve"> 8284.2496 </t>
  </si>
  <si>
    <t xml:space="preserve"> 39.893 </t>
  </si>
  <si>
    <t xml:space="preserve">C:\Users\andre\Desktop\REACTIV CEFAS\Cefuroxime\Cefuroxime/20201125_Cefas_Test7_Run2/Plate 4/@8/G2_02.tif </t>
  </si>
  <si>
    <t xml:space="preserve"> 38.2132 </t>
  </si>
  <si>
    <t xml:space="preserve">C:\Users\andre\Desktop\REACTIV CEFAS\Cefuroxime\Cefuroxime/20201125_Cefas_Test7_Run2/Plate 4/@8/G2_03.tif </t>
  </si>
  <si>
    <t xml:space="preserve"> 6294.2993 </t>
  </si>
  <si>
    <t xml:space="preserve"> 39.8419 </t>
  </si>
  <si>
    <t xml:space="preserve">C:\Users\andre\Desktop\REACTIV CEFAS\Cefuroxime\Cefuroxime/20201125_Cefas_Test7_Run2/Plate 4/@8/H2_01.tif </t>
  </si>
  <si>
    <t xml:space="preserve">C:\Users\andre\Desktop\REACTIV CEFAS\Cefuroxime\Cefuroxime/20201125_Cefas_Test7_Run2/Plate 4/@8/H2_02.tif </t>
  </si>
  <si>
    <t xml:space="preserve"> 1881.8008 </t>
  </si>
  <si>
    <t xml:space="preserve"> 32.931 </t>
  </si>
  <si>
    <t xml:space="preserve">C:\Users\andre\Desktop\REACTIV CEFAS\Cefuroxime\Cefuroxime/20201125_Cefas_Test7_Run2/Plate 4/@8/H2_03.tif </t>
  </si>
  <si>
    <t xml:space="preserve"> 38.7485 </t>
  </si>
  <si>
    <t xml:space="preserve">C:\Users\andre\Desktop\REACTIV CEFAS\Cefuroxime\Cefuroxime/20201125_Cefas_Test7_Run2/Plate 4/@8/ </t>
  </si>
  <si>
    <t xml:space="preserve"> 38.3198 </t>
  </si>
  <si>
    <t xml:space="preserve"> 9.534 </t>
  </si>
  <si>
    <t xml:space="preserve"> 229626.542 </t>
  </si>
  <si>
    <t xml:space="preserve"> 179670.517 </t>
  </si>
  <si>
    <t xml:space="preserve">C:\Users\andre\Desktop\REACTIV CEFAS\Cefuroxime\Cefuroxime/20201125_Cefas_Test7_Run2/Plate 4/@9/A3_01.tif </t>
  </si>
  <si>
    <t>C:\Users\andre\Desktop\REACTIV CEFAS\Cefuroxime\Cefuroxime/20201125_Cefas_Test7_Run2/Plate 4/@9/A3_02- exclu.tif</t>
  </si>
  <si>
    <t xml:space="preserve">C:\Users\andre\Desktop\REACTIV CEFAS\Cefuroxime\Cefuroxime/20201125_Cefas_Test7_Run2/Plate 4/@9/A3_03.tif </t>
  </si>
  <si>
    <t xml:space="preserve"> 34.7048 </t>
  </si>
  <si>
    <t xml:space="preserve">C:\Users\andre\Desktop\REACTIV CEFAS\Cefuroxime\Cefuroxime/20201125_Cefas_Test7_Run2/Plate 4/@9/B3_01.tif </t>
  </si>
  <si>
    <t xml:space="preserve"> 35.363 </t>
  </si>
  <si>
    <t xml:space="preserve">C:\Users\andre\Desktop\REACTIV CEFAS\Cefuroxime\Cefuroxime/20201125_Cefas_Test7_Run2/Plate 4/@9/B3_02.tif </t>
  </si>
  <si>
    <t xml:space="preserve"> 7851.6518 </t>
  </si>
  <si>
    <t xml:space="preserve"> 37.4656 </t>
  </si>
  <si>
    <t xml:space="preserve">C:\Users\andre\Desktop\REACTIV CEFAS\Cefuroxime\Cefuroxime/20201125_Cefas_Test7_Run2/Plate 4/@9/B3_03.tif </t>
  </si>
  <si>
    <t xml:space="preserve"> 36.6229 </t>
  </si>
  <si>
    <t xml:space="preserve">C:\Users\andre\Desktop\REACTIV CEFAS\Cefuroxime\Cefuroxime/20201125_Cefas_Test7_Run2/Plate 4/@9/C3_01.tif </t>
  </si>
  <si>
    <t xml:space="preserve"> 1557.3524 </t>
  </si>
  <si>
    <t xml:space="preserve"> 33.5694 </t>
  </si>
  <si>
    <t xml:space="preserve">C:\Users\andre\Desktop\REACTIV CEFAS\Cefuroxime\Cefuroxime/20201125_Cefas_Test7_Run2/Plate 4/@9/C3_02.tif </t>
  </si>
  <si>
    <t xml:space="preserve"> 5342.584 </t>
  </si>
  <si>
    <t xml:space="preserve"> 37.2632 </t>
  </si>
  <si>
    <t xml:space="preserve">C:\Users\andre\Desktop\REACTIV CEFAS\Cefuroxime\Cefuroxime/20201125_Cefas_Test7_Run2/Plate 4/@9/C3_03.tif </t>
  </si>
  <si>
    <t xml:space="preserve"> 35.8333 </t>
  </si>
  <si>
    <t xml:space="preserve">C:\Users\andre\Desktop\REACTIV CEFAS\Cefuroxime\Cefuroxime/20201125_Cefas_Test7_Run2/Plate 4/@9/D3_01.tif </t>
  </si>
  <si>
    <t xml:space="preserve"> 2249.509 </t>
  </si>
  <si>
    <t xml:space="preserve"> 32.9712 </t>
  </si>
  <si>
    <t>C:\Users\andre\Desktop\REACTIV CEFAS\Cefuroxime\Cefuroxime/20201125_Cefas_Test7_Run2/Plate 4/@9/D3_02- exclu.tif</t>
  </si>
  <si>
    <t>C:\Users\andre\Desktop\REACTIV CEFAS\Cefuroxime\Cefuroxime/20201125_Cefas_Test7_Run2/Plate 4/@9/D3_03- exclu.tif</t>
  </si>
  <si>
    <t xml:space="preserve">C:\Users\andre\Desktop\REACTIV CEFAS\Cefuroxime\Cefuroxime/20201125_Cefas_Test7_Run2/Plate 4/@9/E3_01.tif </t>
  </si>
  <si>
    <t xml:space="preserve"> 30.5455 </t>
  </si>
  <si>
    <t xml:space="preserve">C:\Users\andre\Desktop\REACTIV CEFAS\Cefuroxime\Cefuroxime/20201125_Cefas_Test7_Run2/Plate 4/@9/E3_02.tif </t>
  </si>
  <si>
    <t xml:space="preserve">C:\Users\andre\Desktop\REACTIV CEFAS\Cefuroxime\Cefuroxime/20201125_Cefas_Test7_Run2/Plate 4/@9/E3_03.tif </t>
  </si>
  <si>
    <t xml:space="preserve"> 2206.2493 </t>
  </si>
  <si>
    <t xml:space="preserve"> 35.0882 </t>
  </si>
  <si>
    <t xml:space="preserve">C:\Users\andre\Desktop\REACTIV CEFAS\Cefuroxime\Cefuroxime/20201125_Cefas_Test7_Run2/Plate 4/@9/F3_01.tif </t>
  </si>
  <si>
    <t xml:space="preserve"> 39.4521 </t>
  </si>
  <si>
    <t xml:space="preserve">C:\Users\andre\Desktop\REACTIV CEFAS\Cefuroxime\Cefuroxime/20201125_Cefas_Test7_Run2/Plate 4/@9/F3_02.tif </t>
  </si>
  <si>
    <t xml:space="preserve"> 6553.8581 </t>
  </si>
  <si>
    <t xml:space="preserve"> 40.3795 </t>
  </si>
  <si>
    <t xml:space="preserve">C:\Users\andre\Desktop\REACTIV CEFAS\Cefuroxime\Cefuroxime/20201125_Cefas_Test7_Run2/Plate 4/@9/F3_03.tif </t>
  </si>
  <si>
    <t xml:space="preserve"> 4023.1604 </t>
  </si>
  <si>
    <t xml:space="preserve"> 36.2473 </t>
  </si>
  <si>
    <t xml:space="preserve">C:\Users\andre\Desktop\REACTIV CEFAS\Cefuroxime\Cefuroxime/20201125_Cefas_Test7_Run2/Plate 4/@9/G3_01.tif </t>
  </si>
  <si>
    <t xml:space="preserve"> 4585.5377 </t>
  </si>
  <si>
    <t xml:space="preserve"> 37.4292 </t>
  </si>
  <si>
    <t xml:space="preserve">C:\Users\andre\Desktop\REACTIV CEFAS\Cefuroxime\Cefuroxime/20201125_Cefas_Test7_Run2/Plate 4/@9/G3_02.tif </t>
  </si>
  <si>
    <t xml:space="preserve">C:\Users\andre\Desktop\REACTIV CEFAS\Cefuroxime\Cefuroxime/20201125_Cefas_Test7_Run2/Plate 4/@9/G3_03.tif </t>
  </si>
  <si>
    <t xml:space="preserve"> 39.4624 </t>
  </si>
  <si>
    <t xml:space="preserve">C:\Users\andre\Desktop\REACTIV CEFAS\Cefuroxime\Cefuroxime/20201125_Cefas_Test7_Run2/Plate 4/@9/H3_01.tif </t>
  </si>
  <si>
    <t>C:\Users\andre\Desktop\REACTIV CEFAS\Cefuroxime\Cefuroxime/20201125_Cefas_Test7_Run2/Plate 4/@9/H3_02- exclu.tif</t>
  </si>
  <si>
    <t xml:space="preserve">C:\Users\andre\Desktop\REACTIV CEFAS\Cefuroxime\Cefuroxime/20201125_Cefas_Test7_Run2/Plate 4/@9/H3_03.tif </t>
  </si>
  <si>
    <t xml:space="preserve"> 30.625 </t>
  </si>
  <si>
    <t xml:space="preserve">C:\Users\andre\Desktop\REACTIV CEFAS\Cefuroxime\Cefuroxime/20201125_Cefas_Test7_Run2/Plate 4/@9/ </t>
  </si>
  <si>
    <t xml:space="preserve"> 34.3371 </t>
  </si>
  <si>
    <t xml:space="preserve"> 8.519 </t>
  </si>
  <si>
    <t xml:space="preserve"> 141718.125 </t>
  </si>
  <si>
    <t xml:space="preserve"> 145287.806 </t>
  </si>
  <si>
    <t xml:space="preserve">C:\Users\andre\Desktop\REACTIV CEFAS\Cefuroxime\Cefuroxime/20201126_Cefas_Test7_Run3/Plate 1/@1/A10_01.tif </t>
  </si>
  <si>
    <t xml:space="preserve"> 34.4414 </t>
  </si>
  <si>
    <t xml:space="preserve">C:\Users\andre\Desktop\REACTIV CEFAS\Cefuroxime\Cefuroxime/20201126_Cefas_Test7_Run3/Plate 1/@1/A10_02.tif </t>
  </si>
  <si>
    <t xml:space="preserve"> 6921.5663 </t>
  </si>
  <si>
    <t xml:space="preserve"> 37.1063 </t>
  </si>
  <si>
    <t xml:space="preserve">C:\Users\andre\Desktop\REACTIV CEFAS\Cefuroxime\Cefuroxime/20201126_Cefas_Test7_Run3/Plate 1/@1/A10_03.tif </t>
  </si>
  <si>
    <t xml:space="preserve"> 36.3428 </t>
  </si>
  <si>
    <t xml:space="preserve">C:\Users\andre\Desktop\REACTIV CEFAS\Cefuroxime\Cefuroxime/20201126_Cefas_Test7_Run3/Plate 1/@1/B10_01.tif </t>
  </si>
  <si>
    <t xml:space="preserve"> 15443.7448 </t>
  </si>
  <si>
    <t xml:space="preserve"> 47.3165 </t>
  </si>
  <si>
    <t xml:space="preserve">C:\Users\andre\Desktop\REACTIV CEFAS\Cefuroxime\Cefuroxime/20201126_Cefas_Test7_Run3/Plate 1/@1/B10_02.tif </t>
  </si>
  <si>
    <t>C:\Users\andre\Desktop\REACTIV CEFAS\Cefuroxime\Cefuroxime/20201126_Cefas_Test7_Run3/Plate 1/@1/B10_03- exclu.tif</t>
  </si>
  <si>
    <t xml:space="preserve">C:\Users\andre\Desktop\REACTIV CEFAS\Cefuroxime\Cefuroxime/20201126_Cefas_Test7_Run3/Plate 1/@1/C10_01.tif </t>
  </si>
  <si>
    <t xml:space="preserve"> 31.3 </t>
  </si>
  <si>
    <t xml:space="preserve">C:\Users\andre\Desktop\REACTIV CEFAS\Cefuroxime\Cefuroxime/20201126_Cefas_Test7_Run3/Plate 1/@1/C10_02.tif </t>
  </si>
  <si>
    <t xml:space="preserve">C:\Users\andre\Desktop\REACTIV CEFAS\Cefuroxime\Cefuroxime/20201126_Cefas_Test7_Run3/Plate 1/@1/C10_03.tif </t>
  </si>
  <si>
    <t xml:space="preserve"> 7981.4311 </t>
  </si>
  <si>
    <t xml:space="preserve"> 38.4797 </t>
  </si>
  <si>
    <t xml:space="preserve">C:\Users\andre\Desktop\REACTIV CEFAS\Cefuroxime\Cefuroxime/20201126_Cefas_Test7_Run3/Plate 1/@1/D10_01.tif </t>
  </si>
  <si>
    <t xml:space="preserve"> 9495.5237 </t>
  </si>
  <si>
    <t xml:space="preserve"> 39.2392 </t>
  </si>
  <si>
    <t xml:space="preserve">C:\Users\andre\Desktop\REACTIV CEFAS\Cefuroxime\Cefuroxime/20201126_Cefas_Test7_Run3/Plate 1/@1/D10_02.tif </t>
  </si>
  <si>
    <t xml:space="preserve"> 4974.8758 </t>
  </si>
  <si>
    <t xml:space="preserve"> 37.8609 </t>
  </si>
  <si>
    <t xml:space="preserve">C:\Users\andre\Desktop\REACTIV CEFAS\Cefuroxime\Cefuroxime/20201126_Cefas_Test7_Run3/Plate 1/@1/D10_03.tif </t>
  </si>
  <si>
    <t xml:space="preserve"> 3979.9006 </t>
  </si>
  <si>
    <t xml:space="preserve"> 39.337 </t>
  </si>
  <si>
    <t xml:space="preserve">C:\Users\andre\Desktop\REACTIV CEFAS\Cefuroxime\Cefuroxime/20201126_Cefas_Test7_Run3/Plate 1/@1/E10_01.tif </t>
  </si>
  <si>
    <t xml:space="preserve"> 3374.2636 </t>
  </si>
  <si>
    <t xml:space="preserve"> 36.7628 </t>
  </si>
  <si>
    <t xml:space="preserve">C:\Users\andre\Desktop\REACTIV CEFAS\Cefuroxime\Cefuroxime/20201126_Cefas_Test7_Run3/Plate 1/@1/E10_02.tif </t>
  </si>
  <si>
    <t xml:space="preserve"> 3071.445 </t>
  </si>
  <si>
    <t xml:space="preserve"> 34.7746 </t>
  </si>
  <si>
    <t xml:space="preserve">C:\Users\andre\Desktop\REACTIV CEFAS\Cefuroxime\Cefuroxime/20201126_Cefas_Test7_Run3/Plate 1/@1/E10_03.tif </t>
  </si>
  <si>
    <t xml:space="preserve"> 2227.8791 </t>
  </si>
  <si>
    <t xml:space="preserve"> 33.2913 </t>
  </si>
  <si>
    <t xml:space="preserve">C:\Users\andre\Desktop\REACTIV CEFAS\Cefuroxime\Cefuroxime/20201126_Cefas_Test7_Run3/Plate 1/@1/F10_01.tif </t>
  </si>
  <si>
    <t xml:space="preserve"> 37.8473 </t>
  </si>
  <si>
    <t xml:space="preserve">C:\Users\andre\Desktop\REACTIV CEFAS\Cefuroxime\Cefuroxime/20201126_Cefas_Test7_Run3/Plate 1/@1/F10_02.tif </t>
  </si>
  <si>
    <t xml:space="preserve"> 10360.7195 </t>
  </si>
  <si>
    <t xml:space="preserve"> 38.6284 </t>
  </si>
  <si>
    <t xml:space="preserve">C:\Users\andre\Desktop\REACTIV CEFAS\Cefuroxime\Cefuroxime/20201126_Cefas_Test7_Run3/Plate 1/@1/F10_03.tif </t>
  </si>
  <si>
    <t xml:space="preserve"> 10468.869 </t>
  </si>
  <si>
    <t xml:space="preserve"> 36.8574 </t>
  </si>
  <si>
    <t xml:space="preserve">C:\Users\andre\Desktop\REACTIV CEFAS\Cefuroxime\Cefuroxime/20201126_Cefas_Test7_Run3/Plate 1/@1/G10_01.tif </t>
  </si>
  <si>
    <t xml:space="preserve"> 31.619 </t>
  </si>
  <si>
    <t xml:space="preserve">C:\Users\andre\Desktop\REACTIV CEFAS\Cefuroxime\Cefuroxime/20201126_Cefas_Test7_Run3/Plate 1/@1/G10_02.tif </t>
  </si>
  <si>
    <t xml:space="preserve"> 43.5269 </t>
  </si>
  <si>
    <t xml:space="preserve">C:\Users\andre\Desktop\REACTIV CEFAS\Cefuroxime\Cefuroxime/20201126_Cefas_Test7_Run3/Plate 1/@1/G10_03.tif </t>
  </si>
  <si>
    <t xml:space="preserve"> 8349.1393 </t>
  </si>
  <si>
    <t xml:space="preserve"> 45.1813 </t>
  </si>
  <si>
    <t xml:space="preserve">C:\Users\andre\Desktop\REACTIV CEFAS\Cefuroxime\Cefuroxime/20201126_Cefas_Test7_Run3/Plate 1/@1/H10_01.tif </t>
  </si>
  <si>
    <t xml:space="preserve"> 37.1193 </t>
  </si>
  <si>
    <t xml:space="preserve">C:\Users\andre\Desktop\REACTIV CEFAS\Cefuroxime\Cefuroxime/20201126_Cefas_Test7_Run3/Plate 1/@1/H10_02.tif </t>
  </si>
  <si>
    <t xml:space="preserve"> 5256.0644 </t>
  </si>
  <si>
    <t xml:space="preserve"> 38.7202 </t>
  </si>
  <si>
    <t xml:space="preserve">C:\Users\andre\Desktop\REACTIV CEFAS\Cefuroxime\Cefuroxime/20201126_Cefas_Test7_Run3/Plate 1/@1/H10_03.tif </t>
  </si>
  <si>
    <t xml:space="preserve"> 3850.1212 </t>
  </si>
  <si>
    <t xml:space="preserve"> 37.5506 </t>
  </si>
  <si>
    <t xml:space="preserve">C:\Users\andre\Desktop\REACTIV CEFAS\Cefuroxime\Cefuroxime/20201126_Cefas_Test7_Run3/Plate 1/@1/ </t>
  </si>
  <si>
    <t xml:space="preserve"> 37.668 </t>
  </si>
  <si>
    <t xml:space="preserve"> 4.8141 </t>
  </si>
  <si>
    <t xml:space="preserve"> 252321.667 </t>
  </si>
  <si>
    <t xml:space="preserve"> 202042.288 </t>
  </si>
  <si>
    <t xml:space="preserve">C:\Users\andre\Desktop\REACTIV CEFAS\Cefuroxime\Cefuroxime/20201126_Cefas_Test7_Run3/Plate 1/@13/A8_01.tif </t>
  </si>
  <si>
    <t xml:space="preserve"> 58530.4949 </t>
  </si>
  <si>
    <t xml:space="preserve"> 38.0333 </t>
  </si>
  <si>
    <t xml:space="preserve">C:\Users\andre\Desktop\REACTIV CEFAS\Cefuroxime\Cefuroxime/20201126_Cefas_Test7_Run3/Plate 1/@13/A8_02.tif </t>
  </si>
  <si>
    <t xml:space="preserve"> 70902.7946 </t>
  </si>
  <si>
    <t xml:space="preserve"> 41.7206 </t>
  </si>
  <si>
    <t xml:space="preserve">C:\Users\andre\Desktop\REACTIV CEFAS\Cefuroxime\Cefuroxime/20201126_Cefas_Test7_Run3/Plate 1/@13/A8_03.tif </t>
  </si>
  <si>
    <t xml:space="preserve"> 58292.566 </t>
  </si>
  <si>
    <t xml:space="preserve"> 40.4085 </t>
  </si>
  <si>
    <t xml:space="preserve">C:\Users\andre\Desktop\REACTIV CEFAS\Cefuroxime\Cefuroxime/20201126_Cefas_Test7_Run3/Plate 1/@13/B8_01.tif </t>
  </si>
  <si>
    <t xml:space="preserve"> 28378.4218 </t>
  </si>
  <si>
    <t xml:space="preserve"> 38.2691 </t>
  </si>
  <si>
    <t xml:space="preserve">C:\Users\andre\Desktop\REACTIV CEFAS\Cefuroxime\Cefuroxime/20201126_Cefas_Test7_Run3/Plate 1/@13/B8_02.tif </t>
  </si>
  <si>
    <t xml:space="preserve"> 21132.4071 </t>
  </si>
  <si>
    <t xml:space="preserve"> 37.2927 </t>
  </si>
  <si>
    <t xml:space="preserve">C:\Users\andre\Desktop\REACTIV CEFAS\Cefuroxime\Cefuroxime/20201126_Cefas_Test7_Run3/Plate 1/@13/B8_03.tif </t>
  </si>
  <si>
    <t xml:space="preserve"> 28573.0908 </t>
  </si>
  <si>
    <t xml:space="preserve"> 37.2483 </t>
  </si>
  <si>
    <t xml:space="preserve">C:\Users\andre\Desktop\REACTIV CEFAS\Cefuroxime\Cefuroxime/20201126_Cefas_Test7_Run3/Plate 1/@13/C8_01.tif </t>
  </si>
  <si>
    <t xml:space="preserve"> 44925.2911 </t>
  </si>
  <si>
    <t xml:space="preserve"> 37.0891 </t>
  </si>
  <si>
    <t xml:space="preserve">C:\Users\andre\Desktop\REACTIV CEFAS\Cefuroxime\Cefuroxime/20201126_Cefas_Test7_Run3/Plate 1/@13/C8_02.tif </t>
  </si>
  <si>
    <t xml:space="preserve"> 31341.7173 </t>
  </si>
  <si>
    <t xml:space="preserve"> 34.4589 </t>
  </si>
  <si>
    <t xml:space="preserve">C:\Users\andre\Desktop\REACTIV CEFAS\Cefuroxime\Cefuroxime/20201126_Cefas_Test7_Run3/Plate 1/@13/C8_03.tif </t>
  </si>
  <si>
    <t xml:space="preserve"> 30627.9308 </t>
  </si>
  <si>
    <t xml:space="preserve"> 35.9167 </t>
  </si>
  <si>
    <t xml:space="preserve">C:\Users\andre\Desktop\REACTIV CEFAS\Cefuroxime\Cefuroxime/20201126_Cefas_Test7_Run3/Plate 1/@13/D8_01.tif </t>
  </si>
  <si>
    <t xml:space="preserve"> 46763.8322 </t>
  </si>
  <si>
    <t xml:space="preserve"> 36.6138 </t>
  </si>
  <si>
    <t xml:space="preserve">C:\Users\andre\Desktop\REACTIV CEFAS\Cefuroxime\Cefuroxime/20201126_Cefas_Test7_Run3/Plate 1/@13/D8_02.tif </t>
  </si>
  <si>
    <t xml:space="preserve">C:\Users\andre\Desktop\REACTIV CEFAS\Cefuroxime\Cefuroxime/20201126_Cefas_Test7_Run3/Plate 1/@13/D8_03.tif </t>
  </si>
  <si>
    <t xml:space="preserve"> 71594.9512 </t>
  </si>
  <si>
    <t xml:space="preserve"> 42.2082 </t>
  </si>
  <si>
    <t xml:space="preserve">C:\Users\andre\Desktop\REACTIV CEFAS\Cefuroxime\Cefuroxime/20201126_Cefas_Test7_Run3/Plate 1/@13/E8_01.tif </t>
  </si>
  <si>
    <t xml:space="preserve"> 27707.895 </t>
  </si>
  <si>
    <t xml:space="preserve"> 35.007 </t>
  </si>
  <si>
    <t xml:space="preserve">C:\Users\andre\Desktop\REACTIV CEFAS\Cefuroxime\Cefuroxime/20201126_Cefas_Test7_Run3/Plate 1/@13/E8_02.tif </t>
  </si>
  <si>
    <t xml:space="preserve"> 21802.9338 </t>
  </si>
  <si>
    <t xml:space="preserve"> 33.6002 </t>
  </si>
  <si>
    <t xml:space="preserve">C:\Users\andre\Desktop\REACTIV CEFAS\Cefuroxime\Cefuroxime/20201126_Cefas_Test7_Run3/Plate 1/@13/E8_03.tif </t>
  </si>
  <si>
    <t xml:space="preserve"> 28313.5321 </t>
  </si>
  <si>
    <t xml:space="preserve"> 34.8793 </t>
  </si>
  <si>
    <t xml:space="preserve">C:\Users\andre\Desktop\REACTIV CEFAS\Cefuroxime\Cefuroxime/20201126_Cefas_Test7_Run3/Plate 1/@13/F8_01.tif </t>
  </si>
  <si>
    <t xml:space="preserve"> 40253.2339 </t>
  </si>
  <si>
    <t xml:space="preserve"> 40.4046 </t>
  </si>
  <si>
    <t xml:space="preserve">C:\Users\andre\Desktop\REACTIV CEFAS\Cefuroxime\Cefuroxime/20201126_Cefas_Test7_Run3/Plate 1/@13/F8_02.tif </t>
  </si>
  <si>
    <t xml:space="preserve"> 45487.6684 </t>
  </si>
  <si>
    <t xml:space="preserve"> 43.9643 </t>
  </si>
  <si>
    <t xml:space="preserve">C:\Users\andre\Desktop\REACTIV CEFAS\Cefuroxime\Cefuroxime/20201126_Cefas_Test7_Run3/Plate 1/@13/F8_03.tif </t>
  </si>
  <si>
    <t xml:space="preserve"> 41075.1699 </t>
  </si>
  <si>
    <t xml:space="preserve"> 40.5513 </t>
  </si>
  <si>
    <t xml:space="preserve">C:\Users\andre\Desktop\REACTIV CEFAS\Cefuroxime\Cefuroxime/20201126_Cefas_Test7_Run3/Plate 1/@13/G8_01.tif </t>
  </si>
  <si>
    <t xml:space="preserve"> 60152.737 </t>
  </si>
  <si>
    <t xml:space="preserve"> 40.6433 </t>
  </si>
  <si>
    <t xml:space="preserve">C:\Users\andre\Desktop\REACTIV CEFAS\Cefuroxime\Cefuroxime/20201126_Cefas_Test7_Run3/Plate 1/@13/G8_02.tif </t>
  </si>
  <si>
    <t xml:space="preserve"> 60066.2174 </t>
  </si>
  <si>
    <t xml:space="preserve"> 39.2683 </t>
  </si>
  <si>
    <t xml:space="preserve">C:\Users\andre\Desktop\REACTIV CEFAS\Cefuroxime\Cefuroxime/20201126_Cefas_Test7_Run3/Plate 1/@13/G8_03.tif </t>
  </si>
  <si>
    <t xml:space="preserve"> 67117.563 </t>
  </si>
  <si>
    <t xml:space="preserve"> 39.0187 </t>
  </si>
  <si>
    <t xml:space="preserve">C:\Users\andre\Desktop\REACTIV CEFAS\Cefuroxime\Cefuroxime/20201126_Cefas_Test7_Run3/Plate 1/@13/H8_01.tif </t>
  </si>
  <si>
    <t xml:space="preserve"> 26734.5498 </t>
  </si>
  <si>
    <t xml:space="preserve"> 38.1998 </t>
  </si>
  <si>
    <t xml:space="preserve">C:\Users\andre\Desktop\REACTIV CEFAS\Cefuroxime\Cefuroxime/20201126_Cefas_Test7_Run3/Plate 1/@13/H8_02.tif </t>
  </si>
  <si>
    <t xml:space="preserve"> 45703.9674 </t>
  </si>
  <si>
    <t xml:space="preserve"> 37.5125 </t>
  </si>
  <si>
    <t xml:space="preserve">C:\Users\andre\Desktop\REACTIV CEFAS\Cefuroxime\Cefuroxime/20201126_Cefas_Test7_Run3/Plate 1/@13/H8_03.tif </t>
  </si>
  <si>
    <t xml:space="preserve"> 33958.9346 </t>
  </si>
  <si>
    <t xml:space="preserve"> 39.5331 </t>
  </si>
  <si>
    <t xml:space="preserve">C:\Users\andre\Desktop\REACTIV CEFAS\Cefuroxime\Cefuroxime/20201126_Cefas_Test7_Run3/Plate 1/@13/ </t>
  </si>
  <si>
    <t xml:space="preserve"> 38.3283 </t>
  </si>
  <si>
    <t xml:space="preserve"> 2.5852 </t>
  </si>
  <si>
    <t xml:space="preserve"> 1697376.12 </t>
  </si>
  <si>
    <t xml:space="preserve"> 695804.138 </t>
  </si>
  <si>
    <t xml:space="preserve">C:\Users\andre\Desktop\REACTIV CEFAS\Cefuroxime\Cefuroxime/20201126_Cefas_Test7_Run3/Plate 1/@14/A9_01.tif </t>
  </si>
  <si>
    <t xml:space="preserve"> 21997.6028 </t>
  </si>
  <si>
    <t xml:space="preserve"> 36.9007 </t>
  </si>
  <si>
    <t xml:space="preserve">C:\Users\andre\Desktop\REACTIV CEFAS\Cefuroxime\Cefuroxime/20201126_Cefas_Test7_Run3/Plate 1/@14/A9_02.tif </t>
  </si>
  <si>
    <t xml:space="preserve"> 21781.3039 </t>
  </si>
  <si>
    <t xml:space="preserve"> 37.285 </t>
  </si>
  <si>
    <t xml:space="preserve">C:\Users\andre\Desktop\REACTIV CEFAS\Cefuroxime\Cefuroxime/20201126_Cefas_Test7_Run3/Plate 1/@14/A9_03.tif </t>
  </si>
  <si>
    <t xml:space="preserve"> 36.7578 </t>
  </si>
  <si>
    <t xml:space="preserve">C:\Users\andre\Desktop\REACTIV CEFAS\Cefuroxime\Cefuroxime/20201126_Cefas_Test7_Run3/Plate 1/@14/B9_01.tif </t>
  </si>
  <si>
    <t xml:space="preserve"> 43.4844 </t>
  </si>
  <si>
    <t xml:space="preserve">C:\Users\andre\Desktop\REACTIV CEFAS\Cefuroxime\Cefuroxime/20201126_Cefas_Test7_Run3/Plate 1/@14/B9_02.tif </t>
  </si>
  <si>
    <t xml:space="preserve"> 46698.9425 </t>
  </si>
  <si>
    <t xml:space="preserve"> 44.164 </t>
  </si>
  <si>
    <t xml:space="preserve">C:\Users\andre\Desktop\REACTIV CEFAS\Cefuroxime\Cefuroxime/20201126_Cefas_Test7_Run3/Plate 1/@14/B9_03.tif </t>
  </si>
  <si>
    <t xml:space="preserve"> 45898.6364 </t>
  </si>
  <si>
    <t xml:space="preserve"> 44.0975 </t>
  </si>
  <si>
    <t xml:space="preserve">C:\Users\andre\Desktop\REACTIV CEFAS\Cefuroxime\Cefuroxime/20201126_Cefas_Test7_Run3/Plate 1/@14/C9_01.tif </t>
  </si>
  <si>
    <t xml:space="preserve"> 33872.415 </t>
  </si>
  <si>
    <t xml:space="preserve"> 34.9662 </t>
  </si>
  <si>
    <t xml:space="preserve">C:\Users\andre\Desktop\REACTIV CEFAS\Cefuroxime\Cefuroxime/20201126_Cefas_Test7_Run3/Plate 1/@14/C9_02.tif </t>
  </si>
  <si>
    <t xml:space="preserve"> 43303.049 </t>
  </si>
  <si>
    <t xml:space="preserve"> 38.3856 </t>
  </si>
  <si>
    <t xml:space="preserve">C:\Users\andre\Desktop\REACTIV CEFAS\Cefuroxime\Cefuroxime/20201126_Cefas_Test7_Run3/Plate 1/@14/C9_03.tif </t>
  </si>
  <si>
    <t xml:space="preserve"> 37.5814 </t>
  </si>
  <si>
    <t xml:space="preserve">C:\Users\andre\Desktop\REACTIV CEFAS\Cefuroxime\Cefuroxime/20201126_Cefas_Test7_Run3/Plate 1/@14/D9_01.tif </t>
  </si>
  <si>
    <t xml:space="preserve"> 76223.7487 </t>
  </si>
  <si>
    <t xml:space="preserve"> 46.0715 </t>
  </si>
  <si>
    <t xml:space="preserve">C:\Users\andre\Desktop\REACTIV CEFAS\Cefuroxime\Cefuroxime/20201126_Cefas_Test7_Run3/Plate 1/@14/D9_02.tif </t>
  </si>
  <si>
    <t xml:space="preserve"> 43.3691 </t>
  </si>
  <si>
    <t xml:space="preserve">C:\Users\andre\Desktop\REACTIV CEFAS\Cefuroxime\Cefuroxime/20201126_Cefas_Test7_Run3/Plate 1/@14/D9_03.tif </t>
  </si>
  <si>
    <t xml:space="preserve"> 74925.955 </t>
  </si>
  <si>
    <t xml:space="preserve"> 47.3369 </t>
  </si>
  <si>
    <t xml:space="preserve">C:\Users\andre\Desktop\REACTIV CEFAS\Cefuroxime\Cefuroxime/20201126_Cefas_Test7_Run3/Plate 1/@14/E9_01.tif </t>
  </si>
  <si>
    <t xml:space="preserve"> 23684.7346 </t>
  </si>
  <si>
    <t xml:space="preserve"> 32.9836 </t>
  </si>
  <si>
    <t xml:space="preserve">C:\Users\andre\Desktop\REACTIV CEFAS\Cefuroxime\Cefuroxime/20201126_Cefas_Test7_Run3/Plate 1/@14/E9_02.tif </t>
  </si>
  <si>
    <t xml:space="preserve"> 32.5708 </t>
  </si>
  <si>
    <t xml:space="preserve">C:\Users\andre\Desktop\REACTIV CEFAS\Cefuroxime\Cefuroxime/20201126_Cefas_Test7_Run3/Plate 1/@14/E9_03.tif </t>
  </si>
  <si>
    <t xml:space="preserve"> 40339.7535 </t>
  </si>
  <si>
    <t xml:space="preserve"> 36.2702 </t>
  </si>
  <si>
    <t xml:space="preserve">C:\Users\andre\Desktop\REACTIV CEFAS\Cefuroxime\Cefuroxime/20201126_Cefas_Test7_Run3/Plate 1/@14/F9_01.tif </t>
  </si>
  <si>
    <t xml:space="preserve"> 87860.632 </t>
  </si>
  <si>
    <t xml:space="preserve"> 48.0202 </t>
  </si>
  <si>
    <t xml:space="preserve">C:\Users\andre\Desktop\REACTIV CEFAS\Cefuroxime\Cefuroxime/20201126_Cefas_Test7_Run3/Plate 1/@14/F9_02.tif </t>
  </si>
  <si>
    <t xml:space="preserve"> 77088.9445 </t>
  </si>
  <si>
    <t xml:space="preserve"> 49.3235 </t>
  </si>
  <si>
    <t xml:space="preserve">C:\Users\andre\Desktop\REACTIV CEFAS\Cefuroxime\Cefuroxime/20201126_Cefas_Test7_Run3/Plate 1/@14/F9_03.tif </t>
  </si>
  <si>
    <t xml:space="preserve"> 79922.4607 </t>
  </si>
  <si>
    <t xml:space="preserve"> 46.1215 </t>
  </si>
  <si>
    <t xml:space="preserve">C:\Users\andre\Desktop\REACTIV CEFAS\Cefuroxime\Cefuroxime/20201126_Cefas_Test7_Run3/Plate 1/@14/G9_01.tif </t>
  </si>
  <si>
    <t xml:space="preserve"> 59676.8793 </t>
  </si>
  <si>
    <t xml:space="preserve"> 39.0033 </t>
  </si>
  <si>
    <t xml:space="preserve">C:\Users\andre\Desktop\REACTIV CEFAS\Cefuroxime\Cefuroxime/20201126_Cefas_Test7_Run3/Plate 1/@14/G9_02.tif </t>
  </si>
  <si>
    <t xml:space="preserve"> 38.3907 </t>
  </si>
  <si>
    <t xml:space="preserve">C:\Users\andre\Desktop\REACTIV CEFAS\Cefuroxime\Cefuroxime/20201126_Cefas_Test7_Run3/Plate 1/@14/G9_03.tif </t>
  </si>
  <si>
    <t xml:space="preserve"> 54550.5943 </t>
  </si>
  <si>
    <t xml:space="preserve"> 38.3569 </t>
  </si>
  <si>
    <t xml:space="preserve">C:\Users\andre\Desktop\REACTIV CEFAS\Cefuroxime\Cefuroxime/20201126_Cefas_Test7_Run3/Plate 1/@14/H9_01.tif </t>
  </si>
  <si>
    <t xml:space="preserve"> 58357.4557 </t>
  </si>
  <si>
    <t xml:space="preserve"> 42.7309 </t>
  </si>
  <si>
    <t xml:space="preserve">C:\Users\andre\Desktop\REACTIV CEFAS\Cefuroxime\Cefuroxime/20201126_Cefas_Test7_Run3/Plate 1/@14/H9_02.tif </t>
  </si>
  <si>
    <t xml:space="preserve"> 41.5409 </t>
  </si>
  <si>
    <t xml:space="preserve">C:\Users\andre\Desktop\REACTIV CEFAS\Cefuroxime\Cefuroxime/20201126_Cefas_Test7_Run3/Plate 1/@14/H9_03.tif </t>
  </si>
  <si>
    <t xml:space="preserve"> 60455.5555 </t>
  </si>
  <si>
    <t xml:space="preserve"> 41.7624 </t>
  </si>
  <si>
    <t xml:space="preserve">C:\Users\andre\Desktop\REACTIV CEFAS\Cefuroxime\Cefuroxime/20201126_Cefas_Test7_Run3/Plate 1/@14/ </t>
  </si>
  <si>
    <t xml:space="preserve"> 40.7281 </t>
  </si>
  <si>
    <t xml:space="preserve"> 4.7693 </t>
  </si>
  <si>
    <t xml:space="preserve"> 2170953.71 </t>
  </si>
  <si>
    <t xml:space="preserve"> 1071576.12 </t>
  </si>
  <si>
    <t xml:space="preserve">C:\Users\andre\Desktop\REACTIV CEFAS\Cefuroxime\Cefuroxime/20201126_Cefas_Test7_Run3/Plate 1/@15/A11_01.tif </t>
  </si>
  <si>
    <t xml:space="preserve"> 79035.635 </t>
  </si>
  <si>
    <t xml:space="preserve"> 53.6708 </t>
  </si>
  <si>
    <t xml:space="preserve">C:\Users\andre\Desktop\REACTIV CEFAS\Cefuroxime\Cefuroxime/20201126_Cefas_Test7_Run3/Plate 1/@15/A11_02.tif </t>
  </si>
  <si>
    <t xml:space="preserve"> 76353.528 </t>
  </si>
  <si>
    <t xml:space="preserve"> 49.6915 </t>
  </si>
  <si>
    <t xml:space="preserve">C:\Users\andre\Desktop\REACTIV CEFAS\Cefuroxime\Cefuroxime/20201126_Cefas_Test7_Run3/Plate 1/@15/A11_03.tif </t>
  </si>
  <si>
    <t xml:space="preserve"> 73238.8232 </t>
  </si>
  <si>
    <t xml:space="preserve"> 51.5272 </t>
  </si>
  <si>
    <t xml:space="preserve">C:\Users\andre\Desktop\REACTIV CEFAS\Cefuroxime\Cefuroxime/20201126_Cefas_Test7_Run3/Plate 1/@15/B11_01.tif </t>
  </si>
  <si>
    <t xml:space="preserve"> 67204.0826 </t>
  </si>
  <si>
    <t xml:space="preserve"> 51.3338 </t>
  </si>
  <si>
    <t xml:space="preserve">C:\Users\andre\Desktop\REACTIV CEFAS\Cefuroxime\Cefuroxime/20201126_Cefas_Test7_Run3/Plate 1/@15/B11_02.tif </t>
  </si>
  <si>
    <t xml:space="preserve"> 64284.0468 </t>
  </si>
  <si>
    <t xml:space="preserve"> 47.644 </t>
  </si>
  <si>
    <t xml:space="preserve">C:\Users\andre\Desktop\REACTIV CEFAS\Cefuroxime\Cefuroxime/20201126_Cefas_Test7_Run3/Plate 1/@15/B11_03.tif </t>
  </si>
  <si>
    <t xml:space="preserve"> 64889.6839 </t>
  </si>
  <si>
    <t xml:space="preserve"> 49.562 </t>
  </si>
  <si>
    <t xml:space="preserve">C:\Users\andre\Desktop\REACTIV CEFAS\Cefuroxime\Cefuroxime/20201126_Cefas_Test7_Run3/Plate 1/@15/C11_01.tif </t>
  </si>
  <si>
    <t xml:space="preserve"> 53663.7686 </t>
  </si>
  <si>
    <t xml:space="preserve"> 39.7658 </t>
  </si>
  <si>
    <t xml:space="preserve">C:\Users\andre\Desktop\REACTIV CEFAS\Cefuroxime\Cefuroxime/20201126_Cefas_Test7_Run3/Plate 1/@15/C11_02.tif </t>
  </si>
  <si>
    <t xml:space="preserve"> 58249.3062 </t>
  </si>
  <si>
    <t xml:space="preserve"> 44.5065 </t>
  </si>
  <si>
    <t xml:space="preserve">C:\Users\andre\Desktop\REACTIV CEFAS\Cefuroxime\Cefuroxime/20201126_Cefas_Test7_Run3/Plate 1/@15/C11_03.tif </t>
  </si>
  <si>
    <t xml:space="preserve"> 52279.4553 </t>
  </si>
  <si>
    <t xml:space="preserve"> 43.6678 </t>
  </si>
  <si>
    <t>C:\Users\andre\Desktop\REACTIV CEFAS\Cefuroxime\Cefuroxime/20201126_Cefas_Test7_Run3/Plate 1/@15/D11_01- exclu.tif</t>
  </si>
  <si>
    <t>C:\Users\andre\Desktop\REACTIV CEFAS\Cefuroxime\Cefuroxime/20201126_Cefas_Test7_Run3/Plate 1/@15/D11_02- exclu.tif</t>
  </si>
  <si>
    <t>C:\Users\andre\Desktop\REACTIV CEFAS\Cefuroxime\Cefuroxime/20201126_Cefas_Test7_Run3/Plate 1/@15/D11_03- exclu.tif</t>
  </si>
  <si>
    <t xml:space="preserve">C:\Users\andre\Desktop\REACTIV CEFAS\Cefuroxime\Cefuroxime/20201126_Cefas_Test7_Run3/Plate 1/@15/E11_01.tif </t>
  </si>
  <si>
    <t xml:space="preserve"> 60109.4772 </t>
  </si>
  <si>
    <t xml:space="preserve"> 49.968 </t>
  </si>
  <si>
    <t xml:space="preserve">C:\Users\andre\Desktop\REACTIV CEFAS\Cefuroxime\Cefuroxime/20201126_Cefas_Test7_Run3/Plate 1/@15/E11_02.tif </t>
  </si>
  <si>
    <t xml:space="preserve"> 64262.4169 </t>
  </si>
  <si>
    <t xml:space="preserve"> 54.9566 </t>
  </si>
  <si>
    <t xml:space="preserve">C:\Users\andre\Desktop\REACTIV CEFAS\Cefuroxime\Cefuroxime/20201126_Cefas_Test7_Run3/Plate 1/@15/E11_03.tif </t>
  </si>
  <si>
    <t xml:space="preserve"> 61147.7121 </t>
  </si>
  <si>
    <t xml:space="preserve"> 52.4004 </t>
  </si>
  <si>
    <t xml:space="preserve">C:\Users\andre\Desktop\REACTIV CEFAS\Cefuroxime\Cefuroxime/20201126_Cefas_Test7_Run3/Plate 1/@15/F11_01.tif </t>
  </si>
  <si>
    <t xml:space="preserve"> 47.6836 </t>
  </si>
  <si>
    <t xml:space="preserve">C:\Users\andre\Desktop\REACTIV CEFAS\Cefuroxime\Cefuroxime/20201126_Cefas_Test7_Run3/Plate 1/@15/F11_02.tif </t>
  </si>
  <si>
    <t xml:space="preserve"> 62618.545 </t>
  </si>
  <si>
    <t xml:space="preserve"> 46.4722 </t>
  </si>
  <si>
    <t xml:space="preserve">C:\Users\andre\Desktop\REACTIV CEFAS\Cefuroxime\Cefuroxime/20201126_Cefas_Test7_Run3/Plate 1/@15/F11_03.tif </t>
  </si>
  <si>
    <t xml:space="preserve"> 67961.1289 </t>
  </si>
  <si>
    <t xml:space="preserve"> 50.8491 </t>
  </si>
  <si>
    <t xml:space="preserve">C:\Users\andre\Desktop\REACTIV CEFAS\Cefuroxime\Cefuroxime/20201126_Cefas_Test7_Run3/Plate 1/@15/G11_01.tif </t>
  </si>
  <si>
    <t xml:space="preserve"> 72871.115 </t>
  </si>
  <si>
    <t xml:space="preserve"> 43.4378 </t>
  </si>
  <si>
    <t xml:space="preserve">C:\Users\andre\Desktop\REACTIV CEFAS\Cefuroxime\Cefuroxime/20201126_Cefas_Test7_Run3/Plate 1/@15/G11_02.tif </t>
  </si>
  <si>
    <t xml:space="preserve"> 65711.6199 </t>
  </si>
  <si>
    <t xml:space="preserve"> 44.0932 </t>
  </si>
  <si>
    <t xml:space="preserve">C:\Users\andre\Desktop\REACTIV CEFAS\Cefuroxime\Cefuroxime/20201126_Cefas_Test7_Run3/Plate 1/@15/G11_03.tif </t>
  </si>
  <si>
    <t xml:space="preserve"> 65387.1715 </t>
  </si>
  <si>
    <t xml:space="preserve"> 45.0589 </t>
  </si>
  <si>
    <t xml:space="preserve">C:\Users\andre\Desktop\REACTIV CEFAS\Cefuroxime\Cefuroxime/20201126_Cefas_Test7_Run3/Plate 1/@15/H11_01.tif </t>
  </si>
  <si>
    <t xml:space="preserve"> 71335.3925 </t>
  </si>
  <si>
    <t xml:space="preserve"> 48.7438 </t>
  </si>
  <si>
    <t xml:space="preserve">C:\Users\andre\Desktop\REACTIV CEFAS\Cefuroxime\Cefuroxime/20201126_Cefas_Test7_Run3/Plate 1/@15/H11_02.tif </t>
  </si>
  <si>
    <t xml:space="preserve"> 71140.7234 </t>
  </si>
  <si>
    <t xml:space="preserve"> 50.4424 </t>
  </si>
  <si>
    <t xml:space="preserve">C:\Users\andre\Desktop\REACTIV CEFAS\Cefuroxime\Cefuroxime/20201126_Cefas_Test7_Run3/Plate 1/@15/H11_03.tif </t>
  </si>
  <si>
    <t xml:space="preserve"> 75747.891 </t>
  </si>
  <si>
    <t xml:space="preserve"> 49.7476 </t>
  </si>
  <si>
    <t xml:space="preserve">C:\Users\andre\Desktop\REACTIV CEFAS\Cefuroxime\Cefuroxime/20201126_Cefas_Test7_Run3/Plate 1/@15/ </t>
  </si>
  <si>
    <t xml:space="preserve"> 47.5223 </t>
  </si>
  <si>
    <t xml:space="preserve"> 6.0853 </t>
  </si>
  <si>
    <t xml:space="preserve"> 2849296.17 </t>
  </si>
  <si>
    <t xml:space="preserve"> 1100867.29 </t>
  </si>
  <si>
    <t xml:space="preserve">C:\Users\andre\Desktop\REACTIV CEFAS\Cefuroxime\Cefuroxime/20201126_Cefas_Test7_Run3/Plate 1/@16/A12_01.tif </t>
  </si>
  <si>
    <t>C:\Users\andre\Desktop\REACTIV CEFAS\Cefuroxime\Cefuroxime/20201126_Cefas_Test7_Run3/Plate 1/@16/A12_02- exclu.tif</t>
  </si>
  <si>
    <t>C:\Users\andre\Desktop\REACTIV CEFAS\Cefuroxime\Cefuroxime/20201126_Cefas_Test7_Run3/Plate 1/@16/A12_03- exclu.tif</t>
  </si>
  <si>
    <t xml:space="preserve">C:\Users\andre\Desktop\REACTIV CEFAS\Cefuroxime\Cefuroxime/20201126_Cefas_Test7_Run3/Plate 1/@16/B12_01.tif </t>
  </si>
  <si>
    <t xml:space="preserve"> 35.2651 </t>
  </si>
  <si>
    <t xml:space="preserve">C:\Users\andre\Desktop\REACTIV CEFAS\Cefuroxime\Cefuroxime/20201126_Cefas_Test7_Run3/Plate 1/@16/B12_02.tif </t>
  </si>
  <si>
    <t xml:space="preserve"> 38.1299 </t>
  </si>
  <si>
    <t xml:space="preserve">C:\Users\andre\Desktop\REACTIV CEFAS\Cefuroxime\Cefuroxime/20201126_Cefas_Test7_Run3/Plate 1/@16/B12_03.tif </t>
  </si>
  <si>
    <t xml:space="preserve"> 32.1982 </t>
  </si>
  <si>
    <t xml:space="preserve">C:\Users\andre\Desktop\REACTIV CEFAS\Cefuroxime\Cefuroxime/20201126_Cefas_Test7_Run3/Plate 1/@16/C12_01.tif </t>
  </si>
  <si>
    <t xml:space="preserve"> 37.9147 </t>
  </si>
  <si>
    <t xml:space="preserve">C:\Users\andre\Desktop\REACTIV CEFAS\Cefuroxime\Cefuroxime/20201126_Cefas_Test7_Run3/Plate 1/@16/C12_02.tif </t>
  </si>
  <si>
    <t xml:space="preserve"> 41.1485 </t>
  </si>
  <si>
    <t xml:space="preserve">C:\Users\andre\Desktop\REACTIV CEFAS\Cefuroxime\Cefuroxime/20201126_Cefas_Test7_Run3/Plate 1/@16/C12_03.tif </t>
  </si>
  <si>
    <t xml:space="preserve"> 5515.6231 </t>
  </si>
  <si>
    <t xml:space="preserve"> 37.0353 </t>
  </si>
  <si>
    <t xml:space="preserve">C:\Users\andre\Desktop\REACTIV CEFAS\Cefuroxime\Cefuroxime/20201126_Cefas_Test7_Run3/Plate 1/@16/D12_01.tif </t>
  </si>
  <si>
    <t xml:space="preserve"> 38.0054 </t>
  </si>
  <si>
    <t xml:space="preserve">C:\Users\andre\Desktop\REACTIV CEFAS\Cefuroxime\Cefuroxime/20201126_Cefas_Test7_Run3/Plate 1/@16/D12_02.tif </t>
  </si>
  <si>
    <t xml:space="preserve"> 16114.2715 </t>
  </si>
  <si>
    <t xml:space="preserve"> 39.6752 </t>
  </si>
  <si>
    <t xml:space="preserve">C:\Users\andre\Desktop\REACTIV CEFAS\Cefuroxime\Cefuroxime/20201126_Cefas_Test7_Run3/Plate 1/@16/D12_03.tif </t>
  </si>
  <si>
    <t xml:space="preserve">C:\Users\andre\Desktop\REACTIV CEFAS\Cefuroxime\Cefuroxime/20201126_Cefas_Test7_Run3/Plate 1/@16/E12_01.tif </t>
  </si>
  <si>
    <t xml:space="preserve"> 39.1981 </t>
  </si>
  <si>
    <t xml:space="preserve">C:\Users\andre\Desktop\REACTIV CEFAS\Cefuroxime\Cefuroxime/20201126_Cefas_Test7_Run3/Plate 1/@16/E12_02.tif </t>
  </si>
  <si>
    <t xml:space="preserve"> 9798.3423 </t>
  </si>
  <si>
    <t xml:space="preserve"> 38.3046 </t>
  </si>
  <si>
    <t xml:space="preserve">C:\Users\andre\Desktop\REACTIV CEFAS\Cefuroxime\Cefuroxime/20201126_Cefas_Test7_Run3/Plate 1/@16/E12_03.tif </t>
  </si>
  <si>
    <t xml:space="preserve"> 10014.6412 </t>
  </si>
  <si>
    <t xml:space="preserve"> 37.6199 </t>
  </si>
  <si>
    <t xml:space="preserve">C:\Users\andre\Desktop\REACTIV CEFAS\Cefuroxime\Cefuroxime/20201126_Cefas_Test7_Run3/Plate 1/@16/F12_01.tif </t>
  </si>
  <si>
    <t xml:space="preserve"> 37.8315 </t>
  </si>
  <si>
    <t xml:space="preserve">C:\Users\andre\Desktop\REACTIV CEFAS\Cefuroxime\Cefuroxime/20201126_Cefas_Test7_Run3/Plate 1/@16/F12_02.tif </t>
  </si>
  <si>
    <t xml:space="preserve"> 37.8 </t>
  </si>
  <si>
    <t xml:space="preserve">C:\Users\andre\Desktop\REACTIV CEFAS\Cefuroxime\Cefuroxime/20201126_Cefas_Test7_Run3/Plate 1/@16/F12_03.tif </t>
  </si>
  <si>
    <t xml:space="preserve"> 35.3945 </t>
  </si>
  <si>
    <t xml:space="preserve">C:\Users\andre\Desktop\REACTIV CEFAS\Cefuroxime\Cefuroxime/20201126_Cefas_Test7_Run3/Plate 1/@16/G12_01.tif </t>
  </si>
  <si>
    <t xml:space="preserve"> 44.9663 </t>
  </si>
  <si>
    <t xml:space="preserve">C:\Users\andre\Desktop\REACTIV CEFAS\Cefuroxime\Cefuroxime/20201126_Cefas_Test7_Run3/Plate 1/@16/G12_02.tif </t>
  </si>
  <si>
    <t xml:space="preserve"> 43.2912 </t>
  </si>
  <si>
    <t xml:space="preserve">C:\Users\andre\Desktop\REACTIV CEFAS\Cefuroxime\Cefuroxime/20201126_Cefas_Test7_Run3/Plate 1/@16/G12_03.tif </t>
  </si>
  <si>
    <t xml:space="preserve"> 46.3412 </t>
  </si>
  <si>
    <t xml:space="preserve">C:\Users\andre\Desktop\REACTIV CEFAS\Cefuroxime\Cefuroxime/20201126_Cefas_Test7_Run3/Plate 1/@16/H12_01.tif </t>
  </si>
  <si>
    <t xml:space="preserve"> 6899.9364 </t>
  </si>
  <si>
    <t xml:space="preserve"> 38.7931 </t>
  </si>
  <si>
    <t xml:space="preserve">C:\Users\andre\Desktop\REACTIV CEFAS\Cefuroxime\Cefuroxime/20201126_Cefas_Test7_Run3/Plate 1/@16/H12_02.tif </t>
  </si>
  <si>
    <t xml:space="preserve"> 4217.8295 </t>
  </si>
  <si>
    <t xml:space="preserve"> 36.7436 </t>
  </si>
  <si>
    <t xml:space="preserve">C:\Users\andre\Desktop\REACTIV CEFAS\Cefuroxime\Cefuroxime/20201126_Cefas_Test7_Run3/Plate 1/@16/H12_03.tif </t>
  </si>
  <si>
    <t xml:space="preserve"> 3806.8615 </t>
  </si>
  <si>
    <t xml:space="preserve"> 36.375 </t>
  </si>
  <si>
    <t xml:space="preserve">C:\Users\andre\Desktop\REACTIV CEFAS\Cefuroxime\Cefuroxime/20201126_Cefas_Test7_Run3/Plate 1/@16/ </t>
  </si>
  <si>
    <t xml:space="preserve"> 38.6223 </t>
  </si>
  <si>
    <t xml:space="preserve"> 4.0338 </t>
  </si>
  <si>
    <t xml:space="preserve"> 309239.917 </t>
  </si>
  <si>
    <t xml:space="preserve"> 186810.833 </t>
  </si>
  <si>
    <t xml:space="preserve">C:\Users\andre\Desktop\REACTIV CEFAS\Cefuroxime\Cefuroxime/20201126_Cefas_Test7_Run3/Plate 1/@2/A2_01.tif </t>
  </si>
  <si>
    <t xml:space="preserve">C:\Users\andre\Desktop\REACTIV CEFAS\Cefuroxime\Cefuroxime/20201126_Cefas_Test7_Run3/Plate 1/@2/A2_02.tif </t>
  </si>
  <si>
    <t xml:space="preserve"> 38.1155 </t>
  </si>
  <si>
    <t xml:space="preserve">C:\Users\andre\Desktop\REACTIV CEFAS\Cefuroxime\Cefuroxime/20201126_Cefas_Test7_Run3/Plate 1/@2/A2_03.tif </t>
  </si>
  <si>
    <t xml:space="preserve"> 9019.6661 </t>
  </si>
  <si>
    <t xml:space="preserve"> 36.2446 </t>
  </si>
  <si>
    <t xml:space="preserve">C:\Users\andre\Desktop\REACTIV CEFAS\Cefuroxime\Cefuroxime/20201126_Cefas_Test7_Run3/Plate 1/@2/B2_01.tif </t>
  </si>
  <si>
    <t xml:space="preserve"> 33.4497 </t>
  </si>
  <si>
    <t xml:space="preserve">C:\Users\andre\Desktop\REACTIV CEFAS\Cefuroxime\Cefuroxime/20201126_Cefas_Test7_Run3/Plate 1/@2/B2_02.tif </t>
  </si>
  <si>
    <t xml:space="preserve"> 10252.5701 </t>
  </si>
  <si>
    <t xml:space="preserve"> 38.9325 </t>
  </si>
  <si>
    <t xml:space="preserve">C:\Users\andre\Desktop\REACTIV CEFAS\Cefuroxime\Cefuroxime/20201126_Cefas_Test7_Run3/Plate 1/@2/B2_03.tif </t>
  </si>
  <si>
    <t xml:space="preserve"> 1903.4307 </t>
  </si>
  <si>
    <t xml:space="preserve"> 35.6136 </t>
  </si>
  <si>
    <t xml:space="preserve">C:\Users\andre\Desktop\REACTIV CEFAS\Cefuroxime\Cefuroxime/20201126_Cefas_Test7_Run3/Plate 1/@2/C2_01.tif </t>
  </si>
  <si>
    <t xml:space="preserve"> 18861.2681 </t>
  </si>
  <si>
    <t xml:space="preserve"> 39.3108 </t>
  </si>
  <si>
    <t xml:space="preserve">C:\Users\andre\Desktop\REACTIV CEFAS\Cefuroxime\Cefuroxime/20201126_Cefas_Test7_Run3/Plate 1/@2/C2_02.tif </t>
  </si>
  <si>
    <t xml:space="preserve"> 16071.0117 </t>
  </si>
  <si>
    <t xml:space="preserve"> 43.0283 </t>
  </si>
  <si>
    <t xml:space="preserve">C:\Users\andre\Desktop\REACTIV CEFAS\Cefuroxime\Cefuroxime/20201126_Cefas_Test7_Run3/Plate 1/@2/C2_03.tif </t>
  </si>
  <si>
    <t xml:space="preserve"> 14773.218 </t>
  </si>
  <si>
    <t xml:space="preserve"> 42.9122 </t>
  </si>
  <si>
    <t xml:space="preserve">C:\Users\andre\Desktop\REACTIV CEFAS\Cefuroxime\Cefuroxime/20201126_Cefas_Test7_Run3/Plate 1/@2/D2_01.tif </t>
  </si>
  <si>
    <t xml:space="preserve"> 9106.1856 </t>
  </si>
  <si>
    <t xml:space="preserve"> 35.791 </t>
  </si>
  <si>
    <t xml:space="preserve">C:\Users\andre\Desktop\REACTIV CEFAS\Cefuroxime\Cefuroxime/20201126_Cefas_Test7_Run3/Plate 1/@2/D2_02.tif </t>
  </si>
  <si>
    <t xml:space="preserve"> 31.668 </t>
  </si>
  <si>
    <t xml:space="preserve">C:\Users\andre\Desktop\REACTIV CEFAS\Cefuroxime\Cefuroxime/20201126_Cefas_Test7_Run3/Plate 1/@2/D2_03.tif </t>
  </si>
  <si>
    <t xml:space="preserve"> 8522.1785 </t>
  </si>
  <si>
    <t xml:space="preserve"> 40.8782 </t>
  </si>
  <si>
    <t xml:space="preserve">C:\Users\andre\Desktop\REACTIV CEFAS\Cefuroxime\Cefuroxime/20201126_Cefas_Test7_Run3/Plate 1/@2/E2_01.tif </t>
  </si>
  <si>
    <t xml:space="preserve"> 930.0855 </t>
  </si>
  <si>
    <t xml:space="preserve"> 31.3023 </t>
  </si>
  <si>
    <t xml:space="preserve">C:\Users\andre\Desktop\REACTIV CEFAS\Cefuroxime\Cefuroxime/20201126_Cefas_Test7_Run3/Plate 1/@2/E2_02.tif </t>
  </si>
  <si>
    <t xml:space="preserve">C:\Users\andre\Desktop\REACTIV CEFAS\Cefuroxime\Cefuroxime/20201126_Cefas_Test7_Run3/Plate 1/@2/E2_03.tif </t>
  </si>
  <si>
    <t xml:space="preserve"> 31.9091 </t>
  </si>
  <si>
    <t xml:space="preserve">C:\Users\andre\Desktop\REACTIV CEFAS\Cefuroxime\Cefuroxime/20201126_Cefas_Test7_Run3/Plate 1/@2/F2_01.tif </t>
  </si>
  <si>
    <t xml:space="preserve"> 4109.68 </t>
  </si>
  <si>
    <t xml:space="preserve"> 35.0105 </t>
  </si>
  <si>
    <t xml:space="preserve">C:\Users\andre\Desktop\REACTIV CEFAS\Cefuroxime\Cefuroxime/20201126_Cefas_Test7_Run3/Plate 1/@2/F2_02.tif </t>
  </si>
  <si>
    <t xml:space="preserve"> 34.5183 </t>
  </si>
  <si>
    <t xml:space="preserve">C:\Users\andre\Desktop\REACTIV CEFAS\Cefuroxime\Cefuroxime/20201126_Cefas_Test7_Run3/Plate 1/@2/F2_03.tif </t>
  </si>
  <si>
    <t xml:space="preserve"> 7830.0219 </t>
  </si>
  <si>
    <t xml:space="preserve"> 35.7127 </t>
  </si>
  <si>
    <t xml:space="preserve">C:\Users\andre\Desktop\REACTIV CEFAS\Cefuroxime\Cefuroxime/20201126_Cefas_Test7_Run3/Plate 1/@2/G2_01.tif </t>
  </si>
  <si>
    <t xml:space="preserve"> 151.4093 </t>
  </si>
  <si>
    <t xml:space="preserve">C:\Users\andre\Desktop\REACTIV CEFAS\Cefuroxime\Cefuroxime/20201126_Cefas_Test7_Run3/Plate 1/@2/G2_02.tif </t>
  </si>
  <si>
    <t xml:space="preserve"> 40.1971 </t>
  </si>
  <si>
    <t xml:space="preserve">C:\Users\andre\Desktop\REACTIV CEFAS\Cefuroxime\Cefuroxime/20201126_Cefas_Test7_Run3/Plate 1/@2/G2_03.tif </t>
  </si>
  <si>
    <t xml:space="preserve"> 36.9256 </t>
  </si>
  <si>
    <t xml:space="preserve">C:\Users\andre\Desktop\REACTIV CEFAS\Cefuroxime\Cefuroxime/20201126_Cefas_Test7_Run3/Plate 1/@2/H2_01.tif </t>
  </si>
  <si>
    <t xml:space="preserve">C:\Users\andre\Desktop\REACTIV CEFAS\Cefuroxime\Cefuroxime/20201126_Cefas_Test7_Run3/Plate 1/@2/H2_02.tif </t>
  </si>
  <si>
    <t xml:space="preserve"> 10793.3174 </t>
  </si>
  <si>
    <t xml:space="preserve"> 39.2305 </t>
  </si>
  <si>
    <t xml:space="preserve">C:\Users\andre\Desktop\REACTIV CEFAS\Cefuroxime\Cefuroxime/20201126_Cefas_Test7_Run3/Plate 1/@2/H2_03.tif </t>
  </si>
  <si>
    <t xml:space="preserve"> 40.654 </t>
  </si>
  <si>
    <t xml:space="preserve">C:\Users\andre\Desktop\REACTIV CEFAS\Cefuroxime\Cefuroxime/20201126_Cefas_Test7_Run3/Plate 1/@2/ </t>
  </si>
  <si>
    <t xml:space="preserve"> 34.7733 </t>
  </si>
  <si>
    <t xml:space="preserve"> 8.3367 </t>
  </si>
  <si>
    <t xml:space="preserve"> 269011.875 </t>
  </si>
  <si>
    <t xml:space="preserve"> 219373.705 </t>
  </si>
  <si>
    <t xml:space="preserve">C:\Users\andre\Desktop\REACTIV CEFAS\Cefuroxime\Cefuroxime/20201126_Cefas_Test7_Run3/Plate 1/@3/A3_01.tif </t>
  </si>
  <si>
    <t xml:space="preserve"> 33.4242 </t>
  </si>
  <si>
    <t xml:space="preserve">C:\Users\andre\Desktop\REACTIV CEFAS\Cefuroxime\Cefuroxime/20201126_Cefas_Test7_Run3/Plate 1/@3/A3_02.tif </t>
  </si>
  <si>
    <t xml:space="preserve">C:\Users\andre\Desktop\REACTIV CEFAS\Cefuroxime\Cefuroxime/20201126_Cefas_Test7_Run3/Plate 1/@3/A3_03.tif </t>
  </si>
  <si>
    <t xml:space="preserve"> 33.0182 </t>
  </si>
  <si>
    <t xml:space="preserve">C:\Users\andre\Desktop\REACTIV CEFAS\Cefuroxime\Cefuroxime/20201126_Cefas_Test7_Run3/Plate 1/@3/B3_01.tif </t>
  </si>
  <si>
    <t xml:space="preserve"> 33.8458 </t>
  </si>
  <si>
    <t xml:space="preserve">C:\Users\andre\Desktop\REACTIV CEFAS\Cefuroxime\Cefuroxime/20201126_Cefas_Test7_Run3/Plate 1/@3/B3_02.tif </t>
  </si>
  <si>
    <t xml:space="preserve"> 32012.2441 </t>
  </si>
  <si>
    <t xml:space="preserve"> 35.3541 </t>
  </si>
  <si>
    <t xml:space="preserve">C:\Users\andre\Desktop\REACTIV CEFAS\Cefuroxime\Cefuroxime/20201126_Cefas_Test7_Run3/Plate 1/@3/B3_03.tif </t>
  </si>
  <si>
    <t xml:space="preserve"> 15162.5561 </t>
  </si>
  <si>
    <t xml:space="preserve"> 34.2725 </t>
  </si>
  <si>
    <t xml:space="preserve">C:\Users\andre\Desktop\REACTIV CEFAS\Cefuroxime\Cefuroxime/20201126_Cefas_Test7_Run3/Plate 1/@3/C3_01.tif </t>
  </si>
  <si>
    <t xml:space="preserve"> 12977.9368 </t>
  </si>
  <si>
    <t xml:space="preserve"> 34.7033 </t>
  </si>
  <si>
    <t xml:space="preserve">C:\Users\andre\Desktop\REACTIV CEFAS\Cefuroxime\Cefuroxime/20201126_Cefas_Test7_Run3/Plate 1/@3/C3_02.tif </t>
  </si>
  <si>
    <t xml:space="preserve"> 10101.1608 </t>
  </si>
  <si>
    <t xml:space="preserve"> 39.7559 </t>
  </si>
  <si>
    <t xml:space="preserve">C:\Users\andre\Desktop\REACTIV CEFAS\Cefuroxime\Cefuroxime/20201126_Cefas_Test7_Run3/Plate 1/@3/C3_03.tif </t>
  </si>
  <si>
    <t xml:space="preserve"> 33.2177 </t>
  </si>
  <si>
    <t xml:space="preserve">C:\Users\andre\Desktop\REACTIV CEFAS\Cefuroxime\Cefuroxime/20201126_Cefas_Test7_Run3/Plate 1/@3/D3_01.tif </t>
  </si>
  <si>
    <t xml:space="preserve"> 2033.2101 </t>
  </si>
  <si>
    <t xml:space="preserve"> 31.3511 </t>
  </si>
  <si>
    <t xml:space="preserve">C:\Users\andre\Desktop\REACTIV CEFAS\Cefuroxime\Cefuroxime/20201126_Cefas_Test7_Run3/Plate 1/@3/D3_02.tif </t>
  </si>
  <si>
    <t xml:space="preserve"> 2595.5874 </t>
  </si>
  <si>
    <t xml:space="preserve"> 34.25 </t>
  </si>
  <si>
    <t xml:space="preserve">C:\Users\andre\Desktop\REACTIV CEFAS\Cefuroxime\Cefuroxime/20201126_Cefas_Test7_Run3/Plate 1/@3/D3_03.tif </t>
  </si>
  <si>
    <t xml:space="preserve"> 31.0877 </t>
  </si>
  <si>
    <t xml:space="preserve">C:\Users\andre\Desktop\REACTIV CEFAS\Cefuroxime\Cefuroxime/20201126_Cefas_Test7_Run3/Plate 1/@3/E3_01.tif </t>
  </si>
  <si>
    <t xml:space="preserve"> 22689.7595 </t>
  </si>
  <si>
    <t xml:space="preserve"> 38.0153 </t>
  </si>
  <si>
    <t xml:space="preserve">C:\Users\andre\Desktop\REACTIV CEFAS\Cefuroxime\Cefuroxime/20201126_Cefas_Test7_Run3/Plate 1/@3/E3_02.tif </t>
  </si>
  <si>
    <t xml:space="preserve"> 15422.1149 </t>
  </si>
  <si>
    <t xml:space="preserve"> 41.2763 </t>
  </si>
  <si>
    <t>C:\Users\andre\Desktop\REACTIV CEFAS\Cefuroxime\Cefuroxime/20201126_Cefas_Test7_Run3/Plate 1/@3/E3_03- exclu.tif</t>
  </si>
  <si>
    <t xml:space="preserve">C:\Users\andre\Desktop\REACTIV CEFAS\Cefuroxime\Cefuroxime/20201126_Cefas_Test7_Run3/Plate 1/@3/F3_01.tif </t>
  </si>
  <si>
    <t xml:space="preserve"> 31.25 </t>
  </si>
  <si>
    <t xml:space="preserve">C:\Users\andre\Desktop\REACTIV CEFAS\Cefuroxime\Cefuroxime/20201126_Cefas_Test7_Run3/Plate 1/@3/F3_02.tif </t>
  </si>
  <si>
    <t xml:space="preserve"> 37.5759 </t>
  </si>
  <si>
    <t>C:\Users\andre\Desktop\REACTIV CEFAS\Cefuroxime\Cefuroxime/20201126_Cefas_Test7_Run3/Plate 1/@3/F3_03- exclu.tif</t>
  </si>
  <si>
    <t xml:space="preserve">C:\Users\andre\Desktop\REACTIV CEFAS\Cefuroxime\Cefuroxime/20201126_Cefas_Test7_Run3/Plate 1/@3/G3_01.tif </t>
  </si>
  <si>
    <t xml:space="preserve"> 5731.9221 </t>
  </si>
  <si>
    <t xml:space="preserve"> 37.1019 </t>
  </si>
  <si>
    <t xml:space="preserve">C:\Users\andre\Desktop\REACTIV CEFAS\Cefuroxime\Cefuroxime/20201126_Cefas_Test7_Run3/Plate 1/@3/G3_02.tif </t>
  </si>
  <si>
    <t xml:space="preserve"> 42.5146 </t>
  </si>
  <si>
    <t xml:space="preserve">C:\Users\andre\Desktop\REACTIV CEFAS\Cefuroxime\Cefuroxime/20201126_Cefas_Test7_Run3/Plate 1/@3/G3_03.tif </t>
  </si>
  <si>
    <t xml:space="preserve"> 43.5844 </t>
  </si>
  <si>
    <t xml:space="preserve">C:\Users\andre\Desktop\REACTIV CEFAS\Cefuroxime\Cefuroxime/20201126_Cefas_Test7_Run3/Plate 1/@3/H3_01.tif </t>
  </si>
  <si>
    <t xml:space="preserve"> 7505.5734 </t>
  </si>
  <si>
    <t xml:space="preserve"> 38.2738 </t>
  </si>
  <si>
    <t xml:space="preserve">C:\Users\andre\Desktop\REACTIV CEFAS\Cefuroxime\Cefuroxime/20201126_Cefas_Test7_Run3/Plate 1/@3/H3_02.tif </t>
  </si>
  <si>
    <t xml:space="preserve"> 40.0588 </t>
  </si>
  <si>
    <t xml:space="preserve">C:\Users\andre\Desktop\REACTIV CEFAS\Cefuroxime\Cefuroxime/20201126_Cefas_Test7_Run3/Plate 1/@3/H3_03.tif </t>
  </si>
  <si>
    <t xml:space="preserve"> 7808.392 </t>
  </si>
  <si>
    <t xml:space="preserve"> 36.892 </t>
  </si>
  <si>
    <t xml:space="preserve">C:\Users\andre\Desktop\REACTIV CEFAS\Cefuroxime\Cefuroxime/20201126_Cefas_Test7_Run3/Plate 1/@3/ </t>
  </si>
  <si>
    <t xml:space="preserve"> 35.6586 </t>
  </si>
  <si>
    <t xml:space="preserve"> 3.7926 </t>
  </si>
  <si>
    <t xml:space="preserve"> 319308.708 </t>
  </si>
  <si>
    <t xml:space="preserve"> 289580.88 </t>
  </si>
  <si>
    <t xml:space="preserve">C:\Users\andre\Desktop\REACTIV CEFAS\Cefuroxime\Cefuroxime/20201126_Cefas_Test7_Run3/Plate 1/@4/A4_01.tif </t>
  </si>
  <si>
    <t xml:space="preserve"> 55848.3879 </t>
  </si>
  <si>
    <t xml:space="preserve"> 35.9729 </t>
  </si>
  <si>
    <t xml:space="preserve">C:\Users\andre\Desktop\REACTIV CEFAS\Cefuroxime\Cefuroxime/20201126_Cefas_Test7_Run3/Plate 1/@4/A4_02.tif </t>
  </si>
  <si>
    <t xml:space="preserve"> 37.3466 </t>
  </si>
  <si>
    <t xml:space="preserve">C:\Users\andre\Desktop\REACTIV CEFAS\Cefuroxime\Cefuroxime/20201126_Cefas_Test7_Run3/Plate 1/@4/A4_03.tif </t>
  </si>
  <si>
    <t xml:space="preserve"> 59287.5412 </t>
  </si>
  <si>
    <t xml:space="preserve"> 37.2112 </t>
  </si>
  <si>
    <t xml:space="preserve">C:\Users\andre\Desktop\REACTIV CEFAS\Cefuroxime\Cefuroxime/20201126_Cefas_Test7_Run3/Plate 1/@4/B4_01.tif </t>
  </si>
  <si>
    <t xml:space="preserve"> 15227.4458 </t>
  </si>
  <si>
    <t xml:space="preserve"> 38.8594 </t>
  </si>
  <si>
    <t xml:space="preserve">C:\Users\andre\Desktop\REACTIV CEFAS\Cefuroxime\Cefuroxime/20201126_Cefas_Test7_Run3/Plate 1/@4/B4_02.tif </t>
  </si>
  <si>
    <t xml:space="preserve"> 13561.9439 </t>
  </si>
  <si>
    <t xml:space="preserve"> 38.7911 </t>
  </si>
  <si>
    <t xml:space="preserve">C:\Users\andre\Desktop\REACTIV CEFAS\Cefuroxime\Cefuroxime/20201126_Cefas_Test7_Run3/Plate 1/@4/B4_03.tif </t>
  </si>
  <si>
    <t xml:space="preserve"> 16957.8374 </t>
  </si>
  <si>
    <t xml:space="preserve"> 39.7997 </t>
  </si>
  <si>
    <t>C:\Users\andre\Desktop\REACTIV CEFAS\Cefuroxime\Cefuroxime/20201126_Cefas_Test7_Run3/Plate 1/@4/C4_01- exclu.tif</t>
  </si>
  <si>
    <t>C:\Users\andre\Desktop\REACTIV CEFAS\Cefuroxime\Cefuroxime/20201126_Cefas_Test7_Run3/Plate 1/@4/C4_02- exclu.tif</t>
  </si>
  <si>
    <t>C:\Users\andre\Desktop\REACTIV CEFAS\Cefuroxime\Cefuroxime/20201126_Cefas_Test7_Run3/Plate 1/@4/C4_03- exclu.tif</t>
  </si>
  <si>
    <t xml:space="preserve">C:\Users\andre\Desktop\REACTIV CEFAS\Cefuroxime\Cefuroxime/20201126_Cefas_Test7_Run3/Plate 1/@4/D4_01.tif </t>
  </si>
  <si>
    <t xml:space="preserve"> 48256.2949 </t>
  </si>
  <si>
    <t xml:space="preserve"> 38.2308 </t>
  </si>
  <si>
    <t>C:\Users\andre\Desktop\REACTIV CEFAS\Cefuroxime\Cefuroxime/20201126_Cefas_Test7_Run3/Plate 1/@4/D4_02- exclu.tif</t>
  </si>
  <si>
    <t xml:space="preserve">C:\Users\andre\Desktop\REACTIV CEFAS\Cefuroxime\Cefuroxime/20201126_Cefas_Test7_Run3/Plate 1/@4/D4_03.tif </t>
  </si>
  <si>
    <t xml:space="preserve"> 24722.9696 </t>
  </si>
  <si>
    <t xml:space="preserve"> 37.385 </t>
  </si>
  <si>
    <t xml:space="preserve">C:\Users\andre\Desktop\REACTIV CEFAS\Cefuroxime\Cefuroxime/20201126_Cefas_Test7_Run3/Plate 1/@4/E4_01.tif </t>
  </si>
  <si>
    <t xml:space="preserve"> 15854.7128 </t>
  </si>
  <si>
    <t xml:space="preserve"> 38.3683 </t>
  </si>
  <si>
    <t xml:space="preserve">C:\Users\andre\Desktop\REACTIV CEFAS\Cefuroxime\Cefuroxime/20201126_Cefas_Test7_Run3/Plate 1/@4/E4_02.tif </t>
  </si>
  <si>
    <t xml:space="preserve"> 39539.4474 </t>
  </si>
  <si>
    <t xml:space="preserve"> 37.395 </t>
  </si>
  <si>
    <t xml:space="preserve">C:\Users\andre\Desktop\REACTIV CEFAS\Cefuroxime\Cefuroxime/20201126_Cefas_Test7_Run3/Plate 1/@4/E4_03.tif </t>
  </si>
  <si>
    <t xml:space="preserve"> 32.4122 </t>
  </si>
  <si>
    <t xml:space="preserve">C:\Users\andre\Desktop\REACTIV CEFAS\Cefuroxime\Cefuroxime/20201126_Cefas_Test7_Run3/Plate 1/@4/F4_01.tif </t>
  </si>
  <si>
    <t xml:space="preserve"> 46850.3518 </t>
  </si>
  <si>
    <t xml:space="preserve"> 35.7969 </t>
  </si>
  <si>
    <t xml:space="preserve">C:\Users\andre\Desktop\REACTIV CEFAS\Cefuroxime\Cefuroxime/20201126_Cefas_Test7_Run3/Plate 1/@4/F4_02.tif </t>
  </si>
  <si>
    <t xml:space="preserve"> 50549.0637 </t>
  </si>
  <si>
    <t xml:space="preserve"> 37.3577 </t>
  </si>
  <si>
    <t xml:space="preserve">C:\Users\andre\Desktop\REACTIV CEFAS\Cefuroxime\Cefuroxime/20201126_Cefas_Test7_Run3/Plate 1/@4/F4_03.tif </t>
  </si>
  <si>
    <t xml:space="preserve"> 35.7687 </t>
  </si>
  <si>
    <t xml:space="preserve">C:\Users\andre\Desktop\REACTIV CEFAS\Cefuroxime\Cefuroxime/20201126_Cefas_Test7_Run3/Plate 1/@4/G4_01.tif </t>
  </si>
  <si>
    <t xml:space="preserve"> 25588.1653 </t>
  </si>
  <si>
    <t xml:space="preserve"> 33.4894 </t>
  </si>
  <si>
    <t xml:space="preserve">C:\Users\andre\Desktop\REACTIV CEFAS\Cefuroxime\Cefuroxime/20201126_Cefas_Test7_Run3/Plate 1/@4/G4_02.tif </t>
  </si>
  <si>
    <t xml:space="preserve"> 23425.1759 </t>
  </si>
  <si>
    <t xml:space="preserve"> 33.9372 </t>
  </si>
  <si>
    <t xml:space="preserve">C:\Users\andre\Desktop\REACTIV CEFAS\Cefuroxime\Cefuroxime/20201126_Cefas_Test7_Run3/Plate 1/@4/G4_03.tif </t>
  </si>
  <si>
    <t xml:space="preserve"> 33.8664 </t>
  </si>
  <si>
    <t xml:space="preserve">C:\Users\andre\Desktop\REACTIV CEFAS\Cefuroxime\Cefuroxime/20201126_Cefas_Test7_Run3/Plate 1/@4/H4_01.tif </t>
  </si>
  <si>
    <t xml:space="preserve"> 25004.1582 </t>
  </si>
  <si>
    <t xml:space="preserve"> 35.25 </t>
  </si>
  <si>
    <t xml:space="preserve">C:\Users\andre\Desktop\REACTIV CEFAS\Cefuroxime\Cefuroxime/20201126_Cefas_Test7_Run3/Plate 1/@4/H4_02.tif </t>
  </si>
  <si>
    <t xml:space="preserve"> 14881.3675 </t>
  </si>
  <si>
    <t xml:space="preserve"> 35.8939 </t>
  </si>
  <si>
    <t xml:space="preserve">C:\Users\andre\Desktop\REACTIV CEFAS\Cefuroxime\Cefuroxime/20201126_Cefas_Test7_Run3/Plate 1/@4/H4_03.tif </t>
  </si>
  <si>
    <t xml:space="preserve"> 26280.322 </t>
  </si>
  <si>
    <t xml:space="preserve"> 37.0617 </t>
  </si>
  <si>
    <t xml:space="preserve">C:\Users\andre\Desktop\REACTIV CEFAS\Cefuroxime\Cefuroxime/20201126_Cefas_Test7_Run3/Plate 1/@4/ </t>
  </si>
  <si>
    <t xml:space="preserve"> 36.9751 </t>
  </si>
  <si>
    <t xml:space="preserve"> 3.7601 </t>
  </si>
  <si>
    <t xml:space="preserve"> 1149670.33 </t>
  </si>
  <si>
    <t xml:space="preserve"> 700889.149 </t>
  </si>
  <si>
    <t xml:space="preserve">C:\Users\andre\Desktop\REACTIV CEFAS\Cefuroxime\Cefuroxime/20201126_Cefas_Test7_Run3/Plate 1/@5/A5_01.tif </t>
  </si>
  <si>
    <t xml:space="preserve"> 38695.8815 </t>
  </si>
  <si>
    <t xml:space="preserve"> 39.0654 </t>
  </si>
  <si>
    <t xml:space="preserve">C:\Users\andre\Desktop\REACTIV CEFAS\Cefuroxime\Cefuroxime/20201126_Cefas_Test7_Run3/Plate 1/@5/A5_02.tif </t>
  </si>
  <si>
    <t xml:space="preserve"> 41010.2802 </t>
  </si>
  <si>
    <t xml:space="preserve"> 39.8845 </t>
  </si>
  <si>
    <t xml:space="preserve">C:\Users\andre\Desktop\REACTIV CEFAS\Cefuroxime\Cefuroxime/20201126_Cefas_Test7_Run3/Plate 1/@5/A5_03.tif </t>
  </si>
  <si>
    <t xml:space="preserve"> 46655.6827 </t>
  </si>
  <si>
    <t xml:space="preserve"> 38.7728 </t>
  </si>
  <si>
    <t xml:space="preserve">C:\Users\andre\Desktop\REACTIV CEFAS\Cefuroxime\Cefuroxime/20201126_Cefas_Test7_Run3/Plate 1/@5/B5_01.tif </t>
  </si>
  <si>
    <t xml:space="preserve"> 59611.9896 </t>
  </si>
  <si>
    <t xml:space="preserve"> 40.8284 </t>
  </si>
  <si>
    <t xml:space="preserve">C:\Users\andre\Desktop\REACTIV CEFAS\Cefuroxime\Cefuroxime/20201126_Cefas_Test7_Run3/Plate 1/@5/B5_02.tif </t>
  </si>
  <si>
    <t xml:space="preserve"> 60477.1854 </t>
  </si>
  <si>
    <t xml:space="preserve"> 44.0458 </t>
  </si>
  <si>
    <t xml:space="preserve">C:\Users\andre\Desktop\REACTIV CEFAS\Cefuroxime\Cefuroxime/20201126_Cefas_Test7_Run3/Plate 1/@5/B5_03.tif </t>
  </si>
  <si>
    <t xml:space="preserve"> 61493.7904 </t>
  </si>
  <si>
    <t xml:space="preserve"> 44.7985 </t>
  </si>
  <si>
    <t xml:space="preserve">C:\Users\andre\Desktop\REACTIV CEFAS\Cefuroxime\Cefuroxime/20201126_Cefas_Test7_Run3/Plate 1/@5/C5_01.tif </t>
  </si>
  <si>
    <t xml:space="preserve"> 53187.9109 </t>
  </si>
  <si>
    <t xml:space="preserve"> 37.2509 </t>
  </si>
  <si>
    <t xml:space="preserve">C:\Users\andre\Desktop\REACTIV CEFAS\Cefuroxime\Cefuroxime/20201126_Cefas_Test7_Run3/Plate 1/@5/C5_02.tif </t>
  </si>
  <si>
    <t xml:space="preserve"> 54009.8469 </t>
  </si>
  <si>
    <t xml:space="preserve"> 38.8258 </t>
  </si>
  <si>
    <t xml:space="preserve">C:\Users\andre\Desktop\REACTIV CEFAS\Cefuroxime\Cefuroxime/20201126_Cefas_Test7_Run3/Plate 1/@5/C5_03.tif </t>
  </si>
  <si>
    <t xml:space="preserve"> 47218.06 </t>
  </si>
  <si>
    <t xml:space="preserve"> 40.4443 </t>
  </si>
  <si>
    <t xml:space="preserve">C:\Users\andre\Desktop\REACTIV CEFAS\Cefuroxime\Cefuroxime/20201126_Cefas_Test7_Run3/Plate 1/@5/D5_01.tif </t>
  </si>
  <si>
    <t xml:space="preserve"> 56691.9538 </t>
  </si>
  <si>
    <t xml:space="preserve"> 36.9519 </t>
  </si>
  <si>
    <t xml:space="preserve">C:\Users\andre\Desktop\REACTIV CEFAS\Cefuroxime\Cefuroxime/20201126_Cefas_Test7_Run3/Plate 1/@5/D5_02.tif </t>
  </si>
  <si>
    <t xml:space="preserve"> 50613.9534 </t>
  </si>
  <si>
    <t xml:space="preserve"> 35.935 </t>
  </si>
  <si>
    <t xml:space="preserve">C:\Users\andre\Desktop\REACTIV CEFAS\Cefuroxime\Cefuroxime/20201126_Cefas_Test7_Run3/Plate 1/@5/D5_03.tif </t>
  </si>
  <si>
    <t xml:space="preserve"> 58725.1639 </t>
  </si>
  <si>
    <t xml:space="preserve"> 35.8718 </t>
  </si>
  <si>
    <t xml:space="preserve">C:\Users\andre\Desktop\REACTIV CEFAS\Cefuroxime\Cefuroxime/20201126_Cefas_Test7_Run3/Plate 1/@5/E5_01.tif </t>
  </si>
  <si>
    <t xml:space="preserve"> 60628.5946 </t>
  </si>
  <si>
    <t xml:space="preserve"> 39.7025 </t>
  </si>
  <si>
    <t xml:space="preserve">C:\Users\andre\Desktop\REACTIV CEFAS\Cefuroxime\Cefuroxime/20201126_Cefas_Test7_Run3/Plate 1/@5/E5_02.tif </t>
  </si>
  <si>
    <t xml:space="preserve"> 46871.9817 </t>
  </si>
  <si>
    <t xml:space="preserve"> 38.0854 </t>
  </si>
  <si>
    <t xml:space="preserve">C:\Users\andre\Desktop\REACTIV CEFAS\Cefuroxime\Cefuroxime/20201126_Cefas_Test7_Run3/Plate 1/@5/E5_03.tif </t>
  </si>
  <si>
    <t xml:space="preserve"> 43259.7893 </t>
  </si>
  <si>
    <t xml:space="preserve"> 35.251 </t>
  </si>
  <si>
    <t>C:\Users\andre\Desktop\REACTIV CEFAS\Cefuroxime\Cefuroxime/20201126_Cefas_Test7_Run3/Plate 1/@5/F5_01- exclu.tif</t>
  </si>
  <si>
    <t>C:\Users\andre\Desktop\REACTIV CEFAS\Cefuroxime\Cefuroxime/20201126_Cefas_Test7_Run3/Plate 1/@5/F5_02- exclu.tif</t>
  </si>
  <si>
    <t>C:\Users\andre\Desktop\REACTIV CEFAS\Cefuroxime\Cefuroxime/20201126_Cefas_Test7_Run3/Plate 1/@5/F5_03- exclu.tif</t>
  </si>
  <si>
    <t xml:space="preserve">C:\Users\andre\Desktop\REACTIV CEFAS\Cefuroxime\Cefuroxime/20201126_Cefas_Test7_Run3/Plate 1/@5/G5_01.tif </t>
  </si>
  <si>
    <t xml:space="preserve"> 65754.8797 </t>
  </si>
  <si>
    <t xml:space="preserve"> 40.9628 </t>
  </si>
  <si>
    <t xml:space="preserve">C:\Users\andre\Desktop\REACTIV CEFAS\Cefuroxime\Cefuroxime/20201126_Cefas_Test7_Run3/Plate 1/@5/G5_02.tif </t>
  </si>
  <si>
    <t xml:space="preserve"> 70059.2287 </t>
  </si>
  <si>
    <t xml:space="preserve"> 42.9568 </t>
  </si>
  <si>
    <t xml:space="preserve">C:\Users\andre\Desktop\REACTIV CEFAS\Cefuroxime\Cefuroxime/20201126_Cefas_Test7_Run3/Plate 1/@5/G5_03.tif </t>
  </si>
  <si>
    <t xml:space="preserve"> 66209.1075 </t>
  </si>
  <si>
    <t xml:space="preserve"> 44.8295 </t>
  </si>
  <si>
    <t xml:space="preserve">C:\Users\andre\Desktop\REACTIV CEFAS\Cefuroxime\Cefuroxime/20201126_Cefas_Test7_Run3/Plate 1/@5/H5_01.tif </t>
  </si>
  <si>
    <t xml:space="preserve"> 38133.5042 </t>
  </si>
  <si>
    <t xml:space="preserve"> 35.9433 </t>
  </si>
  <si>
    <t xml:space="preserve">C:\Users\andre\Desktop\REACTIV CEFAS\Cefuroxime\Cefuroxime/20201126_Cefas_Test7_Run3/Plate 1/@5/H5_02.tif </t>
  </si>
  <si>
    <t xml:space="preserve"> 20375.3607 </t>
  </si>
  <si>
    <t xml:space="preserve"> 32.5382 </t>
  </si>
  <si>
    <t xml:space="preserve">C:\Users\andre\Desktop\REACTIV CEFAS\Cefuroxime\Cefuroxime/20201126_Cefas_Test7_Run3/Plate 1/@5/H5_03.tif </t>
  </si>
  <si>
    <t xml:space="preserve"> 36121.924 </t>
  </si>
  <si>
    <t xml:space="preserve"> 35.2275 </t>
  </si>
  <si>
    <t xml:space="preserve">C:\Users\andre\Desktop\REACTIV CEFAS\Cefuroxime\Cefuroxime/20201126_Cefas_Test7_Run3/Plate 1/@5/ </t>
  </si>
  <si>
    <t xml:space="preserve"> 38.5258 </t>
  </si>
  <si>
    <t xml:space="preserve"> 3.4436 </t>
  </si>
  <si>
    <t xml:space="preserve"> 1812734.79 </t>
  </si>
  <si>
    <t xml:space="preserve"> 803041.215 </t>
  </si>
  <si>
    <t xml:space="preserve">C:\Users\andre\Desktop\REACTIV CEFAS\Cefuroxime\Cefuroxime/20201126_Cefas_Test7_Run3/Plate 1/@6/A6_01.tif </t>
  </si>
  <si>
    <t xml:space="preserve"> 69821.2999 </t>
  </si>
  <si>
    <t xml:space="preserve"> 49.9077 </t>
  </si>
  <si>
    <t xml:space="preserve">C:\Users\andre\Desktop\REACTIV CEFAS\Cefuroxime\Cefuroxime/20201126_Cefas_Test7_Run3/Plate 1/@6/A6_02.tif </t>
  </si>
  <si>
    <t xml:space="preserve"> 77110.5744 </t>
  </si>
  <si>
    <t xml:space="preserve"> 52.3593 </t>
  </si>
  <si>
    <t xml:space="preserve">C:\Users\andre\Desktop\REACTIV CEFAS\Cefuroxime\Cefuroxime/20201126_Cefas_Test7_Run3/Plate 1/@6/A6_03.tif </t>
  </si>
  <si>
    <t xml:space="preserve"> 76310.2683 </t>
  </si>
  <si>
    <t xml:space="preserve"> 48.3489 </t>
  </si>
  <si>
    <t xml:space="preserve">C:\Users\andre\Desktop\REACTIV CEFAS\Cefuroxime\Cefuroxime/20201126_Cefas_Test7_Run3/Plate 1/@6/B6_01.tif </t>
  </si>
  <si>
    <t xml:space="preserve"> 47.0851 </t>
  </si>
  <si>
    <t xml:space="preserve">C:\Users\andre\Desktop\REACTIV CEFAS\Cefuroxime\Cefuroxime/20201126_Cefas_Test7_Run3/Plate 1/@6/B6_02.tif </t>
  </si>
  <si>
    <t xml:space="preserve"> 45.4001 </t>
  </si>
  <si>
    <t>C:\Users\andre\Desktop\REACTIV CEFAS\Cefuroxime\Cefuroxime/20201126_Cefas_Test7_Run3/Plate 1/@6/B6_03- exclu.tif</t>
  </si>
  <si>
    <t xml:space="preserve">C:\Users\andre\Desktop\REACTIV CEFAS\Cefuroxime\Cefuroxime/20201126_Cefas_Test7_Run3/Plate 1/@6/C6_01.tif </t>
  </si>
  <si>
    <t xml:space="preserve"> 54983.1921 </t>
  </si>
  <si>
    <t xml:space="preserve"> 42.786 </t>
  </si>
  <si>
    <t xml:space="preserve">C:\Users\andre\Desktop\REACTIV CEFAS\Cefuroxime\Cefuroxime/20201126_Cefas_Test7_Run3/Plate 1/@6/C6_02.tif </t>
  </si>
  <si>
    <t xml:space="preserve"> 59309.1711 </t>
  </si>
  <si>
    <t xml:space="preserve"> 41.6251 </t>
  </si>
  <si>
    <t xml:space="preserve">C:\Users\andre\Desktop\REACTIV CEFAS\Cefuroxime\Cefuroxime/20201126_Cefas_Test7_Run3/Plate 1/@6/C6_03.tif </t>
  </si>
  <si>
    <t xml:space="preserve"> 57470.63 </t>
  </si>
  <si>
    <t xml:space="preserve"> 39.851 </t>
  </si>
  <si>
    <t>C:\Users\andre\Desktop\REACTIV CEFAS\Cefuroxime\Cefuroxime/20201126_Cefas_Test7_Run3/Plate 1/@6/D6_01- exclu.tif</t>
  </si>
  <si>
    <t>C:\Users\andre\Desktop\REACTIV CEFAS\Cefuroxime\Cefuroxime/20201126_Cefas_Test7_Run3/Plate 1/@6/D6_02- exclu.tif</t>
  </si>
  <si>
    <t>C:\Users\andre\Desktop\REACTIV CEFAS\Cefuroxime\Cefuroxime/20201126_Cefas_Test7_Run3/Plate 1/@6/D6_03- exclu.tif</t>
  </si>
  <si>
    <t xml:space="preserve">C:\Users\andre\Desktop\REACTIV CEFAS\Cefuroxime\Cefuroxime/20201126_Cefas_Test7_Run3/Plate 1/@6/E6_01.tif </t>
  </si>
  <si>
    <t xml:space="preserve"> 73649.7912 </t>
  </si>
  <si>
    <t xml:space="preserve"> 58.4235 </t>
  </si>
  <si>
    <t xml:space="preserve">C:\Users\andre\Desktop\REACTIV CEFAS\Cefuroxime\Cefuroxime/20201126_Cefas_Test7_Run3/Plate 1/@6/E6_02.tif </t>
  </si>
  <si>
    <t xml:space="preserve"> 70189.0081 </t>
  </si>
  <si>
    <t xml:space="preserve"> 54.1584 </t>
  </si>
  <si>
    <t xml:space="preserve">C:\Users\andre\Desktop\REACTIV CEFAS\Cefuroxime\Cefuroxime/20201126_Cefas_Test7_Run3/Plate 1/@6/E6_03.tif </t>
  </si>
  <si>
    <t xml:space="preserve"> 74774.5457 </t>
  </si>
  <si>
    <t xml:space="preserve"> 59.8522 </t>
  </si>
  <si>
    <t xml:space="preserve">C:\Users\andre\Desktop\REACTIV CEFAS\Cefuroxime\Cefuroxime/20201126_Cefas_Test7_Run3/Plate 1/@6/F6_01.tif </t>
  </si>
  <si>
    <t xml:space="preserve"> 68480.2464 </t>
  </si>
  <si>
    <t xml:space="preserve"> 49.7145 </t>
  </si>
  <si>
    <t xml:space="preserve">C:\Users\andre\Desktop\REACTIV CEFAS\Cefuroxime\Cefuroxime/20201126_Cefas_Test7_Run3/Plate 1/@6/F6_02.tif </t>
  </si>
  <si>
    <t xml:space="preserve"> 48.4425 </t>
  </si>
  <si>
    <t xml:space="preserve">C:\Users\andre\Desktop\REACTIV CEFAS\Cefuroxime\Cefuroxime/20201126_Cefas_Test7_Run3/Plate 1/@6/F6_03.tif </t>
  </si>
  <si>
    <t xml:space="preserve"> 70599.9761 </t>
  </si>
  <si>
    <t xml:space="preserve"> 47.8643 </t>
  </si>
  <si>
    <t xml:space="preserve">C:\Users\andre\Desktop\REACTIV CEFAS\Cefuroxime\Cefuroxime/20201126_Cefas_Test7_Run3/Plate 1/@6/G6_01.tif </t>
  </si>
  <si>
    <t xml:space="preserve"> 68220.6877 </t>
  </si>
  <si>
    <t xml:space="preserve"> 43.8494 </t>
  </si>
  <si>
    <t xml:space="preserve">C:\Users\andre\Desktop\REACTIV CEFAS\Cefuroxime\Cefuroxime/20201126_Cefas_Test7_Run3/Plate 1/@6/G6_02.tif </t>
  </si>
  <si>
    <t xml:space="preserve"> 69972.7091 </t>
  </si>
  <si>
    <t xml:space="preserve"> 42.3066 </t>
  </si>
  <si>
    <t xml:space="preserve">C:\Users\andre\Desktop\REACTIV CEFAS\Cefuroxime\Cefuroxime/20201126_Cefas_Test7_Run3/Plate 1/@6/G6_03.tif </t>
  </si>
  <si>
    <t xml:space="preserve"> 70535.0864 </t>
  </si>
  <si>
    <t xml:space="preserve"> 46.1178 </t>
  </si>
  <si>
    <t xml:space="preserve">C:\Users\andre\Desktop\REACTIV CEFAS\Cefuroxime\Cefuroxime/20201126_Cefas_Test7_Run3/Plate 1/@6/H6_01.tif </t>
  </si>
  <si>
    <t xml:space="preserve"> 64846.4241 </t>
  </si>
  <si>
    <t xml:space="preserve"> 47.9283 </t>
  </si>
  <si>
    <t xml:space="preserve">C:\Users\andre\Desktop\REACTIV CEFAS\Cefuroxime\Cefuroxime/20201126_Cefas_Test7_Run3/Plate 1/@6/H6_02.tif </t>
  </si>
  <si>
    <t xml:space="preserve"> 66468.6662 </t>
  </si>
  <si>
    <t xml:space="preserve"> 45.6154 </t>
  </si>
  <si>
    <t xml:space="preserve">C:\Users\andre\Desktop\REACTIV CEFAS\Cefuroxime\Cefuroxime/20201126_Cefas_Test7_Run3/Plate 1/@6/H6_03.tif </t>
  </si>
  <si>
    <t xml:space="preserve"> 68934.4742 </t>
  </si>
  <si>
    <t xml:space="preserve"> 46.4016 </t>
  </si>
  <si>
    <t xml:space="preserve">C:\Users\andre\Desktop\REACTIV CEFAS\Cefuroxime\Cefuroxime/20201126_Cefas_Test7_Run3/Plate 1/@6/ </t>
  </si>
  <si>
    <t xml:space="preserve"> 46.8341 </t>
  </si>
  <si>
    <t xml:space="preserve"> 5.4589 </t>
  </si>
  <si>
    <t xml:space="preserve"> 2857430.83 </t>
  </si>
  <si>
    <t xml:space="preserve"> 969025.573 </t>
  </si>
  <si>
    <t xml:space="preserve">C:\Users\andre\Desktop\REACTIV CEFAS\Cefuroxime\Cefuroxime/20201126_Cefas_Test7_Run3/Plate 1/@7/A7_01.tif </t>
  </si>
  <si>
    <t xml:space="preserve"> 62099.4275 </t>
  </si>
  <si>
    <t xml:space="preserve"> 41.3107 </t>
  </si>
  <si>
    <t xml:space="preserve">C:\Users\andre\Desktop\REACTIV CEFAS\Cefuroxime\Cefuroxime/20201126_Cefas_Test7_Run3/Plate 1/@7/A7_02.tif </t>
  </si>
  <si>
    <t xml:space="preserve"> 64500.3458 </t>
  </si>
  <si>
    <t xml:space="preserve"> 46.061 </t>
  </si>
  <si>
    <t xml:space="preserve">C:\Users\andre\Desktop\REACTIV CEFAS\Cefuroxime\Cefuroxime/20201126_Cefas_Test7_Run3/Plate 1/@7/A7_03.tif </t>
  </si>
  <si>
    <t xml:space="preserve"> 42.3003 </t>
  </si>
  <si>
    <t xml:space="preserve">C:\Users\andre\Desktop\REACTIV CEFAS\Cefuroxime\Cefuroxime/20201126_Cefas_Test7_Run3/Plate 1/@7/B7_01.tif </t>
  </si>
  <si>
    <t xml:space="preserve"> 48840.3021 </t>
  </si>
  <si>
    <t xml:space="preserve"> 42.8902 </t>
  </si>
  <si>
    <t xml:space="preserve">C:\Users\andre\Desktop\REACTIV CEFAS\Cefuroxime\Cefuroxime/20201126_Cefas_Test7_Run3/Plate 1/@7/B7_02.tif </t>
  </si>
  <si>
    <t xml:space="preserve"> 46050.0457 </t>
  </si>
  <si>
    <t xml:space="preserve"> 43.178 </t>
  </si>
  <si>
    <t xml:space="preserve">C:\Users\andre\Desktop\REACTIV CEFAS\Cefuroxime\Cefuroxime/20201126_Cefas_Test7_Run3/Plate 1/@7/B7_03.tif </t>
  </si>
  <si>
    <t xml:space="preserve"> 46720.5724 </t>
  </si>
  <si>
    <t xml:space="preserve"> 43.8616 </t>
  </si>
  <si>
    <t xml:space="preserve">C:\Users\andre\Desktop\REACTIV CEFAS\Cefuroxime\Cefuroxime/20201126_Cefas_Test7_Run3/Plate 1/@7/C7_01.tif </t>
  </si>
  <si>
    <t xml:space="preserve"> 74255.4283 </t>
  </si>
  <si>
    <t xml:space="preserve"> 57.5453 </t>
  </si>
  <si>
    <t xml:space="preserve">C:\Users\andre\Desktop\REACTIV CEFAS\Cefuroxime\Cefuroxime/20201126_Cefas_Test7_Run3/Plate 1/@7/C7_02.tif </t>
  </si>
  <si>
    <t xml:space="preserve"> 87406.4042 </t>
  </si>
  <si>
    <t xml:space="preserve"> 55.3779 </t>
  </si>
  <si>
    <t xml:space="preserve">C:\Users\andre\Desktop\REACTIV CEFAS\Cefuroxime\Cefuroxime/20201126_Cefas_Test7_Run3/Plate 1/@7/C7_03.tif </t>
  </si>
  <si>
    <t xml:space="preserve"> 83210.2046 </t>
  </si>
  <si>
    <t xml:space="preserve"> 53.908 </t>
  </si>
  <si>
    <t xml:space="preserve">C:\Users\andre\Desktop\REACTIV CEFAS\Cefuroxime\Cefuroxime/20201126_Cefas_Test7_Run3/Plate 1/@7/D7_01.tif </t>
  </si>
  <si>
    <t xml:space="preserve"> 73520.0118 </t>
  </si>
  <si>
    <t xml:space="preserve"> 49.4219 </t>
  </si>
  <si>
    <t xml:space="preserve">C:\Users\andre\Desktop\REACTIV CEFAS\Cefuroxime\Cefuroxime/20201126_Cefas_Test7_Run3/Plate 1/@7/D7_02.tif </t>
  </si>
  <si>
    <t xml:space="preserve"> 72719.7057 </t>
  </si>
  <si>
    <t xml:space="preserve"> 46.6074 </t>
  </si>
  <si>
    <t xml:space="preserve">C:\Users\andre\Desktop\REACTIV CEFAS\Cefuroxime\Cefuroxime/20201126_Cefas_Test7_Run3/Plate 1/@7/D7_03.tif </t>
  </si>
  <si>
    <t xml:space="preserve"> 75596.4817 </t>
  </si>
  <si>
    <t xml:space="preserve"> 52.1096 </t>
  </si>
  <si>
    <t xml:space="preserve">C:\Users\andre\Desktop\REACTIV CEFAS\Cefuroxime\Cefuroxime/20201126_Cefas_Test7_Run3/Plate 1/@7/E7_01.tif </t>
  </si>
  <si>
    <t xml:space="preserve"> 84140.2901 </t>
  </si>
  <si>
    <t xml:space="preserve"> 57.4319 </t>
  </si>
  <si>
    <t xml:space="preserve">C:\Users\andre\Desktop\REACTIV CEFAS\Cefuroxime\Cefuroxime/20201126_Cefas_Test7_Run3/Plate 1/@7/E7_02.tif </t>
  </si>
  <si>
    <t xml:space="preserve"> 83015.5356 </t>
  </si>
  <si>
    <t xml:space="preserve"> 56.7134 </t>
  </si>
  <si>
    <t xml:space="preserve">C:\Users\andre\Desktop\REACTIV CEFAS\Cefuroxime\Cefuroxime/20201126_Cefas_Test7_Run3/Plate 1/@7/E7_03.tif </t>
  </si>
  <si>
    <t xml:space="preserve"> 87882.2619 </t>
  </si>
  <si>
    <t xml:space="preserve"> 59.8996 </t>
  </si>
  <si>
    <t xml:space="preserve">C:\Users\andre\Desktop\REACTIV CEFAS\Cefuroxime\Cefuroxime/20201126_Cefas_Test7_Run3/Plate 1/@7/F7_01.tif </t>
  </si>
  <si>
    <t xml:space="preserve"> 83404.8737 </t>
  </si>
  <si>
    <t xml:space="preserve"> 53.347 </t>
  </si>
  <si>
    <t xml:space="preserve">C:\Users\andre\Desktop\REACTIV CEFAS\Cefuroxime\Cefuroxime/20201126_Cefas_Test7_Run3/Plate 1/@7/F7_02.tif </t>
  </si>
  <si>
    <t xml:space="preserve"> 81241.8842 </t>
  </si>
  <si>
    <t xml:space="preserve"> 50.2865 </t>
  </si>
  <si>
    <t xml:space="preserve">C:\Users\andre\Desktop\REACTIV CEFAS\Cefuroxime\Cefuroxime/20201126_Cefas_Test7_Run3/Plate 1/@7/F7_03.tif </t>
  </si>
  <si>
    <t xml:space="preserve"> 82171.9697 </t>
  </si>
  <si>
    <t xml:space="preserve"> 49.3088 </t>
  </si>
  <si>
    <t xml:space="preserve">C:\Users\andre\Desktop\REACTIV CEFAS\Cefuroxime\Cefuroxime/20201126_Cefas_Test7_Run3/Plate 1/@7/G7_01.tif </t>
  </si>
  <si>
    <t xml:space="preserve"> 63851.4489 </t>
  </si>
  <si>
    <t xml:space="preserve"> 49.8333 </t>
  </si>
  <si>
    <t xml:space="preserve">C:\Users\andre\Desktop\REACTIV CEFAS\Cefuroxime\Cefuroxime/20201126_Cefas_Test7_Run3/Plate 1/@7/G7_02.tif </t>
  </si>
  <si>
    <t xml:space="preserve"> 53.6619 </t>
  </si>
  <si>
    <t xml:space="preserve">C:\Users\andre\Desktop\REACTIV CEFAS\Cefuroxime\Cefuroxime/20201126_Cefas_Test7_Run3/Plate 1/@7/G7_03.tif </t>
  </si>
  <si>
    <t xml:space="preserve"> 69194.0329 </t>
  </si>
  <si>
    <t xml:space="preserve"> 51.3142 </t>
  </si>
  <si>
    <t xml:space="preserve">C:\Users\andre\Desktop\REACTIV CEFAS\Cefuroxime\Cefuroxime/20201126_Cefas_Test7_Run3/Plate 1/@7/H7_01.tif </t>
  </si>
  <si>
    <t xml:space="preserve"> 42.6098 </t>
  </si>
  <si>
    <t xml:space="preserve">C:\Users\andre\Desktop\REACTIV CEFAS\Cefuroxime\Cefuroxime/20201126_Cefas_Test7_Run3/Plate 1/@7/H7_02.tif </t>
  </si>
  <si>
    <t xml:space="preserve"> 67982.7588 </t>
  </si>
  <si>
    <t xml:space="preserve"> 43.7283 </t>
  </si>
  <si>
    <t xml:space="preserve">C:\Users\andre\Desktop\REACTIV CEFAS\Cefuroxime\Cefuroxime/20201126_Cefas_Test7_Run3/Plate 1/@7/H7_03.tif </t>
  </si>
  <si>
    <t xml:space="preserve"> 70859.5348 </t>
  </si>
  <si>
    <t xml:space="preserve"> 43.1087 </t>
  </si>
  <si>
    <t xml:space="preserve">C:\Users\andre\Desktop\REACTIV CEFAS\Cefuroxime\Cefuroxime/20201126_Cefas_Test7_Run3/Plate 1/@7/ </t>
  </si>
  <si>
    <t xml:space="preserve"> 49.409 </t>
  </si>
  <si>
    <t xml:space="preserve"> 5.7513 </t>
  </si>
  <si>
    <t xml:space="preserve"> 3574095.04 </t>
  </si>
  <si>
    <t xml:space="preserve"> 937267.295 </t>
  </si>
  <si>
    <t xml:space="preserve">C:\Users\andre\Desktop\REACTIV CEFAS\Cefuroxime\Cefuroxime/20201126_Cefas_Test7_Run3/Plate 4/@10/A4_01.tif </t>
  </si>
  <si>
    <t xml:space="preserve"> 6445.7086 </t>
  </si>
  <si>
    <t xml:space="preserve"> 37.4161 </t>
  </si>
  <si>
    <t xml:space="preserve">C:\Users\andre\Desktop\REACTIV CEFAS\Cefuroxime\Cefuroxime/20201126_Cefas_Test7_Run3/Plate 4/@10/A4_02.tif </t>
  </si>
  <si>
    <t xml:space="preserve"> 35.9 </t>
  </si>
  <si>
    <t xml:space="preserve">C:\Users\andre\Desktop\REACTIV CEFAS\Cefuroxime\Cefuroxime/20201126_Cefas_Test7_Run3/Plate 4/@10/A4_03.tif </t>
  </si>
  <si>
    <t xml:space="preserve"> 7613.7229 </t>
  </si>
  <si>
    <t xml:space="preserve"> 37.733 </t>
  </si>
  <si>
    <t xml:space="preserve">C:\Users\andre\Desktop\REACTIV CEFAS\Cefuroxime\Cefuroxime/20201126_Cefas_Test7_Run3/Plate 4/@10/B4_01.tif </t>
  </si>
  <si>
    <t xml:space="preserve">C:\Users\andre\Desktop\REACTIV CEFAS\Cefuroxime\Cefuroxime/20201126_Cefas_Test7_Run3/Plate 4/@10/B4_02.tif </t>
  </si>
  <si>
    <t xml:space="preserve"> 3460.7831 </t>
  </si>
  <si>
    <t xml:space="preserve"> 33.9375 </t>
  </si>
  <si>
    <t>C:\Users\andre\Desktop\REACTIV CEFAS\Cefuroxime\Cefuroxime/20201126_Cefas_Test7_Run3/Plate 4/@10/B4_03- exclu.tif</t>
  </si>
  <si>
    <t xml:space="preserve">C:\Users\andre\Desktop\REACTIV CEFAS\Cefuroxime\Cefuroxime/20201126_Cefas_Test7_Run3/Plate 4/@10/C4_01.tif </t>
  </si>
  <si>
    <t xml:space="preserve"> 41.3302 </t>
  </si>
  <si>
    <t>C:\Users\andre\Desktop\REACTIV CEFAS\Cefuroxime\Cefuroxime/20201126_Cefas_Test7_Run3/Plate 4/@10/C4_02- exclu.tif</t>
  </si>
  <si>
    <t>C:\Users\andre\Desktop\REACTIV CEFAS\Cefuroxime\Cefuroxime/20201126_Cefas_Test7_Run3/Plate 4/@10/C4_03- exclu.tif</t>
  </si>
  <si>
    <t xml:space="preserve">C:\Users\andre\Desktop\REACTIV CEFAS\Cefuroxime\Cefuroxime/20201126_Cefas_Test7_Run3/Plate 4/@10/D4_01.tif </t>
  </si>
  <si>
    <t xml:space="preserve"> 39.0368 </t>
  </si>
  <si>
    <t xml:space="preserve">C:\Users\andre\Desktop\REACTIV CEFAS\Cefuroxime\Cefuroxime/20201126_Cefas_Test7_Run3/Plate 4/@10/D4_02.tif </t>
  </si>
  <si>
    <t xml:space="preserve"> 40.5753 </t>
  </si>
  <si>
    <t xml:space="preserve">C:\Users\andre\Desktop\REACTIV CEFAS\Cefuroxime\Cefuroxime/20201126_Cefas_Test7_Run3/Plate 4/@10/D4_03.tif </t>
  </si>
  <si>
    <t xml:space="preserve"> 10122.7907 </t>
  </si>
  <si>
    <t xml:space="preserve"> 39.5085 </t>
  </si>
  <si>
    <t xml:space="preserve">C:\Users\andre\Desktop\REACTIV CEFAS\Cefuroxime\Cefuroxime/20201126_Cefas_Test7_Run3/Plate 4/@10/E4_01.tif </t>
  </si>
  <si>
    <t xml:space="preserve"> 32.8438 </t>
  </si>
  <si>
    <t xml:space="preserve">C:\Users\andre\Desktop\REACTIV CEFAS\Cefuroxime\Cefuroxime/20201126_Cefas_Test7_Run3/Plate 4/@10/E4_02.tif </t>
  </si>
  <si>
    <t xml:space="preserve"> 31.8571 </t>
  </si>
  <si>
    <t xml:space="preserve">C:\Users\andre\Desktop\REACTIV CEFAS\Cefuroxime\Cefuroxime/20201126_Cefas_Test7_Run3/Plate 4/@10/E4_03.tif </t>
  </si>
  <si>
    <t xml:space="preserve"> 1059.8648 </t>
  </si>
  <si>
    <t xml:space="preserve"> 32.9796 </t>
  </si>
  <si>
    <t xml:space="preserve">C:\Users\andre\Desktop\REACTIV CEFAS\Cefuroxime\Cefuroxime/20201126_Cefas_Test7_Run3/Plate 4/@10/F4_01.tif </t>
  </si>
  <si>
    <t xml:space="preserve"> 35.6378 </t>
  </si>
  <si>
    <t xml:space="preserve">C:\Users\andre\Desktop\REACTIV CEFAS\Cefuroxime\Cefuroxime/20201126_Cefas_Test7_Run3/Plate 4/@10/F4_02.tif </t>
  </si>
  <si>
    <t xml:space="preserve"> 35.8167 </t>
  </si>
  <si>
    <t xml:space="preserve">C:\Users\andre\Desktop\REACTIV CEFAS\Cefuroxime\Cefuroxime/20201126_Cefas_Test7_Run3/Plate 4/@10/F4_03.tif </t>
  </si>
  <si>
    <t xml:space="preserve"> 31.4286 </t>
  </si>
  <si>
    <t xml:space="preserve">C:\Users\andre\Desktop\REACTIV CEFAS\Cefuroxime\Cefuroxime/20201126_Cefas_Test7_Run3/Plate 4/@10/G4_01.tif </t>
  </si>
  <si>
    <t xml:space="preserve"> 11788.2926 </t>
  </si>
  <si>
    <t xml:space="preserve"> 38.4862 </t>
  </si>
  <si>
    <t xml:space="preserve">C:\Users\andre\Desktop\REACTIV CEFAS\Cefuroxime\Cefuroxime/20201126_Cefas_Test7_Run3/Plate 4/@10/G4_02.tif </t>
  </si>
  <si>
    <t xml:space="preserve"> 9603.6732 </t>
  </si>
  <si>
    <t xml:space="preserve"> 38.0631 </t>
  </si>
  <si>
    <t xml:space="preserve">C:\Users\andre\Desktop\REACTIV CEFAS\Cefuroxime\Cefuroxime/20201126_Cefas_Test7_Run3/Plate 4/@10/G4_03.tif </t>
  </si>
  <si>
    <t xml:space="preserve"> 36.4092 </t>
  </si>
  <si>
    <t xml:space="preserve">C:\Users\andre\Desktop\REACTIV CEFAS\Cefuroxime\Cefuroxime/20201126_Cefas_Test7_Run3/Plate 4/@10/H4_01.tif </t>
  </si>
  <si>
    <t xml:space="preserve"> 31.8947 </t>
  </si>
  <si>
    <t xml:space="preserve">C:\Users\andre\Desktop\REACTIV CEFAS\Cefuroxime\Cefuroxime/20201126_Cefas_Test7_Run3/Plate 4/@10/H4_02.tif </t>
  </si>
  <si>
    <t xml:space="preserve"> 3871.7511 </t>
  </si>
  <si>
    <t xml:space="preserve"> 38.3687 </t>
  </si>
  <si>
    <t xml:space="preserve">C:\Users\andre\Desktop\REACTIV CEFAS\Cefuroxime\Cefuroxime/20201126_Cefas_Test7_Run3/Plate 4/@10/H4_03.tif </t>
  </si>
  <si>
    <t xml:space="preserve"> 6683.6374 </t>
  </si>
  <si>
    <t xml:space="preserve"> 41.1845 </t>
  </si>
  <si>
    <t xml:space="preserve">C:\Users\andre\Desktop\REACTIV CEFAS\Cefuroxime\Cefuroxime/20201126_Cefas_Test7_Run3/Plate 4/@10/ </t>
  </si>
  <si>
    <t xml:space="preserve"> 36.0314 </t>
  </si>
  <si>
    <t xml:space="preserve"> 8.6609 </t>
  </si>
  <si>
    <t xml:space="preserve"> 234961.083 </t>
  </si>
  <si>
    <t xml:space="preserve"> 174863.103 </t>
  </si>
  <si>
    <t xml:space="preserve">C:\Users\andre\Desktop\REACTIV CEFAS\Cefuroxime\Cefuroxime/20201126_Cefas_Test7_Run3/Plate 4/@11/A5_01.tif </t>
  </si>
  <si>
    <t xml:space="preserve"> 36.3376 </t>
  </si>
  <si>
    <t xml:space="preserve">C:\Users\andre\Desktop\REACTIV CEFAS\Cefuroxime\Cefuroxime/20201126_Cefas_Test7_Run3/Plate 4/@11/A5_02.tif </t>
  </si>
  <si>
    <t xml:space="preserve"> 34.5641 </t>
  </si>
  <si>
    <t xml:space="preserve">C:\Users\andre\Desktop\REACTIV CEFAS\Cefuroxime\Cefuroxime/20201126_Cefas_Test7_Run3/Plate 4/@11/A5_03.tif </t>
  </si>
  <si>
    <t xml:space="preserve"> 33.2031 </t>
  </si>
  <si>
    <t>C:\Users\andre\Desktop\REACTIV CEFAS\Cefuroxime\Cefuroxime/20201126_Cefas_Test7_Run3/Plate 4/@11/B5_01- exclu.tif</t>
  </si>
  <si>
    <t xml:space="preserve">C:\Users\andre\Desktop\REACTIV CEFAS\Cefuroxime\Cefuroxime/20201126_Cefas_Test7_Run3/Plate 4/@11/B5_02.tif </t>
  </si>
  <si>
    <t xml:space="preserve"> 38.1872 </t>
  </si>
  <si>
    <t xml:space="preserve">C:\Users\andre\Desktop\REACTIV CEFAS\Cefuroxime\Cefuroxime/20201126_Cefas_Test7_Run3/Plate 4/@11/B5_03.tif </t>
  </si>
  <si>
    <t xml:space="preserve"> 10187.6804 </t>
  </si>
  <si>
    <t xml:space="preserve"> 46.3418 </t>
  </si>
  <si>
    <t>C:\Users\andre\Desktop\REACTIV CEFAS\Cefuroxime\Cefuroxime/20201126_Cefas_Test7_Run3/Plate 4/@11/C5_01- exclu.tif</t>
  </si>
  <si>
    <t>C:\Users\andre\Desktop\REACTIV CEFAS\Cefuroxime\Cefuroxime/20201126_Cefas_Test7_Run3/Plate 4/@11/C5_02- exclu.tif</t>
  </si>
  <si>
    <t xml:space="preserve">C:\Users\andre\Desktop\REACTIV CEFAS\Cefuroxime\Cefuroxime/20201126_Cefas_Test7_Run3/Plate 4/@11/C5_03.tif </t>
  </si>
  <si>
    <t xml:space="preserve"> 6380.8189 </t>
  </si>
  <si>
    <t xml:space="preserve"> 40.4271 </t>
  </si>
  <si>
    <t>C:\Users\andre\Desktop\REACTIV CEFAS\Cefuroxime\Cefuroxime/20201126_Cefas_Test7_Run3/Plate 4/@11/D5_01- exclu.tif</t>
  </si>
  <si>
    <t>C:\Users\andre\Desktop\REACTIV CEFAS\Cefuroxime\Cefuroxime/20201126_Cefas_Test7_Run3/Plate 4/@11/D5_02- exclu.tif</t>
  </si>
  <si>
    <t>C:\Users\andre\Desktop\REACTIV CEFAS\Cefuroxime\Cefuroxime/20201126_Cefas_Test7_Run3/Plate 4/@11/D5_03- exclu.tif</t>
  </si>
  <si>
    <t xml:space="preserve">C:\Users\andre\Desktop\REACTIV CEFAS\Cefuroxime\Cefuroxime/20201126_Cefas_Test7_Run3/Plate 4/@11/E5_01.tif </t>
  </si>
  <si>
    <t xml:space="preserve"> 14427.1397 </t>
  </si>
  <si>
    <t xml:space="preserve"> 46.8531 </t>
  </si>
  <si>
    <t>C:\Users\andre\Desktop\REACTIV CEFAS\Cefuroxime\Cefuroxime/20201126_Cefas_Test7_Run3/Plate 4/@11/E5_02- exclu.tif</t>
  </si>
  <si>
    <t xml:space="preserve">C:\Users\andre\Desktop\REACTIV CEFAS\Cefuroxime\Cefuroxime/20201126_Cefas_Test7_Run3/Plate 4/@11/E5_03.tif </t>
  </si>
  <si>
    <t xml:space="preserve"> 14816.4778 </t>
  </si>
  <si>
    <t xml:space="preserve"> 47.8818 </t>
  </si>
  <si>
    <t xml:space="preserve">C:\Users\andre\Desktop\REACTIV CEFAS\Cefuroxime\Cefuroxime/20201126_Cefas_Test7_Run3/Plate 4/@11/F5_01.tif </t>
  </si>
  <si>
    <t xml:space="preserve"> 12696.7481 </t>
  </si>
  <si>
    <t xml:space="preserve"> 43.8825 </t>
  </si>
  <si>
    <t xml:space="preserve">C:\Users\andre\Desktop\REACTIV CEFAS\Cefuroxime\Cefuroxime/20201126_Cefas_Test7_Run3/Plate 4/@11/F5_02.tif </t>
  </si>
  <si>
    <t xml:space="preserve"> 40.5691 </t>
  </si>
  <si>
    <t xml:space="preserve">C:\Users\andre\Desktop\REACTIV CEFAS\Cefuroxime\Cefuroxime/20201126_Cefas_Test7_Run3/Plate 4/@11/F5_03.tif </t>
  </si>
  <si>
    <t xml:space="preserve"> 13648.4635 </t>
  </si>
  <si>
    <t xml:space="preserve"> 42.3027 </t>
  </si>
  <si>
    <t xml:space="preserve">C:\Users\andre\Desktop\REACTIV CEFAS\Cefuroxime\Cefuroxime/20201126_Cefas_Test7_Run3/Plate 4/@11/G5_01.tif </t>
  </si>
  <si>
    <t xml:space="preserve"> 14708.3283 </t>
  </si>
  <si>
    <t xml:space="preserve"> 45.9397 </t>
  </si>
  <si>
    <t xml:space="preserve">C:\Users\andre\Desktop\REACTIV CEFAS\Cefuroxime\Cefuroxime/20201126_Cefas_Test7_Run3/Plate 4/@11/G5_02.tif </t>
  </si>
  <si>
    <t xml:space="preserve">C:\Users\andre\Desktop\REACTIV CEFAS\Cefuroxime\Cefuroxime/20201126_Cefas_Test7_Run3/Plate 4/@11/G5_03.tif </t>
  </si>
  <si>
    <t xml:space="preserve"> 11442.2143 </t>
  </si>
  <si>
    <t xml:space="preserve"> 44.4688 </t>
  </si>
  <si>
    <t xml:space="preserve">C:\Users\andre\Desktop\REACTIV CEFAS\Cefuroxime\Cefuroxime/20201126_Cefas_Test7_Run3/Plate 4/@11/H5_01.tif </t>
  </si>
  <si>
    <t xml:space="preserve"> 9560.4134 </t>
  </si>
  <si>
    <t xml:space="preserve"> 38.129 </t>
  </si>
  <si>
    <t xml:space="preserve">C:\Users\andre\Desktop\REACTIV CEFAS\Cefuroxime\Cefuroxime/20201126_Cefas_Test7_Run3/Plate 4/@11/H5_02.tif </t>
  </si>
  <si>
    <t xml:space="preserve"> 39.7051 </t>
  </si>
  <si>
    <t xml:space="preserve">C:\Users\andre\Desktop\REACTIV CEFAS\Cefuroxime\Cefuroxime/20201126_Cefas_Test7_Run3/Plate 4/@11/H5_03.tif </t>
  </si>
  <si>
    <t xml:space="preserve"> 9949.7515 </t>
  </si>
  <si>
    <t xml:space="preserve"> 40.5543 </t>
  </si>
  <si>
    <t xml:space="preserve">C:\Users\andre\Desktop\REACTIV CEFAS\Cefuroxime\Cefuroxime/20201126_Cefas_Test7_Run3/Plate 4/@11/ </t>
  </si>
  <si>
    <t xml:space="preserve"> 5.4968 </t>
  </si>
  <si>
    <t xml:space="preserve"> 472079.792 </t>
  </si>
  <si>
    <t xml:space="preserve"> 247697.929 </t>
  </si>
  <si>
    <t xml:space="preserve">C:\Users\andre\Desktop\REACTIV CEFAS\Cefuroxime\Cefuroxime/20201126_Cefas_Test7_Run3/Plate 4/@12/A6_01.tif </t>
  </si>
  <si>
    <t xml:space="preserve"> 37.1852 </t>
  </si>
  <si>
    <t xml:space="preserve">C:\Users\andre\Desktop\REACTIV CEFAS\Cefuroxime\Cefuroxime/20201126_Cefas_Test7_Run3/Plate 4/@12/A6_02.tif </t>
  </si>
  <si>
    <t xml:space="preserve"> 12415.5595 </t>
  </si>
  <si>
    <t xml:space="preserve"> 36.0854 </t>
  </si>
  <si>
    <t xml:space="preserve">C:\Users\andre\Desktop\REACTIV CEFAS\Cefuroxime\Cefuroxime/20201126_Cefas_Test7_Run3/Plate 4/@12/A6_03.tif </t>
  </si>
  <si>
    <t xml:space="preserve"> 37.1322 </t>
  </si>
  <si>
    <t xml:space="preserve">C:\Users\andre\Desktop\REACTIV CEFAS\Cefuroxime\Cefuroxime/20201126_Cefas_Test7_Run3/Plate 4/@12/B6_01.tif </t>
  </si>
  <si>
    <t xml:space="preserve"> 38.3452 </t>
  </si>
  <si>
    <t xml:space="preserve">C:\Users\andre\Desktop\REACTIV CEFAS\Cefuroxime\Cefuroxime/20201126_Cefas_Test7_Run3/Plate 4/@12/B6_02.tif </t>
  </si>
  <si>
    <t xml:space="preserve"> 1708.7617 </t>
  </si>
  <si>
    <t xml:space="preserve"> 34.8861 </t>
  </si>
  <si>
    <t xml:space="preserve">C:\Users\andre\Desktop\REACTIV CEFAS\Cefuroxime\Cefuroxime/20201126_Cefas_Test7_Run3/Plate 4/@12/B6_03.tif </t>
  </si>
  <si>
    <t xml:space="preserve"> 7289.2745 </t>
  </si>
  <si>
    <t xml:space="preserve"> 39.727 </t>
  </si>
  <si>
    <t xml:space="preserve">C:\Users\andre\Desktop\REACTIV CEFAS\Cefuroxime\Cefuroxime/20201126_Cefas_Test7_Run3/Plate 4/@12/C6_01.tif </t>
  </si>
  <si>
    <t xml:space="preserve"> 33.5943 </t>
  </si>
  <si>
    <t xml:space="preserve">C:\Users\andre\Desktop\REACTIV CEFAS\Cefuroxime\Cefuroxime/20201126_Cefas_Test7_Run3/Plate 4/@12/C6_02.tif </t>
  </si>
  <si>
    <t xml:space="preserve"> 34.846 </t>
  </si>
  <si>
    <t xml:space="preserve">C:\Users\andre\Desktop\REACTIV CEFAS\Cefuroxime\Cefuroxime/20201126_Cefas_Test7_Run3/Plate 4/@12/C6_03.tif </t>
  </si>
  <si>
    <t xml:space="preserve"> 33.193 </t>
  </si>
  <si>
    <t xml:space="preserve">C:\Users\andre\Desktop\REACTIV CEFAS\Cefuroxime\Cefuroxime/20201126_Cefas_Test7_Run3/Plate 4/@12/D6_01.tif </t>
  </si>
  <si>
    <t xml:space="preserve"> 6488.9684 </t>
  </si>
  <si>
    <t xml:space="preserve"> 35.5967 </t>
  </si>
  <si>
    <t xml:space="preserve">C:\Users\andre\Desktop\REACTIV CEFAS\Cefuroxime\Cefuroxime/20201126_Cefas_Test7_Run3/Plate 4/@12/D6_02.tif </t>
  </si>
  <si>
    <t xml:space="preserve"> 3958.2707 </t>
  </si>
  <si>
    <t xml:space="preserve"> 33.4863 </t>
  </si>
  <si>
    <t xml:space="preserve">C:\Users\andre\Desktop\REACTIV CEFAS\Cefuroxime\Cefuroxime/20201126_Cefas_Test7_Run3/Plate 4/@12/D6_03.tif </t>
  </si>
  <si>
    <t xml:space="preserve"> 35.332 </t>
  </si>
  <si>
    <t xml:space="preserve">C:\Users\andre\Desktop\REACTIV CEFAS\Cefuroxime\Cefuroxime/20201126_Cefas_Test7_Run3/Plate 4/@12/E6_01.tif </t>
  </si>
  <si>
    <t xml:space="preserve"> 9041.296 </t>
  </si>
  <si>
    <t xml:space="preserve"> 38.3062 </t>
  </si>
  <si>
    <t xml:space="preserve">C:\Users\andre\Desktop\REACTIV CEFAS\Cefuroxime\Cefuroxime/20201126_Cefas_Test7_Run3/Plate 4/@12/E6_02.tif </t>
  </si>
  <si>
    <t xml:space="preserve"> 13778.2429 </t>
  </si>
  <si>
    <t xml:space="preserve"> 43.2198 </t>
  </si>
  <si>
    <t>C:\Users\andre\Desktop\REACTIV CEFAS\Cefuroxime\Cefuroxime/20201126_Cefas_Test7_Run3/Plate 4/@12/E6_03- exclu.tif</t>
  </si>
  <si>
    <t xml:space="preserve">C:\Users\andre\Desktop\REACTIV CEFAS\Cefuroxime\Cefuroxime/20201126_Cefas_Test7_Run3/Plate 4/@12/F6_01.tif </t>
  </si>
  <si>
    <t xml:space="preserve"> 38.5959 </t>
  </si>
  <si>
    <t xml:space="preserve">C:\Users\andre\Desktop\REACTIV CEFAS\Cefuroxime\Cefuroxime/20201126_Cefas_Test7_Run3/Plate 4/@12/F6_02.tif </t>
  </si>
  <si>
    <t xml:space="preserve"> 38.2736 </t>
  </si>
  <si>
    <t xml:space="preserve">C:\Users\andre\Desktop\REACTIV CEFAS\Cefuroxime\Cefuroxime/20201126_Cefas_Test7_Run3/Plate 4/@12/F6_03.tif </t>
  </si>
  <si>
    <t xml:space="preserve"> 9430.6341 </t>
  </si>
  <si>
    <t xml:space="preserve"> 37.0619 </t>
  </si>
  <si>
    <t>C:\Users\andre\Desktop\REACTIV CEFAS\Cefuroxime\Cefuroxime/20201126_Cefas_Test7_Run3/Plate 4/@12/G6_01- exclu.tif</t>
  </si>
  <si>
    <t>C:\Users\andre\Desktop\REACTIV CEFAS\Cefuroxime\Cefuroxime/20201126_Cefas_Test7_Run3/Plate 4/@12/G6_02- exclu.tif</t>
  </si>
  <si>
    <t>C:\Users\andre\Desktop\REACTIV CEFAS\Cefuroxime\Cefuroxime/20201126_Cefas_Test7_Run3/Plate 4/@12/G6_03- exclu.tif</t>
  </si>
  <si>
    <t xml:space="preserve">C:\Users\andre\Desktop\REACTIV CEFAS\Cefuroxime\Cefuroxime/20201126_Cefas_Test7_Run3/Plate 4/@12/H6_01.tif </t>
  </si>
  <si>
    <t xml:space="preserve"> 16568.4993 </t>
  </si>
  <si>
    <t xml:space="preserve"> 40.2298 </t>
  </si>
  <si>
    <t xml:space="preserve">C:\Users\andre\Desktop\REACTIV CEFAS\Cefuroxime\Cefuroxime/20201126_Cefas_Test7_Run3/Plate 4/@12/H6_02.tif </t>
  </si>
  <si>
    <t xml:space="preserve"> 13259.1254 </t>
  </si>
  <si>
    <t xml:space="preserve"> 38.7047 </t>
  </si>
  <si>
    <t xml:space="preserve">C:\Users\andre\Desktop\REACTIV CEFAS\Cefuroxime\Cefuroxime/20201126_Cefas_Test7_Run3/Plate 4/@12/H6_03.tif </t>
  </si>
  <si>
    <t xml:space="preserve"> 12134.3709 </t>
  </si>
  <si>
    <t xml:space="preserve"> 37.2442 </t>
  </si>
  <si>
    <t xml:space="preserve">C:\Users\andre\Desktop\REACTIV CEFAS\Cefuroxime\Cefuroxime/20201126_Cefas_Test7_Run3/Plate 4/@12/ </t>
  </si>
  <si>
    <t xml:space="preserve"> 37.2223 </t>
  </si>
  <si>
    <t xml:space="preserve"> 3.3178 </t>
  </si>
  <si>
    <t xml:space="preserve"> 323339.042 </t>
  </si>
  <si>
    <t xml:space="preserve"> 170739.45 </t>
  </si>
  <si>
    <t xml:space="preserve">C:\Users\andre\Desktop\REACTIV CEFAS\Cefuroxime\Cefuroxime/20201126_Cefas_Test7_Run3/Plate 4/@17/A8_01.tif </t>
  </si>
  <si>
    <t xml:space="preserve"> 25285.3468 </t>
  </si>
  <si>
    <t xml:space="preserve"> 35.1215 </t>
  </si>
  <si>
    <t xml:space="preserve">C:\Users\andre\Desktop\REACTIV CEFAS\Cefuroxime\Cefuroxime/20201126_Cefas_Test7_Run3/Plate 4/@17/A8_02.tif </t>
  </si>
  <si>
    <t xml:space="preserve"> 28919.1691 </t>
  </si>
  <si>
    <t xml:space="preserve"> 34.8504 </t>
  </si>
  <si>
    <t xml:space="preserve">C:\Users\andre\Desktop\REACTIV CEFAS\Cefuroxime\Cefuroxime/20201126_Cefas_Test7_Run3/Plate 4/@17/A8_03.tif </t>
  </si>
  <si>
    <t xml:space="preserve"> 26518.2508 </t>
  </si>
  <si>
    <t xml:space="preserve"> 34.1305 </t>
  </si>
  <si>
    <t xml:space="preserve">C:\Users\andre\Desktop\REACTIV CEFAS\Cefuroxime\Cefuroxime/20201126_Cefas_Test7_Run3/Plate 4/@17/B8_01.tif </t>
  </si>
  <si>
    <t xml:space="preserve"> 33.8418 </t>
  </si>
  <si>
    <t xml:space="preserve">C:\Users\andre\Desktop\REACTIV CEFAS\Cefuroxime\Cefuroxime/20201126_Cefas_Test7_Run3/Plate 4/@17/B8_02.tif </t>
  </si>
  <si>
    <t xml:space="preserve"> 33201.8883 </t>
  </si>
  <si>
    <t xml:space="preserve"> 34.8821 </t>
  </si>
  <si>
    <t xml:space="preserve">C:\Users\andre\Desktop\REACTIV CEFAS\Cefuroxime\Cefuroxime/20201126_Cefas_Test7_Run3/Plate 4/@17/B8_03.tif </t>
  </si>
  <si>
    <t xml:space="preserve"> 27210.4074 </t>
  </si>
  <si>
    <t xml:space="preserve"> 33.6693 </t>
  </si>
  <si>
    <t xml:space="preserve">C:\Users\andre\Desktop\REACTIV CEFAS\Cefuroxime\Cefuroxime/20201126_Cefas_Test7_Run3/Plate 4/@17/C8_01.tif </t>
  </si>
  <si>
    <t xml:space="preserve"> 32.7509 </t>
  </si>
  <si>
    <t xml:space="preserve">C:\Users\andre\Desktop\REACTIV CEFAS\Cefuroxime\Cefuroxime/20201126_Cefas_Test7_Run3/Plate 4/@17/C8_02.tif </t>
  </si>
  <si>
    <t xml:space="preserve"> 32.0556 </t>
  </si>
  <si>
    <t xml:space="preserve">C:\Users\andre\Desktop\REACTIV CEFAS\Cefuroxime\Cefuroxime/20201126_Cefas_Test7_Run3/Plate 4/@17/C8_03.tif </t>
  </si>
  <si>
    <t xml:space="preserve"> 4758.5768 </t>
  </si>
  <si>
    <t xml:space="preserve"> 32.1273 </t>
  </si>
  <si>
    <t xml:space="preserve">C:\Users\andre\Desktop\REACTIV CEFAS\Cefuroxime\Cefuroxime/20201126_Cefas_Test7_Run3/Plate 4/@17/D8_01.tif </t>
  </si>
  <si>
    <t xml:space="preserve">C:\Users\andre\Desktop\REACTIV CEFAS\Cefuroxime\Cefuroxime/20201126_Cefas_Test7_Run3/Plate 4/@17/D8_02.tif </t>
  </si>
  <si>
    <t xml:space="preserve"> 32.8267 </t>
  </si>
  <si>
    <t xml:space="preserve">C:\Users\andre\Desktop\REACTIV CEFAS\Cefuroxime\Cefuroxime/20201126_Cefas_Test7_Run3/Plate 4/@17/D8_03.tif </t>
  </si>
  <si>
    <t>C:\Users\andre\Desktop\REACTIV CEFAS\Cefuroxime\Cefuroxime/20201126_Cefas_Test7_Run3/Plate 4/@17/E8_01- exclu.tif</t>
  </si>
  <si>
    <t>C:\Users\andre\Desktop\REACTIV CEFAS\Cefuroxime\Cefuroxime/20201126_Cefas_Test7_Run3/Plate 4/@17/E8_02- exclu.tif</t>
  </si>
  <si>
    <t>C:\Users\andre\Desktop\REACTIV CEFAS\Cefuroxime\Cefuroxime/20201126_Cefas_Test7_Run3/Plate 4/@17/E8_03- exclu.tif</t>
  </si>
  <si>
    <t xml:space="preserve">C:\Users\andre\Desktop\REACTIV CEFAS\Cefuroxime\Cefuroxime/20201126_Cefas_Test7_Run3/Plate 4/@17/F8_01.tif </t>
  </si>
  <si>
    <t xml:space="preserve"> 33.176 </t>
  </si>
  <si>
    <t xml:space="preserve">C:\Users\andre\Desktop\REACTIV CEFAS\Cefuroxime\Cefuroxime/20201126_Cefas_Test7_Run3/Plate 4/@17/F8_02.tif </t>
  </si>
  <si>
    <t xml:space="preserve"> 37.3917 </t>
  </si>
  <si>
    <t xml:space="preserve">C:\Users\andre\Desktop\REACTIV CEFAS\Cefuroxime\Cefuroxime/20201126_Cefas_Test7_Run3/Plate 4/@17/F8_03.tif </t>
  </si>
  <si>
    <t xml:space="preserve"> 14362.25 </t>
  </si>
  <si>
    <t xml:space="preserve"> 36.7922 </t>
  </si>
  <si>
    <t xml:space="preserve">C:\Users\andre\Desktop\REACTIV CEFAS\Cefuroxime\Cefuroxime/20201126_Cefas_Test7_Run3/Plate 4/@17/G8_01.tif </t>
  </si>
  <si>
    <t xml:space="preserve"> 36057.0343 </t>
  </si>
  <si>
    <t xml:space="preserve"> 35.9388 </t>
  </si>
  <si>
    <t xml:space="preserve">C:\Users\andre\Desktop\REACTIV CEFAS\Cefuroxime\Cefuroxime/20201126_Cefas_Test7_Run3/Plate 4/@17/G8_02.tif </t>
  </si>
  <si>
    <t xml:space="preserve"> 38046.9847 </t>
  </si>
  <si>
    <t xml:space="preserve"> 35.6379 </t>
  </si>
  <si>
    <t xml:space="preserve">C:\Users\andre\Desktop\REACTIV CEFAS\Cefuroxime\Cefuroxime/20201126_Cefas_Test7_Run3/Plate 4/@17/G8_03.tif </t>
  </si>
  <si>
    <t xml:space="preserve"> 37549.4971 </t>
  </si>
  <si>
    <t xml:space="preserve"> 36.1838 </t>
  </si>
  <si>
    <t>C:\Users\andre\Desktop\REACTIV CEFAS\Cefuroxime\Cefuroxime/20201126_Cefas_Test7_Run3/Plate 4/@17/H8_01- exclu.tif</t>
  </si>
  <si>
    <t>C:\Users\andre\Desktop\REACTIV CEFAS\Cefuroxime\Cefuroxime/20201126_Cefas_Test7_Run3/Plate 4/@17/H8_02- exclu.tif</t>
  </si>
  <si>
    <t xml:space="preserve">C:\Users\andre\Desktop\REACTIV CEFAS\Cefuroxime\Cefuroxime/20201126_Cefas_Test7_Run3/Plate 4/@17/H8_03.tif </t>
  </si>
  <si>
    <t xml:space="preserve"> 17412.0652 </t>
  </si>
  <si>
    <t xml:space="preserve"> 36.405 </t>
  </si>
  <si>
    <t xml:space="preserve">C:\Users\andre\Desktop\REACTIV CEFAS\Cefuroxime\Cefuroxime/20201126_Cefas_Test7_Run3/Plate 4/@17/ </t>
  </si>
  <si>
    <t xml:space="preserve"> 36.8108 </t>
  </si>
  <si>
    <t xml:space="preserve"> 5.4347 </t>
  </si>
  <si>
    <t xml:space="preserve"> 663683.5 </t>
  </si>
  <si>
    <t xml:space="preserve"> 421433.74 </t>
  </si>
  <si>
    <t>C:\Users\andre\Desktop\REACTIV CEFAS\Cefuroxime\Cefuroxime/20201126_Cefas_Test7_Run3/Plate 4/@18/A9_01- exclu.tif</t>
  </si>
  <si>
    <t>C:\Users\andre\Desktop\REACTIV CEFAS\Cefuroxime\Cefuroxime/20201126_Cefas_Test7_Run3/Plate 4/@18/A9_02- exclu.tif</t>
  </si>
  <si>
    <t>C:\Users\andre\Desktop\REACTIV CEFAS\Cefuroxime\Cefuroxime/20201126_Cefas_Test7_Run3/Plate 4/@18/A9_03- exclu.tif</t>
  </si>
  <si>
    <t xml:space="preserve">C:\Users\andre\Desktop\REACTIV CEFAS\Cefuroxime\Cefuroxime/20201126_Cefas_Test7_Run3/Plate 4/@18/B9_01.tif </t>
  </si>
  <si>
    <t xml:space="preserve"> 41.4668 </t>
  </si>
  <si>
    <t xml:space="preserve">C:\Users\andre\Desktop\REACTIV CEFAS\Cefuroxime\Cefuroxime/20201126_Cefas_Test7_Run3/Plate 4/@18/B9_02.tif </t>
  </si>
  <si>
    <t xml:space="preserve"> 8630.328 </t>
  </si>
  <si>
    <t xml:space="preserve"> 38.1654 </t>
  </si>
  <si>
    <t xml:space="preserve">C:\Users\andre\Desktop\REACTIV CEFAS\Cefuroxime\Cefuroxime/20201126_Cefas_Test7_Run3/Plate 4/@18/B9_03.tif </t>
  </si>
  <si>
    <t xml:space="preserve"> 12653.4884 </t>
  </si>
  <si>
    <t xml:space="preserve"> 40.894 </t>
  </si>
  <si>
    <t xml:space="preserve">C:\Users\andre\Desktop\REACTIV CEFAS\Cefuroxime\Cefuroxime/20201126_Cefas_Test7_Run3/Plate 4/@18/C9_01.tif </t>
  </si>
  <si>
    <t xml:space="preserve"> 7072.9755 </t>
  </si>
  <si>
    <t xml:space="preserve"> 37.6636 </t>
  </si>
  <si>
    <t xml:space="preserve">C:\Users\andre\Desktop\REACTIV CEFAS\Cefuroxime\Cefuroxime/20201126_Cefas_Test7_Run3/Plate 4/@18/C9_02.tif </t>
  </si>
  <si>
    <t xml:space="preserve"> 39.4096 </t>
  </si>
  <si>
    <t>C:\Users\andre\Desktop\REACTIV CEFAS\Cefuroxime\Cefuroxime/20201126_Cefas_Test7_Run3/Plate 4/@18/C9_03- exclu.tif</t>
  </si>
  <si>
    <t xml:space="preserve">C:\Users\andre\Desktop\REACTIV CEFAS\Cefuroxime\Cefuroxime/20201126_Cefas_Test7_Run3/Plate 4/@18/D9_01.tif </t>
  </si>
  <si>
    <t xml:space="preserve"> 35.0506 </t>
  </si>
  <si>
    <t xml:space="preserve">C:\Users\andre\Desktop\REACTIV CEFAS\Cefuroxime\Cefuroxime/20201126_Cefas_Test7_Run3/Plate 4/@18/D9_02.tif </t>
  </si>
  <si>
    <t xml:space="preserve"> 20634.9195 </t>
  </si>
  <si>
    <t xml:space="preserve"> 34.847 </t>
  </si>
  <si>
    <t xml:space="preserve">C:\Users\andre\Desktop\REACTIV CEFAS\Cefuroxime\Cefuroxime/20201126_Cefas_Test7_Run3/Plate 4/@18/D9_03.tif </t>
  </si>
  <si>
    <t xml:space="preserve"> 29611.3257 </t>
  </si>
  <si>
    <t xml:space="preserve"> 34.8729 </t>
  </si>
  <si>
    <t xml:space="preserve">C:\Users\andre\Desktop\REACTIV CEFAS\Cefuroxime\Cefuroxime/20201126_Cefas_Test7_Run3/Plate 4/@18/E9_01.tif </t>
  </si>
  <si>
    <t xml:space="preserve"> 33.8737 </t>
  </si>
  <si>
    <t xml:space="preserve">C:\Users\andre\Desktop\REACTIV CEFAS\Cefuroxime\Cefuroxime/20201126_Cefas_Test7_Run3/Plate 4/@18/E9_02.tif </t>
  </si>
  <si>
    <t xml:space="preserve"> 19120.8269 </t>
  </si>
  <si>
    <t xml:space="preserve"> 33.7002 </t>
  </si>
  <si>
    <t xml:space="preserve">C:\Users\andre\Desktop\REACTIV CEFAS\Cefuroxime\Cefuroxime/20201126_Cefas_Test7_Run3/Plate 4/@18/E9_03.tif </t>
  </si>
  <si>
    <t xml:space="preserve"> 33.6625 </t>
  </si>
  <si>
    <t xml:space="preserve">C:\Users\andre\Desktop\REACTIV CEFAS\Cefuroxime\Cefuroxime/20201126_Cefas_Test7_Run3/Plate 4/@18/F9_01.tif </t>
  </si>
  <si>
    <t xml:space="preserve"> 10274.1999 </t>
  </si>
  <si>
    <t xml:space="preserve"> 34.68 </t>
  </si>
  <si>
    <t xml:space="preserve">C:\Users\andre\Desktop\REACTIV CEFAS\Cefuroxime\Cefuroxime/20201126_Cefas_Test7_Run3/Plate 4/@18/F9_02.tif </t>
  </si>
  <si>
    <t xml:space="preserve"> 33.6597 </t>
  </si>
  <si>
    <t xml:space="preserve">C:\Users\andre\Desktop\REACTIV CEFAS\Cefuroxime\Cefuroxime/20201126_Cefas_Test7_Run3/Plate 4/@18/F9_03.tif </t>
  </si>
  <si>
    <t xml:space="preserve"> 33.3021 </t>
  </si>
  <si>
    <t xml:space="preserve">C:\Users\andre\Desktop\REACTIV CEFAS\Cefuroxime\Cefuroxime/20201126_Cefas_Test7_Run3/Plate 4/@18/G9_01.tif </t>
  </si>
  <si>
    <t xml:space="preserve"> 39.0065 </t>
  </si>
  <si>
    <t xml:space="preserve">C:\Users\andre\Desktop\REACTIV CEFAS\Cefuroxime\Cefuroxime/20201126_Cefas_Test7_Run3/Plate 4/@18/G9_02.tif </t>
  </si>
  <si>
    <t xml:space="preserve"> 37.8949 </t>
  </si>
  <si>
    <t xml:space="preserve">C:\Users\andre\Desktop\REACTIV CEFAS\Cefuroxime\Cefuroxime/20201126_Cefas_Test7_Run3/Plate 4/@18/G9_03.tif </t>
  </si>
  <si>
    <t xml:space="preserve"> 35.3247 </t>
  </si>
  <si>
    <t xml:space="preserve">C:\Users\andre\Desktop\REACTIV CEFAS\Cefuroxime\Cefuroxime/20201126_Cefas_Test7_Run3/Plate 4/@18/H9_01.tif </t>
  </si>
  <si>
    <t xml:space="preserve">C:\Users\andre\Desktop\REACTIV CEFAS\Cefuroxime\Cefuroxime/20201126_Cefas_Test7_Run3/Plate 4/@18/H9_02.tif </t>
  </si>
  <si>
    <t xml:space="preserve"> 30.8 </t>
  </si>
  <si>
    <t xml:space="preserve">C:\Users\andre\Desktop\REACTIV CEFAS\Cefuroxime\Cefuroxime/20201126_Cefas_Test7_Run3/Plate 4/@18/H9_03.tif </t>
  </si>
  <si>
    <t xml:space="preserve"> 497.4876 </t>
  </si>
  <si>
    <t xml:space="preserve"> 31.8261 </t>
  </si>
  <si>
    <t xml:space="preserve">C:\Users\andre\Desktop\REACTIV CEFAS\Cefuroxime\Cefuroxime/20201126_Cefas_Test7_Run3/Plate 4/@18/ </t>
  </si>
  <si>
    <t xml:space="preserve"> 35.2746 </t>
  </si>
  <si>
    <t xml:space="preserve"> 3.6302 </t>
  </si>
  <si>
    <t xml:space="preserve"> 356315.542 </t>
  </si>
  <si>
    <t xml:space="preserve"> 288337.46 </t>
  </si>
  <si>
    <t>C:\Users\andre\Desktop\REACTIV CEFAS\Cefuroxime\Cefuroxime/20201126_Cefas_Test7_Run3/Plate 4/@19/A10_01- exclu.tif</t>
  </si>
  <si>
    <t>C:\Users\andre\Desktop\REACTIV CEFAS\Cefuroxime\Cefuroxime/20201126_Cefas_Test7_Run3/Plate 4/@19/A10_02- exclu.tif</t>
  </si>
  <si>
    <t xml:space="preserve">C:\Users\andre\Desktop\REACTIV CEFAS\Cefuroxime\Cefuroxime/20201126_Cefas_Test7_Run3/Plate 4/@19/A10_03.tif </t>
  </si>
  <si>
    <t xml:space="preserve"> 24160.5923 </t>
  </si>
  <si>
    <t xml:space="preserve"> 38.7368 </t>
  </si>
  <si>
    <t xml:space="preserve">C:\Users\andre\Desktop\REACTIV CEFAS\Cefuroxime\Cefuroxime/20201126_Cefas_Test7_Run3/Plate 4/@19/B10_01.tif </t>
  </si>
  <si>
    <t xml:space="preserve"> 42221.5543 </t>
  </si>
  <si>
    <t xml:space="preserve"> 36.6629 </t>
  </si>
  <si>
    <t xml:space="preserve">C:\Users\andre\Desktop\REACTIV CEFAS\Cefuroxime\Cefuroxime/20201126_Cefas_Test7_Run3/Plate 4/@19/B10_02.tif </t>
  </si>
  <si>
    <t xml:space="preserve"> 41313.0987 </t>
  </si>
  <si>
    <t xml:space="preserve"> 35.7445 </t>
  </si>
  <si>
    <t xml:space="preserve">C:\Users\andre\Desktop\REACTIV CEFAS\Cefuroxime\Cefuroxime/20201126_Cefas_Test7_Run3/Plate 4/@19/B10_03.tif </t>
  </si>
  <si>
    <t xml:space="preserve"> 36.0048 </t>
  </si>
  <si>
    <t xml:space="preserve">C:\Users\andre\Desktop\REACTIV CEFAS\Cefuroxime\Cefuroxime/20201126_Cefas_Test7_Run3/Plate 4/@19/C10_01.tif </t>
  </si>
  <si>
    <t xml:space="preserve"> 39.835 </t>
  </si>
  <si>
    <t xml:space="preserve">C:\Users\andre\Desktop\REACTIV CEFAS\Cefuroxime\Cefuroxime/20201126_Cefas_Test7_Run3/Plate 4/@19/C10_02.tif </t>
  </si>
  <si>
    <t xml:space="preserve"> 61320.7513 </t>
  </si>
  <si>
    <t xml:space="preserve"> 38.7393 </t>
  </si>
  <si>
    <t xml:space="preserve">C:\Users\andre\Desktop\REACTIV CEFAS\Cefuroxime\Cefuroxime/20201126_Cefas_Test7_Run3/Plate 4/@19/C10_03.tif </t>
  </si>
  <si>
    <t xml:space="preserve"> 60650.2245 </t>
  </si>
  <si>
    <t xml:space="preserve"> 39.6551 </t>
  </si>
  <si>
    <t xml:space="preserve">C:\Users\andre\Desktop\REACTIV CEFAS\Cefuroxime\Cefuroxime/20201126_Cefas_Test7_Run3/Plate 4/@19/D10_01.tif </t>
  </si>
  <si>
    <t xml:space="preserve"> 31.1905 </t>
  </si>
  <si>
    <t>C:\Users\andre\Desktop\REACTIV CEFAS\Cefuroxime\Cefuroxime/20201126_Cefas_Test7_Run3/Plate 4/@19/D10_02- exclu.tif</t>
  </si>
  <si>
    <t>C:\Users\andre\Desktop\REACTIV CEFAS\Cefuroxime\Cefuroxime/20201126_Cefas_Test7_Run3/Plate 4/@19/D10_03- exclu.tif</t>
  </si>
  <si>
    <t xml:space="preserve">C:\Users\andre\Desktop\REACTIV CEFAS\Cefuroxime\Cefuroxime/20201126_Cefas_Test7_Run3/Plate 4/@19/E10_01.tif </t>
  </si>
  <si>
    <t xml:space="preserve"> 33699.3758 </t>
  </si>
  <si>
    <t xml:space="preserve"> 36.9185 </t>
  </si>
  <si>
    <t xml:space="preserve">C:\Users\andre\Desktop\REACTIV CEFAS\Cefuroxime\Cefuroxime/20201126_Cefas_Test7_Run3/Plate 4/@19/E10_02.tif </t>
  </si>
  <si>
    <t xml:space="preserve"> 37636.0167 </t>
  </si>
  <si>
    <t xml:space="preserve"> 38.1638 </t>
  </si>
  <si>
    <t xml:space="preserve">C:\Users\andre\Desktop\REACTIV CEFAS\Cefuroxime\Cefuroxime/20201126_Cefas_Test7_Run3/Plate 4/@19/E10_03.tif </t>
  </si>
  <si>
    <t xml:space="preserve"> 37.0388 </t>
  </si>
  <si>
    <t xml:space="preserve">C:\Users\andre\Desktop\REACTIV CEFAS\Cefuroxime\Cefuroxime/20201126_Cefas_Test7_Run3/Plate 4/@19/F10_01.tif </t>
  </si>
  <si>
    <t xml:space="preserve"> 31471.4967 </t>
  </si>
  <si>
    <t xml:space="preserve"> 36.7684 </t>
  </si>
  <si>
    <t xml:space="preserve">C:\Users\andre\Desktop\REACTIV CEFAS\Cefuroxime\Cefuroxime/20201126_Cefas_Test7_Run3/Plate 4/@19/F10_02.tif </t>
  </si>
  <si>
    <t xml:space="preserve"> 37484.6074 </t>
  </si>
  <si>
    <t xml:space="preserve"> 38.8252 </t>
  </si>
  <si>
    <t xml:space="preserve">C:\Users\andre\Desktop\REACTIV CEFAS\Cefuroxime\Cefuroxime/20201126_Cefas_Test7_Run3/Plate 4/@19/F10_03.tif </t>
  </si>
  <si>
    <t xml:space="preserve"> 39258.2588 </t>
  </si>
  <si>
    <t xml:space="preserve"> 39.2837 </t>
  </si>
  <si>
    <t xml:space="preserve">C:\Users\andre\Desktop\REACTIV CEFAS\Cefuroxime\Cefuroxime/20201126_Cefas_Test7_Run3/Plate 4/@19/G10_01.tif </t>
  </si>
  <si>
    <t xml:space="preserve"> 33028.8491 </t>
  </si>
  <si>
    <t xml:space="preserve"> 35.6267 </t>
  </si>
  <si>
    <t xml:space="preserve">C:\Users\andre\Desktop\REACTIV CEFAS\Cefuroxime\Cefuroxime/20201126_Cefas_Test7_Run3/Plate 4/@19/G10_02.tif </t>
  </si>
  <si>
    <t xml:space="preserve"> 43173.2697 </t>
  </si>
  <si>
    <t xml:space="preserve"> 37.763 </t>
  </si>
  <si>
    <t xml:space="preserve">C:\Users\andre\Desktop\REACTIV CEFAS\Cefuroxime\Cefuroxime/20201126_Cefas_Test7_Run3/Plate 4/@19/G10_03.tif </t>
  </si>
  <si>
    <t xml:space="preserve"> 35559.5468 </t>
  </si>
  <si>
    <t xml:space="preserve"> 36.7816 </t>
  </si>
  <si>
    <t xml:space="preserve">C:\Users\andre\Desktop\REACTIV CEFAS\Cefuroxime\Cefuroxime/20201126_Cefas_Test7_Run3/Plate 4/@19/H10_01.tif </t>
  </si>
  <si>
    <t xml:space="preserve"> 33.5576 </t>
  </si>
  <si>
    <t xml:space="preserve">C:\Users\andre\Desktop\REACTIV CEFAS\Cefuroxime\Cefuroxime/20201126_Cefas_Test7_Run3/Plate 4/@19/H10_02.tif </t>
  </si>
  <si>
    <t xml:space="preserve">C:\Users\andre\Desktop\REACTIV CEFAS\Cefuroxime\Cefuroxime/20201126_Cefas_Test7_Run3/Plate 4/@19/H10_03.tif </t>
  </si>
  <si>
    <t xml:space="preserve"> 33.3906 </t>
  </si>
  <si>
    <t xml:space="preserve">C:\Users\andre\Desktop\REACTIV CEFAS\Cefuroxime\Cefuroxime/20201126_Cefas_Test7_Run3/Plate 4/@19/ </t>
  </si>
  <si>
    <t xml:space="preserve"> 37.4578 </t>
  </si>
  <si>
    <t xml:space="preserve"> 3.2454 </t>
  </si>
  <si>
    <t xml:space="preserve"> 1227708.29 </t>
  </si>
  <si>
    <t xml:space="preserve"> 703989.362 </t>
  </si>
  <si>
    <t>C:\Users\andre\Desktop\REACTIV CEFAS\Cefuroxime\Cefuroxime/20201126_Cefas_Test7_Run3/Plate 4/@20/A11_01- exclu.tif</t>
  </si>
  <si>
    <t>C:\Users\andre\Desktop\REACTIV CEFAS\Cefuroxime\Cefuroxime/20201126_Cefas_Test7_Run3/Plate 4/@20/A11_02- exclu.tif</t>
  </si>
  <si>
    <t>C:\Users\andre\Desktop\REACTIV CEFAS\Cefuroxime\Cefuroxime/20201126_Cefas_Test7_Run3/Plate 4/@20/A11_03- exclu.tif</t>
  </si>
  <si>
    <t xml:space="preserve">C:\Users\andre\Desktop\REACTIV CEFAS\Cefuroxime\Cefuroxime/20201126_Cefas_Test7_Run3/Plate 4/@20/B11_01.tif </t>
  </si>
  <si>
    <t xml:space="preserve"> 9863.232 </t>
  </si>
  <si>
    <t xml:space="preserve"> 42.4232 </t>
  </si>
  <si>
    <t xml:space="preserve">C:\Users\andre\Desktop\REACTIV CEFAS\Cefuroxime\Cefuroxime/20201126_Cefas_Test7_Run3/Plate 4/@20/B11_02.tif </t>
  </si>
  <si>
    <t xml:space="preserve"> 6121.2602 </t>
  </si>
  <si>
    <t xml:space="preserve"> 36.1731 </t>
  </si>
  <si>
    <t xml:space="preserve">C:\Users\andre\Desktop\REACTIV CEFAS\Cefuroxime\Cefuroxime/20201126_Cefas_Test7_Run3/Plate 4/@20/B11_03.tif </t>
  </si>
  <si>
    <t xml:space="preserve"> 33.9323 </t>
  </si>
  <si>
    <t xml:space="preserve">C:\Users\andre\Desktop\REACTIV CEFAS\Cefuroxime\Cefuroxime/20201126_Cefas_Test7_Run3/Plate 4/@20/C11_01.tif </t>
  </si>
  <si>
    <t xml:space="preserve"> 2530.6977 </t>
  </si>
  <si>
    <t xml:space="preserve"> 33.0427 </t>
  </si>
  <si>
    <t xml:space="preserve">C:\Users\andre\Desktop\REACTIV CEFAS\Cefuroxime\Cefuroxime/20201126_Cefas_Test7_Run3/Plate 4/@20/C11_02.tif </t>
  </si>
  <si>
    <t xml:space="preserve"> 31.4545 </t>
  </si>
  <si>
    <t xml:space="preserve">C:\Users\andre\Desktop\REACTIV CEFAS\Cefuroxime\Cefuroxime/20201126_Cefas_Test7_Run3/Plate 4/@20/C11_03.tif </t>
  </si>
  <si>
    <t xml:space="preserve"> 33.8992 </t>
  </si>
  <si>
    <t xml:space="preserve">C:\Users\andre\Desktop\REACTIV CEFAS\Cefuroxime\Cefuroxime/20201126_Cefas_Test7_Run3/Plate 4/@20/D11_01.tif </t>
  </si>
  <si>
    <t xml:space="preserve"> 39.6025 </t>
  </si>
  <si>
    <t xml:space="preserve">C:\Users\andre\Desktop\REACTIV CEFAS\Cefuroxime\Cefuroxime/20201126_Cefas_Test7_Run3/Plate 4/@20/D11_02.tif </t>
  </si>
  <si>
    <t xml:space="preserve"> 32.5897 </t>
  </si>
  <si>
    <t xml:space="preserve">C:\Users\andre\Desktop\REACTIV CEFAS\Cefuroxime\Cefuroxime/20201126_Cefas_Test7_Run3/Plate 4/@20/D11_03.tif </t>
  </si>
  <si>
    <t xml:space="preserve"> 5991.4808 </t>
  </si>
  <si>
    <t xml:space="preserve"> 37.1191 </t>
  </si>
  <si>
    <t xml:space="preserve">C:\Users\andre\Desktop\REACTIV CEFAS\Cefuroxime\Cefuroxime/20201126_Cefas_Test7_Run3/Plate 4/@20/E11_01.tif </t>
  </si>
  <si>
    <t xml:space="preserve"> 36532.892 </t>
  </si>
  <si>
    <t xml:space="preserve"> 40.45 </t>
  </si>
  <si>
    <t xml:space="preserve">C:\Users\andre\Desktop\REACTIV CEFAS\Cefuroxime\Cefuroxime/20201126_Cefas_Test7_Run3/Plate 4/@20/E11_02.tif </t>
  </si>
  <si>
    <t xml:space="preserve"> 28270.2723 </t>
  </si>
  <si>
    <t xml:space="preserve"> 37.2701 </t>
  </si>
  <si>
    <t xml:space="preserve">C:\Users\andre\Desktop\REACTIV CEFAS\Cefuroxime\Cefuroxime/20201126_Cefas_Test7_Run3/Plate 4/@20/E11_03.tif </t>
  </si>
  <si>
    <t xml:space="preserve"> 32120.3935 </t>
  </si>
  <si>
    <t xml:space="preserve"> 37.1434 </t>
  </si>
  <si>
    <t xml:space="preserve">C:\Users\andre\Desktop\REACTIV CEFAS\Cefuroxime\Cefuroxime/20201126_Cefas_Test7_Run3/Plate 4/@20/F11_01.tif </t>
  </si>
  <si>
    <t xml:space="preserve"> 17130.8765 </t>
  </si>
  <si>
    <t xml:space="preserve"> 35.2235 </t>
  </si>
  <si>
    <t xml:space="preserve">C:\Users\andre\Desktop\REACTIV CEFAS\Cefuroxime\Cefuroxime/20201126_Cefas_Test7_Run3/Plate 4/@20/F11_02.tif </t>
  </si>
  <si>
    <t xml:space="preserve"> 20613.2896 </t>
  </si>
  <si>
    <t xml:space="preserve"> 35.8762 </t>
  </si>
  <si>
    <t xml:space="preserve">C:\Users\andre\Desktop\REACTIV CEFAS\Cefuroxime\Cefuroxime/20201126_Cefas_Test7_Run3/Plate 4/@20/F11_03.tif </t>
  </si>
  <si>
    <t xml:space="preserve"> 22257.1616 </t>
  </si>
  <si>
    <t xml:space="preserve"> 35.9942 </t>
  </si>
  <si>
    <t xml:space="preserve">C:\Users\andre\Desktop\REACTIV CEFAS\Cefuroxime\Cefuroxime/20201126_Cefas_Test7_Run3/Plate 4/@20/G11_01.tif </t>
  </si>
  <si>
    <t xml:space="preserve"> 74147.2788 </t>
  </si>
  <si>
    <t xml:space="preserve"> 42.3676 </t>
  </si>
  <si>
    <t xml:space="preserve">C:\Users\andre\Desktop\REACTIV CEFAS\Cefuroxime\Cefuroxime/20201126_Cefas_Test7_Run3/Plate 4/@20/G11_02.tif </t>
  </si>
  <si>
    <t xml:space="preserve"> 70729.7554 </t>
  </si>
  <si>
    <t xml:space="preserve"> 41.4713 </t>
  </si>
  <si>
    <t xml:space="preserve">C:\Users\andre\Desktop\REACTIV CEFAS\Cefuroxime\Cefuroxime/20201126_Cefas_Test7_Run3/Plate 4/@20/G11_03.tif </t>
  </si>
  <si>
    <t xml:space="preserve"> 70253.8978 </t>
  </si>
  <si>
    <t xml:space="preserve"> 40.8679 </t>
  </si>
  <si>
    <t xml:space="preserve">C:\Users\andre\Desktop\REACTIV CEFAS\Cefuroxime\Cefuroxime/20201126_Cefas_Test7_Run3/Plate 4/@20/H11_01.tif </t>
  </si>
  <si>
    <t xml:space="preserve"> 19596.6845 </t>
  </si>
  <si>
    <t xml:space="preserve"> 32.8168 </t>
  </si>
  <si>
    <t>C:\Users\andre\Desktop\REACTIV CEFAS\Cefuroxime\Cefuroxime/20201126_Cefas_Test7_Run3/Plate 4/@20/H11_02- exclu.tif</t>
  </si>
  <si>
    <t xml:space="preserve">C:\Users\andre\Desktop\REACTIV CEFAS\Cefuroxime\Cefuroxime/20201126_Cefas_Test7_Run3/Plate 4/@20/H11_03.tif </t>
  </si>
  <si>
    <t xml:space="preserve"> 22386.9409 </t>
  </si>
  <si>
    <t xml:space="preserve"> 36.4464 </t>
  </si>
  <si>
    <t xml:space="preserve">C:\Users\andre\Desktop\REACTIV CEFAS\Cefuroxime\Cefuroxime/20201126_Cefas_Test7_Run3/Plate 4/@20/ </t>
  </si>
  <si>
    <t xml:space="preserve"> 36.818 </t>
  </si>
  <si>
    <t xml:space="preserve"> 3.309 </t>
  </si>
  <si>
    <t xml:space="preserve"> 798688.292 </t>
  </si>
  <si>
    <t xml:space="preserve"> 922901.836 </t>
  </si>
  <si>
    <t xml:space="preserve">C:\Users\andre\Desktop\REACTIV CEFAS\Cefuroxime\Cefuroxime/20201126_Cefas_Test7_Run3/Plate 4/@21/A12_01.tif </t>
  </si>
  <si>
    <t xml:space="preserve"> 39279.8886 </t>
  </si>
  <si>
    <t xml:space="preserve"> 37.6465 </t>
  </si>
  <si>
    <t xml:space="preserve">C:\Users\andre\Desktop\REACTIV CEFAS\Cefuroxime\Cefuroxime/20201126_Cefas_Test7_Run3/Plate 4/@21/A12_02.tif </t>
  </si>
  <si>
    <t xml:space="preserve"> 38.6294 </t>
  </si>
  <si>
    <t xml:space="preserve">C:\Users\andre\Desktop\REACTIV CEFAS\Cefuroxime\Cefuroxime/20201126_Cefas_Test7_Run3/Plate 4/@21/A12_03.tif </t>
  </si>
  <si>
    <t xml:space="preserve"> 54074.7366 </t>
  </si>
  <si>
    <t xml:space="preserve"> 38.5 </t>
  </si>
  <si>
    <t xml:space="preserve">C:\Users\andre\Desktop\REACTIV CEFAS\Cefuroxime\Cefuroxime/20201126_Cefas_Test7_Run3/Plate 4/@21/B12_01.tif </t>
  </si>
  <si>
    <t xml:space="preserve"> 32.6928 </t>
  </si>
  <si>
    <t xml:space="preserve">C:\Users\andre\Desktop\REACTIV CEFAS\Cefuroxime\Cefuroxime/20201126_Cefas_Test7_Run3/Plate 4/@21/B12_02.tif </t>
  </si>
  <si>
    <t xml:space="preserve"> 14210.8408 </t>
  </si>
  <si>
    <t xml:space="preserve"> 32.6895 </t>
  </si>
  <si>
    <t xml:space="preserve">C:\Users\andre\Desktop\REACTIV CEFAS\Cefuroxime\Cefuroxime/20201126_Cefas_Test7_Run3/Plate 4/@21/B12_03.tif </t>
  </si>
  <si>
    <t xml:space="preserve"> 15681.6736 </t>
  </si>
  <si>
    <t xml:space="preserve"> 32.5048 </t>
  </si>
  <si>
    <t>C:\Users\andre\Desktop\REACTIV CEFAS\Cefuroxime\Cefuroxime/20201126_Cefas_Test7_Run3/Plate 4/@21/C12_01- exclu.tif</t>
  </si>
  <si>
    <t>C:\Users\andre\Desktop\REACTIV CEFAS\Cefuroxime\Cefuroxime/20201126_Cefas_Test7_Run3/Plate 4/@21/C12_02- exclu.tif</t>
  </si>
  <si>
    <t>C:\Users\andre\Desktop\REACTIV CEFAS\Cefuroxime\Cefuroxime/20201126_Cefas_Test7_Run3/Plate 4/@21/C12_03- exclu.tif</t>
  </si>
  <si>
    <t xml:space="preserve">C:\Users\andre\Desktop\REACTIV CEFAS\Cefuroxime\Cefuroxime/20201126_Cefas_Test7_Run3/Plate 4/@21/D12_01.tif </t>
  </si>
  <si>
    <t xml:space="preserve"> 25415.1262 </t>
  </si>
  <si>
    <t xml:space="preserve"> 35.6826 </t>
  </si>
  <si>
    <t xml:space="preserve">C:\Users\andre\Desktop\REACTIV CEFAS\Cefuroxime\Cefuroxime/20201126_Cefas_Test7_Run3/Plate 4/@21/D12_02.tif </t>
  </si>
  <si>
    <t xml:space="preserve"> 23857.7738 </t>
  </si>
  <si>
    <t xml:space="preserve"> 35.4225 </t>
  </si>
  <si>
    <t xml:space="preserve">C:\Users\andre\Desktop\REACTIV CEFAS\Cefuroxime\Cefuroxime/20201126_Cefas_Test7_Run3/Plate 4/@21/D12_03.tif </t>
  </si>
  <si>
    <t xml:space="preserve"> 23663.1047 </t>
  </si>
  <si>
    <t xml:space="preserve"> 35.7715 </t>
  </si>
  <si>
    <t xml:space="preserve">C:\Users\andre\Desktop\REACTIV CEFAS\Cefuroxime\Cefuroxime/20201126_Cefas_Test7_Run3/Plate 4/@21/E12_01.tif </t>
  </si>
  <si>
    <t xml:space="preserve"> 35.7293 </t>
  </si>
  <si>
    <t xml:space="preserve">C:\Users\andre\Desktop\REACTIV CEFAS\Cefuroxime\Cefuroxime/20201126_Cefas_Test7_Run3/Plate 4/@21/E12_02.tif </t>
  </si>
  <si>
    <t xml:space="preserve"> 35.4664 </t>
  </si>
  <si>
    <t xml:space="preserve">C:\Users\andre\Desktop\REACTIV CEFAS\Cefuroxime\Cefuroxime/20201126_Cefas_Test7_Run3/Plate 4/@21/E12_03.tif </t>
  </si>
  <si>
    <t xml:space="preserve"> 25350.2365 </t>
  </si>
  <si>
    <t xml:space="preserve"> 34.4471 </t>
  </si>
  <si>
    <t xml:space="preserve">C:\Users\andre\Desktop\REACTIV CEFAS\Cefuroxime\Cefuroxime/20201126_Cefas_Test7_Run3/Plate 4/@21/F12_01.tif </t>
  </si>
  <si>
    <t xml:space="preserve"> 35.4025 </t>
  </si>
  <si>
    <t xml:space="preserve">C:\Users\andre\Desktop\REACTIV CEFAS\Cefuroxime\Cefuroxime/20201126_Cefas_Test7_Run3/Plate 4/@21/F12_02.tif </t>
  </si>
  <si>
    <t xml:space="preserve"> 22495.0904 </t>
  </si>
  <si>
    <t xml:space="preserve"> 34.4212 </t>
  </si>
  <si>
    <t xml:space="preserve">C:\Users\andre\Desktop\REACTIV CEFAS\Cefuroxime\Cefuroxime/20201126_Cefas_Test7_Run3/Plate 4/@21/F12_03.tif </t>
  </si>
  <si>
    <t xml:space="preserve"> 34348.2727 </t>
  </si>
  <si>
    <t xml:space="preserve"> 36.4773 </t>
  </si>
  <si>
    <t xml:space="preserve">C:\Users\andre\Desktop\REACTIV CEFAS\Cefuroxime\Cefuroxime/20201126_Cefas_Test7_Run3/Plate 4/@21/G12_01.tif </t>
  </si>
  <si>
    <t xml:space="preserve"> 18580.0795 </t>
  </si>
  <si>
    <t xml:space="preserve"> 35.3853 </t>
  </si>
  <si>
    <t xml:space="preserve">C:\Users\andre\Desktop\REACTIV CEFAS\Cefuroxime\Cefuroxime/20201126_Cefas_Test7_Run3/Plate 4/@21/G12_02.tif </t>
  </si>
  <si>
    <t xml:space="preserve"> 28400.0516 </t>
  </si>
  <si>
    <t xml:space="preserve"> 35.3024 </t>
  </si>
  <si>
    <t xml:space="preserve">C:\Users\andre\Desktop\REACTIV CEFAS\Cefuroxime\Cefuroxime/20201126_Cefas_Test7_Run3/Plate 4/@21/G12_03.tif </t>
  </si>
  <si>
    <t xml:space="preserve"> 29979.034 </t>
  </si>
  <si>
    <t xml:space="preserve"> 36.228 </t>
  </si>
  <si>
    <t xml:space="preserve">C:\Users\andre\Desktop\REACTIV CEFAS\Cefuroxime\Cefuroxime/20201126_Cefas_Test7_Run3/Plate 4/@21/H12_01.tif </t>
  </si>
  <si>
    <t xml:space="preserve"> 27318.5569 </t>
  </si>
  <si>
    <t xml:space="preserve"> 33.7102 </t>
  </si>
  <si>
    <t xml:space="preserve">C:\Users\andre\Desktop\REACTIV CEFAS\Cefuroxime\Cefuroxime/20201126_Cefas_Test7_Run3/Plate 4/@21/H12_02.tif </t>
  </si>
  <si>
    <t xml:space="preserve"> 30433.2617 </t>
  </si>
  <si>
    <t xml:space="preserve"> 34.1606 </t>
  </si>
  <si>
    <t xml:space="preserve">C:\Users\andre\Desktop\REACTIV CEFAS\Cefuroxime\Cefuroxime/20201126_Cefas_Test7_Run3/Plate 4/@21/H12_03.tif </t>
  </si>
  <si>
    <t xml:space="preserve"> 21694.7843 </t>
  </si>
  <si>
    <t xml:space="preserve"> 32.2971 </t>
  </si>
  <si>
    <t xml:space="preserve">C:\Users\andre\Desktop\REACTIV CEFAS\Cefuroxime\Cefuroxime/20201126_Cefas_Test7_Run3/Plate 4/@21/ </t>
  </si>
  <si>
    <t xml:space="preserve"> 35.3595 </t>
  </si>
  <si>
    <t xml:space="preserve"> 2.3852 </t>
  </si>
  <si>
    <t xml:space="preserve"> 900925.625 </t>
  </si>
  <si>
    <t xml:space="preserve"> 433966.228 </t>
  </si>
  <si>
    <t>C:\Users\andre\Desktop\REACTIV CEFAS\Cefuroxime\Cefuroxime/20201126_Cefas_Test7_Run3/Plate 4/@8/A2_01- exclu.tif</t>
  </si>
  <si>
    <t>C:\Users\andre\Desktop\REACTIV CEFAS\Cefuroxime\Cefuroxime/20201126_Cefas_Test7_Run3/Plate 4/@8/A2_02- exclu.tif</t>
  </si>
  <si>
    <t>C:\Users\andre\Desktop\REACTIV CEFAS\Cefuroxime\Cefuroxime/20201126_Cefas_Test7_Run3/Plate 4/@8/A2_03- exclu.tif</t>
  </si>
  <si>
    <t xml:space="preserve">C:\Users\andre\Desktop\REACTIV CEFAS\Cefuroxime\Cefuroxime/20201126_Cefas_Test7_Run3/Plate 4/@8/B2_01.tif </t>
  </si>
  <si>
    <t xml:space="preserve"> 36.1628 </t>
  </si>
  <si>
    <t xml:space="preserve">C:\Users\andre\Desktop\REACTIV CEFAS\Cefuroxime\Cefuroxime/20201126_Cefas_Test7_Run3/Plate 4/@8/B2_02.tif </t>
  </si>
  <si>
    <t xml:space="preserve"> 9971.3814 </t>
  </si>
  <si>
    <t xml:space="preserve"> 39.0933 </t>
  </si>
  <si>
    <t xml:space="preserve">C:\Users\andre\Desktop\REACTIV CEFAS\Cefuroxime\Cefuroxime/20201126_Cefas_Test7_Run3/Plate 4/@8/B2_03.tif </t>
  </si>
  <si>
    <t xml:space="preserve"> 9517.1536 </t>
  </si>
  <si>
    <t xml:space="preserve"> 38.8205 </t>
  </si>
  <si>
    <t xml:space="preserve">C:\Users\andre\Desktop\REACTIV CEFAS\Cefuroxime\Cefuroxime/20201126_Cefas_Test7_Run3/Plate 4/@8/C2_01.tif </t>
  </si>
  <si>
    <t xml:space="preserve"> 4434.1284 </t>
  </si>
  <si>
    <t xml:space="preserve"> 38.6976 </t>
  </si>
  <si>
    <t xml:space="preserve">C:\Users\andre\Desktop\REACTIV CEFAS\Cefuroxime\Cefuroxime/20201126_Cefas_Test7_Run3/Plate 4/@8/C2_02.tif </t>
  </si>
  <si>
    <t xml:space="preserve"> 41.336 </t>
  </si>
  <si>
    <t xml:space="preserve">C:\Users\andre\Desktop\REACTIV CEFAS\Cefuroxime\Cefuroxime/20201126_Cefas_Test7_Run3/Plate 4/@8/C2_03.tif </t>
  </si>
  <si>
    <t xml:space="preserve"> 32.6552 </t>
  </si>
  <si>
    <t xml:space="preserve">C:\Users\andre\Desktop\REACTIV CEFAS\Cefuroxime\Cefuroxime/20201126_Cefas_Test7_Run3/Plate 4/@8/D2_01.tif </t>
  </si>
  <si>
    <t xml:space="preserve"> 9192.7052 </t>
  </si>
  <si>
    <t xml:space="preserve"> 43.6376 </t>
  </si>
  <si>
    <t xml:space="preserve">C:\Users\andre\Desktop\REACTIV CEFAS\Cefuroxime\Cefuroxime/20201126_Cefas_Test7_Run3/Plate 4/@8/D2_02.tif </t>
  </si>
  <si>
    <t xml:space="preserve"> 10577.0185 </t>
  </si>
  <si>
    <t xml:space="preserve"> 46.2904 </t>
  </si>
  <si>
    <t xml:space="preserve">C:\Users\andre\Desktop\REACTIV CEFAS\Cefuroxime\Cefuroxime/20201126_Cefas_Test7_Run3/Plate 4/@8/D2_03.tif </t>
  </si>
  <si>
    <t xml:space="preserve"> 10425.6092 </t>
  </si>
  <si>
    <t xml:space="preserve"> 46.9108 </t>
  </si>
  <si>
    <t xml:space="preserve">C:\Users\andre\Desktop\REACTIV CEFAS\Cefuroxime\Cefuroxime/20201126_Cefas_Test7_Run3/Plate 4/@8/E2_01.tif </t>
  </si>
  <si>
    <t xml:space="preserve"> 34.7589 </t>
  </si>
  <si>
    <t xml:space="preserve">C:\Users\andre\Desktop\REACTIV CEFAS\Cefuroxime\Cefuroxime/20201126_Cefas_Test7_Run3/Plate 4/@8/E2_02.tif </t>
  </si>
  <si>
    <t xml:space="preserve"> 35.0764 </t>
  </si>
  <si>
    <t xml:space="preserve">C:\Users\andre\Desktop\REACTIV CEFAS\Cefuroxime\Cefuroxime/20201126_Cefas_Test7_Run3/Plate 4/@8/E2_03.tif </t>
  </si>
  <si>
    <t xml:space="preserve"> 1816.9111 </t>
  </si>
  <si>
    <t xml:space="preserve"> 34.75 </t>
  </si>
  <si>
    <t xml:space="preserve">C:\Users\andre\Desktop\REACTIV CEFAS\Cefuroxime\Cefuroxime/20201126_Cefas_Test7_Run3/Plate 4/@8/F2_01.tif </t>
  </si>
  <si>
    <t xml:space="preserve"> 36.0732 </t>
  </si>
  <si>
    <t xml:space="preserve">C:\Users\andre\Desktop\REACTIV CEFAS\Cefuroxime\Cefuroxime/20201126_Cefas_Test7_Run3/Plate 4/@8/F2_02.tif </t>
  </si>
  <si>
    <t xml:space="preserve"> 3525.6728 </t>
  </si>
  <si>
    <t xml:space="preserve"> 36.5215 </t>
  </si>
  <si>
    <t xml:space="preserve">C:\Users\andre\Desktop\REACTIV CEFAS\Cefuroxime\Cefuroxime/20201126_Cefas_Test7_Run3/Plate 4/@8/F2_03.tif </t>
  </si>
  <si>
    <t xml:space="preserve">C:\Users\andre\Desktop\REACTIV CEFAS\Cefuroxime\Cefuroxime/20201126_Cefas_Test7_Run3/Plate 4/@8/G2_01.tif </t>
  </si>
  <si>
    <t xml:space="preserve"> 36.4622 </t>
  </si>
  <si>
    <t xml:space="preserve">C:\Users\andre\Desktop\REACTIV CEFAS\Cefuroxime\Cefuroxime/20201126_Cefas_Test7_Run3/Plate 4/@8/G2_02.tif </t>
  </si>
  <si>
    <t xml:space="preserve"> 7462.3136 </t>
  </si>
  <si>
    <t xml:space="preserve"> 36.0754 </t>
  </si>
  <si>
    <t xml:space="preserve">C:\Users\andre\Desktop\REACTIV CEFAS\Cefuroxime\Cefuroxime/20201126_Cefas_Test7_Run3/Plate 4/@8/G2_03.tif </t>
  </si>
  <si>
    <t xml:space="preserve"> 35.9215 </t>
  </si>
  <si>
    <t xml:space="preserve">C:\Users\andre\Desktop\REACTIV CEFAS\Cefuroxime\Cefuroxime/20201126_Cefas_Test7_Run3/Plate 4/@8/H2_01.tif </t>
  </si>
  <si>
    <t xml:space="preserve">C:\Users\andre\Desktop\REACTIV CEFAS\Cefuroxime\Cefuroxime/20201126_Cefas_Test7_Run3/Plate 4/@8/H2_02.tif </t>
  </si>
  <si>
    <t xml:space="preserve"> 7786.7621 </t>
  </si>
  <si>
    <t xml:space="preserve"> 37.1 </t>
  </si>
  <si>
    <t xml:space="preserve">C:\Users\andre\Desktop\REACTIV CEFAS\Cefuroxime\Cefuroxime/20201126_Cefas_Test7_Run3/Plate 4/@8/H2_03.tif </t>
  </si>
  <si>
    <t xml:space="preserve"> 8738.4774 </t>
  </si>
  <si>
    <t xml:space="preserve"> 38.0248 </t>
  </si>
  <si>
    <t xml:space="preserve">C:\Users\andre\Desktop\REACTIV CEFAS\Cefuroxime\Cefuroxime/20201126_Cefas_Test7_Run3/Plate 4/@8/ </t>
  </si>
  <si>
    <t xml:space="preserve"> 30.182 </t>
  </si>
  <si>
    <t xml:space="preserve"> 16.1853 </t>
  </si>
  <si>
    <t xml:space="preserve"> 200632.625 </t>
  </si>
  <si>
    <t xml:space="preserve"> 162355.191 </t>
  </si>
  <si>
    <t xml:space="preserve">C:\Users\andre\Desktop\REACTIV CEFAS\Cefuroxime\Cefuroxime/20201126_Cefas_Test7_Run3/Plate 4/@9/A3_01.tif </t>
  </si>
  <si>
    <t xml:space="preserve"> 39.5025 </t>
  </si>
  <si>
    <t xml:space="preserve">C:\Users\andre\Desktop\REACTIV CEFAS\Cefuroxime\Cefuroxime/20201126_Cefas_Test7_Run3/Plate 4/@9/A3_02.tif </t>
  </si>
  <si>
    <t xml:space="preserve"> 7894.9115 </t>
  </si>
  <si>
    <t xml:space="preserve"> 35.5671 </t>
  </si>
  <si>
    <t xml:space="preserve">C:\Users\andre\Desktop\REACTIV CEFAS\Cefuroxime\Cefuroxime/20201126_Cefas_Test7_Run3/Plate 4/@9/A3_03.tif </t>
  </si>
  <si>
    <t xml:space="preserve"> 8954.7764 </t>
  </si>
  <si>
    <t xml:space="preserve"> 39.0193 </t>
  </si>
  <si>
    <t xml:space="preserve">C:\Users\andre\Desktop\REACTIV CEFAS\Cefuroxime\Cefuroxime/20201126_Cefas_Test7_Run3/Plate 4/@9/B3_01.tif </t>
  </si>
  <si>
    <t xml:space="preserve"> 7765.1322 </t>
  </si>
  <si>
    <t xml:space="preserve"> 35.2758 </t>
  </si>
  <si>
    <t xml:space="preserve">C:\Users\andre\Desktop\REACTIV CEFAS\Cefuroxime\Cefuroxime/20201126_Cefas_Test7_Run3/Plate 4/@9/B3_02.tif </t>
  </si>
  <si>
    <t xml:space="preserve"> 34.6878 </t>
  </si>
  <si>
    <t xml:space="preserve">C:\Users\andre\Desktop\REACTIV CEFAS\Cefuroxime\Cefuroxime/20201126_Cefas_Test7_Run3/Plate 4/@9/B3_03.tif </t>
  </si>
  <si>
    <t xml:space="preserve"> 34.3608 </t>
  </si>
  <si>
    <t xml:space="preserve">C:\Users\andre\Desktop\REACTIV CEFAS\Cefuroxime\Cefuroxime/20201126_Cefas_Test7_Run3/Plate 4/@9/C3_01.tif </t>
  </si>
  <si>
    <t xml:space="preserve"> 36.259 </t>
  </si>
  <si>
    <t xml:space="preserve">C:\Users\andre\Desktop\REACTIV CEFAS\Cefuroxime\Cefuroxime/20201126_Cefas_Test7_Run3/Plate 4/@9/C3_02.tif </t>
  </si>
  <si>
    <t xml:space="preserve"> 34.4352 </t>
  </si>
  <si>
    <t xml:space="preserve">C:\Users\andre\Desktop\REACTIV CEFAS\Cefuroxime\Cefuroxime/20201126_Cefas_Test7_Run3/Plate 4/@9/C3_03.tif </t>
  </si>
  <si>
    <t xml:space="preserve"> 4325.9789 </t>
  </si>
  <si>
    <t xml:space="preserve"> 38.035 </t>
  </si>
  <si>
    <t xml:space="preserve">C:\Users\andre\Desktop\REACTIV CEFAS\Cefuroxime\Cefuroxime/20201126_Cefas_Test7_Run3/Plate 4/@9/D3_01.tif </t>
  </si>
  <si>
    <t xml:space="preserve"> 31.3846 </t>
  </si>
  <si>
    <t xml:space="preserve">C:\Users\andre\Desktop\REACTIV CEFAS\Cefuroxime\Cefuroxime/20201126_Cefas_Test7_Run3/Plate 4/@9/D3_02.tif </t>
  </si>
  <si>
    <t xml:space="preserve"> 45.8011 </t>
  </si>
  <si>
    <t xml:space="preserve">C:\Users\andre\Desktop\REACTIV CEFAS\Cefuroxime\Cefuroxime/20201126_Cefas_Test7_Run3/Plate 4/@9/D3_03.tif </t>
  </si>
  <si>
    <t xml:space="preserve">C:\Users\andre\Desktop\REACTIV CEFAS\Cefuroxime\Cefuroxime/20201126_Cefas_Test7_Run3/Plate 4/@9/E3_01.tif </t>
  </si>
  <si>
    <t xml:space="preserve"> 38.3868 </t>
  </si>
  <si>
    <t xml:space="preserve">C:\Users\andre\Desktop\REACTIV CEFAS\Cefuroxime\Cefuroxime/20201126_Cefas_Test7_Run3/Plate 4/@9/E3_02.tif </t>
  </si>
  <si>
    <t xml:space="preserve"> 35.4645 </t>
  </si>
  <si>
    <t xml:space="preserve">C:\Users\andre\Desktop\REACTIV CEFAS\Cefuroxime\Cefuroxime/20201126_Cefas_Test7_Run3/Plate 4/@9/E3_03.tif </t>
  </si>
  <si>
    <t xml:space="preserve"> 38.3035 </t>
  </si>
  <si>
    <t xml:space="preserve">C:\Users\andre\Desktop\REACTIV CEFAS\Cefuroxime\Cefuroxime/20201126_Cefas_Test7_Run3/Plate 4/@9/F3_01.tif </t>
  </si>
  <si>
    <t xml:space="preserve">C:\Users\andre\Desktop\REACTIV CEFAS\Cefuroxime\Cefuroxime/20201126_Cefas_Test7_Run3/Plate 4/@9/F3_02.tif </t>
  </si>
  <si>
    <t xml:space="preserve"> 35.7308 </t>
  </si>
  <si>
    <t xml:space="preserve">C:\Users\andre\Desktop\REACTIV CEFAS\Cefuroxime\Cefuroxime/20201126_Cefas_Test7_Run3/Plate 4/@9/F3_03.tif </t>
  </si>
  <si>
    <t xml:space="preserve"> 36.3618 </t>
  </si>
  <si>
    <t xml:space="preserve">C:\Users\andre\Desktop\REACTIV CEFAS\Cefuroxime\Cefuroxime/20201126_Cefas_Test7_Run3/Plate 4/@9/G3_01.tif </t>
  </si>
  <si>
    <t xml:space="preserve"> 33.76 </t>
  </si>
  <si>
    <t>C:\Users\andre\Desktop\REACTIV CEFAS\Cefuroxime\Cefuroxime/20201126_Cefas_Test7_Run3/Plate 4/@9/G3_02- exclu.tif</t>
  </si>
  <si>
    <t xml:space="preserve">C:\Users\andre\Desktop\REACTIV CEFAS\Cefuroxime\Cefuroxime/20201126_Cefas_Test7_Run3/Plate 4/@9/G3_03.tif </t>
  </si>
  <si>
    <t xml:space="preserve"> 3244.4842 </t>
  </si>
  <si>
    <t xml:space="preserve"> 34.2733 </t>
  </si>
  <si>
    <t xml:space="preserve">C:\Users\andre\Desktop\REACTIV CEFAS\Cefuroxime\Cefuroxime/20201126_Cefas_Test7_Run3/Plate 4/@9/H3_01.tif </t>
  </si>
  <si>
    <t xml:space="preserve"> 11290.805 </t>
  </si>
  <si>
    <t xml:space="preserve"> 47.3985 </t>
  </si>
  <si>
    <t xml:space="preserve">C:\Users\andre\Desktop\REACTIV CEFAS\Cefuroxime\Cefuroxime/20201126_Cefas_Test7_Run3/Plate 4/@9/H3_02.tif </t>
  </si>
  <si>
    <t xml:space="preserve">C:\Users\andre\Desktop\REACTIV CEFAS\Cefuroxime\Cefuroxime/20201126_Cefas_Test7_Run3/Plate 4/@9/H3_03.tif </t>
  </si>
  <si>
    <t xml:space="preserve"> 36.65 </t>
  </si>
  <si>
    <t xml:space="preserve">C:\Users\andre\Desktop\REACTIV CEFAS\Cefuroxime\Cefuroxime/20201126_Cefas_Test7_Run3/Plate 4/@9/ </t>
  </si>
  <si>
    <t xml:space="preserve"> 34.0337 </t>
  </si>
  <si>
    <t xml:space="preserve"> 11.2449 </t>
  </si>
  <si>
    <t xml:space="preserve"> 201334.583 </t>
  </si>
  <si>
    <t xml:space="preserve"> 167730.219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</si>
</sst>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35">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2" fillId="0" borderId="1" xfId="0" applyFont="1" applyBorder="1" applyAlignment="1">
      <alignment horizontal="right"/>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0" fillId="2" borderId="0" xfId="0" applyFill="1"/>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0" fillId="0" borderId="0" xfId="0" pivotButton="1" applyAlignment="1">
      <alignment horizontal="center"/>
    </xf>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ourcentage" xfId="7" builtinId="5"/>
  </cellStyles>
  <dxfs count="4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alignment horizontal="center"/>
    </dxf>
    <dxf>
      <alignment horizontal="center"/>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pivotCacheDefinition" Target="pivotCache/pivotCacheDefinition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theme" Target="theme/theme1.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4.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'R1'!$N$48:$V$48</c:f>
                <c:numCache>
                  <c:formatCode>General</c:formatCode>
                  <c:ptCount val="9"/>
                  <c:pt idx="0">
                    <c:v>0</c:v>
                  </c:pt>
                  <c:pt idx="1">
                    <c:v>0.18386208076814539</c:v>
                  </c:pt>
                  <c:pt idx="2">
                    <c:v>0.19331220408133928</c:v>
                  </c:pt>
                  <c:pt idx="3">
                    <c:v>2.6052787633910078E-2</c:v>
                  </c:pt>
                  <c:pt idx="4">
                    <c:v>0.18996124054960467</c:v>
                  </c:pt>
                  <c:pt idx="5">
                    <c:v>0.15072669488793886</c:v>
                  </c:pt>
                  <c:pt idx="6">
                    <c:v>0.29461284893841583</c:v>
                  </c:pt>
                  <c:pt idx="7">
                    <c:v>0.21361869607532788</c:v>
                  </c:pt>
                  <c:pt idx="8">
                    <c:v>0.16821492863537141</c:v>
                  </c:pt>
                </c:numCache>
              </c:numRef>
            </c:plus>
            <c:minus>
              <c:numRef>
                <c:f>'R1'!$N$48:$V$48</c:f>
                <c:numCache>
                  <c:formatCode>General</c:formatCode>
                  <c:ptCount val="9"/>
                  <c:pt idx="0">
                    <c:v>0</c:v>
                  </c:pt>
                  <c:pt idx="1">
                    <c:v>0.18386208076814539</c:v>
                  </c:pt>
                  <c:pt idx="2">
                    <c:v>0.19331220408133928</c:v>
                  </c:pt>
                  <c:pt idx="3">
                    <c:v>2.6052787633910078E-2</c:v>
                  </c:pt>
                  <c:pt idx="4">
                    <c:v>0.18996124054960467</c:v>
                  </c:pt>
                  <c:pt idx="5">
                    <c:v>0.15072669488793886</c:v>
                  </c:pt>
                  <c:pt idx="6">
                    <c:v>0.29461284893841583</c:v>
                  </c:pt>
                  <c:pt idx="7">
                    <c:v>0.21361869607532788</c:v>
                  </c:pt>
                  <c:pt idx="8">
                    <c:v>0.16821492863537141</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Cefuroxime-0.001mg/L</c:v>
                </c:pt>
                <c:pt idx="8">
                  <c:v>Cefuroxime-0.01mg/L</c:v>
                </c:pt>
                <c:pt idx="9">
                  <c:v>Cefuroxime-0.1mg/L</c:v>
                </c:pt>
                <c:pt idx="10">
                  <c:v>Cefuroxime-1mg/L</c:v>
                </c:pt>
                <c:pt idx="11">
                  <c:v>Cefuroxime-10mg/L</c:v>
                </c:pt>
                <c:pt idx="13">
                  <c:v>Testo -30µg/L</c:v>
                </c:pt>
                <c:pt idx="14">
                  <c:v>Testo 30µg/L + EE2 -64ng/L</c:v>
                </c:pt>
                <c:pt idx="15">
                  <c:v>Testo 30µg/L + FAD-10mg/L</c:v>
                </c:pt>
                <c:pt idx="16">
                  <c:v>Cefuroxime-0,001mg/L + Testostérone</c:v>
                </c:pt>
                <c:pt idx="17">
                  <c:v>Cefuroxime-0,01mg/L + Testostérone</c:v>
                </c:pt>
                <c:pt idx="18">
                  <c:v>Cefuroxime-0,1mg/L + Testostérone</c:v>
                </c:pt>
                <c:pt idx="19">
                  <c:v>Cefuroxime-1mg/L + Testostérone</c:v>
                </c:pt>
                <c:pt idx="20">
                  <c:v>Cefuroxime-10mg/L + Testostérone</c:v>
                </c:pt>
              </c:strCache>
            </c:strRef>
          </c:cat>
          <c:val>
            <c:numRef>
              <c:f>'R1'!$B$53:$V$53</c:f>
              <c:numCache>
                <c:formatCode>0.0000</c:formatCode>
                <c:ptCount val="21"/>
                <c:pt idx="0">
                  <c:v>0.11036781585308085</c:v>
                </c:pt>
                <c:pt idx="1">
                  <c:v>0.13336899930394627</c:v>
                </c:pt>
                <c:pt idx="2">
                  <c:v>6.7531125929509384E-2</c:v>
                </c:pt>
                <c:pt idx="3">
                  <c:v>0.30159458519550525</c:v>
                </c:pt>
                <c:pt idx="4">
                  <c:v>1.3489165508421341</c:v>
                </c:pt>
                <c:pt idx="5">
                  <c:v>1.6044891506844636</c:v>
                </c:pt>
                <c:pt idx="6">
                  <c:v>2.4302781117429593</c:v>
                </c:pt>
                <c:pt idx="7">
                  <c:v>0.10925727952722226</c:v>
                </c:pt>
                <c:pt idx="8">
                  <c:v>9.5689415687922413E-2</c:v>
                </c:pt>
                <c:pt idx="9">
                  <c:v>7.6759390847088271E-2</c:v>
                </c:pt>
                <c:pt idx="10">
                  <c:v>0.10054179727746361</c:v>
                </c:pt>
                <c:pt idx="11">
                  <c:v>0.10419830777627861</c:v>
                </c:pt>
                <c:pt idx="13">
                  <c:v>1</c:v>
                </c:pt>
                <c:pt idx="14">
                  <c:v>2.4369516042169894</c:v>
                </c:pt>
                <c:pt idx="15">
                  <c:v>0.13050231970803294</c:v>
                </c:pt>
                <c:pt idx="16">
                  <c:v>0.51407489266374951</c:v>
                </c:pt>
                <c:pt idx="17">
                  <c:v>0.70952720911540723</c:v>
                </c:pt>
                <c:pt idx="18">
                  <c:v>0.76184488581943954</c:v>
                </c:pt>
                <c:pt idx="19">
                  <c:v>0.81188128093732803</c:v>
                </c:pt>
                <c:pt idx="20">
                  <c:v>0.46543036068887045</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7904"/>
        <c:crosses val="autoZero"/>
        <c:auto val="1"/>
        <c:lblAlgn val="ctr"/>
        <c:lblOffset val="100"/>
        <c:noMultiLvlLbl val="0"/>
      </c:catAx>
      <c:valAx>
        <c:axId val="324817904"/>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'R2'!$B$54:$V$54</c:f>
                <c:numCache>
                  <c:formatCode>General</c:formatCode>
                  <c:ptCount val="21"/>
                  <c:pt idx="0">
                    <c:v>4.1061176253944204E-2</c:v>
                  </c:pt>
                  <c:pt idx="1">
                    <c:v>6.9638435479776967E-2</c:v>
                  </c:pt>
                  <c:pt idx="2">
                    <c:v>4.8680875976055256E-2</c:v>
                  </c:pt>
                  <c:pt idx="3">
                    <c:v>0.23452204391340875</c:v>
                  </c:pt>
                  <c:pt idx="4">
                    <c:v>0.24736871576310462</c:v>
                  </c:pt>
                  <c:pt idx="5">
                    <c:v>0.32558067784808692</c:v>
                  </c:pt>
                  <c:pt idx="6">
                    <c:v>0.28732964408023348</c:v>
                  </c:pt>
                  <c:pt idx="7">
                    <c:v>3.3809301758808988E-2</c:v>
                  </c:pt>
                  <c:pt idx="8">
                    <c:v>2.3657384088662494E-2</c:v>
                  </c:pt>
                  <c:pt idx="9">
                    <c:v>8.8441349679343959E-2</c:v>
                  </c:pt>
                  <c:pt idx="10">
                    <c:v>3.373198625432209E-2</c:v>
                  </c:pt>
                  <c:pt idx="11">
                    <c:v>5.7569523166237951E-2</c:v>
                  </c:pt>
                  <c:pt idx="13">
                    <c:v>0.17869100447860387</c:v>
                  </c:pt>
                  <c:pt idx="14">
                    <c:v>0.40359672418520665</c:v>
                  </c:pt>
                  <c:pt idx="15">
                    <c:v>4.9499890636947604E-2</c:v>
                  </c:pt>
                  <c:pt idx="16">
                    <c:v>0.26047677292573013</c:v>
                  </c:pt>
                  <c:pt idx="17">
                    <c:v>0.32250880118787478</c:v>
                  </c:pt>
                  <c:pt idx="18">
                    <c:v>0.30577524474523726</c:v>
                  </c:pt>
                  <c:pt idx="19">
                    <c:v>0.4681040787664566</c:v>
                  </c:pt>
                  <c:pt idx="20">
                    <c:v>0.31934078279768024</c:v>
                  </c:pt>
                </c:numCache>
              </c:numRef>
            </c:plus>
            <c:minus>
              <c:numRef>
                <c:f>'R1'!$N$48:$V$48</c:f>
                <c:numCache>
                  <c:formatCode>General</c:formatCode>
                  <c:ptCount val="9"/>
                  <c:pt idx="0">
                    <c:v>0</c:v>
                  </c:pt>
                  <c:pt idx="1">
                    <c:v>0.18386208076814539</c:v>
                  </c:pt>
                  <c:pt idx="2">
                    <c:v>0.19331220408133928</c:v>
                  </c:pt>
                  <c:pt idx="3">
                    <c:v>2.6052787633910078E-2</c:v>
                  </c:pt>
                  <c:pt idx="4">
                    <c:v>0.18996124054960467</c:v>
                  </c:pt>
                  <c:pt idx="5">
                    <c:v>0.15072669488793886</c:v>
                  </c:pt>
                  <c:pt idx="6">
                    <c:v>0.29461284893841583</c:v>
                  </c:pt>
                  <c:pt idx="7">
                    <c:v>0.21361869607532788</c:v>
                  </c:pt>
                  <c:pt idx="8">
                    <c:v>0.16821492863537141</c:v>
                  </c:pt>
                </c:numCache>
              </c:numRef>
            </c:minus>
          </c:errBars>
          <c:cat>
            <c:strRef>
              <c:f>'R2'!$B$52:$V$52</c:f>
              <c:strCache>
                <c:ptCount val="21"/>
                <c:pt idx="0">
                  <c:v>Témoin solvant</c:v>
                </c:pt>
                <c:pt idx="1">
                  <c:v>EE2-33,8ng/L</c:v>
                </c:pt>
                <c:pt idx="2">
                  <c:v>EE2-50,6ng/L</c:v>
                </c:pt>
                <c:pt idx="3">
                  <c:v>EE2-76ng/L</c:v>
                </c:pt>
                <c:pt idx="4">
                  <c:v>EE2-114ng/L</c:v>
                </c:pt>
                <c:pt idx="5">
                  <c:v>EE2-170,9ng/L</c:v>
                </c:pt>
                <c:pt idx="6">
                  <c:v>EE2-488ng/L</c:v>
                </c:pt>
                <c:pt idx="7">
                  <c:v>Cefuroxime-0.001mg/L</c:v>
                </c:pt>
                <c:pt idx="8">
                  <c:v>Cefuroxime-0.01mg/L</c:v>
                </c:pt>
                <c:pt idx="9">
                  <c:v>Cefuroxime-0.1mg/L</c:v>
                </c:pt>
                <c:pt idx="10">
                  <c:v>Cefuroxime-1mg/L</c:v>
                </c:pt>
                <c:pt idx="11">
                  <c:v>Cefuroxime-10mg/L</c:v>
                </c:pt>
                <c:pt idx="13">
                  <c:v>Testo -30µg/L</c:v>
                </c:pt>
                <c:pt idx="14">
                  <c:v>Testo 30µg/L + EE2 -64ng/L</c:v>
                </c:pt>
                <c:pt idx="15">
                  <c:v>Testo 30µg/L + FAD-10mg/L</c:v>
                </c:pt>
                <c:pt idx="16">
                  <c:v>Cefuroxime-0,001mg/L + Testostérone</c:v>
                </c:pt>
                <c:pt idx="17">
                  <c:v>Cefuroxime-0,01mg/L + Testostérone</c:v>
                </c:pt>
                <c:pt idx="18">
                  <c:v>Cefuroxime-0,1mg/L + Testostérone</c:v>
                </c:pt>
                <c:pt idx="19">
                  <c:v>Cefuroxime-1mg/L + Testostérone</c:v>
                </c:pt>
                <c:pt idx="20">
                  <c:v>Cefuroxime-10mg/L + Testostérone</c:v>
                </c:pt>
              </c:strCache>
            </c:strRef>
          </c:cat>
          <c:val>
            <c:numRef>
              <c:f>'R2'!$B$53:$V$53</c:f>
              <c:numCache>
                <c:formatCode>0.0000</c:formatCode>
                <c:ptCount val="21"/>
                <c:pt idx="0">
                  <c:v>0.2001901507846312</c:v>
                </c:pt>
                <c:pt idx="1">
                  <c:v>0.17785362333190982</c:v>
                </c:pt>
                <c:pt idx="2">
                  <c:v>0.18746566997144154</c:v>
                </c:pt>
                <c:pt idx="3">
                  <c:v>0.68661195390934526</c:v>
                </c:pt>
                <c:pt idx="4">
                  <c:v>1.7011239781513778</c:v>
                </c:pt>
                <c:pt idx="5">
                  <c:v>2.000096236853409</c:v>
                </c:pt>
                <c:pt idx="6">
                  <c:v>3.6187008359345954</c:v>
                </c:pt>
                <c:pt idx="7">
                  <c:v>0.14445306101490282</c:v>
                </c:pt>
                <c:pt idx="8">
                  <c:v>9.3789630117010761E-2</c:v>
                </c:pt>
                <c:pt idx="9">
                  <c:v>0.19481844592458478</c:v>
                </c:pt>
                <c:pt idx="10">
                  <c:v>0.12349557852208437</c:v>
                </c:pt>
                <c:pt idx="11">
                  <c:v>0.20047108313898709</c:v>
                </c:pt>
                <c:pt idx="13">
                  <c:v>0.99999999999999978</c:v>
                </c:pt>
                <c:pt idx="14">
                  <c:v>2.8966358015934395</c:v>
                </c:pt>
                <c:pt idx="15">
                  <c:v>0.1647039610328207</c:v>
                </c:pt>
                <c:pt idx="16">
                  <c:v>0.93206624904215574</c:v>
                </c:pt>
                <c:pt idx="17">
                  <c:v>1.138458288137882</c:v>
                </c:pt>
                <c:pt idx="18">
                  <c:v>1.6145671111718096</c:v>
                </c:pt>
                <c:pt idx="19">
                  <c:v>1.0469171501104175</c:v>
                </c:pt>
                <c:pt idx="20">
                  <c:v>1.2299405221781519</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8688"/>
        <c:crosses val="autoZero"/>
        <c:auto val="1"/>
        <c:lblAlgn val="ctr"/>
        <c:lblOffset val="100"/>
        <c:noMultiLvlLbl val="0"/>
      </c:catAx>
      <c:valAx>
        <c:axId val="324818688"/>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'R3'!$B$54:$V$54</c:f>
                <c:numCache>
                  <c:formatCode>General</c:formatCode>
                  <c:ptCount val="21"/>
                  <c:pt idx="0">
                    <c:v>1.9712594214738061E-2</c:v>
                  </c:pt>
                  <c:pt idx="1">
                    <c:v>3.4338849767255007E-2</c:v>
                  </c:pt>
                  <c:pt idx="2">
                    <c:v>5.2924635219549925E-2</c:v>
                  </c:pt>
                  <c:pt idx="3">
                    <c:v>0.11131406608566702</c:v>
                  </c:pt>
                  <c:pt idx="4">
                    <c:v>0.11578037084141615</c:v>
                  </c:pt>
                  <c:pt idx="5">
                    <c:v>0.14224170561506297</c:v>
                  </c:pt>
                  <c:pt idx="6">
                    <c:v>0.17581371643084695</c:v>
                  </c:pt>
                  <c:pt idx="7">
                    <c:v>2.5212476056239851E-2</c:v>
                  </c:pt>
                  <c:pt idx="8">
                    <c:v>1.3281831608276005E-2</c:v>
                  </c:pt>
                  <c:pt idx="9">
                    <c:v>2.7472967136867726E-2</c:v>
                  </c:pt>
                  <c:pt idx="10">
                    <c:v>3.6013604856398762E-2</c:v>
                  </c:pt>
                  <c:pt idx="11">
                    <c:v>2.6409700258135268E-2</c:v>
                  </c:pt>
                  <c:pt idx="13">
                    <c:v>0.11803593582296638</c:v>
                  </c:pt>
                  <c:pt idx="14">
                    <c:v>9.7991459633174599E-2</c:v>
                  </c:pt>
                  <c:pt idx="15">
                    <c:v>2.7375559484098016E-2</c:v>
                  </c:pt>
                  <c:pt idx="16">
                    <c:v>8.8444307077848228E-2</c:v>
                  </c:pt>
                  <c:pt idx="17">
                    <c:v>5.4187037782519099E-2</c:v>
                  </c:pt>
                  <c:pt idx="18">
                    <c:v>0.13871943449631227</c:v>
                  </c:pt>
                  <c:pt idx="19">
                    <c:v>0.19650527614332866</c:v>
                  </c:pt>
                  <c:pt idx="20">
                    <c:v>6.9275542698937181E-2</c:v>
                  </c:pt>
                </c:numCache>
              </c:numRef>
            </c:plus>
            <c:minus>
              <c:numRef>
                <c:f>'R1'!$N$48:$V$48</c:f>
                <c:numCache>
                  <c:formatCode>General</c:formatCode>
                  <c:ptCount val="9"/>
                  <c:pt idx="0">
                    <c:v>0</c:v>
                  </c:pt>
                  <c:pt idx="1">
                    <c:v>0.18386208076814539</c:v>
                  </c:pt>
                  <c:pt idx="2">
                    <c:v>0.19331220408133928</c:v>
                  </c:pt>
                  <c:pt idx="3">
                    <c:v>2.6052787633910078E-2</c:v>
                  </c:pt>
                  <c:pt idx="4">
                    <c:v>0.18996124054960467</c:v>
                  </c:pt>
                  <c:pt idx="5">
                    <c:v>0.15072669488793886</c:v>
                  </c:pt>
                  <c:pt idx="6">
                    <c:v>0.29461284893841583</c:v>
                  </c:pt>
                  <c:pt idx="7">
                    <c:v>0.21361869607532788</c:v>
                  </c:pt>
                  <c:pt idx="8">
                    <c:v>0.16821492863537141</c:v>
                  </c:pt>
                </c:numCache>
              </c:numRef>
            </c:minus>
          </c:errBars>
          <c:cat>
            <c:strRef>
              <c:f>'R3'!$B$52:$V$52</c:f>
              <c:strCache>
                <c:ptCount val="21"/>
                <c:pt idx="0">
                  <c:v>Témoin solvant</c:v>
                </c:pt>
                <c:pt idx="1">
                  <c:v>EE2-33,8ng/L</c:v>
                </c:pt>
                <c:pt idx="2">
                  <c:v>EE2-50,6ng/L</c:v>
                </c:pt>
                <c:pt idx="3">
                  <c:v>EE2-76ng/L</c:v>
                </c:pt>
                <c:pt idx="4">
                  <c:v>EE2-114ng/L</c:v>
                </c:pt>
                <c:pt idx="5">
                  <c:v>EE2-170,9ng/L</c:v>
                </c:pt>
                <c:pt idx="6">
                  <c:v>EE2-488ng/L</c:v>
                </c:pt>
                <c:pt idx="7">
                  <c:v>Cefuroxime-0.001mg/L</c:v>
                </c:pt>
                <c:pt idx="8">
                  <c:v>Cefuroxime-0.01mg/L</c:v>
                </c:pt>
                <c:pt idx="9">
                  <c:v>Cefuroxime-0.1mg/L</c:v>
                </c:pt>
                <c:pt idx="10">
                  <c:v>Cefuroxime-1mg/L</c:v>
                </c:pt>
                <c:pt idx="11">
                  <c:v>Cefuroxime-10mg/L</c:v>
                </c:pt>
                <c:pt idx="13">
                  <c:v>Testo -30µg/L</c:v>
                </c:pt>
                <c:pt idx="14">
                  <c:v>Testo 30µg/L + EE2 -64ng/L</c:v>
                </c:pt>
                <c:pt idx="15">
                  <c:v>Testo 30µg/L + FAD-10mg/L</c:v>
                </c:pt>
                <c:pt idx="16">
                  <c:v>Cefuroxime-0,001mg/L + Testostérone</c:v>
                </c:pt>
                <c:pt idx="17">
                  <c:v>Cefuroxime-0,01mg/L + Testostérone</c:v>
                </c:pt>
                <c:pt idx="18">
                  <c:v>Cefuroxime-0,1mg/L + Testostérone</c:v>
                </c:pt>
                <c:pt idx="19">
                  <c:v>Cefuroxime-1mg/L + Testostérone</c:v>
                </c:pt>
                <c:pt idx="20">
                  <c:v>Cefuroxime-10mg/L + Testostérone</c:v>
                </c:pt>
              </c:strCache>
            </c:strRef>
          </c:cat>
          <c:val>
            <c:numRef>
              <c:f>'R3'!$B$53:$V$53</c:f>
              <c:numCache>
                <c:formatCode>0.0000</c:formatCode>
                <c:ptCount val="21"/>
                <c:pt idx="0">
                  <c:v>0.1225530837404032</c:v>
                </c:pt>
                <c:pt idx="1">
                  <c:v>0.13908424906373246</c:v>
                </c:pt>
                <c:pt idx="2">
                  <c:v>0.17932167237204305</c:v>
                </c:pt>
                <c:pt idx="3">
                  <c:v>0.61163280550269228</c:v>
                </c:pt>
                <c:pt idx="4">
                  <c:v>1.0466301338993642</c:v>
                </c:pt>
                <c:pt idx="5">
                  <c:v>1.6182714832640366</c:v>
                </c:pt>
                <c:pt idx="6">
                  <c:v>1.8478750239282851</c:v>
                </c:pt>
                <c:pt idx="7">
                  <c:v>0.11854957485558874</c:v>
                </c:pt>
                <c:pt idx="8">
                  <c:v>9.1940841480296048E-2</c:v>
                </c:pt>
                <c:pt idx="9">
                  <c:v>0.10711328088663932</c:v>
                </c:pt>
                <c:pt idx="10">
                  <c:v>0.20584516685689375</c:v>
                </c:pt>
                <c:pt idx="11">
                  <c:v>0.17012777133490728</c:v>
                </c:pt>
                <c:pt idx="13">
                  <c:v>1</c:v>
                </c:pt>
                <c:pt idx="14">
                  <c:v>1.6603595006637935</c:v>
                </c:pt>
                <c:pt idx="15">
                  <c:v>0.13179615543814149</c:v>
                </c:pt>
                <c:pt idx="16">
                  <c:v>0.33687283510990806</c:v>
                </c:pt>
                <c:pt idx="17">
                  <c:v>0.2062783056743456</c:v>
                </c:pt>
                <c:pt idx="18">
                  <c:v>0.60100269802053674</c:v>
                </c:pt>
                <c:pt idx="19">
                  <c:v>0.45987855974732739</c:v>
                </c:pt>
                <c:pt idx="20">
                  <c:v>0.51060172990985586</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434373880"/>
        <c:crosses val="autoZero"/>
        <c:auto val="1"/>
        <c:lblAlgn val="ctr"/>
        <c:lblOffset val="100"/>
        <c:noMultiLvlLbl val="0"/>
      </c:catAx>
      <c:valAx>
        <c:axId val="434373880"/>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1"/>
            <c:invertIfNegative val="0"/>
            <c:bubble3D val="0"/>
            <c:spPr>
              <a:solidFill>
                <a:srgbClr val="BA3838"/>
              </a:solidFill>
            </c:spPr>
            <c:extLst>
              <c:ext xmlns:c16="http://schemas.microsoft.com/office/drawing/2014/chart" uri="{C3380CC4-5D6E-409C-BE32-E72D297353CC}">
                <c16:uniqueId val="{00000001-033C-4530-84A9-991A3866ABD4}"/>
              </c:ext>
            </c:extLst>
          </c:dPt>
          <c:dPt>
            <c:idx val="2"/>
            <c:invertIfNegative val="0"/>
            <c:bubble3D val="0"/>
            <c:spPr>
              <a:solidFill>
                <a:schemeClr val="bg1">
                  <a:lumMod val="65000"/>
                </a:schemeClr>
              </a:solidFill>
            </c:spPr>
            <c:extLst>
              <c:ext xmlns:c16="http://schemas.microsoft.com/office/drawing/2014/chart" uri="{C3380CC4-5D6E-409C-BE32-E72D297353CC}">
                <c16:uniqueId val="{00000003-033C-4530-84A9-991A3866ABD4}"/>
              </c:ext>
            </c:extLst>
          </c:dPt>
          <c:dPt>
            <c:idx val="3"/>
            <c:invertIfNegative val="0"/>
            <c:bubble3D val="0"/>
            <c:spPr>
              <a:solidFill>
                <a:schemeClr val="bg1">
                  <a:lumMod val="65000"/>
                </a:schemeClr>
              </a:solidFill>
            </c:spPr>
            <c:extLst>
              <c:ext xmlns:c16="http://schemas.microsoft.com/office/drawing/2014/chart" uri="{C3380CC4-5D6E-409C-BE32-E72D297353CC}">
                <c16:uniqueId val="{00000005-033C-4530-84A9-991A3866ABD4}"/>
              </c:ext>
            </c:extLst>
          </c:dPt>
          <c:dPt>
            <c:idx val="4"/>
            <c:invertIfNegative val="0"/>
            <c:bubble3D val="0"/>
            <c:spPr>
              <a:solidFill>
                <a:schemeClr val="bg1">
                  <a:lumMod val="65000"/>
                </a:schemeClr>
              </a:solidFill>
            </c:spPr>
            <c:extLst>
              <c:ext xmlns:c16="http://schemas.microsoft.com/office/drawing/2014/chart" uri="{C3380CC4-5D6E-409C-BE32-E72D297353CC}">
                <c16:uniqueId val="{00000007-033C-4530-84A9-991A3866ABD4}"/>
              </c:ext>
            </c:extLst>
          </c:dPt>
          <c:dPt>
            <c:idx val="5"/>
            <c:invertIfNegative val="0"/>
            <c:bubble3D val="0"/>
            <c:spPr>
              <a:solidFill>
                <a:schemeClr val="tx2">
                  <a:lumMod val="40000"/>
                  <a:lumOff val="60000"/>
                </a:schemeClr>
              </a:solidFill>
            </c:spPr>
            <c:extLst>
              <c:ext xmlns:c16="http://schemas.microsoft.com/office/drawing/2014/chart" uri="{C3380CC4-5D6E-409C-BE32-E72D297353CC}">
                <c16:uniqueId val="{00000009-033C-4530-84A9-991A3866ABD4}"/>
              </c:ext>
            </c:extLst>
          </c:dPt>
          <c:dPt>
            <c:idx val="6"/>
            <c:invertIfNegative val="0"/>
            <c:bubble3D val="0"/>
            <c:spPr>
              <a:solidFill>
                <a:schemeClr val="tx2">
                  <a:lumMod val="40000"/>
                  <a:lumOff val="60000"/>
                </a:schemeClr>
              </a:solidFill>
            </c:spPr>
            <c:extLst>
              <c:ext xmlns:c16="http://schemas.microsoft.com/office/drawing/2014/chart" uri="{C3380CC4-5D6E-409C-BE32-E72D297353CC}">
                <c16:uniqueId val="{0000000B-033C-4530-84A9-991A3866ABD4}"/>
              </c:ext>
            </c:extLst>
          </c:dPt>
          <c:dPt>
            <c:idx val="7"/>
            <c:invertIfNegative val="0"/>
            <c:bubble3D val="0"/>
            <c:spPr>
              <a:solidFill>
                <a:schemeClr val="tx2">
                  <a:lumMod val="40000"/>
                  <a:lumOff val="6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tx2">
                  <a:lumMod val="40000"/>
                  <a:lumOff val="60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chemeClr val="tx2">
                  <a:lumMod val="40000"/>
                  <a:lumOff val="60000"/>
                </a:schemeClr>
              </a:solidFill>
            </c:spPr>
            <c:extLst>
              <c:ext xmlns:c16="http://schemas.microsoft.com/office/drawing/2014/chart" uri="{C3380CC4-5D6E-409C-BE32-E72D297353CC}">
                <c16:uniqueId val="{00000019-033C-4530-84A9-991A3866ABD4}"/>
              </c:ext>
            </c:extLst>
          </c:dPt>
          <c:dPt>
            <c:idx val="14"/>
            <c:invertIfNegative val="0"/>
            <c:bubble3D val="0"/>
            <c:spPr>
              <a:solidFill>
                <a:schemeClr val="bg1">
                  <a:lumMod val="65000"/>
                </a:schemeClr>
              </a:solidFill>
            </c:spPr>
            <c:extLst>
              <c:ext xmlns:c16="http://schemas.microsoft.com/office/drawing/2014/chart" uri="{C3380CC4-5D6E-409C-BE32-E72D297353CC}">
                <c16:uniqueId val="{0000001B-033C-4530-84A9-991A3866ABD4}"/>
              </c:ext>
            </c:extLst>
          </c:dPt>
          <c:dPt>
            <c:idx val="15"/>
            <c:invertIfNegative val="0"/>
            <c:bubble3D val="0"/>
            <c:spPr>
              <a:solidFill>
                <a:schemeClr val="bg1">
                  <a:lumMod val="65000"/>
                </a:schemeClr>
              </a:solidFill>
            </c:spPr>
            <c:extLst>
              <c:ext xmlns:c16="http://schemas.microsoft.com/office/drawing/2014/chart" uri="{C3380CC4-5D6E-409C-BE32-E72D297353CC}">
                <c16:uniqueId val="{0000001D-033C-4530-84A9-991A3866ABD4}"/>
              </c:ext>
            </c:extLst>
          </c:dPt>
          <c:dPt>
            <c:idx val="16"/>
            <c:invertIfNegative val="0"/>
            <c:bubble3D val="0"/>
            <c:spPr>
              <a:solidFill>
                <a:schemeClr val="bg1">
                  <a:lumMod val="65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tx2">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tx2">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tx2">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bg1">
                  <a:lumMod val="65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D00B9365-C271-47A7-9B81-33D3CF44D08A}"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8D05E2C7-5100-4CC3-8AF0-82B8058489D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A72DB866-F9EE-4D30-BB30-7B7DBD1146F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D9D955C1-0D86-44B3-8518-FB4FE28713A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67DD9691-7F6F-4161-957B-4F04E010B64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1B56FEB1-9FAA-4DDA-8566-1D65FFFA186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C2121632-D3C6-49A7-94DC-CFA62DE4012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FB3AFFDA-1370-4CDE-B14B-0EB05C9B1A5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E9268058-1D2D-4306-B490-07F9544504F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13D86A20-F952-4B63-A3F6-77F9F542F46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72C35916-54CF-4EC1-BDCD-862AEB40517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68CDC66A-CC9C-447B-8010-EEAF0BF65AF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fr-FR"/>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C8D9DC9D-8907-4269-9A24-B3B8FD81279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924741AE-7190-407A-AF88-0558F932F10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5AE5B35C-59C2-4F10-A76B-FE1AB0E39E3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E4EAFD5F-F1AC-41C7-A226-E52346E6DBD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C9D21849-1CBE-4B53-AFB8-DEFE04422D4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A6AF45E4-6258-4E21-B632-A147F5CFCD7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F467ADEE-D731-47E9-8742-7E850A432D3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24E260EE-9557-4853-9DD3-5A147D005DC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values'!$B$76:$V$76</c:f>
                <c:numCache>
                  <c:formatCode>General</c:formatCode>
                  <c:ptCount val="21"/>
                  <c:pt idx="0">
                    <c:v>2.0298246589113982E-2</c:v>
                  </c:pt>
                  <c:pt idx="1">
                    <c:v>2.5754204226469443E-2</c:v>
                  </c:pt>
                  <c:pt idx="2">
                    <c:v>2.6502566298317039E-2</c:v>
                  </c:pt>
                  <c:pt idx="3">
                    <c:v>9.6001992281332674E-2</c:v>
                  </c:pt>
                  <c:pt idx="4">
                    <c:v>0.1306881408335393</c:v>
                  </c:pt>
                  <c:pt idx="5">
                    <c:v>0.15028097240531191</c:v>
                  </c:pt>
                  <c:pt idx="6">
                    <c:v>0.1975064653491235</c:v>
                  </c:pt>
                  <c:pt idx="7">
                    <c:v>1.8591504391687528E-2</c:v>
                  </c:pt>
                  <c:pt idx="8">
                    <c:v>1.2227395781247537E-2</c:v>
                  </c:pt>
                  <c:pt idx="9">
                    <c:v>2.9738833627726741E-2</c:v>
                  </c:pt>
                  <c:pt idx="10">
                    <c:v>2.1513589137384326E-2</c:v>
                  </c:pt>
                  <c:pt idx="11">
                    <c:v>2.3555362744372844E-2</c:v>
                  </c:pt>
                  <c:pt idx="13">
                    <c:v>9.1017599504247801E-2</c:v>
                  </c:pt>
                  <c:pt idx="14">
                    <c:v>0.17907008855547116</c:v>
                  </c:pt>
                  <c:pt idx="15">
                    <c:v>1.9294725959008142E-2</c:v>
                  </c:pt>
                  <c:pt idx="16">
                    <c:v>0.11872905086143566</c:v>
                  </c:pt>
                  <c:pt idx="17">
                    <c:v>0.14819593795780256</c:v>
                  </c:pt>
                  <c:pt idx="18">
                    <c:v>0.16983400230941684</c:v>
                  </c:pt>
                  <c:pt idx="19">
                    <c:v>0.18233666468179255</c:v>
                  </c:pt>
                  <c:pt idx="20">
                    <c:v>0.14328280234417004</c:v>
                  </c:pt>
                </c:numCache>
              </c:numRef>
            </c:plus>
            <c:minus>
              <c:numRef>
                <c:f>'pooled normalised values'!$B$76:$V$76</c:f>
                <c:numCache>
                  <c:formatCode>General</c:formatCode>
                  <c:ptCount val="21"/>
                  <c:pt idx="0">
                    <c:v>2.0298246589113982E-2</c:v>
                  </c:pt>
                  <c:pt idx="1">
                    <c:v>2.5754204226469443E-2</c:v>
                  </c:pt>
                  <c:pt idx="2">
                    <c:v>2.6502566298317039E-2</c:v>
                  </c:pt>
                  <c:pt idx="3">
                    <c:v>9.6001992281332674E-2</c:v>
                  </c:pt>
                  <c:pt idx="4">
                    <c:v>0.1306881408335393</c:v>
                  </c:pt>
                  <c:pt idx="5">
                    <c:v>0.15028097240531191</c:v>
                  </c:pt>
                  <c:pt idx="6">
                    <c:v>0.1975064653491235</c:v>
                  </c:pt>
                  <c:pt idx="7">
                    <c:v>1.8591504391687528E-2</c:v>
                  </c:pt>
                  <c:pt idx="8">
                    <c:v>1.2227395781247537E-2</c:v>
                  </c:pt>
                  <c:pt idx="9">
                    <c:v>2.9738833627726741E-2</c:v>
                  </c:pt>
                  <c:pt idx="10">
                    <c:v>2.1513589137384326E-2</c:v>
                  </c:pt>
                  <c:pt idx="11">
                    <c:v>2.3555362744372844E-2</c:v>
                  </c:pt>
                  <c:pt idx="13">
                    <c:v>9.1017599504247801E-2</c:v>
                  </c:pt>
                  <c:pt idx="14">
                    <c:v>0.17907008855547116</c:v>
                  </c:pt>
                  <c:pt idx="15">
                    <c:v>1.9294725959008142E-2</c:v>
                  </c:pt>
                  <c:pt idx="16">
                    <c:v>0.11872905086143566</c:v>
                  </c:pt>
                  <c:pt idx="17">
                    <c:v>0.14819593795780256</c:v>
                  </c:pt>
                  <c:pt idx="18">
                    <c:v>0.16983400230941684</c:v>
                  </c:pt>
                  <c:pt idx="19">
                    <c:v>0.18233666468179255</c:v>
                  </c:pt>
                  <c:pt idx="20">
                    <c:v>0.14328280234417004</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Cefuroxime-0.001mg/L</c:v>
                </c:pt>
                <c:pt idx="8">
                  <c:v>Cefuroxime-0.01mg/L</c:v>
                </c:pt>
                <c:pt idx="9">
                  <c:v>Cefuroxime-0.1mg/L</c:v>
                </c:pt>
                <c:pt idx="10">
                  <c:v>Cefuroxime-1mg/L</c:v>
                </c:pt>
                <c:pt idx="11">
                  <c:v>Cefuroxime-10mg/L</c:v>
                </c:pt>
                <c:pt idx="13">
                  <c:v>Testo -30µg/L</c:v>
                </c:pt>
                <c:pt idx="14">
                  <c:v>Testo 30µg/L + EE2 -64ng/L</c:v>
                </c:pt>
                <c:pt idx="15">
                  <c:v>Testo 30µg/L + FAD-10mg/L</c:v>
                </c:pt>
                <c:pt idx="16">
                  <c:v>Cefuroxime-0,001mg/L + Testostérone</c:v>
                </c:pt>
                <c:pt idx="17">
                  <c:v>Cefuroxime-0,01mg/L + Testostérone</c:v>
                </c:pt>
                <c:pt idx="18">
                  <c:v>Cefuroxime-0,1mg/L + Testostérone</c:v>
                </c:pt>
                <c:pt idx="19">
                  <c:v>Cefuroxime-1mg/L + Testostérone</c:v>
                </c:pt>
                <c:pt idx="20">
                  <c:v>Cefuroxime-10mg/L + Testostérone</c:v>
                </c:pt>
              </c:strCache>
            </c:strRef>
          </c:cat>
          <c:val>
            <c:numRef>
              <c:f>'pooled normalised values'!$B$75:$V$75</c:f>
              <c:numCache>
                <c:formatCode>0.0000</c:formatCode>
                <c:ptCount val="21"/>
                <c:pt idx="0">
                  <c:v>0.14437035012603847</c:v>
                </c:pt>
                <c:pt idx="1">
                  <c:v>0.14889571088107822</c:v>
                </c:pt>
                <c:pt idx="2">
                  <c:v>0.14477282275766465</c:v>
                </c:pt>
                <c:pt idx="3">
                  <c:v>0.52987312831989786</c:v>
                </c:pt>
                <c:pt idx="4">
                  <c:v>1.3655568876309587</c:v>
                </c:pt>
                <c:pt idx="5">
                  <c:v>1.7462862383978803</c:v>
                </c:pt>
                <c:pt idx="6">
                  <c:v>2.5893969972570487</c:v>
                </c:pt>
                <c:pt idx="7">
                  <c:v>0.12241064887125315</c:v>
                </c:pt>
                <c:pt idx="8">
                  <c:v>9.3724768808430947E-2</c:v>
                </c:pt>
                <c:pt idx="9">
                  <c:v>0.12324828240617017</c:v>
                </c:pt>
                <c:pt idx="10">
                  <c:v>0.14239424441441711</c:v>
                </c:pt>
                <c:pt idx="11">
                  <c:v>0.15774997942028154</c:v>
                </c:pt>
                <c:pt idx="13">
                  <c:v>0.99999999999999967</c:v>
                </c:pt>
                <c:pt idx="14">
                  <c:v>2.3361172704334798</c:v>
                </c:pt>
                <c:pt idx="15">
                  <c:v>0.14136154471300608</c:v>
                </c:pt>
                <c:pt idx="16">
                  <c:v>0.59068966956247471</c:v>
                </c:pt>
                <c:pt idx="17">
                  <c:v>0.70537749584687848</c:v>
                </c:pt>
                <c:pt idx="18">
                  <c:v>0.99247156500392864</c:v>
                </c:pt>
                <c:pt idx="19">
                  <c:v>0.77289233026502424</c:v>
                </c:pt>
                <c:pt idx="20">
                  <c:v>0.74509474662196407</c:v>
                </c:pt>
              </c:numCache>
            </c:numRef>
          </c:val>
          <c:extLst>
            <c:ext xmlns:c15="http://schemas.microsoft.com/office/drawing/2012/chart" uri="{02D57815-91ED-43cb-92C2-25804820EDAC}">
              <c15:datalabelsRange>
                <c15:f>'pooled normalised values'!$B$83:$V$83</c15:f>
                <c15:dlblRangeCache>
                  <c:ptCount val="21"/>
                  <c:pt idx="1">
                    <c:v>ns</c:v>
                  </c:pt>
                  <c:pt idx="2">
                    <c:v>ns</c:v>
                  </c:pt>
                  <c:pt idx="3">
                    <c:v>*</c:v>
                  </c:pt>
                  <c:pt idx="4">
                    <c:v>***</c:v>
                  </c:pt>
                  <c:pt idx="5">
                    <c:v>***</c:v>
                  </c:pt>
                  <c:pt idx="6">
                    <c:v>***</c:v>
                  </c:pt>
                  <c:pt idx="7">
                    <c:v>ns</c:v>
                  </c:pt>
                  <c:pt idx="8">
                    <c:v>ns</c:v>
                  </c:pt>
                  <c:pt idx="9">
                    <c:v>ns</c:v>
                  </c:pt>
                  <c:pt idx="10">
                    <c:v>ns</c:v>
                  </c:pt>
                  <c:pt idx="11">
                    <c:v>ns</c:v>
                  </c:pt>
                  <c:pt idx="13">
                    <c:v>***</c:v>
                  </c:pt>
                  <c:pt idx="14">
                    <c:v>***</c:v>
                  </c:pt>
                  <c:pt idx="15">
                    <c:v>***</c:v>
                  </c:pt>
                  <c:pt idx="16">
                    <c:v>*</c:v>
                  </c:pt>
                  <c:pt idx="17">
                    <c:v>ns</c:v>
                  </c:pt>
                  <c:pt idx="18">
                    <c:v>ns</c:v>
                  </c:pt>
                  <c:pt idx="19">
                    <c:v>ns</c:v>
                  </c:pt>
                  <c:pt idx="20">
                    <c:v>ns</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fr-FR"/>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fr-FR"/>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Cefuroxime-0,001mg/L : 0%</c:v>
                  </c:pt>
                  <c:pt idx="1">
                    <c:v>Cefuroxime-0,01mg/L : 0%</c:v>
                  </c:pt>
                  <c:pt idx="2">
                    <c:v>Cefuroxime-0,1mg/L : 0%</c:v>
                  </c:pt>
                  <c:pt idx="3">
                    <c:v>Cefuroxime-1mg/L : 0%</c:v>
                  </c:pt>
                  <c:pt idx="4">
                    <c:v>Cefuroxime-10mg/L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#NOMBRE!</c:v>
                  </c:pt>
                  <c:pt idx="1">
                    <c:v>Cefuroxime-0,01mg/L : 0%</c:v>
                  </c:pt>
                  <c:pt idx="2">
                    <c:v>Cefuroxime-0,1mg/L : 0%</c:v>
                  </c:pt>
                  <c:pt idx="3">
                    <c:v>Cefuroxime-1mg/L : 0%</c:v>
                  </c:pt>
                  <c:pt idx="4">
                    <c:v>Cefuroxime-10mg/L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Cefuroxime-0,001mg/L : 0%</c:v>
                  </c:pt>
                  <c:pt idx="1">
                    <c:v>Cefuroxime-0,01mg/L : 0%</c:v>
                  </c:pt>
                  <c:pt idx="2">
                    <c:v>Cefuroxime-0,1mg/L : 0%</c:v>
                  </c:pt>
                  <c:pt idx="3">
                    <c:v>Cefuroxime-1mg/L : 0%</c:v>
                  </c:pt>
                  <c:pt idx="4">
                    <c:v>Cefuroxime-10mg/L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#NOMBRE!</c:v>
                  </c:pt>
                  <c:pt idx="1">
                    <c:v>Cefuroxime-0,01mg/L : 0%</c:v>
                  </c:pt>
                  <c:pt idx="2">
                    <c:v>Cefuroxime-0,1mg/L : 0%</c:v>
                  </c:pt>
                  <c:pt idx="3">
                    <c:v>Cefuroxime-1mg/L : 0%</c:v>
                  </c:pt>
                  <c:pt idx="4">
                    <c:v>Cefuroxime-10mg/L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Cefuroxime-0.01mg/L</c:v>
                </c:pt>
                <c:pt idx="2">
                  <c:v>Cefuroxime-0.1mg/L</c:v>
                </c:pt>
                <c:pt idx="3">
                  <c:v>Cefuroxime-1mg/L</c:v>
                </c:pt>
                <c:pt idx="4">
                  <c:v>Cefuroxime-10mg/L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Cefuroxime-0.01mg/L</c:v>
                </c:pt>
                <c:pt idx="2">
                  <c:v>Cefuroxime-0.1mg/L</c:v>
                </c:pt>
                <c:pt idx="3">
                  <c:v>Cefuroxime-1mg/L</c:v>
                </c:pt>
                <c:pt idx="4">
                  <c:v>Cefuroxime-10mg/L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Cefuroxime-0.01mg/L</c:v>
                </c:pt>
                <c:pt idx="2">
                  <c:v>Cefuroxime-0.1mg/L</c:v>
                </c:pt>
                <c:pt idx="3">
                  <c:v>Cefuroxime-1mg/L</c:v>
                </c:pt>
                <c:pt idx="4">
                  <c:v>Cefuroxime-10mg/L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53BB6123-5BC8-4217-B38E-9A16C0B8A24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21FBFDBD-AC4F-460A-BB2F-1188983CA55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8E23DD3D-9212-45C3-8807-97EF6083500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7A43CBD2-A392-45EE-90C7-FEBFA9F7297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F767BE39-D9EE-409D-9AA3-43F8B689057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6736D274-90E8-4E30-B531-4A0ED7DC5AB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995D44A5-02A7-4881-8965-12043ED2421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C80D00D8-D271-4934-9B77-D0E889C050D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5DF3B6B6-E0A6-450F-AC7B-8FFC0C50F00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4551FEF2-EA0C-4C5A-B220-9D6F2782D3A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310EFDAB-B2D6-4D76-A5AE-79F7B62E2DD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B1F33C23-486B-42C1-B1EA-CF2BEB2FFAA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860DA27D-0A7B-4818-9227-916D9A73891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43AE77E9-88B0-41A1-982B-85BDC58F54D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1.2227395781247537E-2</c:v>
                  </c:pt>
                  <c:pt idx="2">
                    <c:v>2.9738833627726741E-2</c:v>
                  </c:pt>
                  <c:pt idx="3">
                    <c:v>2.1513589137384326E-2</c:v>
                  </c:pt>
                  <c:pt idx="4">
                    <c:v>2.3555362744372844E-2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1.2227395781247537E-2</c:v>
                  </c:pt>
                  <c:pt idx="2">
                    <c:v>2.9738833627726741E-2</c:v>
                  </c:pt>
                  <c:pt idx="3">
                    <c:v>2.1513589137384326E-2</c:v>
                  </c:pt>
                  <c:pt idx="4">
                    <c:v>2.3555362744372844E-2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Cefuroxime-0.01mg/L</c:v>
                </c:pt>
                <c:pt idx="2">
                  <c:v>Cefuroxime-0.1mg/L</c:v>
                </c:pt>
                <c:pt idx="3">
                  <c:v>Cefuroxime-1mg/L</c:v>
                </c:pt>
                <c:pt idx="4">
                  <c:v>Cefuroxime-10mg/L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9.3724768808430947E-2</c:v>
                </c:pt>
                <c:pt idx="2">
                  <c:v>0.12324828240617017</c:v>
                </c:pt>
                <c:pt idx="3">
                  <c:v>0.14239424441441711</c:v>
                </c:pt>
                <c:pt idx="4">
                  <c:v>0.15774997942028154</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0.14437035012603847</c:v>
                </c:pt>
                <c:pt idx="1">
                  <c:v>0.14437035012603847</c:v>
                </c:pt>
                <c:pt idx="2">
                  <c:v>0.14437035012603847</c:v>
                </c:pt>
                <c:pt idx="3">
                  <c:v>0.14437035012603847</c:v>
                </c:pt>
                <c:pt idx="4">
                  <c:v>0.14437035012603847</c:v>
                </c:pt>
                <c:pt idx="5">
                  <c:v>0.14437035012603847</c:v>
                </c:pt>
                <c:pt idx="6">
                  <c:v>0.14437035012603847</c:v>
                </c:pt>
                <c:pt idx="7">
                  <c:v>0.14437035012603847</c:v>
                </c:pt>
                <c:pt idx="8">
                  <c:v>0.14437035012603847</c:v>
                </c:pt>
                <c:pt idx="9">
                  <c:v>0.14437035012603847</c:v>
                </c:pt>
                <c:pt idx="10">
                  <c:v>0.14437035012603847</c:v>
                </c:pt>
                <c:pt idx="11">
                  <c:v>0.14437035012603847</c:v>
                </c:pt>
                <c:pt idx="12">
                  <c:v>0.14437035012603847</c:v>
                </c:pt>
                <c:pt idx="13">
                  <c:v>0.14437035012603847</c:v>
                </c:pt>
                <c:pt idx="14">
                  <c:v>0.14437035012603847</c:v>
                </c:pt>
                <c:pt idx="15">
                  <c:v>0.14437035012603847</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7976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Cefuroxime-0,001mg/L + Testostérone</c:v>
                </c:pt>
                <c:pt idx="2">
                  <c:v>Cefuroxime-0,01mg/L + Testostérone</c:v>
                </c:pt>
                <c:pt idx="3">
                  <c:v>Cefuroxime-0,1mg/L + Testostérone</c:v>
                </c:pt>
                <c:pt idx="4">
                  <c:v>Cefuroxime-1mg/L + Testostérone</c:v>
                </c:pt>
                <c:pt idx="5">
                  <c:v>Cefuroxime-10mg/L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0.14136154471300608</c:v>
                </c:pt>
                <c:pt idx="1">
                  <c:v>0.14136154471300608</c:v>
                </c:pt>
                <c:pt idx="2">
                  <c:v>0.14136154471300608</c:v>
                </c:pt>
                <c:pt idx="3">
                  <c:v>0.14136154471300608</c:v>
                </c:pt>
                <c:pt idx="4">
                  <c:v>0.14136154471300608</c:v>
                </c:pt>
                <c:pt idx="5">
                  <c:v>0.14136154471300608</c:v>
                </c:pt>
                <c:pt idx="6">
                  <c:v>0.14136154471300608</c:v>
                </c:pt>
                <c:pt idx="7">
                  <c:v>0.14136154471300608</c:v>
                </c:pt>
                <c:pt idx="8">
                  <c:v>0.14136154471300608</c:v>
                </c:pt>
                <c:pt idx="9">
                  <c:v>0.14136154471300608</c:v>
                </c:pt>
                <c:pt idx="10">
                  <c:v>0.14136154471300608</c:v>
                </c:pt>
                <c:pt idx="11">
                  <c:v>0.14136154471300608</c:v>
                </c:pt>
                <c:pt idx="12">
                  <c:v>0.14136154471300608</c:v>
                </c:pt>
                <c:pt idx="13">
                  <c:v>0.14136154471300608</c:v>
                </c:pt>
                <c:pt idx="14">
                  <c:v>0.14136154471300608</c:v>
                </c:pt>
                <c:pt idx="15">
                  <c:v>0.14136154471300608</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Cefuroxime-0,001mg/L + Testostérone</c:v>
                </c:pt>
                <c:pt idx="2">
                  <c:v>Cefuroxime-0,01mg/L + Testostérone</c:v>
                </c:pt>
                <c:pt idx="3">
                  <c:v>Cefuroxime-0,1mg/L + Testostérone</c:v>
                </c:pt>
                <c:pt idx="4">
                  <c:v>Cefuroxime-1mg/L + Testostérone</c:v>
                </c:pt>
                <c:pt idx="5">
                  <c:v>Cefuroxime-10mg/L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2.1947557257204737</c:v>
                </c:pt>
                <c:pt idx="1">
                  <c:v>2.1947557257204737</c:v>
                </c:pt>
                <c:pt idx="2">
                  <c:v>2.1947557257204737</c:v>
                </c:pt>
                <c:pt idx="3">
                  <c:v>2.1947557257204737</c:v>
                </c:pt>
                <c:pt idx="4">
                  <c:v>2.1947557257204737</c:v>
                </c:pt>
                <c:pt idx="5">
                  <c:v>2.1947557257204737</c:v>
                </c:pt>
                <c:pt idx="6">
                  <c:v>2.1947557257204737</c:v>
                </c:pt>
                <c:pt idx="7">
                  <c:v>2.1947557257204737</c:v>
                </c:pt>
                <c:pt idx="8">
                  <c:v>2.1947557257204737</c:v>
                </c:pt>
                <c:pt idx="9">
                  <c:v>2.1947557257204737</c:v>
                </c:pt>
                <c:pt idx="10">
                  <c:v>2.1947557257204737</c:v>
                </c:pt>
                <c:pt idx="11">
                  <c:v>2.1947557257204737</c:v>
                </c:pt>
                <c:pt idx="12">
                  <c:v>2.1947557257204737</c:v>
                </c:pt>
                <c:pt idx="13">
                  <c:v>2.1947557257204737</c:v>
                </c:pt>
                <c:pt idx="14">
                  <c:v>2.1947557257204737</c:v>
                </c:pt>
                <c:pt idx="15">
                  <c:v>2.1947557257204737</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Cefuroxime-0,001mg/L + Testostérone</c:v>
                </c:pt>
                <c:pt idx="2">
                  <c:v>Cefuroxime-0,01mg/L + Testostérone</c:v>
                </c:pt>
                <c:pt idx="3">
                  <c:v>Cefuroxime-0,1mg/L + Testostérone</c:v>
                </c:pt>
                <c:pt idx="4">
                  <c:v>Cefuroxime-1mg/L + Testostérone</c:v>
                </c:pt>
                <c:pt idx="5">
                  <c:v>Cefuroxime-10mg/L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0.30524427427952627</c:v>
                </c:pt>
                <c:pt idx="1">
                  <c:v>0.30524427427952627</c:v>
                </c:pt>
                <c:pt idx="2">
                  <c:v>0.30524427427952627</c:v>
                </c:pt>
                <c:pt idx="3">
                  <c:v>0.30524427427952627</c:v>
                </c:pt>
                <c:pt idx="4">
                  <c:v>0.30524427427952627</c:v>
                </c:pt>
                <c:pt idx="5">
                  <c:v>0.30524427427952627</c:v>
                </c:pt>
                <c:pt idx="6">
                  <c:v>0.30524427427952627</c:v>
                </c:pt>
                <c:pt idx="7">
                  <c:v>0.30524427427952627</c:v>
                </c:pt>
                <c:pt idx="8">
                  <c:v>0.30524427427952627</c:v>
                </c:pt>
                <c:pt idx="9">
                  <c:v>0.30524427427952627</c:v>
                </c:pt>
                <c:pt idx="10">
                  <c:v>0.30524427427952627</c:v>
                </c:pt>
                <c:pt idx="11">
                  <c:v>0.30524427427952627</c:v>
                </c:pt>
                <c:pt idx="12">
                  <c:v>0.30524427427952627</c:v>
                </c:pt>
                <c:pt idx="13">
                  <c:v>0.30524427427952627</c:v>
                </c:pt>
                <c:pt idx="14">
                  <c:v>0.30524427427952627</c:v>
                </c:pt>
                <c:pt idx="15">
                  <c:v>0.30524427427952627</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6453FFBD-4B2B-49B7-9F55-0465B739809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6B04ACB5-B5C1-4E82-9751-E51CECF8446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95B1D772-BAAA-4287-8B3A-A0F2C945802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C8AFAFC0-48CB-4EAC-9E5E-6A783441E80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D10AF06E-9EFA-4BCE-8A8F-DF1D1BCF139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D0FB2A81-B9A4-484D-A70F-3CC11CE07CB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FD68656B-A984-41EB-927E-F226FCB6A43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3B4D782D-CE76-4EA9-BC80-A2A511216D5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FAFC4D9F-AE29-4373-811A-20779C00C99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018AFD96-1047-45AA-BDDB-C8017EC7826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029D00BD-1370-4D23-B72C-098720F64FD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BE77F00B-D3A9-4619-B059-21A64DD4230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52D4C409-D80F-463B-AE6C-F37CE58749F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59365D16-BF9D-4CAD-A9AC-187F3315361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0.11872905086143566</c:v>
                  </c:pt>
                  <c:pt idx="2">
                    <c:v>0.14819593795780256</c:v>
                  </c:pt>
                  <c:pt idx="3">
                    <c:v>0.16983400230941684</c:v>
                  </c:pt>
                  <c:pt idx="4">
                    <c:v>0.18233666468179255</c:v>
                  </c:pt>
                  <c:pt idx="5">
                    <c:v>0.14328280234417004</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0.11872905086143566</c:v>
                  </c:pt>
                  <c:pt idx="2">
                    <c:v>0.14819593795780256</c:v>
                  </c:pt>
                  <c:pt idx="3">
                    <c:v>0.16983400230941684</c:v>
                  </c:pt>
                  <c:pt idx="4">
                    <c:v>0.18233666468179255</c:v>
                  </c:pt>
                  <c:pt idx="5">
                    <c:v>0.14328280234417004</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Cefuroxime-0,001mg/L + Testostérone</c:v>
                </c:pt>
                <c:pt idx="2">
                  <c:v>Cefuroxime-0,01mg/L + Testostérone</c:v>
                </c:pt>
                <c:pt idx="3">
                  <c:v>Cefuroxime-0,1mg/L + Testostérone</c:v>
                </c:pt>
                <c:pt idx="4">
                  <c:v>Cefuroxime-1mg/L + Testostérone</c:v>
                </c:pt>
                <c:pt idx="5">
                  <c:v>Cefuroxime-10mg/L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0.59068966956247471</c:v>
                </c:pt>
                <c:pt idx="2">
                  <c:v>0.70537749584687848</c:v>
                </c:pt>
                <c:pt idx="3">
                  <c:v>0.99247156500392864</c:v>
                </c:pt>
                <c:pt idx="4">
                  <c:v>0.77289233026502424</c:v>
                </c:pt>
                <c:pt idx="5">
                  <c:v>0.74509474662196407</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c:v>
                  </c:pt>
                  <c:pt idx="2">
                    <c:v>ns</c:v>
                  </c:pt>
                  <c:pt idx="3">
                    <c:v>ns</c:v>
                  </c:pt>
                  <c:pt idx="4">
                    <c:v>ns</c:v>
                  </c:pt>
                  <c:pt idx="5">
                    <c:v>ns</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Cefuroxime-0,001mg/L + Testostérone</c:v>
                </c:pt>
                <c:pt idx="2">
                  <c:v>Cefuroxime-0,01mg/L + Testostérone</c:v>
                </c:pt>
                <c:pt idx="3">
                  <c:v>Cefuroxime-0,1mg/L + Testostérone</c:v>
                </c:pt>
                <c:pt idx="4">
                  <c:v>Cefuroxime-1mg/L + Testostérone</c:v>
                </c:pt>
                <c:pt idx="5">
                  <c:v>Cefuroxime-10mg/L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0.99999999999999967</c:v>
                </c:pt>
                <c:pt idx="1">
                  <c:v>0.99999999999999967</c:v>
                </c:pt>
                <c:pt idx="2">
                  <c:v>0.99999999999999967</c:v>
                </c:pt>
                <c:pt idx="3">
                  <c:v>0.99999999999999967</c:v>
                </c:pt>
                <c:pt idx="4">
                  <c:v>0.99999999999999967</c:v>
                </c:pt>
                <c:pt idx="5">
                  <c:v>0.99999999999999967</c:v>
                </c:pt>
                <c:pt idx="6">
                  <c:v>0.99999999999999967</c:v>
                </c:pt>
                <c:pt idx="7">
                  <c:v>0.99999999999999967</c:v>
                </c:pt>
                <c:pt idx="8">
                  <c:v>0.99999999999999967</c:v>
                </c:pt>
                <c:pt idx="9">
                  <c:v>0.99999999999999967</c:v>
                </c:pt>
                <c:pt idx="10">
                  <c:v>0.99999999999999967</c:v>
                </c:pt>
                <c:pt idx="11">
                  <c:v>0.99999999999999967</c:v>
                </c:pt>
                <c:pt idx="12">
                  <c:v>0.99999999999999967</c:v>
                </c:pt>
                <c:pt idx="13">
                  <c:v>0.99999999999999967</c:v>
                </c:pt>
                <c:pt idx="14">
                  <c:v>0.99999999999999967</c:v>
                </c:pt>
                <c:pt idx="15">
                  <c:v>0.99999999999999967</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093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Cefuroxime-0.01mg/L</c:v>
                </c:pt>
                <c:pt idx="2">
                  <c:v>Cefuroxime-0.1mg/L</c:v>
                </c:pt>
                <c:pt idx="3">
                  <c:v>Cefuroxime-1mg/L</c:v>
                </c:pt>
                <c:pt idx="4">
                  <c:v>Cefuroxime-10mg/L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Cefuroxime-0.01mg/L</c:v>
                </c:pt>
                <c:pt idx="2">
                  <c:v>Cefuroxime-0.1mg/L</c:v>
                </c:pt>
                <c:pt idx="3">
                  <c:v>Cefuroxime-1mg/L</c:v>
                </c:pt>
                <c:pt idx="4">
                  <c:v>Cefuroxime-10mg/L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Cefuroxime-0.01mg/L</c:v>
                </c:pt>
                <c:pt idx="2">
                  <c:v>Cefuroxime-0.1mg/L</c:v>
                </c:pt>
                <c:pt idx="3">
                  <c:v>Cefuroxime-1mg/L</c:v>
                </c:pt>
                <c:pt idx="4">
                  <c:v>Cefuroxime-10mg/L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7212E3D8-DB04-48AF-91EA-22A7E600790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761BE5A9-15BD-4BBD-B939-11B6EA91C3F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8E526ED2-BE6E-4CD5-83E3-ACC3FA41449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C7278E46-2126-41A6-816B-B527C1B14D5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BEB7F748-4157-41C5-B55D-C5AB7C94B09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F33BB256-5C09-440B-BECA-D9DAF92BC63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28A01087-7624-4EE1-8C34-6B378F21472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00B29A35-ED29-474A-A716-86210E967D5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5FD7E947-486A-4128-B0BB-2537870DAA2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52B6B9F6-785A-4281-BB51-2934892D035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51BA3781-3836-41C5-99BE-4D20006B348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F2EB207D-BC54-48D9-A1EF-E501FA3AEA9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1D6A3E34-878B-4C30-A23B-2650AB0889A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A2AAB090-4056-4402-B7ED-19653B75D42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1.2227395781247537E-2</c:v>
                  </c:pt>
                  <c:pt idx="2">
                    <c:v>2.9738833627726741E-2</c:v>
                  </c:pt>
                  <c:pt idx="3">
                    <c:v>2.1513589137384326E-2</c:v>
                  </c:pt>
                  <c:pt idx="4">
                    <c:v>2.3555362744372844E-2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1.2227395781247537E-2</c:v>
                  </c:pt>
                  <c:pt idx="2">
                    <c:v>2.9738833627726741E-2</c:v>
                  </c:pt>
                  <c:pt idx="3">
                    <c:v>2.1513589137384326E-2</c:v>
                  </c:pt>
                  <c:pt idx="4">
                    <c:v>2.3555362744372844E-2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Cefuroxime-0.01mg/L</c:v>
                </c:pt>
                <c:pt idx="2">
                  <c:v>Cefuroxime-0.1mg/L</c:v>
                </c:pt>
                <c:pt idx="3">
                  <c:v>Cefuroxime-1mg/L</c:v>
                </c:pt>
                <c:pt idx="4">
                  <c:v>Cefuroxime-10mg/L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9.3724768808430947E-2</c:v>
                </c:pt>
                <c:pt idx="2">
                  <c:v>0.12324828240617017</c:v>
                </c:pt>
                <c:pt idx="3">
                  <c:v>0.14239424441441711</c:v>
                </c:pt>
                <c:pt idx="4">
                  <c:v>0.15774997942028154</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0.14437035012603847</c:v>
                </c:pt>
                <c:pt idx="1">
                  <c:v>0.14437035012603847</c:v>
                </c:pt>
                <c:pt idx="2">
                  <c:v>0.14437035012603847</c:v>
                </c:pt>
                <c:pt idx="3">
                  <c:v>0.14437035012603847</c:v>
                </c:pt>
                <c:pt idx="4">
                  <c:v>0.14437035012603847</c:v>
                </c:pt>
                <c:pt idx="5">
                  <c:v>0.14437035012603847</c:v>
                </c:pt>
                <c:pt idx="6">
                  <c:v>0.14437035012603847</c:v>
                </c:pt>
                <c:pt idx="7">
                  <c:v>0.14437035012603847</c:v>
                </c:pt>
                <c:pt idx="8">
                  <c:v>0.14437035012603847</c:v>
                </c:pt>
                <c:pt idx="9">
                  <c:v>0.14437035012603847</c:v>
                </c:pt>
                <c:pt idx="10">
                  <c:v>0.14437035012603847</c:v>
                </c:pt>
                <c:pt idx="11">
                  <c:v>0.14437035012603847</c:v>
                </c:pt>
                <c:pt idx="12">
                  <c:v>0.14437035012603847</c:v>
                </c:pt>
                <c:pt idx="13">
                  <c:v>0.14437035012603847</c:v>
                </c:pt>
                <c:pt idx="14">
                  <c:v>0.14437035012603847</c:v>
                </c:pt>
                <c:pt idx="15">
                  <c:v>0.14437035012603847</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211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Cefuroxime-0,001mg/L + Testostérone</c:v>
                </c:pt>
                <c:pt idx="2">
                  <c:v>Cefuroxime-0,01mg/L + Testostérone</c:v>
                </c:pt>
                <c:pt idx="3">
                  <c:v>Cefuroxime-0,1mg/L + Testostérone</c:v>
                </c:pt>
                <c:pt idx="4">
                  <c:v>Cefuroxime-1mg/L + Testostérone</c:v>
                </c:pt>
                <c:pt idx="5">
                  <c:v>Cefuroxime-10mg/L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0.14136154471300608</c:v>
                </c:pt>
                <c:pt idx="1">
                  <c:v>0.14136154471300608</c:v>
                </c:pt>
                <c:pt idx="2">
                  <c:v>0.14136154471300608</c:v>
                </c:pt>
                <c:pt idx="3">
                  <c:v>0.14136154471300608</c:v>
                </c:pt>
                <c:pt idx="4">
                  <c:v>0.14136154471300608</c:v>
                </c:pt>
                <c:pt idx="5">
                  <c:v>0.14136154471300608</c:v>
                </c:pt>
                <c:pt idx="6">
                  <c:v>0.14136154471300608</c:v>
                </c:pt>
                <c:pt idx="7">
                  <c:v>0.14136154471300608</c:v>
                </c:pt>
                <c:pt idx="8">
                  <c:v>0.14136154471300608</c:v>
                </c:pt>
                <c:pt idx="9">
                  <c:v>0.14136154471300608</c:v>
                </c:pt>
                <c:pt idx="10">
                  <c:v>0.14136154471300608</c:v>
                </c:pt>
                <c:pt idx="11">
                  <c:v>0.14136154471300608</c:v>
                </c:pt>
                <c:pt idx="12">
                  <c:v>0.14136154471300608</c:v>
                </c:pt>
                <c:pt idx="13">
                  <c:v>0.14136154471300608</c:v>
                </c:pt>
                <c:pt idx="14">
                  <c:v>0.14136154471300608</c:v>
                </c:pt>
                <c:pt idx="15">
                  <c:v>0.14136154471300608</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Cefuroxime-0,001mg/L + Testostérone</c:v>
                </c:pt>
                <c:pt idx="2">
                  <c:v>Cefuroxime-0,01mg/L + Testostérone</c:v>
                </c:pt>
                <c:pt idx="3">
                  <c:v>Cefuroxime-0,1mg/L + Testostérone</c:v>
                </c:pt>
                <c:pt idx="4">
                  <c:v>Cefuroxime-1mg/L + Testostérone</c:v>
                </c:pt>
                <c:pt idx="5">
                  <c:v>Cefuroxime-10mg/L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2.1947557257204737</c:v>
                </c:pt>
                <c:pt idx="1">
                  <c:v>2.1947557257204737</c:v>
                </c:pt>
                <c:pt idx="2">
                  <c:v>2.1947557257204737</c:v>
                </c:pt>
                <c:pt idx="3">
                  <c:v>2.1947557257204737</c:v>
                </c:pt>
                <c:pt idx="4">
                  <c:v>2.1947557257204737</c:v>
                </c:pt>
                <c:pt idx="5">
                  <c:v>2.1947557257204737</c:v>
                </c:pt>
                <c:pt idx="6">
                  <c:v>2.1947557257204737</c:v>
                </c:pt>
                <c:pt idx="7">
                  <c:v>2.1947557257204737</c:v>
                </c:pt>
                <c:pt idx="8">
                  <c:v>2.1947557257204737</c:v>
                </c:pt>
                <c:pt idx="9">
                  <c:v>2.1947557257204737</c:v>
                </c:pt>
                <c:pt idx="10">
                  <c:v>2.1947557257204737</c:v>
                </c:pt>
                <c:pt idx="11">
                  <c:v>2.1947557257204737</c:v>
                </c:pt>
                <c:pt idx="12">
                  <c:v>2.1947557257204737</c:v>
                </c:pt>
                <c:pt idx="13">
                  <c:v>2.1947557257204737</c:v>
                </c:pt>
                <c:pt idx="14">
                  <c:v>2.1947557257204737</c:v>
                </c:pt>
                <c:pt idx="15">
                  <c:v>2.1947557257204737</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Cefuroxime-0,001mg/L + Testostérone</c:v>
                </c:pt>
                <c:pt idx="2">
                  <c:v>Cefuroxime-0,01mg/L + Testostérone</c:v>
                </c:pt>
                <c:pt idx="3">
                  <c:v>Cefuroxime-0,1mg/L + Testostérone</c:v>
                </c:pt>
                <c:pt idx="4">
                  <c:v>Cefuroxime-1mg/L + Testostérone</c:v>
                </c:pt>
                <c:pt idx="5">
                  <c:v>Cefuroxime-10mg/L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0.30524427427952627</c:v>
                </c:pt>
                <c:pt idx="1">
                  <c:v>0.30524427427952627</c:v>
                </c:pt>
                <c:pt idx="2">
                  <c:v>0.30524427427952627</c:v>
                </c:pt>
                <c:pt idx="3">
                  <c:v>0.30524427427952627</c:v>
                </c:pt>
                <c:pt idx="4">
                  <c:v>0.30524427427952627</c:v>
                </c:pt>
                <c:pt idx="5">
                  <c:v>0.30524427427952627</c:v>
                </c:pt>
                <c:pt idx="6">
                  <c:v>0.30524427427952627</c:v>
                </c:pt>
                <c:pt idx="7">
                  <c:v>0.30524427427952627</c:v>
                </c:pt>
                <c:pt idx="8">
                  <c:v>0.30524427427952627</c:v>
                </c:pt>
                <c:pt idx="9">
                  <c:v>0.30524427427952627</c:v>
                </c:pt>
                <c:pt idx="10">
                  <c:v>0.30524427427952627</c:v>
                </c:pt>
                <c:pt idx="11">
                  <c:v>0.30524427427952627</c:v>
                </c:pt>
                <c:pt idx="12">
                  <c:v>0.30524427427952627</c:v>
                </c:pt>
                <c:pt idx="13">
                  <c:v>0.30524427427952627</c:v>
                </c:pt>
                <c:pt idx="14">
                  <c:v>0.30524427427952627</c:v>
                </c:pt>
                <c:pt idx="15">
                  <c:v>0.30524427427952627</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B08E3C88-4A74-4CF7-9ABA-1DEB686C65B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B829B18F-643E-410C-9716-3736B6888DC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3D3DD9C3-61F7-4291-BAD1-2DC4A36ED32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85391F61-A9BC-420C-B9BC-C0E4D5B867C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61EAC4EF-3DB1-4AB6-953D-A39F79F0081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02CD1112-DFE5-4FCF-AD4B-95DF408A167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985050A5-B850-4037-87A4-2345B4B9A99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C9C49C2A-F290-470E-B1AA-3D2F2D95D1B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5FB5C741-57B7-4395-9E9D-5461BDC51F9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FB85842F-C886-4145-9659-9EB2C616F23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94140409-D19B-4425-9387-CE78872CF19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16077EDD-5112-4F80-97D5-874EBBEF0C5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DC994517-E4D1-4F23-8459-6274C78B1E0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FCFAF226-09F1-4E79-A98A-5F3D253C95B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0.11872905086143566</c:v>
                  </c:pt>
                  <c:pt idx="2">
                    <c:v>0.14819593795780256</c:v>
                  </c:pt>
                  <c:pt idx="3">
                    <c:v>0.16983400230941684</c:v>
                  </c:pt>
                  <c:pt idx="4">
                    <c:v>0.18233666468179255</c:v>
                  </c:pt>
                  <c:pt idx="5">
                    <c:v>0.14328280234417004</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0.11872905086143566</c:v>
                  </c:pt>
                  <c:pt idx="2">
                    <c:v>0.14819593795780256</c:v>
                  </c:pt>
                  <c:pt idx="3">
                    <c:v>0.16983400230941684</c:v>
                  </c:pt>
                  <c:pt idx="4">
                    <c:v>0.18233666468179255</c:v>
                  </c:pt>
                  <c:pt idx="5">
                    <c:v>0.14328280234417004</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Cefuroxime-0,001mg/L + Testostérone</c:v>
                </c:pt>
                <c:pt idx="2">
                  <c:v>Cefuroxime-0,01mg/L + Testostérone</c:v>
                </c:pt>
                <c:pt idx="3">
                  <c:v>Cefuroxime-0,1mg/L + Testostérone</c:v>
                </c:pt>
                <c:pt idx="4">
                  <c:v>Cefuroxime-1mg/L + Testostérone</c:v>
                </c:pt>
                <c:pt idx="5">
                  <c:v>Cefuroxime-10mg/L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0.59068966956247471</c:v>
                </c:pt>
                <c:pt idx="2">
                  <c:v>0.70537749584687848</c:v>
                </c:pt>
                <c:pt idx="3">
                  <c:v>0.99247156500392864</c:v>
                </c:pt>
                <c:pt idx="4">
                  <c:v>0.77289233026502424</c:v>
                </c:pt>
                <c:pt idx="5">
                  <c:v>0.74509474662196407</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c:v>
                  </c:pt>
                  <c:pt idx="2">
                    <c:v>ns</c:v>
                  </c:pt>
                  <c:pt idx="3">
                    <c:v>ns</c:v>
                  </c:pt>
                  <c:pt idx="4">
                    <c:v>ns</c:v>
                  </c:pt>
                  <c:pt idx="5">
                    <c:v>ns</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Cefuroxime-0,001mg/L + Testostérone</c:v>
                </c:pt>
                <c:pt idx="2">
                  <c:v>Cefuroxime-0,01mg/L + Testostérone</c:v>
                </c:pt>
                <c:pt idx="3">
                  <c:v>Cefuroxime-0,1mg/L + Testostérone</c:v>
                </c:pt>
                <c:pt idx="4">
                  <c:v>Cefuroxime-1mg/L + Testostérone</c:v>
                </c:pt>
                <c:pt idx="5">
                  <c:v>Cefuroxime-10mg/L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0.99999999999999967</c:v>
                </c:pt>
                <c:pt idx="1">
                  <c:v>0.99999999999999967</c:v>
                </c:pt>
                <c:pt idx="2">
                  <c:v>0.99999999999999967</c:v>
                </c:pt>
                <c:pt idx="3">
                  <c:v>0.99999999999999967</c:v>
                </c:pt>
                <c:pt idx="4">
                  <c:v>0.99999999999999967</c:v>
                </c:pt>
                <c:pt idx="5">
                  <c:v>0.99999999999999967</c:v>
                </c:pt>
                <c:pt idx="6">
                  <c:v>0.99999999999999967</c:v>
                </c:pt>
                <c:pt idx="7">
                  <c:v>0.99999999999999967</c:v>
                </c:pt>
                <c:pt idx="8">
                  <c:v>0.99999999999999967</c:v>
                </c:pt>
                <c:pt idx="9">
                  <c:v>0.99999999999999967</c:v>
                </c:pt>
                <c:pt idx="10">
                  <c:v>0.99999999999999967</c:v>
                </c:pt>
                <c:pt idx="11">
                  <c:v>0.99999999999999967</c:v>
                </c:pt>
                <c:pt idx="12">
                  <c:v>0.99999999999999967</c:v>
                </c:pt>
                <c:pt idx="13">
                  <c:v>0.99999999999999967</c:v>
                </c:pt>
                <c:pt idx="14">
                  <c:v>0.99999999999999967</c:v>
                </c:pt>
                <c:pt idx="15">
                  <c:v>0.99999999999999967</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3288"/>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Cefuroxime-0.01mg/L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Cefuroxime-0.01mg/L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Cefuroxime-0.01mg/L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CFD3BB4F-F5E9-4F50-B3CC-B80F83A9C46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7641E03C-5BBE-43DE-A53A-6A7E7BF9790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1.2227395781247537E-2</c:v>
                  </c:pt>
                </c:numCache>
              </c:numRef>
            </c:plus>
            <c:minus>
              <c:numRef>
                <c:f>'Graph format rapport CHG 1éch'!$E$4:$G$4</c:f>
                <c:numCache>
                  <c:formatCode>General</c:formatCode>
                  <c:ptCount val="3"/>
                  <c:pt idx="1">
                    <c:v>1.2227395781247537E-2</c:v>
                  </c:pt>
                </c:numCache>
              </c:numRef>
            </c:minus>
          </c:errBars>
          <c:cat>
            <c:strRef>
              <c:f>'Graph format rapport CHG 1éch'!$E$2:$G$2</c:f>
              <c:strCache>
                <c:ptCount val="2"/>
                <c:pt idx="1">
                  <c:v>Cefuroxime-0.01mg/L</c:v>
                </c:pt>
              </c:strCache>
            </c:strRef>
          </c:cat>
          <c:val>
            <c:numRef>
              <c:f>'Graph format rapport CHG 1éch'!$E$3:$G$3</c:f>
              <c:numCache>
                <c:formatCode>General</c:formatCode>
                <c:ptCount val="3"/>
                <c:pt idx="1">
                  <c:v>9.3724768808430947E-2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0.14437035012603847</c:v>
                </c:pt>
                <c:pt idx="1">
                  <c:v>0.14437035012603847</c:v>
                </c:pt>
                <c:pt idx="2">
                  <c:v>0.14437035012603847</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4464"/>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Cefuroxime-0,001mg/L + Testostérone</c:v>
                </c:pt>
              </c:strCache>
            </c:strRef>
          </c:cat>
          <c:val>
            <c:numRef>
              <c:f>'Graph format rapport CHG 1éch'!$H$8:$J$8</c:f>
              <c:numCache>
                <c:formatCode>General</c:formatCode>
                <c:ptCount val="3"/>
                <c:pt idx="0">
                  <c:v>0.14136154471300608</c:v>
                </c:pt>
                <c:pt idx="1">
                  <c:v>0.14136154471300608</c:v>
                </c:pt>
                <c:pt idx="2">
                  <c:v>0.14136154471300608</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Cefuroxime-0,001mg/L + Testostérone</c:v>
                </c:pt>
              </c:strCache>
            </c:strRef>
          </c:cat>
          <c:val>
            <c:numRef>
              <c:f>'Graph format rapport CHG 1éch'!$H$9:$J$9</c:f>
              <c:numCache>
                <c:formatCode>General</c:formatCode>
                <c:ptCount val="3"/>
                <c:pt idx="0">
                  <c:v>2.1947557257204737</c:v>
                </c:pt>
                <c:pt idx="1">
                  <c:v>2.1947557257204737</c:v>
                </c:pt>
                <c:pt idx="2">
                  <c:v>2.1947557257204737</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Cefuroxime-0,001mg/L + Testostérone</c:v>
                </c:pt>
              </c:strCache>
            </c:strRef>
          </c:cat>
          <c:val>
            <c:numRef>
              <c:f>'Graph format rapport CHG 1éch'!$H$10:$J$10</c:f>
              <c:numCache>
                <c:formatCode>General</c:formatCode>
                <c:ptCount val="3"/>
                <c:pt idx="0">
                  <c:v>0.30524427427952627</c:v>
                </c:pt>
                <c:pt idx="1">
                  <c:v>0.30524427427952627</c:v>
                </c:pt>
                <c:pt idx="2">
                  <c:v>0.30524427427952627</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10E286A2-0F1F-4CAB-8562-292E0DD26C3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08944BA1-6BC5-486D-93E0-EEA22F1C025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0.11872905086143566</c:v>
                  </c:pt>
                </c:numCache>
              </c:numRef>
            </c:plus>
            <c:minus>
              <c:numRef>
                <c:f>'Graph format rapport CHG 1éch'!$H$4:$J$4</c:f>
                <c:numCache>
                  <c:formatCode>General</c:formatCode>
                  <c:ptCount val="3"/>
                  <c:pt idx="1">
                    <c:v>0.11872905086143566</c:v>
                  </c:pt>
                </c:numCache>
              </c:numRef>
            </c:minus>
          </c:errBars>
          <c:cat>
            <c:strRef>
              <c:f>'Graph format rapport CHG 1éch'!$H$2:$J$2</c:f>
              <c:strCache>
                <c:ptCount val="2"/>
                <c:pt idx="1">
                  <c:v>Cefuroxime-0,001mg/L + Testostérone</c:v>
                </c:pt>
              </c:strCache>
            </c:strRef>
          </c:cat>
          <c:val>
            <c:numRef>
              <c:f>'Graph format rapport CHG 1éch'!$H$3:$J$3</c:f>
              <c:numCache>
                <c:formatCode>General</c:formatCode>
                <c:ptCount val="3"/>
                <c:pt idx="1">
                  <c:v>0.59068966956247471</c:v>
                </c:pt>
              </c:numCache>
            </c:numRef>
          </c:val>
          <c:extLst>
            <c:ext xmlns:c15="http://schemas.microsoft.com/office/drawing/2012/chart" uri="{02D57815-91ED-43cb-92C2-25804820EDAC}">
              <c15:datalabelsRange>
                <c15:f>'Graph format rapport CHG 1éch'!$H$5:$J$5</c15:f>
                <c15:dlblRangeCache>
                  <c:ptCount val="3"/>
                  <c:pt idx="1">
                    <c:v>*</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Cefuroxime-0,001mg/L + Testostérone</c:v>
                </c:pt>
              </c:strCache>
            </c:strRef>
          </c:cat>
          <c:val>
            <c:numRef>
              <c:f>'Graph format rapport CHG 1éch'!$H$7:$J$7</c:f>
              <c:numCache>
                <c:formatCode>General</c:formatCode>
                <c:ptCount val="3"/>
                <c:pt idx="0">
                  <c:v>0.99999999999999967</c:v>
                </c:pt>
                <c:pt idx="1">
                  <c:v>0.99999999999999967</c:v>
                </c:pt>
                <c:pt idx="2">
                  <c:v>0.99999999999999967</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564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Cefuroxime-0.01mg/L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Cefuroxime-0.01mg/L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Cefuroxime-0.01mg/L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D1F6677D-2400-4B68-BC36-1F344D7E74B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F485F8E6-7AEC-453D-9C2D-D1717FC195C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1.2227395781247537E-2</c:v>
                  </c:pt>
                </c:numCache>
              </c:numRef>
            </c:plus>
            <c:minus>
              <c:numRef>
                <c:f>'Graph format rapport CHG 1éch'!$E$4:$G$4</c:f>
                <c:numCache>
                  <c:formatCode>General</c:formatCode>
                  <c:ptCount val="3"/>
                  <c:pt idx="1">
                    <c:v>1.2227395781247537E-2</c:v>
                  </c:pt>
                </c:numCache>
              </c:numRef>
            </c:minus>
          </c:errBars>
          <c:cat>
            <c:strRef>
              <c:f>'Graph format rapport CHG 1éch'!$E$2:$G$2</c:f>
              <c:strCache>
                <c:ptCount val="2"/>
                <c:pt idx="1">
                  <c:v>Cefuroxime-0.01mg/L</c:v>
                </c:pt>
              </c:strCache>
            </c:strRef>
          </c:cat>
          <c:val>
            <c:numRef>
              <c:f>'Graph format rapport CHG 1éch'!$E$3:$G$3</c:f>
              <c:numCache>
                <c:formatCode>General</c:formatCode>
                <c:ptCount val="3"/>
                <c:pt idx="1">
                  <c:v>9.3724768808430947E-2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0.14437035012603847</c:v>
                </c:pt>
                <c:pt idx="1">
                  <c:v>0.14437035012603847</c:v>
                </c:pt>
                <c:pt idx="2">
                  <c:v>0.14437035012603847</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681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Cefuroxime-0,001mg/L + Testostérone</c:v>
                </c:pt>
              </c:strCache>
            </c:strRef>
          </c:cat>
          <c:val>
            <c:numRef>
              <c:f>'Graph format rapport CHG 1éch'!$H$8:$J$8</c:f>
              <c:numCache>
                <c:formatCode>General</c:formatCode>
                <c:ptCount val="3"/>
                <c:pt idx="0">
                  <c:v>0.14136154471300608</c:v>
                </c:pt>
                <c:pt idx="1">
                  <c:v>0.14136154471300608</c:v>
                </c:pt>
                <c:pt idx="2">
                  <c:v>0.14136154471300608</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Cefuroxime-0,001mg/L + Testostérone</c:v>
                </c:pt>
              </c:strCache>
            </c:strRef>
          </c:cat>
          <c:val>
            <c:numRef>
              <c:f>'Graph format rapport CHG 1éch'!$H$9:$J$9</c:f>
              <c:numCache>
                <c:formatCode>General</c:formatCode>
                <c:ptCount val="3"/>
                <c:pt idx="0">
                  <c:v>2.1947557257204737</c:v>
                </c:pt>
                <c:pt idx="1">
                  <c:v>2.1947557257204737</c:v>
                </c:pt>
                <c:pt idx="2">
                  <c:v>2.1947557257204737</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Cefuroxime-0,001mg/L + Testostérone</c:v>
                </c:pt>
              </c:strCache>
            </c:strRef>
          </c:cat>
          <c:val>
            <c:numRef>
              <c:f>'Graph format rapport CHG 1éch'!$H$10:$J$10</c:f>
              <c:numCache>
                <c:formatCode>General</c:formatCode>
                <c:ptCount val="3"/>
                <c:pt idx="0">
                  <c:v>0.30524427427952627</c:v>
                </c:pt>
                <c:pt idx="1">
                  <c:v>0.30524427427952627</c:v>
                </c:pt>
                <c:pt idx="2">
                  <c:v>0.30524427427952627</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DA2FFD95-139E-45F5-9897-C2E4C61B79E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D5093697-8767-493B-A09A-D4A146B5318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0.11872905086143566</c:v>
                  </c:pt>
                </c:numCache>
              </c:numRef>
            </c:plus>
            <c:minus>
              <c:numRef>
                <c:f>'Graph format rapport CHG 1éch'!$H$4:$J$4</c:f>
                <c:numCache>
                  <c:formatCode>General</c:formatCode>
                  <c:ptCount val="3"/>
                  <c:pt idx="1">
                    <c:v>0.11872905086143566</c:v>
                  </c:pt>
                </c:numCache>
              </c:numRef>
            </c:minus>
          </c:errBars>
          <c:cat>
            <c:strRef>
              <c:f>'Graph format rapport CHG 1éch'!$H$2:$J$2</c:f>
              <c:strCache>
                <c:ptCount val="2"/>
                <c:pt idx="1">
                  <c:v>Cefuroxime-0,001mg/L + Testostérone</c:v>
                </c:pt>
              </c:strCache>
            </c:strRef>
          </c:cat>
          <c:val>
            <c:numRef>
              <c:f>'Graph format rapport CHG 1éch'!$H$3:$J$3</c:f>
              <c:numCache>
                <c:formatCode>General</c:formatCode>
                <c:ptCount val="3"/>
                <c:pt idx="1">
                  <c:v>0.59068966956247471</c:v>
                </c:pt>
              </c:numCache>
            </c:numRef>
          </c:val>
          <c:extLst>
            <c:ext xmlns:c15="http://schemas.microsoft.com/office/drawing/2012/chart" uri="{02D57815-91ED-43cb-92C2-25804820EDAC}">
              <c15:datalabelsRange>
                <c15:f>'Graph format rapport CHG 1éch'!$H$5:$J$5</c15:f>
                <c15:dlblRangeCache>
                  <c:ptCount val="3"/>
                  <c:pt idx="1">
                    <c:v>*</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Cefuroxime-0,001mg/L + Testostérone</c:v>
                </c:pt>
              </c:strCache>
            </c:strRef>
          </c:cat>
          <c:val>
            <c:numRef>
              <c:f>'Graph format rapport CHG 1éch'!$H$7:$J$7</c:f>
              <c:numCache>
                <c:formatCode>General</c:formatCode>
                <c:ptCount val="3"/>
                <c:pt idx="0">
                  <c:v>0.99999999999999967</c:v>
                </c:pt>
                <c:pt idx="1">
                  <c:v>0.99999999999999967</c:v>
                </c:pt>
                <c:pt idx="2">
                  <c:v>0.99999999999999967</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799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76" workbookViewId="0" zoomToFit="1"/>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75" workbookViewId="0" zoomToFit="1"/>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75" workbookViewId="0" zoomToFit="1"/>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76" workbookViewId="0" zoomToFit="1"/>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99408" cy="6074276"/>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96400" cy="6070600"/>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96400" cy="6070600"/>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99408" cy="6074276"/>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20382676" y="10062696"/>
          <a:ext cx="8425736" cy="1074705"/>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20546152" y="3836226"/>
          <a:ext cx="8425736" cy="1070169"/>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9754287" y="10062696"/>
          <a:ext cx="8425736" cy="1074705"/>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9917763" y="3836226"/>
          <a:ext cx="8425736" cy="1070169"/>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87.491760185185" createdVersion="5" refreshedVersion="7" minRefreshableVersion="3" recordCount="1556" xr:uid="{00000000-000A-0000-FFFF-FFFF0C000000}">
  <cacheSource type="worksheet">
    <worksheetSource name="Tableau4"/>
  </cacheSource>
  <cacheFields count="9">
    <cacheField name="Nom groupe" numFmtId="0">
      <sharedItems containsBlank="1" count="23">
        <s v=""/>
        <s v="1"/>
        <s v="13"/>
        <s v="14"/>
        <s v="15"/>
        <s v="16"/>
        <s v="2"/>
        <s v="3"/>
        <s v="4"/>
        <s v="5"/>
        <s v="6"/>
        <s v="7"/>
        <s v="10"/>
        <s v="11"/>
        <s v="12"/>
        <s v="17"/>
        <s v="18"/>
        <s v="19"/>
        <s v="20"/>
        <s v="21"/>
        <s v="8"/>
        <s v="9"/>
        <m u="1"/>
      </sharedItems>
    </cacheField>
    <cacheField name="N° de valeur" numFmtId="0">
      <sharedItems count="10">
        <e v="#VALUE!"/>
        <s v="A"/>
        <s v="B"/>
        <s v="C"/>
        <s v="D"/>
        <s v="E"/>
        <s v="F"/>
        <s v="G"/>
        <s v="H"/>
        <s v=" "/>
      </sharedItems>
    </cacheField>
    <cacheField name="file name" numFmtId="0">
      <sharedItems containsBlank="1"/>
    </cacheField>
    <cacheField name=" total area " numFmtId="0">
      <sharedItems containsBlank="1" containsMixedTypes="1" containsNumber="1" containsInteger="1" minValue="0" maxValue="0"/>
    </cacheField>
    <cacheField name=" mean intensity " numFmtId="0">
      <sharedItems containsBlank="1" containsMixedTypes="1" containsNumber="1" containsInteger="1" minValue="0" maxValue="33"/>
    </cacheField>
    <cacheField name=" " numFmtId="0">
      <sharedItems containsBlank="1" count="34">
        <s v=" "/>
        <m/>
        <s v=" SD mean fluo "/>
        <s v=" 10.8343 "/>
        <s v=" 4.3254 "/>
        <s v=" 10.0395 "/>
        <s v=" 3.9927 "/>
        <s v=" 11.1287 "/>
        <s v=" 3.3232 "/>
        <s v=" 9.8373 "/>
        <s v=" 2.53 "/>
        <s v=" 3.6832 "/>
        <s v=" 4.981 "/>
        <s v=" 3.5366 "/>
        <s v=" 11.9495 "/>
        <s v=" 17.954 "/>
        <s v=" 8.0835 "/>
        <s v=" 3.5369 "/>
        <s v=" 5.2229 "/>
        <s v=" 5.2114 "/>
        <s v=" 3.9077 "/>
        <s v=" 3.6369 "/>
        <s v=" 11.9107 "/>
        <s v=" 8.5828 "/>
        <s v=" 13.2229 " u="1"/>
        <s v=" 12.6426 " u="1"/>
        <s v=" 10.5978 " u="1"/>
        <s v=" 2.7482 " u="1"/>
        <s v=" 5.8019 " u="1"/>
        <s v=" 11.5766 " u="1"/>
        <s v=" 8.0859 " u="1"/>
        <s v=" 3.7472 " u="1"/>
        <s v=" 3.2173 " u="1"/>
        <s v=" 15.4064 " u="1"/>
      </sharedItems>
    </cacheField>
    <cacheField name=" total fluorescence" numFmtId="0">
      <sharedItems containsBlank="1" containsMixedTypes="1" containsNumber="1" containsInteger="1" minValue="0" maxValue="5041842"/>
    </cacheField>
    <cacheField name="         " numFmtId="0">
      <sharedItems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87.491760416669" createdVersion="5" refreshedVersion="7" minRefreshableVersion="3" recordCount="1530" xr:uid="{00000000-000A-0000-FFFF-FFFF10000000}">
  <cacheSource type="worksheet">
    <worksheetSource name="Tableau46"/>
  </cacheSource>
  <cacheFields count="9">
    <cacheField name="Nom groupe" numFmtId="0">
      <sharedItems count="22">
        <s v=""/>
        <s v="1"/>
        <s v="13"/>
        <s v="14"/>
        <s v="15"/>
        <s v="16"/>
        <s v="2"/>
        <s v="3"/>
        <s v="4"/>
        <s v="5"/>
        <s v="6"/>
        <s v="7"/>
        <s v="10"/>
        <s v="11"/>
        <s v="12"/>
        <s v="17"/>
        <s v="18"/>
        <s v="19"/>
        <s v="20"/>
        <s v="21"/>
        <s v="8"/>
        <s v="9"/>
      </sharedItems>
    </cacheField>
    <cacheField name="N° de valeur" numFmtId="0">
      <sharedItems count="10">
        <e v="#VALUE!"/>
        <s v="A"/>
        <s v="B"/>
        <s v="C"/>
        <s v="D"/>
        <s v="E"/>
        <s v="F"/>
        <s v="G"/>
        <s v="H"/>
        <s v=" "/>
      </sharedItems>
    </cacheField>
    <cacheField name="file name" numFmtId="0">
      <sharedItems containsBlank="1"/>
    </cacheField>
    <cacheField name=" total area " numFmtId="0">
      <sharedItems containsBlank="1" containsMixedTypes="1" containsNumber="1" containsInteger="1" minValue="0" maxValue="0"/>
    </cacheField>
    <cacheField name=" mean intensity " numFmtId="0">
      <sharedItems containsBlank="1" containsMixedTypes="1" containsNumber="1" containsInteger="1" minValue="0" maxValue="33"/>
    </cacheField>
    <cacheField name=" " numFmtId="0">
      <sharedItems containsBlank="1" count="34">
        <s v=" "/>
        <m/>
        <s v=" SD mean fluo "/>
        <s v=" 7.9672 "/>
        <s v=" 4.1161 "/>
        <s v=" 13.7913 "/>
        <s v=" 4.0759 "/>
        <s v=" 12.0859 "/>
        <s v=" 3.7881 "/>
        <s v=" 4.6858 "/>
        <s v=" 2.8291 "/>
        <s v=" 11.1335 "/>
        <s v=" 4.0077 "/>
        <s v=" 7.5914 "/>
        <s v=" 15.7989 "/>
        <s v=" 12.1023 "/>
        <s v=" 14.957 "/>
        <s v=" 12.5748 "/>
        <s v=" 3.2932 "/>
        <s v=" 3.6527 "/>
        <s v=" 4.7133 "/>
        <s v=" 4.444 "/>
        <s v=" 9.534 "/>
        <s v=" 8.519 "/>
        <s v=" 7.3552 " u="1"/>
        <s v=" 14.0282 " u="1"/>
        <s v=" 5.21 " u="1"/>
        <s v=" 3.5834 " u="1"/>
        <s v=" 13.8633 " u="1"/>
        <s v=" 15.9342 " u="1"/>
        <s v=" 8.0883 " u="1"/>
        <s v=" 3.506 " u="1"/>
        <s v=" 18.0199 " u="1"/>
        <s v=" 11.2114 " u="1"/>
      </sharedItems>
    </cacheField>
    <cacheField name=" total fluorescence" numFmtId="0">
      <sharedItems containsBlank="1" containsMixedTypes="1" containsNumber="1" containsInteger="1" minValue="0" maxValue="5311805"/>
    </cacheField>
    <cacheField name="         " numFmtId="0">
      <sharedItems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87.491760763885" createdVersion="5" refreshedVersion="7" minRefreshableVersion="3" recordCount="1710" xr:uid="{00000000-000A-0000-FFFF-FFFF14000000}">
  <cacheSource type="worksheet">
    <worksheetSource name="Tableau467"/>
  </cacheSource>
  <cacheFields count="9">
    <cacheField name="Nom groupe" numFmtId="0">
      <sharedItems count="22">
        <s v=""/>
        <s v="1"/>
        <s v="13"/>
        <s v="14"/>
        <s v="15"/>
        <s v="16"/>
        <s v="2"/>
        <s v="3"/>
        <s v="4"/>
        <s v="5"/>
        <s v="6"/>
        <s v="7"/>
        <s v="10"/>
        <s v="11"/>
        <s v="12"/>
        <s v="17"/>
        <s v="18"/>
        <s v="19"/>
        <s v="20"/>
        <s v="21"/>
        <s v="8"/>
        <s v="9"/>
      </sharedItems>
    </cacheField>
    <cacheField name="N° de valeur" numFmtId="0">
      <sharedItems count="10">
        <e v="#VALUE!"/>
        <s v="A"/>
        <s v="B"/>
        <s v="C"/>
        <s v="D"/>
        <s v="E"/>
        <s v="F"/>
        <s v="G"/>
        <s v="H"/>
        <s v=" "/>
      </sharedItems>
    </cacheField>
    <cacheField name="file name" numFmtId="0">
      <sharedItems containsBlank="1"/>
    </cacheField>
    <cacheField name=" total area " numFmtId="0">
      <sharedItems containsBlank="1" containsMixedTypes="1" containsNumber="1" containsInteger="1" minValue="0" maxValue="0"/>
    </cacheField>
    <cacheField name=" mean intensity " numFmtId="0">
      <sharedItems containsBlank="1" containsMixedTypes="1" containsNumber="1" containsInteger="1" minValue="0" maxValue="32"/>
    </cacheField>
    <cacheField name=" " numFmtId="0">
      <sharedItems containsBlank="1" count="35">
        <s v=" "/>
        <m/>
        <s v=" SD mean fluo "/>
        <s v=" 4.8141 "/>
        <s v=" 2.5852 "/>
        <s v=" 4.7693 "/>
        <s v=" 6.0853 "/>
        <s v=" 4.0338 "/>
        <s v=" 8.3367 "/>
        <s v=" 3.7926 "/>
        <s v=" 3.7601 "/>
        <s v=" 3.4436 "/>
        <s v=" 5.4589 "/>
        <s v=" 5.7513 "/>
        <s v=" 8.6609 "/>
        <s v=" 5.4968 "/>
        <s v=" 3.3178 "/>
        <s v=" 5.4347 "/>
        <s v=" 3.6302 "/>
        <s v=" 3.2454 "/>
        <s v=" 3.309 "/>
        <s v=" 2.3852 "/>
        <s v=" 16.1853 "/>
        <s v=" 11.2449 "/>
        <s v=" 16.1241 " u="1"/>
        <s v=" 5.1424 " u="1"/>
        <s v=" 4.1715 " u="1"/>
        <s v=" 8.8315 " u="1"/>
        <s v=" 10.6545 " u="1"/>
        <s v=" 8.7464 " u="1"/>
        <s v=" 13.8638 " u="1"/>
        <s v=" 8.4902 " u="1"/>
        <s v=" 3.5196 " u="1"/>
        <s v=" 9.1309 " u="1"/>
        <s v=" 8.6965 " u="1"/>
      </sharedItems>
    </cacheField>
    <cacheField name=" total fluorescence" numFmtId="0">
      <sharedItems containsBlank="1" containsMixedTypes="1" containsNumber="1" containsInteger="1" minValue="0" maxValue="5264111"/>
    </cacheField>
    <cacheField name="         " numFmtId="0">
      <sharedItems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87.49176099537" createdVersion="6" refreshedVersion="7" minRefreshableVersion="3" recordCount="52" xr:uid="{8DEF666A-6C7D-4C16-AD6D-82242760D5D9}">
  <cacheSource type="worksheet">
    <worksheetSource name="liste_groupe"/>
  </cacheSource>
  <cacheFields count="6">
    <cacheField name="Nom sur le graphique" numFmtId="0">
      <sharedItems containsBlank="1" count="34">
        <s v="Témoin solvant"/>
        <s v="EE2-22,5ng/L"/>
        <s v="EE2-33,8ng/L"/>
        <s v="EE2-50,6ng/L"/>
        <s v="EE2-76ng/L"/>
        <s v="EE2-114ng/L"/>
        <s v="EE2-170,9ng/L"/>
        <s v="EE2-488ng/L"/>
        <s v="Cefuroxime-0.001mg/L"/>
        <s v="Cefuroxime-0.01mg/L"/>
        <s v="Cefuroxime-0.1mg/L"/>
        <s v="Cefuroxime-1mg/L"/>
        <s v="Cefuroxime-10mg/L"/>
        <s v=" "/>
        <s v="Testo -30µg/L"/>
        <s v="Testo 30µg/L + EE2 -64ng/L"/>
        <s v="Testo 30µg/L + FAD-10mg/L"/>
        <s v="Cefuroxime-0,001mg/L + Testostérone"/>
        <s v="Cefuroxime-0,01mg/L + Testostérone"/>
        <s v="Cefuroxime-0,1mg/L + Testostérone"/>
        <s v="Cefuroxime-1mg/L + Testostérone"/>
        <s v="Cefuroxime-10mg/L + Testostérone"/>
        <s v="0-00 + Testostérone"/>
        <m u="1"/>
        <s v="AN-2.9mg/L" u="1"/>
        <s v="AN-1,45mg/L + Testostérone" u="1"/>
        <s v="AN-1.45mg/L" u="1"/>
        <s v="AN-0,18mg/L + Testostérone" u="1"/>
        <s v="AN-0,36mg/L + Testostérone" u="1"/>
        <s v="AN-0,73mg/L + Testostérone" u="1"/>
        <s v="AN-0.36mg/L" u="1"/>
        <s v="AN-0.73mg/L" u="1"/>
        <s v="AN-0.18mg/L" u="1"/>
        <s v="AN-2,9mg/L + Testostérone" u="1"/>
      </sharedItems>
    </cacheField>
    <cacheField name="Code WF" numFmtId="0">
      <sharedItems containsBlank="1" containsMixedTypes="1" containsNumber="1" containsInteger="1" minValue="0" maxValue="0" count="4">
        <s v="Témoin"/>
        <s v="Chemical"/>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s v="file name "/>
    <s v=" total area "/>
    <s v=" mean intensity "/>
    <x v="0"/>
    <s v=" total fluorescence"/>
    <m/>
    <m/>
  </r>
  <r>
    <x v="1"/>
    <x v="1"/>
    <s v="C:\Users\andre\Desktop\REACTIV CEFAS\Cefuroxime\Cefuroxime/20201124_Cefas_Test7_Run1/Plate 1/@1/A10_01.tif "/>
    <s v=" 1470.8328 "/>
    <s v=" 38.3529 "/>
    <x v="0"/>
    <n v="56411"/>
    <m/>
    <m/>
  </r>
  <r>
    <x v="1"/>
    <x v="1"/>
    <s v="C:\Users\andre\Desktop\REACTIV CEFAS\Cefuroxime\Cefuroxime/20201124_Cefas_Test7_Run1/Plate 1/@1/A10_02.tif "/>
    <s v=" 4196.1996 "/>
    <s v=" 39.1237 "/>
    <x v="0"/>
    <n v="164171"/>
    <m/>
    <m/>
  </r>
  <r>
    <x v="1"/>
    <x v="1"/>
    <s v="C:\Users\andre\Desktop\REACTIV CEFAS\Cefuroxime\Cefuroxime/20201124_Cefas_Test7_Run1/Plate 1/@1/A10_03.tif "/>
    <s v=" 6640.3777 "/>
    <s v=" 38.9837 "/>
    <x v="0"/>
    <n v="258867"/>
    <m/>
    <m/>
  </r>
  <r>
    <x v="1"/>
    <x v="2"/>
    <s v="C:\Users\andre\Desktop\REACTIV CEFAS\Cefuroxime\Cefuroxime/20201124_Cefas_Test7_Run1/Plate 1/@1/B10_01.tif "/>
    <s v=" 108.1495 "/>
    <n v="31"/>
    <x v="0"/>
    <n v="3353"/>
    <m/>
    <m/>
  </r>
  <r>
    <x v="1"/>
    <x v="2"/>
    <s v="C:\Users\andre\Desktop\REACTIV CEFAS\Cefuroxime\Cefuroxime/20201124_Cefas_Test7_Run1/Plate 1/@1/B10_02.tif "/>
    <n v="0"/>
    <n v="0"/>
    <x v="0"/>
    <n v="0"/>
    <m/>
    <m/>
  </r>
  <r>
    <x v="1"/>
    <x v="2"/>
    <s v="C:\Users\andre\Desktop\REACTIV CEFAS\Cefuroxime\Cefuroxime/20201124_Cefas_Test7_Run1/Plate 1/@1/B10_03.tif "/>
    <s v=" 367.7082 "/>
    <s v=" 31.5882 "/>
    <x v="0"/>
    <n v="11615"/>
    <m/>
    <m/>
  </r>
  <r>
    <x v="1"/>
    <x v="3"/>
    <s v="C:\Users\andre\Desktop\REACTIV CEFAS\Cefuroxime\Cefuroxime/20201124_Cefas_Test7_Run1/Plate 1/@1/C10_01.tif "/>
    <s v=" 6099.6303 "/>
    <s v=" 36.4929 "/>
    <x v="0"/>
    <n v="222593"/>
    <m/>
    <m/>
  </r>
  <r>
    <x v="1"/>
    <x v="3"/>
    <s v="C:\Users\andre\Desktop\REACTIV CEFAS\Cefuroxime\Cefuroxime/20201124_Cefas_Test7_Run1/Plate 1/@1/C10_02.tif "/>
    <s v=" 7592.093 "/>
    <s v=" 37.8689 "/>
    <x v="0"/>
    <n v="287505"/>
    <m/>
    <m/>
  </r>
  <r>
    <x v="1"/>
    <x v="3"/>
    <s v="C:\Users\andre\Desktop\REACTIV CEFAS\Cefuroxime\Cefuroxime/20201124_Cefas_Test7_Run1/Plate 1/@1/C10_03.tif "/>
    <s v=" 6705.2673 "/>
    <s v=" 35.8097 "/>
    <x v="0"/>
    <n v="240113"/>
    <m/>
    <m/>
  </r>
  <r>
    <x v="1"/>
    <x v="4"/>
    <s v="C:\Users\andre\Desktop\REACTIV CEFAS\Cefuroxime\Cefuroxime/20201124_Cefas_Test7_Run1/Plate 1/@1/D10_01.tif "/>
    <s v=" 6964.8261 "/>
    <s v=" 37.0248 "/>
    <x v="0"/>
    <n v="257872"/>
    <m/>
    <m/>
  </r>
  <r>
    <x v="1"/>
    <x v="4"/>
    <s v="C:\Users\andre\Desktop\REACTIV CEFAS\Cefuroxime\Cefuroxime/20201124_Cefas_Test7_Run1/Plate 1/@1/D10_02.tif "/>
    <s v=" 3049.8151 "/>
    <s v=" 32.7518 "/>
    <x v="0"/>
    <n v="99887"/>
    <m/>
    <m/>
  </r>
  <r>
    <x v="1"/>
    <x v="4"/>
    <s v="C:\Users\andre\Desktop\REACTIV CEFAS\Cefuroxime\Cefuroxime/20201124_Cefas_Test7_Run1/Plate 1/@1/D10_03.tif "/>
    <s v=" 5818.4417 "/>
    <s v=" 38.1115 "/>
    <x v="0"/>
    <n v="221750"/>
    <m/>
    <m/>
  </r>
  <r>
    <x v="1"/>
    <x v="5"/>
    <s v="C:\Users\andre\Desktop\REACTIV CEFAS\Cefuroxime\Cefuroxime/20201124_Cefas_Test7_Run1/Plate 1/@1/E10_01.tif "/>
    <s v=" 8197.7301 "/>
    <s v=" 39.2032 "/>
    <x v="0"/>
    <n v="321377"/>
    <m/>
    <m/>
  </r>
  <r>
    <x v="1"/>
    <x v="5"/>
    <s v="C:\Users\andre\Desktop\REACTIV CEFAS\Cefuroxime\Cefuroxime/20201124_Cefas_Test7_Run1/Plate 1/@1/E10_02.tif "/>
    <s v=" 15011.1469 "/>
    <s v=" 44.1844 "/>
    <x v="0"/>
    <n v="663259"/>
    <m/>
    <m/>
  </r>
  <r>
    <x v="1"/>
    <x v="5"/>
    <s v="C:\Users\andre\Desktop\REACTIV CEFAS\Cefuroxime\Cefuroxime/20201124_Cefas_Test7_Run1/Plate 1/@1/E10_03.tif "/>
    <s v=" 8154.4703 "/>
    <s v=" 42.7586 "/>
    <x v="0"/>
    <n v="348674"/>
    <m/>
    <m/>
  </r>
  <r>
    <x v="1"/>
    <x v="6"/>
    <s v="C:\Users\andre\Desktop\REACTIV CEFAS\Cefuroxime\Cefuroxime/20201124_Cefas_Test7_Run1/Plate 1/@1/F10_01.tif "/>
    <s v=" 3028.1852 "/>
    <s v=" 34.5786 "/>
    <x v="0"/>
    <n v="104710"/>
    <m/>
    <m/>
  </r>
  <r>
    <x v="1"/>
    <x v="6"/>
    <s v="C:\Users\andre\Desktop\REACTIV CEFAS\Cefuroxime\Cefuroxime/20201124_Cefas_Test7_Run1/Plate 1/@1/F10_02.tif "/>
    <s v=" 2509.0678 "/>
    <s v=" 32.7931 "/>
    <x v="0"/>
    <n v="82280"/>
    <m/>
    <m/>
  </r>
  <r>
    <x v="1"/>
    <x v="6"/>
    <s v="C:\Users\andre\Desktop\REACTIV CEFAS\Cefuroxime\Cefuroxime/20201124_Cefas_Test7_Run1/Plate 1/@1/F10_03.tif "/>
    <s v=" 1860.1709 "/>
    <s v=" 32.093 "/>
    <x v="0"/>
    <n v="59699"/>
    <m/>
    <m/>
  </r>
  <r>
    <x v="1"/>
    <x v="7"/>
    <s v="C:\Users\andre\Desktop\REACTIV CEFAS\Cefuroxime\Cefuroxime/20201124_Cefas_Test7_Run1/Plate 1/@1/G10_01.tif "/>
    <s v=" 6575.488 "/>
    <s v=" 40.5822 "/>
    <x v="0"/>
    <n v="266848"/>
    <m/>
    <m/>
  </r>
  <r>
    <x v="1"/>
    <x v="7"/>
    <s v="C:\Users\andre\Desktop\REACTIV CEFAS\Cefuroxime\Cefuroxime/20201124_Cefas_Test7_Run1/Plate 1/@1/G10_02.tif "/>
    <s v=" 64.8897 "/>
    <s v=" 31.6667 "/>
    <x v="0"/>
    <n v="2055"/>
    <m/>
    <m/>
  </r>
  <r>
    <x v="1"/>
    <x v="7"/>
    <s v="C:\Users\andre\Desktop\REACTIV CEFAS\Cefuroxime\Cefuroxime/20201124_Cefas_Test7_Run1/Plate 1/@1/G10_03.tif "/>
    <n v="0"/>
    <n v="0"/>
    <x v="0"/>
    <n v="0"/>
    <m/>
    <m/>
  </r>
  <r>
    <x v="1"/>
    <x v="8"/>
    <s v="C:\Users\andre\Desktop\REACTIV CEFAS\Cefuroxime\Cefuroxime/20201124_Cefas_Test7_Run1/Plate 1/@1/H10_01.tif "/>
    <s v=" 194.6691 "/>
    <n v="31"/>
    <x v="0"/>
    <n v="6035"/>
    <m/>
    <m/>
  </r>
  <r>
    <x v="1"/>
    <x v="8"/>
    <s v="C:\Users\andre\Desktop\REACTIV CEFAS\Cefuroxime\Cefuroxime/20201124_Cefas_Test7_Run1/Plate 1/@1/H10_02.tif "/>
    <s v=" 627.2669 "/>
    <s v=" 31.4828 "/>
    <x v="0"/>
    <n v="19748"/>
    <m/>
    <m/>
  </r>
  <r>
    <x v="1"/>
    <x v="8"/>
    <s v="C:\Users\andre\Desktop\REACTIV CEFAS\Cefuroxime\Cefuroxime/20201124_Cefas_Test7_Run1/Plate 1/@1/H10_03.tif "/>
    <s v=" 865.1958 "/>
    <s v=" 33.075 "/>
    <x v="0"/>
    <n v="28616"/>
    <m/>
    <m/>
  </r>
  <r>
    <x v="0"/>
    <x v="0"/>
    <s v=" "/>
    <m/>
    <m/>
    <x v="1"/>
    <m/>
    <m/>
    <m/>
  </r>
  <r>
    <x v="0"/>
    <x v="0"/>
    <s v="group "/>
    <s v=" "/>
    <s v=" mean of mean fluo "/>
    <x v="2"/>
    <s v=" mean of total fluo "/>
    <s v=" SD total fluo "/>
    <m/>
  </r>
  <r>
    <x v="1"/>
    <x v="9"/>
    <s v="C:\Users\andre\Desktop\REACTIV CEFAS\Cefuroxime\Cefuroxime/20201124_Cefas_Test7_Run1/Plate 1/@1/ "/>
    <s v=" "/>
    <s v=" 32.9386 "/>
    <x v="3"/>
    <s v=" 155309.917 "/>
    <s v=" 160490.921 "/>
    <m/>
  </r>
  <r>
    <x v="0"/>
    <x v="0"/>
    <s v=" "/>
    <m/>
    <m/>
    <x v="1"/>
    <m/>
    <m/>
    <m/>
  </r>
  <r>
    <x v="0"/>
    <x v="0"/>
    <s v=" "/>
    <m/>
    <m/>
    <x v="1"/>
    <m/>
    <m/>
    <m/>
  </r>
  <r>
    <x v="0"/>
    <x v="0"/>
    <s v=" "/>
    <m/>
    <m/>
    <x v="1"/>
    <m/>
    <m/>
    <m/>
  </r>
  <r>
    <x v="0"/>
    <x v="0"/>
    <s v=" "/>
    <m/>
    <m/>
    <x v="1"/>
    <m/>
    <m/>
    <m/>
  </r>
  <r>
    <x v="0"/>
    <x v="0"/>
    <s v=" "/>
    <m/>
    <m/>
    <x v="1"/>
    <m/>
    <m/>
    <m/>
  </r>
  <r>
    <x v="0"/>
    <x v="0"/>
    <s v="file name "/>
    <s v=" total area "/>
    <s v=" mean intensity "/>
    <x v="0"/>
    <s v=" total fluorescence"/>
    <m/>
    <m/>
  </r>
  <r>
    <x v="2"/>
    <x v="1"/>
    <s v="C:\Users\andre\Desktop\REACTIV CEFAS\Cefuroxime\Cefuroxime/20201124_Cefas_Test7_Run1/Plate 1/@13/A8_01.tif "/>
    <s v=" 2336.0286 "/>
    <s v=" 32.4722 "/>
    <x v="0"/>
    <n v="75856"/>
    <m/>
    <m/>
  </r>
  <r>
    <x v="2"/>
    <x v="1"/>
    <s v="C:\Users\andre\Desktop\REACTIV CEFAS\Cefuroxime\Cefuroxime/20201124_Cefas_Test7_Run1/Plate 1/@13/A8_02.tif "/>
    <s v=" 1578.9823 "/>
    <s v=" 31.589 "/>
    <x v="0"/>
    <n v="49879"/>
    <m/>
    <m/>
  </r>
  <r>
    <x v="2"/>
    <x v="1"/>
    <s v="C:\Users\andre\Desktop\REACTIV CEFAS\Cefuroxime\Cefuroxime/20201124_Cefas_Test7_Run1/Plate 1/@13/A8_03.tif "/>
    <s v=" 1687.1318 "/>
    <s v=" 32.6026 "/>
    <x v="0"/>
    <n v="55005"/>
    <m/>
    <m/>
  </r>
  <r>
    <x v="2"/>
    <x v="2"/>
    <s v="C:\Users\andre\Desktop\REACTIV CEFAS\Cefuroxime\Cefuroxime/20201124_Cefas_Test7_Run1/Plate 1/@13/B8_01.tif "/>
    <s v=" 1276.1638 "/>
    <s v=" 31.5763 "/>
    <x v="0"/>
    <n v="40296"/>
    <m/>
    <m/>
  </r>
  <r>
    <x v="2"/>
    <x v="2"/>
    <s v="C:\Users\andre\Desktop\REACTIV CEFAS\Cefuroxime\Cefuroxime/20201124_Cefas_Test7_Run1/Plate 1/@13/B8_02- exclu.tif"/>
    <m/>
    <m/>
    <x v="1"/>
    <m/>
    <m/>
    <m/>
  </r>
  <r>
    <x v="2"/>
    <x v="2"/>
    <s v="C:\Users\andre\Desktop\REACTIV CEFAS\Cefuroxime\Cefuroxime/20201124_Cefas_Test7_Run1/Plate 1/@13/B8_03- exclu.tif"/>
    <m/>
    <m/>
    <x v="1"/>
    <m/>
    <m/>
    <m/>
  </r>
  <r>
    <x v="2"/>
    <x v="3"/>
    <s v="C:\Users\andre\Desktop\REACTIV CEFAS\Cefuroxime\Cefuroxime/20201124_Cefas_Test7_Run1/Plate 1/@13/C8_01.tif "/>
    <s v=" 44644.1025 "/>
    <s v=" 39.0664 "/>
    <x v="0"/>
    <n v="1744083"/>
    <m/>
    <m/>
  </r>
  <r>
    <x v="2"/>
    <x v="3"/>
    <s v="C:\Users\andre\Desktop\REACTIV CEFAS\Cefuroxime\Cefuroxime/20201124_Cefas_Test7_Run1/Plate 1/@13/C8_02.tif "/>
    <s v=" 45292.9994 "/>
    <s v=" 37.7053 "/>
    <x v="0"/>
    <n v="1707788"/>
    <m/>
    <m/>
  </r>
  <r>
    <x v="2"/>
    <x v="3"/>
    <s v="C:\Users\andre\Desktop\REACTIV CEFAS\Cefuroxime\Cefuroxime/20201124_Cefas_Test7_Run1/Plate 1/@13/C8_03.tif "/>
    <s v=" 48580.7433 "/>
    <s v=" 39.0347 "/>
    <x v="0"/>
    <n v="1896336"/>
    <m/>
    <m/>
  </r>
  <r>
    <x v="2"/>
    <x v="4"/>
    <s v="C:\Users\andre\Desktop\REACTIV CEFAS\Cefuroxime\Cefuroxime/20201124_Cefas_Test7_Run1/Plate 1/@13/D8_01.tif "/>
    <s v=" 52084.7863 "/>
    <s v=" 41.1877 "/>
    <x v="0"/>
    <n v="2145253"/>
    <m/>
    <m/>
  </r>
  <r>
    <x v="2"/>
    <x v="4"/>
    <s v="C:\Users\andre\Desktop\REACTIV CEFAS\Cefuroxime\Cefuroxime/20201124_Cefas_Test7_Run1/Plate 1/@13/D8_02.tif "/>
    <s v=" 53815.1778 "/>
    <s v=" 43.1905 "/>
    <x v="0"/>
    <n v="2324305"/>
    <m/>
    <m/>
  </r>
  <r>
    <x v="2"/>
    <x v="4"/>
    <s v="C:\Users\andre\Desktop\REACTIV CEFAS\Cefuroxime\Cefuroxime/20201124_Cefas_Test7_Run1/Plate 1/@13/D8_03.tif "/>
    <s v=" 57449.0001 "/>
    <s v=" 45.4661 "/>
    <x v="0"/>
    <n v="2611983"/>
    <m/>
    <m/>
  </r>
  <r>
    <x v="2"/>
    <x v="5"/>
    <s v="C:\Users\andre\Desktop\REACTIV CEFAS\Cefuroxime\Cefuroxime/20201124_Cefas_Test7_Run1/Plate 1/@13/E8_01.tif "/>
    <s v=" 25393.4963 "/>
    <s v=" 34.2785 "/>
    <x v="0"/>
    <n v="870452"/>
    <m/>
    <m/>
  </r>
  <r>
    <x v="2"/>
    <x v="5"/>
    <s v="C:\Users\andre\Desktop\REACTIV CEFAS\Cefuroxime\Cefuroxime/20201124_Cefas_Test7_Run1/Plate 1/@13/E8_02.tif "/>
    <s v=" 24549.9304 "/>
    <s v=" 34.1427 "/>
    <x v="0"/>
    <n v="838202"/>
    <m/>
    <m/>
  </r>
  <r>
    <x v="2"/>
    <x v="5"/>
    <s v="C:\Users\andre\Desktop\REACTIV CEFAS\Cefuroxime\Cefuroxime/20201124_Cefas_Test7_Run1/Plate 1/@13/E8_03.tif "/>
    <s v=" 27989.0836 "/>
    <s v=" 35.2156 "/>
    <x v="0"/>
    <n v="985653"/>
    <m/>
    <m/>
  </r>
  <r>
    <x v="2"/>
    <x v="6"/>
    <s v="C:\Users\andre\Desktop\REACTIV CEFAS\Cefuroxime\Cefuroxime/20201124_Cefas_Test7_Run1/Plate 1/@13/F8_01.tif "/>
    <s v=" 19142.4567 "/>
    <s v=" 36.1073 "/>
    <x v="0"/>
    <n v="691183"/>
    <m/>
    <m/>
  </r>
  <r>
    <x v="2"/>
    <x v="6"/>
    <s v="C:\Users\andre\Desktop\REACTIV CEFAS\Cefuroxime\Cefuroxime/20201124_Cefas_Test7_Run1/Plate 1/@13/F8_02.tif "/>
    <s v=" 14902.9974 "/>
    <s v=" 44.7286 "/>
    <x v="0"/>
    <n v="666590"/>
    <m/>
    <m/>
  </r>
  <r>
    <x v="2"/>
    <x v="6"/>
    <s v="C:\Users\andre\Desktop\REACTIV CEFAS\Cefuroxime\Cefuroxime/20201124_Cefas_Test7_Run1/Plate 1/@13/F8_03.tif "/>
    <s v=" 22019.2327 "/>
    <s v=" 45.3271 "/>
    <x v="0"/>
    <n v="998068"/>
    <m/>
    <m/>
  </r>
  <r>
    <x v="2"/>
    <x v="7"/>
    <s v="C:\Users\andre\Desktop\REACTIV CEFAS\Cefuroxime\Cefuroxime/20201124_Cefas_Test7_Run1/Plate 1/@13/G8_01.tif "/>
    <s v=" 47737.1774 "/>
    <s v=" 39.3883 "/>
    <x v="0"/>
    <n v="1880287"/>
    <m/>
    <m/>
  </r>
  <r>
    <x v="2"/>
    <x v="7"/>
    <s v="C:\Users\andre\Desktop\REACTIV CEFAS\Cefuroxime\Cefuroxime/20201124_Cefas_Test7_Run1/Plate 1/@13/G8_02.tif "/>
    <s v=" 59785.0288 "/>
    <s v=" 42.504 "/>
    <x v="0"/>
    <n v="2541102"/>
    <m/>
    <m/>
  </r>
  <r>
    <x v="2"/>
    <x v="7"/>
    <s v="C:\Users\andre\Desktop\REACTIV CEFAS\Cefuroxime\Cefuroxime/20201124_Cefas_Test7_Run1/Plate 1/@13/G8_03.tif "/>
    <s v=" 58162.7867 "/>
    <s v=" 40.2793 "/>
    <x v="0"/>
    <n v="2342756"/>
    <m/>
    <m/>
  </r>
  <r>
    <x v="2"/>
    <x v="8"/>
    <s v="C:\Users\andre\Desktop\REACTIV CEFAS\Cefuroxime\Cefuroxime/20201124_Cefas_Test7_Run1/Plate 1/@13/H8_01.tif "/>
    <s v=" 45725.5972 "/>
    <s v=" 35.7526 "/>
    <x v="0"/>
    <n v="1634809"/>
    <m/>
    <m/>
  </r>
  <r>
    <x v="2"/>
    <x v="8"/>
    <s v="C:\Users\andre\Desktop\REACTIV CEFAS\Cefuroxime\Cefuroxime/20201124_Cefas_Test7_Run1/Plate 1/@13/H8_02.tif "/>
    <s v=" 54117.9964 "/>
    <s v=" 39.0847 "/>
    <x v="0"/>
    <n v="2115187"/>
    <m/>
    <m/>
  </r>
  <r>
    <x v="2"/>
    <x v="8"/>
    <s v="C:\Users\andre\Desktop\REACTIV CEFAS\Cefuroxime\Cefuroxime/20201124_Cefas_Test7_Run1/Plate 1/@13/H8_03.tif "/>
    <s v=" 43692.3872 "/>
    <s v=" 37.1238 "/>
    <x v="0"/>
    <n v="1622026"/>
    <m/>
    <m/>
  </r>
  <r>
    <x v="0"/>
    <x v="0"/>
    <s v=" "/>
    <m/>
    <m/>
    <x v="1"/>
    <m/>
    <m/>
    <m/>
  </r>
  <r>
    <x v="0"/>
    <x v="0"/>
    <s v="group "/>
    <s v=" "/>
    <s v=" mean of mean fluo "/>
    <x v="2"/>
    <s v=" mean of total fluo "/>
    <s v=" SD total fluo "/>
    <m/>
  </r>
  <r>
    <x v="2"/>
    <x v="9"/>
    <s v="C:\Users\andre\Desktop\REACTIV CEFAS\Cefuroxime\Cefuroxime/20201124_Cefas_Test7_Run1/Plate 1/@13/ "/>
    <s v=" "/>
    <s v=" 38.3374 "/>
    <x v="4"/>
    <s v=" 1328624.42 "/>
    <s v=" 839027.546 "/>
    <m/>
  </r>
  <r>
    <x v="0"/>
    <x v="0"/>
    <s v=" "/>
    <m/>
    <m/>
    <x v="1"/>
    <m/>
    <m/>
    <m/>
  </r>
  <r>
    <x v="0"/>
    <x v="0"/>
    <s v=" "/>
    <m/>
    <m/>
    <x v="1"/>
    <m/>
    <m/>
    <m/>
  </r>
  <r>
    <x v="0"/>
    <x v="0"/>
    <s v=" "/>
    <m/>
    <m/>
    <x v="1"/>
    <m/>
    <m/>
    <m/>
  </r>
  <r>
    <x v="0"/>
    <x v="0"/>
    <s v=" "/>
    <m/>
    <m/>
    <x v="1"/>
    <m/>
    <m/>
    <m/>
  </r>
  <r>
    <x v="0"/>
    <x v="0"/>
    <s v=" "/>
    <m/>
    <m/>
    <x v="1"/>
    <m/>
    <m/>
    <m/>
  </r>
  <r>
    <x v="0"/>
    <x v="0"/>
    <s v="file name "/>
    <s v=" total area "/>
    <s v=" mean intensity "/>
    <x v="0"/>
    <s v=" total fluorescence"/>
    <m/>
    <m/>
  </r>
  <r>
    <x v="3"/>
    <x v="1"/>
    <s v="C:\Users\andre\Desktop\REACTIV CEFAS\Cefuroxime\Cefuroxime/20201124_Cefas_Test7_Run1/Plate 1/@14/A9_01- exclu.tif"/>
    <m/>
    <m/>
    <x v="1"/>
    <m/>
    <m/>
    <m/>
  </r>
  <r>
    <x v="3"/>
    <x v="1"/>
    <s v="C:\Users\andre\Desktop\REACTIV CEFAS\Cefuroxime\Cefuroxime/20201124_Cefas_Test7_Run1/Plate 1/@14/A9_02- exclu.tif"/>
    <m/>
    <m/>
    <x v="1"/>
    <m/>
    <m/>
    <m/>
  </r>
  <r>
    <x v="3"/>
    <x v="1"/>
    <s v="C:\Users\andre\Desktop\REACTIV CEFAS\Cefuroxime\Cefuroxime/20201124_Cefas_Test7_Run1/Plate 1/@14/A9_03- exclu.tif"/>
    <m/>
    <m/>
    <x v="1"/>
    <m/>
    <m/>
    <m/>
  </r>
  <r>
    <x v="3"/>
    <x v="2"/>
    <s v="C:\Users\andre\Desktop\REACTIV CEFAS\Cefuroxime\Cefuroxime/20201124_Cefas_Test7_Run1/Plate 1/@14/B9_01.tif "/>
    <s v=" 32358.3224 "/>
    <s v=" 35.1364 "/>
    <x v="0"/>
    <n v="1136954"/>
    <m/>
    <m/>
  </r>
  <r>
    <x v="3"/>
    <x v="2"/>
    <s v="C:\Users\andre\Desktop\REACTIV CEFAS\Cefuroxime\Cefuroxime/20201124_Cefas_Test7_Run1/Plate 1/@14/B9_02.tif "/>
    <s v=" 28464.9413 "/>
    <s v=" 34.9719 "/>
    <x v="0"/>
    <n v="995473"/>
    <m/>
    <m/>
  </r>
  <r>
    <x v="3"/>
    <x v="2"/>
    <s v="C:\Users\andre\Desktop\REACTIV CEFAS\Cefuroxime\Cefuroxime/20201124_Cefas_Test7_Run1/Plate 1/@14/B9_03.tif "/>
    <s v=" 29719.4752 "/>
    <s v=" 35.2904 "/>
    <x v="0"/>
    <n v="1048812"/>
    <m/>
    <m/>
  </r>
  <r>
    <x v="3"/>
    <x v="3"/>
    <s v="C:\Users\andre\Desktop\REACTIV CEFAS\Cefuroxime\Cefuroxime/20201124_Cefas_Test7_Run1/Plate 1/@14/C9_01.tif "/>
    <s v=" 60693.4843 "/>
    <s v=" 45.3564 "/>
    <x v="0"/>
    <n v="2752837"/>
    <m/>
    <m/>
  </r>
  <r>
    <x v="3"/>
    <x v="3"/>
    <s v="C:\Users\andre\Desktop\REACTIV CEFAS\Cefuroxime\Cefuroxime/20201124_Cefas_Test7_Run1/Plate 1/@14/C9_02.tif "/>
    <s v=" 62034.5378 "/>
    <s v=" 43.5035 "/>
    <x v="0"/>
    <n v="2698719"/>
    <m/>
    <m/>
  </r>
  <r>
    <x v="3"/>
    <x v="3"/>
    <s v="C:\Users\andre\Desktop\REACTIV CEFAS\Cefuroxime\Cefuroxime/20201124_Cefas_Test7_Run1/Plate 1/@14/C9_03.tif "/>
    <s v=" 59958.0679 "/>
    <s v=" 41.2886 "/>
    <x v="0"/>
    <n v="2475585"/>
    <m/>
    <m/>
  </r>
  <r>
    <x v="3"/>
    <x v="4"/>
    <s v="C:\Users\andre\Desktop\REACTIV CEFAS\Cefuroxime\Cefuroxime/20201124_Cefas_Test7_Run1/Plate 1/@14/D9_01.tif "/>
    <s v=" 31536.3864 "/>
    <s v=" 46.3532 "/>
    <x v="0"/>
    <n v="1461813"/>
    <m/>
    <m/>
  </r>
  <r>
    <x v="3"/>
    <x v="4"/>
    <s v="C:\Users\andre\Desktop\REACTIV CEFAS\Cefuroxime\Cefuroxime/20201124_Cefas_Test7_Run1/Plate 1/@14/D9_02.tif "/>
    <s v=" 37311.5682 "/>
    <s v=" 47.8394 "/>
    <x v="0"/>
    <n v="1784964"/>
    <m/>
    <m/>
  </r>
  <r>
    <x v="3"/>
    <x v="4"/>
    <s v="C:\Users\andre\Desktop\REACTIV CEFAS\Cefuroxime\Cefuroxime/20201124_Cefas_Test7_Run1/Plate 1/@14/D9_03.tif "/>
    <s v=" 35473.0272 "/>
    <s v=" 45.914 "/>
    <x v="0"/>
    <n v="1628709"/>
    <m/>
    <m/>
  </r>
  <r>
    <x v="3"/>
    <x v="5"/>
    <s v="C:\Users\andre\Desktop\REACTIV CEFAS\Cefuroxime\Cefuroxime/20201124_Cefas_Test7_Run1/Plate 1/@14/E9_01.tif "/>
    <s v=" 74212.1685 "/>
    <s v=" 46.5887 "/>
    <x v="0"/>
    <n v="3457452"/>
    <m/>
    <m/>
  </r>
  <r>
    <x v="3"/>
    <x v="5"/>
    <s v="C:\Users\andre\Desktop\REACTIV CEFAS\Cefuroxime\Cefuroxime/20201124_Cefas_Test7_Run1/Plate 1/@14/E9_02- exclu.tif"/>
    <m/>
    <m/>
    <x v="1"/>
    <m/>
    <m/>
    <m/>
  </r>
  <r>
    <x v="3"/>
    <x v="5"/>
    <s v="C:\Users\andre\Desktop\REACTIV CEFAS\Cefuroxime\Cefuroxime/20201124_Cefas_Test7_Run1/Plate 1/@14/E9_03- exclu.tif"/>
    <m/>
    <m/>
    <x v="1"/>
    <m/>
    <m/>
    <m/>
  </r>
  <r>
    <x v="3"/>
    <x v="6"/>
    <s v="C:\Users\andre\Desktop\REACTIV CEFAS\Cefuroxime\Cefuroxime/20201124_Cefas_Test7_Run1/Plate 1/@14/F9_01.tif "/>
    <s v=" 41096.7998 "/>
    <s v=" 39.4295 "/>
    <x v="0"/>
    <n v="1620425"/>
    <m/>
    <m/>
  </r>
  <r>
    <x v="3"/>
    <x v="6"/>
    <s v="C:\Users\andre\Desktop\REACTIV CEFAS\Cefuroxime\Cefuroxime/20201124_Cefas_Test7_Run1/Plate 1/@14/F9_02.tif "/>
    <s v=" 28551.4609 "/>
    <s v=" 39.7068 "/>
    <x v="0"/>
    <n v="1133688"/>
    <m/>
    <m/>
  </r>
  <r>
    <x v="3"/>
    <x v="6"/>
    <s v="C:\Users\andre\Desktop\REACTIV CEFAS\Cefuroxime\Cefuroxime/20201124_Cefas_Test7_Run1/Plate 1/@14/F9_03.tif "/>
    <s v=" 28118.863 "/>
    <s v=" 39.9131 "/>
    <x v="0"/>
    <n v="1122310"/>
    <m/>
    <m/>
  </r>
  <r>
    <x v="3"/>
    <x v="7"/>
    <s v="C:\Users\andre\Desktop\REACTIV CEFAS\Cefuroxime\Cefuroxime/20201124_Cefas_Test7_Run1/Plate 1/@14/G9_01.tif "/>
    <s v=" 4131.3099 "/>
    <s v=" 39.4555 "/>
    <x v="0"/>
    <n v="163003"/>
    <m/>
    <m/>
  </r>
  <r>
    <x v="3"/>
    <x v="7"/>
    <s v="C:\Users\andre\Desktop\REACTIV CEFAS\Cefuroxime\Cefuroxime/20201124_Cefas_Test7_Run1/Plate 1/@14/G9_02.tif "/>
    <n v="0"/>
    <n v="0"/>
    <x v="0"/>
    <n v="0"/>
    <m/>
    <m/>
  </r>
  <r>
    <x v="3"/>
    <x v="7"/>
    <s v="C:\Users\andre\Desktop\REACTIV CEFAS\Cefuroxime\Cefuroxime/20201124_Cefas_Test7_Run1/Plate 1/@14/G9_03.tif "/>
    <s v=" 3763.6017 "/>
    <s v=" 39.6092 "/>
    <x v="0"/>
    <n v="149073"/>
    <m/>
    <m/>
  </r>
  <r>
    <x v="3"/>
    <x v="8"/>
    <s v="C:\Users\andre\Desktop\REACTIV CEFAS\Cefuroxime\Cefuroxime/20201124_Cefas_Test7_Run1/Plate 1/@14/H9_01.tif "/>
    <s v=" 25782.8344 "/>
    <s v=" 36.0319 "/>
    <x v="0"/>
    <n v="929004"/>
    <m/>
    <m/>
  </r>
  <r>
    <x v="3"/>
    <x v="8"/>
    <s v="C:\Users\andre\Desktop\REACTIV CEFAS\Cefuroxime\Cefuroxime/20201124_Cefas_Test7_Run1/Plate 1/@14/H9_02.tif "/>
    <s v=" 25847.7241 "/>
    <s v=" 35.954 "/>
    <x v="0"/>
    <n v="929328"/>
    <m/>
    <m/>
  </r>
  <r>
    <x v="3"/>
    <x v="8"/>
    <s v="C:\Users\andre\Desktop\REACTIV CEFAS\Cefuroxime\Cefuroxime/20201124_Cefas_Test7_Run1/Plate 1/@14/H9_03.tif "/>
    <s v=" 27816.0445 "/>
    <s v=" 36.0723 "/>
    <x v="0"/>
    <n v="1003389"/>
    <m/>
    <m/>
  </r>
  <r>
    <x v="0"/>
    <x v="0"/>
    <s v=" "/>
    <m/>
    <m/>
    <x v="1"/>
    <m/>
    <m/>
    <m/>
  </r>
  <r>
    <x v="0"/>
    <x v="0"/>
    <s v="group "/>
    <s v=" "/>
    <s v=" mean of mean fluo "/>
    <x v="2"/>
    <s v=" mean of total fluo "/>
    <s v=" SD total fluo "/>
    <m/>
  </r>
  <r>
    <x v="3"/>
    <x v="9"/>
    <s v="C:\Users\andre\Desktop\REACTIV CEFAS\Cefuroxime\Cefuroxime/20201124_Cefas_Test7_Run1/Plate 1/@14/ "/>
    <s v=" "/>
    <s v=" 39.8268 "/>
    <x v="5"/>
    <s v=" 1429516.17 "/>
    <s v=" 978282.246 "/>
    <m/>
  </r>
  <r>
    <x v="0"/>
    <x v="0"/>
    <s v=" "/>
    <m/>
    <m/>
    <x v="1"/>
    <m/>
    <m/>
    <m/>
  </r>
  <r>
    <x v="0"/>
    <x v="0"/>
    <s v=" "/>
    <m/>
    <m/>
    <x v="1"/>
    <m/>
    <m/>
    <m/>
  </r>
  <r>
    <x v="0"/>
    <x v="0"/>
    <s v=" "/>
    <m/>
    <m/>
    <x v="1"/>
    <m/>
    <m/>
    <m/>
  </r>
  <r>
    <x v="0"/>
    <x v="0"/>
    <s v=" "/>
    <m/>
    <m/>
    <x v="1"/>
    <m/>
    <m/>
    <m/>
  </r>
  <r>
    <x v="0"/>
    <x v="0"/>
    <s v=" "/>
    <m/>
    <m/>
    <x v="1"/>
    <m/>
    <m/>
    <m/>
  </r>
  <r>
    <x v="0"/>
    <x v="0"/>
    <s v="file name "/>
    <s v=" total area "/>
    <s v=" mean intensity "/>
    <x v="0"/>
    <s v=" total fluorescence"/>
    <m/>
    <m/>
  </r>
  <r>
    <x v="4"/>
    <x v="1"/>
    <s v="C:\Users\andre\Desktop\REACTIV CEFAS\Cefuroxime\Cefuroxime/20201124_Cefas_Test7_Run1/Plate 1/@15/A11_01.tif "/>
    <s v=" 72114.0687 "/>
    <s v=" 50.0033 "/>
    <x v="0"/>
    <n v="3605941"/>
    <m/>
    <m/>
  </r>
  <r>
    <x v="4"/>
    <x v="1"/>
    <s v="C:\Users\andre\Desktop\REACTIV CEFAS\Cefuroxime\Cefuroxime/20201124_Cefas_Test7_Run1/Plate 1/@15/A11_02.tif "/>
    <s v=" 73909.3499 "/>
    <s v=" 52.0421 "/>
    <x v="0"/>
    <n v="3846401"/>
    <m/>
    <m/>
  </r>
  <r>
    <x v="4"/>
    <x v="1"/>
    <s v="C:\Users\andre\Desktop\REACTIV CEFAS\Cefuroxime\Cefuroxime/20201124_Cefas_Test7_Run1/Plate 1/@15/A11_03.tif "/>
    <s v=" 62705.0645 "/>
    <s v=" 51.4232 "/>
    <x v="0"/>
    <n v="3224498"/>
    <m/>
    <m/>
  </r>
  <r>
    <x v="4"/>
    <x v="2"/>
    <s v="C:\Users\andre\Desktop\REACTIV CEFAS\Cefuroxime\Cefuroxime/20201124_Cefas_Test7_Run1/Plate 1/@15/B11_01.tif "/>
    <s v=" 70124.1184 "/>
    <s v=" 51.0074 "/>
    <x v="0"/>
    <n v="3576849"/>
    <m/>
    <m/>
  </r>
  <r>
    <x v="4"/>
    <x v="2"/>
    <s v="C:\Users\andre\Desktop\REACTIV CEFAS\Cefuroxime\Cefuroxime/20201124_Cefas_Test7_Run1/Plate 1/@15/B11_02.tif "/>
    <s v=" 76418.4177 "/>
    <s v=" 48.9901 "/>
    <x v="0"/>
    <n v="3743745"/>
    <m/>
    <m/>
  </r>
  <r>
    <x v="4"/>
    <x v="2"/>
    <s v="C:\Users\andre\Desktop\REACTIV CEFAS\Cefuroxime\Cefuroxime/20201124_Cefas_Test7_Run1/Plate 1/@15/B11_03.tif "/>
    <s v=" 80073.8699 "/>
    <s v=" 55.6545 "/>
    <x v="0"/>
    <n v="4456472"/>
    <m/>
    <m/>
  </r>
  <r>
    <x v="4"/>
    <x v="3"/>
    <s v="C:\Users\andre\Desktop\REACTIV CEFAS\Cefuroxime\Cefuroxime/20201124_Cefas_Test7_Run1/Plate 1/@15/C11_01.tif "/>
    <s v=" 60563.705 "/>
    <s v=" 48.7568 "/>
    <x v="0"/>
    <n v="2952892"/>
    <m/>
    <m/>
  </r>
  <r>
    <x v="4"/>
    <x v="3"/>
    <s v="C:\Users\andre\Desktop\REACTIV CEFAS\Cefuroxime\Cefuroxime/20201124_Cefas_Test7_Run1/Plate 1/@15/C11_02.tif "/>
    <s v=" 62034.5378 "/>
    <s v=" 48.3135 "/>
    <x v="0"/>
    <n v="2997103"/>
    <m/>
    <m/>
  </r>
  <r>
    <x v="4"/>
    <x v="3"/>
    <s v="C:\Users\andre\Desktop\REACTIV CEFAS\Cefuroxime\Cefuroxime/20201124_Cefas_Test7_Run1/Plate 1/@15/C11_03.tif "/>
    <s v=" 63137.6624 "/>
    <s v=" 47.0935 "/>
    <x v="0"/>
    <n v="2973375"/>
    <m/>
    <m/>
  </r>
  <r>
    <x v="4"/>
    <x v="4"/>
    <s v="C:\Users\andre\Desktop\REACTIV CEFAS\Cefuroxime\Cefuroxime/20201124_Cefas_Test7_Run1/Plate 1/@15/D11_01- exclu.tif"/>
    <m/>
    <m/>
    <x v="1"/>
    <m/>
    <m/>
    <m/>
  </r>
  <r>
    <x v="4"/>
    <x v="4"/>
    <s v="C:\Users\andre\Desktop\REACTIV CEFAS\Cefuroxime\Cefuroxime/20201124_Cefas_Test7_Run1/Plate 1/@15/D11_02.tif "/>
    <s v=" 55221.121 "/>
    <s v=" 47.8888 "/>
    <x v="0"/>
    <n v="2644471"/>
    <m/>
    <m/>
  </r>
  <r>
    <x v="4"/>
    <x v="4"/>
    <s v="C:\Users\andre\Desktop\REACTIV CEFAS\Cefuroxime\Cefuroxime/20201124_Cefas_Test7_Run1/Plate 1/@15/D11_03.tif "/>
    <s v=" 59958.0679 "/>
    <s v=" 43.7994 "/>
    <x v="0"/>
    <n v="2626129"/>
    <m/>
    <m/>
  </r>
  <r>
    <x v="4"/>
    <x v="5"/>
    <s v="C:\Users\andre\Desktop\REACTIV CEFAS\Cefuroxime\Cefuroxime/20201124_Cefas_Test7_Run1/Plate 1/@15/E11_01.tif "/>
    <s v=" 73282.083 "/>
    <s v=" 55.0732 "/>
    <x v="0"/>
    <n v="4035879"/>
    <m/>
    <m/>
  </r>
  <r>
    <x v="4"/>
    <x v="5"/>
    <s v="C:\Users\andre\Desktop\REACTIV CEFAS\Cefuroxime\Cefuroxime/20201124_Cefas_Test7_Run1/Plate 1/@15/E11_02.tif "/>
    <s v=" 76634.7167 "/>
    <s v=" 56.2904 "/>
    <x v="0"/>
    <n v="4313801"/>
    <m/>
    <m/>
  </r>
  <r>
    <x v="4"/>
    <x v="5"/>
    <s v="C:\Users\andre\Desktop\REACTIV CEFAS\Cefuroxime\Cefuroxime/20201124_Cefas_Test7_Run1/Plate 1/@15/E11_03.tif "/>
    <s v=" 87190.1052 "/>
    <s v=" 51.7948 "/>
    <x v="0"/>
    <n v="4515998"/>
    <m/>
    <m/>
  </r>
  <r>
    <x v="4"/>
    <x v="6"/>
    <s v="C:\Users\andre\Desktop\REACTIV CEFAS\Cefuroxime\Cefuroxime/20201124_Cefas_Test7_Run1/Plate 1/@15/F11_01.tif "/>
    <s v=" 75899.3003 "/>
    <s v=" 46.9364 "/>
    <x v="0"/>
    <n v="3562444"/>
    <m/>
    <m/>
  </r>
  <r>
    <x v="4"/>
    <x v="6"/>
    <s v="C:\Users\andre\Desktop\REACTIV CEFAS\Cefuroxime\Cefuroxime/20201124_Cefas_Test7_Run1/Plate 1/@15/F11_02.tif "/>
    <s v=" 70643.2359 "/>
    <s v=" 45.9198 "/>
    <x v="0"/>
    <n v="3243922"/>
    <m/>
    <m/>
  </r>
  <r>
    <x v="4"/>
    <x v="6"/>
    <s v="C:\Users\andre\Desktop\REACTIV CEFAS\Cefuroxime\Cefuroxime/20201124_Cefas_Test7_Run1/Plate 1/@15/F11_03.tif "/>
    <s v=" 68458.6165 "/>
    <s v=" 46.0821 "/>
    <x v="0"/>
    <n v="3154720"/>
    <m/>
    <m/>
  </r>
  <r>
    <x v="4"/>
    <x v="7"/>
    <s v="C:\Users\andre\Desktop\REACTIV CEFAS\Cefuroxime\Cefuroxime/20201124_Cefas_Test7_Run1/Plate 1/@15/G11_01.tif "/>
    <s v=" 83750.952 "/>
    <s v=" 51.0953 "/>
    <x v="0"/>
    <n v="4279280"/>
    <m/>
    <m/>
  </r>
  <r>
    <x v="4"/>
    <x v="7"/>
    <s v="C:\Users\andre\Desktop\REACTIV CEFAS\Cefuroxime\Cefuroxime/20201124_Cefas_Test7_Run1/Plate 1/@15/G11_02.tif "/>
    <s v=" 83102.0552 "/>
    <s v=" 55.1996 "/>
    <x v="0"/>
    <n v="4587203"/>
    <m/>
    <m/>
  </r>
  <r>
    <x v="4"/>
    <x v="7"/>
    <s v="C:\Users\andre\Desktop\REACTIV CEFAS\Cefuroxime\Cefuroxime/20201124_Cefas_Test7_Run1/Plate 1/@15/G11_03.tif "/>
    <s v=" 80030.6101 "/>
    <s v=" 55.4376 "/>
    <x v="0"/>
    <n v="4436702"/>
    <m/>
    <m/>
  </r>
  <r>
    <x v="4"/>
    <x v="8"/>
    <s v="C:\Users\andre\Desktop\REACTIV CEFAS\Cefuroxime\Cefuroxime/20201124_Cefas_Test7_Run1/Plate 1/@15/H11_01.tif "/>
    <s v=" 58206.0464 "/>
    <s v=" 44.9647 "/>
    <x v="0"/>
    <n v="2617217"/>
    <m/>
    <m/>
  </r>
  <r>
    <x v="4"/>
    <x v="8"/>
    <s v="C:\Users\andre\Desktop\REACTIV CEFAS\Cefuroxime\Cefuroxime/20201124_Cefas_Test7_Run1/Plate 1/@15/H11_02.tif "/>
    <s v=" 48688.8928 "/>
    <s v=" 45.7006 "/>
    <x v="0"/>
    <n v="2225111"/>
    <m/>
    <m/>
  </r>
  <r>
    <x v="4"/>
    <x v="8"/>
    <s v="C:\Users\andre\Desktop\REACTIV CEFAS\Cefuroxime\Cefuroxime/20201124_Cefas_Test7_Run1/Plate 1/@15/H11_03.tif "/>
    <s v=" 45314.6292 "/>
    <s v=" 45.1819 "/>
    <x v="0"/>
    <n v="2047399"/>
    <m/>
    <m/>
  </r>
  <r>
    <x v="0"/>
    <x v="0"/>
    <s v=" "/>
    <m/>
    <m/>
    <x v="1"/>
    <m/>
    <m/>
    <m/>
  </r>
  <r>
    <x v="0"/>
    <x v="0"/>
    <s v="group "/>
    <s v=" "/>
    <s v=" mean of mean fluo "/>
    <x v="2"/>
    <s v=" mean of total fluo "/>
    <s v=" SD total fluo "/>
    <m/>
  </r>
  <r>
    <x v="4"/>
    <x v="9"/>
    <s v="C:\Users\andre\Desktop\REACTIV CEFAS\Cefuroxime\Cefuroxime/20201124_Cefas_Test7_Run1/Plate 1/@15/ "/>
    <s v=" "/>
    <s v=" 49.5078 "/>
    <x v="6"/>
    <s v=" 3423853.67 "/>
    <s v=" 772212.941 "/>
    <m/>
  </r>
  <r>
    <x v="0"/>
    <x v="0"/>
    <s v=" "/>
    <m/>
    <m/>
    <x v="1"/>
    <m/>
    <m/>
    <m/>
  </r>
  <r>
    <x v="0"/>
    <x v="0"/>
    <s v=" "/>
    <m/>
    <m/>
    <x v="1"/>
    <m/>
    <m/>
    <m/>
  </r>
  <r>
    <x v="0"/>
    <x v="0"/>
    <s v=" "/>
    <m/>
    <m/>
    <x v="1"/>
    <m/>
    <m/>
    <m/>
  </r>
  <r>
    <x v="0"/>
    <x v="0"/>
    <s v=" "/>
    <m/>
    <m/>
    <x v="1"/>
    <m/>
    <m/>
    <m/>
  </r>
  <r>
    <x v="0"/>
    <x v="0"/>
    <s v=" "/>
    <m/>
    <m/>
    <x v="1"/>
    <m/>
    <m/>
    <m/>
  </r>
  <r>
    <x v="0"/>
    <x v="0"/>
    <s v="file name "/>
    <s v=" total area "/>
    <s v=" mean intensity "/>
    <x v="0"/>
    <s v=" total fluorescence"/>
    <m/>
    <m/>
  </r>
  <r>
    <x v="5"/>
    <x v="1"/>
    <s v="C:\Users\andre\Desktop\REACTIV CEFAS\Cefuroxime\Cefuroxime/20201124_Cefas_Test7_Run1/Plate 1/@16/A12_01.tif "/>
    <n v="0"/>
    <n v="0"/>
    <x v="0"/>
    <n v="0"/>
    <m/>
    <m/>
  </r>
  <r>
    <x v="5"/>
    <x v="1"/>
    <s v="C:\Users\andre\Desktop\REACTIV CEFAS\Cefuroxime\Cefuroxime/20201124_Cefas_Test7_Run1/Plate 1/@16/A12_02.tif "/>
    <n v="0"/>
    <n v="0"/>
    <x v="0"/>
    <n v="0"/>
    <m/>
    <m/>
  </r>
  <r>
    <x v="5"/>
    <x v="1"/>
    <s v="C:\Users\andre\Desktop\REACTIV CEFAS\Cefuroxime\Cefuroxime/20201124_Cefas_Test7_Run1/Plate 1/@16/A12_03.tif "/>
    <s v=" 21.6299 "/>
    <n v="30"/>
    <x v="0"/>
    <n v="649"/>
    <m/>
    <m/>
  </r>
  <r>
    <x v="5"/>
    <x v="2"/>
    <s v="C:\Users\andre\Desktop\REACTIV CEFAS\Cefuroxime\Cefuroxime/20201124_Cefas_Test7_Run1/Plate 1/@16/B12_01.tif "/>
    <s v=" 346.0783 "/>
    <s v=" 30.75 "/>
    <x v="0"/>
    <n v="10642"/>
    <m/>
    <m/>
  </r>
  <r>
    <x v="5"/>
    <x v="2"/>
    <s v="C:\Users\andre\Desktop\REACTIV CEFAS\Cefuroxime\Cefuroxime/20201124_Cefas_Test7_Run1/Plate 1/@16/B12_02.tif "/>
    <s v=" 3828.4913 "/>
    <s v=" 36.5537 "/>
    <x v="0"/>
    <n v="139945"/>
    <m/>
    <m/>
  </r>
  <r>
    <x v="5"/>
    <x v="2"/>
    <s v="C:\Users\andre\Desktop\REACTIV CEFAS\Cefuroxime\Cefuroxime/20201124_Cefas_Test7_Run1/Plate 1/@16/B12_03.tif "/>
    <s v=" 4931.616 "/>
    <s v=" 36.8684 "/>
    <x v="0"/>
    <n v="181821"/>
    <m/>
    <m/>
  </r>
  <r>
    <x v="5"/>
    <x v="3"/>
    <s v="C:\Users\andre\Desktop\REACTIV CEFAS\Cefuroxime\Cefuroxime/20201124_Cefas_Test7_Run1/Plate 1/@16/C12_01.tif "/>
    <s v=" 3936.6408 "/>
    <s v=" 35.3681 "/>
    <x v="0"/>
    <n v="139232"/>
    <m/>
    <m/>
  </r>
  <r>
    <x v="5"/>
    <x v="3"/>
    <s v="C:\Users\andre\Desktop\REACTIV CEFAS\Cefuroxime\Cefuroxime/20201124_Cefas_Test7_Run1/Plate 1/@16/C12_02.tif "/>
    <s v=" 6013.1107 "/>
    <s v=" 40.4532 "/>
    <x v="0"/>
    <n v="243250"/>
    <m/>
    <m/>
  </r>
  <r>
    <x v="5"/>
    <x v="3"/>
    <s v="C:\Users\andre\Desktop\REACTIV CEFAS\Cefuroxime\Cefuroxime/20201124_Cefas_Test7_Run1/Plate 1/@16/C12_03.tif "/>
    <s v=" 5039.7654 "/>
    <s v=" 36.6738 "/>
    <x v="0"/>
    <n v="184827"/>
    <m/>
    <m/>
  </r>
  <r>
    <x v="5"/>
    <x v="4"/>
    <s v="C:\Users\andre\Desktop\REACTIV CEFAS\Cefuroxime\Cefuroxime/20201124_Cefas_Test7_Run1/Plate 1/@16/D12_01.tif "/>
    <s v=" 4628.7975 "/>
    <s v=" 33.4579 "/>
    <x v="0"/>
    <n v="154870"/>
    <m/>
    <m/>
  </r>
  <r>
    <x v="5"/>
    <x v="4"/>
    <s v="C:\Users\andre\Desktop\REACTIV CEFAS\Cefuroxime\Cefuroxime/20201124_Cefas_Test7_Run1/Plate 1/@16/D12_02.tif "/>
    <s v=" 8998.0362 "/>
    <s v=" 41.3558 "/>
    <x v="0"/>
    <n v="372121"/>
    <m/>
    <m/>
  </r>
  <r>
    <x v="5"/>
    <x v="4"/>
    <s v="C:\Users\andre\Desktop\REACTIV CEFAS\Cefuroxime\Cefuroxime/20201124_Cefas_Test7_Run1/Plate 1/@16/D12_03.tif "/>
    <s v=" 6186.1499 "/>
    <s v=" 34.3881 "/>
    <x v="0"/>
    <n v="212730"/>
    <m/>
    <m/>
  </r>
  <r>
    <x v="5"/>
    <x v="5"/>
    <s v="C:\Users\andre\Desktop\REACTIV CEFAS\Cefuroxime\Cefuroxime/20201124_Cefas_Test7_Run1/Plate 1/@16/E12_01.tif "/>
    <s v=" 540.7474 "/>
    <s v=" 32.88 "/>
    <x v="0"/>
    <n v="17780"/>
    <m/>
    <m/>
  </r>
  <r>
    <x v="5"/>
    <x v="5"/>
    <s v="C:\Users\andre\Desktop\REACTIV CEFAS\Cefuroxime\Cefuroxime/20201124_Cefas_Test7_Run1/Plate 1/@16/E12_02.tif "/>
    <s v=" 4239.4593 "/>
    <s v=" 37.8724 "/>
    <x v="0"/>
    <n v="160559"/>
    <m/>
    <m/>
  </r>
  <r>
    <x v="5"/>
    <x v="5"/>
    <s v="C:\Users\andre\Desktop\REACTIV CEFAS\Cefuroxime\Cefuroxime/20201124_Cefas_Test7_Run1/Plate 1/@16/E12_03.tif "/>
    <s v=" 3633.8223 "/>
    <s v=" 37.7857 "/>
    <x v="0"/>
    <n v="137307"/>
    <m/>
    <m/>
  </r>
  <r>
    <x v="5"/>
    <x v="6"/>
    <s v="C:\Users\andre\Desktop\REACTIV CEFAS\Cefuroxime\Cefuroxime/20201124_Cefas_Test7_Run1/Plate 1/@16/F12_01.tif "/>
    <s v=" 9365.7444 "/>
    <s v=" 43.2771 "/>
    <x v="0"/>
    <n v="405323"/>
    <m/>
    <m/>
  </r>
  <r>
    <x v="5"/>
    <x v="6"/>
    <s v="C:\Users\andre\Desktop\REACTIV CEFAS\Cefuroxime\Cefuroxime/20201124_Cefas_Test7_Run1/Plate 1/@16/F12_02.tif "/>
    <s v=" 5385.8438 "/>
    <s v=" 44.502 "/>
    <x v="0"/>
    <n v="239681"/>
    <m/>
    <m/>
  </r>
  <r>
    <x v="5"/>
    <x v="6"/>
    <s v="C:\Users\andre\Desktop\REACTIV CEFAS\Cefuroxime\Cefuroxime/20201124_Cefas_Test7_Run1/Plate 1/@16/F12_03.tif "/>
    <s v=" 5299.3242 "/>
    <s v=" 40.5102 "/>
    <x v="0"/>
    <n v="214677"/>
    <m/>
    <m/>
  </r>
  <r>
    <x v="5"/>
    <x v="7"/>
    <s v="C:\Users\andre\Desktop\REACTIV CEFAS\Cefuroxime\Cefuroxime/20201124_Cefas_Test7_Run1/Plate 1/@16/G12_01.tif "/>
    <s v=" 8565.4383 "/>
    <s v=" 42.9318 "/>
    <x v="0"/>
    <n v="367730"/>
    <m/>
    <m/>
  </r>
  <r>
    <x v="5"/>
    <x v="7"/>
    <s v="C:\Users\andre\Desktop\REACTIV CEFAS\Cefuroxime\Cefuroxime/20201124_Cefas_Test7_Run1/Plate 1/@16/G12_02.tif "/>
    <s v=" 8803.3671 "/>
    <s v=" 38.3514 "/>
    <x v="0"/>
    <n v="337621"/>
    <m/>
    <m/>
  </r>
  <r>
    <x v="5"/>
    <x v="7"/>
    <s v="C:\Users\andre\Desktop\REACTIV CEFAS\Cefuroxime\Cefuroxime/20201124_Cefas_Test7_Run1/Plate 1/@16/G12_03.tif "/>
    <s v=" 5126.285 "/>
    <s v=" 37.2532 "/>
    <x v="0"/>
    <n v="190970"/>
    <m/>
    <m/>
  </r>
  <r>
    <x v="5"/>
    <x v="8"/>
    <s v="C:\Users\andre\Desktop\REACTIV CEFAS\Cefuroxime\Cefuroxime/20201124_Cefas_Test7_Run1/Plate 1/@16/H12_01.tif "/>
    <s v=" 4736.9469 "/>
    <s v=" 37.3288 "/>
    <x v="0"/>
    <n v="176824"/>
    <m/>
    <m/>
  </r>
  <r>
    <x v="5"/>
    <x v="8"/>
    <s v="C:\Users\andre\Desktop\REACTIV CEFAS\Cefuroxime\Cefuroxime/20201124_Cefas_Test7_Run1/Plate 1/@16/H12_02.tif "/>
    <s v=" 12112.741 "/>
    <s v=" 34.3804 "/>
    <x v="0"/>
    <n v="416440"/>
    <m/>
    <m/>
  </r>
  <r>
    <x v="5"/>
    <x v="8"/>
    <s v="C:\Users\andre\Desktop\REACTIV CEFAS\Cefuroxime\Cefuroxime/20201124_Cefas_Test7_Run1/Plate 1/@16/H12_03.tif "/>
    <s v=" 3049.8151 "/>
    <s v=" 33.5887 "/>
    <x v="0"/>
    <n v="102439"/>
    <m/>
    <m/>
  </r>
  <r>
    <x v="0"/>
    <x v="0"/>
    <s v=" "/>
    <m/>
    <m/>
    <x v="1"/>
    <m/>
    <m/>
    <m/>
  </r>
  <r>
    <x v="0"/>
    <x v="0"/>
    <s v="group "/>
    <s v=" "/>
    <s v=" mean of mean fluo "/>
    <x v="2"/>
    <s v=" mean of total fluo "/>
    <s v=" SD total fluo "/>
    <m/>
  </r>
  <r>
    <x v="5"/>
    <x v="9"/>
    <s v="C:\Users\andre\Desktop\REACTIV CEFAS\Cefuroxime\Cefuroxime/20201124_Cefas_Test7_Run1/Plate 1/@16/ "/>
    <s v=" "/>
    <s v=" 34.0221 "/>
    <x v="7"/>
    <s v=" 183643.25 "/>
    <s v=" 128100.657 "/>
    <m/>
  </r>
  <r>
    <x v="0"/>
    <x v="0"/>
    <s v=" "/>
    <m/>
    <m/>
    <x v="1"/>
    <m/>
    <m/>
    <m/>
  </r>
  <r>
    <x v="0"/>
    <x v="0"/>
    <s v=" "/>
    <m/>
    <m/>
    <x v="1"/>
    <m/>
    <m/>
    <m/>
  </r>
  <r>
    <x v="0"/>
    <x v="0"/>
    <s v=" "/>
    <m/>
    <m/>
    <x v="1"/>
    <m/>
    <m/>
    <m/>
  </r>
  <r>
    <x v="0"/>
    <x v="0"/>
    <s v=" "/>
    <m/>
    <m/>
    <x v="1"/>
    <m/>
    <m/>
    <m/>
  </r>
  <r>
    <x v="0"/>
    <x v="0"/>
    <s v=" "/>
    <m/>
    <m/>
    <x v="1"/>
    <m/>
    <m/>
    <m/>
  </r>
  <r>
    <x v="0"/>
    <x v="0"/>
    <s v="file name "/>
    <s v=" total area "/>
    <s v=" mean intensity "/>
    <x v="0"/>
    <s v=" total fluorescence"/>
    <m/>
    <m/>
  </r>
  <r>
    <x v="6"/>
    <x v="1"/>
    <s v="C:\Users\andre\Desktop\REACTIV CEFAS\Cefuroxime\Cefuroxime/20201124_Cefas_Test7_Run1/Plate 1/@2/A2_01.tif "/>
    <s v=" 886.8257 "/>
    <s v=" 34.5122 "/>
    <x v="0"/>
    <n v="30606"/>
    <m/>
    <m/>
  </r>
  <r>
    <x v="6"/>
    <x v="1"/>
    <s v="C:\Users\andre\Desktop\REACTIV CEFAS\Cefuroxime\Cefuroxime/20201124_Cefas_Test7_Run1/Plate 1/@2/A2_02.tif "/>
    <s v=" 973.3453 "/>
    <s v=" 32.4222 "/>
    <x v="0"/>
    <n v="31558"/>
    <m/>
    <m/>
  </r>
  <r>
    <x v="6"/>
    <x v="1"/>
    <s v="C:\Users\andre\Desktop\REACTIV CEFAS\Cefuroxime\Cefuroxime/20201124_Cefas_Test7_Run1/Plate 1/@2/A2_03.tif "/>
    <s v=" 1578.9823 "/>
    <s v=" 32.1781 "/>
    <x v="0"/>
    <n v="50809"/>
    <m/>
    <m/>
  </r>
  <r>
    <x v="6"/>
    <x v="2"/>
    <s v="C:\Users\andre\Desktop\REACTIV CEFAS\Cefuroxime\Cefuroxime/20201124_Cefas_Test7_Run1/Plate 1/@2/B2_01.tif "/>
    <s v=" 5948.221 "/>
    <s v=" 39.36 "/>
    <x v="0"/>
    <n v="234122"/>
    <m/>
    <m/>
  </r>
  <r>
    <x v="6"/>
    <x v="2"/>
    <s v="C:\Users\andre\Desktop\REACTIV CEFAS\Cefuroxime\Cefuroxime/20201124_Cefas_Test7_Run1/Plate 1/@2/B2_02.tif "/>
    <s v=" 10144.4206 "/>
    <s v=" 41.9957 "/>
    <x v="0"/>
    <n v="426022"/>
    <m/>
    <m/>
  </r>
  <r>
    <x v="6"/>
    <x v="2"/>
    <s v="C:\Users\andre\Desktop\REACTIV CEFAS\Cefuroxime\Cefuroxime/20201124_Cefas_Test7_Run1/Plate 1/@2/B2_03.tif "/>
    <s v=" 9171.0753 "/>
    <s v=" 40.5778 "/>
    <x v="0"/>
    <n v="372142"/>
    <m/>
    <m/>
  </r>
  <r>
    <x v="6"/>
    <x v="3"/>
    <s v="C:\Users\andre\Desktop\REACTIV CEFAS\Cefuroxime\Cefuroxime/20201124_Cefas_Test7_Run1/Plate 1/@2/C2_01.tif "/>
    <s v=" 8435.6589 "/>
    <s v=" 38.9154 "/>
    <x v="0"/>
    <n v="328277"/>
    <m/>
    <m/>
  </r>
  <r>
    <x v="6"/>
    <x v="3"/>
    <s v="C:\Users\andre\Desktop\REACTIV CEFAS\Cefuroxime\Cefuroxime/20201124_Cefas_Test7_Run1/Plate 1/@2/C2_02.tif "/>
    <s v=" 10555.3886 "/>
    <s v=" 41.6107 "/>
    <x v="0"/>
    <n v="439217"/>
    <m/>
    <m/>
  </r>
  <r>
    <x v="6"/>
    <x v="3"/>
    <s v="C:\Users\andre\Desktop\REACTIV CEFAS\Cefuroxime\Cefuroxime/20201124_Cefas_Test7_Run1/Plate 1/@2/C2_03.tif "/>
    <s v=" 9884.8618 "/>
    <s v=" 41.221 "/>
    <x v="0"/>
    <n v="407464"/>
    <m/>
    <m/>
  </r>
  <r>
    <x v="6"/>
    <x v="4"/>
    <s v="C:\Users\andre\Desktop\REACTIV CEFAS\Cefuroxime\Cefuroxime/20201124_Cefas_Test7_Run1/Plate 1/@2/D2_01.tif "/>
    <s v=" 2465.808 "/>
    <s v=" 32.8596 "/>
    <x v="0"/>
    <n v="81026"/>
    <m/>
    <m/>
  </r>
  <r>
    <x v="6"/>
    <x v="4"/>
    <s v="C:\Users\andre\Desktop\REACTIV CEFAS\Cefuroxime\Cefuroxime/20201124_Cefas_Test7_Run1/Plate 1/@2/D2_02- exclu.tif"/>
    <m/>
    <m/>
    <x v="1"/>
    <m/>
    <m/>
    <m/>
  </r>
  <r>
    <x v="6"/>
    <x v="4"/>
    <s v="C:\Users\andre\Desktop\REACTIV CEFAS\Cefuroxime\Cefuroxime/20201124_Cefas_Test7_Run1/Plate 1/@2/D2_03- exclu.tif"/>
    <m/>
    <m/>
    <x v="1"/>
    <m/>
    <m/>
    <m/>
  </r>
  <r>
    <x v="6"/>
    <x v="5"/>
    <s v="C:\Users\andre\Desktop\REACTIV CEFAS\Cefuroxime\Cefuroxime/20201124_Cefas_Test7_Run1/Plate 1/@2/E2_01.tif "/>
    <s v=" 3395.8935 "/>
    <s v=" 31.5287 "/>
    <x v="0"/>
    <n v="107068"/>
    <m/>
    <m/>
  </r>
  <r>
    <x v="6"/>
    <x v="5"/>
    <s v="C:\Users\andre\Desktop\REACTIV CEFAS\Cefuroxime\Cefuroxime/20201124_Cefas_Test7_Run1/Plate 1/@2/E2_02.tif "/>
    <s v=" 7267.6446 "/>
    <s v=" 37.1071 "/>
    <x v="0"/>
    <n v="269682"/>
    <m/>
    <m/>
  </r>
  <r>
    <x v="6"/>
    <x v="5"/>
    <s v="C:\Users\andre\Desktop\REACTIV CEFAS\Cefuroxime\Cefuroxime/20201124_Cefas_Test7_Run1/Plate 1/@2/E2_03.tif "/>
    <s v=" 8197.7301 "/>
    <s v=" 37.4776 "/>
    <x v="0"/>
    <n v="307231"/>
    <m/>
    <m/>
  </r>
  <r>
    <x v="6"/>
    <x v="6"/>
    <s v="C:\Users\andre\Desktop\REACTIV CEFAS\Cefuroxime\Cefuroxime/20201124_Cefas_Test7_Run1/Plate 1/@2/F2_01.tif "/>
    <s v=" 2076.4699 "/>
    <s v=" 34.1875 "/>
    <x v="0"/>
    <n v="70989"/>
    <m/>
    <m/>
  </r>
  <r>
    <x v="6"/>
    <x v="6"/>
    <s v="C:\Users\andre\Desktop\REACTIV CEFAS\Cefuroxime\Cefuroxime/20201124_Cefas_Test7_Run1/Plate 1/@2/F2_02.tif "/>
    <s v=" 3049.8151 "/>
    <s v=" 33.1418 "/>
    <x v="0"/>
    <n v="101076"/>
    <m/>
    <m/>
  </r>
  <r>
    <x v="6"/>
    <x v="6"/>
    <s v="C:\Users\andre\Desktop\REACTIV CEFAS\Cefuroxime\Cefuroxime/20201124_Cefas_Test7_Run1/Plate 1/@2/F2_03.tif "/>
    <s v=" 4542.2779 "/>
    <s v=" 33.1381 "/>
    <x v="0"/>
    <n v="150522"/>
    <m/>
    <m/>
  </r>
  <r>
    <x v="6"/>
    <x v="7"/>
    <s v="C:\Users\andre\Desktop\REACTIV CEFAS\Cefuroxime\Cefuroxime/20201124_Cefas_Test7_Run1/Plate 1/@2/G2_01.tif "/>
    <s v=" 6056.3705 "/>
    <s v=" 39.5929 "/>
    <x v="0"/>
    <n v="239789"/>
    <m/>
    <m/>
  </r>
  <r>
    <x v="6"/>
    <x v="7"/>
    <s v="C:\Users\andre\Desktop\REACTIV CEFAS\Cefuroxime\Cefuroxime/20201124_Cefas_Test7_Run1/Plate 1/@2/G2_02.tif "/>
    <s v=" 5191.1747 "/>
    <s v=" 36.4458 "/>
    <x v="0"/>
    <n v="189197"/>
    <m/>
    <m/>
  </r>
  <r>
    <x v="6"/>
    <x v="7"/>
    <s v="C:\Users\andre\Desktop\REACTIV CEFAS\Cefuroxime\Cefuroxime/20201124_Cefas_Test7_Run1/Plate 1/@2/G2_03.tif "/>
    <s v=" 4715.317 "/>
    <s v=" 34.7156 "/>
    <x v="0"/>
    <n v="163695"/>
    <m/>
    <m/>
  </r>
  <r>
    <x v="6"/>
    <x v="8"/>
    <s v="C:\Users\andre\Desktop\REACTIV CEFAS\Cefuroxime\Cefuroxime/20201124_Cefas_Test7_Run1/Plate 1/@2/H2_01.tif "/>
    <s v=" 2162.9895 "/>
    <s v=" 36.81 "/>
    <x v="0"/>
    <n v="79620"/>
    <m/>
    <m/>
  </r>
  <r>
    <x v="6"/>
    <x v="8"/>
    <s v="C:\Users\andre\Desktop\REACTIV CEFAS\Cefuroxime\Cefuroxime/20201124_Cefas_Test7_Run1/Plate 1/@2/H2_02.tif "/>
    <s v=" 4455.7583 "/>
    <s v=" 39.7864 "/>
    <x v="0"/>
    <n v="177279"/>
    <m/>
    <m/>
  </r>
  <r>
    <x v="6"/>
    <x v="8"/>
    <s v="C:\Users\andre\Desktop\REACTIV CEFAS\Cefuroxime\Cefuroxime/20201124_Cefas_Test7_Run1/Plate 1/@2/H2_03.tif "/>
    <s v=" 2400.9183 "/>
    <s v=" 35.3243 "/>
    <x v="0"/>
    <n v="84811"/>
    <m/>
    <m/>
  </r>
  <r>
    <x v="0"/>
    <x v="0"/>
    <s v=" "/>
    <m/>
    <m/>
    <x v="1"/>
    <m/>
    <m/>
    <m/>
  </r>
  <r>
    <x v="0"/>
    <x v="0"/>
    <s v="group "/>
    <s v=" "/>
    <s v=" mean of mean fluo "/>
    <x v="2"/>
    <s v=" mean of total fluo "/>
    <s v=" SD total fluo "/>
    <m/>
  </r>
  <r>
    <x v="6"/>
    <x v="9"/>
    <s v="C:\Users\andre\Desktop\REACTIV CEFAS\Cefuroxime\Cefuroxime/20201124_Cefas_Test7_Run1/Plate 1/@2/ "/>
    <s v=" "/>
    <s v=" 36.3657 "/>
    <x v="8"/>
    <s v=" 194740.25 "/>
    <s v=" 128360.634 "/>
    <m/>
  </r>
  <r>
    <x v="0"/>
    <x v="0"/>
    <s v=" "/>
    <m/>
    <m/>
    <x v="1"/>
    <m/>
    <m/>
    <m/>
  </r>
  <r>
    <x v="0"/>
    <x v="0"/>
    <s v=" "/>
    <m/>
    <m/>
    <x v="1"/>
    <m/>
    <m/>
    <m/>
  </r>
  <r>
    <x v="0"/>
    <x v="0"/>
    <s v=" "/>
    <m/>
    <m/>
    <x v="1"/>
    <m/>
    <m/>
    <m/>
  </r>
  <r>
    <x v="0"/>
    <x v="0"/>
    <s v=" "/>
    <m/>
    <m/>
    <x v="1"/>
    <m/>
    <m/>
    <m/>
  </r>
  <r>
    <x v="0"/>
    <x v="0"/>
    <s v=" "/>
    <m/>
    <m/>
    <x v="1"/>
    <m/>
    <m/>
    <m/>
  </r>
  <r>
    <x v="0"/>
    <x v="0"/>
    <s v="file name "/>
    <s v=" total area "/>
    <s v=" mean intensity "/>
    <x v="0"/>
    <s v=" total fluorescence"/>
    <m/>
    <m/>
  </r>
  <r>
    <x v="7"/>
    <x v="1"/>
    <s v="C:\Users\andre\Desktop\REACTIV CEFAS\Cefuroxime\Cefuroxime/20201124_Cefas_Test7_Run1/Plate 1/@3/A3_01.tif "/>
    <s v=" 584.0072 "/>
    <s v=" 31.6667 "/>
    <x v="0"/>
    <n v="18494"/>
    <m/>
    <m/>
  </r>
  <r>
    <x v="7"/>
    <x v="1"/>
    <s v="C:\Users\andre\Desktop\REACTIV CEFAS\Cefuroxime\Cefuroxime/20201124_Cefas_Test7_Run1/Plate 1/@3/A3_02.tif "/>
    <s v=" 2855.1461 "/>
    <s v=" 31.8106 "/>
    <x v="0"/>
    <n v="90824"/>
    <m/>
    <m/>
  </r>
  <r>
    <x v="7"/>
    <x v="1"/>
    <s v="C:\Users\andre\Desktop\REACTIV CEFAS\Cefuroxime\Cefuroxime/20201124_Cefas_Test7_Run1/Plate 1/@3/A3_03.tif "/>
    <s v=" 670.5267 "/>
    <s v=" 32.2258 "/>
    <x v="0"/>
    <n v="21608"/>
    <m/>
    <m/>
  </r>
  <r>
    <x v="7"/>
    <x v="2"/>
    <s v="C:\Users\andre\Desktop\REACTIV CEFAS\Cefuroxime\Cefuroxime/20201124_Cefas_Test7_Run1/Plate 1/@3/B3_01.tif "/>
    <s v=" 64.8897 "/>
    <s v=" 31.3333 "/>
    <x v="0"/>
    <n v="2033"/>
    <m/>
    <m/>
  </r>
  <r>
    <x v="7"/>
    <x v="2"/>
    <s v="C:\Users\andre\Desktop\REACTIV CEFAS\Cefuroxime\Cefuroxime/20201124_Cefas_Test7_Run1/Plate 1/@3/B3_02.tif "/>
    <s v=" 259.5587 "/>
    <s v=" 30.4167 "/>
    <x v="0"/>
    <n v="7895"/>
    <m/>
    <m/>
  </r>
  <r>
    <x v="7"/>
    <x v="2"/>
    <s v="C:\Users\andre\Desktop\REACTIV CEFAS\Cefuroxime\Cefuroxime/20201124_Cefas_Test7_Run1/Plate 1/@3/B3_03.tif "/>
    <s v=" 3309.3739 "/>
    <s v=" 35.5948 "/>
    <x v="0"/>
    <n v="117796"/>
    <m/>
    <m/>
  </r>
  <r>
    <x v="7"/>
    <x v="3"/>
    <s v="C:\Users\andre\Desktop\REACTIV CEFAS\Cefuroxime\Cefuroxime/20201124_Cefas_Test7_Run1/Plate 1/@3/C3_01.tif "/>
    <s v=" 2314.3987 "/>
    <s v=" 35.4206 "/>
    <x v="0"/>
    <n v="81977"/>
    <m/>
    <m/>
  </r>
  <r>
    <x v="7"/>
    <x v="3"/>
    <s v="C:\Users\andre\Desktop\REACTIV CEFAS\Cefuroxime\Cefuroxime/20201124_Cefas_Test7_Run1/Plate 1/@3/C3_02.tif "/>
    <s v=" 4953.2459 "/>
    <s v=" 39.0175 "/>
    <x v="0"/>
    <n v="193263"/>
    <m/>
    <m/>
  </r>
  <r>
    <x v="7"/>
    <x v="3"/>
    <s v="C:\Users\andre\Desktop\REACTIV CEFAS\Cefuroxime\Cefuroxime/20201124_Cefas_Test7_Run1/Plate 1/@3/C3_03.tif "/>
    <s v=" 194.6691 "/>
    <s v=" 31.7778 "/>
    <x v="0"/>
    <n v="6186"/>
    <m/>
    <m/>
  </r>
  <r>
    <x v="7"/>
    <x v="4"/>
    <s v="C:\Users\andre\Desktop\REACTIV CEFAS\Cefuroxime\Cefuroxime/20201124_Cefas_Test7_Run1/Plate 1/@3/D3_01.tif "/>
    <s v=" 1622.2421 "/>
    <s v=" 32.24 "/>
    <x v="0"/>
    <n v="52301"/>
    <m/>
    <m/>
  </r>
  <r>
    <x v="7"/>
    <x v="4"/>
    <s v="C:\Users\andre\Desktop\REACTIV CEFAS\Cefuroxime\Cefuroxime/20201124_Cefas_Test7_Run1/Plate 1/@3/D3_02.tif "/>
    <s v=" 1016.605 "/>
    <s v=" 32.1277 "/>
    <x v="0"/>
    <n v="32661"/>
    <m/>
    <m/>
  </r>
  <r>
    <x v="7"/>
    <x v="4"/>
    <s v="C:\Users\andre\Desktop\REACTIV CEFAS\Cefuroxime\Cefuroxime/20201124_Cefas_Test7_Run1/Plate 1/@3/D3_03.tif "/>
    <s v=" 1622.2421 "/>
    <s v=" 33.1733 "/>
    <x v="0"/>
    <n v="53815"/>
    <m/>
    <m/>
  </r>
  <r>
    <x v="7"/>
    <x v="5"/>
    <s v="C:\Users\andre\Desktop\REACTIV CEFAS\Cefuroxime\Cefuroxime/20201124_Cefas_Test7_Run1/Plate 1/@3/E3_01.tif "/>
    <n v="0"/>
    <n v="0"/>
    <x v="0"/>
    <n v="0"/>
    <m/>
    <m/>
  </r>
  <r>
    <x v="7"/>
    <x v="5"/>
    <s v="C:\Users\andre\Desktop\REACTIV CEFAS\Cefuroxime\Cefuroxime/20201124_Cefas_Test7_Run1/Plate 1/@3/E3_02.tif "/>
    <s v=" 21.6299 "/>
    <n v="30"/>
    <x v="0"/>
    <n v="649"/>
    <m/>
    <m/>
  </r>
  <r>
    <x v="7"/>
    <x v="5"/>
    <s v="C:\Users\andre\Desktop\REACTIV CEFAS\Cefuroxime\Cefuroxime/20201124_Cefas_Test7_Run1/Plate 1/@3/E3_03.tif "/>
    <s v=" 21.6299 "/>
    <n v="31"/>
    <x v="0"/>
    <n v="671"/>
    <m/>
    <m/>
  </r>
  <r>
    <x v="7"/>
    <x v="6"/>
    <s v="C:\Users\andre\Desktop\REACTIV CEFAS\Cefuroxime\Cefuroxime/20201124_Cefas_Test7_Run1/Plate 1/@3/F3_01.tif "/>
    <s v=" 843.5659 "/>
    <s v=" 31.2564 "/>
    <x v="0"/>
    <n v="26367"/>
    <m/>
    <m/>
  </r>
  <r>
    <x v="7"/>
    <x v="6"/>
    <s v="C:\Users\andre\Desktop\REACTIV CEFAS\Cefuroxime\Cefuroxime/20201124_Cefas_Test7_Run1/Plate 1/@3/F3_02.tif "/>
    <s v=" 1578.9823 "/>
    <s v=" 32.5616 "/>
    <x v="0"/>
    <n v="51414"/>
    <m/>
    <m/>
  </r>
  <r>
    <x v="7"/>
    <x v="6"/>
    <s v="C:\Users\andre\Desktop\REACTIV CEFAS\Cefuroxime\Cefuroxime/20201124_Cefas_Test7_Run1/Plate 1/@3/F3_03.tif "/>
    <s v=" 4693.6871 "/>
    <s v=" 33.6959 "/>
    <x v="0"/>
    <n v="158158"/>
    <m/>
    <m/>
  </r>
  <r>
    <x v="7"/>
    <x v="7"/>
    <s v="C:\Users\andre\Desktop\REACTIV CEFAS\Cefuroxime\Cefuroxime/20201124_Cefas_Test7_Run1/Plate 1/@3/G3_01.tif "/>
    <s v=" 8262.6197 "/>
    <s v=" 41.1283 "/>
    <x v="0"/>
    <n v="339827"/>
    <m/>
    <m/>
  </r>
  <r>
    <x v="7"/>
    <x v="7"/>
    <s v="C:\Users\andre\Desktop\REACTIV CEFAS\Cefuroxime\Cefuroxime/20201124_Cefas_Test7_Run1/Plate 1/@3/G3_02.tif "/>
    <s v=" 8219.36 "/>
    <s v=" 35.2711 "/>
    <x v="0"/>
    <n v="289905"/>
    <m/>
    <m/>
  </r>
  <r>
    <x v="7"/>
    <x v="7"/>
    <s v="C:\Users\andre\Desktop\REACTIV CEFAS\Cefuroxime\Cefuroxime/20201124_Cefas_Test7_Run1/Plate 1/@3/G3_03.tif "/>
    <s v=" 1773.6514 "/>
    <s v=" 33.061 "/>
    <x v="0"/>
    <n v="58639"/>
    <m/>
    <m/>
  </r>
  <r>
    <x v="7"/>
    <x v="8"/>
    <s v="C:\Users\andre\Desktop\REACTIV CEFAS\Cefuroxime\Cefuroxime/20201124_Cefas_Test7_Run1/Plate 1/@3/H3_01.tif "/>
    <s v=" 13972.9119 "/>
    <s v=" 34.4009 "/>
    <x v="0"/>
    <n v="480681"/>
    <m/>
    <m/>
  </r>
  <r>
    <x v="7"/>
    <x v="8"/>
    <s v="C:\Users\andre\Desktop\REACTIV CEFAS\Cefuroxime\Cefuroxime/20201124_Cefas_Test7_Run1/Plate 1/@3/H3_02.tif "/>
    <n v="0"/>
    <n v="0"/>
    <x v="0"/>
    <n v="0"/>
    <m/>
    <m/>
  </r>
  <r>
    <x v="7"/>
    <x v="8"/>
    <s v="C:\Users\andre\Desktop\REACTIV CEFAS\Cefuroxime\Cefuroxime/20201124_Cefas_Test7_Run1/Plate 1/@3/H3_03.tif "/>
    <s v=" 5212.8046 "/>
    <s v=" 37.5145 "/>
    <x v="0"/>
    <n v="195556"/>
    <m/>
    <m/>
  </r>
  <r>
    <x v="0"/>
    <x v="0"/>
    <s v=" "/>
    <m/>
    <m/>
    <x v="1"/>
    <m/>
    <m/>
    <m/>
  </r>
  <r>
    <x v="0"/>
    <x v="0"/>
    <s v="group "/>
    <s v=" "/>
    <s v=" mean of mean fluo "/>
    <x v="2"/>
    <s v=" mean of total fluo "/>
    <s v=" SD total fluo "/>
    <m/>
  </r>
  <r>
    <x v="7"/>
    <x v="9"/>
    <s v="C:\Users\andre\Desktop\REACTIV CEFAS\Cefuroxime\Cefuroxime/20201124_Cefas_Test7_Run1/Plate 1/@3/ "/>
    <s v=" "/>
    <s v=" 30.6956 "/>
    <x v="9"/>
    <n v="95030"/>
    <s v=" 124705.983 "/>
    <m/>
  </r>
  <r>
    <x v="0"/>
    <x v="0"/>
    <s v=" "/>
    <m/>
    <m/>
    <x v="1"/>
    <m/>
    <m/>
    <m/>
  </r>
  <r>
    <x v="0"/>
    <x v="0"/>
    <s v=" "/>
    <m/>
    <m/>
    <x v="1"/>
    <m/>
    <m/>
    <m/>
  </r>
  <r>
    <x v="0"/>
    <x v="0"/>
    <s v=" "/>
    <m/>
    <m/>
    <x v="1"/>
    <m/>
    <m/>
    <m/>
  </r>
  <r>
    <x v="0"/>
    <x v="0"/>
    <s v=" "/>
    <m/>
    <m/>
    <x v="1"/>
    <m/>
    <m/>
    <m/>
  </r>
  <r>
    <x v="0"/>
    <x v="0"/>
    <s v=" "/>
    <m/>
    <m/>
    <x v="1"/>
    <m/>
    <m/>
    <m/>
  </r>
  <r>
    <x v="0"/>
    <x v="0"/>
    <s v="file name "/>
    <s v=" total area "/>
    <s v=" mean intensity "/>
    <x v="0"/>
    <s v=" total fluorescence"/>
    <m/>
    <m/>
  </r>
  <r>
    <x v="8"/>
    <x v="1"/>
    <s v="C:\Users\andre\Desktop\REACTIV CEFAS\Cefuroxime\Cefuroxime/20201124_Cefas_Test7_Run1/Plate 1/@4/A4_01.tif "/>
    <s v=" 6662.0075 "/>
    <s v=" 34.8539 "/>
    <x v="0"/>
    <n v="232197"/>
    <m/>
    <m/>
  </r>
  <r>
    <x v="8"/>
    <x v="1"/>
    <s v="C:\Users\andre\Desktop\REACTIV CEFAS\Cefuroxime\Cefuroxime/20201124_Cefas_Test7_Run1/Plate 1/@4/A4_02.tif "/>
    <s v=" 2292.7688 "/>
    <s v=" 32.2547 "/>
    <x v="0"/>
    <n v="73953"/>
    <m/>
    <m/>
  </r>
  <r>
    <x v="8"/>
    <x v="1"/>
    <s v="C:\Users\andre\Desktop\REACTIV CEFAS\Cefuroxime\Cefuroxime/20201124_Cefas_Test7_Run1/Plate 1/@4/A4_03.tif "/>
    <s v=" 5061.3953 "/>
    <s v=" 35.5897 "/>
    <x v="0"/>
    <n v="180134"/>
    <m/>
    <m/>
  </r>
  <r>
    <x v="8"/>
    <x v="2"/>
    <s v="C:\Users\andre\Desktop\REACTIV CEFAS\Cefuroxime\Cefuroxime/20201124_Cefas_Test7_Run1/Plate 1/@4/B4_01.tif "/>
    <s v=" 28962.4289 "/>
    <s v=" 35.289 "/>
    <x v="0"/>
    <n v="1022056"/>
    <m/>
    <m/>
  </r>
  <r>
    <x v="8"/>
    <x v="2"/>
    <s v="C:\Users\andre\Desktop\REACTIV CEFAS\Cefuroxime\Cefuroxime/20201124_Cefas_Test7_Run1/Plate 1/@4/B4_02.tif "/>
    <s v=" 34953.9097 "/>
    <s v=" 37.5835 "/>
    <x v="0"/>
    <n v="1313692"/>
    <m/>
    <m/>
  </r>
  <r>
    <x v="8"/>
    <x v="2"/>
    <s v="C:\Users\andre\Desktop\REACTIV CEFAS\Cefuroxime\Cefuroxime/20201124_Cefas_Test7_Run1/Plate 1/@4/B4_03.tif "/>
    <s v=" 31795.9451 "/>
    <s v=" 36.0327 "/>
    <x v="0"/>
    <n v="1145692"/>
    <m/>
    <m/>
  </r>
  <r>
    <x v="8"/>
    <x v="3"/>
    <s v="C:\Users\andre\Desktop\REACTIV CEFAS\Cefuroxime\Cefuroxime/20201124_Cefas_Test7_Run1/Plate 1/@4/C4_01.tif "/>
    <s v=" 18882.898 "/>
    <s v=" 39.7652 "/>
    <x v="0"/>
    <n v="750882"/>
    <m/>
    <m/>
  </r>
  <r>
    <x v="8"/>
    <x v="3"/>
    <s v="C:\Users\andre\Desktop\REACTIV CEFAS\Cefuroxime\Cefuroxime/20201124_Cefas_Test7_Run1/Plate 1/@4/C4_02.tif "/>
    <s v=" 21954.343 "/>
    <s v=" 37.9458 "/>
    <x v="0"/>
    <n v="833075"/>
    <m/>
    <m/>
  </r>
  <r>
    <x v="8"/>
    <x v="3"/>
    <s v="C:\Users\andre\Desktop\REACTIV CEFAS\Cefuroxime\Cefuroxime/20201124_Cefas_Test7_Run1/Plate 1/@4/C4_03.tif "/>
    <s v=" 12091.1111 "/>
    <s v=" 38.7013 "/>
    <x v="0"/>
    <n v="467941"/>
    <m/>
    <m/>
  </r>
  <r>
    <x v="8"/>
    <x v="4"/>
    <s v="C:\Users\andre\Desktop\REACTIV CEFAS\Cefuroxime\Cefuroxime/20201124_Cefas_Test7_Run1/Plate 1/@4/D4_01.tif "/>
    <s v=" 4131.3099 "/>
    <s v=" 33.0733 "/>
    <x v="0"/>
    <n v="136636"/>
    <m/>
    <m/>
  </r>
  <r>
    <x v="8"/>
    <x v="4"/>
    <s v="C:\Users\andre\Desktop\REACTIV CEFAS\Cefuroxime\Cefuroxime/20201124_Cefas_Test7_Run1/Plate 1/@4/D4_02.tif "/>
    <s v=" 16763.1683 "/>
    <s v=" 34.0929 "/>
    <x v="0"/>
    <n v="571505"/>
    <m/>
    <m/>
  </r>
  <r>
    <x v="8"/>
    <x v="4"/>
    <s v="C:\Users\andre\Desktop\REACTIV CEFAS\Cefuroxime\Cefuroxime/20201124_Cefas_Test7_Run1/Plate 1/@4/D4_03.tif "/>
    <s v=" 7959.8012 "/>
    <s v=" 33.0245 "/>
    <x v="0"/>
    <n v="262868"/>
    <m/>
    <m/>
  </r>
  <r>
    <x v="8"/>
    <x v="5"/>
    <s v="C:\Users\andre\Desktop\REACTIV CEFAS\Cefuroxime\Cefuroxime/20201124_Cefas_Test7_Run1/Plate 1/@4/E4_01.tif "/>
    <s v=" 5667.0324 "/>
    <s v=" 31.6107 "/>
    <x v="0"/>
    <n v="179139"/>
    <m/>
    <m/>
  </r>
  <r>
    <x v="8"/>
    <x v="5"/>
    <s v="C:\Users\andre\Desktop\REACTIV CEFAS\Cefuroxime\Cefuroxime/20201124_Cefas_Test7_Run1/Plate 1/@4/E4_02.tif "/>
    <s v=" 7440.6838 "/>
    <s v=" 32.0727 "/>
    <x v="0"/>
    <n v="238643"/>
    <m/>
    <m/>
  </r>
  <r>
    <x v="8"/>
    <x v="5"/>
    <s v="C:\Users\andre\Desktop\REACTIV CEFAS\Cefuroxime\Cefuroxime/20201124_Cefas_Test7_Run1/Plate 1/@4/E4_03.tif "/>
    <s v=" 8608.6981 "/>
    <s v=" 31.3291 "/>
    <x v="0"/>
    <n v="269703"/>
    <m/>
    <m/>
  </r>
  <r>
    <x v="8"/>
    <x v="6"/>
    <s v="C:\Users\andre\Desktop\REACTIV CEFAS\Cefuroxime\Cefuroxime/20201124_Cefas_Test7_Run1/Plate 1/@4/F4_01.tif "/>
    <s v=" 5926.5911 "/>
    <s v=" 31.3321 "/>
    <x v="0"/>
    <n v="185693"/>
    <m/>
    <m/>
  </r>
  <r>
    <x v="8"/>
    <x v="6"/>
    <s v="C:\Users\andre\Desktop\REACTIV CEFAS\Cefuroxime\Cefuroxime/20201124_Cefas_Test7_Run1/Plate 1/@4/F4_02.tif "/>
    <s v=" 15292.3355 "/>
    <s v=" 32.7765 "/>
    <x v="0"/>
    <n v="501230"/>
    <m/>
    <m/>
  </r>
  <r>
    <x v="8"/>
    <x v="6"/>
    <s v="C:\Users\andre\Desktop\REACTIV CEFAS\Cefuroxime\Cefuroxime/20201124_Cefas_Test7_Run1/Plate 1/@4/F4_03.tif "/>
    <s v=" 2098.0998 "/>
    <s v=" 31.433 "/>
    <x v="0"/>
    <n v="65950"/>
    <m/>
    <m/>
  </r>
  <r>
    <x v="8"/>
    <x v="7"/>
    <s v="C:\Users\andre\Desktop\REACTIV CEFAS\Cefuroxime\Cefuroxime/20201124_Cefas_Test7_Run1/Plate 1/@4/G4_01.tif "/>
    <s v=" 7354.1642 "/>
    <s v=" 32.4147 "/>
    <x v="0"/>
    <n v="238383"/>
    <m/>
    <m/>
  </r>
  <r>
    <x v="8"/>
    <x v="7"/>
    <s v="C:\Users\andre\Desktop\REACTIV CEFAS\Cefuroxime\Cefuroxime/20201124_Cefas_Test7_Run1/Plate 1/@4/G4_02.tif "/>
    <s v=" 10209.3103 "/>
    <s v=" 32.553 "/>
    <x v="0"/>
    <n v="332343"/>
    <m/>
    <m/>
  </r>
  <r>
    <x v="8"/>
    <x v="7"/>
    <s v="C:\Users\andre\Desktop\REACTIV CEFAS\Cefuroxime\Cefuroxime/20201124_Cefas_Test7_Run1/Plate 1/@4/G4_03.tif "/>
    <s v=" 4239.4593 "/>
    <s v=" 31.9184 "/>
    <x v="0"/>
    <n v="135317"/>
    <m/>
    <m/>
  </r>
  <r>
    <x v="8"/>
    <x v="8"/>
    <s v="C:\Users\andre\Desktop\REACTIV CEFAS\Cefuroxime\Cefuroxime/20201124_Cefas_Test7_Run1/Plate 1/@4/H4_01.tif "/>
    <s v=" 10057.901 "/>
    <s v=" 34.7548 "/>
    <x v="0"/>
    <n v="349561"/>
    <m/>
    <m/>
  </r>
  <r>
    <x v="8"/>
    <x v="8"/>
    <s v="C:\Users\andre\Desktop\REACTIV CEFAS\Cefuroxime\Cefuroxime/20201124_Cefas_Test7_Run1/Plate 1/@4/H4_02- exclu.tif"/>
    <m/>
    <m/>
    <x v="1"/>
    <m/>
    <m/>
    <m/>
  </r>
  <r>
    <x v="8"/>
    <x v="8"/>
    <s v="C:\Users\andre\Desktop\REACTIV CEFAS\Cefuroxime\Cefuroxime/20201124_Cefas_Test7_Run1/Plate 1/@4/H4_03- exclu.tif"/>
    <m/>
    <m/>
    <x v="1"/>
    <m/>
    <m/>
    <m/>
  </r>
  <r>
    <x v="0"/>
    <x v="0"/>
    <s v=" "/>
    <m/>
    <m/>
    <x v="1"/>
    <m/>
    <m/>
    <m/>
  </r>
  <r>
    <x v="0"/>
    <x v="0"/>
    <s v="group "/>
    <s v=" "/>
    <s v=" mean of mean fluo "/>
    <x v="2"/>
    <s v=" mean of total fluo "/>
    <s v=" SD total fluo "/>
    <m/>
  </r>
  <r>
    <x v="8"/>
    <x v="9"/>
    <s v="C:\Users\andre\Desktop\REACTIV CEFAS\Cefuroxime\Cefuroxime/20201124_Cefas_Test7_Run1/Plate 1/@4/ "/>
    <s v=" "/>
    <s v=" 34.2111 "/>
    <x v="10"/>
    <s v=" 417661.625 "/>
    <s v=" 347878.811 "/>
    <m/>
  </r>
  <r>
    <x v="0"/>
    <x v="0"/>
    <s v=" "/>
    <m/>
    <m/>
    <x v="1"/>
    <m/>
    <m/>
    <m/>
  </r>
  <r>
    <x v="0"/>
    <x v="0"/>
    <s v=" "/>
    <m/>
    <m/>
    <x v="1"/>
    <m/>
    <m/>
    <m/>
  </r>
  <r>
    <x v="0"/>
    <x v="0"/>
    <s v=" "/>
    <m/>
    <m/>
    <x v="1"/>
    <m/>
    <m/>
    <m/>
  </r>
  <r>
    <x v="0"/>
    <x v="0"/>
    <s v=" "/>
    <m/>
    <m/>
    <x v="1"/>
    <m/>
    <m/>
    <m/>
  </r>
  <r>
    <x v="0"/>
    <x v="0"/>
    <s v=" "/>
    <m/>
    <m/>
    <x v="1"/>
    <m/>
    <m/>
    <m/>
  </r>
  <r>
    <x v="0"/>
    <x v="0"/>
    <s v="file name "/>
    <s v=" total area "/>
    <s v=" mean intensity "/>
    <x v="0"/>
    <s v=" total fluorescence"/>
    <m/>
    <m/>
  </r>
  <r>
    <x v="9"/>
    <x v="1"/>
    <s v="C:\Users\andre\Desktop\REACTIV CEFAS\Cefuroxime\Cefuroxime/20201124_Cefas_Test7_Run1/Plate 1/@5/A5_01- exclu.tif"/>
    <m/>
    <m/>
    <x v="1"/>
    <m/>
    <m/>
    <m/>
  </r>
  <r>
    <x v="9"/>
    <x v="1"/>
    <s v="C:\Users\andre\Desktop\REACTIV CEFAS\Cefuroxime\Cefuroxime/20201124_Cefas_Test7_Run1/Plate 1/@5/A5_02- exclu.tif"/>
    <m/>
    <m/>
    <x v="1"/>
    <m/>
    <m/>
    <m/>
  </r>
  <r>
    <x v="9"/>
    <x v="1"/>
    <s v="C:\Users\andre\Desktop\REACTIV CEFAS\Cefuroxime\Cefuroxime/20201124_Cefas_Test7_Run1/Plate 1/@5/A5_03- exclu.tif"/>
    <m/>
    <m/>
    <x v="1"/>
    <m/>
    <m/>
    <m/>
  </r>
  <r>
    <x v="9"/>
    <x v="2"/>
    <s v="C:\Users\andre\Desktop\REACTIV CEFAS\Cefuroxime\Cefuroxime/20201124_Cefas_Test7_Run1/Plate 1/@5/B5_01.tif "/>
    <s v=" 2054.84 "/>
    <s v=" 35.4 "/>
    <x v="0"/>
    <n v="72741"/>
    <m/>
    <m/>
  </r>
  <r>
    <x v="9"/>
    <x v="2"/>
    <s v="C:\Users\andre\Desktop\REACTIV CEFAS\Cefuroxime\Cefuroxime/20201124_Cefas_Test7_Run1/Plate 1/@5/B5_02.tif "/>
    <s v=" 3568.9326 "/>
    <s v=" 35.1879 "/>
    <x v="0"/>
    <n v="125583"/>
    <m/>
    <m/>
  </r>
  <r>
    <x v="9"/>
    <x v="2"/>
    <s v="C:\Users\andre\Desktop\REACTIV CEFAS\Cefuroxime\Cefuroxime/20201124_Cefas_Test7_Run1/Plate 1/@5/B5_03.tif "/>
    <s v=" 2400.9183 "/>
    <s v=" 35.4324 "/>
    <x v="0"/>
    <n v="85070"/>
    <m/>
    <m/>
  </r>
  <r>
    <x v="9"/>
    <x v="3"/>
    <s v="C:\Users\andre\Desktop\REACTIV CEFAS\Cefuroxime\Cefuroxime/20201124_Cefas_Test7_Run1/Plate 1/@5/C5_01.tif "/>
    <s v=" 65992.8085 "/>
    <s v=" 42.6958 "/>
    <x v="0"/>
    <n v="2817618"/>
    <m/>
    <m/>
  </r>
  <r>
    <x v="9"/>
    <x v="3"/>
    <s v="C:\Users\andre\Desktop\REACTIV CEFAS\Cefuroxime\Cefuroxime/20201124_Cefas_Test7_Run1/Plate 1/@5/C5_02.tif "/>
    <s v=" 55372.5302 "/>
    <s v=" 37.8359 "/>
    <x v="0"/>
    <n v="2095072"/>
    <m/>
    <m/>
  </r>
  <r>
    <x v="9"/>
    <x v="3"/>
    <s v="C:\Users\andre\Desktop\REACTIV CEFAS\Cefuroxime\Cefuroxime/20201124_Cefas_Test7_Run1/Plate 1/@5/C5_03.tif "/>
    <s v=" 50527.4339 "/>
    <s v=" 37.3536 "/>
    <x v="0"/>
    <n v="1887381"/>
    <m/>
    <m/>
  </r>
  <r>
    <x v="9"/>
    <x v="4"/>
    <s v="C:\Users\andre\Desktop\REACTIV CEFAS\Cefuroxime\Cefuroxime/20201124_Cefas_Test7_Run1/Plate 1/@5/D5_01.tif "/>
    <s v=" 61861.4986 "/>
    <s v=" 40.5941 "/>
    <x v="0"/>
    <n v="2511209"/>
    <m/>
    <m/>
  </r>
  <r>
    <x v="9"/>
    <x v="4"/>
    <s v="C:\Users\andre\Desktop\REACTIV CEFAS\Cefuroxime\Cefuroxime/20201124_Cefas_Test7_Run1/Plate 1/@5/D5_02.tif "/>
    <s v=" 58011.3774 "/>
    <s v=" 41.5969 "/>
    <x v="0"/>
    <n v="2413096"/>
    <m/>
    <m/>
  </r>
  <r>
    <x v="9"/>
    <x v="4"/>
    <s v="C:\Users\andre\Desktop\REACTIV CEFAS\Cefuroxime\Cefuroxime/20201124_Cefas_Test7_Run1/Plate 1/@5/D5_03.tif "/>
    <s v=" 53209.5408 "/>
    <s v=" 41.9073 "/>
    <x v="0"/>
    <n v="2229869"/>
    <m/>
    <m/>
  </r>
  <r>
    <x v="9"/>
    <x v="5"/>
    <s v="C:\Users\andre\Desktop\REACTIV CEFAS\Cefuroxime\Cefuroxime/20201124_Cefas_Test7_Run1/Plate 1/@5/E5_01.tif "/>
    <s v=" 47109.9105 "/>
    <s v=" 34.5964 "/>
    <x v="0"/>
    <n v="1629834"/>
    <m/>
    <m/>
  </r>
  <r>
    <x v="9"/>
    <x v="5"/>
    <s v="C:\Users\andre\Desktop\REACTIV CEFAS\Cefuroxime\Cefuroxime/20201124_Cefas_Test7_Run1/Plate 1/@5/E5_02.tif "/>
    <s v=" 48169.7753 "/>
    <s v=" 35.1208 "/>
    <x v="0"/>
    <n v="1691761"/>
    <m/>
    <m/>
  </r>
  <r>
    <x v="9"/>
    <x v="5"/>
    <s v="C:\Users\andre\Desktop\REACTIV CEFAS\Cefuroxime\Cefuroxime/20201124_Cefas_Test7_Run1/Plate 1/@5/E5_03.tif "/>
    <s v=" 44644.1025 "/>
    <s v=" 35.3624 "/>
    <x v="0"/>
    <n v="1578723"/>
    <m/>
    <m/>
  </r>
  <r>
    <x v="9"/>
    <x v="6"/>
    <s v="C:\Users\andre\Desktop\REACTIV CEFAS\Cefuroxime\Cefuroxime/20201124_Cefas_Test7_Run1/Plate 1/@5/F5_01.tif "/>
    <s v=" 62834.8439 "/>
    <s v=" 38.8076 "/>
    <x v="0"/>
    <n v="2438468"/>
    <m/>
    <m/>
  </r>
  <r>
    <x v="9"/>
    <x v="6"/>
    <s v="C:\Users\andre\Desktop\REACTIV CEFAS\Cefuroxime\Cefuroxime/20201124_Cefas_Test7_Run1/Plate 1/@5/F5_02.tif "/>
    <s v=" 64803.1643 "/>
    <s v=" 39.9249 "/>
    <x v="0"/>
    <n v="2587260"/>
    <m/>
    <m/>
  </r>
  <r>
    <x v="9"/>
    <x v="6"/>
    <s v="C:\Users\andre\Desktop\REACTIV CEFAS\Cefuroxime\Cefuroxime/20201124_Cefas_Test7_Run1/Plate 1/@5/F5_03.tif "/>
    <s v=" 55761.8684 "/>
    <s v=" 37.0326 "/>
    <x v="0"/>
    <n v="2065006"/>
    <m/>
    <m/>
  </r>
  <r>
    <x v="9"/>
    <x v="7"/>
    <s v="C:\Users\andre\Desktop\REACTIV CEFAS\Cefuroxime\Cefuroxime/20201124_Cefas_Test7_Run1/Plate 1/@5/G5_01.tif "/>
    <s v=" 43108.38 "/>
    <s v=" 36.585 "/>
    <x v="0"/>
    <n v="1577122"/>
    <m/>
    <m/>
  </r>
  <r>
    <x v="9"/>
    <x v="7"/>
    <s v="C:\Users\andre\Desktop\REACTIV CEFAS\Cefuroxime\Cefuroxime/20201124_Cefas_Test7_Run1/Plate 1/@5/G5_02- exclu.tif"/>
    <m/>
    <m/>
    <x v="1"/>
    <m/>
    <m/>
    <m/>
  </r>
  <r>
    <x v="9"/>
    <x v="7"/>
    <s v="C:\Users\andre\Desktop\REACTIV CEFAS\Cefuroxime\Cefuroxime/20201124_Cefas_Test7_Run1/Plate 1/@5/G5_03.tif "/>
    <s v=" 43692.3872 "/>
    <s v=" 38.3634 "/>
    <x v="0"/>
    <n v="1676187"/>
    <m/>
    <m/>
  </r>
  <r>
    <x v="9"/>
    <x v="8"/>
    <s v="C:\Users\andre\Desktop\REACTIV CEFAS\Cefuroxime\Cefuroxime/20201124_Cefas_Test7_Run1/Plate 1/@5/H5_01.tif "/>
    <s v=" 65170.8725 "/>
    <s v=" 42.1829 "/>
    <x v="0"/>
    <n v="2749095"/>
    <m/>
    <m/>
  </r>
  <r>
    <x v="9"/>
    <x v="8"/>
    <s v="C:\Users\andre\Desktop\REACTIV CEFAS\Cefuroxime\Cefuroxime/20201124_Cefas_Test7_Run1/Plate 1/@5/H5_02.tif "/>
    <s v=" 69626.6308 "/>
    <s v=" 40.1429 "/>
    <x v="0"/>
    <n v="2795015"/>
    <m/>
    <m/>
  </r>
  <r>
    <x v="9"/>
    <x v="8"/>
    <s v="C:\Users\andre\Desktop\REACTIV CEFAS\Cefuroxime\Cefuroxime/20201124_Cefas_Test7_Run1/Plate 1/@5/H5_03.tif "/>
    <s v=" 70881.1647 "/>
    <s v=" 45.2789 "/>
    <x v="0"/>
    <n v="3209422"/>
    <m/>
    <m/>
  </r>
  <r>
    <x v="0"/>
    <x v="0"/>
    <s v=" "/>
    <m/>
    <m/>
    <x v="1"/>
    <m/>
    <m/>
    <m/>
  </r>
  <r>
    <x v="0"/>
    <x v="0"/>
    <s v="group "/>
    <s v=" "/>
    <s v=" mean of mean fluo "/>
    <x v="2"/>
    <s v=" mean of total fluo "/>
    <s v=" SD total fluo "/>
    <m/>
  </r>
  <r>
    <x v="9"/>
    <x v="9"/>
    <s v="C:\Users\andre\Desktop\REACTIV CEFAS\Cefuroxime\Cefuroxime/20201124_Cefas_Test7_Run1/Plate 1/@5/ "/>
    <s v=" "/>
    <s v=" 37.5395 "/>
    <x v="11"/>
    <s v=" 1639029.62 "/>
    <s v=" 1055138.91 "/>
    <m/>
  </r>
  <r>
    <x v="0"/>
    <x v="0"/>
    <s v=" "/>
    <m/>
    <m/>
    <x v="1"/>
    <m/>
    <m/>
    <m/>
  </r>
  <r>
    <x v="0"/>
    <x v="0"/>
    <s v=" "/>
    <m/>
    <m/>
    <x v="1"/>
    <m/>
    <m/>
    <m/>
  </r>
  <r>
    <x v="0"/>
    <x v="0"/>
    <s v=" "/>
    <m/>
    <m/>
    <x v="1"/>
    <m/>
    <m/>
    <m/>
  </r>
  <r>
    <x v="0"/>
    <x v="0"/>
    <s v=" "/>
    <m/>
    <m/>
    <x v="1"/>
    <m/>
    <m/>
    <m/>
  </r>
  <r>
    <x v="0"/>
    <x v="0"/>
    <s v=" "/>
    <m/>
    <m/>
    <x v="1"/>
    <m/>
    <m/>
    <m/>
  </r>
  <r>
    <x v="0"/>
    <x v="0"/>
    <s v="file name "/>
    <s v=" total area "/>
    <s v=" mean intensity "/>
    <x v="0"/>
    <s v=" total fluorescence"/>
    <m/>
    <m/>
  </r>
  <r>
    <x v="10"/>
    <x v="1"/>
    <s v="C:\Users\andre\Desktop\REACTIV CEFAS\Cefuroxime\Cefuroxime/20201124_Cefas_Test7_Run1/Plate 1/@6/A6_01.tif "/>
    <s v=" 9776.7124 "/>
    <s v=" 36.9646 "/>
    <x v="0"/>
    <n v="361392"/>
    <m/>
    <m/>
  </r>
  <r>
    <x v="10"/>
    <x v="1"/>
    <s v="C:\Users\andre\Desktop\REACTIV CEFAS\Cefuroxime\Cefuroxime/20201124_Cefas_Test7_Run1/Plate 1/@6/A6_02.tif "/>
    <s v=" 14081.0614 "/>
    <s v=" 38.2519 "/>
    <x v="0"/>
    <n v="538628"/>
    <m/>
    <m/>
  </r>
  <r>
    <x v="10"/>
    <x v="1"/>
    <s v="C:\Users\andre\Desktop\REACTIV CEFAS\Cefuroxime\Cefuroxime/20201124_Cefas_Test7_Run1/Plate 1/@6/A6_03- exclu.tif"/>
    <m/>
    <m/>
    <x v="1"/>
    <m/>
    <m/>
    <m/>
  </r>
  <r>
    <x v="10"/>
    <x v="2"/>
    <s v="C:\Users\andre\Desktop\REACTIV CEFAS\Cefuroxime\Cefuroxime/20201124_Cefas_Test7_Run1/Plate 1/@6/B6_01.tif "/>
    <s v=" 23230.5068 "/>
    <s v=" 37.6778 "/>
    <x v="0"/>
    <n v="875275"/>
    <m/>
    <m/>
  </r>
  <r>
    <x v="10"/>
    <x v="2"/>
    <s v="C:\Users\andre\Desktop\REACTIV CEFAS\Cefuroxime\Cefuroxime/20201124_Cefas_Test7_Run1/Plate 1/@6/B6_02.tif "/>
    <s v=" 25198.8272 "/>
    <s v=" 36.9039 "/>
    <x v="0"/>
    <n v="929934"/>
    <m/>
    <m/>
  </r>
  <r>
    <x v="10"/>
    <x v="2"/>
    <s v="C:\Users\andre\Desktop\REACTIV CEFAS\Cefuroxime\Cefuroxime/20201124_Cefas_Test7_Run1/Plate 1/@6/B6_03.tif "/>
    <s v=" 22343.6812 "/>
    <s v=" 39.1946 "/>
    <x v="0"/>
    <n v="875751"/>
    <m/>
    <m/>
  </r>
  <r>
    <x v="10"/>
    <x v="3"/>
    <s v="C:\Users\andre\Desktop\REACTIV CEFAS\Cefuroxime\Cefuroxime/20201124_Cefas_Test7_Run1/Plate 1/@6/C6_01.tif "/>
    <s v=" 64781.5344 "/>
    <s v=" 45.8467 "/>
    <x v="0"/>
    <n v="2970022"/>
    <m/>
    <m/>
  </r>
  <r>
    <x v="10"/>
    <x v="3"/>
    <s v="C:\Users\andre\Desktop\REACTIV CEFAS\Cefuroxime\Cefuroxime/20201124_Cefas_Test7_Run1/Plate 1/@6/C6_02.tif "/>
    <s v=" 60174.3669 "/>
    <s v=" 44.2617 "/>
    <x v="0"/>
    <n v="2663419"/>
    <m/>
    <m/>
  </r>
  <r>
    <x v="10"/>
    <x v="3"/>
    <s v="C:\Users\andre\Desktop\REACTIV CEFAS\Cefuroxime\Cefuroxime/20201124_Cefas_Test7_Run1/Plate 1/@6/C6_03.tif "/>
    <s v=" 66879.6342 "/>
    <s v=" 45.8373 "/>
    <x v="0"/>
    <n v="3065583"/>
    <m/>
    <m/>
  </r>
  <r>
    <x v="10"/>
    <x v="4"/>
    <s v="C:\Users\andre\Desktop\REACTIV CEFAS\Cefuroxime\Cefuroxime/20201124_Cefas_Test7_Run1/Plate 1/@6/D6_01.tif "/>
    <s v=" 54312.6654 "/>
    <s v=" 50.6551 "/>
    <x v="0"/>
    <n v="2751214"/>
    <m/>
    <m/>
  </r>
  <r>
    <x v="10"/>
    <x v="4"/>
    <s v="C:\Users\andre\Desktop\REACTIV CEFAS\Cefuroxime\Cefuroxime/20201124_Cefas_Test7_Run1/Plate 1/@6/D6_02.tif "/>
    <s v=" 52149.676 "/>
    <s v=" 48.8693 "/>
    <x v="0"/>
    <n v="2548521"/>
    <m/>
    <m/>
  </r>
  <r>
    <x v="10"/>
    <x v="4"/>
    <s v="C:\Users\andre\Desktop\REACTIV CEFAS\Cefuroxime\Cefuroxime/20201124_Cefas_Test7_Run1/Plate 1/@6/D6_03.tif "/>
    <s v=" 49186.3804 "/>
    <s v=" 46.8074 "/>
    <x v="0"/>
    <n v="2302286"/>
    <m/>
    <m/>
  </r>
  <r>
    <x v="10"/>
    <x v="5"/>
    <s v="C:\Users\andre\Desktop\REACTIV CEFAS\Cefuroxime\Cefuroxime/20201124_Cefas_Test7_Run1/Plate 1/@6/E6_01- exclu.tif"/>
    <m/>
    <m/>
    <x v="1"/>
    <m/>
    <m/>
    <m/>
  </r>
  <r>
    <x v="10"/>
    <x v="5"/>
    <s v="C:\Users\andre\Desktop\REACTIV CEFAS\Cefuroxime\Cefuroxime/20201124_Cefas_Test7_Run1/Plate 1/@6/E6_02.tif "/>
    <s v=" 66771.4847 "/>
    <s v=" 45.955 "/>
    <x v="0"/>
    <n v="3068482"/>
    <m/>
    <m/>
  </r>
  <r>
    <x v="10"/>
    <x v="5"/>
    <s v="C:\Users\andre\Desktop\REACTIV CEFAS\Cefuroxime\Cefuroxime/20201124_Cefas_Test7_Run1/Plate 1/@6/E6_03- exclu.tif"/>
    <m/>
    <m/>
    <x v="1"/>
    <m/>
    <m/>
    <m/>
  </r>
  <r>
    <x v="10"/>
    <x v="6"/>
    <s v="C:\Users\andre\Desktop\REACTIV CEFAS\Cefuroxime\Cefuroxime/20201124_Cefas_Test7_Run1/Plate 1/@6/F6_01.tif "/>
    <s v=" 63570.2603 "/>
    <s v=" 48.673 "/>
    <x v="0"/>
    <n v="3094156"/>
    <m/>
    <m/>
  </r>
  <r>
    <x v="10"/>
    <x v="6"/>
    <s v="C:\Users\andre\Desktop\REACTIV CEFAS\Cefuroxime\Cefuroxime/20201124_Cefas_Test7_Run1/Plate 1/@6/F6_02.tif "/>
    <s v=" 63375.5913 "/>
    <s v=" 47.9027 "/>
    <x v="0"/>
    <n v="3035864"/>
    <m/>
    <m/>
  </r>
  <r>
    <x v="10"/>
    <x v="6"/>
    <s v="C:\Users\andre\Desktop\REACTIV CEFAS\Cefuroxime\Cefuroxime/20201124_Cefas_Test7_Run1/Plate 1/@6/F6_03.tif "/>
    <s v=" 69886.1895 "/>
    <s v=" 49.0275 "/>
    <x v="0"/>
    <n v="3426348"/>
    <m/>
    <m/>
  </r>
  <r>
    <x v="10"/>
    <x v="7"/>
    <s v="C:\Users\andre\Desktop\REACTIV CEFAS\Cefuroxime\Cefuroxime/20201124_Cefas_Test7_Run1/Plate 1/@6/G6_01.tif "/>
    <s v=" 57211.0713 "/>
    <s v=" 49.9399 "/>
    <x v="0"/>
    <n v="2857114"/>
    <m/>
    <m/>
  </r>
  <r>
    <x v="10"/>
    <x v="7"/>
    <s v="C:\Users\andre\Desktop\REACTIV CEFAS\Cefuroxime\Cefuroxime/20201124_Cefas_Test7_Run1/Plate 1/@6/G6_02.tif "/>
    <s v=" 61753.3492 "/>
    <s v=" 52.3391 "/>
    <x v="0"/>
    <n v="3232112"/>
    <m/>
    <m/>
  </r>
  <r>
    <x v="10"/>
    <x v="7"/>
    <s v="C:\Users\andre\Desktop\REACTIV CEFAS\Cefuroxime\Cefuroxime/20201124_Cefas_Test7_Run1/Plate 1/@6/G6_03.tif "/>
    <s v=" 56043.057 "/>
    <s v=" 48.6442 "/>
    <x v="0"/>
    <n v="2726167"/>
    <m/>
    <m/>
  </r>
  <r>
    <x v="10"/>
    <x v="8"/>
    <s v="C:\Users\andre\Desktop\REACTIV CEFAS\Cefuroxime\Cefuroxime/20201124_Cefas_Test7_Run1/Plate 1/@6/H6_01.tif "/>
    <s v=" 42481.1131 "/>
    <s v=" 44.0407 "/>
    <x v="0"/>
    <n v="1870899"/>
    <m/>
    <m/>
  </r>
  <r>
    <x v="10"/>
    <x v="8"/>
    <s v="C:\Users\andre\Desktop\REACTIV CEFAS\Cefuroxime\Cefuroxime/20201124_Cefas_Test7_Run1/Plate 1/@6/H6_02.tif "/>
    <s v=" 40469.5329 "/>
    <s v=" 49.147 "/>
    <x v="0"/>
    <n v="1988955"/>
    <m/>
    <m/>
  </r>
  <r>
    <x v="10"/>
    <x v="8"/>
    <s v="C:\Users\andre\Desktop\REACTIV CEFAS\Cefuroxime\Cefuroxime/20201124_Cefas_Test7_Run1/Plate 1/@6/H6_03.tif "/>
    <s v=" 53598.8789 "/>
    <s v=" 45.1336 "/>
    <x v="0"/>
    <n v="2419109"/>
    <m/>
    <m/>
  </r>
  <r>
    <x v="0"/>
    <x v="0"/>
    <s v=" "/>
    <m/>
    <m/>
    <x v="1"/>
    <m/>
    <m/>
    <m/>
  </r>
  <r>
    <x v="0"/>
    <x v="0"/>
    <s v="group "/>
    <s v=" "/>
    <s v=" mean of mean fluo "/>
    <x v="2"/>
    <s v=" mean of total fluo "/>
    <s v=" SD total fluo "/>
    <m/>
  </r>
  <r>
    <x v="10"/>
    <x v="9"/>
    <s v="C:\Users\andre\Desktop\REACTIV CEFAS\Cefuroxime\Cefuroxime/20201124_Cefas_Test7_Run1/Plate 1/@6/ "/>
    <s v=" "/>
    <s v=" 45.344 "/>
    <x v="12"/>
    <s v=" 2171305.12 "/>
    <s v=" 983402.115 "/>
    <m/>
  </r>
  <r>
    <x v="0"/>
    <x v="0"/>
    <s v=" "/>
    <m/>
    <m/>
    <x v="1"/>
    <m/>
    <m/>
    <m/>
  </r>
  <r>
    <x v="0"/>
    <x v="0"/>
    <s v=" "/>
    <m/>
    <m/>
    <x v="1"/>
    <m/>
    <m/>
    <m/>
  </r>
  <r>
    <x v="0"/>
    <x v="0"/>
    <s v=" "/>
    <m/>
    <m/>
    <x v="1"/>
    <m/>
    <m/>
    <m/>
  </r>
  <r>
    <x v="0"/>
    <x v="0"/>
    <s v=" "/>
    <m/>
    <m/>
    <x v="1"/>
    <m/>
    <m/>
    <m/>
  </r>
  <r>
    <x v="0"/>
    <x v="0"/>
    <s v=" "/>
    <m/>
    <m/>
    <x v="1"/>
    <m/>
    <m/>
    <m/>
  </r>
  <r>
    <x v="0"/>
    <x v="0"/>
    <s v="file name "/>
    <s v=" total area "/>
    <s v=" mean intensity "/>
    <x v="0"/>
    <s v=" total fluorescence"/>
    <m/>
    <m/>
  </r>
  <r>
    <x v="11"/>
    <x v="1"/>
    <s v="C:\Users\andre\Desktop\REACTIV CEFAS\Cefuroxime\Cefuroxime/20201124_Cefas_Test7_Run1/Plate 1/@7/A7_01.tif "/>
    <s v=" 45725.5972 "/>
    <s v=" 51.2621 "/>
    <x v="0"/>
    <n v="2343988"/>
    <m/>
    <m/>
  </r>
  <r>
    <x v="11"/>
    <x v="1"/>
    <s v="C:\Users\andre\Desktop\REACTIV CEFAS\Cefuroxime\Cefuroxime/20201124_Cefas_Test7_Run1/Plate 1/@7/A7_02.tif "/>
    <s v=" 53014.8717 "/>
    <s v=" 53.6944 "/>
    <x v="0"/>
    <n v="2846602"/>
    <m/>
    <m/>
  </r>
  <r>
    <x v="11"/>
    <x v="1"/>
    <s v="C:\Users\andre\Desktop\REACTIV CEFAS\Cefuroxime\Cefuroxime/20201124_Cefas_Test7_Run1/Plate 1/@7/A7_03.tif "/>
    <s v=" 47650.6579 "/>
    <s v=" 52.227 "/>
    <x v="0"/>
    <n v="2488649"/>
    <m/>
    <m/>
  </r>
  <r>
    <x v="11"/>
    <x v="2"/>
    <s v="C:\Users\andre\Desktop\REACTIV CEFAS\Cefuroxime\Cefuroxime/20201124_Cefas_Test7_Run1/Plate 1/@7/B7_01.tif "/>
    <s v=" 50138.0957 "/>
    <s v=" 51.9202 "/>
    <x v="0"/>
    <n v="2603179"/>
    <m/>
    <m/>
  </r>
  <r>
    <x v="11"/>
    <x v="2"/>
    <s v="C:\Users\andre\Desktop\REACTIV CEFAS\Cefuroxime\Cefuroxime/20201124_Cefas_Test7_Run1/Plate 1/@7/B7_02.tif "/>
    <s v=" 54896.6726 "/>
    <s v=" 53.9232 "/>
    <x v="0"/>
    <n v="2960202"/>
    <m/>
    <m/>
  </r>
  <r>
    <x v="11"/>
    <x v="2"/>
    <s v="C:\Users\andre\Desktop\REACTIV CEFAS\Cefuroxime\Cefuroxime/20201124_Cefas_Test7_Run1/Plate 1/@7/B7_03.tif "/>
    <s v=" 61883.1285 "/>
    <s v=" 51.9969 "/>
    <x v="0"/>
    <n v="3217728"/>
    <m/>
    <m/>
  </r>
  <r>
    <x v="11"/>
    <x v="3"/>
    <s v="C:\Users\andre\Desktop\REACTIV CEFAS\Cefuroxime\Cefuroxime/20201124_Cefas_Test7_Run1/Plate 1/@7/C7_01.tif "/>
    <s v=" 41961.9956 "/>
    <s v=" 55.5763 "/>
    <x v="0"/>
    <n v="2332092"/>
    <m/>
    <m/>
  </r>
  <r>
    <x v="11"/>
    <x v="3"/>
    <s v="C:\Users\andre\Desktop\REACTIV CEFAS\Cefuroxime\Cefuroxime/20201124_Cefas_Test7_Run1/Plate 1/@7/C7_02.tif "/>
    <s v=" 44860.4015 "/>
    <s v=" 61.161 "/>
    <x v="0"/>
    <n v="2743709"/>
    <m/>
    <m/>
  </r>
  <r>
    <x v="11"/>
    <x v="3"/>
    <s v="C:\Users\andre\Desktop\REACTIV CEFAS\Cefuroxime\Cefuroxime/20201124_Cefas_Test7_Run1/Plate 1/@7/C7_03.tif "/>
    <s v=" 43562.6078 "/>
    <s v=" 58.5 "/>
    <x v="0"/>
    <n v="2548413"/>
    <m/>
    <m/>
  </r>
  <r>
    <x v="11"/>
    <x v="4"/>
    <s v="C:\Users\andre\Desktop\REACTIV CEFAS\Cefuroxime\Cefuroxime/20201124_Cefas_Test7_Run1/Plate 1/@7/D7_01.tif "/>
    <s v=" 66987.7837 "/>
    <s v=" 52.3264 "/>
    <x v="0"/>
    <n v="3505233"/>
    <m/>
    <m/>
  </r>
  <r>
    <x v="11"/>
    <x v="4"/>
    <s v="C:\Users\andre\Desktop\REACTIV CEFAS\Cefuroxime\Cefuroxime/20201124_Cefas_Test7_Run1/Plate 1/@7/D7_02.tif "/>
    <s v=" 70578.3462 "/>
    <s v=" 52.8026 "/>
    <x v="0"/>
    <n v="3726723"/>
    <m/>
    <m/>
  </r>
  <r>
    <x v="11"/>
    <x v="4"/>
    <s v="C:\Users\andre\Desktop\REACTIV CEFAS\Cefuroxime\Cefuroxime/20201124_Cefas_Test7_Run1/Plate 1/@7/D7_03.tif "/>
    <s v=" 73368.6026 "/>
    <s v=" 52.5363 "/>
    <x v="0"/>
    <n v="3854512"/>
    <m/>
    <m/>
  </r>
  <r>
    <x v="11"/>
    <x v="5"/>
    <s v="C:\Users\andre\Desktop\REACTIV CEFAS\Cefuroxime\Cefuroxime/20201124_Cefas_Test7_Run1/Plate 1/@7/E7_01.tif "/>
    <s v=" 77694.5815 "/>
    <s v=" 56.7099 "/>
    <x v="0"/>
    <n v="4406053"/>
    <m/>
    <m/>
  </r>
  <r>
    <x v="11"/>
    <x v="5"/>
    <s v="C:\Users\andre\Desktop\REACTIV CEFAS\Cefuroxime\Cefuroxime/20201124_Cefas_Test7_Run1/Plate 1/@7/E7_02.tif "/>
    <s v=" 84378.2189 "/>
    <s v=" 59.7529 "/>
    <x v="0"/>
    <n v="5041842"/>
    <m/>
    <m/>
  </r>
  <r>
    <x v="11"/>
    <x v="5"/>
    <s v="C:\Users\andre\Desktop\REACTIV CEFAS\Cefuroxime\Cefuroxime/20201124_Cefas_Test7_Run1/Plate 1/@7/E7_03.tif "/>
    <s v=" 79965.7204 "/>
    <s v=" 58.3381 "/>
    <x v="0"/>
    <n v="4665049"/>
    <m/>
    <m/>
  </r>
  <r>
    <x v="11"/>
    <x v="6"/>
    <s v="C:\Users\andre\Desktop\REACTIV CEFAS\Cefuroxime\Cefuroxime/20201124_Cefas_Test7_Run1/Plate 1/@7/F7_01.tif "/>
    <s v=" 43432.8284 "/>
    <s v=" 57.1738 "/>
    <x v="0"/>
    <n v="2483220"/>
    <m/>
    <m/>
  </r>
  <r>
    <x v="11"/>
    <x v="6"/>
    <s v="C:\Users\andre\Desktop\REACTIV CEFAS\Cefuroxime\Cefuroxime/20201124_Cefas_Test7_Run1/Plate 1/@7/F7_02.tif "/>
    <s v=" 45682.3375 "/>
    <s v=" 61.2301 "/>
    <x v="0"/>
    <n v="2797135"/>
    <m/>
    <m/>
  </r>
  <r>
    <x v="11"/>
    <x v="6"/>
    <s v="C:\Users\andre\Desktop\REACTIV CEFAS\Cefuroxime\Cefuroxime/20201124_Cefas_Test7_Run1/Plate 1/@7/F7_03.tif "/>
    <s v=" 46915.2415 "/>
    <s v=" 61.2218 "/>
    <x v="0"/>
    <n v="2872234"/>
    <m/>
    <m/>
  </r>
  <r>
    <x v="11"/>
    <x v="7"/>
    <s v="C:\Users\andre\Desktop\REACTIV CEFAS\Cefuroxime\Cefuroxime/20201124_Cefas_Test7_Run1/Plate 1/@7/G7_01.tif "/>
    <s v=" 77889.2506 "/>
    <s v=" 51.0053 "/>
    <x v="0"/>
    <n v="3972763"/>
    <m/>
    <m/>
  </r>
  <r>
    <x v="11"/>
    <x v="7"/>
    <s v="C:\Users\andre\Desktop\REACTIV CEFAS\Cefuroxime\Cefuroxime/20201124_Cefas_Test7_Run1/Plate 1/@7/G7_02.tif "/>
    <s v=" 77867.6207 "/>
    <s v=" 52.1478 "/>
    <x v="0"/>
    <n v="4060623"/>
    <m/>
    <m/>
  </r>
  <r>
    <x v="11"/>
    <x v="7"/>
    <s v="C:\Users\andre\Desktop\REACTIV CEFAS\Cefuroxime\Cefuroxime/20201124_Cefas_Test7_Run1/Plate 1/@7/G7_03.tif "/>
    <s v=" 83534.6531 "/>
    <s v=" 58.3949 "/>
    <x v="0"/>
    <n v="4877995"/>
    <m/>
    <m/>
  </r>
  <r>
    <x v="11"/>
    <x v="8"/>
    <s v="C:\Users\andre\Desktop\REACTIV CEFAS\Cefuroxime\Cefuroxime/20201124_Cefas_Test7_Run1/Plate 1/@7/H7_01.tif "/>
    <s v=" 65668.3601 "/>
    <s v=" 60.1884 "/>
    <x v="0"/>
    <n v="3952474"/>
    <m/>
    <m/>
  </r>
  <r>
    <x v="11"/>
    <x v="8"/>
    <s v="C:\Users\andre\Desktop\REACTIV CEFAS\Cefuroxime\Cefuroxime/20201124_Cefas_Test7_Run1/Plate 1/@7/H7_02.tif "/>
    <s v=" 65473.691 "/>
    <s v=" 55.7681 "/>
    <x v="0"/>
    <n v="3651343"/>
    <m/>
    <m/>
  </r>
  <r>
    <x v="11"/>
    <x v="8"/>
    <s v="C:\Users\andre\Desktop\REACTIV CEFAS\Cefuroxime\Cefuroxime/20201124_Cefas_Test7_Run1/Plate 1/@7/H7_03.tif "/>
    <s v=" 71638.211 "/>
    <s v=" 57.5909 "/>
    <x v="0"/>
    <n v="4125708"/>
    <m/>
    <m/>
  </r>
  <r>
    <x v="0"/>
    <x v="0"/>
    <s v=" "/>
    <m/>
    <m/>
    <x v="1"/>
    <m/>
    <m/>
    <m/>
  </r>
  <r>
    <x v="0"/>
    <x v="0"/>
    <s v="group "/>
    <s v=" "/>
    <s v=" mean of mean fluo "/>
    <x v="2"/>
    <s v=" mean of total fluo "/>
    <s v=" SD total fluo "/>
    <m/>
  </r>
  <r>
    <x v="11"/>
    <x v="9"/>
    <s v="C:\Users\andre\Desktop\REACTIV CEFAS\Cefuroxime\Cefuroxime/20201124_Cefas_Test7_Run1/Plate 1/@7/ "/>
    <s v=" "/>
    <s v=" 55.727 "/>
    <x v="13"/>
    <s v=" 3419894.54 "/>
    <s v=" 843373.095 "/>
    <m/>
  </r>
  <r>
    <x v="0"/>
    <x v="0"/>
    <s v=" "/>
    <m/>
    <m/>
    <x v="1"/>
    <m/>
    <m/>
    <m/>
  </r>
  <r>
    <x v="0"/>
    <x v="0"/>
    <s v=" "/>
    <m/>
    <m/>
    <x v="1"/>
    <m/>
    <m/>
    <m/>
  </r>
  <r>
    <x v="0"/>
    <x v="0"/>
    <s v=" "/>
    <m/>
    <m/>
    <x v="1"/>
    <m/>
    <m/>
    <m/>
  </r>
  <r>
    <x v="0"/>
    <x v="0"/>
    <s v=" "/>
    <m/>
    <m/>
    <x v="1"/>
    <m/>
    <m/>
    <m/>
  </r>
  <r>
    <x v="0"/>
    <x v="0"/>
    <s v=" "/>
    <m/>
    <m/>
    <x v="1"/>
    <m/>
    <m/>
    <m/>
  </r>
  <r>
    <x v="0"/>
    <x v="0"/>
    <s v="file name "/>
    <s v=" total area "/>
    <s v=" mean intensity "/>
    <x v="0"/>
    <s v=" total fluorescence"/>
    <m/>
    <m/>
  </r>
  <r>
    <x v="12"/>
    <x v="1"/>
    <s v="C:\Users\andre\Desktop\REACTIV CEFAS\Cefuroxime\Cefuroxime/20201124_Cefas_Test7_Run1/Plate 4/@10/A4_01.tif "/>
    <n v="0"/>
    <n v="0"/>
    <x v="0"/>
    <n v="0"/>
    <m/>
    <m/>
  </r>
  <r>
    <x v="12"/>
    <x v="1"/>
    <s v="C:\Users\andre\Desktop\REACTIV CEFAS\Cefuroxime\Cefuroxime/20201124_Cefas_Test7_Run1/Plate 4/@10/A4_02.tif "/>
    <s v=" 5818.4417 "/>
    <s v=" 38.3903 "/>
    <x v="0"/>
    <n v="223372"/>
    <m/>
    <m/>
  </r>
  <r>
    <x v="12"/>
    <x v="1"/>
    <s v="C:\Users\andre\Desktop\REACTIV CEFAS\Cefuroxime\Cefuroxime/20201124_Cefas_Test7_Run1/Plate 4/@10/A4_03.tif "/>
    <s v=" 5104.6551 "/>
    <s v=" 35.678 "/>
    <x v="0"/>
    <n v="182124"/>
    <m/>
    <m/>
  </r>
  <r>
    <x v="12"/>
    <x v="2"/>
    <s v="C:\Users\andre\Desktop\REACTIV CEFAS\Cefuroxime\Cefuroxime/20201124_Cefas_Test7_Run1/Plate 4/@10/B4_01.tif "/>
    <s v=" 6640.3777 "/>
    <s v=" 37.8241 "/>
    <x v="0"/>
    <n v="251166"/>
    <m/>
    <m/>
  </r>
  <r>
    <x v="12"/>
    <x v="2"/>
    <s v="C:\Users\andre\Desktop\REACTIV CEFAS\Cefuroxime\Cefuroxime/20201124_Cefas_Test7_Run1/Plate 4/@10/B4_02.tif "/>
    <s v=" 5277.6943 "/>
    <s v=" 37.3443 "/>
    <x v="0"/>
    <n v="197092"/>
    <m/>
    <m/>
  </r>
  <r>
    <x v="12"/>
    <x v="2"/>
    <s v="C:\Users\andre\Desktop\REACTIV CEFAS\Cefuroxime\Cefuroxime/20201124_Cefas_Test7_Run1/Plate 4/@10/B4_03.tif "/>
    <s v=" 8003.061 "/>
    <s v=" 39.7676 "/>
    <x v="0"/>
    <n v="318262"/>
    <m/>
    <m/>
  </r>
  <r>
    <x v="12"/>
    <x v="3"/>
    <s v="C:\Users\andre\Desktop\REACTIV CEFAS\Cefuroxime\Cefuroxime/20201124_Cefas_Test7_Run1/Plate 4/@10/C4_01.tif "/>
    <s v=" 6013.1107 "/>
    <s v=" 34.7626 "/>
    <x v="0"/>
    <n v="209031"/>
    <m/>
    <m/>
  </r>
  <r>
    <x v="12"/>
    <x v="3"/>
    <s v="C:\Users\andre\Desktop\REACTIV CEFAS\Cefuroxime\Cefuroxime/20201124_Cefas_Test7_Run1/Plate 4/@10/C4_02.tif "/>
    <s v=" 3698.712 "/>
    <s v=" 32.2456 "/>
    <x v="0"/>
    <n v="119267"/>
    <m/>
    <m/>
  </r>
  <r>
    <x v="12"/>
    <x v="3"/>
    <s v="C:\Users\andre\Desktop\REACTIV CEFAS\Cefuroxime\Cefuroxime/20201124_Cefas_Test7_Run1/Plate 4/@10/C4_03.tif "/>
    <s v=" 4174.5697 "/>
    <s v=" 33.5907 "/>
    <x v="0"/>
    <n v="140227"/>
    <m/>
    <m/>
  </r>
  <r>
    <x v="12"/>
    <x v="4"/>
    <s v="C:\Users\andre\Desktop\REACTIV CEFAS\Cefuroxime\Cefuroxime/20201124_Cefas_Test7_Run1/Plate 4/@10/D4_01.tif "/>
    <s v=" 4455.7583 "/>
    <s v=" 34.3981 "/>
    <x v="0"/>
    <n v="153269"/>
    <m/>
    <m/>
  </r>
  <r>
    <x v="12"/>
    <x v="4"/>
    <s v="C:\Users\andre\Desktop\REACTIV CEFAS\Cefuroxime\Cefuroxime/20201124_Cefas_Test7_Run1/Plate 4/@10/D4_02.tif "/>
    <s v=" 1687.1318 "/>
    <s v=" 32.8718 "/>
    <x v="0"/>
    <n v="55459"/>
    <m/>
    <m/>
  </r>
  <r>
    <x v="12"/>
    <x v="4"/>
    <s v="C:\Users\andre\Desktop\REACTIV CEFAS\Cefuroxime\Cefuroxime/20201124_Cefas_Test7_Run1/Plate 4/@10/D4_03.tif "/>
    <s v=" 2660.477 "/>
    <s v=" 35.0976 "/>
    <x v="0"/>
    <n v="93376"/>
    <m/>
    <m/>
  </r>
  <r>
    <x v="12"/>
    <x v="5"/>
    <s v="C:\Users\andre\Desktop\REACTIV CEFAS\Cefuroxime\Cefuroxime/20201124_Cefas_Test7_Run1/Plate 4/@10/E4_01.tif "/>
    <n v="0"/>
    <n v="0"/>
    <x v="0"/>
    <n v="0"/>
    <m/>
    <m/>
  </r>
  <r>
    <x v="12"/>
    <x v="5"/>
    <s v="C:\Users\andre\Desktop\REACTIV CEFAS\Cefuroxime\Cefuroxime/20201124_Cefas_Test7_Run1/Plate 4/@10/E4_02- exclu.tif"/>
    <m/>
    <m/>
    <x v="1"/>
    <m/>
    <m/>
    <m/>
  </r>
  <r>
    <x v="12"/>
    <x v="5"/>
    <s v="C:\Users\andre\Desktop\REACTIV CEFAS\Cefuroxime\Cefuroxime/20201124_Cefas_Test7_Run1/Plate 4/@10/E4_03.tif "/>
    <n v="0"/>
    <n v="0"/>
    <x v="0"/>
    <n v="0"/>
    <m/>
    <m/>
  </r>
  <r>
    <x v="12"/>
    <x v="6"/>
    <s v="C:\Users\andre\Desktop\REACTIV CEFAS\Cefuroxime\Cefuroxime/20201124_Cefas_Test7_Run1/Plate 4/@10/F4_01.tif "/>
    <s v=" 1860.1709 "/>
    <s v=" 32.6512 "/>
    <x v="0"/>
    <n v="60737"/>
    <m/>
    <m/>
  </r>
  <r>
    <x v="12"/>
    <x v="6"/>
    <s v="C:\Users\andre\Desktop\REACTIV CEFAS\Cefuroxime\Cefuroxime/20201124_Cefas_Test7_Run1/Plate 4/@10/F4_02.tif "/>
    <s v=" 64.8897 "/>
    <n v="31"/>
    <x v="0"/>
    <n v="2012"/>
    <m/>
    <m/>
  </r>
  <r>
    <x v="12"/>
    <x v="6"/>
    <s v="C:\Users\andre\Desktop\REACTIV CEFAS\Cefuroxime\Cefuroxime/20201124_Cefas_Test7_Run1/Plate 4/@10/F4_03.tif "/>
    <s v=" 1232.904 "/>
    <s v=" 35.9649 "/>
    <x v="0"/>
    <n v="44341"/>
    <m/>
    <m/>
  </r>
  <r>
    <x v="12"/>
    <x v="7"/>
    <s v="C:\Users\andre\Desktop\REACTIV CEFAS\Cefuroxime\Cefuroxime/20201124_Cefas_Test7_Run1/Plate 4/@10/G4_01.tif "/>
    <s v=" 4239.4593 "/>
    <s v=" 39.1327 "/>
    <x v="0"/>
    <n v="165901"/>
    <m/>
    <m/>
  </r>
  <r>
    <x v="12"/>
    <x v="7"/>
    <s v="C:\Users\andre\Desktop\REACTIV CEFAS\Cefuroxime\Cefuroxime/20201124_Cefas_Test7_Run1/Plate 4/@10/G4_02.tif "/>
    <s v=" 951.7154 "/>
    <s v=" 33.2727 "/>
    <x v="0"/>
    <n v="31666"/>
    <m/>
    <m/>
  </r>
  <r>
    <x v="12"/>
    <x v="7"/>
    <s v="C:\Users\andre\Desktop\REACTIV CEFAS\Cefuroxime\Cefuroxime/20201124_Cefas_Test7_Run1/Plate 4/@10/G4_03.tif "/>
    <s v=" 1384.3133 "/>
    <s v=" 32.75 "/>
    <x v="0"/>
    <n v="45336"/>
    <m/>
    <m/>
  </r>
  <r>
    <x v="12"/>
    <x v="8"/>
    <s v="C:\Users\andre\Desktop\REACTIV CEFAS\Cefuroxime\Cefuroxime/20201124_Cefas_Test7_Run1/Plate 4/@10/H4_01.tif "/>
    <s v=" 4888.3562 "/>
    <s v=" 34.4867 "/>
    <x v="0"/>
    <n v="168583"/>
    <m/>
    <m/>
  </r>
  <r>
    <x v="12"/>
    <x v="8"/>
    <s v="C:\Users\andre\Desktop\REACTIV CEFAS\Cefuroxime\Cefuroxime/20201124_Cefas_Test7_Run1/Plate 4/@10/H4_02.tif "/>
    <s v=" 1578.9823 "/>
    <s v=" 31.7671 "/>
    <x v="0"/>
    <n v="50160"/>
    <m/>
    <m/>
  </r>
  <r>
    <x v="12"/>
    <x v="8"/>
    <s v="C:\Users\andre\Desktop\REACTIV CEFAS\Cefuroxime\Cefuroxime/20201124_Cefas_Test7_Run1/Plate 4/@10/H4_03.tif "/>
    <s v=" 2444.1781 "/>
    <s v=" 33.1416 "/>
    <x v="0"/>
    <n v="81004"/>
    <m/>
    <m/>
  </r>
  <r>
    <x v="0"/>
    <x v="0"/>
    <s v=" "/>
    <m/>
    <m/>
    <x v="1"/>
    <m/>
    <m/>
    <m/>
  </r>
  <r>
    <x v="0"/>
    <x v="0"/>
    <s v="group "/>
    <s v=" "/>
    <s v=" mean of mean fluo "/>
    <x v="2"/>
    <s v=" mean of total fluo "/>
    <s v=" SD total fluo "/>
    <m/>
  </r>
  <r>
    <x v="12"/>
    <x v="9"/>
    <s v="C:\Users\andre\Desktop\REACTIV CEFAS\Cefuroxime\Cefuroxime/20201124_Cefas_Test7_Run1/Plate 4/@10/ "/>
    <s v=" "/>
    <s v=" 30.2676 "/>
    <x v="14"/>
    <s v=" 108207.125 "/>
    <s v=" 91342.9809 "/>
    <m/>
  </r>
  <r>
    <x v="0"/>
    <x v="0"/>
    <s v=" "/>
    <m/>
    <m/>
    <x v="1"/>
    <m/>
    <m/>
    <m/>
  </r>
  <r>
    <x v="0"/>
    <x v="0"/>
    <s v=" "/>
    <m/>
    <m/>
    <x v="1"/>
    <m/>
    <m/>
    <m/>
  </r>
  <r>
    <x v="0"/>
    <x v="0"/>
    <s v=" "/>
    <m/>
    <m/>
    <x v="1"/>
    <m/>
    <m/>
    <m/>
  </r>
  <r>
    <x v="0"/>
    <x v="0"/>
    <s v=" "/>
    <m/>
    <m/>
    <x v="1"/>
    <m/>
    <m/>
    <m/>
  </r>
  <r>
    <x v="0"/>
    <x v="0"/>
    <s v=" "/>
    <m/>
    <m/>
    <x v="1"/>
    <m/>
    <m/>
    <m/>
  </r>
  <r>
    <x v="0"/>
    <x v="0"/>
    <s v="file name "/>
    <s v=" total area "/>
    <s v=" mean intensity "/>
    <x v="0"/>
    <s v=" total fluorescence"/>
    <m/>
    <m/>
  </r>
  <r>
    <x v="13"/>
    <x v="1"/>
    <s v="C:\Users\andre\Desktop\REACTIV CEFAS\Cefuroxime\Cefuroxime/20201124_Cefas_Test7_Run1/Plate 4/@11/A5_01.tif "/>
    <s v=" 7548.8332 "/>
    <s v=" 38.0802 "/>
    <x v="0"/>
    <n v="287461"/>
    <m/>
    <m/>
  </r>
  <r>
    <x v="13"/>
    <x v="1"/>
    <s v="C:\Users\andre\Desktop\REACTIV CEFAS\Cefuroxime\Cefuroxime/20201124_Cefas_Test7_Run1/Plate 4/@11/A5_02.tif "/>
    <s v=" 7159.4951 "/>
    <s v=" 36.6677 "/>
    <x v="0"/>
    <n v="262522"/>
    <m/>
    <m/>
  </r>
  <r>
    <x v="13"/>
    <x v="1"/>
    <s v="C:\Users\andre\Desktop\REACTIV CEFAS\Cefuroxime\Cefuroxime/20201124_Cefas_Test7_Run1/Plate 4/@11/A5_03.tif "/>
    <s v=" 8024.6909 "/>
    <s v=" 36.0296 "/>
    <x v="0"/>
    <n v="289127"/>
    <m/>
    <m/>
  </r>
  <r>
    <x v="13"/>
    <x v="2"/>
    <s v="C:\Users\andre\Desktop\REACTIV CEFAS\Cefuroxime\Cefuroxime/20201124_Cefas_Test7_Run1/Plate 4/@11/B5_01.tif "/>
    <s v=" 64.8897 "/>
    <n v="31"/>
    <x v="0"/>
    <n v="2012"/>
    <m/>
    <m/>
  </r>
  <r>
    <x v="13"/>
    <x v="2"/>
    <s v="C:\Users\andre\Desktop\REACTIV CEFAS\Cefuroxime\Cefuroxime/20201124_Cefas_Test7_Run1/Plate 4/@11/B5_02.tif "/>
    <s v=" 410.968 "/>
    <s v=" 32.9474 "/>
    <x v="0"/>
    <n v="13540"/>
    <m/>
    <m/>
  </r>
  <r>
    <x v="13"/>
    <x v="2"/>
    <s v="C:\Users\andre\Desktop\REACTIV CEFAS\Cefuroxime\Cefuroxime/20201124_Cefas_Test7_Run1/Plate 4/@11/B5_03.tif "/>
    <n v="0"/>
    <n v="0"/>
    <x v="0"/>
    <n v="0"/>
    <m/>
    <m/>
  </r>
  <r>
    <x v="13"/>
    <x v="3"/>
    <s v="C:\Users\andre\Desktop\REACTIV CEFAS\Cefuroxime\Cefuroxime/20201124_Cefas_Test7_Run1/Plate 4/@11/C5_01- exclu.tif"/>
    <m/>
    <m/>
    <x v="1"/>
    <m/>
    <m/>
    <m/>
  </r>
  <r>
    <x v="13"/>
    <x v="3"/>
    <s v="C:\Users\andre\Desktop\REACTIV CEFAS\Cefuroxime\Cefuroxime/20201124_Cefas_Test7_Run1/Plate 4/@11/C5_02- exclu.tif"/>
    <m/>
    <m/>
    <x v="1"/>
    <m/>
    <m/>
    <m/>
  </r>
  <r>
    <x v="13"/>
    <x v="3"/>
    <s v="C:\Users\andre\Desktop\REACTIV CEFAS\Cefuroxime\Cefuroxime/20201124_Cefas_Test7_Run1/Plate 4/@11/C5_03- exclu.tif"/>
    <m/>
    <m/>
    <x v="1"/>
    <m/>
    <m/>
    <m/>
  </r>
  <r>
    <x v="13"/>
    <x v="4"/>
    <s v="C:\Users\andre\Desktop\REACTIV CEFAS\Cefuroxime\Cefuroxime/20201124_Cefas_Test7_Run1/Plate 4/@11/D5_01.tif "/>
    <s v=" 7570.4631 "/>
    <s v=" 42.16 "/>
    <x v="0"/>
    <n v="319171"/>
    <m/>
    <m/>
  </r>
  <r>
    <x v="13"/>
    <x v="4"/>
    <s v="C:\Users\andre\Desktop\REACTIV CEFAS\Cefuroxime\Cefuroxime/20201124_Cefas_Test7_Run1/Plate 4/@11/D5_02.tif "/>
    <s v=" 6251.0395 "/>
    <s v=" 38.8824 "/>
    <x v="0"/>
    <n v="243055"/>
    <m/>
    <m/>
  </r>
  <r>
    <x v="13"/>
    <x v="4"/>
    <s v="C:\Users\andre\Desktop\REACTIV CEFAS\Cefuroxime\Cefuroxime/20201124_Cefas_Test7_Run1/Plate 4/@11/D5_03.tif "/>
    <s v=" 6467.3385 "/>
    <s v=" 32.5686 "/>
    <x v="0"/>
    <n v="210632"/>
    <m/>
    <m/>
  </r>
  <r>
    <x v="13"/>
    <x v="5"/>
    <s v="C:\Users\andre\Desktop\REACTIV CEFAS\Cefuroxime\Cefuroxime/20201124_Cefas_Test7_Run1/Plate 4/@11/E5_01.tif "/>
    <s v=" 216.2989 "/>
    <s v=" 31.2 "/>
    <x v="0"/>
    <n v="6749"/>
    <m/>
    <m/>
  </r>
  <r>
    <x v="13"/>
    <x v="5"/>
    <s v="C:\Users\andre\Desktop\REACTIV CEFAS\Cefuroxime\Cefuroxime/20201124_Cefas_Test7_Run1/Plate 4/@11/E5_02.tif "/>
    <s v=" 540.7474 "/>
    <s v=" 34.4 "/>
    <x v="0"/>
    <n v="18602"/>
    <m/>
    <m/>
  </r>
  <r>
    <x v="13"/>
    <x v="5"/>
    <s v="C:\Users\andre\Desktop\REACTIV CEFAS\Cefuroxime\Cefuroxime/20201124_Cefas_Test7_Run1/Plate 4/@11/E5_03.tif "/>
    <n v="0"/>
    <n v="0"/>
    <x v="0"/>
    <n v="0"/>
    <m/>
    <m/>
  </r>
  <r>
    <x v="13"/>
    <x v="6"/>
    <s v="C:\Users\andre\Desktop\REACTIV CEFAS\Cefuroxime\Cefuroxime/20201124_Cefas_Test7_Run1/Plate 4/@11/F5_01.tif "/>
    <s v=" 6337.5591 "/>
    <s v=" 36.1672 "/>
    <x v="0"/>
    <n v="229212"/>
    <m/>
    <m/>
  </r>
  <r>
    <x v="13"/>
    <x v="6"/>
    <s v="C:\Users\andre\Desktop\REACTIV CEFAS\Cefuroxime\Cefuroxime/20201124_Cefas_Test7_Run1/Plate 4/@11/F5_02.tif "/>
    <s v=" 6597.1179 "/>
    <s v=" 40.8262 "/>
    <x v="0"/>
    <n v="269335"/>
    <m/>
    <m/>
  </r>
  <r>
    <x v="13"/>
    <x v="6"/>
    <s v="C:\Users\andre\Desktop\REACTIV CEFAS\Cefuroxime\Cefuroxime/20201124_Cefas_Test7_Run1/Plate 4/@11/F5_03.tif "/>
    <s v=" 1449.2029 "/>
    <s v=" 37.4328 "/>
    <x v="0"/>
    <n v="54248"/>
    <m/>
    <m/>
  </r>
  <r>
    <x v="13"/>
    <x v="7"/>
    <s v="C:\Users\andre\Desktop\REACTIV CEFAS\Cefuroxime\Cefuroxime/20201124_Cefas_Test7_Run1/Plate 4/@11/G5_01- exclu.tif"/>
    <m/>
    <m/>
    <x v="1"/>
    <m/>
    <m/>
    <m/>
  </r>
  <r>
    <x v="13"/>
    <x v="7"/>
    <s v="C:\Users\andre\Desktop\REACTIV CEFAS\Cefuroxime\Cefuroxime/20201124_Cefas_Test7_Run1/Plate 4/@11/G5_02.tif "/>
    <s v=" 4261.0892 "/>
    <s v=" 35.7716 "/>
    <x v="0"/>
    <n v="152426"/>
    <m/>
    <m/>
  </r>
  <r>
    <x v="13"/>
    <x v="7"/>
    <s v="C:\Users\andre\Desktop\REACTIV CEFAS\Cefuroxime\Cefuroxime/20201124_Cefas_Test7_Run1/Plate 4/@11/G5_03.tif "/>
    <s v=" 9171.0753 "/>
    <s v=" 39.0236 "/>
    <x v="0"/>
    <n v="357888"/>
    <m/>
    <m/>
  </r>
  <r>
    <x v="13"/>
    <x v="8"/>
    <s v="C:\Users\andre\Desktop\REACTIV CEFAS\Cefuroxime\Cefuroxime/20201124_Cefas_Test7_Run1/Plate 4/@11/H5_01- exclu.tif"/>
    <m/>
    <m/>
    <x v="1"/>
    <m/>
    <m/>
    <m/>
  </r>
  <r>
    <x v="13"/>
    <x v="8"/>
    <s v="C:\Users\andre\Desktop\REACTIV CEFAS\Cefuroxime\Cefuroxime/20201124_Cefas_Test7_Run1/Plate 4/@11/H5_02.tif "/>
    <n v="0"/>
    <n v="0"/>
    <x v="0"/>
    <n v="0"/>
    <m/>
    <m/>
  </r>
  <r>
    <x v="13"/>
    <x v="8"/>
    <s v="C:\Users\andre\Desktop\REACTIV CEFAS\Cefuroxime\Cefuroxime/20201124_Cefas_Test7_Run1/Plate 4/@11/H5_03.tif "/>
    <n v="0"/>
    <n v="0"/>
    <x v="0"/>
    <n v="0"/>
    <m/>
    <m/>
  </r>
  <r>
    <x v="0"/>
    <x v="0"/>
    <s v=" "/>
    <m/>
    <m/>
    <x v="1"/>
    <m/>
    <m/>
    <m/>
  </r>
  <r>
    <x v="0"/>
    <x v="0"/>
    <s v="group "/>
    <s v=" "/>
    <s v=" mean of mean fluo "/>
    <x v="2"/>
    <s v=" mean of total fluo "/>
    <s v=" SD total fluo "/>
    <m/>
  </r>
  <r>
    <x v="13"/>
    <x v="9"/>
    <s v="C:\Users\andre\Desktop\REACTIV CEFAS\Cefuroxime\Cefuroxime/20201124_Cefas_Test7_Run1/Plate 4/@11/ "/>
    <s v=" "/>
    <s v=" 24.484 "/>
    <x v="15"/>
    <s v=" 135843.875 "/>
    <s v=" 157938.382 "/>
    <m/>
  </r>
  <r>
    <x v="0"/>
    <x v="0"/>
    <s v=" "/>
    <m/>
    <m/>
    <x v="1"/>
    <m/>
    <m/>
    <m/>
  </r>
  <r>
    <x v="0"/>
    <x v="0"/>
    <s v=" "/>
    <m/>
    <m/>
    <x v="1"/>
    <m/>
    <m/>
    <m/>
  </r>
  <r>
    <x v="0"/>
    <x v="0"/>
    <s v=" "/>
    <m/>
    <m/>
    <x v="1"/>
    <m/>
    <m/>
    <m/>
  </r>
  <r>
    <x v="0"/>
    <x v="0"/>
    <s v=" "/>
    <m/>
    <m/>
    <x v="1"/>
    <m/>
    <m/>
    <m/>
  </r>
  <r>
    <x v="0"/>
    <x v="0"/>
    <s v=" "/>
    <m/>
    <m/>
    <x v="1"/>
    <m/>
    <m/>
    <m/>
  </r>
  <r>
    <x v="0"/>
    <x v="0"/>
    <s v="file name "/>
    <s v=" total area "/>
    <s v=" mean intensity "/>
    <x v="0"/>
    <s v=" total fluorescence"/>
    <m/>
    <m/>
  </r>
  <r>
    <x v="14"/>
    <x v="1"/>
    <s v="C:\Users\andre\Desktop\REACTIV CEFAS\Cefuroxime\Cefuroxime/20201124_Cefas_Test7_Run1/Plate 4/@12/A6_01.tif "/>
    <s v=" 4845.0964 "/>
    <s v=" 38.7723 "/>
    <x v="0"/>
    <n v="187856"/>
    <m/>
    <m/>
  </r>
  <r>
    <x v="14"/>
    <x v="1"/>
    <s v="C:\Users\andre\Desktop\REACTIV CEFAS\Cefuroxime\Cefuroxime/20201124_Cefas_Test7_Run1/Plate 4/@12/A6_02.tif "/>
    <s v=" 6835.0467 "/>
    <s v=" 41.4146 "/>
    <x v="0"/>
    <n v="283070"/>
    <m/>
    <m/>
  </r>
  <r>
    <x v="14"/>
    <x v="1"/>
    <s v="C:\Users\andre\Desktop\REACTIV CEFAS\Cefuroxime\Cefuroxime/20201124_Cefas_Test7_Run1/Plate 4/@12/A6_03.tif "/>
    <s v=" 5602.1427 "/>
    <s v=" 38.9382 "/>
    <x v="0"/>
    <n v="218137"/>
    <m/>
    <m/>
  </r>
  <r>
    <x v="14"/>
    <x v="2"/>
    <s v="C:\Users\andre\Desktop\REACTIV CEFAS\Cefuroxime\Cefuroxime/20201124_Cefas_Test7_Run1/Plate 4/@12/B6_01.tif "/>
    <s v=" 216.2989 "/>
    <s v=" 30.4 "/>
    <x v="0"/>
    <n v="6575"/>
    <m/>
    <m/>
  </r>
  <r>
    <x v="14"/>
    <x v="2"/>
    <s v="C:\Users\andre\Desktop\REACTIV CEFAS\Cefuroxime\Cefuroxime/20201124_Cefas_Test7_Run1/Plate 4/@12/B6_02.tif "/>
    <s v=" 21.6299 "/>
    <n v="31"/>
    <x v="0"/>
    <n v="671"/>
    <m/>
    <m/>
  </r>
  <r>
    <x v="14"/>
    <x v="2"/>
    <s v="C:\Users\andre\Desktop\REACTIV CEFAS\Cefuroxime\Cefuroxime/20201124_Cefas_Test7_Run1/Plate 4/@12/B6_03.tif "/>
    <s v=" 1254.5339 "/>
    <s v=" 33.8793 "/>
    <x v="0"/>
    <n v="42503"/>
    <m/>
    <m/>
  </r>
  <r>
    <x v="14"/>
    <x v="3"/>
    <s v="C:\Users\andre\Desktop\REACTIV CEFAS\Cefuroxime\Cefuroxime/20201124_Cefas_Test7_Run1/Plate 4/@12/C6_01.tif "/>
    <s v=" 5083.0252 "/>
    <s v=" 38.7617 "/>
    <x v="0"/>
    <n v="197027"/>
    <m/>
    <m/>
  </r>
  <r>
    <x v="14"/>
    <x v="3"/>
    <s v="C:\Users\andre\Desktop\REACTIV CEFAS\Cefuroxime\Cefuroxime/20201124_Cefas_Test7_Run1/Plate 4/@12/C6_02.tif "/>
    <s v=" 2963.2956 "/>
    <s v=" 35.708 "/>
    <x v="0"/>
    <n v="105813"/>
    <m/>
    <m/>
  </r>
  <r>
    <x v="14"/>
    <x v="3"/>
    <s v="C:\Users\andre\Desktop\REACTIV CEFAS\Cefuroxime\Cefuroxime/20201124_Cefas_Test7_Run1/Plate 4/@12/C6_03.tif "/>
    <s v=" 6424.0787 "/>
    <s v=" 41.3333 "/>
    <x v="0"/>
    <n v="265529"/>
    <m/>
    <m/>
  </r>
  <r>
    <x v="14"/>
    <x v="4"/>
    <s v="C:\Users\andre\Desktop\REACTIV CEFAS\Cefuroxime\Cefuroxime/20201124_Cefas_Test7_Run1/Plate 4/@12/D6_01.tif "/>
    <s v=" 3136.3347 "/>
    <s v=" 33.6483 "/>
    <x v="0"/>
    <n v="105532"/>
    <m/>
    <m/>
  </r>
  <r>
    <x v="14"/>
    <x v="4"/>
    <s v="C:\Users\andre\Desktop\REACTIV CEFAS\Cefuroxime\Cefuroxime/20201124_Cefas_Test7_Run1/Plate 4/@12/D6_02.tif "/>
    <s v=" 2746.9966 "/>
    <s v=" 33.0787 "/>
    <x v="0"/>
    <n v="90867"/>
    <m/>
    <m/>
  </r>
  <r>
    <x v="14"/>
    <x v="4"/>
    <s v="C:\Users\andre\Desktop\REACTIV CEFAS\Cefuroxime\Cefuroxime/20201124_Cefas_Test7_Run1/Plate 4/@12/D6_03.tif "/>
    <s v=" 5904.9612 "/>
    <s v=" 33.4542 "/>
    <x v="0"/>
    <n v="197546"/>
    <m/>
    <m/>
  </r>
  <r>
    <x v="14"/>
    <x v="5"/>
    <s v="C:\Users\andre\Desktop\REACTIV CEFAS\Cefuroxime\Cefuroxime/20201124_Cefas_Test7_Run1/Plate 4/@12/E6_01.tif "/>
    <s v=" 6034.7406 "/>
    <s v=" 36.4875 "/>
    <x v="0"/>
    <n v="220192"/>
    <m/>
    <m/>
  </r>
  <r>
    <x v="14"/>
    <x v="5"/>
    <s v="C:\Users\andre\Desktop\REACTIV CEFAS\Cefuroxime\Cefuroxime/20201124_Cefas_Test7_Run1/Plate 4/@12/E6_02.tif "/>
    <s v=" 648.8968 "/>
    <s v=" 31.3333 "/>
    <x v="0"/>
    <n v="20332"/>
    <m/>
    <m/>
  </r>
  <r>
    <x v="14"/>
    <x v="5"/>
    <s v="C:\Users\andre\Desktop\REACTIV CEFAS\Cefuroxime\Cefuroxime/20201124_Cefas_Test7_Run1/Plate 4/@12/E6_03.tif "/>
    <s v=" 2379.2884 "/>
    <s v=" 32.5545 "/>
    <x v="0"/>
    <n v="77457"/>
    <m/>
    <m/>
  </r>
  <r>
    <x v="14"/>
    <x v="6"/>
    <s v="C:\Users\andre\Desktop\REACTIV CEFAS\Cefuroxime\Cefuroxime/20201124_Cefas_Test7_Run1/Plate 4/@12/F6_01.tif "/>
    <s v=" 605.637 "/>
    <s v=" 32.0714 "/>
    <x v="0"/>
    <n v="19424"/>
    <m/>
    <m/>
  </r>
  <r>
    <x v="14"/>
    <x v="6"/>
    <s v="C:\Users\andre\Desktop\REACTIV CEFAS\Cefuroxime\Cefuroxime/20201124_Cefas_Test7_Run1/Plate 4/@12/F6_02.tif "/>
    <s v=" 2292.7688 "/>
    <s v=" 33.0566 "/>
    <x v="0"/>
    <n v="75791"/>
    <m/>
    <m/>
  </r>
  <r>
    <x v="14"/>
    <x v="6"/>
    <s v="C:\Users\andre\Desktop\REACTIV CEFAS\Cefuroxime\Cefuroxime/20201124_Cefas_Test7_Run1/Plate 4/@12/F6_03.tif "/>
    <s v=" 1492.4627 "/>
    <s v=" 31.4928 "/>
    <x v="0"/>
    <n v="47002"/>
    <m/>
    <m/>
  </r>
  <r>
    <x v="14"/>
    <x v="7"/>
    <s v="C:\Users\andre\Desktop\REACTIV CEFAS\Cefuroxime\Cefuroxime/20201124_Cefas_Test7_Run1/Plate 4/@12/G6_01.tif "/>
    <s v=" 9257.5949 "/>
    <s v=" 36.8575 "/>
    <x v="0"/>
    <n v="341212"/>
    <m/>
    <m/>
  </r>
  <r>
    <x v="14"/>
    <x v="7"/>
    <s v="C:\Users\andre\Desktop\REACTIV CEFAS\Cefuroxime\Cefuroxime/20201124_Cefas_Test7_Run1/Plate 4/@12/G6_02.tif "/>
    <s v=" 10987.9865 "/>
    <s v=" 42.7736 "/>
    <x v="0"/>
    <n v="469996"/>
    <m/>
    <m/>
  </r>
  <r>
    <x v="14"/>
    <x v="7"/>
    <s v="C:\Users\andre\Desktop\REACTIV CEFAS\Cefuroxime\Cefuroxime/20201124_Cefas_Test7_Run1/Plate 4/@12/G6_03.tif "/>
    <n v="0"/>
    <n v="0"/>
    <x v="0"/>
    <n v="0"/>
    <m/>
    <m/>
  </r>
  <r>
    <x v="14"/>
    <x v="8"/>
    <s v="C:\Users\andre\Desktop\REACTIV CEFAS\Cefuroxime\Cefuroxime/20201124_Cefas_Test7_Run1/Plate 4/@12/H6_01.tif "/>
    <s v=" 8392.3991 "/>
    <s v=" 39.3299 "/>
    <x v="0"/>
    <n v="330072"/>
    <m/>
    <m/>
  </r>
  <r>
    <x v="14"/>
    <x v="8"/>
    <s v="C:\Users\andre\Desktop\REACTIV CEFAS\Cefuroxime\Cefuroxime/20201124_Cefas_Test7_Run1/Plate 4/@12/H6_02.tif "/>
    <s v=" 6359.189 "/>
    <s v=" 33.7109 "/>
    <x v="0"/>
    <n v="214374"/>
    <m/>
    <m/>
  </r>
  <r>
    <x v="14"/>
    <x v="8"/>
    <s v="C:\Users\andre\Desktop\REACTIV CEFAS\Cefuroxime\Cefuroxime/20201124_Cefas_Test7_Run1/Plate 4/@12/H6_03.tif "/>
    <s v=" 64.8897 "/>
    <s v=" 32.3333 "/>
    <x v="0"/>
    <n v="2098"/>
    <m/>
    <m/>
  </r>
  <r>
    <x v="0"/>
    <x v="0"/>
    <s v=" "/>
    <m/>
    <m/>
    <x v="1"/>
    <m/>
    <m/>
    <m/>
  </r>
  <r>
    <x v="0"/>
    <x v="0"/>
    <s v="group "/>
    <s v=" "/>
    <s v=" mean of mean fluo "/>
    <x v="2"/>
    <s v=" mean of total fluo "/>
    <s v=" SD total fluo "/>
    <m/>
  </r>
  <r>
    <x v="14"/>
    <x v="9"/>
    <s v="C:\Users\andre\Desktop\REACTIV CEFAS\Cefuroxime\Cefuroxime/20201124_Cefas_Test7_Run1/Plate 4/@12/ "/>
    <s v=" "/>
    <s v=" 33.8496 "/>
    <x v="16"/>
    <s v=" 146628.167 "/>
    <s v=" 129086.245 "/>
    <m/>
  </r>
  <r>
    <x v="0"/>
    <x v="0"/>
    <s v=" "/>
    <m/>
    <m/>
    <x v="1"/>
    <m/>
    <m/>
    <m/>
  </r>
  <r>
    <x v="0"/>
    <x v="0"/>
    <s v=" "/>
    <m/>
    <m/>
    <x v="1"/>
    <m/>
    <m/>
    <m/>
  </r>
  <r>
    <x v="0"/>
    <x v="0"/>
    <s v=" "/>
    <m/>
    <m/>
    <x v="1"/>
    <m/>
    <m/>
    <m/>
  </r>
  <r>
    <x v="0"/>
    <x v="0"/>
    <s v=" "/>
    <m/>
    <m/>
    <x v="1"/>
    <m/>
    <m/>
    <m/>
  </r>
  <r>
    <x v="0"/>
    <x v="0"/>
    <s v=" "/>
    <m/>
    <m/>
    <x v="1"/>
    <m/>
    <m/>
    <m/>
  </r>
  <r>
    <x v="0"/>
    <x v="0"/>
    <s v="file name "/>
    <s v=" total area "/>
    <s v=" mean intensity "/>
    <x v="0"/>
    <s v=" total fluorescence"/>
    <m/>
    <m/>
  </r>
  <r>
    <x v="15"/>
    <x v="1"/>
    <s v="C:\Users\andre\Desktop\REACTIV CEFAS\Cefuroxime\Cefuroxime/20201124_Cefas_Test7_Run1/Plate 4/@17/A8_01.tif "/>
    <s v=" 9733.4526 "/>
    <s v=" 37.9778 "/>
    <x v="0"/>
    <n v="369655"/>
    <m/>
    <m/>
  </r>
  <r>
    <x v="15"/>
    <x v="1"/>
    <s v="C:\Users\andre\Desktop\REACTIV CEFAS\Cefuroxime\Cefuroxime/20201124_Cefas_Test7_Run1/Plate 4/@17/A8_02.tif "/>
    <s v=" 11874.8122 "/>
    <s v=" 40.7413 "/>
    <x v="0"/>
    <n v="483796"/>
    <m/>
    <m/>
  </r>
  <r>
    <x v="15"/>
    <x v="1"/>
    <s v="C:\Users\andre\Desktop\REACTIV CEFAS\Cefuroxime\Cefuroxime/20201124_Cefas_Test7_Run1/Plate 4/@17/A8_03.tif "/>
    <s v=" 8976.4063 "/>
    <s v=" 41.2361 "/>
    <x v="0"/>
    <n v="370152"/>
    <m/>
    <m/>
  </r>
  <r>
    <x v="15"/>
    <x v="2"/>
    <s v="C:\Users\andre\Desktop\REACTIV CEFAS\Cefuroxime\Cefuroxime/20201124_Cefas_Test7_Run1/Plate 4/@17/B8_01.tif "/>
    <s v=" 20656.5494 "/>
    <s v=" 37.4586 "/>
    <x v="0"/>
    <n v="773766"/>
    <m/>
    <m/>
  </r>
  <r>
    <x v="15"/>
    <x v="2"/>
    <s v="C:\Users\andre\Desktop\REACTIV CEFAS\Cefuroxime\Cefuroxime/20201124_Cefas_Test7_Run1/Plate 4/@17/B8_02.tif "/>
    <s v=" 11615.2534 "/>
    <s v=" 34.1043 "/>
    <x v="0"/>
    <n v="396130"/>
    <m/>
    <m/>
  </r>
  <r>
    <x v="15"/>
    <x v="2"/>
    <s v="C:\Users\andre\Desktop\REACTIV CEFAS\Cefuroxime\Cefuroxime/20201124_Cefas_Test7_Run1/Plate 4/@17/B8_03.tif "/>
    <s v=" 12220.8905 "/>
    <s v=" 33.7522 "/>
    <x v="0"/>
    <n v="412482"/>
    <m/>
    <m/>
  </r>
  <r>
    <x v="15"/>
    <x v="3"/>
    <s v="C:\Users\andre\Desktop\REACTIV CEFAS\Cefuroxime\Cefuroxime/20201124_Cefas_Test7_Run1/Plate 4/@17/C8_01.tif "/>
    <s v=" 7354.1642 "/>
    <s v=" 38.5941 "/>
    <x v="0"/>
    <n v="283827"/>
    <m/>
    <m/>
  </r>
  <r>
    <x v="15"/>
    <x v="3"/>
    <s v="C:\Users\andre\Desktop\REACTIV CEFAS\Cefuroxime\Cefuroxime/20201124_Cefas_Test7_Run1/Plate 4/@17/C8_02.tif "/>
    <s v=" 8457.2888 "/>
    <s v=" 37.798 "/>
    <x v="0"/>
    <n v="319668"/>
    <m/>
    <m/>
  </r>
  <r>
    <x v="15"/>
    <x v="3"/>
    <s v="C:\Users\andre\Desktop\REACTIV CEFAS\Cefuroxime\Cefuroxime/20201124_Cefas_Test7_Run1/Plate 4/@17/C8_03.tif "/>
    <s v=" 8154.4703 "/>
    <s v=" 40.7268 "/>
    <x v="0"/>
    <n v="332105"/>
    <m/>
    <m/>
  </r>
  <r>
    <x v="15"/>
    <x v="4"/>
    <s v="C:\Users\andre\Desktop\REACTIV CEFAS\Cefuroxime\Cefuroxime/20201124_Cefas_Test7_Run1/Plate 4/@17/D8_01.tif "/>
    <s v=" 11939.7018 "/>
    <s v=" 36.2971 "/>
    <x v="0"/>
    <n v="433377"/>
    <m/>
    <m/>
  </r>
  <r>
    <x v="15"/>
    <x v="4"/>
    <s v="C:\Users\andre\Desktop\REACTIV CEFAS\Cefuroxime\Cefuroxime/20201124_Cefas_Test7_Run1/Plate 4/@17/D8_02.tif "/>
    <s v=" 11550.3637 "/>
    <s v=" 39.0449 "/>
    <x v="0"/>
    <n v="450983"/>
    <m/>
    <m/>
  </r>
  <r>
    <x v="15"/>
    <x v="4"/>
    <s v="C:\Users\andre\Desktop\REACTIV CEFAS\Cefuroxime\Cefuroxime/20201124_Cefas_Test7_Run1/Plate 4/@17/D8_03.tif "/>
    <s v=" 9127.8155 "/>
    <s v=" 36.5569 "/>
    <x v="0"/>
    <n v="333684"/>
    <m/>
    <m/>
  </r>
  <r>
    <x v="15"/>
    <x v="5"/>
    <s v="C:\Users\andre\Desktop\REACTIV CEFAS\Cefuroxime\Cefuroxime/20201124_Cefas_Test7_Run1/Plate 4/@17/E8_01.tif "/>
    <s v=" 1211.2741 "/>
    <s v=" 31.5536 "/>
    <x v="0"/>
    <n v="38220"/>
    <m/>
    <m/>
  </r>
  <r>
    <x v="15"/>
    <x v="5"/>
    <s v="C:\Users\andre\Desktop\REACTIV CEFAS\Cefuroxime\Cefuroxime/20201124_Cefas_Test7_Run1/Plate 4/@17/E8_02- exclu.tif"/>
    <m/>
    <m/>
    <x v="1"/>
    <m/>
    <m/>
    <m/>
  </r>
  <r>
    <x v="15"/>
    <x v="5"/>
    <s v="C:\Users\andre\Desktop\REACTIV CEFAS\Cefuroxime\Cefuroxime/20201124_Cefas_Test7_Run1/Plate 4/@17/E8_03- exclu.tif"/>
    <m/>
    <m/>
    <x v="1"/>
    <m/>
    <m/>
    <m/>
  </r>
  <r>
    <x v="15"/>
    <x v="6"/>
    <s v="C:\Users\andre\Desktop\REACTIV CEFAS\Cefuroxime\Cefuroxime/20201124_Cefas_Test7_Run1/Plate 4/@17/F8_01.tif "/>
    <s v=" 56994.7723 "/>
    <s v=" 41.0869 "/>
    <x v="0"/>
    <n v="2341739"/>
    <m/>
    <m/>
  </r>
  <r>
    <x v="15"/>
    <x v="6"/>
    <s v="C:\Users\andre\Desktop\REACTIV CEFAS\Cefuroxime\Cefuroxime/20201124_Cefas_Test7_Run1/Plate 4/@17/F8_02.tif "/>
    <s v=" 57102.9218 "/>
    <s v=" 39.9436 "/>
    <x v="0"/>
    <n v="2280894"/>
    <m/>
    <m/>
  </r>
  <r>
    <x v="15"/>
    <x v="6"/>
    <s v="C:\Users\andre\Desktop\REACTIV CEFAS\Cefuroxime\Cefuroxime/20201124_Cefas_Test7_Run1/Plate 4/@17/F8_03.tif "/>
    <s v=" 52474.1244 "/>
    <s v=" 39.1991 "/>
    <x v="0"/>
    <n v="2056938"/>
    <m/>
    <m/>
  </r>
  <r>
    <x v="15"/>
    <x v="7"/>
    <s v="C:\Users\andre\Desktop\REACTIV CEFAS\Cefuroxime\Cefuroxime/20201124_Cefas_Test7_Run1/Plate 4/@17/G8_01.tif "/>
    <s v=" 13042.8265 "/>
    <s v=" 34.8259 "/>
    <x v="0"/>
    <n v="454228"/>
    <m/>
    <m/>
  </r>
  <r>
    <x v="15"/>
    <x v="7"/>
    <s v="C:\Users\andre\Desktop\REACTIV CEFAS\Cefuroxime\Cefuroxime/20201124_Cefas_Test7_Run1/Plate 4/@17/G8_02.tif "/>
    <s v=" 6402.4488 "/>
    <s v=" 33.3142 "/>
    <x v="0"/>
    <n v="213292"/>
    <m/>
    <m/>
  </r>
  <r>
    <x v="15"/>
    <x v="7"/>
    <s v="C:\Users\andre\Desktop\REACTIV CEFAS\Cefuroxime\Cefuroxime/20201124_Cefas_Test7_Run1/Plate 4/@17/G8_03.tif "/>
    <s v=" 8370.7692 "/>
    <s v=" 32.0698 "/>
    <x v="0"/>
    <n v="268449"/>
    <m/>
    <m/>
  </r>
  <r>
    <x v="15"/>
    <x v="8"/>
    <s v="C:\Users\andre\Desktop\REACTIV CEFAS\Cefuroxime\Cefuroxime/20201124_Cefas_Test7_Run1/Plate 4/@17/H8_01.tif "/>
    <s v=" 48213.0351 "/>
    <s v=" 42.7425 "/>
    <x v="0"/>
    <n v="2060745"/>
    <m/>
    <m/>
  </r>
  <r>
    <x v="15"/>
    <x v="8"/>
    <s v="C:\Users\andre\Desktop\REACTIV CEFAS\Cefuroxime\Cefuroxime/20201124_Cefas_Test7_Run1/Plate 4/@17/H8_02- exclu.tif"/>
    <m/>
    <m/>
    <x v="1"/>
    <m/>
    <m/>
    <m/>
  </r>
  <r>
    <x v="15"/>
    <x v="8"/>
    <s v="C:\Users\andre\Desktop\REACTIV CEFAS\Cefuroxime\Cefuroxime/20201124_Cefas_Test7_Run1/Plate 4/@17/H8_03.tif "/>
    <s v=" 27599.7455 "/>
    <s v=" 38.185 "/>
    <x v="0"/>
    <n v="1053895"/>
    <m/>
    <m/>
  </r>
  <r>
    <x v="0"/>
    <x v="0"/>
    <s v=" "/>
    <m/>
    <m/>
    <x v="1"/>
    <m/>
    <m/>
    <m/>
  </r>
  <r>
    <x v="0"/>
    <x v="0"/>
    <s v="group "/>
    <s v=" "/>
    <s v=" mean of mean fluo "/>
    <x v="2"/>
    <s v=" mean of total fluo "/>
    <s v=" SD total fluo "/>
    <m/>
  </r>
  <r>
    <x v="15"/>
    <x v="9"/>
    <s v="C:\Users\andre\Desktop\REACTIV CEFAS\Cefuroxime\Cefuroxime/20201124_Cefas_Test7_Run1/Plate 4/@17/ "/>
    <s v=" "/>
    <s v=" 37.0036 "/>
    <x v="17"/>
    <s v=" 685882.125 "/>
    <s v=" 723917.251 "/>
    <m/>
  </r>
  <r>
    <x v="0"/>
    <x v="0"/>
    <s v=" "/>
    <m/>
    <m/>
    <x v="1"/>
    <m/>
    <m/>
    <m/>
  </r>
  <r>
    <x v="0"/>
    <x v="0"/>
    <s v=" "/>
    <m/>
    <m/>
    <x v="1"/>
    <m/>
    <m/>
    <m/>
  </r>
  <r>
    <x v="0"/>
    <x v="0"/>
    <s v=" "/>
    <m/>
    <m/>
    <x v="1"/>
    <m/>
    <m/>
    <m/>
  </r>
  <r>
    <x v="0"/>
    <x v="0"/>
    <s v=" "/>
    <m/>
    <m/>
    <x v="1"/>
    <m/>
    <m/>
    <m/>
  </r>
  <r>
    <x v="0"/>
    <x v="0"/>
    <s v=" "/>
    <m/>
    <m/>
    <x v="1"/>
    <m/>
    <m/>
    <m/>
  </r>
  <r>
    <x v="0"/>
    <x v="0"/>
    <s v="file name "/>
    <s v=" total area "/>
    <s v=" mean intensity "/>
    <x v="0"/>
    <s v=" total fluorescence"/>
    <m/>
    <m/>
  </r>
  <r>
    <x v="16"/>
    <x v="1"/>
    <s v="C:\Users\andre\Desktop\REACTIV CEFAS\Cefuroxime\Cefuroxime/20201124_Cefas_Test7_Run1/Plate 4/@18/A9_01- exclu.tif"/>
    <m/>
    <m/>
    <x v="1"/>
    <m/>
    <m/>
    <m/>
  </r>
  <r>
    <x v="16"/>
    <x v="1"/>
    <s v="C:\Users\andre\Desktop\REACTIV CEFAS\Cefuroxime\Cefuroxime/20201124_Cefas_Test7_Run1/Plate 4/@18/A9_02- exclu.tif"/>
    <m/>
    <m/>
    <x v="1"/>
    <m/>
    <m/>
    <m/>
  </r>
  <r>
    <x v="16"/>
    <x v="1"/>
    <s v="C:\Users\andre\Desktop\REACTIV CEFAS\Cefuroxime\Cefuroxime/20201124_Cefas_Test7_Run1/Plate 4/@18/A9_03- exclu.tif"/>
    <m/>
    <m/>
    <x v="1"/>
    <m/>
    <m/>
    <m/>
  </r>
  <r>
    <x v="16"/>
    <x v="2"/>
    <s v="C:\Users\andre\Desktop\REACTIV CEFAS\Cefuroxime\Cefuroxime/20201124_Cefas_Test7_Run1/Plate 4/@18/B9_01.tif "/>
    <s v=" 33547.9666 "/>
    <s v=" 36.196 "/>
    <x v="0"/>
    <n v="1214302"/>
    <m/>
    <m/>
  </r>
  <r>
    <x v="16"/>
    <x v="2"/>
    <s v="C:\Users\andre\Desktop\REACTIV CEFAS\Cefuroxime\Cefuroxime/20201124_Cefas_Test7_Run1/Plate 4/@18/B9_02.tif "/>
    <s v=" 33288.4078 "/>
    <s v=" 34.7323 "/>
    <x v="0"/>
    <n v="1156183"/>
    <m/>
    <m/>
  </r>
  <r>
    <x v="16"/>
    <x v="2"/>
    <s v="C:\Users\andre\Desktop\REACTIV CEFAS\Cefuroxime\Cefuroxime/20201124_Cefas_Test7_Run1/Plate 4/@18/B9_03.tif "/>
    <s v=" 27491.5961 "/>
    <s v=" 35.7459 "/>
    <x v="0"/>
    <n v="982711"/>
    <m/>
    <m/>
  </r>
  <r>
    <x v="16"/>
    <x v="3"/>
    <s v="C:\Users\andre\Desktop\REACTIV CEFAS\Cefuroxime\Cefuroxime/20201124_Cefas_Test7_Run1/Plate 4/@18/C9_01.tif "/>
    <s v=" 12783.2677 "/>
    <s v=" 32.6887 "/>
    <x v="0"/>
    <n v="417868"/>
    <m/>
    <m/>
  </r>
  <r>
    <x v="16"/>
    <x v="3"/>
    <s v="C:\Users\andre\Desktop\REACTIV CEFAS\Cefuroxime\Cefuroxime/20201124_Cefas_Test7_Run1/Plate 4/@18/C9_02.tif "/>
    <s v=" 12220.8905 "/>
    <s v=" 35.1965 "/>
    <x v="0"/>
    <n v="430132"/>
    <m/>
    <m/>
  </r>
  <r>
    <x v="16"/>
    <x v="3"/>
    <s v="C:\Users\andre\Desktop\REACTIV CEFAS\Cefuroxime\Cefuroxime/20201124_Cefas_Test7_Run1/Plate 4/@18/C9_03.tif "/>
    <s v=" 10901.4669 "/>
    <s v=" 33.0873 "/>
    <x v="0"/>
    <n v="360700"/>
    <m/>
    <m/>
  </r>
  <r>
    <x v="16"/>
    <x v="4"/>
    <s v="C:\Users\andre\Desktop\REACTIV CEFAS\Cefuroxime\Cefuroxime/20201124_Cefas_Test7_Run1/Plate 4/@18/D9_01.tif "/>
    <s v=" 21348.706 "/>
    <s v=" 33.5522 "/>
    <x v="0"/>
    <n v="716296"/>
    <m/>
    <m/>
  </r>
  <r>
    <x v="16"/>
    <x v="4"/>
    <s v="C:\Users\andre\Desktop\REACTIV CEFAS\Cefuroxime\Cefuroxime/20201124_Cefas_Test7_Run1/Plate 4/@18/D9_02.tif "/>
    <s v=" 17520.2146 "/>
    <s v=" 33.979 "/>
    <x v="0"/>
    <n v="595320"/>
    <m/>
    <m/>
  </r>
  <r>
    <x v="16"/>
    <x v="4"/>
    <s v="C:\Users\andre\Desktop\REACTIV CEFAS\Cefuroxime\Cefuroxime/20201124_Cefas_Test7_Run1/Plate 4/@18/D9_03.tif "/>
    <s v=" 22278.7915 "/>
    <s v=" 35.0466 "/>
    <x v="0"/>
    <n v="780796"/>
    <m/>
    <m/>
  </r>
  <r>
    <x v="16"/>
    <x v="5"/>
    <s v="C:\Users\andre\Desktop\REACTIV CEFAS\Cefuroxime\Cefuroxime/20201124_Cefas_Test7_Run1/Plate 4/@18/E9_01.tif "/>
    <s v=" 12026.2214 "/>
    <s v=" 34.7986 "/>
    <x v="0"/>
    <n v="418495"/>
    <m/>
    <m/>
  </r>
  <r>
    <x v="16"/>
    <x v="5"/>
    <s v="C:\Users\andre\Desktop\REACTIV CEFAS\Cefuroxime\Cefuroxime/20201124_Cefas_Test7_Run1/Plate 4/@18/E9_02.tif "/>
    <s v=" 13172.6058 "/>
    <s v=" 42.4483 "/>
    <x v="0"/>
    <n v="559154"/>
    <m/>
    <m/>
  </r>
  <r>
    <x v="16"/>
    <x v="5"/>
    <s v="C:\Users\andre\Desktop\REACTIV CEFAS\Cefuroxime\Cefuroxime/20201124_Cefas_Test7_Run1/Plate 4/@18/E9_03.tif "/>
    <s v=" 15595.154 "/>
    <s v=" 40.871 "/>
    <x v="0"/>
    <n v="637390"/>
    <m/>
    <m/>
  </r>
  <r>
    <x v="16"/>
    <x v="6"/>
    <s v="C:\Users\andre\Desktop\REACTIV CEFAS\Cefuroxime\Cefuroxime/20201124_Cefas_Test7_Run1/Plate 4/@18/F9_01- exclu.tif"/>
    <m/>
    <m/>
    <x v="1"/>
    <m/>
    <m/>
    <m/>
  </r>
  <r>
    <x v="16"/>
    <x v="6"/>
    <s v="C:\Users\andre\Desktop\REACTIV CEFAS\Cefuroxime\Cefuroxime/20201124_Cefas_Test7_Run1/Plate 4/@18/F9_02.tif "/>
    <s v=" 23468.4357 "/>
    <s v=" 34.8304 "/>
    <x v="0"/>
    <n v="817415"/>
    <m/>
    <m/>
  </r>
  <r>
    <x v="16"/>
    <x v="6"/>
    <s v="C:\Users\andre\Desktop\REACTIV CEFAS\Cefuroxime\Cefuroxime/20201124_Cefas_Test7_Run1/Plate 4/@18/F9_03.tif "/>
    <s v=" 20180.6917 "/>
    <s v=" 34.09 "/>
    <x v="0"/>
    <n v="687960"/>
    <m/>
    <m/>
  </r>
  <r>
    <x v="16"/>
    <x v="7"/>
    <s v="C:\Users\andre\Desktop\REACTIV CEFAS\Cefuroxime\Cefuroxime/20201124_Cefas_Test7_Run1/Plate 4/@18/G9_01.tif "/>
    <s v=" 39193.3691 "/>
    <s v=" 37.6015 "/>
    <x v="0"/>
    <n v="1473731"/>
    <m/>
    <m/>
  </r>
  <r>
    <x v="16"/>
    <x v="7"/>
    <s v="C:\Users\andre\Desktop\REACTIV CEFAS\Cefuroxime\Cefuroxime/20201124_Cefas_Test7_Run1/Plate 4/@18/G9_02.tif "/>
    <s v=" 36662.6714 "/>
    <s v=" 36.1994 "/>
    <x v="0"/>
    <n v="1327167"/>
    <m/>
    <m/>
  </r>
  <r>
    <x v="16"/>
    <x v="7"/>
    <s v="C:\Users\andre\Desktop\REACTIV CEFAS\Cefuroxime\Cefuroxime/20201124_Cefas_Test7_Run1/Plate 4/@18/G9_03.tif "/>
    <s v=" 47672.2878 "/>
    <s v=" 40.0195 "/>
    <x v="0"/>
    <n v="1907822"/>
    <m/>
    <m/>
  </r>
  <r>
    <x v="16"/>
    <x v="8"/>
    <s v="C:\Users\andre\Desktop\REACTIV CEFAS\Cefuroxime\Cefuroxime/20201124_Cefas_Test7_Run1/Plate 4/@18/H9_01.tif "/>
    <s v=" 53382.5799 "/>
    <s v=" 39.2447 "/>
    <x v="0"/>
    <n v="2094985"/>
    <m/>
    <m/>
  </r>
  <r>
    <x v="16"/>
    <x v="8"/>
    <s v="C:\Users\andre\Desktop\REACTIV CEFAS\Cefuroxime\Cefuroxime/20201124_Cefas_Test7_Run1/Plate 4/@18/H9_02.tif "/>
    <s v=" 45011.8107 "/>
    <s v=" 36.4383 "/>
    <x v="0"/>
    <n v="1640152"/>
    <m/>
    <m/>
  </r>
  <r>
    <x v="16"/>
    <x v="8"/>
    <s v="C:\Users\andre\Desktop\REACTIV CEFAS\Cefuroxime\Cefuroxime/20201124_Cefas_Test7_Run1/Plate 4/@18/H9_03.tif "/>
    <s v=" 51500.7791 "/>
    <s v=" 38.7598 "/>
    <x v="0"/>
    <n v="1996158"/>
    <m/>
    <m/>
  </r>
  <r>
    <x v="0"/>
    <x v="0"/>
    <s v=" "/>
    <m/>
    <m/>
    <x v="1"/>
    <m/>
    <m/>
    <m/>
  </r>
  <r>
    <x v="0"/>
    <x v="0"/>
    <s v="group "/>
    <s v=" "/>
    <s v=" mean of mean fluo "/>
    <x v="2"/>
    <s v=" mean of total fluo "/>
    <s v=" SD total fluo "/>
    <m/>
  </r>
  <r>
    <x v="16"/>
    <x v="9"/>
    <s v="C:\Users\andre\Desktop\REACTIV CEFAS\Cefuroxime\Cefuroxime/20201124_Cefas_Test7_Run1/Plate 4/@18/ "/>
    <s v=" "/>
    <s v=" 37.5232 "/>
    <x v="18"/>
    <s v=" 944000.667 "/>
    <s v=" 538216.267 "/>
    <m/>
  </r>
  <r>
    <x v="0"/>
    <x v="0"/>
    <s v=" "/>
    <m/>
    <m/>
    <x v="1"/>
    <m/>
    <m/>
    <m/>
  </r>
  <r>
    <x v="0"/>
    <x v="0"/>
    <s v=" "/>
    <m/>
    <m/>
    <x v="1"/>
    <m/>
    <m/>
    <m/>
  </r>
  <r>
    <x v="0"/>
    <x v="0"/>
    <s v=" "/>
    <m/>
    <m/>
    <x v="1"/>
    <m/>
    <m/>
    <m/>
  </r>
  <r>
    <x v="0"/>
    <x v="0"/>
    <s v=" "/>
    <m/>
    <m/>
    <x v="1"/>
    <m/>
    <m/>
    <m/>
  </r>
  <r>
    <x v="0"/>
    <x v="0"/>
    <s v=" "/>
    <m/>
    <m/>
    <x v="1"/>
    <m/>
    <m/>
    <m/>
  </r>
  <r>
    <x v="0"/>
    <x v="0"/>
    <s v="file name "/>
    <s v=" total area "/>
    <s v=" mean intensity "/>
    <x v="0"/>
    <s v=" total fluorescence"/>
    <m/>
    <m/>
  </r>
  <r>
    <x v="17"/>
    <x v="1"/>
    <s v="C:\Users\andre\Desktop\REACTIV CEFAS\Cefuroxime\Cefuroxime/20201124_Cefas_Test7_Run1/Plate 4/@19/A10_01.tif "/>
    <s v=" 13908.0222 "/>
    <s v=" 34.8429 "/>
    <x v="0"/>
    <n v="484596"/>
    <m/>
    <m/>
  </r>
  <r>
    <x v="17"/>
    <x v="1"/>
    <s v="C:\Users\andre\Desktop\REACTIV CEFAS\Cefuroxime\Cefuroxime/20201124_Cefas_Test7_Run1/Plate 4/@19/A10_02.tif "/>
    <s v=" 11723.4029 "/>
    <s v=" 33.0111 "/>
    <x v="0"/>
    <n v="387002"/>
    <m/>
    <m/>
  </r>
  <r>
    <x v="17"/>
    <x v="1"/>
    <s v="C:\Users\andre\Desktop\REACTIV CEFAS\Cefuroxime\Cefuroxime/20201124_Cefas_Test7_Run1/Plate 4/@19/A10_03.tif "/>
    <s v=" 4650.4273 "/>
    <s v=" 32.707 "/>
    <x v="0"/>
    <n v="152101"/>
    <m/>
    <m/>
  </r>
  <r>
    <x v="17"/>
    <x v="2"/>
    <s v="C:\Users\andre\Desktop\REACTIV CEFAS\Cefuroxime\Cefuroxime/20201124_Cefas_Test7_Run1/Plate 4/@19/B10_01- exclu.tif"/>
    <m/>
    <m/>
    <x v="1"/>
    <m/>
    <m/>
    <m/>
  </r>
  <r>
    <x v="17"/>
    <x v="2"/>
    <s v="C:\Users\andre\Desktop\REACTIV CEFAS\Cefuroxime\Cefuroxime/20201124_Cefas_Test7_Run1/Plate 4/@19/B10_02- exclu.tif"/>
    <m/>
    <m/>
    <x v="1"/>
    <m/>
    <m/>
    <m/>
  </r>
  <r>
    <x v="17"/>
    <x v="2"/>
    <s v="C:\Users\andre\Desktop\REACTIV CEFAS\Cefuroxime\Cefuroxime/20201124_Cefas_Test7_Run1/Plate 4/@19/B10_03.tif "/>
    <s v=" 7159.4951 "/>
    <s v=" 33.136 "/>
    <x v="0"/>
    <n v="237237"/>
    <m/>
    <m/>
  </r>
  <r>
    <x v="17"/>
    <x v="3"/>
    <s v="C:\Users\andre\Desktop\REACTIV CEFAS\Cefuroxime\Cefuroxime/20201124_Cefas_Test7_Run1/Plate 4/@19/C10_01.tif "/>
    <s v=" 31731.0554 "/>
    <s v=" 42.9243 "/>
    <x v="0"/>
    <n v="1362034"/>
    <m/>
    <m/>
  </r>
  <r>
    <x v="17"/>
    <x v="3"/>
    <s v="C:\Users\andre\Desktop\REACTIV CEFAS\Cefuroxime\Cefuroxime/20201124_Cefas_Test7_Run1/Plate 4/@19/C10_02.tif "/>
    <s v=" 41291.4688 "/>
    <s v=" 41.1687 "/>
    <x v="0"/>
    <n v="1699915"/>
    <m/>
    <m/>
  </r>
  <r>
    <x v="17"/>
    <x v="3"/>
    <s v="C:\Users\andre\Desktop\REACTIV CEFAS\Cefuroxime\Cefuroxime/20201124_Cefas_Test7_Run1/Plate 4/@19/C10_03.tif "/>
    <s v=" 62185.9471 "/>
    <s v=" 40.9857 "/>
    <x v="0"/>
    <n v="2548737"/>
    <m/>
    <m/>
  </r>
  <r>
    <x v="17"/>
    <x v="4"/>
    <s v="C:\Users\andre\Desktop\REACTIV CEFAS\Cefuroxime\Cefuroxime/20201124_Cefas_Test7_Run1/Plate 4/@19/D10_01- exclu.tif"/>
    <m/>
    <m/>
    <x v="1"/>
    <m/>
    <m/>
    <m/>
  </r>
  <r>
    <x v="17"/>
    <x v="4"/>
    <s v="C:\Users\andre\Desktop\REACTIV CEFAS\Cefuroxime\Cefuroxime/20201124_Cefas_Test7_Run1/Plate 4/@19/D10_02- exclu.tif"/>
    <m/>
    <m/>
    <x v="1"/>
    <m/>
    <m/>
    <m/>
  </r>
  <r>
    <x v="17"/>
    <x v="4"/>
    <s v="C:\Users\andre\Desktop\REACTIV CEFAS\Cefuroxime\Cefuroxime/20201124_Cefas_Test7_Run1/Plate 4/@19/D10_03.tif "/>
    <s v=" 61688.4595 "/>
    <s v=" 44.48 "/>
    <x v="0"/>
    <n v="2743904"/>
    <m/>
    <m/>
  </r>
  <r>
    <x v="17"/>
    <x v="5"/>
    <s v="C:\Users\andre\Desktop\REACTIV CEFAS\Cefuroxime\Cefuroxime/20201124_Cefas_Test7_Run1/Plate 4/@19/E10_01.tif "/>
    <s v=" 302.8185 "/>
    <s v=" 33.2857 "/>
    <x v="0"/>
    <n v="10080"/>
    <m/>
    <m/>
  </r>
  <r>
    <x v="17"/>
    <x v="5"/>
    <s v="C:\Users\andre\Desktop\REACTIV CEFAS\Cefuroxime\Cefuroxime/20201124_Cefas_Test7_Run1/Plate 4/@19/E10_02.tif "/>
    <s v=" 1600.6122 "/>
    <s v=" 31.9054 "/>
    <x v="0"/>
    <n v="51068"/>
    <m/>
    <m/>
  </r>
  <r>
    <x v="17"/>
    <x v="5"/>
    <s v="C:\Users\andre\Desktop\REACTIV CEFAS\Cefuroxime\Cefuroxime/20201124_Cefas_Test7_Run1/Plate 4/@19/E10_03.tif "/>
    <s v=" 3936.6408 "/>
    <s v=" 32.3901 "/>
    <x v="0"/>
    <n v="127508"/>
    <m/>
    <m/>
  </r>
  <r>
    <x v="17"/>
    <x v="6"/>
    <s v="C:\Users\andre\Desktop\REACTIV CEFAS\Cefuroxime\Cefuroxime/20201124_Cefas_Test7_Run1/Plate 4/@19/F10_01- exclu.tif"/>
    <m/>
    <m/>
    <x v="1"/>
    <m/>
    <m/>
    <m/>
  </r>
  <r>
    <x v="17"/>
    <x v="6"/>
    <s v="C:\Users\andre\Desktop\REACTIV CEFAS\Cefuroxime\Cefuroxime/20201124_Cefas_Test7_Run1/Plate 4/@19/F10_02- exclu.tif"/>
    <m/>
    <m/>
    <x v="1"/>
    <m/>
    <m/>
    <m/>
  </r>
  <r>
    <x v="17"/>
    <x v="6"/>
    <s v="C:\Users\andre\Desktop\REACTIV CEFAS\Cefuroxime\Cefuroxime/20201124_Cefas_Test7_Run1/Plate 4/@19/F10_03.tif "/>
    <s v=" 12891.4172 "/>
    <s v=" 34.2584 "/>
    <x v="0"/>
    <n v="441639"/>
    <m/>
    <m/>
  </r>
  <r>
    <x v="17"/>
    <x v="7"/>
    <s v="C:\Users\andre\Desktop\REACTIV CEFAS\Cefuroxime\Cefuroxime/20201124_Cefas_Test7_Run1/Plate 4/@19/G10_01.tif "/>
    <s v=" 5104.6551 "/>
    <s v=" 31.3305 "/>
    <x v="0"/>
    <n v="159931"/>
    <m/>
    <m/>
  </r>
  <r>
    <x v="17"/>
    <x v="7"/>
    <s v="C:\Users\andre\Desktop\REACTIV CEFAS\Cefuroxime\Cefuroxime/20201124_Cefas_Test7_Run1/Plate 4/@19/G10_02- exclu.tif"/>
    <m/>
    <m/>
    <x v="1"/>
    <m/>
    <m/>
    <m/>
  </r>
  <r>
    <x v="17"/>
    <x v="7"/>
    <s v="C:\Users\andre\Desktop\REACTIV CEFAS\Cefuroxime\Cefuroxime/20201124_Cefas_Test7_Run1/Plate 4/@19/G10_03- exclu.tif"/>
    <m/>
    <m/>
    <x v="1"/>
    <m/>
    <m/>
    <m/>
  </r>
  <r>
    <x v="17"/>
    <x v="8"/>
    <s v="C:\Users\andre\Desktop\REACTIV CEFAS\Cefuroxime\Cefuroxime/20201124_Cefas_Test7_Run1/Plate 4/@19/H10_01.tif "/>
    <s v=" 70210.638 "/>
    <s v=" 41.8993 "/>
    <x v="0"/>
    <n v="2941774"/>
    <m/>
    <m/>
  </r>
  <r>
    <x v="17"/>
    <x v="8"/>
    <s v="C:\Users\andre\Desktop\REACTIV CEFAS\Cefuroxime\Cefuroxime/20201124_Cefas_Test7_Run1/Plate 4/@19/H10_02.tif "/>
    <s v=" 64111.0077 "/>
    <s v=" 40.889 "/>
    <x v="0"/>
    <n v="2621435"/>
    <m/>
    <m/>
  </r>
  <r>
    <x v="17"/>
    <x v="8"/>
    <s v="C:\Users\andre\Desktop\REACTIV CEFAS\Cefuroxime\Cefuroxime/20201124_Cefas_Test7_Run1/Plate 4/@19/H10_03.tif "/>
    <s v=" 63894.7087 "/>
    <s v=" 40.6185 "/>
    <x v="0"/>
    <n v="2595306"/>
    <m/>
    <m/>
  </r>
  <r>
    <x v="0"/>
    <x v="0"/>
    <s v=" "/>
    <m/>
    <m/>
    <x v="1"/>
    <m/>
    <m/>
    <m/>
  </r>
  <r>
    <x v="0"/>
    <x v="0"/>
    <s v="group "/>
    <s v=" "/>
    <s v=" mean of mean fluo "/>
    <x v="2"/>
    <s v=" mean of total fluo "/>
    <s v=" SD total fluo "/>
    <m/>
  </r>
  <r>
    <x v="17"/>
    <x v="9"/>
    <s v="C:\Users\andre\Desktop\REACTIV CEFAS\Cefuroxime\Cefuroxime/20201124_Cefas_Test7_Run1/Plate 4/@19/ "/>
    <s v=" "/>
    <s v=" 36.5994 "/>
    <x v="19"/>
    <s v=" 980230.708 "/>
    <s v=" 1134853.71 "/>
    <m/>
  </r>
  <r>
    <x v="0"/>
    <x v="0"/>
    <s v=" "/>
    <m/>
    <m/>
    <x v="1"/>
    <m/>
    <m/>
    <m/>
  </r>
  <r>
    <x v="0"/>
    <x v="0"/>
    <s v=" "/>
    <m/>
    <m/>
    <x v="1"/>
    <m/>
    <m/>
    <m/>
  </r>
  <r>
    <x v="0"/>
    <x v="0"/>
    <s v=" "/>
    <m/>
    <m/>
    <x v="1"/>
    <m/>
    <m/>
    <m/>
  </r>
  <r>
    <x v="0"/>
    <x v="0"/>
    <s v=" "/>
    <m/>
    <m/>
    <x v="1"/>
    <m/>
    <m/>
    <m/>
  </r>
  <r>
    <x v="0"/>
    <x v="0"/>
    <s v=" "/>
    <m/>
    <m/>
    <x v="1"/>
    <m/>
    <m/>
    <m/>
  </r>
  <r>
    <x v="0"/>
    <x v="0"/>
    <s v="file name "/>
    <s v=" total area "/>
    <s v=" mean intensity "/>
    <x v="0"/>
    <s v=" total fluorescence"/>
    <m/>
    <m/>
  </r>
  <r>
    <x v="18"/>
    <x v="1"/>
    <s v="C:\Users\andre\Desktop\REACTIV CEFAS\Cefuroxime\Cefuroxime/20201124_Cefas_Test7_Run1/Plate 4/@20/A11_01.tif "/>
    <s v=" 10166.0505 "/>
    <s v=" 33.6362 "/>
    <x v="0"/>
    <n v="341947"/>
    <m/>
    <m/>
  </r>
  <r>
    <x v="18"/>
    <x v="1"/>
    <s v="C:\Users\andre\Desktop\REACTIV CEFAS\Cefuroxime\Cefuroxime/20201124_Cefas_Test7_Run1/Plate 4/@20/A11_02.tif "/>
    <s v=" 21521.7452 "/>
    <s v=" 35.3809 "/>
    <x v="0"/>
    <n v="761459"/>
    <m/>
    <m/>
  </r>
  <r>
    <x v="18"/>
    <x v="1"/>
    <s v="C:\Users\andre\Desktop\REACTIV CEFAS\Cefuroxime\Cefuroxime/20201124_Cefas_Test7_Run1/Plate 4/@20/A11_03.tif "/>
    <s v=" 13626.8336 "/>
    <s v=" 33.9683 "/>
    <x v="0"/>
    <n v="462880"/>
    <m/>
    <m/>
  </r>
  <r>
    <x v="18"/>
    <x v="2"/>
    <s v="C:\Users\andre\Desktop\REACTIV CEFAS\Cefuroxime\Cefuroxime/20201124_Cefas_Test7_Run1/Plate 4/@20/B11_01.tif "/>
    <s v=" 38090.2444 "/>
    <s v=" 36.9926 "/>
    <x v="0"/>
    <n v="1409058"/>
    <m/>
    <m/>
  </r>
  <r>
    <x v="18"/>
    <x v="2"/>
    <s v="C:\Users\andre\Desktop\REACTIV CEFAS\Cefuroxime\Cefuroxime/20201124_Cefas_Test7_Run1/Plate 4/@20/B11_02.tif "/>
    <s v=" 41853.8461 "/>
    <s v=" 36.4165 "/>
    <x v="0"/>
    <n v="1524172"/>
    <m/>
    <m/>
  </r>
  <r>
    <x v="18"/>
    <x v="2"/>
    <s v="C:\Users\andre\Desktop\REACTIV CEFAS\Cefuroxime\Cefuroxime/20201124_Cefas_Test7_Run1/Plate 4/@20/B11_03.tif "/>
    <s v=" 64327.3066 "/>
    <s v=" 39.3164 "/>
    <x v="0"/>
    <n v="2529119"/>
    <m/>
    <m/>
  </r>
  <r>
    <x v="18"/>
    <x v="3"/>
    <s v="C:\Users\andre\Desktop\REACTIV CEFAS\Cefuroxime\Cefuroxime/20201124_Cefas_Test7_Run1/Plate 4/@20/C11_01.tif "/>
    <s v=" 10555.3886 "/>
    <s v=" 33.6721 "/>
    <x v="0"/>
    <n v="355422"/>
    <m/>
    <m/>
  </r>
  <r>
    <x v="18"/>
    <x v="3"/>
    <s v="C:\Users\andre\Desktop\REACTIV CEFAS\Cefuroxime\Cefuroxime/20201124_Cefas_Test7_Run1/Plate 4/@20/C11_02.tif "/>
    <s v=" 14859.7376 "/>
    <s v=" 33.639 "/>
    <x v="0"/>
    <n v="499867"/>
    <m/>
    <m/>
  </r>
  <r>
    <x v="18"/>
    <x v="3"/>
    <s v="C:\Users\andre\Desktop\REACTIV CEFAS\Cefuroxime\Cefuroxime/20201124_Cefas_Test7_Run1/Plate 4/@20/C11_03.tif "/>
    <s v=" 12566.9688 "/>
    <s v=" 34.4234 "/>
    <x v="0"/>
    <n v="432598"/>
    <m/>
    <m/>
  </r>
  <r>
    <x v="18"/>
    <x v="4"/>
    <s v="C:\Users\andre\Desktop\REACTIV CEFAS\Cefuroxime\Cefuroxime/20201124_Cefas_Test7_Run1/Plate 4/@20/D11_01.tif "/>
    <s v=" 6748.5271 "/>
    <s v=" 34.266 "/>
    <x v="0"/>
    <n v="231245"/>
    <m/>
    <m/>
  </r>
  <r>
    <x v="18"/>
    <x v="4"/>
    <s v="C:\Users\andre\Desktop\REACTIV CEFAS\Cefuroxime\Cefuroxime/20201124_Cefas_Test7_Run1/Plate 4/@20/D11_02.tif "/>
    <s v=" 4866.7263 "/>
    <s v=" 33.4533 "/>
    <x v="0"/>
    <n v="162808"/>
    <m/>
    <m/>
  </r>
  <r>
    <x v="18"/>
    <x v="4"/>
    <s v="C:\Users\andre\Desktop\REACTIV CEFAS\Cefuroxime\Cefuroxime/20201124_Cefas_Test7_Run1/Plate 4/@20/D11_03- exclu.tif"/>
    <m/>
    <m/>
    <x v="1"/>
    <m/>
    <m/>
    <m/>
  </r>
  <r>
    <x v="18"/>
    <x v="5"/>
    <s v="C:\Users\andre\Desktop\REACTIV CEFAS\Cefuroxime\Cefuroxime/20201124_Cefas_Test7_Run1/Plate 4/@20/E11_01.tif "/>
    <s v=" 45466.0385 "/>
    <s v=" 37.519 "/>
    <x v="0"/>
    <n v="1705842"/>
    <m/>
    <m/>
  </r>
  <r>
    <x v="18"/>
    <x v="5"/>
    <s v="C:\Users\andre\Desktop\REACTIV CEFAS\Cefuroxime\Cefuroxime/20201124_Cefas_Test7_Run1/Plate 4/@20/E11_02.tif "/>
    <s v=" 50008.3164 "/>
    <s v=" 40.9109 "/>
    <x v="0"/>
    <n v="2045885"/>
    <m/>
    <m/>
  </r>
  <r>
    <x v="18"/>
    <x v="5"/>
    <s v="C:\Users\andre\Desktop\REACTIV CEFAS\Cefuroxime\Cefuroxime/20201124_Cefas_Test7_Run1/Plate 4/@20/E11_03.tif "/>
    <s v=" 49164.7505 "/>
    <s v=" 38.938 "/>
    <x v="0"/>
    <n v="1914375"/>
    <m/>
    <m/>
  </r>
  <r>
    <x v="18"/>
    <x v="6"/>
    <s v="C:\Users\andre\Desktop\REACTIV CEFAS\Cefuroxime\Cefuroxime/20201124_Cefas_Test7_Run1/Plate 4/@20/F11_01.tif "/>
    <s v=" 48710.5227 "/>
    <s v=" 45.5071 "/>
    <x v="0"/>
    <n v="2216675"/>
    <m/>
    <m/>
  </r>
  <r>
    <x v="18"/>
    <x v="6"/>
    <s v="C:\Users\andre\Desktop\REACTIV CEFAS\Cefuroxime\Cefuroxime/20201124_Cefas_Test7_Run1/Plate 4/@20/F11_02.tif "/>
    <s v=" 47196.4301 "/>
    <s v=" 44.6948 "/>
    <x v="0"/>
    <n v="2109434"/>
    <m/>
    <m/>
  </r>
  <r>
    <x v="18"/>
    <x v="6"/>
    <s v="C:\Users\andre\Desktop\REACTIV CEFAS\Cefuroxime\Cefuroxime/20201124_Cefas_Test7_Run1/Plate 4/@20/F11_03.tif "/>
    <s v=" 44730.6221 "/>
    <s v=" 46.0817 "/>
    <x v="0"/>
    <n v="2061264"/>
    <m/>
    <m/>
  </r>
  <r>
    <x v="18"/>
    <x v="7"/>
    <s v="C:\Users\andre\Desktop\REACTIV CEFAS\Cefuroxime\Cefuroxime/20201124_Cefas_Test7_Run1/Plate 4/@20/G11_01- exclu.tif"/>
    <m/>
    <m/>
    <x v="1"/>
    <m/>
    <m/>
    <m/>
  </r>
  <r>
    <x v="18"/>
    <x v="7"/>
    <s v="C:\Users\andre\Desktop\REACTIV CEFAS\Cefuroxime\Cefuroxime/20201124_Cefas_Test7_Run1/Plate 4/@20/G11_02- exclu.tif"/>
    <m/>
    <m/>
    <x v="1"/>
    <m/>
    <m/>
    <m/>
  </r>
  <r>
    <x v="18"/>
    <x v="7"/>
    <s v="C:\Users\andre\Desktop\REACTIV CEFAS\Cefuroxime\Cefuroxime/20201124_Cefas_Test7_Run1/Plate 4/@20/G11_03- exclu.tif"/>
    <m/>
    <m/>
    <x v="1"/>
    <m/>
    <m/>
    <m/>
  </r>
  <r>
    <x v="18"/>
    <x v="8"/>
    <s v="C:\Users\andre\Desktop\REACTIV CEFAS\Cefuroxime\Cefuroxime/20201124_Cefas_Test7_Run1/Plate 4/@20/H11_01.tif "/>
    <s v=" 29632.9556 "/>
    <s v=" 35.819 "/>
    <x v="0"/>
    <n v="1061422"/>
    <m/>
    <m/>
  </r>
  <r>
    <x v="18"/>
    <x v="8"/>
    <s v="C:\Users\andre\Desktop\REACTIV CEFAS\Cefuroxime\Cefuroxime/20201124_Cefas_Test7_Run1/Plate 4/@20/H11_02.tif "/>
    <s v=" 28162.1228 "/>
    <s v=" 36.2972 "/>
    <x v="0"/>
    <n v="1022207"/>
    <m/>
    <m/>
  </r>
  <r>
    <x v="18"/>
    <x v="8"/>
    <s v="C:\Users\andre\Desktop\REACTIV CEFAS\Cefuroxime\Cefuroxime/20201124_Cefas_Test7_Run1/Plate 4/@20/H11_03.tif "/>
    <s v=" 26453.3611 "/>
    <s v=" 35.8144 "/>
    <x v="0"/>
    <n v="947411"/>
    <m/>
    <m/>
  </r>
  <r>
    <x v="0"/>
    <x v="0"/>
    <s v=" "/>
    <m/>
    <m/>
    <x v="1"/>
    <m/>
    <m/>
    <m/>
  </r>
  <r>
    <x v="0"/>
    <x v="0"/>
    <s v="group "/>
    <s v=" "/>
    <s v=" mean of mean fluo "/>
    <x v="2"/>
    <s v=" mean of total fluo "/>
    <s v=" SD total fluo "/>
    <m/>
  </r>
  <r>
    <x v="18"/>
    <x v="9"/>
    <s v="C:\Users\andre\Desktop\REACTIV CEFAS\Cefuroxime\Cefuroxime/20201124_Cefas_Test7_Run1/Plate 4/@20/ "/>
    <s v=" "/>
    <s v=" 37.118 "/>
    <x v="20"/>
    <s v=" 1034460.5 "/>
    <s v=" 789118.935 "/>
    <m/>
  </r>
  <r>
    <x v="0"/>
    <x v="0"/>
    <s v=" "/>
    <m/>
    <m/>
    <x v="1"/>
    <m/>
    <m/>
    <m/>
  </r>
  <r>
    <x v="0"/>
    <x v="0"/>
    <s v=" "/>
    <m/>
    <m/>
    <x v="1"/>
    <m/>
    <m/>
    <m/>
  </r>
  <r>
    <x v="0"/>
    <x v="0"/>
    <s v=" "/>
    <m/>
    <m/>
    <x v="1"/>
    <m/>
    <m/>
    <m/>
  </r>
  <r>
    <x v="0"/>
    <x v="0"/>
    <s v=" "/>
    <m/>
    <m/>
    <x v="1"/>
    <m/>
    <m/>
    <m/>
  </r>
  <r>
    <x v="0"/>
    <x v="0"/>
    <s v=" "/>
    <m/>
    <m/>
    <x v="1"/>
    <m/>
    <m/>
    <m/>
  </r>
  <r>
    <x v="0"/>
    <x v="0"/>
    <s v="file name "/>
    <s v=" total area "/>
    <s v=" mean intensity "/>
    <x v="0"/>
    <s v=" total fluorescence"/>
    <m/>
    <m/>
  </r>
  <r>
    <x v="19"/>
    <x v="1"/>
    <s v="C:\Users\andre\Desktop\REACTIV CEFAS\Cefuroxime\Cefuroxime/20201124_Cefas_Test7_Run1/Plate 4/@21/A12_01.tif "/>
    <s v=" 562.3773 "/>
    <s v=" 31.7692 "/>
    <x v="0"/>
    <n v="17866"/>
    <m/>
    <m/>
  </r>
  <r>
    <x v="19"/>
    <x v="1"/>
    <s v="C:\Users\andre\Desktop\REACTIV CEFAS\Cefuroxime\Cefuroxime/20201124_Cefas_Test7_Run1/Plate 4/@21/A12_02.tif "/>
    <s v=" 1968.3204 "/>
    <s v=" 32.1758 "/>
    <x v="0"/>
    <n v="63332"/>
    <m/>
    <m/>
  </r>
  <r>
    <x v="19"/>
    <x v="1"/>
    <s v="C:\Users\andre\Desktop\REACTIV CEFAS\Cefuroxime\Cefuroxime/20201124_Cefas_Test7_Run1/Plate 4/@21/A12_03.tif "/>
    <s v=" 3114.7048 "/>
    <s v=" 35.5972 "/>
    <x v="0"/>
    <n v="110875"/>
    <m/>
    <m/>
  </r>
  <r>
    <x v="19"/>
    <x v="2"/>
    <s v="C:\Users\andre\Desktop\REACTIV CEFAS\Cefuroxime\Cefuroxime/20201124_Cefas_Test7_Run1/Plate 4/@21/B12_01.tif "/>
    <s v=" 692.1566 "/>
    <s v=" 31.5312 "/>
    <x v="0"/>
    <n v="21825"/>
    <m/>
    <m/>
  </r>
  <r>
    <x v="19"/>
    <x v="2"/>
    <s v="C:\Users\andre\Desktop\REACTIV CEFAS\Cefuroxime\Cefuroxime/20201124_Cefas_Test7_Run1/Plate 4/@21/B12_02.tif "/>
    <s v=" 2573.9575 "/>
    <n v="32"/>
    <x v="0"/>
    <n v="82367"/>
    <m/>
    <m/>
  </r>
  <r>
    <x v="19"/>
    <x v="2"/>
    <s v="C:\Users\andre\Desktop\REACTIV CEFAS\Cefuroxime\Cefuroxime/20201124_Cefas_Test7_Run1/Plate 4/@21/B12_03.tif "/>
    <s v=" 821.936 "/>
    <s v=" 31.0526 "/>
    <x v="0"/>
    <n v="25523"/>
    <m/>
    <m/>
  </r>
  <r>
    <x v="19"/>
    <x v="3"/>
    <s v="C:\Users\andre\Desktop\REACTIV CEFAS\Cefuroxime\Cefuroxime/20201124_Cefas_Test7_Run1/Plate 4/@21/C12_01.tif "/>
    <s v=" 3482.413 "/>
    <s v=" 31.205 "/>
    <x v="0"/>
    <n v="108669"/>
    <m/>
    <m/>
  </r>
  <r>
    <x v="19"/>
    <x v="3"/>
    <s v="C:\Users\andre\Desktop\REACTIV CEFAS\Cefuroxime\Cefuroxime/20201124_Cefas_Test7_Run1/Plate 4/@21/C12_02.tif "/>
    <s v=" 1946.6905 "/>
    <s v=" 31.7 "/>
    <x v="0"/>
    <n v="61710"/>
    <m/>
    <m/>
  </r>
  <r>
    <x v="19"/>
    <x v="3"/>
    <s v="C:\Users\andre\Desktop\REACTIV CEFAS\Cefuroxime\Cefuroxime/20201124_Cefas_Test7_Run1/Plate 4/@21/C12_03.tif "/>
    <s v=" 1124.7545 "/>
    <s v=" 31.8269 "/>
    <x v="0"/>
    <n v="35797"/>
    <m/>
    <m/>
  </r>
  <r>
    <x v="19"/>
    <x v="4"/>
    <s v="C:\Users\andre\Desktop\REACTIV CEFAS\Cefuroxime\Cefuroxime/20201124_Cefas_Test7_Run1/Plate 4/@21/D12_01.tif "/>
    <s v=" 12156.0008 "/>
    <s v=" 34.194 "/>
    <x v="0"/>
    <n v="415662"/>
    <m/>
    <m/>
  </r>
  <r>
    <x v="19"/>
    <x v="4"/>
    <s v="C:\Users\andre\Desktop\REACTIV CEFAS\Cefuroxime\Cefuroxime/20201124_Cefas_Test7_Run1/Plate 4/@21/D12_02- exclu.tif"/>
    <m/>
    <m/>
    <x v="1"/>
    <m/>
    <m/>
    <m/>
  </r>
  <r>
    <x v="19"/>
    <x v="4"/>
    <s v="C:\Users\andre\Desktop\REACTIV CEFAS\Cefuroxime\Cefuroxime/20201124_Cefas_Test7_Run1/Plate 4/@21/D12_03- exclu.tif"/>
    <m/>
    <m/>
    <x v="1"/>
    <m/>
    <m/>
    <m/>
  </r>
  <r>
    <x v="19"/>
    <x v="5"/>
    <s v="C:\Users\andre\Desktop\REACTIV CEFAS\Cefuroxime\Cefuroxime/20201124_Cefas_Test7_Run1/Plate 4/@21/E12_01.tif "/>
    <s v=" 26907.5889 "/>
    <s v=" 37.3055 "/>
    <x v="0"/>
    <n v="1003800"/>
    <m/>
    <m/>
  </r>
  <r>
    <x v="19"/>
    <x v="5"/>
    <s v="C:\Users\andre\Desktop\REACTIV CEFAS\Cefuroxime\Cefuroxime/20201124_Cefas_Test7_Run1/Plate 4/@21/E12_02.tif "/>
    <s v=" 45595.8179 "/>
    <s v=" 38.723 "/>
    <x v="0"/>
    <n v="1765605"/>
    <m/>
    <m/>
  </r>
  <r>
    <x v="19"/>
    <x v="5"/>
    <s v="C:\Users\andre\Desktop\REACTIV CEFAS\Cefuroxime\Cefuroxime/20201124_Cefas_Test7_Run1/Plate 4/@21/E12_03.tif "/>
    <s v=" 38068.6145 "/>
    <s v=" 38.608 "/>
    <x v="0"/>
    <n v="1469751"/>
    <m/>
    <m/>
  </r>
  <r>
    <x v="19"/>
    <x v="6"/>
    <s v="C:\Users\andre\Desktop\REACTIV CEFAS\Cefuroxime\Cefuroxime/20201124_Cefas_Test7_Run1/Plate 4/@21/F12_01.tif "/>
    <s v=" 28811.0196 "/>
    <s v=" 39.5646 "/>
    <x v="0"/>
    <n v="1139895"/>
    <m/>
    <m/>
  </r>
  <r>
    <x v="19"/>
    <x v="6"/>
    <s v="C:\Users\andre\Desktop\REACTIV CEFAS\Cefuroxime\Cefuroxime/20201124_Cefas_Test7_Run1/Plate 4/@21/F12_02- exclu.tif"/>
    <m/>
    <m/>
    <x v="1"/>
    <m/>
    <m/>
    <m/>
  </r>
  <r>
    <x v="19"/>
    <x v="6"/>
    <s v="C:\Users\andre\Desktop\REACTIV CEFAS\Cefuroxime\Cefuroxime/20201124_Cefas_Test7_Run1/Plate 4/@21/F12_03.tif "/>
    <s v=" 29265.2474 "/>
    <s v=" 36.6445 "/>
    <x v="0"/>
    <n v="1072410"/>
    <m/>
    <m/>
  </r>
  <r>
    <x v="19"/>
    <x v="7"/>
    <s v="C:\Users\andre\Desktop\REACTIV CEFAS\Cefuroxime\Cefuroxime/20201124_Cefas_Test7_Run1/Plate 4/@21/G12_01.tif "/>
    <s v=" 44817.1417 "/>
    <s v=" 40.8644 "/>
    <x v="0"/>
    <n v="1831425"/>
    <m/>
    <m/>
  </r>
  <r>
    <x v="19"/>
    <x v="7"/>
    <s v="C:\Users\andre\Desktop\REACTIV CEFAS\Cefuroxime\Cefuroxime/20201124_Cefas_Test7_Run1/Plate 4/@21/G12_02.tif "/>
    <s v=" 44276.3943 "/>
    <s v=" 41.6629 "/>
    <x v="0"/>
    <n v="1844684"/>
    <m/>
    <m/>
  </r>
  <r>
    <x v="19"/>
    <x v="7"/>
    <s v="C:\Users\andre\Desktop\REACTIV CEFAS\Cefuroxime\Cefuroxime/20201124_Cefas_Test7_Run1/Plate 4/@21/G12_03.tif "/>
    <s v=" 38890.5505 "/>
    <s v=" 39.3276 "/>
    <x v="0"/>
    <n v="1529471"/>
    <m/>
    <m/>
  </r>
  <r>
    <x v="19"/>
    <x v="8"/>
    <s v="C:\Users\andre\Desktop\REACTIV CEFAS\Cefuroxime\Cefuroxime/20201124_Cefas_Test7_Run1/Plate 4/@21/H12_01.tif "/>
    <s v=" 10750.0576 "/>
    <s v=" 33.7726 "/>
    <x v="0"/>
    <n v="363058"/>
    <m/>
    <m/>
  </r>
  <r>
    <x v="19"/>
    <x v="8"/>
    <s v="C:\Users\andre\Desktop\REACTIV CEFAS\Cefuroxime\Cefuroxime/20201124_Cefas_Test7_Run1/Plate 4/@21/H12_02.tif "/>
    <s v=" 10490.4989 "/>
    <s v=" 34.8124 "/>
    <x v="0"/>
    <n v="365199"/>
    <m/>
    <m/>
  </r>
  <r>
    <x v="19"/>
    <x v="8"/>
    <s v="C:\Users\andre\Desktop\REACTIV CEFAS\Cefuroxime\Cefuroxime/20201124_Cefas_Test7_Run1/Plate 4/@21/H12_03.tif "/>
    <s v=" 13021.1966 "/>
    <s v=" 34.7525 "/>
    <x v="0"/>
    <n v="452519"/>
    <m/>
    <m/>
  </r>
  <r>
    <x v="0"/>
    <x v="0"/>
    <s v=" "/>
    <m/>
    <m/>
    <x v="1"/>
    <m/>
    <m/>
    <m/>
  </r>
  <r>
    <x v="0"/>
    <x v="0"/>
    <s v="group "/>
    <s v=" "/>
    <s v=" mean of mean fluo "/>
    <x v="2"/>
    <s v=" mean of total fluo "/>
    <s v=" SD total fluo "/>
    <m/>
  </r>
  <r>
    <x v="19"/>
    <x v="9"/>
    <s v="C:\Users\andre\Desktop\REACTIV CEFAS\Cefuroxime\Cefuroxime/20201124_Cefas_Test7_Run1/Plate 4/@21/ "/>
    <s v=" "/>
    <s v=" 35.6166 "/>
    <x v="21"/>
    <s v=" 678655.042 "/>
    <s v=" 669625.136 "/>
    <m/>
  </r>
  <r>
    <x v="0"/>
    <x v="0"/>
    <s v=" "/>
    <m/>
    <m/>
    <x v="1"/>
    <m/>
    <m/>
    <m/>
  </r>
  <r>
    <x v="0"/>
    <x v="0"/>
    <s v=" "/>
    <m/>
    <m/>
    <x v="1"/>
    <m/>
    <m/>
    <m/>
  </r>
  <r>
    <x v="0"/>
    <x v="0"/>
    <s v=" "/>
    <m/>
    <m/>
    <x v="1"/>
    <m/>
    <m/>
    <m/>
  </r>
  <r>
    <x v="0"/>
    <x v="0"/>
    <s v=" "/>
    <m/>
    <m/>
    <x v="1"/>
    <m/>
    <m/>
    <m/>
  </r>
  <r>
    <x v="0"/>
    <x v="0"/>
    <s v=" "/>
    <m/>
    <m/>
    <x v="1"/>
    <m/>
    <m/>
    <m/>
  </r>
  <r>
    <x v="0"/>
    <x v="0"/>
    <s v="file name "/>
    <s v=" total area "/>
    <s v=" mean intensity "/>
    <x v="0"/>
    <s v=" total fluorescence"/>
    <m/>
    <m/>
  </r>
  <r>
    <x v="20"/>
    <x v="1"/>
    <s v="C:\Users\andre\Desktop\REACTIV CEFAS\Cefuroxime\Cefuroxime/20201124_Cefas_Test7_Run1/Plate 4/@8/A2_01.tif "/>
    <s v=" 21.6299 "/>
    <n v="30"/>
    <x v="0"/>
    <n v="649"/>
    <m/>
    <m/>
  </r>
  <r>
    <x v="20"/>
    <x v="1"/>
    <s v="C:\Users\andre\Desktop\REACTIV CEFAS\Cefuroxime\Cefuroxime/20201124_Cefas_Test7_Run1/Plate 4/@8/A2_02.tif "/>
    <s v=" 21.6299 "/>
    <n v="31"/>
    <x v="0"/>
    <n v="671"/>
    <m/>
    <m/>
  </r>
  <r>
    <x v="20"/>
    <x v="1"/>
    <s v="C:\Users\andre\Desktop\REACTIV CEFAS\Cefuroxime\Cefuroxime/20201124_Cefas_Test7_Run1/Plate 4/@8/A2_03.tif "/>
    <s v=" 173.0392 "/>
    <s v=" 30.375 "/>
    <x v="0"/>
    <n v="5256"/>
    <m/>
    <m/>
  </r>
  <r>
    <x v="20"/>
    <x v="2"/>
    <s v="C:\Users\andre\Desktop\REACTIV CEFAS\Cefuroxime\Cefuroxime/20201124_Cefas_Test7_Run1/Plate 4/@8/B2_01.tif "/>
    <s v=" 173.0392 "/>
    <s v=" 32.125 "/>
    <x v="0"/>
    <n v="5559"/>
    <m/>
    <m/>
  </r>
  <r>
    <x v="20"/>
    <x v="2"/>
    <s v="C:\Users\andre\Desktop\REACTIV CEFAS\Cefuroxime\Cefuroxime/20201124_Cefas_Test7_Run1/Plate 4/@8/B2_02.tif "/>
    <s v=" 605.637 "/>
    <s v=" 31.2143 "/>
    <x v="0"/>
    <n v="18905"/>
    <m/>
    <m/>
  </r>
  <r>
    <x v="20"/>
    <x v="2"/>
    <s v="C:\Users\andre\Desktop\REACTIV CEFAS\Cefuroxime\Cefuroxime/20201124_Cefas_Test7_Run1/Plate 4/@8/B2_03.tif "/>
    <s v=" 2098.0998 "/>
    <s v=" 36.7423 "/>
    <x v="0"/>
    <n v="77089"/>
    <m/>
    <m/>
  </r>
  <r>
    <x v="20"/>
    <x v="3"/>
    <s v="C:\Users\andre\Desktop\REACTIV CEFAS\Cefuroxime\Cefuroxime/20201124_Cefas_Test7_Run1/Plate 4/@8/C2_01- exclu.tif"/>
    <m/>
    <m/>
    <x v="1"/>
    <m/>
    <m/>
    <m/>
  </r>
  <r>
    <x v="20"/>
    <x v="3"/>
    <s v="C:\Users\andre\Desktop\REACTIV CEFAS\Cefuroxime\Cefuroxime/20201124_Cefas_Test7_Run1/Plate 4/@8/C2_02- exclu.tif"/>
    <m/>
    <m/>
    <x v="1"/>
    <m/>
    <m/>
    <m/>
  </r>
  <r>
    <x v="20"/>
    <x v="3"/>
    <s v="C:\Users\andre\Desktop\REACTIV CEFAS\Cefuroxime\Cefuroxime/20201124_Cefas_Test7_Run1/Plate 4/@8/C2_03.tif "/>
    <s v=" 6618.7478 "/>
    <s v=" 33.4641 "/>
    <x v="0"/>
    <n v="221490"/>
    <m/>
    <m/>
  </r>
  <r>
    <x v="20"/>
    <x v="4"/>
    <s v="C:\Users\andre\Desktop\REACTIV CEFAS\Cefuroxime\Cefuroxime/20201124_Cefas_Test7_Run1/Plate 4/@8/D2_01.tif "/>
    <s v=" 3741.9718 "/>
    <s v=" 32.8786 "/>
    <x v="0"/>
    <n v="123031"/>
    <m/>
    <m/>
  </r>
  <r>
    <x v="20"/>
    <x v="4"/>
    <s v="C:\Users\andre\Desktop\REACTIV CEFAS\Cefuroxime\Cefuroxime/20201124_Cefas_Test7_Run1/Plate 4/@8/D2_02.tif "/>
    <s v=" 2011.5802 "/>
    <s v=" 31.6559 "/>
    <x v="0"/>
    <n v="63678"/>
    <m/>
    <m/>
  </r>
  <r>
    <x v="20"/>
    <x v="4"/>
    <s v="C:\Users\andre\Desktop\REACTIV CEFAS\Cefuroxime\Cefuroxime/20201124_Cefas_Test7_Run1/Plate 4/@8/D2_03.tif "/>
    <n v="0"/>
    <n v="0"/>
    <x v="0"/>
    <n v="0"/>
    <m/>
    <m/>
  </r>
  <r>
    <x v="20"/>
    <x v="5"/>
    <s v="C:\Users\andre\Desktop\REACTIV CEFAS\Cefuroxime\Cefuroxime/20201124_Cefas_Test7_Run1/Plate 4/@8/E2_01- exclu.tif"/>
    <m/>
    <m/>
    <x v="1"/>
    <m/>
    <m/>
    <m/>
  </r>
  <r>
    <x v="20"/>
    <x v="5"/>
    <s v="C:\Users\andre\Desktop\REACTIV CEFAS\Cefuroxime\Cefuroxime/20201124_Cefas_Test7_Run1/Plate 4/@8/E2_02- exclu.tif"/>
    <m/>
    <m/>
    <x v="1"/>
    <m/>
    <m/>
    <m/>
  </r>
  <r>
    <x v="20"/>
    <x v="5"/>
    <s v="C:\Users\andre\Desktop\REACTIV CEFAS\Cefuroxime\Cefuroxime/20201124_Cefas_Test7_Run1/Plate 4/@8/E2_03.tif "/>
    <s v=" 7051.3456 "/>
    <s v=" 37.8374 "/>
    <x v="0"/>
    <n v="266805"/>
    <m/>
    <m/>
  </r>
  <r>
    <x v="20"/>
    <x v="6"/>
    <s v="C:\Users\andre\Desktop\REACTIV CEFAS\Cefuroxime\Cefuroxime/20201124_Cefas_Test7_Run1/Plate 4/@8/F2_01.tif "/>
    <s v=" 11269.1751 "/>
    <s v=" 47.9136 "/>
    <x v="0"/>
    <n v="539947"/>
    <m/>
    <m/>
  </r>
  <r>
    <x v="20"/>
    <x v="6"/>
    <s v="C:\Users\andre\Desktop\REACTIV CEFAS\Cefuroxime\Cefuroxime/20201124_Cefas_Test7_Run1/Plate 4/@8/F2_02.tif "/>
    <s v=" 10706.7978 "/>
    <s v=" 45.2505 "/>
    <x v="0"/>
    <n v="484488"/>
    <m/>
    <m/>
  </r>
  <r>
    <x v="20"/>
    <x v="6"/>
    <s v="C:\Users\andre\Desktop\REACTIV CEFAS\Cefuroxime\Cefuroxime/20201124_Cefas_Test7_Run1/Plate 4/@8/F2_03.tif "/>
    <s v=" 7570.4631 "/>
    <s v=" 43.2171 "/>
    <x v="0"/>
    <n v="327174"/>
    <m/>
    <m/>
  </r>
  <r>
    <x v="20"/>
    <x v="7"/>
    <s v="C:\Users\andre\Desktop\REACTIV CEFAS\Cefuroxime\Cefuroxime/20201124_Cefas_Test7_Run1/Plate 4/@8/G2_01.tif "/>
    <s v=" 173.0392 "/>
    <s v=" 31.125 "/>
    <x v="0"/>
    <n v="5386"/>
    <m/>
    <m/>
  </r>
  <r>
    <x v="20"/>
    <x v="7"/>
    <s v="C:\Users\andre\Desktop\REACTIV CEFAS\Cefuroxime\Cefuroxime/20201124_Cefas_Test7_Run1/Plate 4/@8/G2_02.tif "/>
    <s v=" 454.2278 "/>
    <s v=" 32.1429 "/>
    <x v="0"/>
    <n v="14600"/>
    <m/>
    <m/>
  </r>
  <r>
    <x v="20"/>
    <x v="7"/>
    <s v="C:\Users\andre\Desktop\REACTIV CEFAS\Cefuroxime\Cefuroxime/20201124_Cefas_Test7_Run1/Plate 4/@8/G2_03.tif "/>
    <s v=" 5840.0715 "/>
    <s v=" 40.5778 "/>
    <x v="0"/>
    <n v="236977"/>
    <m/>
    <m/>
  </r>
  <r>
    <x v="20"/>
    <x v="8"/>
    <s v="C:\Users\andre\Desktop\REACTIV CEFAS\Cefuroxime\Cefuroxime/20201124_Cefas_Test7_Run1/Plate 4/@8/H2_01.tif "/>
    <s v=" 3222.8543 "/>
    <s v=" 33.5906 "/>
    <x v="0"/>
    <n v="108258"/>
    <m/>
    <m/>
  </r>
  <r>
    <x v="20"/>
    <x v="8"/>
    <s v="C:\Users\andre\Desktop\REACTIV CEFAS\Cefuroxime\Cefuroxime/20201124_Cefas_Test7_Run1/Plate 4/@8/H2_02.tif "/>
    <s v=" 2898.4059 "/>
    <s v=" 33.3806 "/>
    <x v="0"/>
    <n v="96751"/>
    <m/>
    <m/>
  </r>
  <r>
    <x v="20"/>
    <x v="8"/>
    <s v="C:\Users\andre\Desktop\REACTIV CEFAS\Cefuroxime\Cefuroxime/20201124_Cefas_Test7_Run1/Plate 4/@8/H2_03.tif "/>
    <s v=" 3352.6337 "/>
    <s v=" 34.7871 "/>
    <x v="0"/>
    <n v="116628"/>
    <m/>
    <m/>
  </r>
  <r>
    <x v="0"/>
    <x v="0"/>
    <s v=" "/>
    <m/>
    <m/>
    <x v="1"/>
    <m/>
    <m/>
    <m/>
  </r>
  <r>
    <x v="0"/>
    <x v="0"/>
    <s v="group "/>
    <s v=" "/>
    <s v=" mean of mean fluo "/>
    <x v="2"/>
    <s v=" mean of total fluo "/>
    <s v=" SD total fluo "/>
    <m/>
  </r>
  <r>
    <x v="20"/>
    <x v="9"/>
    <s v="C:\Users\andre\Desktop\REACTIV CEFAS\Cefuroxime\Cefuroxime/20201124_Cefas_Test7_Run1/Plate 4/@8/ "/>
    <s v=" "/>
    <s v=" 33.2619 "/>
    <x v="22"/>
    <s v=" 166291.583 "/>
    <s v=" 210226.618 "/>
    <m/>
  </r>
  <r>
    <x v="0"/>
    <x v="0"/>
    <s v=" "/>
    <m/>
    <m/>
    <x v="1"/>
    <m/>
    <m/>
    <m/>
  </r>
  <r>
    <x v="0"/>
    <x v="0"/>
    <s v=" "/>
    <m/>
    <m/>
    <x v="1"/>
    <m/>
    <m/>
    <m/>
  </r>
  <r>
    <x v="0"/>
    <x v="0"/>
    <s v=" "/>
    <m/>
    <m/>
    <x v="1"/>
    <m/>
    <m/>
    <m/>
  </r>
  <r>
    <x v="0"/>
    <x v="0"/>
    <s v=" "/>
    <m/>
    <m/>
    <x v="1"/>
    <m/>
    <m/>
    <m/>
  </r>
  <r>
    <x v="0"/>
    <x v="0"/>
    <s v=" "/>
    <m/>
    <m/>
    <x v="1"/>
    <m/>
    <m/>
    <m/>
  </r>
  <r>
    <x v="0"/>
    <x v="0"/>
    <s v="file name "/>
    <s v=" total area "/>
    <s v=" mean intensity "/>
    <x v="0"/>
    <s v=" total fluorescence"/>
    <m/>
    <m/>
  </r>
  <r>
    <x v="21"/>
    <x v="1"/>
    <s v="C:\Users\andre\Desktop\REACTIV CEFAS\Cefuroxime\Cefuroxime/20201124_Cefas_Test7_Run1/Plate 4/@9/A3_01- exclu.tif"/>
    <m/>
    <m/>
    <x v="1"/>
    <m/>
    <m/>
    <m/>
  </r>
  <r>
    <x v="21"/>
    <x v="1"/>
    <s v="C:\Users\andre\Desktop\REACTIV CEFAS\Cefuroxime\Cefuroxime/20201124_Cefas_Test7_Run1/Plate 4/@9/A3_02- exclu.tif"/>
    <m/>
    <m/>
    <x v="1"/>
    <m/>
    <m/>
    <m/>
  </r>
  <r>
    <x v="21"/>
    <x v="1"/>
    <s v="C:\Users\andre\Desktop\REACTIV CEFAS\Cefuroxime\Cefuroxime/20201124_Cefas_Test7_Run1/Plate 4/@9/A3_03- exclu.tif"/>
    <m/>
    <m/>
    <x v="1"/>
    <m/>
    <m/>
    <m/>
  </r>
  <r>
    <x v="21"/>
    <x v="2"/>
    <s v="C:\Users\andre\Desktop\REACTIV CEFAS\Cefuroxime\Cefuroxime/20201124_Cefas_Test7_Run1/Plate 4/@9/B3_01.tif "/>
    <s v=" 1276.1638 "/>
    <s v=" 32.8136 "/>
    <x v="0"/>
    <n v="41875"/>
    <m/>
    <m/>
  </r>
  <r>
    <x v="21"/>
    <x v="2"/>
    <s v="C:\Users\andre\Desktop\REACTIV CEFAS\Cefuroxime\Cefuroxime/20201124_Cefas_Test7_Run1/Plate 4/@9/B3_02.tif "/>
    <s v=" 5429.1036 "/>
    <s v=" 38.004 "/>
    <x v="0"/>
    <n v="206328"/>
    <m/>
    <m/>
  </r>
  <r>
    <x v="21"/>
    <x v="2"/>
    <s v="C:\Users\andre\Desktop\REACTIV CEFAS\Cefuroxime\Cefuroxime/20201124_Cefas_Test7_Run1/Plate 4/@9/B3_03.tif "/>
    <s v=" 5537.253 "/>
    <s v=" 40.7461 "/>
    <x v="0"/>
    <n v="225621"/>
    <m/>
    <m/>
  </r>
  <r>
    <x v="21"/>
    <x v="3"/>
    <s v="C:\Users\andre\Desktop\REACTIV CEFAS\Cefuroxime\Cefuroxime/20201124_Cefas_Test7_Run1/Plate 4/@9/C3_01.tif "/>
    <s v=" 1232.904 "/>
    <s v=" 33.1579 "/>
    <x v="0"/>
    <n v="40881"/>
    <m/>
    <m/>
  </r>
  <r>
    <x v="21"/>
    <x v="3"/>
    <s v="C:\Users\andre\Desktop\REACTIV CEFAS\Cefuroxime\Cefuroxime/20201124_Cefas_Test7_Run1/Plate 4/@9/C3_02.tif "/>
    <s v=" 237.9288 "/>
    <n v="33"/>
    <x v="0"/>
    <n v="7852"/>
    <m/>
    <m/>
  </r>
  <r>
    <x v="21"/>
    <x v="3"/>
    <s v="C:\Users\andre\Desktop\REACTIV CEFAS\Cefuroxime\Cefuroxime/20201124_Cefas_Test7_Run1/Plate 4/@9/C3_03.tif "/>
    <s v=" 2357.6585 "/>
    <s v=" 35.2385 "/>
    <x v="0"/>
    <n v="83080"/>
    <m/>
    <m/>
  </r>
  <r>
    <x v="21"/>
    <x v="4"/>
    <s v="C:\Users\andre\Desktop\REACTIV CEFAS\Cefuroxime\Cefuroxime/20201124_Cefas_Test7_Run1/Plate 4/@9/D3_01.tif "/>
    <s v=" 3395.8935 "/>
    <s v=" 37.8981 "/>
    <x v="0"/>
    <n v="128698"/>
    <m/>
    <m/>
  </r>
  <r>
    <x v="21"/>
    <x v="4"/>
    <s v="C:\Users\andre\Desktop\REACTIV CEFAS\Cefuroxime\Cefuroxime/20201124_Cefas_Test7_Run1/Plate 4/@9/D3_02.tif "/>
    <s v=" 2573.9575 "/>
    <s v=" 35.5042 "/>
    <x v="0"/>
    <n v="91386"/>
    <m/>
    <m/>
  </r>
  <r>
    <x v="21"/>
    <x v="4"/>
    <s v="C:\Users\andre\Desktop\REACTIV CEFAS\Cefuroxime\Cefuroxime/20201124_Cefas_Test7_Run1/Plate 4/@9/D3_03.tif "/>
    <s v=" 5126.285 "/>
    <s v=" 38.2068 "/>
    <x v="0"/>
    <n v="195859"/>
    <m/>
    <m/>
  </r>
  <r>
    <x v="21"/>
    <x v="5"/>
    <s v="C:\Users\andre\Desktop\REACTIV CEFAS\Cefuroxime\Cefuroxime/20201124_Cefas_Test7_Run1/Plate 4/@9/E3_01.tif "/>
    <s v=" 6705.2673 "/>
    <s v=" 39.7032 "/>
    <x v="0"/>
    <n v="266221"/>
    <m/>
    <m/>
  </r>
  <r>
    <x v="21"/>
    <x v="5"/>
    <s v="C:\Users\andre\Desktop\REACTIV CEFAS\Cefuroxime\Cefuroxime/20201124_Cefas_Test7_Run1/Plate 4/@9/E3_02.tif "/>
    <s v=" 9214.3351 "/>
    <s v=" 38.4577 "/>
    <x v="0"/>
    <n v="354363"/>
    <m/>
    <m/>
  </r>
  <r>
    <x v="21"/>
    <x v="5"/>
    <s v="C:\Users\andre\Desktop\REACTIV CEFAS\Cefuroxime\Cefuroxime/20201124_Cefas_Test7_Run1/Plate 4/@9/E3_03.tif "/>
    <s v=" 7267.6446 "/>
    <s v=" 41.5655 "/>
    <x v="0"/>
    <n v="302083"/>
    <m/>
    <m/>
  </r>
  <r>
    <x v="21"/>
    <x v="6"/>
    <s v="C:\Users\andre\Desktop\REACTIV CEFAS\Cefuroxime\Cefuroxime/20201124_Cefas_Test7_Run1/Plate 4/@9/F3_01.tif "/>
    <s v=" 259.5587 "/>
    <s v=" 32.0833 "/>
    <x v="0"/>
    <n v="8328"/>
    <m/>
    <m/>
  </r>
  <r>
    <x v="21"/>
    <x v="6"/>
    <s v="C:\Users\andre\Desktop\REACTIV CEFAS\Cefuroxime\Cefuroxime/20201124_Cefas_Test7_Run1/Plate 4/@9/F3_02.tif "/>
    <s v=" 64.8897 "/>
    <s v=" 30.3333 "/>
    <x v="0"/>
    <n v="1968"/>
    <m/>
    <m/>
  </r>
  <r>
    <x v="21"/>
    <x v="6"/>
    <s v="C:\Users\andre\Desktop\REACTIV CEFAS\Cefuroxime\Cefuroxime/20201124_Cefas_Test7_Run1/Plate 4/@9/F3_03.tif "/>
    <n v="0"/>
    <n v="0"/>
    <x v="0"/>
    <n v="0"/>
    <m/>
    <m/>
  </r>
  <r>
    <x v="21"/>
    <x v="7"/>
    <s v="C:\Users\andre\Desktop\REACTIV CEFAS\Cefuroxime\Cefuroxime/20201124_Cefas_Test7_Run1/Plate 4/@9/G3_01.tif "/>
    <s v=" 3741.9718 "/>
    <s v=" 39.1445 "/>
    <x v="0"/>
    <n v="146478"/>
    <m/>
    <m/>
  </r>
  <r>
    <x v="21"/>
    <x v="7"/>
    <s v="C:\Users\andre\Desktop\REACTIV CEFAS\Cefuroxime\Cefuroxime/20201124_Cefas_Test7_Run1/Plate 4/@9/G3_02.tif "/>
    <s v=" 1254.5339 "/>
    <s v=" 32.4138 "/>
    <x v="0"/>
    <n v="40664"/>
    <m/>
    <m/>
  </r>
  <r>
    <x v="21"/>
    <x v="7"/>
    <s v="C:\Users\andre\Desktop\REACTIV CEFAS\Cefuroxime\Cefuroxime/20201124_Cefas_Test7_Run1/Plate 4/@9/G3_03.tif "/>
    <s v=" 562.3773 "/>
    <s v=" 31.4231 "/>
    <x v="0"/>
    <n v="17672"/>
    <m/>
    <m/>
  </r>
  <r>
    <x v="21"/>
    <x v="8"/>
    <s v="C:\Users\andre\Desktop\REACTIV CEFAS\Cefuroxime\Cefuroxime/20201124_Cefas_Test7_Run1/Plate 4/@9/H3_01.tif "/>
    <s v=" 8846.6269 "/>
    <s v=" 42.3472 "/>
    <x v="0"/>
    <n v="374630"/>
    <m/>
    <m/>
  </r>
  <r>
    <x v="21"/>
    <x v="8"/>
    <s v="C:\Users\andre\Desktop\REACTIV CEFAS\Cefuroxime\Cefuroxime/20201124_Cefas_Test7_Run1/Plate 4/@9/H3_02.tif "/>
    <s v=" 5580.5128 "/>
    <s v=" 35.4496 "/>
    <x v="0"/>
    <n v="197827"/>
    <m/>
    <m/>
  </r>
  <r>
    <x v="21"/>
    <x v="8"/>
    <s v="C:\Users\andre\Desktop\REACTIV CEFAS\Cefuroxime\Cefuroxime/20201124_Cefas_Test7_Run1/Plate 4/@9/H3_03.tif "/>
    <s v=" 2833.5162 "/>
    <s v=" 33.855 "/>
    <x v="0"/>
    <n v="95929"/>
    <m/>
    <m/>
  </r>
  <r>
    <x v="0"/>
    <x v="0"/>
    <s v=" "/>
    <m/>
    <m/>
    <x v="1"/>
    <m/>
    <m/>
    <m/>
  </r>
  <r>
    <x v="0"/>
    <x v="0"/>
    <s v="group "/>
    <s v=" "/>
    <s v=" mean of mean fluo "/>
    <x v="2"/>
    <s v=" mean of total fluo "/>
    <s v=" SD total fluo "/>
    <m/>
  </r>
  <r>
    <x v="21"/>
    <x v="9"/>
    <s v="C:\Users\andre\Desktop\REACTIV CEFAS\Cefuroxime\Cefuroxime/20201124_Cefas_Test7_Run1/Plate 4/@9/ "/>
    <s v=" "/>
    <s v=" 35.4389 "/>
    <x v="23"/>
    <s v=" 173687.25 "/>
    <s v=" 154079.305 "/>
    <m/>
  </r>
  <r>
    <x v="0"/>
    <x v="0"/>
    <s v=" "/>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s v="file name "/>
    <s v=" total area "/>
    <s v=" mean intensity "/>
    <x v="0"/>
    <s v=" total fluorescence"/>
    <m/>
    <m/>
  </r>
  <r>
    <x v="1"/>
    <x v="1"/>
    <s v="C:\Users\andre\Desktop\REACTIV CEFAS\Cefuroxime\Cefuroxime/20201125_Cefas_Test7_Run2/Plate 1/@1/A10_01.tif "/>
    <s v=" 8889.8867 "/>
    <s v=" 36.3552 "/>
    <x v="0"/>
    <n v="323194"/>
    <m/>
    <m/>
  </r>
  <r>
    <x v="1"/>
    <x v="1"/>
    <s v="C:\Users\andre\Desktop\REACTIV CEFAS\Cefuroxime\Cefuroxime/20201125_Cefas_Test7_Run2/Plate 1/@1/A10_02.tif "/>
    <s v=" 9062.9258 "/>
    <s v=" 35.9332 "/>
    <x v="0"/>
    <n v="325660"/>
    <m/>
    <m/>
  </r>
  <r>
    <x v="1"/>
    <x v="1"/>
    <s v="C:\Users\andre\Desktop\REACTIV CEFAS\Cefuroxime\Cefuroxime/20201125_Cefas_Test7_Run2/Plate 1/@1/A10_03.tif "/>
    <s v=" 7224.3848 "/>
    <s v=" 37.6557 "/>
    <x v="0"/>
    <n v="272039"/>
    <m/>
    <m/>
  </r>
  <r>
    <x v="1"/>
    <x v="2"/>
    <s v="C:\Users\andre\Desktop\REACTIV CEFAS\Cefuroxime\Cefuroxime/20201125_Cefas_Test7_Run2/Plate 1/@1/B10_01.tif "/>
    <s v=" 6532.2282 "/>
    <s v=" 37.0596 "/>
    <x v="0"/>
    <n v="242082"/>
    <m/>
    <m/>
  </r>
  <r>
    <x v="1"/>
    <x v="2"/>
    <s v="C:\Users\andre\Desktop\REACTIV CEFAS\Cefuroxime\Cefuroxime/20201125_Cefas_Test7_Run2/Plate 1/@1/B10_02.tif "/>
    <s v=" 8478.9187 "/>
    <s v=" 38.375 "/>
    <x v="0"/>
    <n v="325379"/>
    <m/>
    <m/>
  </r>
  <r>
    <x v="1"/>
    <x v="2"/>
    <s v="C:\Users\andre\Desktop\REACTIV CEFAS\Cefuroxime\Cefuroxime/20201125_Cefas_Test7_Run2/Plate 1/@1/B10_03.tif "/>
    <s v=" 4996.5057 "/>
    <s v=" 38.7922 "/>
    <x v="0"/>
    <n v="193825"/>
    <m/>
    <m/>
  </r>
  <r>
    <x v="1"/>
    <x v="3"/>
    <s v="C:\Users\andre\Desktop\REACTIV CEFAS\Cefuroxime\Cefuroxime/20201125_Cefas_Test7_Run2/Plate 1/@1/C10_01- exclu.tif"/>
    <m/>
    <m/>
    <x v="1"/>
    <m/>
    <m/>
    <m/>
  </r>
  <r>
    <x v="1"/>
    <x v="3"/>
    <s v="C:\Users\andre\Desktop\REACTIV CEFAS\Cefuroxime\Cefuroxime/20201125_Cefas_Test7_Run2/Plate 1/@1/C10_02.tif "/>
    <s v=" 10512.1288 "/>
    <s v=" 36.6543 "/>
    <x v="0"/>
    <n v="385315"/>
    <m/>
    <m/>
  </r>
  <r>
    <x v="1"/>
    <x v="3"/>
    <s v="C:\Users\andre\Desktop\REACTIV CEFAS\Cefuroxime\Cefuroxime/20201125_Cefas_Test7_Run2/Plate 1/@1/C10_03.tif "/>
    <s v=" 8933.1465 "/>
    <s v=" 39.2082 "/>
    <x v="0"/>
    <n v="350253"/>
    <m/>
    <m/>
  </r>
  <r>
    <x v="1"/>
    <x v="4"/>
    <s v="C:\Users\andre\Desktop\REACTIV CEFAS\Cefuroxime\Cefuroxime/20201125_Cefas_Test7_Run2/Plate 1/@1/D10_01.tif "/>
    <s v=" 10166.0505 "/>
    <s v=" 41.9936 "/>
    <x v="0"/>
    <n v="426909"/>
    <m/>
    <m/>
  </r>
  <r>
    <x v="1"/>
    <x v="4"/>
    <s v="C:\Users\andre\Desktop\REACTIV CEFAS\Cefuroxime\Cefuroxime/20201125_Cefas_Test7_Run2/Plate 1/@1/D10_02.tif "/>
    <s v=" 10057.901 "/>
    <s v=" 42.2495 "/>
    <x v="0"/>
    <n v="424941"/>
    <m/>
    <m/>
  </r>
  <r>
    <x v="1"/>
    <x v="4"/>
    <s v="C:\Users\andre\Desktop\REACTIV CEFAS\Cefuroxime\Cefuroxime/20201125_Cefas_Test7_Run2/Plate 1/@1/D10_03.tif "/>
    <s v=" 281.1886 "/>
    <s v=" 31.1538 "/>
    <x v="0"/>
    <n v="8760"/>
    <m/>
    <m/>
  </r>
  <r>
    <x v="1"/>
    <x v="5"/>
    <s v="C:\Users\andre\Desktop\REACTIV CEFAS\Cefuroxime\Cefuroxime/20201125_Cefas_Test7_Run2/Plate 1/@1/E10_01.tif "/>
    <s v=" 8046.3208 "/>
    <s v=" 36.672 "/>
    <x v="0"/>
    <n v="295075"/>
    <m/>
    <m/>
  </r>
  <r>
    <x v="1"/>
    <x v="5"/>
    <s v="C:\Users\andre\Desktop\REACTIV CEFAS\Cefuroxime\Cefuroxime/20201125_Cefas_Test7_Run2/Plate 1/@1/E10_02.tif "/>
    <s v=" 5948.221 "/>
    <s v=" 34.8182 "/>
    <x v="0"/>
    <n v="207106"/>
    <m/>
    <m/>
  </r>
  <r>
    <x v="1"/>
    <x v="5"/>
    <s v="C:\Users\andre\Desktop\REACTIV CEFAS\Cefuroxime\Cefuroxime/20201125_Cefas_Test7_Run2/Plate 1/@1/E10_03.tif "/>
    <s v=" 7916.5414 "/>
    <s v=" 36.1557 "/>
    <x v="0"/>
    <n v="286228"/>
    <m/>
    <m/>
  </r>
  <r>
    <x v="1"/>
    <x v="6"/>
    <s v="C:\Users\andre\Desktop\REACTIV CEFAS\Cefuroxime\Cefuroxime/20201125_Cefas_Test7_Run2/Plate 1/@1/F10_01.tif "/>
    <s v=" 5061.3953 "/>
    <s v=" 34.8462 "/>
    <x v="0"/>
    <n v="176370"/>
    <m/>
    <m/>
  </r>
  <r>
    <x v="1"/>
    <x v="6"/>
    <s v="C:\Users\andre\Desktop\REACTIV CEFAS\Cefuroxime\Cefuroxime/20201125_Cefas_Test7_Run2/Plate 1/@1/F10_02.tif "/>
    <s v=" 2379.2884 "/>
    <s v=" 32.7909 "/>
    <x v="0"/>
    <n v="78019"/>
    <m/>
    <m/>
  </r>
  <r>
    <x v="1"/>
    <x v="6"/>
    <s v="C:\Users\andre\Desktop\REACTIV CEFAS\Cefuroxime\Cefuroxime/20201125_Cefas_Test7_Run2/Plate 1/@1/F10_03.tif "/>
    <s v=" 1211.2741 "/>
    <s v=" 33.9643 "/>
    <x v="0"/>
    <n v="41140"/>
    <m/>
    <m/>
  </r>
  <r>
    <x v="1"/>
    <x v="7"/>
    <s v="C:\Users\andre\Desktop\REACTIV CEFAS\Cefuroxime\Cefuroxime/20201125_Cefas_Test7_Run2/Plate 1/@1/G10_01.tif "/>
    <s v=" 4542.2779 "/>
    <s v=" 37.7714 "/>
    <x v="0"/>
    <n v="171568"/>
    <m/>
    <m/>
  </r>
  <r>
    <x v="1"/>
    <x v="7"/>
    <s v="C:\Users\andre\Desktop\REACTIV CEFAS\Cefuroxime\Cefuroxime/20201125_Cefas_Test7_Run2/Plate 1/@1/G10_02.tif "/>
    <s v=" 21.6299 "/>
    <n v="30"/>
    <x v="0"/>
    <n v="649"/>
    <m/>
    <m/>
  </r>
  <r>
    <x v="1"/>
    <x v="7"/>
    <s v="C:\Users\andre\Desktop\REACTIV CEFAS\Cefuroxime\Cefuroxime/20201125_Cefas_Test7_Run2/Plate 1/@1/G10_03.tif "/>
    <s v=" 432.5979 "/>
    <s v=" 30.5 "/>
    <x v="0"/>
    <n v="13194"/>
    <m/>
    <m/>
  </r>
  <r>
    <x v="1"/>
    <x v="8"/>
    <s v="C:\Users\andre\Desktop\REACTIV CEFAS\Cefuroxime\Cefuroxime/20201125_Cefas_Test7_Run2/Plate 1/@1/H10_01.tif "/>
    <s v=" 43.2598 "/>
    <s v=" 33.5 "/>
    <x v="0"/>
    <n v="1449"/>
    <m/>
    <m/>
  </r>
  <r>
    <x v="1"/>
    <x v="8"/>
    <s v="C:\Users\andre\Desktop\REACTIV CEFAS\Cefuroxime\Cefuroxime/20201125_Cefas_Test7_Run2/Plate 1/@1/H10_02.tif "/>
    <s v=" 2725.3667 "/>
    <s v=" 35.3889 "/>
    <x v="0"/>
    <n v="96448"/>
    <m/>
    <m/>
  </r>
  <r>
    <x v="1"/>
    <x v="8"/>
    <s v="C:\Users\andre\Desktop\REACTIV CEFAS\Cefuroxime\Cefuroxime/20201125_Cefas_Test7_Run2/Plate 1/@1/H10_03.tif "/>
    <s v=" 1535.7225 "/>
    <s v=" 33.6761 "/>
    <x v="0"/>
    <n v="51717"/>
    <m/>
    <m/>
  </r>
  <r>
    <x v="0"/>
    <x v="0"/>
    <s v=" "/>
    <m/>
    <m/>
    <x v="1"/>
    <m/>
    <m/>
    <m/>
  </r>
  <r>
    <x v="0"/>
    <x v="0"/>
    <s v="group "/>
    <s v=" "/>
    <s v=" mean of mean fluo "/>
    <x v="2"/>
    <s v=" mean of total fluo "/>
    <s v=" SD total fluo "/>
    <m/>
  </r>
  <r>
    <x v="1"/>
    <x v="9"/>
    <s v="C:\Users\andre\Desktop\REACTIV CEFAS\Cefuroxime\Cefuroxime/20201125_Cefas_Test7_Run2/Plate 1/@1/ "/>
    <s v=" "/>
    <s v=" 34.3964 "/>
    <x v="3"/>
    <s v=" 195721.667 "/>
    <s v=" 146495.472 "/>
    <m/>
  </r>
  <r>
    <x v="0"/>
    <x v="0"/>
    <s v=" "/>
    <m/>
    <m/>
    <x v="1"/>
    <m/>
    <m/>
    <m/>
  </r>
  <r>
    <x v="0"/>
    <x v="0"/>
    <s v=" "/>
    <m/>
    <m/>
    <x v="1"/>
    <m/>
    <m/>
    <m/>
  </r>
  <r>
    <x v="0"/>
    <x v="0"/>
    <s v=" "/>
    <m/>
    <m/>
    <x v="1"/>
    <m/>
    <m/>
    <m/>
  </r>
  <r>
    <x v="0"/>
    <x v="0"/>
    <s v=" "/>
    <m/>
    <m/>
    <x v="1"/>
    <m/>
    <m/>
    <m/>
  </r>
  <r>
    <x v="0"/>
    <x v="0"/>
    <s v=" "/>
    <m/>
    <m/>
    <x v="1"/>
    <m/>
    <m/>
    <m/>
  </r>
  <r>
    <x v="0"/>
    <x v="0"/>
    <s v="file name "/>
    <s v=" total area "/>
    <s v=" mean intensity "/>
    <x v="0"/>
    <s v=" total fluorescence"/>
    <m/>
    <m/>
  </r>
  <r>
    <x v="2"/>
    <x v="1"/>
    <s v="C:\Users\andre\Desktop\REACTIV CEFAS\Cefuroxime\Cefuroxime/20201125_Cefas_Test7_Run2/Plate 1/@13/A8_01.tif "/>
    <s v=" 41486.1379 "/>
    <s v=" 35.5448 "/>
    <x v="0"/>
    <n v="1474618"/>
    <m/>
    <m/>
  </r>
  <r>
    <x v="2"/>
    <x v="1"/>
    <s v="C:\Users\andre\Desktop\REACTIV CEFAS\Cefuroxime\Cefuroxime/20201125_Cefas_Test7_Run2/Plate 1/@13/A8_02.tif "/>
    <s v=" 34434.7922 "/>
    <s v=" 35.1445 "/>
    <x v="0"/>
    <n v="1210193"/>
    <m/>
    <m/>
  </r>
  <r>
    <x v="2"/>
    <x v="1"/>
    <s v="C:\Users\andre\Desktop\REACTIV CEFAS\Cefuroxime\Cefuroxime/20201125_Cefas_Test7_Run2/Plate 1/@13/A8_03.tif "/>
    <s v=" 29524.8062 "/>
    <s v=" 35.1538 "/>
    <x v="0"/>
    <n v="1037910"/>
    <m/>
    <m/>
  </r>
  <r>
    <x v="2"/>
    <x v="2"/>
    <s v="C:\Users\andre\Desktop\REACTIV CEFAS\Cefuroxime\Cefuroxime/20201125_Cefas_Test7_Run2/Plate 1/@13/B8_01- exclu.tif"/>
    <m/>
    <m/>
    <x v="1"/>
    <m/>
    <m/>
    <m/>
  </r>
  <r>
    <x v="2"/>
    <x v="2"/>
    <s v="C:\Users\andre\Desktop\REACTIV CEFAS\Cefuroxime\Cefuroxime/20201125_Cefas_Test7_Run2/Plate 1/@13/B8_02.tif "/>
    <s v=" 56800.1033 "/>
    <s v=" 47.1329 "/>
    <x v="0"/>
    <n v="2677154"/>
    <m/>
    <m/>
  </r>
  <r>
    <x v="2"/>
    <x v="2"/>
    <s v="C:\Users\andre\Desktop\REACTIV CEFAS\Cefuroxime\Cefuroxime/20201125_Cefas_Test7_Run2/Plate 1/@13/B8_03.tif "/>
    <s v=" 53447.4696 "/>
    <s v=" 45.2036 "/>
    <x v="0"/>
    <n v="2416016"/>
    <m/>
    <m/>
  </r>
  <r>
    <x v="2"/>
    <x v="3"/>
    <s v="C:\Users\andre\Desktop\REACTIV CEFAS\Cefuroxime\Cefuroxime/20201125_Cefas_Test7_Run2/Plate 1/@13/C8_01.tif "/>
    <s v=" 19402.0155 "/>
    <s v=" 35.2497 "/>
    <x v="0"/>
    <n v="683916"/>
    <m/>
    <m/>
  </r>
  <r>
    <x v="2"/>
    <x v="3"/>
    <s v="C:\Users\andre\Desktop\REACTIV CEFAS\Cefuroxime\Cefuroxime/20201125_Cefas_Test7_Run2/Plate 1/@13/C8_02.tif "/>
    <s v=" 20483.5102 "/>
    <s v=" 36.2196 "/>
    <x v="0"/>
    <n v="741905"/>
    <m/>
    <m/>
  </r>
  <r>
    <x v="2"/>
    <x v="3"/>
    <s v="C:\Users\andre\Desktop\REACTIV CEFAS\Cefuroxime\Cefuroxime/20201125_Cefas_Test7_Run2/Plate 1/@13/C8_03.tif "/>
    <s v=" 18882.898 "/>
    <s v=" 35.4215 "/>
    <x v="0"/>
    <n v="668861"/>
    <m/>
    <m/>
  </r>
  <r>
    <x v="2"/>
    <x v="4"/>
    <s v="C:\Users\andre\Desktop\REACTIV CEFAS\Cefuroxime\Cefuroxime/20201125_Cefas_Test7_Run2/Plate 1/@13/D8_01.tif "/>
    <s v=" 37787.4259 "/>
    <s v=" 41.0246 "/>
    <x v="0"/>
    <n v="1550215"/>
    <m/>
    <m/>
  </r>
  <r>
    <x v="2"/>
    <x v="4"/>
    <s v="C:\Users\andre\Desktop\REACTIV CEFAS\Cefuroxime\Cefuroxime/20201125_Cefas_Test7_Run2/Plate 1/@13/D8_02.tif "/>
    <s v=" 48818.6722 "/>
    <s v=" 42.8285 "/>
    <x v="0"/>
    <n v="2090832"/>
    <m/>
    <m/>
  </r>
  <r>
    <x v="2"/>
    <x v="4"/>
    <s v="C:\Users\andre\Desktop\REACTIV CEFAS\Cefuroxime\Cefuroxime/20201125_Cefas_Test7_Run2/Plate 1/@13/D8_03.tif "/>
    <s v=" 46807.092 "/>
    <s v=" 42.3757 "/>
    <x v="0"/>
    <n v="1983483"/>
    <m/>
    <m/>
  </r>
  <r>
    <x v="2"/>
    <x v="5"/>
    <s v="C:\Users\andre\Desktop\REACTIV CEFAS\Cefuroxime\Cefuroxime/20201125_Cefas_Test7_Run2/Plate 1/@13/E8_01.tif "/>
    <s v=" 17779.7734 "/>
    <s v=" 35.8358 "/>
    <x v="0"/>
    <n v="637152"/>
    <m/>
    <m/>
  </r>
  <r>
    <x v="2"/>
    <x v="5"/>
    <s v="C:\Users\andre\Desktop\REACTIV CEFAS\Cefuroxime\Cefuroxime/20201125_Cefas_Test7_Run2/Plate 1/@13/E8_02.tif "/>
    <s v=" 18212.3713 "/>
    <s v=" 36.7114 "/>
    <x v="0"/>
    <n v="668602"/>
    <m/>
    <m/>
  </r>
  <r>
    <x v="2"/>
    <x v="5"/>
    <s v="C:\Users\andre\Desktop\REACTIV CEFAS\Cefuroxime\Cefuroxime/20201125_Cefas_Test7_Run2/Plate 1/@13/E8_03.tif "/>
    <s v=" 13929.6521 "/>
    <s v=" 33.9224 "/>
    <x v="0"/>
    <n v="472527"/>
    <m/>
    <m/>
  </r>
  <r>
    <x v="2"/>
    <x v="6"/>
    <s v="C:\Users\andre\Desktop\REACTIV CEFAS\Cefuroxime\Cefuroxime/20201125_Cefas_Test7_Run2/Plate 1/@13/F8_01.tif "/>
    <s v=" 12264.1503 "/>
    <s v=" 33.9312 "/>
    <x v="0"/>
    <n v="416138"/>
    <m/>
    <m/>
  </r>
  <r>
    <x v="2"/>
    <x v="6"/>
    <s v="C:\Users\andre\Desktop\REACTIV CEFAS\Cefuroxime\Cefuroxime/20201125_Cefas_Test7_Run2/Plate 1/@13/F8_02.tif "/>
    <s v=" 16784.7982 "/>
    <s v=" 34.2758 "/>
    <x v="0"/>
    <n v="575312"/>
    <m/>
    <m/>
  </r>
  <r>
    <x v="2"/>
    <x v="6"/>
    <s v="C:\Users\andre\Desktop\REACTIV CEFAS\Cefuroxime\Cefuroxime/20201125_Cefas_Test7_Run2/Plate 1/@13/F8_03.tif "/>
    <s v=" 13951.282 "/>
    <s v=" 34.1411 "/>
    <x v="0"/>
    <n v="476312"/>
    <m/>
    <m/>
  </r>
  <r>
    <x v="2"/>
    <x v="7"/>
    <s v="C:\Users\andre\Desktop\REACTIV CEFAS\Cefuroxime\Cefuroxime/20201125_Cefas_Test7_Run2/Plate 1/@13/G8_01.tif "/>
    <s v=" 627.2669 "/>
    <s v=" 30.931 "/>
    <x v="0"/>
    <n v="19402"/>
    <m/>
    <m/>
  </r>
  <r>
    <x v="2"/>
    <x v="7"/>
    <s v="C:\Users\andre\Desktop\REACTIV CEFAS\Cefuroxime\Cefuroxime/20201125_Cefas_Test7_Run2/Plate 1/@13/G8_02.tif "/>
    <s v=" 2184.6194 "/>
    <s v=" 33.2475 "/>
    <x v="0"/>
    <n v="72633"/>
    <m/>
    <m/>
  </r>
  <r>
    <x v="2"/>
    <x v="7"/>
    <s v="C:\Users\andre\Desktop\REACTIV CEFAS\Cefuroxime\Cefuroxime/20201125_Cefas_Test7_Run2/Plate 1/@13/G8_03.tif "/>
    <s v=" 2076.4699 "/>
    <s v=" 34.3542 "/>
    <x v="0"/>
    <n v="71335"/>
    <m/>
    <m/>
  </r>
  <r>
    <x v="2"/>
    <x v="8"/>
    <s v="C:\Users\andre\Desktop\REACTIV CEFAS\Cefuroxime\Cefuroxime/20201125_Cefas_Test7_Run2/Plate 1/@13/H8_01.tif "/>
    <s v=" 40209.9741 "/>
    <s v=" 40.1372 "/>
    <x v="0"/>
    <n v="1613915"/>
    <m/>
    <m/>
  </r>
  <r>
    <x v="2"/>
    <x v="8"/>
    <s v="C:\Users\andre\Desktop\REACTIV CEFAS\Cefuroxime\Cefuroxime/20201125_Cefas_Test7_Run2/Plate 1/@13/H8_02.tif "/>
    <s v=" 39604.3371 "/>
    <s v=" 39.7739 "/>
    <x v="0"/>
    <n v="1575219"/>
    <m/>
    <m/>
  </r>
  <r>
    <x v="2"/>
    <x v="8"/>
    <s v="C:\Users\andre\Desktop\REACTIV CEFAS\Cefuroxime\Cefuroxime/20201125_Cefas_Test7_Run2/Plate 1/@13/H8_03.tif "/>
    <s v=" 34845.7602 "/>
    <s v=" 39.7381 "/>
    <x v="0"/>
    <n v="1384703"/>
    <m/>
    <m/>
  </r>
  <r>
    <x v="0"/>
    <x v="0"/>
    <s v=" "/>
    <m/>
    <m/>
    <x v="1"/>
    <m/>
    <m/>
    <m/>
  </r>
  <r>
    <x v="0"/>
    <x v="0"/>
    <s v="group "/>
    <s v=" "/>
    <s v=" mean of mean fluo "/>
    <x v="2"/>
    <s v=" mean of total fluo "/>
    <s v=" SD total fluo "/>
    <m/>
  </r>
  <r>
    <x v="2"/>
    <x v="9"/>
    <s v="C:\Users\andre\Desktop\REACTIV CEFAS\Cefuroxime\Cefuroxime/20201125_Cefas_Test7_Run2/Plate 1/@13/ "/>
    <s v=" "/>
    <s v=" 37.4447 "/>
    <x v="4"/>
    <s v=" 1102193.75 "/>
    <s v=" 760495.783 "/>
    <m/>
  </r>
  <r>
    <x v="0"/>
    <x v="0"/>
    <s v=" "/>
    <m/>
    <m/>
    <x v="1"/>
    <m/>
    <m/>
    <m/>
  </r>
  <r>
    <x v="0"/>
    <x v="0"/>
    <s v=" "/>
    <m/>
    <m/>
    <x v="1"/>
    <m/>
    <m/>
    <m/>
  </r>
  <r>
    <x v="0"/>
    <x v="0"/>
    <s v=" "/>
    <m/>
    <m/>
    <x v="1"/>
    <m/>
    <m/>
    <m/>
  </r>
  <r>
    <x v="0"/>
    <x v="0"/>
    <s v=" "/>
    <m/>
    <m/>
    <x v="1"/>
    <m/>
    <m/>
    <m/>
  </r>
  <r>
    <x v="0"/>
    <x v="0"/>
    <s v=" "/>
    <m/>
    <m/>
    <x v="1"/>
    <m/>
    <m/>
    <m/>
  </r>
  <r>
    <x v="0"/>
    <x v="0"/>
    <s v="file name "/>
    <s v=" total area "/>
    <s v=" mean intensity "/>
    <x v="0"/>
    <s v=" total fluorescence"/>
    <m/>
    <m/>
  </r>
  <r>
    <x v="3"/>
    <x v="1"/>
    <s v="C:\Users\andre\Desktop\REACTIV CEFAS\Cefuroxime\Cefuroxime/20201125_Cefas_Test7_Run2/Plate 1/@14/A9_01.tif "/>
    <s v=" 454.2278 "/>
    <s v=" 33.0952 "/>
    <x v="0"/>
    <n v="15033"/>
    <m/>
    <m/>
  </r>
  <r>
    <x v="3"/>
    <x v="1"/>
    <s v="C:\Users\andre\Desktop\REACTIV CEFAS\Cefuroxime\Cefuroxime/20201125_Cefas_Test7_Run2/Plate 1/@14/A9_02.tif "/>
    <s v=" 3785.2316 "/>
    <s v=" 33.04 "/>
    <x v="0"/>
    <n v="125064"/>
    <m/>
    <m/>
  </r>
  <r>
    <x v="3"/>
    <x v="1"/>
    <s v="C:\Users\andre\Desktop\REACTIV CEFAS\Cefuroxime\Cefuroxime/20201125_Cefas_Test7_Run2/Plate 1/@14/A9_03- exclu.tif"/>
    <m/>
    <m/>
    <x v="1"/>
    <m/>
    <m/>
    <m/>
  </r>
  <r>
    <x v="3"/>
    <x v="2"/>
    <s v="C:\Users\andre\Desktop\REACTIV CEFAS\Cefuroxime\Cefuroxime/20201125_Cefas_Test7_Run2/Plate 1/@14/B9_01.tif "/>
    <s v=" 18666.5991 "/>
    <s v=" 34.7671 "/>
    <x v="0"/>
    <n v="648983"/>
    <m/>
    <m/>
  </r>
  <r>
    <x v="3"/>
    <x v="2"/>
    <s v="C:\Users\andre\Desktop\REACTIV CEFAS\Cefuroxime\Cefuroxime/20201125_Cefas_Test7_Run2/Plate 1/@14/B9_02.tif "/>
    <s v=" 16633.389 "/>
    <s v=" 34.7321 "/>
    <x v="0"/>
    <n v="577713"/>
    <m/>
    <m/>
  </r>
  <r>
    <x v="3"/>
    <x v="2"/>
    <s v="C:\Users\andre\Desktop\REACTIV CEFAS\Cefuroxime\Cefuroxime/20201125_Cefas_Test7_Run2/Plate 1/@14/B9_03.tif "/>
    <s v=" 8673.5877 "/>
    <s v=" 34.606 "/>
    <x v="0"/>
    <n v="300158"/>
    <m/>
    <m/>
  </r>
  <r>
    <x v="3"/>
    <x v="3"/>
    <s v="C:\Users\andre\Desktop\REACTIV CEFAS\Cefuroxime\Cefuroxime/20201125_Cefas_Test7_Run2/Plate 1/@14/C9_01.tif "/>
    <s v=" 30130.4432 "/>
    <s v=" 36.9655 "/>
    <x v="0"/>
    <n v="1113788"/>
    <m/>
    <m/>
  </r>
  <r>
    <x v="3"/>
    <x v="3"/>
    <s v="C:\Users\andre\Desktop\REACTIV CEFAS\Cefuroxime\Cefuroxime/20201125_Cefas_Test7_Run2/Plate 1/@14/C9_02.tif "/>
    <s v=" 23381.9161 "/>
    <s v=" 35.5791 "/>
    <x v="0"/>
    <n v="831907"/>
    <m/>
    <m/>
  </r>
  <r>
    <x v="3"/>
    <x v="3"/>
    <s v="C:\Users\andre\Desktop\REACTIV CEFAS\Cefuroxime\Cefuroxime/20201125_Cefas_Test7_Run2/Plate 1/@14/C9_03.tif "/>
    <s v=" 28551.4609 "/>
    <s v=" 36.1 "/>
    <x v="0"/>
    <n v="1030708"/>
    <m/>
    <m/>
  </r>
  <r>
    <x v="3"/>
    <x v="4"/>
    <s v="C:\Users\andre\Desktop\REACTIV CEFAS\Cefuroxime\Cefuroxime/20201125_Cefas_Test7_Run2/Plate 1/@14/D9_01.tif "/>
    <s v=" 30563.0411 "/>
    <s v=" 36.6362 "/>
    <x v="0"/>
    <n v="1119715"/>
    <m/>
    <m/>
  </r>
  <r>
    <x v="3"/>
    <x v="4"/>
    <s v="C:\Users\andre\Desktop\REACTIV CEFAS\Cefuroxime\Cefuroxime/20201125_Cefas_Test7_Run2/Plate 1/@14/D9_02.tif "/>
    <s v=" 30476.5215 "/>
    <s v=" 40.401 "/>
    <x v="0"/>
    <n v="1231282"/>
    <m/>
    <m/>
  </r>
  <r>
    <x v="3"/>
    <x v="4"/>
    <s v="C:\Users\andre\Desktop\REACTIV CEFAS\Cefuroxime\Cefuroxime/20201125_Cefas_Test7_Run2/Plate 1/@14/D9_03- exclu.tif"/>
    <m/>
    <m/>
    <x v="1"/>
    <m/>
    <m/>
    <m/>
  </r>
  <r>
    <x v="3"/>
    <x v="5"/>
    <s v="C:\Users\andre\Desktop\REACTIV CEFAS\Cefuroxime\Cefuroxime/20201125_Cefas_Test7_Run2/Plate 1/@14/E9_01.tif "/>
    <s v=" 52019.8966 "/>
    <s v=" 39.4316 "/>
    <x v="0"/>
    <n v="2051228"/>
    <m/>
    <m/>
  </r>
  <r>
    <x v="3"/>
    <x v="5"/>
    <s v="C:\Users\andre\Desktop\REACTIV CEFAS\Cefuroxime\Cefuroxime/20201125_Cefas_Test7_Run2/Plate 1/@14/E9_02.tif "/>
    <s v=" 52928.3522 "/>
    <s v=" 37.6984 "/>
    <x v="0"/>
    <n v="1995315"/>
    <m/>
    <m/>
  </r>
  <r>
    <x v="3"/>
    <x v="5"/>
    <s v="C:\Users\andre\Desktop\REACTIV CEFAS\Cefuroxime\Cefuroxime/20201125_Cefas_Test7_Run2/Plate 1/@14/E9_03.tif "/>
    <s v=" 45314.6292 "/>
    <s v=" 40.2029 "/>
    <x v="0"/>
    <n v="1821778"/>
    <m/>
    <m/>
  </r>
  <r>
    <x v="3"/>
    <x v="6"/>
    <s v="C:\Users\andre\Desktop\REACTIV CEFAS\Cefuroxime\Cefuroxime/20201125_Cefas_Test7_Run2/Plate 1/@14/F9_01- exclu.tif"/>
    <m/>
    <m/>
    <x v="1"/>
    <m/>
    <m/>
    <m/>
  </r>
  <r>
    <x v="3"/>
    <x v="6"/>
    <s v="C:\Users\andre\Desktop\REACTIV CEFAS\Cefuroxime\Cefuroxime/20201125_Cefas_Test7_Run2/Plate 1/@14/F9_02- exclu.tif"/>
    <m/>
    <m/>
    <x v="1"/>
    <m/>
    <m/>
    <m/>
  </r>
  <r>
    <x v="3"/>
    <x v="6"/>
    <s v="C:\Users\andre\Desktop\REACTIV CEFAS\Cefuroxime\Cefuroxime/20201125_Cefas_Test7_Run2/Plate 1/@14/F9_03- exclu.tif"/>
    <m/>
    <m/>
    <x v="1"/>
    <m/>
    <m/>
    <m/>
  </r>
  <r>
    <x v="3"/>
    <x v="7"/>
    <s v="C:\Users\andre\Desktop\REACTIV CEFAS\Cefuroxime\Cefuroxime/20201125_Cefas_Test7_Run2/Plate 1/@14/G9_01.tif "/>
    <s v=" 40318.1236 "/>
    <s v=" 36.3256 "/>
    <x v="0"/>
    <n v="1464582"/>
    <m/>
    <m/>
  </r>
  <r>
    <x v="3"/>
    <x v="7"/>
    <s v="C:\Users\andre\Desktop\REACTIV CEFAS\Cefuroxime\Cefuroxime/20201125_Cefas_Test7_Run2/Plate 1/@14/G9_02.tif "/>
    <s v=" 46006.7859 "/>
    <s v=" 36.4725 "/>
    <x v="0"/>
    <n v="1677982"/>
    <m/>
    <m/>
  </r>
  <r>
    <x v="3"/>
    <x v="7"/>
    <s v="C:\Users\andre\Desktop\REACTIV CEFAS\Cefuroxime\Cefuroxime/20201125_Cefas_Test7_Run2/Plate 1/@14/G9_03.tif "/>
    <s v=" 43605.8676 "/>
    <s v=" 35.5154 "/>
    <x v="0"/>
    <n v="1548679"/>
    <m/>
    <m/>
  </r>
  <r>
    <x v="3"/>
    <x v="8"/>
    <s v="C:\Users\andre\Desktop\REACTIV CEFAS\Cefuroxime\Cefuroxime/20201125_Cefas_Test7_Run2/Plate 1/@14/H9_01.tif "/>
    <s v=" 20050.9123 "/>
    <s v=" 33.7789 "/>
    <x v="0"/>
    <n v="677297"/>
    <m/>
    <m/>
  </r>
  <r>
    <x v="3"/>
    <x v="8"/>
    <s v="C:\Users\andre\Desktop\REACTIV CEFAS\Cefuroxime\Cefuroxime/20201125_Cefas_Test7_Run2/Plate 1/@14/H9_02.tif "/>
    <s v=" 13843.1326 "/>
    <s v=" 35.4922 "/>
    <x v="0"/>
    <n v="491323"/>
    <m/>
    <m/>
  </r>
  <r>
    <x v="3"/>
    <x v="8"/>
    <s v="C:\Users\andre\Desktop\REACTIV CEFAS\Cefuroxime\Cefuroxime/20201125_Cefas_Test7_Run2/Plate 1/@14/H9_03.tif "/>
    <s v=" 12199.2606 "/>
    <s v=" 33.3812 "/>
    <x v="0"/>
    <n v="407226"/>
    <m/>
    <m/>
  </r>
  <r>
    <x v="0"/>
    <x v="0"/>
    <s v=" "/>
    <m/>
    <m/>
    <x v="1"/>
    <m/>
    <m/>
    <m/>
  </r>
  <r>
    <x v="0"/>
    <x v="0"/>
    <s v="group "/>
    <s v=" "/>
    <s v=" mean of mean fluo "/>
    <x v="2"/>
    <s v=" mean of total fluo "/>
    <s v=" SD total fluo "/>
    <m/>
  </r>
  <r>
    <x v="3"/>
    <x v="9"/>
    <s v="C:\Users\andre\Desktop\REACTIV CEFAS\Cefuroxime\Cefuroxime/20201125_Cefas_Test7_Run2/Plate 1/@14/ "/>
    <s v=" "/>
    <s v=" 29.7975 "/>
    <x v="5"/>
    <s v=" 797770.042 "/>
    <s v=" 694203.93 "/>
    <m/>
  </r>
  <r>
    <x v="0"/>
    <x v="0"/>
    <s v=" "/>
    <m/>
    <m/>
    <x v="1"/>
    <m/>
    <m/>
    <m/>
  </r>
  <r>
    <x v="0"/>
    <x v="0"/>
    <s v=" "/>
    <m/>
    <m/>
    <x v="1"/>
    <m/>
    <m/>
    <m/>
  </r>
  <r>
    <x v="0"/>
    <x v="0"/>
    <s v=" "/>
    <m/>
    <m/>
    <x v="1"/>
    <m/>
    <m/>
    <m/>
  </r>
  <r>
    <x v="0"/>
    <x v="0"/>
    <s v=" "/>
    <m/>
    <m/>
    <x v="1"/>
    <m/>
    <m/>
    <m/>
  </r>
  <r>
    <x v="0"/>
    <x v="0"/>
    <s v=" "/>
    <m/>
    <m/>
    <x v="1"/>
    <m/>
    <m/>
    <m/>
  </r>
  <r>
    <x v="0"/>
    <x v="0"/>
    <s v="file name "/>
    <s v=" total area "/>
    <s v=" mean intensity "/>
    <x v="0"/>
    <s v=" total fluorescence"/>
    <m/>
    <m/>
  </r>
  <r>
    <x v="4"/>
    <x v="1"/>
    <s v="C:\Users\andre\Desktop\REACTIV CEFAS\Cefuroxime\Cefuroxime/20201125_Cefas_Test7_Run2/Plate 1/@15/A11_01- exclu.tif"/>
    <m/>
    <m/>
    <x v="1"/>
    <m/>
    <m/>
    <m/>
  </r>
  <r>
    <x v="4"/>
    <x v="1"/>
    <s v="C:\Users\andre\Desktop\REACTIV CEFAS\Cefuroxime\Cefuroxime/20201125_Cefas_Test7_Run2/Plate 1/@15/A11_02- exclu.tif"/>
    <m/>
    <m/>
    <x v="1"/>
    <m/>
    <m/>
    <m/>
  </r>
  <r>
    <x v="4"/>
    <x v="1"/>
    <s v="C:\Users\andre\Desktop\REACTIV CEFAS\Cefuroxime\Cefuroxime/20201125_Cefas_Test7_Run2/Plate 1/@15/A11_03- exclu.tif"/>
    <m/>
    <m/>
    <x v="1"/>
    <m/>
    <m/>
    <m/>
  </r>
  <r>
    <x v="4"/>
    <x v="2"/>
    <s v="C:\Users\andre\Desktop\REACTIV CEFAS\Cefuroxime\Cefuroxime/20201125_Cefas_Test7_Run2/Plate 1/@15/B11_01.tif "/>
    <s v=" 64413.8262 "/>
    <s v=" 49.4389 "/>
    <x v="0"/>
    <n v="3184548"/>
    <m/>
    <m/>
  </r>
  <r>
    <x v="4"/>
    <x v="2"/>
    <s v="C:\Users\andre\Desktop\REACTIV CEFAS\Cefuroxime\Cefuroxime/20201125_Cefas_Test7_Run2/Plate 1/@15/B11_02- exclu.tif"/>
    <m/>
    <m/>
    <x v="1"/>
    <m/>
    <m/>
    <m/>
  </r>
  <r>
    <x v="4"/>
    <x v="2"/>
    <s v="C:\Users\andre\Desktop\REACTIV CEFAS\Cefuroxime\Cefuroxime/20201125_Cefas_Test7_Run2/Plate 1/@15/B11_03- exclu.tif"/>
    <m/>
    <m/>
    <x v="1"/>
    <m/>
    <m/>
    <m/>
  </r>
  <r>
    <x v="4"/>
    <x v="3"/>
    <s v="C:\Users\andre\Desktop\REACTIV CEFAS\Cefuroxime\Cefuroxime/20201125_Cefas_Test7_Run2/Plate 1/@15/C11_01.tif "/>
    <s v=" 23317.0264 "/>
    <s v=" 46.2727 "/>
    <x v="0"/>
    <n v="1078942"/>
    <m/>
    <m/>
  </r>
  <r>
    <x v="4"/>
    <x v="3"/>
    <s v="C:\Users\andre\Desktop\REACTIV CEFAS\Cefuroxime\Cefuroxime/20201125_Cefas_Test7_Run2/Plate 1/@15/C11_02.tif "/>
    <s v=" 20505.1401 "/>
    <s v=" 45.8914 "/>
    <x v="0"/>
    <n v="941009"/>
    <m/>
    <m/>
  </r>
  <r>
    <x v="4"/>
    <x v="3"/>
    <s v="C:\Users\andre\Desktop\REACTIV CEFAS\Cefuroxime\Cefuroxime/20201125_Cefas_Test7_Run2/Plate 1/@15/C11_03.tif "/>
    <s v=" 16806.4281 "/>
    <s v=" 46.3668 "/>
    <x v="0"/>
    <n v="779260"/>
    <m/>
    <m/>
  </r>
  <r>
    <x v="4"/>
    <x v="4"/>
    <s v="C:\Users\andre\Desktop\REACTIV CEFAS\Cefuroxime\Cefuroxime/20201125_Cefas_Test7_Run2/Plate 1/@15/D11_01.tif "/>
    <s v=" 88617.6783 "/>
    <s v=" 47.8584 "/>
    <x v="0"/>
    <n v="4241103"/>
    <m/>
    <m/>
  </r>
  <r>
    <x v="4"/>
    <x v="4"/>
    <s v="C:\Users\andre\Desktop\REACTIV CEFAS\Cefuroxime\Cefuroxime/20201125_Cefas_Test7_Run2/Plate 1/@15/D11_02.tif "/>
    <s v=" 86757.5074 "/>
    <s v=" 51.1149 "/>
    <x v="0"/>
    <n v="4434604"/>
    <m/>
    <m/>
  </r>
  <r>
    <x v="4"/>
    <x v="4"/>
    <s v="C:\Users\andre\Desktop\REACTIV CEFAS\Cefuroxime\Cefuroxime/20201125_Cefas_Test7_Run2/Plate 1/@15/D11_03.tif "/>
    <s v=" 83686.0623 "/>
    <s v=" 47.5348 "/>
    <x v="0"/>
    <n v="3977997"/>
    <m/>
    <m/>
  </r>
  <r>
    <x v="4"/>
    <x v="5"/>
    <s v="C:\Users\andre\Desktop\REACTIV CEFAS\Cefuroxime\Cefuroxime/20201125_Cefas_Test7_Run2/Plate 1/@15/E11_01.tif "/>
    <s v=" 60044.5875 "/>
    <s v=" 43.4143 "/>
    <x v="0"/>
    <n v="2606792"/>
    <m/>
    <m/>
  </r>
  <r>
    <x v="4"/>
    <x v="5"/>
    <s v="C:\Users\andre\Desktop\REACTIV CEFAS\Cefuroxime\Cefuroxime/20201125_Cefas_Test7_Run2/Plate 1/@15/E11_02.tif "/>
    <s v=" 63116.0325 "/>
    <s v=" 46.9469 "/>
    <x v="0"/>
    <n v="2963101"/>
    <m/>
    <m/>
  </r>
  <r>
    <x v="4"/>
    <x v="5"/>
    <s v="C:\Users\andre\Desktop\REACTIV CEFAS\Cefuroxime\Cefuroxime/20201125_Cefas_Test7_Run2/Plate 1/@15/E11_03.tif "/>
    <s v=" 63591.8902 "/>
    <s v=" 45.9776 "/>
    <x v="0"/>
    <n v="2923799"/>
    <m/>
    <m/>
  </r>
  <r>
    <x v="4"/>
    <x v="6"/>
    <s v="C:\Users\andre\Desktop\REACTIV CEFAS\Cefuroxime\Cefuroxime/20201125_Cefas_Test7_Run2/Plate 1/@15/F11_01.tif "/>
    <s v=" 81263.5141 "/>
    <s v=" 54.4913 "/>
    <x v="0"/>
    <n v="4428159"/>
    <m/>
    <m/>
  </r>
  <r>
    <x v="4"/>
    <x v="6"/>
    <s v="C:\Users\andre\Desktop\REACTIV CEFAS\Cefuroxime\Cefuroxime/20201125_Cefas_Test7_Run2/Plate 1/@15/F11_02.tif "/>
    <s v=" 83750.952 "/>
    <s v=" 54.8802 "/>
    <x v="0"/>
    <n v="4596266"/>
    <m/>
    <m/>
  </r>
  <r>
    <x v="4"/>
    <x v="6"/>
    <s v="C:\Users\andre\Desktop\REACTIV CEFAS\Cefuroxime\Cefuroxime/20201125_Cefas_Test7_Run2/Plate 1/@15/F11_03.tif "/>
    <s v=" 76894.2754 "/>
    <s v=" 51.2515 "/>
    <x v="0"/>
    <n v="3940945"/>
    <m/>
    <m/>
  </r>
  <r>
    <x v="4"/>
    <x v="7"/>
    <s v="C:\Users\andre\Desktop\REACTIV CEFAS\Cefuroxime\Cefuroxime/20201125_Cefas_Test7_Run2/Plate 1/@15/G11_01.tif "/>
    <s v=" 60239.2565 "/>
    <s v=" 52.4977 "/>
    <x v="0"/>
    <n v="3162420"/>
    <m/>
    <m/>
  </r>
  <r>
    <x v="4"/>
    <x v="7"/>
    <s v="C:\Users\andre\Desktop\REACTIV CEFAS\Cefuroxime\Cefuroxime/20201125_Cefas_Test7_Run2/Plate 1/@15/G11_02.tif "/>
    <s v=" 57167.8115 "/>
    <s v=" 48.4268 "/>
    <x v="0"/>
    <n v="2768453"/>
    <m/>
    <m/>
  </r>
  <r>
    <x v="4"/>
    <x v="7"/>
    <s v="C:\Users\andre\Desktop\REACTIV CEFAS\Cefuroxime\Cefuroxime/20201125_Cefas_Test7_Run2/Plate 1/@15/G11_03.tif "/>
    <s v=" 65668.3601 "/>
    <s v=" 51.5471 "/>
    <x v="0"/>
    <n v="3385014"/>
    <m/>
    <m/>
  </r>
  <r>
    <x v="4"/>
    <x v="8"/>
    <s v="C:\Users\andre\Desktop\REACTIV CEFAS\Cefuroxime\Cefuroxime/20201125_Cefas_Test7_Run2/Plate 1/@15/H11_01.tif "/>
    <s v=" 53988.217 "/>
    <s v=" 52.3922 "/>
    <x v="0"/>
    <n v="2828563"/>
    <m/>
    <m/>
  </r>
  <r>
    <x v="4"/>
    <x v="8"/>
    <s v="C:\Users\andre\Desktop\REACTIV CEFAS\Cefuroxime\Cefuroxime/20201125_Cefas_Test7_Run2/Plate 1/@15/H11_02.tif "/>
    <s v=" 53166.281 "/>
    <s v=" 55.2823 "/>
    <x v="0"/>
    <n v="2939157"/>
    <m/>
    <m/>
  </r>
  <r>
    <x v="4"/>
    <x v="8"/>
    <s v="C:\Users\andre\Desktop\REACTIV CEFAS\Cefuroxime\Cefuroxime/20201125_Cefas_Test7_Run2/Plate 1/@15/H11_03.tif "/>
    <s v=" 49489.1989 "/>
    <s v=" 52.1075 "/>
    <x v="0"/>
    <n v="2578759"/>
    <m/>
    <m/>
  </r>
  <r>
    <x v="0"/>
    <x v="0"/>
    <s v=" "/>
    <m/>
    <m/>
    <x v="1"/>
    <m/>
    <m/>
    <m/>
  </r>
  <r>
    <x v="0"/>
    <x v="0"/>
    <s v="group "/>
    <s v=" "/>
    <s v=" mean of mean fluo "/>
    <x v="2"/>
    <s v=" mean of total fluo "/>
    <s v=" SD total fluo "/>
    <m/>
  </r>
  <r>
    <x v="4"/>
    <x v="9"/>
    <s v="C:\Users\andre\Desktop\REACTIV CEFAS\Cefuroxime\Cefuroxime/20201125_Cefas_Test7_Run2/Plate 1/@15/ "/>
    <s v=" "/>
    <s v=" 50.417 "/>
    <x v="6"/>
    <s v=" 3003694.75 "/>
    <s v=" 1073057.3 "/>
    <m/>
  </r>
  <r>
    <x v="0"/>
    <x v="0"/>
    <s v=" "/>
    <m/>
    <m/>
    <x v="1"/>
    <m/>
    <m/>
    <m/>
  </r>
  <r>
    <x v="0"/>
    <x v="0"/>
    <s v=" "/>
    <m/>
    <m/>
    <x v="1"/>
    <m/>
    <m/>
    <m/>
  </r>
  <r>
    <x v="0"/>
    <x v="0"/>
    <s v=" "/>
    <m/>
    <m/>
    <x v="1"/>
    <m/>
    <m/>
    <m/>
  </r>
  <r>
    <x v="0"/>
    <x v="0"/>
    <s v=" "/>
    <m/>
    <m/>
    <x v="1"/>
    <m/>
    <m/>
    <m/>
  </r>
  <r>
    <x v="0"/>
    <x v="0"/>
    <s v=" "/>
    <m/>
    <m/>
    <x v="1"/>
    <m/>
    <m/>
    <m/>
  </r>
  <r>
    <x v="0"/>
    <x v="0"/>
    <s v="file name "/>
    <s v=" total area "/>
    <s v=" mean intensity "/>
    <x v="0"/>
    <s v=" total fluorescence"/>
    <m/>
    <m/>
  </r>
  <r>
    <x v="5"/>
    <x v="1"/>
    <s v="C:\Users\andre\Desktop\REACTIV CEFAS\Cefuroxime\Cefuroxime/20201125_Cefas_Test7_Run2/Plate 1/@16/A12_01- exclu.tif"/>
    <m/>
    <m/>
    <x v="1"/>
    <m/>
    <m/>
    <m/>
  </r>
  <r>
    <x v="5"/>
    <x v="1"/>
    <s v="C:\Users\andre\Desktop\REACTIV CEFAS\Cefuroxime\Cefuroxime/20201125_Cefas_Test7_Run2/Plate 1/@16/A12_02- exclu.tif"/>
    <m/>
    <m/>
    <x v="1"/>
    <m/>
    <m/>
    <m/>
  </r>
  <r>
    <x v="5"/>
    <x v="1"/>
    <s v="C:\Users\andre\Desktop\REACTIV CEFAS\Cefuroxime\Cefuroxime/20201125_Cefas_Test7_Run2/Plate 1/@16/A12_03- exclu.tif"/>
    <m/>
    <m/>
    <x v="1"/>
    <m/>
    <m/>
    <m/>
  </r>
  <r>
    <x v="5"/>
    <x v="2"/>
    <s v="C:\Users\andre\Desktop\REACTIV CEFAS\Cefuroxime\Cefuroxime/20201125_Cefas_Test7_Run2/Plate 1/@16/B12_01.tif "/>
    <s v=" 540.7474 "/>
    <s v=" 33.16 "/>
    <x v="0"/>
    <n v="17931"/>
    <m/>
    <m/>
  </r>
  <r>
    <x v="5"/>
    <x v="2"/>
    <s v="C:\Users\andre\Desktop\REACTIV CEFAS\Cefuroxime\Cefuroxime/20201125_Cefas_Test7_Run2/Plate 1/@16/B12_02.tif "/>
    <n v="0"/>
    <n v="0"/>
    <x v="0"/>
    <n v="0"/>
    <m/>
    <m/>
  </r>
  <r>
    <x v="5"/>
    <x v="2"/>
    <s v="C:\Users\andre\Desktop\REACTIV CEFAS\Cefuroxime\Cefuroxime/20201125_Cefas_Test7_Run2/Plate 1/@16/B12_03.tif "/>
    <s v=" 4628.7975 "/>
    <s v=" 34.3364 "/>
    <x v="0"/>
    <n v="158936"/>
    <m/>
    <m/>
  </r>
  <r>
    <x v="5"/>
    <x v="3"/>
    <s v="C:\Users\andre\Desktop\REACTIV CEFAS\Cefuroxime\Cefuroxime/20201125_Cefas_Test7_Run2/Plate 1/@16/C12_01.tif "/>
    <s v=" 4736.9469 "/>
    <s v=" 33.9041 "/>
    <x v="0"/>
    <n v="160602"/>
    <m/>
    <m/>
  </r>
  <r>
    <x v="5"/>
    <x v="3"/>
    <s v="C:\Users\andre\Desktop\REACTIV CEFAS\Cefuroxime\Cefuroxime/20201125_Cefas_Test7_Run2/Plate 1/@16/C12_02.tif "/>
    <s v=" 2054.84 "/>
    <s v=" 32.3053 "/>
    <x v="0"/>
    <n v="66382"/>
    <m/>
    <m/>
  </r>
  <r>
    <x v="5"/>
    <x v="3"/>
    <s v="C:\Users\andre\Desktop\REACTIV CEFAS\Cefuroxime\Cefuroxime/20201125_Cefas_Test7_Run2/Plate 1/@16/C12_03.tif "/>
    <s v=" 5753.552 "/>
    <s v=" 34.9887 "/>
    <x v="0"/>
    <n v="201309"/>
    <m/>
    <m/>
  </r>
  <r>
    <x v="5"/>
    <x v="4"/>
    <s v="C:\Users\andre\Desktop\REACTIV CEFAS\Cefuroxime\Cefuroxime/20201125_Cefas_Test7_Run2/Plate 1/@16/D12_01.tif "/>
    <s v=" 7202.7549 "/>
    <s v=" 42.1862 "/>
    <x v="0"/>
    <n v="303857"/>
    <m/>
    <m/>
  </r>
  <r>
    <x v="5"/>
    <x v="4"/>
    <s v="C:\Users\andre\Desktop\REACTIV CEFAS\Cefuroxime\Cefuroxime/20201125_Cefas_Test7_Run2/Plate 1/@16/D12_02.tif "/>
    <s v=" 9062.9258 "/>
    <s v=" 42.4726 "/>
    <x v="0"/>
    <n v="384926"/>
    <m/>
    <m/>
  </r>
  <r>
    <x v="5"/>
    <x v="4"/>
    <s v="C:\Users\andre\Desktop\REACTIV CEFAS\Cefuroxime\Cefuroxime/20201125_Cefas_Test7_Run2/Plate 1/@16/D12_03.tif "/>
    <s v=" 6640.3777 "/>
    <s v=" 40.5765 "/>
    <x v="0"/>
    <n v="269444"/>
    <m/>
    <m/>
  </r>
  <r>
    <x v="5"/>
    <x v="5"/>
    <s v="C:\Users\andre\Desktop\REACTIV CEFAS\Cefuroxime\Cefuroxime/20201125_Cefas_Test7_Run2/Plate 1/@16/E12_01.tif "/>
    <s v=" 4239.4593 "/>
    <s v=" 34.4031 "/>
    <x v="0"/>
    <n v="145850"/>
    <m/>
    <m/>
  </r>
  <r>
    <x v="5"/>
    <x v="5"/>
    <s v="C:\Users\andre\Desktop\REACTIV CEFAS\Cefuroxime\Cefuroxime/20201125_Cefas_Test7_Run2/Plate 1/@16/E12_02.tif "/>
    <s v=" 1103.1246 "/>
    <n v="33"/>
    <x v="0"/>
    <n v="36403"/>
    <m/>
    <m/>
  </r>
  <r>
    <x v="5"/>
    <x v="5"/>
    <s v="C:\Users\andre\Desktop\REACTIV CEFAS\Cefuroxime\Cefuroxime/20201125_Cefas_Test7_Run2/Plate 1/@16/E12_03.tif "/>
    <s v=" 1124.7545 "/>
    <s v=" 34.1538 "/>
    <x v="0"/>
    <n v="38415"/>
    <m/>
    <m/>
  </r>
  <r>
    <x v="5"/>
    <x v="6"/>
    <s v="C:\Users\andre\Desktop\REACTIV CEFAS\Cefuroxime\Cefuroxime/20201125_Cefas_Test7_Run2/Plate 1/@16/F12_01.tif "/>
    <s v=" 10403.9793 "/>
    <s v=" 45.7214 "/>
    <x v="0"/>
    <n v="475685"/>
    <m/>
    <m/>
  </r>
  <r>
    <x v="5"/>
    <x v="6"/>
    <s v="C:\Users\andre\Desktop\REACTIV CEFAS\Cefuroxime\Cefuroxime/20201125_Cefas_Test7_Run2/Plate 1/@16/F12_02.tif "/>
    <s v=" 10209.3103 "/>
    <s v=" 47.9153 "/>
    <x v="0"/>
    <n v="489182"/>
    <m/>
    <m/>
  </r>
  <r>
    <x v="5"/>
    <x v="6"/>
    <s v="C:\Users\andre\Desktop\REACTIV CEFAS\Cefuroxime\Cefuroxime/20201125_Cefas_Test7_Run2/Plate 1/@16/F12_03.tif "/>
    <s v=" 7029.7158 "/>
    <s v=" 39.1723 "/>
    <x v="0"/>
    <n v="275370"/>
    <m/>
    <m/>
  </r>
  <r>
    <x v="5"/>
    <x v="7"/>
    <s v="C:\Users\andre\Desktop\REACTIV CEFAS\Cefuroxime\Cefuroxime/20201125_Cefas_Test7_Run2/Plate 1/@16/G12_01.tif "/>
    <s v=" 4563.9078 "/>
    <s v=" 39.436 "/>
    <x v="0"/>
    <n v="179982"/>
    <m/>
    <m/>
  </r>
  <r>
    <x v="5"/>
    <x v="7"/>
    <s v="C:\Users\andre\Desktop\REACTIV CEFAS\Cefuroxime\Cefuroxime/20201125_Cefas_Test7_Run2/Plate 1/@16/G12_02.tif "/>
    <s v=" 4412.4985 "/>
    <s v=" 39.8873 "/>
    <x v="0"/>
    <n v="176002"/>
    <m/>
    <m/>
  </r>
  <r>
    <x v="5"/>
    <x v="7"/>
    <s v="C:\Users\andre\Desktop\REACTIV CEFAS\Cefuroxime\Cefuroxime/20201125_Cefas_Test7_Run2/Plate 1/@16/G12_03.tif "/>
    <s v=" 1297.7937 "/>
    <s v=" 33.1833 "/>
    <x v="0"/>
    <n v="43065"/>
    <m/>
    <m/>
  </r>
  <r>
    <x v="5"/>
    <x v="8"/>
    <s v="C:\Users\andre\Desktop\REACTIV CEFAS\Cefuroxime\Cefuroxime/20201125_Cefas_Test7_Run2/Plate 1/@16/H12_01.tif "/>
    <s v=" 2617.2173 "/>
    <s v=" 32.4959 "/>
    <x v="0"/>
    <n v="85049"/>
    <m/>
    <m/>
  </r>
  <r>
    <x v="5"/>
    <x v="8"/>
    <s v="C:\Users\andre\Desktop\REACTIV CEFAS\Cefuroxime\Cefuroxime/20201125_Cefas_Test7_Run2/Plate 1/@16/H12_02.tif "/>
    <n v="0"/>
    <n v="0"/>
    <x v="0"/>
    <n v="0"/>
    <m/>
    <m/>
  </r>
  <r>
    <x v="5"/>
    <x v="8"/>
    <s v="C:\Users\andre\Desktop\REACTIV CEFAS\Cefuroxime\Cefuroxime/20201125_Cefas_Test7_Run2/Plate 1/@16/H12_03.tif "/>
    <s v=" 3612.1924 "/>
    <s v=" 38.1916 "/>
    <x v="0"/>
    <n v="137955"/>
    <m/>
    <m/>
  </r>
  <r>
    <x v="0"/>
    <x v="0"/>
    <s v=" "/>
    <m/>
    <m/>
    <x v="1"/>
    <m/>
    <m/>
    <m/>
  </r>
  <r>
    <x v="0"/>
    <x v="0"/>
    <s v="group "/>
    <s v=" "/>
    <s v=" mean of mean fluo "/>
    <x v="2"/>
    <s v=" mean of total fluo "/>
    <s v=" SD total fluo "/>
    <m/>
  </r>
  <r>
    <x v="5"/>
    <x v="9"/>
    <s v="C:\Users\andre\Desktop\REACTIV CEFAS\Cefuroxime\Cefuroxime/20201125_Cefas_Test7_Run2/Plate 1/@16/ "/>
    <s v=" "/>
    <s v=" 35.4494 "/>
    <x v="7"/>
    <s v=" 245550.667 "/>
    <s v=" 237990.303 "/>
    <m/>
  </r>
  <r>
    <x v="0"/>
    <x v="0"/>
    <s v=" "/>
    <m/>
    <m/>
    <x v="1"/>
    <m/>
    <m/>
    <m/>
  </r>
  <r>
    <x v="0"/>
    <x v="0"/>
    <s v=" "/>
    <m/>
    <m/>
    <x v="1"/>
    <m/>
    <m/>
    <m/>
  </r>
  <r>
    <x v="0"/>
    <x v="0"/>
    <s v=" "/>
    <m/>
    <m/>
    <x v="1"/>
    <m/>
    <m/>
    <m/>
  </r>
  <r>
    <x v="0"/>
    <x v="0"/>
    <s v=" "/>
    <m/>
    <m/>
    <x v="1"/>
    <m/>
    <m/>
    <m/>
  </r>
  <r>
    <x v="0"/>
    <x v="0"/>
    <s v=" "/>
    <m/>
    <m/>
    <x v="1"/>
    <m/>
    <m/>
    <m/>
  </r>
  <r>
    <x v="0"/>
    <x v="0"/>
    <s v="file name "/>
    <s v=" total area "/>
    <s v=" mean intensity "/>
    <x v="0"/>
    <s v=" total fluorescence"/>
    <m/>
    <m/>
  </r>
  <r>
    <x v="6"/>
    <x v="1"/>
    <s v="C:\Users\andre\Desktop\REACTIV CEFAS\Cefuroxime\Cefuroxime/20201125_Cefas_Test7_Run2/Plate 1/@2/A2_01- exclu.tif"/>
    <m/>
    <m/>
    <x v="1"/>
    <m/>
    <m/>
    <m/>
  </r>
  <r>
    <x v="6"/>
    <x v="1"/>
    <s v="C:\Users\andre\Desktop\REACTIV CEFAS\Cefuroxime\Cefuroxime/20201125_Cefas_Test7_Run2/Plate 1/@2/A2_02- exclu.tif"/>
    <m/>
    <m/>
    <x v="1"/>
    <m/>
    <m/>
    <m/>
  </r>
  <r>
    <x v="6"/>
    <x v="1"/>
    <s v="C:\Users\andre\Desktop\REACTIV CEFAS\Cefuroxime\Cefuroxime/20201125_Cefas_Test7_Run2/Plate 1/@2/A2_03- exclu.tif"/>
    <m/>
    <m/>
    <x v="1"/>
    <m/>
    <m/>
    <m/>
  </r>
  <r>
    <x v="6"/>
    <x v="2"/>
    <s v="C:\Users\andre\Desktop\REACTIV CEFAS\Cefuroxime\Cefuroxime/20201125_Cefas_Test7_Run2/Plate 1/@2/B2_01.tif "/>
    <s v=" 108.1495 "/>
    <s v=" 30.4 "/>
    <x v="0"/>
    <n v="3288"/>
    <m/>
    <m/>
  </r>
  <r>
    <x v="6"/>
    <x v="2"/>
    <s v="C:\Users\andre\Desktop\REACTIV CEFAS\Cefuroxime\Cefuroxime/20201125_Cefas_Test7_Run2/Plate 1/@2/B2_02.tif "/>
    <s v=" 2292.7688 "/>
    <n v="33"/>
    <x v="0"/>
    <n v="75661"/>
    <m/>
    <m/>
  </r>
  <r>
    <x v="6"/>
    <x v="2"/>
    <s v="C:\Users\andre\Desktop\REACTIV CEFAS\Cefuroxime\Cefuroxime/20201125_Cefas_Test7_Run2/Plate 1/@2/B2_03.tif "/>
    <s v=" 3482.413 "/>
    <s v=" 33.3975 "/>
    <x v="0"/>
    <n v="116304"/>
    <m/>
    <m/>
  </r>
  <r>
    <x v="6"/>
    <x v="3"/>
    <s v="C:\Users\andre\Desktop\REACTIV CEFAS\Cefuroxime\Cefuroxime/20201125_Cefas_Test7_Run2/Plate 1/@2/C2_01- exclu.tif"/>
    <m/>
    <m/>
    <x v="1"/>
    <m/>
    <m/>
    <m/>
  </r>
  <r>
    <x v="6"/>
    <x v="3"/>
    <s v="C:\Users\andre\Desktop\REACTIV CEFAS\Cefuroxime\Cefuroxime/20201125_Cefas_Test7_Run2/Plate 1/@2/C2_02.tif "/>
    <s v=" 12177.6307 "/>
    <s v=" 36.4281 "/>
    <x v="0"/>
    <n v="443608"/>
    <m/>
    <m/>
  </r>
  <r>
    <x v="6"/>
    <x v="3"/>
    <s v="C:\Users\andre\Desktop\REACTIV CEFAS\Cefuroxime\Cefuroxime/20201125_Cefas_Test7_Run2/Plate 1/@2/C2_03.tif "/>
    <s v=" 3504.0429 "/>
    <s v=" 33.1049 "/>
    <x v="0"/>
    <n v="116001"/>
    <m/>
    <m/>
  </r>
  <r>
    <x v="6"/>
    <x v="4"/>
    <s v="C:\Users\andre\Desktop\REACTIV CEFAS\Cefuroxime\Cefuroxime/20201125_Cefas_Test7_Run2/Plate 1/@2/D2_01.tif "/>
    <s v=" 475.8577 "/>
    <s v=" 31.8636 "/>
    <x v="0"/>
    <n v="15163"/>
    <m/>
    <m/>
  </r>
  <r>
    <x v="6"/>
    <x v="4"/>
    <s v="C:\Users\andre\Desktop\REACTIV CEFAS\Cefuroxime\Cefuroxime/20201125_Cefas_Test7_Run2/Plate 1/@2/D2_02.tif "/>
    <s v=" 562.3773 "/>
    <s v=" 31.8846 "/>
    <x v="0"/>
    <n v="17931"/>
    <m/>
    <m/>
  </r>
  <r>
    <x v="6"/>
    <x v="4"/>
    <s v="C:\Users\andre\Desktop\REACTIV CEFAS\Cefuroxime\Cefuroxime/20201125_Cefas_Test7_Run2/Plate 1/@2/D2_03.tif "/>
    <s v=" 173.0392 "/>
    <s v=" 35.5 "/>
    <x v="0"/>
    <n v="6143"/>
    <m/>
    <m/>
  </r>
  <r>
    <x v="6"/>
    <x v="5"/>
    <s v="C:\Users\andre\Desktop\REACTIV CEFAS\Cefuroxime\Cefuroxime/20201125_Cefas_Test7_Run2/Plate 1/@2/E2_01.tif "/>
    <s v=" 757.0463 "/>
    <s v=" 33.5429 "/>
    <x v="0"/>
    <n v="25393"/>
    <m/>
    <m/>
  </r>
  <r>
    <x v="6"/>
    <x v="5"/>
    <s v="C:\Users\andre\Desktop\REACTIV CEFAS\Cefuroxime\Cefuroxime/20201125_Cefas_Test7_Run2/Plate 1/@2/E2_02.tif "/>
    <s v=" 2292.7688 "/>
    <s v=" 35.1321 "/>
    <x v="0"/>
    <n v="80550"/>
    <m/>
    <m/>
  </r>
  <r>
    <x v="6"/>
    <x v="5"/>
    <s v="C:\Users\andre\Desktop\REACTIV CEFAS\Cefuroxime\Cefuroxime/20201125_Cefas_Test7_Run2/Plate 1/@2/E2_03.tif "/>
    <s v=" 1643.872 "/>
    <s v=" 34.0263 "/>
    <x v="0"/>
    <n v="55935"/>
    <m/>
    <m/>
  </r>
  <r>
    <x v="6"/>
    <x v="6"/>
    <s v="C:\Users\andre\Desktop\REACTIV CEFAS\Cefuroxime\Cefuroxime/20201125_Cefas_Test7_Run2/Plate 1/@2/F2_01.tif "/>
    <s v=" 16027.7519 "/>
    <s v=" 44.4224 "/>
    <x v="0"/>
    <n v="711991"/>
    <m/>
    <m/>
  </r>
  <r>
    <x v="6"/>
    <x v="6"/>
    <s v="C:\Users\andre\Desktop\REACTIV CEFAS\Cefuroxime\Cefuroxime/20201125_Cefas_Test7_Run2/Plate 1/@2/F2_02.tif "/>
    <s v=" 14145.9511 "/>
    <s v=" 41.3135 "/>
    <x v="0"/>
    <n v="584418"/>
    <m/>
    <m/>
  </r>
  <r>
    <x v="6"/>
    <x v="6"/>
    <s v="C:\Users\andre\Desktop\REACTIV CEFAS\Cefuroxime\Cefuroxime/20201125_Cefas_Test7_Run2/Plate 1/@2/F2_03.tif "/>
    <s v=" 9582.0433 "/>
    <s v=" 39.4673 "/>
    <x v="0"/>
    <n v="378177"/>
    <m/>
    <m/>
  </r>
  <r>
    <x v="6"/>
    <x v="7"/>
    <s v="C:\Users\andre\Desktop\REACTIV CEFAS\Cefuroxime\Cefuroxime/20201125_Cefas_Test7_Run2/Plate 1/@2/G2_01.tif "/>
    <s v=" 6337.5591 "/>
    <s v=" 36.5563 "/>
    <x v="0"/>
    <n v="231678"/>
    <m/>
    <m/>
  </r>
  <r>
    <x v="6"/>
    <x v="7"/>
    <s v="C:\Users\andre\Desktop\REACTIV CEFAS\Cefuroxime\Cefuroxime/20201125_Cefas_Test7_Run2/Plate 1/@2/G2_02.tif "/>
    <s v=" 108.1495 "/>
    <n v="31"/>
    <x v="0"/>
    <n v="3353"/>
    <m/>
    <m/>
  </r>
  <r>
    <x v="6"/>
    <x v="7"/>
    <s v="C:\Users\andre\Desktop\REACTIV CEFAS\Cefuroxime\Cefuroxime/20201125_Cefas_Test7_Run2/Plate 1/@2/G2_03.tif "/>
    <s v=" 12869.7873 "/>
    <s v=" 42.916 "/>
    <x v="0"/>
    <n v="552319"/>
    <m/>
    <m/>
  </r>
  <r>
    <x v="6"/>
    <x v="8"/>
    <s v="C:\Users\andre\Desktop\REACTIV CEFAS\Cefuroxime\Cefuroxime/20201125_Cefas_Test7_Run2/Plate 1/@2/H2_01.tif "/>
    <s v=" 1925.0606 "/>
    <s v=" 34.1124 "/>
    <x v="0"/>
    <n v="65668"/>
    <m/>
    <m/>
  </r>
  <r>
    <x v="6"/>
    <x v="8"/>
    <s v="C:\Users\andre\Desktop\REACTIV CEFAS\Cefuroxime\Cefuroxime/20201125_Cefas_Test7_Run2/Plate 1/@2/H2_02.tif "/>
    <s v=" 3741.9718 "/>
    <s v=" 38.3526 "/>
    <x v="0"/>
    <n v="143514"/>
    <m/>
    <m/>
  </r>
  <r>
    <x v="6"/>
    <x v="8"/>
    <s v="C:\Users\andre\Desktop\REACTIV CEFAS\Cefuroxime\Cefuroxime/20201125_Cefas_Test7_Run2/Plate 1/@2/H2_03.tif "/>
    <s v=" 973.3453 "/>
    <s v=" 31.4 "/>
    <x v="0"/>
    <n v="30563"/>
    <m/>
    <m/>
  </r>
  <r>
    <x v="0"/>
    <x v="0"/>
    <s v=" "/>
    <m/>
    <m/>
    <x v="1"/>
    <m/>
    <m/>
    <m/>
  </r>
  <r>
    <x v="0"/>
    <x v="0"/>
    <s v="group "/>
    <s v=" "/>
    <s v=" mean of mean fluo "/>
    <x v="2"/>
    <s v=" mean of total fluo "/>
    <s v=" SD total fluo "/>
    <m/>
  </r>
  <r>
    <x v="6"/>
    <x v="9"/>
    <s v="C:\Users\andre\Desktop\REACTIV CEFAS\Cefuroxime\Cefuroxime/20201125_Cefas_Test7_Run2/Plate 1/@2/ "/>
    <s v=" "/>
    <s v=" 34.9813 "/>
    <x v="8"/>
    <s v=" 176882.958 "/>
    <s v=" 205798.906 "/>
    <m/>
  </r>
  <r>
    <x v="0"/>
    <x v="0"/>
    <s v=" "/>
    <m/>
    <m/>
    <x v="1"/>
    <m/>
    <m/>
    <m/>
  </r>
  <r>
    <x v="0"/>
    <x v="0"/>
    <s v=" "/>
    <m/>
    <m/>
    <x v="1"/>
    <m/>
    <m/>
    <m/>
  </r>
  <r>
    <x v="0"/>
    <x v="0"/>
    <s v=" "/>
    <m/>
    <m/>
    <x v="1"/>
    <m/>
    <m/>
    <m/>
  </r>
  <r>
    <x v="0"/>
    <x v="0"/>
    <s v=" "/>
    <m/>
    <m/>
    <x v="1"/>
    <m/>
    <m/>
    <m/>
  </r>
  <r>
    <x v="0"/>
    <x v="0"/>
    <s v=" "/>
    <m/>
    <m/>
    <x v="1"/>
    <m/>
    <m/>
    <m/>
  </r>
  <r>
    <x v="0"/>
    <x v="0"/>
    <s v="file name "/>
    <s v=" total area "/>
    <s v=" mean intensity "/>
    <x v="0"/>
    <s v=" total fluorescence"/>
    <m/>
    <m/>
  </r>
  <r>
    <x v="7"/>
    <x v="1"/>
    <s v="C:\Users\andre\Desktop\REACTIV CEFAS\Cefuroxime\Cefuroxime/20201125_Cefas_Test7_Run2/Plate 1/@3/A3_01.tif "/>
    <s v=" 1470.8328 "/>
    <s v=" 32.9118 "/>
    <x v="0"/>
    <n v="48408"/>
    <m/>
    <m/>
  </r>
  <r>
    <x v="7"/>
    <x v="1"/>
    <s v="C:\Users\andre\Desktop\REACTIV CEFAS\Cefuroxime\Cefuroxime/20201125_Cefas_Test7_Run2/Plate 1/@3/A3_02.tif "/>
    <s v=" 1925.0606 "/>
    <s v=" 33.1348 "/>
    <x v="0"/>
    <n v="63787"/>
    <m/>
    <m/>
  </r>
  <r>
    <x v="7"/>
    <x v="1"/>
    <s v="C:\Users\andre\Desktop\REACTIV CEFAS\Cefuroxime\Cefuroxime/20201125_Cefas_Test7_Run2/Plate 1/@3/A3_03.tif "/>
    <s v=" 324.4484 "/>
    <s v=" 33.3333 "/>
    <x v="0"/>
    <n v="10815"/>
    <m/>
    <m/>
  </r>
  <r>
    <x v="7"/>
    <x v="2"/>
    <s v="C:\Users\andre\Desktop\REACTIV CEFAS\Cefuroxime\Cefuroxime/20201125_Cefas_Test7_Run2/Plate 1/@3/B3_01.tif "/>
    <s v=" 4693.6871 "/>
    <s v=" 34.8065 "/>
    <x v="0"/>
    <n v="163371"/>
    <m/>
    <m/>
  </r>
  <r>
    <x v="7"/>
    <x v="2"/>
    <s v="C:\Users\andre\Desktop\REACTIV CEFAS\Cefuroxime\Cefuroxime/20201125_Cefas_Test7_Run2/Plate 1/@3/B3_02.tif "/>
    <s v=" 281.1886 "/>
    <s v=" 31.4615 "/>
    <x v="0"/>
    <n v="8847"/>
    <m/>
    <m/>
  </r>
  <r>
    <x v="7"/>
    <x v="2"/>
    <s v="C:\Users\andre\Desktop\REACTIV CEFAS\Cefuroxime\Cefuroxime/20201125_Cefas_Test7_Run2/Plate 1/@3/B3_03.tif "/>
    <s v=" 43.2598 "/>
    <n v="30"/>
    <x v="0"/>
    <n v="1298"/>
    <m/>
    <m/>
  </r>
  <r>
    <x v="7"/>
    <x v="3"/>
    <s v="C:\Users\andre\Desktop\REACTIV CEFAS\Cefuroxime\Cefuroxime/20201125_Cefas_Test7_Run2/Plate 1/@3/C3_01.tif "/>
    <s v=" 2076.4699 "/>
    <s v=" 32.2708 "/>
    <x v="0"/>
    <n v="67009"/>
    <m/>
    <m/>
  </r>
  <r>
    <x v="7"/>
    <x v="3"/>
    <s v="C:\Users\andre\Desktop\REACTIV CEFAS\Cefuroxime\Cefuroxime/20201125_Cefas_Test7_Run2/Plate 1/@3/C3_02.tif "/>
    <s v=" 9928.1216 "/>
    <s v=" 46.3312 "/>
    <x v="0"/>
    <n v="459981"/>
    <m/>
    <m/>
  </r>
  <r>
    <x v="7"/>
    <x v="3"/>
    <s v="C:\Users\andre\Desktop\REACTIV CEFAS\Cefuroxime\Cefuroxime/20201125_Cefas_Test7_Run2/Plate 1/@3/C3_03.tif "/>
    <s v=" 3201.2244 "/>
    <s v=" 39.0676 "/>
    <x v="0"/>
    <n v="125064"/>
    <m/>
    <m/>
  </r>
  <r>
    <x v="7"/>
    <x v="4"/>
    <s v="C:\Users\andre\Desktop\REACTIV CEFAS\Cefuroxime\Cefuroxime/20201125_Cefas_Test7_Run2/Plate 1/@3/D3_01.tif "/>
    <s v=" 6943.1962 "/>
    <s v=" 31.9813 "/>
    <x v="0"/>
    <n v="222052"/>
    <m/>
    <m/>
  </r>
  <r>
    <x v="7"/>
    <x v="4"/>
    <s v="C:\Users\andre\Desktop\REACTIV CEFAS\Cefuroxime\Cefuroxime/20201125_Cefas_Test7_Run2/Plate 1/@3/D3_02.tif "/>
    <s v=" 3612.1924 "/>
    <s v=" 32.7186 "/>
    <x v="0"/>
    <n v="118186"/>
    <m/>
    <m/>
  </r>
  <r>
    <x v="7"/>
    <x v="4"/>
    <s v="C:\Users\andre\Desktop\REACTIV CEFAS\Cefuroxime\Cefuroxime/20201125_Cefas_Test7_Run2/Plate 1/@3/D3_03.tif "/>
    <s v=" 9127.8155 "/>
    <s v=" 32.372 "/>
    <x v="0"/>
    <n v="295486"/>
    <m/>
    <m/>
  </r>
  <r>
    <x v="7"/>
    <x v="5"/>
    <s v="C:\Users\andre\Desktop\REACTIV CEFAS\Cefuroxime\Cefuroxime/20201125_Cefas_Test7_Run2/Plate 1/@3/E3_01.tif "/>
    <s v=" 1946.6905 "/>
    <s v=" 33.5667 "/>
    <x v="0"/>
    <n v="65344"/>
    <m/>
    <m/>
  </r>
  <r>
    <x v="7"/>
    <x v="5"/>
    <s v="C:\Users\andre\Desktop\REACTIV CEFAS\Cefuroxime\Cefuroxime/20201125_Cefas_Test7_Run2/Plate 1/@3/E3_02.tif "/>
    <s v=" 3136.3347 "/>
    <s v=" 36.531 "/>
    <x v="0"/>
    <n v="114574"/>
    <m/>
    <m/>
  </r>
  <r>
    <x v="7"/>
    <x v="5"/>
    <s v="C:\Users\andre\Desktop\REACTIV CEFAS\Cefuroxime\Cefuroxime/20201125_Cefas_Test7_Run2/Plate 1/@3/E3_03.tif "/>
    <s v=" 3568.9326 "/>
    <s v=" 33.9333 "/>
    <x v="0"/>
    <n v="121106"/>
    <m/>
    <m/>
  </r>
  <r>
    <x v="7"/>
    <x v="6"/>
    <s v="C:\Users\andre\Desktop\REACTIV CEFAS\Cefuroxime\Cefuroxime/20201125_Cefas_Test7_Run2/Plate 1/@3/F3_01.tif "/>
    <s v=" 7224.3848 "/>
    <s v=" 35.7425 "/>
    <x v="0"/>
    <n v="258218"/>
    <m/>
    <m/>
  </r>
  <r>
    <x v="7"/>
    <x v="6"/>
    <s v="C:\Users\andre\Desktop\REACTIV CEFAS\Cefuroxime\Cefuroxime/20201125_Cefas_Test7_Run2/Plate 1/@3/F3_02.tif "/>
    <s v=" 4909.9861 "/>
    <s v=" 33.9207 "/>
    <x v="0"/>
    <n v="166550"/>
    <m/>
    <m/>
  </r>
  <r>
    <x v="7"/>
    <x v="6"/>
    <s v="C:\Users\andre\Desktop\REACTIV CEFAS\Cefuroxime\Cefuroxime/20201125_Cefas_Test7_Run2/Plate 1/@3/F3_03.tif "/>
    <s v=" 2855.1461 "/>
    <s v=" 32.0909 "/>
    <x v="0"/>
    <n v="91624"/>
    <m/>
    <m/>
  </r>
  <r>
    <x v="7"/>
    <x v="7"/>
    <s v="C:\Users\andre\Desktop\REACTIV CEFAS\Cefuroxime\Cefuroxime/20201125_Cefas_Test7_Run2/Plate 1/@3/G3_01.tif "/>
    <s v=" 5493.9932 "/>
    <s v=" 39.7953 "/>
    <x v="0"/>
    <n v="218635"/>
    <m/>
    <m/>
  </r>
  <r>
    <x v="7"/>
    <x v="7"/>
    <s v="C:\Users\andre\Desktop\REACTIV CEFAS\Cefuroxime\Cefuroxime/20201125_Cefas_Test7_Run2/Plate 1/@3/G3_02.tif "/>
    <s v=" 7354.1642 "/>
    <s v=" 44.2559 "/>
    <x v="0"/>
    <n v="325465"/>
    <m/>
    <m/>
  </r>
  <r>
    <x v="7"/>
    <x v="7"/>
    <s v="C:\Users\andre\Desktop\REACTIV CEFAS\Cefuroxime\Cefuroxime/20201125_Cefas_Test7_Run2/Plate 1/@3/G3_03.tif "/>
    <s v=" 7527.2033 "/>
    <s v=" 44.8994 "/>
    <x v="0"/>
    <n v="337967"/>
    <m/>
    <m/>
  </r>
  <r>
    <x v="7"/>
    <x v="8"/>
    <s v="C:\Users\andre\Desktop\REACTIV CEFAS\Cefuroxime\Cefuroxime/20201125_Cefas_Test7_Run2/Plate 1/@3/H3_01.tif "/>
    <s v=" 12783.2677 "/>
    <s v=" 40.5939 "/>
    <x v="0"/>
    <n v="518923"/>
    <m/>
    <m/>
  </r>
  <r>
    <x v="7"/>
    <x v="8"/>
    <s v="C:\Users\andre\Desktop\REACTIV CEFAS\Cefuroxime\Cefuroxime/20201125_Cefas_Test7_Run2/Plate 1/@3/H3_02.tif "/>
    <s v=" 11139.3957 "/>
    <s v=" 38.9592 "/>
    <x v="0"/>
    <n v="433982"/>
    <m/>
    <m/>
  </r>
  <r>
    <x v="7"/>
    <x v="8"/>
    <s v="C:\Users\andre\Desktop\REACTIV CEFAS\Cefuroxime\Cefuroxime/20201125_Cefas_Test7_Run2/Plate 1/@3/H3_03.tif "/>
    <s v=" 12199.2606 "/>
    <s v=" 41.516 "/>
    <x v="0"/>
    <n v="506464"/>
    <m/>
    <m/>
  </r>
  <r>
    <x v="0"/>
    <x v="0"/>
    <s v=" "/>
    <m/>
    <m/>
    <x v="1"/>
    <m/>
    <m/>
    <m/>
  </r>
  <r>
    <x v="0"/>
    <x v="0"/>
    <s v="group "/>
    <s v=" "/>
    <s v=" mean of mean fluo "/>
    <x v="2"/>
    <s v=" mean of total fluo "/>
    <s v=" SD total fluo "/>
    <m/>
  </r>
  <r>
    <x v="7"/>
    <x v="9"/>
    <s v="C:\Users\andre\Desktop\REACTIV CEFAS\Cefuroxime\Cefuroxime/20201125_Cefas_Test7_Run2/Plate 1/@3/ "/>
    <s v=" "/>
    <s v=" 36.0914 "/>
    <x v="9"/>
    <s v=" 197631.5 "/>
    <s v=" 160861.076 "/>
    <m/>
  </r>
  <r>
    <x v="0"/>
    <x v="0"/>
    <s v=" "/>
    <m/>
    <m/>
    <x v="1"/>
    <m/>
    <m/>
    <m/>
  </r>
  <r>
    <x v="0"/>
    <x v="0"/>
    <s v=" "/>
    <m/>
    <m/>
    <x v="1"/>
    <m/>
    <m/>
    <m/>
  </r>
  <r>
    <x v="0"/>
    <x v="0"/>
    <s v=" "/>
    <m/>
    <m/>
    <x v="1"/>
    <m/>
    <m/>
    <m/>
  </r>
  <r>
    <x v="0"/>
    <x v="0"/>
    <s v=" "/>
    <m/>
    <m/>
    <x v="1"/>
    <m/>
    <m/>
    <m/>
  </r>
  <r>
    <x v="0"/>
    <x v="0"/>
    <s v=" "/>
    <m/>
    <m/>
    <x v="1"/>
    <m/>
    <m/>
    <m/>
  </r>
  <r>
    <x v="0"/>
    <x v="0"/>
    <s v="file name "/>
    <s v=" total area "/>
    <s v=" mean intensity "/>
    <x v="0"/>
    <s v=" total fluorescence"/>
    <m/>
    <m/>
  </r>
  <r>
    <x v="8"/>
    <x v="1"/>
    <s v="C:\Users\andre\Desktop\REACTIV CEFAS\Cefuroxime\Cefuroxime/20201125_Cefas_Test7_Run2/Plate 1/@4/A4_01.tif "/>
    <s v=" 44882.0314 "/>
    <s v=" 37.7142 "/>
    <x v="0"/>
    <n v="1692691"/>
    <m/>
    <m/>
  </r>
  <r>
    <x v="8"/>
    <x v="1"/>
    <s v="C:\Users\andre\Desktop\REACTIV CEFAS\Cefuroxime\Cefuroxime/20201125_Cefas_Test7_Run2/Plate 1/@4/A4_02.tif "/>
    <s v=" 52387.6048 "/>
    <s v=" 40.5879 "/>
    <x v="0"/>
    <n v="2126305"/>
    <m/>
    <m/>
  </r>
  <r>
    <x v="8"/>
    <x v="1"/>
    <s v="C:\Users\andre\Desktop\REACTIV CEFAS\Cefuroxime\Cefuroxime/20201125_Cefas_Test7_Run2/Plate 1/@4/A4_03.tif "/>
    <s v=" 56821.7332 "/>
    <s v=" 38.804 "/>
    <x v="0"/>
    <n v="2204908"/>
    <m/>
    <m/>
  </r>
  <r>
    <x v="8"/>
    <x v="2"/>
    <s v="C:\Users\andre\Desktop\REACTIV CEFAS\Cefuroxime\Cefuroxime/20201125_Cefas_Test7_Run2/Plate 1/@4/B4_01.tif "/>
    <s v=" 43973.5758 "/>
    <s v=" 35.2691 "/>
    <x v="0"/>
    <n v="1550907"/>
    <m/>
    <m/>
  </r>
  <r>
    <x v="8"/>
    <x v="2"/>
    <s v="C:\Users\andre\Desktop\REACTIV CEFAS\Cefuroxime\Cefuroxime/20201125_Cefas_Test7_Run2/Plate 1/@4/B4_02.tif "/>
    <s v=" 46547.5332 "/>
    <s v=" 37.0028 "/>
    <x v="0"/>
    <n v="1722389"/>
    <m/>
    <m/>
  </r>
  <r>
    <x v="8"/>
    <x v="2"/>
    <s v="C:\Users\andre\Desktop\REACTIV CEFAS\Cefuroxime\Cefuroxime/20201125_Cefas_Test7_Run2/Plate 1/@4/B4_03.tif "/>
    <s v=" 42372.9636 "/>
    <s v=" 35.5539 "/>
    <x v="0"/>
    <n v="1506522"/>
    <m/>
    <m/>
  </r>
  <r>
    <x v="8"/>
    <x v="3"/>
    <s v="C:\Users\andre\Desktop\REACTIV CEFAS\Cefuroxime\Cefuroxime/20201125_Cefas_Test7_Run2/Plate 1/@4/C4_01.tif "/>
    <s v=" 3201.2244 "/>
    <s v=" 32.6149 "/>
    <x v="0"/>
    <n v="104408"/>
    <m/>
    <m/>
  </r>
  <r>
    <x v="8"/>
    <x v="3"/>
    <s v="C:\Users\andre\Desktop\REACTIV CEFAS\Cefuroxime\Cefuroxime/20201125_Cefas_Test7_Run2/Plate 1/@4/C4_02.tif "/>
    <s v=" 3612.1924 "/>
    <s v=" 32.6826 "/>
    <x v="0"/>
    <n v="118056"/>
    <m/>
    <m/>
  </r>
  <r>
    <x v="8"/>
    <x v="3"/>
    <s v="C:\Users\andre\Desktop\REACTIV CEFAS\Cefuroxime\Cefuroxime/20201125_Cefas_Test7_Run2/Plate 1/@4/C4_03.tif "/>
    <s v=" 713.7865 "/>
    <s v=" 31.8788 "/>
    <x v="0"/>
    <n v="22755"/>
    <m/>
    <m/>
  </r>
  <r>
    <x v="8"/>
    <x v="4"/>
    <s v="C:\Users\andre\Desktop\REACTIV CEFAS\Cefuroxime\Cefuroxime/20201125_Cefas_Test7_Run2/Plate 1/@4/D4_01.tif "/>
    <s v=" 3157.9646 "/>
    <s v=" 32.5822 "/>
    <x v="0"/>
    <n v="102893"/>
    <m/>
    <m/>
  </r>
  <r>
    <x v="8"/>
    <x v="4"/>
    <s v="C:\Users\andre\Desktop\REACTIV CEFAS\Cefuroxime\Cefuroxime/20201125_Cefas_Test7_Run2/Plate 1/@4/D4_02.tif "/>
    <s v=" 10403.9793 "/>
    <s v=" 37.4137 "/>
    <x v="0"/>
    <n v="389252"/>
    <m/>
    <m/>
  </r>
  <r>
    <x v="8"/>
    <x v="4"/>
    <s v="C:\Users\andre\Desktop\REACTIV CEFAS\Cefuroxime\Cefuroxime/20201125_Cefas_Test7_Run2/Plate 1/@4/D4_03.tif "/>
    <s v=" 12026.2214 "/>
    <s v=" 41.2104 "/>
    <x v="0"/>
    <n v="495606"/>
    <m/>
    <m/>
  </r>
  <r>
    <x v="8"/>
    <x v="5"/>
    <s v="C:\Users\andre\Desktop\REACTIV CEFAS\Cefuroxime\Cefuroxime/20201125_Cefas_Test7_Run2/Plate 1/@4/E4_01.tif "/>
    <s v=" 18212.3713 "/>
    <s v=" 33.9074 "/>
    <x v="0"/>
    <n v="617533"/>
    <m/>
    <m/>
  </r>
  <r>
    <x v="8"/>
    <x v="5"/>
    <s v="C:\Users\andre\Desktop\REACTIV CEFAS\Cefuroxime\Cefuroxime/20201125_Cefas_Test7_Run2/Plate 1/@4/E4_02.tif "/>
    <s v=" 22841.1687 "/>
    <s v=" 37.392 "/>
    <x v="0"/>
    <n v="854078"/>
    <m/>
    <m/>
  </r>
  <r>
    <x v="8"/>
    <x v="5"/>
    <s v="C:\Users\andre\Desktop\REACTIV CEFAS\Cefuroxime\Cefuroxime/20201125_Cefas_Test7_Run2/Plate 1/@4/E4_03.tif "/>
    <s v=" 12307.41 "/>
    <s v=" 33.3058 "/>
    <x v="0"/>
    <n v="409908"/>
    <m/>
    <m/>
  </r>
  <r>
    <x v="8"/>
    <x v="6"/>
    <s v="C:\Users\andre\Desktop\REACTIV CEFAS\Cefuroxime\Cefuroxime/20201125_Cefas_Test7_Run2/Plate 1/@4/F4_01.tif "/>
    <s v=" 14297.3603 "/>
    <s v=" 34.7882 "/>
    <x v="0"/>
    <n v="497379"/>
    <m/>
    <m/>
  </r>
  <r>
    <x v="8"/>
    <x v="6"/>
    <s v="C:\Users\andre\Desktop\REACTIV CEFAS\Cefuroxime\Cefuroxime/20201125_Cefas_Test7_Run2/Plate 1/@4/F4_02.tif "/>
    <s v=" 13518.6841 "/>
    <s v=" 33.0992 "/>
    <x v="0"/>
    <n v="447458"/>
    <m/>
    <m/>
  </r>
  <r>
    <x v="8"/>
    <x v="6"/>
    <s v="C:\Users\andre\Desktop\REACTIV CEFAS\Cefuroxime\Cefuroxime/20201125_Cefas_Test7_Run2/Plate 1/@4/F4_03.tif "/>
    <s v=" 18017.7022 "/>
    <s v=" 35.6639 "/>
    <x v="0"/>
    <n v="642581"/>
    <m/>
    <m/>
  </r>
  <r>
    <x v="8"/>
    <x v="7"/>
    <s v="C:\Users\andre\Desktop\REACTIV CEFAS\Cefuroxime\Cefuroxime/20201125_Cefas_Test7_Run2/Plate 1/@4/G4_01.tif "/>
    <s v=" 4261.0892 "/>
    <s v=" 35.0558 "/>
    <x v="0"/>
    <n v="149376"/>
    <m/>
    <m/>
  </r>
  <r>
    <x v="8"/>
    <x v="7"/>
    <s v="C:\Users\andre\Desktop\REACTIV CEFAS\Cefuroxime\Cefuroxime/20201125_Cefas_Test7_Run2/Plate 1/@4/G4_02.tif "/>
    <s v=" 4715.317 "/>
    <s v=" 38.2569 "/>
    <x v="0"/>
    <n v="180393"/>
    <m/>
    <m/>
  </r>
  <r>
    <x v="8"/>
    <x v="7"/>
    <s v="C:\Users\andre\Desktop\REACTIV CEFAS\Cefuroxime\Cefuroxime/20201125_Cefas_Test7_Run2/Plate 1/@4/G4_03.tif "/>
    <s v=" 2400.9183 "/>
    <s v=" 30.8559 "/>
    <x v="0"/>
    <n v="74082"/>
    <m/>
    <m/>
  </r>
  <r>
    <x v="8"/>
    <x v="8"/>
    <s v="C:\Users\andre\Desktop\REACTIV CEFAS\Cefuroxime\Cefuroxime/20201125_Cefas_Test7_Run2/Plate 1/@4/H4_01.tif "/>
    <s v=" 15530.2643 "/>
    <s v=" 33.6783 "/>
    <x v="0"/>
    <n v="523032"/>
    <m/>
    <m/>
  </r>
  <r>
    <x v="8"/>
    <x v="8"/>
    <s v="C:\Users\andre\Desktop\REACTIV CEFAS\Cefuroxime\Cefuroxime/20201125_Cefas_Test7_Run2/Plate 1/@4/H4_02.tif "/>
    <s v=" 10966.3566 "/>
    <s v=" 35.8876 "/>
    <x v="0"/>
    <n v="393556"/>
    <m/>
    <m/>
  </r>
  <r>
    <x v="8"/>
    <x v="8"/>
    <s v="C:\Users\andre\Desktop\REACTIV CEFAS\Cefuroxime\Cefuroxime/20201125_Cefas_Test7_Run2/Plate 1/@4/H4_03.tif "/>
    <s v=" 13821.5027 "/>
    <s v=" 39.5196 "/>
    <x v="0"/>
    <n v="546220"/>
    <m/>
    <m/>
  </r>
  <r>
    <x v="0"/>
    <x v="0"/>
    <s v=" "/>
    <m/>
    <m/>
    <x v="1"/>
    <m/>
    <m/>
    <m/>
  </r>
  <r>
    <x v="0"/>
    <x v="0"/>
    <s v="group "/>
    <s v=" "/>
    <s v=" mean of mean fluo "/>
    <x v="2"/>
    <s v=" mean of total fluo "/>
    <s v=" SD total fluo "/>
    <m/>
  </r>
  <r>
    <x v="8"/>
    <x v="9"/>
    <s v="C:\Users\andre\Desktop\REACTIV CEFAS\Cefuroxime\Cefuroxime/20201125_Cefas_Test7_Run2/Plate 1/@4/ "/>
    <s v=" "/>
    <s v=" 35.6135 "/>
    <x v="10"/>
    <s v=" 723845.333 "/>
    <s v=" 681247.563 "/>
    <m/>
  </r>
  <r>
    <x v="0"/>
    <x v="0"/>
    <s v=" "/>
    <m/>
    <m/>
    <x v="1"/>
    <m/>
    <m/>
    <m/>
  </r>
  <r>
    <x v="0"/>
    <x v="0"/>
    <s v=" "/>
    <m/>
    <m/>
    <x v="1"/>
    <m/>
    <m/>
    <m/>
  </r>
  <r>
    <x v="0"/>
    <x v="0"/>
    <s v=" "/>
    <m/>
    <m/>
    <x v="1"/>
    <m/>
    <m/>
    <m/>
  </r>
  <r>
    <x v="0"/>
    <x v="0"/>
    <s v=" "/>
    <m/>
    <m/>
    <x v="1"/>
    <m/>
    <m/>
    <m/>
  </r>
  <r>
    <x v="0"/>
    <x v="0"/>
    <s v=" "/>
    <m/>
    <m/>
    <x v="1"/>
    <m/>
    <m/>
    <m/>
  </r>
  <r>
    <x v="0"/>
    <x v="0"/>
    <s v="file name "/>
    <s v=" total area "/>
    <s v=" mean intensity "/>
    <x v="0"/>
    <s v=" total fluorescence"/>
    <m/>
    <m/>
  </r>
  <r>
    <x v="9"/>
    <x v="1"/>
    <s v="C:\Users\andre\Desktop\REACTIV CEFAS\Cefuroxime\Cefuroxime/20201125_Cefas_Test7_Run2/Plate 1/@5/A5_01.tif "/>
    <s v=" 62769.9542 "/>
    <s v=" 43.948 "/>
    <x v="0"/>
    <n v="2758612"/>
    <m/>
    <m/>
  </r>
  <r>
    <x v="9"/>
    <x v="1"/>
    <s v="C:\Users\andre\Desktop\REACTIV CEFAS\Cefuroxime\Cefuroxime/20201125_Cefas_Test7_Run2/Plate 1/@5/A5_02.tif "/>
    <s v=" 58227.6763 "/>
    <s v=" 40.3804 "/>
    <x v="0"/>
    <n v="2351256"/>
    <m/>
    <m/>
  </r>
  <r>
    <x v="9"/>
    <x v="1"/>
    <s v="C:\Users\andre\Desktop\REACTIV CEFAS\Cefuroxime\Cefuroxime/20201125_Cefas_Test7_Run2/Plate 1/@5/A5_03.tif "/>
    <s v=" 55156.2313 "/>
    <s v=" 43.2216 "/>
    <x v="0"/>
    <n v="2383939"/>
    <m/>
    <m/>
  </r>
  <r>
    <x v="9"/>
    <x v="2"/>
    <s v="C:\Users\andre\Desktop\REACTIV CEFAS\Cefuroxime\Cefuroxime/20201125_Cefas_Test7_Run2/Plate 1/@5/B5_01.tif "/>
    <s v=" 32315.0626 "/>
    <s v=" 37.4177 "/>
    <x v="0"/>
    <n v="1209154"/>
    <m/>
    <m/>
  </r>
  <r>
    <x v="9"/>
    <x v="2"/>
    <s v="C:\Users\andre\Desktop\REACTIV CEFAS\Cefuroxime\Cefuroxime/20201125_Cefas_Test7_Run2/Plate 1/@5/B5_02.tif "/>
    <s v=" 36359.8529 "/>
    <s v=" 36.5776 "/>
    <x v="0"/>
    <n v="1329957"/>
    <m/>
    <m/>
  </r>
  <r>
    <x v="9"/>
    <x v="2"/>
    <s v="C:\Users\andre\Desktop\REACTIV CEFAS\Cefuroxime\Cefuroxime/20201125_Cefas_Test7_Run2/Plate 1/@5/B5_03.tif "/>
    <s v=" 43108.38 "/>
    <s v=" 35.8294 "/>
    <x v="0"/>
    <n v="1544548"/>
    <m/>
    <m/>
  </r>
  <r>
    <x v="9"/>
    <x v="3"/>
    <s v="C:\Users\andre\Desktop\REACTIV CEFAS\Cefuroxime\Cefuroxime/20201125_Cefas_Test7_Run2/Plate 1/@5/C5_01- exclu.tif"/>
    <m/>
    <m/>
    <x v="1"/>
    <m/>
    <m/>
    <m/>
  </r>
  <r>
    <x v="9"/>
    <x v="3"/>
    <s v="C:\Users\andre\Desktop\REACTIV CEFAS\Cefuroxime\Cefuroxime/20201125_Cefas_Test7_Run2/Plate 1/@5/C5_02- exclu.tif"/>
    <m/>
    <m/>
    <x v="1"/>
    <m/>
    <m/>
    <m/>
  </r>
  <r>
    <x v="9"/>
    <x v="3"/>
    <s v="C:\Users\andre\Desktop\REACTIV CEFAS\Cefuroxime\Cefuroxime/20201125_Cefas_Test7_Run2/Plate 1/@5/C5_03- exclu.tif"/>
    <m/>
    <m/>
    <x v="1"/>
    <m/>
    <m/>
    <m/>
  </r>
  <r>
    <x v="9"/>
    <x v="4"/>
    <s v="C:\Users\andre\Desktop\REACTIV CEFAS\Cefuroxime\Cefuroxime/20201125_Cefas_Test7_Run2/Plate 1/@5/D5_01.tif "/>
    <s v=" 55394.1601 "/>
    <s v=" 38.0894 "/>
    <x v="0"/>
    <n v="2109931"/>
    <m/>
    <m/>
  </r>
  <r>
    <x v="9"/>
    <x v="4"/>
    <s v="C:\Users\andre\Desktop\REACTIV CEFAS\Cefuroxime\Cefuroxime/20201125_Cefas_Test7_Run2/Plate 1/@5/D5_02.tif "/>
    <s v=" 47282.9497 "/>
    <s v=" 39.0206 "/>
    <x v="0"/>
    <n v="1845008"/>
    <m/>
    <m/>
  </r>
  <r>
    <x v="9"/>
    <x v="4"/>
    <s v="C:\Users\andre\Desktop\REACTIV CEFAS\Cefuroxime\Cefuroxime/20201125_Cefas_Test7_Run2/Plate 1/@5/D5_03.tif "/>
    <s v=" 47326.2094 "/>
    <s v=" 37.3167 "/>
    <x v="0"/>
    <n v="1766059"/>
    <m/>
    <m/>
  </r>
  <r>
    <x v="9"/>
    <x v="5"/>
    <s v="C:\Users\andre\Desktop\REACTIV CEFAS\Cefuroxime\Cefuroxime/20201125_Cefas_Test7_Run2/Plate 1/@5/E5_01.tif "/>
    <s v=" 48018.3661 "/>
    <s v=" 38.0378 "/>
    <x v="0"/>
    <n v="1826515"/>
    <m/>
    <m/>
  </r>
  <r>
    <x v="9"/>
    <x v="5"/>
    <s v="C:\Users\andre\Desktop\REACTIV CEFAS\Cefuroxime\Cefuroxime/20201125_Cefas_Test7_Run2/Plate 1/@5/E5_02.tif "/>
    <s v=" 43324.6789 "/>
    <s v=" 35.8183 "/>
    <x v="0"/>
    <n v="1551815"/>
    <m/>
    <m/>
  </r>
  <r>
    <x v="9"/>
    <x v="5"/>
    <s v="C:\Users\andre\Desktop\REACTIV CEFAS\Cefuroxime\Cefuroxime/20201125_Cefas_Test7_Run2/Plate 1/@5/E5_03.tif "/>
    <s v=" 42524.3728 "/>
    <s v=" 35.4736 "/>
    <x v="0"/>
    <n v="1508490"/>
    <m/>
    <m/>
  </r>
  <r>
    <x v="9"/>
    <x v="6"/>
    <s v="C:\Users\andre\Desktop\REACTIV CEFAS\Cefuroxime\Cefuroxime/20201125_Cefas_Test7_Run2/Plate 1/@5/F5_01.tif "/>
    <s v=" 37052.0095 "/>
    <s v=" 37.5902 "/>
    <x v="0"/>
    <n v="1392792"/>
    <m/>
    <m/>
  </r>
  <r>
    <x v="9"/>
    <x v="6"/>
    <s v="C:\Users\andre\Desktop\REACTIV CEFAS\Cefuroxime\Cefuroxime/20201125_Cefas_Test7_Run2/Plate 1/@5/F5_02- exclu.tif"/>
    <m/>
    <m/>
    <x v="1"/>
    <m/>
    <m/>
    <m/>
  </r>
  <r>
    <x v="9"/>
    <x v="6"/>
    <s v="C:\Users\andre\Desktop\REACTIV CEFAS\Cefuroxime\Cefuroxime/20201125_Cefas_Test7_Run2/Plate 1/@5/F5_03.tif "/>
    <s v=" 42632.5223 "/>
    <s v=" 38.4216 "/>
    <x v="0"/>
    <n v="1638010"/>
    <m/>
    <m/>
  </r>
  <r>
    <x v="9"/>
    <x v="7"/>
    <s v="C:\Users\andre\Desktop\REACTIV CEFAS\Cefuroxime\Cefuroxime/20201125_Cefas_Test7_Run2/Plate 1/@5/G5_01.tif "/>
    <s v=" 34953.9097 "/>
    <s v=" 34.409 "/>
    <x v="0"/>
    <n v="1202730"/>
    <m/>
    <m/>
  </r>
  <r>
    <x v="9"/>
    <x v="7"/>
    <s v="C:\Users\andre\Desktop\REACTIV CEFAS\Cefuroxime\Cefuroxime/20201125_Cefas_Test7_Run2/Plate 1/@5/G5_02.tif "/>
    <s v=" 14967.8871 "/>
    <s v=" 31.8728 "/>
    <x v="0"/>
    <n v="477069"/>
    <m/>
    <m/>
  </r>
  <r>
    <x v="9"/>
    <x v="7"/>
    <s v="C:\Users\andre\Desktop\REACTIV CEFAS\Cefuroxime\Cefuroxime/20201125_Cefas_Test7_Run2/Plate 1/@5/G5_03.tif "/>
    <s v=" 21759.674 "/>
    <s v=" 34.2087 "/>
    <x v="0"/>
    <n v="744371"/>
    <m/>
    <m/>
  </r>
  <r>
    <x v="9"/>
    <x v="8"/>
    <s v="C:\Users\andre\Desktop\REACTIV CEFAS\Cefuroxime\Cefuroxime/20201125_Cefas_Test7_Run2/Plate 1/@5/H5_01.tif "/>
    <s v=" 75098.9942 "/>
    <s v=" 39.6604 "/>
    <x v="0"/>
    <n v="2978458"/>
    <m/>
    <m/>
  </r>
  <r>
    <x v="9"/>
    <x v="8"/>
    <s v="C:\Users\andre\Desktop\REACTIV CEFAS\Cefuroxime\Cefuroxime/20201125_Cefas_Test7_Run2/Plate 1/@5/H5_02.tif "/>
    <s v=" 76829.3857 "/>
    <s v=" 41.0909 "/>
    <x v="0"/>
    <n v="3156991"/>
    <m/>
    <m/>
  </r>
  <r>
    <x v="9"/>
    <x v="8"/>
    <s v="C:\Users\andre\Desktop\REACTIV CEFAS\Cefuroxime\Cefuroxime/20201125_Cefas_Test7_Run2/Plate 1/@5/H5_03.tif "/>
    <s v=" 62423.8759 "/>
    <s v=" 37.9615 "/>
    <x v="0"/>
    <n v="2369706"/>
    <m/>
    <m/>
  </r>
  <r>
    <x v="0"/>
    <x v="0"/>
    <s v=" "/>
    <m/>
    <m/>
    <x v="1"/>
    <m/>
    <m/>
    <m/>
  </r>
  <r>
    <x v="0"/>
    <x v="0"/>
    <s v="group "/>
    <s v=" "/>
    <s v=" mean of mean fluo "/>
    <x v="2"/>
    <s v=" mean of total fluo "/>
    <s v=" SD total fluo "/>
    <m/>
  </r>
  <r>
    <x v="9"/>
    <x v="9"/>
    <s v="C:\Users\andre\Desktop\REACTIV CEFAS\Cefuroxime\Cefuroxime/20201125_Cefas_Test7_Run2/Plate 1/@5/ "/>
    <s v=" "/>
    <s v=" 34.8357 "/>
    <x v="11"/>
    <s v=" 1587408.83 "/>
    <s v=" 841427.826 "/>
    <m/>
  </r>
  <r>
    <x v="0"/>
    <x v="0"/>
    <s v=" "/>
    <m/>
    <m/>
    <x v="1"/>
    <m/>
    <m/>
    <m/>
  </r>
  <r>
    <x v="0"/>
    <x v="0"/>
    <s v=" "/>
    <m/>
    <m/>
    <x v="1"/>
    <m/>
    <m/>
    <m/>
  </r>
  <r>
    <x v="0"/>
    <x v="0"/>
    <s v=" "/>
    <m/>
    <m/>
    <x v="1"/>
    <m/>
    <m/>
    <m/>
  </r>
  <r>
    <x v="0"/>
    <x v="0"/>
    <s v=" "/>
    <m/>
    <m/>
    <x v="1"/>
    <m/>
    <m/>
    <m/>
  </r>
  <r>
    <x v="0"/>
    <x v="0"/>
    <s v=" "/>
    <m/>
    <m/>
    <x v="1"/>
    <m/>
    <m/>
    <m/>
  </r>
  <r>
    <x v="0"/>
    <x v="0"/>
    <s v="file name "/>
    <s v=" total area "/>
    <s v=" mean intensity "/>
    <x v="0"/>
    <s v=" total fluorescence"/>
    <m/>
    <m/>
  </r>
  <r>
    <x v="10"/>
    <x v="1"/>
    <s v="C:\Users\andre\Desktop\REACTIV CEFAS\Cefuroxime\Cefuroxime/20201125_Cefas_Test7_Run2/Plate 1/@6/A6_01.tif "/>
    <s v=" 14794.8479 "/>
    <s v=" 37.3947 "/>
    <x v="0"/>
    <n v="553249"/>
    <m/>
    <m/>
  </r>
  <r>
    <x v="10"/>
    <x v="1"/>
    <s v="C:\Users\andre\Desktop\REACTIV CEFAS\Cefuroxime\Cefuroxime/20201125_Cefas_Test7_Run2/Plate 1/@6/A6_02.tif "/>
    <s v=" 6770.157 "/>
    <s v=" 34.508 "/>
    <x v="0"/>
    <n v="233624"/>
    <m/>
    <m/>
  </r>
  <r>
    <x v="10"/>
    <x v="1"/>
    <s v="C:\Users\andre\Desktop\REACTIV CEFAS\Cefuroxime\Cefuroxime/20201125_Cefas_Test7_Run2/Plate 1/@6/A6_03.tif "/>
    <s v=" 8868.2568 "/>
    <s v=" 34.661 "/>
    <x v="0"/>
    <n v="307382"/>
    <m/>
    <m/>
  </r>
  <r>
    <x v="10"/>
    <x v="2"/>
    <s v="C:\Users\andre\Desktop\REACTIV CEFAS\Cefuroxime\Cefuroxime/20201125_Cefas_Test7_Run2/Plate 1/@6/B6_01.tif "/>
    <s v=" 79662.9019 "/>
    <s v=" 43.7203 "/>
    <x v="0"/>
    <n v="3482889"/>
    <m/>
    <m/>
  </r>
  <r>
    <x v="10"/>
    <x v="2"/>
    <s v="C:\Users\andre\Desktop\REACTIV CEFAS\Cefuroxime\Cefuroxime/20201125_Cefas_Test7_Run2/Plate 1/@6/B6_02.tif "/>
    <s v=" 69929.4493 "/>
    <s v=" 43.6421 "/>
    <x v="0"/>
    <n v="3051870"/>
    <m/>
    <m/>
  </r>
  <r>
    <x v="10"/>
    <x v="2"/>
    <s v="C:\Users\andre\Desktop\REACTIV CEFAS\Cefuroxime\Cefuroxime/20201125_Cefas_Test7_Run2/Plate 1/@6/B6_03.tif "/>
    <s v=" 71789.6203 "/>
    <s v=" 42.1657 "/>
    <x v="0"/>
    <n v="3027060"/>
    <m/>
    <m/>
  </r>
  <r>
    <x v="10"/>
    <x v="3"/>
    <s v="C:\Users\andre\Desktop\REACTIV CEFAS\Cefuroxime\Cefuroxime/20201125_Cefas_Test7_Run2/Plate 1/@6/C6_01.tif "/>
    <s v=" 37527.8672 "/>
    <s v=" 43.1879 "/>
    <x v="0"/>
    <n v="1620750"/>
    <m/>
    <m/>
  </r>
  <r>
    <x v="10"/>
    <x v="3"/>
    <s v="C:\Users\andre\Desktop\REACTIV CEFAS\Cefuroxime\Cefuroxime/20201125_Cefas_Test7_Run2/Plate 1/@6/C6_02.tif "/>
    <s v=" 36900.6002 "/>
    <s v=" 43.9631 "/>
    <x v="0"/>
    <n v="1622264"/>
    <m/>
    <m/>
  </r>
  <r>
    <x v="10"/>
    <x v="3"/>
    <s v="C:\Users\andre\Desktop\REACTIV CEFAS\Cefuroxime\Cefuroxime/20201125_Cefas_Test7_Run2/Plate 1/@6/C6_03.tif "/>
    <s v=" 42805.5615 "/>
    <s v=" 42.4275 "/>
    <x v="0"/>
    <n v="1816132"/>
    <m/>
    <m/>
  </r>
  <r>
    <x v="10"/>
    <x v="4"/>
    <s v="C:\Users\andre\Desktop\REACTIV CEFAS\Cefuroxime\Cefuroxime/20201125_Cefas_Test7_Run2/Plate 1/@6/D6_01.tif "/>
    <s v=" 44622.4726 "/>
    <s v=" 36.2574 "/>
    <x v="0"/>
    <n v="1617894"/>
    <m/>
    <m/>
  </r>
  <r>
    <x v="10"/>
    <x v="4"/>
    <s v="C:\Users\andre\Desktop\REACTIV CEFAS\Cefuroxime\Cefuroxime/20201125_Cefas_Test7_Run2/Plate 1/@6/D6_02.tif "/>
    <s v=" 50159.7256 "/>
    <s v=" 39.1259 "/>
    <x v="0"/>
    <n v="1962545"/>
    <m/>
    <m/>
  </r>
  <r>
    <x v="10"/>
    <x v="4"/>
    <s v="C:\Users\andre\Desktop\REACTIV CEFAS\Cefuroxime\Cefuroxime/20201125_Cefas_Test7_Run2/Plate 1/@6/D6_03.tif "/>
    <s v=" 19207.3464 "/>
    <s v=" 33.4583 "/>
    <x v="0"/>
    <n v="642646"/>
    <m/>
    <m/>
  </r>
  <r>
    <x v="10"/>
    <x v="5"/>
    <s v="C:\Users\andre\Desktop\REACTIV CEFAS\Cefuroxime\Cefuroxime/20201125_Cefas_Test7_Run2/Plate 1/@6/E6_01.tif "/>
    <s v=" 60412.2957 "/>
    <s v=" 43.1078 "/>
    <x v="0"/>
    <n v="2604239"/>
    <m/>
    <m/>
  </r>
  <r>
    <x v="10"/>
    <x v="5"/>
    <s v="C:\Users\andre\Desktop\REACTIV CEFAS\Cefuroxime\Cefuroxime/20201125_Cefas_Test7_Run2/Plate 1/@6/E6_02- exclu.tif"/>
    <m/>
    <m/>
    <x v="1"/>
    <m/>
    <m/>
    <m/>
  </r>
  <r>
    <x v="10"/>
    <x v="5"/>
    <s v="C:\Users\andre\Desktop\REACTIV CEFAS\Cefuroxime\Cefuroxime/20201125_Cefas_Test7_Run2/Plate 1/@6/E6_03.tif "/>
    <s v=" 77564.8021 "/>
    <s v=" 47.7931 "/>
    <x v="0"/>
    <n v="3707061"/>
    <m/>
    <m/>
  </r>
  <r>
    <x v="10"/>
    <x v="6"/>
    <s v="C:\Users\andre\Desktop\REACTIV CEFAS\Cefuroxime\Cefuroxime/20201125_Cefas_Test7_Run2/Plate 1/@6/F6_01.tif "/>
    <s v=" 64219.1572 "/>
    <s v=" 42.6278 "/>
    <x v="0"/>
    <n v="2737523"/>
    <m/>
    <m/>
  </r>
  <r>
    <x v="10"/>
    <x v="6"/>
    <s v="C:\Users\andre\Desktop\REACTIV CEFAS\Cefuroxime\Cefuroxime/20201125_Cefas_Test7_Run2/Plate 1/@6/F6_02.tif "/>
    <s v=" 63873.0788 "/>
    <s v=" 43.3207 "/>
    <x v="0"/>
    <n v="2767026"/>
    <m/>
    <m/>
  </r>
  <r>
    <x v="10"/>
    <x v="6"/>
    <s v="C:\Users\andre\Desktop\REACTIV CEFAS\Cefuroxime\Cefuroxime/20201125_Cefas_Test7_Run2/Plate 1/@6/F6_03.tif "/>
    <s v=" 63570.2603 "/>
    <s v=" 42.8704 "/>
    <x v="0"/>
    <n v="2725280"/>
    <m/>
    <m/>
  </r>
  <r>
    <x v="10"/>
    <x v="7"/>
    <s v="C:\Users\andre\Desktop\REACTIV CEFAS\Cefuroxime\Cefuroxime/20201125_Cefas_Test7_Run2/Plate 1/@6/G6_01.tif "/>
    <s v=" 40469.5329 "/>
    <s v=" 44.3025 "/>
    <x v="0"/>
    <n v="1792902"/>
    <m/>
    <m/>
  </r>
  <r>
    <x v="10"/>
    <x v="7"/>
    <s v="C:\Users\andre\Desktop\REACTIV CEFAS\Cefuroxime\Cefuroxime/20201125_Cefas_Test7_Run2/Plate 1/@6/G6_02.tif "/>
    <s v=" 42026.8853 "/>
    <s v=" 48.5409 "/>
    <x v="0"/>
    <n v="2040024"/>
    <m/>
    <m/>
  </r>
  <r>
    <x v="10"/>
    <x v="7"/>
    <s v="C:\Users\andre\Desktop\REACTIV CEFAS\Cefuroxime\Cefuroxime/20201125_Cefas_Test7_Run2/Plate 1/@6/G6_03.tif "/>
    <s v=" 37571.127 "/>
    <s v=" 44.1952 "/>
    <x v="0"/>
    <n v="1660462"/>
    <m/>
    <m/>
  </r>
  <r>
    <x v="10"/>
    <x v="8"/>
    <s v="C:\Users\andre\Desktop\REACTIV CEFAS\Cefuroxime\Cefuroxime/20201125_Cefas_Test7_Run2/Plate 1/@6/H6_01.tif "/>
    <s v=" 65473.691 "/>
    <s v=" 39.1658 "/>
    <x v="0"/>
    <n v="2564332"/>
    <m/>
    <m/>
  </r>
  <r>
    <x v="10"/>
    <x v="8"/>
    <s v="C:\Users\andre\Desktop\REACTIV CEFAS\Cefuroxime\Cefuroxime/20201125_Cefas_Test7_Run2/Plate 1/@6/H6_02.tif "/>
    <s v=" 68177.4279 "/>
    <s v=" 40.1129 "/>
    <x v="0"/>
    <n v="2734797"/>
    <m/>
    <m/>
  </r>
  <r>
    <x v="10"/>
    <x v="8"/>
    <s v="C:\Users\andre\Desktop\REACTIV CEFAS\Cefuroxime\Cefuroxime/20201125_Cefas_Test7_Run2/Plate 1/@6/H6_03.tif "/>
    <s v=" 56843.3631 "/>
    <s v=" 38.3116 "/>
    <x v="0"/>
    <n v="2177763"/>
    <m/>
    <m/>
  </r>
  <r>
    <x v="0"/>
    <x v="0"/>
    <s v=" "/>
    <m/>
    <m/>
    <x v="1"/>
    <m/>
    <m/>
    <m/>
  </r>
  <r>
    <x v="0"/>
    <x v="0"/>
    <s v="group "/>
    <s v=" "/>
    <s v=" mean of mean fluo "/>
    <x v="2"/>
    <s v=" mean of total fluo "/>
    <s v=" SD total fluo "/>
    <m/>
  </r>
  <r>
    <x v="10"/>
    <x v="9"/>
    <s v="C:\Users\andre\Desktop\REACTIV CEFAS\Cefuroxime\Cefuroxime/20201125_Cefas_Test7_Run2/Plate 1/@6/ "/>
    <s v=" "/>
    <s v=" 41.121 "/>
    <x v="12"/>
    <s v=" 2061520.83 "/>
    <s v=" 947436.581 "/>
    <m/>
  </r>
  <r>
    <x v="0"/>
    <x v="0"/>
    <s v=" "/>
    <m/>
    <m/>
    <x v="1"/>
    <m/>
    <m/>
    <m/>
  </r>
  <r>
    <x v="0"/>
    <x v="0"/>
    <s v=" "/>
    <m/>
    <m/>
    <x v="1"/>
    <m/>
    <m/>
    <m/>
  </r>
  <r>
    <x v="0"/>
    <x v="0"/>
    <s v=" "/>
    <m/>
    <m/>
    <x v="1"/>
    <m/>
    <m/>
    <m/>
  </r>
  <r>
    <x v="0"/>
    <x v="0"/>
    <s v=" "/>
    <m/>
    <m/>
    <x v="1"/>
    <m/>
    <m/>
    <m/>
  </r>
  <r>
    <x v="0"/>
    <x v="0"/>
    <s v=" "/>
    <m/>
    <m/>
    <x v="1"/>
    <m/>
    <m/>
    <m/>
  </r>
  <r>
    <x v="0"/>
    <x v="0"/>
    <s v="file name "/>
    <s v=" total area "/>
    <s v=" mean intensity "/>
    <x v="0"/>
    <s v=" total fluorescence"/>
    <m/>
    <m/>
  </r>
  <r>
    <x v="11"/>
    <x v="1"/>
    <s v="C:\Users\andre\Desktop\REACTIV CEFAS\Cefuroxime\Cefuroxime/20201125_Cefas_Test7_Run2/Plate 1/@7/A7_01.tif "/>
    <s v=" 86000.461 "/>
    <s v=" 56.7558 "/>
    <x v="0"/>
    <n v="4881024"/>
    <m/>
    <m/>
  </r>
  <r>
    <x v="11"/>
    <x v="1"/>
    <s v="C:\Users\andre\Desktop\REACTIV CEFAS\Cefuroxime\Cefuroxime/20201125_Cefas_Test7_Run2/Plate 1/@7/A7_02.tif "/>
    <s v=" 85221.7848 "/>
    <s v=" 54.5635 "/>
    <x v="0"/>
    <n v="4649995"/>
    <m/>
    <m/>
  </r>
  <r>
    <x v="11"/>
    <x v="1"/>
    <s v="C:\Users\andre\Desktop\REACTIV CEFAS\Cefuroxime\Cefuroxime/20201125_Cefas_Test7_Run2/Plate 1/@7/A7_03.tif "/>
    <s v=" 82193.5996 "/>
    <s v=" 54.6979 "/>
    <x v="0"/>
    <n v="4495817"/>
    <m/>
    <m/>
  </r>
  <r>
    <x v="11"/>
    <x v="2"/>
    <s v="C:\Users\andre\Desktop\REACTIV CEFAS\Cefuroxime\Cefuroxime/20201125_Cefas_Test7_Run2/Plate 1/@7/B7_01- exclu.tif"/>
    <m/>
    <m/>
    <x v="1"/>
    <m/>
    <m/>
    <m/>
  </r>
  <r>
    <x v="11"/>
    <x v="2"/>
    <s v="C:\Users\andre\Desktop\REACTIV CEFAS\Cefuroxime\Cefuroxime/20201125_Cefas_Test7_Run2/Plate 1/@7/B7_02- exclu.tif"/>
    <m/>
    <m/>
    <x v="1"/>
    <m/>
    <m/>
    <m/>
  </r>
  <r>
    <x v="11"/>
    <x v="2"/>
    <s v="C:\Users\andre\Desktop\REACTIV CEFAS\Cefuroxime\Cefuroxime/20201125_Cefas_Test7_Run2/Plate 1/@7/B7_03- exclu.tif"/>
    <m/>
    <m/>
    <x v="1"/>
    <m/>
    <m/>
    <m/>
  </r>
  <r>
    <x v="11"/>
    <x v="3"/>
    <s v="C:\Users\andre\Desktop\REACTIV CEFAS\Cefuroxime\Cefuroxime/20201125_Cefas_Test7_Run2/Plate 1/@7/C7_01.tif "/>
    <s v=" 66749.8548 "/>
    <s v=" 54.7168 "/>
    <x v="0"/>
    <n v="3652337"/>
    <m/>
    <m/>
  </r>
  <r>
    <x v="11"/>
    <x v="3"/>
    <s v="C:\Users\andre\Desktop\REACTIV CEFAS\Cefuroxime\Cefuroxime/20201125_Cefas_Test7_Run2/Plate 1/@7/C7_02.tif "/>
    <s v=" 73563.2716 "/>
    <s v=" 51.6442 "/>
    <x v="0"/>
    <n v="3799118"/>
    <m/>
    <m/>
  </r>
  <r>
    <x v="11"/>
    <x v="3"/>
    <s v="C:\Users\andre\Desktop\REACTIV CEFAS\Cefuroxime\Cefuroxime/20201125_Cefas_Test7_Run2/Plate 1/@7/C7_03.tif "/>
    <s v=" 64543.6056 "/>
    <s v=" 54.0697 "/>
    <x v="0"/>
    <n v="3489854"/>
    <m/>
    <m/>
  </r>
  <r>
    <x v="11"/>
    <x v="4"/>
    <s v="C:\Users\andre\Desktop\REACTIV CEFAS\Cefuroxime\Cefuroxime/20201125_Cefas_Test7_Run2/Plate 1/@7/D7_01.tif "/>
    <s v=" 58379.0856 "/>
    <s v=" 55.0582 "/>
    <x v="0"/>
    <n v="3214246"/>
    <m/>
    <m/>
  </r>
  <r>
    <x v="11"/>
    <x v="4"/>
    <s v="C:\Users\andre\Desktop\REACTIV CEFAS\Cefuroxime\Cefuroxime/20201125_Cefas_Test7_Run2/Plate 1/@7/D7_02.tif "/>
    <s v=" 61234.2317 "/>
    <s v=" 59.5878 "/>
    <x v="0"/>
    <n v="3648812"/>
    <m/>
    <m/>
  </r>
  <r>
    <x v="11"/>
    <x v="4"/>
    <s v="C:\Users\andre\Desktop\REACTIV CEFAS\Cefuroxime\Cefuroxime/20201125_Cefas_Test7_Run2/Plate 1/@7/D7_03.tif "/>
    <s v=" 56302.6157 "/>
    <s v=" 53.2516 "/>
    <x v="0"/>
    <n v="2998206"/>
    <m/>
    <m/>
  </r>
  <r>
    <x v="11"/>
    <x v="5"/>
    <s v="C:\Users\andre\Desktop\REACTIV CEFAS\Cefuroxime\Cefuroxime/20201125_Cefas_Test7_Run2/Plate 1/@7/E7_01.tif "/>
    <s v=" 85632.7528 "/>
    <s v=" 56.2064 "/>
    <x v="0"/>
    <n v="4813106"/>
    <m/>
    <m/>
  </r>
  <r>
    <x v="11"/>
    <x v="5"/>
    <s v="C:\Users\andre\Desktop\REACTIV CEFAS\Cefuroxime\Cefuroxime/20201125_Cefas_Test7_Run2/Plate 1/@7/E7_02.tif "/>
    <s v=" 86411.429 "/>
    <s v=" 61.4711 "/>
    <x v="0"/>
    <n v="5311805"/>
    <m/>
    <m/>
  </r>
  <r>
    <x v="11"/>
    <x v="5"/>
    <s v="C:\Users\andre\Desktop\REACTIV CEFAS\Cefuroxime\Cefuroxime/20201125_Cefas_Test7_Run2/Plate 1/@7/E7_03.tif "/>
    <s v=" 78148.8093 "/>
    <s v=" 57.1143 "/>
    <x v="0"/>
    <n v="4463415"/>
    <m/>
    <m/>
  </r>
  <r>
    <x v="11"/>
    <x v="6"/>
    <s v="C:\Users\andre\Desktop\REACTIV CEFAS\Cefuroxime\Cefuroxime/20201125_Cefas_Test7_Run2/Plate 1/@7/F7_01.tif "/>
    <s v=" 47542.5084 "/>
    <s v=" 53.3385 "/>
    <x v="0"/>
    <n v="2535846"/>
    <m/>
    <m/>
  </r>
  <r>
    <x v="11"/>
    <x v="6"/>
    <s v="C:\Users\andre\Desktop\REACTIV CEFAS\Cefuroxime\Cefuroxime/20201125_Cefas_Test7_Run2/Plate 1/@7/F7_02.tif "/>
    <s v=" 44644.1025 "/>
    <s v=" 52.3304 "/>
    <x v="0"/>
    <n v="2336245"/>
    <m/>
    <m/>
  </r>
  <r>
    <x v="11"/>
    <x v="6"/>
    <s v="C:\Users\andre\Desktop\REACTIV CEFAS\Cefuroxime\Cefuroxime/20201125_Cefas_Test7_Run2/Plate 1/@7/F7_03.tif "/>
    <s v=" 49986.6865 "/>
    <s v=" 55.2627 "/>
    <x v="0"/>
    <n v="2762397"/>
    <m/>
    <m/>
  </r>
  <r>
    <x v="11"/>
    <x v="7"/>
    <s v="C:\Users\andre\Desktop\REACTIV CEFAS\Cefuroxime\Cefuroxime/20201125_Cefas_Test7_Run2/Plate 1/@7/G7_01.tif "/>
    <s v=" 66858.0043 "/>
    <s v=" 60.8651 "/>
    <x v="0"/>
    <n v="4069319"/>
    <m/>
    <m/>
  </r>
  <r>
    <x v="11"/>
    <x v="7"/>
    <s v="C:\Users\andre\Desktop\REACTIV CEFAS\Cefuroxime\Cefuroxime/20201125_Cefas_Test7_Run2/Plate 1/@7/G7_02.tif "/>
    <s v=" 62683.4346 "/>
    <s v=" 63.4275 "/>
    <x v="0"/>
    <n v="3975856"/>
    <m/>
    <m/>
  </r>
  <r>
    <x v="11"/>
    <x v="7"/>
    <s v="C:\Users\andre\Desktop\REACTIV CEFAS\Cefuroxime\Cefuroxime/20201125_Cefas_Test7_Run2/Plate 1/@7/G7_03.tif "/>
    <s v=" 69042.6237 "/>
    <s v=" 59.8725 "/>
    <x v="0"/>
    <n v="4133754"/>
    <m/>
    <m/>
  </r>
  <r>
    <x v="11"/>
    <x v="8"/>
    <s v="C:\Users\andre\Desktop\REACTIV CEFAS\Cefuroxime\Cefuroxime/20201125_Cefas_Test7_Run2/Plate 1/@7/H7_01.tif "/>
    <s v=" 61731.7193 "/>
    <s v=" 59.3563 "/>
    <x v="0"/>
    <n v="3664169"/>
    <m/>
    <m/>
  </r>
  <r>
    <x v="11"/>
    <x v="8"/>
    <s v="C:\Users\andre\Desktop\REACTIV CEFAS\Cefuroxime\Cefuroxime/20201125_Cefas_Test7_Run2/Plate 1/@7/H7_02.tif "/>
    <s v=" 66036.0683 "/>
    <s v=" 55.734 "/>
    <x v="0"/>
    <n v="3680456"/>
    <m/>
    <m/>
  </r>
  <r>
    <x v="11"/>
    <x v="8"/>
    <s v="C:\Users\andre\Desktop\REACTIV CEFAS\Cefuroxime\Cefuroxime/20201125_Cefas_Test7_Run2/Plate 1/@7/H7_03.tif "/>
    <s v=" 57730.1888 "/>
    <s v=" 61.2825 "/>
    <x v="0"/>
    <n v="3537850"/>
    <m/>
    <m/>
  </r>
  <r>
    <x v="0"/>
    <x v="0"/>
    <s v=" "/>
    <m/>
    <m/>
    <x v="1"/>
    <m/>
    <m/>
    <m/>
  </r>
  <r>
    <x v="0"/>
    <x v="0"/>
    <s v="group "/>
    <s v=" "/>
    <s v=" mean of mean fluo "/>
    <x v="2"/>
    <s v=" mean of total fluo "/>
    <s v=" SD total fluo "/>
    <m/>
  </r>
  <r>
    <x v="11"/>
    <x v="9"/>
    <s v="C:\Users\andre\Desktop\REACTIV CEFAS\Cefuroxime\Cefuroxime/20201125_Cefas_Test7_Run2/Plate 1/@7/ "/>
    <s v=" "/>
    <s v=" 54.1366 "/>
    <x v="13"/>
    <s v=" 3446944.58 "/>
    <s v=" 1236038.46 "/>
    <m/>
  </r>
  <r>
    <x v="0"/>
    <x v="0"/>
    <s v=" "/>
    <m/>
    <m/>
    <x v="1"/>
    <m/>
    <m/>
    <m/>
  </r>
  <r>
    <x v="0"/>
    <x v="0"/>
    <s v=" "/>
    <m/>
    <m/>
    <x v="1"/>
    <m/>
    <m/>
    <m/>
  </r>
  <r>
    <x v="0"/>
    <x v="0"/>
    <s v=" "/>
    <m/>
    <m/>
    <x v="1"/>
    <m/>
    <m/>
    <m/>
  </r>
  <r>
    <x v="0"/>
    <x v="0"/>
    <s v=" "/>
    <m/>
    <m/>
    <x v="1"/>
    <m/>
    <m/>
    <m/>
  </r>
  <r>
    <x v="0"/>
    <x v="0"/>
    <s v=" "/>
    <m/>
    <m/>
    <x v="1"/>
    <m/>
    <m/>
    <m/>
  </r>
  <r>
    <x v="0"/>
    <x v="0"/>
    <s v="file name "/>
    <s v=" total area "/>
    <s v=" mean intensity "/>
    <x v="0"/>
    <s v=" total fluorescence"/>
    <m/>
    <m/>
  </r>
  <r>
    <x v="12"/>
    <x v="1"/>
    <s v="C:\Users\andre\Desktop\REACTIV CEFAS\Cefuroxime\Cefuroxime/20201125_Cefas_Test7_Run2/Plate 4/@10/A4_01.tif "/>
    <n v="0"/>
    <n v="0"/>
    <x v="0"/>
    <n v="0"/>
    <m/>
    <m/>
  </r>
  <r>
    <x v="12"/>
    <x v="1"/>
    <s v="C:\Users\andre\Desktop\REACTIV CEFAS\Cefuroxime\Cefuroxime/20201125_Cefas_Test7_Run2/Plate 4/@10/A4_02.tif "/>
    <n v="0"/>
    <n v="0"/>
    <x v="0"/>
    <n v="0"/>
    <m/>
    <m/>
  </r>
  <r>
    <x v="12"/>
    <x v="1"/>
    <s v="C:\Users\andre\Desktop\REACTIV CEFAS\Cefuroxime\Cefuroxime/20201125_Cefas_Test7_Run2/Plate 4/@10/A4_03- exclu.tif"/>
    <m/>
    <m/>
    <x v="1"/>
    <m/>
    <m/>
    <m/>
  </r>
  <r>
    <x v="12"/>
    <x v="2"/>
    <s v="C:\Users\andre\Desktop\REACTIV CEFAS\Cefuroxime\Cefuroxime/20201125_Cefas_Test7_Run2/Plate 4/@10/B4_01- exclu.tif"/>
    <m/>
    <m/>
    <x v="1"/>
    <m/>
    <m/>
    <m/>
  </r>
  <r>
    <x v="12"/>
    <x v="2"/>
    <s v="C:\Users\andre\Desktop\REACTIV CEFAS\Cefuroxime\Cefuroxime/20201125_Cefas_Test7_Run2/Plate 4/@10/B4_02- exclu.tif"/>
    <m/>
    <m/>
    <x v="1"/>
    <m/>
    <m/>
    <m/>
  </r>
  <r>
    <x v="12"/>
    <x v="2"/>
    <s v="C:\Users\andre\Desktop\REACTIV CEFAS\Cefuroxime\Cefuroxime/20201125_Cefas_Test7_Run2/Plate 4/@10/B4_03- exclu.tif"/>
    <m/>
    <m/>
    <x v="1"/>
    <m/>
    <m/>
    <m/>
  </r>
  <r>
    <x v="12"/>
    <x v="3"/>
    <s v="C:\Users\andre\Desktop\REACTIV CEFAS\Cefuroxime\Cefuroxime/20201125_Cefas_Test7_Run2/Plate 4/@10/C4_01.tif "/>
    <s v=" 14145.9511 "/>
    <s v=" 48.5214 "/>
    <x v="0"/>
    <n v="686381"/>
    <m/>
    <m/>
  </r>
  <r>
    <x v="12"/>
    <x v="3"/>
    <s v="C:\Users\andre\Desktop\REACTIV CEFAS\Cefuroxime\Cefuroxime/20201125_Cefas_Test7_Run2/Plate 4/@10/C4_02- exclu.tif"/>
    <m/>
    <m/>
    <x v="1"/>
    <m/>
    <m/>
    <m/>
  </r>
  <r>
    <x v="12"/>
    <x v="3"/>
    <s v="C:\Users\andre\Desktop\REACTIV CEFAS\Cefuroxime\Cefuroxime/20201125_Cefas_Test7_Run2/Plate 4/@10/C4_03- exclu.tif"/>
    <m/>
    <m/>
    <x v="1"/>
    <m/>
    <m/>
    <m/>
  </r>
  <r>
    <x v="12"/>
    <x v="4"/>
    <s v="C:\Users\andre\Desktop\REACTIV CEFAS\Cefuroxime\Cefuroxime/20201125_Cefas_Test7_Run2/Plate 4/@10/D4_01.tif "/>
    <s v=" 7570.4631 "/>
    <s v=" 40.6714 "/>
    <x v="0"/>
    <n v="307902"/>
    <m/>
    <m/>
  </r>
  <r>
    <x v="12"/>
    <x v="4"/>
    <s v="C:\Users\andre\Desktop\REACTIV CEFAS\Cefuroxime\Cefuroxime/20201125_Cefas_Test7_Run2/Plate 4/@10/D4_02.tif "/>
    <s v=" 8067.9507 "/>
    <s v=" 37.9732 "/>
    <x v="0"/>
    <n v="306366"/>
    <m/>
    <m/>
  </r>
  <r>
    <x v="12"/>
    <x v="4"/>
    <s v="C:\Users\andre\Desktop\REACTIV CEFAS\Cefuroxime\Cefuroxime/20201125_Cefas_Test7_Run2/Plate 4/@10/D4_03.tif "/>
    <s v=" 8824.997 "/>
    <s v=" 38.5196 "/>
    <x v="0"/>
    <n v="339935"/>
    <m/>
    <m/>
  </r>
  <r>
    <x v="12"/>
    <x v="5"/>
    <s v="C:\Users\andre\Desktop\REACTIV CEFAS\Cefuroxime\Cefuroxime/20201125_Cefas_Test7_Run2/Plate 4/@10/E4_01.tif "/>
    <s v=" 11377.3246 "/>
    <s v=" 36.4125 "/>
    <x v="0"/>
    <n v="414277"/>
    <m/>
    <m/>
  </r>
  <r>
    <x v="12"/>
    <x v="5"/>
    <s v="C:\Users\andre\Desktop\REACTIV CEFAS\Cefuroxime\Cefuroxime/20201125_Cefas_Test7_Run2/Plate 4/@10/E4_02.tif "/>
    <s v=" 6099.6303 "/>
    <s v=" 34.5674 "/>
    <x v="0"/>
    <n v="210848"/>
    <m/>
    <m/>
  </r>
  <r>
    <x v="12"/>
    <x v="5"/>
    <s v="C:\Users\andre\Desktop\REACTIV CEFAS\Cefuroxime\Cefuroxime/20201125_Cefas_Test7_Run2/Plate 4/@10/E4_03.tif "/>
    <s v=" 5212.8046 "/>
    <s v=" 32.9087 "/>
    <x v="0"/>
    <n v="171547"/>
    <m/>
    <m/>
  </r>
  <r>
    <x v="12"/>
    <x v="6"/>
    <s v="C:\Users\andre\Desktop\REACTIV CEFAS\Cefuroxime\Cefuroxime/20201125_Cefas_Test7_Run2/Plate 4/@10/F4_01.tif "/>
    <s v=" 692.1566 "/>
    <s v=" 31.8125 "/>
    <x v="0"/>
    <n v="22019"/>
    <m/>
    <m/>
  </r>
  <r>
    <x v="12"/>
    <x v="6"/>
    <s v="C:\Users\andre\Desktop\REACTIV CEFAS\Cefuroxime\Cefuroxime/20201125_Cefas_Test7_Run2/Plate 4/@10/F4_02.tif "/>
    <s v=" 432.5979 "/>
    <n v="32"/>
    <x v="0"/>
    <n v="13843"/>
    <m/>
    <m/>
  </r>
  <r>
    <x v="12"/>
    <x v="6"/>
    <s v="C:\Users\andre\Desktop\REACTIV CEFAS\Cefuroxime\Cefuroxime/20201125_Cefas_Test7_Run2/Plate 4/@10/F4_03.tif "/>
    <s v=" 281.1886 "/>
    <s v=" 33.3077 "/>
    <x v="0"/>
    <n v="9366"/>
    <m/>
    <m/>
  </r>
  <r>
    <x v="12"/>
    <x v="7"/>
    <s v="C:\Users\andre\Desktop\REACTIV CEFAS\Cefuroxime\Cefuroxime/20201125_Cefas_Test7_Run2/Plate 4/@10/G4_01.tif "/>
    <s v=" 1297.7937 "/>
    <s v=" 32.85 "/>
    <x v="0"/>
    <n v="42633"/>
    <m/>
    <m/>
  </r>
  <r>
    <x v="12"/>
    <x v="7"/>
    <s v="C:\Users\andre\Desktop\REACTIV CEFAS\Cefuroxime\Cefuroxime/20201125_Cefas_Test7_Run2/Plate 4/@10/G4_02.tif "/>
    <s v=" 43.2598 "/>
    <n v="33"/>
    <x v="0"/>
    <n v="1428"/>
    <m/>
    <m/>
  </r>
  <r>
    <x v="12"/>
    <x v="7"/>
    <s v="C:\Users\andre\Desktop\REACTIV CEFAS\Cefuroxime\Cefuroxime/20201125_Cefas_Test7_Run2/Plate 4/@10/G4_03.tif "/>
    <s v=" 735.4164 "/>
    <s v=" 33.3235 "/>
    <x v="0"/>
    <n v="24507"/>
    <m/>
    <m/>
  </r>
  <r>
    <x v="12"/>
    <x v="8"/>
    <s v="C:\Users\andre\Desktop\REACTIV CEFAS\Cefuroxime\Cefuroxime/20201125_Cefas_Test7_Run2/Plate 4/@10/H4_01.tif "/>
    <s v=" 7397.424 "/>
    <s v=" 37.1287 "/>
    <x v="0"/>
    <n v="274656"/>
    <m/>
    <m/>
  </r>
  <r>
    <x v="12"/>
    <x v="8"/>
    <s v="C:\Users\andre\Desktop\REACTIV CEFAS\Cefuroxime\Cefuroxime/20201125_Cefas_Test7_Run2/Plate 4/@10/H4_02.tif "/>
    <s v=" 129.7794 "/>
    <n v="31"/>
    <x v="0"/>
    <n v="4023"/>
    <m/>
    <m/>
  </r>
  <r>
    <x v="12"/>
    <x v="8"/>
    <s v="C:\Users\andre\Desktop\REACTIV CEFAS\Cefuroxime\Cefuroxime/20201125_Cefas_Test7_Run2/Plate 4/@10/H4_03.tif "/>
    <s v=" 3287.744 "/>
    <s v=" 33.625 "/>
    <x v="0"/>
    <n v="110550"/>
    <m/>
    <m/>
  </r>
  <r>
    <x v="0"/>
    <x v="0"/>
    <s v=" "/>
    <m/>
    <m/>
    <x v="1"/>
    <m/>
    <m/>
    <m/>
  </r>
  <r>
    <x v="0"/>
    <x v="0"/>
    <s v="group "/>
    <s v=" "/>
    <s v=" mean of mean fluo "/>
    <x v="2"/>
    <s v=" mean of total fluo "/>
    <s v=" SD total fluo "/>
    <m/>
  </r>
  <r>
    <x v="12"/>
    <x v="9"/>
    <s v="C:\Users\andre\Desktop\REACTIV CEFAS\Cefuroxime\Cefuroxime/20201125_Cefas_Test7_Run2/Plate 4/@10/ "/>
    <s v=" "/>
    <s v=" 31.4139 "/>
    <x v="14"/>
    <s v=" 221339.625 "/>
    <s v=" 276428.625 "/>
    <m/>
  </r>
  <r>
    <x v="0"/>
    <x v="0"/>
    <s v=" "/>
    <m/>
    <m/>
    <x v="1"/>
    <m/>
    <m/>
    <m/>
  </r>
  <r>
    <x v="0"/>
    <x v="0"/>
    <s v=" "/>
    <m/>
    <m/>
    <x v="1"/>
    <m/>
    <m/>
    <m/>
  </r>
  <r>
    <x v="0"/>
    <x v="0"/>
    <s v=" "/>
    <m/>
    <m/>
    <x v="1"/>
    <m/>
    <m/>
    <m/>
  </r>
  <r>
    <x v="0"/>
    <x v="0"/>
    <s v=" "/>
    <m/>
    <m/>
    <x v="1"/>
    <m/>
    <m/>
    <m/>
  </r>
  <r>
    <x v="0"/>
    <x v="0"/>
    <s v=" "/>
    <m/>
    <m/>
    <x v="1"/>
    <m/>
    <m/>
    <m/>
  </r>
  <r>
    <x v="0"/>
    <x v="0"/>
    <s v="file name "/>
    <s v=" total area "/>
    <s v=" mean intensity "/>
    <x v="0"/>
    <s v=" total fluorescence"/>
    <m/>
    <m/>
  </r>
  <r>
    <x v="13"/>
    <x v="1"/>
    <s v="C:\Users\andre\Desktop\REACTIV CEFAS\Cefuroxime\Cefuroxime/20201125_Cefas_Test7_Run2/Plate 4/@11/A5_01.tif "/>
    <n v="0"/>
    <n v="0"/>
    <x v="0"/>
    <n v="0"/>
    <m/>
    <m/>
  </r>
  <r>
    <x v="13"/>
    <x v="1"/>
    <s v="C:\Users\andre\Desktop\REACTIV CEFAS\Cefuroxime\Cefuroxime/20201125_Cefas_Test7_Run2/Plate 4/@11/A5_02.tif "/>
    <s v=" 64.8897 "/>
    <n v="31"/>
    <x v="0"/>
    <n v="2012"/>
    <m/>
    <m/>
  </r>
  <r>
    <x v="13"/>
    <x v="1"/>
    <s v="C:\Users\andre\Desktop\REACTIV CEFAS\Cefuroxime\Cefuroxime/20201125_Cefas_Test7_Run2/Plate 4/@11/A5_03.tif "/>
    <s v=" 8998.0362 "/>
    <s v=" 42.5433 "/>
    <x v="0"/>
    <n v="382806"/>
    <m/>
    <m/>
  </r>
  <r>
    <x v="13"/>
    <x v="2"/>
    <s v="C:\Users\andre\Desktop\REACTIV CEFAS\Cefuroxime\Cefuroxime/20201125_Cefas_Test7_Run2/Plate 4/@11/B5_01.tif "/>
    <s v=" 5083.0252 "/>
    <s v=" 35.6511 "/>
    <x v="0"/>
    <n v="181215"/>
    <m/>
    <m/>
  </r>
  <r>
    <x v="13"/>
    <x v="2"/>
    <s v="C:\Users\andre\Desktop\REACTIV CEFAS\Cefuroxime\Cefuroxime/20201125_Cefas_Test7_Run2/Plate 4/@11/B5_02.tif "/>
    <s v=" 3006.5554 "/>
    <s v=" 36.3094 "/>
    <x v="0"/>
    <n v="109166"/>
    <m/>
    <m/>
  </r>
  <r>
    <x v="13"/>
    <x v="2"/>
    <s v="C:\Users\andre\Desktop\REACTIV CEFAS\Cefuroxime\Cefuroxime/20201125_Cefas_Test7_Run2/Plate 4/@11/B5_03.tif "/>
    <s v=" 5364.2139 "/>
    <s v=" 36.7379 "/>
    <x v="0"/>
    <n v="197070"/>
    <m/>
    <m/>
  </r>
  <r>
    <x v="13"/>
    <x v="3"/>
    <s v="C:\Users\andre\Desktop\REACTIV CEFAS\Cefuroxime\Cefuroxime/20201125_Cefas_Test7_Run2/Plate 4/@11/C5_01- exclu.tif"/>
    <m/>
    <m/>
    <x v="1"/>
    <m/>
    <m/>
    <m/>
  </r>
  <r>
    <x v="13"/>
    <x v="3"/>
    <s v="C:\Users\andre\Desktop\REACTIV CEFAS\Cefuroxime\Cefuroxime/20201125_Cefas_Test7_Run2/Plate 4/@11/C5_02.tif "/>
    <s v=" 21.6299 "/>
    <n v="32"/>
    <x v="0"/>
    <n v="692"/>
    <m/>
    <m/>
  </r>
  <r>
    <x v="13"/>
    <x v="3"/>
    <s v="C:\Users\andre\Desktop\REACTIV CEFAS\Cefuroxime\Cefuroxime/20201125_Cefas_Test7_Run2/Plate 4/@11/C5_03.tif "/>
    <s v=" 173.0392 "/>
    <s v=" 30.75 "/>
    <x v="0"/>
    <n v="5321"/>
    <m/>
    <m/>
  </r>
  <r>
    <x v="13"/>
    <x v="4"/>
    <s v="C:\Users\andre\Desktop\REACTIV CEFAS\Cefuroxime\Cefuroxime/20201125_Cefas_Test7_Run2/Plate 4/@11/D5_01.tif "/>
    <s v=" 1211.2741 "/>
    <s v=" 33.0357 "/>
    <x v="0"/>
    <n v="40015"/>
    <m/>
    <m/>
  </r>
  <r>
    <x v="13"/>
    <x v="4"/>
    <s v="C:\Users\andre\Desktop\REACTIV CEFAS\Cefuroxime\Cefuroxime/20201125_Cefas_Test7_Run2/Plate 4/@11/D5_02.tif "/>
    <s v=" 5018.1356 "/>
    <s v=" 36.9612 "/>
    <x v="0"/>
    <n v="185476"/>
    <m/>
    <m/>
  </r>
  <r>
    <x v="13"/>
    <x v="4"/>
    <s v="C:\Users\andre\Desktop\REACTIV CEFAS\Cefuroxime\Cefuroxime/20201125_Cefas_Test7_Run2/Plate 4/@11/D5_03- exclu.tif"/>
    <m/>
    <m/>
    <x v="1"/>
    <m/>
    <m/>
    <m/>
  </r>
  <r>
    <x v="13"/>
    <x v="5"/>
    <s v="C:\Users\andre\Desktop\REACTIV CEFAS\Cefuroxime\Cefuroxime/20201125_Cefas_Test7_Run2/Plate 4/@11/E5_01.tif "/>
    <s v=" 6424.0787 "/>
    <s v=" 39.6566 "/>
    <x v="0"/>
    <n v="254757"/>
    <m/>
    <m/>
  </r>
  <r>
    <x v="13"/>
    <x v="5"/>
    <s v="C:\Users\andre\Desktop\REACTIV CEFAS\Cefuroxime\Cefuroxime/20201125_Cefas_Test7_Run2/Plate 4/@11/E5_02.tif "/>
    <s v=" 4801.8366 "/>
    <s v=" 33.9685 "/>
    <x v="0"/>
    <n v="163111"/>
    <m/>
    <m/>
  </r>
  <r>
    <x v="13"/>
    <x v="5"/>
    <s v="C:\Users\andre\Desktop\REACTIV CEFAS\Cefuroxime\Cefuroxime/20201125_Cefas_Test7_Run2/Plate 4/@11/E5_03.tif "/>
    <s v=" 259.5587 "/>
    <n v="31"/>
    <x v="0"/>
    <n v="8046"/>
    <m/>
    <m/>
  </r>
  <r>
    <x v="13"/>
    <x v="6"/>
    <s v="C:\Users\andre\Desktop\REACTIV CEFAS\Cefuroxime\Cefuroxime/20201125_Cefas_Test7_Run2/Plate 4/@11/F5_01.tif "/>
    <s v=" 3287.744 "/>
    <s v=" 33.7697 "/>
    <x v="0"/>
    <n v="111026"/>
    <m/>
    <m/>
  </r>
  <r>
    <x v="13"/>
    <x v="6"/>
    <s v="C:\Users\andre\Desktop\REACTIV CEFAS\Cefuroxime\Cefuroxime/20201125_Cefas_Test7_Run2/Plate 4/@11/F5_02.tif "/>
    <s v=" 64.8897 "/>
    <s v=" 30.6667 "/>
    <x v="0"/>
    <n v="1990"/>
    <m/>
    <m/>
  </r>
  <r>
    <x v="13"/>
    <x v="6"/>
    <s v="C:\Users\andre\Desktop\REACTIV CEFAS\Cefuroxime\Cefuroxime/20201125_Cefas_Test7_Run2/Plate 4/@11/F5_03.tif "/>
    <s v=" 2271.1389 "/>
    <s v=" 35.2 "/>
    <x v="0"/>
    <n v="79944"/>
    <m/>
    <m/>
  </r>
  <r>
    <x v="13"/>
    <x v="7"/>
    <s v="C:\Users\andre\Desktop\REACTIV CEFAS\Cefuroxime\Cefuroxime/20201125_Cefas_Test7_Run2/Plate 4/@11/G5_01.tif "/>
    <s v=" 2660.477 "/>
    <s v=" 35.2276 "/>
    <x v="0"/>
    <n v="93722"/>
    <m/>
    <m/>
  </r>
  <r>
    <x v="13"/>
    <x v="7"/>
    <s v="C:\Users\andre\Desktop\REACTIV CEFAS\Cefuroxime\Cefuroxime/20201125_Cefas_Test7_Run2/Plate 4/@11/G5_02.tif "/>
    <s v=" 2703.7368 "/>
    <s v=" 35.984 "/>
    <x v="0"/>
    <n v="97291"/>
    <m/>
    <m/>
  </r>
  <r>
    <x v="13"/>
    <x v="7"/>
    <s v="C:\Users\andre\Desktop\REACTIV CEFAS\Cefuroxime\Cefuroxime/20201125_Cefas_Test7_Run2/Plate 4/@11/G5_03.tif "/>
    <s v=" 1730.3916 "/>
    <s v=" 33.1 "/>
    <x v="0"/>
    <n v="57276"/>
    <m/>
    <m/>
  </r>
  <r>
    <x v="13"/>
    <x v="8"/>
    <s v="C:\Users\andre\Desktop\REACTIV CEFAS\Cefuroxime\Cefuroxime/20201125_Cefas_Test7_Run2/Plate 4/@11/H5_01.tif "/>
    <s v=" 10987.9865 "/>
    <s v=" 37.9528 "/>
    <x v="0"/>
    <n v="417024"/>
    <m/>
    <m/>
  </r>
  <r>
    <x v="13"/>
    <x v="8"/>
    <s v="C:\Users\andre\Desktop\REACTIV CEFAS\Cefuroxime\Cefuroxime/20201125_Cefas_Test7_Run2/Plate 4/@11/H5_02.tif "/>
    <s v=" 3547.3027 "/>
    <s v=" 33.3902 "/>
    <x v="0"/>
    <n v="118445"/>
    <m/>
    <m/>
  </r>
  <r>
    <x v="13"/>
    <x v="8"/>
    <s v="C:\Users\andre\Desktop\REACTIV CEFAS\Cefuroxime\Cefuroxime/20201125_Cefas_Test7_Run2/Plate 4/@11/H5_03.tif "/>
    <s v=" 13929.6521 "/>
    <s v=" 36.0714 "/>
    <x v="0"/>
    <n v="502462"/>
    <m/>
    <m/>
  </r>
  <r>
    <x v="0"/>
    <x v="0"/>
    <s v=" "/>
    <m/>
    <m/>
    <x v="1"/>
    <m/>
    <m/>
    <m/>
  </r>
  <r>
    <x v="0"/>
    <x v="0"/>
    <s v="group "/>
    <s v=" "/>
    <s v=" mean of mean fluo "/>
    <x v="2"/>
    <s v=" mean of total fluo "/>
    <s v=" SD total fluo "/>
    <m/>
  </r>
  <r>
    <x v="13"/>
    <x v="9"/>
    <s v="C:\Users\andre\Desktop\REACTIV CEFAS\Cefuroxime\Cefuroxime/20201125_Cefas_Test7_Run2/Plate 4/@11/ "/>
    <s v=" "/>
    <s v=" 30.4573 "/>
    <x v="15"/>
    <s v=" 125369.458 "/>
    <s v=" 141602.245 "/>
    <m/>
  </r>
  <r>
    <x v="0"/>
    <x v="0"/>
    <s v=" "/>
    <m/>
    <m/>
    <x v="1"/>
    <m/>
    <m/>
    <m/>
  </r>
  <r>
    <x v="0"/>
    <x v="0"/>
    <s v=" "/>
    <m/>
    <m/>
    <x v="1"/>
    <m/>
    <m/>
    <m/>
  </r>
  <r>
    <x v="0"/>
    <x v="0"/>
    <s v=" "/>
    <m/>
    <m/>
    <x v="1"/>
    <m/>
    <m/>
    <m/>
  </r>
  <r>
    <x v="0"/>
    <x v="0"/>
    <s v=" "/>
    <m/>
    <m/>
    <x v="1"/>
    <m/>
    <m/>
    <m/>
  </r>
  <r>
    <x v="0"/>
    <x v="0"/>
    <s v=" "/>
    <m/>
    <m/>
    <x v="1"/>
    <m/>
    <m/>
    <m/>
  </r>
  <r>
    <x v="0"/>
    <x v="0"/>
    <s v="file name "/>
    <s v=" total area "/>
    <s v=" mean intensity "/>
    <x v="0"/>
    <s v=" total fluorescence"/>
    <m/>
    <m/>
  </r>
  <r>
    <x v="14"/>
    <x v="1"/>
    <s v="C:\Users\andre\Desktop\REACTIV CEFAS\Cefuroxime\Cefuroxime/20201125_Cefas_Test7_Run2/Plate 4/@12/A6_01- exclu.tif"/>
    <m/>
    <m/>
    <x v="1"/>
    <m/>
    <m/>
    <m/>
  </r>
  <r>
    <x v="14"/>
    <x v="1"/>
    <s v="C:\Users\andre\Desktop\REACTIV CEFAS\Cefuroxime\Cefuroxime/20201125_Cefas_Test7_Run2/Plate 4/@12/A6_02.tif "/>
    <s v=" 7224.3848 "/>
    <s v=" 36.9401 "/>
    <x v="0"/>
    <n v="266870"/>
    <m/>
    <m/>
  </r>
  <r>
    <x v="14"/>
    <x v="1"/>
    <s v="C:\Users\andre\Desktop\REACTIV CEFAS\Cefuroxime\Cefuroxime/20201125_Cefas_Test7_Run2/Plate 4/@12/A6_03.tif "/>
    <s v=" 13843.1326 "/>
    <s v=" 50.4016 "/>
    <x v="0"/>
    <n v="697716"/>
    <m/>
    <m/>
  </r>
  <r>
    <x v="14"/>
    <x v="2"/>
    <s v="C:\Users\andre\Desktop\REACTIV CEFAS\Cefuroxime\Cefuroxime/20201125_Cefas_Test7_Run2/Plate 4/@12/B6_01.tif "/>
    <s v=" 4542.2779 "/>
    <s v=" 37.8524 "/>
    <x v="0"/>
    <n v="171936"/>
    <m/>
    <m/>
  </r>
  <r>
    <x v="14"/>
    <x v="2"/>
    <s v="C:\Users\andre\Desktop\REACTIV CEFAS\Cefuroxime\Cefuroxime/20201125_Cefas_Test7_Run2/Plate 4/@12/B6_02.tif "/>
    <s v=" 2422.5482 "/>
    <s v=" 33.2946 "/>
    <x v="0"/>
    <n v="80658"/>
    <m/>
    <m/>
  </r>
  <r>
    <x v="14"/>
    <x v="2"/>
    <s v="C:\Users\andre\Desktop\REACTIV CEFAS\Cefuroxime\Cefuroxime/20201125_Cefas_Test7_Run2/Plate 4/@12/B6_03.tif "/>
    <s v=" 2573.9575 "/>
    <s v=" 36.1008 "/>
    <x v="0"/>
    <n v="92922"/>
    <m/>
    <m/>
  </r>
  <r>
    <x v="14"/>
    <x v="3"/>
    <s v="C:\Users\andre\Desktop\REACTIV CEFAS\Cefuroxime\Cefuroxime/20201125_Cefas_Test7_Run2/Plate 4/@12/C6_01.tif "/>
    <n v="0"/>
    <n v="0"/>
    <x v="0"/>
    <n v="0"/>
    <m/>
    <m/>
  </r>
  <r>
    <x v="14"/>
    <x v="3"/>
    <s v="C:\Users\andre\Desktop\REACTIV CEFAS\Cefuroxime\Cefuroxime/20201125_Cefas_Test7_Run2/Plate 4/@12/C6_02.tif "/>
    <n v="0"/>
    <n v="0"/>
    <x v="0"/>
    <n v="0"/>
    <m/>
    <m/>
  </r>
  <r>
    <x v="14"/>
    <x v="3"/>
    <s v="C:\Users\andre\Desktop\REACTIV CEFAS\Cefuroxime\Cefuroxime/20201125_Cefas_Test7_Run2/Plate 4/@12/C6_03.tif "/>
    <n v="0"/>
    <n v="0"/>
    <x v="0"/>
    <n v="0"/>
    <m/>
    <m/>
  </r>
  <r>
    <x v="14"/>
    <x v="4"/>
    <s v="C:\Users\andre\Desktop\REACTIV CEFAS\Cefuroxime\Cefuroxime/20201125_Cefas_Test7_Run2/Plate 4/@12/D6_01.tif "/>
    <s v=" 5320.9541 "/>
    <s v=" 35.4675 "/>
    <x v="0"/>
    <n v="188721"/>
    <m/>
    <m/>
  </r>
  <r>
    <x v="14"/>
    <x v="4"/>
    <s v="C:\Users\andre\Desktop\REACTIV CEFAS\Cefuroxime\Cefuroxime/20201125_Cefas_Test7_Run2/Plate 4/@12/D6_02- exclu.tif"/>
    <m/>
    <m/>
    <x v="1"/>
    <m/>
    <m/>
    <m/>
  </r>
  <r>
    <x v="14"/>
    <x v="4"/>
    <s v="C:\Users\andre\Desktop\REACTIV CEFAS\Cefuroxime\Cefuroxime/20201125_Cefas_Test7_Run2/Plate 4/@12/D6_03.tif "/>
    <s v=" 5320.9541 "/>
    <s v=" 38.4309 "/>
    <x v="0"/>
    <n v="204489"/>
    <m/>
    <m/>
  </r>
  <r>
    <x v="14"/>
    <x v="5"/>
    <s v="C:\Users\andre\Desktop\REACTIV CEFAS\Cefuroxime\Cefuroxime/20201125_Cefas_Test7_Run2/Plate 4/@12/E6_01.tif "/>
    <s v=" 4001.5305 "/>
    <s v=" 35.5892 "/>
    <x v="0"/>
    <n v="142411"/>
    <m/>
    <m/>
  </r>
  <r>
    <x v="14"/>
    <x v="5"/>
    <s v="C:\Users\andre\Desktop\REACTIV CEFAS\Cefuroxime\Cefuroxime/20201125_Cefas_Test7_Run2/Plate 4/@12/E6_02.tif "/>
    <s v=" 3612.1924 "/>
    <s v=" 34.7545 "/>
    <x v="0"/>
    <n v="125540"/>
    <m/>
    <m/>
  </r>
  <r>
    <x v="14"/>
    <x v="5"/>
    <s v="C:\Users\andre\Desktop\REACTIV CEFAS\Cefuroxime\Cefuroxime/20201125_Cefas_Test7_Run2/Plate 4/@12/E6_03.tif "/>
    <s v=" 3590.5625 "/>
    <s v=" 35.3012 "/>
    <x v="0"/>
    <n v="126751"/>
    <m/>
    <m/>
  </r>
  <r>
    <x v="14"/>
    <x v="6"/>
    <s v="C:\Users\andre\Desktop\REACTIV CEFAS\Cefuroxime\Cefuroxime/20201125_Cefas_Test7_Run2/Plate 4/@12/F6_01.tif "/>
    <s v=" 10620.2783 "/>
    <s v=" 38.723 "/>
    <x v="0"/>
    <n v="411249"/>
    <m/>
    <m/>
  </r>
  <r>
    <x v="14"/>
    <x v="6"/>
    <s v="C:\Users\andre\Desktop\REACTIV CEFAS\Cefuroxime\Cefuroxime/20201125_Cefas_Test7_Run2/Plate 4/@12/F6_02.tif "/>
    <s v=" 11096.1359 "/>
    <s v=" 42.6589 "/>
    <x v="0"/>
    <n v="473349"/>
    <m/>
    <m/>
  </r>
  <r>
    <x v="14"/>
    <x v="6"/>
    <s v="C:\Users\andre\Desktop\REACTIV CEFAS\Cefuroxime\Cefuroxime/20201125_Cefas_Test7_Run2/Plate 4/@12/F6_03.tif "/>
    <s v=" 12545.3389 "/>
    <s v=" 39.9224 "/>
    <x v="0"/>
    <n v="500840"/>
    <m/>
    <m/>
  </r>
  <r>
    <x v="14"/>
    <x v="7"/>
    <s v="C:\Users\andre\Desktop\REACTIV CEFAS\Cefuroxime\Cefuroxime/20201125_Cefas_Test7_Run2/Plate 4/@12/G6_01.tif "/>
    <s v=" 8543.8084 "/>
    <s v=" 36.4557 "/>
    <x v="0"/>
    <n v="311470"/>
    <m/>
    <m/>
  </r>
  <r>
    <x v="14"/>
    <x v="7"/>
    <s v="C:\Users\andre\Desktop\REACTIV CEFAS\Cefuroxime\Cefuroxime/20201125_Cefas_Test7_Run2/Plate 4/@12/G6_02.tif "/>
    <s v=" 5688.6623 "/>
    <s v=" 34.654 "/>
    <x v="0"/>
    <n v="197135"/>
    <m/>
    <m/>
  </r>
  <r>
    <x v="14"/>
    <x v="7"/>
    <s v="C:\Users\andre\Desktop\REACTIV CEFAS\Cefuroxime\Cefuroxime/20201125_Cefas_Test7_Run2/Plate 4/@12/G6_03.tif "/>
    <s v=" 1578.9823 "/>
    <s v=" 33.1781 "/>
    <x v="0"/>
    <n v="52388"/>
    <m/>
    <m/>
  </r>
  <r>
    <x v="14"/>
    <x v="8"/>
    <s v="C:\Users\andre\Desktop\REACTIV CEFAS\Cefuroxime\Cefuroxime/20201125_Cefas_Test7_Run2/Plate 4/@12/H6_01.tif "/>
    <s v=" 4390.8686 "/>
    <s v=" 34.5961 "/>
    <x v="0"/>
    <n v="151907"/>
    <m/>
    <m/>
  </r>
  <r>
    <x v="14"/>
    <x v="8"/>
    <s v="C:\Users\andre\Desktop\REACTIV CEFAS\Cefuroxime\Cefuroxime/20201125_Cefas_Test7_Run2/Plate 4/@12/H6_02.tif "/>
    <s v=" 2098.0998 "/>
    <s v=" 36.2887 "/>
    <x v="0"/>
    <n v="76137"/>
    <m/>
    <m/>
  </r>
  <r>
    <x v="14"/>
    <x v="8"/>
    <s v="C:\Users\andre\Desktop\REACTIV CEFAS\Cefuroxime\Cefuroxime/20201125_Cefas_Test7_Run2/Plate 4/@12/H6_03.tif "/>
    <s v=" 3417.5234 "/>
    <s v=" 35.3544 "/>
    <x v="0"/>
    <n v="120825"/>
    <m/>
    <m/>
  </r>
  <r>
    <x v="0"/>
    <x v="0"/>
    <s v=" "/>
    <m/>
    <m/>
    <x v="1"/>
    <m/>
    <m/>
    <m/>
  </r>
  <r>
    <x v="0"/>
    <x v="0"/>
    <s v="group "/>
    <s v=" "/>
    <s v=" mean of mean fluo "/>
    <x v="2"/>
    <s v=" mean of total fluo "/>
    <s v=" SD total fluo "/>
    <m/>
  </r>
  <r>
    <x v="14"/>
    <x v="9"/>
    <s v="C:\Users\andre\Desktop\REACTIV CEFAS\Cefuroxime\Cefuroxime/20201125_Cefas_Test7_Run2/Plate 4/@12/ "/>
    <s v=" "/>
    <s v=" 31.4336 "/>
    <x v="16"/>
    <s v=" 212829.208 "/>
    <s v=" 206619.698 "/>
    <m/>
  </r>
  <r>
    <x v="0"/>
    <x v="0"/>
    <s v=" "/>
    <m/>
    <m/>
    <x v="1"/>
    <m/>
    <m/>
    <m/>
  </r>
  <r>
    <x v="0"/>
    <x v="0"/>
    <s v=" "/>
    <m/>
    <m/>
    <x v="1"/>
    <m/>
    <m/>
    <m/>
  </r>
  <r>
    <x v="0"/>
    <x v="0"/>
    <s v=" "/>
    <m/>
    <m/>
    <x v="1"/>
    <m/>
    <m/>
    <m/>
  </r>
  <r>
    <x v="0"/>
    <x v="0"/>
    <s v=" "/>
    <m/>
    <m/>
    <x v="1"/>
    <m/>
    <m/>
    <m/>
  </r>
  <r>
    <x v="0"/>
    <x v="0"/>
    <s v=" "/>
    <m/>
    <m/>
    <x v="1"/>
    <m/>
    <m/>
    <m/>
  </r>
  <r>
    <x v="0"/>
    <x v="0"/>
    <s v="file name "/>
    <s v=" total area "/>
    <s v=" mean intensity "/>
    <x v="0"/>
    <s v=" total fluorescence"/>
    <m/>
    <m/>
  </r>
  <r>
    <x v="15"/>
    <x v="1"/>
    <s v="C:\Users\andre\Desktop\REACTIV CEFAS\Cefuroxime\Cefuroxime/20201125_Cefas_Test7_Run2/Plate 4/@17/A8_01.tif "/>
    <s v=" 57859.9681 "/>
    <s v=" 42.3323 "/>
    <x v="0"/>
    <n v="2449348"/>
    <m/>
    <m/>
  </r>
  <r>
    <x v="15"/>
    <x v="1"/>
    <s v="C:\Users\andre\Desktop\REACTIV CEFAS\Cefuroxime\Cefuroxime/20201125_Cefas_Test7_Run2/Plate 4/@17/A8_02.tif "/>
    <s v=" 47369.4692 "/>
    <s v=" 39.7808 "/>
    <x v="0"/>
    <n v="1884396"/>
    <m/>
    <m/>
  </r>
  <r>
    <x v="15"/>
    <x v="1"/>
    <s v="C:\Users\andre\Desktop\REACTIV CEFAS\Cefuroxime\Cefuroxime/20201125_Cefas_Test7_Run2/Plate 4/@17/A8_03.tif "/>
    <s v=" 57384.1105 "/>
    <s v=" 42.3837 "/>
    <x v="0"/>
    <n v="2432152"/>
    <m/>
    <m/>
  </r>
  <r>
    <x v="15"/>
    <x v="2"/>
    <s v="C:\Users\andre\Desktop\REACTIV CEFAS\Cefuroxime\Cefuroxime/20201125_Cefas_Test7_Run2/Plate 4/@17/B8_01.tif "/>
    <s v=" 11918.0719 "/>
    <s v=" 35.5426 "/>
    <x v="0"/>
    <n v="423600"/>
    <m/>
    <m/>
  </r>
  <r>
    <x v="15"/>
    <x v="2"/>
    <s v="C:\Users\andre\Desktop\REACTIV CEFAS\Cefuroxime\Cefuroxime/20201125_Cefas_Test7_Run2/Plate 4/@17/B8_02.tif "/>
    <s v=" 10512.1288 "/>
    <s v=" 34.8663 "/>
    <x v="0"/>
    <n v="366519"/>
    <m/>
    <m/>
  </r>
  <r>
    <x v="15"/>
    <x v="2"/>
    <s v="C:\Users\andre\Desktop\REACTIV CEFAS\Cefuroxime\Cefuroxime/20201125_Cefas_Test7_Run2/Plate 4/@17/B8_03.tif "/>
    <s v=" 8673.5877 "/>
    <s v=" 35.207 "/>
    <x v="0"/>
    <n v="305371"/>
    <m/>
    <m/>
  </r>
  <r>
    <x v="15"/>
    <x v="3"/>
    <s v="C:\Users\andre\Desktop\REACTIV CEFAS\Cefuroxime\Cefuroxime/20201125_Cefas_Test7_Run2/Plate 4/@17/C8_01.tif "/>
    <s v=" 12091.1111 "/>
    <s v=" 37.2791 "/>
    <x v="0"/>
    <n v="450745"/>
    <m/>
    <m/>
  </r>
  <r>
    <x v="15"/>
    <x v="3"/>
    <s v="C:\Users\andre\Desktop\REACTIV CEFAS\Cefuroxime\Cefuroxime/20201125_Cefas_Test7_Run2/Plate 4/@17/C8_02.tif "/>
    <s v=" 23944.2934 "/>
    <s v=" 36.7886 "/>
    <x v="0"/>
    <n v="880877"/>
    <m/>
    <m/>
  </r>
  <r>
    <x v="15"/>
    <x v="3"/>
    <s v="C:\Users\andre\Desktop\REACTIV CEFAS\Cefuroxime\Cefuroxime/20201125_Cefas_Test7_Run2/Plate 4/@17/C8_03.tif "/>
    <s v=" 26128.9127 "/>
    <s v=" 37.0389 "/>
    <x v="0"/>
    <n v="967786"/>
    <m/>
    <m/>
  </r>
  <r>
    <x v="15"/>
    <x v="4"/>
    <s v="C:\Users\andre\Desktop\REACTIV CEFAS\Cefuroxime\Cefuroxime/20201125_Cefas_Test7_Run2/Plate 4/@17/D8_01.tif "/>
    <s v=" 7267.6446 "/>
    <s v=" 34.372 "/>
    <x v="0"/>
    <n v="249804"/>
    <m/>
    <m/>
  </r>
  <r>
    <x v="15"/>
    <x v="4"/>
    <s v="C:\Users\andre\Desktop\REACTIV CEFAS\Cefuroxime\Cefuroxime/20201125_Cefas_Test7_Run2/Plate 4/@17/D8_02.tif "/>
    <s v=" 4801.8366 "/>
    <s v=" 37.7117 "/>
    <x v="0"/>
    <n v="181085"/>
    <m/>
    <m/>
  </r>
  <r>
    <x v="15"/>
    <x v="4"/>
    <s v="C:\Users\andre\Desktop\REACTIV CEFAS\Cefuroxime\Cefuroxime/20201125_Cefas_Test7_Run2/Plate 4/@17/D8_03.tif "/>
    <s v=" 10057.901 "/>
    <s v=" 38.1914 "/>
    <x v="0"/>
    <n v="384125"/>
    <m/>
    <m/>
  </r>
  <r>
    <x v="15"/>
    <x v="5"/>
    <s v="C:\Users\andre\Desktop\REACTIV CEFAS\Cefuroxime\Cefuroxime/20201125_Cefas_Test7_Run2/Plate 4/@17/E8_01.tif "/>
    <s v=" 46569.1631 "/>
    <s v=" 36.0664 "/>
    <x v="0"/>
    <n v="1679583"/>
    <m/>
    <m/>
  </r>
  <r>
    <x v="15"/>
    <x v="5"/>
    <s v="C:\Users\andre\Desktop\REACTIV CEFAS\Cefuroxime\Cefuroxime/20201125_Cefas_Test7_Run2/Plate 4/@17/E8_02.tif "/>
    <s v=" 49445.9391 "/>
    <s v=" 37.2384 "/>
    <x v="0"/>
    <n v="1841288"/>
    <m/>
    <m/>
  </r>
  <r>
    <x v="15"/>
    <x v="5"/>
    <s v="C:\Users\andre\Desktop\REACTIV CEFAS\Cefuroxime\Cefuroxime/20201125_Cefas_Test7_Run2/Plate 4/@17/E8_03.tif "/>
    <s v=" 42243.1842 "/>
    <s v=" 35.8776 "/>
    <x v="0"/>
    <n v="1515585"/>
    <m/>
    <m/>
  </r>
  <r>
    <x v="15"/>
    <x v="6"/>
    <s v="C:\Users\andre\Desktop\REACTIV CEFAS\Cefuroxime\Cefuroxime/20201125_Cefas_Test7_Run2/Plate 4/@17/F8_01.tif "/>
    <s v=" 36294.9632 "/>
    <s v=" 34.1514 "/>
    <x v="0"/>
    <n v="1239523"/>
    <m/>
    <m/>
  </r>
  <r>
    <x v="15"/>
    <x v="6"/>
    <s v="C:\Users\andre\Desktop\REACTIV CEFAS\Cefuroxime\Cefuroxime/20201125_Cefas_Test7_Run2/Plate 4/@17/F8_02.tif "/>
    <s v=" 18277.261 "/>
    <s v=" 33.1787 "/>
    <x v="0"/>
    <n v="606416"/>
    <m/>
    <m/>
  </r>
  <r>
    <x v="15"/>
    <x v="6"/>
    <s v="C:\Users\andre\Desktop\REACTIV CEFAS\Cefuroxime\Cefuroxime/20201125_Cefas_Test7_Run2/Plate 4/@17/F8_03.tif "/>
    <s v=" 26410.1013 "/>
    <s v=" 33.5184 "/>
    <x v="0"/>
    <n v="885225"/>
    <m/>
    <m/>
  </r>
  <r>
    <x v="15"/>
    <x v="7"/>
    <s v="C:\Users\andre\Desktop\REACTIV CEFAS\Cefuroxime\Cefuroxime/20201125_Cefas_Test7_Run2/Plate 4/@17/G8_01.tif "/>
    <s v=" 17736.5136 "/>
    <s v=" 34.8415 "/>
    <x v="0"/>
    <n v="617966"/>
    <m/>
    <m/>
  </r>
  <r>
    <x v="15"/>
    <x v="7"/>
    <s v="C:\Users\andre\Desktop\REACTIV CEFAS\Cefuroxime\Cefuroxime/20201125_Cefas_Test7_Run2/Plate 4/@17/G8_02.tif "/>
    <s v=" 19466.9052 "/>
    <s v=" 35.6544 "/>
    <x v="0"/>
    <n v="694082"/>
    <m/>
    <m/>
  </r>
  <r>
    <x v="15"/>
    <x v="7"/>
    <s v="C:\Users\andre\Desktop\REACTIV CEFAS\Cefuroxime\Cefuroxime/20201125_Cefas_Test7_Run2/Plate 4/@17/G8_03.tif "/>
    <s v=" 16027.7519 "/>
    <s v=" 36.1457 "/>
    <x v="0"/>
    <n v="579335"/>
    <m/>
    <m/>
  </r>
  <r>
    <x v="15"/>
    <x v="8"/>
    <s v="C:\Users\andre\Desktop\REACTIV CEFAS\Cefuroxime\Cefuroxime/20201125_Cefas_Test7_Run2/Plate 4/@17/H8_01- exclu.tif"/>
    <m/>
    <m/>
    <x v="1"/>
    <m/>
    <m/>
    <m/>
  </r>
  <r>
    <x v="15"/>
    <x v="8"/>
    <s v="C:\Users\andre\Desktop\REACTIV CEFAS\Cefuroxime\Cefuroxime/20201125_Cefas_Test7_Run2/Plate 4/@17/H8_02- exclu.tif"/>
    <m/>
    <m/>
    <x v="1"/>
    <m/>
    <m/>
    <m/>
  </r>
  <r>
    <x v="15"/>
    <x v="8"/>
    <s v="C:\Users\andre\Desktop\REACTIV CEFAS\Cefuroxime\Cefuroxime/20201125_Cefas_Test7_Run2/Plate 4/@17/H8_03- exclu.tif"/>
    <m/>
    <m/>
    <x v="1"/>
    <m/>
    <m/>
    <m/>
  </r>
  <r>
    <x v="0"/>
    <x v="0"/>
    <s v=" "/>
    <m/>
    <m/>
    <x v="1"/>
    <m/>
    <m/>
    <m/>
  </r>
  <r>
    <x v="0"/>
    <x v="0"/>
    <s v="group "/>
    <s v=" "/>
    <s v=" mean of mean fluo "/>
    <x v="2"/>
    <s v=" mean of total fluo "/>
    <s v=" SD total fluo "/>
    <m/>
  </r>
  <r>
    <x v="15"/>
    <x v="9"/>
    <s v="C:\Users\andre\Desktop\REACTIV CEFAS\Cefuroxime\Cefuroxime/20201125_Cefas_Test7_Run2/Plate 4/@17/ "/>
    <s v=" "/>
    <s v=" 32.007 "/>
    <x v="17"/>
    <s v=" 859783.792 "/>
    <s v=" 742645.592 "/>
    <m/>
  </r>
  <r>
    <x v="0"/>
    <x v="0"/>
    <s v=" "/>
    <m/>
    <m/>
    <x v="1"/>
    <m/>
    <m/>
    <m/>
  </r>
  <r>
    <x v="0"/>
    <x v="0"/>
    <s v=" "/>
    <m/>
    <m/>
    <x v="1"/>
    <m/>
    <m/>
    <m/>
  </r>
  <r>
    <x v="0"/>
    <x v="0"/>
    <s v=" "/>
    <m/>
    <m/>
    <x v="1"/>
    <m/>
    <m/>
    <m/>
  </r>
  <r>
    <x v="0"/>
    <x v="0"/>
    <s v=" "/>
    <m/>
    <m/>
    <x v="1"/>
    <m/>
    <m/>
    <m/>
  </r>
  <r>
    <x v="0"/>
    <x v="0"/>
    <s v=" "/>
    <m/>
    <m/>
    <x v="1"/>
    <m/>
    <m/>
    <m/>
  </r>
  <r>
    <x v="0"/>
    <x v="0"/>
    <s v="file name "/>
    <s v=" total area "/>
    <s v=" mean intensity "/>
    <x v="0"/>
    <s v=" total fluorescence"/>
    <m/>
    <m/>
  </r>
  <r>
    <x v="16"/>
    <x v="1"/>
    <s v="C:\Users\andre\Desktop\REACTIV CEFAS\Cefuroxime\Cefuroxime/20201125_Cefas_Test7_Run2/Plate 4/@18/A9_01.tif "/>
    <s v=" 40815.6112 "/>
    <s v=" 36.9963 "/>
    <x v="0"/>
    <n v="1510026"/>
    <m/>
    <m/>
  </r>
  <r>
    <x v="16"/>
    <x v="1"/>
    <s v="C:\Users\andre\Desktop\REACTIV CEFAS\Cefuroxime\Cefuroxime/20201125_Cefas_Test7_Run2/Plate 4/@18/A9_02.tif "/>
    <s v=" 42459.4832 "/>
    <s v=" 37.9404 "/>
    <x v="0"/>
    <n v="1610930"/>
    <m/>
    <m/>
  </r>
  <r>
    <x v="16"/>
    <x v="1"/>
    <s v="C:\Users\andre\Desktop\REACTIV CEFAS\Cefuroxime\Cefuroxime/20201125_Cefas_Test7_Run2/Plate 4/@18/A9_03.tif "/>
    <s v=" 37917.2053 "/>
    <s v=" 36.6726 "/>
    <x v="0"/>
    <n v="1390521"/>
    <m/>
    <m/>
  </r>
  <r>
    <x v="16"/>
    <x v="2"/>
    <s v="C:\Users\andre\Desktop\REACTIV CEFAS\Cefuroxime\Cefuroxime/20201125_Cefas_Test7_Run2/Plate 4/@18/B9_01.tif "/>
    <s v=" 65625.1003 "/>
    <s v=" 39.6964 "/>
    <x v="0"/>
    <n v="2605083"/>
    <m/>
    <m/>
  </r>
  <r>
    <x v="16"/>
    <x v="2"/>
    <s v="C:\Users\andre\Desktop\REACTIV CEFAS\Cefuroxime\Cefuroxime/20201125_Cefas_Test7_Run2/Plate 4/@18/B9_02.tif "/>
    <s v=" 63635.15 "/>
    <s v=" 39.847 "/>
    <x v="0"/>
    <n v="2535673"/>
    <m/>
    <m/>
  </r>
  <r>
    <x v="16"/>
    <x v="2"/>
    <s v="C:\Users\andre\Desktop\REACTIV CEFAS\Cefuroxime\Cefuroxime/20201125_Cefas_Test7_Run2/Plate 4/@18/B9_03.tif "/>
    <s v=" 67528.531 "/>
    <s v=" 41.705 "/>
    <x v="0"/>
    <n v="2816277"/>
    <m/>
    <m/>
  </r>
  <r>
    <x v="16"/>
    <x v="3"/>
    <s v="C:\Users\andre\Desktop\REACTIV CEFAS\Cefuroxime\Cefuroxime/20201125_Cefas_Test7_Run2/Plate 4/@18/C9_01.tif "/>
    <s v=" 10295.8298 "/>
    <s v=" 42.9538 "/>
    <x v="0"/>
    <n v="442245"/>
    <m/>
    <m/>
  </r>
  <r>
    <x v="16"/>
    <x v="3"/>
    <s v="C:\Users\andre\Desktop\REACTIV CEFAS\Cefuroxime\Cefuroxime/20201125_Cefas_Test7_Run2/Plate 4/@18/C9_02.tif "/>
    <s v=" 11161.0256 "/>
    <s v=" 42.2054 "/>
    <x v="0"/>
    <n v="471056"/>
    <m/>
    <m/>
  </r>
  <r>
    <x v="16"/>
    <x v="3"/>
    <s v="C:\Users\andre\Desktop\REACTIV CEFAS\Cefuroxime\Cefuroxime/20201125_Cefas_Test7_Run2/Plate 4/@18/C9_03.tif "/>
    <s v=" 13734.9831 "/>
    <s v=" 43.7244 "/>
    <x v="0"/>
    <n v="600554"/>
    <m/>
    <m/>
  </r>
  <r>
    <x v="16"/>
    <x v="4"/>
    <s v="C:\Users\andre\Desktop\REACTIV CEFAS\Cefuroxime\Cefuroxime/20201125_Cefas_Test7_Run2/Plate 4/@18/D9_01.tif "/>
    <s v=" 2790.2564 "/>
    <s v=" 34.6434 "/>
    <x v="0"/>
    <n v="96664"/>
    <m/>
    <m/>
  </r>
  <r>
    <x v="16"/>
    <x v="4"/>
    <s v="C:\Users\andre\Desktop\REACTIV CEFAS\Cefuroxime\Cefuroxime/20201125_Cefas_Test7_Run2/Plate 4/@18/D9_02.tif "/>
    <s v=" 4455.7583 "/>
    <s v=" 35.0049 "/>
    <x v="0"/>
    <n v="155973"/>
    <m/>
    <m/>
  </r>
  <r>
    <x v="16"/>
    <x v="4"/>
    <s v="C:\Users\andre\Desktop\REACTIV CEFAS\Cefuroxime\Cefuroxime/20201125_Cefas_Test7_Run2/Plate 4/@18/D9_03.tif "/>
    <s v=" 2898.4059 "/>
    <s v=" 33.8507 "/>
    <x v="0"/>
    <n v="98113"/>
    <m/>
    <m/>
  </r>
  <r>
    <x v="16"/>
    <x v="5"/>
    <s v="C:\Users\andre\Desktop\REACTIV CEFAS\Cefuroxime\Cefuroxime/20201125_Cefas_Test7_Run2/Plate 4/@18/E9_01.tif "/>
    <s v=" 59092.8721 "/>
    <s v=" 38.8693 "/>
    <x v="0"/>
    <n v="2296900"/>
    <m/>
    <m/>
  </r>
  <r>
    <x v="16"/>
    <x v="5"/>
    <s v="C:\Users\andre\Desktop\REACTIV CEFAS\Cefuroxime\Cefuroxime/20201125_Cefas_Test7_Run2/Plate 4/@18/E9_02.tif "/>
    <s v=" 66836.3744 "/>
    <s v=" 43.011 "/>
    <x v="0"/>
    <n v="2874700"/>
    <m/>
    <m/>
  </r>
  <r>
    <x v="16"/>
    <x v="5"/>
    <s v="C:\Users\andre\Desktop\REACTIV CEFAS\Cefuroxime\Cefuroxime/20201125_Cefas_Test7_Run2/Plate 4/@18/E9_03.tif "/>
    <s v=" 56627.0641 "/>
    <s v=" 40.2754 "/>
    <x v="0"/>
    <n v="2280678"/>
    <m/>
    <m/>
  </r>
  <r>
    <x v="16"/>
    <x v="6"/>
    <s v="C:\Users\andre\Desktop\REACTIV CEFAS\Cefuroxime\Cefuroxime/20201125_Cefas_Test7_Run2/Plate 4/@18/F9_01.tif "/>
    <s v=" 8414.029 "/>
    <s v=" 35.4961 "/>
    <x v="0"/>
    <n v="298666"/>
    <m/>
    <m/>
  </r>
  <r>
    <x v="16"/>
    <x v="6"/>
    <s v="C:\Users\andre\Desktop\REACTIV CEFAS\Cefuroxime\Cefuroxime/20201125_Cefas_Test7_Run2/Plate 4/@18/F9_02- exclu.tif"/>
    <m/>
    <m/>
    <x v="1"/>
    <m/>
    <m/>
    <m/>
  </r>
  <r>
    <x v="16"/>
    <x v="6"/>
    <s v="C:\Users\andre\Desktop\REACTIV CEFAS\Cefuroxime\Cefuroxime/20201125_Cefas_Test7_Run2/Plate 4/@18/F9_03- exclu.tif"/>
    <m/>
    <m/>
    <x v="1"/>
    <m/>
    <m/>
    <m/>
  </r>
  <r>
    <x v="16"/>
    <x v="7"/>
    <s v="C:\Users\andre\Desktop\REACTIV CEFAS\Cefuroxime\Cefuroxime/20201125_Cefas_Test7_Run2/Plate 4/@18/G9_01.tif "/>
    <s v=" 32315.0626 "/>
    <s v=" 37.828 "/>
    <x v="0"/>
    <n v="1222413"/>
    <m/>
    <m/>
  </r>
  <r>
    <x v="16"/>
    <x v="7"/>
    <s v="C:\Users\andre\Desktop\REACTIV CEFAS\Cefuroxime\Cefuroxime/20201125_Cefas_Test7_Run2/Plate 4/@18/G9_02.tif "/>
    <s v=" 33223.5181 "/>
    <s v=" 37.4681 "/>
    <x v="0"/>
    <n v="1244822"/>
    <m/>
    <m/>
  </r>
  <r>
    <x v="16"/>
    <x v="7"/>
    <s v="C:\Users\andre\Desktop\REACTIV CEFAS\Cefuroxime\Cefuroxime/20201125_Cefas_Test7_Run2/Plate 4/@18/G9_03.tif "/>
    <s v=" 32985.5893 "/>
    <s v=" 37.2669 "/>
    <x v="0"/>
    <n v="1229270"/>
    <m/>
    <m/>
  </r>
  <r>
    <x v="16"/>
    <x v="8"/>
    <s v="C:\Users\andre\Desktop\REACTIV CEFAS\Cefuroxime\Cefuroxime/20201125_Cefas_Test7_Run2/Plate 4/@18/H9_01.tif "/>
    <s v=" 18298.8909 "/>
    <s v=" 34.2683 "/>
    <x v="0"/>
    <n v="627072"/>
    <m/>
    <m/>
  </r>
  <r>
    <x v="16"/>
    <x v="8"/>
    <s v="C:\Users\andre\Desktop\REACTIV CEFAS\Cefuroxime\Cefuroxime/20201125_Cefas_Test7_Run2/Plate 4/@18/H9_02.tif "/>
    <s v=" 19012.6774 "/>
    <s v=" 34.2332 "/>
    <x v="0"/>
    <n v="650865"/>
    <m/>
    <m/>
  </r>
  <r>
    <x v="16"/>
    <x v="8"/>
    <s v="C:\Users\andre\Desktop\REACTIV CEFAS\Cefuroxime\Cefuroxime/20201125_Cefas_Test7_Run2/Plate 4/@18/H9_03.tif "/>
    <s v=" 27426.7064 "/>
    <s v=" 41.8872 "/>
    <x v="0"/>
    <n v="1148829"/>
    <m/>
    <m/>
  </r>
  <r>
    <x v="0"/>
    <x v="0"/>
    <s v=" "/>
    <m/>
    <m/>
    <x v="1"/>
    <m/>
    <m/>
    <m/>
  </r>
  <r>
    <x v="0"/>
    <x v="0"/>
    <s v="group "/>
    <s v=" "/>
    <s v=" mean of mean fluo "/>
    <x v="2"/>
    <s v=" mean of total fluo "/>
    <s v=" SD total fluo "/>
    <m/>
  </r>
  <r>
    <x v="16"/>
    <x v="9"/>
    <s v="C:\Users\andre\Desktop\REACTIV CEFAS\Cefuroxime\Cefuroxime/20201125_Cefas_Test7_Run2/Plate 4/@18/ "/>
    <s v=" "/>
    <s v=" 38.8227 "/>
    <x v="18"/>
    <s v=" 1218654.46 "/>
    <s v=" 913632.583 "/>
    <m/>
  </r>
  <r>
    <x v="0"/>
    <x v="0"/>
    <s v=" "/>
    <m/>
    <m/>
    <x v="1"/>
    <m/>
    <m/>
    <m/>
  </r>
  <r>
    <x v="0"/>
    <x v="0"/>
    <s v=" "/>
    <m/>
    <m/>
    <x v="1"/>
    <m/>
    <m/>
    <m/>
  </r>
  <r>
    <x v="0"/>
    <x v="0"/>
    <s v=" "/>
    <m/>
    <m/>
    <x v="1"/>
    <m/>
    <m/>
    <m/>
  </r>
  <r>
    <x v="0"/>
    <x v="0"/>
    <s v=" "/>
    <m/>
    <m/>
    <x v="1"/>
    <m/>
    <m/>
    <m/>
  </r>
  <r>
    <x v="0"/>
    <x v="0"/>
    <s v=" "/>
    <m/>
    <m/>
    <x v="1"/>
    <m/>
    <m/>
    <m/>
  </r>
  <r>
    <x v="0"/>
    <x v="0"/>
    <s v="file name "/>
    <s v=" total area "/>
    <s v=" mean intensity "/>
    <x v="0"/>
    <s v=" total fluorescence"/>
    <m/>
    <m/>
  </r>
  <r>
    <x v="17"/>
    <x v="1"/>
    <s v="C:\Users\andre\Desktop\REACTIV CEFAS\Cefuroxime\Cefuroxime/20201125_Cefas_Test7_Run2/Plate 4/@19/A10_01.tif "/>
    <s v=" 56475.6549 "/>
    <s v=" 43.5098 "/>
    <x v="0"/>
    <n v="2457243"/>
    <m/>
    <m/>
  </r>
  <r>
    <x v="17"/>
    <x v="1"/>
    <s v="C:\Users\andre\Desktop\REACTIV CEFAS\Cefuroxime\Cefuroxime/20201125_Cefas_Test7_Run2/Plate 4/@19/A10_02- exclu.tif"/>
    <m/>
    <m/>
    <x v="1"/>
    <m/>
    <m/>
    <m/>
  </r>
  <r>
    <x v="17"/>
    <x v="1"/>
    <s v="C:\Users\andre\Desktop\REACTIV CEFAS\Cefuroxime\Cefuroxime/20201125_Cefas_Test7_Run2/Plate 4/@19/A10_03.tif "/>
    <s v=" 42978.6006 "/>
    <s v=" 41.9909 "/>
    <x v="0"/>
    <n v="1804712"/>
    <m/>
    <m/>
  </r>
  <r>
    <x v="17"/>
    <x v="2"/>
    <s v="C:\Users\andre\Desktop\REACTIV CEFAS\Cefuroxime\Cefuroxime/20201125_Cefas_Test7_Run2/Plate 4/@19/B10_01.tif "/>
    <s v=" 19250.6062 "/>
    <s v=" 34.7921 "/>
    <x v="0"/>
    <n v="669770"/>
    <m/>
    <m/>
  </r>
  <r>
    <x v="17"/>
    <x v="2"/>
    <s v="C:\Users\andre\Desktop\REACTIV CEFAS\Cefuroxime\Cefuroxime/20201125_Cefas_Test7_Run2/Plate 4/@19/B10_02.tif "/>
    <s v=" 16222.421 "/>
    <s v=" 34.7013 "/>
    <x v="0"/>
    <n v="562940"/>
    <m/>
    <m/>
  </r>
  <r>
    <x v="17"/>
    <x v="2"/>
    <s v="C:\Users\andre\Desktop\REACTIV CEFAS\Cefuroxime\Cefuroxime/20201125_Cefas_Test7_Run2/Plate 4/@19/B10_03.tif "/>
    <s v=" 24398.5211 "/>
    <s v=" 35.6534 "/>
    <x v="0"/>
    <n v="869889"/>
    <m/>
    <m/>
  </r>
  <r>
    <x v="17"/>
    <x v="3"/>
    <s v="C:\Users\andre\Desktop\REACTIV CEFAS\Cefuroxime\Cefuroxime/20201125_Cefas_Test7_Run2/Plate 4/@19/C10_01.tif "/>
    <s v=" 57773.4486 "/>
    <s v=" 41.0753 "/>
    <x v="0"/>
    <n v="2373059"/>
    <m/>
    <m/>
  </r>
  <r>
    <x v="17"/>
    <x v="3"/>
    <s v="C:\Users\andre\Desktop\REACTIV CEFAS\Cefuroxime\Cefuroxime/20201125_Cefas_Test7_Run2/Plate 4/@19/C10_02.tif "/>
    <s v=" 59525.47 "/>
    <s v=" 41.2329 "/>
    <x v="0"/>
    <n v="2454409"/>
    <m/>
    <m/>
  </r>
  <r>
    <x v="17"/>
    <x v="3"/>
    <s v="C:\Users\andre\Desktop\REACTIV CEFAS\Cefuroxime\Cefuroxime/20201125_Cefas_Test7_Run2/Plate 4/@19/C10_03.tif "/>
    <s v=" 58833.3134 "/>
    <s v=" 41.5415 "/>
    <x v="0"/>
    <n v="2444027"/>
    <m/>
    <m/>
  </r>
  <r>
    <x v="17"/>
    <x v="4"/>
    <s v="C:\Users\andre\Desktop\REACTIV CEFAS\Cefuroxime\Cefuroxime/20201125_Cefas_Test7_Run2/Plate 4/@19/D10_01.tif "/>
    <s v=" 49402.6793 "/>
    <s v=" 41.4067 "/>
    <x v="0"/>
    <n v="2045604"/>
    <m/>
    <m/>
  </r>
  <r>
    <x v="17"/>
    <x v="4"/>
    <s v="C:\Users\andre\Desktop\REACTIV CEFAS\Cefuroxime\Cefuroxime/20201125_Cefas_Test7_Run2/Plate 4/@19/D10_02.tif "/>
    <s v=" 47629.028 "/>
    <s v=" 41.7629 "/>
    <x v="0"/>
    <n v="1989128"/>
    <m/>
    <m/>
  </r>
  <r>
    <x v="17"/>
    <x v="4"/>
    <s v="C:\Users\andre\Desktop\REACTIV CEFAS\Cefuroxime\Cefuroxime/20201125_Cefas_Test7_Run2/Plate 4/@19/D10_03.tif "/>
    <s v=" 47153.1703 "/>
    <s v=" 40.2486 "/>
    <x v="0"/>
    <n v="1897850"/>
    <m/>
    <m/>
  </r>
  <r>
    <x v="17"/>
    <x v="5"/>
    <s v="C:\Users\andre\Desktop\REACTIV CEFAS\Cefuroxime\Cefuroxime/20201125_Cefas_Test7_Run2/Plate 4/@19/E10_01.tif "/>
    <s v=" 41659.1771 "/>
    <s v=" 38.2248 "/>
    <x v="0"/>
    <n v="1592414"/>
    <m/>
    <m/>
  </r>
  <r>
    <x v="17"/>
    <x v="5"/>
    <s v="C:\Users\andre\Desktop\REACTIV CEFAS\Cefuroxime\Cefuroxime/20201125_Cefas_Test7_Run2/Plate 4/@19/E10_02.tif "/>
    <s v=" 25177.1973 "/>
    <s v=" 35.543 "/>
    <x v="0"/>
    <n v="894872"/>
    <m/>
    <m/>
  </r>
  <r>
    <x v="17"/>
    <x v="5"/>
    <s v="C:\Users\andre\Desktop\REACTIV CEFAS\Cefuroxime\Cefuroxime/20201125_Cefas_Test7_Run2/Plate 4/@19/E10_03.tif "/>
    <s v=" 33850.7851 "/>
    <s v=" 36.299 "/>
    <x v="0"/>
    <n v="1228751"/>
    <m/>
    <m/>
  </r>
  <r>
    <x v="17"/>
    <x v="6"/>
    <s v="C:\Users\andre\Desktop\REACTIV CEFAS\Cefuroxime\Cefuroxime/20201125_Cefas_Test7_Run2/Plate 4/@19/F10_01.tif "/>
    <s v=" 2400.9183 "/>
    <s v=" 34.7568 "/>
    <x v="0"/>
    <n v="83448"/>
    <m/>
    <m/>
  </r>
  <r>
    <x v="17"/>
    <x v="6"/>
    <s v="C:\Users\andre\Desktop\REACTIV CEFAS\Cefuroxime\Cefuroxime/20201125_Cefas_Test7_Run2/Plate 4/@19/F10_02.tif "/>
    <s v=" 6813.4168 "/>
    <s v=" 37.327 "/>
    <x v="0"/>
    <n v="254324"/>
    <m/>
    <m/>
  </r>
  <r>
    <x v="17"/>
    <x v="6"/>
    <s v="C:\Users\andre\Desktop\REACTIV CEFAS\Cefuroxime\Cefuroxime/20201125_Cefas_Test7_Run2/Plate 4/@19/F10_03.tif "/>
    <s v=" 2963.2956 "/>
    <s v=" 36.9489 "/>
    <x v="0"/>
    <n v="109491"/>
    <m/>
    <m/>
  </r>
  <r>
    <x v="17"/>
    <x v="7"/>
    <s v="C:\Users\andre\Desktop\REACTIV CEFAS\Cefuroxime\Cefuroxime/20201125_Cefas_Test7_Run2/Plate 4/@19/G10_01.tif "/>
    <s v=" 59893.1782 "/>
    <s v=" 41.8346 "/>
    <x v="0"/>
    <n v="2505607"/>
    <m/>
    <m/>
  </r>
  <r>
    <x v="17"/>
    <x v="7"/>
    <s v="C:\Users\andre\Desktop\REACTIV CEFAS\Cefuroxime\Cefuroxime/20201125_Cefas_Test7_Run2/Plate 4/@19/G10_02.tif "/>
    <s v=" 66598.4456 "/>
    <s v=" 43.1952 "/>
    <x v="0"/>
    <n v="2876733"/>
    <m/>
    <m/>
  </r>
  <r>
    <x v="17"/>
    <x v="7"/>
    <s v="C:\Users\andre\Desktop\REACTIV CEFAS\Cefuroxime\Cefuroxime/20201125_Cefas_Test7_Run2/Plate 4/@19/G10_03.tif "/>
    <s v=" 69778.0401 "/>
    <s v=" 41.7384 "/>
    <x v="0"/>
    <n v="2912422"/>
    <m/>
    <m/>
  </r>
  <r>
    <x v="17"/>
    <x v="8"/>
    <s v="C:\Users\andre\Desktop\REACTIV CEFAS\Cefuroxime\Cefuroxime/20201125_Cefas_Test7_Run2/Plate 4/@19/H10_01.tif "/>
    <s v=" 52128.0461 "/>
    <s v=" 41.7535 "/>
    <x v="0"/>
    <n v="2176530"/>
    <m/>
    <m/>
  </r>
  <r>
    <x v="17"/>
    <x v="8"/>
    <s v="C:\Users\andre\Desktop\REACTIV CEFAS\Cefuroxime\Cefuroxime/20201125_Cefas_Test7_Run2/Plate 4/@19/H10_02.tif "/>
    <s v=" 54896.6726 "/>
    <s v=" 40.0812 "/>
    <x v="0"/>
    <n v="2200323"/>
    <m/>
    <m/>
  </r>
  <r>
    <x v="17"/>
    <x v="8"/>
    <s v="C:\Users\andre\Desktop\REACTIV CEFAS\Cefuroxime\Cefuroxime/20201125_Cefas_Test7_Run2/Plate 4/@19/H10_03.tif "/>
    <s v=" 56259.3559 "/>
    <s v=" 41.1734 "/>
    <x v="0"/>
    <n v="2316389"/>
    <m/>
    <m/>
  </r>
  <r>
    <x v="0"/>
    <x v="0"/>
    <s v=" "/>
    <m/>
    <m/>
    <x v="1"/>
    <m/>
    <m/>
    <m/>
  </r>
  <r>
    <x v="0"/>
    <x v="0"/>
    <s v="group "/>
    <s v=" "/>
    <s v=" mean of mean fluo "/>
    <x v="2"/>
    <s v=" mean of total fluo "/>
    <s v=" SD total fluo "/>
    <m/>
  </r>
  <r>
    <x v="17"/>
    <x v="9"/>
    <s v="C:\Users\andre\Desktop\REACTIV CEFAS\Cefuroxime\Cefuroxime/20201125_Cefas_Test7_Run2/Plate 4/@19/ "/>
    <s v=" "/>
    <s v=" 39.8765 "/>
    <x v="19"/>
    <s v=" 1718929.58 "/>
    <s v=" 899493.955 "/>
    <m/>
  </r>
  <r>
    <x v="0"/>
    <x v="0"/>
    <s v=" "/>
    <m/>
    <m/>
    <x v="1"/>
    <m/>
    <m/>
    <m/>
  </r>
  <r>
    <x v="0"/>
    <x v="0"/>
    <s v=" "/>
    <m/>
    <m/>
    <x v="1"/>
    <m/>
    <m/>
    <m/>
  </r>
  <r>
    <x v="0"/>
    <x v="0"/>
    <s v=" "/>
    <m/>
    <m/>
    <x v="1"/>
    <m/>
    <m/>
    <m/>
  </r>
  <r>
    <x v="0"/>
    <x v="0"/>
    <s v=" "/>
    <m/>
    <m/>
    <x v="1"/>
    <m/>
    <m/>
    <m/>
  </r>
  <r>
    <x v="0"/>
    <x v="0"/>
    <s v=" "/>
    <m/>
    <m/>
    <x v="1"/>
    <m/>
    <m/>
    <m/>
  </r>
  <r>
    <x v="0"/>
    <x v="0"/>
    <s v="file name "/>
    <s v=" total area "/>
    <s v=" mean intensity "/>
    <x v="0"/>
    <s v=" total fluorescence"/>
    <m/>
    <m/>
  </r>
  <r>
    <x v="18"/>
    <x v="1"/>
    <s v="C:\Users\andre\Desktop\REACTIV CEFAS\Cefuroxime\Cefuroxime/20201125_Cefas_Test7_Run2/Plate 4/@20/A11_01- exclu.tif"/>
    <m/>
    <m/>
    <x v="1"/>
    <m/>
    <m/>
    <m/>
  </r>
  <r>
    <x v="18"/>
    <x v="1"/>
    <s v="C:\Users\andre\Desktop\REACTIV CEFAS\Cefuroxime\Cefuroxime/20201125_Cefas_Test7_Run2/Plate 4/@20/A11_02- exclu.tif"/>
    <m/>
    <m/>
    <x v="1"/>
    <m/>
    <m/>
    <m/>
  </r>
  <r>
    <x v="18"/>
    <x v="1"/>
    <s v="C:\Users\andre\Desktop\REACTIV CEFAS\Cefuroxime\Cefuroxime/20201125_Cefas_Test7_Run2/Plate 4/@20/A11_03- exclu.tif"/>
    <m/>
    <m/>
    <x v="1"/>
    <m/>
    <m/>
    <m/>
  </r>
  <r>
    <x v="18"/>
    <x v="2"/>
    <s v="C:\Users\andre\Desktop\REACTIV CEFAS\Cefuroxime\Cefuroxime/20201125_Cefas_Test7_Run2/Plate 4/@20/B11_01.tif "/>
    <s v=" 7570.4631 "/>
    <s v=" 34.2914 "/>
    <x v="0"/>
    <n v="259602"/>
    <m/>
    <m/>
  </r>
  <r>
    <x v="18"/>
    <x v="2"/>
    <s v="C:\Users\andre\Desktop\REACTIV CEFAS\Cefuroxime\Cefuroxime/20201125_Cefas_Test7_Run2/Plate 4/@20/B11_02.tif "/>
    <s v=" 8176.1002 "/>
    <s v=" 34.6587 "/>
    <x v="0"/>
    <n v="283373"/>
    <m/>
    <m/>
  </r>
  <r>
    <x v="18"/>
    <x v="2"/>
    <s v="C:\Users\andre\Desktop\REACTIV CEFAS\Cefuroxime\Cefuroxime/20201125_Cefas_Test7_Run2/Plate 4/@20/B11_03.tif "/>
    <s v=" 9776.7124 "/>
    <s v=" 35.2544 "/>
    <x v="0"/>
    <n v="344672"/>
    <m/>
    <m/>
  </r>
  <r>
    <x v="18"/>
    <x v="3"/>
    <s v="C:\Users\andre\Desktop\REACTIV CEFAS\Cefuroxime\Cefuroxime/20201125_Cefas_Test7_Run2/Plate 4/@20/C11_01.tif "/>
    <s v=" 27102.258 "/>
    <s v=" 34.6879 "/>
    <x v="0"/>
    <n v="940122"/>
    <m/>
    <m/>
  </r>
  <r>
    <x v="18"/>
    <x v="3"/>
    <s v="C:\Users\andre\Desktop\REACTIV CEFAS\Cefuroxime\Cefuroxime/20201125_Cefas_Test7_Run2/Plate 4/@20/C11_02.tif "/>
    <s v=" 28464.9413 "/>
    <s v=" 35.2424 "/>
    <x v="0"/>
    <n v="1003173"/>
    <m/>
    <m/>
  </r>
  <r>
    <x v="18"/>
    <x v="3"/>
    <s v="C:\Users\andre\Desktop\REACTIV CEFAS\Cefuroxime\Cefuroxime/20201125_Cefas_Test7_Run2/Plate 4/@20/C11_03.tif "/>
    <s v=" 16892.9477 "/>
    <s v=" 33.5659 "/>
    <x v="0"/>
    <n v="567028"/>
    <m/>
    <m/>
  </r>
  <r>
    <x v="18"/>
    <x v="4"/>
    <s v="C:\Users\andre\Desktop\REACTIV CEFAS\Cefuroxime\Cefuroxime/20201125_Cefas_Test7_Run2/Plate 4/@20/D11_01.tif "/>
    <s v=" 38782.4011 "/>
    <s v=" 38.8996 "/>
    <x v="0"/>
    <n v="1508620"/>
    <m/>
    <m/>
  </r>
  <r>
    <x v="18"/>
    <x v="4"/>
    <s v="C:\Users\andre\Desktop\REACTIV CEFAS\Cefuroxime\Cefuroxime/20201125_Cefas_Test7_Run2/Plate 4/@20/D11_02.tif "/>
    <s v=" 42654.1522 "/>
    <s v=" 40.3276 "/>
    <x v="0"/>
    <n v="1720139"/>
    <m/>
    <m/>
  </r>
  <r>
    <x v="18"/>
    <x v="4"/>
    <s v="C:\Users\andre\Desktop\REACTIV CEFAS\Cefuroxime\Cefuroxime/20201125_Cefas_Test7_Run2/Plate 4/@20/D11_03.tif "/>
    <s v=" 39582.7072 "/>
    <s v=" 39.9421 "/>
    <x v="0"/>
    <n v="1581016"/>
    <m/>
    <m/>
  </r>
  <r>
    <x v="18"/>
    <x v="5"/>
    <s v="C:\Users\andre\Desktop\REACTIV CEFAS\Cefuroxime\Cefuroxime/20201125_Cefas_Test7_Run2/Plate 4/@20/E11_01.tif "/>
    <s v=" 83642.8025 "/>
    <s v=" 48.369 "/>
    <x v="0"/>
    <n v="4045720"/>
    <m/>
    <m/>
  </r>
  <r>
    <x v="18"/>
    <x v="5"/>
    <s v="C:\Users\andre\Desktop\REACTIV CEFAS\Cefuroxime\Cefuroxime/20201125_Cefas_Test7_Run2/Plate 4/@20/E11_02.tif "/>
    <s v=" 85762.5322 "/>
    <s v=" 45.9544 "/>
    <x v="0"/>
    <n v="3941161"/>
    <m/>
    <m/>
  </r>
  <r>
    <x v="18"/>
    <x v="5"/>
    <s v="C:\Users\andre\Desktop\REACTIV CEFAS\Cefuroxime\Cefuroxime/20201125_Cefas_Test7_Run2/Plate 4/@20/E11_03.tif "/>
    <s v=" 80636.2472 "/>
    <s v=" 44.9201 "/>
    <x v="0"/>
    <n v="3622185"/>
    <m/>
    <m/>
  </r>
  <r>
    <x v="18"/>
    <x v="6"/>
    <s v="C:\Users\andre\Desktop\REACTIV CEFAS\Cefuroxime\Cefuroxime/20201125_Cefas_Test7_Run2/Plate 4/@20/F11_01.tif "/>
    <s v=" 12804.8976 "/>
    <s v=" 35.8024 "/>
    <x v="0"/>
    <n v="458446"/>
    <m/>
    <m/>
  </r>
  <r>
    <x v="18"/>
    <x v="6"/>
    <s v="C:\Users\andre\Desktop\REACTIV CEFAS\Cefuroxime\Cefuroxime/20201125_Cefas_Test7_Run2/Plate 4/@20/F11_02.tif "/>
    <s v=" 13756.613 "/>
    <s v=" 39.4119 "/>
    <x v="0"/>
    <n v="542175"/>
    <m/>
    <m/>
  </r>
  <r>
    <x v="18"/>
    <x v="6"/>
    <s v="C:\Users\andre\Desktop\REACTIV CEFAS\Cefuroxime\Cefuroxime/20201125_Cefas_Test7_Run2/Plate 4/@20/F11_03.tif "/>
    <s v=" 4866.7263 "/>
    <s v=" 32.7689 "/>
    <x v="0"/>
    <n v="159477"/>
    <m/>
    <m/>
  </r>
  <r>
    <x v="18"/>
    <x v="7"/>
    <s v="C:\Users\andre\Desktop\REACTIV CEFAS\Cefuroxime\Cefuroxime/20201125_Cefas_Test7_Run2/Plate 4/@20/G11_01.tif "/>
    <s v=" 16244.0509 "/>
    <s v=" 34.5153 "/>
    <x v="0"/>
    <n v="560668"/>
    <m/>
    <m/>
  </r>
  <r>
    <x v="18"/>
    <x v="7"/>
    <s v="C:\Users\andre\Desktop\REACTIV CEFAS\Cefuroxime\Cefuroxime/20201125_Cefas_Test7_Run2/Plate 4/@20/G11_02.tif "/>
    <s v=" 8219.36 "/>
    <s v=" 37.85 "/>
    <x v="0"/>
    <n v="311103"/>
    <m/>
    <m/>
  </r>
  <r>
    <x v="18"/>
    <x v="7"/>
    <s v="C:\Users\andre\Desktop\REACTIV CEFAS\Cefuroxime\Cefuroxime/20201125_Cefas_Test7_Run2/Plate 4/@20/G11_03.tif "/>
    <s v=" 2920.0358 "/>
    <s v=" 32.4963 "/>
    <x v="0"/>
    <n v="94890"/>
    <m/>
    <m/>
  </r>
  <r>
    <x v="18"/>
    <x v="8"/>
    <s v="C:\Users\andre\Desktop\REACTIV CEFAS\Cefuroxime\Cefuroxime/20201125_Cefas_Test7_Run2/Plate 4/@20/H11_01.tif "/>
    <s v=" 9344.1145 "/>
    <s v=" 32.5509 "/>
    <x v="0"/>
    <n v="304160"/>
    <m/>
    <m/>
  </r>
  <r>
    <x v="18"/>
    <x v="8"/>
    <s v="C:\Users\andre\Desktop\REACTIV CEFAS\Cefuroxime\Cefuroxime/20201125_Cefas_Test7_Run2/Plate 4/@20/H11_02.tif "/>
    <s v=" 11701.773 "/>
    <s v=" 32.6044 "/>
    <x v="0"/>
    <n v="381530"/>
    <m/>
    <m/>
  </r>
  <r>
    <x v="18"/>
    <x v="8"/>
    <s v="C:\Users\andre\Desktop\REACTIV CEFAS\Cefuroxime\Cefuroxime/20201125_Cefas_Test7_Run2/Plate 4/@20/H11_03.tif "/>
    <s v=" 16287.3107 "/>
    <s v=" 33.6587 "/>
    <x v="0"/>
    <n v="548210"/>
    <m/>
    <m/>
  </r>
  <r>
    <x v="0"/>
    <x v="0"/>
    <s v=" "/>
    <m/>
    <m/>
    <x v="1"/>
    <m/>
    <m/>
    <m/>
  </r>
  <r>
    <x v="0"/>
    <x v="0"/>
    <s v="group "/>
    <s v=" "/>
    <s v=" mean of mean fluo "/>
    <x v="2"/>
    <s v=" mean of total fluo "/>
    <s v=" SD total fluo "/>
    <m/>
  </r>
  <r>
    <x v="18"/>
    <x v="9"/>
    <s v="C:\Users\andre\Desktop\REACTIV CEFAS\Cefuroxime\Cefuroxime/20201125_Cefas_Test7_Run2/Plate 4/@20/ "/>
    <s v=" "/>
    <s v=" 37.6951 "/>
    <x v="20"/>
    <s v=" 1129205.75 "/>
    <s v=" 1169045.84 "/>
    <m/>
  </r>
  <r>
    <x v="0"/>
    <x v="0"/>
    <s v=" "/>
    <m/>
    <m/>
    <x v="1"/>
    <m/>
    <m/>
    <m/>
  </r>
  <r>
    <x v="0"/>
    <x v="0"/>
    <s v=" "/>
    <m/>
    <m/>
    <x v="1"/>
    <m/>
    <m/>
    <m/>
  </r>
  <r>
    <x v="0"/>
    <x v="0"/>
    <s v=" "/>
    <m/>
    <m/>
    <x v="1"/>
    <m/>
    <m/>
    <m/>
  </r>
  <r>
    <x v="0"/>
    <x v="0"/>
    <s v=" "/>
    <m/>
    <m/>
    <x v="1"/>
    <m/>
    <m/>
    <m/>
  </r>
  <r>
    <x v="0"/>
    <x v="0"/>
    <s v=" "/>
    <m/>
    <m/>
    <x v="1"/>
    <m/>
    <m/>
    <m/>
  </r>
  <r>
    <x v="0"/>
    <x v="0"/>
    <s v="file name "/>
    <s v=" total area "/>
    <s v=" mean intensity "/>
    <x v="0"/>
    <s v=" total fluorescence"/>
    <m/>
    <m/>
  </r>
  <r>
    <x v="19"/>
    <x v="1"/>
    <s v="C:\Users\andre\Desktop\REACTIV CEFAS\Cefuroxime\Cefuroxime/20201125_Cefas_Test7_Run2/Plate 4/@21/A12_01.tif "/>
    <s v=" 22322.0513 "/>
    <s v=" 35.3944 "/>
    <x v="0"/>
    <n v="790075"/>
    <m/>
    <m/>
  </r>
  <r>
    <x v="19"/>
    <x v="1"/>
    <s v="C:\Users\andre\Desktop\REACTIV CEFAS\Cefuroxime\Cefuroxime/20201125_Cefas_Test7_Run2/Plate 4/@21/A12_02.tif "/>
    <s v=" 16222.421 "/>
    <s v=" 35.2653 "/>
    <x v="0"/>
    <n v="572089"/>
    <m/>
    <m/>
  </r>
  <r>
    <x v="19"/>
    <x v="1"/>
    <s v="C:\Users\andre\Desktop\REACTIV CEFAS\Cefuroxime\Cefuroxime/20201125_Cefas_Test7_Run2/Plate 4/@21/A12_03.tif "/>
    <s v=" 2768.6265 "/>
    <s v=" 32.1719 "/>
    <x v="0"/>
    <n v="89072"/>
    <m/>
    <m/>
  </r>
  <r>
    <x v="19"/>
    <x v="2"/>
    <s v="C:\Users\andre\Desktop\REACTIV CEFAS\Cefuroxime\Cefuroxime/20201125_Cefas_Test7_Run2/Plate 4/@21/B12_01.tif "/>
    <s v=" 14167.581 "/>
    <s v=" 42.3634 "/>
    <x v="0"/>
    <n v="600186"/>
    <m/>
    <m/>
  </r>
  <r>
    <x v="19"/>
    <x v="2"/>
    <s v="C:\Users\andre\Desktop\REACTIV CEFAS\Cefuroxime\Cefuroxime/20201125_Cefas_Test7_Run2/Plate 4/@21/B12_02.tif "/>
    <s v=" 9235.965 "/>
    <s v=" 43.7705 "/>
    <x v="0"/>
    <n v="404263"/>
    <m/>
    <m/>
  </r>
  <r>
    <x v="19"/>
    <x v="2"/>
    <s v="C:\Users\andre\Desktop\REACTIV CEFAS\Cefuroxime\Cefuroxime/20201125_Cefas_Test7_Run2/Plate 4/@21/B12_03.tif "/>
    <s v=" 16092.6416 "/>
    <s v=" 43.5 "/>
    <x v="0"/>
    <n v="700030"/>
    <m/>
    <m/>
  </r>
  <r>
    <x v="19"/>
    <x v="3"/>
    <s v="C:\Users\andre\Desktop\REACTIV CEFAS\Cefuroxime\Cefuroxime/20201125_Cefas_Test7_Run2/Plate 4/@21/C12_01.tif "/>
    <s v=" 40729.0916 "/>
    <s v=" 36.7424 "/>
    <x v="0"/>
    <n v="1496486"/>
    <m/>
    <m/>
  </r>
  <r>
    <x v="19"/>
    <x v="3"/>
    <s v="C:\Users\andre\Desktop\REACTIV CEFAS\Cefuroxime\Cefuroxime/20201125_Cefas_Test7_Run2/Plate 4/@21/C12_02.tif "/>
    <s v=" 53252.8006 "/>
    <s v=" 40.1178 "/>
    <x v="0"/>
    <n v="2136385"/>
    <m/>
    <m/>
  </r>
  <r>
    <x v="19"/>
    <x v="3"/>
    <s v="C:\Users\andre\Desktop\REACTIV CEFAS\Cefuroxime\Cefuroxime/20201125_Cefas_Test7_Run2/Plate 4/@21/C12_03.tif "/>
    <s v=" 37571.127 "/>
    <s v=" 36.3402 "/>
    <x v="0"/>
    <n v="1365344"/>
    <m/>
    <m/>
  </r>
  <r>
    <x v="19"/>
    <x v="4"/>
    <s v="C:\Users\andre\Desktop\REACTIV CEFAS\Cefuroxime\Cefuroxime/20201125_Cefas_Test7_Run2/Plate 4/@21/D12_01.tif "/>
    <s v=" 28724.5001 "/>
    <s v=" 35.6032 "/>
    <x v="0"/>
    <n v="1022683"/>
    <m/>
    <m/>
  </r>
  <r>
    <x v="19"/>
    <x v="4"/>
    <s v="C:\Users\andre\Desktop\REACTIV CEFAS\Cefuroxime\Cefuroxime/20201125_Cefas_Test7_Run2/Plate 4/@21/D12_02.tif "/>
    <s v=" 29568.066 "/>
    <s v=" 35.1836 "/>
    <x v="0"/>
    <n v="1040311"/>
    <m/>
    <m/>
  </r>
  <r>
    <x v="19"/>
    <x v="4"/>
    <s v="C:\Users\andre\Desktop\REACTIV CEFAS\Cefuroxime\Cefuroxime/20201125_Cefas_Test7_Run2/Plate 4/@21/D12_03.tif "/>
    <s v=" 33353.2975 "/>
    <s v=" 35.8962 "/>
    <x v="0"/>
    <n v="1197258"/>
    <m/>
    <m/>
  </r>
  <r>
    <x v="19"/>
    <x v="5"/>
    <s v="C:\Users\andre\Desktop\REACTIV CEFAS\Cefuroxime\Cefuroxime/20201125_Cefas_Test7_Run2/Plate 4/@21/E12_01.tif "/>
    <s v=" 12999.5667 "/>
    <s v=" 40.7072 "/>
    <x v="0"/>
    <n v="529175"/>
    <m/>
    <m/>
  </r>
  <r>
    <x v="19"/>
    <x v="5"/>
    <s v="C:\Users\andre\Desktop\REACTIV CEFAS\Cefuroxime\Cefuroxime/20201125_Cefas_Test7_Run2/Plate 4/@21/E12_02- exclu.tif"/>
    <m/>
    <m/>
    <x v="1"/>
    <m/>
    <m/>
    <m/>
  </r>
  <r>
    <x v="19"/>
    <x v="5"/>
    <s v="C:\Users\andre\Desktop\REACTIV CEFAS\Cefuroxime\Cefuroxime/20201125_Cefas_Test7_Run2/Plate 4/@21/E12_03.tif "/>
    <s v=" 26431.7312 "/>
    <s v=" 37.2512 "/>
    <x v="0"/>
    <n v="984614"/>
    <m/>
    <m/>
  </r>
  <r>
    <x v="19"/>
    <x v="6"/>
    <s v="C:\Users\andre\Desktop\REACTIV CEFAS\Cefuroxime\Cefuroxime/20201125_Cefas_Test7_Run2/Plate 4/@21/F12_01.tif "/>
    <s v=" 63245.8119 "/>
    <s v=" 43.2654 "/>
    <x v="0"/>
    <n v="2736355"/>
    <m/>
    <m/>
  </r>
  <r>
    <x v="19"/>
    <x v="6"/>
    <s v="C:\Users\andre\Desktop\REACTIV CEFAS\Cefuroxime\Cefuroxime/20201125_Cefas_Test7_Run2/Plate 4/@21/F12_02.tif "/>
    <s v=" 62748.3243 "/>
    <s v=" 44.0269 "/>
    <x v="0"/>
    <n v="2762613"/>
    <m/>
    <m/>
  </r>
  <r>
    <x v="19"/>
    <x v="6"/>
    <s v="C:\Users\andre\Desktop\REACTIV CEFAS\Cefuroxime\Cefuroxime/20201125_Cefas_Test7_Run2/Plate 4/@21/F12_03.tif "/>
    <s v=" 61904.7584 "/>
    <s v=" 44.731 "/>
    <x v="0"/>
    <n v="2769059"/>
    <m/>
    <m/>
  </r>
  <r>
    <x v="19"/>
    <x v="7"/>
    <s v="C:\Users\andre\Desktop\REACTIV CEFAS\Cefuroxime\Cefuroxime/20201125_Cefas_Test7_Run2/Plate 4/@21/G12_01.tif "/>
    <s v=" 64673.3849 "/>
    <s v=" 45.293 "/>
    <x v="0"/>
    <n v="2929250"/>
    <m/>
    <m/>
  </r>
  <r>
    <x v="19"/>
    <x v="7"/>
    <s v="C:\Users\andre\Desktop\REACTIV CEFAS\Cefuroxime\Cefuroxime/20201125_Cefas_Test7_Run2/Plate 4/@21/G12_02.tif "/>
    <s v=" 56345.8755 "/>
    <s v=" 42.9397 "/>
    <x v="0"/>
    <n v="2419477"/>
    <m/>
    <m/>
  </r>
  <r>
    <x v="19"/>
    <x v="7"/>
    <s v="C:\Users\andre\Desktop\REACTIV CEFAS\Cefuroxime\Cefuroxime/20201125_Cefas_Test7_Run2/Plate 4/@21/G12_03.tif "/>
    <s v=" 57924.8578 "/>
    <s v=" 44.0721 "/>
    <x v="0"/>
    <n v="2552868"/>
    <m/>
    <m/>
  </r>
  <r>
    <x v="19"/>
    <x v="8"/>
    <s v="C:\Users\andre\Desktop\REACTIV CEFAS\Cefuroxime\Cefuroxime/20201125_Cefas_Test7_Run2/Plate 4/@21/H12_01.tif "/>
    <s v=" 15919.6024 "/>
    <s v=" 33.5258 "/>
    <x v="0"/>
    <n v="533718"/>
    <m/>
    <m/>
  </r>
  <r>
    <x v="19"/>
    <x v="8"/>
    <s v="C:\Users\andre\Desktop\REACTIV CEFAS\Cefuroxime\Cefuroxime/20201125_Cefas_Test7_Run2/Plate 4/@21/H12_02.tif "/>
    <s v=" 10641.9082 "/>
    <s v=" 32.0569 "/>
    <x v="0"/>
    <n v="341147"/>
    <m/>
    <m/>
  </r>
  <r>
    <x v="19"/>
    <x v="8"/>
    <s v="C:\Users\andre\Desktop\REACTIV CEFAS\Cefuroxime\Cefuroxime/20201125_Cefas_Test7_Run2/Plate 4/@21/H12_03.tif "/>
    <s v=" 11831.5524 "/>
    <s v=" 32.958 "/>
    <x v="0"/>
    <n v="389944"/>
    <m/>
    <m/>
  </r>
  <r>
    <x v="0"/>
    <x v="0"/>
    <s v=" "/>
    <m/>
    <m/>
    <x v="1"/>
    <m/>
    <m/>
    <m/>
  </r>
  <r>
    <x v="0"/>
    <x v="0"/>
    <s v="group "/>
    <s v=" "/>
    <s v=" mean of mean fluo "/>
    <x v="2"/>
    <s v=" mean of total fluo "/>
    <s v=" SD total fluo "/>
    <m/>
  </r>
  <r>
    <x v="19"/>
    <x v="9"/>
    <s v="C:\Users\andre\Desktop\REACTIV CEFAS\Cefuroxime\Cefuroxime/20201125_Cefas_Test7_Run2/Plate 4/@21/ "/>
    <s v=" "/>
    <s v=" 38.828 "/>
    <x v="21"/>
    <s v=" 1290314.25 "/>
    <s v=" 936051.961 "/>
    <m/>
  </r>
  <r>
    <x v="0"/>
    <x v="0"/>
    <s v=" "/>
    <m/>
    <m/>
    <x v="1"/>
    <m/>
    <m/>
    <m/>
  </r>
  <r>
    <x v="0"/>
    <x v="0"/>
    <s v=" "/>
    <m/>
    <m/>
    <x v="1"/>
    <m/>
    <m/>
    <m/>
  </r>
  <r>
    <x v="0"/>
    <x v="0"/>
    <s v=" "/>
    <m/>
    <m/>
    <x v="1"/>
    <m/>
    <m/>
    <m/>
  </r>
  <r>
    <x v="0"/>
    <x v="0"/>
    <s v=" "/>
    <m/>
    <m/>
    <x v="1"/>
    <m/>
    <m/>
    <m/>
  </r>
  <r>
    <x v="0"/>
    <x v="0"/>
    <s v=" "/>
    <m/>
    <m/>
    <x v="1"/>
    <m/>
    <m/>
    <m/>
  </r>
  <r>
    <x v="0"/>
    <x v="0"/>
    <s v="file name "/>
    <s v=" total area "/>
    <s v=" mean intensity "/>
    <x v="0"/>
    <s v=" total fluorescence"/>
    <m/>
    <m/>
  </r>
  <r>
    <x v="20"/>
    <x v="1"/>
    <s v="C:\Users\andre\Desktop\REACTIV CEFAS\Cefuroxime\Cefuroxime/20201125_Cefas_Test7_Run2/Plate 4/@8/A2_01.tif "/>
    <s v=" 4390.8686 "/>
    <s v=" 38.9655 "/>
    <x v="0"/>
    <n v="171092"/>
    <m/>
    <m/>
  </r>
  <r>
    <x v="20"/>
    <x v="1"/>
    <s v="C:\Users\andre\Desktop\REACTIV CEFAS\Cefuroxime\Cefuroxime/20201125_Cefas_Test7_Run2/Plate 4/@8/A2_02.tif "/>
    <s v=" 7570.4631 "/>
    <s v=" 41.0914 "/>
    <x v="0"/>
    <n v="311081"/>
    <m/>
    <m/>
  </r>
  <r>
    <x v="20"/>
    <x v="1"/>
    <s v="C:\Users\andre\Desktop\REACTIV CEFAS\Cefuroxime\Cefuroxime/20201125_Cefas_Test7_Run2/Plate 4/@8/A2_03- exclu.tif"/>
    <m/>
    <m/>
    <x v="1"/>
    <m/>
    <m/>
    <m/>
  </r>
  <r>
    <x v="20"/>
    <x v="2"/>
    <s v="C:\Users\andre\Desktop\REACTIV CEFAS\Cefuroxime\Cefuroxime/20201125_Cefas_Test7_Run2/Plate 4/@8/B2_01- exclu.tif"/>
    <m/>
    <m/>
    <x v="1"/>
    <m/>
    <m/>
    <m/>
  </r>
  <r>
    <x v="20"/>
    <x v="2"/>
    <s v="C:\Users\andre\Desktop\REACTIV CEFAS\Cefuroxime\Cefuroxime/20201125_Cefas_Test7_Run2/Plate 4/@8/B2_02- exclu.tif"/>
    <m/>
    <m/>
    <x v="1"/>
    <m/>
    <m/>
    <m/>
  </r>
  <r>
    <x v="20"/>
    <x v="2"/>
    <s v="C:\Users\andre\Desktop\REACTIV CEFAS\Cefuroxime\Cefuroxime/20201125_Cefas_Test7_Run2/Plate 4/@8/B2_03- exclu.tif"/>
    <m/>
    <m/>
    <x v="1"/>
    <m/>
    <m/>
    <m/>
  </r>
  <r>
    <x v="20"/>
    <x v="3"/>
    <s v="C:\Users\andre\Desktop\REACTIV CEFAS\Cefuroxime\Cefuroxime/20201125_Cefas_Test7_Run2/Plate 4/@8/C2_01.tif "/>
    <s v=" 281.1886 "/>
    <s v=" 31.1538 "/>
    <x v="0"/>
    <n v="8760"/>
    <m/>
    <m/>
  </r>
  <r>
    <x v="20"/>
    <x v="3"/>
    <s v="C:\Users\andre\Desktop\REACTIV CEFAS\Cefuroxime\Cefuroxime/20201125_Cefas_Test7_Run2/Plate 4/@8/C2_02.tif "/>
    <s v=" 3936.6408 "/>
    <s v=" 35.4011 "/>
    <x v="0"/>
    <n v="139361"/>
    <m/>
    <m/>
  </r>
  <r>
    <x v="20"/>
    <x v="3"/>
    <s v="C:\Users\andre\Desktop\REACTIV CEFAS\Cefuroxime\Cefuroxime/20201125_Cefas_Test7_Run2/Plate 4/@8/C2_03.tif "/>
    <s v=" 86.5196 "/>
    <s v=" 31.5 "/>
    <x v="0"/>
    <n v="2725"/>
    <m/>
    <m/>
  </r>
  <r>
    <x v="20"/>
    <x v="4"/>
    <s v="C:\Users\andre\Desktop\REACTIV CEFAS\Cefuroxime\Cefuroxime/20201125_Cefas_Test7_Run2/Plate 4/@8/D2_01.tif "/>
    <s v=" 3915.0109 "/>
    <s v=" 39.5083 "/>
    <x v="0"/>
    <n v="154675"/>
    <m/>
    <m/>
  </r>
  <r>
    <x v="20"/>
    <x v="4"/>
    <s v="C:\Users\andre\Desktop\REACTIV CEFAS\Cefuroxime\Cefuroxime/20201125_Cefas_Test7_Run2/Plate 4/@8/D2_02.tif "/>
    <s v=" 3677.0821 "/>
    <s v=" 39.6353 "/>
    <x v="0"/>
    <n v="145742"/>
    <m/>
    <m/>
  </r>
  <r>
    <x v="20"/>
    <x v="4"/>
    <s v="C:\Users\andre\Desktop\REACTIV CEFAS\Cefuroxime\Cefuroxime/20201125_Cefas_Test7_Run2/Plate 4/@8/D2_03.tif "/>
    <s v=" 2617.2173 "/>
    <s v=" 38.6612 "/>
    <x v="0"/>
    <n v="101185"/>
    <m/>
    <m/>
  </r>
  <r>
    <x v="20"/>
    <x v="5"/>
    <s v="C:\Users\andre\Desktop\REACTIV CEFAS\Cefuroxime\Cefuroxime/20201125_Cefas_Test7_Run2/Plate 4/@8/E2_01- exclu.tif"/>
    <m/>
    <m/>
    <x v="1"/>
    <m/>
    <m/>
    <m/>
  </r>
  <r>
    <x v="20"/>
    <x v="5"/>
    <s v="C:\Users\andre\Desktop\REACTIV CEFAS\Cefuroxime\Cefuroxime/20201125_Cefas_Test7_Run2/Plate 4/@8/E2_02- exclu.tif"/>
    <m/>
    <m/>
    <x v="1"/>
    <m/>
    <m/>
    <m/>
  </r>
  <r>
    <x v="20"/>
    <x v="5"/>
    <s v="C:\Users\andre\Desktop\REACTIV CEFAS\Cefuroxime\Cefuroxime/20201125_Cefas_Test7_Run2/Plate 4/@8/E2_03- exclu.tif"/>
    <m/>
    <m/>
    <x v="1"/>
    <m/>
    <m/>
    <m/>
  </r>
  <r>
    <x v="20"/>
    <x v="6"/>
    <s v="C:\Users\andre\Desktop\REACTIV CEFAS\Cefuroxime\Cefuroxime/20201125_Cefas_Test7_Run2/Plate 4/@8/F2_01.tif "/>
    <s v=" 3590.5625 "/>
    <s v=" 42.8614 "/>
    <x v="0"/>
    <n v="153897"/>
    <m/>
    <m/>
  </r>
  <r>
    <x v="20"/>
    <x v="6"/>
    <s v="C:\Users\andre\Desktop\REACTIV CEFAS\Cefuroxime\Cefuroxime/20201125_Cefas_Test7_Run2/Plate 4/@8/F2_02- exclu.tif"/>
    <m/>
    <m/>
    <x v="1"/>
    <m/>
    <m/>
    <m/>
  </r>
  <r>
    <x v="20"/>
    <x v="6"/>
    <s v="C:\Users\andre\Desktop\REACTIV CEFAS\Cefuroxime\Cefuroxime/20201125_Cefas_Test7_Run2/Plate 4/@8/F2_03- exclu.tif"/>
    <m/>
    <m/>
    <x v="1"/>
    <m/>
    <m/>
    <m/>
  </r>
  <r>
    <x v="20"/>
    <x v="7"/>
    <s v="C:\Users\andre\Desktop\REACTIV CEFAS\Cefuroxime\Cefuroxime/20201125_Cefas_Test7_Run2/Plate 4/@8/G2_01.tif "/>
    <s v=" 8284.2496 "/>
    <s v=" 39.893 "/>
    <x v="0"/>
    <n v="330483"/>
    <m/>
    <m/>
  </r>
  <r>
    <x v="20"/>
    <x v="7"/>
    <s v="C:\Users\andre\Desktop\REACTIV CEFAS\Cefuroxime\Cefuroxime/20201125_Cefas_Test7_Run2/Plate 4/@8/G2_02.tif "/>
    <s v=" 5580.5128 "/>
    <s v=" 38.2132 "/>
    <x v="0"/>
    <n v="213249"/>
    <m/>
    <m/>
  </r>
  <r>
    <x v="20"/>
    <x v="7"/>
    <s v="C:\Users\andre\Desktop\REACTIV CEFAS\Cefuroxime\Cefuroxime/20201125_Cefas_Test7_Run2/Plate 4/@8/G2_03.tif "/>
    <s v=" 6294.2993 "/>
    <s v=" 39.8419 "/>
    <x v="0"/>
    <n v="250777"/>
    <m/>
    <m/>
  </r>
  <r>
    <x v="20"/>
    <x v="8"/>
    <s v="C:\Users\andre\Desktop\REACTIV CEFAS\Cefuroxime\Cefuroxime/20201125_Cefas_Test7_Run2/Plate 4/@8/H2_01.tif "/>
    <s v=" 129.7794 "/>
    <s v=" 30.5 "/>
    <x v="0"/>
    <n v="3958"/>
    <m/>
    <m/>
  </r>
  <r>
    <x v="20"/>
    <x v="8"/>
    <s v="C:\Users\andre\Desktop\REACTIV CEFAS\Cefuroxime\Cefuroxime/20201125_Cefas_Test7_Run2/Plate 4/@8/H2_02.tif "/>
    <s v=" 1881.8008 "/>
    <s v=" 32.931 "/>
    <x v="0"/>
    <n v="61970"/>
    <m/>
    <m/>
  </r>
  <r>
    <x v="20"/>
    <x v="8"/>
    <s v="C:\Users\andre\Desktop\REACTIV CEFAS\Cefuroxime\Cefuroxime/20201125_Cefas_Test7_Run2/Plate 4/@8/H2_03.tif "/>
    <s v=" 3698.712 "/>
    <s v=" 38.7485 "/>
    <x v="0"/>
    <n v="143320"/>
    <m/>
    <m/>
  </r>
  <r>
    <x v="0"/>
    <x v="0"/>
    <s v=" "/>
    <m/>
    <m/>
    <x v="1"/>
    <m/>
    <m/>
    <m/>
  </r>
  <r>
    <x v="0"/>
    <x v="0"/>
    <s v="group "/>
    <s v=" "/>
    <s v=" mean of mean fluo "/>
    <x v="2"/>
    <s v=" mean of total fluo "/>
    <s v=" SD total fluo "/>
    <m/>
  </r>
  <r>
    <x v="20"/>
    <x v="9"/>
    <s v="C:\Users\andre\Desktop\REACTIV CEFAS\Cefuroxime\Cefuroxime/20201125_Cefas_Test7_Run2/Plate 4/@8/ "/>
    <s v=" "/>
    <s v=" 38.3198 "/>
    <x v="22"/>
    <s v=" 229626.542 "/>
    <s v=" 179670.517 "/>
    <m/>
  </r>
  <r>
    <x v="0"/>
    <x v="0"/>
    <s v=" "/>
    <m/>
    <m/>
    <x v="1"/>
    <m/>
    <m/>
    <m/>
  </r>
  <r>
    <x v="0"/>
    <x v="0"/>
    <s v=" "/>
    <m/>
    <m/>
    <x v="1"/>
    <m/>
    <m/>
    <m/>
  </r>
  <r>
    <x v="0"/>
    <x v="0"/>
    <s v=" "/>
    <m/>
    <m/>
    <x v="1"/>
    <m/>
    <m/>
    <m/>
  </r>
  <r>
    <x v="0"/>
    <x v="0"/>
    <s v=" "/>
    <m/>
    <m/>
    <x v="1"/>
    <m/>
    <m/>
    <m/>
  </r>
  <r>
    <x v="0"/>
    <x v="0"/>
    <s v=" "/>
    <m/>
    <m/>
    <x v="1"/>
    <m/>
    <m/>
    <m/>
  </r>
  <r>
    <x v="0"/>
    <x v="0"/>
    <s v="file name "/>
    <s v=" total area "/>
    <s v=" mean intensity "/>
    <x v="0"/>
    <s v=" total fluorescence"/>
    <m/>
    <m/>
  </r>
  <r>
    <x v="21"/>
    <x v="1"/>
    <s v="C:\Users\andre\Desktop\REACTIV CEFAS\Cefuroxime\Cefuroxime/20201125_Cefas_Test7_Run2/Plate 4/@9/A3_01.tif "/>
    <s v=" 64.8897 "/>
    <s v=" 30.6667 "/>
    <x v="0"/>
    <n v="1990"/>
    <m/>
    <m/>
  </r>
  <r>
    <x v="21"/>
    <x v="1"/>
    <s v="C:\Users\andre\Desktop\REACTIV CEFAS\Cefuroxime\Cefuroxime/20201125_Cefas_Test7_Run2/Plate 4/@9/A3_02- exclu.tif"/>
    <m/>
    <m/>
    <x v="1"/>
    <m/>
    <m/>
    <m/>
  </r>
  <r>
    <x v="21"/>
    <x v="1"/>
    <s v="C:\Users\andre\Desktop\REACTIV CEFAS\Cefuroxime\Cefuroxime/20201125_Cefas_Test7_Run2/Plate 4/@9/A3_03.tif "/>
    <s v=" 2271.1389 "/>
    <s v=" 34.7048 "/>
    <x v="0"/>
    <n v="78819"/>
    <m/>
    <m/>
  </r>
  <r>
    <x v="21"/>
    <x v="2"/>
    <s v="C:\Users\andre\Desktop\REACTIV CEFAS\Cefuroxime\Cefuroxime/20201125_Cefas_Test7_Run2/Plate 4/@9/B3_01.tif "/>
    <s v=" 2920.0358 "/>
    <s v=" 35.363 "/>
    <x v="0"/>
    <n v="103261"/>
    <m/>
    <m/>
  </r>
  <r>
    <x v="21"/>
    <x v="2"/>
    <s v="C:\Users\andre\Desktop\REACTIV CEFAS\Cefuroxime\Cefuroxime/20201125_Cefas_Test7_Run2/Plate 4/@9/B3_02.tif "/>
    <s v=" 7851.6518 "/>
    <s v=" 37.4656 "/>
    <x v="0"/>
    <n v="294167"/>
    <m/>
    <m/>
  </r>
  <r>
    <x v="21"/>
    <x v="2"/>
    <s v="C:\Users\andre\Desktop\REACTIV CEFAS\Cefuroxime\Cefuroxime/20201125_Cefas_Test7_Run2/Plate 4/@9/B3_03.tif "/>
    <s v=" 3785.2316 "/>
    <s v=" 36.6229 "/>
    <x v="0"/>
    <n v="138626"/>
    <m/>
    <m/>
  </r>
  <r>
    <x v="21"/>
    <x v="3"/>
    <s v="C:\Users\andre\Desktop\REACTIV CEFAS\Cefuroxime\Cefuroxime/20201125_Cefas_Test7_Run2/Plate 4/@9/C3_01.tif "/>
    <s v=" 1557.3524 "/>
    <s v=" 33.5694 "/>
    <x v="0"/>
    <n v="52279"/>
    <m/>
    <m/>
  </r>
  <r>
    <x v="21"/>
    <x v="3"/>
    <s v="C:\Users\andre\Desktop\REACTIV CEFAS\Cefuroxime\Cefuroxime/20201125_Cefas_Test7_Run2/Plate 4/@9/C3_02.tif "/>
    <s v=" 5342.584 "/>
    <s v=" 37.2632 "/>
    <x v="0"/>
    <n v="199082"/>
    <m/>
    <m/>
  </r>
  <r>
    <x v="21"/>
    <x v="3"/>
    <s v="C:\Users\andre\Desktop\REACTIV CEFAS\Cefuroxime\Cefuroxime/20201125_Cefas_Test7_Run2/Plate 4/@9/C3_03.tif "/>
    <s v=" 5580.5128 "/>
    <s v=" 35.8333 "/>
    <x v="0"/>
    <n v="199968"/>
    <m/>
    <m/>
  </r>
  <r>
    <x v="21"/>
    <x v="4"/>
    <s v="C:\Users\andre\Desktop\REACTIV CEFAS\Cefuroxime\Cefuroxime/20201125_Cefas_Test7_Run2/Plate 4/@9/D3_01.tif "/>
    <s v=" 2249.509 "/>
    <s v=" 32.9712 "/>
    <x v="0"/>
    <n v="74169"/>
    <m/>
    <m/>
  </r>
  <r>
    <x v="21"/>
    <x v="4"/>
    <s v="C:\Users\andre\Desktop\REACTIV CEFAS\Cefuroxime\Cefuroxime/20201125_Cefas_Test7_Run2/Plate 4/@9/D3_02- exclu.tif"/>
    <m/>
    <m/>
    <x v="1"/>
    <m/>
    <m/>
    <m/>
  </r>
  <r>
    <x v="21"/>
    <x v="4"/>
    <s v="C:\Users\andre\Desktop\REACTIV CEFAS\Cefuroxime\Cefuroxime/20201125_Cefas_Test7_Run2/Plate 4/@9/D3_03- exclu.tif"/>
    <m/>
    <m/>
    <x v="1"/>
    <m/>
    <m/>
    <m/>
  </r>
  <r>
    <x v="21"/>
    <x v="5"/>
    <s v="C:\Users\andre\Desktop\REACTIV CEFAS\Cefuroxime\Cefuroxime/20201125_Cefas_Test7_Run2/Plate 4/@9/E3_01.tif "/>
    <s v=" 237.9288 "/>
    <s v=" 30.5455 "/>
    <x v="0"/>
    <n v="7268"/>
    <m/>
    <m/>
  </r>
  <r>
    <x v="21"/>
    <x v="5"/>
    <s v="C:\Users\andre\Desktop\REACTIV CEFAS\Cefuroxime\Cefuroxime/20201125_Cefas_Test7_Run2/Plate 4/@9/E3_02.tif "/>
    <s v=" 21.6299 "/>
    <n v="30"/>
    <x v="0"/>
    <n v="649"/>
    <m/>
    <m/>
  </r>
  <r>
    <x v="21"/>
    <x v="5"/>
    <s v="C:\Users\andre\Desktop\REACTIV CEFAS\Cefuroxime\Cefuroxime/20201125_Cefas_Test7_Run2/Plate 4/@9/E3_03.tif "/>
    <s v=" 2206.2493 "/>
    <s v=" 35.0882 "/>
    <x v="0"/>
    <n v="77413"/>
    <m/>
    <m/>
  </r>
  <r>
    <x v="21"/>
    <x v="6"/>
    <s v="C:\Users\andre\Desktop\REACTIV CEFAS\Cefuroxime\Cefuroxime/20201125_Cefas_Test7_Run2/Plate 4/@9/F3_01.tif "/>
    <s v=" 3157.9646 "/>
    <s v=" 39.4521 "/>
    <x v="0"/>
    <n v="124588"/>
    <m/>
    <m/>
  </r>
  <r>
    <x v="21"/>
    <x v="6"/>
    <s v="C:\Users\andre\Desktop\REACTIV CEFAS\Cefuroxime\Cefuroxime/20201125_Cefas_Test7_Run2/Plate 4/@9/F3_02.tif "/>
    <s v=" 6553.8581 "/>
    <s v=" 40.3795 "/>
    <x v="0"/>
    <n v="264642"/>
    <m/>
    <m/>
  </r>
  <r>
    <x v="21"/>
    <x v="6"/>
    <s v="C:\Users\andre\Desktop\REACTIV CEFAS\Cefuroxime\Cefuroxime/20201125_Cefas_Test7_Run2/Plate 4/@9/F3_03.tif "/>
    <s v=" 4023.1604 "/>
    <s v=" 36.2473 "/>
    <x v="0"/>
    <n v="145829"/>
    <m/>
    <m/>
  </r>
  <r>
    <x v="21"/>
    <x v="7"/>
    <s v="C:\Users\andre\Desktop\REACTIV CEFAS\Cefuroxime\Cefuroxime/20201125_Cefas_Test7_Run2/Plate 4/@9/G3_01.tif "/>
    <s v=" 4585.5377 "/>
    <s v=" 37.4292 "/>
    <x v="0"/>
    <n v="171633"/>
    <m/>
    <m/>
  </r>
  <r>
    <x v="21"/>
    <x v="7"/>
    <s v="C:\Users\andre\Desktop\REACTIV CEFAS\Cefuroxime\Cefuroxime/20201125_Cefas_Test7_Run2/Plate 4/@9/G3_02.tif "/>
    <s v=" 21.6299 "/>
    <n v="30"/>
    <x v="0"/>
    <n v="649"/>
    <m/>
    <m/>
  </r>
  <r>
    <x v="21"/>
    <x v="7"/>
    <s v="C:\Users\andre\Desktop\REACTIV CEFAS\Cefuroxime\Cefuroxime/20201125_Cefas_Test7_Run2/Plate 4/@9/G3_03.tif "/>
    <s v=" 6034.7406 "/>
    <s v=" 39.4624 "/>
    <x v="0"/>
    <n v="238145"/>
    <m/>
    <m/>
  </r>
  <r>
    <x v="21"/>
    <x v="8"/>
    <s v="C:\Users\andre\Desktop\REACTIV CEFAS\Cefuroxime\Cefuroxime/20201125_Cefas_Test7_Run2/Plate 4/@9/H3_01.tif "/>
    <s v=" 64.8897 "/>
    <s v=" 32.3333 "/>
    <x v="0"/>
    <n v="2098"/>
    <m/>
    <m/>
  </r>
  <r>
    <x v="21"/>
    <x v="8"/>
    <s v="C:\Users\andre\Desktop\REACTIV CEFAS\Cefuroxime\Cefuroxime/20201125_Cefas_Test7_Run2/Plate 4/@9/H3_02- exclu.tif"/>
    <m/>
    <m/>
    <x v="1"/>
    <m/>
    <m/>
    <m/>
  </r>
  <r>
    <x v="21"/>
    <x v="8"/>
    <s v="C:\Users\andre\Desktop\REACTIV CEFAS\Cefuroxime\Cefuroxime/20201125_Cefas_Test7_Run2/Plate 4/@9/H3_03.tif "/>
    <s v=" 173.0392 "/>
    <s v=" 30.625 "/>
    <x v="0"/>
    <n v="5299"/>
    <m/>
    <m/>
  </r>
  <r>
    <x v="0"/>
    <x v="0"/>
    <s v=" "/>
    <m/>
    <m/>
    <x v="1"/>
    <m/>
    <m/>
    <m/>
  </r>
  <r>
    <x v="0"/>
    <x v="0"/>
    <s v="group "/>
    <s v=" "/>
    <s v=" mean of mean fluo "/>
    <x v="2"/>
    <s v=" mean of total fluo "/>
    <s v=" SD total fluo "/>
    <m/>
  </r>
  <r>
    <x v="21"/>
    <x v="9"/>
    <s v="C:\Users\andre\Desktop\REACTIV CEFAS\Cefuroxime\Cefuroxime/20201125_Cefas_Test7_Run2/Plate 4/@9/ "/>
    <s v=" "/>
    <s v=" 34.3371 "/>
    <x v="23"/>
    <s v=" 141718.125 "/>
    <s v=" 145287.806 "/>
    <m/>
  </r>
  <r>
    <x v="0"/>
    <x v="0"/>
    <s v=" "/>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s v="file name "/>
    <s v=" total area "/>
    <s v=" mean intensity "/>
    <x v="0"/>
    <s v=" total fluorescence"/>
    <m/>
    <m/>
  </r>
  <r>
    <x v="1"/>
    <x v="1"/>
    <s v="C:\Users\andre\Desktop\REACTIV CEFAS\Cefuroxime\Cefuroxime/20201126_Cefas_Test7_Run3/Plate 1/@1/A10_01.tif "/>
    <s v=" 4801.8366 "/>
    <s v=" 34.4414 "/>
    <x v="0"/>
    <n v="165382"/>
    <m/>
    <m/>
  </r>
  <r>
    <x v="1"/>
    <x v="1"/>
    <s v="C:\Users\andre\Desktop\REACTIV CEFAS\Cefuroxime\Cefuroxime/20201126_Cefas_Test7_Run3/Plate 1/@1/A10_02.tif "/>
    <s v=" 6921.5663 "/>
    <s v=" 37.1063 "/>
    <x v="0"/>
    <n v="256833"/>
    <m/>
    <m/>
  </r>
  <r>
    <x v="1"/>
    <x v="1"/>
    <s v="C:\Users\andre\Desktop\REACTIV CEFAS\Cefuroxime\Cefuroxime/20201126_Cefas_Test7_Run3/Plate 1/@1/A10_03.tif "/>
    <s v=" 8392.3991 "/>
    <s v=" 36.3428 "/>
    <x v="0"/>
    <n v="305003"/>
    <m/>
    <m/>
  </r>
  <r>
    <x v="1"/>
    <x v="2"/>
    <s v="C:\Users\andre\Desktop\REACTIV CEFAS\Cefuroxime\Cefuroxime/20201126_Cefas_Test7_Run3/Plate 1/@1/B10_01.tif "/>
    <s v=" 15443.7448 "/>
    <s v=" 47.3165 "/>
    <x v="0"/>
    <n v="730744"/>
    <m/>
    <m/>
  </r>
  <r>
    <x v="1"/>
    <x v="2"/>
    <s v="C:\Users\andre\Desktop\REACTIV CEFAS\Cefuroxime\Cefuroxime/20201126_Cefas_Test7_Run3/Plate 1/@1/B10_02.tif "/>
    <s v=" 173.0392 "/>
    <s v=" 30.375 "/>
    <x v="0"/>
    <n v="5256"/>
    <m/>
    <m/>
  </r>
  <r>
    <x v="1"/>
    <x v="2"/>
    <s v="C:\Users\andre\Desktop\REACTIV CEFAS\Cefuroxime\Cefuroxime/20201126_Cefas_Test7_Run3/Plate 1/@1/B10_03- exclu.tif"/>
    <m/>
    <m/>
    <x v="1"/>
    <m/>
    <m/>
    <m/>
  </r>
  <r>
    <x v="1"/>
    <x v="3"/>
    <s v="C:\Users\andre\Desktop\REACTIV CEFAS\Cefuroxime\Cefuroxime/20201126_Cefas_Test7_Run3/Plate 1/@1/C10_01.tif "/>
    <s v=" 216.2989 "/>
    <s v=" 31.3 "/>
    <x v="0"/>
    <n v="6770"/>
    <m/>
    <m/>
  </r>
  <r>
    <x v="1"/>
    <x v="3"/>
    <s v="C:\Users\andre\Desktop\REACTIV CEFAS\Cefuroxime\Cefuroxime/20201126_Cefas_Test7_Run3/Plate 1/@1/C10_02.tif "/>
    <s v=" 64.8897 "/>
    <s v=" 31.3333 "/>
    <x v="0"/>
    <n v="2033"/>
    <m/>
    <m/>
  </r>
  <r>
    <x v="1"/>
    <x v="3"/>
    <s v="C:\Users\andre\Desktop\REACTIV CEFAS\Cefuroxime\Cefuroxime/20201126_Cefas_Test7_Run3/Plate 1/@1/C10_03.tif "/>
    <s v=" 7981.4311 "/>
    <s v=" 38.4797 "/>
    <x v="0"/>
    <n v="307123"/>
    <m/>
    <m/>
  </r>
  <r>
    <x v="1"/>
    <x v="4"/>
    <s v="C:\Users\andre\Desktop\REACTIV CEFAS\Cefuroxime\Cefuroxime/20201126_Cefas_Test7_Run3/Plate 1/@1/D10_01.tif "/>
    <s v=" 9495.5237 "/>
    <s v=" 39.2392 "/>
    <x v="0"/>
    <n v="372597"/>
    <m/>
    <m/>
  </r>
  <r>
    <x v="1"/>
    <x v="4"/>
    <s v="C:\Users\andre\Desktop\REACTIV CEFAS\Cefuroxime\Cefuroxime/20201126_Cefas_Test7_Run3/Plate 1/@1/D10_02.tif "/>
    <s v=" 4974.8758 "/>
    <s v=" 37.8609 "/>
    <x v="0"/>
    <n v="188353"/>
    <m/>
    <m/>
  </r>
  <r>
    <x v="1"/>
    <x v="4"/>
    <s v="C:\Users\andre\Desktop\REACTIV CEFAS\Cefuroxime\Cefuroxime/20201126_Cefas_Test7_Run3/Plate 1/@1/D10_03.tif "/>
    <s v=" 3979.9006 "/>
    <s v=" 39.337 "/>
    <x v="0"/>
    <n v="156557"/>
    <m/>
    <m/>
  </r>
  <r>
    <x v="1"/>
    <x v="5"/>
    <s v="C:\Users\andre\Desktop\REACTIV CEFAS\Cefuroxime\Cefuroxime/20201126_Cefas_Test7_Run3/Plate 1/@1/E10_01.tif "/>
    <s v=" 3374.2636 "/>
    <s v=" 36.7628 "/>
    <x v="0"/>
    <n v="124047"/>
    <m/>
    <m/>
  </r>
  <r>
    <x v="1"/>
    <x v="5"/>
    <s v="C:\Users\andre\Desktop\REACTIV CEFAS\Cefuroxime\Cefuroxime/20201126_Cefas_Test7_Run3/Plate 1/@1/E10_02.tif "/>
    <s v=" 3071.445 "/>
    <s v=" 34.7746 "/>
    <x v="0"/>
    <n v="106808"/>
    <m/>
    <m/>
  </r>
  <r>
    <x v="1"/>
    <x v="5"/>
    <s v="C:\Users\andre\Desktop\REACTIV CEFAS\Cefuroxime\Cefuroxime/20201126_Cefas_Test7_Run3/Plate 1/@1/E10_03.tif "/>
    <s v=" 2227.8791 "/>
    <s v=" 33.2913 "/>
    <x v="0"/>
    <n v="74169"/>
    <m/>
    <m/>
  </r>
  <r>
    <x v="1"/>
    <x v="6"/>
    <s v="C:\Users\andre\Desktop\REACTIV CEFAS\Cefuroxime\Cefuroxime/20201126_Cefas_Test7_Run3/Plate 1/@1/F10_01.tif "/>
    <s v=" 10057.901 "/>
    <s v=" 37.8473 "/>
    <x v="0"/>
    <n v="380665"/>
    <m/>
    <m/>
  </r>
  <r>
    <x v="1"/>
    <x v="6"/>
    <s v="C:\Users\andre\Desktop\REACTIV CEFAS\Cefuroxime\Cefuroxime/20201126_Cefas_Test7_Run3/Plate 1/@1/F10_02.tif "/>
    <s v=" 10360.7195 "/>
    <s v=" 38.6284 "/>
    <x v="0"/>
    <n v="400218"/>
    <m/>
    <m/>
  </r>
  <r>
    <x v="1"/>
    <x v="6"/>
    <s v="C:\Users\andre\Desktop\REACTIV CEFAS\Cefuroxime\Cefuroxime/20201126_Cefas_Test7_Run3/Plate 1/@1/F10_03.tif "/>
    <s v=" 10468.869 "/>
    <s v=" 36.8574 "/>
    <x v="0"/>
    <n v="385856"/>
    <m/>
    <m/>
  </r>
  <r>
    <x v="1"/>
    <x v="7"/>
    <s v="C:\Users\andre\Desktop\REACTIV CEFAS\Cefuroxime\Cefuroxime/20201126_Cefas_Test7_Run3/Plate 1/@1/G10_01.tif "/>
    <s v=" 454.2278 "/>
    <s v=" 31.619 "/>
    <x v="0"/>
    <n v="14362"/>
    <m/>
    <m/>
  </r>
  <r>
    <x v="1"/>
    <x v="7"/>
    <s v="C:\Users\andre\Desktop\REACTIV CEFAS\Cefuroxime\Cefuroxime/20201126_Cefas_Test7_Run3/Plate 1/@1/G10_02.tif "/>
    <s v=" 10057.901 "/>
    <s v=" 43.5269 "/>
    <x v="0"/>
    <n v="437789"/>
    <m/>
    <m/>
  </r>
  <r>
    <x v="1"/>
    <x v="7"/>
    <s v="C:\Users\andre\Desktop\REACTIV CEFAS\Cefuroxime\Cefuroxime/20201126_Cefas_Test7_Run3/Plate 1/@1/G10_03.tif "/>
    <s v=" 8349.1393 "/>
    <s v=" 45.1813 "/>
    <x v="0"/>
    <n v="377225"/>
    <m/>
    <m/>
  </r>
  <r>
    <x v="1"/>
    <x v="8"/>
    <s v="C:\Users\andre\Desktop\REACTIV CEFAS\Cefuroxime\Cefuroxime/20201126_Cefas_Test7_Run3/Plate 1/@1/H10_01.tif "/>
    <s v=" 4715.317 "/>
    <s v=" 37.1193 "/>
    <x v="0"/>
    <n v="175029"/>
    <m/>
    <m/>
  </r>
  <r>
    <x v="1"/>
    <x v="8"/>
    <s v="C:\Users\andre\Desktop\REACTIV CEFAS\Cefuroxime\Cefuroxime/20201126_Cefas_Test7_Run3/Plate 1/@1/H10_02.tif "/>
    <s v=" 5256.0644 "/>
    <s v=" 38.7202 "/>
    <x v="0"/>
    <n v="203516"/>
    <m/>
    <m/>
  </r>
  <r>
    <x v="1"/>
    <x v="8"/>
    <s v="C:\Users\andre\Desktop\REACTIV CEFAS\Cefuroxime\Cefuroxime/20201126_Cefas_Test7_Run3/Plate 1/@1/H10_03.tif "/>
    <s v=" 3850.1212 "/>
    <s v=" 37.5506 "/>
    <x v="0"/>
    <n v="144574"/>
    <m/>
    <m/>
  </r>
  <r>
    <x v="0"/>
    <x v="0"/>
    <s v=" "/>
    <m/>
    <m/>
    <x v="1"/>
    <m/>
    <m/>
    <m/>
  </r>
  <r>
    <x v="0"/>
    <x v="0"/>
    <s v="group "/>
    <s v=" "/>
    <s v=" mean of mean fluo "/>
    <x v="2"/>
    <s v=" mean of total fluo "/>
    <s v=" SD total fluo "/>
    <m/>
  </r>
  <r>
    <x v="1"/>
    <x v="9"/>
    <s v="C:\Users\andre\Desktop\REACTIV CEFAS\Cefuroxime\Cefuroxime/20201126_Cefas_Test7_Run3/Plate 1/@1/ "/>
    <s v=" "/>
    <s v=" 37.668 "/>
    <x v="3"/>
    <s v=" 252321.667 "/>
    <s v=" 202042.288 "/>
    <m/>
  </r>
  <r>
    <x v="0"/>
    <x v="0"/>
    <s v=" "/>
    <m/>
    <m/>
    <x v="1"/>
    <m/>
    <m/>
    <m/>
  </r>
  <r>
    <x v="0"/>
    <x v="0"/>
    <s v=" "/>
    <m/>
    <m/>
    <x v="1"/>
    <m/>
    <m/>
    <m/>
  </r>
  <r>
    <x v="0"/>
    <x v="0"/>
    <s v=" "/>
    <m/>
    <m/>
    <x v="1"/>
    <m/>
    <m/>
    <m/>
  </r>
  <r>
    <x v="0"/>
    <x v="0"/>
    <s v=" "/>
    <m/>
    <m/>
    <x v="1"/>
    <m/>
    <m/>
    <m/>
  </r>
  <r>
    <x v="0"/>
    <x v="0"/>
    <s v=" "/>
    <m/>
    <m/>
    <x v="1"/>
    <m/>
    <m/>
    <m/>
  </r>
  <r>
    <x v="0"/>
    <x v="0"/>
    <s v="file name "/>
    <s v=" total area "/>
    <s v=" mean intensity "/>
    <x v="0"/>
    <s v=" total fluorescence"/>
    <m/>
    <m/>
  </r>
  <r>
    <x v="2"/>
    <x v="1"/>
    <s v="C:\Users\andre\Desktop\REACTIV CEFAS\Cefuroxime\Cefuroxime/20201126_Cefas_Test7_Run3/Plate 1/@13/A8_01.tif "/>
    <s v=" 58530.4949 "/>
    <s v=" 38.0333 "/>
    <x v="0"/>
    <n v="2226105"/>
    <m/>
    <m/>
  </r>
  <r>
    <x v="2"/>
    <x v="1"/>
    <s v="C:\Users\andre\Desktop\REACTIV CEFAS\Cefuroxime\Cefuroxime/20201126_Cefas_Test7_Run3/Plate 1/@13/A8_02.tif "/>
    <s v=" 70902.7946 "/>
    <s v=" 41.7206 "/>
    <x v="0"/>
    <n v="2958104"/>
    <m/>
    <m/>
  </r>
  <r>
    <x v="2"/>
    <x v="1"/>
    <s v="C:\Users\andre\Desktop\REACTIV CEFAS\Cefuroxime\Cefuroxime/20201126_Cefas_Test7_Run3/Plate 1/@13/A8_03.tif "/>
    <s v=" 58292.566 "/>
    <s v=" 40.4085 "/>
    <x v="0"/>
    <n v="2355517"/>
    <m/>
    <m/>
  </r>
  <r>
    <x v="2"/>
    <x v="2"/>
    <s v="C:\Users\andre\Desktop\REACTIV CEFAS\Cefuroxime\Cefuroxime/20201126_Cefas_Test7_Run3/Plate 1/@13/B8_01.tif "/>
    <s v=" 28378.4218 "/>
    <s v=" 38.2691 "/>
    <x v="0"/>
    <n v="1086015"/>
    <m/>
    <m/>
  </r>
  <r>
    <x v="2"/>
    <x v="2"/>
    <s v="C:\Users\andre\Desktop\REACTIV CEFAS\Cefuroxime\Cefuroxime/20201126_Cefas_Test7_Run3/Plate 1/@13/B8_02.tif "/>
    <s v=" 21132.4071 "/>
    <s v=" 37.2927 "/>
    <x v="0"/>
    <n v="788085"/>
    <m/>
    <m/>
  </r>
  <r>
    <x v="2"/>
    <x v="2"/>
    <s v="C:\Users\andre\Desktop\REACTIV CEFAS\Cefuroxime\Cefuroxime/20201126_Cefas_Test7_Run3/Plate 1/@13/B8_03.tif "/>
    <s v=" 28573.0908 "/>
    <s v=" 37.2483 "/>
    <x v="0"/>
    <n v="1064299"/>
    <m/>
    <m/>
  </r>
  <r>
    <x v="2"/>
    <x v="3"/>
    <s v="C:\Users\andre\Desktop\REACTIV CEFAS\Cefuroxime\Cefuroxime/20201126_Cefas_Test7_Run3/Plate 1/@13/C8_01.tif "/>
    <s v=" 44925.2911 "/>
    <s v=" 37.0891 "/>
    <x v="0"/>
    <n v="1666237"/>
    <m/>
    <m/>
  </r>
  <r>
    <x v="2"/>
    <x v="3"/>
    <s v="C:\Users\andre\Desktop\REACTIV CEFAS\Cefuroxime\Cefuroxime/20201126_Cefas_Test7_Run3/Plate 1/@13/C8_02.tif "/>
    <s v=" 31341.7173 "/>
    <s v=" 34.4589 "/>
    <x v="0"/>
    <n v="1080002"/>
    <m/>
    <m/>
  </r>
  <r>
    <x v="2"/>
    <x v="3"/>
    <s v="C:\Users\andre\Desktop\REACTIV CEFAS\Cefuroxime\Cefuroxime/20201126_Cefas_Test7_Run3/Plate 1/@13/C8_03.tif "/>
    <s v=" 30627.9308 "/>
    <s v=" 35.9167 "/>
    <x v="0"/>
    <n v="1100053"/>
    <m/>
    <m/>
  </r>
  <r>
    <x v="2"/>
    <x v="4"/>
    <s v="C:\Users\andre\Desktop\REACTIV CEFAS\Cefuroxime\Cefuroxime/20201126_Cefas_Test7_Run3/Plate 1/@13/D8_01.tif "/>
    <s v=" 46763.8322 "/>
    <s v=" 36.6138 "/>
    <x v="0"/>
    <n v="1712201"/>
    <m/>
    <m/>
  </r>
  <r>
    <x v="2"/>
    <x v="4"/>
    <s v="C:\Users\andre\Desktop\REACTIV CEFAS\Cefuroxime\Cefuroxime/20201126_Cefas_Test7_Run3/Plate 1/@13/D8_02.tif "/>
    <s v=" 57730.1888 "/>
    <s v=" 38.0378 "/>
    <x v="0"/>
    <n v="2195932"/>
    <m/>
    <m/>
  </r>
  <r>
    <x v="2"/>
    <x v="4"/>
    <s v="C:\Users\andre\Desktop\REACTIV CEFAS\Cefuroxime\Cefuroxime/20201126_Cefas_Test7_Run3/Plate 1/@13/D8_03.tif "/>
    <s v=" 71594.9512 "/>
    <s v=" 42.2082 "/>
    <x v="0"/>
    <n v="3021891"/>
    <m/>
    <m/>
  </r>
  <r>
    <x v="2"/>
    <x v="5"/>
    <s v="C:\Users\andre\Desktop\REACTIV CEFAS\Cefuroxime\Cefuroxime/20201126_Cefas_Test7_Run3/Plate 1/@13/E8_01.tif "/>
    <s v=" 27707.895 "/>
    <s v=" 35.007 "/>
    <x v="0"/>
    <n v="969971"/>
    <m/>
    <m/>
  </r>
  <r>
    <x v="2"/>
    <x v="5"/>
    <s v="C:\Users\andre\Desktop\REACTIV CEFAS\Cefuroxime\Cefuroxime/20201126_Cefas_Test7_Run3/Plate 1/@13/E8_02.tif "/>
    <s v=" 21802.9338 "/>
    <s v=" 33.6002 "/>
    <x v="0"/>
    <n v="732583"/>
    <m/>
    <m/>
  </r>
  <r>
    <x v="2"/>
    <x v="5"/>
    <s v="C:\Users\andre\Desktop\REACTIV CEFAS\Cefuroxime\Cefuroxime/20201126_Cefas_Test7_Run3/Plate 1/@13/E8_03.tif "/>
    <s v=" 28313.5321 "/>
    <s v=" 34.8793 "/>
    <x v="0"/>
    <n v="987556"/>
    <m/>
    <m/>
  </r>
  <r>
    <x v="2"/>
    <x v="6"/>
    <s v="C:\Users\andre\Desktop\REACTIV CEFAS\Cefuroxime\Cefuroxime/20201126_Cefas_Test7_Run3/Plate 1/@13/F8_01.tif "/>
    <s v=" 40253.2339 "/>
    <s v=" 40.4046 "/>
    <x v="0"/>
    <n v="1626417"/>
    <m/>
    <m/>
  </r>
  <r>
    <x v="2"/>
    <x v="6"/>
    <s v="C:\Users\andre\Desktop\REACTIV CEFAS\Cefuroxime\Cefuroxime/20201126_Cefas_Test7_Run3/Plate 1/@13/F8_02.tif "/>
    <s v=" 45487.6684 "/>
    <s v=" 43.9643 "/>
    <x v="0"/>
    <n v="1999835"/>
    <m/>
    <m/>
  </r>
  <r>
    <x v="2"/>
    <x v="6"/>
    <s v="C:\Users\andre\Desktop\REACTIV CEFAS\Cefuroxime\Cefuroxime/20201126_Cefas_Test7_Run3/Plate 1/@13/F8_03.tif "/>
    <s v=" 41075.1699 "/>
    <s v=" 40.5513 "/>
    <x v="0"/>
    <n v="1665653"/>
    <m/>
    <m/>
  </r>
  <r>
    <x v="2"/>
    <x v="7"/>
    <s v="C:\Users\andre\Desktop\REACTIV CEFAS\Cefuroxime\Cefuroxime/20201126_Cefas_Test7_Run3/Plate 1/@13/G8_01.tif "/>
    <s v=" 60152.737 "/>
    <s v=" 40.6433 "/>
    <x v="0"/>
    <n v="2444805"/>
    <m/>
    <m/>
  </r>
  <r>
    <x v="2"/>
    <x v="7"/>
    <s v="C:\Users\andre\Desktop\REACTIV CEFAS\Cefuroxime\Cefuroxime/20201126_Cefas_Test7_Run3/Plate 1/@13/G8_02.tif "/>
    <s v=" 60066.2174 "/>
    <s v=" 39.2683 "/>
    <x v="0"/>
    <n v="2358697"/>
    <m/>
    <m/>
  </r>
  <r>
    <x v="2"/>
    <x v="7"/>
    <s v="C:\Users\andre\Desktop\REACTIV CEFAS\Cefuroxime\Cefuroxime/20201126_Cefas_Test7_Run3/Plate 1/@13/G8_03.tif "/>
    <s v=" 67117.563 "/>
    <s v=" 39.0187 "/>
    <x v="0"/>
    <n v="2618839"/>
    <m/>
    <m/>
  </r>
  <r>
    <x v="2"/>
    <x v="8"/>
    <s v="C:\Users\andre\Desktop\REACTIV CEFAS\Cefuroxime\Cefuroxime/20201126_Cefas_Test7_Run3/Plate 1/@13/H8_01.tif "/>
    <s v=" 26734.5498 "/>
    <s v=" 38.1998 "/>
    <x v="0"/>
    <n v="1021255"/>
    <m/>
    <m/>
  </r>
  <r>
    <x v="2"/>
    <x v="8"/>
    <s v="C:\Users\andre\Desktop\REACTIV CEFAS\Cefuroxime\Cefuroxime/20201126_Cefas_Test7_Run3/Plate 1/@13/H8_02.tif "/>
    <s v=" 45703.9674 "/>
    <s v=" 37.5125 "/>
    <x v="0"/>
    <n v="1714472"/>
    <m/>
    <m/>
  </r>
  <r>
    <x v="2"/>
    <x v="8"/>
    <s v="C:\Users\andre\Desktop\REACTIV CEFAS\Cefuroxime\Cefuroxime/20201126_Cefas_Test7_Run3/Plate 1/@13/H8_03.tif "/>
    <s v=" 33958.9346 "/>
    <s v=" 39.5331 "/>
    <x v="0"/>
    <n v="1342503"/>
    <m/>
    <m/>
  </r>
  <r>
    <x v="0"/>
    <x v="0"/>
    <s v=" "/>
    <m/>
    <m/>
    <x v="1"/>
    <m/>
    <m/>
    <m/>
  </r>
  <r>
    <x v="0"/>
    <x v="0"/>
    <s v="group "/>
    <s v=" "/>
    <s v=" mean of mean fluo "/>
    <x v="2"/>
    <s v=" mean of total fluo "/>
    <s v=" SD total fluo "/>
    <m/>
  </r>
  <r>
    <x v="2"/>
    <x v="9"/>
    <s v="C:\Users\andre\Desktop\REACTIV CEFAS\Cefuroxime\Cefuroxime/20201126_Cefas_Test7_Run3/Plate 1/@13/ "/>
    <s v=" "/>
    <s v=" 38.3283 "/>
    <x v="4"/>
    <s v=" 1697376.12 "/>
    <s v=" 695804.138 "/>
    <m/>
  </r>
  <r>
    <x v="0"/>
    <x v="0"/>
    <s v=" "/>
    <m/>
    <m/>
    <x v="1"/>
    <m/>
    <m/>
    <m/>
  </r>
  <r>
    <x v="0"/>
    <x v="0"/>
    <s v=" "/>
    <m/>
    <m/>
    <x v="1"/>
    <m/>
    <m/>
    <m/>
  </r>
  <r>
    <x v="0"/>
    <x v="0"/>
    <s v=" "/>
    <m/>
    <m/>
    <x v="1"/>
    <m/>
    <m/>
    <m/>
  </r>
  <r>
    <x v="0"/>
    <x v="0"/>
    <s v=" "/>
    <m/>
    <m/>
    <x v="1"/>
    <m/>
    <m/>
    <m/>
  </r>
  <r>
    <x v="0"/>
    <x v="0"/>
    <s v=" "/>
    <m/>
    <m/>
    <x v="1"/>
    <m/>
    <m/>
    <m/>
  </r>
  <r>
    <x v="0"/>
    <x v="0"/>
    <s v="file name "/>
    <s v=" total area "/>
    <s v=" mean intensity "/>
    <x v="0"/>
    <s v=" total fluorescence"/>
    <m/>
    <m/>
  </r>
  <r>
    <x v="3"/>
    <x v="1"/>
    <s v="C:\Users\andre\Desktop\REACTIV CEFAS\Cefuroxime\Cefuroxime/20201126_Cefas_Test7_Run3/Plate 1/@14/A9_01.tif "/>
    <s v=" 21997.6028 "/>
    <s v=" 36.9007 "/>
    <x v="0"/>
    <n v="811727"/>
    <m/>
    <m/>
  </r>
  <r>
    <x v="3"/>
    <x v="1"/>
    <s v="C:\Users\andre\Desktop\REACTIV CEFAS\Cefuroxime\Cefuroxime/20201126_Cefas_Test7_Run3/Plate 1/@14/A9_02.tif "/>
    <s v=" 21781.3039 "/>
    <s v=" 37.285 "/>
    <x v="0"/>
    <n v="812116"/>
    <m/>
    <m/>
  </r>
  <r>
    <x v="3"/>
    <x v="1"/>
    <s v="C:\Users\andre\Desktop\REACTIV CEFAS\Cefuroxime\Cefuroxime/20201126_Cefas_Test7_Run3/Plate 1/@14/A9_03.tif "/>
    <s v=" 21521.7452 "/>
    <s v=" 36.7578 "/>
    <x v="0"/>
    <n v="791092"/>
    <m/>
    <m/>
  </r>
  <r>
    <x v="3"/>
    <x v="2"/>
    <s v="C:\Users\andre\Desktop\REACTIV CEFAS\Cefuroxime\Cefuroxime/20201126_Cefas_Test7_Run3/Plate 1/@14/B9_01.tif "/>
    <s v=" 53447.4696 "/>
    <s v=" 43.4844 "/>
    <x v="0"/>
    <n v="2324132"/>
    <m/>
    <m/>
  </r>
  <r>
    <x v="3"/>
    <x v="2"/>
    <s v="C:\Users\andre\Desktop\REACTIV CEFAS\Cefuroxime\Cefuroxime/20201126_Cefas_Test7_Run3/Plate 1/@14/B9_02.tif "/>
    <s v=" 46698.9425 "/>
    <s v=" 44.164 "/>
    <x v="0"/>
    <n v="2062410"/>
    <m/>
    <m/>
  </r>
  <r>
    <x v="3"/>
    <x v="2"/>
    <s v="C:\Users\andre\Desktop\REACTIV CEFAS\Cefuroxime\Cefuroxime/20201126_Cefas_Test7_Run3/Plate 1/@14/B9_03.tif "/>
    <s v=" 45898.6364 "/>
    <s v=" 44.0975 "/>
    <x v="0"/>
    <n v="2024017"/>
    <m/>
    <m/>
  </r>
  <r>
    <x v="3"/>
    <x v="3"/>
    <s v="C:\Users\andre\Desktop\REACTIV CEFAS\Cefuroxime\Cefuroxime/20201126_Cefas_Test7_Run3/Plate 1/@14/C9_01.tif "/>
    <s v=" 33872.415 "/>
    <s v=" 34.9662 "/>
    <x v="0"/>
    <n v="1184388"/>
    <m/>
    <m/>
  </r>
  <r>
    <x v="3"/>
    <x v="3"/>
    <s v="C:\Users\andre\Desktop\REACTIV CEFAS\Cefuroxime\Cefuroxime/20201126_Cefas_Test7_Run3/Plate 1/@14/C9_02.tif "/>
    <s v=" 43303.049 "/>
    <s v=" 38.3856 "/>
    <x v="0"/>
    <n v="1662214"/>
    <m/>
    <m/>
  </r>
  <r>
    <x v="3"/>
    <x v="3"/>
    <s v="C:\Users\andre\Desktop\REACTIV CEFAS\Cefuroxime\Cefuroxime/20201126_Cefas_Test7_Run3/Plate 1/@14/C9_03.tif "/>
    <s v=" 43973.5758 "/>
    <s v=" 37.5814 "/>
    <x v="0"/>
    <n v="1652589"/>
    <m/>
    <m/>
  </r>
  <r>
    <x v="3"/>
    <x v="4"/>
    <s v="C:\Users\andre\Desktop\REACTIV CEFAS\Cefuroxime\Cefuroxime/20201126_Cefas_Test7_Run3/Plate 1/@14/D9_01.tif "/>
    <s v=" 76223.7487 "/>
    <s v=" 46.0715 "/>
    <x v="0"/>
    <n v="3511743"/>
    <m/>
    <m/>
  </r>
  <r>
    <x v="3"/>
    <x v="4"/>
    <s v="C:\Users\andre\Desktop\REACTIV CEFAS\Cefuroxime\Cefuroxime/20201126_Cefas_Test7_Run3/Plate 1/@14/D9_02.tif "/>
    <s v=" 76418.4177 "/>
    <s v=" 43.3691 "/>
    <x v="0"/>
    <n v="3314197"/>
    <m/>
    <m/>
  </r>
  <r>
    <x v="3"/>
    <x v="4"/>
    <s v="C:\Users\andre\Desktop\REACTIV CEFAS\Cefuroxime\Cefuroxime/20201126_Cefas_Test7_Run3/Plate 1/@14/D9_03.tif "/>
    <s v=" 74925.955 "/>
    <s v=" 47.3369 "/>
    <x v="0"/>
    <n v="3546762"/>
    <m/>
    <m/>
  </r>
  <r>
    <x v="3"/>
    <x v="5"/>
    <s v="C:\Users\andre\Desktop\REACTIV CEFAS\Cefuroxime\Cefuroxime/20201126_Cefas_Test7_Run3/Plate 1/@14/E9_01.tif "/>
    <s v=" 23684.7346 "/>
    <s v=" 32.9836 "/>
    <x v="0"/>
    <n v="781207"/>
    <m/>
    <m/>
  </r>
  <r>
    <x v="3"/>
    <x v="5"/>
    <s v="C:\Users\andre\Desktop\REACTIV CEFAS\Cefuroxime\Cefuroxime/20201126_Cefas_Test7_Run3/Plate 1/@14/E9_02.tif "/>
    <s v=" 19402.0155 "/>
    <s v=" 32.5708 "/>
    <x v="0"/>
    <n v="631939"/>
    <m/>
    <m/>
  </r>
  <r>
    <x v="3"/>
    <x v="5"/>
    <s v="C:\Users\andre\Desktop\REACTIV CEFAS\Cefuroxime\Cefuroxime/20201126_Cefas_Test7_Run3/Plate 1/@14/E9_03.tif "/>
    <s v=" 40339.7535 "/>
    <s v=" 36.2702 "/>
    <x v="0"/>
    <n v="1463133"/>
    <m/>
    <m/>
  </r>
  <r>
    <x v="3"/>
    <x v="6"/>
    <s v="C:\Users\andre\Desktop\REACTIV CEFAS\Cefuroxime\Cefuroxime/20201126_Cefas_Test7_Run3/Plate 1/@14/F9_01.tif "/>
    <s v=" 87860.632 "/>
    <s v=" 48.0202 "/>
    <x v="0"/>
    <n v="4219084"/>
    <m/>
    <m/>
  </r>
  <r>
    <x v="3"/>
    <x v="6"/>
    <s v="C:\Users\andre\Desktop\REACTIV CEFAS\Cefuroxime\Cefuroxime/20201126_Cefas_Test7_Run3/Plate 1/@14/F9_02.tif "/>
    <s v=" 77088.9445 "/>
    <s v=" 49.3235 "/>
    <x v="0"/>
    <n v="3802298"/>
    <m/>
    <m/>
  </r>
  <r>
    <x v="3"/>
    <x v="6"/>
    <s v="C:\Users\andre\Desktop\REACTIV CEFAS\Cefuroxime\Cefuroxime/20201126_Cefas_Test7_Run3/Plate 1/@14/F9_03.tif "/>
    <s v=" 79922.4607 "/>
    <s v=" 46.1215 "/>
    <x v="0"/>
    <n v="3686145"/>
    <m/>
    <m/>
  </r>
  <r>
    <x v="3"/>
    <x v="7"/>
    <s v="C:\Users\andre\Desktop\REACTIV CEFAS\Cefuroxime\Cefuroxime/20201126_Cefas_Test7_Run3/Plate 1/@14/G9_01.tif "/>
    <s v=" 59676.8793 "/>
    <s v=" 39.0033 "/>
    <x v="0"/>
    <n v="2327593"/>
    <m/>
    <m/>
  </r>
  <r>
    <x v="3"/>
    <x v="7"/>
    <s v="C:\Users\andre\Desktop\REACTIV CEFAS\Cefuroxime\Cefuroxime/20201126_Cefas_Test7_Run3/Plate 1/@14/G9_02.tif "/>
    <s v=" 53252.8006 "/>
    <s v=" 38.3907 "/>
    <x v="0"/>
    <n v="2044414"/>
    <m/>
    <m/>
  </r>
  <r>
    <x v="3"/>
    <x v="7"/>
    <s v="C:\Users\andre\Desktop\REACTIV CEFAS\Cefuroxime\Cefuroxime/20201126_Cefas_Test7_Run3/Plate 1/@14/G9_03.tif "/>
    <s v=" 54550.5943 "/>
    <s v=" 38.3569 "/>
    <x v="0"/>
    <n v="2092389"/>
    <m/>
    <m/>
  </r>
  <r>
    <x v="3"/>
    <x v="8"/>
    <s v="C:\Users\andre\Desktop\REACTIV CEFAS\Cefuroxime\Cefuroxime/20201126_Cefas_Test7_Run3/Plate 1/@14/H9_01.tif "/>
    <s v=" 58357.4557 "/>
    <s v=" 42.7309 "/>
    <x v="0"/>
    <n v="2493667"/>
    <m/>
    <m/>
  </r>
  <r>
    <x v="3"/>
    <x v="8"/>
    <s v="C:\Users\andre\Desktop\REACTIV CEFAS\Cefuroxime\Cefuroxime/20201126_Cefas_Test7_Run3/Plate 1/@14/H9_02.tif "/>
    <s v=" 56302.6157 "/>
    <s v=" 41.5409 "/>
    <x v="0"/>
    <n v="2338862"/>
    <m/>
    <m/>
  </r>
  <r>
    <x v="3"/>
    <x v="8"/>
    <s v="C:\Users\andre\Desktop\REACTIV CEFAS\Cefuroxime\Cefuroxime/20201126_Cefas_Test7_Run3/Plate 1/@14/H9_03.tif "/>
    <s v=" 60455.5555 "/>
    <s v=" 41.7624 "/>
    <x v="0"/>
    <n v="2524771"/>
    <m/>
    <m/>
  </r>
  <r>
    <x v="0"/>
    <x v="0"/>
    <s v=" "/>
    <m/>
    <m/>
    <x v="1"/>
    <m/>
    <m/>
    <m/>
  </r>
  <r>
    <x v="0"/>
    <x v="0"/>
    <s v="group "/>
    <s v=" "/>
    <s v=" mean of mean fluo "/>
    <x v="2"/>
    <s v=" mean of total fluo "/>
    <s v=" SD total fluo "/>
    <m/>
  </r>
  <r>
    <x v="3"/>
    <x v="9"/>
    <s v="C:\Users\andre\Desktop\REACTIV CEFAS\Cefuroxime\Cefuroxime/20201126_Cefas_Test7_Run3/Plate 1/@14/ "/>
    <s v=" "/>
    <s v=" 40.7281 "/>
    <x v="5"/>
    <s v=" 2170953.71 "/>
    <s v=" 1071576.12 "/>
    <m/>
  </r>
  <r>
    <x v="0"/>
    <x v="0"/>
    <s v=" "/>
    <m/>
    <m/>
    <x v="1"/>
    <m/>
    <m/>
    <m/>
  </r>
  <r>
    <x v="0"/>
    <x v="0"/>
    <s v=" "/>
    <m/>
    <m/>
    <x v="1"/>
    <m/>
    <m/>
    <m/>
  </r>
  <r>
    <x v="0"/>
    <x v="0"/>
    <s v=" "/>
    <m/>
    <m/>
    <x v="1"/>
    <m/>
    <m/>
    <m/>
  </r>
  <r>
    <x v="0"/>
    <x v="0"/>
    <s v=" "/>
    <m/>
    <m/>
    <x v="1"/>
    <m/>
    <m/>
    <m/>
  </r>
  <r>
    <x v="0"/>
    <x v="0"/>
    <s v=" "/>
    <m/>
    <m/>
    <x v="1"/>
    <m/>
    <m/>
    <m/>
  </r>
  <r>
    <x v="0"/>
    <x v="0"/>
    <s v="file name "/>
    <s v=" total area "/>
    <s v=" mean intensity "/>
    <x v="0"/>
    <s v=" total fluorescence"/>
    <m/>
    <m/>
  </r>
  <r>
    <x v="4"/>
    <x v="1"/>
    <s v="C:\Users\andre\Desktop\REACTIV CEFAS\Cefuroxime\Cefuroxime/20201126_Cefas_Test7_Run3/Plate 1/@15/A11_01.tif "/>
    <s v=" 79035.635 "/>
    <s v=" 53.6708 "/>
    <x v="0"/>
    <n v="4241904"/>
    <m/>
    <m/>
  </r>
  <r>
    <x v="4"/>
    <x v="1"/>
    <s v="C:\Users\andre\Desktop\REACTIV CEFAS\Cefuroxime\Cefuroxime/20201126_Cefas_Test7_Run3/Plate 1/@15/A11_02.tif "/>
    <s v=" 76353.528 "/>
    <s v=" 49.6915 "/>
    <x v="0"/>
    <n v="3794121"/>
    <m/>
    <m/>
  </r>
  <r>
    <x v="4"/>
    <x v="1"/>
    <s v="C:\Users\andre\Desktop\REACTIV CEFAS\Cefuroxime\Cefuroxime/20201126_Cefas_Test7_Run3/Plate 1/@15/A11_03.tif "/>
    <s v=" 73238.8232 "/>
    <s v=" 51.5272 "/>
    <x v="0"/>
    <n v="3773789"/>
    <m/>
    <m/>
  </r>
  <r>
    <x v="4"/>
    <x v="2"/>
    <s v="C:\Users\andre\Desktop\REACTIV CEFAS\Cefuroxime\Cefuroxime/20201126_Cefas_Test7_Run3/Plate 1/@15/B11_01.tif "/>
    <s v=" 67204.0826 "/>
    <s v=" 51.3338 "/>
    <x v="0"/>
    <n v="3449838"/>
    <m/>
    <m/>
  </r>
  <r>
    <x v="4"/>
    <x v="2"/>
    <s v="C:\Users\andre\Desktop\REACTIV CEFAS\Cefuroxime\Cefuroxime/20201126_Cefas_Test7_Run3/Plate 1/@15/B11_02.tif "/>
    <s v=" 64284.0468 "/>
    <s v=" 47.644 "/>
    <x v="0"/>
    <n v="3062750"/>
    <m/>
    <m/>
  </r>
  <r>
    <x v="4"/>
    <x v="2"/>
    <s v="C:\Users\andre\Desktop\REACTIV CEFAS\Cefuroxime\Cefuroxime/20201126_Cefas_Test7_Run3/Plate 1/@15/B11_03.tif "/>
    <s v=" 64889.6839 "/>
    <s v=" 49.562 "/>
    <x v="0"/>
    <n v="3216063"/>
    <m/>
    <m/>
  </r>
  <r>
    <x v="4"/>
    <x v="3"/>
    <s v="C:\Users\andre\Desktop\REACTIV CEFAS\Cefuroxime\Cefuroxime/20201126_Cefas_Test7_Run3/Plate 1/@15/C11_01.tif "/>
    <s v=" 53663.7686 "/>
    <s v=" 39.7658 "/>
    <x v="0"/>
    <n v="2133984"/>
    <m/>
    <m/>
  </r>
  <r>
    <x v="4"/>
    <x v="3"/>
    <s v="C:\Users\andre\Desktop\REACTIV CEFAS\Cefuroxime\Cefuroxime/20201126_Cefas_Test7_Run3/Plate 1/@15/C11_02.tif "/>
    <s v=" 58249.3062 "/>
    <s v=" 44.5065 "/>
    <x v="0"/>
    <n v="2592473"/>
    <m/>
    <m/>
  </r>
  <r>
    <x v="4"/>
    <x v="3"/>
    <s v="C:\Users\andre\Desktop\REACTIV CEFAS\Cefuroxime\Cefuroxime/20201126_Cefas_Test7_Run3/Plate 1/@15/C11_03.tif "/>
    <s v=" 52279.4553 "/>
    <s v=" 43.6678 "/>
    <x v="0"/>
    <n v="2282927"/>
    <m/>
    <m/>
  </r>
  <r>
    <x v="4"/>
    <x v="4"/>
    <s v="C:\Users\andre\Desktop\REACTIV CEFAS\Cefuroxime\Cefuroxime/20201126_Cefas_Test7_Run3/Plate 1/@15/D11_01- exclu.tif"/>
    <m/>
    <m/>
    <x v="1"/>
    <m/>
    <m/>
    <m/>
  </r>
  <r>
    <x v="4"/>
    <x v="4"/>
    <s v="C:\Users\andre\Desktop\REACTIV CEFAS\Cefuroxime\Cefuroxime/20201126_Cefas_Test7_Run3/Plate 1/@15/D11_02- exclu.tif"/>
    <m/>
    <m/>
    <x v="1"/>
    <m/>
    <m/>
    <m/>
  </r>
  <r>
    <x v="4"/>
    <x v="4"/>
    <s v="C:\Users\andre\Desktop\REACTIV CEFAS\Cefuroxime\Cefuroxime/20201126_Cefas_Test7_Run3/Plate 1/@15/D11_03- exclu.tif"/>
    <m/>
    <m/>
    <x v="1"/>
    <m/>
    <m/>
    <m/>
  </r>
  <r>
    <x v="4"/>
    <x v="5"/>
    <s v="C:\Users\andre\Desktop\REACTIV CEFAS\Cefuroxime\Cefuroxime/20201126_Cefas_Test7_Run3/Plate 1/@15/E11_01.tif "/>
    <s v=" 60109.4772 "/>
    <s v=" 49.968 "/>
    <x v="0"/>
    <n v="3003549"/>
    <m/>
    <m/>
  </r>
  <r>
    <x v="4"/>
    <x v="5"/>
    <s v="C:\Users\andre\Desktop\REACTIV CEFAS\Cefuroxime\Cefuroxime/20201126_Cefas_Test7_Run3/Plate 1/@15/E11_02.tif "/>
    <s v=" 64262.4169 "/>
    <s v=" 54.9566 "/>
    <x v="0"/>
    <n v="3531643"/>
    <m/>
    <m/>
  </r>
  <r>
    <x v="4"/>
    <x v="5"/>
    <s v="C:\Users\andre\Desktop\REACTIV CEFAS\Cefuroxime\Cefuroxime/20201126_Cefas_Test7_Run3/Plate 1/@15/E11_03.tif "/>
    <s v=" 61147.7121 "/>
    <s v=" 52.4004 "/>
    <x v="0"/>
    <n v="3204166"/>
    <m/>
    <m/>
  </r>
  <r>
    <x v="4"/>
    <x v="6"/>
    <s v="C:\Users\andre\Desktop\REACTIV CEFAS\Cefuroxime\Cefuroxime/20201126_Cefas_Test7_Run3/Plate 1/@15/F11_01.tif "/>
    <s v=" 61731.7193 "/>
    <s v=" 47.6836 "/>
    <x v="0"/>
    <n v="2943591"/>
    <m/>
    <m/>
  </r>
  <r>
    <x v="4"/>
    <x v="6"/>
    <s v="C:\Users\andre\Desktop\REACTIV CEFAS\Cefuroxime\Cefuroxime/20201126_Cefas_Test7_Run3/Plate 1/@15/F11_02.tif "/>
    <s v=" 62618.545 "/>
    <s v=" 46.4722 "/>
    <x v="0"/>
    <n v="2910021"/>
    <m/>
    <m/>
  </r>
  <r>
    <x v="4"/>
    <x v="6"/>
    <s v="C:\Users\andre\Desktop\REACTIV CEFAS\Cefuroxime\Cefuroxime/20201126_Cefas_Test7_Run3/Plate 1/@15/F11_03.tif "/>
    <s v=" 67961.1289 "/>
    <s v=" 50.8491 "/>
    <x v="0"/>
    <n v="3455765"/>
    <m/>
    <m/>
  </r>
  <r>
    <x v="4"/>
    <x v="7"/>
    <s v="C:\Users\andre\Desktop\REACTIV CEFAS\Cefuroxime\Cefuroxime/20201126_Cefas_Test7_Run3/Plate 1/@15/G11_01.tif "/>
    <s v=" 72871.115 "/>
    <s v=" 43.4378 "/>
    <x v="0"/>
    <n v="3165362"/>
    <m/>
    <m/>
  </r>
  <r>
    <x v="4"/>
    <x v="7"/>
    <s v="C:\Users\andre\Desktop\REACTIV CEFAS\Cefuroxime\Cefuroxime/20201126_Cefas_Test7_Run3/Plate 1/@15/G11_02.tif "/>
    <s v=" 65711.6199 "/>
    <s v=" 44.0932 "/>
    <x v="0"/>
    <n v="2897433"/>
    <m/>
    <m/>
  </r>
  <r>
    <x v="4"/>
    <x v="7"/>
    <s v="C:\Users\andre\Desktop\REACTIV CEFAS\Cefuroxime\Cefuroxime/20201126_Cefas_Test7_Run3/Plate 1/@15/G11_03.tif "/>
    <s v=" 65387.1715 "/>
    <s v=" 45.0589 "/>
    <x v="0"/>
    <n v="2946273"/>
    <m/>
    <m/>
  </r>
  <r>
    <x v="4"/>
    <x v="8"/>
    <s v="C:\Users\andre\Desktop\REACTIV CEFAS\Cefuroxime\Cefuroxime/20201126_Cefas_Test7_Run3/Plate 1/@15/H11_01.tif "/>
    <s v=" 71335.3925 "/>
    <s v=" 48.7438 "/>
    <x v="0"/>
    <n v="3477157"/>
    <m/>
    <m/>
  </r>
  <r>
    <x v="4"/>
    <x v="8"/>
    <s v="C:\Users\andre\Desktop\REACTIV CEFAS\Cefuroxime\Cefuroxime/20201126_Cefas_Test7_Run3/Plate 1/@15/H11_02.tif "/>
    <s v=" 71140.7234 "/>
    <s v=" 50.4424 "/>
    <x v="0"/>
    <n v="3588508"/>
    <m/>
    <m/>
  </r>
  <r>
    <x v="4"/>
    <x v="8"/>
    <s v="C:\Users\andre\Desktop\REACTIV CEFAS\Cefuroxime\Cefuroxime/20201126_Cefas_Test7_Run3/Plate 1/@15/H11_03.tif "/>
    <s v=" 75747.891 "/>
    <s v=" 49.7476 "/>
    <x v="0"/>
    <n v="3768274"/>
    <m/>
    <m/>
  </r>
  <r>
    <x v="0"/>
    <x v="0"/>
    <s v=" "/>
    <m/>
    <m/>
    <x v="1"/>
    <m/>
    <m/>
    <m/>
  </r>
  <r>
    <x v="0"/>
    <x v="0"/>
    <s v="group "/>
    <s v=" "/>
    <s v=" mean of mean fluo "/>
    <x v="2"/>
    <s v=" mean of total fluo "/>
    <s v=" SD total fluo "/>
    <m/>
  </r>
  <r>
    <x v="4"/>
    <x v="9"/>
    <s v="C:\Users\andre\Desktop\REACTIV CEFAS\Cefuroxime\Cefuroxime/20201126_Cefas_Test7_Run3/Plate 1/@15/ "/>
    <s v=" "/>
    <s v=" 47.5223 "/>
    <x v="6"/>
    <s v=" 2849296.17 "/>
    <s v=" 1100867.29 "/>
    <m/>
  </r>
  <r>
    <x v="0"/>
    <x v="0"/>
    <s v=" "/>
    <m/>
    <m/>
    <x v="1"/>
    <m/>
    <m/>
    <m/>
  </r>
  <r>
    <x v="0"/>
    <x v="0"/>
    <s v=" "/>
    <m/>
    <m/>
    <x v="1"/>
    <m/>
    <m/>
    <m/>
  </r>
  <r>
    <x v="0"/>
    <x v="0"/>
    <s v=" "/>
    <m/>
    <m/>
    <x v="1"/>
    <m/>
    <m/>
    <m/>
  </r>
  <r>
    <x v="0"/>
    <x v="0"/>
    <s v=" "/>
    <m/>
    <m/>
    <x v="1"/>
    <m/>
    <m/>
    <m/>
  </r>
  <r>
    <x v="0"/>
    <x v="0"/>
    <s v=" "/>
    <m/>
    <m/>
    <x v="1"/>
    <m/>
    <m/>
    <m/>
  </r>
  <r>
    <x v="0"/>
    <x v="0"/>
    <s v="file name "/>
    <s v=" total area "/>
    <s v=" mean intensity "/>
    <x v="0"/>
    <s v=" total fluorescence"/>
    <m/>
    <m/>
  </r>
  <r>
    <x v="5"/>
    <x v="1"/>
    <s v="C:\Users\andre\Desktop\REACTIV CEFAS\Cefuroxime\Cefuroxime/20201126_Cefas_Test7_Run3/Plate 1/@16/A12_01.tif "/>
    <s v=" 129.7794 "/>
    <n v="30"/>
    <x v="0"/>
    <n v="3893"/>
    <m/>
    <m/>
  </r>
  <r>
    <x v="5"/>
    <x v="1"/>
    <s v="C:\Users\andre\Desktop\REACTIV CEFAS\Cefuroxime\Cefuroxime/20201126_Cefas_Test7_Run3/Plate 1/@16/A12_02- exclu.tif"/>
    <m/>
    <m/>
    <x v="1"/>
    <m/>
    <m/>
    <m/>
  </r>
  <r>
    <x v="5"/>
    <x v="1"/>
    <s v="C:\Users\andre\Desktop\REACTIV CEFAS\Cefuroxime\Cefuroxime/20201126_Cefas_Test7_Run3/Plate 1/@16/A12_03- exclu.tif"/>
    <m/>
    <m/>
    <x v="1"/>
    <m/>
    <m/>
    <m/>
  </r>
  <r>
    <x v="5"/>
    <x v="2"/>
    <s v="C:\Users\andre\Desktop\REACTIV CEFAS\Cefuroxime\Cefuroxime/20201126_Cefas_Test7_Run3/Plate 1/@16/B12_01.tif "/>
    <s v=" 3590.5625 "/>
    <s v=" 35.2651 "/>
    <x v="0"/>
    <n v="126621"/>
    <m/>
    <m/>
  </r>
  <r>
    <x v="5"/>
    <x v="2"/>
    <s v="C:\Users\andre\Desktop\REACTIV CEFAS\Cefuroxime\Cefuroxime/20201126_Cefas_Test7_Run3/Plate 1/@16/B12_02.tif "/>
    <s v=" 7159.4951 "/>
    <s v=" 38.1299 "/>
    <x v="0"/>
    <n v="272991"/>
    <m/>
    <m/>
  </r>
  <r>
    <x v="5"/>
    <x v="2"/>
    <s v="C:\Users\andre\Desktop\REACTIV CEFAS\Cefuroxime\Cefuroxime/20201126_Cefas_Test7_Run3/Plate 1/@16/B12_03.tif "/>
    <s v=" 4693.6871 "/>
    <s v=" 32.1982 "/>
    <x v="0"/>
    <n v="151128"/>
    <m/>
    <m/>
  </r>
  <r>
    <x v="5"/>
    <x v="3"/>
    <s v="C:\Users\andre\Desktop\REACTIV CEFAS\Cefuroxime\Cefuroxime/20201126_Cefas_Test7_Run3/Plate 1/@16/C12_01.tif "/>
    <s v=" 8370.7692 "/>
    <s v=" 37.9147 "/>
    <x v="0"/>
    <n v="317375"/>
    <m/>
    <m/>
  </r>
  <r>
    <x v="5"/>
    <x v="3"/>
    <s v="C:\Users\andre\Desktop\REACTIV CEFAS\Cefuroxime\Cefuroxime/20201126_Cefas_Test7_Run3/Plate 1/@16/C12_02.tif "/>
    <s v=" 8154.4703 "/>
    <s v=" 41.1485 "/>
    <x v="0"/>
    <n v="335545"/>
    <m/>
    <m/>
  </r>
  <r>
    <x v="5"/>
    <x v="3"/>
    <s v="C:\Users\andre\Desktop\REACTIV CEFAS\Cefuroxime\Cefuroxime/20201126_Cefas_Test7_Run3/Plate 1/@16/C12_03.tif "/>
    <s v=" 5515.6231 "/>
    <s v=" 37.0353 "/>
    <x v="0"/>
    <n v="204273"/>
    <m/>
    <m/>
  </r>
  <r>
    <x v="5"/>
    <x v="4"/>
    <s v="C:\Users\andre\Desktop\REACTIV CEFAS\Cefuroxime\Cefuroxime/20201126_Cefas_Test7_Run3/Plate 1/@16/D12_01.tif "/>
    <s v=" 8003.061 "/>
    <s v=" 38.0054 "/>
    <x v="0"/>
    <n v="304160"/>
    <m/>
    <m/>
  </r>
  <r>
    <x v="5"/>
    <x v="4"/>
    <s v="C:\Users\andre\Desktop\REACTIV CEFAS\Cefuroxime\Cefuroxime/20201126_Cefas_Test7_Run3/Plate 1/@16/D12_02.tif "/>
    <s v=" 16114.2715 "/>
    <s v=" 39.6752 "/>
    <x v="0"/>
    <n v="639336"/>
    <m/>
    <m/>
  </r>
  <r>
    <x v="5"/>
    <x v="4"/>
    <s v="C:\Users\andre\Desktop\REACTIV CEFAS\Cefuroxime\Cefuroxime/20201126_Cefas_Test7_Run3/Plate 1/@16/D12_03.tif "/>
    <s v=" 4412.4985 "/>
    <s v=" 35.0882 "/>
    <x v="0"/>
    <n v="154827"/>
    <m/>
    <m/>
  </r>
  <r>
    <x v="5"/>
    <x v="5"/>
    <s v="C:\Users\andre\Desktop\REACTIV CEFAS\Cefuroxime\Cefuroxime/20201126_Cefas_Test7_Run3/Plate 1/@16/E12_01.tif "/>
    <s v=" 13972.9119 "/>
    <s v=" 39.1981 "/>
    <x v="0"/>
    <n v="547712"/>
    <m/>
    <m/>
  </r>
  <r>
    <x v="5"/>
    <x v="5"/>
    <s v="C:\Users\andre\Desktop\REACTIV CEFAS\Cefuroxime\Cefuroxime/20201126_Cefas_Test7_Run3/Plate 1/@16/E12_02.tif "/>
    <s v=" 9798.3423 "/>
    <s v=" 38.3046 "/>
    <x v="0"/>
    <n v="375322"/>
    <m/>
    <m/>
  </r>
  <r>
    <x v="5"/>
    <x v="5"/>
    <s v="C:\Users\andre\Desktop\REACTIV CEFAS\Cefuroxime\Cefuroxime/20201126_Cefas_Test7_Run3/Plate 1/@16/E12_03.tif "/>
    <s v=" 10014.6412 "/>
    <s v=" 37.6199 "/>
    <x v="0"/>
    <n v="376750"/>
    <m/>
    <m/>
  </r>
  <r>
    <x v="5"/>
    <x v="6"/>
    <s v="C:\Users\andre\Desktop\REACTIV CEFAS\Cefuroxime\Cefuroxime/20201126_Cefas_Test7_Run3/Plate 1/@16/F12_01.tif "/>
    <s v=" 6034.7406 "/>
    <s v=" 37.8315 "/>
    <x v="0"/>
    <n v="228304"/>
    <m/>
    <m/>
  </r>
  <r>
    <x v="5"/>
    <x v="6"/>
    <s v="C:\Users\andre\Desktop\REACTIV CEFAS\Cefuroxime\Cefuroxime/20201126_Cefas_Test7_Run3/Plate 1/@16/F12_02.tif "/>
    <s v=" 4001.5305 "/>
    <s v=" 37.8 "/>
    <x v="0"/>
    <n v="151258"/>
    <m/>
    <m/>
  </r>
  <r>
    <x v="5"/>
    <x v="6"/>
    <s v="C:\Users\andre\Desktop\REACTIV CEFAS\Cefuroxime\Cefuroxime/20201126_Cefas_Test7_Run3/Plate 1/@16/F12_03.tif "/>
    <s v=" 2357.6585 "/>
    <s v=" 35.3945 "/>
    <x v="0"/>
    <n v="83448"/>
    <m/>
    <m/>
  </r>
  <r>
    <x v="5"/>
    <x v="7"/>
    <s v="C:\Users\andre\Desktop\REACTIV CEFAS\Cefuroxime\Cefuroxime/20201126_Cefas_Test7_Run3/Plate 1/@16/G12_01.tif "/>
    <s v=" 8998.0362 "/>
    <s v=" 44.9663 "/>
    <x v="0"/>
    <n v="404609"/>
    <m/>
    <m/>
  </r>
  <r>
    <x v="5"/>
    <x v="7"/>
    <s v="C:\Users\andre\Desktop\REACTIV CEFAS\Cefuroxime\Cefuroxime/20201126_Cefas_Test7_Run3/Plate 1/@16/G12_02.tif "/>
    <s v=" 8392.3991 "/>
    <s v=" 43.2912 "/>
    <x v="0"/>
    <n v="363317"/>
    <m/>
    <m/>
  </r>
  <r>
    <x v="5"/>
    <x v="7"/>
    <s v="C:\Users\andre\Desktop\REACTIV CEFAS\Cefuroxime\Cefuroxime/20201126_Cefas_Test7_Run3/Plate 1/@16/G12_03.tif "/>
    <s v=" 10966.3566 "/>
    <s v=" 46.3412 "/>
    <x v="0"/>
    <n v="508194"/>
    <m/>
    <m/>
  </r>
  <r>
    <x v="5"/>
    <x v="8"/>
    <s v="C:\Users\andre\Desktop\REACTIV CEFAS\Cefuroxime\Cefuroxime/20201126_Cefas_Test7_Run3/Plate 1/@16/H12_01.tif "/>
    <s v=" 6899.9364 "/>
    <s v=" 38.7931 "/>
    <x v="0"/>
    <n v="267670"/>
    <m/>
    <m/>
  </r>
  <r>
    <x v="5"/>
    <x v="8"/>
    <s v="C:\Users\andre\Desktop\REACTIV CEFAS\Cefuroxime\Cefuroxime/20201126_Cefas_Test7_Run3/Plate 1/@16/H12_02.tif "/>
    <s v=" 4217.8295 "/>
    <s v=" 36.7436 "/>
    <x v="0"/>
    <n v="154978"/>
    <m/>
    <m/>
  </r>
  <r>
    <x v="5"/>
    <x v="8"/>
    <s v="C:\Users\andre\Desktop\REACTIV CEFAS\Cefuroxime\Cefuroxime/20201126_Cefas_Test7_Run3/Plate 1/@16/H12_03.tif "/>
    <s v=" 3806.8615 "/>
    <s v=" 36.375 "/>
    <x v="0"/>
    <n v="138475"/>
    <m/>
    <m/>
  </r>
  <r>
    <x v="0"/>
    <x v="0"/>
    <s v=" "/>
    <m/>
    <m/>
    <x v="1"/>
    <m/>
    <m/>
    <m/>
  </r>
  <r>
    <x v="0"/>
    <x v="0"/>
    <s v="group "/>
    <s v=" "/>
    <s v=" mean of mean fluo "/>
    <x v="2"/>
    <s v=" mean of total fluo "/>
    <s v=" SD total fluo "/>
    <m/>
  </r>
  <r>
    <x v="5"/>
    <x v="9"/>
    <s v="C:\Users\andre\Desktop\REACTIV CEFAS\Cefuroxime\Cefuroxime/20201126_Cefas_Test7_Run3/Plate 1/@16/ "/>
    <s v=" "/>
    <s v=" 38.6223 "/>
    <x v="7"/>
    <s v=" 309239.917 "/>
    <s v=" 186810.833 "/>
    <m/>
  </r>
  <r>
    <x v="0"/>
    <x v="0"/>
    <s v=" "/>
    <m/>
    <m/>
    <x v="1"/>
    <m/>
    <m/>
    <m/>
  </r>
  <r>
    <x v="0"/>
    <x v="0"/>
    <s v=" "/>
    <m/>
    <m/>
    <x v="1"/>
    <m/>
    <m/>
    <m/>
  </r>
  <r>
    <x v="0"/>
    <x v="0"/>
    <s v=" "/>
    <m/>
    <m/>
    <x v="1"/>
    <m/>
    <m/>
    <m/>
  </r>
  <r>
    <x v="0"/>
    <x v="0"/>
    <s v=" "/>
    <m/>
    <m/>
    <x v="1"/>
    <m/>
    <m/>
    <m/>
  </r>
  <r>
    <x v="0"/>
    <x v="0"/>
    <s v=" "/>
    <m/>
    <m/>
    <x v="1"/>
    <m/>
    <m/>
    <m/>
  </r>
  <r>
    <x v="0"/>
    <x v="0"/>
    <s v="file name "/>
    <s v=" total area "/>
    <s v=" mean intensity "/>
    <x v="0"/>
    <s v=" total fluorescence"/>
    <m/>
    <m/>
  </r>
  <r>
    <x v="6"/>
    <x v="1"/>
    <s v="C:\Users\andre\Desktop\REACTIV CEFAS\Cefuroxime\Cefuroxime/20201126_Cefas_Test7_Run3/Plate 1/@2/A2_01.tif "/>
    <n v="0"/>
    <n v="0"/>
    <x v="0"/>
    <n v="0"/>
    <m/>
    <m/>
  </r>
  <r>
    <x v="6"/>
    <x v="1"/>
    <s v="C:\Users\andre\Desktop\REACTIV CEFAS\Cefuroxime\Cefuroxime/20201126_Cefas_Test7_Run3/Plate 1/@2/A2_02.tif "/>
    <s v=" 11615.2534 "/>
    <s v=" 38.1155 "/>
    <x v="0"/>
    <n v="442721"/>
    <m/>
    <m/>
  </r>
  <r>
    <x v="6"/>
    <x v="1"/>
    <s v="C:\Users\andre\Desktop\REACTIV CEFAS\Cefuroxime\Cefuroxime/20201126_Cefas_Test7_Run3/Plate 1/@2/A2_03.tif "/>
    <s v=" 9019.6661 "/>
    <s v=" 36.2446 "/>
    <x v="0"/>
    <n v="326914"/>
    <m/>
    <m/>
  </r>
  <r>
    <x v="6"/>
    <x v="2"/>
    <s v="C:\Users\andre\Desktop\REACTIV CEFAS\Cefuroxime\Cefuroxime/20201126_Cefas_Test7_Run3/Plate 1/@2/B2_01.tif "/>
    <s v=" 8176.1002 "/>
    <s v=" 33.4497 "/>
    <x v="0"/>
    <n v="273488"/>
    <m/>
    <m/>
  </r>
  <r>
    <x v="6"/>
    <x v="2"/>
    <s v="C:\Users\andre\Desktop\REACTIV CEFAS\Cefuroxime\Cefuroxime/20201126_Cefas_Test7_Run3/Plate 1/@2/B2_02.tif "/>
    <s v=" 10252.5701 "/>
    <s v=" 38.9325 "/>
    <x v="0"/>
    <n v="399158"/>
    <m/>
    <m/>
  </r>
  <r>
    <x v="6"/>
    <x v="2"/>
    <s v="C:\Users\andre\Desktop\REACTIV CEFAS\Cefuroxime\Cefuroxime/20201126_Cefas_Test7_Run3/Plate 1/@2/B2_03.tif "/>
    <s v=" 1903.4307 "/>
    <s v=" 35.6136 "/>
    <x v="0"/>
    <n v="67788"/>
    <m/>
    <m/>
  </r>
  <r>
    <x v="6"/>
    <x v="3"/>
    <s v="C:\Users\andre\Desktop\REACTIV CEFAS\Cefuroxime\Cefuroxime/20201126_Cefas_Test7_Run3/Plate 1/@2/C2_01.tif "/>
    <s v=" 18861.2681 "/>
    <s v=" 39.3108 "/>
    <x v="0"/>
    <n v="741451"/>
    <m/>
    <m/>
  </r>
  <r>
    <x v="6"/>
    <x v="3"/>
    <s v="C:\Users\andre\Desktop\REACTIV CEFAS\Cefuroxime\Cefuroxime/20201126_Cefas_Test7_Run3/Plate 1/@2/C2_02.tif "/>
    <s v=" 16071.0117 "/>
    <s v=" 43.0283 "/>
    <x v="0"/>
    <n v="691508"/>
    <m/>
    <m/>
  </r>
  <r>
    <x v="6"/>
    <x v="3"/>
    <s v="C:\Users\andre\Desktop\REACTIV CEFAS\Cefuroxime\Cefuroxime/20201126_Cefas_Test7_Run3/Plate 1/@2/C2_03.tif "/>
    <s v=" 14773.218 "/>
    <s v=" 42.9122 "/>
    <x v="0"/>
    <n v="633951"/>
    <m/>
    <m/>
  </r>
  <r>
    <x v="6"/>
    <x v="4"/>
    <s v="C:\Users\andre\Desktop\REACTIV CEFAS\Cefuroxime\Cefuroxime/20201126_Cefas_Test7_Run3/Plate 1/@2/D2_01.tif "/>
    <s v=" 9106.1856 "/>
    <s v=" 35.791 "/>
    <x v="0"/>
    <n v="325919"/>
    <m/>
    <m/>
  </r>
  <r>
    <x v="6"/>
    <x v="4"/>
    <s v="C:\Users\andre\Desktop\REACTIV CEFAS\Cefuroxime\Cefuroxime/20201126_Cefas_Test7_Run3/Plate 1/@2/D2_02.tif "/>
    <s v=" 5537.253 "/>
    <s v=" 31.668 "/>
    <x v="0"/>
    <n v="175354"/>
    <m/>
    <m/>
  </r>
  <r>
    <x v="6"/>
    <x v="4"/>
    <s v="C:\Users\andre\Desktop\REACTIV CEFAS\Cefuroxime\Cefuroxime/20201126_Cefas_Test7_Run3/Plate 1/@2/D2_03.tif "/>
    <s v=" 8522.1785 "/>
    <s v=" 40.8782 "/>
    <x v="0"/>
    <n v="348371"/>
    <m/>
    <m/>
  </r>
  <r>
    <x v="6"/>
    <x v="5"/>
    <s v="C:\Users\andre\Desktop\REACTIV CEFAS\Cefuroxime\Cefuroxime/20201126_Cefas_Test7_Run3/Plate 1/@2/E2_01.tif "/>
    <s v=" 930.0855 "/>
    <s v=" 31.3023 "/>
    <x v="0"/>
    <n v="29114"/>
    <m/>
    <m/>
  </r>
  <r>
    <x v="6"/>
    <x v="5"/>
    <s v="C:\Users\andre\Desktop\REACTIV CEFAS\Cefuroxime\Cefuroxime/20201126_Cefas_Test7_Run3/Plate 1/@2/E2_02.tif "/>
    <s v=" 843.5659 "/>
    <s v=" 31.1538 "/>
    <x v="0"/>
    <n v="26280"/>
    <m/>
    <m/>
  </r>
  <r>
    <x v="6"/>
    <x v="5"/>
    <s v="C:\Users\andre\Desktop\REACTIV CEFAS\Cefuroxime\Cefuroxime/20201126_Cefas_Test7_Run3/Plate 1/@2/E2_03.tif "/>
    <s v=" 713.7865 "/>
    <s v=" 31.9091 "/>
    <x v="0"/>
    <n v="22776"/>
    <m/>
    <m/>
  </r>
  <r>
    <x v="6"/>
    <x v="6"/>
    <s v="C:\Users\andre\Desktop\REACTIV CEFAS\Cefuroxime\Cefuroxime/20201126_Cefas_Test7_Run3/Plate 1/@2/F2_01.tif "/>
    <s v=" 4109.68 "/>
    <s v=" 35.0105 "/>
    <x v="0"/>
    <n v="143882"/>
    <m/>
    <m/>
  </r>
  <r>
    <x v="6"/>
    <x v="6"/>
    <s v="C:\Users\andre\Desktop\REACTIV CEFAS\Cefuroxime\Cefuroxime/20201126_Cefas_Test7_Run3/Plate 1/@2/F2_02.tif "/>
    <s v=" 4131.3099 "/>
    <s v=" 34.5183 "/>
    <x v="0"/>
    <n v="142606"/>
    <m/>
    <m/>
  </r>
  <r>
    <x v="6"/>
    <x v="6"/>
    <s v="C:\Users\andre\Desktop\REACTIV CEFAS\Cefuroxime\Cefuroxime/20201126_Cefas_Test7_Run3/Plate 1/@2/F2_03.tif "/>
    <s v=" 7830.0219 "/>
    <s v=" 35.7127 "/>
    <x v="0"/>
    <n v="279631"/>
    <m/>
    <m/>
  </r>
  <r>
    <x v="6"/>
    <x v="7"/>
    <s v="C:\Users\andre\Desktop\REACTIV CEFAS\Cefuroxime\Cefuroxime/20201126_Cefas_Test7_Run3/Plate 1/@2/G2_01.tif "/>
    <s v=" 151.4093 "/>
    <n v="32"/>
    <x v="0"/>
    <n v="4845"/>
    <m/>
    <m/>
  </r>
  <r>
    <x v="6"/>
    <x v="7"/>
    <s v="C:\Users\andre\Desktop\REACTIV CEFAS\Cefuroxime\Cefuroxime/20201126_Cefas_Test7_Run3/Plate 1/@2/G2_02.tif "/>
    <s v=" 6034.7406 "/>
    <s v=" 40.1971 "/>
    <x v="0"/>
    <n v="242579"/>
    <m/>
    <m/>
  </r>
  <r>
    <x v="6"/>
    <x v="7"/>
    <s v="C:\Users\andre\Desktop\REACTIV CEFAS\Cefuroxime\Cefuroxime/20201126_Cefas_Test7_Run3/Plate 1/@2/G2_03.tif "/>
    <s v=" 9884.8618 "/>
    <s v=" 36.9256 "/>
    <x v="0"/>
    <n v="365004"/>
    <m/>
    <m/>
  </r>
  <r>
    <x v="6"/>
    <x v="8"/>
    <s v="C:\Users\andre\Desktop\REACTIV CEFAS\Cefuroxime\Cefuroxime/20201126_Cefas_Test7_Run3/Plate 1/@2/H2_01.tif "/>
    <s v=" 43.2598 "/>
    <n v="30"/>
    <x v="0"/>
    <n v="1298"/>
    <m/>
    <m/>
  </r>
  <r>
    <x v="6"/>
    <x v="8"/>
    <s v="C:\Users\andre\Desktop\REACTIV CEFAS\Cefuroxime\Cefuroxime/20201126_Cefas_Test7_Run3/Plate 1/@2/H2_02.tif "/>
    <s v=" 10793.3174 "/>
    <s v=" 39.2305 "/>
    <x v="0"/>
    <n v="423427"/>
    <m/>
    <m/>
  </r>
  <r>
    <x v="6"/>
    <x v="8"/>
    <s v="C:\Users\andre\Desktop\REACTIV CEFAS\Cefuroxime\Cefuroxime/20201126_Cefas_Test7_Run3/Plate 1/@2/H2_03.tif "/>
    <s v=" 8565.4383 "/>
    <s v=" 40.654 "/>
    <x v="0"/>
    <n v="348220"/>
    <m/>
    <m/>
  </r>
  <r>
    <x v="0"/>
    <x v="0"/>
    <s v=" "/>
    <m/>
    <m/>
    <x v="1"/>
    <m/>
    <m/>
    <m/>
  </r>
  <r>
    <x v="0"/>
    <x v="0"/>
    <s v="group "/>
    <s v=" "/>
    <s v=" mean of mean fluo "/>
    <x v="2"/>
    <s v=" mean of total fluo "/>
    <s v=" SD total fluo "/>
    <m/>
  </r>
  <r>
    <x v="6"/>
    <x v="9"/>
    <s v="C:\Users\andre\Desktop\REACTIV CEFAS\Cefuroxime\Cefuroxime/20201126_Cefas_Test7_Run3/Plate 1/@2/ "/>
    <s v=" "/>
    <s v=" 34.7733 "/>
    <x v="8"/>
    <s v=" 269011.875 "/>
    <s v=" 219373.705 "/>
    <m/>
  </r>
  <r>
    <x v="0"/>
    <x v="0"/>
    <s v=" "/>
    <m/>
    <m/>
    <x v="1"/>
    <m/>
    <m/>
    <m/>
  </r>
  <r>
    <x v="0"/>
    <x v="0"/>
    <s v=" "/>
    <m/>
    <m/>
    <x v="1"/>
    <m/>
    <m/>
    <m/>
  </r>
  <r>
    <x v="0"/>
    <x v="0"/>
    <s v=" "/>
    <m/>
    <m/>
    <x v="1"/>
    <m/>
    <m/>
    <m/>
  </r>
  <r>
    <x v="0"/>
    <x v="0"/>
    <s v=" "/>
    <m/>
    <m/>
    <x v="1"/>
    <m/>
    <m/>
    <m/>
  </r>
  <r>
    <x v="0"/>
    <x v="0"/>
    <s v=" "/>
    <m/>
    <m/>
    <x v="1"/>
    <m/>
    <m/>
    <m/>
  </r>
  <r>
    <x v="0"/>
    <x v="0"/>
    <s v="file name "/>
    <s v=" total area "/>
    <s v=" mean intensity "/>
    <x v="0"/>
    <s v=" total fluorescence"/>
    <m/>
    <m/>
  </r>
  <r>
    <x v="7"/>
    <x v="1"/>
    <s v="C:\Users\andre\Desktop\REACTIV CEFAS\Cefuroxime\Cefuroxime/20201126_Cefas_Test7_Run3/Plate 1/@3/A3_01.tif "/>
    <s v=" 3568.9326 "/>
    <s v=" 33.4242 "/>
    <x v="0"/>
    <n v="119289"/>
    <m/>
    <m/>
  </r>
  <r>
    <x v="7"/>
    <x v="1"/>
    <s v="C:\Users\andre\Desktop\REACTIV CEFAS\Cefuroxime\Cefuroxime/20201126_Cefas_Test7_Run3/Plate 1/@3/A3_02.tif "/>
    <s v=" 259.5587 "/>
    <s v=" 31.3333 "/>
    <x v="0"/>
    <n v="8133"/>
    <m/>
    <m/>
  </r>
  <r>
    <x v="7"/>
    <x v="1"/>
    <s v="C:\Users\andre\Desktop\REACTIV CEFAS\Cefuroxime\Cefuroxime/20201126_Cefas_Test7_Run3/Plate 1/@3/A3_03.tif "/>
    <s v=" 2379.2884 "/>
    <s v=" 33.0182 "/>
    <x v="0"/>
    <n v="78560"/>
    <m/>
    <m/>
  </r>
  <r>
    <x v="7"/>
    <x v="2"/>
    <s v="C:\Users\andre\Desktop\REACTIV CEFAS\Cefuroxime\Cefuroxime/20201126_Cefas_Test7_Run3/Plate 1/@3/B3_01.tif "/>
    <s v=" 21456.8555 "/>
    <s v=" 33.8458 "/>
    <x v="0"/>
    <n v="726224"/>
    <m/>
    <m/>
  </r>
  <r>
    <x v="7"/>
    <x v="2"/>
    <s v="C:\Users\andre\Desktop\REACTIV CEFAS\Cefuroxime\Cefuroxime/20201126_Cefas_Test7_Run3/Plate 1/@3/B3_02.tif "/>
    <s v=" 32012.2441 "/>
    <s v=" 35.3541 "/>
    <x v="0"/>
    <n v="1131763"/>
    <m/>
    <m/>
  </r>
  <r>
    <x v="7"/>
    <x v="2"/>
    <s v="C:\Users\andre\Desktop\REACTIV CEFAS\Cefuroxime\Cefuroxime/20201126_Cefas_Test7_Run3/Plate 1/@3/B3_03.tif "/>
    <s v=" 15162.5561 "/>
    <s v=" 34.2725 "/>
    <x v="0"/>
    <n v="519658"/>
    <m/>
    <m/>
  </r>
  <r>
    <x v="7"/>
    <x v="3"/>
    <s v="C:\Users\andre\Desktop\REACTIV CEFAS\Cefuroxime\Cefuroxime/20201126_Cefas_Test7_Run3/Plate 1/@3/C3_01.tif "/>
    <s v=" 12977.9368 "/>
    <s v=" 34.7033 "/>
    <x v="0"/>
    <n v="450378"/>
    <m/>
    <m/>
  </r>
  <r>
    <x v="7"/>
    <x v="3"/>
    <s v="C:\Users\andre\Desktop\REACTIV CEFAS\Cefuroxime\Cefuroxime/20201126_Cefas_Test7_Run3/Plate 1/@3/C3_02.tif "/>
    <s v=" 10101.1608 "/>
    <s v=" 39.7559 "/>
    <x v="0"/>
    <n v="401581"/>
    <m/>
    <m/>
  </r>
  <r>
    <x v="7"/>
    <x v="3"/>
    <s v="C:\Users\andre\Desktop\REACTIV CEFAS\Cefuroxime\Cefuroxime/20201126_Cefas_Test7_Run3/Plate 1/@3/C3_03.tif "/>
    <s v=" 8543.8084 "/>
    <s v=" 33.2177 "/>
    <x v="0"/>
    <n v="283806"/>
    <m/>
    <m/>
  </r>
  <r>
    <x v="7"/>
    <x v="4"/>
    <s v="C:\Users\andre\Desktop\REACTIV CEFAS\Cefuroxime\Cefuroxime/20201126_Cefas_Test7_Run3/Plate 1/@3/D3_01.tif "/>
    <s v=" 2033.2101 "/>
    <s v=" 31.3511 "/>
    <x v="0"/>
    <n v="63743"/>
    <m/>
    <m/>
  </r>
  <r>
    <x v="7"/>
    <x v="4"/>
    <s v="C:\Users\andre\Desktop\REACTIV CEFAS\Cefuroxime\Cefuroxime/20201126_Cefas_Test7_Run3/Plate 1/@3/D3_02.tif "/>
    <s v=" 2595.5874 "/>
    <s v=" 34.25 "/>
    <x v="0"/>
    <n v="88899"/>
    <m/>
    <m/>
  </r>
  <r>
    <x v="7"/>
    <x v="4"/>
    <s v="C:\Users\andre\Desktop\REACTIV CEFAS\Cefuroxime\Cefuroxime/20201126_Cefas_Test7_Run3/Plate 1/@3/D3_03.tif "/>
    <s v=" 1232.904 "/>
    <s v=" 31.0877 "/>
    <x v="0"/>
    <n v="38328"/>
    <m/>
    <m/>
  </r>
  <r>
    <x v="7"/>
    <x v="5"/>
    <s v="C:\Users\andre\Desktop\REACTIV CEFAS\Cefuroxime\Cefuroxime/20201126_Cefas_Test7_Run3/Plate 1/@3/E3_01.tif "/>
    <s v=" 22689.7595 "/>
    <s v=" 38.0153 "/>
    <x v="0"/>
    <n v="862557"/>
    <m/>
    <m/>
  </r>
  <r>
    <x v="7"/>
    <x v="5"/>
    <s v="C:\Users\andre\Desktop\REACTIV CEFAS\Cefuroxime\Cefuroxime/20201126_Cefas_Test7_Run3/Plate 1/@3/E3_02.tif "/>
    <s v=" 15422.1149 "/>
    <s v=" 41.2763 "/>
    <x v="0"/>
    <n v="636568"/>
    <m/>
    <m/>
  </r>
  <r>
    <x v="7"/>
    <x v="5"/>
    <s v="C:\Users\andre\Desktop\REACTIV CEFAS\Cefuroxime\Cefuroxime/20201126_Cefas_Test7_Run3/Plate 1/@3/E3_03- exclu.tif"/>
    <m/>
    <m/>
    <x v="1"/>
    <m/>
    <m/>
    <m/>
  </r>
  <r>
    <x v="7"/>
    <x v="6"/>
    <s v="C:\Users\andre\Desktop\REACTIV CEFAS\Cefuroxime\Cefuroxime/20201126_Cefas_Test7_Run3/Plate 1/@3/F3_01.tif "/>
    <s v=" 173.0392 "/>
    <s v=" 31.25 "/>
    <x v="0"/>
    <n v="5407"/>
    <m/>
    <m/>
  </r>
  <r>
    <x v="7"/>
    <x v="6"/>
    <s v="C:\Users\andre\Desktop\REACTIV CEFAS\Cefuroxime\Cefuroxime/20201126_Cefas_Test7_Run3/Plate 1/@3/F3_02.tif "/>
    <s v=" 4845.0964 "/>
    <s v=" 37.5759 "/>
    <x v="0"/>
    <n v="182059"/>
    <m/>
    <m/>
  </r>
  <r>
    <x v="7"/>
    <x v="6"/>
    <s v="C:\Users\andre\Desktop\REACTIV CEFAS\Cefuroxime\Cefuroxime/20201126_Cefas_Test7_Run3/Plate 1/@3/F3_03- exclu.tif"/>
    <m/>
    <m/>
    <x v="1"/>
    <m/>
    <m/>
    <m/>
  </r>
  <r>
    <x v="7"/>
    <x v="7"/>
    <s v="C:\Users\andre\Desktop\REACTIV CEFAS\Cefuroxime\Cefuroxime/20201126_Cefas_Test7_Run3/Plate 1/@3/G3_01.tif "/>
    <s v=" 5731.9221 "/>
    <s v=" 37.1019 "/>
    <x v="0"/>
    <n v="212665"/>
    <m/>
    <m/>
  </r>
  <r>
    <x v="7"/>
    <x v="7"/>
    <s v="C:\Users\andre\Desktop\REACTIV CEFAS\Cefuroxime\Cefuroxime/20201126_Cefas_Test7_Run3/Plate 1/@3/G3_02.tif "/>
    <s v=" 8868.2568 "/>
    <s v=" 42.5146 "/>
    <x v="0"/>
    <n v="377031"/>
    <m/>
    <m/>
  </r>
  <r>
    <x v="7"/>
    <x v="7"/>
    <s v="C:\Users\andre\Desktop\REACTIV CEFAS\Cefuroxime\Cefuroxime/20201126_Cefas_Test7_Run3/Plate 1/@3/G3_03.tif "/>
    <s v=" 9733.4526 "/>
    <s v=" 43.5844 "/>
    <x v="0"/>
    <n v="424227"/>
    <m/>
    <m/>
  </r>
  <r>
    <x v="7"/>
    <x v="8"/>
    <s v="C:\Users\andre\Desktop\REACTIV CEFAS\Cefuroxime\Cefuroxime/20201126_Cefas_Test7_Run3/Plate 1/@3/H3_01.tif "/>
    <s v=" 7505.5734 "/>
    <s v=" 38.2738 "/>
    <x v="0"/>
    <n v="287267"/>
    <m/>
    <m/>
  </r>
  <r>
    <x v="7"/>
    <x v="8"/>
    <s v="C:\Users\andre\Desktop\REACTIV CEFAS\Cefuroxime\Cefuroxime/20201126_Cefas_Test7_Run3/Plate 1/@3/H3_02.tif "/>
    <s v=" 7354.1642 "/>
    <s v=" 40.0588 "/>
    <x v="0"/>
    <n v="294599"/>
    <m/>
    <m/>
  </r>
  <r>
    <x v="7"/>
    <x v="8"/>
    <s v="C:\Users\andre\Desktop\REACTIV CEFAS\Cefuroxime\Cefuroxime/20201126_Cefas_Test7_Run3/Plate 1/@3/H3_03.tif "/>
    <s v=" 7808.392 "/>
    <s v=" 36.892 "/>
    <x v="0"/>
    <n v="288067"/>
    <m/>
    <m/>
  </r>
  <r>
    <x v="0"/>
    <x v="0"/>
    <s v=" "/>
    <m/>
    <m/>
    <x v="1"/>
    <m/>
    <m/>
    <m/>
  </r>
  <r>
    <x v="0"/>
    <x v="0"/>
    <s v="group "/>
    <s v=" "/>
    <s v=" mean of mean fluo "/>
    <x v="2"/>
    <s v=" mean of total fluo "/>
    <s v=" SD total fluo "/>
    <m/>
  </r>
  <r>
    <x v="7"/>
    <x v="9"/>
    <s v="C:\Users\andre\Desktop\REACTIV CEFAS\Cefuroxime\Cefuroxime/20201126_Cefas_Test7_Run3/Plate 1/@3/ "/>
    <s v=" "/>
    <s v=" 35.6586 "/>
    <x v="9"/>
    <s v=" 319308.708 "/>
    <s v=" 289580.88 "/>
    <m/>
  </r>
  <r>
    <x v="0"/>
    <x v="0"/>
    <s v=" "/>
    <m/>
    <m/>
    <x v="1"/>
    <m/>
    <m/>
    <m/>
  </r>
  <r>
    <x v="0"/>
    <x v="0"/>
    <s v=" "/>
    <m/>
    <m/>
    <x v="1"/>
    <m/>
    <m/>
    <m/>
  </r>
  <r>
    <x v="0"/>
    <x v="0"/>
    <s v=" "/>
    <m/>
    <m/>
    <x v="1"/>
    <m/>
    <m/>
    <m/>
  </r>
  <r>
    <x v="0"/>
    <x v="0"/>
    <s v=" "/>
    <m/>
    <m/>
    <x v="1"/>
    <m/>
    <m/>
    <m/>
  </r>
  <r>
    <x v="0"/>
    <x v="0"/>
    <s v=" "/>
    <m/>
    <m/>
    <x v="1"/>
    <m/>
    <m/>
    <m/>
  </r>
  <r>
    <x v="0"/>
    <x v="0"/>
    <s v="file name "/>
    <s v=" total area "/>
    <s v=" mean intensity "/>
    <x v="0"/>
    <s v=" total fluorescence"/>
    <m/>
    <m/>
  </r>
  <r>
    <x v="8"/>
    <x v="1"/>
    <s v="C:\Users\andre\Desktop\REACTIV CEFAS\Cefuroxime\Cefuroxime/20201126_Cefas_Test7_Run3/Plate 1/@4/A4_01.tif "/>
    <s v=" 55848.3879 "/>
    <s v=" 35.9729 "/>
    <x v="0"/>
    <n v="2009028"/>
    <m/>
    <m/>
  </r>
  <r>
    <x v="8"/>
    <x v="1"/>
    <s v="C:\Users\andre\Desktop\REACTIV CEFAS\Cefuroxime\Cefuroxime/20201126_Cefas_Test7_Run3/Plate 1/@4/A4_02.tif "/>
    <s v=" 56043.057 "/>
    <s v=" 37.3466 "/>
    <x v="0"/>
    <n v="2093017"/>
    <m/>
    <m/>
  </r>
  <r>
    <x v="8"/>
    <x v="1"/>
    <s v="C:\Users\andre\Desktop\REACTIV CEFAS\Cefuroxime\Cefuroxime/20201126_Cefas_Test7_Run3/Plate 1/@4/A4_03.tif "/>
    <s v=" 59287.5412 "/>
    <s v=" 37.2112 "/>
    <x v="0"/>
    <n v="2206163"/>
    <m/>
    <m/>
  </r>
  <r>
    <x v="8"/>
    <x v="2"/>
    <s v="C:\Users\andre\Desktop\REACTIV CEFAS\Cefuroxime\Cefuroxime/20201126_Cefas_Test7_Run3/Plate 1/@4/B4_01.tif "/>
    <s v=" 15227.4458 "/>
    <s v=" 38.8594 "/>
    <x v="0"/>
    <n v="591729"/>
    <m/>
    <m/>
  </r>
  <r>
    <x v="8"/>
    <x v="2"/>
    <s v="C:\Users\andre\Desktop\REACTIV CEFAS\Cefuroxime\Cefuroxime/20201126_Cefas_Test7_Run3/Plate 1/@4/B4_02.tif "/>
    <s v=" 13561.9439 "/>
    <s v=" 38.7911 "/>
    <x v="0"/>
    <n v="526082"/>
    <m/>
    <m/>
  </r>
  <r>
    <x v="8"/>
    <x v="2"/>
    <s v="C:\Users\andre\Desktop\REACTIV CEFAS\Cefuroxime\Cefuroxime/20201126_Cefas_Test7_Run3/Plate 1/@4/B4_03.tif "/>
    <s v=" 16957.8374 "/>
    <s v=" 39.7997 "/>
    <x v="0"/>
    <n v="674918"/>
    <m/>
    <m/>
  </r>
  <r>
    <x v="8"/>
    <x v="3"/>
    <s v="C:\Users\andre\Desktop\REACTIV CEFAS\Cefuroxime\Cefuroxime/20201126_Cefas_Test7_Run3/Plate 1/@4/C4_01- exclu.tif"/>
    <m/>
    <m/>
    <x v="1"/>
    <m/>
    <m/>
    <m/>
  </r>
  <r>
    <x v="8"/>
    <x v="3"/>
    <s v="C:\Users\andre\Desktop\REACTIV CEFAS\Cefuroxime\Cefuroxime/20201126_Cefas_Test7_Run3/Plate 1/@4/C4_02- exclu.tif"/>
    <m/>
    <m/>
    <x v="1"/>
    <m/>
    <m/>
    <m/>
  </r>
  <r>
    <x v="8"/>
    <x v="3"/>
    <s v="C:\Users\andre\Desktop\REACTIV CEFAS\Cefuroxime\Cefuroxime/20201126_Cefas_Test7_Run3/Plate 1/@4/C4_03- exclu.tif"/>
    <m/>
    <m/>
    <x v="1"/>
    <m/>
    <m/>
    <m/>
  </r>
  <r>
    <x v="8"/>
    <x v="4"/>
    <s v="C:\Users\andre\Desktop\REACTIV CEFAS\Cefuroxime\Cefuroxime/20201126_Cefas_Test7_Run3/Plate 1/@4/D4_01.tif "/>
    <s v=" 48256.2949 "/>
    <s v=" 38.2308 "/>
    <x v="0"/>
    <n v="1844879"/>
    <m/>
    <m/>
  </r>
  <r>
    <x v="8"/>
    <x v="4"/>
    <s v="C:\Users\andre\Desktop\REACTIV CEFAS\Cefuroxime\Cefuroxime/20201126_Cefas_Test7_Run3/Plate 1/@4/D4_02- exclu.tif"/>
    <m/>
    <m/>
    <x v="1"/>
    <m/>
    <m/>
    <m/>
  </r>
  <r>
    <x v="8"/>
    <x v="4"/>
    <s v="C:\Users\andre\Desktop\REACTIV CEFAS\Cefuroxime\Cefuroxime/20201126_Cefas_Test7_Run3/Plate 1/@4/D4_03.tif "/>
    <s v=" 24722.9696 "/>
    <s v=" 37.385 "/>
    <x v="0"/>
    <n v="924267"/>
    <m/>
    <m/>
  </r>
  <r>
    <x v="8"/>
    <x v="5"/>
    <s v="C:\Users\andre\Desktop\REACTIV CEFAS\Cefuroxime\Cefuroxime/20201126_Cefas_Test7_Run3/Plate 1/@4/E4_01.tif "/>
    <s v=" 15854.7128 "/>
    <s v=" 38.3683 "/>
    <x v="0"/>
    <n v="608319"/>
    <m/>
    <m/>
  </r>
  <r>
    <x v="8"/>
    <x v="5"/>
    <s v="C:\Users\andre\Desktop\REACTIV CEFAS\Cefuroxime\Cefuroxime/20201126_Cefas_Test7_Run3/Plate 1/@4/E4_02.tif "/>
    <s v=" 39539.4474 "/>
    <s v=" 37.395 "/>
    <x v="0"/>
    <n v="1478576"/>
    <m/>
    <m/>
  </r>
  <r>
    <x v="8"/>
    <x v="5"/>
    <s v="C:\Users\andre\Desktop\REACTIV CEFAS\Cefuroxime\Cefuroxime/20201126_Cefas_Test7_Run3/Plate 1/@4/E4_03.tif "/>
    <s v=" 14902.9974 "/>
    <s v=" 32.4122 "/>
    <x v="0"/>
    <n v="483039"/>
    <m/>
    <m/>
  </r>
  <r>
    <x v="8"/>
    <x v="6"/>
    <s v="C:\Users\andre\Desktop\REACTIV CEFAS\Cefuroxime\Cefuroxime/20201126_Cefas_Test7_Run3/Plate 1/@4/F4_01.tif "/>
    <s v=" 46850.3518 "/>
    <s v=" 35.7969 "/>
    <x v="0"/>
    <n v="1677096"/>
    <m/>
    <m/>
  </r>
  <r>
    <x v="8"/>
    <x v="6"/>
    <s v="C:\Users\andre\Desktop\REACTIV CEFAS\Cefuroxime\Cefuroxime/20201126_Cefas_Test7_Run3/Plate 1/@4/F4_02.tif "/>
    <s v=" 50549.0637 "/>
    <s v=" 37.3577 "/>
    <x v="0"/>
    <n v="1888398"/>
    <m/>
    <m/>
  </r>
  <r>
    <x v="8"/>
    <x v="6"/>
    <s v="C:\Users\andre\Desktop\REACTIV CEFAS\Cefuroxime\Cefuroxime/20201126_Cefas_Test7_Run3/Plate 1/@4/F4_03.tif "/>
    <s v=" 46569.1631 "/>
    <s v=" 35.7687 "/>
    <x v="0"/>
    <n v="1665718"/>
    <m/>
    <m/>
  </r>
  <r>
    <x v="8"/>
    <x v="7"/>
    <s v="C:\Users\andre\Desktop\REACTIV CEFAS\Cefuroxime\Cefuroxime/20201126_Cefas_Test7_Run3/Plate 1/@4/G4_01.tif "/>
    <s v=" 25588.1653 "/>
    <s v=" 33.4894 "/>
    <x v="0"/>
    <n v="856933"/>
    <m/>
    <m/>
  </r>
  <r>
    <x v="8"/>
    <x v="7"/>
    <s v="C:\Users\andre\Desktop\REACTIV CEFAS\Cefuroxime\Cefuroxime/20201126_Cefas_Test7_Run3/Plate 1/@4/G4_02.tif "/>
    <s v=" 23425.1759 "/>
    <s v=" 33.9372 "/>
    <x v="0"/>
    <n v="794985"/>
    <m/>
    <m/>
  </r>
  <r>
    <x v="8"/>
    <x v="7"/>
    <s v="C:\Users\andre\Desktop\REACTIV CEFAS\Cefuroxime\Cefuroxime/20201126_Cefas_Test7_Run3/Plate 1/@4/G4_03.tif "/>
    <s v=" 22019.2327 "/>
    <s v=" 33.8664 "/>
    <x v="0"/>
    <n v="745712"/>
    <m/>
    <m/>
  </r>
  <r>
    <x v="8"/>
    <x v="8"/>
    <s v="C:\Users\andre\Desktop\REACTIV CEFAS\Cefuroxime\Cefuroxime/20201126_Cefas_Test7_Run3/Plate 1/@4/H4_01.tif "/>
    <s v=" 25004.1582 "/>
    <s v=" 35.25 "/>
    <x v="0"/>
    <n v="881397"/>
    <m/>
    <m/>
  </r>
  <r>
    <x v="8"/>
    <x v="8"/>
    <s v="C:\Users\andre\Desktop\REACTIV CEFAS\Cefuroxime\Cefuroxime/20201126_Cefas_Test7_Run3/Plate 1/@4/H4_02.tif "/>
    <s v=" 14881.3675 "/>
    <s v=" 35.8939 "/>
    <x v="0"/>
    <n v="534150"/>
    <m/>
    <m/>
  </r>
  <r>
    <x v="8"/>
    <x v="8"/>
    <s v="C:\Users\andre\Desktop\REACTIV CEFAS\Cefuroxime\Cefuroxime/20201126_Cefas_Test7_Run3/Plate 1/@4/H4_03.tif "/>
    <s v=" 26280.322 "/>
    <s v=" 37.0617 "/>
    <x v="0"/>
    <n v="973994"/>
    <m/>
    <m/>
  </r>
  <r>
    <x v="0"/>
    <x v="0"/>
    <s v=" "/>
    <m/>
    <m/>
    <x v="1"/>
    <m/>
    <m/>
    <m/>
  </r>
  <r>
    <x v="0"/>
    <x v="0"/>
    <s v="group "/>
    <s v=" "/>
    <s v=" mean of mean fluo "/>
    <x v="2"/>
    <s v=" mean of total fluo "/>
    <s v=" SD total fluo "/>
    <m/>
  </r>
  <r>
    <x v="8"/>
    <x v="9"/>
    <s v="C:\Users\andre\Desktop\REACTIV CEFAS\Cefuroxime\Cefuroxime/20201126_Cefas_Test7_Run3/Plate 1/@4/ "/>
    <s v=" "/>
    <s v=" 36.9751 "/>
    <x v="10"/>
    <s v=" 1149670.33 "/>
    <s v=" 700889.149 "/>
    <m/>
  </r>
  <r>
    <x v="0"/>
    <x v="0"/>
    <s v=" "/>
    <m/>
    <m/>
    <x v="1"/>
    <m/>
    <m/>
    <m/>
  </r>
  <r>
    <x v="0"/>
    <x v="0"/>
    <s v=" "/>
    <m/>
    <m/>
    <x v="1"/>
    <m/>
    <m/>
    <m/>
  </r>
  <r>
    <x v="0"/>
    <x v="0"/>
    <s v=" "/>
    <m/>
    <m/>
    <x v="1"/>
    <m/>
    <m/>
    <m/>
  </r>
  <r>
    <x v="0"/>
    <x v="0"/>
    <s v=" "/>
    <m/>
    <m/>
    <x v="1"/>
    <m/>
    <m/>
    <m/>
  </r>
  <r>
    <x v="0"/>
    <x v="0"/>
    <s v=" "/>
    <m/>
    <m/>
    <x v="1"/>
    <m/>
    <m/>
    <m/>
  </r>
  <r>
    <x v="0"/>
    <x v="0"/>
    <s v="file name "/>
    <s v=" total area "/>
    <s v=" mean intensity "/>
    <x v="0"/>
    <s v=" total fluorescence"/>
    <m/>
    <m/>
  </r>
  <r>
    <x v="9"/>
    <x v="1"/>
    <s v="C:\Users\andre\Desktop\REACTIV CEFAS\Cefuroxime\Cefuroxime/20201126_Cefas_Test7_Run3/Plate 1/@5/A5_01.tif "/>
    <s v=" 38695.8815 "/>
    <s v=" 39.0654 "/>
    <x v="0"/>
    <n v="1511670"/>
    <m/>
    <m/>
  </r>
  <r>
    <x v="9"/>
    <x v="1"/>
    <s v="C:\Users\andre\Desktop\REACTIV CEFAS\Cefuroxime\Cefuroxime/20201126_Cefas_Test7_Run3/Plate 1/@5/A5_02.tif "/>
    <s v=" 41010.2802 "/>
    <s v=" 39.8845 "/>
    <x v="0"/>
    <n v="1635674"/>
    <m/>
    <m/>
  </r>
  <r>
    <x v="9"/>
    <x v="1"/>
    <s v="C:\Users\andre\Desktop\REACTIV CEFAS\Cefuroxime\Cefuroxime/20201126_Cefas_Test7_Run3/Plate 1/@5/A5_03.tif "/>
    <s v=" 46655.6827 "/>
    <s v=" 38.7728 "/>
    <x v="0"/>
    <n v="1808973"/>
    <m/>
    <m/>
  </r>
  <r>
    <x v="9"/>
    <x v="2"/>
    <s v="C:\Users\andre\Desktop\REACTIV CEFAS\Cefuroxime\Cefuroxime/20201126_Cefas_Test7_Run3/Plate 1/@5/B5_01.tif "/>
    <s v=" 59611.9896 "/>
    <s v=" 40.8284 "/>
    <x v="0"/>
    <n v="2433861"/>
    <m/>
    <m/>
  </r>
  <r>
    <x v="9"/>
    <x v="2"/>
    <s v="C:\Users\andre\Desktop\REACTIV CEFAS\Cefuroxime\Cefuroxime/20201126_Cefas_Test7_Run3/Plate 1/@5/B5_02.tif "/>
    <s v=" 60477.1854 "/>
    <s v=" 44.0458 "/>
    <x v="0"/>
    <n v="2663765"/>
    <m/>
    <m/>
  </r>
  <r>
    <x v="9"/>
    <x v="2"/>
    <s v="C:\Users\andre\Desktop\REACTIV CEFAS\Cefuroxime\Cefuroxime/20201126_Cefas_Test7_Run3/Plate 1/@5/B5_03.tif "/>
    <s v=" 61493.7904 "/>
    <s v=" 44.7985 "/>
    <x v="0"/>
    <n v="2754827"/>
    <m/>
    <m/>
  </r>
  <r>
    <x v="9"/>
    <x v="3"/>
    <s v="C:\Users\andre\Desktop\REACTIV CEFAS\Cefuroxime\Cefuroxime/20201126_Cefas_Test7_Run3/Plate 1/@5/C5_01.tif "/>
    <s v=" 53187.9109 "/>
    <s v=" 37.2509 "/>
    <x v="0"/>
    <n v="1981298"/>
    <m/>
    <m/>
  </r>
  <r>
    <x v="9"/>
    <x v="3"/>
    <s v="C:\Users\andre\Desktop\REACTIV CEFAS\Cefuroxime\Cefuroxime/20201126_Cefas_Test7_Run3/Plate 1/@5/C5_02.tif "/>
    <s v=" 54009.8469 "/>
    <s v=" 38.8258 "/>
    <x v="0"/>
    <n v="2096975"/>
    <m/>
    <m/>
  </r>
  <r>
    <x v="9"/>
    <x v="3"/>
    <s v="C:\Users\andre\Desktop\REACTIV CEFAS\Cefuroxime\Cefuroxime/20201126_Cefas_Test7_Run3/Plate 1/@5/C5_03.tif "/>
    <s v=" 47218.06 "/>
    <s v=" 40.4443 "/>
    <x v="0"/>
    <n v="1909703"/>
    <m/>
    <m/>
  </r>
  <r>
    <x v="9"/>
    <x v="4"/>
    <s v="C:\Users\andre\Desktop\REACTIV CEFAS\Cefuroxime\Cefuroxime/20201126_Cefas_Test7_Run3/Plate 1/@5/D5_01.tif "/>
    <s v=" 56691.9538 "/>
    <s v=" 36.9519 "/>
    <x v="0"/>
    <n v="2094877"/>
    <m/>
    <m/>
  </r>
  <r>
    <x v="9"/>
    <x v="4"/>
    <s v="C:\Users\andre\Desktop\REACTIV CEFAS\Cefuroxime\Cefuroxime/20201126_Cefas_Test7_Run3/Plate 1/@5/D5_02.tif "/>
    <s v=" 50613.9534 "/>
    <s v=" 35.935 "/>
    <x v="0"/>
    <n v="1818815"/>
    <m/>
    <m/>
  </r>
  <r>
    <x v="9"/>
    <x v="4"/>
    <s v="C:\Users\andre\Desktop\REACTIV CEFAS\Cefuroxime\Cefuroxime/20201126_Cefas_Test7_Run3/Plate 1/@5/D5_03.tif "/>
    <s v=" 58725.1639 "/>
    <s v=" 35.8718 "/>
    <x v="0"/>
    <n v="2106579"/>
    <m/>
    <m/>
  </r>
  <r>
    <x v="9"/>
    <x v="5"/>
    <s v="C:\Users\andre\Desktop\REACTIV CEFAS\Cefuroxime\Cefuroxime/20201126_Cefas_Test7_Run3/Plate 1/@5/E5_01.tif "/>
    <s v=" 60628.5946 "/>
    <s v=" 39.7025 "/>
    <x v="0"/>
    <n v="2407104"/>
    <m/>
    <m/>
  </r>
  <r>
    <x v="9"/>
    <x v="5"/>
    <s v="C:\Users\andre\Desktop\REACTIV CEFAS\Cefuroxime\Cefuroxime/20201126_Cefas_Test7_Run3/Plate 1/@5/E5_02.tif "/>
    <s v=" 46871.9817 "/>
    <s v=" 38.0854 "/>
    <x v="0"/>
    <n v="1785137"/>
    <m/>
    <m/>
  </r>
  <r>
    <x v="9"/>
    <x v="5"/>
    <s v="C:\Users\andre\Desktop\REACTIV CEFAS\Cefuroxime\Cefuroxime/20201126_Cefas_Test7_Run3/Plate 1/@5/E5_03.tif "/>
    <s v=" 43259.7893 "/>
    <s v=" 35.251 "/>
    <x v="0"/>
    <n v="1524951"/>
    <m/>
    <m/>
  </r>
  <r>
    <x v="9"/>
    <x v="6"/>
    <s v="C:\Users\andre\Desktop\REACTIV CEFAS\Cefuroxime\Cefuroxime/20201126_Cefas_Test7_Run3/Plate 1/@5/F5_01- exclu.tif"/>
    <m/>
    <m/>
    <x v="1"/>
    <m/>
    <m/>
    <m/>
  </r>
  <r>
    <x v="9"/>
    <x v="6"/>
    <s v="C:\Users\andre\Desktop\REACTIV CEFAS\Cefuroxime\Cefuroxime/20201126_Cefas_Test7_Run3/Plate 1/@5/F5_02- exclu.tif"/>
    <m/>
    <m/>
    <x v="1"/>
    <m/>
    <m/>
    <m/>
  </r>
  <r>
    <x v="9"/>
    <x v="6"/>
    <s v="C:\Users\andre\Desktop\REACTIV CEFAS\Cefuroxime\Cefuroxime/20201126_Cefas_Test7_Run3/Plate 1/@5/F5_03- exclu.tif"/>
    <m/>
    <m/>
    <x v="1"/>
    <m/>
    <m/>
    <m/>
  </r>
  <r>
    <x v="9"/>
    <x v="7"/>
    <s v="C:\Users\andre\Desktop\REACTIV CEFAS\Cefuroxime\Cefuroxime/20201126_Cefas_Test7_Run3/Plate 1/@5/G5_01.tif "/>
    <s v=" 65754.8797 "/>
    <s v=" 40.9628 "/>
    <x v="0"/>
    <n v="2693506"/>
    <m/>
    <m/>
  </r>
  <r>
    <x v="9"/>
    <x v="7"/>
    <s v="C:\Users\andre\Desktop\REACTIV CEFAS\Cefuroxime\Cefuroxime/20201126_Cefas_Test7_Run3/Plate 1/@5/G5_02.tif "/>
    <s v=" 70059.2287 "/>
    <s v=" 42.9568 "/>
    <x v="0"/>
    <n v="3009519"/>
    <m/>
    <m/>
  </r>
  <r>
    <x v="9"/>
    <x v="7"/>
    <s v="C:\Users\andre\Desktop\REACTIV CEFAS\Cefuroxime\Cefuroxime/20201126_Cefas_Test7_Run3/Plate 1/@5/G5_03.tif "/>
    <s v=" 66209.1075 "/>
    <s v=" 44.8295 "/>
    <x v="0"/>
    <n v="2968119"/>
    <m/>
    <m/>
  </r>
  <r>
    <x v="9"/>
    <x v="8"/>
    <s v="C:\Users\andre\Desktop\REACTIV CEFAS\Cefuroxime\Cefuroxime/20201126_Cefas_Test7_Run3/Plate 1/@5/H5_01.tif "/>
    <s v=" 38133.5042 "/>
    <s v=" 35.9433 "/>
    <x v="0"/>
    <n v="1370643"/>
    <m/>
    <m/>
  </r>
  <r>
    <x v="9"/>
    <x v="8"/>
    <s v="C:\Users\andre\Desktop\REACTIV CEFAS\Cefuroxime\Cefuroxime/20201126_Cefas_Test7_Run3/Plate 1/@5/H5_02.tif "/>
    <s v=" 20375.3607 "/>
    <s v=" 32.5382 "/>
    <x v="0"/>
    <n v="662978"/>
    <m/>
    <m/>
  </r>
  <r>
    <x v="9"/>
    <x v="8"/>
    <s v="C:\Users\andre\Desktop\REACTIV CEFAS\Cefuroxime\Cefuroxime/20201126_Cefas_Test7_Run3/Plate 1/@5/H5_03.tif "/>
    <s v=" 36121.924 "/>
    <s v=" 35.2275 "/>
    <x v="0"/>
    <n v="1272487"/>
    <m/>
    <m/>
  </r>
  <r>
    <x v="0"/>
    <x v="0"/>
    <s v=" "/>
    <m/>
    <m/>
    <x v="1"/>
    <m/>
    <m/>
    <m/>
  </r>
  <r>
    <x v="0"/>
    <x v="0"/>
    <s v="group "/>
    <s v=" "/>
    <s v=" mean of mean fluo "/>
    <x v="2"/>
    <s v=" mean of total fluo "/>
    <s v=" SD total fluo "/>
    <m/>
  </r>
  <r>
    <x v="9"/>
    <x v="9"/>
    <s v="C:\Users\andre\Desktop\REACTIV CEFAS\Cefuroxime\Cefuroxime/20201126_Cefas_Test7_Run3/Plate 1/@5/ "/>
    <s v=" "/>
    <s v=" 38.5258 "/>
    <x v="11"/>
    <s v=" 1812734.79 "/>
    <s v=" 803041.215 "/>
    <m/>
  </r>
  <r>
    <x v="0"/>
    <x v="0"/>
    <s v=" "/>
    <m/>
    <m/>
    <x v="1"/>
    <m/>
    <m/>
    <m/>
  </r>
  <r>
    <x v="0"/>
    <x v="0"/>
    <s v=" "/>
    <m/>
    <m/>
    <x v="1"/>
    <m/>
    <m/>
    <m/>
  </r>
  <r>
    <x v="0"/>
    <x v="0"/>
    <s v=" "/>
    <m/>
    <m/>
    <x v="1"/>
    <m/>
    <m/>
    <m/>
  </r>
  <r>
    <x v="0"/>
    <x v="0"/>
    <s v=" "/>
    <m/>
    <m/>
    <x v="1"/>
    <m/>
    <m/>
    <m/>
  </r>
  <r>
    <x v="0"/>
    <x v="0"/>
    <s v=" "/>
    <m/>
    <m/>
    <x v="1"/>
    <m/>
    <m/>
    <m/>
  </r>
  <r>
    <x v="0"/>
    <x v="0"/>
    <s v="file name "/>
    <s v=" total area "/>
    <s v=" mean intensity "/>
    <x v="0"/>
    <s v=" total fluorescence"/>
    <m/>
    <m/>
  </r>
  <r>
    <x v="10"/>
    <x v="1"/>
    <s v="C:\Users\andre\Desktop\REACTIV CEFAS\Cefuroxime\Cefuroxime/20201126_Cefas_Test7_Run3/Plate 1/@6/A6_01.tif "/>
    <s v=" 69821.2999 "/>
    <s v=" 49.9077 "/>
    <x v="0"/>
    <n v="3484619"/>
    <m/>
    <m/>
  </r>
  <r>
    <x v="10"/>
    <x v="1"/>
    <s v="C:\Users\andre\Desktop\REACTIV CEFAS\Cefuroxime\Cefuroxime/20201126_Cefas_Test7_Run3/Plate 1/@6/A6_02.tif "/>
    <s v=" 77110.5744 "/>
    <s v=" 52.3593 "/>
    <x v="0"/>
    <n v="4037458"/>
    <m/>
    <m/>
  </r>
  <r>
    <x v="10"/>
    <x v="1"/>
    <s v="C:\Users\andre\Desktop\REACTIV CEFAS\Cefuroxime\Cefuroxime/20201126_Cefas_Test7_Run3/Plate 1/@6/A6_03.tif "/>
    <s v=" 76310.2683 "/>
    <s v=" 48.3489 "/>
    <x v="0"/>
    <n v="3689519"/>
    <m/>
    <m/>
  </r>
  <r>
    <x v="10"/>
    <x v="2"/>
    <s v="C:\Users\andre\Desktop\REACTIV CEFAS\Cefuroxime\Cefuroxime/20201126_Cefas_Test7_Run3/Plate 1/@6/B6_01.tif "/>
    <s v=" 46006.7859 "/>
    <s v=" 47.0851 "/>
    <x v="0"/>
    <n v="2166234"/>
    <m/>
    <m/>
  </r>
  <r>
    <x v="10"/>
    <x v="2"/>
    <s v="C:\Users\andre\Desktop\REACTIV CEFAS\Cefuroxime\Cefuroxime/20201126_Cefas_Test7_Run3/Plate 1/@6/B6_02.tif "/>
    <s v=" 44817.1417 "/>
    <s v=" 45.4001 "/>
    <x v="0"/>
    <n v="2034703"/>
    <m/>
    <m/>
  </r>
  <r>
    <x v="10"/>
    <x v="2"/>
    <s v="C:\Users\andre\Desktop\REACTIV CEFAS\Cefuroxime\Cefuroxime/20201126_Cefas_Test7_Run3/Plate 1/@6/B6_03- exclu.tif"/>
    <m/>
    <m/>
    <x v="1"/>
    <m/>
    <m/>
    <m/>
  </r>
  <r>
    <x v="10"/>
    <x v="3"/>
    <s v="C:\Users\andre\Desktop\REACTIV CEFAS\Cefuroxime\Cefuroxime/20201126_Cefas_Test7_Run3/Plate 1/@6/C6_01.tif "/>
    <s v=" 54983.1921 "/>
    <s v=" 42.786 "/>
    <x v="0"/>
    <n v="2352511"/>
    <m/>
    <m/>
  </r>
  <r>
    <x v="10"/>
    <x v="3"/>
    <s v="C:\Users\andre\Desktop\REACTIV CEFAS\Cefuroxime\Cefuroxime/20201126_Cefas_Test7_Run3/Plate 1/@6/C6_02.tif "/>
    <s v=" 59309.1711 "/>
    <s v=" 41.6251 "/>
    <x v="0"/>
    <n v="2468750"/>
    <m/>
    <m/>
  </r>
  <r>
    <x v="10"/>
    <x v="3"/>
    <s v="C:\Users\andre\Desktop\REACTIV CEFAS\Cefuroxime\Cefuroxime/20201126_Cefas_Test7_Run3/Plate 1/@6/C6_03.tif "/>
    <s v=" 57470.63 "/>
    <s v=" 39.851 "/>
    <x v="0"/>
    <n v="2290260"/>
    <m/>
    <m/>
  </r>
  <r>
    <x v="10"/>
    <x v="4"/>
    <s v="C:\Users\andre\Desktop\REACTIV CEFAS\Cefuroxime\Cefuroxime/20201126_Cefas_Test7_Run3/Plate 1/@6/D6_01- exclu.tif"/>
    <m/>
    <m/>
    <x v="1"/>
    <m/>
    <m/>
    <m/>
  </r>
  <r>
    <x v="10"/>
    <x v="4"/>
    <s v="C:\Users\andre\Desktop\REACTIV CEFAS\Cefuroxime\Cefuroxime/20201126_Cefas_Test7_Run3/Plate 1/@6/D6_02- exclu.tif"/>
    <m/>
    <m/>
    <x v="1"/>
    <m/>
    <m/>
    <m/>
  </r>
  <r>
    <x v="10"/>
    <x v="4"/>
    <s v="C:\Users\andre\Desktop\REACTIV CEFAS\Cefuroxime\Cefuroxime/20201126_Cefas_Test7_Run3/Plate 1/@6/D6_03- exclu.tif"/>
    <m/>
    <m/>
    <x v="1"/>
    <m/>
    <m/>
    <m/>
  </r>
  <r>
    <x v="10"/>
    <x v="5"/>
    <s v="C:\Users\andre\Desktop\REACTIV CEFAS\Cefuroxime\Cefuroxime/20201126_Cefas_Test7_Run3/Plate 1/@6/E6_01.tif "/>
    <s v=" 73649.7912 "/>
    <s v=" 58.4235 "/>
    <x v="0"/>
    <n v="4302878"/>
    <m/>
    <m/>
  </r>
  <r>
    <x v="10"/>
    <x v="5"/>
    <s v="C:\Users\andre\Desktop\REACTIV CEFAS\Cefuroxime\Cefuroxime/20201126_Cefas_Test7_Run3/Plate 1/@6/E6_02.tif "/>
    <s v=" 70189.0081 "/>
    <s v=" 54.1584 "/>
    <x v="0"/>
    <n v="3801324"/>
    <m/>
    <m/>
  </r>
  <r>
    <x v="10"/>
    <x v="5"/>
    <s v="C:\Users\andre\Desktop\REACTIV CEFAS\Cefuroxime\Cefuroxime/20201126_Cefas_Test7_Run3/Plate 1/@6/E6_03.tif "/>
    <s v=" 74774.5457 "/>
    <s v=" 59.8522 "/>
    <x v="0"/>
    <n v="4475420"/>
    <m/>
    <m/>
  </r>
  <r>
    <x v="10"/>
    <x v="6"/>
    <s v="C:\Users\andre\Desktop\REACTIV CEFAS\Cefuroxime\Cefuroxime/20201126_Cefas_Test7_Run3/Plate 1/@6/F6_01.tif "/>
    <s v=" 68480.2464 "/>
    <s v=" 49.7145 "/>
    <x v="0"/>
    <n v="3404459"/>
    <m/>
    <m/>
  </r>
  <r>
    <x v="10"/>
    <x v="6"/>
    <s v="C:\Users\andre\Desktop\REACTIV CEFAS\Cefuroxime\Cefuroxime/20201126_Cefas_Test7_Run3/Plate 1/@6/F6_02.tif "/>
    <s v=" 66036.0683 "/>
    <s v=" 48.4425 "/>
    <x v="0"/>
    <n v="3198953"/>
    <m/>
    <m/>
  </r>
  <r>
    <x v="10"/>
    <x v="6"/>
    <s v="C:\Users\andre\Desktop\REACTIV CEFAS\Cefuroxime\Cefuroxime/20201126_Cefas_Test7_Run3/Plate 1/@6/F6_03.tif "/>
    <s v=" 70599.9761 "/>
    <s v=" 47.8643 "/>
    <x v="0"/>
    <n v="3379217"/>
    <m/>
    <m/>
  </r>
  <r>
    <x v="10"/>
    <x v="7"/>
    <s v="C:\Users\andre\Desktop\REACTIV CEFAS\Cefuroxime\Cefuroxime/20201126_Cefas_Test7_Run3/Plate 1/@6/G6_01.tif "/>
    <s v=" 68220.6877 "/>
    <s v=" 43.8494 "/>
    <x v="0"/>
    <n v="2991436"/>
    <m/>
    <m/>
  </r>
  <r>
    <x v="10"/>
    <x v="7"/>
    <s v="C:\Users\andre\Desktop\REACTIV CEFAS\Cefuroxime\Cefuroxime/20201126_Cefas_Test7_Run3/Plate 1/@6/G6_02.tif "/>
    <s v=" 69972.7091 "/>
    <s v=" 42.3066 "/>
    <x v="0"/>
    <n v="2960311"/>
    <m/>
    <m/>
  </r>
  <r>
    <x v="10"/>
    <x v="7"/>
    <s v="C:\Users\andre\Desktop\REACTIV CEFAS\Cefuroxime\Cefuroxime/20201126_Cefas_Test7_Run3/Plate 1/@6/G6_03.tif "/>
    <s v=" 70535.0864 "/>
    <s v=" 46.1178 "/>
    <x v="0"/>
    <n v="3252920"/>
    <m/>
    <m/>
  </r>
  <r>
    <x v="10"/>
    <x v="8"/>
    <s v="C:\Users\andre\Desktop\REACTIV CEFAS\Cefuroxime\Cefuroxime/20201126_Cefas_Test7_Run3/Plate 1/@6/H6_01.tif "/>
    <s v=" 64846.4241 "/>
    <s v=" 47.9283 "/>
    <x v="0"/>
    <n v="3107978"/>
    <m/>
    <m/>
  </r>
  <r>
    <x v="10"/>
    <x v="8"/>
    <s v="C:\Users\andre\Desktop\REACTIV CEFAS\Cefuroxime\Cefuroxime/20201126_Cefas_Test7_Run3/Plate 1/@6/H6_02.tif "/>
    <s v=" 66468.6662 "/>
    <s v=" 45.6154 "/>
    <x v="0"/>
    <n v="3031992"/>
    <m/>
    <m/>
  </r>
  <r>
    <x v="10"/>
    <x v="8"/>
    <s v="C:\Users\andre\Desktop\REACTIV CEFAS\Cefuroxime\Cefuroxime/20201126_Cefas_Test7_Run3/Plate 1/@6/H6_03.tif "/>
    <s v=" 68934.4742 "/>
    <s v=" 46.4016 "/>
    <x v="0"/>
    <n v="3198672"/>
    <m/>
    <m/>
  </r>
  <r>
    <x v="0"/>
    <x v="0"/>
    <s v=" "/>
    <m/>
    <m/>
    <x v="1"/>
    <m/>
    <m/>
    <m/>
  </r>
  <r>
    <x v="0"/>
    <x v="0"/>
    <s v="group "/>
    <s v=" "/>
    <s v=" mean of mean fluo "/>
    <x v="2"/>
    <s v=" mean of total fluo "/>
    <s v=" SD total fluo "/>
    <m/>
  </r>
  <r>
    <x v="10"/>
    <x v="9"/>
    <s v="C:\Users\andre\Desktop\REACTIV CEFAS\Cefuroxime\Cefuroxime/20201126_Cefas_Test7_Run3/Plate 1/@6/ "/>
    <s v=" "/>
    <s v=" 46.8341 "/>
    <x v="12"/>
    <s v=" 2857430.83 "/>
    <s v=" 969025.573 "/>
    <m/>
  </r>
  <r>
    <x v="0"/>
    <x v="0"/>
    <s v=" "/>
    <m/>
    <m/>
    <x v="1"/>
    <m/>
    <m/>
    <m/>
  </r>
  <r>
    <x v="0"/>
    <x v="0"/>
    <s v=" "/>
    <m/>
    <m/>
    <x v="1"/>
    <m/>
    <m/>
    <m/>
  </r>
  <r>
    <x v="0"/>
    <x v="0"/>
    <s v=" "/>
    <m/>
    <m/>
    <x v="1"/>
    <m/>
    <m/>
    <m/>
  </r>
  <r>
    <x v="0"/>
    <x v="0"/>
    <s v=" "/>
    <m/>
    <m/>
    <x v="1"/>
    <m/>
    <m/>
    <m/>
  </r>
  <r>
    <x v="0"/>
    <x v="0"/>
    <s v=" "/>
    <m/>
    <m/>
    <x v="1"/>
    <m/>
    <m/>
    <m/>
  </r>
  <r>
    <x v="0"/>
    <x v="0"/>
    <s v="file name "/>
    <s v=" total area "/>
    <s v=" mean intensity "/>
    <x v="0"/>
    <s v=" total fluorescence"/>
    <m/>
    <m/>
  </r>
  <r>
    <x v="11"/>
    <x v="1"/>
    <s v="C:\Users\andre\Desktop\REACTIV CEFAS\Cefuroxime\Cefuroxime/20201126_Cefas_Test7_Run3/Plate 1/@7/A7_01.tif "/>
    <s v=" 62099.4275 "/>
    <s v=" 41.3107 "/>
    <x v="0"/>
    <n v="2565370"/>
    <m/>
    <m/>
  </r>
  <r>
    <x v="11"/>
    <x v="1"/>
    <s v="C:\Users\andre\Desktop\REACTIV CEFAS\Cefuroxime\Cefuroxime/20201126_Cefas_Test7_Run3/Plate 1/@7/A7_02.tif "/>
    <s v=" 64500.3458 "/>
    <s v=" 46.061 "/>
    <x v="0"/>
    <n v="2970953"/>
    <m/>
    <m/>
  </r>
  <r>
    <x v="11"/>
    <x v="1"/>
    <s v="C:\Users\andre\Desktop\REACTIV CEFAS\Cefuroxime\Cefuroxime/20201126_Cefas_Test7_Run3/Plate 1/@7/A7_03.tif "/>
    <s v=" 65754.8797 "/>
    <s v=" 42.3003 "/>
    <x v="0"/>
    <n v="2781453"/>
    <m/>
    <m/>
  </r>
  <r>
    <x v="11"/>
    <x v="2"/>
    <s v="C:\Users\andre\Desktop\REACTIV CEFAS\Cefuroxime\Cefuroxime/20201126_Cefas_Test7_Run3/Plate 1/@7/B7_01.tif "/>
    <s v=" 48840.3021 "/>
    <s v=" 42.8902 "/>
    <x v="0"/>
    <n v="2094769"/>
    <m/>
    <m/>
  </r>
  <r>
    <x v="11"/>
    <x v="2"/>
    <s v="C:\Users\andre\Desktop\REACTIV CEFAS\Cefuroxime\Cefuroxime/20201126_Cefas_Test7_Run3/Plate 1/@7/B7_02.tif "/>
    <s v=" 46050.0457 "/>
    <s v=" 43.178 "/>
    <x v="0"/>
    <n v="1988350"/>
    <m/>
    <m/>
  </r>
  <r>
    <x v="11"/>
    <x v="2"/>
    <s v="C:\Users\andre\Desktop\REACTIV CEFAS\Cefuroxime\Cefuroxime/20201126_Cefas_Test7_Run3/Plate 1/@7/B7_03.tif "/>
    <s v=" 46720.5724 "/>
    <s v=" 43.8616 "/>
    <x v="0"/>
    <n v="2049238"/>
    <m/>
    <m/>
  </r>
  <r>
    <x v="11"/>
    <x v="3"/>
    <s v="C:\Users\andre\Desktop\REACTIV CEFAS\Cefuroxime\Cefuroxime/20201126_Cefas_Test7_Run3/Plate 1/@7/C7_01.tif "/>
    <s v=" 74255.4283 "/>
    <s v=" 57.5453 "/>
    <x v="0"/>
    <n v="4273051"/>
    <m/>
    <m/>
  </r>
  <r>
    <x v="11"/>
    <x v="3"/>
    <s v="C:\Users\andre\Desktop\REACTIV CEFAS\Cefuroxime\Cefuroxime/20201126_Cefas_Test7_Run3/Plate 1/@7/C7_02.tif "/>
    <s v=" 87406.4042 "/>
    <s v=" 55.3779 "/>
    <x v="0"/>
    <n v="4840381"/>
    <m/>
    <m/>
  </r>
  <r>
    <x v="11"/>
    <x v="3"/>
    <s v="C:\Users\andre\Desktop\REACTIV CEFAS\Cefuroxime\Cefuroxime/20201126_Cefas_Test7_Run3/Plate 1/@7/C7_03.tif "/>
    <s v=" 83210.2046 "/>
    <s v=" 53.908 "/>
    <x v="0"/>
    <n v="4485694"/>
    <m/>
    <m/>
  </r>
  <r>
    <x v="11"/>
    <x v="4"/>
    <s v="C:\Users\andre\Desktop\REACTIV CEFAS\Cefuroxime\Cefuroxime/20201126_Cefas_Test7_Run3/Plate 1/@7/D7_01.tif "/>
    <s v=" 73520.0118 "/>
    <s v=" 49.4219 "/>
    <x v="0"/>
    <n v="3633498"/>
    <m/>
    <m/>
  </r>
  <r>
    <x v="11"/>
    <x v="4"/>
    <s v="C:\Users\andre\Desktop\REACTIV CEFAS\Cefuroxime\Cefuroxime/20201126_Cefas_Test7_Run3/Plate 1/@7/D7_02.tif "/>
    <s v=" 72719.7057 "/>
    <s v=" 46.6074 "/>
    <x v="0"/>
    <n v="3389275"/>
    <m/>
    <m/>
  </r>
  <r>
    <x v="11"/>
    <x v="4"/>
    <s v="C:\Users\andre\Desktop\REACTIV CEFAS\Cefuroxime\Cefuroxime/20201126_Cefas_Test7_Run3/Plate 1/@7/D7_03.tif "/>
    <s v=" 75596.4817 "/>
    <s v=" 52.1096 "/>
    <x v="0"/>
    <n v="3939301"/>
    <m/>
    <m/>
  </r>
  <r>
    <x v="11"/>
    <x v="5"/>
    <s v="C:\Users\andre\Desktop\REACTIV CEFAS\Cefuroxime\Cefuroxime/20201126_Cefas_Test7_Run3/Plate 1/@7/E7_01.tif "/>
    <s v=" 84140.2901 "/>
    <s v=" 57.4319 "/>
    <x v="0"/>
    <n v="4832335"/>
    <m/>
    <m/>
  </r>
  <r>
    <x v="11"/>
    <x v="5"/>
    <s v="C:\Users\andre\Desktop\REACTIV CEFAS\Cefuroxime\Cefuroxime/20201126_Cefas_Test7_Run3/Plate 1/@7/E7_02.tif "/>
    <s v=" 83015.5356 "/>
    <s v=" 56.7134 "/>
    <x v="0"/>
    <n v="4708093"/>
    <m/>
    <m/>
  </r>
  <r>
    <x v="11"/>
    <x v="5"/>
    <s v="C:\Users\andre\Desktop\REACTIV CEFAS\Cefuroxime\Cefuroxime/20201126_Cefas_Test7_Run3/Plate 1/@7/E7_03.tif "/>
    <s v=" 87882.2619 "/>
    <s v=" 59.8996 "/>
    <x v="0"/>
    <n v="5264111"/>
    <m/>
    <m/>
  </r>
  <r>
    <x v="11"/>
    <x v="6"/>
    <s v="C:\Users\andre\Desktop\REACTIV CEFAS\Cefuroxime\Cefuroxime/20201126_Cefas_Test7_Run3/Plate 1/@7/F7_01.tif "/>
    <s v=" 83404.8737 "/>
    <s v=" 53.347 "/>
    <x v="0"/>
    <n v="4449399"/>
    <m/>
    <m/>
  </r>
  <r>
    <x v="11"/>
    <x v="6"/>
    <s v="C:\Users\andre\Desktop\REACTIV CEFAS\Cefuroxime\Cefuroxime/20201126_Cefas_Test7_Run3/Plate 1/@7/F7_02.tif "/>
    <s v=" 81241.8842 "/>
    <s v=" 50.2865 "/>
    <x v="0"/>
    <n v="4085368"/>
    <m/>
    <m/>
  </r>
  <r>
    <x v="11"/>
    <x v="6"/>
    <s v="C:\Users\andre\Desktop\REACTIV CEFAS\Cefuroxime\Cefuroxime/20201126_Cefas_Test7_Run3/Plate 1/@7/F7_03.tif "/>
    <s v=" 82171.9697 "/>
    <s v=" 49.3088 "/>
    <x v="0"/>
    <n v="4051798"/>
    <m/>
    <m/>
  </r>
  <r>
    <x v="11"/>
    <x v="7"/>
    <s v="C:\Users\andre\Desktop\REACTIV CEFAS\Cefuroxime\Cefuroxime/20201126_Cefas_Test7_Run3/Plate 1/@7/G7_01.tif "/>
    <s v=" 63851.4489 "/>
    <s v=" 49.8333 "/>
    <x v="0"/>
    <n v="3181931"/>
    <m/>
    <m/>
  </r>
  <r>
    <x v="11"/>
    <x v="7"/>
    <s v="C:\Users\andre\Desktop\REACTIV CEFAS\Cefuroxime\Cefuroxime/20201126_Cefas_Test7_Run3/Plate 1/@7/G7_02.tif "/>
    <s v=" 66987.7837 "/>
    <s v=" 53.6619 "/>
    <x v="0"/>
    <n v="3594694"/>
    <m/>
    <m/>
  </r>
  <r>
    <x v="11"/>
    <x v="7"/>
    <s v="C:\Users\andre\Desktop\REACTIV CEFAS\Cefuroxime\Cefuroxime/20201126_Cefas_Test7_Run3/Plate 1/@7/G7_03.tif "/>
    <s v=" 69194.0329 "/>
    <s v=" 51.3142 "/>
    <x v="0"/>
    <n v="3550634"/>
    <m/>
    <m/>
  </r>
  <r>
    <x v="11"/>
    <x v="8"/>
    <s v="C:\Users\andre\Desktop\REACTIV CEFAS\Cefuroxime\Cefuroxime/20201126_Cefas_Test7_Run3/Plate 1/@7/H7_01.tif "/>
    <s v=" 70902.7946 "/>
    <s v=" 42.6098 "/>
    <x v="0"/>
    <n v="3021156"/>
    <m/>
    <m/>
  </r>
  <r>
    <x v="11"/>
    <x v="8"/>
    <s v="C:\Users\andre\Desktop\REACTIV CEFAS\Cefuroxime\Cefuroxime/20201126_Cefas_Test7_Run3/Plate 1/@7/H7_02.tif "/>
    <s v=" 67982.7588 "/>
    <s v=" 43.7283 "/>
    <x v="0"/>
    <n v="2972769"/>
    <m/>
    <m/>
  </r>
  <r>
    <x v="11"/>
    <x v="8"/>
    <s v="C:\Users\andre\Desktop\REACTIV CEFAS\Cefuroxime\Cefuroxime/20201126_Cefas_Test7_Run3/Plate 1/@7/H7_03.tif "/>
    <s v=" 70859.5348 "/>
    <s v=" 43.1087 "/>
    <x v="0"/>
    <n v="3054660"/>
    <m/>
    <m/>
  </r>
  <r>
    <x v="0"/>
    <x v="0"/>
    <s v=" "/>
    <m/>
    <m/>
    <x v="1"/>
    <m/>
    <m/>
    <m/>
  </r>
  <r>
    <x v="0"/>
    <x v="0"/>
    <s v="group "/>
    <s v=" "/>
    <s v=" mean of mean fluo "/>
    <x v="2"/>
    <s v=" mean of total fluo "/>
    <s v=" SD total fluo "/>
    <m/>
  </r>
  <r>
    <x v="11"/>
    <x v="9"/>
    <s v="C:\Users\andre\Desktop\REACTIV CEFAS\Cefuroxime\Cefuroxime/20201126_Cefas_Test7_Run3/Plate 1/@7/ "/>
    <s v=" "/>
    <s v=" 49.409 "/>
    <x v="13"/>
    <s v=" 3574095.04 "/>
    <s v=" 937267.295 "/>
    <m/>
  </r>
  <r>
    <x v="0"/>
    <x v="0"/>
    <s v=" "/>
    <m/>
    <m/>
    <x v="1"/>
    <m/>
    <m/>
    <m/>
  </r>
  <r>
    <x v="0"/>
    <x v="0"/>
    <s v=" "/>
    <m/>
    <m/>
    <x v="1"/>
    <m/>
    <m/>
    <m/>
  </r>
  <r>
    <x v="0"/>
    <x v="0"/>
    <s v=" "/>
    <m/>
    <m/>
    <x v="1"/>
    <m/>
    <m/>
    <m/>
  </r>
  <r>
    <x v="0"/>
    <x v="0"/>
    <s v=" "/>
    <m/>
    <m/>
    <x v="1"/>
    <m/>
    <m/>
    <m/>
  </r>
  <r>
    <x v="0"/>
    <x v="0"/>
    <s v=" "/>
    <m/>
    <m/>
    <x v="1"/>
    <m/>
    <m/>
    <m/>
  </r>
  <r>
    <x v="0"/>
    <x v="0"/>
    <s v="file name "/>
    <s v=" total area "/>
    <s v=" mean intensity "/>
    <x v="0"/>
    <s v=" total fluorescence"/>
    <m/>
    <m/>
  </r>
  <r>
    <x v="12"/>
    <x v="1"/>
    <s v="C:\Users\andre\Desktop\REACTIV CEFAS\Cefuroxime\Cefuroxime/20201126_Cefas_Test7_Run3/Plate 4/@10/A4_01.tif "/>
    <s v=" 6445.7086 "/>
    <s v=" 37.4161 "/>
    <x v="0"/>
    <n v="241173"/>
    <m/>
    <m/>
  </r>
  <r>
    <x v="12"/>
    <x v="1"/>
    <s v="C:\Users\andre\Desktop\REACTIV CEFAS\Cefuroxime\Cefuroxime/20201126_Cefas_Test7_Run3/Plate 4/@10/A4_02.tif "/>
    <s v=" 2595.5874 "/>
    <s v=" 35.9 "/>
    <x v="0"/>
    <n v="93182"/>
    <m/>
    <m/>
  </r>
  <r>
    <x v="12"/>
    <x v="1"/>
    <s v="C:\Users\andre\Desktop\REACTIV CEFAS\Cefuroxime\Cefuroxime/20201126_Cefas_Test7_Run3/Plate 4/@10/A4_03.tif "/>
    <s v=" 7613.7229 "/>
    <s v=" 37.733 "/>
    <x v="0"/>
    <n v="287288"/>
    <m/>
    <m/>
  </r>
  <r>
    <x v="12"/>
    <x v="2"/>
    <s v="C:\Users\andre\Desktop\REACTIV CEFAS\Cefuroxime\Cefuroxime/20201126_Cefas_Test7_Run3/Plate 4/@10/B4_01.tif "/>
    <n v="0"/>
    <n v="0"/>
    <x v="0"/>
    <n v="0"/>
    <m/>
    <m/>
  </r>
  <r>
    <x v="12"/>
    <x v="2"/>
    <s v="C:\Users\andre\Desktop\REACTIV CEFAS\Cefuroxime\Cefuroxime/20201126_Cefas_Test7_Run3/Plate 4/@10/B4_02.tif "/>
    <s v=" 3460.7831 "/>
    <s v=" 33.9375 "/>
    <x v="0"/>
    <n v="117450"/>
    <m/>
    <m/>
  </r>
  <r>
    <x v="12"/>
    <x v="2"/>
    <s v="C:\Users\andre\Desktop\REACTIV CEFAS\Cefuroxime\Cefuroxime/20201126_Cefas_Test7_Run3/Plate 4/@10/B4_03- exclu.tif"/>
    <m/>
    <m/>
    <x v="1"/>
    <m/>
    <m/>
    <m/>
  </r>
  <r>
    <x v="12"/>
    <x v="3"/>
    <s v="C:\Users\andre\Desktop\REACTIV CEFAS\Cefuroxime\Cefuroxime/20201126_Cefas_Test7_Run3/Plate 4/@10/C4_01.tif "/>
    <s v=" 6943.1962 "/>
    <s v=" 41.3302 "/>
    <x v="0"/>
    <n v="286964"/>
    <m/>
    <m/>
  </r>
  <r>
    <x v="12"/>
    <x v="3"/>
    <s v="C:\Users\andre\Desktop\REACTIV CEFAS\Cefuroxime\Cefuroxime/20201126_Cefas_Test7_Run3/Plate 4/@10/C4_02- exclu.tif"/>
    <m/>
    <m/>
    <x v="1"/>
    <m/>
    <m/>
    <m/>
  </r>
  <r>
    <x v="12"/>
    <x v="3"/>
    <s v="C:\Users\andre\Desktop\REACTIV CEFAS\Cefuroxime\Cefuroxime/20201126_Cefas_Test7_Run3/Plate 4/@10/C4_03- exclu.tif"/>
    <m/>
    <m/>
    <x v="1"/>
    <m/>
    <m/>
    <m/>
  </r>
  <r>
    <x v="12"/>
    <x v="4"/>
    <s v="C:\Users\andre\Desktop\REACTIV CEFAS\Cefuroxime\Cefuroxime/20201126_Cefas_Test7_Run3/Plate 4/@10/D4_01.tif "/>
    <s v=" 13518.6841 "/>
    <s v=" 39.0368 "/>
    <x v="0"/>
    <n v="527726"/>
    <m/>
    <m/>
  </r>
  <r>
    <x v="12"/>
    <x v="4"/>
    <s v="C:\Users\andre\Desktop\REACTIV CEFAS\Cefuroxime\Cefuroxime/20201126_Cefas_Test7_Run3/Plate 4/@10/D4_02.tif "/>
    <s v=" 10490.4989 "/>
    <s v=" 40.5753 "/>
    <x v="0"/>
    <n v="425655"/>
    <m/>
    <m/>
  </r>
  <r>
    <x v="12"/>
    <x v="4"/>
    <s v="C:\Users\andre\Desktop\REACTIV CEFAS\Cefuroxime\Cefuroxime/20201126_Cefas_Test7_Run3/Plate 4/@10/D4_03.tif "/>
    <s v=" 10122.7907 "/>
    <s v=" 39.5085 "/>
    <x v="0"/>
    <n v="399937"/>
    <m/>
    <m/>
  </r>
  <r>
    <x v="12"/>
    <x v="5"/>
    <s v="C:\Users\andre\Desktop\REACTIV CEFAS\Cefuroxime\Cefuroxime/20201126_Cefas_Test7_Run3/Plate 4/@10/E4_01.tif "/>
    <s v=" 692.1566 "/>
    <s v=" 32.8438 "/>
    <x v="0"/>
    <n v="22733"/>
    <m/>
    <m/>
  </r>
  <r>
    <x v="12"/>
    <x v="5"/>
    <s v="C:\Users\andre\Desktop\REACTIV CEFAS\Cefuroxime\Cefuroxime/20201126_Cefas_Test7_Run3/Plate 4/@10/E4_02.tif "/>
    <s v=" 302.8185 "/>
    <s v=" 31.8571 "/>
    <x v="0"/>
    <n v="9647"/>
    <m/>
    <m/>
  </r>
  <r>
    <x v="12"/>
    <x v="5"/>
    <s v="C:\Users\andre\Desktop\REACTIV CEFAS\Cefuroxime\Cefuroxime/20201126_Cefas_Test7_Run3/Plate 4/@10/E4_03.tif "/>
    <s v=" 1059.8648 "/>
    <s v=" 32.9796 "/>
    <x v="0"/>
    <n v="34954"/>
    <m/>
    <m/>
  </r>
  <r>
    <x v="12"/>
    <x v="6"/>
    <s v="C:\Users\andre\Desktop\REACTIV CEFAS\Cefuroxime\Cefuroxime/20201126_Cefas_Test7_Run3/Plate 4/@10/F4_01.tif "/>
    <s v=" 4239.4593 "/>
    <s v=" 35.6378 "/>
    <x v="0"/>
    <n v="151085"/>
    <m/>
    <m/>
  </r>
  <r>
    <x v="12"/>
    <x v="6"/>
    <s v="C:\Users\andre\Desktop\REACTIV CEFAS\Cefuroxime\Cefuroxime/20201126_Cefas_Test7_Run3/Plate 4/@10/F4_02.tif "/>
    <s v=" 5429.1036 "/>
    <s v=" 35.8167 "/>
    <x v="0"/>
    <n v="194453"/>
    <m/>
    <m/>
  </r>
  <r>
    <x v="12"/>
    <x v="6"/>
    <s v="C:\Users\andre\Desktop\REACTIV CEFAS\Cefuroxime\Cefuroxime/20201126_Cefas_Test7_Run3/Plate 4/@10/F4_03.tif "/>
    <s v=" 151.4093 "/>
    <s v=" 31.4286 "/>
    <x v="0"/>
    <n v="4759"/>
    <m/>
    <m/>
  </r>
  <r>
    <x v="12"/>
    <x v="7"/>
    <s v="C:\Users\andre\Desktop\REACTIV CEFAS\Cefuroxime\Cefuroxime/20201126_Cefas_Test7_Run3/Plate 4/@10/G4_01.tif "/>
    <s v=" 11788.2926 "/>
    <s v=" 38.4862 "/>
    <x v="0"/>
    <n v="453687"/>
    <m/>
    <m/>
  </r>
  <r>
    <x v="12"/>
    <x v="7"/>
    <s v="C:\Users\andre\Desktop\REACTIV CEFAS\Cefuroxime\Cefuroxime/20201126_Cefas_Test7_Run3/Plate 4/@10/G4_02.tif "/>
    <s v=" 9603.6732 "/>
    <s v=" 38.0631 "/>
    <x v="0"/>
    <n v="365545"/>
    <m/>
    <m/>
  </r>
  <r>
    <x v="12"/>
    <x v="7"/>
    <s v="C:\Users\andre\Desktop\REACTIV CEFAS\Cefuroxime\Cefuroxime/20201126_Cefas_Test7_Run3/Plate 4/@10/G4_03.tif "/>
    <s v=" 7505.5734 "/>
    <s v=" 36.4092 "/>
    <x v="0"/>
    <n v="273272"/>
    <m/>
    <m/>
  </r>
  <r>
    <x v="12"/>
    <x v="8"/>
    <s v="C:\Users\andre\Desktop\REACTIV CEFAS\Cefuroxime\Cefuroxime/20201126_Cefas_Test7_Run3/Plate 4/@10/H4_01.tif "/>
    <s v=" 821.936 "/>
    <s v=" 31.8947 "/>
    <x v="0"/>
    <n v="26215"/>
    <m/>
    <m/>
  </r>
  <r>
    <x v="12"/>
    <x v="8"/>
    <s v="C:\Users\andre\Desktop\REACTIV CEFAS\Cefuroxime\Cefuroxime/20201126_Cefas_Test7_Run3/Plate 4/@10/H4_02.tif "/>
    <s v=" 3871.7511 "/>
    <s v=" 38.3687 "/>
    <x v="0"/>
    <n v="148554"/>
    <m/>
    <m/>
  </r>
  <r>
    <x v="12"/>
    <x v="8"/>
    <s v="C:\Users\andre\Desktop\REACTIV CEFAS\Cefuroxime\Cefuroxime/20201126_Cefas_Test7_Run3/Plate 4/@10/H4_03.tif "/>
    <s v=" 6683.6374 "/>
    <s v=" 41.1845 "/>
    <x v="0"/>
    <n v="275262"/>
    <m/>
    <m/>
  </r>
  <r>
    <x v="0"/>
    <x v="0"/>
    <s v=" "/>
    <m/>
    <m/>
    <x v="1"/>
    <m/>
    <m/>
    <m/>
  </r>
  <r>
    <x v="0"/>
    <x v="0"/>
    <s v="group "/>
    <s v=" "/>
    <s v=" mean of mean fluo "/>
    <x v="2"/>
    <s v=" mean of total fluo "/>
    <s v=" SD total fluo "/>
    <m/>
  </r>
  <r>
    <x v="12"/>
    <x v="9"/>
    <s v="C:\Users\andre\Desktop\REACTIV CEFAS\Cefuroxime\Cefuroxime/20201126_Cefas_Test7_Run3/Plate 4/@10/ "/>
    <s v=" "/>
    <s v=" 36.0314 "/>
    <x v="14"/>
    <s v=" 234961.083 "/>
    <s v=" 174863.103 "/>
    <m/>
  </r>
  <r>
    <x v="0"/>
    <x v="0"/>
    <s v=" "/>
    <m/>
    <m/>
    <x v="1"/>
    <m/>
    <m/>
    <m/>
  </r>
  <r>
    <x v="0"/>
    <x v="0"/>
    <s v=" "/>
    <m/>
    <m/>
    <x v="1"/>
    <m/>
    <m/>
    <m/>
  </r>
  <r>
    <x v="0"/>
    <x v="0"/>
    <s v=" "/>
    <m/>
    <m/>
    <x v="1"/>
    <m/>
    <m/>
    <m/>
  </r>
  <r>
    <x v="0"/>
    <x v="0"/>
    <s v=" "/>
    <m/>
    <m/>
    <x v="1"/>
    <m/>
    <m/>
    <m/>
  </r>
  <r>
    <x v="0"/>
    <x v="0"/>
    <s v=" "/>
    <m/>
    <m/>
    <x v="1"/>
    <m/>
    <m/>
    <m/>
  </r>
  <r>
    <x v="0"/>
    <x v="0"/>
    <s v="file name "/>
    <s v=" total area "/>
    <s v=" mean intensity "/>
    <x v="0"/>
    <s v=" total fluorescence"/>
    <m/>
    <m/>
  </r>
  <r>
    <x v="13"/>
    <x v="1"/>
    <s v="C:\Users\andre\Desktop\REACTIV CEFAS\Cefuroxime\Cefuroxime/20201126_Cefas_Test7_Run3/Plate 4/@11/A5_01.tif "/>
    <s v=" 5126.285 "/>
    <s v=" 36.3376 "/>
    <x v="0"/>
    <n v="186277"/>
    <m/>
    <m/>
  </r>
  <r>
    <x v="13"/>
    <x v="1"/>
    <s v="C:\Users\andre\Desktop\REACTIV CEFAS\Cefuroxime\Cefuroxime/20201126_Cefas_Test7_Run3/Plate 4/@11/A5_02.tif "/>
    <s v=" 1687.1318 "/>
    <s v=" 34.5641 "/>
    <x v="0"/>
    <n v="58314"/>
    <m/>
    <m/>
  </r>
  <r>
    <x v="13"/>
    <x v="1"/>
    <s v="C:\Users\andre\Desktop\REACTIV CEFAS\Cefuroxime\Cefuroxime/20201126_Cefas_Test7_Run3/Plate 4/@11/A5_03.tif "/>
    <s v=" 2768.6265 "/>
    <s v=" 33.2031 "/>
    <x v="0"/>
    <n v="91927"/>
    <m/>
    <m/>
  </r>
  <r>
    <x v="13"/>
    <x v="2"/>
    <s v="C:\Users\andre\Desktop\REACTIV CEFAS\Cefuroxime\Cefuroxime/20201126_Cefas_Test7_Run3/Plate 4/@11/B5_01- exclu.tif"/>
    <m/>
    <m/>
    <x v="1"/>
    <m/>
    <m/>
    <m/>
  </r>
  <r>
    <x v="13"/>
    <x v="2"/>
    <s v="C:\Users\andre\Desktop\REACTIV CEFAS\Cefuroxime\Cefuroxime/20201126_Cefas_Test7_Run3/Plate 4/@11/B5_02.tif "/>
    <s v=" 9127.8155 "/>
    <s v=" 38.1872 "/>
    <x v="0"/>
    <n v="348566"/>
    <m/>
    <m/>
  </r>
  <r>
    <x v="13"/>
    <x v="2"/>
    <s v="C:\Users\andre\Desktop\REACTIV CEFAS\Cefuroxime\Cefuroxime/20201126_Cefas_Test7_Run3/Plate 4/@11/B5_03.tif "/>
    <s v=" 10187.6804 "/>
    <s v=" 46.3418 "/>
    <x v="0"/>
    <n v="472116"/>
    <m/>
    <m/>
  </r>
  <r>
    <x v="13"/>
    <x v="3"/>
    <s v="C:\Users\andre\Desktop\REACTIV CEFAS\Cefuroxime\Cefuroxime/20201126_Cefas_Test7_Run3/Plate 4/@11/C5_01- exclu.tif"/>
    <m/>
    <m/>
    <x v="1"/>
    <m/>
    <m/>
    <m/>
  </r>
  <r>
    <x v="13"/>
    <x v="3"/>
    <s v="C:\Users\andre\Desktop\REACTIV CEFAS\Cefuroxime\Cefuroxime/20201126_Cefas_Test7_Run3/Plate 4/@11/C5_02- exclu.tif"/>
    <m/>
    <m/>
    <x v="1"/>
    <m/>
    <m/>
    <m/>
  </r>
  <r>
    <x v="13"/>
    <x v="3"/>
    <s v="C:\Users\andre\Desktop\REACTIV CEFAS\Cefuroxime\Cefuroxime/20201126_Cefas_Test7_Run3/Plate 4/@11/C5_03.tif "/>
    <s v=" 6380.8189 "/>
    <s v=" 40.4271 "/>
    <x v="0"/>
    <n v="257958"/>
    <m/>
    <m/>
  </r>
  <r>
    <x v="13"/>
    <x v="4"/>
    <s v="C:\Users\andre\Desktop\REACTIV CEFAS\Cefuroxime\Cefuroxime/20201126_Cefas_Test7_Run3/Plate 4/@11/D5_01- exclu.tif"/>
    <m/>
    <m/>
    <x v="1"/>
    <m/>
    <m/>
    <m/>
  </r>
  <r>
    <x v="13"/>
    <x v="4"/>
    <s v="C:\Users\andre\Desktop\REACTIV CEFAS\Cefuroxime\Cefuroxime/20201126_Cefas_Test7_Run3/Plate 4/@11/D5_02- exclu.tif"/>
    <m/>
    <m/>
    <x v="1"/>
    <m/>
    <m/>
    <m/>
  </r>
  <r>
    <x v="13"/>
    <x v="4"/>
    <s v="C:\Users\andre\Desktop\REACTIV CEFAS\Cefuroxime\Cefuroxime/20201126_Cefas_Test7_Run3/Plate 4/@11/D5_03- exclu.tif"/>
    <m/>
    <m/>
    <x v="1"/>
    <m/>
    <m/>
    <m/>
  </r>
  <r>
    <x v="13"/>
    <x v="5"/>
    <s v="C:\Users\andre\Desktop\REACTIV CEFAS\Cefuroxime\Cefuroxime/20201126_Cefas_Test7_Run3/Plate 4/@11/E5_01.tif "/>
    <s v=" 14427.1397 "/>
    <s v=" 46.8531 "/>
    <x v="0"/>
    <n v="675956"/>
    <m/>
    <m/>
  </r>
  <r>
    <x v="13"/>
    <x v="5"/>
    <s v="C:\Users\andre\Desktop\REACTIV CEFAS\Cefuroxime\Cefuroxime/20201126_Cefas_Test7_Run3/Plate 4/@11/E5_02- exclu.tif"/>
    <m/>
    <m/>
    <x v="1"/>
    <m/>
    <m/>
    <m/>
  </r>
  <r>
    <x v="13"/>
    <x v="5"/>
    <s v="C:\Users\andre\Desktop\REACTIV CEFAS\Cefuroxime\Cefuroxime/20201126_Cefas_Test7_Run3/Plate 4/@11/E5_03.tif "/>
    <s v=" 14816.4778 "/>
    <s v=" 47.8818 "/>
    <x v="0"/>
    <n v="709439"/>
    <m/>
    <m/>
  </r>
  <r>
    <x v="13"/>
    <x v="6"/>
    <s v="C:\Users\andre\Desktop\REACTIV CEFAS\Cefuroxime\Cefuroxime/20201126_Cefas_Test7_Run3/Plate 4/@11/F5_01.tif "/>
    <s v=" 12696.7481 "/>
    <s v=" 43.8825 "/>
    <x v="0"/>
    <n v="557164"/>
    <m/>
    <m/>
  </r>
  <r>
    <x v="13"/>
    <x v="6"/>
    <s v="C:\Users\andre\Desktop\REACTIV CEFAS\Cefuroxime\Cefuroxime/20201126_Cefas_Test7_Run3/Plate 4/@11/F5_02.tif "/>
    <s v=" 10641.9082 "/>
    <s v=" 40.5691 "/>
    <x v="0"/>
    <n v="431733"/>
    <m/>
    <m/>
  </r>
  <r>
    <x v="13"/>
    <x v="6"/>
    <s v="C:\Users\andre\Desktop\REACTIV CEFAS\Cefuroxime\Cefuroxime/20201126_Cefas_Test7_Run3/Plate 4/@11/F5_03.tif "/>
    <s v=" 13648.4635 "/>
    <s v=" 42.3027 "/>
    <x v="0"/>
    <n v="577367"/>
    <m/>
    <m/>
  </r>
  <r>
    <x v="13"/>
    <x v="7"/>
    <s v="C:\Users\andre\Desktop\REACTIV CEFAS\Cefuroxime\Cefuroxime/20201126_Cefas_Test7_Run3/Plate 4/@11/G5_01.tif "/>
    <s v=" 14708.3283 "/>
    <s v=" 45.9397 "/>
    <x v="0"/>
    <n v="675696"/>
    <m/>
    <m/>
  </r>
  <r>
    <x v="13"/>
    <x v="7"/>
    <s v="C:\Users\andre\Desktop\REACTIV CEFAS\Cefuroxime\Cefuroxime/20201126_Cefas_Test7_Run3/Plate 4/@11/G5_02.tif "/>
    <s v=" 627.2669 "/>
    <s v=" 32.931 "/>
    <x v="0"/>
    <n v="20657"/>
    <m/>
    <m/>
  </r>
  <r>
    <x v="13"/>
    <x v="7"/>
    <s v="C:\Users\andre\Desktop\REACTIV CEFAS\Cefuroxime\Cefuroxime/20201126_Cefas_Test7_Run3/Plate 4/@11/G5_03.tif "/>
    <s v=" 11442.2143 "/>
    <s v=" 44.4688 "/>
    <x v="0"/>
    <n v="508822"/>
    <m/>
    <m/>
  </r>
  <r>
    <x v="13"/>
    <x v="8"/>
    <s v="C:\Users\andre\Desktop\REACTIV CEFAS\Cefuroxime\Cefuroxime/20201126_Cefas_Test7_Run3/Plate 4/@11/H5_01.tif "/>
    <s v=" 9560.4134 "/>
    <s v=" 38.129 "/>
    <x v="0"/>
    <n v="364529"/>
    <m/>
    <m/>
  </r>
  <r>
    <x v="13"/>
    <x v="8"/>
    <s v="C:\Users\andre\Desktop\REACTIV CEFAS\Cefuroxime\Cefuroxime/20201126_Cefas_Test7_Run3/Plate 4/@11/H5_02.tif "/>
    <s v=" 10122.7907 "/>
    <s v=" 39.7051 "/>
    <x v="0"/>
    <n v="401927"/>
    <m/>
    <m/>
  </r>
  <r>
    <x v="13"/>
    <x v="8"/>
    <s v="C:\Users\andre\Desktop\REACTIV CEFAS\Cefuroxime\Cefuroxime/20201126_Cefas_Test7_Run3/Plate 4/@11/H5_03.tif "/>
    <s v=" 9949.7515 "/>
    <s v=" 40.5543 "/>
    <x v="0"/>
    <n v="403506"/>
    <m/>
    <m/>
  </r>
  <r>
    <x v="0"/>
    <x v="0"/>
    <s v=" "/>
    <m/>
    <m/>
    <x v="1"/>
    <m/>
    <m/>
    <m/>
  </r>
  <r>
    <x v="0"/>
    <x v="0"/>
    <s v="group "/>
    <s v=" "/>
    <s v=" mean of mean fluo "/>
    <x v="2"/>
    <s v=" mean of total fluo "/>
    <s v=" SD total fluo "/>
    <m/>
  </r>
  <r>
    <x v="13"/>
    <x v="9"/>
    <s v="C:\Users\andre\Desktop\REACTIV CEFAS\Cefuroxime\Cefuroxime/20201126_Cefas_Test7_Run3/Plate 4/@11/ "/>
    <s v=" "/>
    <s v=" 42.9397 "/>
    <x v="15"/>
    <s v=" 472079.792 "/>
    <s v=" 247697.929 "/>
    <m/>
  </r>
  <r>
    <x v="0"/>
    <x v="0"/>
    <s v=" "/>
    <m/>
    <m/>
    <x v="1"/>
    <m/>
    <m/>
    <m/>
  </r>
  <r>
    <x v="0"/>
    <x v="0"/>
    <s v=" "/>
    <m/>
    <m/>
    <x v="1"/>
    <m/>
    <m/>
    <m/>
  </r>
  <r>
    <x v="0"/>
    <x v="0"/>
    <s v=" "/>
    <m/>
    <m/>
    <x v="1"/>
    <m/>
    <m/>
    <m/>
  </r>
  <r>
    <x v="0"/>
    <x v="0"/>
    <s v=" "/>
    <m/>
    <m/>
    <x v="1"/>
    <m/>
    <m/>
    <m/>
  </r>
  <r>
    <x v="0"/>
    <x v="0"/>
    <s v=" "/>
    <m/>
    <m/>
    <x v="1"/>
    <m/>
    <m/>
    <m/>
  </r>
  <r>
    <x v="0"/>
    <x v="0"/>
    <s v="file name "/>
    <s v=" total area "/>
    <s v=" mean intensity "/>
    <x v="0"/>
    <s v=" total fluorescence"/>
    <m/>
    <m/>
  </r>
  <r>
    <x v="14"/>
    <x v="1"/>
    <s v="C:\Users\andre\Desktop\REACTIV CEFAS\Cefuroxime\Cefuroxime/20201126_Cefas_Test7_Run3/Plate 4/@12/A6_01.tif "/>
    <s v=" 5256.0644 "/>
    <s v=" 37.1852 "/>
    <x v="0"/>
    <n v="195448"/>
    <m/>
    <m/>
  </r>
  <r>
    <x v="14"/>
    <x v="1"/>
    <s v="C:\Users\andre\Desktop\REACTIV CEFAS\Cefuroxime\Cefuroxime/20201126_Cefas_Test7_Run3/Plate 4/@12/A6_02.tif "/>
    <s v=" 12415.5595 "/>
    <s v=" 36.0854 "/>
    <x v="0"/>
    <n v="448020"/>
    <m/>
    <m/>
  </r>
  <r>
    <x v="14"/>
    <x v="1"/>
    <s v="C:\Users\andre\Desktop\REACTIV CEFAS\Cefuroxime\Cefuroxime/20201126_Cefas_Test7_Run3/Plate 4/@12/A6_03.tif "/>
    <s v=" 4909.9861 "/>
    <s v=" 37.1322 "/>
    <x v="0"/>
    <n v="182318"/>
    <m/>
    <m/>
  </r>
  <r>
    <x v="14"/>
    <x v="2"/>
    <s v="C:\Users\andre\Desktop\REACTIV CEFAS\Cefuroxime\Cefuroxime/20201126_Cefas_Test7_Run3/Plate 4/@12/B6_01.tif "/>
    <s v=" 6705.2673 "/>
    <s v=" 38.3452 "/>
    <x v="0"/>
    <n v="257115"/>
    <m/>
    <m/>
  </r>
  <r>
    <x v="14"/>
    <x v="2"/>
    <s v="C:\Users\andre\Desktop\REACTIV CEFAS\Cefuroxime\Cefuroxime/20201126_Cefas_Test7_Run3/Plate 4/@12/B6_02.tif "/>
    <s v=" 1708.7617 "/>
    <s v=" 34.8861 "/>
    <x v="0"/>
    <n v="59612"/>
    <m/>
    <m/>
  </r>
  <r>
    <x v="14"/>
    <x v="2"/>
    <s v="C:\Users\andre\Desktop\REACTIV CEFAS\Cefuroxime\Cefuroxime/20201126_Cefas_Test7_Run3/Plate 4/@12/B6_03.tif "/>
    <s v=" 7289.2745 "/>
    <s v=" 39.727 "/>
    <x v="0"/>
    <n v="289581"/>
    <m/>
    <m/>
  </r>
  <r>
    <x v="14"/>
    <x v="3"/>
    <s v="C:\Users\andre\Desktop\REACTIV CEFAS\Cefuroxime\Cefuroxime/20201126_Cefas_Test7_Run3/Plate 4/@12/C6_01.tif "/>
    <s v=" 5277.6943 "/>
    <s v=" 33.5943 "/>
    <x v="0"/>
    <n v="177300"/>
    <m/>
    <m/>
  </r>
  <r>
    <x v="14"/>
    <x v="3"/>
    <s v="C:\Users\andre\Desktop\REACTIV CEFAS\Cefuroxime\Cefuroxime/20201126_Cefas_Test7_Run3/Plate 4/@12/C6_02.tif "/>
    <s v=" 11939.7018 "/>
    <s v=" 34.846 "/>
    <x v="0"/>
    <n v="416051"/>
    <m/>
    <m/>
  </r>
  <r>
    <x v="14"/>
    <x v="3"/>
    <s v="C:\Users\andre\Desktop\REACTIV CEFAS\Cefuroxime\Cefuroxime/20201126_Cefas_Test7_Run3/Plate 4/@12/C6_03.tif "/>
    <s v=" 7397.424 "/>
    <s v=" 33.193 "/>
    <x v="0"/>
    <n v="245543"/>
    <m/>
    <m/>
  </r>
  <r>
    <x v="14"/>
    <x v="4"/>
    <s v="C:\Users\andre\Desktop\REACTIV CEFAS\Cefuroxime\Cefuroxime/20201126_Cefas_Test7_Run3/Plate 4/@12/D6_01.tif "/>
    <s v=" 6488.9684 "/>
    <s v=" 35.5967 "/>
    <x v="0"/>
    <n v="230986"/>
    <m/>
    <m/>
  </r>
  <r>
    <x v="14"/>
    <x v="4"/>
    <s v="C:\Users\andre\Desktop\REACTIV CEFAS\Cefuroxime\Cefuroxime/20201126_Cefas_Test7_Run3/Plate 4/@12/D6_02.tif "/>
    <s v=" 3958.2707 "/>
    <s v=" 33.4863 "/>
    <x v="0"/>
    <n v="132548"/>
    <m/>
    <m/>
  </r>
  <r>
    <x v="14"/>
    <x v="4"/>
    <s v="C:\Users\andre\Desktop\REACTIV CEFAS\Cefuroxime\Cefuroxime/20201126_Cefas_Test7_Run3/Plate 4/@12/D6_03.tif "/>
    <s v=" 5212.8046 "/>
    <s v=" 35.332 "/>
    <x v="0"/>
    <n v="184179"/>
    <m/>
    <m/>
  </r>
  <r>
    <x v="14"/>
    <x v="5"/>
    <s v="C:\Users\andre\Desktop\REACTIV CEFAS\Cefuroxime\Cefuroxime/20201126_Cefas_Test7_Run3/Plate 4/@12/E6_01.tif "/>
    <s v=" 9041.296 "/>
    <s v=" 38.3062 "/>
    <x v="0"/>
    <n v="346338"/>
    <m/>
    <m/>
  </r>
  <r>
    <x v="14"/>
    <x v="5"/>
    <s v="C:\Users\andre\Desktop\REACTIV CEFAS\Cefuroxime\Cefuroxime/20201126_Cefas_Test7_Run3/Plate 4/@12/E6_02.tif "/>
    <s v=" 13778.2429 "/>
    <s v=" 43.2198 "/>
    <x v="0"/>
    <n v="595493"/>
    <m/>
    <m/>
  </r>
  <r>
    <x v="14"/>
    <x v="5"/>
    <s v="C:\Users\andre\Desktop\REACTIV CEFAS\Cefuroxime\Cefuroxime/20201126_Cefas_Test7_Run3/Plate 4/@12/E6_03- exclu.tif"/>
    <m/>
    <m/>
    <x v="1"/>
    <m/>
    <m/>
    <m/>
  </r>
  <r>
    <x v="14"/>
    <x v="6"/>
    <s v="C:\Users\andre\Desktop\REACTIV CEFAS\Cefuroxime\Cefuroxime/20201126_Cefas_Test7_Run3/Plate 4/@12/F6_01.tif "/>
    <s v=" 11723.4029 "/>
    <s v=" 38.5959 "/>
    <x v="0"/>
    <n v="452476"/>
    <m/>
    <m/>
  </r>
  <r>
    <x v="14"/>
    <x v="6"/>
    <s v="C:\Users\andre\Desktop\REACTIV CEFAS\Cefuroxime\Cefuroxime/20201126_Cefas_Test7_Run3/Plate 4/@12/F6_02.tif "/>
    <s v=" 6402.4488 "/>
    <s v=" 38.2736 "/>
    <x v="0"/>
    <n v="245045"/>
    <m/>
    <m/>
  </r>
  <r>
    <x v="14"/>
    <x v="6"/>
    <s v="C:\Users\andre\Desktop\REACTIV CEFAS\Cefuroxime\Cefuroxime/20201126_Cefas_Test7_Run3/Plate 4/@12/F6_03.tif "/>
    <s v=" 9430.6341 "/>
    <s v=" 37.0619 "/>
    <x v="0"/>
    <n v="349517"/>
    <m/>
    <m/>
  </r>
  <r>
    <x v="14"/>
    <x v="7"/>
    <s v="C:\Users\andre\Desktop\REACTIV CEFAS\Cefuroxime\Cefuroxime/20201126_Cefas_Test7_Run3/Plate 4/@12/G6_01- exclu.tif"/>
    <m/>
    <m/>
    <x v="1"/>
    <m/>
    <m/>
    <m/>
  </r>
  <r>
    <x v="14"/>
    <x v="7"/>
    <s v="C:\Users\andre\Desktop\REACTIV CEFAS\Cefuroxime\Cefuroxime/20201126_Cefas_Test7_Run3/Plate 4/@12/G6_02- exclu.tif"/>
    <m/>
    <m/>
    <x v="1"/>
    <m/>
    <m/>
    <m/>
  </r>
  <r>
    <x v="14"/>
    <x v="7"/>
    <s v="C:\Users\andre\Desktop\REACTIV CEFAS\Cefuroxime\Cefuroxime/20201126_Cefas_Test7_Run3/Plate 4/@12/G6_03- exclu.tif"/>
    <m/>
    <m/>
    <x v="1"/>
    <m/>
    <m/>
    <m/>
  </r>
  <r>
    <x v="14"/>
    <x v="8"/>
    <s v="C:\Users\andre\Desktop\REACTIV CEFAS\Cefuroxime\Cefuroxime/20201126_Cefas_Test7_Run3/Plate 4/@12/H6_01.tif "/>
    <s v=" 16568.4993 "/>
    <s v=" 40.2298 "/>
    <x v="0"/>
    <n v="666547"/>
    <m/>
    <m/>
  </r>
  <r>
    <x v="14"/>
    <x v="8"/>
    <s v="C:\Users\andre\Desktop\REACTIV CEFAS\Cefuroxime\Cefuroxime/20201126_Cefas_Test7_Run3/Plate 4/@12/H6_02.tif "/>
    <s v=" 13259.1254 "/>
    <s v=" 38.7047 "/>
    <x v="0"/>
    <n v="513191"/>
    <m/>
    <m/>
  </r>
  <r>
    <x v="14"/>
    <x v="8"/>
    <s v="C:\Users\andre\Desktop\REACTIV CEFAS\Cefuroxime\Cefuroxime/20201126_Cefas_Test7_Run3/Plate 4/@12/H6_03.tif "/>
    <s v=" 12134.3709 "/>
    <s v=" 37.2442 "/>
    <x v="0"/>
    <n v="451935"/>
    <m/>
    <m/>
  </r>
  <r>
    <x v="0"/>
    <x v="0"/>
    <s v=" "/>
    <m/>
    <m/>
    <x v="1"/>
    <m/>
    <m/>
    <m/>
  </r>
  <r>
    <x v="0"/>
    <x v="0"/>
    <s v="group "/>
    <s v=" "/>
    <s v=" mean of mean fluo "/>
    <x v="2"/>
    <s v=" mean of total fluo "/>
    <s v=" SD total fluo "/>
    <m/>
  </r>
  <r>
    <x v="14"/>
    <x v="9"/>
    <s v="C:\Users\andre\Desktop\REACTIV CEFAS\Cefuroxime\Cefuroxime/20201126_Cefas_Test7_Run3/Plate 4/@12/ "/>
    <s v=" "/>
    <s v=" 37.2223 "/>
    <x v="16"/>
    <s v=" 323339.042 "/>
    <s v=" 170739.45 "/>
    <m/>
  </r>
  <r>
    <x v="0"/>
    <x v="0"/>
    <s v=" "/>
    <m/>
    <m/>
    <x v="1"/>
    <m/>
    <m/>
    <m/>
  </r>
  <r>
    <x v="0"/>
    <x v="0"/>
    <s v=" "/>
    <m/>
    <m/>
    <x v="1"/>
    <m/>
    <m/>
    <m/>
  </r>
  <r>
    <x v="0"/>
    <x v="0"/>
    <s v=" "/>
    <m/>
    <m/>
    <x v="1"/>
    <m/>
    <m/>
    <m/>
  </r>
  <r>
    <x v="0"/>
    <x v="0"/>
    <s v=" "/>
    <m/>
    <m/>
    <x v="1"/>
    <m/>
    <m/>
    <m/>
  </r>
  <r>
    <x v="0"/>
    <x v="0"/>
    <s v=" "/>
    <m/>
    <m/>
    <x v="1"/>
    <m/>
    <m/>
    <m/>
  </r>
  <r>
    <x v="0"/>
    <x v="0"/>
    <s v="file name "/>
    <s v=" total area "/>
    <s v=" mean intensity "/>
    <x v="0"/>
    <s v=" total fluorescence"/>
    <m/>
    <m/>
  </r>
  <r>
    <x v="15"/>
    <x v="1"/>
    <s v="C:\Users\andre\Desktop\REACTIV CEFAS\Cefuroxime\Cefuroxime/20201126_Cefas_Test7_Run3/Plate 4/@17/A8_01.tif "/>
    <s v=" 25285.3468 "/>
    <s v=" 35.1215 "/>
    <x v="0"/>
    <n v="888059"/>
    <m/>
    <m/>
  </r>
  <r>
    <x v="15"/>
    <x v="1"/>
    <s v="C:\Users\andre\Desktop\REACTIV CEFAS\Cefuroxime\Cefuroxime/20201126_Cefas_Test7_Run3/Plate 4/@17/A8_02.tif "/>
    <s v=" 28919.1691 "/>
    <s v=" 34.8504 "/>
    <x v="0"/>
    <n v="1007845"/>
    <m/>
    <m/>
  </r>
  <r>
    <x v="15"/>
    <x v="1"/>
    <s v="C:\Users\andre\Desktop\REACTIV CEFAS\Cefuroxime\Cefuroxime/20201126_Cefas_Test7_Run3/Plate 4/@17/A8_03.tif "/>
    <s v=" 26518.2508 "/>
    <s v=" 34.1305 "/>
    <x v="0"/>
    <n v="905081"/>
    <m/>
    <m/>
  </r>
  <r>
    <x v="15"/>
    <x v="2"/>
    <s v="C:\Users\andre\Desktop\REACTIV CEFAS\Cefuroxime\Cefuroxime/20201126_Cefas_Test7_Run3/Plate 4/@17/B8_01.tif "/>
    <s v=" 23381.9161 "/>
    <s v=" 33.8418 "/>
    <x v="0"/>
    <n v="791286"/>
    <m/>
    <m/>
  </r>
  <r>
    <x v="15"/>
    <x v="2"/>
    <s v="C:\Users\andre\Desktop\REACTIV CEFAS\Cefuroxime\Cefuroxime/20201126_Cefas_Test7_Run3/Plate 4/@17/B8_02.tif "/>
    <s v=" 33201.8883 "/>
    <s v=" 34.8821 "/>
    <x v="0"/>
    <n v="1158151"/>
    <m/>
    <m/>
  </r>
  <r>
    <x v="15"/>
    <x v="2"/>
    <s v="C:\Users\andre\Desktop\REACTIV CEFAS\Cefuroxime\Cefuroxime/20201126_Cefas_Test7_Run3/Plate 4/@17/B8_03.tif "/>
    <s v=" 27210.4074 "/>
    <s v=" 33.6693 "/>
    <x v="0"/>
    <n v="916156"/>
    <m/>
    <m/>
  </r>
  <r>
    <x v="15"/>
    <x v="3"/>
    <s v="C:\Users\andre\Desktop\REACTIV CEFAS\Cefuroxime\Cefuroxime/20201126_Cefas_Test7_Run3/Plate 4/@17/C8_01.tif "/>
    <s v=" 5904.9612 "/>
    <s v=" 32.7509 "/>
    <x v="0"/>
    <n v="193393"/>
    <m/>
    <m/>
  </r>
  <r>
    <x v="15"/>
    <x v="3"/>
    <s v="C:\Users\andre\Desktop\REACTIV CEFAS\Cefuroxime\Cefuroxime/20201126_Cefas_Test7_Run3/Plate 4/@17/C8_02.tif "/>
    <s v=" 5061.3953 "/>
    <s v=" 32.0556 "/>
    <x v="0"/>
    <n v="162246"/>
    <m/>
    <m/>
  </r>
  <r>
    <x v="15"/>
    <x v="3"/>
    <s v="C:\Users\andre\Desktop\REACTIV CEFAS\Cefuroxime\Cefuroxime/20201126_Cefas_Test7_Run3/Plate 4/@17/C8_03.tif "/>
    <s v=" 4758.5768 "/>
    <s v=" 32.1273 "/>
    <x v="0"/>
    <n v="152880"/>
    <m/>
    <m/>
  </r>
  <r>
    <x v="15"/>
    <x v="4"/>
    <s v="C:\Users\andre\Desktop\REACTIV CEFAS\Cefuroxime\Cefuroxime/20201126_Cefas_Test7_Run3/Plate 4/@17/D8_01.tif "/>
    <s v=" 1946.6905 "/>
    <s v=" 31.6667 "/>
    <x v="0"/>
    <n v="61645"/>
    <m/>
    <m/>
  </r>
  <r>
    <x v="15"/>
    <x v="4"/>
    <s v="C:\Users\andre\Desktop\REACTIV CEFAS\Cefuroxime\Cefuroxime/20201126_Cefas_Test7_Run3/Plate 4/@17/D8_02.tif "/>
    <s v=" 4866.7263 "/>
    <s v=" 32.8267 "/>
    <x v="0"/>
    <n v="159758"/>
    <m/>
    <m/>
  </r>
  <r>
    <x v="15"/>
    <x v="4"/>
    <s v="C:\Users\andre\Desktop\REACTIV CEFAS\Cefuroxime\Cefuroxime/20201126_Cefas_Test7_Run3/Plate 4/@17/D8_03.tif "/>
    <s v=" 2098.0998 "/>
    <n v="32"/>
    <x v="0"/>
    <n v="67139"/>
    <m/>
    <m/>
  </r>
  <r>
    <x v="15"/>
    <x v="5"/>
    <s v="C:\Users\andre\Desktop\REACTIV CEFAS\Cefuroxime\Cefuroxime/20201126_Cefas_Test7_Run3/Plate 4/@17/E8_01- exclu.tif"/>
    <m/>
    <m/>
    <x v="1"/>
    <m/>
    <m/>
    <m/>
  </r>
  <r>
    <x v="15"/>
    <x v="5"/>
    <s v="C:\Users\andre\Desktop\REACTIV CEFAS\Cefuroxime\Cefuroxime/20201126_Cefas_Test7_Run3/Plate 4/@17/E8_02- exclu.tif"/>
    <m/>
    <m/>
    <x v="1"/>
    <m/>
    <m/>
    <m/>
  </r>
  <r>
    <x v="15"/>
    <x v="5"/>
    <s v="C:\Users\andre\Desktop\REACTIV CEFAS\Cefuroxime\Cefuroxime/20201126_Cefas_Test7_Run3/Plate 4/@17/E8_03- exclu.tif"/>
    <m/>
    <m/>
    <x v="1"/>
    <m/>
    <m/>
    <m/>
  </r>
  <r>
    <x v="15"/>
    <x v="6"/>
    <s v="C:\Users\andre\Desktop\REACTIV CEFAS\Cefuroxime\Cefuroxime/20201126_Cefas_Test7_Run3/Plate 4/@17/F8_01.tif "/>
    <s v=" 8846.6269 "/>
    <s v=" 33.176 "/>
    <x v="0"/>
    <n v="293496"/>
    <m/>
    <m/>
  </r>
  <r>
    <x v="15"/>
    <x v="6"/>
    <s v="C:\Users\andre\Desktop\REACTIV CEFAS\Cefuroxime\Cefuroxime/20201126_Cefas_Test7_Run3/Plate 4/@17/F8_02.tif "/>
    <s v=" 12977.9368 "/>
    <s v=" 37.3917 "/>
    <x v="0"/>
    <n v="485267"/>
    <m/>
    <m/>
  </r>
  <r>
    <x v="15"/>
    <x v="6"/>
    <s v="C:\Users\andre\Desktop\REACTIV CEFAS\Cefuroxime\Cefuroxime/20201126_Cefas_Test7_Run3/Plate 4/@17/F8_03.tif "/>
    <s v=" 14362.25 "/>
    <s v=" 36.7922 "/>
    <x v="0"/>
    <n v="528418"/>
    <m/>
    <m/>
  </r>
  <r>
    <x v="15"/>
    <x v="7"/>
    <s v="C:\Users\andre\Desktop\REACTIV CEFAS\Cefuroxime\Cefuroxime/20201126_Cefas_Test7_Run3/Plate 4/@17/G8_01.tif "/>
    <s v=" 36057.0343 "/>
    <s v=" 35.9388 "/>
    <x v="0"/>
    <n v="1295847"/>
    <m/>
    <m/>
  </r>
  <r>
    <x v="15"/>
    <x v="7"/>
    <s v="C:\Users\andre\Desktop\REACTIV CEFAS\Cefuroxime\Cefuroxime/20201126_Cefas_Test7_Run3/Plate 4/@17/G8_02.tif "/>
    <s v=" 38046.9847 "/>
    <s v=" 35.6379 "/>
    <x v="0"/>
    <n v="1355913"/>
    <m/>
    <m/>
  </r>
  <r>
    <x v="15"/>
    <x v="7"/>
    <s v="C:\Users\andre\Desktop\REACTIV CEFAS\Cefuroxime\Cefuroxime/20201126_Cefas_Test7_Run3/Plate 4/@17/G8_03.tif "/>
    <s v=" 37549.4971 "/>
    <s v=" 36.1838 "/>
    <x v="0"/>
    <n v="1358682"/>
    <m/>
    <m/>
  </r>
  <r>
    <x v="15"/>
    <x v="8"/>
    <s v="C:\Users\andre\Desktop\REACTIV CEFAS\Cefuroxime\Cefuroxime/20201126_Cefas_Test7_Run3/Plate 4/@17/H8_01- exclu.tif"/>
    <m/>
    <m/>
    <x v="1"/>
    <m/>
    <m/>
    <m/>
  </r>
  <r>
    <x v="15"/>
    <x v="8"/>
    <s v="C:\Users\andre\Desktop\REACTIV CEFAS\Cefuroxime\Cefuroxime/20201126_Cefas_Test7_Run3/Plate 4/@17/H8_02- exclu.tif"/>
    <m/>
    <m/>
    <x v="1"/>
    <m/>
    <m/>
    <m/>
  </r>
  <r>
    <x v="15"/>
    <x v="8"/>
    <s v="C:\Users\andre\Desktop\REACTIV CEFAS\Cefuroxime\Cefuroxime/20201126_Cefas_Test7_Run3/Plate 4/@17/H8_03.tif "/>
    <s v=" 17412.0652 "/>
    <s v=" 36.405 "/>
    <x v="0"/>
    <n v="633886"/>
    <m/>
    <m/>
  </r>
  <r>
    <x v="0"/>
    <x v="0"/>
    <s v=" "/>
    <m/>
    <m/>
    <x v="1"/>
    <m/>
    <m/>
    <m/>
  </r>
  <r>
    <x v="0"/>
    <x v="0"/>
    <s v="group "/>
    <s v=" "/>
    <s v=" mean of mean fluo "/>
    <x v="2"/>
    <s v=" mean of total fluo "/>
    <s v=" SD total fluo "/>
    <m/>
  </r>
  <r>
    <x v="15"/>
    <x v="9"/>
    <s v="C:\Users\andre\Desktop\REACTIV CEFAS\Cefuroxime\Cefuroxime/20201126_Cefas_Test7_Run3/Plate 4/@17/ "/>
    <s v=" "/>
    <s v=" 36.8108 "/>
    <x v="17"/>
    <s v=" 663683.5 "/>
    <s v=" 421433.74 "/>
    <m/>
  </r>
  <r>
    <x v="0"/>
    <x v="0"/>
    <s v=" "/>
    <m/>
    <m/>
    <x v="1"/>
    <m/>
    <m/>
    <m/>
  </r>
  <r>
    <x v="0"/>
    <x v="0"/>
    <s v=" "/>
    <m/>
    <m/>
    <x v="1"/>
    <m/>
    <m/>
    <m/>
  </r>
  <r>
    <x v="0"/>
    <x v="0"/>
    <s v=" "/>
    <m/>
    <m/>
    <x v="1"/>
    <m/>
    <m/>
    <m/>
  </r>
  <r>
    <x v="0"/>
    <x v="0"/>
    <s v=" "/>
    <m/>
    <m/>
    <x v="1"/>
    <m/>
    <m/>
    <m/>
  </r>
  <r>
    <x v="0"/>
    <x v="0"/>
    <s v=" "/>
    <m/>
    <m/>
    <x v="1"/>
    <m/>
    <m/>
    <m/>
  </r>
  <r>
    <x v="0"/>
    <x v="0"/>
    <s v="file name "/>
    <s v=" total area "/>
    <s v=" mean intensity "/>
    <x v="0"/>
    <s v=" total fluorescence"/>
    <m/>
    <m/>
  </r>
  <r>
    <x v="16"/>
    <x v="1"/>
    <s v="C:\Users\andre\Desktop\REACTIV CEFAS\Cefuroxime\Cefuroxime/20201126_Cefas_Test7_Run3/Plate 4/@18/A9_01- exclu.tif"/>
    <m/>
    <m/>
    <x v="1"/>
    <m/>
    <m/>
    <m/>
  </r>
  <r>
    <x v="16"/>
    <x v="1"/>
    <s v="C:\Users\andre\Desktop\REACTIV CEFAS\Cefuroxime\Cefuroxime/20201126_Cefas_Test7_Run3/Plate 4/@18/A9_02- exclu.tif"/>
    <m/>
    <m/>
    <x v="1"/>
    <m/>
    <m/>
    <m/>
  </r>
  <r>
    <x v="16"/>
    <x v="1"/>
    <s v="C:\Users\andre\Desktop\REACTIV CEFAS\Cefuroxime\Cefuroxime/20201126_Cefas_Test7_Run3/Plate 4/@18/A9_03- exclu.tif"/>
    <m/>
    <m/>
    <x v="1"/>
    <m/>
    <m/>
    <m/>
  </r>
  <r>
    <x v="16"/>
    <x v="2"/>
    <s v="C:\Users\andre\Desktop\REACTIV CEFAS\Cefuroxime\Cefuroxime/20201126_Cefas_Test7_Run3/Plate 4/@18/B9_01.tif "/>
    <s v=" 10750.0576 "/>
    <s v=" 41.4668 "/>
    <x v="0"/>
    <n v="445770"/>
    <m/>
    <m/>
  </r>
  <r>
    <x v="16"/>
    <x v="2"/>
    <s v="C:\Users\andre\Desktop\REACTIV CEFAS\Cefuroxime\Cefuroxime/20201126_Cefas_Test7_Run3/Plate 4/@18/B9_02.tif "/>
    <s v=" 8630.328 "/>
    <s v=" 38.1654 "/>
    <x v="0"/>
    <n v="329380"/>
    <m/>
    <m/>
  </r>
  <r>
    <x v="16"/>
    <x v="2"/>
    <s v="C:\Users\andre\Desktop\REACTIV CEFAS\Cefuroxime\Cefuroxime/20201126_Cefas_Test7_Run3/Plate 4/@18/B9_03.tif "/>
    <s v=" 12653.4884 "/>
    <s v=" 40.894 "/>
    <x v="0"/>
    <n v="517452"/>
    <m/>
    <m/>
  </r>
  <r>
    <x v="16"/>
    <x v="3"/>
    <s v="C:\Users\andre\Desktop\REACTIV CEFAS\Cefuroxime\Cefuroxime/20201126_Cefas_Test7_Run3/Plate 4/@18/C9_01.tif "/>
    <s v=" 7072.9755 "/>
    <s v=" 37.6636 "/>
    <x v="0"/>
    <n v="266394"/>
    <m/>
    <m/>
  </r>
  <r>
    <x v="16"/>
    <x v="3"/>
    <s v="C:\Users\andre\Desktop\REACTIV CEFAS\Cefuroxime\Cefuroxime/20201126_Cefas_Test7_Run3/Plate 4/@18/C9_02.tif "/>
    <s v=" 8976.4063 "/>
    <s v=" 39.4096 "/>
    <x v="0"/>
    <n v="353757"/>
    <m/>
    <m/>
  </r>
  <r>
    <x v="16"/>
    <x v="3"/>
    <s v="C:\Users\andre\Desktop\REACTIV CEFAS\Cefuroxime\Cefuroxime/20201126_Cefas_Test7_Run3/Plate 4/@18/C9_03- exclu.tif"/>
    <m/>
    <m/>
    <x v="1"/>
    <m/>
    <m/>
    <m/>
  </r>
  <r>
    <x v="16"/>
    <x v="4"/>
    <s v="C:\Users\andre\Desktop\REACTIV CEFAS\Cefuroxime\Cefuroxime/20201126_Cefas_Test7_Run3/Plate 4/@18/D9_01.tif "/>
    <s v=" 26907.5889 "/>
    <s v=" 35.0506 "/>
    <x v="0"/>
    <n v="943128"/>
    <m/>
    <m/>
  </r>
  <r>
    <x v="16"/>
    <x v="4"/>
    <s v="C:\Users\andre\Desktop\REACTIV CEFAS\Cefuroxime\Cefuroxime/20201126_Cefas_Test7_Run3/Plate 4/@18/D9_02.tif "/>
    <s v=" 20634.9195 "/>
    <s v=" 34.847 "/>
    <x v="0"/>
    <n v="719064"/>
    <m/>
    <m/>
  </r>
  <r>
    <x v="16"/>
    <x v="4"/>
    <s v="C:\Users\andre\Desktop\REACTIV CEFAS\Cefuroxime\Cefuroxime/20201126_Cefas_Test7_Run3/Plate 4/@18/D9_03.tif "/>
    <s v=" 29611.3257 "/>
    <s v=" 34.8729 "/>
    <x v="0"/>
    <n v="1032633"/>
    <m/>
    <m/>
  </r>
  <r>
    <x v="16"/>
    <x v="5"/>
    <s v="C:\Users\andre\Desktop\REACTIV CEFAS\Cefuroxime\Cefuroxime/20201126_Cefas_Test7_Run3/Plate 4/@18/E9_01.tif "/>
    <s v=" 16092.6416 "/>
    <s v=" 33.8737 "/>
    <x v="0"/>
    <n v="545117"/>
    <m/>
    <m/>
  </r>
  <r>
    <x v="16"/>
    <x v="5"/>
    <s v="C:\Users\andre\Desktop\REACTIV CEFAS\Cefuroxime\Cefuroxime/20201126_Cefas_Test7_Run3/Plate 4/@18/E9_02.tif "/>
    <s v=" 19120.8269 "/>
    <s v=" 33.7002 "/>
    <x v="0"/>
    <n v="644376"/>
    <m/>
    <m/>
  </r>
  <r>
    <x v="16"/>
    <x v="5"/>
    <s v="C:\Users\andre\Desktop\REACTIV CEFAS\Cefuroxime\Cefuroxime/20201126_Cefas_Test7_Run3/Plate 4/@18/E9_03.tif "/>
    <s v=" 13908.0222 "/>
    <s v=" 33.6625 "/>
    <x v="0"/>
    <n v="468179"/>
    <m/>
    <m/>
  </r>
  <r>
    <x v="16"/>
    <x v="6"/>
    <s v="C:\Users\andre\Desktop\REACTIV CEFAS\Cefuroxime\Cefuroxime/20201126_Cefas_Test7_Run3/Plate 4/@18/F9_01.tif "/>
    <s v=" 10274.1999 "/>
    <s v=" 34.68 "/>
    <x v="0"/>
    <n v="356309"/>
    <m/>
    <m/>
  </r>
  <r>
    <x v="16"/>
    <x v="6"/>
    <s v="C:\Users\andre\Desktop\REACTIV CEFAS\Cefuroxime\Cefuroxime/20201126_Cefas_Test7_Run3/Plate 4/@18/F9_02.tif "/>
    <s v=" 10295.8298 "/>
    <s v=" 33.6597 "/>
    <x v="0"/>
    <n v="346554"/>
    <m/>
    <m/>
  </r>
  <r>
    <x v="16"/>
    <x v="6"/>
    <s v="C:\Users\andre\Desktop\REACTIV CEFAS\Cefuroxime\Cefuroxime/20201126_Cefas_Test7_Run3/Plate 4/@18/F9_03.tif "/>
    <s v=" 10166.0505 "/>
    <s v=" 33.3021 "/>
    <x v="0"/>
    <n v="338551"/>
    <m/>
    <m/>
  </r>
  <r>
    <x v="16"/>
    <x v="7"/>
    <s v="C:\Users\andre\Desktop\REACTIV CEFAS\Cefuroxime\Cefuroxime/20201126_Cefas_Test7_Run3/Plate 4/@18/G9_01.tif "/>
    <s v=" 6683.6374 "/>
    <s v=" 39.0065 "/>
    <x v="0"/>
    <n v="260705"/>
    <m/>
    <m/>
  </r>
  <r>
    <x v="16"/>
    <x v="7"/>
    <s v="C:\Users\andre\Desktop\REACTIV CEFAS\Cefuroxime\Cefuroxime/20201126_Cefas_Test7_Run3/Plate 4/@18/G9_02.tif "/>
    <s v=" 8024.6909 "/>
    <s v=" 37.8949 "/>
    <x v="0"/>
    <n v="304095"/>
    <m/>
    <m/>
  </r>
  <r>
    <x v="16"/>
    <x v="7"/>
    <s v="C:\Users\andre\Desktop\REACTIV CEFAS\Cefuroxime\Cefuroxime/20201126_Cefas_Test7_Run3/Plate 4/@18/G9_03.tif "/>
    <s v=" 4996.5057 "/>
    <s v=" 35.3247 "/>
    <x v="0"/>
    <n v="176500"/>
    <m/>
    <m/>
  </r>
  <r>
    <x v="16"/>
    <x v="8"/>
    <s v="C:\Users\andre\Desktop\REACTIV CEFAS\Cefuroxime\Cefuroxime/20201126_Cefas_Test7_Run3/Plate 4/@18/H9_01.tif "/>
    <s v=" 43.2598 "/>
    <n v="30"/>
    <x v="0"/>
    <n v="1298"/>
    <m/>
    <m/>
  </r>
  <r>
    <x v="16"/>
    <x v="8"/>
    <s v="C:\Users\andre\Desktop\REACTIV CEFAS\Cefuroxime\Cefuroxime/20201126_Cefas_Test7_Run3/Plate 4/@18/H9_02.tif "/>
    <s v=" 108.1495 "/>
    <s v=" 30.8 "/>
    <x v="0"/>
    <n v="3331"/>
    <m/>
    <m/>
  </r>
  <r>
    <x v="16"/>
    <x v="8"/>
    <s v="C:\Users\andre\Desktop\REACTIV CEFAS\Cefuroxime\Cefuroxime/20201126_Cefas_Test7_Run3/Plate 4/@18/H9_03.tif "/>
    <s v=" 497.4876 "/>
    <s v=" 31.8261 "/>
    <x v="0"/>
    <n v="15833"/>
    <m/>
    <m/>
  </r>
  <r>
    <x v="0"/>
    <x v="0"/>
    <s v=" "/>
    <m/>
    <m/>
    <x v="1"/>
    <m/>
    <m/>
    <m/>
  </r>
  <r>
    <x v="0"/>
    <x v="0"/>
    <s v="group "/>
    <s v=" "/>
    <s v=" mean of mean fluo "/>
    <x v="2"/>
    <s v=" mean of total fluo "/>
    <s v=" SD total fluo "/>
    <m/>
  </r>
  <r>
    <x v="16"/>
    <x v="9"/>
    <s v="C:\Users\andre\Desktop\REACTIV CEFAS\Cefuroxime\Cefuroxime/20201126_Cefas_Test7_Run3/Plate 4/@18/ "/>
    <s v=" "/>
    <s v=" 35.2746 "/>
    <x v="18"/>
    <s v=" 356315.542 "/>
    <s v=" 288337.46 "/>
    <m/>
  </r>
  <r>
    <x v="0"/>
    <x v="0"/>
    <s v=" "/>
    <m/>
    <m/>
    <x v="1"/>
    <m/>
    <m/>
    <m/>
  </r>
  <r>
    <x v="0"/>
    <x v="0"/>
    <s v=" "/>
    <m/>
    <m/>
    <x v="1"/>
    <m/>
    <m/>
    <m/>
  </r>
  <r>
    <x v="0"/>
    <x v="0"/>
    <s v=" "/>
    <m/>
    <m/>
    <x v="1"/>
    <m/>
    <m/>
    <m/>
  </r>
  <r>
    <x v="0"/>
    <x v="0"/>
    <s v=" "/>
    <m/>
    <m/>
    <x v="1"/>
    <m/>
    <m/>
    <m/>
  </r>
  <r>
    <x v="0"/>
    <x v="0"/>
    <s v=" "/>
    <m/>
    <m/>
    <x v="1"/>
    <m/>
    <m/>
    <m/>
  </r>
  <r>
    <x v="0"/>
    <x v="0"/>
    <s v="file name "/>
    <s v=" total area "/>
    <s v=" mean intensity "/>
    <x v="0"/>
    <s v=" total fluorescence"/>
    <m/>
    <m/>
  </r>
  <r>
    <x v="17"/>
    <x v="1"/>
    <s v="C:\Users\andre\Desktop\REACTIV CEFAS\Cefuroxime\Cefuroxime/20201126_Cefas_Test7_Run3/Plate 4/@19/A10_01- exclu.tif"/>
    <m/>
    <m/>
    <x v="1"/>
    <m/>
    <m/>
    <m/>
  </r>
  <r>
    <x v="17"/>
    <x v="1"/>
    <s v="C:\Users\andre\Desktop\REACTIV CEFAS\Cefuroxime\Cefuroxime/20201126_Cefas_Test7_Run3/Plate 4/@19/A10_02- exclu.tif"/>
    <m/>
    <m/>
    <x v="1"/>
    <m/>
    <m/>
    <m/>
  </r>
  <r>
    <x v="17"/>
    <x v="1"/>
    <s v="C:\Users\andre\Desktop\REACTIV CEFAS\Cefuroxime\Cefuroxime/20201126_Cefas_Test7_Run3/Plate 4/@19/A10_03.tif "/>
    <s v=" 24160.5923 "/>
    <s v=" 38.7368 "/>
    <x v="0"/>
    <n v="935904"/>
    <m/>
    <m/>
  </r>
  <r>
    <x v="17"/>
    <x v="2"/>
    <s v="C:\Users\andre\Desktop\REACTIV CEFAS\Cefuroxime\Cefuroxime/20201126_Cefas_Test7_Run3/Plate 4/@19/B10_01.tif "/>
    <s v=" 42221.5543 "/>
    <s v=" 36.6629 "/>
    <x v="0"/>
    <n v="1547965"/>
    <m/>
    <m/>
  </r>
  <r>
    <x v="17"/>
    <x v="2"/>
    <s v="C:\Users\andre\Desktop\REACTIV CEFAS\Cefuroxime\Cefuroxime/20201126_Cefas_Test7_Run3/Plate 4/@19/B10_02.tif "/>
    <s v=" 41313.0987 "/>
    <s v=" 35.7445 "/>
    <x v="0"/>
    <n v="1476716"/>
    <m/>
    <m/>
  </r>
  <r>
    <x v="17"/>
    <x v="2"/>
    <s v="C:\Users\andre\Desktop\REACTIV CEFAS\Cefuroxime\Cefuroxime/20201126_Cefas_Test7_Run3/Plate 4/@19/B10_03.tif "/>
    <s v=" 40469.5329 "/>
    <s v=" 36.0048 "/>
    <x v="0"/>
    <n v="1457098"/>
    <m/>
    <m/>
  </r>
  <r>
    <x v="17"/>
    <x v="3"/>
    <s v="C:\Users\andre\Desktop\REACTIV CEFAS\Cefuroxime\Cefuroxime/20201126_Cefas_Test7_Run3/Plate 4/@19/C10_01.tif "/>
    <s v=" 66858.0043 "/>
    <s v=" 39.835 "/>
    <x v="0"/>
    <n v="2663289"/>
    <m/>
    <m/>
  </r>
  <r>
    <x v="17"/>
    <x v="3"/>
    <s v="C:\Users\andre\Desktop\REACTIV CEFAS\Cefuroxime\Cefuroxime/20201126_Cefas_Test7_Run3/Plate 4/@19/C10_02.tif "/>
    <s v=" 61320.7513 "/>
    <s v=" 38.7393 "/>
    <x v="0"/>
    <n v="2375525"/>
    <m/>
    <m/>
  </r>
  <r>
    <x v="17"/>
    <x v="3"/>
    <s v="C:\Users\andre\Desktop\REACTIV CEFAS\Cefuroxime\Cefuroxime/20201126_Cefas_Test7_Run3/Plate 4/@19/C10_03.tif "/>
    <s v=" 60650.2245 "/>
    <s v=" 39.6551 "/>
    <x v="0"/>
    <n v="2405093"/>
    <m/>
    <m/>
  </r>
  <r>
    <x v="17"/>
    <x v="4"/>
    <s v="C:\Users\andre\Desktop\REACTIV CEFAS\Cefuroxime\Cefuroxime/20201126_Cefas_Test7_Run3/Plate 4/@19/D10_01.tif "/>
    <s v=" 454.2278 "/>
    <s v=" 31.1905 "/>
    <x v="0"/>
    <n v="14168"/>
    <m/>
    <m/>
  </r>
  <r>
    <x v="17"/>
    <x v="4"/>
    <s v="C:\Users\andre\Desktop\REACTIV CEFAS\Cefuroxime\Cefuroxime/20201126_Cefas_Test7_Run3/Plate 4/@19/D10_02- exclu.tif"/>
    <m/>
    <m/>
    <x v="1"/>
    <m/>
    <m/>
    <m/>
  </r>
  <r>
    <x v="17"/>
    <x v="4"/>
    <s v="C:\Users\andre\Desktop\REACTIV CEFAS\Cefuroxime\Cefuroxime/20201126_Cefas_Test7_Run3/Plate 4/@19/D10_03- exclu.tif"/>
    <m/>
    <m/>
    <x v="1"/>
    <m/>
    <m/>
    <m/>
  </r>
  <r>
    <x v="17"/>
    <x v="5"/>
    <s v="C:\Users\andre\Desktop\REACTIV CEFAS\Cefuroxime\Cefuroxime/20201126_Cefas_Test7_Run3/Plate 4/@19/E10_01.tif "/>
    <s v=" 33699.3758 "/>
    <s v=" 36.9185 "/>
    <x v="0"/>
    <n v="1244130"/>
    <m/>
    <m/>
  </r>
  <r>
    <x v="17"/>
    <x v="5"/>
    <s v="C:\Users\andre\Desktop\REACTIV CEFAS\Cefuroxime\Cefuroxime/20201126_Cefas_Test7_Run3/Plate 4/@19/E10_02.tif "/>
    <s v=" 37636.0167 "/>
    <s v=" 38.1638 "/>
    <x v="0"/>
    <n v="1436333"/>
    <m/>
    <m/>
  </r>
  <r>
    <x v="17"/>
    <x v="5"/>
    <s v="C:\Users\andre\Desktop\REACTIV CEFAS\Cefuroxime\Cefuroxime/20201126_Cefas_Test7_Run3/Plate 4/@19/E10_03.tif "/>
    <s v=" 32358.3224 "/>
    <s v=" 37.0388 "/>
    <x v="0"/>
    <n v="1198512"/>
    <m/>
    <m/>
  </r>
  <r>
    <x v="17"/>
    <x v="6"/>
    <s v="C:\Users\andre\Desktop\REACTIV CEFAS\Cefuroxime\Cefuroxime/20201126_Cefas_Test7_Run3/Plate 4/@19/F10_01.tif "/>
    <s v=" 31471.4967 "/>
    <s v=" 36.7684 "/>
    <x v="0"/>
    <n v="1157156"/>
    <m/>
    <m/>
  </r>
  <r>
    <x v="17"/>
    <x v="6"/>
    <s v="C:\Users\andre\Desktop\REACTIV CEFAS\Cefuroxime\Cefuroxime/20201126_Cefas_Test7_Run3/Plate 4/@19/F10_02.tif "/>
    <s v=" 37484.6074 "/>
    <s v=" 38.8252 "/>
    <x v="0"/>
    <n v="1455346"/>
    <m/>
    <m/>
  </r>
  <r>
    <x v="17"/>
    <x v="6"/>
    <s v="C:\Users\andre\Desktop\REACTIV CEFAS\Cefuroxime\Cefuroxime/20201126_Cefas_Test7_Run3/Plate 4/@19/F10_03.tif "/>
    <s v=" 39258.2588 "/>
    <s v=" 39.2837 "/>
    <x v="0"/>
    <n v="1542211"/>
    <m/>
    <m/>
  </r>
  <r>
    <x v="17"/>
    <x v="7"/>
    <s v="C:\Users\andre\Desktop\REACTIV CEFAS\Cefuroxime\Cefuroxime/20201126_Cefas_Test7_Run3/Plate 4/@19/G10_01.tif "/>
    <s v=" 33028.8491 "/>
    <s v=" 35.6267 "/>
    <x v="0"/>
    <n v="1176710"/>
    <m/>
    <m/>
  </r>
  <r>
    <x v="17"/>
    <x v="7"/>
    <s v="C:\Users\andre\Desktop\REACTIV CEFAS\Cefuroxime\Cefuroxime/20201126_Cefas_Test7_Run3/Plate 4/@19/G10_02.tif "/>
    <s v=" 43173.2697 "/>
    <s v=" 37.763 "/>
    <x v="0"/>
    <n v="1630353"/>
    <m/>
    <m/>
  </r>
  <r>
    <x v="17"/>
    <x v="7"/>
    <s v="C:\Users\andre\Desktop\REACTIV CEFAS\Cefuroxime\Cefuroxime/20201126_Cefas_Test7_Run3/Plate 4/@19/G10_03.tif "/>
    <s v=" 35559.5468 "/>
    <s v=" 36.7816 "/>
    <x v="0"/>
    <n v="1307938"/>
    <m/>
    <m/>
  </r>
  <r>
    <x v="17"/>
    <x v="8"/>
    <s v="C:\Users\andre\Desktop\REACTIV CEFAS\Cefuroxime\Cefuroxime/20201126_Cefas_Test7_Run3/Plate 4/@19/H10_01.tif "/>
    <s v=" 6943.1962 "/>
    <s v=" 33.5576 "/>
    <x v="0"/>
    <n v="232997"/>
    <m/>
    <m/>
  </r>
  <r>
    <x v="17"/>
    <x v="8"/>
    <s v="C:\Users\andre\Desktop\REACTIV CEFAS\Cefuroxime\Cefuroxime/20201126_Cefas_Test7_Run3/Plate 4/@19/H10_02.tif "/>
    <s v=" 13929.6521 "/>
    <s v=" 36.5994 "/>
    <x v="0"/>
    <n v="509817"/>
    <m/>
    <m/>
  </r>
  <r>
    <x v="17"/>
    <x v="8"/>
    <s v="C:\Users\andre\Desktop\REACTIV CEFAS\Cefuroxime\Cefuroxime/20201126_Cefas_Test7_Run3/Plate 4/@19/H10_03.tif "/>
    <s v=" 6921.5663 "/>
    <s v=" 33.3906 "/>
    <x v="0"/>
    <n v="231115"/>
    <m/>
    <m/>
  </r>
  <r>
    <x v="0"/>
    <x v="0"/>
    <s v=" "/>
    <m/>
    <m/>
    <x v="1"/>
    <m/>
    <m/>
    <m/>
  </r>
  <r>
    <x v="0"/>
    <x v="0"/>
    <s v="group "/>
    <s v=" "/>
    <s v=" mean of mean fluo "/>
    <x v="2"/>
    <s v=" mean of total fluo "/>
    <s v=" SD total fluo "/>
    <m/>
  </r>
  <r>
    <x v="17"/>
    <x v="9"/>
    <s v="C:\Users\andre\Desktop\REACTIV CEFAS\Cefuroxime\Cefuroxime/20201126_Cefas_Test7_Run3/Plate 4/@19/ "/>
    <s v=" "/>
    <s v=" 37.4578 "/>
    <x v="19"/>
    <s v=" 1227708.29 "/>
    <s v=" 703989.362 "/>
    <m/>
  </r>
  <r>
    <x v="0"/>
    <x v="0"/>
    <s v=" "/>
    <m/>
    <m/>
    <x v="1"/>
    <m/>
    <m/>
    <m/>
  </r>
  <r>
    <x v="0"/>
    <x v="0"/>
    <s v=" "/>
    <m/>
    <m/>
    <x v="1"/>
    <m/>
    <m/>
    <m/>
  </r>
  <r>
    <x v="0"/>
    <x v="0"/>
    <s v=" "/>
    <m/>
    <m/>
    <x v="1"/>
    <m/>
    <m/>
    <m/>
  </r>
  <r>
    <x v="0"/>
    <x v="0"/>
    <s v=" "/>
    <m/>
    <m/>
    <x v="1"/>
    <m/>
    <m/>
    <m/>
  </r>
  <r>
    <x v="0"/>
    <x v="0"/>
    <s v=" "/>
    <m/>
    <m/>
    <x v="1"/>
    <m/>
    <m/>
    <m/>
  </r>
  <r>
    <x v="0"/>
    <x v="0"/>
    <s v="file name "/>
    <s v=" total area "/>
    <s v=" mean intensity "/>
    <x v="0"/>
    <s v=" total fluorescence"/>
    <m/>
    <m/>
  </r>
  <r>
    <x v="18"/>
    <x v="1"/>
    <s v="C:\Users\andre\Desktop\REACTIV CEFAS\Cefuroxime\Cefuroxime/20201126_Cefas_Test7_Run3/Plate 4/@20/A11_01- exclu.tif"/>
    <m/>
    <m/>
    <x v="1"/>
    <m/>
    <m/>
    <m/>
  </r>
  <r>
    <x v="18"/>
    <x v="1"/>
    <s v="C:\Users\andre\Desktop\REACTIV CEFAS\Cefuroxime\Cefuroxime/20201126_Cefas_Test7_Run3/Plate 4/@20/A11_02- exclu.tif"/>
    <m/>
    <m/>
    <x v="1"/>
    <m/>
    <m/>
    <m/>
  </r>
  <r>
    <x v="18"/>
    <x v="1"/>
    <s v="C:\Users\andre\Desktop\REACTIV CEFAS\Cefuroxime\Cefuroxime/20201126_Cefas_Test7_Run3/Plate 4/@20/A11_03- exclu.tif"/>
    <m/>
    <m/>
    <x v="1"/>
    <m/>
    <m/>
    <m/>
  </r>
  <r>
    <x v="18"/>
    <x v="2"/>
    <s v="C:\Users\andre\Desktop\REACTIV CEFAS\Cefuroxime\Cefuroxime/20201126_Cefas_Test7_Run3/Plate 4/@20/B11_01.tif "/>
    <s v=" 9863.232 "/>
    <s v=" 42.4232 "/>
    <x v="0"/>
    <n v="418430"/>
    <m/>
    <m/>
  </r>
  <r>
    <x v="18"/>
    <x v="2"/>
    <s v="C:\Users\andre\Desktop\REACTIV CEFAS\Cefuroxime\Cefuroxime/20201126_Cefas_Test7_Run3/Plate 4/@20/B11_02.tif "/>
    <s v=" 6121.2602 "/>
    <s v=" 36.1731 "/>
    <x v="0"/>
    <n v="221425"/>
    <m/>
    <m/>
  </r>
  <r>
    <x v="18"/>
    <x v="2"/>
    <s v="C:\Users\andre\Desktop\REACTIV CEFAS\Cefuroxime\Cefuroxime/20201126_Cefas_Test7_Run3/Plate 4/@20/B11_03.tif "/>
    <s v=" 6705.2673 "/>
    <s v=" 33.9323 "/>
    <x v="0"/>
    <n v="227525"/>
    <m/>
    <m/>
  </r>
  <r>
    <x v="18"/>
    <x v="3"/>
    <s v="C:\Users\andre\Desktop\REACTIV CEFAS\Cefuroxime\Cefuroxime/20201126_Cefas_Test7_Run3/Plate 4/@20/C11_01.tif "/>
    <s v=" 2530.6977 "/>
    <s v=" 33.0427 "/>
    <x v="0"/>
    <n v="83621"/>
    <m/>
    <m/>
  </r>
  <r>
    <x v="18"/>
    <x v="3"/>
    <s v="C:\Users\andre\Desktop\REACTIV CEFAS\Cefuroxime\Cefuroxime/20201126_Cefas_Test7_Run3/Plate 4/@20/C11_02.tif "/>
    <s v=" 713.7865 "/>
    <s v=" 31.4545 "/>
    <x v="0"/>
    <n v="22452"/>
    <m/>
    <m/>
  </r>
  <r>
    <x v="18"/>
    <x v="3"/>
    <s v="C:\Users\andre\Desktop\REACTIV CEFAS\Cefuroxime\Cefuroxime/20201126_Cefas_Test7_Run3/Plate 4/@20/C11_03.tif "/>
    <s v=" 2790.2564 "/>
    <s v=" 33.8992 "/>
    <x v="0"/>
    <n v="94588"/>
    <m/>
    <m/>
  </r>
  <r>
    <x v="18"/>
    <x v="4"/>
    <s v="C:\Users\andre\Desktop\REACTIV CEFAS\Cefuroxime\Cefuroxime/20201126_Cefas_Test7_Run3/Plate 4/@20/D11_01.tif "/>
    <s v=" 6964.8261 "/>
    <s v=" 39.6025 "/>
    <x v="0"/>
    <n v="275824"/>
    <m/>
    <m/>
  </r>
  <r>
    <x v="18"/>
    <x v="4"/>
    <s v="C:\Users\andre\Desktop\REACTIV CEFAS\Cefuroxime\Cefuroxime/20201126_Cefas_Test7_Run3/Plate 4/@20/D11_02.tif "/>
    <s v=" 3374.2636 "/>
    <s v=" 32.5897 "/>
    <x v="0"/>
    <n v="109966"/>
    <m/>
    <m/>
  </r>
  <r>
    <x v="18"/>
    <x v="4"/>
    <s v="C:\Users\andre\Desktop\REACTIV CEFAS\Cefuroxime\Cefuroxime/20201126_Cefas_Test7_Run3/Plate 4/@20/D11_03.tif "/>
    <s v=" 5991.4808 "/>
    <s v=" 37.1191 "/>
    <x v="0"/>
    <n v="222399"/>
    <m/>
    <m/>
  </r>
  <r>
    <x v="18"/>
    <x v="5"/>
    <s v="C:\Users\andre\Desktop\REACTIV CEFAS\Cefuroxime\Cefuroxime/20201126_Cefas_Test7_Run3/Plate 4/@20/E11_01.tif "/>
    <s v=" 36532.892 "/>
    <s v=" 40.45 "/>
    <x v="0"/>
    <n v="1477754"/>
    <m/>
    <m/>
  </r>
  <r>
    <x v="18"/>
    <x v="5"/>
    <s v="C:\Users\andre\Desktop\REACTIV CEFAS\Cefuroxime\Cefuroxime/20201126_Cefas_Test7_Run3/Plate 4/@20/E11_02.tif "/>
    <s v=" 28270.2723 "/>
    <s v=" 37.2701 "/>
    <x v="0"/>
    <n v="1053635"/>
    <m/>
    <m/>
  </r>
  <r>
    <x v="18"/>
    <x v="5"/>
    <s v="C:\Users\andre\Desktop\REACTIV CEFAS\Cefuroxime\Cefuroxime/20201126_Cefas_Test7_Run3/Plate 4/@20/E11_03.tif "/>
    <s v=" 32120.3935 "/>
    <s v=" 37.1434 "/>
    <x v="0"/>
    <n v="1193062"/>
    <m/>
    <m/>
  </r>
  <r>
    <x v="18"/>
    <x v="6"/>
    <s v="C:\Users\andre\Desktop\REACTIV CEFAS\Cefuroxime\Cefuroxime/20201126_Cefas_Test7_Run3/Plate 4/@20/F11_01.tif "/>
    <s v=" 17130.8765 "/>
    <s v=" 35.2235 "/>
    <x v="0"/>
    <n v="603409"/>
    <m/>
    <m/>
  </r>
  <r>
    <x v="18"/>
    <x v="6"/>
    <s v="C:\Users\andre\Desktop\REACTIV CEFAS\Cefuroxime\Cefuroxime/20201126_Cefas_Test7_Run3/Plate 4/@20/F11_02.tif "/>
    <s v=" 20613.2896 "/>
    <s v=" 35.8762 "/>
    <x v="0"/>
    <n v="739526"/>
    <m/>
    <m/>
  </r>
  <r>
    <x v="18"/>
    <x v="6"/>
    <s v="C:\Users\andre\Desktop\REACTIV CEFAS\Cefuroxime\Cefuroxime/20201126_Cefas_Test7_Run3/Plate 4/@20/F11_03.tif "/>
    <s v=" 22257.1616 "/>
    <s v=" 35.9942 "/>
    <x v="0"/>
    <n v="801128"/>
    <m/>
    <m/>
  </r>
  <r>
    <x v="18"/>
    <x v="7"/>
    <s v="C:\Users\andre\Desktop\REACTIV CEFAS\Cefuroxime\Cefuroxime/20201126_Cefas_Test7_Run3/Plate 4/@20/G11_01.tif "/>
    <s v=" 74147.2788 "/>
    <s v=" 42.3676 "/>
    <x v="0"/>
    <n v="3141439"/>
    <m/>
    <m/>
  </r>
  <r>
    <x v="18"/>
    <x v="7"/>
    <s v="C:\Users\andre\Desktop\REACTIV CEFAS\Cefuroxime\Cefuroxime/20201126_Cefas_Test7_Run3/Plate 4/@20/G11_02.tif "/>
    <s v=" 70729.7554 "/>
    <s v=" 41.4713 "/>
    <x v="0"/>
    <n v="2933252"/>
    <m/>
    <m/>
  </r>
  <r>
    <x v="18"/>
    <x v="7"/>
    <s v="C:\Users\andre\Desktop\REACTIV CEFAS\Cefuroxime\Cefuroxime/20201126_Cefas_Test7_Run3/Plate 4/@20/G11_03.tif "/>
    <s v=" 70253.8978 "/>
    <s v=" 40.8679 "/>
    <x v="0"/>
    <n v="2871131"/>
    <m/>
    <m/>
  </r>
  <r>
    <x v="18"/>
    <x v="8"/>
    <s v="C:\Users\andre\Desktop\REACTIV CEFAS\Cefuroxime\Cefuroxime/20201126_Cefas_Test7_Run3/Plate 4/@20/H11_01.tif "/>
    <s v=" 19596.6845 "/>
    <s v=" 32.8168 "/>
    <x v="0"/>
    <n v="643100"/>
    <m/>
    <m/>
  </r>
  <r>
    <x v="18"/>
    <x v="8"/>
    <s v="C:\Users\andre\Desktop\REACTIV CEFAS\Cefuroxime\Cefuroxime/20201126_Cefas_Test7_Run3/Plate 4/@20/H11_02- exclu.tif"/>
    <m/>
    <m/>
    <x v="1"/>
    <m/>
    <m/>
    <m/>
  </r>
  <r>
    <x v="18"/>
    <x v="8"/>
    <s v="C:\Users\andre\Desktop\REACTIV CEFAS\Cefuroxime\Cefuroxime/20201126_Cefas_Test7_Run3/Plate 4/@20/H11_03.tif "/>
    <s v=" 22386.9409 "/>
    <s v=" 36.4464 "/>
    <x v="0"/>
    <n v="815923"/>
    <m/>
    <m/>
  </r>
  <r>
    <x v="0"/>
    <x v="0"/>
    <s v=" "/>
    <m/>
    <m/>
    <x v="1"/>
    <m/>
    <m/>
    <m/>
  </r>
  <r>
    <x v="0"/>
    <x v="0"/>
    <s v="group "/>
    <s v=" "/>
    <s v=" mean of mean fluo "/>
    <x v="2"/>
    <s v=" mean of total fluo "/>
    <s v=" SD total fluo "/>
    <m/>
  </r>
  <r>
    <x v="18"/>
    <x v="9"/>
    <s v="C:\Users\andre\Desktop\REACTIV CEFAS\Cefuroxime\Cefuroxime/20201126_Cefas_Test7_Run3/Plate 4/@20/ "/>
    <s v=" "/>
    <s v=" 36.818 "/>
    <x v="20"/>
    <s v=" 798688.292 "/>
    <s v=" 922901.836 "/>
    <m/>
  </r>
  <r>
    <x v="0"/>
    <x v="0"/>
    <s v=" "/>
    <m/>
    <m/>
    <x v="1"/>
    <m/>
    <m/>
    <m/>
  </r>
  <r>
    <x v="0"/>
    <x v="0"/>
    <s v=" "/>
    <m/>
    <m/>
    <x v="1"/>
    <m/>
    <m/>
    <m/>
  </r>
  <r>
    <x v="0"/>
    <x v="0"/>
    <s v=" "/>
    <m/>
    <m/>
    <x v="1"/>
    <m/>
    <m/>
    <m/>
  </r>
  <r>
    <x v="0"/>
    <x v="0"/>
    <s v=" "/>
    <m/>
    <m/>
    <x v="1"/>
    <m/>
    <m/>
    <m/>
  </r>
  <r>
    <x v="0"/>
    <x v="0"/>
    <s v=" "/>
    <m/>
    <m/>
    <x v="1"/>
    <m/>
    <m/>
    <m/>
  </r>
  <r>
    <x v="0"/>
    <x v="0"/>
    <s v="file name "/>
    <s v=" total area "/>
    <s v=" mean intensity "/>
    <x v="0"/>
    <s v=" total fluorescence"/>
    <m/>
    <m/>
  </r>
  <r>
    <x v="19"/>
    <x v="1"/>
    <s v="C:\Users\andre\Desktop\REACTIV CEFAS\Cefuroxime\Cefuroxime/20201126_Cefas_Test7_Run3/Plate 4/@21/A12_01.tif "/>
    <s v=" 39279.8886 "/>
    <s v=" 37.6465 "/>
    <x v="0"/>
    <n v="1478749"/>
    <m/>
    <m/>
  </r>
  <r>
    <x v="19"/>
    <x v="1"/>
    <s v="C:\Users\andre\Desktop\REACTIV CEFAS\Cefuroxime\Cefuroxime/20201126_Cefas_Test7_Run3/Plate 4/@21/A12_02.tif "/>
    <s v=" 36359.8529 "/>
    <s v=" 38.6294 "/>
    <x v="0"/>
    <n v="1404559"/>
    <m/>
    <m/>
  </r>
  <r>
    <x v="19"/>
    <x v="1"/>
    <s v="C:\Users\andre\Desktop\REACTIV CEFAS\Cefuroxime\Cefuroxime/20201126_Cefas_Test7_Run3/Plate 4/@21/A12_03.tif "/>
    <s v=" 54074.7366 "/>
    <s v=" 38.5 "/>
    <x v="0"/>
    <n v="2081877"/>
    <m/>
    <m/>
  </r>
  <r>
    <x v="19"/>
    <x v="2"/>
    <s v="C:\Users\andre\Desktop\REACTIV CEFAS\Cefuroxime\Cefuroxime/20201126_Cefas_Test7_Run3/Plate 4/@21/B12_01.tif "/>
    <s v=" 14081.0614 "/>
    <s v=" 32.6928 "/>
    <x v="0"/>
    <n v="460349"/>
    <m/>
    <m/>
  </r>
  <r>
    <x v="19"/>
    <x v="2"/>
    <s v="C:\Users\andre\Desktop\REACTIV CEFAS\Cefuroxime\Cefuroxime/20201126_Cefas_Test7_Run3/Plate 4/@21/B12_02.tif "/>
    <s v=" 14210.8408 "/>
    <s v=" 32.6895 "/>
    <x v="0"/>
    <n v="464545"/>
    <m/>
    <m/>
  </r>
  <r>
    <x v="19"/>
    <x v="2"/>
    <s v="C:\Users\andre\Desktop\REACTIV CEFAS\Cefuroxime\Cefuroxime/20201126_Cefas_Test7_Run3/Plate 4/@21/B12_03.tif "/>
    <s v=" 15681.6736 "/>
    <s v=" 32.5048 "/>
    <x v="0"/>
    <n v="509730"/>
    <m/>
    <m/>
  </r>
  <r>
    <x v="19"/>
    <x v="3"/>
    <s v="C:\Users\andre\Desktop\REACTIV CEFAS\Cefuroxime\Cefuroxime/20201126_Cefas_Test7_Run3/Plate 4/@21/C12_01- exclu.tif"/>
    <m/>
    <m/>
    <x v="1"/>
    <m/>
    <m/>
    <m/>
  </r>
  <r>
    <x v="19"/>
    <x v="3"/>
    <s v="C:\Users\andre\Desktop\REACTIV CEFAS\Cefuroxime\Cefuroxime/20201126_Cefas_Test7_Run3/Plate 4/@21/C12_02- exclu.tif"/>
    <m/>
    <m/>
    <x v="1"/>
    <m/>
    <m/>
    <m/>
  </r>
  <r>
    <x v="19"/>
    <x v="3"/>
    <s v="C:\Users\andre\Desktop\REACTIV CEFAS\Cefuroxime\Cefuroxime/20201126_Cefas_Test7_Run3/Plate 4/@21/C12_03- exclu.tif"/>
    <m/>
    <m/>
    <x v="1"/>
    <m/>
    <m/>
    <m/>
  </r>
  <r>
    <x v="19"/>
    <x v="4"/>
    <s v="C:\Users\andre\Desktop\REACTIV CEFAS\Cefuroxime\Cefuroxime/20201126_Cefas_Test7_Run3/Plate 4/@21/D12_01.tif "/>
    <s v=" 25415.1262 "/>
    <s v=" 35.6826 "/>
    <x v="0"/>
    <n v="906877"/>
    <m/>
    <m/>
  </r>
  <r>
    <x v="19"/>
    <x v="4"/>
    <s v="C:\Users\andre\Desktop\REACTIV CEFAS\Cefuroxime\Cefuroxime/20201126_Cefas_Test7_Run3/Plate 4/@21/D12_02.tif "/>
    <s v=" 23857.7738 "/>
    <s v=" 35.4225 "/>
    <x v="0"/>
    <n v="845102"/>
    <m/>
    <m/>
  </r>
  <r>
    <x v="19"/>
    <x v="4"/>
    <s v="C:\Users\andre\Desktop\REACTIV CEFAS\Cefuroxime\Cefuroxime/20201126_Cefas_Test7_Run3/Plate 4/@21/D12_03.tif "/>
    <s v=" 23663.1047 "/>
    <s v=" 35.7715 "/>
    <x v="0"/>
    <n v="846464"/>
    <m/>
    <m/>
  </r>
  <r>
    <x v="19"/>
    <x v="5"/>
    <s v="C:\Users\andre\Desktop\REACTIV CEFAS\Cefuroxime\Cefuroxime/20201126_Cefas_Test7_Run3/Plate 4/@21/E12_01.tif "/>
    <s v=" 33958.9346 "/>
    <s v=" 35.7293 "/>
    <x v="0"/>
    <n v="1213329"/>
    <m/>
    <m/>
  </r>
  <r>
    <x v="19"/>
    <x v="5"/>
    <s v="C:\Users\andre\Desktop\REACTIV CEFAS\Cefuroxime\Cefuroxime/20201126_Cefas_Test7_Run3/Plate 4/@21/E12_02.tif "/>
    <s v=" 36359.8529 "/>
    <s v=" 35.4664 "/>
    <x v="0"/>
    <n v="1289553"/>
    <m/>
    <m/>
  </r>
  <r>
    <x v="19"/>
    <x v="5"/>
    <s v="C:\Users\andre\Desktop\REACTIV CEFAS\Cefuroxime\Cefuroxime/20201126_Cefas_Test7_Run3/Plate 4/@21/E12_03.tif "/>
    <s v=" 25350.2365 "/>
    <s v=" 34.4471 "/>
    <x v="0"/>
    <n v="873242"/>
    <m/>
    <m/>
  </r>
  <r>
    <x v="19"/>
    <x v="6"/>
    <s v="C:\Users\andre\Desktop\REACTIV CEFAS\Cefuroxime\Cefuroxime/20201126_Cefas_Test7_Run3/Plate 4/@21/F12_01.tif "/>
    <s v=" 26280.322 "/>
    <s v=" 35.4025 "/>
    <x v="0"/>
    <n v="930388"/>
    <m/>
    <m/>
  </r>
  <r>
    <x v="19"/>
    <x v="6"/>
    <s v="C:\Users\andre\Desktop\REACTIV CEFAS\Cefuroxime\Cefuroxime/20201126_Cefas_Test7_Run3/Plate 4/@21/F12_02.tif "/>
    <s v=" 22495.0904 "/>
    <s v=" 34.4212 "/>
    <x v="0"/>
    <n v="774307"/>
    <m/>
    <m/>
  </r>
  <r>
    <x v="19"/>
    <x v="6"/>
    <s v="C:\Users\andre\Desktop\REACTIV CEFAS\Cefuroxime\Cefuroxime/20201126_Cefas_Test7_Run3/Plate 4/@21/F12_03.tif "/>
    <s v=" 34348.2727 "/>
    <s v=" 36.4773 "/>
    <x v="0"/>
    <n v="1252933"/>
    <m/>
    <m/>
  </r>
  <r>
    <x v="19"/>
    <x v="7"/>
    <s v="C:\Users\andre\Desktop\REACTIV CEFAS\Cefuroxime\Cefuroxime/20201126_Cefas_Test7_Run3/Plate 4/@21/G12_01.tif "/>
    <s v=" 18580.0795 "/>
    <s v=" 35.3853 "/>
    <x v="0"/>
    <n v="657462"/>
    <m/>
    <m/>
  </r>
  <r>
    <x v="19"/>
    <x v="7"/>
    <s v="C:\Users\andre\Desktop\REACTIV CEFAS\Cefuroxime\Cefuroxime/20201126_Cefas_Test7_Run3/Plate 4/@21/G12_02.tif "/>
    <s v=" 28400.0516 "/>
    <s v=" 35.3024 "/>
    <x v="0"/>
    <n v="1002589"/>
    <m/>
    <m/>
  </r>
  <r>
    <x v="19"/>
    <x v="7"/>
    <s v="C:\Users\andre\Desktop\REACTIV CEFAS\Cefuroxime\Cefuroxime/20201126_Cefas_Test7_Run3/Plate 4/@21/G12_03.tif "/>
    <s v=" 29979.034 "/>
    <s v=" 36.228 "/>
    <x v="0"/>
    <n v="1086080"/>
    <m/>
    <m/>
  </r>
  <r>
    <x v="19"/>
    <x v="8"/>
    <s v="C:\Users\andre\Desktop\REACTIV CEFAS\Cefuroxime\Cefuroxime/20201126_Cefas_Test7_Run3/Plate 4/@21/H12_01.tif "/>
    <s v=" 27318.5569 "/>
    <s v=" 33.7102 "/>
    <x v="0"/>
    <n v="920914"/>
    <m/>
    <m/>
  </r>
  <r>
    <x v="19"/>
    <x v="8"/>
    <s v="C:\Users\andre\Desktop\REACTIV CEFAS\Cefuroxime\Cefuroxime/20201126_Cefas_Test7_Run3/Plate 4/@21/H12_02.tif "/>
    <s v=" 30433.2617 "/>
    <s v=" 34.1606 "/>
    <x v="0"/>
    <n v="1039619"/>
    <m/>
    <m/>
  </r>
  <r>
    <x v="19"/>
    <x v="8"/>
    <s v="C:\Users\andre\Desktop\REACTIV CEFAS\Cefuroxime\Cefuroxime/20201126_Cefas_Test7_Run3/Plate 4/@21/H12_03.tif "/>
    <s v=" 21694.7843 "/>
    <s v=" 32.2971 "/>
    <x v="0"/>
    <n v="700679"/>
    <m/>
    <m/>
  </r>
  <r>
    <x v="0"/>
    <x v="0"/>
    <s v=" "/>
    <m/>
    <m/>
    <x v="1"/>
    <m/>
    <m/>
    <m/>
  </r>
  <r>
    <x v="0"/>
    <x v="0"/>
    <s v="group "/>
    <s v=" "/>
    <s v=" mean of mean fluo "/>
    <x v="2"/>
    <s v=" mean of total fluo "/>
    <s v=" SD total fluo "/>
    <m/>
  </r>
  <r>
    <x v="19"/>
    <x v="9"/>
    <s v="C:\Users\andre\Desktop\REACTIV CEFAS\Cefuroxime\Cefuroxime/20201126_Cefas_Test7_Run3/Plate 4/@21/ "/>
    <s v=" "/>
    <s v=" 35.3595 "/>
    <x v="21"/>
    <s v=" 900925.625 "/>
    <s v=" 433966.228 "/>
    <m/>
  </r>
  <r>
    <x v="0"/>
    <x v="0"/>
    <s v=" "/>
    <m/>
    <m/>
    <x v="1"/>
    <m/>
    <m/>
    <m/>
  </r>
  <r>
    <x v="0"/>
    <x v="0"/>
    <s v=" "/>
    <m/>
    <m/>
    <x v="1"/>
    <m/>
    <m/>
    <m/>
  </r>
  <r>
    <x v="0"/>
    <x v="0"/>
    <s v=" "/>
    <m/>
    <m/>
    <x v="1"/>
    <m/>
    <m/>
    <m/>
  </r>
  <r>
    <x v="0"/>
    <x v="0"/>
    <s v=" "/>
    <m/>
    <m/>
    <x v="1"/>
    <m/>
    <m/>
    <m/>
  </r>
  <r>
    <x v="0"/>
    <x v="0"/>
    <s v=" "/>
    <m/>
    <m/>
    <x v="1"/>
    <m/>
    <m/>
    <m/>
  </r>
  <r>
    <x v="0"/>
    <x v="0"/>
    <s v="file name "/>
    <s v=" total area "/>
    <s v=" mean intensity "/>
    <x v="0"/>
    <s v=" total fluorescence"/>
    <m/>
    <m/>
  </r>
  <r>
    <x v="20"/>
    <x v="1"/>
    <s v="C:\Users\andre\Desktop\REACTIV CEFAS\Cefuroxime\Cefuroxime/20201126_Cefas_Test7_Run3/Plate 4/@8/A2_01- exclu.tif"/>
    <m/>
    <m/>
    <x v="1"/>
    <m/>
    <m/>
    <m/>
  </r>
  <r>
    <x v="20"/>
    <x v="1"/>
    <s v="C:\Users\andre\Desktop\REACTIV CEFAS\Cefuroxime\Cefuroxime/20201126_Cefas_Test7_Run3/Plate 4/@8/A2_02- exclu.tif"/>
    <m/>
    <m/>
    <x v="1"/>
    <m/>
    <m/>
    <m/>
  </r>
  <r>
    <x v="20"/>
    <x v="1"/>
    <s v="C:\Users\andre\Desktop\REACTIV CEFAS\Cefuroxime\Cefuroxime/20201126_Cefas_Test7_Run3/Plate 4/@8/A2_03- exclu.tif"/>
    <m/>
    <m/>
    <x v="1"/>
    <m/>
    <m/>
    <m/>
  </r>
  <r>
    <x v="20"/>
    <x v="2"/>
    <s v="C:\Users\andre\Desktop\REACTIV CEFAS\Cefuroxime\Cefuroxime/20201126_Cefas_Test7_Run3/Plate 4/@8/B2_01.tif "/>
    <s v=" 4650.4273 "/>
    <s v=" 36.1628 "/>
    <x v="0"/>
    <n v="168172"/>
    <m/>
    <m/>
  </r>
  <r>
    <x v="20"/>
    <x v="2"/>
    <s v="C:\Users\andre\Desktop\REACTIV CEFAS\Cefuroxime\Cefuroxime/20201126_Cefas_Test7_Run3/Plate 4/@8/B2_02.tif "/>
    <s v=" 9971.3814 "/>
    <s v=" 39.0933 "/>
    <x v="0"/>
    <n v="389814"/>
    <m/>
    <m/>
  </r>
  <r>
    <x v="20"/>
    <x v="2"/>
    <s v="C:\Users\andre\Desktop\REACTIV CEFAS\Cefuroxime\Cefuroxime/20201126_Cefas_Test7_Run3/Plate 4/@8/B2_03.tif "/>
    <s v=" 9517.1536 "/>
    <s v=" 38.8205 "/>
    <x v="0"/>
    <n v="369460"/>
    <m/>
    <m/>
  </r>
  <r>
    <x v="20"/>
    <x v="3"/>
    <s v="C:\Users\andre\Desktop\REACTIV CEFAS\Cefuroxime\Cefuroxime/20201126_Cefas_Test7_Run3/Plate 4/@8/C2_01.tif "/>
    <s v=" 4434.1284 "/>
    <s v=" 38.6976 "/>
    <x v="0"/>
    <n v="171590"/>
    <m/>
    <m/>
  </r>
  <r>
    <x v="20"/>
    <x v="3"/>
    <s v="C:\Users\andre\Desktop\REACTIV CEFAS\Cefuroxime\Cefuroxime/20201126_Cefas_Test7_Run3/Plate 4/@8/C2_02.tif "/>
    <s v=" 7981.4311 "/>
    <s v=" 41.336 "/>
    <x v="0"/>
    <n v="329921"/>
    <m/>
    <m/>
  </r>
  <r>
    <x v="20"/>
    <x v="3"/>
    <s v="C:\Users\andre\Desktop\REACTIV CEFAS\Cefuroxime\Cefuroxime/20201126_Cefas_Test7_Run3/Plate 4/@8/C2_03.tif "/>
    <s v=" 627.2669 "/>
    <s v=" 32.6552 "/>
    <x v="0"/>
    <n v="20484"/>
    <m/>
    <m/>
  </r>
  <r>
    <x v="20"/>
    <x v="4"/>
    <s v="C:\Users\andre\Desktop\REACTIV CEFAS\Cefuroxime\Cefuroxime/20201126_Cefas_Test7_Run3/Plate 4/@8/D2_01.tif "/>
    <s v=" 9192.7052 "/>
    <s v=" 43.6376 "/>
    <x v="0"/>
    <n v="401148"/>
    <m/>
    <m/>
  </r>
  <r>
    <x v="20"/>
    <x v="4"/>
    <s v="C:\Users\andre\Desktop\REACTIV CEFAS\Cefuroxime\Cefuroxime/20201126_Cefas_Test7_Run3/Plate 4/@8/D2_02.tif "/>
    <s v=" 10577.0185 "/>
    <s v=" 46.2904 "/>
    <x v="0"/>
    <n v="489614"/>
    <m/>
    <m/>
  </r>
  <r>
    <x v="20"/>
    <x v="4"/>
    <s v="C:\Users\andre\Desktop\REACTIV CEFAS\Cefuroxime\Cefuroxime/20201126_Cefas_Test7_Run3/Plate 4/@8/D2_03.tif "/>
    <s v=" 10425.6092 "/>
    <s v=" 46.9108 "/>
    <x v="0"/>
    <n v="489074"/>
    <m/>
    <m/>
  </r>
  <r>
    <x v="20"/>
    <x v="5"/>
    <s v="C:\Users\andre\Desktop\REACTIV CEFAS\Cefuroxime\Cefuroxime/20201126_Cefas_Test7_Run3/Plate 4/@8/E2_01.tif "/>
    <s v=" 2422.5482 "/>
    <s v=" 34.7589 "/>
    <x v="0"/>
    <n v="84205"/>
    <m/>
    <m/>
  </r>
  <r>
    <x v="20"/>
    <x v="5"/>
    <s v="C:\Users\andre\Desktop\REACTIV CEFAS\Cefuroxime\Cefuroxime/20201126_Cefas_Test7_Run3/Plate 4/@8/E2_02.tif "/>
    <s v=" 3114.7048 "/>
    <s v=" 35.0764 "/>
    <x v="0"/>
    <n v="109253"/>
    <m/>
    <m/>
  </r>
  <r>
    <x v="20"/>
    <x v="5"/>
    <s v="C:\Users\andre\Desktop\REACTIV CEFAS\Cefuroxime\Cefuroxime/20201126_Cefas_Test7_Run3/Plate 4/@8/E2_03.tif "/>
    <s v=" 1816.9111 "/>
    <s v=" 34.75 "/>
    <x v="0"/>
    <n v="63138"/>
    <m/>
    <m/>
  </r>
  <r>
    <x v="20"/>
    <x v="6"/>
    <s v="C:\Users\andre\Desktop\REACTIV CEFAS\Cefuroxime\Cefuroxime/20201126_Cefas_Test7_Run3/Plate 4/@8/F2_01.tif "/>
    <s v=" 5320.9541 "/>
    <s v=" 36.0732 "/>
    <x v="0"/>
    <n v="191944"/>
    <m/>
    <m/>
  </r>
  <r>
    <x v="20"/>
    <x v="6"/>
    <s v="C:\Users\andre\Desktop\REACTIV CEFAS\Cefuroxime\Cefuroxime/20201126_Cefas_Test7_Run3/Plate 4/@8/F2_02.tif "/>
    <s v=" 3525.6728 "/>
    <s v=" 36.5215 "/>
    <x v="0"/>
    <n v="128763"/>
    <m/>
    <m/>
  </r>
  <r>
    <x v="20"/>
    <x v="6"/>
    <s v="C:\Users\andre\Desktop\REACTIV CEFAS\Cefuroxime\Cefuroxime/20201126_Cefas_Test7_Run3/Plate 4/@8/F2_03.tif "/>
    <n v="0"/>
    <n v="0"/>
    <x v="0"/>
    <n v="0"/>
    <m/>
    <m/>
  </r>
  <r>
    <x v="20"/>
    <x v="7"/>
    <s v="C:\Users\andre\Desktop\REACTIV CEFAS\Cefuroxime\Cefuroxime/20201126_Cefas_Test7_Run3/Plate 4/@8/G2_01.tif "/>
    <s v=" 7159.4951 "/>
    <s v=" 36.4622 "/>
    <x v="0"/>
    <n v="261051"/>
    <m/>
    <m/>
  </r>
  <r>
    <x v="20"/>
    <x v="7"/>
    <s v="C:\Users\andre\Desktop\REACTIV CEFAS\Cefuroxime\Cefuroxime/20201126_Cefas_Test7_Run3/Plate 4/@8/G2_02.tif "/>
    <s v=" 7462.3136 "/>
    <s v=" 36.0754 "/>
    <x v="0"/>
    <n v="269206"/>
    <m/>
    <m/>
  </r>
  <r>
    <x v="20"/>
    <x v="7"/>
    <s v="C:\Users\andre\Desktop\REACTIV CEFAS\Cefuroxime\Cefuroxime/20201126_Cefas_Test7_Run3/Plate 4/@8/G2_03.tif "/>
    <s v=" 7159.4951 "/>
    <s v=" 35.9215 "/>
    <x v="0"/>
    <n v="257179"/>
    <m/>
    <m/>
  </r>
  <r>
    <x v="20"/>
    <x v="8"/>
    <s v="C:\Users\andre\Desktop\REACTIV CEFAS\Cefuroxime\Cefuroxime/20201126_Cefas_Test7_Run3/Plate 4/@8/H2_01.tif "/>
    <n v="0"/>
    <n v="0"/>
    <x v="0"/>
    <n v="0"/>
    <m/>
    <m/>
  </r>
  <r>
    <x v="20"/>
    <x v="8"/>
    <s v="C:\Users\andre\Desktop\REACTIV CEFAS\Cefuroxime\Cefuroxime/20201126_Cefas_Test7_Run3/Plate 4/@8/H2_02.tif "/>
    <s v=" 7786.7621 "/>
    <s v=" 37.1 "/>
    <x v="0"/>
    <n v="288889"/>
    <m/>
    <m/>
  </r>
  <r>
    <x v="20"/>
    <x v="8"/>
    <s v="C:\Users\andre\Desktop\REACTIV CEFAS\Cefuroxime\Cefuroxime/20201126_Cefas_Test7_Run3/Plate 4/@8/H2_03.tif "/>
    <s v=" 8738.4774 "/>
    <s v=" 38.0248 "/>
    <x v="0"/>
    <n v="332278"/>
    <m/>
    <m/>
  </r>
  <r>
    <x v="0"/>
    <x v="0"/>
    <s v=" "/>
    <m/>
    <m/>
    <x v="1"/>
    <m/>
    <m/>
    <m/>
  </r>
  <r>
    <x v="0"/>
    <x v="0"/>
    <s v="group "/>
    <s v=" "/>
    <s v=" mean of mean fluo "/>
    <x v="2"/>
    <s v=" mean of total fluo "/>
    <s v=" SD total fluo "/>
    <m/>
  </r>
  <r>
    <x v="20"/>
    <x v="9"/>
    <s v="C:\Users\andre\Desktop\REACTIV CEFAS\Cefuroxime\Cefuroxime/20201126_Cefas_Test7_Run3/Plate 4/@8/ "/>
    <s v=" "/>
    <s v=" 30.182 "/>
    <x v="22"/>
    <s v=" 200632.625 "/>
    <s v=" 162355.191 "/>
    <m/>
  </r>
  <r>
    <x v="0"/>
    <x v="0"/>
    <s v=" "/>
    <m/>
    <m/>
    <x v="1"/>
    <m/>
    <m/>
    <m/>
  </r>
  <r>
    <x v="0"/>
    <x v="0"/>
    <s v=" "/>
    <m/>
    <m/>
    <x v="1"/>
    <m/>
    <m/>
    <m/>
  </r>
  <r>
    <x v="0"/>
    <x v="0"/>
    <s v=" "/>
    <m/>
    <m/>
    <x v="1"/>
    <m/>
    <m/>
    <m/>
  </r>
  <r>
    <x v="0"/>
    <x v="0"/>
    <s v=" "/>
    <m/>
    <m/>
    <x v="1"/>
    <m/>
    <m/>
    <m/>
  </r>
  <r>
    <x v="0"/>
    <x v="0"/>
    <s v=" "/>
    <m/>
    <m/>
    <x v="1"/>
    <m/>
    <m/>
    <m/>
  </r>
  <r>
    <x v="0"/>
    <x v="0"/>
    <s v="file name "/>
    <s v=" total area "/>
    <s v=" mean intensity "/>
    <x v="0"/>
    <s v=" total fluorescence"/>
    <m/>
    <m/>
  </r>
  <r>
    <x v="21"/>
    <x v="1"/>
    <s v="C:\Users\andre\Desktop\REACTIV CEFAS\Cefuroxime\Cefuroxime/20201126_Cefas_Test7_Run3/Plate 4/@9/A3_01.tif "/>
    <s v=" 8608.6981 "/>
    <s v=" 39.5025 "/>
    <x v="0"/>
    <n v="340065"/>
    <m/>
    <m/>
  </r>
  <r>
    <x v="21"/>
    <x v="1"/>
    <s v="C:\Users\andre\Desktop\REACTIV CEFAS\Cefuroxime\Cefuroxime/20201126_Cefas_Test7_Run3/Plate 4/@9/A3_02.tif "/>
    <s v=" 7894.9115 "/>
    <s v=" 35.5671 "/>
    <x v="0"/>
    <n v="280799"/>
    <m/>
    <m/>
  </r>
  <r>
    <x v="21"/>
    <x v="1"/>
    <s v="C:\Users\andre\Desktop\REACTIV CEFAS\Cefuroxime\Cefuroxime/20201126_Cefas_Test7_Run3/Plate 4/@9/A3_03.tif "/>
    <s v=" 8954.7764 "/>
    <s v=" 39.0193 "/>
    <x v="0"/>
    <n v="349409"/>
    <m/>
    <m/>
  </r>
  <r>
    <x v="21"/>
    <x v="2"/>
    <s v="C:\Users\andre\Desktop\REACTIV CEFAS\Cefuroxime\Cefuroxime/20201126_Cefas_Test7_Run3/Plate 4/@9/B3_01.tif "/>
    <s v=" 7765.1322 "/>
    <s v=" 35.2758 "/>
    <x v="0"/>
    <n v="273921"/>
    <m/>
    <m/>
  </r>
  <r>
    <x v="21"/>
    <x v="2"/>
    <s v="C:\Users\andre\Desktop\REACTIV CEFAS\Cefuroxime\Cefuroxime/20201126_Cefas_Test7_Run3/Plate 4/@9/B3_02.tif "/>
    <s v=" 5126.285 "/>
    <s v=" 34.6878 "/>
    <x v="0"/>
    <n v="177819"/>
    <m/>
    <m/>
  </r>
  <r>
    <x v="21"/>
    <x v="2"/>
    <s v="C:\Users\andre\Desktop\REACTIV CEFAS\Cefuroxime\Cefuroxime/20201126_Cefas_Test7_Run3/Plate 4/@9/B3_03.tif "/>
    <s v=" 3417.5234 "/>
    <s v=" 34.3608 "/>
    <x v="0"/>
    <n v="117429"/>
    <m/>
    <m/>
  </r>
  <r>
    <x v="21"/>
    <x v="3"/>
    <s v="C:\Users\andre\Desktop\REACTIV CEFAS\Cefuroxime\Cefuroxime/20201126_Cefas_Test7_Run3/Plate 4/@9/C3_01.tif "/>
    <s v=" 6597.1179 "/>
    <s v=" 36.259 "/>
    <x v="0"/>
    <n v="239205"/>
    <m/>
    <m/>
  </r>
  <r>
    <x v="21"/>
    <x v="3"/>
    <s v="C:\Users\andre\Desktop\REACTIV CEFAS\Cefuroxime\Cefuroxime/20201126_Cefas_Test7_Run3/Plate 4/@9/C3_02.tif "/>
    <s v=" 4174.5697 "/>
    <s v=" 34.4352 "/>
    <x v="0"/>
    <n v="143752"/>
    <m/>
    <m/>
  </r>
  <r>
    <x v="21"/>
    <x v="3"/>
    <s v="C:\Users\andre\Desktop\REACTIV CEFAS\Cefuroxime\Cefuroxime/20201126_Cefas_Test7_Run3/Plate 4/@9/C3_03.tif "/>
    <s v=" 4325.9789 "/>
    <s v=" 38.035 "/>
    <x v="0"/>
    <n v="164539"/>
    <m/>
    <m/>
  </r>
  <r>
    <x v="21"/>
    <x v="4"/>
    <s v="C:\Users\andre\Desktop\REACTIV CEFAS\Cefuroxime\Cefuroxime/20201126_Cefas_Test7_Run3/Plate 4/@9/D3_01.tif "/>
    <s v=" 281.1886 "/>
    <s v=" 31.3846 "/>
    <x v="0"/>
    <n v="8825"/>
    <m/>
    <m/>
  </r>
  <r>
    <x v="21"/>
    <x v="4"/>
    <s v="C:\Users\andre\Desktop\REACTIV CEFAS\Cefuroxime\Cefuroxime/20201126_Cefas_Test7_Run3/Plate 4/@9/D3_02.tif "/>
    <s v=" 8154.4703 "/>
    <s v=" 45.8011 "/>
    <x v="0"/>
    <n v="373483"/>
    <m/>
    <m/>
  </r>
  <r>
    <x v="21"/>
    <x v="4"/>
    <s v="C:\Users\andre\Desktop\REACTIV CEFAS\Cefuroxime\Cefuroxime/20201126_Cefas_Test7_Run3/Plate 4/@9/D3_03.tif "/>
    <s v=" 648.8968 "/>
    <n v="31"/>
    <x v="0"/>
    <n v="20116"/>
    <m/>
    <m/>
  </r>
  <r>
    <x v="21"/>
    <x v="5"/>
    <s v="C:\Users\andre\Desktop\REACTIV CEFAS\Cefuroxime\Cefuroxime/20201126_Cefas_Test7_Run3/Plate 4/@9/E3_01.tif "/>
    <s v=" 4585.5377 "/>
    <s v=" 38.3868 "/>
    <x v="0"/>
    <n v="176024"/>
    <m/>
    <m/>
  </r>
  <r>
    <x v="21"/>
    <x v="5"/>
    <s v="C:\Users\andre\Desktop\REACTIV CEFAS\Cefuroxime\Cefuroxime/20201126_Cefas_Test7_Run3/Plate 4/@9/E3_02.tif "/>
    <s v=" 4563.9078 "/>
    <s v=" 35.4645 "/>
    <x v="0"/>
    <n v="161857"/>
    <m/>
    <m/>
  </r>
  <r>
    <x v="21"/>
    <x v="5"/>
    <s v="C:\Users\andre\Desktop\REACTIV CEFAS\Cefuroxime\Cefuroxime/20201126_Cefas_Test7_Run3/Plate 4/@9/E3_03.tif "/>
    <s v=" 6770.157 "/>
    <s v=" 38.3035 "/>
    <x v="0"/>
    <n v="259321"/>
    <m/>
    <m/>
  </r>
  <r>
    <x v="21"/>
    <x v="6"/>
    <s v="C:\Users\andre\Desktop\REACTIV CEFAS\Cefuroxime\Cefuroxime/20201126_Cefas_Test7_Run3/Plate 4/@9/F3_01.tif "/>
    <n v="0"/>
    <n v="0"/>
    <x v="0"/>
    <n v="0"/>
    <m/>
    <m/>
  </r>
  <r>
    <x v="21"/>
    <x v="6"/>
    <s v="C:\Users\andre\Desktop\REACTIV CEFAS\Cefuroxime\Cefuroxime/20201126_Cefas_Test7_Run3/Plate 4/@9/F3_02.tif "/>
    <s v=" 3374.2636 "/>
    <s v=" 35.7308 "/>
    <x v="0"/>
    <n v="120565"/>
    <m/>
    <m/>
  </r>
  <r>
    <x v="21"/>
    <x v="6"/>
    <s v="C:\Users\andre\Desktop\REACTIV CEFAS\Cefuroxime\Cefuroxime/20201126_Cefas_Test7_Run3/Plate 4/@9/F3_03.tif "/>
    <s v=" 3287.744 "/>
    <s v=" 36.3618 "/>
    <x v="0"/>
    <n v="119548"/>
    <m/>
    <m/>
  </r>
  <r>
    <x v="21"/>
    <x v="7"/>
    <s v="C:\Users\andre\Desktop\REACTIV CEFAS\Cefuroxime\Cefuroxime/20201126_Cefas_Test7_Run3/Plate 4/@9/G3_01.tif "/>
    <s v=" 3785.2316 "/>
    <s v=" 33.76 "/>
    <x v="0"/>
    <n v="127789"/>
    <m/>
    <m/>
  </r>
  <r>
    <x v="21"/>
    <x v="7"/>
    <s v="C:\Users\andre\Desktop\REACTIV CEFAS\Cefuroxime\Cefuroxime/20201126_Cefas_Test7_Run3/Plate 4/@9/G3_02- exclu.tif"/>
    <m/>
    <m/>
    <x v="1"/>
    <m/>
    <m/>
    <m/>
  </r>
  <r>
    <x v="21"/>
    <x v="7"/>
    <s v="C:\Users\andre\Desktop\REACTIV CEFAS\Cefuroxime\Cefuroxime/20201126_Cefas_Test7_Run3/Plate 4/@9/G3_03.tif "/>
    <s v=" 3244.4842 "/>
    <s v=" 34.2733 "/>
    <x v="0"/>
    <n v="111199"/>
    <m/>
    <m/>
  </r>
  <r>
    <x v="21"/>
    <x v="8"/>
    <s v="C:\Users\andre\Desktop\REACTIV CEFAS\Cefuroxime\Cefuroxime/20201126_Cefas_Test7_Run3/Plate 4/@9/H3_01.tif "/>
    <s v=" 11290.805 "/>
    <s v=" 47.3985 "/>
    <x v="0"/>
    <n v="535167"/>
    <m/>
    <m/>
  </r>
  <r>
    <x v="21"/>
    <x v="8"/>
    <s v="C:\Users\andre\Desktop\REACTIV CEFAS\Cefuroxime\Cefuroxime/20201126_Cefas_Test7_Run3/Plate 4/@9/H3_02.tif "/>
    <n v="0"/>
    <n v="0"/>
    <x v="0"/>
    <n v="0"/>
    <m/>
    <m/>
  </r>
  <r>
    <x v="21"/>
    <x v="8"/>
    <s v="C:\Users\andre\Desktop\REACTIV CEFAS\Cefuroxime\Cefuroxime/20201126_Cefas_Test7_Run3/Plate 4/@9/H3_03.tif "/>
    <s v=" 1297.7937 "/>
    <s v=" 36.65 "/>
    <x v="0"/>
    <n v="47564"/>
    <m/>
    <m/>
  </r>
  <r>
    <x v="0"/>
    <x v="0"/>
    <s v=" "/>
    <m/>
    <m/>
    <x v="1"/>
    <m/>
    <m/>
    <m/>
  </r>
  <r>
    <x v="0"/>
    <x v="0"/>
    <s v="group "/>
    <s v=" "/>
    <s v=" mean of mean fluo "/>
    <x v="2"/>
    <s v=" mean of total fluo "/>
    <s v=" SD total fluo "/>
    <m/>
  </r>
  <r>
    <x v="21"/>
    <x v="9"/>
    <s v="C:\Users\andre\Desktop\REACTIV CEFAS\Cefuroxime\Cefuroxime/20201126_Cefas_Test7_Run3/Plate 4/@9/ "/>
    <s v=" "/>
    <s v=" 34.0337 "/>
    <x v="23"/>
    <s v=" 201334.583 "/>
    <s v=" 167730.219 "/>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n v="1E-3"/>
    <s v="mg/L"/>
    <s v="Cefuroxime"/>
    <x v="0"/>
  </r>
  <r>
    <x v="9"/>
    <x v="1"/>
    <n v="0.01"/>
    <s v="mg/L"/>
    <s v="Cefuroxime"/>
    <x v="0"/>
  </r>
  <r>
    <x v="10"/>
    <x v="1"/>
    <n v="0.1"/>
    <s v="mg/L"/>
    <s v="Cefuroxime"/>
    <x v="0"/>
  </r>
  <r>
    <x v="11"/>
    <x v="1"/>
    <n v="1"/>
    <s v="mg/L"/>
    <s v="Cefuroxime"/>
    <x v="0"/>
  </r>
  <r>
    <x v="12"/>
    <x v="1"/>
    <n v="10"/>
    <s v="mg/L"/>
    <s v="Cefuroxime"/>
    <x v="0"/>
  </r>
  <r>
    <x v="13"/>
    <x v="2"/>
    <m/>
    <m/>
    <m/>
    <x v="0"/>
  </r>
  <r>
    <x v="13"/>
    <x v="2"/>
    <m/>
    <m/>
    <m/>
    <x v="0"/>
  </r>
  <r>
    <x v="13"/>
    <x v="2"/>
    <m/>
    <m/>
    <m/>
    <x v="0"/>
  </r>
  <r>
    <x v="13"/>
    <x v="2"/>
    <m/>
    <m/>
    <m/>
    <x v="0"/>
  </r>
  <r>
    <x v="13"/>
    <x v="2"/>
    <m/>
    <m/>
    <m/>
    <x v="0"/>
  </r>
  <r>
    <x v="13"/>
    <x v="2"/>
    <m/>
    <m/>
    <m/>
    <x v="0"/>
  </r>
  <r>
    <x v="13"/>
    <x v="2"/>
    <m/>
    <m/>
    <m/>
    <x v="0"/>
  </r>
  <r>
    <x v="13"/>
    <x v="2"/>
    <m/>
    <m/>
    <m/>
    <x v="0"/>
  </r>
  <r>
    <x v="13"/>
    <x v="2"/>
    <m/>
    <m/>
    <m/>
    <x v="0"/>
  </r>
  <r>
    <x v="13"/>
    <x v="2"/>
    <m/>
    <m/>
    <m/>
    <x v="0"/>
  </r>
  <r>
    <x v="13"/>
    <x v="2"/>
    <m/>
    <m/>
    <m/>
    <x v="0"/>
  </r>
  <r>
    <x v="13"/>
    <x v="2"/>
    <m/>
    <m/>
    <m/>
    <x v="0"/>
  </r>
  <r>
    <x v="13"/>
    <x v="2"/>
    <m/>
    <m/>
    <m/>
    <x v="0"/>
  </r>
  <r>
    <x v="13"/>
    <x v="2"/>
    <m/>
    <m/>
    <m/>
    <x v="0"/>
  </r>
  <r>
    <x v="13"/>
    <x v="2"/>
    <m/>
    <m/>
    <m/>
    <x v="0"/>
  </r>
  <r>
    <x v="13"/>
    <x v="2"/>
    <m/>
    <m/>
    <m/>
    <x v="0"/>
  </r>
  <r>
    <x v="14"/>
    <x v="0"/>
    <n v="30"/>
    <s v="µg/L"/>
    <s v="Testo "/>
    <x v="0"/>
  </r>
  <r>
    <x v="15"/>
    <x v="0"/>
    <n v="64"/>
    <s v="ng/L"/>
    <s v="Testo 30µg/L + EE2 "/>
    <x v="0"/>
  </r>
  <r>
    <x v="16"/>
    <x v="0"/>
    <n v="10"/>
    <s v="mg/L"/>
    <s v="Testo 30µg/L + FAD"/>
    <x v="0"/>
  </r>
  <r>
    <x v="17"/>
    <x v="1"/>
    <n v="1E-3"/>
    <s v="mg/L"/>
    <s v="Cefuroxime"/>
    <x v="1"/>
  </r>
  <r>
    <x v="18"/>
    <x v="1"/>
    <n v="0.01"/>
    <s v="mg/L"/>
    <s v="Cefuroxime"/>
    <x v="1"/>
  </r>
  <r>
    <x v="19"/>
    <x v="1"/>
    <n v="0.1"/>
    <s v="mg/L"/>
    <s v="Cefuroxime"/>
    <x v="1"/>
  </r>
  <r>
    <x v="20"/>
    <x v="1"/>
    <n v="1"/>
    <s v="mg/L"/>
    <s v="Cefuroxime"/>
    <x v="1"/>
  </r>
  <r>
    <x v="21"/>
    <x v="1"/>
    <n v="10"/>
    <s v="mg/L"/>
    <s v="Cefuroxime"/>
    <x v="1"/>
  </r>
  <r>
    <x v="22"/>
    <x v="3"/>
    <n v="0"/>
    <n v="0"/>
    <n v="0"/>
    <x v="1"/>
  </r>
  <r>
    <x v="22"/>
    <x v="3"/>
    <n v="0"/>
    <n v="0"/>
    <n v="0"/>
    <x v="1"/>
  </r>
  <r>
    <x v="22"/>
    <x v="3"/>
    <n v="0"/>
    <n v="0"/>
    <n v="0"/>
    <x v="1"/>
  </r>
  <r>
    <x v="22"/>
    <x v="3"/>
    <n v="0"/>
    <n v="0"/>
    <n v="0"/>
    <x v="1"/>
  </r>
  <r>
    <x v="22"/>
    <x v="3"/>
    <n v="0"/>
    <n v="0"/>
    <n v="0"/>
    <x v="1"/>
  </r>
  <r>
    <x v="22"/>
    <x v="3"/>
    <n v="0"/>
    <n v="0"/>
    <n v="0"/>
    <x v="1"/>
  </r>
  <r>
    <x v="22"/>
    <x v="3"/>
    <n v="0"/>
    <n v="0"/>
    <n v="0"/>
    <x v="1"/>
  </r>
  <r>
    <x v="22"/>
    <x v="3"/>
    <n v="0"/>
    <n v="0"/>
    <n v="0"/>
    <x v="1"/>
  </r>
  <r>
    <x v="22"/>
    <x v="3"/>
    <n v="0"/>
    <n v="0"/>
    <n v="0"/>
    <x v="1"/>
  </r>
  <r>
    <x v="22"/>
    <x v="3"/>
    <n v="0"/>
    <n v="0"/>
    <n v="0"/>
    <x v="1"/>
  </r>
  <r>
    <x v="22"/>
    <x v="3"/>
    <n v="0"/>
    <n v="0"/>
    <n v="0"/>
    <x v="1"/>
  </r>
  <r>
    <x v="22"/>
    <x v="3"/>
    <n v="0"/>
    <n v="0"/>
    <n v="0"/>
    <x v="1"/>
  </r>
  <r>
    <x v="22"/>
    <x v="3"/>
    <n v="0"/>
    <n v="0"/>
    <n v="0"/>
    <x v="1"/>
  </r>
  <r>
    <x v="22"/>
    <x v="3"/>
    <n v="0"/>
    <n v="0"/>
    <n v="0"/>
    <x v="1"/>
  </r>
  <r>
    <x v="22"/>
    <x v="3"/>
    <n v="0"/>
    <n v="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12"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9">
    <pivotField axis="axisCol" subtotalTop="0" showAll="0">
      <items count="24">
        <item m="1" x="22"/>
        <item x="0"/>
        <item x="1"/>
        <item x="2"/>
        <item x="3"/>
        <item x="4"/>
        <item x="5"/>
        <item x="6"/>
        <item x="7"/>
        <item x="8"/>
        <item x="9"/>
        <item x="10"/>
        <item x="11"/>
        <item x="12"/>
        <item x="13"/>
        <item x="14"/>
        <item x="15"/>
        <item x="16"/>
        <item x="17"/>
        <item x="18"/>
        <item x="19"/>
        <item x="20"/>
        <item x="21"/>
        <item t="default"/>
      </items>
    </pivotField>
    <pivotField axis="axisRow" subtotalTop="0" showAll="0" sortType="ascending">
      <items count="11">
        <item h="1" x="9"/>
        <item x="1"/>
        <item x="2"/>
        <item x="3"/>
        <item x="4"/>
        <item x="5"/>
        <item x="6"/>
        <item x="7"/>
        <item x="8"/>
        <item h="1" x="0"/>
        <item t="default"/>
      </items>
    </pivotField>
    <pivotField subtotalTop="0" showAll="0"/>
    <pivotField subtotalTop="0" showAll="0"/>
    <pivotField subtotalTop="0" showAll="0"/>
    <pivotField axis="axisPage" subtotalTop="0" showAll="0">
      <items count="35">
        <item x="1"/>
        <item x="0"/>
        <item x="2"/>
        <item x="3"/>
        <item x="4"/>
        <item x="5"/>
        <item x="6"/>
        <item x="7"/>
        <item x="8"/>
        <item x="9"/>
        <item x="10"/>
        <item x="11"/>
        <item x="12"/>
        <item x="13"/>
        <item m="1" x="32"/>
        <item m="1" x="33"/>
        <item m="1" x="27"/>
        <item m="1" x="28"/>
        <item m="1" x="31"/>
        <item m="1" x="29"/>
        <item m="1" x="25"/>
        <item m="1" x="30"/>
        <item m="1" x="24"/>
        <item m="1" x="26"/>
        <item x="14"/>
        <item x="15"/>
        <item x="16"/>
        <item x="17"/>
        <item x="18"/>
        <item x="19"/>
        <item x="20"/>
        <item x="21"/>
        <item x="22"/>
        <item x="23"/>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21">
    <i>
      <x v="2"/>
    </i>
    <i>
      <x v="3"/>
    </i>
    <i>
      <x v="4"/>
    </i>
    <i>
      <x v="5"/>
    </i>
    <i>
      <x v="6"/>
    </i>
    <i>
      <x v="7"/>
    </i>
    <i>
      <x v="8"/>
    </i>
    <i>
      <x v="9"/>
    </i>
    <i>
      <x v="10"/>
    </i>
    <i>
      <x v="11"/>
    </i>
    <i>
      <x v="12"/>
    </i>
    <i>
      <x v="13"/>
    </i>
    <i>
      <x v="14"/>
    </i>
    <i>
      <x v="15"/>
    </i>
    <i>
      <x v="16"/>
    </i>
    <i>
      <x v="17"/>
    </i>
    <i>
      <x v="18"/>
    </i>
    <i>
      <x v="19"/>
    </i>
    <i>
      <x v="20"/>
    </i>
    <i>
      <x v="21"/>
    </i>
    <i>
      <x v="22"/>
    </i>
  </colItems>
  <pageFields count="1">
    <pageField fld="5" hier="-1"/>
  </pageFields>
  <dataFields count="1">
    <dataField name="Moyenne de  total fluorescence" fld="6" subtotal="average" baseField="1" baseItem="0"/>
  </dataFields>
  <formats count="2">
    <format dxfId="32">
      <pivotArea field="1" type="button" dataOnly="0" labelOnly="1" outline="0" axis="axisRow" fieldPosition="0"/>
    </format>
    <format dxfId="31">
      <pivotArea dataOnly="0" labelOnly="1" fieldPosition="0">
        <references count="1">
          <reference field="0" count="21">
            <x v="2"/>
            <x v="3"/>
            <x v="4"/>
            <x v="5"/>
            <x v="6"/>
            <x v="7"/>
            <x v="8"/>
            <x v="9"/>
            <x v="10"/>
            <x v="11"/>
            <x v="12"/>
            <x v="13"/>
            <x v="14"/>
            <x v="15"/>
            <x v="16"/>
            <x v="17"/>
            <x v="18"/>
            <x v="19"/>
            <x v="20"/>
            <x v="21"/>
            <x v="2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13"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9">
    <pivotField axis="axisCol" subtotalTop="0" showAll="0">
      <items count="23">
        <item x="0"/>
        <item x="1"/>
        <item x="2"/>
        <item x="3"/>
        <item x="4"/>
        <item x="5"/>
        <item x="6"/>
        <item x="7"/>
        <item x="8"/>
        <item x="9"/>
        <item x="10"/>
        <item x="11"/>
        <item x="12"/>
        <item x="13"/>
        <item x="14"/>
        <item x="15"/>
        <item x="16"/>
        <item x="17"/>
        <item x="18"/>
        <item x="19"/>
        <item x="20"/>
        <item x="21"/>
        <item t="default"/>
      </items>
    </pivotField>
    <pivotField axis="axisRow" subtotalTop="0" showAll="0">
      <items count="11">
        <item h="1" x="0"/>
        <item x="1"/>
        <item x="2"/>
        <item x="3"/>
        <item x="4"/>
        <item x="5"/>
        <item x="6"/>
        <item x="7"/>
        <item x="8"/>
        <item h="1" x="9"/>
        <item t="default"/>
      </items>
    </pivotField>
    <pivotField subtotalTop="0" showAll="0"/>
    <pivotField subtotalTop="0" showAll="0"/>
    <pivotField subtotalTop="0" showAll="0"/>
    <pivotField axis="axisPage" subtotalTop="0" showAll="0">
      <items count="35">
        <item x="1"/>
        <item x="0"/>
        <item x="2"/>
        <item x="3"/>
        <item x="4"/>
        <item x="5"/>
        <item x="6"/>
        <item x="7"/>
        <item x="8"/>
        <item x="9"/>
        <item x="10"/>
        <item x="11"/>
        <item x="12"/>
        <item x="13"/>
        <item m="1" x="30"/>
        <item m="1" x="31"/>
        <item m="1" x="28"/>
        <item m="1" x="27"/>
        <item m="1" x="33"/>
        <item m="1" x="32"/>
        <item m="1" x="26"/>
        <item m="1" x="25"/>
        <item m="1" x="24"/>
        <item m="1" x="29"/>
        <item x="14"/>
        <item x="15"/>
        <item x="16"/>
        <item x="17"/>
        <item x="18"/>
        <item x="19"/>
        <item x="20"/>
        <item x="21"/>
        <item x="22"/>
        <item x="23"/>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14"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9">
    <pivotField axis="axisCol" subtotalTop="0" showAll="0">
      <items count="23">
        <item x="0"/>
        <item x="1"/>
        <item x="2"/>
        <item x="3"/>
        <item x="4"/>
        <item x="5"/>
        <item x="6"/>
        <item x="7"/>
        <item x="8"/>
        <item x="9"/>
        <item x="10"/>
        <item x="11"/>
        <item x="12"/>
        <item x="13"/>
        <item x="14"/>
        <item x="15"/>
        <item x="16"/>
        <item x="17"/>
        <item x="18"/>
        <item x="19"/>
        <item x="20"/>
        <item x="21"/>
        <item t="default"/>
      </items>
    </pivotField>
    <pivotField axis="axisRow" subtotalTop="0" showAll="0">
      <items count="11">
        <item h="1" x="0"/>
        <item x="1"/>
        <item x="2"/>
        <item x="3"/>
        <item x="4"/>
        <item x="5"/>
        <item x="6"/>
        <item x="7"/>
        <item x="8"/>
        <item h="1" x="9"/>
        <item t="default"/>
      </items>
    </pivotField>
    <pivotField subtotalTop="0" showAll="0"/>
    <pivotField subtotalTop="0" showAll="0"/>
    <pivotField subtotalTop="0" showAll="0"/>
    <pivotField axis="axisPage" subtotalTop="0" showAll="0">
      <items count="36">
        <item x="1"/>
        <item x="0"/>
        <item x="2"/>
        <item x="3"/>
        <item x="4"/>
        <item x="5"/>
        <item x="6"/>
        <item x="7"/>
        <item m="1" x="27"/>
        <item x="9"/>
        <item x="10"/>
        <item x="11"/>
        <item x="12"/>
        <item x="13"/>
        <item m="1" x="28"/>
        <item m="1" x="34"/>
        <item m="1" x="30"/>
        <item m="1" x="24"/>
        <item m="1" x="26"/>
        <item m="1" x="33"/>
        <item m="1" x="31"/>
        <item m="1" x="29"/>
        <item m="1" x="32"/>
        <item m="1" x="25"/>
        <item x="8"/>
        <item x="14"/>
        <item x="15"/>
        <item x="16"/>
        <item x="17"/>
        <item x="18"/>
        <item x="19"/>
        <item x="20"/>
        <item x="21"/>
        <item x="22"/>
        <item x="23"/>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15"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U5:U6" firstHeaderRow="1" firstDataRow="1" firstDataCol="1" rowPageCount="2" colPageCount="1"/>
  <pivotFields count="6">
    <pivotField axis="axisRow" showAll="0" defaultSubtotal="0">
      <items count="34">
        <item x="22"/>
        <item x="13"/>
        <item x="1"/>
        <item x="2"/>
        <item x="3"/>
        <item x="4"/>
        <item x="5"/>
        <item x="6"/>
        <item x="7"/>
        <item x="15"/>
        <item x="16"/>
        <item x="14"/>
        <item x="0"/>
        <item m="1" x="32"/>
        <item m="1" x="30"/>
        <item m="1" x="31"/>
        <item m="1" x="26"/>
        <item m="1" x="24"/>
        <item m="1" x="27"/>
        <item m="1" x="28"/>
        <item m="1" x="29"/>
        <item m="1" x="25"/>
        <item m="1" x="33"/>
        <item m="1" x="23"/>
        <item x="8"/>
        <item x="9"/>
        <item x="10"/>
        <item x="11"/>
        <item x="12"/>
        <item x="17"/>
        <item x="18"/>
        <item x="19"/>
        <item x="20"/>
        <item x="21"/>
      </items>
    </pivotField>
    <pivotField axis="axisPage" multipleItemSelectionAllowed="1" showAll="0" defaultSubtotal="0">
      <items count="4">
        <item x="3"/>
        <item h="1" x="0"/>
        <item x="2"/>
        <item h="1"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15"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Q5:Q6" firstHeaderRow="1" firstDataRow="1" firstDataCol="1" rowPageCount="2" colPageCount="1"/>
  <pivotFields count="6">
    <pivotField axis="axisRow" showAll="0" defaultSubtotal="0">
      <items count="34">
        <item x="22"/>
        <item x="13"/>
        <item x="1"/>
        <item x="2"/>
        <item x="3"/>
        <item x="4"/>
        <item x="5"/>
        <item x="6"/>
        <item x="7"/>
        <item x="15"/>
        <item x="16"/>
        <item x="14"/>
        <item x="0"/>
        <item m="1" x="32"/>
        <item m="1" x="30"/>
        <item m="1" x="31"/>
        <item m="1" x="26"/>
        <item m="1" x="24"/>
        <item m="1" x="27"/>
        <item m="1" x="28"/>
        <item m="1" x="29"/>
        <item m="1" x="25"/>
        <item m="1" x="33"/>
        <item m="1" x="23"/>
        <item x="8"/>
        <item x="9"/>
        <item x="10"/>
        <item x="11"/>
        <item x="12"/>
        <item x="17"/>
        <item x="18"/>
        <item x="19"/>
        <item x="20"/>
        <item x="21"/>
      </items>
    </pivotField>
    <pivotField axis="axisPage" multipleItemSelectionAllowed="1" showAll="0" defaultSubtotal="0">
      <items count="4">
        <item x="3"/>
        <item x="2"/>
        <item h="1" x="0"/>
        <item h="1"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v="1"/>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3" dataDxfId="42" tableBorderDxfId="41">
  <autoFilter ref="A6:F58" xr:uid="{00000000-0009-0000-0100-000001000000}"/>
  <tableColumns count="6">
    <tableColumn id="4" xr3:uid="{00000000-0010-0000-0000-000004000000}" name="Nom sur le graphique" dataDxfId="40">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9">
      <calculatedColumnFormula>A2</calculatedColumnFormula>
    </tableColumn>
    <tableColumn id="2" xr3:uid="{00000000-0010-0000-0000-000002000000}" name="Concentration" dataDxfId="38">
      <calculatedColumnFormula>B2</calculatedColumnFormula>
    </tableColumn>
    <tableColumn id="10" xr3:uid="{00000000-0010-0000-0000-00000A000000}" name="Unité" dataDxfId="37"/>
    <tableColumn id="3" xr3:uid="{00000000-0010-0000-0000-000003000000}" name="Nom de l'échantillon donné par le client" dataDxfId="36">
      <calculatedColumnFormula>C2</calculatedColumnFormula>
    </tableColumn>
    <tableColumn id="9" xr3:uid="{00000000-0010-0000-0000-000009000000}" name="Dopage (+Testostérone / + EE2, ….)" dataDxfId="35"/>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I1557" totalsRowShown="0">
  <autoFilter ref="A1:I1557" xr:uid="{00000000-0009-0000-0100-000004000000}"/>
  <tableColumns count="9">
    <tableColumn id="1" xr3:uid="{00000000-0010-0000-0200-000001000000}" name="Nom groupe" dataDxfId="30">
      <calculatedColumnFormula>IFERROR(LEFT(RIGHT(C2,LEN(C2)-SEARCH("@",C2)),SEARCH("/",RIGHT(C2,LEN(C2)-SEARCH("@",C2)-1))),"")</calculatedColumnFormula>
    </tableColumn>
    <tableColumn id="2" xr3:uid="{00000000-0010-0000-0200-000002000000}" name="N° de valeur" dataDxfId="29">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I1531" totalsRowShown="0">
  <autoFilter ref="A1:I1531" xr:uid="{00000000-0009-0000-0100-000005000000}"/>
  <tableColumns count="9">
    <tableColumn id="1" xr3:uid="{00000000-0010-0000-0300-000001000000}" name="Nom groupe" dataDxfId="26">
      <calculatedColumnFormula>IFERROR(LEFT(RIGHT(C2,LEN(C2)-SEARCH("@",C2)),SEARCH("/",RIGHT(C2,LEN(C2)-SEARCH("@",C2)-1))),"")</calculatedColumnFormula>
    </tableColumn>
    <tableColumn id="2" xr3:uid="{00000000-0010-0000-0300-000002000000}" name="N° de valeur" dataDxfId="25">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I1711" totalsRowShown="0">
  <autoFilter ref="A1:I1711" xr:uid="{00000000-0009-0000-0100-000006000000}"/>
  <tableColumns count="9">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values'!$B$74:$V$83,4,FALSE)</calculatedColumnFormula>
    </tableColumn>
    <tableColumn id="6" xr3:uid="{00000000-0010-0000-0600-000006000000}" name="CHG-test ND" dataDxfId="6">
      <calculatedColumnFormula>HLOOKUP(Tableau3[[#This Row],[Nom ND]],'pooled normalised values'!$B$74:$V$83,8,FALSE)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values'!$B$74:$V$83,4,FALSE)</calculatedColumnFormula>
    </tableColumn>
    <tableColumn id="11" xr3:uid="{00000000-0010-0000-0600-00000B000000}" name="CHG-test D" dataDxfId="2">
      <calculatedColumnFormula>HLOOKUP(Tableau3[[#This Row],[Nom D]],'pooled normalised values'!$B$74:$V$83,8,FALSE)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zoomScale="55" zoomScaleNormal="55" workbookViewId="0">
      <selection activeCell="A45" sqref="A45"/>
    </sheetView>
  </sheetViews>
  <sheetFormatPr baseColWidth="10" defaultRowHeight="39" customHeight="1" x14ac:dyDescent="0.35"/>
  <cols>
    <col min="1" max="1" width="42" bestFit="1" customWidth="1"/>
    <col min="2" max="2" width="33.81640625" style="44" bestFit="1" customWidth="1"/>
    <col min="3" max="3" width="21.26953125" customWidth="1"/>
    <col min="4" max="4" width="30.453125" customWidth="1"/>
    <col min="5" max="5" width="62.26953125" style="161" bestFit="1" customWidth="1"/>
    <col min="6" max="6" width="56.7265625" bestFit="1" customWidth="1"/>
    <col min="7" max="7" width="19.453125" customWidth="1"/>
    <col min="8" max="8" width="15.26953125" customWidth="1"/>
    <col min="9" max="9" width="18" customWidth="1"/>
    <col min="10" max="10" width="19.54296875" bestFit="1" customWidth="1"/>
  </cols>
  <sheetData>
    <row r="1" spans="1:9" ht="39" customHeight="1" thickBot="1" x14ac:dyDescent="0.4">
      <c r="A1" s="198" t="s">
        <v>36</v>
      </c>
      <c r="B1" s="199"/>
      <c r="C1" s="199"/>
      <c r="D1" s="199"/>
      <c r="E1" s="199"/>
      <c r="F1" s="199"/>
      <c r="G1" s="199"/>
      <c r="H1" s="199"/>
      <c r="I1" s="200"/>
    </row>
    <row r="2" spans="1:9" ht="21" x14ac:dyDescent="0.5">
      <c r="A2" s="190" t="s">
        <v>17</v>
      </c>
      <c r="B2" s="42" t="s">
        <v>115</v>
      </c>
      <c r="C2" s="201"/>
      <c r="D2" s="202"/>
      <c r="E2" s="42" t="s">
        <v>21</v>
      </c>
      <c r="F2" s="213"/>
      <c r="G2" s="214"/>
      <c r="H2" s="214"/>
      <c r="I2" s="215"/>
    </row>
    <row r="3" spans="1:9" ht="21" x14ac:dyDescent="0.5">
      <c r="A3" s="191" t="s">
        <v>18</v>
      </c>
      <c r="B3" s="43" t="s">
        <v>115</v>
      </c>
      <c r="C3" s="203"/>
      <c r="D3" s="204"/>
      <c r="E3" s="43" t="s">
        <v>21</v>
      </c>
      <c r="F3" s="210"/>
      <c r="G3" s="211"/>
      <c r="H3" s="211"/>
      <c r="I3" s="212"/>
    </row>
    <row r="4" spans="1:9" ht="21.5" thickBot="1" x14ac:dyDescent="0.55000000000000004">
      <c r="A4" s="192" t="s">
        <v>22</v>
      </c>
      <c r="B4" s="180" t="s">
        <v>115</v>
      </c>
      <c r="C4" s="205"/>
      <c r="D4" s="206"/>
      <c r="E4" s="180" t="s">
        <v>21</v>
      </c>
      <c r="F4" s="207"/>
      <c r="G4" s="208"/>
      <c r="H4" s="208"/>
      <c r="I4" s="209"/>
    </row>
    <row r="5" spans="1:9" s="1" customFormat="1" ht="65.25" customHeight="1" thickBot="1" x14ac:dyDescent="0.4">
      <c r="A5" s="198" t="s">
        <v>37</v>
      </c>
      <c r="B5" s="199"/>
      <c r="C5" s="199"/>
      <c r="D5" s="199"/>
      <c r="E5" s="199"/>
      <c r="F5" s="199"/>
      <c r="G5" s="199"/>
      <c r="H5" s="199"/>
      <c r="I5" s="200"/>
    </row>
    <row r="6" spans="1:9" s="110" customFormat="1" ht="39" customHeight="1" x14ac:dyDescent="0.5">
      <c r="A6" s="76" t="s">
        <v>35</v>
      </c>
      <c r="B6" s="101" t="s">
        <v>7</v>
      </c>
      <c r="C6" s="64" t="s">
        <v>19</v>
      </c>
      <c r="D6" s="64" t="s">
        <v>75</v>
      </c>
      <c r="E6" s="158" t="s">
        <v>51</v>
      </c>
      <c r="F6" s="109" t="s">
        <v>78</v>
      </c>
    </row>
    <row r="7" spans="1:9" s="167" customFormat="1" ht="39" customHeight="1" x14ac:dyDescent="0.5">
      <c r="A7"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3" t="s">
        <v>123</v>
      </c>
      <c r="C7" s="164"/>
      <c r="D7" s="165"/>
      <c r="E7" s="166" t="s">
        <v>125</v>
      </c>
      <c r="F7" s="111"/>
    </row>
    <row r="8" spans="1:9" s="167" customFormat="1" ht="39" customHeight="1" x14ac:dyDescent="0.5">
      <c r="A8"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3" t="s">
        <v>123</v>
      </c>
      <c r="C8" s="164">
        <v>22.5</v>
      </c>
      <c r="D8" s="165" t="s">
        <v>124</v>
      </c>
      <c r="E8" s="166" t="s">
        <v>126</v>
      </c>
      <c r="F8" s="111"/>
    </row>
    <row r="9" spans="1:9" s="167" customFormat="1" ht="39" customHeight="1" x14ac:dyDescent="0.5">
      <c r="A9"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3" t="s">
        <v>123</v>
      </c>
      <c r="C9" s="164">
        <v>33.799999999999997</v>
      </c>
      <c r="D9" s="165" t="s">
        <v>124</v>
      </c>
      <c r="E9" s="166" t="s">
        <v>126</v>
      </c>
      <c r="F9" s="111"/>
    </row>
    <row r="10" spans="1:9" s="167" customFormat="1" ht="39" customHeight="1" x14ac:dyDescent="0.5">
      <c r="A10"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3" t="s">
        <v>123</v>
      </c>
      <c r="C10" s="164">
        <v>50.6</v>
      </c>
      <c r="D10" s="165" t="s">
        <v>124</v>
      </c>
      <c r="E10" s="166" t="s">
        <v>126</v>
      </c>
      <c r="F10" s="111"/>
    </row>
    <row r="11" spans="1:9" s="167" customFormat="1" ht="39" customHeight="1" x14ac:dyDescent="0.5">
      <c r="A11"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3" t="s">
        <v>123</v>
      </c>
      <c r="C11" s="164">
        <v>76</v>
      </c>
      <c r="D11" s="165" t="s">
        <v>124</v>
      </c>
      <c r="E11" s="166" t="s">
        <v>126</v>
      </c>
      <c r="F11" s="111"/>
    </row>
    <row r="12" spans="1:9" s="167" customFormat="1" ht="39" customHeight="1" x14ac:dyDescent="0.5">
      <c r="A12"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3" t="s">
        <v>123</v>
      </c>
      <c r="C12" s="164">
        <v>114</v>
      </c>
      <c r="D12" s="165" t="s">
        <v>124</v>
      </c>
      <c r="E12" s="166" t="s">
        <v>126</v>
      </c>
      <c r="F12" s="111"/>
    </row>
    <row r="13" spans="1:9" s="167" customFormat="1" ht="39" customHeight="1" x14ac:dyDescent="0.5">
      <c r="A13"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3" t="s">
        <v>123</v>
      </c>
      <c r="C13" s="164">
        <v>170.9</v>
      </c>
      <c r="D13" s="165" t="s">
        <v>124</v>
      </c>
      <c r="E13" s="166" t="s">
        <v>126</v>
      </c>
      <c r="F13" s="111"/>
    </row>
    <row r="14" spans="1:9" s="167" customFormat="1" ht="39" customHeight="1" x14ac:dyDescent="0.5">
      <c r="A14"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3" t="s">
        <v>123</v>
      </c>
      <c r="C14" s="164">
        <v>488</v>
      </c>
      <c r="D14" s="165" t="s">
        <v>124</v>
      </c>
      <c r="E14" s="166" t="s">
        <v>126</v>
      </c>
      <c r="F14" s="111"/>
    </row>
    <row r="15" spans="1:9" s="167" customFormat="1" ht="39" customHeight="1" x14ac:dyDescent="0.5">
      <c r="A15" s="162" t="s">
        <v>1606</v>
      </c>
      <c r="B15" s="163" t="s">
        <v>1604</v>
      </c>
      <c r="C15" s="164">
        <v>1E-3</v>
      </c>
      <c r="D15" s="165" t="s">
        <v>129</v>
      </c>
      <c r="E15" s="166" t="s">
        <v>1605</v>
      </c>
      <c r="F15" s="111"/>
    </row>
    <row r="16" spans="1:9" s="112" customFormat="1" ht="39" customHeight="1" x14ac:dyDescent="0.35">
      <c r="A16" s="65" t="s">
        <v>1607</v>
      </c>
      <c r="B16" s="40" t="s">
        <v>1604</v>
      </c>
      <c r="C16" s="106">
        <v>0.01</v>
      </c>
      <c r="D16" s="106" t="s">
        <v>129</v>
      </c>
      <c r="E16" s="166" t="s">
        <v>1605</v>
      </c>
      <c r="F16" s="111"/>
    </row>
    <row r="17" spans="1:6" s="112" customFormat="1" ht="39" customHeight="1" x14ac:dyDescent="0.35">
      <c r="A17" s="65" t="s">
        <v>1608</v>
      </c>
      <c r="B17" s="102" t="s">
        <v>1604</v>
      </c>
      <c r="C17" s="106">
        <v>0.1</v>
      </c>
      <c r="D17" s="106" t="s">
        <v>129</v>
      </c>
      <c r="E17" s="166" t="s">
        <v>1605</v>
      </c>
      <c r="F17" s="111"/>
    </row>
    <row r="18" spans="1:6" s="112" customFormat="1" ht="39" customHeight="1" x14ac:dyDescent="0.35">
      <c r="A18" s="65" t="s">
        <v>1609</v>
      </c>
      <c r="B18" s="40" t="s">
        <v>1604</v>
      </c>
      <c r="C18" s="106">
        <v>1</v>
      </c>
      <c r="D18" s="106" t="s">
        <v>129</v>
      </c>
      <c r="E18" s="166" t="s">
        <v>1605</v>
      </c>
      <c r="F18" s="111"/>
    </row>
    <row r="19" spans="1:6" s="112" customFormat="1" ht="39" customHeight="1" x14ac:dyDescent="0.35">
      <c r="A19" s="65" t="s">
        <v>1610</v>
      </c>
      <c r="B19" s="102" t="s">
        <v>1604</v>
      </c>
      <c r="C19" s="106">
        <v>10</v>
      </c>
      <c r="D19" s="106" t="s">
        <v>129</v>
      </c>
      <c r="E19" s="166" t="s">
        <v>1605</v>
      </c>
      <c r="F19" s="111"/>
    </row>
    <row r="20" spans="1:6" s="112" customFormat="1" ht="39" customHeight="1" x14ac:dyDescent="0.35">
      <c r="A2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40"/>
      <c r="C20" s="106"/>
      <c r="D20" s="106"/>
      <c r="E20" s="40"/>
      <c r="F20" s="111"/>
    </row>
    <row r="21" spans="1:6" s="112" customFormat="1" ht="39" customHeight="1" x14ac:dyDescent="0.35">
      <c r="A2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2"/>
      <c r="C21" s="106"/>
      <c r="D21" s="106"/>
      <c r="E21" s="102"/>
      <c r="F21" s="111"/>
    </row>
    <row r="22" spans="1:6" s="112" customFormat="1" ht="39" customHeight="1" x14ac:dyDescent="0.35">
      <c r="A2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40"/>
      <c r="C22" s="106"/>
      <c r="D22" s="106"/>
      <c r="E22" s="40"/>
      <c r="F22" s="111"/>
    </row>
    <row r="23" spans="1:6" s="112" customFormat="1" ht="39" customHeight="1" x14ac:dyDescent="0.35">
      <c r="A2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2"/>
      <c r="C23" s="106"/>
      <c r="D23" s="106"/>
      <c r="E23" s="102"/>
      <c r="F23" s="111"/>
    </row>
    <row r="24" spans="1:6" s="112" customFormat="1" ht="39" customHeight="1" x14ac:dyDescent="0.35">
      <c r="A2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40"/>
      <c r="C24" s="106"/>
      <c r="D24" s="106"/>
      <c r="E24" s="40"/>
      <c r="F24" s="111"/>
    </row>
    <row r="25" spans="1:6" s="112" customFormat="1" ht="39" customHeight="1" x14ac:dyDescent="0.35">
      <c r="A2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2"/>
      <c r="C25" s="106"/>
      <c r="D25" s="106"/>
      <c r="E25" s="102"/>
      <c r="F25" s="111"/>
    </row>
    <row r="26" spans="1:6" s="112" customFormat="1" ht="39" customHeight="1" x14ac:dyDescent="0.35">
      <c r="A2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40"/>
      <c r="C26" s="106"/>
      <c r="D26" s="106"/>
      <c r="E26" s="40"/>
      <c r="F26" s="111"/>
    </row>
    <row r="27" spans="1:6" s="112" customFormat="1" ht="39" customHeight="1" x14ac:dyDescent="0.35">
      <c r="A2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2"/>
      <c r="C27" s="106"/>
      <c r="D27" s="106"/>
      <c r="E27" s="102"/>
      <c r="F27" s="111"/>
    </row>
    <row r="28" spans="1:6" s="112" customFormat="1" ht="39" customHeight="1" x14ac:dyDescent="0.35">
      <c r="A2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40"/>
      <c r="C28" s="106"/>
      <c r="D28" s="106"/>
      <c r="E28" s="40"/>
      <c r="F28" s="111"/>
    </row>
    <row r="29" spans="1:6" s="112" customFormat="1" ht="39" customHeight="1" x14ac:dyDescent="0.35">
      <c r="A2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2"/>
      <c r="C29" s="106"/>
      <c r="D29" s="106"/>
      <c r="E29" s="102"/>
      <c r="F29" s="111"/>
    </row>
    <row r="30" spans="1:6" s="112" customFormat="1" ht="39" customHeight="1" x14ac:dyDescent="0.35">
      <c r="A3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40"/>
      <c r="C30" s="106"/>
      <c r="D30" s="115"/>
      <c r="E30" s="40"/>
      <c r="F30" s="111"/>
    </row>
    <row r="31" spans="1:6" s="112" customFormat="1" ht="39" customHeight="1" x14ac:dyDescent="0.35">
      <c r="A3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2"/>
      <c r="C31" s="106"/>
      <c r="D31" s="115"/>
      <c r="E31" s="102"/>
      <c r="F31" s="111"/>
    </row>
    <row r="32" spans="1:6" s="112" customFormat="1" ht="39" customHeight="1" x14ac:dyDescent="0.35">
      <c r="A3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40"/>
      <c r="C32" s="106"/>
      <c r="D32" s="115"/>
      <c r="E32" s="40"/>
      <c r="F32" s="111"/>
    </row>
    <row r="33" spans="1:6" s="112" customFormat="1" ht="39" customHeight="1" x14ac:dyDescent="0.35">
      <c r="A3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2"/>
      <c r="C33" s="106"/>
      <c r="D33" s="115"/>
      <c r="E33" s="102"/>
      <c r="F33" s="111"/>
    </row>
    <row r="34" spans="1:6" s="112" customFormat="1" ht="39" customHeight="1" x14ac:dyDescent="0.35">
      <c r="A3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40"/>
      <c r="C34" s="106"/>
      <c r="D34" s="115"/>
      <c r="E34" s="40"/>
      <c r="F34" s="111"/>
    </row>
    <row r="35" spans="1:6" s="112" customFormat="1" ht="39" customHeight="1" thickBot="1" x14ac:dyDescent="0.4">
      <c r="A3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68"/>
      <c r="C35" s="169"/>
      <c r="D35" s="116"/>
      <c r="E35" s="168"/>
      <c r="F35" s="111"/>
    </row>
    <row r="36" spans="1:6" s="112" customFormat="1" ht="39" customHeight="1" x14ac:dyDescent="0.35">
      <c r="A36" s="17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3" t="s">
        <v>123</v>
      </c>
      <c r="C36" s="107">
        <v>30</v>
      </c>
      <c r="D36" s="117" t="s">
        <v>127</v>
      </c>
      <c r="E36" s="159" t="s">
        <v>20</v>
      </c>
      <c r="F36" s="171"/>
    </row>
    <row r="37" spans="1:6" s="112" customFormat="1" ht="39" customHeight="1" x14ac:dyDescent="0.35">
      <c r="A37" s="17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4" t="s">
        <v>123</v>
      </c>
      <c r="C37" s="108">
        <v>64</v>
      </c>
      <c r="D37" s="118" t="s">
        <v>124</v>
      </c>
      <c r="E37" s="160" t="s">
        <v>128</v>
      </c>
      <c r="F37" s="173"/>
    </row>
    <row r="38" spans="1:6" s="112" customFormat="1" ht="39" customHeight="1" thickBot="1" x14ac:dyDescent="0.4">
      <c r="A38" s="1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FAD-10mg/L</v>
      </c>
      <c r="B38" s="175" t="s">
        <v>123</v>
      </c>
      <c r="C38" s="176">
        <v>10</v>
      </c>
      <c r="D38" s="177" t="s">
        <v>129</v>
      </c>
      <c r="E38" s="178" t="s">
        <v>130</v>
      </c>
      <c r="F38" s="179"/>
    </row>
    <row r="39" spans="1:6" s="112" customFormat="1" ht="39" customHeight="1" x14ac:dyDescent="0.35">
      <c r="A39" s="5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Cefuroxime-0,001mg/L + Testostérone</v>
      </c>
      <c r="B39" s="193" t="str">
        <f>B15</f>
        <v>Chemical</v>
      </c>
      <c r="C39" s="193">
        <f t="shared" ref="C39:E39" si="0">C15</f>
        <v>1E-3</v>
      </c>
      <c r="D39" s="193" t="str">
        <f t="shared" si="0"/>
        <v>mg/L</v>
      </c>
      <c r="E39" s="193" t="str">
        <f t="shared" si="0"/>
        <v>Cefuroxime</v>
      </c>
      <c r="F39" s="113" t="s">
        <v>50</v>
      </c>
    </row>
    <row r="40" spans="1:6" s="112" customFormat="1" ht="39" customHeight="1" x14ac:dyDescent="0.35">
      <c r="A40"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Cefuroxime-0,01mg/L + Testostérone</v>
      </c>
      <c r="B40" s="195" t="str">
        <f t="shared" ref="B40:E40" si="1">B16</f>
        <v>Chemical</v>
      </c>
      <c r="C40" s="195">
        <f t="shared" si="1"/>
        <v>0.01</v>
      </c>
      <c r="D40" s="195" t="str">
        <f t="shared" si="1"/>
        <v>mg/L</v>
      </c>
      <c r="E40" s="195" t="str">
        <f t="shared" si="1"/>
        <v>Cefuroxime</v>
      </c>
      <c r="F40" s="114" t="s">
        <v>50</v>
      </c>
    </row>
    <row r="41" spans="1:6" s="112" customFormat="1" ht="39" customHeight="1" x14ac:dyDescent="0.35">
      <c r="A41"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Cefuroxime-0,1mg/L + Testostérone</v>
      </c>
      <c r="B41" s="195" t="str">
        <f t="shared" ref="B41:E41" si="2">B17</f>
        <v>Chemical</v>
      </c>
      <c r="C41" s="195">
        <f t="shared" si="2"/>
        <v>0.1</v>
      </c>
      <c r="D41" s="195" t="str">
        <f t="shared" si="2"/>
        <v>mg/L</v>
      </c>
      <c r="E41" s="195" t="str">
        <f t="shared" si="2"/>
        <v>Cefuroxime</v>
      </c>
      <c r="F41" s="114" t="s">
        <v>50</v>
      </c>
    </row>
    <row r="42" spans="1:6" s="112" customFormat="1" ht="39" customHeight="1" x14ac:dyDescent="0.35">
      <c r="A42"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Cefuroxime-1mg/L + Testostérone</v>
      </c>
      <c r="B42" s="195" t="str">
        <f t="shared" ref="B42:E42" si="3">B18</f>
        <v>Chemical</v>
      </c>
      <c r="C42" s="195">
        <f t="shared" si="3"/>
        <v>1</v>
      </c>
      <c r="D42" s="195" t="str">
        <f t="shared" si="3"/>
        <v>mg/L</v>
      </c>
      <c r="E42" s="195" t="str">
        <f t="shared" si="3"/>
        <v>Cefuroxime</v>
      </c>
      <c r="F42" s="114" t="s">
        <v>50</v>
      </c>
    </row>
    <row r="43" spans="1:6" s="112" customFormat="1" ht="39" customHeight="1" x14ac:dyDescent="0.35">
      <c r="A43"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Cefuroxime-10mg/L + Testostérone</v>
      </c>
      <c r="B43" s="195" t="str">
        <f t="shared" ref="B43:E43" si="4">B19</f>
        <v>Chemical</v>
      </c>
      <c r="C43" s="195">
        <f t="shared" si="4"/>
        <v>10</v>
      </c>
      <c r="D43" s="195" t="str">
        <f t="shared" si="4"/>
        <v>mg/L</v>
      </c>
      <c r="E43" s="195" t="str">
        <f t="shared" si="4"/>
        <v>Cefuroxime</v>
      </c>
      <c r="F43" s="114" t="s">
        <v>50</v>
      </c>
    </row>
    <row r="44" spans="1:6" s="112" customFormat="1" ht="39" customHeight="1" x14ac:dyDescent="0.35">
      <c r="A44"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5">
        <f t="shared" ref="B44:E44" si="5">B20</f>
        <v>0</v>
      </c>
      <c r="C44" s="195">
        <f t="shared" si="5"/>
        <v>0</v>
      </c>
      <c r="D44" s="195">
        <f t="shared" si="5"/>
        <v>0</v>
      </c>
      <c r="E44" s="195">
        <f t="shared" si="5"/>
        <v>0</v>
      </c>
      <c r="F44" s="114" t="s">
        <v>50</v>
      </c>
    </row>
    <row r="45" spans="1:6" s="112" customFormat="1" ht="39" customHeight="1" x14ac:dyDescent="0.35">
      <c r="A45"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5">
        <f t="shared" ref="B45:E45" si="6">B21</f>
        <v>0</v>
      </c>
      <c r="C45" s="195">
        <f t="shared" si="6"/>
        <v>0</v>
      </c>
      <c r="D45" s="195">
        <f t="shared" si="6"/>
        <v>0</v>
      </c>
      <c r="E45" s="195">
        <f t="shared" si="6"/>
        <v>0</v>
      </c>
      <c r="F45" s="114" t="s">
        <v>50</v>
      </c>
    </row>
    <row r="46" spans="1:6" s="112" customFormat="1" ht="39" customHeight="1" x14ac:dyDescent="0.35">
      <c r="A46"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5">
        <f t="shared" ref="B46:E46" si="7">B22</f>
        <v>0</v>
      </c>
      <c r="C46" s="195">
        <f t="shared" si="7"/>
        <v>0</v>
      </c>
      <c r="D46" s="195">
        <f t="shared" si="7"/>
        <v>0</v>
      </c>
      <c r="E46" s="195">
        <f t="shared" si="7"/>
        <v>0</v>
      </c>
      <c r="F46" s="114" t="s">
        <v>50</v>
      </c>
    </row>
    <row r="47" spans="1:6" s="112" customFormat="1" ht="39" customHeight="1" x14ac:dyDescent="0.35">
      <c r="A47"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5">
        <f t="shared" ref="B47:E47" si="8">B23</f>
        <v>0</v>
      </c>
      <c r="C47" s="195">
        <f t="shared" si="8"/>
        <v>0</v>
      </c>
      <c r="D47" s="195">
        <f t="shared" si="8"/>
        <v>0</v>
      </c>
      <c r="E47" s="195">
        <f t="shared" si="8"/>
        <v>0</v>
      </c>
      <c r="F47" s="114" t="s">
        <v>50</v>
      </c>
    </row>
    <row r="48" spans="1:6" s="112" customFormat="1" ht="39" customHeight="1" x14ac:dyDescent="0.35">
      <c r="A48"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5">
        <f t="shared" ref="B48:E48" si="9">B24</f>
        <v>0</v>
      </c>
      <c r="C48" s="195">
        <f t="shared" si="9"/>
        <v>0</v>
      </c>
      <c r="D48" s="195">
        <f t="shared" si="9"/>
        <v>0</v>
      </c>
      <c r="E48" s="195">
        <f t="shared" si="9"/>
        <v>0</v>
      </c>
      <c r="F48" s="114" t="s">
        <v>50</v>
      </c>
    </row>
    <row r="49" spans="1:6" s="112" customFormat="1" ht="39" customHeight="1" x14ac:dyDescent="0.35">
      <c r="A49"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5">
        <f t="shared" ref="B49:E49" si="10">B25</f>
        <v>0</v>
      </c>
      <c r="C49" s="195">
        <f t="shared" si="10"/>
        <v>0</v>
      </c>
      <c r="D49" s="195">
        <f t="shared" si="10"/>
        <v>0</v>
      </c>
      <c r="E49" s="195">
        <f t="shared" si="10"/>
        <v>0</v>
      </c>
      <c r="F49" s="114" t="s">
        <v>50</v>
      </c>
    </row>
    <row r="50" spans="1:6" s="112" customFormat="1" ht="39" customHeight="1" x14ac:dyDescent="0.35">
      <c r="A50"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5">
        <f t="shared" ref="B50:E50" si="11">B26</f>
        <v>0</v>
      </c>
      <c r="C50" s="195">
        <f t="shared" si="11"/>
        <v>0</v>
      </c>
      <c r="D50" s="195">
        <f t="shared" si="11"/>
        <v>0</v>
      </c>
      <c r="E50" s="195">
        <f t="shared" si="11"/>
        <v>0</v>
      </c>
      <c r="F50" s="114" t="s">
        <v>50</v>
      </c>
    </row>
    <row r="51" spans="1:6" s="112" customFormat="1" ht="39" customHeight="1" x14ac:dyDescent="0.35">
      <c r="A51"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5">
        <f t="shared" ref="B51:E51" si="12">B27</f>
        <v>0</v>
      </c>
      <c r="C51" s="195">
        <f t="shared" si="12"/>
        <v>0</v>
      </c>
      <c r="D51" s="195">
        <f t="shared" si="12"/>
        <v>0</v>
      </c>
      <c r="E51" s="195">
        <f t="shared" si="12"/>
        <v>0</v>
      </c>
      <c r="F51" s="114" t="s">
        <v>50</v>
      </c>
    </row>
    <row r="52" spans="1:6" s="112" customFormat="1" ht="39" customHeight="1" x14ac:dyDescent="0.35">
      <c r="A52"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5">
        <f t="shared" ref="B52:E52" si="13">B28</f>
        <v>0</v>
      </c>
      <c r="C52" s="195">
        <f t="shared" si="13"/>
        <v>0</v>
      </c>
      <c r="D52" s="195">
        <f t="shared" si="13"/>
        <v>0</v>
      </c>
      <c r="E52" s="195">
        <f t="shared" si="13"/>
        <v>0</v>
      </c>
      <c r="F52" s="114" t="s">
        <v>50</v>
      </c>
    </row>
    <row r="53" spans="1:6" s="112" customFormat="1" ht="39" customHeight="1" x14ac:dyDescent="0.35">
      <c r="A53"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5">
        <f t="shared" ref="B53:E53" si="14">B29</f>
        <v>0</v>
      </c>
      <c r="C53" s="195">
        <f t="shared" si="14"/>
        <v>0</v>
      </c>
      <c r="D53" s="195">
        <f t="shared" si="14"/>
        <v>0</v>
      </c>
      <c r="E53" s="195">
        <f t="shared" si="14"/>
        <v>0</v>
      </c>
      <c r="F53" s="114" t="s">
        <v>50</v>
      </c>
    </row>
    <row r="54" spans="1:6" s="112" customFormat="1" ht="39" customHeight="1" x14ac:dyDescent="0.35">
      <c r="A54"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5">
        <f t="shared" ref="B54:E54" si="15">B30</f>
        <v>0</v>
      </c>
      <c r="C54" s="195">
        <f t="shared" si="15"/>
        <v>0</v>
      </c>
      <c r="D54" s="195">
        <f t="shared" si="15"/>
        <v>0</v>
      </c>
      <c r="E54" s="195">
        <f t="shared" si="15"/>
        <v>0</v>
      </c>
      <c r="F54" s="114" t="s">
        <v>50</v>
      </c>
    </row>
    <row r="55" spans="1:6" s="112" customFormat="1" ht="39" customHeight="1" x14ac:dyDescent="0.35">
      <c r="A55"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5">
        <f t="shared" ref="B55:E55" si="16">B31</f>
        <v>0</v>
      </c>
      <c r="C55" s="195">
        <f t="shared" si="16"/>
        <v>0</v>
      </c>
      <c r="D55" s="195">
        <f t="shared" si="16"/>
        <v>0</v>
      </c>
      <c r="E55" s="195">
        <f t="shared" si="16"/>
        <v>0</v>
      </c>
      <c r="F55" s="114" t="s">
        <v>50</v>
      </c>
    </row>
    <row r="56" spans="1:6" s="112" customFormat="1" ht="39" customHeight="1" x14ac:dyDescent="0.35">
      <c r="A56"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5">
        <f t="shared" ref="B56:E56" si="17">B32</f>
        <v>0</v>
      </c>
      <c r="C56" s="195">
        <f t="shared" si="17"/>
        <v>0</v>
      </c>
      <c r="D56" s="195">
        <f t="shared" si="17"/>
        <v>0</v>
      </c>
      <c r="E56" s="195">
        <f t="shared" si="17"/>
        <v>0</v>
      </c>
      <c r="F56" s="114" t="s">
        <v>50</v>
      </c>
    </row>
    <row r="57" spans="1:6" s="112" customFormat="1" ht="39" customHeight="1" x14ac:dyDescent="0.35">
      <c r="A57"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5">
        <f t="shared" ref="B57:E57" si="18">B33</f>
        <v>0</v>
      </c>
      <c r="C57" s="195">
        <f t="shared" si="18"/>
        <v>0</v>
      </c>
      <c r="D57" s="195">
        <f t="shared" si="18"/>
        <v>0</v>
      </c>
      <c r="E57" s="195">
        <f t="shared" si="18"/>
        <v>0</v>
      </c>
      <c r="F57" s="114" t="s">
        <v>50</v>
      </c>
    </row>
    <row r="58" spans="1:6" s="112" customFormat="1" ht="39" customHeight="1" x14ac:dyDescent="0.35">
      <c r="A58" s="10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4">
        <f t="shared" ref="B58:E58" si="19">B34</f>
        <v>0</v>
      </c>
      <c r="C58" s="194">
        <f t="shared" si="19"/>
        <v>0</v>
      </c>
      <c r="D58" s="194">
        <f t="shared" si="19"/>
        <v>0</v>
      </c>
      <c r="E58" s="194">
        <f t="shared" si="19"/>
        <v>0</v>
      </c>
      <c r="F58" s="114" t="s">
        <v>50</v>
      </c>
    </row>
  </sheetData>
  <protectedRanges>
    <protectedRange sqref="C16:D38 A16:A52"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8" xr:uid="{E0A8F951-ED76-4488-98E3-F13AD7875916}">
      <formula1>ISERROR(SEARCH("-",E7))=TRUE</formula1>
    </dataValidation>
  </dataValidations>
  <pageMargins left="0.7" right="0.7" top="0.75" bottom="0.75" header="0.3" footer="0.3"/>
  <pageSetup paperSize="9" scale="35" orientation="landscape" r:id="rId1"/>
  <headerFooter>
    <oddHeader>&amp;C&amp;"-,Gras"&amp;20Résultats&amp;R&amp;"-,Gras"&amp;20Page : &amp;P/&amp;P</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baseColWidth="10" defaultRowHeight="14.5" x14ac:dyDescent="0.35"/>
  <cols>
    <col min="1" max="1" width="14.1796875" customWidth="1"/>
    <col min="2" max="2" width="14" customWidth="1"/>
    <col min="3" max="3" width="11.54296875" customWidth="1"/>
    <col min="4" max="4" width="12.453125" customWidth="1"/>
    <col min="5" max="5" width="17.26953125" customWidth="1"/>
    <col min="7" max="7" width="19.54296875" customWidth="1"/>
    <col min="9" max="9" width="15.7265625" customWidth="1"/>
  </cols>
  <sheetData>
    <row r="1" spans="1:9" x14ac:dyDescent="0.35">
      <c r="A1" t="s">
        <v>107</v>
      </c>
      <c r="B1" t="s">
        <v>108</v>
      </c>
      <c r="C1" t="s">
        <v>109</v>
      </c>
      <c r="D1" t="s">
        <v>110</v>
      </c>
      <c r="E1" t="s">
        <v>111</v>
      </c>
      <c r="F1" t="s">
        <v>112</v>
      </c>
      <c r="G1" t="s">
        <v>113</v>
      </c>
      <c r="H1" t="s">
        <v>117</v>
      </c>
      <c r="I1" t="s">
        <v>118</v>
      </c>
    </row>
    <row r="2" spans="1:9" x14ac:dyDescent="0.35">
      <c r="A2" t="s">
        <v>153</v>
      </c>
      <c r="B2" t="s">
        <v>164</v>
      </c>
      <c r="C2" t="s">
        <v>144</v>
      </c>
      <c r="D2" t="s">
        <v>147</v>
      </c>
      <c r="E2" t="s">
        <v>148</v>
      </c>
      <c r="F2" t="s">
        <v>112</v>
      </c>
      <c r="G2">
        <v>360268</v>
      </c>
    </row>
    <row r="3" spans="1:9" x14ac:dyDescent="0.35">
      <c r="A3" t="s">
        <v>153</v>
      </c>
      <c r="B3" t="s">
        <v>164</v>
      </c>
      <c r="C3" t="s">
        <v>145</v>
      </c>
      <c r="D3" t="s">
        <v>149</v>
      </c>
      <c r="E3" t="s">
        <v>150</v>
      </c>
      <c r="F3" t="s">
        <v>112</v>
      </c>
      <c r="G3">
        <v>372315</v>
      </c>
    </row>
    <row r="4" spans="1:9" x14ac:dyDescent="0.35">
      <c r="A4" t="s">
        <v>153</v>
      </c>
      <c r="B4" t="s">
        <v>164</v>
      </c>
      <c r="C4" t="s">
        <v>146</v>
      </c>
      <c r="D4" t="s">
        <v>151</v>
      </c>
      <c r="E4" t="s">
        <v>152</v>
      </c>
      <c r="F4" t="s">
        <v>112</v>
      </c>
      <c r="G4">
        <v>237626</v>
      </c>
    </row>
    <row r="5" spans="1:9" x14ac:dyDescent="0.35">
      <c r="A5" t="s">
        <v>153</v>
      </c>
      <c r="B5" t="s">
        <v>164</v>
      </c>
      <c r="C5" t="s">
        <v>161</v>
      </c>
      <c r="D5" t="s">
        <v>162</v>
      </c>
      <c r="E5" t="s">
        <v>163</v>
      </c>
      <c r="F5" t="s">
        <v>112</v>
      </c>
      <c r="G5">
        <v>1439015</v>
      </c>
    </row>
    <row r="6" spans="1:9" x14ac:dyDescent="0.35">
      <c r="A6" t="s">
        <v>153</v>
      </c>
      <c r="B6" t="s">
        <v>164</v>
      </c>
      <c r="C6" t="s">
        <v>158</v>
      </c>
      <c r="D6" t="s">
        <v>159</v>
      </c>
      <c r="E6" t="s">
        <v>160</v>
      </c>
      <c r="F6" t="s">
        <v>112</v>
      </c>
      <c r="G6">
        <v>1433586</v>
      </c>
    </row>
    <row r="7" spans="1:9" x14ac:dyDescent="0.35">
      <c r="A7" t="s">
        <v>153</v>
      </c>
      <c r="B7" t="s">
        <v>164</v>
      </c>
      <c r="C7" t="s">
        <v>155</v>
      </c>
      <c r="D7" t="s">
        <v>156</v>
      </c>
      <c r="E7" t="s">
        <v>157</v>
      </c>
      <c r="F7" t="s">
        <v>112</v>
      </c>
      <c r="G7">
        <v>1115346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Y1" zoomScale="70" zoomScaleNormal="70" workbookViewId="0">
      <selection activeCell="Z5" sqref="Z5:AD12"/>
    </sheetView>
  </sheetViews>
  <sheetFormatPr baseColWidth="10" defaultColWidth="11.453125" defaultRowHeight="14.5" x14ac:dyDescent="0.35"/>
  <cols>
    <col min="1" max="1" width="15" style="1" customWidth="1"/>
    <col min="2" max="2" width="26.54296875" style="1" customWidth="1"/>
    <col min="3" max="3" width="87.1796875" style="1" bestFit="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5.453125" style="1" customWidth="1"/>
    <col min="12" max="12" width="15.453125" style="1" customWidth="1"/>
    <col min="13" max="14" width="12.81640625" style="1" customWidth="1"/>
    <col min="15" max="20" width="12.26953125" style="1" customWidth="1"/>
    <col min="21" max="21" width="17.453125" style="1" customWidth="1"/>
    <col min="22" max="25" width="12.26953125" style="1" customWidth="1"/>
    <col min="26" max="27" width="15.54296875" style="1" customWidth="1"/>
    <col min="28" max="28" width="14.26953125" style="1" customWidth="1"/>
    <col min="29" max="16384" width="11.453125" style="1"/>
  </cols>
  <sheetData>
    <row r="1" spans="1:144" x14ac:dyDescent="0.35">
      <c r="A1" s="1" t="s">
        <v>107</v>
      </c>
      <c r="B1" s="1" t="s">
        <v>108</v>
      </c>
      <c r="C1" s="1" t="s">
        <v>109</v>
      </c>
      <c r="D1" s="1" t="s">
        <v>110</v>
      </c>
      <c r="E1" s="1" t="s">
        <v>111</v>
      </c>
      <c r="F1" s="1" t="s">
        <v>112</v>
      </c>
      <c r="G1" s="1" t="s">
        <v>113</v>
      </c>
      <c r="H1" s="1" t="s">
        <v>117</v>
      </c>
      <c r="I1" s="1" t="s">
        <v>118</v>
      </c>
      <c r="K1" s="119"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 s="153" t="s">
        <v>172</v>
      </c>
      <c r="D2" s="1" t="s">
        <v>110</v>
      </c>
      <c r="E2" s="1" t="s">
        <v>111</v>
      </c>
      <c r="F2" s="1" t="s">
        <v>112</v>
      </c>
      <c r="G2" s="1" t="s">
        <v>113</v>
      </c>
      <c r="K2" s="157" t="s">
        <v>120</v>
      </c>
      <c r="L2" s="157"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1</v>
      </c>
      <c r="B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 s="1" t="s">
        <v>173</v>
      </c>
      <c r="D3" s="1" t="s">
        <v>174</v>
      </c>
      <c r="E3" s="1" t="s">
        <v>175</v>
      </c>
      <c r="F3" s="1" t="s">
        <v>112</v>
      </c>
      <c r="G3" s="1">
        <v>56411</v>
      </c>
      <c r="K3" s="119" t="s">
        <v>154</v>
      </c>
      <c r="L3" s="119"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s="3" customFormat="1" x14ac:dyDescent="0.35">
      <c r="A4" s="3" t="str">
        <f t="shared" si="0"/>
        <v>1</v>
      </c>
      <c r="B4" s="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 s="3" t="s">
        <v>176</v>
      </c>
      <c r="D4" s="3" t="s">
        <v>177</v>
      </c>
      <c r="E4" s="3" t="s">
        <v>178</v>
      </c>
      <c r="F4" s="3" t="s">
        <v>112</v>
      </c>
      <c r="G4" s="3">
        <v>164171</v>
      </c>
      <c r="K4" s="197" t="s">
        <v>100</v>
      </c>
      <c r="L4" s="3" t="s">
        <v>1576</v>
      </c>
      <c r="M4" s="3" t="s">
        <v>1577</v>
      </c>
      <c r="N4" s="3" t="s">
        <v>1578</v>
      </c>
      <c r="O4" s="3" t="s">
        <v>1579</v>
      </c>
      <c r="P4" s="3" t="s">
        <v>1580</v>
      </c>
      <c r="Q4" s="3" t="s">
        <v>1581</v>
      </c>
      <c r="R4" s="3" t="s">
        <v>1582</v>
      </c>
      <c r="S4" s="3" t="s">
        <v>1583</v>
      </c>
      <c r="T4" s="3" t="s">
        <v>1584</v>
      </c>
      <c r="U4" s="3" t="s">
        <v>1585</v>
      </c>
      <c r="V4" s="3" t="s">
        <v>1586</v>
      </c>
      <c r="W4" s="3" t="s">
        <v>1587</v>
      </c>
      <c r="X4" s="3" t="s">
        <v>1588</v>
      </c>
      <c r="Y4" s="3" t="s">
        <v>1589</v>
      </c>
      <c r="Z4" s="3" t="s">
        <v>1590</v>
      </c>
      <c r="AA4" s="3" t="s">
        <v>1591</v>
      </c>
      <c r="AB4" s="3" t="s">
        <v>1592</v>
      </c>
      <c r="AC4" s="3" t="s">
        <v>1593</v>
      </c>
      <c r="AD4" s="3" t="s">
        <v>1594</v>
      </c>
      <c r="AE4" s="3" t="s">
        <v>1595</v>
      </c>
      <c r="AF4" s="3" t="s">
        <v>1596</v>
      </c>
    </row>
    <row r="5" spans="1:144" x14ac:dyDescent="0.35">
      <c r="A5" s="1" t="str">
        <f t="shared" si="0"/>
        <v>1</v>
      </c>
      <c r="B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 s="1" t="s">
        <v>179</v>
      </c>
      <c r="D5" s="1" t="s">
        <v>180</v>
      </c>
      <c r="E5" s="1" t="s">
        <v>181</v>
      </c>
      <c r="F5" s="1" t="s">
        <v>112</v>
      </c>
      <c r="G5" s="1">
        <v>258867</v>
      </c>
      <c r="K5" s="146" t="s">
        <v>164</v>
      </c>
      <c r="L5" s="44">
        <v>159816.33333333334</v>
      </c>
      <c r="M5" s="44">
        <v>60246.666666666664</v>
      </c>
      <c r="N5" s="44"/>
      <c r="O5" s="44">
        <v>3558946.6666666665</v>
      </c>
      <c r="P5" s="44">
        <v>216.33333333333334</v>
      </c>
      <c r="Q5" s="44">
        <v>37657.666666666664</v>
      </c>
      <c r="R5" s="44">
        <v>43642</v>
      </c>
      <c r="S5" s="44">
        <v>162094.66666666666</v>
      </c>
      <c r="T5" s="44"/>
      <c r="U5" s="44">
        <v>450010</v>
      </c>
      <c r="V5" s="44">
        <v>2559746.3333333335</v>
      </c>
      <c r="W5" s="44">
        <v>135165.33333333334</v>
      </c>
      <c r="X5" s="44">
        <v>279703.33333333331</v>
      </c>
      <c r="Y5" s="44">
        <v>229687.66666666666</v>
      </c>
      <c r="Z5" s="44">
        <v>407867.66666666669</v>
      </c>
      <c r="AA5" s="44"/>
      <c r="AB5" s="44">
        <v>341233</v>
      </c>
      <c r="AC5" s="44">
        <v>522095.33333333331</v>
      </c>
      <c r="AD5" s="44">
        <v>64024.333333333336</v>
      </c>
      <c r="AE5" s="44">
        <v>2192</v>
      </c>
      <c r="AF5" s="44"/>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1</v>
      </c>
      <c r="B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 s="1" t="s">
        <v>182</v>
      </c>
      <c r="D6" s="1" t="s">
        <v>183</v>
      </c>
      <c r="E6" s="1">
        <v>31</v>
      </c>
      <c r="F6" s="1" t="s">
        <v>112</v>
      </c>
      <c r="G6" s="1">
        <v>3353</v>
      </c>
      <c r="K6" s="146" t="s">
        <v>1597</v>
      </c>
      <c r="L6" s="44">
        <v>4989.333333333333</v>
      </c>
      <c r="M6" s="44">
        <v>40296</v>
      </c>
      <c r="N6" s="44">
        <v>1060413</v>
      </c>
      <c r="O6" s="44">
        <v>3925688.6666666665</v>
      </c>
      <c r="P6" s="44">
        <v>110802.66666666667</v>
      </c>
      <c r="Q6" s="44">
        <v>344095.33333333331</v>
      </c>
      <c r="R6" s="44">
        <v>42574.666666666664</v>
      </c>
      <c r="S6" s="44">
        <v>1160480</v>
      </c>
      <c r="T6" s="44">
        <v>94464.666666666672</v>
      </c>
      <c r="U6" s="44">
        <v>893653.33333333337</v>
      </c>
      <c r="V6" s="44">
        <v>2927036.3333333335</v>
      </c>
      <c r="W6" s="44">
        <v>255506.66666666666</v>
      </c>
      <c r="X6" s="44">
        <v>5184</v>
      </c>
      <c r="Y6" s="44">
        <v>16583</v>
      </c>
      <c r="Z6" s="44">
        <v>527459.33333333337</v>
      </c>
      <c r="AA6" s="44">
        <v>1117732</v>
      </c>
      <c r="AB6" s="44">
        <v>237237</v>
      </c>
      <c r="AC6" s="44">
        <v>1820783</v>
      </c>
      <c r="AD6" s="44">
        <v>43238.333333333336</v>
      </c>
      <c r="AE6" s="44">
        <v>33851</v>
      </c>
      <c r="AF6" s="44">
        <v>157941.33333333334</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1</v>
      </c>
      <c r="B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 s="1" t="s">
        <v>184</v>
      </c>
      <c r="D7" s="1">
        <v>0</v>
      </c>
      <c r="E7" s="1">
        <v>0</v>
      </c>
      <c r="F7" s="1" t="s">
        <v>112</v>
      </c>
      <c r="G7" s="1">
        <v>0</v>
      </c>
      <c r="K7" s="146" t="s">
        <v>1598</v>
      </c>
      <c r="L7" s="44">
        <v>250070.33333333334</v>
      </c>
      <c r="M7" s="44">
        <v>1782735.6666666667</v>
      </c>
      <c r="N7" s="44">
        <v>2642380.3333333335</v>
      </c>
      <c r="O7" s="44">
        <v>2974456.6666666665</v>
      </c>
      <c r="P7" s="44">
        <v>189103</v>
      </c>
      <c r="Q7" s="44">
        <v>391652.66666666669</v>
      </c>
      <c r="R7" s="44">
        <v>93808.666666666672</v>
      </c>
      <c r="S7" s="44">
        <v>683966</v>
      </c>
      <c r="T7" s="44">
        <v>2266690.3333333335</v>
      </c>
      <c r="U7" s="44">
        <v>2899674.6666666665</v>
      </c>
      <c r="V7" s="44">
        <v>2541404.6666666665</v>
      </c>
      <c r="W7" s="44">
        <v>156175</v>
      </c>
      <c r="X7" s="44"/>
      <c r="Y7" s="44">
        <v>189456.33333333334</v>
      </c>
      <c r="Z7" s="44">
        <v>311866.66666666669</v>
      </c>
      <c r="AA7" s="44">
        <v>402900</v>
      </c>
      <c r="AB7" s="44">
        <v>1870228.6666666667</v>
      </c>
      <c r="AC7" s="44">
        <v>429295.66666666669</v>
      </c>
      <c r="AD7" s="44">
        <v>68725.333333333328</v>
      </c>
      <c r="AE7" s="44">
        <v>221490</v>
      </c>
      <c r="AF7" s="44">
        <v>43937.666666666664</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1</v>
      </c>
      <c r="B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8" s="1" t="s">
        <v>185</v>
      </c>
      <c r="D8" s="1" t="s">
        <v>186</v>
      </c>
      <c r="E8" s="1" t="s">
        <v>187</v>
      </c>
      <c r="F8" s="1" t="s">
        <v>112</v>
      </c>
      <c r="G8" s="1">
        <v>11615</v>
      </c>
      <c r="K8" s="146" t="s">
        <v>1599</v>
      </c>
      <c r="L8" s="44">
        <v>193169.66666666666</v>
      </c>
      <c r="M8" s="44">
        <v>2360513.6666666665</v>
      </c>
      <c r="N8" s="44">
        <v>1625162</v>
      </c>
      <c r="O8" s="44">
        <v>2635300</v>
      </c>
      <c r="P8" s="44">
        <v>246573.66666666666</v>
      </c>
      <c r="Q8" s="44">
        <v>81026</v>
      </c>
      <c r="R8" s="44">
        <v>46259</v>
      </c>
      <c r="S8" s="44">
        <v>323669.66666666669</v>
      </c>
      <c r="T8" s="44">
        <v>2384724.6666666665</v>
      </c>
      <c r="U8" s="44">
        <v>2534007</v>
      </c>
      <c r="V8" s="44">
        <v>3695489.3333333335</v>
      </c>
      <c r="W8" s="44">
        <v>100701.33333333333</v>
      </c>
      <c r="X8" s="44">
        <v>257619.33333333334</v>
      </c>
      <c r="Y8" s="44">
        <v>131315</v>
      </c>
      <c r="Z8" s="44">
        <v>406014.66666666669</v>
      </c>
      <c r="AA8" s="44">
        <v>697470.66666666663</v>
      </c>
      <c r="AB8" s="44">
        <v>2743904</v>
      </c>
      <c r="AC8" s="44">
        <v>197026.5</v>
      </c>
      <c r="AD8" s="44">
        <v>415662</v>
      </c>
      <c r="AE8" s="44">
        <v>62236.333333333336</v>
      </c>
      <c r="AF8" s="44">
        <v>138647.66666666666</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1</v>
      </c>
      <c r="B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 s="1" t="s">
        <v>188</v>
      </c>
      <c r="D9" s="1" t="s">
        <v>189</v>
      </c>
      <c r="E9" s="1" t="s">
        <v>190</v>
      </c>
      <c r="F9" s="1" t="s">
        <v>112</v>
      </c>
      <c r="G9" s="1">
        <v>222593</v>
      </c>
      <c r="K9" s="146" t="s">
        <v>1600</v>
      </c>
      <c r="L9" s="44">
        <v>444436.66666666669</v>
      </c>
      <c r="M9" s="44">
        <v>898102.33333333337</v>
      </c>
      <c r="N9" s="44">
        <v>3457452</v>
      </c>
      <c r="O9" s="44">
        <v>4288559.333333333</v>
      </c>
      <c r="P9" s="44">
        <v>105215.33333333333</v>
      </c>
      <c r="Q9" s="44">
        <v>227993.66666666666</v>
      </c>
      <c r="R9" s="44">
        <v>440</v>
      </c>
      <c r="S9" s="44">
        <v>229161.66666666666</v>
      </c>
      <c r="T9" s="44">
        <v>1633439.3333333333</v>
      </c>
      <c r="U9" s="44">
        <v>3068482</v>
      </c>
      <c r="V9" s="44">
        <v>4704314.666666667</v>
      </c>
      <c r="W9" s="44">
        <v>0</v>
      </c>
      <c r="X9" s="44">
        <v>8450.3333333333339</v>
      </c>
      <c r="Y9" s="44">
        <v>105993.66666666667</v>
      </c>
      <c r="Z9" s="44">
        <v>38220</v>
      </c>
      <c r="AA9" s="44">
        <v>538346.33333333337</v>
      </c>
      <c r="AB9" s="44">
        <v>62885.333333333336</v>
      </c>
      <c r="AC9" s="44">
        <v>1888700.6666666667</v>
      </c>
      <c r="AD9" s="44">
        <v>1413052</v>
      </c>
      <c r="AE9" s="44">
        <v>266805</v>
      </c>
      <c r="AF9" s="44">
        <v>307555.66666666669</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1</v>
      </c>
      <c r="B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 s="1" t="s">
        <v>191</v>
      </c>
      <c r="D10" s="1" t="s">
        <v>192</v>
      </c>
      <c r="E10" s="1" t="s">
        <v>193</v>
      </c>
      <c r="F10" s="1" t="s">
        <v>112</v>
      </c>
      <c r="G10" s="1">
        <v>287505</v>
      </c>
      <c r="K10" s="146" t="s">
        <v>1601</v>
      </c>
      <c r="L10" s="44">
        <v>82229.666666666672</v>
      </c>
      <c r="M10" s="44">
        <v>785280.33333333337</v>
      </c>
      <c r="N10" s="44">
        <v>1292141</v>
      </c>
      <c r="O10" s="44">
        <v>3320362</v>
      </c>
      <c r="P10" s="44">
        <v>286560.33333333331</v>
      </c>
      <c r="Q10" s="44">
        <v>107529</v>
      </c>
      <c r="R10" s="44">
        <v>78646.333333333328</v>
      </c>
      <c r="S10" s="44">
        <v>250957.66666666666</v>
      </c>
      <c r="T10" s="44">
        <v>2363578</v>
      </c>
      <c r="U10" s="44">
        <v>3185456</v>
      </c>
      <c r="V10" s="44">
        <v>2717529.6666666665</v>
      </c>
      <c r="W10" s="44">
        <v>35696.666666666664</v>
      </c>
      <c r="X10" s="44">
        <v>184265</v>
      </c>
      <c r="Y10" s="44">
        <v>47405.666666666664</v>
      </c>
      <c r="Z10" s="44">
        <v>2226523.6666666665</v>
      </c>
      <c r="AA10" s="44">
        <v>752687.5</v>
      </c>
      <c r="AB10" s="44">
        <v>441639</v>
      </c>
      <c r="AC10" s="44">
        <v>2129124.3333333335</v>
      </c>
      <c r="AD10" s="44">
        <v>1106152.5</v>
      </c>
      <c r="AE10" s="44">
        <v>450536.33333333331</v>
      </c>
      <c r="AF10" s="44">
        <v>3432</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1</v>
      </c>
      <c r="B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1" s="1" t="s">
        <v>194</v>
      </c>
      <c r="D11" s="1" t="s">
        <v>195</v>
      </c>
      <c r="E11" s="1" t="s">
        <v>196</v>
      </c>
      <c r="F11" s="1" t="s">
        <v>112</v>
      </c>
      <c r="G11" s="1">
        <v>240113</v>
      </c>
      <c r="K11" s="146" t="s">
        <v>1602</v>
      </c>
      <c r="L11" s="44">
        <v>89634.333333333328</v>
      </c>
      <c r="M11" s="44">
        <v>2254715</v>
      </c>
      <c r="N11" s="44">
        <v>104025.33333333333</v>
      </c>
      <c r="O11" s="44">
        <v>4434395</v>
      </c>
      <c r="P11" s="44">
        <v>298773.66666666669</v>
      </c>
      <c r="Q11" s="44">
        <v>197560.33333333334</v>
      </c>
      <c r="R11" s="44">
        <v>229457</v>
      </c>
      <c r="S11" s="44">
        <v>235347.66666666666</v>
      </c>
      <c r="T11" s="44">
        <v>1626654.5</v>
      </c>
      <c r="U11" s="44">
        <v>2938464.3333333335</v>
      </c>
      <c r="V11" s="44">
        <v>4303793.666666667</v>
      </c>
      <c r="W11" s="44">
        <v>80967.666666666672</v>
      </c>
      <c r="X11" s="44">
        <v>255157</v>
      </c>
      <c r="Y11" s="44">
        <v>270402.66666666669</v>
      </c>
      <c r="Z11" s="44">
        <v>311989.66666666669</v>
      </c>
      <c r="AA11" s="44">
        <v>1569573.3333333333</v>
      </c>
      <c r="AB11" s="44">
        <v>159931</v>
      </c>
      <c r="AC11" s="44"/>
      <c r="AD11" s="44">
        <v>1735193.3333333333</v>
      </c>
      <c r="AE11" s="44">
        <v>85654.333333333328</v>
      </c>
      <c r="AF11" s="44">
        <v>68271.333333333328</v>
      </c>
      <c r="AG11"/>
    </row>
    <row r="12" spans="1:144" x14ac:dyDescent="0.35">
      <c r="A12" s="1" t="str">
        <f t="shared" si="0"/>
        <v>1</v>
      </c>
      <c r="B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2" s="1" t="s">
        <v>197</v>
      </c>
      <c r="D12" s="1" t="s">
        <v>198</v>
      </c>
      <c r="E12" s="1" t="s">
        <v>199</v>
      </c>
      <c r="F12" s="1" t="s">
        <v>112</v>
      </c>
      <c r="G12" s="1">
        <v>257872</v>
      </c>
      <c r="K12" s="146" t="s">
        <v>1603</v>
      </c>
      <c r="L12" s="44">
        <v>18133</v>
      </c>
      <c r="M12" s="44">
        <v>1790674</v>
      </c>
      <c r="N12" s="44">
        <v>953907</v>
      </c>
      <c r="O12" s="44">
        <v>2296575.6666666665</v>
      </c>
      <c r="P12" s="44">
        <v>231901</v>
      </c>
      <c r="Q12" s="44">
        <v>113903.33333333333</v>
      </c>
      <c r="R12" s="44">
        <v>225412.33333333334</v>
      </c>
      <c r="S12" s="44">
        <v>349561</v>
      </c>
      <c r="T12" s="44">
        <v>2917844</v>
      </c>
      <c r="U12" s="44">
        <v>2092987.6666666667</v>
      </c>
      <c r="V12" s="44">
        <v>3909841.6666666665</v>
      </c>
      <c r="W12" s="44">
        <v>99915.666666666672</v>
      </c>
      <c r="X12" s="44">
        <v>0</v>
      </c>
      <c r="Y12" s="44">
        <v>182181.33333333334</v>
      </c>
      <c r="Z12" s="44">
        <v>1557320</v>
      </c>
      <c r="AA12" s="44">
        <v>1910431.6666666667</v>
      </c>
      <c r="AB12" s="44">
        <v>2719505</v>
      </c>
      <c r="AC12" s="44">
        <v>1010346.6666666666</v>
      </c>
      <c r="AD12" s="44">
        <v>393592</v>
      </c>
      <c r="AE12" s="44">
        <v>107212.33333333333</v>
      </c>
      <c r="AF12" s="44">
        <v>222795.33333333334</v>
      </c>
      <c r="AG12"/>
    </row>
    <row r="13" spans="1:144" x14ac:dyDescent="0.35">
      <c r="A13" s="1" t="str">
        <f t="shared" si="0"/>
        <v>1</v>
      </c>
      <c r="B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3" s="1" t="s">
        <v>200</v>
      </c>
      <c r="D13" s="1" t="s">
        <v>201</v>
      </c>
      <c r="E13" s="1" t="s">
        <v>202</v>
      </c>
      <c r="F13" s="1" t="s">
        <v>112</v>
      </c>
      <c r="G13" s="1">
        <v>99887</v>
      </c>
      <c r="K13"/>
      <c r="L13"/>
      <c r="M13"/>
      <c r="N13"/>
      <c r="O13"/>
      <c r="P13"/>
      <c r="Q13"/>
      <c r="R13"/>
      <c r="S13"/>
      <c r="T13"/>
      <c r="U13"/>
      <c r="V13"/>
      <c r="W13"/>
      <c r="X13"/>
      <c r="Y13"/>
      <c r="Z13"/>
      <c r="AA13"/>
      <c r="AB13"/>
      <c r="AC13"/>
      <c r="AD13"/>
      <c r="AE13"/>
      <c r="AF13"/>
      <c r="AG13"/>
    </row>
    <row r="14" spans="1:144" x14ac:dyDescent="0.35">
      <c r="A14" s="1" t="str">
        <f t="shared" si="0"/>
        <v>1</v>
      </c>
      <c r="B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 s="1" t="s">
        <v>203</v>
      </c>
      <c r="D14" s="1" t="s">
        <v>204</v>
      </c>
      <c r="E14" s="1" t="s">
        <v>205</v>
      </c>
      <c r="F14" s="1" t="s">
        <v>112</v>
      </c>
      <c r="G14" s="1">
        <v>221750</v>
      </c>
      <c r="K14"/>
      <c r="L14"/>
      <c r="M14"/>
      <c r="N14"/>
      <c r="O14"/>
      <c r="P14"/>
      <c r="Q14"/>
      <c r="R14"/>
      <c r="S14"/>
      <c r="T14"/>
      <c r="U14"/>
      <c r="V14"/>
      <c r="W14"/>
      <c r="X14"/>
      <c r="Y14"/>
      <c r="Z14"/>
      <c r="AA14"/>
      <c r="AB14"/>
      <c r="AC14"/>
      <c r="AD14"/>
      <c r="AE14"/>
      <c r="AF14"/>
      <c r="AG14"/>
    </row>
    <row r="15" spans="1:144" x14ac:dyDescent="0.35">
      <c r="A15" s="1" t="str">
        <f t="shared" si="0"/>
        <v>1</v>
      </c>
      <c r="B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5" s="1" t="s">
        <v>206</v>
      </c>
      <c r="D15" s="1" t="s">
        <v>207</v>
      </c>
      <c r="E15" s="1" t="s">
        <v>208</v>
      </c>
      <c r="F15" s="1" t="s">
        <v>112</v>
      </c>
      <c r="G15" s="1">
        <v>321377</v>
      </c>
    </row>
    <row r="16" spans="1:144" x14ac:dyDescent="0.35">
      <c r="A16" s="1" t="str">
        <f t="shared" si="0"/>
        <v>1</v>
      </c>
      <c r="B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6" s="1" t="s">
        <v>209</v>
      </c>
      <c r="D16" s="1" t="s">
        <v>210</v>
      </c>
      <c r="E16" s="1" t="s">
        <v>211</v>
      </c>
      <c r="F16" s="1" t="s">
        <v>112</v>
      </c>
      <c r="G16" s="1">
        <v>663259</v>
      </c>
      <c r="M16"/>
      <c r="N16"/>
      <c r="O16"/>
      <c r="P16"/>
      <c r="Q16"/>
      <c r="R16"/>
      <c r="S16"/>
      <c r="T16"/>
      <c r="U16"/>
      <c r="V16"/>
      <c r="W16"/>
      <c r="X16"/>
      <c r="Y16"/>
      <c r="Z16"/>
      <c r="AA16"/>
      <c r="AB16"/>
      <c r="AC16"/>
      <c r="AD16"/>
      <c r="AE16"/>
      <c r="AF16"/>
      <c r="AG16"/>
      <c r="AH16"/>
    </row>
    <row r="17" spans="1:34" x14ac:dyDescent="0.35">
      <c r="A17" s="1" t="str">
        <f t="shared" si="0"/>
        <v>1</v>
      </c>
      <c r="B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7" s="1" t="s">
        <v>212</v>
      </c>
      <c r="D17" s="1" t="s">
        <v>213</v>
      </c>
      <c r="E17" s="1" t="s">
        <v>214</v>
      </c>
      <c r="F17" s="1" t="s">
        <v>112</v>
      </c>
      <c r="G17" s="1">
        <v>348674</v>
      </c>
      <c r="M17"/>
      <c r="N17"/>
      <c r="O17"/>
      <c r="P17"/>
      <c r="Q17"/>
      <c r="R17"/>
      <c r="S17"/>
      <c r="T17"/>
      <c r="U17"/>
      <c r="V17"/>
      <c r="W17"/>
      <c r="X17"/>
      <c r="Y17"/>
      <c r="Z17"/>
      <c r="AA17"/>
      <c r="AB17"/>
      <c r="AC17"/>
      <c r="AD17"/>
      <c r="AE17"/>
      <c r="AF17"/>
      <c r="AG17"/>
      <c r="AH17"/>
    </row>
    <row r="18" spans="1:34" x14ac:dyDescent="0.35">
      <c r="A18" s="1" t="str">
        <f t="shared" si="0"/>
        <v>1</v>
      </c>
      <c r="B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 s="1" t="s">
        <v>215</v>
      </c>
      <c r="D18" s="1" t="s">
        <v>216</v>
      </c>
      <c r="E18" s="1" t="s">
        <v>217</v>
      </c>
      <c r="F18" s="1" t="s">
        <v>112</v>
      </c>
      <c r="G18" s="1">
        <v>104710</v>
      </c>
      <c r="M18"/>
      <c r="N18"/>
      <c r="O18"/>
      <c r="P18"/>
      <c r="Q18"/>
      <c r="R18"/>
      <c r="S18"/>
      <c r="T18"/>
      <c r="U18"/>
      <c r="V18"/>
      <c r="W18"/>
      <c r="X18"/>
      <c r="Y18"/>
      <c r="Z18"/>
      <c r="AA18"/>
      <c r="AB18"/>
      <c r="AC18"/>
      <c r="AD18"/>
      <c r="AE18"/>
      <c r="AF18"/>
      <c r="AG18"/>
      <c r="AH18"/>
    </row>
    <row r="19" spans="1:34" x14ac:dyDescent="0.35">
      <c r="A19" s="1" t="str">
        <f t="shared" si="0"/>
        <v>1</v>
      </c>
      <c r="B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9" s="1" t="s">
        <v>218</v>
      </c>
      <c r="D19" s="1" t="s">
        <v>219</v>
      </c>
      <c r="E19" s="1" t="s">
        <v>220</v>
      </c>
      <c r="F19" s="1" t="s">
        <v>112</v>
      </c>
      <c r="G19" s="1">
        <v>82280</v>
      </c>
      <c r="K19"/>
      <c r="L19"/>
      <c r="M19"/>
      <c r="N19"/>
      <c r="O19"/>
      <c r="P19"/>
      <c r="Q19"/>
      <c r="R19"/>
      <c r="S19"/>
      <c r="T19"/>
      <c r="U19"/>
      <c r="V19"/>
      <c r="W19"/>
      <c r="X19"/>
      <c r="Y19"/>
      <c r="Z19"/>
      <c r="AA19"/>
      <c r="AB19"/>
      <c r="AC19"/>
      <c r="AD19"/>
      <c r="AE19"/>
      <c r="AF19"/>
      <c r="AG19"/>
      <c r="AH19"/>
    </row>
    <row r="20" spans="1:34" x14ac:dyDescent="0.35">
      <c r="A20" s="1" t="str">
        <f t="shared" si="0"/>
        <v>1</v>
      </c>
      <c r="B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0" s="1" t="s">
        <v>221</v>
      </c>
      <c r="D20" s="1" t="s">
        <v>222</v>
      </c>
      <c r="E20" s="1" t="s">
        <v>223</v>
      </c>
      <c r="F20" s="1" t="s">
        <v>112</v>
      </c>
      <c r="G20" s="1">
        <v>59699</v>
      </c>
      <c r="K20"/>
      <c r="L20"/>
      <c r="M20"/>
      <c r="N20"/>
      <c r="O20"/>
      <c r="P20"/>
      <c r="Q20"/>
      <c r="R20"/>
      <c r="S20"/>
      <c r="T20"/>
      <c r="U20"/>
      <c r="V20"/>
      <c r="W20"/>
      <c r="X20"/>
      <c r="Y20"/>
      <c r="Z20"/>
      <c r="AA20"/>
      <c r="AB20"/>
      <c r="AC20"/>
      <c r="AD20"/>
      <c r="AE20"/>
      <c r="AF20"/>
      <c r="AG20"/>
      <c r="AH20"/>
    </row>
    <row r="21" spans="1:34" x14ac:dyDescent="0.35">
      <c r="A21" s="1" t="str">
        <f t="shared" si="0"/>
        <v>1</v>
      </c>
      <c r="B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 s="1" t="s">
        <v>224</v>
      </c>
      <c r="D21" s="1" t="s">
        <v>225</v>
      </c>
      <c r="E21" s="1" t="s">
        <v>226</v>
      </c>
      <c r="F21" s="1" t="s">
        <v>112</v>
      </c>
      <c r="G21" s="1">
        <v>266848</v>
      </c>
      <c r="K21"/>
      <c r="L21"/>
      <c r="M21"/>
      <c r="N21"/>
      <c r="O21"/>
      <c r="P21"/>
      <c r="Q21"/>
      <c r="R21"/>
      <c r="S21"/>
      <c r="T21"/>
      <c r="U21"/>
      <c r="V21"/>
      <c r="W21"/>
      <c r="X21"/>
      <c r="Y21"/>
      <c r="Z21"/>
      <c r="AA21"/>
      <c r="AB21"/>
      <c r="AC21"/>
      <c r="AD21"/>
      <c r="AE21"/>
      <c r="AF21"/>
      <c r="AG21"/>
      <c r="AH21"/>
    </row>
    <row r="22" spans="1:34" x14ac:dyDescent="0.35">
      <c r="A22" s="1" t="str">
        <f t="shared" si="0"/>
        <v>1</v>
      </c>
      <c r="B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 s="1" t="s">
        <v>227</v>
      </c>
      <c r="D22" s="1" t="s">
        <v>228</v>
      </c>
      <c r="E22" s="1" t="s">
        <v>229</v>
      </c>
      <c r="F22" s="1" t="s">
        <v>112</v>
      </c>
      <c r="G22" s="1">
        <v>2055</v>
      </c>
      <c r="K22"/>
      <c r="L22"/>
      <c r="M22"/>
      <c r="N22"/>
      <c r="O22"/>
      <c r="P22"/>
      <c r="Q22"/>
      <c r="R22"/>
      <c r="S22"/>
      <c r="T22"/>
      <c r="U22"/>
      <c r="V22"/>
      <c r="W22"/>
      <c r="X22"/>
      <c r="Y22"/>
      <c r="Z22"/>
      <c r="AA22"/>
      <c r="AB22"/>
      <c r="AC22"/>
      <c r="AD22"/>
      <c r="AE22"/>
      <c r="AF22"/>
      <c r="AG22"/>
      <c r="AH22"/>
    </row>
    <row r="23" spans="1:34" x14ac:dyDescent="0.35">
      <c r="A23" s="1" t="str">
        <f t="shared" si="0"/>
        <v>1</v>
      </c>
      <c r="B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3" s="1" t="s">
        <v>230</v>
      </c>
      <c r="D23" s="1">
        <v>0</v>
      </c>
      <c r="E23" s="1">
        <v>0</v>
      </c>
      <c r="F23" s="1" t="s">
        <v>112</v>
      </c>
      <c r="G23" s="1">
        <v>0</v>
      </c>
      <c r="K23"/>
      <c r="L23"/>
      <c r="M23"/>
      <c r="N23"/>
      <c r="O23"/>
      <c r="P23"/>
      <c r="Q23"/>
      <c r="R23"/>
      <c r="S23"/>
      <c r="T23"/>
      <c r="U23"/>
      <c r="V23"/>
      <c r="W23"/>
      <c r="X23"/>
      <c r="Y23"/>
      <c r="Z23"/>
      <c r="AA23"/>
      <c r="AB23"/>
      <c r="AC23"/>
      <c r="AD23"/>
      <c r="AE23"/>
      <c r="AF23"/>
      <c r="AG23"/>
      <c r="AH23"/>
    </row>
    <row r="24" spans="1:34" x14ac:dyDescent="0.35">
      <c r="A24" s="1" t="str">
        <f t="shared" si="0"/>
        <v>1</v>
      </c>
      <c r="B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4" s="1" t="s">
        <v>231</v>
      </c>
      <c r="D24" s="1" t="s">
        <v>232</v>
      </c>
      <c r="E24" s="1">
        <v>31</v>
      </c>
      <c r="F24" s="1" t="s">
        <v>112</v>
      </c>
      <c r="G24" s="1">
        <v>6035</v>
      </c>
      <c r="K24"/>
      <c r="L24"/>
      <c r="M24"/>
      <c r="N24"/>
      <c r="O24"/>
      <c r="P24"/>
      <c r="Q24"/>
      <c r="R24"/>
      <c r="S24"/>
      <c r="T24"/>
      <c r="U24"/>
      <c r="V24"/>
      <c r="W24"/>
      <c r="X24"/>
      <c r="Y24"/>
      <c r="Z24"/>
      <c r="AA24"/>
      <c r="AB24"/>
      <c r="AC24"/>
      <c r="AD24"/>
      <c r="AE24"/>
      <c r="AF24"/>
      <c r="AG24"/>
      <c r="AH24"/>
    </row>
    <row r="25" spans="1:34" x14ac:dyDescent="0.35">
      <c r="A25" s="1" t="str">
        <f t="shared" si="0"/>
        <v>1</v>
      </c>
      <c r="B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 s="1" t="s">
        <v>233</v>
      </c>
      <c r="D25" s="1" t="s">
        <v>234</v>
      </c>
      <c r="E25" s="1" t="s">
        <v>235</v>
      </c>
      <c r="F25" s="1" t="s">
        <v>112</v>
      </c>
      <c r="G25" s="1">
        <v>19748</v>
      </c>
      <c r="K25"/>
      <c r="L25"/>
      <c r="M25"/>
      <c r="N25"/>
      <c r="O25"/>
      <c r="P25"/>
      <c r="Q25"/>
      <c r="R25"/>
      <c r="S25"/>
      <c r="T25"/>
      <c r="U25"/>
      <c r="V25"/>
      <c r="W25"/>
      <c r="X25"/>
      <c r="Y25"/>
      <c r="Z25"/>
      <c r="AA25"/>
      <c r="AB25"/>
      <c r="AC25"/>
      <c r="AD25"/>
      <c r="AE25"/>
      <c r="AF25"/>
      <c r="AG25"/>
      <c r="AH25"/>
    </row>
    <row r="26" spans="1:34" x14ac:dyDescent="0.35">
      <c r="A26" s="1" t="str">
        <f t="shared" si="0"/>
        <v>1</v>
      </c>
      <c r="B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6" s="1" t="s">
        <v>236</v>
      </c>
      <c r="D26" s="1" t="s">
        <v>237</v>
      </c>
      <c r="E26" s="1" t="s">
        <v>238</v>
      </c>
      <c r="F26" s="1" t="s">
        <v>112</v>
      </c>
      <c r="G26" s="1">
        <v>28616</v>
      </c>
      <c r="K26"/>
      <c r="L26"/>
      <c r="M26"/>
      <c r="N26"/>
      <c r="O26"/>
      <c r="P26"/>
      <c r="Q26"/>
      <c r="R26"/>
      <c r="S26"/>
      <c r="T26"/>
      <c r="U26"/>
      <c r="V26"/>
      <c r="W26"/>
      <c r="X26"/>
      <c r="Y26"/>
      <c r="Z26"/>
      <c r="AA26"/>
      <c r="AB26"/>
      <c r="AC26"/>
      <c r="AD26"/>
      <c r="AE26"/>
      <c r="AF26"/>
      <c r="AG26"/>
      <c r="AH26"/>
    </row>
    <row r="27" spans="1:34" x14ac:dyDescent="0.35">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7" s="1" t="s">
        <v>112</v>
      </c>
      <c r="K27"/>
      <c r="L27"/>
      <c r="M27"/>
      <c r="N27"/>
      <c r="O27"/>
      <c r="P27"/>
      <c r="Q27"/>
      <c r="R27"/>
      <c r="S27"/>
      <c r="T27"/>
      <c r="U27"/>
      <c r="V27"/>
      <c r="W27"/>
      <c r="X27"/>
      <c r="Y27"/>
      <c r="Z27"/>
      <c r="AA27"/>
      <c r="AB27"/>
      <c r="AC27"/>
      <c r="AD27"/>
      <c r="AE27"/>
      <c r="AF27"/>
      <c r="AG27"/>
      <c r="AH27"/>
    </row>
    <row r="28" spans="1:34" x14ac:dyDescent="0.35">
      <c r="A28" s="1" t="str">
        <f t="shared" si="0"/>
        <v/>
      </c>
      <c r="B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8" s="1" t="s">
        <v>239</v>
      </c>
      <c r="D28" s="1" t="s">
        <v>112</v>
      </c>
      <c r="E28" s="1" t="s">
        <v>240</v>
      </c>
      <c r="F28" s="1" t="s">
        <v>241</v>
      </c>
      <c r="G28" s="1" t="s">
        <v>242</v>
      </c>
      <c r="H28" s="1" t="s">
        <v>243</v>
      </c>
      <c r="K28"/>
      <c r="L28"/>
      <c r="M28"/>
      <c r="N28"/>
      <c r="O28"/>
      <c r="P28"/>
      <c r="Q28"/>
      <c r="R28"/>
      <c r="S28"/>
      <c r="T28"/>
      <c r="U28"/>
      <c r="V28"/>
      <c r="W28"/>
      <c r="X28"/>
      <c r="Y28"/>
      <c r="Z28"/>
      <c r="AA28"/>
      <c r="AB28"/>
      <c r="AC28"/>
      <c r="AD28"/>
      <c r="AE28"/>
      <c r="AF28"/>
      <c r="AG28"/>
      <c r="AH28"/>
    </row>
    <row r="29" spans="1:34" x14ac:dyDescent="0.35">
      <c r="A29" s="1" t="str">
        <f t="shared" si="0"/>
        <v>1</v>
      </c>
      <c r="B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9" s="1" t="s">
        <v>244</v>
      </c>
      <c r="D29" s="1" t="s">
        <v>112</v>
      </c>
      <c r="E29" s="1" t="s">
        <v>245</v>
      </c>
      <c r="F29" s="1" t="s">
        <v>246</v>
      </c>
      <c r="G29" s="1" t="s">
        <v>247</v>
      </c>
      <c r="H29" s="1" t="s">
        <v>248</v>
      </c>
      <c r="K29"/>
      <c r="L29"/>
      <c r="M29"/>
      <c r="N29"/>
      <c r="O29"/>
      <c r="P29"/>
      <c r="Q29"/>
      <c r="R29"/>
      <c r="S29"/>
      <c r="T29"/>
      <c r="U29"/>
      <c r="V29"/>
      <c r="W29"/>
      <c r="X29"/>
      <c r="Y29"/>
      <c r="Z29"/>
      <c r="AA29"/>
      <c r="AB29"/>
      <c r="AC29"/>
      <c r="AD29"/>
      <c r="AE29"/>
      <c r="AF29"/>
      <c r="AG29"/>
      <c r="AH29"/>
    </row>
    <row r="30" spans="1:34" x14ac:dyDescent="0.35">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0" s="1" t="s">
        <v>112</v>
      </c>
      <c r="K30"/>
      <c r="L30"/>
      <c r="M30"/>
      <c r="N30"/>
      <c r="O30"/>
      <c r="P30"/>
      <c r="Q30"/>
      <c r="R30"/>
      <c r="S30"/>
      <c r="T30"/>
      <c r="U30"/>
      <c r="V30"/>
      <c r="W30"/>
      <c r="X30"/>
      <c r="Y30"/>
      <c r="Z30"/>
      <c r="AA30"/>
      <c r="AB30"/>
      <c r="AC30"/>
      <c r="AD30"/>
      <c r="AE30"/>
      <c r="AF30"/>
      <c r="AG30"/>
      <c r="AH30"/>
    </row>
    <row r="31" spans="1:34" x14ac:dyDescent="0.35">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1" s="1" t="s">
        <v>112</v>
      </c>
      <c r="K31"/>
      <c r="L31"/>
      <c r="M31"/>
      <c r="N31"/>
      <c r="O31"/>
      <c r="P31"/>
      <c r="Q31"/>
      <c r="R31"/>
      <c r="S31"/>
      <c r="T31"/>
      <c r="U31"/>
      <c r="V31"/>
      <c r="W31"/>
      <c r="X31"/>
      <c r="Y31"/>
      <c r="Z31"/>
      <c r="AA31"/>
      <c r="AB31"/>
      <c r="AC31"/>
      <c r="AD31"/>
      <c r="AE31"/>
      <c r="AF31"/>
      <c r="AG31"/>
      <c r="AH31"/>
    </row>
    <row r="32" spans="1:34" x14ac:dyDescent="0.35">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 s="1" t="s">
        <v>112</v>
      </c>
      <c r="K32"/>
      <c r="L32"/>
      <c r="M32"/>
      <c r="N32"/>
      <c r="O32"/>
      <c r="P32"/>
      <c r="Q32"/>
      <c r="R32"/>
      <c r="S32"/>
      <c r="T32"/>
      <c r="U32"/>
      <c r="V32"/>
      <c r="W32"/>
      <c r="X32"/>
      <c r="Y32"/>
      <c r="Z32"/>
      <c r="AA32"/>
      <c r="AB32"/>
      <c r="AC32"/>
      <c r="AD32"/>
      <c r="AE32"/>
      <c r="AF32"/>
      <c r="AG32"/>
      <c r="AH32"/>
    </row>
    <row r="33" spans="1:34" x14ac:dyDescent="0.35">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 s="1" t="s">
        <v>112</v>
      </c>
      <c r="K33"/>
      <c r="L33"/>
      <c r="M33"/>
      <c r="N33"/>
      <c r="O33"/>
      <c r="P33"/>
      <c r="Q33"/>
      <c r="R33"/>
      <c r="S33"/>
      <c r="T33"/>
      <c r="U33"/>
      <c r="V33"/>
      <c r="W33"/>
      <c r="X33"/>
      <c r="Y33"/>
      <c r="Z33"/>
      <c r="AA33"/>
      <c r="AB33"/>
      <c r="AC33"/>
      <c r="AD33"/>
      <c r="AE33"/>
      <c r="AF33"/>
      <c r="AG33"/>
      <c r="AH33"/>
    </row>
    <row r="34" spans="1:34" x14ac:dyDescent="0.35">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 s="1" t="s">
        <v>112</v>
      </c>
      <c r="K34"/>
      <c r="L34"/>
      <c r="M34"/>
      <c r="N34"/>
      <c r="O34"/>
      <c r="P34"/>
      <c r="Q34"/>
      <c r="R34"/>
      <c r="S34"/>
      <c r="T34"/>
      <c r="U34"/>
      <c r="V34"/>
      <c r="W34"/>
      <c r="X34"/>
      <c r="Y34"/>
      <c r="Z34"/>
      <c r="AA34"/>
      <c r="AB34"/>
      <c r="AC34"/>
      <c r="AD34"/>
      <c r="AE34"/>
      <c r="AF34"/>
      <c r="AG34"/>
      <c r="AH34"/>
    </row>
    <row r="35" spans="1:34" x14ac:dyDescent="0.35">
      <c r="A35" s="1" t="str">
        <f t="shared" si="0"/>
        <v/>
      </c>
      <c r="B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 s="1" t="s">
        <v>172</v>
      </c>
      <c r="D35" s="1" t="s">
        <v>110</v>
      </c>
      <c r="E35" s="1" t="s">
        <v>111</v>
      </c>
      <c r="F35" s="1" t="s">
        <v>112</v>
      </c>
      <c r="G35" s="1" t="s">
        <v>113</v>
      </c>
      <c r="K35"/>
      <c r="L35"/>
      <c r="M35"/>
      <c r="N35"/>
      <c r="O35"/>
      <c r="P35"/>
      <c r="Q35"/>
      <c r="R35"/>
      <c r="S35"/>
      <c r="T35"/>
      <c r="U35"/>
      <c r="V35"/>
      <c r="W35"/>
      <c r="X35"/>
      <c r="Y35"/>
      <c r="Z35"/>
      <c r="AA35"/>
      <c r="AB35"/>
      <c r="AC35"/>
      <c r="AD35"/>
      <c r="AE35"/>
      <c r="AF35"/>
      <c r="AG35"/>
      <c r="AH35"/>
    </row>
    <row r="36" spans="1:34" x14ac:dyDescent="0.35">
      <c r="A36" s="1" t="str">
        <f t="shared" si="0"/>
        <v>13</v>
      </c>
      <c r="B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 s="1" t="s">
        <v>249</v>
      </c>
      <c r="D36" s="1" t="s">
        <v>250</v>
      </c>
      <c r="E36" s="1" t="s">
        <v>251</v>
      </c>
      <c r="F36" s="1" t="s">
        <v>112</v>
      </c>
      <c r="G36" s="1">
        <v>75856</v>
      </c>
      <c r="K36"/>
      <c r="L36"/>
      <c r="M36"/>
      <c r="N36"/>
      <c r="O36"/>
      <c r="P36"/>
      <c r="Q36"/>
      <c r="R36"/>
      <c r="S36"/>
      <c r="T36"/>
      <c r="U36"/>
      <c r="V36"/>
      <c r="W36"/>
      <c r="X36"/>
      <c r="Y36"/>
      <c r="Z36"/>
      <c r="AA36"/>
      <c r="AB36"/>
      <c r="AC36"/>
      <c r="AD36"/>
      <c r="AE36"/>
      <c r="AF36"/>
      <c r="AG36"/>
      <c r="AH36"/>
    </row>
    <row r="37" spans="1:34" x14ac:dyDescent="0.35">
      <c r="A37" s="1" t="str">
        <f t="shared" si="0"/>
        <v>13</v>
      </c>
      <c r="B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7" s="1" t="s">
        <v>252</v>
      </c>
      <c r="D37" s="1" t="s">
        <v>253</v>
      </c>
      <c r="E37" s="1" t="s">
        <v>254</v>
      </c>
      <c r="F37" s="1" t="s">
        <v>112</v>
      </c>
      <c r="G37" s="1">
        <v>49879</v>
      </c>
      <c r="K37"/>
      <c r="L37"/>
      <c r="M37"/>
      <c r="N37"/>
      <c r="O37"/>
      <c r="P37"/>
      <c r="Q37"/>
      <c r="R37"/>
      <c r="S37"/>
      <c r="T37"/>
      <c r="U37"/>
      <c r="V37"/>
      <c r="W37"/>
      <c r="X37"/>
      <c r="Y37"/>
      <c r="Z37"/>
      <c r="AA37"/>
      <c r="AB37"/>
      <c r="AC37"/>
      <c r="AD37"/>
      <c r="AE37"/>
      <c r="AF37"/>
      <c r="AG37"/>
      <c r="AH37"/>
    </row>
    <row r="38" spans="1:34" x14ac:dyDescent="0.35">
      <c r="A38" s="1" t="str">
        <f t="shared" si="0"/>
        <v>13</v>
      </c>
      <c r="B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8" s="1" t="s">
        <v>255</v>
      </c>
      <c r="D38" s="1" t="s">
        <v>256</v>
      </c>
      <c r="E38" s="1" t="s">
        <v>257</v>
      </c>
      <c r="F38" s="1" t="s">
        <v>112</v>
      </c>
      <c r="G38" s="1">
        <v>55005</v>
      </c>
      <c r="K38"/>
      <c r="L38"/>
      <c r="M38"/>
      <c r="N38"/>
      <c r="O38"/>
      <c r="P38"/>
      <c r="Q38"/>
      <c r="R38"/>
      <c r="S38"/>
      <c r="T38"/>
      <c r="U38"/>
      <c r="V38"/>
      <c r="W38"/>
      <c r="X38"/>
      <c r="Y38"/>
      <c r="Z38"/>
      <c r="AA38"/>
      <c r="AB38"/>
      <c r="AC38"/>
      <c r="AD38"/>
      <c r="AE38"/>
      <c r="AF38"/>
      <c r="AG38"/>
      <c r="AH38"/>
    </row>
    <row r="39" spans="1:34" x14ac:dyDescent="0.35">
      <c r="A39" s="1" t="str">
        <f t="shared" si="0"/>
        <v>13</v>
      </c>
      <c r="B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9" s="1" t="s">
        <v>258</v>
      </c>
      <c r="D39" s="1" t="s">
        <v>259</v>
      </c>
      <c r="E39" s="1" t="s">
        <v>260</v>
      </c>
      <c r="F39" s="1" t="s">
        <v>112</v>
      </c>
      <c r="G39" s="1">
        <v>40296</v>
      </c>
    </row>
    <row r="40" spans="1:34" x14ac:dyDescent="0.35">
      <c r="A40" s="1" t="str">
        <f t="shared" si="0"/>
        <v>13</v>
      </c>
      <c r="B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 s="1" t="s">
        <v>261</v>
      </c>
    </row>
    <row r="41" spans="1:34" x14ac:dyDescent="0.35">
      <c r="A41" s="1" t="str">
        <f t="shared" si="0"/>
        <v>13</v>
      </c>
      <c r="B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1" s="1" t="s">
        <v>262</v>
      </c>
    </row>
    <row r="42" spans="1:34" x14ac:dyDescent="0.35">
      <c r="A42" s="1" t="str">
        <f t="shared" si="0"/>
        <v>13</v>
      </c>
      <c r="B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 s="1" t="s">
        <v>263</v>
      </c>
      <c r="D42" s="1" t="s">
        <v>264</v>
      </c>
      <c r="E42" s="1" t="s">
        <v>265</v>
      </c>
      <c r="F42" s="1" t="s">
        <v>112</v>
      </c>
      <c r="G42" s="1">
        <v>1744083</v>
      </c>
    </row>
    <row r="43" spans="1:34" x14ac:dyDescent="0.35">
      <c r="A43" s="1" t="str">
        <f t="shared" si="0"/>
        <v>13</v>
      </c>
      <c r="B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 s="1" t="s">
        <v>266</v>
      </c>
      <c r="D43" s="1" t="s">
        <v>267</v>
      </c>
      <c r="E43" s="1" t="s">
        <v>268</v>
      </c>
      <c r="F43" s="1" t="s">
        <v>112</v>
      </c>
      <c r="G43" s="1">
        <v>1707788</v>
      </c>
    </row>
    <row r="44" spans="1:34" x14ac:dyDescent="0.35">
      <c r="A44" s="1" t="str">
        <f t="shared" si="0"/>
        <v>13</v>
      </c>
      <c r="B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4" s="1" t="s">
        <v>269</v>
      </c>
      <c r="D44" s="1" t="s">
        <v>270</v>
      </c>
      <c r="E44" s="1" t="s">
        <v>271</v>
      </c>
      <c r="F44" s="1" t="s">
        <v>112</v>
      </c>
      <c r="G44" s="1">
        <v>1896336</v>
      </c>
    </row>
    <row r="45" spans="1:34" x14ac:dyDescent="0.35">
      <c r="A45" s="1" t="str">
        <f t="shared" si="0"/>
        <v>13</v>
      </c>
      <c r="B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5" s="1" t="s">
        <v>272</v>
      </c>
      <c r="D45" s="1" t="s">
        <v>273</v>
      </c>
      <c r="E45" s="1" t="s">
        <v>274</v>
      </c>
      <c r="F45" s="1" t="s">
        <v>112</v>
      </c>
      <c r="G45" s="1">
        <v>2145253</v>
      </c>
    </row>
    <row r="46" spans="1:34" x14ac:dyDescent="0.35">
      <c r="A46" s="1" t="str">
        <f t="shared" si="0"/>
        <v>13</v>
      </c>
      <c r="B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 s="1" t="s">
        <v>275</v>
      </c>
      <c r="D46" s="1" t="s">
        <v>276</v>
      </c>
      <c r="E46" s="1" t="s">
        <v>277</v>
      </c>
      <c r="F46" s="1" t="s">
        <v>112</v>
      </c>
      <c r="G46" s="1">
        <v>2324305</v>
      </c>
    </row>
    <row r="47" spans="1:34" x14ac:dyDescent="0.35">
      <c r="A47" s="1" t="str">
        <f t="shared" si="0"/>
        <v>13</v>
      </c>
      <c r="B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 s="1" t="s">
        <v>278</v>
      </c>
      <c r="D47" s="1" t="s">
        <v>279</v>
      </c>
      <c r="E47" s="1" t="s">
        <v>280</v>
      </c>
      <c r="F47" s="1" t="s">
        <v>112</v>
      </c>
      <c r="G47" s="1">
        <v>2611983</v>
      </c>
    </row>
    <row r="48" spans="1:34" x14ac:dyDescent="0.35">
      <c r="A48" s="1" t="str">
        <f t="shared" si="0"/>
        <v>13</v>
      </c>
      <c r="B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8" s="1" t="s">
        <v>281</v>
      </c>
      <c r="D48" s="1" t="s">
        <v>282</v>
      </c>
      <c r="E48" s="1" t="s">
        <v>283</v>
      </c>
      <c r="F48" s="1" t="s">
        <v>112</v>
      </c>
      <c r="G48" s="1">
        <v>870452</v>
      </c>
    </row>
    <row r="49" spans="1:8" x14ac:dyDescent="0.35">
      <c r="A49" s="1" t="str">
        <f t="shared" si="0"/>
        <v>13</v>
      </c>
      <c r="B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9" s="1" t="s">
        <v>284</v>
      </c>
      <c r="D49" s="1" t="s">
        <v>285</v>
      </c>
      <c r="E49" s="1" t="s">
        <v>286</v>
      </c>
      <c r="F49" s="1" t="s">
        <v>112</v>
      </c>
      <c r="G49" s="1">
        <v>838202</v>
      </c>
    </row>
    <row r="50" spans="1:8" x14ac:dyDescent="0.35">
      <c r="A50" s="1" t="str">
        <f t="shared" si="0"/>
        <v>13</v>
      </c>
      <c r="B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0" s="1" t="s">
        <v>287</v>
      </c>
      <c r="D50" s="1" t="s">
        <v>288</v>
      </c>
      <c r="E50" s="1" t="s">
        <v>289</v>
      </c>
      <c r="F50" s="1" t="s">
        <v>112</v>
      </c>
      <c r="G50" s="1">
        <v>985653</v>
      </c>
    </row>
    <row r="51" spans="1:8" x14ac:dyDescent="0.35">
      <c r="A51" s="1" t="str">
        <f t="shared" si="0"/>
        <v>13</v>
      </c>
      <c r="B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 s="1" t="s">
        <v>290</v>
      </c>
      <c r="D51" s="1" t="s">
        <v>291</v>
      </c>
      <c r="E51" s="1" t="s">
        <v>292</v>
      </c>
      <c r="F51" s="1" t="s">
        <v>112</v>
      </c>
      <c r="G51" s="1">
        <v>691183</v>
      </c>
    </row>
    <row r="52" spans="1:8" x14ac:dyDescent="0.35">
      <c r="A52" s="1" t="str">
        <f t="shared" si="0"/>
        <v>13</v>
      </c>
      <c r="B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2" s="1" t="s">
        <v>293</v>
      </c>
      <c r="D52" s="1" t="s">
        <v>294</v>
      </c>
      <c r="E52" s="1" t="s">
        <v>295</v>
      </c>
      <c r="F52" s="1" t="s">
        <v>112</v>
      </c>
      <c r="G52" s="1">
        <v>666590</v>
      </c>
    </row>
    <row r="53" spans="1:8" x14ac:dyDescent="0.35">
      <c r="A53" s="1" t="str">
        <f t="shared" si="0"/>
        <v>13</v>
      </c>
      <c r="B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3" s="1" t="s">
        <v>296</v>
      </c>
      <c r="D53" s="1" t="s">
        <v>297</v>
      </c>
      <c r="E53" s="1" t="s">
        <v>298</v>
      </c>
      <c r="F53" s="1" t="s">
        <v>112</v>
      </c>
      <c r="G53" s="1">
        <v>998068</v>
      </c>
    </row>
    <row r="54" spans="1:8" x14ac:dyDescent="0.35">
      <c r="A54" s="1" t="str">
        <f t="shared" si="0"/>
        <v>13</v>
      </c>
      <c r="B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 s="1" t="s">
        <v>299</v>
      </c>
      <c r="D54" s="1" t="s">
        <v>300</v>
      </c>
      <c r="E54" s="1" t="s">
        <v>301</v>
      </c>
      <c r="F54" s="1" t="s">
        <v>112</v>
      </c>
      <c r="G54" s="1">
        <v>1880287</v>
      </c>
    </row>
    <row r="55" spans="1:8" x14ac:dyDescent="0.35">
      <c r="A55" s="1" t="str">
        <f t="shared" si="0"/>
        <v>13</v>
      </c>
      <c r="B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 s="1" t="s">
        <v>302</v>
      </c>
      <c r="D55" s="1" t="s">
        <v>303</v>
      </c>
      <c r="E55" s="1" t="s">
        <v>304</v>
      </c>
      <c r="F55" s="1" t="s">
        <v>112</v>
      </c>
      <c r="G55" s="1">
        <v>2541102</v>
      </c>
    </row>
    <row r="56" spans="1:8" x14ac:dyDescent="0.35">
      <c r="A56" s="1" t="str">
        <f t="shared" si="0"/>
        <v>13</v>
      </c>
      <c r="B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6" s="1" t="s">
        <v>305</v>
      </c>
      <c r="D56" s="1" t="s">
        <v>306</v>
      </c>
      <c r="E56" s="1" t="s">
        <v>307</v>
      </c>
      <c r="F56" s="1" t="s">
        <v>112</v>
      </c>
      <c r="G56" s="1">
        <v>2342756</v>
      </c>
    </row>
    <row r="57" spans="1:8" x14ac:dyDescent="0.35">
      <c r="A57" s="1" t="str">
        <f t="shared" si="0"/>
        <v>13</v>
      </c>
      <c r="B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7" s="1" t="s">
        <v>308</v>
      </c>
      <c r="D57" s="1" t="s">
        <v>309</v>
      </c>
      <c r="E57" s="1" t="s">
        <v>310</v>
      </c>
      <c r="F57" s="1" t="s">
        <v>112</v>
      </c>
      <c r="G57" s="1">
        <v>1634809</v>
      </c>
    </row>
    <row r="58" spans="1:8" x14ac:dyDescent="0.35">
      <c r="A58" s="1" t="str">
        <f t="shared" si="0"/>
        <v>13</v>
      </c>
      <c r="B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 s="1" t="s">
        <v>311</v>
      </c>
      <c r="D58" s="1" t="s">
        <v>312</v>
      </c>
      <c r="E58" s="1" t="s">
        <v>313</v>
      </c>
      <c r="F58" s="1" t="s">
        <v>112</v>
      </c>
      <c r="G58" s="1">
        <v>2115187</v>
      </c>
    </row>
    <row r="59" spans="1:8" x14ac:dyDescent="0.35">
      <c r="A59" s="1" t="str">
        <f t="shared" si="0"/>
        <v>13</v>
      </c>
      <c r="B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9" s="1" t="s">
        <v>314</v>
      </c>
      <c r="D59" s="1" t="s">
        <v>315</v>
      </c>
      <c r="E59" s="1" t="s">
        <v>316</v>
      </c>
      <c r="F59" s="1" t="s">
        <v>112</v>
      </c>
      <c r="G59" s="1">
        <v>1622026</v>
      </c>
    </row>
    <row r="60" spans="1:8" x14ac:dyDescent="0.35">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0" s="1" t="s">
        <v>112</v>
      </c>
    </row>
    <row r="61" spans="1:8" x14ac:dyDescent="0.35">
      <c r="A61" s="1" t="str">
        <f t="shared" si="0"/>
        <v/>
      </c>
      <c r="B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1" s="1" t="s">
        <v>239</v>
      </c>
      <c r="D61" s="1" t="s">
        <v>112</v>
      </c>
      <c r="E61" s="1" t="s">
        <v>240</v>
      </c>
      <c r="F61" s="1" t="s">
        <v>241</v>
      </c>
      <c r="G61" s="1" t="s">
        <v>242</v>
      </c>
      <c r="H61" s="1" t="s">
        <v>243</v>
      </c>
    </row>
    <row r="62" spans="1:8" x14ac:dyDescent="0.35">
      <c r="A62" s="1" t="str">
        <f t="shared" si="0"/>
        <v>13</v>
      </c>
      <c r="B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2" s="1" t="s">
        <v>317</v>
      </c>
      <c r="D62" s="1" t="s">
        <v>112</v>
      </c>
      <c r="E62" s="1" t="s">
        <v>318</v>
      </c>
      <c r="F62" s="1" t="s">
        <v>319</v>
      </c>
      <c r="G62" s="1" t="s">
        <v>320</v>
      </c>
      <c r="H62" s="1" t="s">
        <v>321</v>
      </c>
    </row>
    <row r="63" spans="1:8" x14ac:dyDescent="0.35">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3" s="1" t="s">
        <v>112</v>
      </c>
    </row>
    <row r="64" spans="1:8" x14ac:dyDescent="0.35">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4" s="1" t="s">
        <v>112</v>
      </c>
    </row>
    <row r="65" spans="1:7" x14ac:dyDescent="0.35">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 s="1" t="s">
        <v>112</v>
      </c>
    </row>
    <row r="66" spans="1:7" x14ac:dyDescent="0.35">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 s="1" t="s">
        <v>112</v>
      </c>
    </row>
    <row r="67" spans="1:7" x14ac:dyDescent="0.35">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 s="1" t="s">
        <v>112</v>
      </c>
    </row>
    <row r="68" spans="1:7" x14ac:dyDescent="0.35">
      <c r="A68" s="1" t="str">
        <f t="shared" si="1"/>
        <v/>
      </c>
      <c r="B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 s="1" t="s">
        <v>172</v>
      </c>
      <c r="D68" s="1" t="s">
        <v>110</v>
      </c>
      <c r="E68" s="1" t="s">
        <v>111</v>
      </c>
      <c r="F68" s="1" t="s">
        <v>112</v>
      </c>
      <c r="G68" s="1" t="s">
        <v>113</v>
      </c>
    </row>
    <row r="69" spans="1:7" x14ac:dyDescent="0.35">
      <c r="A69" s="1" t="str">
        <f t="shared" si="1"/>
        <v>14</v>
      </c>
      <c r="B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9" s="1" t="s">
        <v>322</v>
      </c>
    </row>
    <row r="70" spans="1:7" x14ac:dyDescent="0.35">
      <c r="A70" s="1" t="str">
        <f t="shared" si="1"/>
        <v>14</v>
      </c>
      <c r="B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0" s="1" t="s">
        <v>323</v>
      </c>
    </row>
    <row r="71" spans="1:7" x14ac:dyDescent="0.35">
      <c r="A71" s="1" t="str">
        <f t="shared" si="1"/>
        <v>14</v>
      </c>
      <c r="B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1" s="1" t="s">
        <v>324</v>
      </c>
    </row>
    <row r="72" spans="1:7" x14ac:dyDescent="0.35">
      <c r="A72" s="1" t="str">
        <f t="shared" si="1"/>
        <v>14</v>
      </c>
      <c r="B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2" s="1" t="s">
        <v>325</v>
      </c>
      <c r="D72" s="1" t="s">
        <v>326</v>
      </c>
      <c r="E72" s="1" t="s">
        <v>327</v>
      </c>
      <c r="F72" s="1" t="s">
        <v>112</v>
      </c>
      <c r="G72" s="1">
        <v>1136954</v>
      </c>
    </row>
    <row r="73" spans="1:7" x14ac:dyDescent="0.35">
      <c r="A73" s="1" t="str">
        <f t="shared" si="1"/>
        <v>14</v>
      </c>
      <c r="B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3" s="1" t="s">
        <v>328</v>
      </c>
      <c r="D73" s="1" t="s">
        <v>329</v>
      </c>
      <c r="E73" s="1" t="s">
        <v>330</v>
      </c>
      <c r="F73" s="1" t="s">
        <v>112</v>
      </c>
      <c r="G73" s="1">
        <v>995473</v>
      </c>
    </row>
    <row r="74" spans="1:7" x14ac:dyDescent="0.35">
      <c r="A74" s="1" t="str">
        <f t="shared" si="1"/>
        <v>14</v>
      </c>
      <c r="B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4" s="1" t="s">
        <v>331</v>
      </c>
      <c r="D74" s="1" t="s">
        <v>332</v>
      </c>
      <c r="E74" s="1" t="s">
        <v>333</v>
      </c>
      <c r="F74" s="1" t="s">
        <v>112</v>
      </c>
      <c r="G74" s="1">
        <v>1048812</v>
      </c>
    </row>
    <row r="75" spans="1:7" x14ac:dyDescent="0.35">
      <c r="A75" s="1" t="str">
        <f t="shared" si="1"/>
        <v>14</v>
      </c>
      <c r="B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5" s="1" t="s">
        <v>334</v>
      </c>
      <c r="D75" s="1" t="s">
        <v>335</v>
      </c>
      <c r="E75" s="1" t="s">
        <v>336</v>
      </c>
      <c r="F75" s="1" t="s">
        <v>112</v>
      </c>
      <c r="G75" s="1">
        <v>2752837</v>
      </c>
    </row>
    <row r="76" spans="1:7" x14ac:dyDescent="0.35">
      <c r="A76" s="1" t="str">
        <f t="shared" si="1"/>
        <v>14</v>
      </c>
      <c r="B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6" s="1" t="s">
        <v>337</v>
      </c>
      <c r="D76" s="1" t="s">
        <v>338</v>
      </c>
      <c r="E76" s="1" t="s">
        <v>339</v>
      </c>
      <c r="F76" s="1" t="s">
        <v>112</v>
      </c>
      <c r="G76" s="1">
        <v>2698719</v>
      </c>
    </row>
    <row r="77" spans="1:7" x14ac:dyDescent="0.35">
      <c r="A77" s="1" t="str">
        <f t="shared" si="1"/>
        <v>14</v>
      </c>
      <c r="B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7" s="1" t="s">
        <v>340</v>
      </c>
      <c r="D77" s="1" t="s">
        <v>341</v>
      </c>
      <c r="E77" s="1" t="s">
        <v>342</v>
      </c>
      <c r="F77" s="1" t="s">
        <v>112</v>
      </c>
      <c r="G77" s="1">
        <v>2475585</v>
      </c>
    </row>
    <row r="78" spans="1:7" x14ac:dyDescent="0.35">
      <c r="A78" s="1" t="str">
        <f t="shared" si="1"/>
        <v>14</v>
      </c>
      <c r="B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8" s="1" t="s">
        <v>343</v>
      </c>
      <c r="D78" s="1" t="s">
        <v>344</v>
      </c>
      <c r="E78" s="1" t="s">
        <v>345</v>
      </c>
      <c r="F78" s="1" t="s">
        <v>112</v>
      </c>
      <c r="G78" s="1">
        <v>1461813</v>
      </c>
    </row>
    <row r="79" spans="1:7" x14ac:dyDescent="0.35">
      <c r="A79" s="1" t="str">
        <f t="shared" si="1"/>
        <v>14</v>
      </c>
      <c r="B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9" s="1" t="s">
        <v>346</v>
      </c>
      <c r="D79" s="1" t="s">
        <v>347</v>
      </c>
      <c r="E79" s="1" t="s">
        <v>348</v>
      </c>
      <c r="F79" s="1" t="s">
        <v>112</v>
      </c>
      <c r="G79" s="1">
        <v>1784964</v>
      </c>
    </row>
    <row r="80" spans="1:7" x14ac:dyDescent="0.35">
      <c r="A80" s="1" t="str">
        <f t="shared" si="1"/>
        <v>14</v>
      </c>
      <c r="B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80" s="1" t="s">
        <v>349</v>
      </c>
      <c r="D80" s="1" t="s">
        <v>350</v>
      </c>
      <c r="E80" s="1" t="s">
        <v>351</v>
      </c>
      <c r="F80" s="1" t="s">
        <v>112</v>
      </c>
      <c r="G80" s="1">
        <v>1628709</v>
      </c>
    </row>
    <row r="81" spans="1:8" x14ac:dyDescent="0.35">
      <c r="A81" s="1" t="str">
        <f t="shared" si="1"/>
        <v>14</v>
      </c>
      <c r="B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1" s="1" t="s">
        <v>352</v>
      </c>
      <c r="D81" s="1" t="s">
        <v>353</v>
      </c>
      <c r="E81" s="1" t="s">
        <v>354</v>
      </c>
      <c r="F81" s="1" t="s">
        <v>112</v>
      </c>
      <c r="G81" s="1">
        <v>3457452</v>
      </c>
    </row>
    <row r="82" spans="1:8" x14ac:dyDescent="0.35">
      <c r="A82" s="1" t="str">
        <f t="shared" si="1"/>
        <v>14</v>
      </c>
      <c r="B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2" s="1" t="s">
        <v>355</v>
      </c>
    </row>
    <row r="83" spans="1:8" x14ac:dyDescent="0.35">
      <c r="A83" s="1" t="str">
        <f t="shared" si="1"/>
        <v>14</v>
      </c>
      <c r="B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3" s="1" t="s">
        <v>356</v>
      </c>
    </row>
    <row r="84" spans="1:8" x14ac:dyDescent="0.35">
      <c r="A84" s="1" t="str">
        <f t="shared" si="1"/>
        <v>14</v>
      </c>
      <c r="B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4" s="1" t="s">
        <v>357</v>
      </c>
      <c r="D84" s="1" t="s">
        <v>358</v>
      </c>
      <c r="E84" s="1" t="s">
        <v>359</v>
      </c>
      <c r="F84" s="1" t="s">
        <v>112</v>
      </c>
      <c r="G84" s="1">
        <v>1620425</v>
      </c>
    </row>
    <row r="85" spans="1:8" x14ac:dyDescent="0.35">
      <c r="A85" s="1" t="str">
        <f t="shared" si="1"/>
        <v>14</v>
      </c>
      <c r="B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5" s="1" t="s">
        <v>360</v>
      </c>
      <c r="D85" s="1" t="s">
        <v>361</v>
      </c>
      <c r="E85" s="1" t="s">
        <v>362</v>
      </c>
      <c r="F85" s="1" t="s">
        <v>112</v>
      </c>
      <c r="G85" s="1">
        <v>1133688</v>
      </c>
    </row>
    <row r="86" spans="1:8" x14ac:dyDescent="0.35">
      <c r="A86" s="1" t="str">
        <f t="shared" si="1"/>
        <v>14</v>
      </c>
      <c r="B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6" s="1" t="s">
        <v>363</v>
      </c>
      <c r="D86" s="1" t="s">
        <v>364</v>
      </c>
      <c r="E86" s="1" t="s">
        <v>365</v>
      </c>
      <c r="F86" s="1" t="s">
        <v>112</v>
      </c>
      <c r="G86" s="1">
        <v>1122310</v>
      </c>
    </row>
    <row r="87" spans="1:8" x14ac:dyDescent="0.35">
      <c r="A87" s="1" t="str">
        <f t="shared" si="1"/>
        <v>14</v>
      </c>
      <c r="B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7" s="1" t="s">
        <v>366</v>
      </c>
      <c r="D87" s="1" t="s">
        <v>367</v>
      </c>
      <c r="E87" s="1" t="s">
        <v>368</v>
      </c>
      <c r="F87" s="1" t="s">
        <v>112</v>
      </c>
      <c r="G87" s="1">
        <v>163003</v>
      </c>
    </row>
    <row r="88" spans="1:8" x14ac:dyDescent="0.35">
      <c r="A88" s="1" t="str">
        <f t="shared" si="1"/>
        <v>14</v>
      </c>
      <c r="B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8" s="1" t="s">
        <v>369</v>
      </c>
      <c r="D88" s="1">
        <v>0</v>
      </c>
      <c r="E88" s="1">
        <v>0</v>
      </c>
      <c r="F88" s="1" t="s">
        <v>112</v>
      </c>
      <c r="G88" s="1">
        <v>0</v>
      </c>
    </row>
    <row r="89" spans="1:8" x14ac:dyDescent="0.35">
      <c r="A89" s="1" t="str">
        <f t="shared" si="1"/>
        <v>14</v>
      </c>
      <c r="B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9" s="1" t="s">
        <v>370</v>
      </c>
      <c r="D89" s="1" t="s">
        <v>371</v>
      </c>
      <c r="E89" s="1" t="s">
        <v>372</v>
      </c>
      <c r="F89" s="1" t="s">
        <v>112</v>
      </c>
      <c r="G89" s="1">
        <v>149073</v>
      </c>
    </row>
    <row r="90" spans="1:8" x14ac:dyDescent="0.35">
      <c r="A90" s="1" t="str">
        <f t="shared" si="1"/>
        <v>14</v>
      </c>
      <c r="B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0" s="1" t="s">
        <v>373</v>
      </c>
      <c r="D90" s="1" t="s">
        <v>374</v>
      </c>
      <c r="E90" s="1" t="s">
        <v>375</v>
      </c>
      <c r="F90" s="1" t="s">
        <v>112</v>
      </c>
      <c r="G90" s="1">
        <v>929004</v>
      </c>
    </row>
    <row r="91" spans="1:8" x14ac:dyDescent="0.35">
      <c r="A91" s="1" t="str">
        <f t="shared" si="1"/>
        <v>14</v>
      </c>
      <c r="B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1" s="1" t="s">
        <v>376</v>
      </c>
      <c r="D91" s="1" t="s">
        <v>377</v>
      </c>
      <c r="E91" s="1" t="s">
        <v>378</v>
      </c>
      <c r="F91" s="1" t="s">
        <v>112</v>
      </c>
      <c r="G91" s="1">
        <v>929328</v>
      </c>
    </row>
    <row r="92" spans="1:8" x14ac:dyDescent="0.35">
      <c r="A92" s="1" t="str">
        <f t="shared" si="1"/>
        <v>14</v>
      </c>
      <c r="B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2" s="1" t="s">
        <v>379</v>
      </c>
      <c r="D92" s="1" t="s">
        <v>380</v>
      </c>
      <c r="E92" s="1" t="s">
        <v>381</v>
      </c>
      <c r="F92" s="1" t="s">
        <v>112</v>
      </c>
      <c r="G92" s="1">
        <v>1003389</v>
      </c>
    </row>
    <row r="93" spans="1:8" x14ac:dyDescent="0.35">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3" s="1" t="s">
        <v>112</v>
      </c>
    </row>
    <row r="94" spans="1:8" x14ac:dyDescent="0.35">
      <c r="A94" s="1" t="str">
        <f t="shared" si="1"/>
        <v/>
      </c>
      <c r="B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4" s="1" t="s">
        <v>239</v>
      </c>
      <c r="D94" s="1" t="s">
        <v>112</v>
      </c>
      <c r="E94" s="1" t="s">
        <v>240</v>
      </c>
      <c r="F94" s="1" t="s">
        <v>241</v>
      </c>
      <c r="G94" s="1" t="s">
        <v>242</v>
      </c>
      <c r="H94" s="1" t="s">
        <v>243</v>
      </c>
    </row>
    <row r="95" spans="1:8" x14ac:dyDescent="0.35">
      <c r="A95" s="1" t="str">
        <f t="shared" si="1"/>
        <v>14</v>
      </c>
      <c r="B9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95" s="1" t="s">
        <v>382</v>
      </c>
      <c r="D95" s="1" t="s">
        <v>112</v>
      </c>
      <c r="E95" s="1" t="s">
        <v>383</v>
      </c>
      <c r="F95" s="1" t="s">
        <v>384</v>
      </c>
      <c r="G95" s="1" t="s">
        <v>385</v>
      </c>
      <c r="H95" s="1" t="s">
        <v>386</v>
      </c>
    </row>
    <row r="96" spans="1:8" x14ac:dyDescent="0.35">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6" s="1" t="s">
        <v>112</v>
      </c>
    </row>
    <row r="97" spans="1:7" x14ac:dyDescent="0.35">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7" s="1" t="s">
        <v>112</v>
      </c>
    </row>
    <row r="98" spans="1:7" x14ac:dyDescent="0.35">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8" s="1" t="s">
        <v>112</v>
      </c>
    </row>
    <row r="99" spans="1:7" x14ac:dyDescent="0.35">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9" s="1" t="s">
        <v>112</v>
      </c>
    </row>
    <row r="100" spans="1:7" x14ac:dyDescent="0.35">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0" s="1" t="s">
        <v>112</v>
      </c>
    </row>
    <row r="101" spans="1:7" x14ac:dyDescent="0.35">
      <c r="A101" s="1" t="str">
        <f t="shared" si="1"/>
        <v/>
      </c>
      <c r="B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1" s="1" t="s">
        <v>172</v>
      </c>
      <c r="D101" s="1" t="s">
        <v>110</v>
      </c>
      <c r="E101" s="1" t="s">
        <v>111</v>
      </c>
      <c r="F101" s="1" t="s">
        <v>112</v>
      </c>
      <c r="G101" s="1" t="s">
        <v>113</v>
      </c>
    </row>
    <row r="102" spans="1:7" x14ac:dyDescent="0.35">
      <c r="A102" s="1" t="str">
        <f t="shared" si="1"/>
        <v>15</v>
      </c>
      <c r="B1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2" s="1" t="s">
        <v>387</v>
      </c>
      <c r="D102" s="1" t="s">
        <v>388</v>
      </c>
      <c r="E102" s="1" t="s">
        <v>389</v>
      </c>
      <c r="F102" s="1" t="s">
        <v>112</v>
      </c>
      <c r="G102" s="1">
        <v>3605941</v>
      </c>
    </row>
    <row r="103" spans="1:7" x14ac:dyDescent="0.35">
      <c r="A103" s="1" t="str">
        <f t="shared" si="1"/>
        <v>15</v>
      </c>
      <c r="B1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3" s="1" t="s">
        <v>390</v>
      </c>
      <c r="D103" s="1" t="s">
        <v>391</v>
      </c>
      <c r="E103" s="1" t="s">
        <v>392</v>
      </c>
      <c r="F103" s="1" t="s">
        <v>112</v>
      </c>
      <c r="G103" s="1">
        <v>3846401</v>
      </c>
    </row>
    <row r="104" spans="1:7" x14ac:dyDescent="0.35">
      <c r="A104" s="1" t="str">
        <f t="shared" si="1"/>
        <v>15</v>
      </c>
      <c r="B1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4" s="1" t="s">
        <v>393</v>
      </c>
      <c r="D104" s="1" t="s">
        <v>394</v>
      </c>
      <c r="E104" s="1" t="s">
        <v>395</v>
      </c>
      <c r="F104" s="1" t="s">
        <v>112</v>
      </c>
      <c r="G104" s="1">
        <v>3224498</v>
      </c>
    </row>
    <row r="105" spans="1:7" x14ac:dyDescent="0.35">
      <c r="A105" s="1" t="str">
        <f t="shared" si="1"/>
        <v>15</v>
      </c>
      <c r="B1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5" s="1" t="s">
        <v>396</v>
      </c>
      <c r="D105" s="1" t="s">
        <v>397</v>
      </c>
      <c r="E105" s="1" t="s">
        <v>398</v>
      </c>
      <c r="F105" s="1" t="s">
        <v>112</v>
      </c>
      <c r="G105" s="1">
        <v>3576849</v>
      </c>
    </row>
    <row r="106" spans="1:7" x14ac:dyDescent="0.35">
      <c r="A106" s="1" t="str">
        <f t="shared" si="1"/>
        <v>15</v>
      </c>
      <c r="B1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6" s="1" t="s">
        <v>399</v>
      </c>
      <c r="D106" s="1" t="s">
        <v>400</v>
      </c>
      <c r="E106" s="1" t="s">
        <v>401</v>
      </c>
      <c r="F106" s="1" t="s">
        <v>112</v>
      </c>
      <c r="G106" s="1">
        <v>3743745</v>
      </c>
    </row>
    <row r="107" spans="1:7" x14ac:dyDescent="0.35">
      <c r="A107" s="1" t="str">
        <f t="shared" si="1"/>
        <v>15</v>
      </c>
      <c r="B1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7" s="1" t="s">
        <v>402</v>
      </c>
      <c r="D107" s="1" t="s">
        <v>403</v>
      </c>
      <c r="E107" s="1" t="s">
        <v>404</v>
      </c>
      <c r="F107" s="1" t="s">
        <v>112</v>
      </c>
      <c r="G107" s="1">
        <v>4456472</v>
      </c>
    </row>
    <row r="108" spans="1:7" x14ac:dyDescent="0.35">
      <c r="A108" s="1" t="str">
        <f t="shared" si="1"/>
        <v>15</v>
      </c>
      <c r="B1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8" s="1" t="s">
        <v>405</v>
      </c>
      <c r="D108" s="1" t="s">
        <v>406</v>
      </c>
      <c r="E108" s="1" t="s">
        <v>407</v>
      </c>
      <c r="F108" s="1" t="s">
        <v>112</v>
      </c>
      <c r="G108" s="1">
        <v>2952892</v>
      </c>
    </row>
    <row r="109" spans="1:7" x14ac:dyDescent="0.35">
      <c r="A109" s="1" t="str">
        <f t="shared" si="1"/>
        <v>15</v>
      </c>
      <c r="B1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9" s="1" t="s">
        <v>408</v>
      </c>
      <c r="D109" s="1" t="s">
        <v>338</v>
      </c>
      <c r="E109" s="1" t="s">
        <v>409</v>
      </c>
      <c r="F109" s="1" t="s">
        <v>112</v>
      </c>
      <c r="G109" s="1">
        <v>2997103</v>
      </c>
    </row>
    <row r="110" spans="1:7" x14ac:dyDescent="0.35">
      <c r="A110" s="1" t="str">
        <f t="shared" si="1"/>
        <v>15</v>
      </c>
      <c r="B1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10" s="1" t="s">
        <v>410</v>
      </c>
      <c r="D110" s="1" t="s">
        <v>411</v>
      </c>
      <c r="E110" s="1" t="s">
        <v>412</v>
      </c>
      <c r="F110" s="1" t="s">
        <v>112</v>
      </c>
      <c r="G110" s="1">
        <v>2973375</v>
      </c>
    </row>
    <row r="111" spans="1:7" x14ac:dyDescent="0.35">
      <c r="A111" s="1" t="str">
        <f t="shared" si="1"/>
        <v>15</v>
      </c>
      <c r="B1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1" s="1" t="s">
        <v>413</v>
      </c>
    </row>
    <row r="112" spans="1:7" x14ac:dyDescent="0.35">
      <c r="A112" s="1" t="str">
        <f t="shared" si="1"/>
        <v>15</v>
      </c>
      <c r="B1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2" s="1" t="s">
        <v>414</v>
      </c>
      <c r="D112" s="1" t="s">
        <v>415</v>
      </c>
      <c r="E112" s="1" t="s">
        <v>416</v>
      </c>
      <c r="F112" s="1" t="s">
        <v>112</v>
      </c>
      <c r="G112" s="1">
        <v>2644471</v>
      </c>
    </row>
    <row r="113" spans="1:8" x14ac:dyDescent="0.35">
      <c r="A113" s="1" t="str">
        <f t="shared" si="1"/>
        <v>15</v>
      </c>
      <c r="B1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3" s="1" t="s">
        <v>417</v>
      </c>
      <c r="D113" s="1" t="s">
        <v>341</v>
      </c>
      <c r="E113" s="1" t="s">
        <v>418</v>
      </c>
      <c r="F113" s="1" t="s">
        <v>112</v>
      </c>
      <c r="G113" s="1">
        <v>2626129</v>
      </c>
    </row>
    <row r="114" spans="1:8" x14ac:dyDescent="0.35">
      <c r="A114" s="1" t="str">
        <f t="shared" si="1"/>
        <v>15</v>
      </c>
      <c r="B1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4" s="1" t="s">
        <v>419</v>
      </c>
      <c r="D114" s="1" t="s">
        <v>420</v>
      </c>
      <c r="E114" s="1" t="s">
        <v>421</v>
      </c>
      <c r="F114" s="1" t="s">
        <v>112</v>
      </c>
      <c r="G114" s="1">
        <v>4035879</v>
      </c>
    </row>
    <row r="115" spans="1:8" x14ac:dyDescent="0.35">
      <c r="A115" s="1" t="str">
        <f t="shared" si="1"/>
        <v>15</v>
      </c>
      <c r="B1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5" s="1" t="s">
        <v>422</v>
      </c>
      <c r="D115" s="1" t="s">
        <v>423</v>
      </c>
      <c r="E115" s="1" t="s">
        <v>424</v>
      </c>
      <c r="F115" s="1" t="s">
        <v>112</v>
      </c>
      <c r="G115" s="1">
        <v>4313801</v>
      </c>
    </row>
    <row r="116" spans="1:8" x14ac:dyDescent="0.35">
      <c r="A116" s="1" t="str">
        <f t="shared" si="1"/>
        <v>15</v>
      </c>
      <c r="B1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6" s="1" t="s">
        <v>425</v>
      </c>
      <c r="D116" s="1" t="s">
        <v>426</v>
      </c>
      <c r="E116" s="1" t="s">
        <v>427</v>
      </c>
      <c r="F116" s="1" t="s">
        <v>112</v>
      </c>
      <c r="G116" s="1">
        <v>4515998</v>
      </c>
    </row>
    <row r="117" spans="1:8" x14ac:dyDescent="0.35">
      <c r="A117" s="1" t="str">
        <f t="shared" si="1"/>
        <v>15</v>
      </c>
      <c r="B1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7" s="1" t="s">
        <v>428</v>
      </c>
      <c r="D117" s="1" t="s">
        <v>429</v>
      </c>
      <c r="E117" s="1" t="s">
        <v>430</v>
      </c>
      <c r="F117" s="1" t="s">
        <v>112</v>
      </c>
      <c r="G117" s="1">
        <v>3562444</v>
      </c>
    </row>
    <row r="118" spans="1:8" x14ac:dyDescent="0.35">
      <c r="A118" s="1" t="str">
        <f t="shared" si="1"/>
        <v>15</v>
      </c>
      <c r="B1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8" s="1" t="s">
        <v>431</v>
      </c>
      <c r="D118" s="1" t="s">
        <v>432</v>
      </c>
      <c r="E118" s="1" t="s">
        <v>433</v>
      </c>
      <c r="F118" s="1" t="s">
        <v>112</v>
      </c>
      <c r="G118" s="1">
        <v>3243922</v>
      </c>
    </row>
    <row r="119" spans="1:8" x14ac:dyDescent="0.35">
      <c r="A119" s="1" t="str">
        <f t="shared" si="1"/>
        <v>15</v>
      </c>
      <c r="B1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9" s="1" t="s">
        <v>434</v>
      </c>
      <c r="D119" s="1" t="s">
        <v>435</v>
      </c>
      <c r="E119" s="1" t="s">
        <v>436</v>
      </c>
      <c r="F119" s="1" t="s">
        <v>112</v>
      </c>
      <c r="G119" s="1">
        <v>3154720</v>
      </c>
    </row>
    <row r="120" spans="1:8" x14ac:dyDescent="0.35">
      <c r="A120" s="1" t="str">
        <f t="shared" si="1"/>
        <v>15</v>
      </c>
      <c r="B1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0" s="1" t="s">
        <v>437</v>
      </c>
      <c r="D120" s="1" t="s">
        <v>438</v>
      </c>
      <c r="E120" s="1" t="s">
        <v>439</v>
      </c>
      <c r="F120" s="1" t="s">
        <v>112</v>
      </c>
      <c r="G120" s="1">
        <v>4279280</v>
      </c>
    </row>
    <row r="121" spans="1:8" x14ac:dyDescent="0.35">
      <c r="A121" s="1" t="str">
        <f t="shared" si="1"/>
        <v>15</v>
      </c>
      <c r="B1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1" s="1" t="s">
        <v>440</v>
      </c>
      <c r="D121" s="1" t="s">
        <v>441</v>
      </c>
      <c r="E121" s="1" t="s">
        <v>442</v>
      </c>
      <c r="F121" s="1" t="s">
        <v>112</v>
      </c>
      <c r="G121" s="1">
        <v>4587203</v>
      </c>
    </row>
    <row r="122" spans="1:8" x14ac:dyDescent="0.35">
      <c r="A122" s="1" t="str">
        <f t="shared" si="1"/>
        <v>15</v>
      </c>
      <c r="B1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2" s="1" t="s">
        <v>443</v>
      </c>
      <c r="D122" s="1" t="s">
        <v>444</v>
      </c>
      <c r="E122" s="1" t="s">
        <v>445</v>
      </c>
      <c r="F122" s="1" t="s">
        <v>112</v>
      </c>
      <c r="G122" s="1">
        <v>4436702</v>
      </c>
    </row>
    <row r="123" spans="1:8" x14ac:dyDescent="0.35">
      <c r="A123" s="1" t="str">
        <f t="shared" si="1"/>
        <v>15</v>
      </c>
      <c r="B1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3" s="1" t="s">
        <v>446</v>
      </c>
      <c r="D123" s="1" t="s">
        <v>447</v>
      </c>
      <c r="E123" s="1" t="s">
        <v>448</v>
      </c>
      <c r="F123" s="1" t="s">
        <v>112</v>
      </c>
      <c r="G123" s="1">
        <v>2617217</v>
      </c>
    </row>
    <row r="124" spans="1:8" x14ac:dyDescent="0.35">
      <c r="A124" s="1" t="str">
        <f t="shared" si="1"/>
        <v>15</v>
      </c>
      <c r="B1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4" s="1" t="s">
        <v>449</v>
      </c>
      <c r="D124" s="1" t="s">
        <v>450</v>
      </c>
      <c r="E124" s="1" t="s">
        <v>451</v>
      </c>
      <c r="F124" s="1" t="s">
        <v>112</v>
      </c>
      <c r="G124" s="1">
        <v>2225111</v>
      </c>
    </row>
    <row r="125" spans="1:8" x14ac:dyDescent="0.35">
      <c r="A125" s="1" t="str">
        <f t="shared" si="1"/>
        <v>15</v>
      </c>
      <c r="B1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5" s="1" t="s">
        <v>452</v>
      </c>
      <c r="D125" s="1" t="s">
        <v>453</v>
      </c>
      <c r="E125" s="1" t="s">
        <v>454</v>
      </c>
      <c r="F125" s="1" t="s">
        <v>112</v>
      </c>
      <c r="G125" s="1">
        <v>2047399</v>
      </c>
    </row>
    <row r="126" spans="1:8" x14ac:dyDescent="0.35">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6" s="1" t="s">
        <v>112</v>
      </c>
    </row>
    <row r="127" spans="1:8" x14ac:dyDescent="0.35">
      <c r="A127" s="1" t="str">
        <f t="shared" si="1"/>
        <v/>
      </c>
      <c r="B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7" s="1" t="s">
        <v>239</v>
      </c>
      <c r="D127" s="1" t="s">
        <v>112</v>
      </c>
      <c r="E127" s="1" t="s">
        <v>240</v>
      </c>
      <c r="F127" s="1" t="s">
        <v>241</v>
      </c>
      <c r="G127" s="1" t="s">
        <v>242</v>
      </c>
      <c r="H127" s="1" t="s">
        <v>243</v>
      </c>
    </row>
    <row r="128" spans="1:8" x14ac:dyDescent="0.35">
      <c r="A128" s="1" t="str">
        <f t="shared" si="1"/>
        <v>15</v>
      </c>
      <c r="B1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28" s="1" t="s">
        <v>455</v>
      </c>
      <c r="D128" s="1" t="s">
        <v>112</v>
      </c>
      <c r="E128" s="1" t="s">
        <v>456</v>
      </c>
      <c r="F128" s="1" t="s">
        <v>457</v>
      </c>
      <c r="G128" s="1" t="s">
        <v>458</v>
      </c>
      <c r="H128" s="1" t="s">
        <v>459</v>
      </c>
    </row>
    <row r="129" spans="1:7" x14ac:dyDescent="0.35">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9" s="1" t="s">
        <v>112</v>
      </c>
    </row>
    <row r="130" spans="1:7" x14ac:dyDescent="0.35">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0" s="1" t="s">
        <v>112</v>
      </c>
    </row>
    <row r="131" spans="1:7" x14ac:dyDescent="0.35">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1" s="1" t="s">
        <v>112</v>
      </c>
    </row>
    <row r="132" spans="1:7" x14ac:dyDescent="0.35">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2" s="1" t="s">
        <v>112</v>
      </c>
    </row>
    <row r="133" spans="1:7" x14ac:dyDescent="0.35">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3" s="1" t="s">
        <v>112</v>
      </c>
    </row>
    <row r="134" spans="1:7" x14ac:dyDescent="0.35">
      <c r="A134" s="1" t="str">
        <f t="shared" si="2"/>
        <v/>
      </c>
      <c r="B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4" s="1" t="s">
        <v>172</v>
      </c>
      <c r="D134" s="1" t="s">
        <v>110</v>
      </c>
      <c r="E134" s="1" t="s">
        <v>111</v>
      </c>
      <c r="F134" s="1" t="s">
        <v>112</v>
      </c>
      <c r="G134" s="1" t="s">
        <v>113</v>
      </c>
    </row>
    <row r="135" spans="1:7" x14ac:dyDescent="0.35">
      <c r="A135" s="1" t="str">
        <f t="shared" si="2"/>
        <v>16</v>
      </c>
      <c r="B1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5" s="1" t="s">
        <v>460</v>
      </c>
      <c r="D135" s="1">
        <v>0</v>
      </c>
      <c r="E135" s="1">
        <v>0</v>
      </c>
      <c r="F135" s="1" t="s">
        <v>112</v>
      </c>
      <c r="G135" s="1">
        <v>0</v>
      </c>
    </row>
    <row r="136" spans="1:7" x14ac:dyDescent="0.35">
      <c r="A136" s="1" t="str">
        <f t="shared" si="2"/>
        <v>16</v>
      </c>
      <c r="B1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6" s="1" t="s">
        <v>461</v>
      </c>
      <c r="D136" s="1">
        <v>0</v>
      </c>
      <c r="E136" s="1">
        <v>0</v>
      </c>
      <c r="F136" s="1" t="s">
        <v>112</v>
      </c>
      <c r="G136" s="1">
        <v>0</v>
      </c>
    </row>
    <row r="137" spans="1:7" x14ac:dyDescent="0.35">
      <c r="A137" s="1" t="str">
        <f t="shared" si="2"/>
        <v>16</v>
      </c>
      <c r="B1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7" s="1" t="s">
        <v>462</v>
      </c>
      <c r="D137" s="1" t="s">
        <v>463</v>
      </c>
      <c r="E137" s="1">
        <v>30</v>
      </c>
      <c r="F137" s="1" t="s">
        <v>112</v>
      </c>
      <c r="G137" s="1">
        <v>649</v>
      </c>
    </row>
    <row r="138" spans="1:7" x14ac:dyDescent="0.35">
      <c r="A138" s="1" t="str">
        <f t="shared" si="2"/>
        <v>16</v>
      </c>
      <c r="B1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8" s="1" t="s">
        <v>464</v>
      </c>
      <c r="D138" s="1" t="s">
        <v>465</v>
      </c>
      <c r="E138" s="1" t="s">
        <v>466</v>
      </c>
      <c r="F138" s="1" t="s">
        <v>112</v>
      </c>
      <c r="G138" s="1">
        <v>10642</v>
      </c>
    </row>
    <row r="139" spans="1:7" x14ac:dyDescent="0.35">
      <c r="A139" s="1" t="str">
        <f t="shared" si="2"/>
        <v>16</v>
      </c>
      <c r="B1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9" s="1" t="s">
        <v>467</v>
      </c>
      <c r="D139" s="1" t="s">
        <v>468</v>
      </c>
      <c r="E139" s="1" t="s">
        <v>469</v>
      </c>
      <c r="F139" s="1" t="s">
        <v>112</v>
      </c>
      <c r="G139" s="1">
        <v>139945</v>
      </c>
    </row>
    <row r="140" spans="1:7" x14ac:dyDescent="0.35">
      <c r="A140" s="1" t="str">
        <f t="shared" si="2"/>
        <v>16</v>
      </c>
      <c r="B1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40" s="1" t="s">
        <v>470</v>
      </c>
      <c r="D140" s="1" t="s">
        <v>147</v>
      </c>
      <c r="E140" s="1" t="s">
        <v>471</v>
      </c>
      <c r="F140" s="1" t="s">
        <v>112</v>
      </c>
      <c r="G140" s="1">
        <v>181821</v>
      </c>
    </row>
    <row r="141" spans="1:7" x14ac:dyDescent="0.35">
      <c r="A141" s="1" t="str">
        <f t="shared" si="2"/>
        <v>16</v>
      </c>
      <c r="B1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1" s="1" t="s">
        <v>472</v>
      </c>
      <c r="D141" s="1" t="s">
        <v>473</v>
      </c>
      <c r="E141" s="1" t="s">
        <v>474</v>
      </c>
      <c r="F141" s="1" t="s">
        <v>112</v>
      </c>
      <c r="G141" s="1">
        <v>139232</v>
      </c>
    </row>
    <row r="142" spans="1:7" x14ac:dyDescent="0.35">
      <c r="A142" s="1" t="str">
        <f t="shared" si="2"/>
        <v>16</v>
      </c>
      <c r="B1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2" s="1" t="s">
        <v>475</v>
      </c>
      <c r="D142" s="1" t="s">
        <v>476</v>
      </c>
      <c r="E142" s="1" t="s">
        <v>477</v>
      </c>
      <c r="F142" s="1" t="s">
        <v>112</v>
      </c>
      <c r="G142" s="1">
        <v>243250</v>
      </c>
    </row>
    <row r="143" spans="1:7" x14ac:dyDescent="0.35">
      <c r="A143" s="1" t="str">
        <f t="shared" si="2"/>
        <v>16</v>
      </c>
      <c r="B1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3" s="1" t="s">
        <v>478</v>
      </c>
      <c r="D143" s="1" t="s">
        <v>479</v>
      </c>
      <c r="E143" s="1" t="s">
        <v>480</v>
      </c>
      <c r="F143" s="1" t="s">
        <v>112</v>
      </c>
      <c r="G143" s="1">
        <v>184827</v>
      </c>
    </row>
    <row r="144" spans="1:7" x14ac:dyDescent="0.35">
      <c r="A144" s="1" t="str">
        <f t="shared" si="2"/>
        <v>16</v>
      </c>
      <c r="B1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4" s="1" t="s">
        <v>481</v>
      </c>
      <c r="D144" s="1" t="s">
        <v>482</v>
      </c>
      <c r="E144" s="1" t="s">
        <v>483</v>
      </c>
      <c r="F144" s="1" t="s">
        <v>112</v>
      </c>
      <c r="G144" s="1">
        <v>154870</v>
      </c>
    </row>
    <row r="145" spans="1:8" x14ac:dyDescent="0.35">
      <c r="A145" s="1" t="str">
        <f t="shared" si="2"/>
        <v>16</v>
      </c>
      <c r="B1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5" s="1" t="s">
        <v>484</v>
      </c>
      <c r="D145" s="1" t="s">
        <v>485</v>
      </c>
      <c r="E145" s="1" t="s">
        <v>486</v>
      </c>
      <c r="F145" s="1" t="s">
        <v>112</v>
      </c>
      <c r="G145" s="1">
        <v>372121</v>
      </c>
    </row>
    <row r="146" spans="1:8" x14ac:dyDescent="0.35">
      <c r="A146" s="1" t="str">
        <f t="shared" si="2"/>
        <v>16</v>
      </c>
      <c r="B1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6" s="1" t="s">
        <v>487</v>
      </c>
      <c r="D146" s="1" t="s">
        <v>488</v>
      </c>
      <c r="E146" s="1" t="s">
        <v>489</v>
      </c>
      <c r="F146" s="1" t="s">
        <v>112</v>
      </c>
      <c r="G146" s="1">
        <v>212730</v>
      </c>
    </row>
    <row r="147" spans="1:8" x14ac:dyDescent="0.35">
      <c r="A147" s="1" t="str">
        <f t="shared" si="2"/>
        <v>16</v>
      </c>
      <c r="B1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7" s="1" t="s">
        <v>490</v>
      </c>
      <c r="D147" s="1" t="s">
        <v>491</v>
      </c>
      <c r="E147" s="1" t="s">
        <v>492</v>
      </c>
      <c r="F147" s="1" t="s">
        <v>112</v>
      </c>
      <c r="G147" s="1">
        <v>17780</v>
      </c>
    </row>
    <row r="148" spans="1:8" x14ac:dyDescent="0.35">
      <c r="A148" s="1" t="str">
        <f t="shared" si="2"/>
        <v>16</v>
      </c>
      <c r="B1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8" s="1" t="s">
        <v>493</v>
      </c>
      <c r="D148" s="1" t="s">
        <v>494</v>
      </c>
      <c r="E148" s="1" t="s">
        <v>495</v>
      </c>
      <c r="F148" s="1" t="s">
        <v>112</v>
      </c>
      <c r="G148" s="1">
        <v>160559</v>
      </c>
    </row>
    <row r="149" spans="1:8" x14ac:dyDescent="0.35">
      <c r="A149" s="1" t="str">
        <f t="shared" si="2"/>
        <v>16</v>
      </c>
      <c r="B1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9" s="1" t="s">
        <v>496</v>
      </c>
      <c r="D149" s="1" t="s">
        <v>497</v>
      </c>
      <c r="E149" s="1" t="s">
        <v>498</v>
      </c>
      <c r="F149" s="1" t="s">
        <v>112</v>
      </c>
      <c r="G149" s="1">
        <v>137307</v>
      </c>
    </row>
    <row r="150" spans="1:8" x14ac:dyDescent="0.35">
      <c r="A150" s="1" t="str">
        <f t="shared" si="2"/>
        <v>16</v>
      </c>
      <c r="B1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0" s="1" t="s">
        <v>499</v>
      </c>
      <c r="D150" s="1" t="s">
        <v>500</v>
      </c>
      <c r="E150" s="1" t="s">
        <v>501</v>
      </c>
      <c r="F150" s="1" t="s">
        <v>112</v>
      </c>
      <c r="G150" s="1">
        <v>405323</v>
      </c>
    </row>
    <row r="151" spans="1:8" x14ac:dyDescent="0.35">
      <c r="A151" s="1" t="str">
        <f t="shared" si="2"/>
        <v>16</v>
      </c>
      <c r="B1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1" s="1" t="s">
        <v>502</v>
      </c>
      <c r="D151" s="1" t="s">
        <v>503</v>
      </c>
      <c r="E151" s="1" t="s">
        <v>504</v>
      </c>
      <c r="F151" s="1" t="s">
        <v>112</v>
      </c>
      <c r="G151" s="1">
        <v>239681</v>
      </c>
    </row>
    <row r="152" spans="1:8" x14ac:dyDescent="0.35">
      <c r="A152" s="1" t="str">
        <f t="shared" si="2"/>
        <v>16</v>
      </c>
      <c r="B1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2" s="1" t="s">
        <v>505</v>
      </c>
      <c r="D152" s="1" t="s">
        <v>506</v>
      </c>
      <c r="E152" s="1" t="s">
        <v>507</v>
      </c>
      <c r="F152" s="1" t="s">
        <v>112</v>
      </c>
      <c r="G152" s="1">
        <v>214677</v>
      </c>
    </row>
    <row r="153" spans="1:8" x14ac:dyDescent="0.35">
      <c r="A153" s="1" t="str">
        <f t="shared" si="2"/>
        <v>16</v>
      </c>
      <c r="B1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3" s="1" t="s">
        <v>508</v>
      </c>
      <c r="D153" s="1" t="s">
        <v>509</v>
      </c>
      <c r="E153" s="1" t="s">
        <v>510</v>
      </c>
      <c r="F153" s="1" t="s">
        <v>112</v>
      </c>
      <c r="G153" s="1">
        <v>367730</v>
      </c>
    </row>
    <row r="154" spans="1:8" x14ac:dyDescent="0.35">
      <c r="A154" s="1" t="str">
        <f t="shared" si="2"/>
        <v>16</v>
      </c>
      <c r="B1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4" s="1" t="s">
        <v>511</v>
      </c>
      <c r="D154" s="1" t="s">
        <v>512</v>
      </c>
      <c r="E154" s="1" t="s">
        <v>513</v>
      </c>
      <c r="F154" s="1" t="s">
        <v>112</v>
      </c>
      <c r="G154" s="1">
        <v>337621</v>
      </c>
    </row>
    <row r="155" spans="1:8" x14ac:dyDescent="0.35">
      <c r="A155" s="1" t="str">
        <f t="shared" si="2"/>
        <v>16</v>
      </c>
      <c r="B1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5" s="1" t="s">
        <v>514</v>
      </c>
      <c r="D155" s="1" t="s">
        <v>515</v>
      </c>
      <c r="E155" s="1" t="s">
        <v>516</v>
      </c>
      <c r="F155" s="1" t="s">
        <v>112</v>
      </c>
      <c r="G155" s="1">
        <v>190970</v>
      </c>
    </row>
    <row r="156" spans="1:8" x14ac:dyDescent="0.35">
      <c r="A156" s="1" t="str">
        <f t="shared" si="2"/>
        <v>16</v>
      </c>
      <c r="B1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6" s="1" t="s">
        <v>517</v>
      </c>
      <c r="D156" s="1" t="s">
        <v>518</v>
      </c>
      <c r="E156" s="1" t="s">
        <v>519</v>
      </c>
      <c r="F156" s="1" t="s">
        <v>112</v>
      </c>
      <c r="G156" s="1">
        <v>176824</v>
      </c>
    </row>
    <row r="157" spans="1:8" x14ac:dyDescent="0.35">
      <c r="A157" s="1" t="str">
        <f t="shared" si="2"/>
        <v>16</v>
      </c>
      <c r="B1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7" s="1" t="s">
        <v>520</v>
      </c>
      <c r="D157" s="1" t="s">
        <v>521</v>
      </c>
      <c r="E157" s="1" t="s">
        <v>522</v>
      </c>
      <c r="F157" s="1" t="s">
        <v>112</v>
      </c>
      <c r="G157" s="1">
        <v>416440</v>
      </c>
    </row>
    <row r="158" spans="1:8" x14ac:dyDescent="0.35">
      <c r="A158" s="1" t="str">
        <f t="shared" si="2"/>
        <v>16</v>
      </c>
      <c r="B1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8" s="1" t="s">
        <v>523</v>
      </c>
      <c r="D158" s="1" t="s">
        <v>201</v>
      </c>
      <c r="E158" s="1" t="s">
        <v>524</v>
      </c>
      <c r="F158" s="1" t="s">
        <v>112</v>
      </c>
      <c r="G158" s="1">
        <v>102439</v>
      </c>
    </row>
    <row r="159" spans="1:8" x14ac:dyDescent="0.35">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9" s="1" t="s">
        <v>112</v>
      </c>
    </row>
    <row r="160" spans="1:8" x14ac:dyDescent="0.35">
      <c r="A160" s="1" t="str">
        <f t="shared" si="2"/>
        <v/>
      </c>
      <c r="B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0" s="1" t="s">
        <v>239</v>
      </c>
      <c r="D160" s="1" t="s">
        <v>112</v>
      </c>
      <c r="E160" s="1" t="s">
        <v>240</v>
      </c>
      <c r="F160" s="1" t="s">
        <v>241</v>
      </c>
      <c r="G160" s="1" t="s">
        <v>242</v>
      </c>
      <c r="H160" s="1" t="s">
        <v>243</v>
      </c>
    </row>
    <row r="161" spans="1:8" x14ac:dyDescent="0.35">
      <c r="A161" s="1" t="str">
        <f t="shared" si="2"/>
        <v>16</v>
      </c>
      <c r="B1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61" s="1" t="s">
        <v>525</v>
      </c>
      <c r="D161" s="1" t="s">
        <v>112</v>
      </c>
      <c r="E161" s="1" t="s">
        <v>526</v>
      </c>
      <c r="F161" s="1" t="s">
        <v>527</v>
      </c>
      <c r="G161" s="1" t="s">
        <v>528</v>
      </c>
      <c r="H161" s="1" t="s">
        <v>529</v>
      </c>
    </row>
    <row r="162" spans="1:8" x14ac:dyDescent="0.35">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2" s="1" t="s">
        <v>112</v>
      </c>
    </row>
    <row r="163" spans="1:8" x14ac:dyDescent="0.35">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3" s="1" t="s">
        <v>112</v>
      </c>
    </row>
    <row r="164" spans="1:8" x14ac:dyDescent="0.35">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4" s="1" t="s">
        <v>112</v>
      </c>
    </row>
    <row r="165" spans="1:8" x14ac:dyDescent="0.35">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5" s="1" t="s">
        <v>112</v>
      </c>
    </row>
    <row r="166" spans="1:8" x14ac:dyDescent="0.35">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6" s="1" t="s">
        <v>112</v>
      </c>
    </row>
    <row r="167" spans="1:8" x14ac:dyDescent="0.35">
      <c r="A167" s="1" t="str">
        <f t="shared" si="2"/>
        <v/>
      </c>
      <c r="B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7" s="1" t="s">
        <v>172</v>
      </c>
      <c r="D167" s="1" t="s">
        <v>110</v>
      </c>
      <c r="E167" s="1" t="s">
        <v>111</v>
      </c>
      <c r="F167" s="1" t="s">
        <v>112</v>
      </c>
      <c r="G167" s="1" t="s">
        <v>113</v>
      </c>
    </row>
    <row r="168" spans="1:8" x14ac:dyDescent="0.35">
      <c r="A168" s="1" t="str">
        <f t="shared" si="2"/>
        <v>2</v>
      </c>
      <c r="B1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8" s="1" t="s">
        <v>530</v>
      </c>
      <c r="D168" s="1" t="s">
        <v>531</v>
      </c>
      <c r="E168" s="1" t="s">
        <v>532</v>
      </c>
      <c r="F168" s="1" t="s">
        <v>112</v>
      </c>
      <c r="G168" s="1">
        <v>30606</v>
      </c>
    </row>
    <row r="169" spans="1:8" x14ac:dyDescent="0.35">
      <c r="A169" s="1" t="str">
        <f t="shared" si="2"/>
        <v>2</v>
      </c>
      <c r="B1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9" s="1" t="s">
        <v>533</v>
      </c>
      <c r="D169" s="1" t="s">
        <v>534</v>
      </c>
      <c r="E169" s="1" t="s">
        <v>535</v>
      </c>
      <c r="F169" s="1" t="s">
        <v>112</v>
      </c>
      <c r="G169" s="1">
        <v>31558</v>
      </c>
    </row>
    <row r="170" spans="1:8" x14ac:dyDescent="0.35">
      <c r="A170" s="1" t="str">
        <f t="shared" si="2"/>
        <v>2</v>
      </c>
      <c r="B1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70" s="1" t="s">
        <v>536</v>
      </c>
      <c r="D170" s="1" t="s">
        <v>253</v>
      </c>
      <c r="E170" s="1" t="s">
        <v>537</v>
      </c>
      <c r="F170" s="1" t="s">
        <v>112</v>
      </c>
      <c r="G170" s="1">
        <v>50809</v>
      </c>
    </row>
    <row r="171" spans="1:8" x14ac:dyDescent="0.35">
      <c r="A171" s="1" t="str">
        <f t="shared" si="2"/>
        <v>2</v>
      </c>
      <c r="B1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1" s="1" t="s">
        <v>538</v>
      </c>
      <c r="D171" s="1" t="s">
        <v>539</v>
      </c>
      <c r="E171" s="1" t="s">
        <v>540</v>
      </c>
      <c r="F171" s="1" t="s">
        <v>112</v>
      </c>
      <c r="G171" s="1">
        <v>234122</v>
      </c>
    </row>
    <row r="172" spans="1:8" x14ac:dyDescent="0.35">
      <c r="A172" s="1" t="str">
        <f t="shared" si="2"/>
        <v>2</v>
      </c>
      <c r="B1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2" s="1" t="s">
        <v>541</v>
      </c>
      <c r="D172" s="1" t="s">
        <v>542</v>
      </c>
      <c r="E172" s="1" t="s">
        <v>543</v>
      </c>
      <c r="F172" s="1" t="s">
        <v>112</v>
      </c>
      <c r="G172" s="1">
        <v>426022</v>
      </c>
    </row>
    <row r="173" spans="1:8" x14ac:dyDescent="0.35">
      <c r="A173" s="1" t="str">
        <f t="shared" si="2"/>
        <v>2</v>
      </c>
      <c r="B1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3" s="1" t="s">
        <v>544</v>
      </c>
      <c r="D173" s="1" t="s">
        <v>545</v>
      </c>
      <c r="E173" s="1" t="s">
        <v>546</v>
      </c>
      <c r="F173" s="1" t="s">
        <v>112</v>
      </c>
      <c r="G173" s="1">
        <v>372142</v>
      </c>
    </row>
    <row r="174" spans="1:8" x14ac:dyDescent="0.35">
      <c r="A174" s="1" t="str">
        <f t="shared" si="2"/>
        <v>2</v>
      </c>
      <c r="B1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4" s="1" t="s">
        <v>547</v>
      </c>
      <c r="D174" s="1" t="s">
        <v>548</v>
      </c>
      <c r="E174" s="1" t="s">
        <v>549</v>
      </c>
      <c r="F174" s="1" t="s">
        <v>112</v>
      </c>
      <c r="G174" s="1">
        <v>328277</v>
      </c>
    </row>
    <row r="175" spans="1:8" x14ac:dyDescent="0.35">
      <c r="A175" s="1" t="str">
        <f t="shared" si="2"/>
        <v>2</v>
      </c>
      <c r="B1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5" s="1" t="s">
        <v>550</v>
      </c>
      <c r="D175" s="1" t="s">
        <v>551</v>
      </c>
      <c r="E175" s="1" t="s">
        <v>552</v>
      </c>
      <c r="F175" s="1" t="s">
        <v>112</v>
      </c>
      <c r="G175" s="1">
        <v>439217</v>
      </c>
    </row>
    <row r="176" spans="1:8" x14ac:dyDescent="0.35">
      <c r="A176" s="1" t="str">
        <f t="shared" si="2"/>
        <v>2</v>
      </c>
      <c r="B1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6" s="1" t="s">
        <v>553</v>
      </c>
      <c r="D176" s="1" t="s">
        <v>554</v>
      </c>
      <c r="E176" s="1" t="s">
        <v>555</v>
      </c>
      <c r="F176" s="1" t="s">
        <v>112</v>
      </c>
      <c r="G176" s="1">
        <v>407464</v>
      </c>
    </row>
    <row r="177" spans="1:7" x14ac:dyDescent="0.35">
      <c r="A177" s="1" t="str">
        <f t="shared" si="2"/>
        <v>2</v>
      </c>
      <c r="B1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7" s="1" t="s">
        <v>556</v>
      </c>
      <c r="D177" s="1" t="s">
        <v>557</v>
      </c>
      <c r="E177" s="1" t="s">
        <v>558</v>
      </c>
      <c r="F177" s="1" t="s">
        <v>112</v>
      </c>
      <c r="G177" s="1">
        <v>81026</v>
      </c>
    </row>
    <row r="178" spans="1:7" x14ac:dyDescent="0.35">
      <c r="A178" s="1" t="str">
        <f t="shared" si="2"/>
        <v>2</v>
      </c>
      <c r="B1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8" s="1" t="s">
        <v>559</v>
      </c>
    </row>
    <row r="179" spans="1:7" x14ac:dyDescent="0.35">
      <c r="A179" s="1" t="str">
        <f t="shared" si="2"/>
        <v>2</v>
      </c>
      <c r="B1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9" s="1" t="s">
        <v>560</v>
      </c>
    </row>
    <row r="180" spans="1:7" x14ac:dyDescent="0.35">
      <c r="A180" s="1" t="str">
        <f t="shared" si="2"/>
        <v>2</v>
      </c>
      <c r="B1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0" s="1" t="s">
        <v>561</v>
      </c>
      <c r="D180" s="1" t="s">
        <v>562</v>
      </c>
      <c r="E180" s="1" t="s">
        <v>563</v>
      </c>
      <c r="F180" s="1" t="s">
        <v>112</v>
      </c>
      <c r="G180" s="1">
        <v>107068</v>
      </c>
    </row>
    <row r="181" spans="1:7" x14ac:dyDescent="0.35">
      <c r="A181" s="1" t="str">
        <f t="shared" si="2"/>
        <v>2</v>
      </c>
      <c r="B1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1" s="1" t="s">
        <v>564</v>
      </c>
      <c r="D181" s="1" t="s">
        <v>565</v>
      </c>
      <c r="E181" s="1" t="s">
        <v>566</v>
      </c>
      <c r="F181" s="1" t="s">
        <v>112</v>
      </c>
      <c r="G181" s="1">
        <v>269682</v>
      </c>
    </row>
    <row r="182" spans="1:7" x14ac:dyDescent="0.35">
      <c r="A182" s="1" t="str">
        <f t="shared" si="2"/>
        <v>2</v>
      </c>
      <c r="B1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2" s="1" t="s">
        <v>567</v>
      </c>
      <c r="D182" s="1" t="s">
        <v>207</v>
      </c>
      <c r="E182" s="1" t="s">
        <v>568</v>
      </c>
      <c r="F182" s="1" t="s">
        <v>112</v>
      </c>
      <c r="G182" s="1">
        <v>307231</v>
      </c>
    </row>
    <row r="183" spans="1:7" x14ac:dyDescent="0.35">
      <c r="A183" s="1" t="str">
        <f t="shared" si="2"/>
        <v>2</v>
      </c>
      <c r="B1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3" s="1" t="s">
        <v>569</v>
      </c>
      <c r="D183" s="1" t="s">
        <v>570</v>
      </c>
      <c r="E183" s="1" t="s">
        <v>571</v>
      </c>
      <c r="F183" s="1" t="s">
        <v>112</v>
      </c>
      <c r="G183" s="1">
        <v>70989</v>
      </c>
    </row>
    <row r="184" spans="1:7" x14ac:dyDescent="0.35">
      <c r="A184" s="1" t="str">
        <f t="shared" si="2"/>
        <v>2</v>
      </c>
      <c r="B1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4" s="1" t="s">
        <v>572</v>
      </c>
      <c r="D184" s="1" t="s">
        <v>201</v>
      </c>
      <c r="E184" s="1" t="s">
        <v>573</v>
      </c>
      <c r="F184" s="1" t="s">
        <v>112</v>
      </c>
      <c r="G184" s="1">
        <v>101076</v>
      </c>
    </row>
    <row r="185" spans="1:7" x14ac:dyDescent="0.35">
      <c r="A185" s="1" t="str">
        <f t="shared" si="2"/>
        <v>2</v>
      </c>
      <c r="B1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5" s="1" t="s">
        <v>574</v>
      </c>
      <c r="D185" s="1" t="s">
        <v>575</v>
      </c>
      <c r="E185" s="1" t="s">
        <v>576</v>
      </c>
      <c r="F185" s="1" t="s">
        <v>112</v>
      </c>
      <c r="G185" s="1">
        <v>150522</v>
      </c>
    </row>
    <row r="186" spans="1:7" x14ac:dyDescent="0.35">
      <c r="A186" s="1" t="str">
        <f t="shared" si="2"/>
        <v>2</v>
      </c>
      <c r="B1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6" s="1" t="s">
        <v>577</v>
      </c>
      <c r="D186" s="1" t="s">
        <v>578</v>
      </c>
      <c r="E186" s="1" t="s">
        <v>579</v>
      </c>
      <c r="F186" s="1" t="s">
        <v>112</v>
      </c>
      <c r="G186" s="1">
        <v>239789</v>
      </c>
    </row>
    <row r="187" spans="1:7" x14ac:dyDescent="0.35">
      <c r="A187" s="1" t="str">
        <f t="shared" si="2"/>
        <v>2</v>
      </c>
      <c r="B1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7" s="1" t="s">
        <v>580</v>
      </c>
      <c r="D187" s="1" t="s">
        <v>581</v>
      </c>
      <c r="E187" s="1" t="s">
        <v>582</v>
      </c>
      <c r="F187" s="1" t="s">
        <v>112</v>
      </c>
      <c r="G187" s="1">
        <v>189197</v>
      </c>
    </row>
    <row r="188" spans="1:7" x14ac:dyDescent="0.35">
      <c r="A188" s="1" t="str">
        <f t="shared" si="2"/>
        <v>2</v>
      </c>
      <c r="B1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8" s="1" t="s">
        <v>583</v>
      </c>
      <c r="D188" s="1" t="s">
        <v>584</v>
      </c>
      <c r="E188" s="1" t="s">
        <v>585</v>
      </c>
      <c r="F188" s="1" t="s">
        <v>112</v>
      </c>
      <c r="G188" s="1">
        <v>163695</v>
      </c>
    </row>
    <row r="189" spans="1:7" x14ac:dyDescent="0.35">
      <c r="A189" s="1" t="str">
        <f t="shared" si="2"/>
        <v>2</v>
      </c>
      <c r="B1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9" s="1" t="s">
        <v>586</v>
      </c>
      <c r="D189" s="1" t="s">
        <v>587</v>
      </c>
      <c r="E189" s="1" t="s">
        <v>588</v>
      </c>
      <c r="F189" s="1" t="s">
        <v>112</v>
      </c>
      <c r="G189" s="1">
        <v>79620</v>
      </c>
    </row>
    <row r="190" spans="1:7" x14ac:dyDescent="0.35">
      <c r="A190" s="1" t="str">
        <f t="shared" si="2"/>
        <v>2</v>
      </c>
      <c r="B1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0" s="1" t="s">
        <v>589</v>
      </c>
      <c r="D190" s="1" t="s">
        <v>590</v>
      </c>
      <c r="E190" s="1" t="s">
        <v>591</v>
      </c>
      <c r="F190" s="1" t="s">
        <v>112</v>
      </c>
      <c r="G190" s="1">
        <v>177279</v>
      </c>
    </row>
    <row r="191" spans="1:7" x14ac:dyDescent="0.35">
      <c r="A191" s="1" t="str">
        <f t="shared" si="2"/>
        <v>2</v>
      </c>
      <c r="B1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1" s="1" t="s">
        <v>592</v>
      </c>
      <c r="D191" s="1" t="s">
        <v>593</v>
      </c>
      <c r="E191" s="1" t="s">
        <v>594</v>
      </c>
      <c r="F191" s="1" t="s">
        <v>112</v>
      </c>
      <c r="G191" s="1">
        <v>84811</v>
      </c>
    </row>
    <row r="192" spans="1:7" x14ac:dyDescent="0.35">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2" s="1" t="s">
        <v>112</v>
      </c>
    </row>
    <row r="193" spans="1:8" x14ac:dyDescent="0.35">
      <c r="A193" s="1" t="str">
        <f t="shared" si="2"/>
        <v/>
      </c>
      <c r="B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3" s="1" t="s">
        <v>239</v>
      </c>
      <c r="D193" s="1" t="s">
        <v>112</v>
      </c>
      <c r="E193" s="1" t="s">
        <v>240</v>
      </c>
      <c r="F193" s="1" t="s">
        <v>241</v>
      </c>
      <c r="G193" s="1" t="s">
        <v>242</v>
      </c>
      <c r="H193" s="1" t="s">
        <v>243</v>
      </c>
    </row>
    <row r="194" spans="1:8" x14ac:dyDescent="0.35">
      <c r="A194" s="1" t="str">
        <f t="shared" ref="A194:A257" si="3">IFERROR(LEFT(RIGHT(C194,LEN(C194)-SEARCH("@",C194)),SEARCH("/",RIGHT(C194,LEN(C194)-SEARCH("@",C194)-1))),"")</f>
        <v>2</v>
      </c>
      <c r="B1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94" s="1" t="s">
        <v>595</v>
      </c>
      <c r="D194" s="1" t="s">
        <v>112</v>
      </c>
      <c r="E194" s="1" t="s">
        <v>596</v>
      </c>
      <c r="F194" s="1" t="s">
        <v>597</v>
      </c>
      <c r="G194" s="1" t="s">
        <v>598</v>
      </c>
      <c r="H194" s="1" t="s">
        <v>599</v>
      </c>
    </row>
    <row r="195" spans="1:8" x14ac:dyDescent="0.35">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5" s="1" t="s">
        <v>112</v>
      </c>
    </row>
    <row r="196" spans="1:8" x14ac:dyDescent="0.35">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6" s="1" t="s">
        <v>112</v>
      </c>
    </row>
    <row r="197" spans="1:8" x14ac:dyDescent="0.35">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7" s="1" t="s">
        <v>112</v>
      </c>
    </row>
    <row r="198" spans="1:8" x14ac:dyDescent="0.35">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8" s="1" t="s">
        <v>112</v>
      </c>
    </row>
    <row r="199" spans="1:8" x14ac:dyDescent="0.35">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9" s="1" t="s">
        <v>112</v>
      </c>
    </row>
    <row r="200" spans="1:8" x14ac:dyDescent="0.35">
      <c r="A200" s="1" t="str">
        <f t="shared" si="3"/>
        <v/>
      </c>
      <c r="B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00" s="1" t="s">
        <v>172</v>
      </c>
      <c r="D200" s="1" t="s">
        <v>110</v>
      </c>
      <c r="E200" s="1" t="s">
        <v>111</v>
      </c>
      <c r="F200" s="1" t="s">
        <v>112</v>
      </c>
      <c r="G200" s="1" t="s">
        <v>113</v>
      </c>
    </row>
    <row r="201" spans="1:8" x14ac:dyDescent="0.35">
      <c r="A201" s="1" t="str">
        <f t="shared" si="3"/>
        <v>3</v>
      </c>
      <c r="B2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1" s="1" t="s">
        <v>600</v>
      </c>
      <c r="D201" s="1" t="s">
        <v>601</v>
      </c>
      <c r="E201" s="1" t="s">
        <v>229</v>
      </c>
      <c r="F201" s="1" t="s">
        <v>112</v>
      </c>
      <c r="G201" s="1">
        <v>18494</v>
      </c>
    </row>
    <row r="202" spans="1:8" x14ac:dyDescent="0.35">
      <c r="A202" s="1" t="str">
        <f t="shared" si="3"/>
        <v>3</v>
      </c>
      <c r="B2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2" s="1" t="s">
        <v>602</v>
      </c>
      <c r="D202" s="1" t="s">
        <v>603</v>
      </c>
      <c r="E202" s="1" t="s">
        <v>604</v>
      </c>
      <c r="F202" s="1" t="s">
        <v>112</v>
      </c>
      <c r="G202" s="1">
        <v>90824</v>
      </c>
    </row>
    <row r="203" spans="1:8" x14ac:dyDescent="0.35">
      <c r="A203" s="1" t="str">
        <f t="shared" si="3"/>
        <v>3</v>
      </c>
      <c r="B2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3" s="1" t="s">
        <v>605</v>
      </c>
      <c r="D203" s="1" t="s">
        <v>606</v>
      </c>
      <c r="E203" s="1" t="s">
        <v>607</v>
      </c>
      <c r="F203" s="1" t="s">
        <v>112</v>
      </c>
      <c r="G203" s="1">
        <v>21608</v>
      </c>
    </row>
    <row r="204" spans="1:8" x14ac:dyDescent="0.35">
      <c r="A204" s="1" t="str">
        <f t="shared" si="3"/>
        <v>3</v>
      </c>
      <c r="B2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4" s="1" t="s">
        <v>608</v>
      </c>
      <c r="D204" s="1" t="s">
        <v>228</v>
      </c>
      <c r="E204" s="1" t="s">
        <v>609</v>
      </c>
      <c r="F204" s="1" t="s">
        <v>112</v>
      </c>
      <c r="G204" s="1">
        <v>2033</v>
      </c>
    </row>
    <row r="205" spans="1:8" x14ac:dyDescent="0.35">
      <c r="A205" s="1" t="str">
        <f t="shared" si="3"/>
        <v>3</v>
      </c>
      <c r="B2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5" s="1" t="s">
        <v>610</v>
      </c>
      <c r="D205" s="1" t="s">
        <v>611</v>
      </c>
      <c r="E205" s="1" t="s">
        <v>612</v>
      </c>
      <c r="F205" s="1" t="s">
        <v>112</v>
      </c>
      <c r="G205" s="1">
        <v>7895</v>
      </c>
    </row>
    <row r="206" spans="1:8" x14ac:dyDescent="0.35">
      <c r="A206" s="1" t="str">
        <f t="shared" si="3"/>
        <v>3</v>
      </c>
      <c r="B2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6" s="1" t="s">
        <v>613</v>
      </c>
      <c r="D206" s="1" t="s">
        <v>614</v>
      </c>
      <c r="E206" s="1" t="s">
        <v>615</v>
      </c>
      <c r="F206" s="1" t="s">
        <v>112</v>
      </c>
      <c r="G206" s="1">
        <v>117796</v>
      </c>
    </row>
    <row r="207" spans="1:8" x14ac:dyDescent="0.35">
      <c r="A207" s="1" t="str">
        <f t="shared" si="3"/>
        <v>3</v>
      </c>
      <c r="B2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7" s="1" t="s">
        <v>616</v>
      </c>
      <c r="D207" s="1" t="s">
        <v>617</v>
      </c>
      <c r="E207" s="1" t="s">
        <v>618</v>
      </c>
      <c r="F207" s="1" t="s">
        <v>112</v>
      </c>
      <c r="G207" s="1">
        <v>81977</v>
      </c>
    </row>
    <row r="208" spans="1:8" x14ac:dyDescent="0.35">
      <c r="A208" s="1" t="str">
        <f t="shared" si="3"/>
        <v>3</v>
      </c>
      <c r="B2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8" s="1" t="s">
        <v>619</v>
      </c>
      <c r="D208" s="1" t="s">
        <v>620</v>
      </c>
      <c r="E208" s="1" t="s">
        <v>621</v>
      </c>
      <c r="F208" s="1" t="s">
        <v>112</v>
      </c>
      <c r="G208" s="1">
        <v>193263</v>
      </c>
    </row>
    <row r="209" spans="1:7" x14ac:dyDescent="0.35">
      <c r="A209" s="1" t="str">
        <f t="shared" si="3"/>
        <v>3</v>
      </c>
      <c r="B2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9" s="1" t="s">
        <v>622</v>
      </c>
      <c r="D209" s="1" t="s">
        <v>232</v>
      </c>
      <c r="E209" s="1" t="s">
        <v>623</v>
      </c>
      <c r="F209" s="1" t="s">
        <v>112</v>
      </c>
      <c r="G209" s="1">
        <v>6186</v>
      </c>
    </row>
    <row r="210" spans="1:7" x14ac:dyDescent="0.35">
      <c r="A210" s="1" t="str">
        <f t="shared" si="3"/>
        <v>3</v>
      </c>
      <c r="B2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0" s="1" t="s">
        <v>624</v>
      </c>
      <c r="D210" s="1" t="s">
        <v>625</v>
      </c>
      <c r="E210" s="1" t="s">
        <v>626</v>
      </c>
      <c r="F210" s="1" t="s">
        <v>112</v>
      </c>
      <c r="G210" s="1">
        <v>52301</v>
      </c>
    </row>
    <row r="211" spans="1:7" x14ac:dyDescent="0.35">
      <c r="A211" s="1" t="str">
        <f t="shared" si="3"/>
        <v>3</v>
      </c>
      <c r="B2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1" s="1" t="s">
        <v>627</v>
      </c>
      <c r="D211" s="1" t="s">
        <v>628</v>
      </c>
      <c r="E211" s="1" t="s">
        <v>629</v>
      </c>
      <c r="F211" s="1" t="s">
        <v>112</v>
      </c>
      <c r="G211" s="1">
        <v>32661</v>
      </c>
    </row>
    <row r="212" spans="1:7" x14ac:dyDescent="0.35">
      <c r="A212" s="1" t="str">
        <f t="shared" si="3"/>
        <v>3</v>
      </c>
      <c r="B2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2" s="1" t="s">
        <v>630</v>
      </c>
      <c r="D212" s="1" t="s">
        <v>625</v>
      </c>
      <c r="E212" s="1" t="s">
        <v>631</v>
      </c>
      <c r="F212" s="1" t="s">
        <v>112</v>
      </c>
      <c r="G212" s="1">
        <v>53815</v>
      </c>
    </row>
    <row r="213" spans="1:7" x14ac:dyDescent="0.35">
      <c r="A213" s="1" t="str">
        <f t="shared" si="3"/>
        <v>3</v>
      </c>
      <c r="B2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3" s="1" t="s">
        <v>632</v>
      </c>
      <c r="D213" s="1">
        <v>0</v>
      </c>
      <c r="E213" s="1">
        <v>0</v>
      </c>
      <c r="F213" s="1" t="s">
        <v>112</v>
      </c>
      <c r="G213" s="1">
        <v>0</v>
      </c>
    </row>
    <row r="214" spans="1:7" x14ac:dyDescent="0.35">
      <c r="A214" s="1" t="str">
        <f t="shared" si="3"/>
        <v>3</v>
      </c>
      <c r="B2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4" s="1" t="s">
        <v>633</v>
      </c>
      <c r="D214" s="1" t="s">
        <v>463</v>
      </c>
      <c r="E214" s="1">
        <v>30</v>
      </c>
      <c r="F214" s="1" t="s">
        <v>112</v>
      </c>
      <c r="G214" s="1">
        <v>649</v>
      </c>
    </row>
    <row r="215" spans="1:7" x14ac:dyDescent="0.35">
      <c r="A215" s="1" t="str">
        <f t="shared" si="3"/>
        <v>3</v>
      </c>
      <c r="B2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5" s="1" t="s">
        <v>634</v>
      </c>
      <c r="D215" s="1" t="s">
        <v>463</v>
      </c>
      <c r="E215" s="1">
        <v>31</v>
      </c>
      <c r="F215" s="1" t="s">
        <v>112</v>
      </c>
      <c r="G215" s="1">
        <v>671</v>
      </c>
    </row>
    <row r="216" spans="1:7" x14ac:dyDescent="0.35">
      <c r="A216" s="1" t="str">
        <f t="shared" si="3"/>
        <v>3</v>
      </c>
      <c r="B2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6" s="1" t="s">
        <v>635</v>
      </c>
      <c r="D216" s="1" t="s">
        <v>636</v>
      </c>
      <c r="E216" s="1" t="s">
        <v>637</v>
      </c>
      <c r="F216" s="1" t="s">
        <v>112</v>
      </c>
      <c r="G216" s="1">
        <v>26367</v>
      </c>
    </row>
    <row r="217" spans="1:7" x14ac:dyDescent="0.35">
      <c r="A217" s="1" t="str">
        <f t="shared" si="3"/>
        <v>3</v>
      </c>
      <c r="B2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7" s="1" t="s">
        <v>638</v>
      </c>
      <c r="D217" s="1" t="s">
        <v>253</v>
      </c>
      <c r="E217" s="1" t="s">
        <v>639</v>
      </c>
      <c r="F217" s="1" t="s">
        <v>112</v>
      </c>
      <c r="G217" s="1">
        <v>51414</v>
      </c>
    </row>
    <row r="218" spans="1:7" x14ac:dyDescent="0.35">
      <c r="A218" s="1" t="str">
        <f t="shared" si="3"/>
        <v>3</v>
      </c>
      <c r="B2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8" s="1" t="s">
        <v>640</v>
      </c>
      <c r="D218" s="1" t="s">
        <v>641</v>
      </c>
      <c r="E218" s="1" t="s">
        <v>642</v>
      </c>
      <c r="F218" s="1" t="s">
        <v>112</v>
      </c>
      <c r="G218" s="1">
        <v>158158</v>
      </c>
    </row>
    <row r="219" spans="1:7" x14ac:dyDescent="0.35">
      <c r="A219" s="1" t="str">
        <f t="shared" si="3"/>
        <v>3</v>
      </c>
      <c r="B2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9" s="1" t="s">
        <v>643</v>
      </c>
      <c r="D219" s="1" t="s">
        <v>644</v>
      </c>
      <c r="E219" s="1" t="s">
        <v>645</v>
      </c>
      <c r="F219" s="1" t="s">
        <v>112</v>
      </c>
      <c r="G219" s="1">
        <v>339827</v>
      </c>
    </row>
    <row r="220" spans="1:7" x14ac:dyDescent="0.35">
      <c r="A220" s="1" t="str">
        <f t="shared" si="3"/>
        <v>3</v>
      </c>
      <c r="B2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0" s="1" t="s">
        <v>646</v>
      </c>
      <c r="D220" s="1" t="s">
        <v>647</v>
      </c>
      <c r="E220" s="1" t="s">
        <v>648</v>
      </c>
      <c r="F220" s="1" t="s">
        <v>112</v>
      </c>
      <c r="G220" s="1">
        <v>289905</v>
      </c>
    </row>
    <row r="221" spans="1:7" x14ac:dyDescent="0.35">
      <c r="A221" s="1" t="str">
        <f t="shared" si="3"/>
        <v>3</v>
      </c>
      <c r="B2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1" s="1" t="s">
        <v>649</v>
      </c>
      <c r="D221" s="1" t="s">
        <v>650</v>
      </c>
      <c r="E221" s="1" t="s">
        <v>651</v>
      </c>
      <c r="F221" s="1" t="s">
        <v>112</v>
      </c>
      <c r="G221" s="1">
        <v>58639</v>
      </c>
    </row>
    <row r="222" spans="1:7" x14ac:dyDescent="0.35">
      <c r="A222" s="1" t="str">
        <f t="shared" si="3"/>
        <v>3</v>
      </c>
      <c r="B2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2" s="1" t="s">
        <v>652</v>
      </c>
      <c r="D222" s="1" t="s">
        <v>653</v>
      </c>
      <c r="E222" s="1" t="s">
        <v>654</v>
      </c>
      <c r="F222" s="1" t="s">
        <v>112</v>
      </c>
      <c r="G222" s="1">
        <v>480681</v>
      </c>
    </row>
    <row r="223" spans="1:7" x14ac:dyDescent="0.35">
      <c r="A223" s="1" t="str">
        <f t="shared" si="3"/>
        <v>3</v>
      </c>
      <c r="B2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3" s="1" t="s">
        <v>655</v>
      </c>
      <c r="D223" s="1">
        <v>0</v>
      </c>
      <c r="E223" s="1">
        <v>0</v>
      </c>
      <c r="F223" s="1" t="s">
        <v>112</v>
      </c>
      <c r="G223" s="1">
        <v>0</v>
      </c>
    </row>
    <row r="224" spans="1:7" x14ac:dyDescent="0.35">
      <c r="A224" s="1" t="str">
        <f t="shared" si="3"/>
        <v>3</v>
      </c>
      <c r="B2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4" s="1" t="s">
        <v>656</v>
      </c>
      <c r="D224" s="1" t="s">
        <v>657</v>
      </c>
      <c r="E224" s="1" t="s">
        <v>658</v>
      </c>
      <c r="F224" s="1" t="s">
        <v>112</v>
      </c>
      <c r="G224" s="1">
        <v>195556</v>
      </c>
    </row>
    <row r="225" spans="1:8" x14ac:dyDescent="0.35">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5" s="1" t="s">
        <v>112</v>
      </c>
    </row>
    <row r="226" spans="1:8" x14ac:dyDescent="0.35">
      <c r="A226" s="1" t="str">
        <f t="shared" si="3"/>
        <v/>
      </c>
      <c r="B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6" s="1" t="s">
        <v>239</v>
      </c>
      <c r="D226" s="1" t="s">
        <v>112</v>
      </c>
      <c r="E226" s="1" t="s">
        <v>240</v>
      </c>
      <c r="F226" s="1" t="s">
        <v>241</v>
      </c>
      <c r="G226" s="1" t="s">
        <v>242</v>
      </c>
      <c r="H226" s="1" t="s">
        <v>243</v>
      </c>
    </row>
    <row r="227" spans="1:8" x14ac:dyDescent="0.35">
      <c r="A227" s="1" t="str">
        <f t="shared" si="3"/>
        <v>3</v>
      </c>
      <c r="B2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27" s="1" t="s">
        <v>659</v>
      </c>
      <c r="D227" s="1" t="s">
        <v>112</v>
      </c>
      <c r="E227" s="1" t="s">
        <v>660</v>
      </c>
      <c r="F227" s="1" t="s">
        <v>661</v>
      </c>
      <c r="G227" s="1">
        <v>95030</v>
      </c>
      <c r="H227" s="1" t="s">
        <v>662</v>
      </c>
    </row>
    <row r="228" spans="1:8" x14ac:dyDescent="0.35">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8" s="1" t="s">
        <v>112</v>
      </c>
    </row>
    <row r="229" spans="1:8" x14ac:dyDescent="0.35">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9" s="1" t="s">
        <v>112</v>
      </c>
    </row>
    <row r="230" spans="1:8" x14ac:dyDescent="0.35">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0" s="1" t="s">
        <v>112</v>
      </c>
    </row>
    <row r="231" spans="1:8" x14ac:dyDescent="0.35">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1" s="1" t="s">
        <v>112</v>
      </c>
    </row>
    <row r="232" spans="1:8" x14ac:dyDescent="0.35">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2" s="1" t="s">
        <v>112</v>
      </c>
    </row>
    <row r="233" spans="1:8" x14ac:dyDescent="0.35">
      <c r="A233" s="1" t="str">
        <f t="shared" si="3"/>
        <v/>
      </c>
      <c r="B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3" s="1" t="s">
        <v>172</v>
      </c>
      <c r="D233" s="1" t="s">
        <v>110</v>
      </c>
      <c r="E233" s="1" t="s">
        <v>111</v>
      </c>
      <c r="F233" s="1" t="s">
        <v>112</v>
      </c>
      <c r="G233" s="1" t="s">
        <v>113</v>
      </c>
    </row>
    <row r="234" spans="1:8" x14ac:dyDescent="0.35">
      <c r="A234" s="1" t="str">
        <f t="shared" si="3"/>
        <v>4</v>
      </c>
      <c r="B2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4" s="1" t="s">
        <v>663</v>
      </c>
      <c r="D234" s="1" t="s">
        <v>664</v>
      </c>
      <c r="E234" s="1" t="s">
        <v>665</v>
      </c>
      <c r="F234" s="1" t="s">
        <v>112</v>
      </c>
      <c r="G234" s="1">
        <v>232197</v>
      </c>
    </row>
    <row r="235" spans="1:8" x14ac:dyDescent="0.35">
      <c r="A235" s="1" t="str">
        <f t="shared" si="3"/>
        <v>4</v>
      </c>
      <c r="B2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5" s="1" t="s">
        <v>666</v>
      </c>
      <c r="D235" s="1" t="s">
        <v>667</v>
      </c>
      <c r="E235" s="1" t="s">
        <v>668</v>
      </c>
      <c r="F235" s="1" t="s">
        <v>112</v>
      </c>
      <c r="G235" s="1">
        <v>73953</v>
      </c>
    </row>
    <row r="236" spans="1:8" x14ac:dyDescent="0.35">
      <c r="A236" s="1" t="str">
        <f t="shared" si="3"/>
        <v>4</v>
      </c>
      <c r="B2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6" s="1" t="s">
        <v>669</v>
      </c>
      <c r="D236" s="1" t="s">
        <v>670</v>
      </c>
      <c r="E236" s="1" t="s">
        <v>671</v>
      </c>
      <c r="F236" s="1" t="s">
        <v>112</v>
      </c>
      <c r="G236" s="1">
        <v>180134</v>
      </c>
    </row>
    <row r="237" spans="1:8" x14ac:dyDescent="0.35">
      <c r="A237" s="1" t="str">
        <f t="shared" si="3"/>
        <v>4</v>
      </c>
      <c r="B2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7" s="1" t="s">
        <v>672</v>
      </c>
      <c r="D237" s="1" t="s">
        <v>673</v>
      </c>
      <c r="E237" s="1" t="s">
        <v>674</v>
      </c>
      <c r="F237" s="1" t="s">
        <v>112</v>
      </c>
      <c r="G237" s="1">
        <v>1022056</v>
      </c>
    </row>
    <row r="238" spans="1:8" x14ac:dyDescent="0.35">
      <c r="A238" s="1" t="str">
        <f t="shared" si="3"/>
        <v>4</v>
      </c>
      <c r="B2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8" s="1" t="s">
        <v>675</v>
      </c>
      <c r="D238" s="1" t="s">
        <v>676</v>
      </c>
      <c r="E238" s="1" t="s">
        <v>677</v>
      </c>
      <c r="F238" s="1" t="s">
        <v>112</v>
      </c>
      <c r="G238" s="1">
        <v>1313692</v>
      </c>
    </row>
    <row r="239" spans="1:8" x14ac:dyDescent="0.35">
      <c r="A239" s="1" t="str">
        <f t="shared" si="3"/>
        <v>4</v>
      </c>
      <c r="B2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9" s="1" t="s">
        <v>678</v>
      </c>
      <c r="D239" s="1" t="s">
        <v>679</v>
      </c>
      <c r="E239" s="1" t="s">
        <v>680</v>
      </c>
      <c r="F239" s="1" t="s">
        <v>112</v>
      </c>
      <c r="G239" s="1">
        <v>1145692</v>
      </c>
    </row>
    <row r="240" spans="1:8" x14ac:dyDescent="0.35">
      <c r="A240" s="1" t="str">
        <f t="shared" si="3"/>
        <v>4</v>
      </c>
      <c r="B2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0" s="1" t="s">
        <v>681</v>
      </c>
      <c r="D240" s="1" t="s">
        <v>682</v>
      </c>
      <c r="E240" s="1" t="s">
        <v>683</v>
      </c>
      <c r="F240" s="1" t="s">
        <v>112</v>
      </c>
      <c r="G240" s="1">
        <v>750882</v>
      </c>
    </row>
    <row r="241" spans="1:7" x14ac:dyDescent="0.35">
      <c r="A241" s="1" t="str">
        <f t="shared" si="3"/>
        <v>4</v>
      </c>
      <c r="B2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1" s="1" t="s">
        <v>684</v>
      </c>
      <c r="D241" s="1" t="s">
        <v>685</v>
      </c>
      <c r="E241" s="1" t="s">
        <v>686</v>
      </c>
      <c r="F241" s="1" t="s">
        <v>112</v>
      </c>
      <c r="G241" s="1">
        <v>833075</v>
      </c>
    </row>
    <row r="242" spans="1:7" x14ac:dyDescent="0.35">
      <c r="A242" s="1" t="str">
        <f t="shared" si="3"/>
        <v>4</v>
      </c>
      <c r="B2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2" s="1" t="s">
        <v>687</v>
      </c>
      <c r="D242" s="1" t="s">
        <v>688</v>
      </c>
      <c r="E242" s="1" t="s">
        <v>689</v>
      </c>
      <c r="F242" s="1" t="s">
        <v>112</v>
      </c>
      <c r="G242" s="1">
        <v>467941</v>
      </c>
    </row>
    <row r="243" spans="1:7" x14ac:dyDescent="0.35">
      <c r="A243" s="1" t="str">
        <f t="shared" si="3"/>
        <v>4</v>
      </c>
      <c r="B2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3" s="1" t="s">
        <v>690</v>
      </c>
      <c r="D243" s="1" t="s">
        <v>367</v>
      </c>
      <c r="E243" s="1" t="s">
        <v>691</v>
      </c>
      <c r="F243" s="1" t="s">
        <v>112</v>
      </c>
      <c r="G243" s="1">
        <v>136636</v>
      </c>
    </row>
    <row r="244" spans="1:7" x14ac:dyDescent="0.35">
      <c r="A244" s="1" t="str">
        <f t="shared" si="3"/>
        <v>4</v>
      </c>
      <c r="B2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4" s="1" t="s">
        <v>692</v>
      </c>
      <c r="D244" s="1" t="s">
        <v>693</v>
      </c>
      <c r="E244" s="1" t="s">
        <v>694</v>
      </c>
      <c r="F244" s="1" t="s">
        <v>112</v>
      </c>
      <c r="G244" s="1">
        <v>571505</v>
      </c>
    </row>
    <row r="245" spans="1:7" x14ac:dyDescent="0.35">
      <c r="A245" s="1" t="str">
        <f t="shared" si="3"/>
        <v>4</v>
      </c>
      <c r="B2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5" s="1" t="s">
        <v>695</v>
      </c>
      <c r="D245" s="1" t="s">
        <v>696</v>
      </c>
      <c r="E245" s="1" t="s">
        <v>697</v>
      </c>
      <c r="F245" s="1" t="s">
        <v>112</v>
      </c>
      <c r="G245" s="1">
        <v>262868</v>
      </c>
    </row>
    <row r="246" spans="1:7" x14ac:dyDescent="0.35">
      <c r="A246" s="1" t="str">
        <f t="shared" si="3"/>
        <v>4</v>
      </c>
      <c r="B2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6" s="1" t="s">
        <v>698</v>
      </c>
      <c r="D246" s="1" t="s">
        <v>699</v>
      </c>
      <c r="E246" s="1" t="s">
        <v>700</v>
      </c>
      <c r="F246" s="1" t="s">
        <v>112</v>
      </c>
      <c r="G246" s="1">
        <v>179139</v>
      </c>
    </row>
    <row r="247" spans="1:7" x14ac:dyDescent="0.35">
      <c r="A247" s="1" t="str">
        <f t="shared" si="3"/>
        <v>4</v>
      </c>
      <c r="B2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7" s="1" t="s">
        <v>701</v>
      </c>
      <c r="D247" s="1" t="s">
        <v>702</v>
      </c>
      <c r="E247" s="1" t="s">
        <v>703</v>
      </c>
      <c r="F247" s="1" t="s">
        <v>112</v>
      </c>
      <c r="G247" s="1">
        <v>238643</v>
      </c>
    </row>
    <row r="248" spans="1:7" x14ac:dyDescent="0.35">
      <c r="A248" s="1" t="str">
        <f t="shared" si="3"/>
        <v>4</v>
      </c>
      <c r="B2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8" s="1" t="s">
        <v>704</v>
      </c>
      <c r="D248" s="1" t="s">
        <v>705</v>
      </c>
      <c r="E248" s="1" t="s">
        <v>706</v>
      </c>
      <c r="F248" s="1" t="s">
        <v>112</v>
      </c>
      <c r="G248" s="1">
        <v>269703</v>
      </c>
    </row>
    <row r="249" spans="1:7" x14ac:dyDescent="0.35">
      <c r="A249" s="1" t="str">
        <f t="shared" si="3"/>
        <v>4</v>
      </c>
      <c r="B2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9" s="1" t="s">
        <v>707</v>
      </c>
      <c r="D249" s="1" t="s">
        <v>708</v>
      </c>
      <c r="E249" s="1" t="s">
        <v>709</v>
      </c>
      <c r="F249" s="1" t="s">
        <v>112</v>
      </c>
      <c r="G249" s="1">
        <v>185693</v>
      </c>
    </row>
    <row r="250" spans="1:7" x14ac:dyDescent="0.35">
      <c r="A250" s="1" t="str">
        <f t="shared" si="3"/>
        <v>4</v>
      </c>
      <c r="B2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50" s="1" t="s">
        <v>710</v>
      </c>
      <c r="D250" s="1" t="s">
        <v>711</v>
      </c>
      <c r="E250" s="1" t="s">
        <v>712</v>
      </c>
      <c r="F250" s="1" t="s">
        <v>112</v>
      </c>
      <c r="G250" s="1">
        <v>501230</v>
      </c>
    </row>
    <row r="251" spans="1:7" x14ac:dyDescent="0.35">
      <c r="A251" s="1" t="str">
        <f t="shared" si="3"/>
        <v>4</v>
      </c>
      <c r="B2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51" s="1" t="s">
        <v>713</v>
      </c>
      <c r="D251" s="1" t="s">
        <v>714</v>
      </c>
      <c r="E251" s="1" t="s">
        <v>715</v>
      </c>
      <c r="F251" s="1" t="s">
        <v>112</v>
      </c>
      <c r="G251" s="1">
        <v>65950</v>
      </c>
    </row>
    <row r="252" spans="1:7" x14ac:dyDescent="0.35">
      <c r="A252" s="1" t="str">
        <f t="shared" si="3"/>
        <v>4</v>
      </c>
      <c r="B2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2" s="1" t="s">
        <v>716</v>
      </c>
      <c r="D252" s="1" t="s">
        <v>717</v>
      </c>
      <c r="E252" s="1" t="s">
        <v>718</v>
      </c>
      <c r="F252" s="1" t="s">
        <v>112</v>
      </c>
      <c r="G252" s="1">
        <v>238383</v>
      </c>
    </row>
    <row r="253" spans="1:7" x14ac:dyDescent="0.35">
      <c r="A253" s="1" t="str">
        <f t="shared" si="3"/>
        <v>4</v>
      </c>
      <c r="B2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3" s="1" t="s">
        <v>719</v>
      </c>
      <c r="D253" s="1" t="s">
        <v>720</v>
      </c>
      <c r="E253" s="1" t="s">
        <v>721</v>
      </c>
      <c r="F253" s="1" t="s">
        <v>112</v>
      </c>
      <c r="G253" s="1">
        <v>332343</v>
      </c>
    </row>
    <row r="254" spans="1:7" x14ac:dyDescent="0.35">
      <c r="A254" s="1" t="str">
        <f t="shared" si="3"/>
        <v>4</v>
      </c>
      <c r="B2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4" s="1" t="s">
        <v>722</v>
      </c>
      <c r="D254" s="1" t="s">
        <v>494</v>
      </c>
      <c r="E254" s="1" t="s">
        <v>723</v>
      </c>
      <c r="F254" s="1" t="s">
        <v>112</v>
      </c>
      <c r="G254" s="1">
        <v>135317</v>
      </c>
    </row>
    <row r="255" spans="1:7" x14ac:dyDescent="0.35">
      <c r="A255" s="1" t="str">
        <f t="shared" si="3"/>
        <v>4</v>
      </c>
      <c r="B2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5" s="1" t="s">
        <v>724</v>
      </c>
      <c r="D255" s="1" t="s">
        <v>725</v>
      </c>
      <c r="E255" s="1" t="s">
        <v>726</v>
      </c>
      <c r="F255" s="1" t="s">
        <v>112</v>
      </c>
      <c r="G255" s="1">
        <v>349561</v>
      </c>
    </row>
    <row r="256" spans="1:7" x14ac:dyDescent="0.35">
      <c r="A256" s="1" t="str">
        <f t="shared" si="3"/>
        <v>4</v>
      </c>
      <c r="B2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6" s="1" t="s">
        <v>727</v>
      </c>
    </row>
    <row r="257" spans="1:8" x14ac:dyDescent="0.35">
      <c r="A257" s="1" t="str">
        <f t="shared" si="3"/>
        <v>4</v>
      </c>
      <c r="B2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7" s="1" t="s">
        <v>728</v>
      </c>
    </row>
    <row r="258" spans="1:8" x14ac:dyDescent="0.35">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8" s="1" t="s">
        <v>112</v>
      </c>
    </row>
    <row r="259" spans="1:8" x14ac:dyDescent="0.35">
      <c r="A259" s="1" t="str">
        <f t="shared" si="4"/>
        <v/>
      </c>
      <c r="B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9" s="1" t="s">
        <v>239</v>
      </c>
      <c r="D259" s="1" t="s">
        <v>112</v>
      </c>
      <c r="E259" s="1" t="s">
        <v>240</v>
      </c>
      <c r="F259" s="1" t="s">
        <v>241</v>
      </c>
      <c r="G259" s="1" t="s">
        <v>242</v>
      </c>
      <c r="H259" s="1" t="s">
        <v>243</v>
      </c>
    </row>
    <row r="260" spans="1:8" x14ac:dyDescent="0.35">
      <c r="A260" s="1" t="str">
        <f t="shared" si="4"/>
        <v>4</v>
      </c>
      <c r="B2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60" s="1" t="s">
        <v>729</v>
      </c>
      <c r="D260" s="1" t="s">
        <v>112</v>
      </c>
      <c r="E260" s="1" t="s">
        <v>730</v>
      </c>
      <c r="F260" s="1" t="s">
        <v>731</v>
      </c>
      <c r="G260" s="1" t="s">
        <v>732</v>
      </c>
      <c r="H260" s="1" t="s">
        <v>733</v>
      </c>
    </row>
    <row r="261" spans="1:8" x14ac:dyDescent="0.35">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1" s="1" t="s">
        <v>112</v>
      </c>
    </row>
    <row r="262" spans="1:8" x14ac:dyDescent="0.35">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2" s="1" t="s">
        <v>112</v>
      </c>
    </row>
    <row r="263" spans="1:8" x14ac:dyDescent="0.35">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3" s="1" t="s">
        <v>112</v>
      </c>
    </row>
    <row r="264" spans="1:8" x14ac:dyDescent="0.35">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4" s="1" t="s">
        <v>112</v>
      </c>
    </row>
    <row r="265" spans="1:8" x14ac:dyDescent="0.35">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5" s="1" t="s">
        <v>112</v>
      </c>
    </row>
    <row r="266" spans="1:8" x14ac:dyDescent="0.35">
      <c r="A266" s="1" t="str">
        <f t="shared" si="4"/>
        <v/>
      </c>
      <c r="B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6" s="1" t="s">
        <v>172</v>
      </c>
      <c r="D266" s="1" t="s">
        <v>110</v>
      </c>
      <c r="E266" s="1" t="s">
        <v>111</v>
      </c>
      <c r="F266" s="1" t="s">
        <v>112</v>
      </c>
      <c r="G266" s="1" t="s">
        <v>113</v>
      </c>
    </row>
    <row r="267" spans="1:8" x14ac:dyDescent="0.35">
      <c r="A267" s="1" t="str">
        <f t="shared" si="4"/>
        <v>5</v>
      </c>
      <c r="B2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7" s="1" t="s">
        <v>734</v>
      </c>
    </row>
    <row r="268" spans="1:8" x14ac:dyDescent="0.35">
      <c r="A268" s="1" t="str">
        <f t="shared" si="4"/>
        <v>5</v>
      </c>
      <c r="B2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8" s="1" t="s">
        <v>735</v>
      </c>
    </row>
    <row r="269" spans="1:8" x14ac:dyDescent="0.35">
      <c r="A269" s="1" t="str">
        <f t="shared" si="4"/>
        <v>5</v>
      </c>
      <c r="B2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9" s="1" t="s">
        <v>736</v>
      </c>
    </row>
    <row r="270" spans="1:8" x14ac:dyDescent="0.35">
      <c r="A270" s="1" t="str">
        <f t="shared" si="4"/>
        <v>5</v>
      </c>
      <c r="B2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0" s="1" t="s">
        <v>737</v>
      </c>
      <c r="D270" s="1" t="s">
        <v>738</v>
      </c>
      <c r="E270" s="1" t="s">
        <v>739</v>
      </c>
      <c r="F270" s="1" t="s">
        <v>112</v>
      </c>
      <c r="G270" s="1">
        <v>72741</v>
      </c>
    </row>
    <row r="271" spans="1:8" x14ac:dyDescent="0.35">
      <c r="A271" s="1" t="str">
        <f t="shared" si="4"/>
        <v>5</v>
      </c>
      <c r="B2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1" s="1" t="s">
        <v>740</v>
      </c>
      <c r="D271" s="1" t="s">
        <v>741</v>
      </c>
      <c r="E271" s="1" t="s">
        <v>742</v>
      </c>
      <c r="F271" s="1" t="s">
        <v>112</v>
      </c>
      <c r="G271" s="1">
        <v>125583</v>
      </c>
    </row>
    <row r="272" spans="1:8" x14ac:dyDescent="0.35">
      <c r="A272" s="1" t="str">
        <f t="shared" si="4"/>
        <v>5</v>
      </c>
      <c r="B2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2" s="1" t="s">
        <v>743</v>
      </c>
      <c r="D272" s="1" t="s">
        <v>593</v>
      </c>
      <c r="E272" s="1" t="s">
        <v>744</v>
      </c>
      <c r="F272" s="1" t="s">
        <v>112</v>
      </c>
      <c r="G272" s="1">
        <v>85070</v>
      </c>
    </row>
    <row r="273" spans="1:7" x14ac:dyDescent="0.35">
      <c r="A273" s="1" t="str">
        <f t="shared" si="4"/>
        <v>5</v>
      </c>
      <c r="B2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3" s="1" t="s">
        <v>745</v>
      </c>
      <c r="D273" s="1" t="s">
        <v>746</v>
      </c>
      <c r="E273" s="1" t="s">
        <v>747</v>
      </c>
      <c r="F273" s="1" t="s">
        <v>112</v>
      </c>
      <c r="G273" s="1">
        <v>2817618</v>
      </c>
    </row>
    <row r="274" spans="1:7" x14ac:dyDescent="0.35">
      <c r="A274" s="1" t="str">
        <f t="shared" si="4"/>
        <v>5</v>
      </c>
      <c r="B2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4" s="1" t="s">
        <v>748</v>
      </c>
      <c r="D274" s="1" t="s">
        <v>749</v>
      </c>
      <c r="E274" s="1" t="s">
        <v>750</v>
      </c>
      <c r="F274" s="1" t="s">
        <v>112</v>
      </c>
      <c r="G274" s="1">
        <v>2095072</v>
      </c>
    </row>
    <row r="275" spans="1:7" x14ac:dyDescent="0.35">
      <c r="A275" s="1" t="str">
        <f t="shared" si="4"/>
        <v>5</v>
      </c>
      <c r="B2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5" s="1" t="s">
        <v>751</v>
      </c>
      <c r="D275" s="1" t="s">
        <v>752</v>
      </c>
      <c r="E275" s="1" t="s">
        <v>753</v>
      </c>
      <c r="F275" s="1" t="s">
        <v>112</v>
      </c>
      <c r="G275" s="1">
        <v>1887381</v>
      </c>
    </row>
    <row r="276" spans="1:7" x14ac:dyDescent="0.35">
      <c r="A276" s="1" t="str">
        <f t="shared" si="4"/>
        <v>5</v>
      </c>
      <c r="B2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6" s="1" t="s">
        <v>754</v>
      </c>
      <c r="D276" s="1" t="s">
        <v>755</v>
      </c>
      <c r="E276" s="1" t="s">
        <v>756</v>
      </c>
      <c r="F276" s="1" t="s">
        <v>112</v>
      </c>
      <c r="G276" s="1">
        <v>2511209</v>
      </c>
    </row>
    <row r="277" spans="1:7" x14ac:dyDescent="0.35">
      <c r="A277" s="1" t="str">
        <f t="shared" si="4"/>
        <v>5</v>
      </c>
      <c r="B2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7" s="1" t="s">
        <v>757</v>
      </c>
      <c r="D277" s="1" t="s">
        <v>758</v>
      </c>
      <c r="E277" s="1" t="s">
        <v>759</v>
      </c>
      <c r="F277" s="1" t="s">
        <v>112</v>
      </c>
      <c r="G277" s="1">
        <v>2413096</v>
      </c>
    </row>
    <row r="278" spans="1:7" x14ac:dyDescent="0.35">
      <c r="A278" s="1" t="str">
        <f t="shared" si="4"/>
        <v>5</v>
      </c>
      <c r="B2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8" s="1" t="s">
        <v>760</v>
      </c>
      <c r="D278" s="1" t="s">
        <v>761</v>
      </c>
      <c r="E278" s="1" t="s">
        <v>762</v>
      </c>
      <c r="F278" s="1" t="s">
        <v>112</v>
      </c>
      <c r="G278" s="1">
        <v>2229869</v>
      </c>
    </row>
    <row r="279" spans="1:7" x14ac:dyDescent="0.35">
      <c r="A279" s="1" t="str">
        <f t="shared" si="4"/>
        <v>5</v>
      </c>
      <c r="B2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9" s="1" t="s">
        <v>763</v>
      </c>
      <c r="D279" s="1" t="s">
        <v>764</v>
      </c>
      <c r="E279" s="1" t="s">
        <v>765</v>
      </c>
      <c r="F279" s="1" t="s">
        <v>112</v>
      </c>
      <c r="G279" s="1">
        <v>1629834</v>
      </c>
    </row>
    <row r="280" spans="1:7" x14ac:dyDescent="0.35">
      <c r="A280" s="1" t="str">
        <f t="shared" si="4"/>
        <v>5</v>
      </c>
      <c r="B2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80" s="1" t="s">
        <v>766</v>
      </c>
      <c r="D280" s="1" t="s">
        <v>767</v>
      </c>
      <c r="E280" s="1" t="s">
        <v>768</v>
      </c>
      <c r="F280" s="1" t="s">
        <v>112</v>
      </c>
      <c r="G280" s="1">
        <v>1691761</v>
      </c>
    </row>
    <row r="281" spans="1:7" x14ac:dyDescent="0.35">
      <c r="A281" s="1" t="str">
        <f t="shared" si="4"/>
        <v>5</v>
      </c>
      <c r="B2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81" s="1" t="s">
        <v>769</v>
      </c>
      <c r="D281" s="1" t="s">
        <v>264</v>
      </c>
      <c r="E281" s="1" t="s">
        <v>770</v>
      </c>
      <c r="F281" s="1" t="s">
        <v>112</v>
      </c>
      <c r="G281" s="1">
        <v>1578723</v>
      </c>
    </row>
    <row r="282" spans="1:7" x14ac:dyDescent="0.35">
      <c r="A282" s="1" t="str">
        <f t="shared" si="4"/>
        <v>5</v>
      </c>
      <c r="B2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2" s="1" t="s">
        <v>771</v>
      </c>
      <c r="D282" s="1" t="s">
        <v>772</v>
      </c>
      <c r="E282" s="1" t="s">
        <v>773</v>
      </c>
      <c r="F282" s="1" t="s">
        <v>112</v>
      </c>
      <c r="G282" s="1">
        <v>2438468</v>
      </c>
    </row>
    <row r="283" spans="1:7" x14ac:dyDescent="0.35">
      <c r="A283" s="1" t="str">
        <f t="shared" si="4"/>
        <v>5</v>
      </c>
      <c r="B2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3" s="1" t="s">
        <v>774</v>
      </c>
      <c r="D283" s="1" t="s">
        <v>775</v>
      </c>
      <c r="E283" s="1" t="s">
        <v>776</v>
      </c>
      <c r="F283" s="1" t="s">
        <v>112</v>
      </c>
      <c r="G283" s="1">
        <v>2587260</v>
      </c>
    </row>
    <row r="284" spans="1:7" x14ac:dyDescent="0.35">
      <c r="A284" s="1" t="str">
        <f t="shared" si="4"/>
        <v>5</v>
      </c>
      <c r="B2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4" s="1" t="s">
        <v>777</v>
      </c>
      <c r="D284" s="1" t="s">
        <v>778</v>
      </c>
      <c r="E284" s="1" t="s">
        <v>779</v>
      </c>
      <c r="F284" s="1" t="s">
        <v>112</v>
      </c>
      <c r="G284" s="1">
        <v>2065006</v>
      </c>
    </row>
    <row r="285" spans="1:7" x14ac:dyDescent="0.35">
      <c r="A285" s="1" t="str">
        <f t="shared" si="4"/>
        <v>5</v>
      </c>
      <c r="B2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5" s="1" t="s">
        <v>780</v>
      </c>
      <c r="D285" s="1" t="s">
        <v>781</v>
      </c>
      <c r="E285" s="1" t="s">
        <v>782</v>
      </c>
      <c r="F285" s="1" t="s">
        <v>112</v>
      </c>
      <c r="G285" s="1">
        <v>1577122</v>
      </c>
    </row>
    <row r="286" spans="1:7" x14ac:dyDescent="0.35">
      <c r="A286" s="1" t="str">
        <f t="shared" si="4"/>
        <v>5</v>
      </c>
      <c r="B2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6" s="1" t="s">
        <v>783</v>
      </c>
    </row>
    <row r="287" spans="1:7" x14ac:dyDescent="0.35">
      <c r="A287" s="1" t="str">
        <f t="shared" si="4"/>
        <v>5</v>
      </c>
      <c r="B2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7" s="1" t="s">
        <v>784</v>
      </c>
      <c r="D287" s="1" t="s">
        <v>315</v>
      </c>
      <c r="E287" s="1" t="s">
        <v>785</v>
      </c>
      <c r="F287" s="1" t="s">
        <v>112</v>
      </c>
      <c r="G287" s="1">
        <v>1676187</v>
      </c>
    </row>
    <row r="288" spans="1:7" x14ac:dyDescent="0.35">
      <c r="A288" s="1" t="str">
        <f t="shared" si="4"/>
        <v>5</v>
      </c>
      <c r="B2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8" s="1" t="s">
        <v>786</v>
      </c>
      <c r="D288" s="1" t="s">
        <v>787</v>
      </c>
      <c r="E288" s="1" t="s">
        <v>788</v>
      </c>
      <c r="F288" s="1" t="s">
        <v>112</v>
      </c>
      <c r="G288" s="1">
        <v>2749095</v>
      </c>
    </row>
    <row r="289" spans="1:8" x14ac:dyDescent="0.35">
      <c r="A289" s="1" t="str">
        <f t="shared" si="4"/>
        <v>5</v>
      </c>
      <c r="B2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9" s="1" t="s">
        <v>789</v>
      </c>
      <c r="D289" s="1" t="s">
        <v>790</v>
      </c>
      <c r="E289" s="1" t="s">
        <v>791</v>
      </c>
      <c r="F289" s="1" t="s">
        <v>112</v>
      </c>
      <c r="G289" s="1">
        <v>2795015</v>
      </c>
    </row>
    <row r="290" spans="1:8" x14ac:dyDescent="0.35">
      <c r="A290" s="1" t="str">
        <f t="shared" si="4"/>
        <v>5</v>
      </c>
      <c r="B2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90" s="1" t="s">
        <v>792</v>
      </c>
      <c r="D290" s="1" t="s">
        <v>793</v>
      </c>
      <c r="E290" s="1" t="s">
        <v>794</v>
      </c>
      <c r="F290" s="1" t="s">
        <v>112</v>
      </c>
      <c r="G290" s="1">
        <v>3209422</v>
      </c>
    </row>
    <row r="291" spans="1:8" x14ac:dyDescent="0.35">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1" s="1" t="s">
        <v>112</v>
      </c>
    </row>
    <row r="292" spans="1:8" x14ac:dyDescent="0.35">
      <c r="A292" s="1" t="str">
        <f t="shared" si="4"/>
        <v/>
      </c>
      <c r="B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2" s="1" t="s">
        <v>239</v>
      </c>
      <c r="D292" s="1" t="s">
        <v>112</v>
      </c>
      <c r="E292" s="1" t="s">
        <v>240</v>
      </c>
      <c r="F292" s="1" t="s">
        <v>241</v>
      </c>
      <c r="G292" s="1" t="s">
        <v>242</v>
      </c>
      <c r="H292" s="1" t="s">
        <v>243</v>
      </c>
    </row>
    <row r="293" spans="1:8" x14ac:dyDescent="0.35">
      <c r="A293" s="1" t="str">
        <f t="shared" si="4"/>
        <v>5</v>
      </c>
      <c r="B2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93" s="1" t="s">
        <v>795</v>
      </c>
      <c r="D293" s="1" t="s">
        <v>112</v>
      </c>
      <c r="E293" s="1" t="s">
        <v>796</v>
      </c>
      <c r="F293" s="1" t="s">
        <v>797</v>
      </c>
      <c r="G293" s="1" t="s">
        <v>798</v>
      </c>
      <c r="H293" s="1" t="s">
        <v>799</v>
      </c>
    </row>
    <row r="294" spans="1:8" x14ac:dyDescent="0.35">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4" s="1" t="s">
        <v>112</v>
      </c>
    </row>
    <row r="295" spans="1:8" x14ac:dyDescent="0.35">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5" s="1" t="s">
        <v>112</v>
      </c>
    </row>
    <row r="296" spans="1:8" x14ac:dyDescent="0.35">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6" s="1" t="s">
        <v>112</v>
      </c>
    </row>
    <row r="297" spans="1:8" x14ac:dyDescent="0.35">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7" s="1" t="s">
        <v>112</v>
      </c>
    </row>
    <row r="298" spans="1:8" x14ac:dyDescent="0.35">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8" s="1" t="s">
        <v>112</v>
      </c>
    </row>
    <row r="299" spans="1:8" x14ac:dyDescent="0.35">
      <c r="A299" s="1" t="str">
        <f t="shared" si="4"/>
        <v/>
      </c>
      <c r="B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9" s="1" t="s">
        <v>172</v>
      </c>
      <c r="D299" s="1" t="s">
        <v>110</v>
      </c>
      <c r="E299" s="1" t="s">
        <v>111</v>
      </c>
      <c r="F299" s="1" t="s">
        <v>112</v>
      </c>
      <c r="G299" s="1" t="s">
        <v>113</v>
      </c>
    </row>
    <row r="300" spans="1:8" x14ac:dyDescent="0.35">
      <c r="A300" s="1" t="str">
        <f t="shared" si="4"/>
        <v>6</v>
      </c>
      <c r="B3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0" s="1" t="s">
        <v>800</v>
      </c>
      <c r="D300" s="1" t="s">
        <v>801</v>
      </c>
      <c r="E300" s="1" t="s">
        <v>802</v>
      </c>
      <c r="F300" s="1" t="s">
        <v>112</v>
      </c>
      <c r="G300" s="1">
        <v>361392</v>
      </c>
    </row>
    <row r="301" spans="1:8" x14ac:dyDescent="0.35">
      <c r="A301" s="1" t="str">
        <f t="shared" si="4"/>
        <v>6</v>
      </c>
      <c r="B3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1" s="1" t="s">
        <v>803</v>
      </c>
      <c r="D301" s="1" t="s">
        <v>804</v>
      </c>
      <c r="E301" s="1" t="s">
        <v>805</v>
      </c>
      <c r="F301" s="1" t="s">
        <v>112</v>
      </c>
      <c r="G301" s="1">
        <v>538628</v>
      </c>
    </row>
    <row r="302" spans="1:8" x14ac:dyDescent="0.35">
      <c r="A302" s="1" t="str">
        <f t="shared" si="4"/>
        <v>6</v>
      </c>
      <c r="B3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2" s="1" t="s">
        <v>806</v>
      </c>
    </row>
    <row r="303" spans="1:8" x14ac:dyDescent="0.35">
      <c r="A303" s="1" t="str">
        <f t="shared" si="4"/>
        <v>6</v>
      </c>
      <c r="B3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3" s="1" t="s">
        <v>807</v>
      </c>
      <c r="D303" s="1" t="s">
        <v>808</v>
      </c>
      <c r="E303" s="1" t="s">
        <v>809</v>
      </c>
      <c r="F303" s="1" t="s">
        <v>112</v>
      </c>
      <c r="G303" s="1">
        <v>875275</v>
      </c>
    </row>
    <row r="304" spans="1:8" x14ac:dyDescent="0.35">
      <c r="A304" s="1" t="str">
        <f t="shared" si="4"/>
        <v>6</v>
      </c>
      <c r="B3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4" s="1" t="s">
        <v>810</v>
      </c>
      <c r="D304" s="1" t="s">
        <v>811</v>
      </c>
      <c r="E304" s="1" t="s">
        <v>812</v>
      </c>
      <c r="F304" s="1" t="s">
        <v>112</v>
      </c>
      <c r="G304" s="1">
        <v>929934</v>
      </c>
    </row>
    <row r="305" spans="1:7" x14ac:dyDescent="0.35">
      <c r="A305" s="1" t="str">
        <f t="shared" si="4"/>
        <v>6</v>
      </c>
      <c r="B3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5" s="1" t="s">
        <v>813</v>
      </c>
      <c r="D305" s="1" t="s">
        <v>814</v>
      </c>
      <c r="E305" s="1" t="s">
        <v>815</v>
      </c>
      <c r="F305" s="1" t="s">
        <v>112</v>
      </c>
      <c r="G305" s="1">
        <v>875751</v>
      </c>
    </row>
    <row r="306" spans="1:7" x14ac:dyDescent="0.35">
      <c r="A306" s="1" t="str">
        <f t="shared" si="4"/>
        <v>6</v>
      </c>
      <c r="B3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6" s="1" t="s">
        <v>816</v>
      </c>
      <c r="D306" s="1" t="s">
        <v>817</v>
      </c>
      <c r="E306" s="1" t="s">
        <v>818</v>
      </c>
      <c r="F306" s="1" t="s">
        <v>112</v>
      </c>
      <c r="G306" s="1">
        <v>2970022</v>
      </c>
    </row>
    <row r="307" spans="1:7" x14ac:dyDescent="0.35">
      <c r="A307" s="1" t="str">
        <f t="shared" si="4"/>
        <v>6</v>
      </c>
      <c r="B3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7" s="1" t="s">
        <v>819</v>
      </c>
      <c r="D307" s="1" t="s">
        <v>820</v>
      </c>
      <c r="E307" s="1" t="s">
        <v>821</v>
      </c>
      <c r="F307" s="1" t="s">
        <v>112</v>
      </c>
      <c r="G307" s="1">
        <v>2663419</v>
      </c>
    </row>
    <row r="308" spans="1:7" x14ac:dyDescent="0.35">
      <c r="A308" s="1" t="str">
        <f t="shared" si="4"/>
        <v>6</v>
      </c>
      <c r="B3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8" s="1" t="s">
        <v>822</v>
      </c>
      <c r="D308" s="1" t="s">
        <v>823</v>
      </c>
      <c r="E308" s="1" t="s">
        <v>824</v>
      </c>
      <c r="F308" s="1" t="s">
        <v>112</v>
      </c>
      <c r="G308" s="1">
        <v>3065583</v>
      </c>
    </row>
    <row r="309" spans="1:7" x14ac:dyDescent="0.35">
      <c r="A309" s="1" t="str">
        <f t="shared" si="4"/>
        <v>6</v>
      </c>
      <c r="B3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9" s="1" t="s">
        <v>825</v>
      </c>
      <c r="D309" s="1" t="s">
        <v>826</v>
      </c>
      <c r="E309" s="1" t="s">
        <v>827</v>
      </c>
      <c r="F309" s="1" t="s">
        <v>112</v>
      </c>
      <c r="G309" s="1">
        <v>2751214</v>
      </c>
    </row>
    <row r="310" spans="1:7" x14ac:dyDescent="0.35">
      <c r="A310" s="1" t="str">
        <f t="shared" si="4"/>
        <v>6</v>
      </c>
      <c r="B3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10" s="1" t="s">
        <v>828</v>
      </c>
      <c r="D310" s="1" t="s">
        <v>829</v>
      </c>
      <c r="E310" s="1" t="s">
        <v>830</v>
      </c>
      <c r="F310" s="1" t="s">
        <v>112</v>
      </c>
      <c r="G310" s="1">
        <v>2548521</v>
      </c>
    </row>
    <row r="311" spans="1:7" x14ac:dyDescent="0.35">
      <c r="A311" s="1" t="str">
        <f t="shared" si="4"/>
        <v>6</v>
      </c>
      <c r="B3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11" s="1" t="s">
        <v>831</v>
      </c>
      <c r="D311" s="1" t="s">
        <v>832</v>
      </c>
      <c r="E311" s="1" t="s">
        <v>833</v>
      </c>
      <c r="F311" s="1" t="s">
        <v>112</v>
      </c>
      <c r="G311" s="1">
        <v>2302286</v>
      </c>
    </row>
    <row r="312" spans="1:7" x14ac:dyDescent="0.35">
      <c r="A312" s="1" t="str">
        <f t="shared" si="4"/>
        <v>6</v>
      </c>
      <c r="B3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2" s="1" t="s">
        <v>834</v>
      </c>
    </row>
    <row r="313" spans="1:7" x14ac:dyDescent="0.35">
      <c r="A313" s="1" t="str">
        <f t="shared" si="4"/>
        <v>6</v>
      </c>
      <c r="B3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3" s="1" t="s">
        <v>835</v>
      </c>
      <c r="D313" s="1" t="s">
        <v>836</v>
      </c>
      <c r="E313" s="1" t="s">
        <v>837</v>
      </c>
      <c r="F313" s="1" t="s">
        <v>112</v>
      </c>
      <c r="G313" s="1">
        <v>3068482</v>
      </c>
    </row>
    <row r="314" spans="1:7" x14ac:dyDescent="0.35">
      <c r="A314" s="1" t="str">
        <f t="shared" si="4"/>
        <v>6</v>
      </c>
      <c r="B3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4" s="1" t="s">
        <v>838</v>
      </c>
    </row>
    <row r="315" spans="1:7" x14ac:dyDescent="0.35">
      <c r="A315" s="1" t="str">
        <f t="shared" si="4"/>
        <v>6</v>
      </c>
      <c r="B3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5" s="1" t="s">
        <v>839</v>
      </c>
      <c r="D315" s="1" t="s">
        <v>840</v>
      </c>
      <c r="E315" s="1" t="s">
        <v>841</v>
      </c>
      <c r="F315" s="1" t="s">
        <v>112</v>
      </c>
      <c r="G315" s="1">
        <v>3094156</v>
      </c>
    </row>
    <row r="316" spans="1:7" x14ac:dyDescent="0.35">
      <c r="A316" s="1" t="str">
        <f t="shared" si="4"/>
        <v>6</v>
      </c>
      <c r="B3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6" s="1" t="s">
        <v>842</v>
      </c>
      <c r="D316" s="1" t="s">
        <v>843</v>
      </c>
      <c r="E316" s="1" t="s">
        <v>844</v>
      </c>
      <c r="F316" s="1" t="s">
        <v>112</v>
      </c>
      <c r="G316" s="1">
        <v>3035864</v>
      </c>
    </row>
    <row r="317" spans="1:7" x14ac:dyDescent="0.35">
      <c r="A317" s="1" t="str">
        <f t="shared" si="4"/>
        <v>6</v>
      </c>
      <c r="B3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7" s="1" t="s">
        <v>845</v>
      </c>
      <c r="D317" s="1" t="s">
        <v>846</v>
      </c>
      <c r="E317" s="1" t="s">
        <v>847</v>
      </c>
      <c r="F317" s="1" t="s">
        <v>112</v>
      </c>
      <c r="G317" s="1">
        <v>3426348</v>
      </c>
    </row>
    <row r="318" spans="1:7" x14ac:dyDescent="0.35">
      <c r="A318" s="1" t="str">
        <f t="shared" si="4"/>
        <v>6</v>
      </c>
      <c r="B3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8" s="1" t="s">
        <v>848</v>
      </c>
      <c r="D318" s="1" t="s">
        <v>849</v>
      </c>
      <c r="E318" s="1" t="s">
        <v>850</v>
      </c>
      <c r="F318" s="1" t="s">
        <v>112</v>
      </c>
      <c r="G318" s="1">
        <v>2857114</v>
      </c>
    </row>
    <row r="319" spans="1:7" x14ac:dyDescent="0.35">
      <c r="A319" s="1" t="str">
        <f t="shared" si="4"/>
        <v>6</v>
      </c>
      <c r="B3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9" s="1" t="s">
        <v>851</v>
      </c>
      <c r="D319" s="1" t="s">
        <v>852</v>
      </c>
      <c r="E319" s="1" t="s">
        <v>853</v>
      </c>
      <c r="F319" s="1" t="s">
        <v>112</v>
      </c>
      <c r="G319" s="1">
        <v>3232112</v>
      </c>
    </row>
    <row r="320" spans="1:7" x14ac:dyDescent="0.35">
      <c r="A320" s="1" t="str">
        <f t="shared" si="4"/>
        <v>6</v>
      </c>
      <c r="B3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20" s="1" t="s">
        <v>854</v>
      </c>
      <c r="D320" s="1" t="s">
        <v>855</v>
      </c>
      <c r="E320" s="1" t="s">
        <v>856</v>
      </c>
      <c r="F320" s="1" t="s">
        <v>112</v>
      </c>
      <c r="G320" s="1">
        <v>2726167</v>
      </c>
    </row>
    <row r="321" spans="1:8" x14ac:dyDescent="0.35">
      <c r="A321" s="1" t="str">
        <f t="shared" si="4"/>
        <v>6</v>
      </c>
      <c r="B3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1" s="1" t="s">
        <v>857</v>
      </c>
      <c r="D321" s="1" t="s">
        <v>858</v>
      </c>
      <c r="E321" s="1" t="s">
        <v>859</v>
      </c>
      <c r="F321" s="1" t="s">
        <v>112</v>
      </c>
      <c r="G321" s="1">
        <v>1870899</v>
      </c>
    </row>
    <row r="322" spans="1:8" x14ac:dyDescent="0.35">
      <c r="A322" s="1" t="str">
        <f t="shared" ref="A322:A385" si="5">IFERROR(LEFT(RIGHT(C322,LEN(C322)-SEARCH("@",C322)),SEARCH("/",RIGHT(C322,LEN(C322)-SEARCH("@",C322)-1))),"")</f>
        <v>6</v>
      </c>
      <c r="B3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2" s="1" t="s">
        <v>860</v>
      </c>
      <c r="D322" s="1" t="s">
        <v>861</v>
      </c>
      <c r="E322" s="1" t="s">
        <v>862</v>
      </c>
      <c r="F322" s="1" t="s">
        <v>112</v>
      </c>
      <c r="G322" s="1">
        <v>1988955</v>
      </c>
    </row>
    <row r="323" spans="1:8" x14ac:dyDescent="0.35">
      <c r="A323" s="1" t="str">
        <f t="shared" si="5"/>
        <v>6</v>
      </c>
      <c r="B3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3" s="1" t="s">
        <v>863</v>
      </c>
      <c r="D323" s="1" t="s">
        <v>864</v>
      </c>
      <c r="E323" s="1" t="s">
        <v>865</v>
      </c>
      <c r="F323" s="1" t="s">
        <v>112</v>
      </c>
      <c r="G323" s="1">
        <v>2419109</v>
      </c>
    </row>
    <row r="324" spans="1:8" x14ac:dyDescent="0.35">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4" s="1" t="s">
        <v>112</v>
      </c>
    </row>
    <row r="325" spans="1:8" x14ac:dyDescent="0.35">
      <c r="A325" s="1" t="str">
        <f t="shared" si="5"/>
        <v/>
      </c>
      <c r="B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5" s="1" t="s">
        <v>239</v>
      </c>
      <c r="D325" s="1" t="s">
        <v>112</v>
      </c>
      <c r="E325" s="1" t="s">
        <v>240</v>
      </c>
      <c r="F325" s="1" t="s">
        <v>241</v>
      </c>
      <c r="G325" s="1" t="s">
        <v>242</v>
      </c>
      <c r="H325" s="1" t="s">
        <v>243</v>
      </c>
    </row>
    <row r="326" spans="1:8" x14ac:dyDescent="0.35">
      <c r="A326" s="1" t="str">
        <f t="shared" si="5"/>
        <v>6</v>
      </c>
      <c r="B3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26" s="1" t="s">
        <v>866</v>
      </c>
      <c r="D326" s="1" t="s">
        <v>112</v>
      </c>
      <c r="E326" s="1" t="s">
        <v>867</v>
      </c>
      <c r="F326" s="1" t="s">
        <v>868</v>
      </c>
      <c r="G326" s="1" t="s">
        <v>869</v>
      </c>
      <c r="H326" s="1" t="s">
        <v>870</v>
      </c>
    </row>
    <row r="327" spans="1:8" x14ac:dyDescent="0.35">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7" s="1" t="s">
        <v>112</v>
      </c>
    </row>
    <row r="328" spans="1:8" x14ac:dyDescent="0.35">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8" s="1" t="s">
        <v>112</v>
      </c>
    </row>
    <row r="329" spans="1:8" x14ac:dyDescent="0.35">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9" s="1" t="s">
        <v>112</v>
      </c>
    </row>
    <row r="330" spans="1:8" x14ac:dyDescent="0.35">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0" s="1" t="s">
        <v>112</v>
      </c>
    </row>
    <row r="331" spans="1:8" x14ac:dyDescent="0.35">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1" s="1" t="s">
        <v>112</v>
      </c>
    </row>
    <row r="332" spans="1:8" x14ac:dyDescent="0.35">
      <c r="A332" s="1" t="str">
        <f t="shared" si="5"/>
        <v/>
      </c>
      <c r="B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2" s="1" t="s">
        <v>172</v>
      </c>
      <c r="D332" s="1" t="s">
        <v>110</v>
      </c>
      <c r="E332" s="1" t="s">
        <v>111</v>
      </c>
      <c r="F332" s="1" t="s">
        <v>112</v>
      </c>
      <c r="G332" s="1" t="s">
        <v>113</v>
      </c>
    </row>
    <row r="333" spans="1:8" x14ac:dyDescent="0.35">
      <c r="A333" s="1" t="str">
        <f t="shared" si="5"/>
        <v>7</v>
      </c>
      <c r="B3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3" s="1" t="s">
        <v>871</v>
      </c>
      <c r="D333" s="1" t="s">
        <v>309</v>
      </c>
      <c r="E333" s="1" t="s">
        <v>872</v>
      </c>
      <c r="F333" s="1" t="s">
        <v>112</v>
      </c>
      <c r="G333" s="1">
        <v>2343988</v>
      </c>
    </row>
    <row r="334" spans="1:8" x14ac:dyDescent="0.35">
      <c r="A334" s="1" t="str">
        <f t="shared" si="5"/>
        <v>7</v>
      </c>
      <c r="B3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4" s="1" t="s">
        <v>873</v>
      </c>
      <c r="D334" s="1" t="s">
        <v>874</v>
      </c>
      <c r="E334" s="1" t="s">
        <v>875</v>
      </c>
      <c r="F334" s="1" t="s">
        <v>112</v>
      </c>
      <c r="G334" s="1">
        <v>2846602</v>
      </c>
    </row>
    <row r="335" spans="1:8" x14ac:dyDescent="0.35">
      <c r="A335" s="1" t="str">
        <f t="shared" si="5"/>
        <v>7</v>
      </c>
      <c r="B3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5" s="1" t="s">
        <v>876</v>
      </c>
      <c r="D335" s="1" t="s">
        <v>877</v>
      </c>
      <c r="E335" s="1" t="s">
        <v>878</v>
      </c>
      <c r="F335" s="1" t="s">
        <v>112</v>
      </c>
      <c r="G335" s="1">
        <v>2488649</v>
      </c>
    </row>
    <row r="336" spans="1:8" x14ac:dyDescent="0.35">
      <c r="A336" s="1" t="str">
        <f t="shared" si="5"/>
        <v>7</v>
      </c>
      <c r="B3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6" s="1" t="s">
        <v>879</v>
      </c>
      <c r="D336" s="1" t="s">
        <v>880</v>
      </c>
      <c r="E336" s="1" t="s">
        <v>881</v>
      </c>
      <c r="F336" s="1" t="s">
        <v>112</v>
      </c>
      <c r="G336" s="1">
        <v>2603179</v>
      </c>
    </row>
    <row r="337" spans="1:7" x14ac:dyDescent="0.35">
      <c r="A337" s="1" t="str">
        <f t="shared" si="5"/>
        <v>7</v>
      </c>
      <c r="B3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7" s="1" t="s">
        <v>882</v>
      </c>
      <c r="D337" s="1" t="s">
        <v>883</v>
      </c>
      <c r="E337" s="1" t="s">
        <v>884</v>
      </c>
      <c r="F337" s="1" t="s">
        <v>112</v>
      </c>
      <c r="G337" s="1">
        <v>2960202</v>
      </c>
    </row>
    <row r="338" spans="1:7" x14ac:dyDescent="0.35">
      <c r="A338" s="1" t="str">
        <f t="shared" si="5"/>
        <v>7</v>
      </c>
      <c r="B3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8" s="1" t="s">
        <v>885</v>
      </c>
      <c r="D338" s="1" t="s">
        <v>886</v>
      </c>
      <c r="E338" s="1" t="s">
        <v>887</v>
      </c>
      <c r="F338" s="1" t="s">
        <v>112</v>
      </c>
      <c r="G338" s="1">
        <v>3217728</v>
      </c>
    </row>
    <row r="339" spans="1:7" x14ac:dyDescent="0.35">
      <c r="A339" s="1" t="str">
        <f t="shared" si="5"/>
        <v>7</v>
      </c>
      <c r="B3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9" s="1" t="s">
        <v>888</v>
      </c>
      <c r="D339" s="1" t="s">
        <v>889</v>
      </c>
      <c r="E339" s="1" t="s">
        <v>890</v>
      </c>
      <c r="F339" s="1" t="s">
        <v>112</v>
      </c>
      <c r="G339" s="1">
        <v>2332092</v>
      </c>
    </row>
    <row r="340" spans="1:7" x14ac:dyDescent="0.35">
      <c r="A340" s="1" t="str">
        <f t="shared" si="5"/>
        <v>7</v>
      </c>
      <c r="B3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0" s="1" t="s">
        <v>891</v>
      </c>
      <c r="D340" s="1" t="s">
        <v>892</v>
      </c>
      <c r="E340" s="1" t="s">
        <v>893</v>
      </c>
      <c r="F340" s="1" t="s">
        <v>112</v>
      </c>
      <c r="G340" s="1">
        <v>2743709</v>
      </c>
    </row>
    <row r="341" spans="1:7" x14ac:dyDescent="0.35">
      <c r="A341" s="1" t="str">
        <f t="shared" si="5"/>
        <v>7</v>
      </c>
      <c r="B3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1" s="1" t="s">
        <v>894</v>
      </c>
      <c r="D341" s="1" t="s">
        <v>895</v>
      </c>
      <c r="E341" s="1" t="s">
        <v>896</v>
      </c>
      <c r="F341" s="1" t="s">
        <v>112</v>
      </c>
      <c r="G341" s="1">
        <v>2548413</v>
      </c>
    </row>
    <row r="342" spans="1:7" x14ac:dyDescent="0.35">
      <c r="A342" s="1" t="str">
        <f t="shared" si="5"/>
        <v>7</v>
      </c>
      <c r="B3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2" s="1" t="s">
        <v>897</v>
      </c>
      <c r="D342" s="1" t="s">
        <v>898</v>
      </c>
      <c r="E342" s="1" t="s">
        <v>899</v>
      </c>
      <c r="F342" s="1" t="s">
        <v>112</v>
      </c>
      <c r="G342" s="1">
        <v>3505233</v>
      </c>
    </row>
    <row r="343" spans="1:7" x14ac:dyDescent="0.35">
      <c r="A343" s="1" t="str">
        <f t="shared" si="5"/>
        <v>7</v>
      </c>
      <c r="B3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3" s="1" t="s">
        <v>900</v>
      </c>
      <c r="D343" s="1" t="s">
        <v>901</v>
      </c>
      <c r="E343" s="1" t="s">
        <v>902</v>
      </c>
      <c r="F343" s="1" t="s">
        <v>112</v>
      </c>
      <c r="G343" s="1">
        <v>3726723</v>
      </c>
    </row>
    <row r="344" spans="1:7" x14ac:dyDescent="0.35">
      <c r="A344" s="1" t="str">
        <f t="shared" si="5"/>
        <v>7</v>
      </c>
      <c r="B3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4" s="1" t="s">
        <v>903</v>
      </c>
      <c r="D344" s="1" t="s">
        <v>904</v>
      </c>
      <c r="E344" s="1" t="s">
        <v>905</v>
      </c>
      <c r="F344" s="1" t="s">
        <v>112</v>
      </c>
      <c r="G344" s="1">
        <v>3854512</v>
      </c>
    </row>
    <row r="345" spans="1:7" x14ac:dyDescent="0.35">
      <c r="A345" s="1" t="str">
        <f t="shared" si="5"/>
        <v>7</v>
      </c>
      <c r="B3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5" s="1" t="s">
        <v>906</v>
      </c>
      <c r="D345" s="1" t="s">
        <v>907</v>
      </c>
      <c r="E345" s="1" t="s">
        <v>908</v>
      </c>
      <c r="F345" s="1" t="s">
        <v>112</v>
      </c>
      <c r="G345" s="1">
        <v>4406053</v>
      </c>
    </row>
    <row r="346" spans="1:7" x14ac:dyDescent="0.35">
      <c r="A346" s="1" t="str">
        <f t="shared" si="5"/>
        <v>7</v>
      </c>
      <c r="B3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6" s="1" t="s">
        <v>909</v>
      </c>
      <c r="D346" s="1" t="s">
        <v>910</v>
      </c>
      <c r="E346" s="1" t="s">
        <v>911</v>
      </c>
      <c r="F346" s="1" t="s">
        <v>112</v>
      </c>
      <c r="G346" s="1">
        <v>5041842</v>
      </c>
    </row>
    <row r="347" spans="1:7" x14ac:dyDescent="0.35">
      <c r="A347" s="1" t="str">
        <f t="shared" si="5"/>
        <v>7</v>
      </c>
      <c r="B3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7" s="1" t="s">
        <v>912</v>
      </c>
      <c r="D347" s="1" t="s">
        <v>913</v>
      </c>
      <c r="E347" s="1" t="s">
        <v>914</v>
      </c>
      <c r="F347" s="1" t="s">
        <v>112</v>
      </c>
      <c r="G347" s="1">
        <v>4665049</v>
      </c>
    </row>
    <row r="348" spans="1:7" x14ac:dyDescent="0.35">
      <c r="A348" s="1" t="str">
        <f t="shared" si="5"/>
        <v>7</v>
      </c>
      <c r="B3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8" s="1" t="s">
        <v>915</v>
      </c>
      <c r="D348" s="1" t="s">
        <v>916</v>
      </c>
      <c r="E348" s="1" t="s">
        <v>917</v>
      </c>
      <c r="F348" s="1" t="s">
        <v>112</v>
      </c>
      <c r="G348" s="1">
        <v>2483220</v>
      </c>
    </row>
    <row r="349" spans="1:7" x14ac:dyDescent="0.35">
      <c r="A349" s="1" t="str">
        <f t="shared" si="5"/>
        <v>7</v>
      </c>
      <c r="B3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9" s="1" t="s">
        <v>918</v>
      </c>
      <c r="D349" s="1" t="s">
        <v>919</v>
      </c>
      <c r="E349" s="1" t="s">
        <v>920</v>
      </c>
      <c r="F349" s="1" t="s">
        <v>112</v>
      </c>
      <c r="G349" s="1">
        <v>2797135</v>
      </c>
    </row>
    <row r="350" spans="1:7" x14ac:dyDescent="0.35">
      <c r="A350" s="1" t="str">
        <f t="shared" si="5"/>
        <v>7</v>
      </c>
      <c r="B3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50" s="1" t="s">
        <v>921</v>
      </c>
      <c r="D350" s="1" t="s">
        <v>922</v>
      </c>
      <c r="E350" s="1" t="s">
        <v>923</v>
      </c>
      <c r="F350" s="1" t="s">
        <v>112</v>
      </c>
      <c r="G350" s="1">
        <v>2872234</v>
      </c>
    </row>
    <row r="351" spans="1:7" x14ac:dyDescent="0.35">
      <c r="A351" s="1" t="str">
        <f t="shared" si="5"/>
        <v>7</v>
      </c>
      <c r="B3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1" s="1" t="s">
        <v>924</v>
      </c>
      <c r="D351" s="1" t="s">
        <v>925</v>
      </c>
      <c r="E351" s="1" t="s">
        <v>926</v>
      </c>
      <c r="F351" s="1" t="s">
        <v>112</v>
      </c>
      <c r="G351" s="1">
        <v>3972763</v>
      </c>
    </row>
    <row r="352" spans="1:7" x14ac:dyDescent="0.35">
      <c r="A352" s="1" t="str">
        <f t="shared" si="5"/>
        <v>7</v>
      </c>
      <c r="B3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2" s="1" t="s">
        <v>927</v>
      </c>
      <c r="D352" s="1" t="s">
        <v>928</v>
      </c>
      <c r="E352" s="1" t="s">
        <v>929</v>
      </c>
      <c r="F352" s="1" t="s">
        <v>112</v>
      </c>
      <c r="G352" s="1">
        <v>4060623</v>
      </c>
    </row>
    <row r="353" spans="1:8" x14ac:dyDescent="0.35">
      <c r="A353" s="1" t="str">
        <f t="shared" si="5"/>
        <v>7</v>
      </c>
      <c r="B3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3" s="1" t="s">
        <v>930</v>
      </c>
      <c r="D353" s="1" t="s">
        <v>931</v>
      </c>
      <c r="E353" s="1" t="s">
        <v>932</v>
      </c>
      <c r="F353" s="1" t="s">
        <v>112</v>
      </c>
      <c r="G353" s="1">
        <v>4877995</v>
      </c>
    </row>
    <row r="354" spans="1:8" x14ac:dyDescent="0.35">
      <c r="A354" s="1" t="str">
        <f t="shared" si="5"/>
        <v>7</v>
      </c>
      <c r="B3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4" s="1" t="s">
        <v>933</v>
      </c>
      <c r="D354" s="1" t="s">
        <v>934</v>
      </c>
      <c r="E354" s="1" t="s">
        <v>935</v>
      </c>
      <c r="F354" s="1" t="s">
        <v>112</v>
      </c>
      <c r="G354" s="1">
        <v>3952474</v>
      </c>
    </row>
    <row r="355" spans="1:8" x14ac:dyDescent="0.35">
      <c r="A355" s="1" t="str">
        <f t="shared" si="5"/>
        <v>7</v>
      </c>
      <c r="B3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5" s="1" t="s">
        <v>936</v>
      </c>
      <c r="D355" s="1" t="s">
        <v>937</v>
      </c>
      <c r="E355" s="1" t="s">
        <v>938</v>
      </c>
      <c r="F355" s="1" t="s">
        <v>112</v>
      </c>
      <c r="G355" s="1">
        <v>3651343</v>
      </c>
    </row>
    <row r="356" spans="1:8" x14ac:dyDescent="0.35">
      <c r="A356" s="1" t="str">
        <f t="shared" si="5"/>
        <v>7</v>
      </c>
      <c r="B3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6" s="1" t="s">
        <v>939</v>
      </c>
      <c r="D356" s="1" t="s">
        <v>940</v>
      </c>
      <c r="E356" s="1" t="s">
        <v>941</v>
      </c>
      <c r="F356" s="1" t="s">
        <v>112</v>
      </c>
      <c r="G356" s="1">
        <v>4125708</v>
      </c>
    </row>
    <row r="357" spans="1:8" x14ac:dyDescent="0.35">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7" s="1" t="s">
        <v>112</v>
      </c>
    </row>
    <row r="358" spans="1:8" x14ac:dyDescent="0.35">
      <c r="A358" s="1" t="str">
        <f t="shared" si="5"/>
        <v/>
      </c>
      <c r="B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8" s="1" t="s">
        <v>239</v>
      </c>
      <c r="D358" s="1" t="s">
        <v>112</v>
      </c>
      <c r="E358" s="1" t="s">
        <v>240</v>
      </c>
      <c r="F358" s="1" t="s">
        <v>241</v>
      </c>
      <c r="G358" s="1" t="s">
        <v>242</v>
      </c>
      <c r="H358" s="1" t="s">
        <v>243</v>
      </c>
    </row>
    <row r="359" spans="1:8" x14ac:dyDescent="0.35">
      <c r="A359" s="1" t="str">
        <f t="shared" si="5"/>
        <v>7</v>
      </c>
      <c r="B3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59" s="1" t="s">
        <v>942</v>
      </c>
      <c r="D359" s="1" t="s">
        <v>112</v>
      </c>
      <c r="E359" s="1" t="s">
        <v>943</v>
      </c>
      <c r="F359" s="1" t="s">
        <v>944</v>
      </c>
      <c r="G359" s="1" t="s">
        <v>945</v>
      </c>
      <c r="H359" s="1" t="s">
        <v>946</v>
      </c>
    </row>
    <row r="360" spans="1:8" x14ac:dyDescent="0.35">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0" s="1" t="s">
        <v>112</v>
      </c>
    </row>
    <row r="361" spans="1:8" x14ac:dyDescent="0.35">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1" s="1" t="s">
        <v>112</v>
      </c>
    </row>
    <row r="362" spans="1:8" x14ac:dyDescent="0.35">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2" s="1" t="s">
        <v>112</v>
      </c>
    </row>
    <row r="363" spans="1:8" x14ac:dyDescent="0.35">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3" s="1" t="s">
        <v>112</v>
      </c>
    </row>
    <row r="364" spans="1:8" x14ac:dyDescent="0.35">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4" s="1" t="s">
        <v>112</v>
      </c>
    </row>
    <row r="365" spans="1:8" x14ac:dyDescent="0.35">
      <c r="A365" s="1" t="str">
        <f t="shared" si="5"/>
        <v/>
      </c>
      <c r="B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5" s="1" t="s">
        <v>172</v>
      </c>
      <c r="D365" s="1" t="s">
        <v>110</v>
      </c>
      <c r="E365" s="1" t="s">
        <v>111</v>
      </c>
      <c r="F365" s="1" t="s">
        <v>112</v>
      </c>
      <c r="G365" s="1" t="s">
        <v>113</v>
      </c>
    </row>
    <row r="366" spans="1:8" x14ac:dyDescent="0.35">
      <c r="A366" s="1" t="str">
        <f t="shared" si="5"/>
        <v>10</v>
      </c>
      <c r="B3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6" s="1" t="s">
        <v>947</v>
      </c>
      <c r="D366" s="1">
        <v>0</v>
      </c>
      <c r="E366" s="1">
        <v>0</v>
      </c>
      <c r="F366" s="1" t="s">
        <v>112</v>
      </c>
      <c r="G366" s="1">
        <v>0</v>
      </c>
    </row>
    <row r="367" spans="1:8" x14ac:dyDescent="0.35">
      <c r="A367" s="1" t="str">
        <f t="shared" si="5"/>
        <v>10</v>
      </c>
      <c r="B3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7" s="1" t="s">
        <v>948</v>
      </c>
      <c r="D367" s="1" t="s">
        <v>204</v>
      </c>
      <c r="E367" s="1" t="s">
        <v>949</v>
      </c>
      <c r="F367" s="1" t="s">
        <v>112</v>
      </c>
      <c r="G367" s="1">
        <v>223372</v>
      </c>
    </row>
    <row r="368" spans="1:8" x14ac:dyDescent="0.35">
      <c r="A368" s="1" t="str">
        <f t="shared" si="5"/>
        <v>10</v>
      </c>
      <c r="B3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8" s="1" t="s">
        <v>950</v>
      </c>
      <c r="D368" s="1" t="s">
        <v>951</v>
      </c>
      <c r="E368" s="1" t="s">
        <v>952</v>
      </c>
      <c r="F368" s="1" t="s">
        <v>112</v>
      </c>
      <c r="G368" s="1">
        <v>182124</v>
      </c>
    </row>
    <row r="369" spans="1:7" x14ac:dyDescent="0.35">
      <c r="A369" s="1" t="str">
        <f t="shared" si="5"/>
        <v>10</v>
      </c>
      <c r="B3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9" s="1" t="s">
        <v>953</v>
      </c>
      <c r="D369" s="1" t="s">
        <v>180</v>
      </c>
      <c r="E369" s="1" t="s">
        <v>954</v>
      </c>
      <c r="F369" s="1" t="s">
        <v>112</v>
      </c>
      <c r="G369" s="1">
        <v>251166</v>
      </c>
    </row>
    <row r="370" spans="1:7" x14ac:dyDescent="0.35">
      <c r="A370" s="1" t="str">
        <f t="shared" si="5"/>
        <v>10</v>
      </c>
      <c r="B3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0" s="1" t="s">
        <v>955</v>
      </c>
      <c r="D370" s="1" t="s">
        <v>956</v>
      </c>
      <c r="E370" s="1" t="s">
        <v>957</v>
      </c>
      <c r="F370" s="1" t="s">
        <v>112</v>
      </c>
      <c r="G370" s="1">
        <v>197092</v>
      </c>
    </row>
    <row r="371" spans="1:7" x14ac:dyDescent="0.35">
      <c r="A371" s="1" t="str">
        <f t="shared" si="5"/>
        <v>10</v>
      </c>
      <c r="B3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1" s="1" t="s">
        <v>958</v>
      </c>
      <c r="D371" s="1" t="s">
        <v>959</v>
      </c>
      <c r="E371" s="1" t="s">
        <v>960</v>
      </c>
      <c r="F371" s="1" t="s">
        <v>112</v>
      </c>
      <c r="G371" s="1">
        <v>318262</v>
      </c>
    </row>
    <row r="372" spans="1:7" x14ac:dyDescent="0.35">
      <c r="A372" s="1" t="str">
        <f t="shared" si="5"/>
        <v>10</v>
      </c>
      <c r="B3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2" s="1" t="s">
        <v>961</v>
      </c>
      <c r="D372" s="1" t="s">
        <v>476</v>
      </c>
      <c r="E372" s="1" t="s">
        <v>962</v>
      </c>
      <c r="F372" s="1" t="s">
        <v>112</v>
      </c>
      <c r="G372" s="1">
        <v>209031</v>
      </c>
    </row>
    <row r="373" spans="1:7" x14ac:dyDescent="0.35">
      <c r="A373" s="1" t="str">
        <f t="shared" si="5"/>
        <v>10</v>
      </c>
      <c r="B3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3" s="1" t="s">
        <v>963</v>
      </c>
      <c r="D373" s="1" t="s">
        <v>964</v>
      </c>
      <c r="E373" s="1" t="s">
        <v>965</v>
      </c>
      <c r="F373" s="1" t="s">
        <v>112</v>
      </c>
      <c r="G373" s="1">
        <v>119267</v>
      </c>
    </row>
    <row r="374" spans="1:7" x14ac:dyDescent="0.35">
      <c r="A374" s="1" t="str">
        <f t="shared" si="5"/>
        <v>10</v>
      </c>
      <c r="B3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4" s="1" t="s">
        <v>966</v>
      </c>
      <c r="D374" s="1" t="s">
        <v>967</v>
      </c>
      <c r="E374" s="1" t="s">
        <v>968</v>
      </c>
      <c r="F374" s="1" t="s">
        <v>112</v>
      </c>
      <c r="G374" s="1">
        <v>140227</v>
      </c>
    </row>
    <row r="375" spans="1:7" x14ac:dyDescent="0.35">
      <c r="A375" s="1" t="str">
        <f t="shared" si="5"/>
        <v>10</v>
      </c>
      <c r="B3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5" s="1" t="s">
        <v>969</v>
      </c>
      <c r="D375" s="1" t="s">
        <v>590</v>
      </c>
      <c r="E375" s="1" t="s">
        <v>970</v>
      </c>
      <c r="F375" s="1" t="s">
        <v>112</v>
      </c>
      <c r="G375" s="1">
        <v>153269</v>
      </c>
    </row>
    <row r="376" spans="1:7" x14ac:dyDescent="0.35">
      <c r="A376" s="1" t="str">
        <f t="shared" si="5"/>
        <v>10</v>
      </c>
      <c r="B3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6" s="1" t="s">
        <v>971</v>
      </c>
      <c r="D376" s="1" t="s">
        <v>256</v>
      </c>
      <c r="E376" s="1" t="s">
        <v>972</v>
      </c>
      <c r="F376" s="1" t="s">
        <v>112</v>
      </c>
      <c r="G376" s="1">
        <v>55459</v>
      </c>
    </row>
    <row r="377" spans="1:7" x14ac:dyDescent="0.35">
      <c r="A377" s="1" t="str">
        <f t="shared" si="5"/>
        <v>10</v>
      </c>
      <c r="B3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7" s="1" t="s">
        <v>973</v>
      </c>
      <c r="D377" s="1" t="s">
        <v>974</v>
      </c>
      <c r="E377" s="1" t="s">
        <v>975</v>
      </c>
      <c r="F377" s="1" t="s">
        <v>112</v>
      </c>
      <c r="G377" s="1">
        <v>93376</v>
      </c>
    </row>
    <row r="378" spans="1:7" x14ac:dyDescent="0.35">
      <c r="A378" s="1" t="str">
        <f t="shared" si="5"/>
        <v>10</v>
      </c>
      <c r="B3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8" s="1" t="s">
        <v>976</v>
      </c>
      <c r="D378" s="1">
        <v>0</v>
      </c>
      <c r="E378" s="1">
        <v>0</v>
      </c>
      <c r="F378" s="1" t="s">
        <v>112</v>
      </c>
      <c r="G378" s="1">
        <v>0</v>
      </c>
    </row>
    <row r="379" spans="1:7" x14ac:dyDescent="0.35">
      <c r="A379" s="1" t="str">
        <f t="shared" si="5"/>
        <v>10</v>
      </c>
      <c r="B3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9" s="1" t="s">
        <v>977</v>
      </c>
    </row>
    <row r="380" spans="1:7" x14ac:dyDescent="0.35">
      <c r="A380" s="1" t="str">
        <f t="shared" si="5"/>
        <v>10</v>
      </c>
      <c r="B3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80" s="1" t="s">
        <v>978</v>
      </c>
      <c r="D380" s="1">
        <v>0</v>
      </c>
      <c r="E380" s="1">
        <v>0</v>
      </c>
      <c r="F380" s="1" t="s">
        <v>112</v>
      </c>
      <c r="G380" s="1">
        <v>0</v>
      </c>
    </row>
    <row r="381" spans="1:7" x14ac:dyDescent="0.35">
      <c r="A381" s="1" t="str">
        <f t="shared" si="5"/>
        <v>10</v>
      </c>
      <c r="B3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1" s="1" t="s">
        <v>979</v>
      </c>
      <c r="D381" s="1" t="s">
        <v>222</v>
      </c>
      <c r="E381" s="1" t="s">
        <v>980</v>
      </c>
      <c r="F381" s="1" t="s">
        <v>112</v>
      </c>
      <c r="G381" s="1">
        <v>60737</v>
      </c>
    </row>
    <row r="382" spans="1:7" x14ac:dyDescent="0.35">
      <c r="A382" s="1" t="str">
        <f t="shared" si="5"/>
        <v>10</v>
      </c>
      <c r="B3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2" s="1" t="s">
        <v>981</v>
      </c>
      <c r="D382" s="1" t="s">
        <v>228</v>
      </c>
      <c r="E382" s="1">
        <v>31</v>
      </c>
      <c r="F382" s="1" t="s">
        <v>112</v>
      </c>
      <c r="G382" s="1">
        <v>2012</v>
      </c>
    </row>
    <row r="383" spans="1:7" x14ac:dyDescent="0.35">
      <c r="A383" s="1" t="str">
        <f t="shared" si="5"/>
        <v>10</v>
      </c>
      <c r="B3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3" s="1" t="s">
        <v>982</v>
      </c>
      <c r="D383" s="1" t="s">
        <v>983</v>
      </c>
      <c r="E383" s="1" t="s">
        <v>984</v>
      </c>
      <c r="F383" s="1" t="s">
        <v>112</v>
      </c>
      <c r="G383" s="1">
        <v>44341</v>
      </c>
    </row>
    <row r="384" spans="1:7" x14ac:dyDescent="0.35">
      <c r="A384" s="1" t="str">
        <f t="shared" si="5"/>
        <v>10</v>
      </c>
      <c r="B3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4" s="1" t="s">
        <v>985</v>
      </c>
      <c r="D384" s="1" t="s">
        <v>494</v>
      </c>
      <c r="E384" s="1" t="s">
        <v>986</v>
      </c>
      <c r="F384" s="1" t="s">
        <v>112</v>
      </c>
      <c r="G384" s="1">
        <v>165901</v>
      </c>
    </row>
    <row r="385" spans="1:8" x14ac:dyDescent="0.35">
      <c r="A385" s="1" t="str">
        <f t="shared" si="5"/>
        <v>10</v>
      </c>
      <c r="B3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5" s="1" t="s">
        <v>987</v>
      </c>
      <c r="D385" s="1" t="s">
        <v>988</v>
      </c>
      <c r="E385" s="1" t="s">
        <v>989</v>
      </c>
      <c r="F385" s="1" t="s">
        <v>112</v>
      </c>
      <c r="G385" s="1">
        <v>31666</v>
      </c>
    </row>
    <row r="386" spans="1:8" x14ac:dyDescent="0.35">
      <c r="A386" s="1" t="str">
        <f t="shared" ref="A386:A449" si="6">IFERROR(LEFT(RIGHT(C386,LEN(C386)-SEARCH("@",C386)),SEARCH("/",RIGHT(C386,LEN(C386)-SEARCH("@",C386)-1))),"")</f>
        <v>10</v>
      </c>
      <c r="B3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6" s="1" t="s">
        <v>990</v>
      </c>
      <c r="D386" s="1" t="s">
        <v>991</v>
      </c>
      <c r="E386" s="1" t="s">
        <v>992</v>
      </c>
      <c r="F386" s="1" t="s">
        <v>112</v>
      </c>
      <c r="G386" s="1">
        <v>45336</v>
      </c>
    </row>
    <row r="387" spans="1:8" x14ac:dyDescent="0.35">
      <c r="A387" s="1" t="str">
        <f t="shared" si="6"/>
        <v>10</v>
      </c>
      <c r="B3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7" s="1" t="s">
        <v>993</v>
      </c>
      <c r="D387" s="1" t="s">
        <v>994</v>
      </c>
      <c r="E387" s="1" t="s">
        <v>995</v>
      </c>
      <c r="F387" s="1" t="s">
        <v>112</v>
      </c>
      <c r="G387" s="1">
        <v>168583</v>
      </c>
    </row>
    <row r="388" spans="1:8" x14ac:dyDescent="0.35">
      <c r="A388" s="1" t="str">
        <f t="shared" si="6"/>
        <v>10</v>
      </c>
      <c r="B3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8" s="1" t="s">
        <v>996</v>
      </c>
      <c r="D388" s="1" t="s">
        <v>253</v>
      </c>
      <c r="E388" s="1" t="s">
        <v>997</v>
      </c>
      <c r="F388" s="1" t="s">
        <v>112</v>
      </c>
      <c r="G388" s="1">
        <v>50160</v>
      </c>
    </row>
    <row r="389" spans="1:8" x14ac:dyDescent="0.35">
      <c r="A389" s="1" t="str">
        <f t="shared" si="6"/>
        <v>10</v>
      </c>
      <c r="B3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9" s="1" t="s">
        <v>998</v>
      </c>
      <c r="D389" s="1" t="s">
        <v>999</v>
      </c>
      <c r="E389" s="1" t="s">
        <v>1000</v>
      </c>
      <c r="F389" s="1" t="s">
        <v>112</v>
      </c>
      <c r="G389" s="1">
        <v>81004</v>
      </c>
    </row>
    <row r="390" spans="1:8" x14ac:dyDescent="0.35">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0" s="1" t="s">
        <v>112</v>
      </c>
    </row>
    <row r="391" spans="1:8" x14ac:dyDescent="0.35">
      <c r="A391" s="1" t="str">
        <f t="shared" si="6"/>
        <v/>
      </c>
      <c r="B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1" s="1" t="s">
        <v>239</v>
      </c>
      <c r="D391" s="1" t="s">
        <v>112</v>
      </c>
      <c r="E391" s="1" t="s">
        <v>240</v>
      </c>
      <c r="F391" s="1" t="s">
        <v>241</v>
      </c>
      <c r="G391" s="1" t="s">
        <v>242</v>
      </c>
      <c r="H391" s="1" t="s">
        <v>243</v>
      </c>
    </row>
    <row r="392" spans="1:8" x14ac:dyDescent="0.35">
      <c r="A392" s="1" t="str">
        <f t="shared" si="6"/>
        <v>10</v>
      </c>
      <c r="B3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92" s="1" t="s">
        <v>1001</v>
      </c>
      <c r="D392" s="1" t="s">
        <v>112</v>
      </c>
      <c r="E392" s="1" t="s">
        <v>1002</v>
      </c>
      <c r="F392" s="1" t="s">
        <v>1003</v>
      </c>
      <c r="G392" s="1" t="s">
        <v>1004</v>
      </c>
      <c r="H392" s="1" t="s">
        <v>1005</v>
      </c>
    </row>
    <row r="393" spans="1:8" x14ac:dyDescent="0.35">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3" s="1" t="s">
        <v>112</v>
      </c>
    </row>
    <row r="394" spans="1:8" x14ac:dyDescent="0.35">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4" s="1" t="s">
        <v>112</v>
      </c>
    </row>
    <row r="395" spans="1:8" x14ac:dyDescent="0.35">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5" s="1" t="s">
        <v>112</v>
      </c>
    </row>
    <row r="396" spans="1:8" x14ac:dyDescent="0.35">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6" s="1" t="s">
        <v>112</v>
      </c>
    </row>
    <row r="397" spans="1:8" x14ac:dyDescent="0.35">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7" s="1" t="s">
        <v>112</v>
      </c>
    </row>
    <row r="398" spans="1:8" x14ac:dyDescent="0.35">
      <c r="A398" s="1" t="str">
        <f t="shared" si="6"/>
        <v/>
      </c>
      <c r="B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8" s="1" t="s">
        <v>172</v>
      </c>
      <c r="D398" s="1" t="s">
        <v>110</v>
      </c>
      <c r="E398" s="1" t="s">
        <v>111</v>
      </c>
      <c r="F398" s="1" t="s">
        <v>112</v>
      </c>
      <c r="G398" s="1" t="s">
        <v>113</v>
      </c>
    </row>
    <row r="399" spans="1:8" x14ac:dyDescent="0.35">
      <c r="A399" s="1" t="str">
        <f t="shared" si="6"/>
        <v>11</v>
      </c>
      <c r="B3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9" s="1" t="s">
        <v>1006</v>
      </c>
      <c r="D399" s="1" t="s">
        <v>1007</v>
      </c>
      <c r="E399" s="1" t="s">
        <v>1008</v>
      </c>
      <c r="F399" s="1" t="s">
        <v>112</v>
      </c>
      <c r="G399" s="1">
        <v>287461</v>
      </c>
    </row>
    <row r="400" spans="1:8" x14ac:dyDescent="0.35">
      <c r="A400" s="1" t="str">
        <f t="shared" si="6"/>
        <v>11</v>
      </c>
      <c r="B4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00" s="1" t="s">
        <v>1009</v>
      </c>
      <c r="D400" s="1" t="s">
        <v>1010</v>
      </c>
      <c r="E400" s="1" t="s">
        <v>1011</v>
      </c>
      <c r="F400" s="1" t="s">
        <v>112</v>
      </c>
      <c r="G400" s="1">
        <v>262522</v>
      </c>
    </row>
    <row r="401" spans="1:7" x14ac:dyDescent="0.35">
      <c r="A401" s="1" t="str">
        <f t="shared" si="6"/>
        <v>11</v>
      </c>
      <c r="B4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01" s="1" t="s">
        <v>1012</v>
      </c>
      <c r="D401" s="1" t="s">
        <v>1013</v>
      </c>
      <c r="E401" s="1" t="s">
        <v>1014</v>
      </c>
      <c r="F401" s="1" t="s">
        <v>112</v>
      </c>
      <c r="G401" s="1">
        <v>289127</v>
      </c>
    </row>
    <row r="402" spans="1:7" x14ac:dyDescent="0.35">
      <c r="A402" s="1" t="str">
        <f t="shared" si="6"/>
        <v>11</v>
      </c>
      <c r="B4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2" s="1" t="s">
        <v>1015</v>
      </c>
      <c r="D402" s="1" t="s">
        <v>228</v>
      </c>
      <c r="E402" s="1">
        <v>31</v>
      </c>
      <c r="F402" s="1" t="s">
        <v>112</v>
      </c>
      <c r="G402" s="1">
        <v>2012</v>
      </c>
    </row>
    <row r="403" spans="1:7" x14ac:dyDescent="0.35">
      <c r="A403" s="1" t="str">
        <f t="shared" si="6"/>
        <v>11</v>
      </c>
      <c r="B4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3" s="1" t="s">
        <v>1016</v>
      </c>
      <c r="D403" s="1" t="s">
        <v>1017</v>
      </c>
      <c r="E403" s="1" t="s">
        <v>1018</v>
      </c>
      <c r="F403" s="1" t="s">
        <v>112</v>
      </c>
      <c r="G403" s="1">
        <v>13540</v>
      </c>
    </row>
    <row r="404" spans="1:7" x14ac:dyDescent="0.35">
      <c r="A404" s="1" t="str">
        <f t="shared" si="6"/>
        <v>11</v>
      </c>
      <c r="B4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4" s="1" t="s">
        <v>1019</v>
      </c>
      <c r="D404" s="1">
        <v>0</v>
      </c>
      <c r="E404" s="1">
        <v>0</v>
      </c>
      <c r="F404" s="1" t="s">
        <v>112</v>
      </c>
      <c r="G404" s="1">
        <v>0</v>
      </c>
    </row>
    <row r="405" spans="1:7" x14ac:dyDescent="0.35">
      <c r="A405" s="1" t="str">
        <f t="shared" si="6"/>
        <v>11</v>
      </c>
      <c r="B4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5" s="1" t="s">
        <v>1020</v>
      </c>
    </row>
    <row r="406" spans="1:7" x14ac:dyDescent="0.35">
      <c r="A406" s="1" t="str">
        <f t="shared" si="6"/>
        <v>11</v>
      </c>
      <c r="B4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6" s="1" t="s">
        <v>1021</v>
      </c>
    </row>
    <row r="407" spans="1:7" x14ac:dyDescent="0.35">
      <c r="A407" s="1" t="str">
        <f t="shared" si="6"/>
        <v>11</v>
      </c>
      <c r="B4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7" s="1" t="s">
        <v>1022</v>
      </c>
    </row>
    <row r="408" spans="1:7" x14ac:dyDescent="0.35">
      <c r="A408" s="1" t="str">
        <f t="shared" si="6"/>
        <v>11</v>
      </c>
      <c r="B4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8" s="1" t="s">
        <v>1023</v>
      </c>
      <c r="D408" s="1" t="s">
        <v>1024</v>
      </c>
      <c r="E408" s="1" t="s">
        <v>1025</v>
      </c>
      <c r="F408" s="1" t="s">
        <v>112</v>
      </c>
      <c r="G408" s="1">
        <v>319171</v>
      </c>
    </row>
    <row r="409" spans="1:7" x14ac:dyDescent="0.35">
      <c r="A409" s="1" t="str">
        <f t="shared" si="6"/>
        <v>11</v>
      </c>
      <c r="B4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9" s="1" t="s">
        <v>1026</v>
      </c>
      <c r="D409" s="1" t="s">
        <v>1027</v>
      </c>
      <c r="E409" s="1" t="s">
        <v>1028</v>
      </c>
      <c r="F409" s="1" t="s">
        <v>112</v>
      </c>
      <c r="G409" s="1">
        <v>243055</v>
      </c>
    </row>
    <row r="410" spans="1:7" x14ac:dyDescent="0.35">
      <c r="A410" s="1" t="str">
        <f t="shared" si="6"/>
        <v>11</v>
      </c>
      <c r="B4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10" s="1" t="s">
        <v>1029</v>
      </c>
      <c r="D410" s="1" t="s">
        <v>1030</v>
      </c>
      <c r="E410" s="1" t="s">
        <v>1031</v>
      </c>
      <c r="F410" s="1" t="s">
        <v>112</v>
      </c>
      <c r="G410" s="1">
        <v>210632</v>
      </c>
    </row>
    <row r="411" spans="1:7" x14ac:dyDescent="0.35">
      <c r="A411" s="1" t="str">
        <f t="shared" si="6"/>
        <v>11</v>
      </c>
      <c r="B4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1" s="1" t="s">
        <v>1032</v>
      </c>
      <c r="D411" s="1" t="s">
        <v>1033</v>
      </c>
      <c r="E411" s="1" t="s">
        <v>1034</v>
      </c>
      <c r="F411" s="1" t="s">
        <v>112</v>
      </c>
      <c r="G411" s="1">
        <v>6749</v>
      </c>
    </row>
    <row r="412" spans="1:7" x14ac:dyDescent="0.35">
      <c r="A412" s="1" t="str">
        <f t="shared" si="6"/>
        <v>11</v>
      </c>
      <c r="B4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2" s="1" t="s">
        <v>1035</v>
      </c>
      <c r="D412" s="1" t="s">
        <v>491</v>
      </c>
      <c r="E412" s="1" t="s">
        <v>1036</v>
      </c>
      <c r="F412" s="1" t="s">
        <v>112</v>
      </c>
      <c r="G412" s="1">
        <v>18602</v>
      </c>
    </row>
    <row r="413" spans="1:7" x14ac:dyDescent="0.35">
      <c r="A413" s="1" t="str">
        <f t="shared" si="6"/>
        <v>11</v>
      </c>
      <c r="B4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3" s="1" t="s">
        <v>1037</v>
      </c>
      <c r="D413" s="1">
        <v>0</v>
      </c>
      <c r="E413" s="1">
        <v>0</v>
      </c>
      <c r="F413" s="1" t="s">
        <v>112</v>
      </c>
      <c r="G413" s="1">
        <v>0</v>
      </c>
    </row>
    <row r="414" spans="1:7" x14ac:dyDescent="0.35">
      <c r="A414" s="1" t="str">
        <f t="shared" si="6"/>
        <v>11</v>
      </c>
      <c r="B4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4" s="1" t="s">
        <v>1038</v>
      </c>
      <c r="D414" s="1" t="s">
        <v>1039</v>
      </c>
      <c r="E414" s="1" t="s">
        <v>1040</v>
      </c>
      <c r="F414" s="1" t="s">
        <v>112</v>
      </c>
      <c r="G414" s="1">
        <v>229212</v>
      </c>
    </row>
    <row r="415" spans="1:7" x14ac:dyDescent="0.35">
      <c r="A415" s="1" t="str">
        <f t="shared" si="6"/>
        <v>11</v>
      </c>
      <c r="B4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5" s="1" t="s">
        <v>1041</v>
      </c>
      <c r="D415" s="1" t="s">
        <v>1042</v>
      </c>
      <c r="E415" s="1" t="s">
        <v>1043</v>
      </c>
      <c r="F415" s="1" t="s">
        <v>112</v>
      </c>
      <c r="G415" s="1">
        <v>269335</v>
      </c>
    </row>
    <row r="416" spans="1:7" x14ac:dyDescent="0.35">
      <c r="A416" s="1" t="str">
        <f t="shared" si="6"/>
        <v>11</v>
      </c>
      <c r="B4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6" s="1" t="s">
        <v>1044</v>
      </c>
      <c r="D416" s="1" t="s">
        <v>1045</v>
      </c>
      <c r="E416" s="1" t="s">
        <v>1046</v>
      </c>
      <c r="F416" s="1" t="s">
        <v>112</v>
      </c>
      <c r="G416" s="1">
        <v>54248</v>
      </c>
    </row>
    <row r="417" spans="1:8" x14ac:dyDescent="0.35">
      <c r="A417" s="1" t="str">
        <f t="shared" si="6"/>
        <v>11</v>
      </c>
      <c r="B4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7" s="1" t="s">
        <v>1047</v>
      </c>
    </row>
    <row r="418" spans="1:8" x14ac:dyDescent="0.35">
      <c r="A418" s="1" t="str">
        <f t="shared" si="6"/>
        <v>11</v>
      </c>
      <c r="B4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8" s="1" t="s">
        <v>1048</v>
      </c>
      <c r="D418" s="1" t="s">
        <v>1049</v>
      </c>
      <c r="E418" s="1" t="s">
        <v>1050</v>
      </c>
      <c r="F418" s="1" t="s">
        <v>112</v>
      </c>
      <c r="G418" s="1">
        <v>152426</v>
      </c>
    </row>
    <row r="419" spans="1:8" x14ac:dyDescent="0.35">
      <c r="A419" s="1" t="str">
        <f t="shared" si="6"/>
        <v>11</v>
      </c>
      <c r="B4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9" s="1" t="s">
        <v>1051</v>
      </c>
      <c r="D419" s="1" t="s">
        <v>545</v>
      </c>
      <c r="E419" s="1" t="s">
        <v>1052</v>
      </c>
      <c r="F419" s="1" t="s">
        <v>112</v>
      </c>
      <c r="G419" s="1">
        <v>357888</v>
      </c>
    </row>
    <row r="420" spans="1:8" x14ac:dyDescent="0.35">
      <c r="A420" s="1" t="str">
        <f t="shared" si="6"/>
        <v>11</v>
      </c>
      <c r="B4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0" s="1" t="s">
        <v>1053</v>
      </c>
    </row>
    <row r="421" spans="1:8" x14ac:dyDescent="0.35">
      <c r="A421" s="1" t="str">
        <f t="shared" si="6"/>
        <v>11</v>
      </c>
      <c r="B4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1" s="1" t="s">
        <v>1054</v>
      </c>
      <c r="D421" s="1">
        <v>0</v>
      </c>
      <c r="E421" s="1">
        <v>0</v>
      </c>
      <c r="F421" s="1" t="s">
        <v>112</v>
      </c>
      <c r="G421" s="1">
        <v>0</v>
      </c>
    </row>
    <row r="422" spans="1:8" x14ac:dyDescent="0.35">
      <c r="A422" s="1" t="str">
        <f t="shared" si="6"/>
        <v>11</v>
      </c>
      <c r="B4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2" s="1" t="s">
        <v>1055</v>
      </c>
      <c r="D422" s="1">
        <v>0</v>
      </c>
      <c r="E422" s="1">
        <v>0</v>
      </c>
      <c r="F422" s="1" t="s">
        <v>112</v>
      </c>
      <c r="G422" s="1">
        <v>0</v>
      </c>
    </row>
    <row r="423" spans="1:8" x14ac:dyDescent="0.35">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3" s="1" t="s">
        <v>112</v>
      </c>
    </row>
    <row r="424" spans="1:8" x14ac:dyDescent="0.35">
      <c r="A424" s="1" t="str">
        <f t="shared" si="6"/>
        <v/>
      </c>
      <c r="B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4" s="1" t="s">
        <v>239</v>
      </c>
      <c r="D424" s="1" t="s">
        <v>112</v>
      </c>
      <c r="E424" s="1" t="s">
        <v>240</v>
      </c>
      <c r="F424" s="1" t="s">
        <v>241</v>
      </c>
      <c r="G424" s="1" t="s">
        <v>242</v>
      </c>
      <c r="H424" s="1" t="s">
        <v>243</v>
      </c>
    </row>
    <row r="425" spans="1:8" x14ac:dyDescent="0.35">
      <c r="A425" s="1" t="str">
        <f t="shared" si="6"/>
        <v>11</v>
      </c>
      <c r="B4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25" s="1" t="s">
        <v>1056</v>
      </c>
      <c r="D425" s="1" t="s">
        <v>112</v>
      </c>
      <c r="E425" s="1" t="s">
        <v>1057</v>
      </c>
      <c r="F425" s="1" t="s">
        <v>1058</v>
      </c>
      <c r="G425" s="1" t="s">
        <v>1059</v>
      </c>
      <c r="H425" s="1" t="s">
        <v>1060</v>
      </c>
    </row>
    <row r="426" spans="1:8" x14ac:dyDescent="0.35">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6" s="1" t="s">
        <v>112</v>
      </c>
    </row>
    <row r="427" spans="1:8" x14ac:dyDescent="0.35">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7" s="1" t="s">
        <v>112</v>
      </c>
    </row>
    <row r="428" spans="1:8" x14ac:dyDescent="0.35">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8" s="1" t="s">
        <v>112</v>
      </c>
    </row>
    <row r="429" spans="1:8" x14ac:dyDescent="0.35">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9" s="1" t="s">
        <v>112</v>
      </c>
    </row>
    <row r="430" spans="1:8" x14ac:dyDescent="0.35">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30" s="1" t="s">
        <v>112</v>
      </c>
    </row>
    <row r="431" spans="1:8" x14ac:dyDescent="0.35">
      <c r="A431" s="1" t="str">
        <f t="shared" si="6"/>
        <v/>
      </c>
      <c r="B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31" s="1" t="s">
        <v>172</v>
      </c>
      <c r="D431" s="1" t="s">
        <v>110</v>
      </c>
      <c r="E431" s="1" t="s">
        <v>111</v>
      </c>
      <c r="F431" s="1" t="s">
        <v>112</v>
      </c>
      <c r="G431" s="1" t="s">
        <v>113</v>
      </c>
    </row>
    <row r="432" spans="1:8" x14ac:dyDescent="0.35">
      <c r="A432" s="1" t="str">
        <f t="shared" si="6"/>
        <v>12</v>
      </c>
      <c r="B4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2" s="1" t="s">
        <v>1061</v>
      </c>
      <c r="D432" s="1" t="s">
        <v>1062</v>
      </c>
      <c r="E432" s="1" t="s">
        <v>1063</v>
      </c>
      <c r="F432" s="1" t="s">
        <v>112</v>
      </c>
      <c r="G432" s="1">
        <v>187856</v>
      </c>
    </row>
    <row r="433" spans="1:7" x14ac:dyDescent="0.35">
      <c r="A433" s="1" t="str">
        <f t="shared" si="6"/>
        <v>12</v>
      </c>
      <c r="B4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3" s="1" t="s">
        <v>1064</v>
      </c>
      <c r="D433" s="1" t="s">
        <v>1065</v>
      </c>
      <c r="E433" s="1" t="s">
        <v>1066</v>
      </c>
      <c r="F433" s="1" t="s">
        <v>112</v>
      </c>
      <c r="G433" s="1">
        <v>283070</v>
      </c>
    </row>
    <row r="434" spans="1:7" x14ac:dyDescent="0.35">
      <c r="A434" s="1" t="str">
        <f t="shared" si="6"/>
        <v>12</v>
      </c>
      <c r="B4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4" s="1" t="s">
        <v>1067</v>
      </c>
      <c r="D434" s="1" t="s">
        <v>1068</v>
      </c>
      <c r="E434" s="1" t="s">
        <v>1069</v>
      </c>
      <c r="F434" s="1" t="s">
        <v>112</v>
      </c>
      <c r="G434" s="1">
        <v>218137</v>
      </c>
    </row>
    <row r="435" spans="1:7" x14ac:dyDescent="0.35">
      <c r="A435" s="1" t="str">
        <f t="shared" si="6"/>
        <v>12</v>
      </c>
      <c r="B4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5" s="1" t="s">
        <v>1070</v>
      </c>
      <c r="D435" s="1" t="s">
        <v>1033</v>
      </c>
      <c r="E435" s="1" t="s">
        <v>1071</v>
      </c>
      <c r="F435" s="1" t="s">
        <v>112</v>
      </c>
      <c r="G435" s="1">
        <v>6575</v>
      </c>
    </row>
    <row r="436" spans="1:7" x14ac:dyDescent="0.35">
      <c r="A436" s="1" t="str">
        <f t="shared" si="6"/>
        <v>12</v>
      </c>
      <c r="B4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6" s="1" t="s">
        <v>1072</v>
      </c>
      <c r="D436" s="1" t="s">
        <v>463</v>
      </c>
      <c r="E436" s="1">
        <v>31</v>
      </c>
      <c r="F436" s="1" t="s">
        <v>112</v>
      </c>
      <c r="G436" s="1">
        <v>671</v>
      </c>
    </row>
    <row r="437" spans="1:7" x14ac:dyDescent="0.35">
      <c r="A437" s="1" t="str">
        <f t="shared" si="6"/>
        <v>12</v>
      </c>
      <c r="B4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7" s="1" t="s">
        <v>1073</v>
      </c>
      <c r="D437" s="1" t="s">
        <v>1074</v>
      </c>
      <c r="E437" s="1" t="s">
        <v>1075</v>
      </c>
      <c r="F437" s="1" t="s">
        <v>112</v>
      </c>
      <c r="G437" s="1">
        <v>42503</v>
      </c>
    </row>
    <row r="438" spans="1:7" x14ac:dyDescent="0.35">
      <c r="A438" s="1" t="str">
        <f t="shared" si="6"/>
        <v>12</v>
      </c>
      <c r="B4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8" s="1" t="s">
        <v>1076</v>
      </c>
      <c r="D438" s="1" t="s">
        <v>1077</v>
      </c>
      <c r="E438" s="1" t="s">
        <v>1078</v>
      </c>
      <c r="F438" s="1" t="s">
        <v>112</v>
      </c>
      <c r="G438" s="1">
        <v>197027</v>
      </c>
    </row>
    <row r="439" spans="1:7" x14ac:dyDescent="0.35">
      <c r="A439" s="1" t="str">
        <f t="shared" si="6"/>
        <v>12</v>
      </c>
      <c r="B4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9" s="1" t="s">
        <v>1079</v>
      </c>
      <c r="D439" s="1" t="s">
        <v>1080</v>
      </c>
      <c r="E439" s="1" t="s">
        <v>1081</v>
      </c>
      <c r="F439" s="1" t="s">
        <v>112</v>
      </c>
      <c r="G439" s="1">
        <v>105813</v>
      </c>
    </row>
    <row r="440" spans="1:7" x14ac:dyDescent="0.35">
      <c r="A440" s="1" t="str">
        <f t="shared" si="6"/>
        <v>12</v>
      </c>
      <c r="B4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40" s="1" t="s">
        <v>1082</v>
      </c>
      <c r="D440" s="1" t="s">
        <v>1083</v>
      </c>
      <c r="E440" s="1" t="s">
        <v>1084</v>
      </c>
      <c r="F440" s="1" t="s">
        <v>112</v>
      </c>
      <c r="G440" s="1">
        <v>265529</v>
      </c>
    </row>
    <row r="441" spans="1:7" x14ac:dyDescent="0.35">
      <c r="A441" s="1" t="str">
        <f t="shared" si="6"/>
        <v>12</v>
      </c>
      <c r="B4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1" s="1" t="s">
        <v>1085</v>
      </c>
      <c r="D441" s="1" t="s">
        <v>1086</v>
      </c>
      <c r="E441" s="1" t="s">
        <v>1087</v>
      </c>
      <c r="F441" s="1" t="s">
        <v>112</v>
      </c>
      <c r="G441" s="1">
        <v>105532</v>
      </c>
    </row>
    <row r="442" spans="1:7" x14ac:dyDescent="0.35">
      <c r="A442" s="1" t="str">
        <f t="shared" si="6"/>
        <v>12</v>
      </c>
      <c r="B4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2" s="1" t="s">
        <v>1088</v>
      </c>
      <c r="D442" s="1" t="s">
        <v>1089</v>
      </c>
      <c r="E442" s="1" t="s">
        <v>1090</v>
      </c>
      <c r="F442" s="1" t="s">
        <v>112</v>
      </c>
      <c r="G442" s="1">
        <v>90867</v>
      </c>
    </row>
    <row r="443" spans="1:7" x14ac:dyDescent="0.35">
      <c r="A443" s="1" t="str">
        <f t="shared" si="6"/>
        <v>12</v>
      </c>
      <c r="B4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3" s="1" t="s">
        <v>1091</v>
      </c>
      <c r="D443" s="1" t="s">
        <v>1092</v>
      </c>
      <c r="E443" s="1" t="s">
        <v>1093</v>
      </c>
      <c r="F443" s="1" t="s">
        <v>112</v>
      </c>
      <c r="G443" s="1">
        <v>197546</v>
      </c>
    </row>
    <row r="444" spans="1:7" x14ac:dyDescent="0.35">
      <c r="A444" s="1" t="str">
        <f t="shared" si="6"/>
        <v>12</v>
      </c>
      <c r="B4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4" s="1" t="s">
        <v>1094</v>
      </c>
      <c r="D444" s="1" t="s">
        <v>1095</v>
      </c>
      <c r="E444" s="1" t="s">
        <v>1096</v>
      </c>
      <c r="F444" s="1" t="s">
        <v>112</v>
      </c>
      <c r="G444" s="1">
        <v>220192</v>
      </c>
    </row>
    <row r="445" spans="1:7" x14ac:dyDescent="0.35">
      <c r="A445" s="1" t="str">
        <f t="shared" si="6"/>
        <v>12</v>
      </c>
      <c r="B4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5" s="1" t="s">
        <v>1097</v>
      </c>
      <c r="D445" s="1" t="s">
        <v>1098</v>
      </c>
      <c r="E445" s="1" t="s">
        <v>609</v>
      </c>
      <c r="F445" s="1" t="s">
        <v>112</v>
      </c>
      <c r="G445" s="1">
        <v>20332</v>
      </c>
    </row>
    <row r="446" spans="1:7" x14ac:dyDescent="0.35">
      <c r="A446" s="1" t="str">
        <f t="shared" si="6"/>
        <v>12</v>
      </c>
      <c r="B4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6" s="1" t="s">
        <v>1099</v>
      </c>
      <c r="D446" s="1" t="s">
        <v>1100</v>
      </c>
      <c r="E446" s="1" t="s">
        <v>1101</v>
      </c>
      <c r="F446" s="1" t="s">
        <v>112</v>
      </c>
      <c r="G446" s="1">
        <v>77457</v>
      </c>
    </row>
    <row r="447" spans="1:7" x14ac:dyDescent="0.35">
      <c r="A447" s="1" t="str">
        <f t="shared" si="6"/>
        <v>12</v>
      </c>
      <c r="B4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7" s="1" t="s">
        <v>1102</v>
      </c>
      <c r="D447" s="1" t="s">
        <v>1103</v>
      </c>
      <c r="E447" s="1" t="s">
        <v>1104</v>
      </c>
      <c r="F447" s="1" t="s">
        <v>112</v>
      </c>
      <c r="G447" s="1">
        <v>19424</v>
      </c>
    </row>
    <row r="448" spans="1:7" x14ac:dyDescent="0.35">
      <c r="A448" s="1" t="str">
        <f t="shared" si="6"/>
        <v>12</v>
      </c>
      <c r="B4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8" s="1" t="s">
        <v>1105</v>
      </c>
      <c r="D448" s="1" t="s">
        <v>667</v>
      </c>
      <c r="E448" s="1" t="s">
        <v>1106</v>
      </c>
      <c r="F448" s="1" t="s">
        <v>112</v>
      </c>
      <c r="G448" s="1">
        <v>75791</v>
      </c>
    </row>
    <row r="449" spans="1:8" x14ac:dyDescent="0.35">
      <c r="A449" s="1" t="str">
        <f t="shared" si="6"/>
        <v>12</v>
      </c>
      <c r="B4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9" s="1" t="s">
        <v>1107</v>
      </c>
      <c r="D449" s="1" t="s">
        <v>1108</v>
      </c>
      <c r="E449" s="1" t="s">
        <v>1109</v>
      </c>
      <c r="F449" s="1" t="s">
        <v>112</v>
      </c>
      <c r="G449" s="1">
        <v>47002</v>
      </c>
    </row>
    <row r="450" spans="1:8" x14ac:dyDescent="0.35">
      <c r="A450" s="1" t="str">
        <f t="shared" ref="A450:A513" si="7">IFERROR(LEFT(RIGHT(C450,LEN(C450)-SEARCH("@",C450)),SEARCH("/",RIGHT(C450,LEN(C450)-SEARCH("@",C450)-1))),"")</f>
        <v>12</v>
      </c>
      <c r="B4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0" s="1" t="s">
        <v>1110</v>
      </c>
      <c r="D450" s="1" t="s">
        <v>1111</v>
      </c>
      <c r="E450" s="1" t="s">
        <v>1112</v>
      </c>
      <c r="F450" s="1" t="s">
        <v>112</v>
      </c>
      <c r="G450" s="1">
        <v>341212</v>
      </c>
    </row>
    <row r="451" spans="1:8" x14ac:dyDescent="0.35">
      <c r="A451" s="1" t="str">
        <f t="shared" si="7"/>
        <v>12</v>
      </c>
      <c r="B4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1" s="1" t="s">
        <v>1113</v>
      </c>
      <c r="D451" s="1" t="s">
        <v>1114</v>
      </c>
      <c r="E451" s="1" t="s">
        <v>1115</v>
      </c>
      <c r="F451" s="1" t="s">
        <v>112</v>
      </c>
      <c r="G451" s="1">
        <v>469996</v>
      </c>
    </row>
    <row r="452" spans="1:8" x14ac:dyDescent="0.35">
      <c r="A452" s="1" t="str">
        <f t="shared" si="7"/>
        <v>12</v>
      </c>
      <c r="B4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2" s="1" t="s">
        <v>1116</v>
      </c>
      <c r="D452" s="1">
        <v>0</v>
      </c>
      <c r="E452" s="1">
        <v>0</v>
      </c>
      <c r="F452" s="1" t="s">
        <v>112</v>
      </c>
      <c r="G452" s="1">
        <v>0</v>
      </c>
    </row>
    <row r="453" spans="1:8" x14ac:dyDescent="0.35">
      <c r="A453" s="1" t="str">
        <f t="shared" si="7"/>
        <v>12</v>
      </c>
      <c r="B4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3" s="1" t="s">
        <v>1117</v>
      </c>
      <c r="D453" s="1" t="s">
        <v>1118</v>
      </c>
      <c r="E453" s="1" t="s">
        <v>1119</v>
      </c>
      <c r="F453" s="1" t="s">
        <v>112</v>
      </c>
      <c r="G453" s="1">
        <v>330072</v>
      </c>
    </row>
    <row r="454" spans="1:8" x14ac:dyDescent="0.35">
      <c r="A454" s="1" t="str">
        <f t="shared" si="7"/>
        <v>12</v>
      </c>
      <c r="B4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4" s="1" t="s">
        <v>1120</v>
      </c>
      <c r="D454" s="1" t="s">
        <v>1121</v>
      </c>
      <c r="E454" s="1" t="s">
        <v>1122</v>
      </c>
      <c r="F454" s="1" t="s">
        <v>112</v>
      </c>
      <c r="G454" s="1">
        <v>214374</v>
      </c>
    </row>
    <row r="455" spans="1:8" x14ac:dyDescent="0.35">
      <c r="A455" s="1" t="str">
        <f t="shared" si="7"/>
        <v>12</v>
      </c>
      <c r="B4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5" s="1" t="s">
        <v>1123</v>
      </c>
      <c r="D455" s="1" t="s">
        <v>228</v>
      </c>
      <c r="E455" s="1" t="s">
        <v>1124</v>
      </c>
      <c r="F455" s="1" t="s">
        <v>112</v>
      </c>
      <c r="G455" s="1">
        <v>2098</v>
      </c>
    </row>
    <row r="456" spans="1:8" x14ac:dyDescent="0.35">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6" s="1" t="s">
        <v>112</v>
      </c>
    </row>
    <row r="457" spans="1:8" x14ac:dyDescent="0.35">
      <c r="A457" s="1" t="str">
        <f t="shared" si="7"/>
        <v/>
      </c>
      <c r="B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7" s="1" t="s">
        <v>239</v>
      </c>
      <c r="D457" s="1" t="s">
        <v>112</v>
      </c>
      <c r="E457" s="1" t="s">
        <v>240</v>
      </c>
      <c r="F457" s="1" t="s">
        <v>241</v>
      </c>
      <c r="G457" s="1" t="s">
        <v>242</v>
      </c>
      <c r="H457" s="1" t="s">
        <v>243</v>
      </c>
    </row>
    <row r="458" spans="1:8" x14ac:dyDescent="0.35">
      <c r="A458" s="1" t="str">
        <f t="shared" si="7"/>
        <v>12</v>
      </c>
      <c r="B4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58" s="1" t="s">
        <v>1125</v>
      </c>
      <c r="D458" s="1" t="s">
        <v>112</v>
      </c>
      <c r="E458" s="1" t="s">
        <v>1126</v>
      </c>
      <c r="F458" s="1" t="s">
        <v>1127</v>
      </c>
      <c r="G458" s="1" t="s">
        <v>1128</v>
      </c>
      <c r="H458" s="1" t="s">
        <v>1129</v>
      </c>
    </row>
    <row r="459" spans="1:8" x14ac:dyDescent="0.35">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9" s="1" t="s">
        <v>112</v>
      </c>
    </row>
    <row r="460" spans="1:8" x14ac:dyDescent="0.35">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0" s="1" t="s">
        <v>112</v>
      </c>
    </row>
    <row r="461" spans="1:8" x14ac:dyDescent="0.35">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1" s="1" t="s">
        <v>112</v>
      </c>
    </row>
    <row r="462" spans="1:8" x14ac:dyDescent="0.35">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2" s="1" t="s">
        <v>112</v>
      </c>
    </row>
    <row r="463" spans="1:8" x14ac:dyDescent="0.35">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3" s="1" t="s">
        <v>112</v>
      </c>
    </row>
    <row r="464" spans="1:8" x14ac:dyDescent="0.35">
      <c r="A464" s="1" t="str">
        <f t="shared" si="7"/>
        <v/>
      </c>
      <c r="B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4" s="1" t="s">
        <v>172</v>
      </c>
      <c r="D464" s="1" t="s">
        <v>110</v>
      </c>
      <c r="E464" s="1" t="s">
        <v>111</v>
      </c>
      <c r="F464" s="1" t="s">
        <v>112</v>
      </c>
      <c r="G464" s="1" t="s">
        <v>113</v>
      </c>
    </row>
    <row r="465" spans="1:7" x14ac:dyDescent="0.35">
      <c r="A465" s="1" t="str">
        <f t="shared" si="7"/>
        <v>17</v>
      </c>
      <c r="B4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5" s="1" t="s">
        <v>1130</v>
      </c>
      <c r="D465" s="1" t="s">
        <v>1131</v>
      </c>
      <c r="E465" s="1" t="s">
        <v>1132</v>
      </c>
      <c r="F465" s="1" t="s">
        <v>112</v>
      </c>
      <c r="G465" s="1">
        <v>369655</v>
      </c>
    </row>
    <row r="466" spans="1:7" x14ac:dyDescent="0.35">
      <c r="A466" s="1" t="str">
        <f t="shared" si="7"/>
        <v>17</v>
      </c>
      <c r="B4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6" s="1" t="s">
        <v>1133</v>
      </c>
      <c r="D466" s="1" t="s">
        <v>1134</v>
      </c>
      <c r="E466" s="1" t="s">
        <v>1135</v>
      </c>
      <c r="F466" s="1" t="s">
        <v>112</v>
      </c>
      <c r="G466" s="1">
        <v>483796</v>
      </c>
    </row>
    <row r="467" spans="1:7" x14ac:dyDescent="0.35">
      <c r="A467" s="1" t="str">
        <f t="shared" si="7"/>
        <v>17</v>
      </c>
      <c r="B4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7" s="1" t="s">
        <v>1136</v>
      </c>
      <c r="D467" s="1" t="s">
        <v>1137</v>
      </c>
      <c r="E467" s="1" t="s">
        <v>1138</v>
      </c>
      <c r="F467" s="1" t="s">
        <v>112</v>
      </c>
      <c r="G467" s="1">
        <v>370152</v>
      </c>
    </row>
    <row r="468" spans="1:7" x14ac:dyDescent="0.35">
      <c r="A468" s="1" t="str">
        <f t="shared" si="7"/>
        <v>17</v>
      </c>
      <c r="B4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8" s="1" t="s">
        <v>1139</v>
      </c>
      <c r="D468" s="1" t="s">
        <v>1140</v>
      </c>
      <c r="E468" s="1" t="s">
        <v>1141</v>
      </c>
      <c r="F468" s="1" t="s">
        <v>112</v>
      </c>
      <c r="G468" s="1">
        <v>773766</v>
      </c>
    </row>
    <row r="469" spans="1:7" x14ac:dyDescent="0.35">
      <c r="A469" s="1" t="str">
        <f t="shared" si="7"/>
        <v>17</v>
      </c>
      <c r="B4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9" s="1" t="s">
        <v>1142</v>
      </c>
      <c r="D469" s="1" t="s">
        <v>1143</v>
      </c>
      <c r="E469" s="1" t="s">
        <v>1144</v>
      </c>
      <c r="F469" s="1" t="s">
        <v>112</v>
      </c>
      <c r="G469" s="1">
        <v>396130</v>
      </c>
    </row>
    <row r="470" spans="1:7" x14ac:dyDescent="0.35">
      <c r="A470" s="1" t="str">
        <f t="shared" si="7"/>
        <v>17</v>
      </c>
      <c r="B4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70" s="1" t="s">
        <v>1145</v>
      </c>
      <c r="D470" s="1" t="s">
        <v>1146</v>
      </c>
      <c r="E470" s="1" t="s">
        <v>1147</v>
      </c>
      <c r="F470" s="1" t="s">
        <v>112</v>
      </c>
      <c r="G470" s="1">
        <v>412482</v>
      </c>
    </row>
    <row r="471" spans="1:7" x14ac:dyDescent="0.35">
      <c r="A471" s="1" t="str">
        <f t="shared" si="7"/>
        <v>17</v>
      </c>
      <c r="B4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1" s="1" t="s">
        <v>1148</v>
      </c>
      <c r="D471" s="1" t="s">
        <v>717</v>
      </c>
      <c r="E471" s="1" t="s">
        <v>1149</v>
      </c>
      <c r="F471" s="1" t="s">
        <v>112</v>
      </c>
      <c r="G471" s="1">
        <v>283827</v>
      </c>
    </row>
    <row r="472" spans="1:7" x14ac:dyDescent="0.35">
      <c r="A472" s="1" t="str">
        <f t="shared" si="7"/>
        <v>17</v>
      </c>
      <c r="B4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2" s="1" t="s">
        <v>1150</v>
      </c>
      <c r="D472" s="1" t="s">
        <v>1151</v>
      </c>
      <c r="E472" s="1" t="s">
        <v>1152</v>
      </c>
      <c r="F472" s="1" t="s">
        <v>112</v>
      </c>
      <c r="G472" s="1">
        <v>319668</v>
      </c>
    </row>
    <row r="473" spans="1:7" x14ac:dyDescent="0.35">
      <c r="A473" s="1" t="str">
        <f t="shared" si="7"/>
        <v>17</v>
      </c>
      <c r="B4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3" s="1" t="s">
        <v>1153</v>
      </c>
      <c r="D473" s="1" t="s">
        <v>213</v>
      </c>
      <c r="E473" s="1" t="s">
        <v>1154</v>
      </c>
      <c r="F473" s="1" t="s">
        <v>112</v>
      </c>
      <c r="G473" s="1">
        <v>332105</v>
      </c>
    </row>
    <row r="474" spans="1:7" x14ac:dyDescent="0.35">
      <c r="A474" s="1" t="str">
        <f t="shared" si="7"/>
        <v>17</v>
      </c>
      <c r="B4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4" s="1" t="s">
        <v>1155</v>
      </c>
      <c r="D474" s="1" t="s">
        <v>1156</v>
      </c>
      <c r="E474" s="1" t="s">
        <v>1157</v>
      </c>
      <c r="F474" s="1" t="s">
        <v>112</v>
      </c>
      <c r="G474" s="1">
        <v>433377</v>
      </c>
    </row>
    <row r="475" spans="1:7" x14ac:dyDescent="0.35">
      <c r="A475" s="1" t="str">
        <f t="shared" si="7"/>
        <v>17</v>
      </c>
      <c r="B4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5" s="1" t="s">
        <v>1158</v>
      </c>
      <c r="D475" s="1" t="s">
        <v>1159</v>
      </c>
      <c r="E475" s="1" t="s">
        <v>1160</v>
      </c>
      <c r="F475" s="1" t="s">
        <v>112</v>
      </c>
      <c r="G475" s="1">
        <v>450983</v>
      </c>
    </row>
    <row r="476" spans="1:7" x14ac:dyDescent="0.35">
      <c r="A476" s="1" t="str">
        <f t="shared" si="7"/>
        <v>17</v>
      </c>
      <c r="B4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6" s="1" t="s">
        <v>1161</v>
      </c>
      <c r="D476" s="1" t="s">
        <v>1162</v>
      </c>
      <c r="E476" s="1" t="s">
        <v>1163</v>
      </c>
      <c r="F476" s="1" t="s">
        <v>112</v>
      </c>
      <c r="G476" s="1">
        <v>333684</v>
      </c>
    </row>
    <row r="477" spans="1:7" x14ac:dyDescent="0.35">
      <c r="A477" s="1" t="str">
        <f t="shared" si="7"/>
        <v>17</v>
      </c>
      <c r="B4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7" s="1" t="s">
        <v>1164</v>
      </c>
      <c r="D477" s="1" t="s">
        <v>1165</v>
      </c>
      <c r="E477" s="1" t="s">
        <v>1166</v>
      </c>
      <c r="F477" s="1" t="s">
        <v>112</v>
      </c>
      <c r="G477" s="1">
        <v>38220</v>
      </c>
    </row>
    <row r="478" spans="1:7" x14ac:dyDescent="0.35">
      <c r="A478" s="1" t="str">
        <f t="shared" si="7"/>
        <v>17</v>
      </c>
      <c r="B4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8" s="1" t="s">
        <v>1167</v>
      </c>
    </row>
    <row r="479" spans="1:7" x14ac:dyDescent="0.35">
      <c r="A479" s="1" t="str">
        <f t="shared" si="7"/>
        <v>17</v>
      </c>
      <c r="B4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9" s="1" t="s">
        <v>1168</v>
      </c>
    </row>
    <row r="480" spans="1:7" x14ac:dyDescent="0.35">
      <c r="A480" s="1" t="str">
        <f t="shared" si="7"/>
        <v>17</v>
      </c>
      <c r="B4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0" s="1" t="s">
        <v>1169</v>
      </c>
      <c r="D480" s="1" t="s">
        <v>1170</v>
      </c>
      <c r="E480" s="1" t="s">
        <v>1171</v>
      </c>
      <c r="F480" s="1" t="s">
        <v>112</v>
      </c>
      <c r="G480" s="1">
        <v>2341739</v>
      </c>
    </row>
    <row r="481" spans="1:8" x14ac:dyDescent="0.35">
      <c r="A481" s="1" t="str">
        <f t="shared" si="7"/>
        <v>17</v>
      </c>
      <c r="B4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1" s="1" t="s">
        <v>1172</v>
      </c>
      <c r="D481" s="1" t="s">
        <v>1173</v>
      </c>
      <c r="E481" s="1" t="s">
        <v>1174</v>
      </c>
      <c r="F481" s="1" t="s">
        <v>112</v>
      </c>
      <c r="G481" s="1">
        <v>2280894</v>
      </c>
    </row>
    <row r="482" spans="1:8" x14ac:dyDescent="0.35">
      <c r="A482" s="1" t="str">
        <f t="shared" si="7"/>
        <v>17</v>
      </c>
      <c r="B4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2" s="1" t="s">
        <v>1175</v>
      </c>
      <c r="D482" s="1" t="s">
        <v>1176</v>
      </c>
      <c r="E482" s="1" t="s">
        <v>1177</v>
      </c>
      <c r="F482" s="1" t="s">
        <v>112</v>
      </c>
      <c r="G482" s="1">
        <v>2056938</v>
      </c>
    </row>
    <row r="483" spans="1:8" x14ac:dyDescent="0.35">
      <c r="A483" s="1" t="str">
        <f t="shared" si="7"/>
        <v>17</v>
      </c>
      <c r="B4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3" s="1" t="s">
        <v>1178</v>
      </c>
      <c r="D483" s="1" t="s">
        <v>1179</v>
      </c>
      <c r="E483" s="1" t="s">
        <v>1180</v>
      </c>
      <c r="F483" s="1" t="s">
        <v>112</v>
      </c>
      <c r="G483" s="1">
        <v>454228</v>
      </c>
    </row>
    <row r="484" spans="1:8" x14ac:dyDescent="0.35">
      <c r="A484" s="1" t="str">
        <f t="shared" si="7"/>
        <v>17</v>
      </c>
      <c r="B4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4" s="1" t="s">
        <v>1181</v>
      </c>
      <c r="D484" s="1" t="s">
        <v>1182</v>
      </c>
      <c r="E484" s="1" t="s">
        <v>1183</v>
      </c>
      <c r="F484" s="1" t="s">
        <v>112</v>
      </c>
      <c r="G484" s="1">
        <v>213292</v>
      </c>
    </row>
    <row r="485" spans="1:8" x14ac:dyDescent="0.35">
      <c r="A485" s="1" t="str">
        <f t="shared" si="7"/>
        <v>17</v>
      </c>
      <c r="B4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5" s="1" t="s">
        <v>1184</v>
      </c>
      <c r="D485" s="1" t="s">
        <v>1185</v>
      </c>
      <c r="E485" s="1" t="s">
        <v>1186</v>
      </c>
      <c r="F485" s="1" t="s">
        <v>112</v>
      </c>
      <c r="G485" s="1">
        <v>268449</v>
      </c>
    </row>
    <row r="486" spans="1:8" x14ac:dyDescent="0.35">
      <c r="A486" s="1" t="str">
        <f t="shared" si="7"/>
        <v>17</v>
      </c>
      <c r="B4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6" s="1" t="s">
        <v>1187</v>
      </c>
      <c r="D486" s="1" t="s">
        <v>1188</v>
      </c>
      <c r="E486" s="1" t="s">
        <v>1189</v>
      </c>
      <c r="F486" s="1" t="s">
        <v>112</v>
      </c>
      <c r="G486" s="1">
        <v>2060745</v>
      </c>
    </row>
    <row r="487" spans="1:8" x14ac:dyDescent="0.35">
      <c r="A487" s="1" t="str">
        <f t="shared" si="7"/>
        <v>17</v>
      </c>
      <c r="B4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7" s="1" t="s">
        <v>1190</v>
      </c>
    </row>
    <row r="488" spans="1:8" x14ac:dyDescent="0.35">
      <c r="A488" s="1" t="str">
        <f t="shared" si="7"/>
        <v>17</v>
      </c>
      <c r="B4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8" s="1" t="s">
        <v>1191</v>
      </c>
      <c r="D488" s="1" t="s">
        <v>1192</v>
      </c>
      <c r="E488" s="1" t="s">
        <v>1193</v>
      </c>
      <c r="F488" s="1" t="s">
        <v>112</v>
      </c>
      <c r="G488" s="1">
        <v>1053895</v>
      </c>
    </row>
    <row r="489" spans="1:8" x14ac:dyDescent="0.35">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9" s="1" t="s">
        <v>112</v>
      </c>
    </row>
    <row r="490" spans="1:8" x14ac:dyDescent="0.35">
      <c r="A490" s="1" t="str">
        <f t="shared" si="7"/>
        <v/>
      </c>
      <c r="B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0" s="1" t="s">
        <v>239</v>
      </c>
      <c r="D490" s="1" t="s">
        <v>112</v>
      </c>
      <c r="E490" s="1" t="s">
        <v>240</v>
      </c>
      <c r="F490" s="1" t="s">
        <v>241</v>
      </c>
      <c r="G490" s="1" t="s">
        <v>242</v>
      </c>
      <c r="H490" s="1" t="s">
        <v>243</v>
      </c>
    </row>
    <row r="491" spans="1:8" x14ac:dyDescent="0.35">
      <c r="A491" s="1" t="str">
        <f t="shared" si="7"/>
        <v>17</v>
      </c>
      <c r="B4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91" s="1" t="s">
        <v>1194</v>
      </c>
      <c r="D491" s="1" t="s">
        <v>112</v>
      </c>
      <c r="E491" s="1" t="s">
        <v>1195</v>
      </c>
      <c r="F491" s="1" t="s">
        <v>1196</v>
      </c>
      <c r="G491" s="1" t="s">
        <v>1197</v>
      </c>
      <c r="H491" s="1" t="s">
        <v>1198</v>
      </c>
    </row>
    <row r="492" spans="1:8" x14ac:dyDescent="0.35">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2" s="1" t="s">
        <v>112</v>
      </c>
    </row>
    <row r="493" spans="1:8" x14ac:dyDescent="0.35">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3" s="1" t="s">
        <v>112</v>
      </c>
    </row>
    <row r="494" spans="1:8" x14ac:dyDescent="0.35">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4" s="1" t="s">
        <v>112</v>
      </c>
    </row>
    <row r="495" spans="1:8" x14ac:dyDescent="0.35">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5" s="1" t="s">
        <v>112</v>
      </c>
    </row>
    <row r="496" spans="1:8" x14ac:dyDescent="0.35">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6" s="1" t="s">
        <v>112</v>
      </c>
    </row>
    <row r="497" spans="1:7" x14ac:dyDescent="0.35">
      <c r="A497" s="1" t="str">
        <f t="shared" si="7"/>
        <v/>
      </c>
      <c r="B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7" s="1" t="s">
        <v>172</v>
      </c>
      <c r="D497" s="1" t="s">
        <v>110</v>
      </c>
      <c r="E497" s="1" t="s">
        <v>111</v>
      </c>
      <c r="F497" s="1" t="s">
        <v>112</v>
      </c>
      <c r="G497" s="1" t="s">
        <v>113</v>
      </c>
    </row>
    <row r="498" spans="1:7" x14ac:dyDescent="0.35">
      <c r="A498" s="1" t="str">
        <f t="shared" si="7"/>
        <v>18</v>
      </c>
      <c r="B4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8" s="1" t="s">
        <v>1199</v>
      </c>
    </row>
    <row r="499" spans="1:7" x14ac:dyDescent="0.35">
      <c r="A499" s="1" t="str">
        <f t="shared" si="7"/>
        <v>18</v>
      </c>
      <c r="B4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9" s="1" t="s">
        <v>1200</v>
      </c>
    </row>
    <row r="500" spans="1:7" x14ac:dyDescent="0.35">
      <c r="A500" s="1" t="str">
        <f t="shared" si="7"/>
        <v>18</v>
      </c>
      <c r="B5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00" s="1" t="s">
        <v>1201</v>
      </c>
    </row>
    <row r="501" spans="1:7" x14ac:dyDescent="0.35">
      <c r="A501" s="1" t="str">
        <f t="shared" si="7"/>
        <v>18</v>
      </c>
      <c r="B5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1" s="1" t="s">
        <v>1202</v>
      </c>
      <c r="D501" s="1" t="s">
        <v>1203</v>
      </c>
      <c r="E501" s="1" t="s">
        <v>1204</v>
      </c>
      <c r="F501" s="1" t="s">
        <v>112</v>
      </c>
      <c r="G501" s="1">
        <v>1214302</v>
      </c>
    </row>
    <row r="502" spans="1:7" x14ac:dyDescent="0.35">
      <c r="A502" s="1" t="str">
        <f t="shared" si="7"/>
        <v>18</v>
      </c>
      <c r="B5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2" s="1" t="s">
        <v>1205</v>
      </c>
      <c r="D502" s="1" t="s">
        <v>1206</v>
      </c>
      <c r="E502" s="1" t="s">
        <v>1207</v>
      </c>
      <c r="F502" s="1" t="s">
        <v>112</v>
      </c>
      <c r="G502" s="1">
        <v>1156183</v>
      </c>
    </row>
    <row r="503" spans="1:7" x14ac:dyDescent="0.35">
      <c r="A503" s="1" t="str">
        <f t="shared" si="7"/>
        <v>18</v>
      </c>
      <c r="B5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3" s="1" t="s">
        <v>1208</v>
      </c>
      <c r="D503" s="1" t="s">
        <v>1209</v>
      </c>
      <c r="E503" s="1" t="s">
        <v>1210</v>
      </c>
      <c r="F503" s="1" t="s">
        <v>112</v>
      </c>
      <c r="G503" s="1">
        <v>982711</v>
      </c>
    </row>
    <row r="504" spans="1:7" x14ac:dyDescent="0.35">
      <c r="A504" s="1" t="str">
        <f t="shared" si="7"/>
        <v>18</v>
      </c>
      <c r="B5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4" s="1" t="s">
        <v>1211</v>
      </c>
      <c r="D504" s="1" t="s">
        <v>1212</v>
      </c>
      <c r="E504" s="1" t="s">
        <v>1213</v>
      </c>
      <c r="F504" s="1" t="s">
        <v>112</v>
      </c>
      <c r="G504" s="1">
        <v>417868</v>
      </c>
    </row>
    <row r="505" spans="1:7" x14ac:dyDescent="0.35">
      <c r="A505" s="1" t="str">
        <f t="shared" si="7"/>
        <v>18</v>
      </c>
      <c r="B5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5" s="1" t="s">
        <v>1214</v>
      </c>
      <c r="D505" s="1" t="s">
        <v>1146</v>
      </c>
      <c r="E505" s="1" t="s">
        <v>1215</v>
      </c>
      <c r="F505" s="1" t="s">
        <v>112</v>
      </c>
      <c r="G505" s="1">
        <v>430132</v>
      </c>
    </row>
    <row r="506" spans="1:7" x14ac:dyDescent="0.35">
      <c r="A506" s="1" t="str">
        <f t="shared" si="7"/>
        <v>18</v>
      </c>
      <c r="B5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6" s="1" t="s">
        <v>1216</v>
      </c>
      <c r="D506" s="1" t="s">
        <v>1217</v>
      </c>
      <c r="E506" s="1" t="s">
        <v>1218</v>
      </c>
      <c r="F506" s="1" t="s">
        <v>112</v>
      </c>
      <c r="G506" s="1">
        <v>360700</v>
      </c>
    </row>
    <row r="507" spans="1:7" x14ac:dyDescent="0.35">
      <c r="A507" s="1" t="str">
        <f t="shared" si="7"/>
        <v>18</v>
      </c>
      <c r="B5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7" s="1" t="s">
        <v>1219</v>
      </c>
      <c r="D507" s="1" t="s">
        <v>1220</v>
      </c>
      <c r="E507" s="1" t="s">
        <v>1221</v>
      </c>
      <c r="F507" s="1" t="s">
        <v>112</v>
      </c>
      <c r="G507" s="1">
        <v>716296</v>
      </c>
    </row>
    <row r="508" spans="1:7" x14ac:dyDescent="0.35">
      <c r="A508" s="1" t="str">
        <f t="shared" si="7"/>
        <v>18</v>
      </c>
      <c r="B5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8" s="1" t="s">
        <v>1222</v>
      </c>
      <c r="D508" s="1" t="s">
        <v>1223</v>
      </c>
      <c r="E508" s="1" t="s">
        <v>1224</v>
      </c>
      <c r="F508" s="1" t="s">
        <v>112</v>
      </c>
      <c r="G508" s="1">
        <v>595320</v>
      </c>
    </row>
    <row r="509" spans="1:7" x14ac:dyDescent="0.35">
      <c r="A509" s="1" t="str">
        <f t="shared" si="7"/>
        <v>18</v>
      </c>
      <c r="B5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9" s="1" t="s">
        <v>1225</v>
      </c>
      <c r="D509" s="1" t="s">
        <v>1226</v>
      </c>
      <c r="E509" s="1" t="s">
        <v>1227</v>
      </c>
      <c r="F509" s="1" t="s">
        <v>112</v>
      </c>
      <c r="G509" s="1">
        <v>780796</v>
      </c>
    </row>
    <row r="510" spans="1:7" x14ac:dyDescent="0.35">
      <c r="A510" s="1" t="str">
        <f t="shared" si="7"/>
        <v>18</v>
      </c>
      <c r="B5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0" s="1" t="s">
        <v>1228</v>
      </c>
      <c r="D510" s="1" t="s">
        <v>1229</v>
      </c>
      <c r="E510" s="1" t="s">
        <v>1230</v>
      </c>
      <c r="F510" s="1" t="s">
        <v>112</v>
      </c>
      <c r="G510" s="1">
        <v>418495</v>
      </c>
    </row>
    <row r="511" spans="1:7" x14ac:dyDescent="0.35">
      <c r="A511" s="1" t="str">
        <f t="shared" si="7"/>
        <v>18</v>
      </c>
      <c r="B5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1" s="1" t="s">
        <v>1231</v>
      </c>
      <c r="D511" s="1" t="s">
        <v>1232</v>
      </c>
      <c r="E511" s="1" t="s">
        <v>1233</v>
      </c>
      <c r="F511" s="1" t="s">
        <v>112</v>
      </c>
      <c r="G511" s="1">
        <v>559154</v>
      </c>
    </row>
    <row r="512" spans="1:7" x14ac:dyDescent="0.35">
      <c r="A512" s="1" t="str">
        <f t="shared" si="7"/>
        <v>18</v>
      </c>
      <c r="B5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2" s="1" t="s">
        <v>1234</v>
      </c>
      <c r="D512" s="1" t="s">
        <v>1235</v>
      </c>
      <c r="E512" s="1" t="s">
        <v>1236</v>
      </c>
      <c r="F512" s="1" t="s">
        <v>112</v>
      </c>
      <c r="G512" s="1">
        <v>637390</v>
      </c>
    </row>
    <row r="513" spans="1:8" x14ac:dyDescent="0.35">
      <c r="A513" s="1" t="str">
        <f t="shared" si="7"/>
        <v>18</v>
      </c>
      <c r="B5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3" s="1" t="s">
        <v>1237</v>
      </c>
    </row>
    <row r="514" spans="1:8" x14ac:dyDescent="0.35">
      <c r="A514" s="1" t="str">
        <f t="shared" ref="A514:A577" si="8">IFERROR(LEFT(RIGHT(C514,LEN(C514)-SEARCH("@",C514)),SEARCH("/",RIGHT(C514,LEN(C514)-SEARCH("@",C514)-1))),"")</f>
        <v>18</v>
      </c>
      <c r="B5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4" s="1" t="s">
        <v>1238</v>
      </c>
      <c r="D514" s="1" t="s">
        <v>1239</v>
      </c>
      <c r="E514" s="1" t="s">
        <v>1240</v>
      </c>
      <c r="F514" s="1" t="s">
        <v>112</v>
      </c>
      <c r="G514" s="1">
        <v>817415</v>
      </c>
    </row>
    <row r="515" spans="1:8" x14ac:dyDescent="0.35">
      <c r="A515" s="1" t="str">
        <f t="shared" si="8"/>
        <v>18</v>
      </c>
      <c r="B5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5" s="1" t="s">
        <v>1241</v>
      </c>
      <c r="D515" s="1" t="s">
        <v>1242</v>
      </c>
      <c r="E515" s="1" t="s">
        <v>1243</v>
      </c>
      <c r="F515" s="1" t="s">
        <v>112</v>
      </c>
      <c r="G515" s="1">
        <v>687960</v>
      </c>
    </row>
    <row r="516" spans="1:8" x14ac:dyDescent="0.35">
      <c r="A516" s="1" t="str">
        <f t="shared" si="8"/>
        <v>18</v>
      </c>
      <c r="B5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6" s="1" t="s">
        <v>1244</v>
      </c>
      <c r="D516" s="1" t="s">
        <v>1245</v>
      </c>
      <c r="E516" s="1" t="s">
        <v>1246</v>
      </c>
      <c r="F516" s="1" t="s">
        <v>112</v>
      </c>
      <c r="G516" s="1">
        <v>1473731</v>
      </c>
    </row>
    <row r="517" spans="1:8" x14ac:dyDescent="0.35">
      <c r="A517" s="1" t="str">
        <f t="shared" si="8"/>
        <v>18</v>
      </c>
      <c r="B5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7" s="1" t="s">
        <v>1247</v>
      </c>
      <c r="D517" s="1" t="s">
        <v>1248</v>
      </c>
      <c r="E517" s="1" t="s">
        <v>1249</v>
      </c>
      <c r="F517" s="1" t="s">
        <v>112</v>
      </c>
      <c r="G517" s="1">
        <v>1327167</v>
      </c>
    </row>
    <row r="518" spans="1:8" x14ac:dyDescent="0.35">
      <c r="A518" s="1" t="str">
        <f t="shared" si="8"/>
        <v>18</v>
      </c>
      <c r="B5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8" s="1" t="s">
        <v>1250</v>
      </c>
      <c r="D518" s="1" t="s">
        <v>1251</v>
      </c>
      <c r="E518" s="1" t="s">
        <v>1252</v>
      </c>
      <c r="F518" s="1" t="s">
        <v>112</v>
      </c>
      <c r="G518" s="1">
        <v>1907822</v>
      </c>
    </row>
    <row r="519" spans="1:8" x14ac:dyDescent="0.35">
      <c r="A519" s="1" t="str">
        <f t="shared" si="8"/>
        <v>18</v>
      </c>
      <c r="B5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9" s="1" t="s">
        <v>1253</v>
      </c>
      <c r="D519" s="1" t="s">
        <v>1254</v>
      </c>
      <c r="E519" s="1" t="s">
        <v>1255</v>
      </c>
      <c r="F519" s="1" t="s">
        <v>112</v>
      </c>
      <c r="G519" s="1">
        <v>2094985</v>
      </c>
    </row>
    <row r="520" spans="1:8" x14ac:dyDescent="0.35">
      <c r="A520" s="1" t="str">
        <f t="shared" si="8"/>
        <v>18</v>
      </c>
      <c r="B5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0" s="1" t="s">
        <v>1256</v>
      </c>
      <c r="D520" s="1" t="s">
        <v>1257</v>
      </c>
      <c r="E520" s="1" t="s">
        <v>1258</v>
      </c>
      <c r="F520" s="1" t="s">
        <v>112</v>
      </c>
      <c r="G520" s="1">
        <v>1640152</v>
      </c>
    </row>
    <row r="521" spans="1:8" x14ac:dyDescent="0.35">
      <c r="A521" s="1" t="str">
        <f t="shared" si="8"/>
        <v>18</v>
      </c>
      <c r="B5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1" s="1" t="s">
        <v>1259</v>
      </c>
      <c r="D521" s="1" t="s">
        <v>1260</v>
      </c>
      <c r="E521" s="1" t="s">
        <v>1261</v>
      </c>
      <c r="F521" s="1" t="s">
        <v>112</v>
      </c>
      <c r="G521" s="1">
        <v>1996158</v>
      </c>
    </row>
    <row r="522" spans="1:8" x14ac:dyDescent="0.35">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2" s="1" t="s">
        <v>112</v>
      </c>
    </row>
    <row r="523" spans="1:8" x14ac:dyDescent="0.35">
      <c r="A523" s="1" t="str">
        <f t="shared" si="8"/>
        <v/>
      </c>
      <c r="B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3" s="1" t="s">
        <v>239</v>
      </c>
      <c r="D523" s="1" t="s">
        <v>112</v>
      </c>
      <c r="E523" s="1" t="s">
        <v>240</v>
      </c>
      <c r="F523" s="1" t="s">
        <v>241</v>
      </c>
      <c r="G523" s="1" t="s">
        <v>242</v>
      </c>
      <c r="H523" s="1" t="s">
        <v>243</v>
      </c>
    </row>
    <row r="524" spans="1:8" x14ac:dyDescent="0.35">
      <c r="A524" s="1" t="str">
        <f t="shared" si="8"/>
        <v>18</v>
      </c>
      <c r="B5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24" s="1" t="s">
        <v>1262</v>
      </c>
      <c r="D524" s="1" t="s">
        <v>112</v>
      </c>
      <c r="E524" s="1" t="s">
        <v>1263</v>
      </c>
      <c r="F524" s="1" t="s">
        <v>1264</v>
      </c>
      <c r="G524" s="1" t="s">
        <v>1265</v>
      </c>
      <c r="H524" s="1" t="s">
        <v>1266</v>
      </c>
    </row>
    <row r="525" spans="1:8" x14ac:dyDescent="0.35">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5" s="1" t="s">
        <v>112</v>
      </c>
    </row>
    <row r="526" spans="1:8" x14ac:dyDescent="0.35">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6" s="1" t="s">
        <v>112</v>
      </c>
    </row>
    <row r="527" spans="1:8" x14ac:dyDescent="0.35">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7" s="1" t="s">
        <v>112</v>
      </c>
    </row>
    <row r="528" spans="1:8" x14ac:dyDescent="0.35">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8" s="1" t="s">
        <v>112</v>
      </c>
    </row>
    <row r="529" spans="1:7" x14ac:dyDescent="0.35">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9" s="1" t="s">
        <v>112</v>
      </c>
    </row>
    <row r="530" spans="1:7" x14ac:dyDescent="0.35">
      <c r="A530" s="1" t="str">
        <f t="shared" si="8"/>
        <v/>
      </c>
      <c r="B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30" s="1" t="s">
        <v>172</v>
      </c>
      <c r="D530" s="1" t="s">
        <v>110</v>
      </c>
      <c r="E530" s="1" t="s">
        <v>111</v>
      </c>
      <c r="F530" s="1" t="s">
        <v>112</v>
      </c>
      <c r="G530" s="1" t="s">
        <v>113</v>
      </c>
    </row>
    <row r="531" spans="1:7" x14ac:dyDescent="0.35">
      <c r="A531" s="1" t="str">
        <f t="shared" si="8"/>
        <v>19</v>
      </c>
      <c r="B5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1" s="1" t="s">
        <v>1267</v>
      </c>
      <c r="D531" s="1" t="s">
        <v>1268</v>
      </c>
      <c r="E531" s="1" t="s">
        <v>1269</v>
      </c>
      <c r="F531" s="1" t="s">
        <v>112</v>
      </c>
      <c r="G531" s="1">
        <v>484596</v>
      </c>
    </row>
    <row r="532" spans="1:7" x14ac:dyDescent="0.35">
      <c r="A532" s="1" t="str">
        <f t="shared" si="8"/>
        <v>19</v>
      </c>
      <c r="B5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2" s="1" t="s">
        <v>1270</v>
      </c>
      <c r="D532" s="1" t="s">
        <v>1271</v>
      </c>
      <c r="E532" s="1" t="s">
        <v>1272</v>
      </c>
      <c r="F532" s="1" t="s">
        <v>112</v>
      </c>
      <c r="G532" s="1">
        <v>387002</v>
      </c>
    </row>
    <row r="533" spans="1:7" x14ac:dyDescent="0.35">
      <c r="A533" s="1" t="str">
        <f t="shared" si="8"/>
        <v>19</v>
      </c>
      <c r="B5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3" s="1" t="s">
        <v>1273</v>
      </c>
      <c r="D533" s="1" t="s">
        <v>1274</v>
      </c>
      <c r="E533" s="1" t="s">
        <v>1275</v>
      </c>
      <c r="F533" s="1" t="s">
        <v>112</v>
      </c>
      <c r="G533" s="1">
        <v>152101</v>
      </c>
    </row>
    <row r="534" spans="1:7" x14ac:dyDescent="0.35">
      <c r="A534" s="1" t="str">
        <f t="shared" si="8"/>
        <v>19</v>
      </c>
      <c r="B5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4" s="1" t="s">
        <v>1276</v>
      </c>
    </row>
    <row r="535" spans="1:7" x14ac:dyDescent="0.35">
      <c r="A535" s="1" t="str">
        <f t="shared" si="8"/>
        <v>19</v>
      </c>
      <c r="B5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5" s="1" t="s">
        <v>1277</v>
      </c>
    </row>
    <row r="536" spans="1:7" x14ac:dyDescent="0.35">
      <c r="A536" s="1" t="str">
        <f t="shared" si="8"/>
        <v>19</v>
      </c>
      <c r="B5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6" s="1" t="s">
        <v>1278</v>
      </c>
      <c r="D536" s="1" t="s">
        <v>1010</v>
      </c>
      <c r="E536" s="1" t="s">
        <v>1279</v>
      </c>
      <c r="F536" s="1" t="s">
        <v>112</v>
      </c>
      <c r="G536" s="1">
        <v>237237</v>
      </c>
    </row>
    <row r="537" spans="1:7" x14ac:dyDescent="0.35">
      <c r="A537" s="1" t="str">
        <f t="shared" si="8"/>
        <v>19</v>
      </c>
      <c r="B5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7" s="1" t="s">
        <v>1280</v>
      </c>
      <c r="D537" s="1" t="s">
        <v>1281</v>
      </c>
      <c r="E537" s="1" t="s">
        <v>1282</v>
      </c>
      <c r="F537" s="1" t="s">
        <v>112</v>
      </c>
      <c r="G537" s="1">
        <v>1362034</v>
      </c>
    </row>
    <row r="538" spans="1:7" x14ac:dyDescent="0.35">
      <c r="A538" s="1" t="str">
        <f t="shared" si="8"/>
        <v>19</v>
      </c>
      <c r="B5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8" s="1" t="s">
        <v>1283</v>
      </c>
      <c r="D538" s="1" t="s">
        <v>1284</v>
      </c>
      <c r="E538" s="1" t="s">
        <v>1285</v>
      </c>
      <c r="F538" s="1" t="s">
        <v>112</v>
      </c>
      <c r="G538" s="1">
        <v>1699915</v>
      </c>
    </row>
    <row r="539" spans="1:7" x14ac:dyDescent="0.35">
      <c r="A539" s="1" t="str">
        <f t="shared" si="8"/>
        <v>19</v>
      </c>
      <c r="B5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9" s="1" t="s">
        <v>1286</v>
      </c>
      <c r="D539" s="1" t="s">
        <v>1287</v>
      </c>
      <c r="E539" s="1" t="s">
        <v>1288</v>
      </c>
      <c r="F539" s="1" t="s">
        <v>112</v>
      </c>
      <c r="G539" s="1">
        <v>2548737</v>
      </c>
    </row>
    <row r="540" spans="1:7" x14ac:dyDescent="0.35">
      <c r="A540" s="1" t="str">
        <f t="shared" si="8"/>
        <v>19</v>
      </c>
      <c r="B5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0" s="1" t="s">
        <v>1289</v>
      </c>
    </row>
    <row r="541" spans="1:7" x14ac:dyDescent="0.35">
      <c r="A541" s="1" t="str">
        <f t="shared" si="8"/>
        <v>19</v>
      </c>
      <c r="B5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1" s="1" t="s">
        <v>1290</v>
      </c>
    </row>
    <row r="542" spans="1:7" x14ac:dyDescent="0.35">
      <c r="A542" s="1" t="str">
        <f t="shared" si="8"/>
        <v>19</v>
      </c>
      <c r="B5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2" s="1" t="s">
        <v>1291</v>
      </c>
      <c r="D542" s="1" t="s">
        <v>1292</v>
      </c>
      <c r="E542" s="1" t="s">
        <v>1293</v>
      </c>
      <c r="F542" s="1" t="s">
        <v>112</v>
      </c>
      <c r="G542" s="1">
        <v>2743904</v>
      </c>
    </row>
    <row r="543" spans="1:7" x14ac:dyDescent="0.35">
      <c r="A543" s="1" t="str">
        <f t="shared" si="8"/>
        <v>19</v>
      </c>
      <c r="B5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3" s="1" t="s">
        <v>1294</v>
      </c>
      <c r="D543" s="1" t="s">
        <v>1295</v>
      </c>
      <c r="E543" s="1" t="s">
        <v>1296</v>
      </c>
      <c r="F543" s="1" t="s">
        <v>112</v>
      </c>
      <c r="G543" s="1">
        <v>10080</v>
      </c>
    </row>
    <row r="544" spans="1:7" x14ac:dyDescent="0.35">
      <c r="A544" s="1" t="str">
        <f t="shared" si="8"/>
        <v>19</v>
      </c>
      <c r="B5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4" s="1" t="s">
        <v>1297</v>
      </c>
      <c r="D544" s="1" t="s">
        <v>1298</v>
      </c>
      <c r="E544" s="1" t="s">
        <v>1299</v>
      </c>
      <c r="F544" s="1" t="s">
        <v>112</v>
      </c>
      <c r="G544" s="1">
        <v>51068</v>
      </c>
    </row>
    <row r="545" spans="1:8" x14ac:dyDescent="0.35">
      <c r="A545" s="1" t="str">
        <f t="shared" si="8"/>
        <v>19</v>
      </c>
      <c r="B5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5" s="1" t="s">
        <v>1300</v>
      </c>
      <c r="D545" s="1" t="s">
        <v>473</v>
      </c>
      <c r="E545" s="1" t="s">
        <v>1301</v>
      </c>
      <c r="F545" s="1" t="s">
        <v>112</v>
      </c>
      <c r="G545" s="1">
        <v>127508</v>
      </c>
    </row>
    <row r="546" spans="1:8" x14ac:dyDescent="0.35">
      <c r="A546" s="1" t="str">
        <f t="shared" si="8"/>
        <v>19</v>
      </c>
      <c r="B5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6" s="1" t="s">
        <v>1302</v>
      </c>
    </row>
    <row r="547" spans="1:8" x14ac:dyDescent="0.35">
      <c r="A547" s="1" t="str">
        <f t="shared" si="8"/>
        <v>19</v>
      </c>
      <c r="B5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7" s="1" t="s">
        <v>1303</v>
      </c>
    </row>
    <row r="548" spans="1:8" x14ac:dyDescent="0.35">
      <c r="A548" s="1" t="str">
        <f t="shared" si="8"/>
        <v>19</v>
      </c>
      <c r="B5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8" s="1" t="s">
        <v>1304</v>
      </c>
      <c r="D548" s="1" t="s">
        <v>1305</v>
      </c>
      <c r="E548" s="1" t="s">
        <v>1306</v>
      </c>
      <c r="F548" s="1" t="s">
        <v>112</v>
      </c>
      <c r="G548" s="1">
        <v>441639</v>
      </c>
    </row>
    <row r="549" spans="1:8" x14ac:dyDescent="0.35">
      <c r="A549" s="1" t="str">
        <f t="shared" si="8"/>
        <v>19</v>
      </c>
      <c r="B5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9" s="1" t="s">
        <v>1307</v>
      </c>
      <c r="D549" s="1" t="s">
        <v>951</v>
      </c>
      <c r="E549" s="1" t="s">
        <v>1308</v>
      </c>
      <c r="F549" s="1" t="s">
        <v>112</v>
      </c>
      <c r="G549" s="1">
        <v>159931</v>
      </c>
    </row>
    <row r="550" spans="1:8" x14ac:dyDescent="0.35">
      <c r="A550" s="1" t="str">
        <f t="shared" si="8"/>
        <v>19</v>
      </c>
      <c r="B5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0" s="1" t="s">
        <v>1309</v>
      </c>
    </row>
    <row r="551" spans="1:8" x14ac:dyDescent="0.35">
      <c r="A551" s="1" t="str">
        <f t="shared" si="8"/>
        <v>19</v>
      </c>
      <c r="B5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1" s="1" t="s">
        <v>1310</v>
      </c>
    </row>
    <row r="552" spans="1:8" x14ac:dyDescent="0.35">
      <c r="A552" s="1" t="str">
        <f t="shared" si="8"/>
        <v>19</v>
      </c>
      <c r="B5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2" s="1" t="s">
        <v>1311</v>
      </c>
      <c r="D552" s="1" t="s">
        <v>1312</v>
      </c>
      <c r="E552" s="1" t="s">
        <v>1313</v>
      </c>
      <c r="F552" s="1" t="s">
        <v>112</v>
      </c>
      <c r="G552" s="1">
        <v>2941774</v>
      </c>
    </row>
    <row r="553" spans="1:8" x14ac:dyDescent="0.35">
      <c r="A553" s="1" t="str">
        <f t="shared" si="8"/>
        <v>19</v>
      </c>
      <c r="B5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3" s="1" t="s">
        <v>1314</v>
      </c>
      <c r="D553" s="1" t="s">
        <v>1315</v>
      </c>
      <c r="E553" s="1" t="s">
        <v>1316</v>
      </c>
      <c r="F553" s="1" t="s">
        <v>112</v>
      </c>
      <c r="G553" s="1">
        <v>2621435</v>
      </c>
    </row>
    <row r="554" spans="1:8" x14ac:dyDescent="0.35">
      <c r="A554" s="1" t="str">
        <f t="shared" si="8"/>
        <v>19</v>
      </c>
      <c r="B5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4" s="1" t="s">
        <v>1317</v>
      </c>
      <c r="D554" s="1" t="s">
        <v>1318</v>
      </c>
      <c r="E554" s="1" t="s">
        <v>1319</v>
      </c>
      <c r="F554" s="1" t="s">
        <v>112</v>
      </c>
      <c r="G554" s="1">
        <v>2595306</v>
      </c>
    </row>
    <row r="555" spans="1:8" x14ac:dyDescent="0.35">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5" s="1" t="s">
        <v>112</v>
      </c>
    </row>
    <row r="556" spans="1:8" x14ac:dyDescent="0.35">
      <c r="A556" s="1" t="str">
        <f t="shared" si="8"/>
        <v/>
      </c>
      <c r="B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6" s="1" t="s">
        <v>239</v>
      </c>
      <c r="D556" s="1" t="s">
        <v>112</v>
      </c>
      <c r="E556" s="1" t="s">
        <v>240</v>
      </c>
      <c r="F556" s="1" t="s">
        <v>241</v>
      </c>
      <c r="G556" s="1" t="s">
        <v>242</v>
      </c>
      <c r="H556" s="1" t="s">
        <v>243</v>
      </c>
    </row>
    <row r="557" spans="1:8" x14ac:dyDescent="0.35">
      <c r="A557" s="1" t="str">
        <f t="shared" si="8"/>
        <v>19</v>
      </c>
      <c r="B5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57" s="1" t="s">
        <v>1320</v>
      </c>
      <c r="D557" s="1" t="s">
        <v>112</v>
      </c>
      <c r="E557" s="1" t="s">
        <v>1321</v>
      </c>
      <c r="F557" s="1" t="s">
        <v>1322</v>
      </c>
      <c r="G557" s="1" t="s">
        <v>1323</v>
      </c>
      <c r="H557" s="1" t="s">
        <v>1324</v>
      </c>
    </row>
    <row r="558" spans="1:8" x14ac:dyDescent="0.35">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8" s="1" t="s">
        <v>112</v>
      </c>
    </row>
    <row r="559" spans="1:8" x14ac:dyDescent="0.35">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9" s="1" t="s">
        <v>112</v>
      </c>
    </row>
    <row r="560" spans="1:8" x14ac:dyDescent="0.35">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0" s="1" t="s">
        <v>112</v>
      </c>
    </row>
    <row r="561" spans="1:7" x14ac:dyDescent="0.35">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1" s="1" t="s">
        <v>112</v>
      </c>
    </row>
    <row r="562" spans="1:7" x14ac:dyDescent="0.35">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2" s="1" t="s">
        <v>112</v>
      </c>
    </row>
    <row r="563" spans="1:7" x14ac:dyDescent="0.35">
      <c r="A563" s="1" t="str">
        <f t="shared" si="8"/>
        <v/>
      </c>
      <c r="B5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3" s="1" t="s">
        <v>172</v>
      </c>
      <c r="D563" s="1" t="s">
        <v>110</v>
      </c>
      <c r="E563" s="1" t="s">
        <v>111</v>
      </c>
      <c r="F563" s="1" t="s">
        <v>112</v>
      </c>
      <c r="G563" s="1" t="s">
        <v>113</v>
      </c>
    </row>
    <row r="564" spans="1:7" x14ac:dyDescent="0.35">
      <c r="A564" s="1" t="str">
        <f t="shared" si="8"/>
        <v>20</v>
      </c>
      <c r="B5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4" s="1" t="s">
        <v>1325</v>
      </c>
      <c r="D564" s="1" t="s">
        <v>1326</v>
      </c>
      <c r="E564" s="1" t="s">
        <v>1327</v>
      </c>
      <c r="F564" s="1" t="s">
        <v>112</v>
      </c>
      <c r="G564" s="1">
        <v>341947</v>
      </c>
    </row>
    <row r="565" spans="1:7" x14ac:dyDescent="0.35">
      <c r="A565" s="1" t="str">
        <f t="shared" si="8"/>
        <v>20</v>
      </c>
      <c r="B5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5" s="1" t="s">
        <v>1328</v>
      </c>
      <c r="D565" s="1" t="s">
        <v>1329</v>
      </c>
      <c r="E565" s="1" t="s">
        <v>1330</v>
      </c>
      <c r="F565" s="1" t="s">
        <v>112</v>
      </c>
      <c r="G565" s="1">
        <v>761459</v>
      </c>
    </row>
    <row r="566" spans="1:7" x14ac:dyDescent="0.35">
      <c r="A566" s="1" t="str">
        <f t="shared" si="8"/>
        <v>20</v>
      </c>
      <c r="B5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6" s="1" t="s">
        <v>1331</v>
      </c>
      <c r="D566" s="1" t="s">
        <v>1332</v>
      </c>
      <c r="E566" s="1" t="s">
        <v>1333</v>
      </c>
      <c r="F566" s="1" t="s">
        <v>112</v>
      </c>
      <c r="G566" s="1">
        <v>462880</v>
      </c>
    </row>
    <row r="567" spans="1:7" x14ac:dyDescent="0.35">
      <c r="A567" s="1" t="str">
        <f t="shared" si="8"/>
        <v>20</v>
      </c>
      <c r="B5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7" s="1" t="s">
        <v>1334</v>
      </c>
      <c r="D567" s="1" t="s">
        <v>1335</v>
      </c>
      <c r="E567" s="1" t="s">
        <v>1336</v>
      </c>
      <c r="F567" s="1" t="s">
        <v>112</v>
      </c>
      <c r="G567" s="1">
        <v>1409058</v>
      </c>
    </row>
    <row r="568" spans="1:7" x14ac:dyDescent="0.35">
      <c r="A568" s="1" t="str">
        <f t="shared" si="8"/>
        <v>20</v>
      </c>
      <c r="B5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8" s="1" t="s">
        <v>1337</v>
      </c>
      <c r="D568" s="1" t="s">
        <v>1338</v>
      </c>
      <c r="E568" s="1" t="s">
        <v>1339</v>
      </c>
      <c r="F568" s="1" t="s">
        <v>112</v>
      </c>
      <c r="G568" s="1">
        <v>1524172</v>
      </c>
    </row>
    <row r="569" spans="1:7" x14ac:dyDescent="0.35">
      <c r="A569" s="1" t="str">
        <f t="shared" si="8"/>
        <v>20</v>
      </c>
      <c r="B5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9" s="1" t="s">
        <v>1340</v>
      </c>
      <c r="D569" s="1" t="s">
        <v>1341</v>
      </c>
      <c r="E569" s="1" t="s">
        <v>1342</v>
      </c>
      <c r="F569" s="1" t="s">
        <v>112</v>
      </c>
      <c r="G569" s="1">
        <v>2529119</v>
      </c>
    </row>
    <row r="570" spans="1:7" x14ac:dyDescent="0.35">
      <c r="A570" s="1" t="str">
        <f t="shared" si="8"/>
        <v>20</v>
      </c>
      <c r="B5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0" s="1" t="s">
        <v>1343</v>
      </c>
      <c r="D570" s="1" t="s">
        <v>551</v>
      </c>
      <c r="E570" s="1" t="s">
        <v>1344</v>
      </c>
      <c r="F570" s="1" t="s">
        <v>112</v>
      </c>
      <c r="G570" s="1">
        <v>355422</v>
      </c>
    </row>
    <row r="571" spans="1:7" x14ac:dyDescent="0.35">
      <c r="A571" s="1" t="str">
        <f t="shared" si="8"/>
        <v>20</v>
      </c>
      <c r="B5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1" s="1" t="s">
        <v>1345</v>
      </c>
      <c r="D571" s="1" t="s">
        <v>1346</v>
      </c>
      <c r="E571" s="1" t="s">
        <v>1347</v>
      </c>
      <c r="F571" s="1" t="s">
        <v>112</v>
      </c>
      <c r="G571" s="1">
        <v>499867</v>
      </c>
    </row>
    <row r="572" spans="1:7" x14ac:dyDescent="0.35">
      <c r="A572" s="1" t="str">
        <f t="shared" si="8"/>
        <v>20</v>
      </c>
      <c r="B5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2" s="1" t="s">
        <v>1348</v>
      </c>
      <c r="D572" s="1" t="s">
        <v>1349</v>
      </c>
      <c r="E572" s="1" t="s">
        <v>1350</v>
      </c>
      <c r="F572" s="1" t="s">
        <v>112</v>
      </c>
      <c r="G572" s="1">
        <v>432598</v>
      </c>
    </row>
    <row r="573" spans="1:7" x14ac:dyDescent="0.35">
      <c r="A573" s="1" t="str">
        <f t="shared" si="8"/>
        <v>20</v>
      </c>
      <c r="B5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3" s="1" t="s">
        <v>1351</v>
      </c>
      <c r="D573" s="1" t="s">
        <v>1352</v>
      </c>
      <c r="E573" s="1" t="s">
        <v>1353</v>
      </c>
      <c r="F573" s="1" t="s">
        <v>112</v>
      </c>
      <c r="G573" s="1">
        <v>231245</v>
      </c>
    </row>
    <row r="574" spans="1:7" x14ac:dyDescent="0.35">
      <c r="A574" s="1" t="str">
        <f t="shared" si="8"/>
        <v>20</v>
      </c>
      <c r="B5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4" s="1" t="s">
        <v>1354</v>
      </c>
      <c r="D574" s="1" t="s">
        <v>1355</v>
      </c>
      <c r="E574" s="1" t="s">
        <v>1356</v>
      </c>
      <c r="F574" s="1" t="s">
        <v>112</v>
      </c>
      <c r="G574" s="1">
        <v>162808</v>
      </c>
    </row>
    <row r="575" spans="1:7" x14ac:dyDescent="0.35">
      <c r="A575" s="1" t="str">
        <f t="shared" si="8"/>
        <v>20</v>
      </c>
      <c r="B5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5" s="1" t="s">
        <v>1357</v>
      </c>
    </row>
    <row r="576" spans="1:7" x14ac:dyDescent="0.35">
      <c r="A576" s="1" t="str">
        <f t="shared" si="8"/>
        <v>20</v>
      </c>
      <c r="B5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6" s="1" t="s">
        <v>1358</v>
      </c>
      <c r="D576" s="1" t="s">
        <v>1359</v>
      </c>
      <c r="E576" s="1" t="s">
        <v>1360</v>
      </c>
      <c r="F576" s="1" t="s">
        <v>112</v>
      </c>
      <c r="G576" s="1">
        <v>1705842</v>
      </c>
    </row>
    <row r="577" spans="1:8" x14ac:dyDescent="0.35">
      <c r="A577" s="1" t="str">
        <f t="shared" si="8"/>
        <v>20</v>
      </c>
      <c r="B5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7" s="1" t="s">
        <v>1361</v>
      </c>
      <c r="D577" s="1" t="s">
        <v>1362</v>
      </c>
      <c r="E577" s="1" t="s">
        <v>1363</v>
      </c>
      <c r="F577" s="1" t="s">
        <v>112</v>
      </c>
      <c r="G577" s="1">
        <v>2045885</v>
      </c>
    </row>
    <row r="578" spans="1:8" x14ac:dyDescent="0.35">
      <c r="A578" s="1" t="str">
        <f t="shared" ref="A578:A641" si="9">IFERROR(LEFT(RIGHT(C578,LEN(C578)-SEARCH("@",C578)),SEARCH("/",RIGHT(C578,LEN(C578)-SEARCH("@",C578)-1))),"")</f>
        <v>20</v>
      </c>
      <c r="B5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8" s="1" t="s">
        <v>1364</v>
      </c>
      <c r="D578" s="1" t="s">
        <v>1365</v>
      </c>
      <c r="E578" s="1" t="s">
        <v>1366</v>
      </c>
      <c r="F578" s="1" t="s">
        <v>112</v>
      </c>
      <c r="G578" s="1">
        <v>1914375</v>
      </c>
    </row>
    <row r="579" spans="1:8" x14ac:dyDescent="0.35">
      <c r="A579" s="1" t="str">
        <f t="shared" si="9"/>
        <v>20</v>
      </c>
      <c r="B5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9" s="1" t="s">
        <v>1367</v>
      </c>
      <c r="D579" s="1" t="s">
        <v>1368</v>
      </c>
      <c r="E579" s="1" t="s">
        <v>1369</v>
      </c>
      <c r="F579" s="1" t="s">
        <v>112</v>
      </c>
      <c r="G579" s="1">
        <v>2216675</v>
      </c>
    </row>
    <row r="580" spans="1:8" x14ac:dyDescent="0.35">
      <c r="A580" s="1" t="str">
        <f t="shared" si="9"/>
        <v>20</v>
      </c>
      <c r="B5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80" s="1" t="s">
        <v>1370</v>
      </c>
      <c r="D580" s="1" t="s">
        <v>1371</v>
      </c>
      <c r="E580" s="1" t="s">
        <v>1372</v>
      </c>
      <c r="F580" s="1" t="s">
        <v>112</v>
      </c>
      <c r="G580" s="1">
        <v>2109434</v>
      </c>
    </row>
    <row r="581" spans="1:8" x14ac:dyDescent="0.35">
      <c r="A581" s="1" t="str">
        <f t="shared" si="9"/>
        <v>20</v>
      </c>
      <c r="B5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81" s="1" t="s">
        <v>1373</v>
      </c>
      <c r="D581" s="1" t="s">
        <v>1374</v>
      </c>
      <c r="E581" s="1" t="s">
        <v>1375</v>
      </c>
      <c r="F581" s="1" t="s">
        <v>112</v>
      </c>
      <c r="G581" s="1">
        <v>2061264</v>
      </c>
    </row>
    <row r="582" spans="1:8" x14ac:dyDescent="0.35">
      <c r="A582" s="1" t="str">
        <f t="shared" si="9"/>
        <v>20</v>
      </c>
      <c r="B5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2" s="1" t="s">
        <v>1376</v>
      </c>
    </row>
    <row r="583" spans="1:8" x14ac:dyDescent="0.35">
      <c r="A583" s="1" t="str">
        <f t="shared" si="9"/>
        <v>20</v>
      </c>
      <c r="B5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3" s="1" t="s">
        <v>1377</v>
      </c>
    </row>
    <row r="584" spans="1:8" x14ac:dyDescent="0.35">
      <c r="A584" s="1" t="str">
        <f t="shared" si="9"/>
        <v>20</v>
      </c>
      <c r="B5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4" s="1" t="s">
        <v>1378</v>
      </c>
    </row>
    <row r="585" spans="1:8" x14ac:dyDescent="0.35">
      <c r="A585" s="1" t="str">
        <f t="shared" si="9"/>
        <v>20</v>
      </c>
      <c r="B5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5" s="1" t="s">
        <v>1379</v>
      </c>
      <c r="D585" s="1" t="s">
        <v>1380</v>
      </c>
      <c r="E585" s="1" t="s">
        <v>1381</v>
      </c>
      <c r="F585" s="1" t="s">
        <v>112</v>
      </c>
      <c r="G585" s="1">
        <v>1061422</v>
      </c>
    </row>
    <row r="586" spans="1:8" x14ac:dyDescent="0.35">
      <c r="A586" s="1" t="str">
        <f t="shared" si="9"/>
        <v>20</v>
      </c>
      <c r="B5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6" s="1" t="s">
        <v>1382</v>
      </c>
      <c r="D586" s="1" t="s">
        <v>1383</v>
      </c>
      <c r="E586" s="1" t="s">
        <v>1384</v>
      </c>
      <c r="F586" s="1" t="s">
        <v>112</v>
      </c>
      <c r="G586" s="1">
        <v>1022207</v>
      </c>
    </row>
    <row r="587" spans="1:8" x14ac:dyDescent="0.35">
      <c r="A587" s="1" t="str">
        <f t="shared" si="9"/>
        <v>20</v>
      </c>
      <c r="B5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7" s="1" t="s">
        <v>1385</v>
      </c>
      <c r="D587" s="1" t="s">
        <v>1386</v>
      </c>
      <c r="E587" s="1" t="s">
        <v>1387</v>
      </c>
      <c r="F587" s="1" t="s">
        <v>112</v>
      </c>
      <c r="G587" s="1">
        <v>947411</v>
      </c>
    </row>
    <row r="588" spans="1:8" x14ac:dyDescent="0.35">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8" s="1" t="s">
        <v>112</v>
      </c>
    </row>
    <row r="589" spans="1:8" x14ac:dyDescent="0.35">
      <c r="A589" s="1" t="str">
        <f t="shared" si="9"/>
        <v/>
      </c>
      <c r="B5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9" s="1" t="s">
        <v>239</v>
      </c>
      <c r="D589" s="1" t="s">
        <v>112</v>
      </c>
      <c r="E589" s="1" t="s">
        <v>240</v>
      </c>
      <c r="F589" s="1" t="s">
        <v>241</v>
      </c>
      <c r="G589" s="1" t="s">
        <v>242</v>
      </c>
      <c r="H589" s="1" t="s">
        <v>243</v>
      </c>
    </row>
    <row r="590" spans="1:8" x14ac:dyDescent="0.35">
      <c r="A590" s="1" t="str">
        <f t="shared" si="9"/>
        <v>20</v>
      </c>
      <c r="B5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90" s="1" t="s">
        <v>1388</v>
      </c>
      <c r="D590" s="1" t="s">
        <v>112</v>
      </c>
      <c r="E590" s="1" t="s">
        <v>1389</v>
      </c>
      <c r="F590" s="1" t="s">
        <v>1390</v>
      </c>
      <c r="G590" s="1" t="s">
        <v>1391</v>
      </c>
      <c r="H590" s="1" t="s">
        <v>1392</v>
      </c>
    </row>
    <row r="591" spans="1:8" x14ac:dyDescent="0.35">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1" s="1" t="s">
        <v>112</v>
      </c>
    </row>
    <row r="592" spans="1:8" x14ac:dyDescent="0.35">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2" s="1" t="s">
        <v>112</v>
      </c>
    </row>
    <row r="593" spans="1:7" x14ac:dyDescent="0.35">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3" s="1" t="s">
        <v>112</v>
      </c>
    </row>
    <row r="594" spans="1:7" x14ac:dyDescent="0.35">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4" s="1" t="s">
        <v>112</v>
      </c>
    </row>
    <row r="595" spans="1:7" x14ac:dyDescent="0.35">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5" s="1" t="s">
        <v>112</v>
      </c>
    </row>
    <row r="596" spans="1:7" x14ac:dyDescent="0.35">
      <c r="A596" s="1" t="str">
        <f t="shared" si="9"/>
        <v/>
      </c>
      <c r="B5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6" s="1" t="s">
        <v>172</v>
      </c>
      <c r="D596" s="1" t="s">
        <v>110</v>
      </c>
      <c r="E596" s="1" t="s">
        <v>111</v>
      </c>
      <c r="F596" s="1" t="s">
        <v>112</v>
      </c>
      <c r="G596" s="1" t="s">
        <v>113</v>
      </c>
    </row>
    <row r="597" spans="1:7" x14ac:dyDescent="0.35">
      <c r="A597" s="1" t="str">
        <f t="shared" si="9"/>
        <v>21</v>
      </c>
      <c r="B5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7" s="1" t="s">
        <v>1393</v>
      </c>
      <c r="D597" s="1" t="s">
        <v>1394</v>
      </c>
      <c r="E597" s="1" t="s">
        <v>1395</v>
      </c>
      <c r="F597" s="1" t="s">
        <v>112</v>
      </c>
      <c r="G597" s="1">
        <v>17866</v>
      </c>
    </row>
    <row r="598" spans="1:7" x14ac:dyDescent="0.35">
      <c r="A598" s="1" t="str">
        <f t="shared" si="9"/>
        <v>21</v>
      </c>
      <c r="B5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8" s="1" t="s">
        <v>1396</v>
      </c>
      <c r="D598" s="1" t="s">
        <v>1397</v>
      </c>
      <c r="E598" s="1" t="s">
        <v>1398</v>
      </c>
      <c r="F598" s="1" t="s">
        <v>112</v>
      </c>
      <c r="G598" s="1">
        <v>63332</v>
      </c>
    </row>
    <row r="599" spans="1:7" x14ac:dyDescent="0.35">
      <c r="A599" s="1" t="str">
        <f t="shared" si="9"/>
        <v>21</v>
      </c>
      <c r="B5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9" s="1" t="s">
        <v>1399</v>
      </c>
      <c r="D599" s="1" t="s">
        <v>1400</v>
      </c>
      <c r="E599" s="1" t="s">
        <v>1401</v>
      </c>
      <c r="F599" s="1" t="s">
        <v>112</v>
      </c>
      <c r="G599" s="1">
        <v>110875</v>
      </c>
    </row>
    <row r="600" spans="1:7" x14ac:dyDescent="0.35">
      <c r="A600" s="1" t="str">
        <f t="shared" si="9"/>
        <v>21</v>
      </c>
      <c r="B6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0" s="1" t="s">
        <v>1402</v>
      </c>
      <c r="D600" s="1" t="s">
        <v>1403</v>
      </c>
      <c r="E600" s="1" t="s">
        <v>1404</v>
      </c>
      <c r="F600" s="1" t="s">
        <v>112</v>
      </c>
      <c r="G600" s="1">
        <v>21825</v>
      </c>
    </row>
    <row r="601" spans="1:7" x14ac:dyDescent="0.35">
      <c r="A601" s="1" t="str">
        <f t="shared" si="9"/>
        <v>21</v>
      </c>
      <c r="B6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1" s="1" t="s">
        <v>1405</v>
      </c>
      <c r="D601" s="1" t="s">
        <v>1406</v>
      </c>
      <c r="E601" s="1">
        <v>32</v>
      </c>
      <c r="F601" s="1" t="s">
        <v>112</v>
      </c>
      <c r="G601" s="1">
        <v>82367</v>
      </c>
    </row>
    <row r="602" spans="1:7" x14ac:dyDescent="0.35">
      <c r="A602" s="1" t="str">
        <f t="shared" si="9"/>
        <v>21</v>
      </c>
      <c r="B6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2" s="1" t="s">
        <v>1407</v>
      </c>
      <c r="D602" s="1" t="s">
        <v>1408</v>
      </c>
      <c r="E602" s="1" t="s">
        <v>1409</v>
      </c>
      <c r="F602" s="1" t="s">
        <v>112</v>
      </c>
      <c r="G602" s="1">
        <v>25523</v>
      </c>
    </row>
    <row r="603" spans="1:7" x14ac:dyDescent="0.35">
      <c r="A603" s="1" t="str">
        <f t="shared" si="9"/>
        <v>21</v>
      </c>
      <c r="B6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3" s="1" t="s">
        <v>1410</v>
      </c>
      <c r="D603" s="1" t="s">
        <v>1411</v>
      </c>
      <c r="E603" s="1" t="s">
        <v>1412</v>
      </c>
      <c r="F603" s="1" t="s">
        <v>112</v>
      </c>
      <c r="G603" s="1">
        <v>108669</v>
      </c>
    </row>
    <row r="604" spans="1:7" x14ac:dyDescent="0.35">
      <c r="A604" s="1" t="str">
        <f t="shared" si="9"/>
        <v>21</v>
      </c>
      <c r="B6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4" s="1" t="s">
        <v>1413</v>
      </c>
      <c r="D604" s="1" t="s">
        <v>1414</v>
      </c>
      <c r="E604" s="1" t="s">
        <v>1415</v>
      </c>
      <c r="F604" s="1" t="s">
        <v>112</v>
      </c>
      <c r="G604" s="1">
        <v>61710</v>
      </c>
    </row>
    <row r="605" spans="1:7" x14ac:dyDescent="0.35">
      <c r="A605" s="1" t="str">
        <f t="shared" si="9"/>
        <v>21</v>
      </c>
      <c r="B6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5" s="1" t="s">
        <v>1416</v>
      </c>
      <c r="D605" s="1" t="s">
        <v>1417</v>
      </c>
      <c r="E605" s="1" t="s">
        <v>1418</v>
      </c>
      <c r="F605" s="1" t="s">
        <v>112</v>
      </c>
      <c r="G605" s="1">
        <v>35797</v>
      </c>
    </row>
    <row r="606" spans="1:7" x14ac:dyDescent="0.35">
      <c r="A606" s="1" t="str">
        <f t="shared" si="9"/>
        <v>21</v>
      </c>
      <c r="B6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6" s="1" t="s">
        <v>1419</v>
      </c>
      <c r="D606" s="1" t="s">
        <v>1420</v>
      </c>
      <c r="E606" s="1" t="s">
        <v>1421</v>
      </c>
      <c r="F606" s="1" t="s">
        <v>112</v>
      </c>
      <c r="G606" s="1">
        <v>415662</v>
      </c>
    </row>
    <row r="607" spans="1:7" x14ac:dyDescent="0.35">
      <c r="A607" s="1" t="str">
        <f t="shared" si="9"/>
        <v>21</v>
      </c>
      <c r="B6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7" s="1" t="s">
        <v>1422</v>
      </c>
    </row>
    <row r="608" spans="1:7" x14ac:dyDescent="0.35">
      <c r="A608" s="1" t="str">
        <f t="shared" si="9"/>
        <v>21</v>
      </c>
      <c r="B6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8" s="1" t="s">
        <v>1423</v>
      </c>
    </row>
    <row r="609" spans="1:8" x14ac:dyDescent="0.35">
      <c r="A609" s="1" t="str">
        <f t="shared" si="9"/>
        <v>21</v>
      </c>
      <c r="B6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9" s="1" t="s">
        <v>1424</v>
      </c>
      <c r="D609" s="1" t="s">
        <v>1425</v>
      </c>
      <c r="E609" s="1" t="s">
        <v>1426</v>
      </c>
      <c r="F609" s="1" t="s">
        <v>112</v>
      </c>
      <c r="G609" s="1">
        <v>1003800</v>
      </c>
    </row>
    <row r="610" spans="1:8" x14ac:dyDescent="0.35">
      <c r="A610" s="1" t="str">
        <f t="shared" si="9"/>
        <v>21</v>
      </c>
      <c r="B6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10" s="1" t="s">
        <v>1427</v>
      </c>
      <c r="D610" s="1" t="s">
        <v>1428</v>
      </c>
      <c r="E610" s="1" t="s">
        <v>1429</v>
      </c>
      <c r="F610" s="1" t="s">
        <v>112</v>
      </c>
      <c r="G610" s="1">
        <v>1765605</v>
      </c>
    </row>
    <row r="611" spans="1:8" x14ac:dyDescent="0.35">
      <c r="A611" s="1" t="str">
        <f t="shared" si="9"/>
        <v>21</v>
      </c>
      <c r="B6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11" s="1" t="s">
        <v>1430</v>
      </c>
      <c r="D611" s="1" t="s">
        <v>1431</v>
      </c>
      <c r="E611" s="1" t="s">
        <v>1432</v>
      </c>
      <c r="F611" s="1" t="s">
        <v>112</v>
      </c>
      <c r="G611" s="1">
        <v>1469751</v>
      </c>
    </row>
    <row r="612" spans="1:8" x14ac:dyDescent="0.35">
      <c r="A612" s="1" t="str">
        <f t="shared" si="9"/>
        <v>21</v>
      </c>
      <c r="B6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2" s="1" t="s">
        <v>1433</v>
      </c>
      <c r="D612" s="1" t="s">
        <v>1434</v>
      </c>
      <c r="E612" s="1" t="s">
        <v>1435</v>
      </c>
      <c r="F612" s="1" t="s">
        <v>112</v>
      </c>
      <c r="G612" s="1">
        <v>1139895</v>
      </c>
    </row>
    <row r="613" spans="1:8" x14ac:dyDescent="0.35">
      <c r="A613" s="1" t="str">
        <f t="shared" si="9"/>
        <v>21</v>
      </c>
      <c r="B6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3" s="1" t="s">
        <v>1436</v>
      </c>
    </row>
    <row r="614" spans="1:8" x14ac:dyDescent="0.35">
      <c r="A614" s="1" t="str">
        <f t="shared" si="9"/>
        <v>21</v>
      </c>
      <c r="B6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4" s="1" t="s">
        <v>1437</v>
      </c>
      <c r="D614" s="1" t="s">
        <v>1438</v>
      </c>
      <c r="E614" s="1" t="s">
        <v>1439</v>
      </c>
      <c r="F614" s="1" t="s">
        <v>112</v>
      </c>
      <c r="G614" s="1">
        <v>1072410</v>
      </c>
    </row>
    <row r="615" spans="1:8" x14ac:dyDescent="0.35">
      <c r="A615" s="1" t="str">
        <f t="shared" si="9"/>
        <v>21</v>
      </c>
      <c r="B6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5" s="1" t="s">
        <v>1440</v>
      </c>
      <c r="D615" s="1" t="s">
        <v>1441</v>
      </c>
      <c r="E615" s="1" t="s">
        <v>1442</v>
      </c>
      <c r="F615" s="1" t="s">
        <v>112</v>
      </c>
      <c r="G615" s="1">
        <v>1831425</v>
      </c>
    </row>
    <row r="616" spans="1:8" x14ac:dyDescent="0.35">
      <c r="A616" s="1" t="str">
        <f t="shared" si="9"/>
        <v>21</v>
      </c>
      <c r="B6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6" s="1" t="s">
        <v>1443</v>
      </c>
      <c r="D616" s="1" t="s">
        <v>1444</v>
      </c>
      <c r="E616" s="1" t="s">
        <v>1445</v>
      </c>
      <c r="F616" s="1" t="s">
        <v>112</v>
      </c>
      <c r="G616" s="1">
        <v>1844684</v>
      </c>
    </row>
    <row r="617" spans="1:8" x14ac:dyDescent="0.35">
      <c r="A617" s="1" t="str">
        <f t="shared" si="9"/>
        <v>21</v>
      </c>
      <c r="B6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7" s="1" t="s">
        <v>1446</v>
      </c>
      <c r="D617" s="1" t="s">
        <v>1447</v>
      </c>
      <c r="E617" s="1" t="s">
        <v>1448</v>
      </c>
      <c r="F617" s="1" t="s">
        <v>112</v>
      </c>
      <c r="G617" s="1">
        <v>1529471</v>
      </c>
    </row>
    <row r="618" spans="1:8" x14ac:dyDescent="0.35">
      <c r="A618" s="1" t="str">
        <f t="shared" si="9"/>
        <v>21</v>
      </c>
      <c r="B6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8" s="1" t="s">
        <v>1449</v>
      </c>
      <c r="D618" s="1" t="s">
        <v>1450</v>
      </c>
      <c r="E618" s="1" t="s">
        <v>1451</v>
      </c>
      <c r="F618" s="1" t="s">
        <v>112</v>
      </c>
      <c r="G618" s="1">
        <v>363058</v>
      </c>
    </row>
    <row r="619" spans="1:8" x14ac:dyDescent="0.35">
      <c r="A619" s="1" t="str">
        <f t="shared" si="9"/>
        <v>21</v>
      </c>
      <c r="B6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9" s="1" t="s">
        <v>1452</v>
      </c>
      <c r="D619" s="1" t="s">
        <v>1453</v>
      </c>
      <c r="E619" s="1" t="s">
        <v>1454</v>
      </c>
      <c r="F619" s="1" t="s">
        <v>112</v>
      </c>
      <c r="G619" s="1">
        <v>365199</v>
      </c>
    </row>
    <row r="620" spans="1:8" x14ac:dyDescent="0.35">
      <c r="A620" s="1" t="str">
        <f t="shared" si="9"/>
        <v>21</v>
      </c>
      <c r="B6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20" s="1" t="s">
        <v>1455</v>
      </c>
      <c r="D620" s="1" t="s">
        <v>1456</v>
      </c>
      <c r="E620" s="1" t="s">
        <v>1457</v>
      </c>
      <c r="F620" s="1" t="s">
        <v>112</v>
      </c>
      <c r="G620" s="1">
        <v>452519</v>
      </c>
    </row>
    <row r="621" spans="1:8" x14ac:dyDescent="0.35">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1" s="1" t="s">
        <v>112</v>
      </c>
    </row>
    <row r="622" spans="1:8" x14ac:dyDescent="0.35">
      <c r="A622" s="1" t="str">
        <f t="shared" si="9"/>
        <v/>
      </c>
      <c r="B6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2" s="1" t="s">
        <v>239</v>
      </c>
      <c r="D622" s="1" t="s">
        <v>112</v>
      </c>
      <c r="E622" s="1" t="s">
        <v>240</v>
      </c>
      <c r="F622" s="1" t="s">
        <v>241</v>
      </c>
      <c r="G622" s="1" t="s">
        <v>242</v>
      </c>
      <c r="H622" s="1" t="s">
        <v>243</v>
      </c>
    </row>
    <row r="623" spans="1:8" x14ac:dyDescent="0.35">
      <c r="A623" s="1" t="str">
        <f t="shared" si="9"/>
        <v>21</v>
      </c>
      <c r="B6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23" s="1" t="s">
        <v>1458</v>
      </c>
      <c r="D623" s="1" t="s">
        <v>112</v>
      </c>
      <c r="E623" s="1" t="s">
        <v>1459</v>
      </c>
      <c r="F623" s="1" t="s">
        <v>1460</v>
      </c>
      <c r="G623" s="1" t="s">
        <v>1461</v>
      </c>
      <c r="H623" s="1" t="s">
        <v>1462</v>
      </c>
    </row>
    <row r="624" spans="1:8" x14ac:dyDescent="0.35">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4" s="1" t="s">
        <v>112</v>
      </c>
    </row>
    <row r="625" spans="1:7" x14ac:dyDescent="0.35">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5" s="1" t="s">
        <v>112</v>
      </c>
    </row>
    <row r="626" spans="1:7" x14ac:dyDescent="0.35">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6" s="1" t="s">
        <v>112</v>
      </c>
    </row>
    <row r="627" spans="1:7" x14ac:dyDescent="0.35">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7" s="1" t="s">
        <v>112</v>
      </c>
    </row>
    <row r="628" spans="1:7" x14ac:dyDescent="0.35">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8" s="1" t="s">
        <v>112</v>
      </c>
    </row>
    <row r="629" spans="1:7" x14ac:dyDescent="0.35">
      <c r="A629" s="1" t="str">
        <f t="shared" si="9"/>
        <v/>
      </c>
      <c r="B6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9" s="1" t="s">
        <v>172</v>
      </c>
      <c r="D629" s="1" t="s">
        <v>110</v>
      </c>
      <c r="E629" s="1" t="s">
        <v>111</v>
      </c>
      <c r="F629" s="1" t="s">
        <v>112</v>
      </c>
      <c r="G629" s="1" t="s">
        <v>113</v>
      </c>
    </row>
    <row r="630" spans="1:7" x14ac:dyDescent="0.35">
      <c r="A630" s="1" t="str">
        <f t="shared" si="9"/>
        <v>8</v>
      </c>
      <c r="B6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0" s="1" t="s">
        <v>1463</v>
      </c>
      <c r="D630" s="1" t="s">
        <v>463</v>
      </c>
      <c r="E630" s="1">
        <v>30</v>
      </c>
      <c r="F630" s="1" t="s">
        <v>112</v>
      </c>
      <c r="G630" s="1">
        <v>649</v>
      </c>
    </row>
    <row r="631" spans="1:7" x14ac:dyDescent="0.35">
      <c r="A631" s="1" t="str">
        <f t="shared" si="9"/>
        <v>8</v>
      </c>
      <c r="B6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1" s="1" t="s">
        <v>1464</v>
      </c>
      <c r="D631" s="1" t="s">
        <v>463</v>
      </c>
      <c r="E631" s="1">
        <v>31</v>
      </c>
      <c r="F631" s="1" t="s">
        <v>112</v>
      </c>
      <c r="G631" s="1">
        <v>671</v>
      </c>
    </row>
    <row r="632" spans="1:7" x14ac:dyDescent="0.35">
      <c r="A632" s="1" t="str">
        <f t="shared" si="9"/>
        <v>8</v>
      </c>
      <c r="B6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2" s="1" t="s">
        <v>1465</v>
      </c>
      <c r="D632" s="1" t="s">
        <v>1466</v>
      </c>
      <c r="E632" s="1" t="s">
        <v>1467</v>
      </c>
      <c r="F632" s="1" t="s">
        <v>112</v>
      </c>
      <c r="G632" s="1">
        <v>5256</v>
      </c>
    </row>
    <row r="633" spans="1:7" x14ac:dyDescent="0.35">
      <c r="A633" s="1" t="str">
        <f t="shared" si="9"/>
        <v>8</v>
      </c>
      <c r="B6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3" s="1" t="s">
        <v>1468</v>
      </c>
      <c r="D633" s="1" t="s">
        <v>1466</v>
      </c>
      <c r="E633" s="1" t="s">
        <v>1469</v>
      </c>
      <c r="F633" s="1" t="s">
        <v>112</v>
      </c>
      <c r="G633" s="1">
        <v>5559</v>
      </c>
    </row>
    <row r="634" spans="1:7" x14ac:dyDescent="0.35">
      <c r="A634" s="1" t="str">
        <f t="shared" si="9"/>
        <v>8</v>
      </c>
      <c r="B6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4" s="1" t="s">
        <v>1470</v>
      </c>
      <c r="D634" s="1" t="s">
        <v>1103</v>
      </c>
      <c r="E634" s="1" t="s">
        <v>1471</v>
      </c>
      <c r="F634" s="1" t="s">
        <v>112</v>
      </c>
      <c r="G634" s="1">
        <v>18905</v>
      </c>
    </row>
    <row r="635" spans="1:7" x14ac:dyDescent="0.35">
      <c r="A635" s="1" t="str">
        <f t="shared" si="9"/>
        <v>8</v>
      </c>
      <c r="B6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5" s="1" t="s">
        <v>1472</v>
      </c>
      <c r="D635" s="1" t="s">
        <v>714</v>
      </c>
      <c r="E635" s="1" t="s">
        <v>1473</v>
      </c>
      <c r="F635" s="1" t="s">
        <v>112</v>
      </c>
      <c r="G635" s="1">
        <v>77089</v>
      </c>
    </row>
    <row r="636" spans="1:7" x14ac:dyDescent="0.35">
      <c r="A636" s="1" t="str">
        <f t="shared" si="9"/>
        <v>8</v>
      </c>
      <c r="B6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6" s="1" t="s">
        <v>1474</v>
      </c>
    </row>
    <row r="637" spans="1:7" x14ac:dyDescent="0.35">
      <c r="A637" s="1" t="str">
        <f t="shared" si="9"/>
        <v>8</v>
      </c>
      <c r="B6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7" s="1" t="s">
        <v>1475</v>
      </c>
    </row>
    <row r="638" spans="1:7" x14ac:dyDescent="0.35">
      <c r="A638" s="1" t="str">
        <f t="shared" si="9"/>
        <v>8</v>
      </c>
      <c r="B6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8" s="1" t="s">
        <v>1476</v>
      </c>
      <c r="D638" s="1" t="s">
        <v>1477</v>
      </c>
      <c r="E638" s="1" t="s">
        <v>1478</v>
      </c>
      <c r="F638" s="1" t="s">
        <v>112</v>
      </c>
      <c r="G638" s="1">
        <v>221490</v>
      </c>
    </row>
    <row r="639" spans="1:7" x14ac:dyDescent="0.35">
      <c r="A639" s="1" t="str">
        <f t="shared" si="9"/>
        <v>8</v>
      </c>
      <c r="B6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9" s="1" t="s">
        <v>1479</v>
      </c>
      <c r="D639" s="1" t="s">
        <v>1480</v>
      </c>
      <c r="E639" s="1" t="s">
        <v>1481</v>
      </c>
      <c r="F639" s="1" t="s">
        <v>112</v>
      </c>
      <c r="G639" s="1">
        <v>123031</v>
      </c>
    </row>
    <row r="640" spans="1:7" x14ac:dyDescent="0.35">
      <c r="A640" s="1" t="str">
        <f t="shared" si="9"/>
        <v>8</v>
      </c>
      <c r="B6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40" s="1" t="s">
        <v>1482</v>
      </c>
      <c r="D640" s="1" t="s">
        <v>1483</v>
      </c>
      <c r="E640" s="1" t="s">
        <v>1484</v>
      </c>
      <c r="F640" s="1" t="s">
        <v>112</v>
      </c>
      <c r="G640" s="1">
        <v>63678</v>
      </c>
    </row>
    <row r="641" spans="1:8" x14ac:dyDescent="0.35">
      <c r="A641" s="1" t="str">
        <f t="shared" si="9"/>
        <v>8</v>
      </c>
      <c r="B6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41" s="1" t="s">
        <v>1485</v>
      </c>
      <c r="D641" s="1">
        <v>0</v>
      </c>
      <c r="E641" s="1">
        <v>0</v>
      </c>
      <c r="F641" s="1" t="s">
        <v>112</v>
      </c>
      <c r="G641" s="1">
        <v>0</v>
      </c>
    </row>
    <row r="642" spans="1:8" x14ac:dyDescent="0.35">
      <c r="A642" s="1" t="str">
        <f t="shared" ref="A642:A705" si="10">IFERROR(LEFT(RIGHT(C642,LEN(C642)-SEARCH("@",C642)),SEARCH("/",RIGHT(C642,LEN(C642)-SEARCH("@",C642)-1))),"")</f>
        <v>8</v>
      </c>
      <c r="B6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2" s="1" t="s">
        <v>1486</v>
      </c>
    </row>
    <row r="643" spans="1:8" x14ac:dyDescent="0.35">
      <c r="A643" s="1" t="str">
        <f t="shared" si="10"/>
        <v>8</v>
      </c>
      <c r="B6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3" s="1" t="s">
        <v>1487</v>
      </c>
    </row>
    <row r="644" spans="1:8" x14ac:dyDescent="0.35">
      <c r="A644" s="1" t="str">
        <f t="shared" si="10"/>
        <v>8</v>
      </c>
      <c r="B6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4" s="1" t="s">
        <v>1488</v>
      </c>
      <c r="D644" s="1" t="s">
        <v>1489</v>
      </c>
      <c r="E644" s="1" t="s">
        <v>1490</v>
      </c>
      <c r="F644" s="1" t="s">
        <v>112</v>
      </c>
      <c r="G644" s="1">
        <v>266805</v>
      </c>
    </row>
    <row r="645" spans="1:8" x14ac:dyDescent="0.35">
      <c r="A645" s="1" t="str">
        <f t="shared" si="10"/>
        <v>8</v>
      </c>
      <c r="B6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5" s="1" t="s">
        <v>1491</v>
      </c>
      <c r="D645" s="1" t="s">
        <v>1492</v>
      </c>
      <c r="E645" s="1" t="s">
        <v>1493</v>
      </c>
      <c r="F645" s="1" t="s">
        <v>112</v>
      </c>
      <c r="G645" s="1">
        <v>539947</v>
      </c>
    </row>
    <row r="646" spans="1:8" x14ac:dyDescent="0.35">
      <c r="A646" s="1" t="str">
        <f t="shared" si="10"/>
        <v>8</v>
      </c>
      <c r="B6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6" s="1" t="s">
        <v>1494</v>
      </c>
      <c r="D646" s="1" t="s">
        <v>1495</v>
      </c>
      <c r="E646" s="1" t="s">
        <v>1496</v>
      </c>
      <c r="F646" s="1" t="s">
        <v>112</v>
      </c>
      <c r="G646" s="1">
        <v>484488</v>
      </c>
    </row>
    <row r="647" spans="1:8" x14ac:dyDescent="0.35">
      <c r="A647" s="1" t="str">
        <f t="shared" si="10"/>
        <v>8</v>
      </c>
      <c r="B6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7" s="1" t="s">
        <v>1497</v>
      </c>
      <c r="D647" s="1" t="s">
        <v>1024</v>
      </c>
      <c r="E647" s="1" t="s">
        <v>1498</v>
      </c>
      <c r="F647" s="1" t="s">
        <v>112</v>
      </c>
      <c r="G647" s="1">
        <v>327174</v>
      </c>
    </row>
    <row r="648" spans="1:8" x14ac:dyDescent="0.35">
      <c r="A648" s="1" t="str">
        <f t="shared" si="10"/>
        <v>8</v>
      </c>
      <c r="B6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8" s="1" t="s">
        <v>1499</v>
      </c>
      <c r="D648" s="1" t="s">
        <v>1466</v>
      </c>
      <c r="E648" s="1" t="s">
        <v>1500</v>
      </c>
      <c r="F648" s="1" t="s">
        <v>112</v>
      </c>
      <c r="G648" s="1">
        <v>5386</v>
      </c>
    </row>
    <row r="649" spans="1:8" x14ac:dyDescent="0.35">
      <c r="A649" s="1" t="str">
        <f t="shared" si="10"/>
        <v>8</v>
      </c>
      <c r="B6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9" s="1" t="s">
        <v>1501</v>
      </c>
      <c r="D649" s="1" t="s">
        <v>1502</v>
      </c>
      <c r="E649" s="1" t="s">
        <v>1503</v>
      </c>
      <c r="F649" s="1" t="s">
        <v>112</v>
      </c>
      <c r="G649" s="1">
        <v>14600</v>
      </c>
    </row>
    <row r="650" spans="1:8" x14ac:dyDescent="0.35">
      <c r="A650" s="1" t="str">
        <f t="shared" si="10"/>
        <v>8</v>
      </c>
      <c r="B6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50" s="1" t="s">
        <v>1504</v>
      </c>
      <c r="D650" s="1" t="s">
        <v>1505</v>
      </c>
      <c r="E650" s="1" t="s">
        <v>546</v>
      </c>
      <c r="F650" s="1" t="s">
        <v>112</v>
      </c>
      <c r="G650" s="1">
        <v>236977</v>
      </c>
    </row>
    <row r="651" spans="1:8" x14ac:dyDescent="0.35">
      <c r="A651" s="1" t="str">
        <f t="shared" si="10"/>
        <v>8</v>
      </c>
      <c r="B6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1" s="1" t="s">
        <v>1506</v>
      </c>
      <c r="D651" s="1" t="s">
        <v>1507</v>
      </c>
      <c r="E651" s="1" t="s">
        <v>1508</v>
      </c>
      <c r="F651" s="1" t="s">
        <v>112</v>
      </c>
      <c r="G651" s="1">
        <v>108258</v>
      </c>
    </row>
    <row r="652" spans="1:8" x14ac:dyDescent="0.35">
      <c r="A652" s="1" t="str">
        <f t="shared" si="10"/>
        <v>8</v>
      </c>
      <c r="B6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2" s="1" t="s">
        <v>1509</v>
      </c>
      <c r="D652" s="1" t="s">
        <v>1510</v>
      </c>
      <c r="E652" s="1" t="s">
        <v>1511</v>
      </c>
      <c r="F652" s="1" t="s">
        <v>112</v>
      </c>
      <c r="G652" s="1">
        <v>96751</v>
      </c>
    </row>
    <row r="653" spans="1:8" x14ac:dyDescent="0.35">
      <c r="A653" s="1" t="str">
        <f t="shared" si="10"/>
        <v>8</v>
      </c>
      <c r="B6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3" s="1" t="s">
        <v>1512</v>
      </c>
      <c r="D653" s="1" t="s">
        <v>1513</v>
      </c>
      <c r="E653" s="1" t="s">
        <v>1514</v>
      </c>
      <c r="F653" s="1" t="s">
        <v>112</v>
      </c>
      <c r="G653" s="1">
        <v>116628</v>
      </c>
    </row>
    <row r="654" spans="1:8" x14ac:dyDescent="0.35">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4" s="1" t="s">
        <v>112</v>
      </c>
    </row>
    <row r="655" spans="1:8" x14ac:dyDescent="0.35">
      <c r="A655" s="1" t="str">
        <f t="shared" si="10"/>
        <v/>
      </c>
      <c r="B6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5" s="1" t="s">
        <v>239</v>
      </c>
      <c r="D655" s="1" t="s">
        <v>112</v>
      </c>
      <c r="E655" s="1" t="s">
        <v>240</v>
      </c>
      <c r="F655" s="1" t="s">
        <v>241</v>
      </c>
      <c r="G655" s="1" t="s">
        <v>242</v>
      </c>
      <c r="H655" s="1" t="s">
        <v>243</v>
      </c>
    </row>
    <row r="656" spans="1:8" x14ac:dyDescent="0.35">
      <c r="A656" s="1" t="str">
        <f t="shared" si="10"/>
        <v>8</v>
      </c>
      <c r="B6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56" s="1" t="s">
        <v>1515</v>
      </c>
      <c r="D656" s="1" t="s">
        <v>112</v>
      </c>
      <c r="E656" s="1" t="s">
        <v>1516</v>
      </c>
      <c r="F656" s="1" t="s">
        <v>1517</v>
      </c>
      <c r="G656" s="1" t="s">
        <v>1518</v>
      </c>
      <c r="H656" s="1" t="s">
        <v>1519</v>
      </c>
    </row>
    <row r="657" spans="1:7" x14ac:dyDescent="0.35">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7" s="1" t="s">
        <v>112</v>
      </c>
    </row>
    <row r="658" spans="1:7" x14ac:dyDescent="0.35">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8" s="1" t="s">
        <v>112</v>
      </c>
    </row>
    <row r="659" spans="1:7" x14ac:dyDescent="0.35">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9" s="1" t="s">
        <v>112</v>
      </c>
    </row>
    <row r="660" spans="1:7" x14ac:dyDescent="0.35">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0" s="1" t="s">
        <v>112</v>
      </c>
    </row>
    <row r="661" spans="1:7" x14ac:dyDescent="0.35">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1" s="1" t="s">
        <v>112</v>
      </c>
    </row>
    <row r="662" spans="1:7" x14ac:dyDescent="0.35">
      <c r="A662" s="1" t="str">
        <f t="shared" si="10"/>
        <v/>
      </c>
      <c r="B6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2" s="1" t="s">
        <v>172</v>
      </c>
      <c r="D662" s="1" t="s">
        <v>110</v>
      </c>
      <c r="E662" s="1" t="s">
        <v>111</v>
      </c>
      <c r="F662" s="1" t="s">
        <v>112</v>
      </c>
      <c r="G662" s="1" t="s">
        <v>113</v>
      </c>
    </row>
    <row r="663" spans="1:7" x14ac:dyDescent="0.35">
      <c r="A663" s="1" t="str">
        <f t="shared" si="10"/>
        <v>9</v>
      </c>
      <c r="B6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3" s="1" t="s">
        <v>1520</v>
      </c>
    </row>
    <row r="664" spans="1:7" x14ac:dyDescent="0.35">
      <c r="A664" s="1" t="str">
        <f t="shared" si="10"/>
        <v>9</v>
      </c>
      <c r="B6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4" s="1" t="s">
        <v>1521</v>
      </c>
    </row>
    <row r="665" spans="1:7" x14ac:dyDescent="0.35">
      <c r="A665" s="1" t="str">
        <f t="shared" si="10"/>
        <v>9</v>
      </c>
      <c r="B6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5" s="1" t="s">
        <v>1522</v>
      </c>
    </row>
    <row r="666" spans="1:7" x14ac:dyDescent="0.35">
      <c r="A666" s="1" t="str">
        <f t="shared" si="10"/>
        <v>9</v>
      </c>
      <c r="B6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6" s="1" t="s">
        <v>1523</v>
      </c>
      <c r="D666" s="1" t="s">
        <v>259</v>
      </c>
      <c r="E666" s="1" t="s">
        <v>1524</v>
      </c>
      <c r="F666" s="1" t="s">
        <v>112</v>
      </c>
      <c r="G666" s="1">
        <v>41875</v>
      </c>
    </row>
    <row r="667" spans="1:7" x14ac:dyDescent="0.35">
      <c r="A667" s="1" t="str">
        <f t="shared" si="10"/>
        <v>9</v>
      </c>
      <c r="B6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7" s="1" t="s">
        <v>1525</v>
      </c>
      <c r="D667" s="1" t="s">
        <v>1526</v>
      </c>
      <c r="E667" s="1" t="s">
        <v>1527</v>
      </c>
      <c r="F667" s="1" t="s">
        <v>112</v>
      </c>
      <c r="G667" s="1">
        <v>206328</v>
      </c>
    </row>
    <row r="668" spans="1:7" x14ac:dyDescent="0.35">
      <c r="A668" s="1" t="str">
        <f t="shared" si="10"/>
        <v>9</v>
      </c>
      <c r="B6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8" s="1" t="s">
        <v>1528</v>
      </c>
      <c r="D668" s="1" t="s">
        <v>1529</v>
      </c>
      <c r="E668" s="1" t="s">
        <v>1530</v>
      </c>
      <c r="F668" s="1" t="s">
        <v>112</v>
      </c>
      <c r="G668" s="1">
        <v>225621</v>
      </c>
    </row>
    <row r="669" spans="1:7" x14ac:dyDescent="0.35">
      <c r="A669" s="1" t="str">
        <f t="shared" si="10"/>
        <v>9</v>
      </c>
      <c r="B6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9" s="1" t="s">
        <v>1531</v>
      </c>
      <c r="D669" s="1" t="s">
        <v>983</v>
      </c>
      <c r="E669" s="1" t="s">
        <v>1532</v>
      </c>
      <c r="F669" s="1" t="s">
        <v>112</v>
      </c>
      <c r="G669" s="1">
        <v>40881</v>
      </c>
    </row>
    <row r="670" spans="1:7" x14ac:dyDescent="0.35">
      <c r="A670" s="1" t="str">
        <f t="shared" si="10"/>
        <v>9</v>
      </c>
      <c r="B6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70" s="1" t="s">
        <v>1533</v>
      </c>
      <c r="D670" s="1" t="s">
        <v>1534</v>
      </c>
      <c r="E670" s="1">
        <v>33</v>
      </c>
      <c r="F670" s="1" t="s">
        <v>112</v>
      </c>
      <c r="G670" s="1">
        <v>7852</v>
      </c>
    </row>
    <row r="671" spans="1:7" x14ac:dyDescent="0.35">
      <c r="A671" s="1" t="str">
        <f t="shared" si="10"/>
        <v>9</v>
      </c>
      <c r="B6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71" s="1" t="s">
        <v>1535</v>
      </c>
      <c r="D671" s="1" t="s">
        <v>1536</v>
      </c>
      <c r="E671" s="1" t="s">
        <v>1537</v>
      </c>
      <c r="F671" s="1" t="s">
        <v>112</v>
      </c>
      <c r="G671" s="1">
        <v>83080</v>
      </c>
    </row>
    <row r="672" spans="1:7" x14ac:dyDescent="0.35">
      <c r="A672" s="1" t="str">
        <f t="shared" si="10"/>
        <v>9</v>
      </c>
      <c r="B6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2" s="1" t="s">
        <v>1538</v>
      </c>
      <c r="D672" s="1" t="s">
        <v>562</v>
      </c>
      <c r="E672" s="1" t="s">
        <v>1539</v>
      </c>
      <c r="F672" s="1" t="s">
        <v>112</v>
      </c>
      <c r="G672" s="1">
        <v>128698</v>
      </c>
    </row>
    <row r="673" spans="1:8" x14ac:dyDescent="0.35">
      <c r="A673" s="1" t="str">
        <f t="shared" si="10"/>
        <v>9</v>
      </c>
      <c r="B6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3" s="1" t="s">
        <v>1540</v>
      </c>
      <c r="D673" s="1" t="s">
        <v>1406</v>
      </c>
      <c r="E673" s="1" t="s">
        <v>1541</v>
      </c>
      <c r="F673" s="1" t="s">
        <v>112</v>
      </c>
      <c r="G673" s="1">
        <v>91386</v>
      </c>
    </row>
    <row r="674" spans="1:8" x14ac:dyDescent="0.35">
      <c r="A674" s="1" t="str">
        <f t="shared" si="10"/>
        <v>9</v>
      </c>
      <c r="B6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4" s="1" t="s">
        <v>1542</v>
      </c>
      <c r="D674" s="1" t="s">
        <v>515</v>
      </c>
      <c r="E674" s="1" t="s">
        <v>1543</v>
      </c>
      <c r="F674" s="1" t="s">
        <v>112</v>
      </c>
      <c r="G674" s="1">
        <v>195859</v>
      </c>
    </row>
    <row r="675" spans="1:8" x14ac:dyDescent="0.35">
      <c r="A675" s="1" t="str">
        <f t="shared" si="10"/>
        <v>9</v>
      </c>
      <c r="B6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5" s="1" t="s">
        <v>1544</v>
      </c>
      <c r="D675" s="1" t="s">
        <v>195</v>
      </c>
      <c r="E675" s="1" t="s">
        <v>1545</v>
      </c>
      <c r="F675" s="1" t="s">
        <v>112</v>
      </c>
      <c r="G675" s="1">
        <v>266221</v>
      </c>
    </row>
    <row r="676" spans="1:8" x14ac:dyDescent="0.35">
      <c r="A676" s="1" t="str">
        <f t="shared" si="10"/>
        <v>9</v>
      </c>
      <c r="B6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6" s="1" t="s">
        <v>1546</v>
      </c>
      <c r="D676" s="1" t="s">
        <v>1547</v>
      </c>
      <c r="E676" s="1" t="s">
        <v>1548</v>
      </c>
      <c r="F676" s="1" t="s">
        <v>112</v>
      </c>
      <c r="G676" s="1">
        <v>354363</v>
      </c>
    </row>
    <row r="677" spans="1:8" x14ac:dyDescent="0.35">
      <c r="A677" s="1" t="str">
        <f t="shared" si="10"/>
        <v>9</v>
      </c>
      <c r="B6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7" s="1" t="s">
        <v>1549</v>
      </c>
      <c r="D677" s="1" t="s">
        <v>565</v>
      </c>
      <c r="E677" s="1" t="s">
        <v>1550</v>
      </c>
      <c r="F677" s="1" t="s">
        <v>112</v>
      </c>
      <c r="G677" s="1">
        <v>302083</v>
      </c>
    </row>
    <row r="678" spans="1:8" x14ac:dyDescent="0.35">
      <c r="A678" s="1" t="str">
        <f t="shared" si="10"/>
        <v>9</v>
      </c>
      <c r="B6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8" s="1" t="s">
        <v>1551</v>
      </c>
      <c r="D678" s="1" t="s">
        <v>611</v>
      </c>
      <c r="E678" s="1" t="s">
        <v>1552</v>
      </c>
      <c r="F678" s="1" t="s">
        <v>112</v>
      </c>
      <c r="G678" s="1">
        <v>8328</v>
      </c>
    </row>
    <row r="679" spans="1:8" x14ac:dyDescent="0.35">
      <c r="A679" s="1" t="str">
        <f t="shared" si="10"/>
        <v>9</v>
      </c>
      <c r="B6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9" s="1" t="s">
        <v>1553</v>
      </c>
      <c r="D679" s="1" t="s">
        <v>228</v>
      </c>
      <c r="E679" s="1" t="s">
        <v>1554</v>
      </c>
      <c r="F679" s="1" t="s">
        <v>112</v>
      </c>
      <c r="G679" s="1">
        <v>1968</v>
      </c>
    </row>
    <row r="680" spans="1:8" x14ac:dyDescent="0.35">
      <c r="A680" s="1" t="str">
        <f t="shared" si="10"/>
        <v>9</v>
      </c>
      <c r="B6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80" s="1" t="s">
        <v>1555</v>
      </c>
      <c r="D680" s="1">
        <v>0</v>
      </c>
      <c r="E680" s="1">
        <v>0</v>
      </c>
      <c r="F680" s="1" t="s">
        <v>112</v>
      </c>
      <c r="G680" s="1">
        <v>0</v>
      </c>
    </row>
    <row r="681" spans="1:8" x14ac:dyDescent="0.35">
      <c r="A681" s="1" t="str">
        <f t="shared" si="10"/>
        <v>9</v>
      </c>
      <c r="B6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1" s="1" t="s">
        <v>1556</v>
      </c>
      <c r="D681" s="1" t="s">
        <v>1480</v>
      </c>
      <c r="E681" s="1" t="s">
        <v>1557</v>
      </c>
      <c r="F681" s="1" t="s">
        <v>112</v>
      </c>
      <c r="G681" s="1">
        <v>146478</v>
      </c>
    </row>
    <row r="682" spans="1:8" x14ac:dyDescent="0.35">
      <c r="A682" s="1" t="str">
        <f t="shared" si="10"/>
        <v>9</v>
      </c>
      <c r="B6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2" s="1" t="s">
        <v>1558</v>
      </c>
      <c r="D682" s="1" t="s">
        <v>1074</v>
      </c>
      <c r="E682" s="1" t="s">
        <v>1559</v>
      </c>
      <c r="F682" s="1" t="s">
        <v>112</v>
      </c>
      <c r="G682" s="1">
        <v>40664</v>
      </c>
    </row>
    <row r="683" spans="1:8" x14ac:dyDescent="0.35">
      <c r="A683" s="1" t="str">
        <f t="shared" si="10"/>
        <v>9</v>
      </c>
      <c r="B6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3" s="1" t="s">
        <v>1560</v>
      </c>
      <c r="D683" s="1" t="s">
        <v>1394</v>
      </c>
      <c r="E683" s="1" t="s">
        <v>1561</v>
      </c>
      <c r="F683" s="1" t="s">
        <v>112</v>
      </c>
      <c r="G683" s="1">
        <v>17672</v>
      </c>
    </row>
    <row r="684" spans="1:8" x14ac:dyDescent="0.35">
      <c r="A684" s="1" t="str">
        <f t="shared" si="10"/>
        <v>9</v>
      </c>
      <c r="B6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4" s="1" t="s">
        <v>1562</v>
      </c>
      <c r="D684" s="1" t="s">
        <v>1563</v>
      </c>
      <c r="E684" s="1" t="s">
        <v>1564</v>
      </c>
      <c r="F684" s="1" t="s">
        <v>112</v>
      </c>
      <c r="G684" s="1">
        <v>374630</v>
      </c>
    </row>
    <row r="685" spans="1:8" x14ac:dyDescent="0.35">
      <c r="A685" s="1" t="str">
        <f t="shared" si="10"/>
        <v>9</v>
      </c>
      <c r="B6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5" s="1" t="s">
        <v>1565</v>
      </c>
      <c r="D685" s="1" t="s">
        <v>1566</v>
      </c>
      <c r="E685" s="1" t="s">
        <v>1567</v>
      </c>
      <c r="F685" s="1" t="s">
        <v>112</v>
      </c>
      <c r="G685" s="1">
        <v>197827</v>
      </c>
    </row>
    <row r="686" spans="1:8" x14ac:dyDescent="0.35">
      <c r="A686" s="1" t="str">
        <f t="shared" si="10"/>
        <v>9</v>
      </c>
      <c r="B6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6" s="1" t="s">
        <v>1568</v>
      </c>
      <c r="D686" s="1" t="s">
        <v>1569</v>
      </c>
      <c r="E686" s="1" t="s">
        <v>1570</v>
      </c>
      <c r="F686" s="1" t="s">
        <v>112</v>
      </c>
      <c r="G686" s="1">
        <v>95929</v>
      </c>
    </row>
    <row r="687" spans="1:8" x14ac:dyDescent="0.35">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7" s="1" t="s">
        <v>112</v>
      </c>
    </row>
    <row r="688" spans="1:8" x14ac:dyDescent="0.35">
      <c r="A688" s="1" t="str">
        <f t="shared" si="10"/>
        <v/>
      </c>
      <c r="B6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8" s="1" t="s">
        <v>239</v>
      </c>
      <c r="D688" s="1" t="s">
        <v>112</v>
      </c>
      <c r="E688" s="1" t="s">
        <v>240</v>
      </c>
      <c r="F688" s="1" t="s">
        <v>241</v>
      </c>
      <c r="G688" s="1" t="s">
        <v>242</v>
      </c>
      <c r="H688" s="1" t="s">
        <v>243</v>
      </c>
    </row>
    <row r="689" spans="1:8" x14ac:dyDescent="0.35">
      <c r="A689" s="1" t="str">
        <f t="shared" si="10"/>
        <v>9</v>
      </c>
      <c r="B6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89" s="1" t="s">
        <v>1571</v>
      </c>
      <c r="D689" s="1" t="s">
        <v>112</v>
      </c>
      <c r="E689" s="1" t="s">
        <v>1572</v>
      </c>
      <c r="F689" s="1" t="s">
        <v>1573</v>
      </c>
      <c r="G689" s="1" t="s">
        <v>1574</v>
      </c>
      <c r="H689" s="1" t="s">
        <v>1575</v>
      </c>
    </row>
    <row r="690" spans="1:8" x14ac:dyDescent="0.35">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0" s="1" t="s">
        <v>112</v>
      </c>
    </row>
    <row r="691" spans="1:8" x14ac:dyDescent="0.35">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2" spans="1:8" x14ac:dyDescent="0.35">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3" spans="1:8" x14ac:dyDescent="0.35">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4" spans="1:8" x14ac:dyDescent="0.35">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5" spans="1:8" x14ac:dyDescent="0.35">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6" spans="1:8" x14ac:dyDescent="0.35">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7" spans="1:8" x14ac:dyDescent="0.35">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8" x14ac:dyDescent="0.35">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8" x14ac:dyDescent="0.35">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8" x14ac:dyDescent="0.35">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8" x14ac:dyDescent="0.35">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8" x14ac:dyDescent="0.35">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8" x14ac:dyDescent="0.35">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8" x14ac:dyDescent="0.35">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35">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35">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35">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35">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35">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35">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35">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35">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35">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35">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35">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35">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35">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35">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35">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35">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35">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35">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35">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35">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35">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35">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35">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35">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35">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35">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35">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35">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35">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35">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35">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35">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35">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35">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35">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35">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35">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35">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35">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35">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35">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35">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35">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35">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35">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35">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35">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35">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35">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35">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35">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35">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35">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35">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35">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35">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35">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35">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35">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35">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35">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35">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35">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35">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35">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35">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35">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35">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35">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35">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35">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35">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35">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35">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35">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35">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35">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35">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35">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35">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35">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35">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35">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35">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35">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35">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35">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35">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35">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35">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35">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35">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35">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35">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35">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35">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35">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35">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35">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35">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35">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35">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35">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35">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35">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35">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35">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35">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35">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35">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35">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35">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35">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35">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35">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35">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35">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35">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35">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35">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35">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35">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35">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35">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35">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35">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35">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35">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35">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35">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35">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35">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35">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35">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35">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35">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35">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35">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35">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35">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35">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35">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35">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35">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35">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35">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35">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35">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35">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35">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35">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35">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35">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35">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35">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35">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35">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35">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35">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35">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35">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35">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35">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35">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35">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35">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35">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35">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35">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35">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35">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35">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35">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35">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35">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35">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35">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35">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35">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35">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35">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35">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35">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35">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35">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35">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35">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35">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35">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35">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35">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35">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35">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35">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35">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35">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35">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35">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35">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35">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35">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35">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35">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35">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35">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35">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35">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35">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35">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35">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35">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35">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35">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35">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35">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35">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35">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35">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35">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35">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35">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35">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35">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35">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35">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35">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35">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35">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35">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35">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35">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35">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35">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35">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35">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35">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35">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35">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35">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35">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35">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35">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35">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35">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35">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35">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35">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35">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35">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35">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35">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35">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35">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35">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35">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35">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35">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35">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35">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35">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35">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35">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35">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35">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35">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35">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35">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35">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35">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35">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35">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35">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35">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35">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35">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35">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35">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35">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35">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35">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35">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35">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35">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35">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35">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35">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35">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35">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35">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35">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35">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35">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35">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35">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35">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35">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35">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35">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35">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35">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35">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35">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35">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35">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35">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35">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35">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35">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35">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35">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35">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35">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35">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35">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35">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35">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35">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35">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35">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35">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35">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35">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35">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35">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35">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35">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35">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35">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35">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35">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35">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35">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35">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35">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35">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35">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35">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35">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35">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35">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35">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35">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35">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35">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35">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35">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35">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35">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35">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35">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35">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35">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35">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35">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35">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35">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35">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35">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35">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35">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35">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35">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35">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35">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35">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35">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35">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35">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35">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35">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35">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35">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35">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35">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35">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35">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35">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35">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35">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35">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35">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35">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35">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35">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35">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35">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35">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35">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35">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35">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35">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35">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35">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35">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35">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35">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35">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35">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35">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35">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35">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35">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35">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35">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35">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35">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35">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35">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35">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35">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35">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35">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35">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35">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35">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35">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35">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35">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35">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35">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35">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35">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35">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35">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35">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35">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35">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35">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35">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35">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35">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35">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35">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35">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35">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35">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35">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35">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35">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35">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35">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35">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35">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35">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35">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35">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35">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35">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35">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35">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35">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35">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35">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35">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35">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35">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35">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35">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35">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35">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35">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35">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35">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35">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35">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35">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35">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35">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35">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35">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35">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35">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35">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35">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35">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35">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35">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35">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35">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35">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35">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35">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35">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35">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35">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35">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35">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35">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35">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35">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35">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35">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35">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35">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35">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35">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35">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35">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35">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35">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35">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35">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35">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35">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35">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35">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35">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35">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35">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35">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35">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35">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35">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35">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35">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35">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35">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35">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35">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35">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35">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35">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35">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35">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35">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35">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35">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35">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35">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35">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35">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35">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35">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35">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35">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35">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35">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35">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35">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35">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35">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35">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35">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35">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35">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35">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35">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35">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35">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35">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35">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35">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35">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35">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35">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35">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35">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35">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35">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35">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35">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35">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35">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35">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35">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35">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35">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35">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35">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35">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35">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35">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35">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35">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35">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35">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35">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35">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35">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35">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35">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35">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35">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35">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35">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35">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35">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35">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35">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35">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35">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35">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35">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35">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35">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35">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35">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35">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35">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35">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35">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35">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35">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35">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35">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35">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35">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35">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35">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35">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35">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35">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35">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35">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35">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35">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35">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35">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35">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35">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35">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35">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35">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35">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35">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35">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35">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35">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35">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35">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35">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35">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35">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35">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35">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35">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35">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35">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35">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35">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35">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35">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35">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35">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35">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35">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35">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35">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35">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35">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35">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35">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35">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35">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35">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35">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35">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35">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35">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35">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35">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35">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35">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35">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35">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35">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35">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35">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35">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35">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35">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35">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35">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35">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35">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35">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35">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35">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35">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35">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35">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35">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35">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35">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35">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35">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35">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35">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35">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35">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35">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35">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35">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35">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35">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35">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35">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35">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35">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35">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35">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35">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35">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35">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35">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35">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35">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35">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35">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35">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35">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35">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35">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35">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35">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35">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35">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35">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35">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35">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35">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35">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35">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35">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35">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35">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35">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35">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35">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35">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35">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35">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35">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35">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35">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35">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35">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35">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35">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35">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35">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35">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35">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35">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35">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35">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35">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35">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35">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35">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35">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35">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35">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35">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35">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35">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35">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35">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35">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35">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35">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35">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35">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35">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35">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35">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35">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35">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35">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35">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35">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35">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35">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35">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35">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35">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35">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35">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35">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35">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35">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35">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35">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35">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35">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35">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35">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35">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35">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35">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35">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35">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35">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35">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35">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35">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35">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35">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35">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35">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35">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35">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35">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35">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35">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35">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35">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35">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35">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35">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35">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35">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35">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35">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35">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35">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35">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35">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35">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35">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35">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35">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35">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35">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35">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35">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35">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35">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35">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35">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35">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35">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35">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35">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35">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35">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35">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35">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35">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35">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35">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35">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35">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35">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35">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35">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35">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35">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35">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35">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35">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35">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35">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A1:J2 A1558:XFD1048576 AI18:XFD38 C39:XFD1557 C3:J10 EO1:XFD10 C19:K38 K5 C11:K13 C14:J18 M15:XFD17 K1:L4 A3:B1557 AH11:XFD14">
    <cfRule type="containsText" dxfId="34" priority="1" operator="containsText" text="ERREUR">
      <formula>NOT(ISERROR(SEARCH("ERREUR",A1)))</formula>
    </cfRule>
    <cfRule type="containsText" dxfId="33" priority="2" operator="containsText" text="OK">
      <formula>NOT(ISERROR(SEARCH("OK",A1)))</formula>
    </cfRule>
  </conditionalFormatting>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topLeftCell="A2" zoomScale="85" zoomScaleNormal="85" zoomScaleSheetLayoutView="40" zoomScalePageLayoutView="30" workbookViewId="0">
      <pane xSplit="1" topLeftCell="U1" activePane="topRight" state="frozen"/>
      <selection pane="topRight" activeCell="O26" sqref="O26:V26"/>
    </sheetView>
  </sheetViews>
  <sheetFormatPr baseColWidth="10" defaultColWidth="9.1796875" defaultRowHeight="14.5" x14ac:dyDescent="0.35"/>
  <cols>
    <col min="1" max="1" width="29.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8.26953125" bestFit="1" customWidth="1"/>
    <col min="15" max="15" width="14.81640625" customWidth="1"/>
    <col min="16" max="16" width="17.7265625" customWidth="1"/>
    <col min="17" max="18" width="25.81640625" bestFit="1" customWidth="1"/>
    <col min="19" max="22" width="25.81640625" style="1" customWidth="1"/>
  </cols>
  <sheetData>
    <row r="1" spans="1:22" s="1" customFormat="1" ht="26.5" thickBot="1" x14ac:dyDescent="0.65">
      <c r="A1" s="216" t="s">
        <v>40</v>
      </c>
      <c r="B1" s="217"/>
      <c r="C1" s="217"/>
      <c r="D1" s="217"/>
      <c r="E1" s="217"/>
      <c r="F1" s="217"/>
      <c r="G1" s="217"/>
      <c r="H1" s="217"/>
      <c r="I1" s="217"/>
      <c r="J1" s="217"/>
      <c r="K1" s="217"/>
      <c r="L1" s="217"/>
      <c r="M1" s="217"/>
      <c r="N1" s="217"/>
      <c r="O1" s="217"/>
      <c r="P1" s="217"/>
      <c r="Q1" s="217"/>
      <c r="R1" s="217"/>
      <c r="S1" s="217"/>
      <c r="T1" s="217"/>
      <c r="U1" s="217"/>
      <c r="V1" s="217"/>
    </row>
    <row r="2" spans="1:22" ht="15" thickBot="1" x14ac:dyDescent="0.4">
      <c r="A2"/>
      <c r="B2"/>
      <c r="C2"/>
      <c r="D2"/>
      <c r="E2"/>
      <c r="F2"/>
      <c r="G2"/>
      <c r="H2"/>
      <c r="I2"/>
      <c r="J2"/>
      <c r="K2"/>
      <c r="L2"/>
      <c r="M2"/>
      <c r="S2"/>
      <c r="T2"/>
      <c r="U2"/>
      <c r="V2"/>
    </row>
    <row r="3" spans="1:22" ht="15" thickBot="1" x14ac:dyDescent="0.4">
      <c r="A3" s="51" t="s">
        <v>17</v>
      </c>
      <c r="B3" s="224" t="s">
        <v>6</v>
      </c>
      <c r="C3" s="225"/>
      <c r="D3" s="225"/>
      <c r="E3" s="225"/>
      <c r="F3" s="225"/>
      <c r="G3" s="225"/>
      <c r="H3" s="225"/>
      <c r="I3" s="225"/>
      <c r="J3" s="225"/>
      <c r="K3" s="225"/>
      <c r="L3" s="225"/>
      <c r="M3" s="225"/>
      <c r="O3" s="224" t="s">
        <v>3</v>
      </c>
      <c r="P3" s="225"/>
      <c r="Q3" s="225"/>
      <c r="R3" s="225"/>
      <c r="S3" s="225"/>
      <c r="T3" s="225"/>
      <c r="U3" s="225"/>
      <c r="V3" s="225"/>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Cefuroxime-0.001mg/L</v>
      </c>
      <c r="J4" s="35" t="str">
        <f>'Page de garde'!A16</f>
        <v>Cefuroxime-0.01mg/L</v>
      </c>
      <c r="K4" s="35" t="str">
        <f>'Page de garde'!A17</f>
        <v>Cefuroxime-0.1mg/L</v>
      </c>
      <c r="L4" s="35" t="str">
        <f>'Page de garde'!A18</f>
        <v>Cefuroxime-1mg/L</v>
      </c>
      <c r="M4" s="35" t="str">
        <f>'Page de garde'!A19</f>
        <v>Cefuroxime-10mg/L</v>
      </c>
      <c r="N4" s="3"/>
      <c r="O4" s="36" t="str">
        <f>'Page de garde'!A36</f>
        <v>Testo -30µg/L</v>
      </c>
      <c r="P4" s="36" t="str">
        <f>'Page de garde'!A37</f>
        <v>Testo 30µg/L + EE2 -64ng/L</v>
      </c>
      <c r="Q4" s="36" t="str">
        <f>'Page de garde'!A38</f>
        <v>Testo 30µg/L + FAD-10mg/L</v>
      </c>
      <c r="R4" s="36" t="str">
        <f>'Page de garde'!A39</f>
        <v>Cefuroxime-0,001mg/L + Testostérone</v>
      </c>
      <c r="S4" s="36" t="str">
        <f>'Page de garde'!A40</f>
        <v>Cefuroxime-0,01mg/L + Testostérone</v>
      </c>
      <c r="T4" s="36" t="str">
        <f>'Page de garde'!A41</f>
        <v>Cefuroxime-0,1mg/L + Testostérone</v>
      </c>
      <c r="U4" s="36" t="str">
        <f>'Page de garde'!A42</f>
        <v>Cefuroxime-1mg/L + Testostérone</v>
      </c>
      <c r="V4" s="36" t="str">
        <f>'Page de garde'!A43</f>
        <v>Cefuroxime-10mg/L + Testostérone</v>
      </c>
    </row>
    <row r="5" spans="1:22" ht="16.5" x14ac:dyDescent="0.35">
      <c r="A5" s="220" t="s">
        <v>33</v>
      </c>
      <c r="B5" s="73">
        <v>159816.33333333334</v>
      </c>
      <c r="C5" s="13">
        <v>37657.666666666664</v>
      </c>
      <c r="D5" s="32">
        <v>43642</v>
      </c>
      <c r="E5" s="32">
        <v>162094.66666666666</v>
      </c>
      <c r="F5" s="32"/>
      <c r="G5" s="32">
        <v>450010</v>
      </c>
      <c r="H5" s="32">
        <v>2559746.3333333335</v>
      </c>
      <c r="I5" s="32">
        <v>2192</v>
      </c>
      <c r="J5" s="16"/>
      <c r="K5" s="13">
        <v>135165.33333333334</v>
      </c>
      <c r="L5" s="13">
        <v>279703.33333333331</v>
      </c>
      <c r="M5" s="13">
        <v>229687.66666666666</v>
      </c>
      <c r="N5" s="3"/>
      <c r="O5" s="32">
        <v>60246.666666666664</v>
      </c>
      <c r="P5" s="13">
        <v>3558946.6666666665</v>
      </c>
      <c r="Q5" s="13">
        <v>216.33333333333334</v>
      </c>
      <c r="R5" s="4">
        <v>407867.66666666669</v>
      </c>
      <c r="S5" s="32"/>
      <c r="T5" s="32">
        <v>341233</v>
      </c>
      <c r="U5" s="32">
        <v>522095.33333333331</v>
      </c>
      <c r="V5" s="32">
        <v>64024.333333333336</v>
      </c>
    </row>
    <row r="6" spans="1:22" ht="16.5" x14ac:dyDescent="0.35">
      <c r="A6" s="221"/>
      <c r="B6" s="73">
        <v>4989.333333333333</v>
      </c>
      <c r="C6" s="13">
        <v>344095.33333333331</v>
      </c>
      <c r="D6" s="32">
        <v>42574.666666666664</v>
      </c>
      <c r="E6" s="32">
        <v>1160480</v>
      </c>
      <c r="F6" s="32">
        <v>94464.666666666672</v>
      </c>
      <c r="G6" s="32">
        <v>893653.33333333337</v>
      </c>
      <c r="H6" s="32">
        <v>2927036.3333333335</v>
      </c>
      <c r="I6" s="32">
        <v>33851</v>
      </c>
      <c r="J6" s="16">
        <v>157941.33333333334</v>
      </c>
      <c r="K6" s="13">
        <v>255506.66666666666</v>
      </c>
      <c r="L6" s="13">
        <v>5184</v>
      </c>
      <c r="M6" s="13">
        <v>16583</v>
      </c>
      <c r="N6" s="3"/>
      <c r="O6" s="32">
        <v>40296</v>
      </c>
      <c r="P6" s="13">
        <v>3925688.6666666665</v>
      </c>
      <c r="Q6" s="13">
        <v>110802.66666666667</v>
      </c>
      <c r="R6" s="4">
        <v>527459.33333333337</v>
      </c>
      <c r="S6" s="32">
        <v>1117732</v>
      </c>
      <c r="T6" s="32">
        <v>237237</v>
      </c>
      <c r="U6" s="32">
        <v>1820783</v>
      </c>
      <c r="V6" s="32">
        <v>43238.333333333336</v>
      </c>
    </row>
    <row r="7" spans="1:22" ht="16.5" x14ac:dyDescent="0.35">
      <c r="A7" s="221"/>
      <c r="B7" s="73">
        <v>250070.33333333334</v>
      </c>
      <c r="C7" s="13">
        <v>391652.66666666669</v>
      </c>
      <c r="D7" s="32">
        <v>93808.666666666672</v>
      </c>
      <c r="E7" s="32">
        <v>683966</v>
      </c>
      <c r="F7" s="32">
        <v>2266690.3333333335</v>
      </c>
      <c r="G7" s="32">
        <v>2899674.6666666665</v>
      </c>
      <c r="H7" s="32">
        <v>2541404.6666666665</v>
      </c>
      <c r="I7" s="32">
        <v>221490</v>
      </c>
      <c r="J7" s="16">
        <v>43937.666666666664</v>
      </c>
      <c r="K7" s="13">
        <v>156175</v>
      </c>
      <c r="L7" s="13"/>
      <c r="M7" s="13">
        <v>189456.33333333334</v>
      </c>
      <c r="N7" s="3"/>
      <c r="O7" s="32">
        <v>1782735.6666666667</v>
      </c>
      <c r="P7" s="13">
        <v>2974456.6666666665</v>
      </c>
      <c r="Q7" s="13">
        <v>189103</v>
      </c>
      <c r="R7" s="4">
        <v>311866.66666666669</v>
      </c>
      <c r="S7" s="32">
        <v>402900</v>
      </c>
      <c r="T7" s="32">
        <v>1870228.6666666667</v>
      </c>
      <c r="U7" s="32">
        <v>429295.66666666669</v>
      </c>
      <c r="V7" s="32">
        <v>68725.333333333328</v>
      </c>
    </row>
    <row r="8" spans="1:22" ht="16.5" x14ac:dyDescent="0.35">
      <c r="A8" s="221"/>
      <c r="B8" s="73">
        <v>193169.66666666666</v>
      </c>
      <c r="C8" s="13">
        <v>81026</v>
      </c>
      <c r="D8" s="32">
        <v>46259</v>
      </c>
      <c r="E8" s="32">
        <v>323669.66666666669</v>
      </c>
      <c r="F8" s="32">
        <v>2384724.6666666665</v>
      </c>
      <c r="G8" s="32">
        <v>2534007</v>
      </c>
      <c r="H8" s="32">
        <v>3695489.3333333335</v>
      </c>
      <c r="I8" s="32">
        <v>62236.333333333336</v>
      </c>
      <c r="J8" s="16">
        <v>138647.66666666666</v>
      </c>
      <c r="K8" s="13">
        <v>100701.33333333333</v>
      </c>
      <c r="L8" s="13">
        <v>257619.33333333334</v>
      </c>
      <c r="M8" s="13">
        <v>131315</v>
      </c>
      <c r="N8" s="3"/>
      <c r="O8" s="32">
        <v>2360513.6666666665</v>
      </c>
      <c r="P8" s="13">
        <v>2635300</v>
      </c>
      <c r="Q8" s="13">
        <v>246573.66666666666</v>
      </c>
      <c r="R8" s="4">
        <v>406014.66666666669</v>
      </c>
      <c r="S8" s="32">
        <v>697470.66666666663</v>
      </c>
      <c r="T8" s="32">
        <v>2743904</v>
      </c>
      <c r="U8" s="32">
        <v>197026.5</v>
      </c>
      <c r="V8" s="32">
        <v>415662</v>
      </c>
    </row>
    <row r="9" spans="1:22" ht="16.5" x14ac:dyDescent="0.35">
      <c r="A9" s="221"/>
      <c r="B9" s="73">
        <v>444436.66666666669</v>
      </c>
      <c r="C9" s="13">
        <v>227993.66666666666</v>
      </c>
      <c r="D9" s="32">
        <v>440</v>
      </c>
      <c r="E9" s="32">
        <v>229161.66666666666</v>
      </c>
      <c r="F9" s="32">
        <v>1633439.3333333333</v>
      </c>
      <c r="G9" s="32">
        <v>3068482</v>
      </c>
      <c r="H9" s="32">
        <v>4704314.666666667</v>
      </c>
      <c r="I9" s="32">
        <v>266805</v>
      </c>
      <c r="J9" s="16">
        <v>307555.66666666669</v>
      </c>
      <c r="K9" s="13">
        <v>0</v>
      </c>
      <c r="L9" s="13">
        <v>8450.3333333333339</v>
      </c>
      <c r="M9" s="13">
        <v>105993.66666666667</v>
      </c>
      <c r="N9" s="3"/>
      <c r="O9" s="32">
        <v>898102.33333333337</v>
      </c>
      <c r="P9" s="13">
        <v>4288559.333333333</v>
      </c>
      <c r="Q9" s="13">
        <v>105215.33333333333</v>
      </c>
      <c r="R9" s="4">
        <v>38220</v>
      </c>
      <c r="S9" s="32">
        <v>538346.33333333337</v>
      </c>
      <c r="T9" s="32">
        <v>62885.333333333336</v>
      </c>
      <c r="U9" s="32">
        <v>1888700.6666666667</v>
      </c>
      <c r="V9" s="32">
        <v>1413052</v>
      </c>
    </row>
    <row r="10" spans="1:22" ht="16.5" x14ac:dyDescent="0.35">
      <c r="A10" s="221"/>
      <c r="B10" s="73">
        <v>82229.666666666672</v>
      </c>
      <c r="C10" s="13">
        <v>107529</v>
      </c>
      <c r="D10" s="32">
        <v>78646.333333333328</v>
      </c>
      <c r="E10" s="32">
        <v>250957.66666666666</v>
      </c>
      <c r="F10" s="32">
        <v>2363578</v>
      </c>
      <c r="G10" s="32">
        <v>3185456</v>
      </c>
      <c r="H10" s="32">
        <v>2717529.6666666665</v>
      </c>
      <c r="I10" s="32">
        <v>450536.33333333331</v>
      </c>
      <c r="J10" s="16">
        <v>3432</v>
      </c>
      <c r="K10" s="13">
        <v>35696.666666666664</v>
      </c>
      <c r="L10" s="13">
        <v>184265</v>
      </c>
      <c r="M10" s="13">
        <v>47405.666666666664</v>
      </c>
      <c r="N10" s="3"/>
      <c r="O10" s="32">
        <v>785280.33333333337</v>
      </c>
      <c r="P10" s="13">
        <v>3320362</v>
      </c>
      <c r="Q10" s="13">
        <v>286560.33333333331</v>
      </c>
      <c r="R10" s="4">
        <v>2226523.6666666665</v>
      </c>
      <c r="S10" s="32">
        <v>752687.5</v>
      </c>
      <c r="T10" s="32">
        <v>441639</v>
      </c>
      <c r="U10" s="32">
        <v>2129124.3333333335</v>
      </c>
      <c r="V10" s="32">
        <v>1106152.5</v>
      </c>
    </row>
    <row r="11" spans="1:22" ht="16.5" x14ac:dyDescent="0.35">
      <c r="A11" s="221"/>
      <c r="B11" s="73">
        <v>89634.333333333328</v>
      </c>
      <c r="C11" s="13">
        <v>197560.33333333334</v>
      </c>
      <c r="D11" s="32">
        <v>229457</v>
      </c>
      <c r="E11" s="32">
        <v>235347.66666666666</v>
      </c>
      <c r="F11" s="32">
        <v>1626654.5</v>
      </c>
      <c r="G11" s="32">
        <v>2938464.3333333335</v>
      </c>
      <c r="H11" s="32">
        <v>4303793.666666667</v>
      </c>
      <c r="I11" s="32">
        <v>85654.333333333328</v>
      </c>
      <c r="J11" s="16">
        <v>68271.333333333328</v>
      </c>
      <c r="K11" s="13">
        <v>80967.666666666672</v>
      </c>
      <c r="L11" s="13">
        <v>255157</v>
      </c>
      <c r="M11" s="13">
        <v>270402.66666666669</v>
      </c>
      <c r="N11" s="3"/>
      <c r="O11" s="32">
        <v>2254715</v>
      </c>
      <c r="P11" s="13">
        <v>4434395</v>
      </c>
      <c r="Q11" s="13">
        <v>298773.66666666669</v>
      </c>
      <c r="R11" s="4">
        <v>311989.66666666669</v>
      </c>
      <c r="S11" s="32">
        <v>1569573.3333333333</v>
      </c>
      <c r="T11" s="32">
        <v>159931</v>
      </c>
      <c r="U11" s="32"/>
      <c r="V11" s="32">
        <v>1735193.3333333333</v>
      </c>
    </row>
    <row r="12" spans="1:22" ht="16.5" x14ac:dyDescent="0.35">
      <c r="A12" s="221"/>
      <c r="B12" s="73">
        <v>18133</v>
      </c>
      <c r="C12" s="13">
        <v>113903.33333333333</v>
      </c>
      <c r="D12" s="32">
        <v>225412.33333333334</v>
      </c>
      <c r="E12" s="32">
        <v>349561</v>
      </c>
      <c r="F12" s="32">
        <v>2917844</v>
      </c>
      <c r="G12" s="32">
        <v>2092987.6666666667</v>
      </c>
      <c r="H12" s="32">
        <v>3909841.6666666665</v>
      </c>
      <c r="I12" s="32">
        <v>107212.33333333333</v>
      </c>
      <c r="J12" s="16">
        <v>222795.33333333334</v>
      </c>
      <c r="K12" s="13">
        <v>99915.666666666672</v>
      </c>
      <c r="L12" s="13">
        <v>0</v>
      </c>
      <c r="M12" s="13">
        <v>182181.33333333334</v>
      </c>
      <c r="N12" s="3"/>
      <c r="O12" s="32">
        <v>1790674</v>
      </c>
      <c r="P12" s="13">
        <v>2296575.6666666665</v>
      </c>
      <c r="Q12" s="13">
        <v>231901</v>
      </c>
      <c r="R12" s="4">
        <v>1557320</v>
      </c>
      <c r="S12" s="32">
        <v>1910431.6666666667</v>
      </c>
      <c r="T12" s="32">
        <v>2719505</v>
      </c>
      <c r="U12" s="32">
        <v>1010346.6666666666</v>
      </c>
      <c r="V12" s="32">
        <v>393592</v>
      </c>
    </row>
    <row r="13" spans="1:22" ht="16.5" x14ac:dyDescent="0.35">
      <c r="A13" s="221"/>
      <c r="B13" s="14"/>
      <c r="C13" s="13"/>
      <c r="D13" s="16"/>
      <c r="E13" s="16"/>
      <c r="F13" s="16"/>
      <c r="G13" s="16"/>
      <c r="H13" s="16"/>
      <c r="I13" s="32"/>
      <c r="J13" s="16"/>
      <c r="K13" s="13"/>
      <c r="L13" s="13"/>
      <c r="M13" s="13"/>
      <c r="N13" s="3"/>
      <c r="O13" s="32"/>
      <c r="P13" s="13"/>
      <c r="Q13" s="13"/>
      <c r="R13" s="4"/>
      <c r="S13" s="32"/>
      <c r="T13" s="32"/>
      <c r="U13" s="32"/>
      <c r="V13" s="32"/>
    </row>
    <row r="14" spans="1:22" ht="16.5" x14ac:dyDescent="0.35">
      <c r="A14" s="221"/>
      <c r="B14" s="14"/>
      <c r="C14" s="16"/>
      <c r="D14" s="16"/>
      <c r="E14" s="16"/>
      <c r="F14" s="16"/>
      <c r="G14" s="16"/>
      <c r="H14" s="16"/>
      <c r="I14" s="32"/>
      <c r="J14" s="16"/>
      <c r="K14" s="13"/>
      <c r="L14" s="13"/>
      <c r="M14" s="13"/>
      <c r="N14" s="3"/>
      <c r="O14" s="32">
        <v>1060413</v>
      </c>
      <c r="P14" s="13"/>
      <c r="Q14" s="13"/>
      <c r="R14" s="4"/>
      <c r="S14" s="32"/>
      <c r="T14" s="32"/>
      <c r="U14" s="32"/>
      <c r="V14" s="32"/>
    </row>
    <row r="15" spans="1:22" ht="16.5" x14ac:dyDescent="0.35">
      <c r="A15" s="221"/>
      <c r="B15" s="14"/>
      <c r="C15" s="16"/>
      <c r="D15" s="16"/>
      <c r="E15" s="16"/>
      <c r="F15" s="16"/>
      <c r="G15" s="16"/>
      <c r="H15" s="16"/>
      <c r="I15" s="32"/>
      <c r="J15" s="16"/>
      <c r="K15" s="13"/>
      <c r="L15" s="13"/>
      <c r="M15" s="13"/>
      <c r="N15" s="3"/>
      <c r="O15" s="32">
        <v>2642380.3333333335</v>
      </c>
      <c r="P15" s="13"/>
      <c r="Q15" s="13"/>
      <c r="R15" s="4"/>
      <c r="S15" s="32"/>
      <c r="T15" s="32"/>
      <c r="U15" s="32"/>
      <c r="V15" s="32"/>
    </row>
    <row r="16" spans="1:22" ht="16.5" x14ac:dyDescent="0.35">
      <c r="A16" s="221"/>
      <c r="B16" s="14"/>
      <c r="C16" s="16"/>
      <c r="D16" s="16"/>
      <c r="E16" s="16"/>
      <c r="F16" s="16"/>
      <c r="G16" s="16"/>
      <c r="H16" s="16"/>
      <c r="I16" s="32"/>
      <c r="J16" s="16"/>
      <c r="K16" s="13"/>
      <c r="L16" s="13"/>
      <c r="M16" s="13"/>
      <c r="N16" s="3"/>
      <c r="O16" s="32">
        <v>1625162</v>
      </c>
      <c r="P16" s="13"/>
      <c r="Q16" s="13"/>
      <c r="R16" s="4"/>
      <c r="S16" s="32"/>
      <c r="T16" s="32"/>
      <c r="U16" s="32"/>
      <c r="V16" s="32"/>
    </row>
    <row r="17" spans="1:22" s="1" customFormat="1" ht="16.5" x14ac:dyDescent="0.35">
      <c r="A17" s="221"/>
      <c r="B17" s="14"/>
      <c r="C17" s="32"/>
      <c r="D17" s="32"/>
      <c r="E17" s="32"/>
      <c r="F17" s="32"/>
      <c r="G17" s="32"/>
      <c r="H17" s="32"/>
      <c r="I17" s="32"/>
      <c r="J17" s="32"/>
      <c r="K17" s="13"/>
      <c r="L17" s="13"/>
      <c r="M17" s="13"/>
      <c r="N17" s="3"/>
      <c r="O17" s="32">
        <v>3457452</v>
      </c>
      <c r="P17" s="13"/>
      <c r="Q17" s="13"/>
      <c r="R17" s="32"/>
      <c r="S17" s="32"/>
      <c r="T17" s="32"/>
      <c r="U17" s="32"/>
      <c r="V17" s="32"/>
    </row>
    <row r="18" spans="1:22" s="1" customFormat="1" ht="16.5" x14ac:dyDescent="0.35">
      <c r="A18" s="221"/>
      <c r="B18" s="14"/>
      <c r="C18" s="32"/>
      <c r="D18" s="32"/>
      <c r="E18" s="32"/>
      <c r="F18" s="32"/>
      <c r="G18" s="32"/>
      <c r="H18" s="32"/>
      <c r="I18" s="32"/>
      <c r="J18" s="32"/>
      <c r="K18" s="13"/>
      <c r="L18" s="13"/>
      <c r="M18" s="13"/>
      <c r="N18" s="3"/>
      <c r="O18" s="32">
        <v>1292141</v>
      </c>
      <c r="P18" s="13"/>
      <c r="Q18" s="13"/>
      <c r="R18" s="32"/>
      <c r="S18" s="32"/>
      <c r="T18" s="32"/>
      <c r="U18" s="32"/>
      <c r="V18" s="32"/>
    </row>
    <row r="19" spans="1:22" s="1" customFormat="1" ht="16.5" x14ac:dyDescent="0.35">
      <c r="A19" s="221"/>
      <c r="B19" s="14"/>
      <c r="C19" s="32"/>
      <c r="D19" s="32"/>
      <c r="E19" s="32"/>
      <c r="F19" s="32"/>
      <c r="G19" s="32"/>
      <c r="H19" s="32"/>
      <c r="I19" s="32"/>
      <c r="J19" s="32"/>
      <c r="K19" s="13"/>
      <c r="L19" s="13"/>
      <c r="M19" s="13"/>
      <c r="N19" s="3"/>
      <c r="O19" s="32">
        <v>104025.33333333333</v>
      </c>
      <c r="P19" s="13"/>
      <c r="Q19" s="13"/>
      <c r="R19" s="32"/>
      <c r="S19" s="32"/>
      <c r="T19" s="32"/>
      <c r="U19" s="32"/>
      <c r="V19" s="32"/>
    </row>
    <row r="20" spans="1:22" ht="16.5" x14ac:dyDescent="0.35">
      <c r="A20" s="221"/>
      <c r="B20" s="14"/>
      <c r="C20" s="16"/>
      <c r="D20" s="16"/>
      <c r="E20" s="16"/>
      <c r="F20" s="16"/>
      <c r="G20" s="16"/>
      <c r="H20" s="16"/>
      <c r="I20" s="32"/>
      <c r="J20" s="16"/>
      <c r="K20" s="13"/>
      <c r="L20" s="13"/>
      <c r="M20" s="13"/>
      <c r="N20" s="3"/>
      <c r="O20" s="32">
        <v>953907</v>
      </c>
      <c r="P20" s="13"/>
      <c r="Q20" s="13"/>
      <c r="R20" s="4"/>
      <c r="S20" s="32"/>
      <c r="T20" s="32"/>
      <c r="U20" s="32"/>
      <c r="V20" s="32"/>
    </row>
    <row r="21" spans="1:22" s="1" customFormat="1" ht="16.5" x14ac:dyDescent="0.35">
      <c r="A21" s="66"/>
      <c r="B21" s="67"/>
      <c r="C21" s="7"/>
      <c r="D21" s="7"/>
      <c r="E21" s="7"/>
      <c r="F21" s="7"/>
      <c r="G21" s="7"/>
      <c r="H21" s="7"/>
      <c r="I21" s="7"/>
      <c r="J21" s="7"/>
      <c r="K21" s="33"/>
      <c r="L21" s="33"/>
      <c r="M21" s="33"/>
      <c r="N21" s="3"/>
      <c r="O21" s="7"/>
      <c r="P21" s="33"/>
      <c r="Q21" s="33"/>
      <c r="R21" s="7"/>
      <c r="S21" s="7"/>
      <c r="T21" s="7"/>
      <c r="U21" s="7"/>
      <c r="V21" s="7"/>
    </row>
    <row r="22" spans="1:22" s="69" customFormat="1" x14ac:dyDescent="0.35">
      <c r="A22" s="68" t="str">
        <f t="shared" ref="A22:M22" si="0">A4</f>
        <v>Noms des groupes</v>
      </c>
      <c r="B22" s="68" t="str">
        <f t="shared" si="0"/>
        <v>Témoin solvant</v>
      </c>
      <c r="C22" s="68" t="str">
        <f t="shared" si="0"/>
        <v>EE2-33,8ng/L</v>
      </c>
      <c r="D22" s="68" t="str">
        <f t="shared" si="0"/>
        <v>EE2-50,6ng/L</v>
      </c>
      <c r="E22" s="68" t="str">
        <f t="shared" si="0"/>
        <v>EE2-76ng/L</v>
      </c>
      <c r="F22" s="68" t="str">
        <f t="shared" si="0"/>
        <v>EE2-114ng/L</v>
      </c>
      <c r="G22" s="68" t="str">
        <f t="shared" si="0"/>
        <v>EE2-170,9ng/L</v>
      </c>
      <c r="H22" s="68" t="str">
        <f t="shared" si="0"/>
        <v>EE2-488ng/L</v>
      </c>
      <c r="I22" s="68" t="str">
        <f t="shared" si="0"/>
        <v>Cefuroxime-0.001mg/L</v>
      </c>
      <c r="J22" s="68" t="str">
        <f t="shared" si="0"/>
        <v>Cefuroxime-0.01mg/L</v>
      </c>
      <c r="K22" s="68" t="str">
        <f t="shared" si="0"/>
        <v>Cefuroxime-0.1mg/L</v>
      </c>
      <c r="L22" s="68" t="str">
        <f t="shared" si="0"/>
        <v>Cefuroxime-1mg/L</v>
      </c>
      <c r="M22" s="68" t="str">
        <f t="shared" si="0"/>
        <v>Cefuroxime-10mg/L</v>
      </c>
      <c r="N22" s="68" t="s">
        <v>47</v>
      </c>
      <c r="O22" s="68" t="str">
        <f t="shared" ref="O22:V22" si="1">O4</f>
        <v>Testo -30µg/L</v>
      </c>
      <c r="P22" s="68" t="str">
        <f t="shared" si="1"/>
        <v>Testo 30µg/L + EE2 -64ng/L</v>
      </c>
      <c r="Q22" s="68" t="str">
        <f t="shared" si="1"/>
        <v>Testo 30µg/L + FAD-10mg/L</v>
      </c>
      <c r="R22" s="68" t="str">
        <f t="shared" si="1"/>
        <v>Cefuroxime-0,001mg/L + Testostérone</v>
      </c>
      <c r="S22" s="68" t="str">
        <f t="shared" si="1"/>
        <v>Cefuroxime-0,01mg/L + Testostérone</v>
      </c>
      <c r="T22" s="68" t="str">
        <f t="shared" si="1"/>
        <v>Cefuroxime-0,1mg/L + Testostérone</v>
      </c>
      <c r="U22" s="68" t="str">
        <f t="shared" si="1"/>
        <v>Cefuroxime-1mg/L + Testostérone</v>
      </c>
      <c r="V22" s="68" t="str">
        <f t="shared" si="1"/>
        <v>Cefuroxime-10mg/L + Testostérone</v>
      </c>
    </row>
    <row r="23" spans="1:22" x14ac:dyDescent="0.35">
      <c r="A23" s="5" t="s">
        <v>0</v>
      </c>
      <c r="B23" s="5">
        <f t="shared" ref="B23:M23" si="2">AVERAGE(B5:B20)</f>
        <v>155309.91666666666</v>
      </c>
      <c r="C23" s="5">
        <f t="shared" si="2"/>
        <v>187677.25</v>
      </c>
      <c r="D23" s="5">
        <f t="shared" si="2"/>
        <v>95030</v>
      </c>
      <c r="E23" s="5">
        <f t="shared" si="2"/>
        <v>424404.79166666663</v>
      </c>
      <c r="F23" s="5">
        <f t="shared" si="2"/>
        <v>1898199.357142857</v>
      </c>
      <c r="G23" s="5">
        <f t="shared" si="2"/>
        <v>2257841.875</v>
      </c>
      <c r="H23" s="5">
        <f t="shared" si="2"/>
        <v>3419894.5416666674</v>
      </c>
      <c r="I23" s="5">
        <f t="shared" si="2"/>
        <v>153747.16666666663</v>
      </c>
      <c r="J23" s="5">
        <f t="shared" si="2"/>
        <v>134654.42857142858</v>
      </c>
      <c r="K23" s="5">
        <f t="shared" si="2"/>
        <v>108016.04166666666</v>
      </c>
      <c r="L23" s="5">
        <f t="shared" si="2"/>
        <v>141482.71428571429</v>
      </c>
      <c r="M23" s="5">
        <f t="shared" si="2"/>
        <v>146628.16666666666</v>
      </c>
      <c r="N23" s="5" t="s">
        <v>0</v>
      </c>
      <c r="O23" s="5">
        <f t="shared" ref="O23:V23" si="3">AVERAGE(O5:O20)</f>
        <v>1407202.9555555554</v>
      </c>
      <c r="P23" s="5">
        <f t="shared" si="3"/>
        <v>3429285.5</v>
      </c>
      <c r="Q23" s="5">
        <f t="shared" si="3"/>
        <v>183643.25</v>
      </c>
      <c r="R23" s="5">
        <f t="shared" si="3"/>
        <v>723407.70833333337</v>
      </c>
      <c r="S23" s="5">
        <f t="shared" si="3"/>
        <v>998448.78571428568</v>
      </c>
      <c r="T23" s="5">
        <f t="shared" si="3"/>
        <v>1072070.375</v>
      </c>
      <c r="U23" s="5">
        <f t="shared" si="3"/>
        <v>1142481.7380952381</v>
      </c>
      <c r="V23" s="5">
        <f t="shared" si="3"/>
        <v>654954.97916666663</v>
      </c>
    </row>
    <row r="24" spans="1:22" x14ac:dyDescent="0.35">
      <c r="A24" s="3" t="s">
        <v>1</v>
      </c>
      <c r="B24" s="3">
        <f t="shared" ref="B24:M24" si="4">STDEV(B5:B20)</f>
        <v>143971.85837106311</v>
      </c>
      <c r="C24" s="3">
        <f t="shared" si="4"/>
        <v>127359.09494445781</v>
      </c>
      <c r="D24" s="3">
        <f t="shared" si="4"/>
        <v>86237.425123162247</v>
      </c>
      <c r="E24" s="3">
        <f t="shared" si="4"/>
        <v>337571.34123778553</v>
      </c>
      <c r="F24" s="3">
        <f t="shared" si="4"/>
        <v>915244.80045427056</v>
      </c>
      <c r="G24" s="3">
        <f t="shared" si="4"/>
        <v>1043723.5671354737</v>
      </c>
      <c r="H24" s="3">
        <f t="shared" si="4"/>
        <v>844717.90955850098</v>
      </c>
      <c r="I24" s="3">
        <f t="shared" si="4"/>
        <v>150226.20619944899</v>
      </c>
      <c r="J24" s="3">
        <f t="shared" si="4"/>
        <v>106518.74255660959</v>
      </c>
      <c r="K24" s="3">
        <f t="shared" si="4"/>
        <v>77972.656974510537</v>
      </c>
      <c r="L24" s="3">
        <f t="shared" si="4"/>
        <v>131426.23619148618</v>
      </c>
      <c r="M24" s="3">
        <f t="shared" si="4"/>
        <v>87798.301686941064</v>
      </c>
      <c r="N24" s="3" t="s">
        <v>1</v>
      </c>
      <c r="O24" s="3">
        <f t="shared" ref="O24:V24" si="5">STDEV(O5:O20)</f>
        <v>1002061.8745684328</v>
      </c>
      <c r="P24" s="3">
        <f t="shared" si="5"/>
        <v>769415.6304702519</v>
      </c>
      <c r="Q24" s="3">
        <f t="shared" si="5"/>
        <v>103694.55005757466</v>
      </c>
      <c r="R24" s="3">
        <f t="shared" si="5"/>
        <v>756078.222567296</v>
      </c>
      <c r="S24" s="3">
        <f t="shared" si="5"/>
        <v>561171.92401374143</v>
      </c>
      <c r="T24" s="3">
        <f t="shared" si="5"/>
        <v>1172609.5203756995</v>
      </c>
      <c r="U24" s="3">
        <f t="shared" si="5"/>
        <v>795325.70372503437</v>
      </c>
      <c r="V24" s="3">
        <f t="shared" si="5"/>
        <v>669524.18232236546</v>
      </c>
    </row>
    <row r="25" spans="1:22" ht="15" thickBot="1" x14ac:dyDescent="0.4"/>
    <row r="26" spans="1:22" ht="15" thickBot="1" x14ac:dyDescent="0.4">
      <c r="B26" s="224" t="s">
        <v>6</v>
      </c>
      <c r="C26" s="225"/>
      <c r="D26" s="225"/>
      <c r="E26" s="225"/>
      <c r="F26" s="225"/>
      <c r="G26" s="225"/>
      <c r="H26" s="225"/>
      <c r="I26" s="225"/>
      <c r="J26" s="225"/>
      <c r="K26" s="225"/>
      <c r="L26" s="225"/>
      <c r="M26" s="225"/>
      <c r="N26" s="1"/>
      <c r="O26" s="224" t="s">
        <v>3</v>
      </c>
      <c r="P26" s="225"/>
      <c r="Q26" s="225"/>
      <c r="R26" s="225"/>
      <c r="S26" s="225"/>
      <c r="T26" s="225"/>
      <c r="U26" s="225"/>
      <c r="V26" s="225"/>
    </row>
    <row r="27" spans="1:22" s="1" customFormat="1" x14ac:dyDescent="0.35">
      <c r="A27" s="34" t="s">
        <v>41</v>
      </c>
      <c r="B27" s="35" t="str">
        <f t="shared" ref="B27:M27" si="6">B4</f>
        <v>Témoin solvant</v>
      </c>
      <c r="C27" s="35" t="str">
        <f t="shared" si="6"/>
        <v>EE2-33,8ng/L</v>
      </c>
      <c r="D27" s="35" t="str">
        <f t="shared" si="6"/>
        <v>EE2-50,6ng/L</v>
      </c>
      <c r="E27" s="35" t="str">
        <f t="shared" si="6"/>
        <v>EE2-76ng/L</v>
      </c>
      <c r="F27" s="35" t="str">
        <f t="shared" si="6"/>
        <v>EE2-114ng/L</v>
      </c>
      <c r="G27" s="35" t="str">
        <f t="shared" si="6"/>
        <v>EE2-170,9ng/L</v>
      </c>
      <c r="H27" s="35" t="str">
        <f t="shared" si="6"/>
        <v>EE2-488ng/L</v>
      </c>
      <c r="I27" s="35" t="str">
        <f t="shared" si="6"/>
        <v>Cefuroxime-0.001mg/L</v>
      </c>
      <c r="J27" s="35" t="str">
        <f t="shared" si="6"/>
        <v>Cefuroxime-0.01mg/L</v>
      </c>
      <c r="K27" s="35" t="str">
        <f t="shared" si="6"/>
        <v>Cefuroxime-0.1mg/L</v>
      </c>
      <c r="L27" s="35" t="str">
        <f t="shared" si="6"/>
        <v>Cefuroxime-1mg/L</v>
      </c>
      <c r="M27" s="35" t="str">
        <f t="shared" si="6"/>
        <v>Cefuroxime-10mg/L</v>
      </c>
      <c r="N27" s="3"/>
      <c r="O27" s="36" t="str">
        <f t="shared" ref="O27:V27" si="7">O4</f>
        <v>Testo -30µg/L</v>
      </c>
      <c r="P27" s="36" t="str">
        <f t="shared" si="7"/>
        <v>Testo 30µg/L + EE2 -64ng/L</v>
      </c>
      <c r="Q27" s="36" t="str">
        <f t="shared" si="7"/>
        <v>Testo 30µg/L + FAD-10mg/L</v>
      </c>
      <c r="R27" s="36" t="str">
        <f t="shared" si="7"/>
        <v>Cefuroxime-0,001mg/L + Testostérone</v>
      </c>
      <c r="S27" s="36" t="str">
        <f t="shared" si="7"/>
        <v>Cefuroxime-0,01mg/L + Testostérone</v>
      </c>
      <c r="T27" s="36" t="str">
        <f t="shared" si="7"/>
        <v>Cefuroxime-0,1mg/L + Testostérone</v>
      </c>
      <c r="U27" s="36" t="str">
        <f t="shared" si="7"/>
        <v>Cefuroxime-1mg/L + Testostérone</v>
      </c>
      <c r="V27" s="36" t="str">
        <f t="shared" si="7"/>
        <v>Cefuroxime-10mg/L + Testostérone</v>
      </c>
    </row>
    <row r="28" spans="1:22" x14ac:dyDescent="0.35">
      <c r="A28" s="222" t="s">
        <v>34</v>
      </c>
      <c r="B28" s="11">
        <f t="shared" ref="B28:M28" si="8">IF(B5="","",(B5/$O$23))</f>
        <v>0.113570208691211</v>
      </c>
      <c r="C28" s="11">
        <f t="shared" si="8"/>
        <v>2.6760650635358877E-2</v>
      </c>
      <c r="D28" s="11">
        <f t="shared" si="8"/>
        <v>3.1013294726040707E-2</v>
      </c>
      <c r="E28" s="11">
        <f t="shared" si="8"/>
        <v>0.11518925967766508</v>
      </c>
      <c r="F28" s="11" t="str">
        <f t="shared" si="8"/>
        <v/>
      </c>
      <c r="G28" s="11">
        <f t="shared" si="8"/>
        <v>0.31979040281530585</v>
      </c>
      <c r="H28" s="11">
        <f t="shared" si="8"/>
        <v>1.8190313793952777</v>
      </c>
      <c r="I28" s="11">
        <f t="shared" si="8"/>
        <v>1.5576999688254715E-3</v>
      </c>
      <c r="J28" s="11" t="str">
        <f t="shared" si="8"/>
        <v/>
      </c>
      <c r="K28" s="11">
        <f t="shared" si="8"/>
        <v>9.605247970785484E-2</v>
      </c>
      <c r="L28" s="11">
        <f t="shared" si="8"/>
        <v>0.19876545329092782</v>
      </c>
      <c r="M28" s="11">
        <f t="shared" si="8"/>
        <v>0.16322284270358664</v>
      </c>
      <c r="N28" s="6"/>
      <c r="O28" s="11">
        <f t="shared" ref="O28:V28" si="9">IF(O5="","",(O5/$O$23))</f>
        <v>4.2813061491106405E-2</v>
      </c>
      <c r="P28" s="11">
        <f t="shared" si="9"/>
        <v>2.5290926604553752</v>
      </c>
      <c r="Q28" s="11">
        <f t="shared" si="9"/>
        <v>1.5373285884545787E-4</v>
      </c>
      <c r="R28" s="11">
        <f t="shared" si="9"/>
        <v>0.28984281553448199</v>
      </c>
      <c r="S28" s="11" t="str">
        <f t="shared" si="9"/>
        <v/>
      </c>
      <c r="T28" s="11">
        <f t="shared" si="9"/>
        <v>0.24249025249188966</v>
      </c>
      <c r="U28" s="11">
        <f t="shared" si="9"/>
        <v>0.37101637064655907</v>
      </c>
      <c r="V28" s="11">
        <f t="shared" si="9"/>
        <v>4.5497583046261371E-2</v>
      </c>
    </row>
    <row r="29" spans="1:22" x14ac:dyDescent="0.35">
      <c r="A29" s="223"/>
      <c r="B29" s="11">
        <f t="shared" ref="B29:M29" si="10">IF(B6="","",(B6/$O$23))</f>
        <v>3.545567690599096E-3</v>
      </c>
      <c r="C29" s="11">
        <f t="shared" si="10"/>
        <v>0.24452431113427167</v>
      </c>
      <c r="D29" s="11">
        <f t="shared" si="10"/>
        <v>3.0254816121998859E-2</v>
      </c>
      <c r="E29" s="11">
        <f t="shared" si="10"/>
        <v>0.82467137765628795</v>
      </c>
      <c r="F29" s="11">
        <f t="shared" si="10"/>
        <v>6.7129383358474098E-2</v>
      </c>
      <c r="G29" s="11">
        <f t="shared" si="10"/>
        <v>0.63505646417614603</v>
      </c>
      <c r="H29" s="11">
        <f t="shared" si="10"/>
        <v>2.0800385060147608</v>
      </c>
      <c r="I29" s="11">
        <f t="shared" si="10"/>
        <v>2.4055520823317078E-2</v>
      </c>
      <c r="J29" s="11">
        <f t="shared" si="10"/>
        <v>0.11223777828904505</v>
      </c>
      <c r="K29" s="11">
        <f t="shared" si="10"/>
        <v>0.18157058699879872</v>
      </c>
      <c r="L29" s="11">
        <f t="shared" si="10"/>
        <v>3.6839035759084144E-3</v>
      </c>
      <c r="M29" s="11">
        <f t="shared" si="10"/>
        <v>1.1784369791529558E-2</v>
      </c>
      <c r="N29" s="6"/>
      <c r="O29" s="11">
        <f t="shared" ref="O29:V29" si="11">IF(O6="","",(O6/$O$23))</f>
        <v>2.863552825902883E-2</v>
      </c>
      <c r="P29" s="11">
        <f t="shared" si="11"/>
        <v>2.7897103620826518</v>
      </c>
      <c r="Q29" s="11">
        <f t="shared" si="11"/>
        <v>7.8739648910787316E-2</v>
      </c>
      <c r="R29" s="11">
        <f t="shared" si="11"/>
        <v>0.37482818754107544</v>
      </c>
      <c r="S29" s="11">
        <f t="shared" si="11"/>
        <v>0.79429338574599995</v>
      </c>
      <c r="T29" s="11">
        <f t="shared" si="11"/>
        <v>0.16858762203660965</v>
      </c>
      <c r="U29" s="11">
        <f t="shared" si="11"/>
        <v>1.2939021999716918</v>
      </c>
      <c r="V29" s="11">
        <f t="shared" si="11"/>
        <v>3.0726437265236623E-2</v>
      </c>
    </row>
    <row r="30" spans="1:22" x14ac:dyDescent="0.35">
      <c r="A30" s="223"/>
      <c r="B30" s="11">
        <f t="shared" ref="B30:M30" si="12">IF(B7="","",(B7/$O$23))</f>
        <v>0.17770736790032327</v>
      </c>
      <c r="C30" s="11">
        <f t="shared" si="12"/>
        <v>0.27831995741655086</v>
      </c>
      <c r="D30" s="11">
        <f t="shared" si="12"/>
        <v>6.6663210375102977E-2</v>
      </c>
      <c r="E30" s="11">
        <f t="shared" si="12"/>
        <v>0.48604644930551205</v>
      </c>
      <c r="F30" s="11">
        <f t="shared" si="12"/>
        <v>1.6107771266288007</v>
      </c>
      <c r="G30" s="11">
        <f t="shared" si="12"/>
        <v>2.0605944972037755</v>
      </c>
      <c r="H30" s="11">
        <f t="shared" si="12"/>
        <v>1.8059972491056451</v>
      </c>
      <c r="I30" s="11">
        <f t="shared" si="12"/>
        <v>0.15739733854705917</v>
      </c>
      <c r="J30" s="11">
        <f t="shared" si="12"/>
        <v>3.1223404195680027E-2</v>
      </c>
      <c r="K30" s="11">
        <f t="shared" si="12"/>
        <v>0.11098256963107574</v>
      </c>
      <c r="L30" s="11" t="str">
        <f t="shared" si="12"/>
        <v/>
      </c>
      <c r="M30" s="11">
        <f t="shared" si="12"/>
        <v>0.13463326848865032</v>
      </c>
      <c r="N30" s="6"/>
      <c r="O30" s="11">
        <f t="shared" ref="O30:V30" si="13">IF(O7="","",(O7/$O$23))</f>
        <v>1.2668646406891984</v>
      </c>
      <c r="P30" s="11">
        <f t="shared" si="13"/>
        <v>2.1137367960489883</v>
      </c>
      <c r="Q30" s="11">
        <f t="shared" si="13"/>
        <v>0.13438217938175326</v>
      </c>
      <c r="R30" s="11">
        <f t="shared" si="13"/>
        <v>0.2216216683140376</v>
      </c>
      <c r="S30" s="11">
        <f t="shared" si="13"/>
        <v>0.28631264481741903</v>
      </c>
      <c r="T30" s="11">
        <f t="shared" si="13"/>
        <v>1.3290397517167747</v>
      </c>
      <c r="U30" s="11">
        <f t="shared" si="13"/>
        <v>0.30507018548520837</v>
      </c>
      <c r="V30" s="11">
        <f t="shared" si="13"/>
        <v>4.8838252550571837E-2</v>
      </c>
    </row>
    <row r="31" spans="1:22" x14ac:dyDescent="0.35">
      <c r="A31" s="223"/>
      <c r="B31" s="11">
        <f t="shared" ref="B31:M31" si="14">IF(B8="","",(B8/$O$23))</f>
        <v>0.13727207287622872</v>
      </c>
      <c r="C31" s="11">
        <f t="shared" si="14"/>
        <v>5.7579469741812342E-2</v>
      </c>
      <c r="D31" s="11">
        <f t="shared" si="14"/>
        <v>3.2873012252690459E-2</v>
      </c>
      <c r="E31" s="11">
        <f t="shared" si="14"/>
        <v>0.23000922886697875</v>
      </c>
      <c r="F31" s="11">
        <f t="shared" si="14"/>
        <v>1.6946558115529193</v>
      </c>
      <c r="G31" s="11">
        <f t="shared" si="14"/>
        <v>1.8007402485873751</v>
      </c>
      <c r="H31" s="11">
        <f t="shared" si="14"/>
        <v>2.6261239139270969</v>
      </c>
      <c r="I31" s="11">
        <f t="shared" si="14"/>
        <v>4.4226977414755925E-2</v>
      </c>
      <c r="J31" s="11">
        <f t="shared" si="14"/>
        <v>9.8527128669886416E-2</v>
      </c>
      <c r="K31" s="11">
        <f t="shared" si="14"/>
        <v>7.1561342971722966E-2</v>
      </c>
      <c r="L31" s="11">
        <f t="shared" si="14"/>
        <v>0.18307191035683035</v>
      </c>
      <c r="M31" s="11">
        <f t="shared" si="14"/>
        <v>9.3316319072224818E-2</v>
      </c>
      <c r="N31" s="6"/>
      <c r="O31" s="11">
        <f t="shared" ref="O31:V31" si="15">IF(O8="","",(O8/$O$23))</f>
        <v>1.6774507595706047</v>
      </c>
      <c r="P31" s="11">
        <f t="shared" si="15"/>
        <v>1.8727220473748929</v>
      </c>
      <c r="Q31" s="11">
        <f t="shared" si="15"/>
        <v>0.17522253324810622</v>
      </c>
      <c r="R31" s="11">
        <f t="shared" si="15"/>
        <v>0.28852601898236813</v>
      </c>
      <c r="S31" s="11">
        <f t="shared" si="15"/>
        <v>0.49564326447233004</v>
      </c>
      <c r="T31" s="11">
        <f t="shared" si="15"/>
        <v>1.9498992587865358</v>
      </c>
      <c r="U31" s="11">
        <f t="shared" si="15"/>
        <v>0.1400128526039196</v>
      </c>
      <c r="V31" s="11">
        <f t="shared" si="15"/>
        <v>0.2953816991067213</v>
      </c>
    </row>
    <row r="32" spans="1:22" x14ac:dyDescent="0.35">
      <c r="A32" s="223"/>
      <c r="B32" s="11">
        <f t="shared" ref="B32:M32" si="16">IF(B9="","",(B9/$O$23))</f>
        <v>0.3158298274687788</v>
      </c>
      <c r="C32" s="11">
        <f t="shared" si="16"/>
        <v>0.16201903624957645</v>
      </c>
      <c r="D32" s="11">
        <f t="shared" si="16"/>
        <v>3.1267700104160926E-4</v>
      </c>
      <c r="E32" s="11">
        <f t="shared" si="16"/>
        <v>0.16284905156143237</v>
      </c>
      <c r="F32" s="11">
        <f t="shared" si="16"/>
        <v>1.160770254841073</v>
      </c>
      <c r="G32" s="11">
        <f t="shared" si="16"/>
        <v>2.1805539761594526</v>
      </c>
      <c r="H32" s="11">
        <f t="shared" si="16"/>
        <v>3.3430250043849798</v>
      </c>
      <c r="I32" s="11">
        <f t="shared" si="16"/>
        <v>0.18959951650660581</v>
      </c>
      <c r="J32" s="11">
        <f t="shared" si="16"/>
        <v>0.21855814433337764</v>
      </c>
      <c r="K32" s="11">
        <f t="shared" si="16"/>
        <v>0</v>
      </c>
      <c r="L32" s="11">
        <f t="shared" si="16"/>
        <v>6.005056555610482E-3</v>
      </c>
      <c r="M32" s="11">
        <f t="shared" si="16"/>
        <v>7.532223141531208E-2</v>
      </c>
      <c r="N32" s="6"/>
      <c r="O32" s="11">
        <f t="shared" ref="O32:V32" si="17">IF(O9="","",(O9/$O$23))</f>
        <v>0.63821805503440543</v>
      </c>
      <c r="P32" s="11">
        <f t="shared" si="17"/>
        <v>3.0475769798537944</v>
      </c>
      <c r="Q32" s="11">
        <f t="shared" si="17"/>
        <v>7.4769124750590749E-2</v>
      </c>
      <c r="R32" s="11">
        <f t="shared" si="17"/>
        <v>2.7160261317750692E-2</v>
      </c>
      <c r="S32" s="11">
        <f t="shared" si="17"/>
        <v>0.3825648114282118</v>
      </c>
      <c r="T32" s="11">
        <f t="shared" si="17"/>
        <v>4.4688175991292302E-2</v>
      </c>
      <c r="U32" s="11">
        <f t="shared" si="17"/>
        <v>1.3421665007241397</v>
      </c>
      <c r="V32" s="11">
        <f t="shared" si="17"/>
        <v>1.0041565038087454</v>
      </c>
    </row>
    <row r="33" spans="1:22" x14ac:dyDescent="0.35">
      <c r="A33" s="223"/>
      <c r="B33" s="11">
        <f t="shared" ref="B33:M33" si="18">IF(B10="","",(B10/$O$23))</f>
        <v>5.8434830840873898E-2</v>
      </c>
      <c r="C33" s="11">
        <f t="shared" si="18"/>
        <v>7.6413284647734545E-2</v>
      </c>
      <c r="D33" s="11">
        <f t="shared" si="18"/>
        <v>5.5888408294512304E-2</v>
      </c>
      <c r="E33" s="11">
        <f t="shared" si="18"/>
        <v>0.17833793318575716</v>
      </c>
      <c r="F33" s="11">
        <f t="shared" si="18"/>
        <v>1.6796283653816471</v>
      </c>
      <c r="G33" s="11">
        <f t="shared" si="18"/>
        <v>2.2636791568863646</v>
      </c>
      <c r="H33" s="11">
        <f t="shared" si="18"/>
        <v>1.9311568782157666</v>
      </c>
      <c r="I33" s="11">
        <f t="shared" si="18"/>
        <v>0.32016443083397605</v>
      </c>
      <c r="J33" s="11">
        <f t="shared" si="18"/>
        <v>2.4388806081245521E-3</v>
      </c>
      <c r="K33" s="11">
        <f t="shared" si="18"/>
        <v>2.536710609208025E-2</v>
      </c>
      <c r="L33" s="11">
        <f t="shared" si="18"/>
        <v>0.13094415362939119</v>
      </c>
      <c r="M33" s="11">
        <f t="shared" si="18"/>
        <v>3.3687867467526167E-2</v>
      </c>
      <c r="N33" s="6"/>
      <c r="O33" s="11">
        <f t="shared" ref="O33:V33" si="19">IF(O10="","",(O10/$O$23))</f>
        <v>0.55804340819004983</v>
      </c>
      <c r="P33" s="11">
        <f t="shared" si="19"/>
        <v>2.3595473466648178</v>
      </c>
      <c r="Q33" s="11">
        <f t="shared" si="19"/>
        <v>0.20363824010034215</v>
      </c>
      <c r="R33" s="11">
        <f t="shared" si="19"/>
        <v>1.5822335064579567</v>
      </c>
      <c r="S33" s="11">
        <f t="shared" si="19"/>
        <v>0.53488197777615054</v>
      </c>
      <c r="T33" s="11">
        <f t="shared" si="19"/>
        <v>0.31384172287048923</v>
      </c>
      <c r="U33" s="11">
        <f t="shared" si="19"/>
        <v>1.5130186622531416</v>
      </c>
      <c r="V33" s="11">
        <f t="shared" si="19"/>
        <v>0.78606465089699695</v>
      </c>
    </row>
    <row r="34" spans="1:22" x14ac:dyDescent="0.35">
      <c r="A34" s="223"/>
      <c r="B34" s="11">
        <f t="shared" ref="B34:M34" si="20">IF(B11="","",(B11/$O$23))</f>
        <v>6.3696805765978665E-2</v>
      </c>
      <c r="C34" s="11">
        <f t="shared" si="20"/>
        <v>0.14039221034419849</v>
      </c>
      <c r="D34" s="11">
        <f t="shared" si="20"/>
        <v>0.16305892415455575</v>
      </c>
      <c r="E34" s="11">
        <f t="shared" si="20"/>
        <v>0.16724500594425826</v>
      </c>
      <c r="F34" s="11">
        <f t="shared" si="20"/>
        <v>1.1559487517973599</v>
      </c>
      <c r="G34" s="11">
        <f t="shared" si="20"/>
        <v>2.088159580487269</v>
      </c>
      <c r="H34" s="11">
        <f t="shared" si="20"/>
        <v>3.0584029472618286</v>
      </c>
      <c r="I34" s="11">
        <f t="shared" si="20"/>
        <v>6.0868500165647751E-2</v>
      </c>
      <c r="J34" s="11">
        <f t="shared" si="20"/>
        <v>4.8515626735860719E-2</v>
      </c>
      <c r="K34" s="11">
        <f t="shared" si="20"/>
        <v>5.7538016351522739E-2</v>
      </c>
      <c r="L34" s="11">
        <f t="shared" si="20"/>
        <v>0.18132210353357703</v>
      </c>
      <c r="M34" s="11">
        <f t="shared" si="20"/>
        <v>0.19215612474315286</v>
      </c>
      <c r="N34" s="6"/>
      <c r="O34" s="11">
        <f t="shared" ref="O34:V34" si="21">IF(O11="","",(O11/$O$23))</f>
        <v>1.6022671009171181</v>
      </c>
      <c r="P34" s="11">
        <f t="shared" si="21"/>
        <v>3.1512121137134246</v>
      </c>
      <c r="Q34" s="11">
        <f t="shared" si="21"/>
        <v>0.21231739564440624</v>
      </c>
      <c r="R34" s="11">
        <f t="shared" si="21"/>
        <v>0.22170907574841969</v>
      </c>
      <c r="S34" s="11">
        <f t="shared" si="21"/>
        <v>1.1153851881398835</v>
      </c>
      <c r="T34" s="11">
        <f t="shared" si="21"/>
        <v>0.11365169421269457</v>
      </c>
      <c r="U34" s="11" t="str">
        <f t="shared" si="21"/>
        <v/>
      </c>
      <c r="V34" s="11">
        <f t="shared" si="21"/>
        <v>1.2330796538501365</v>
      </c>
    </row>
    <row r="35" spans="1:22" x14ac:dyDescent="0.35">
      <c r="A35" s="223"/>
      <c r="B35" s="11">
        <f t="shared" ref="B35:M35" si="22">IF(B12="","",(B12/$O$23))</f>
        <v>1.288584559065341E-2</v>
      </c>
      <c r="C35" s="11">
        <f t="shared" si="22"/>
        <v>8.0943074262066886E-2</v>
      </c>
      <c r="D35" s="11">
        <f t="shared" si="22"/>
        <v>0.16018466451013236</v>
      </c>
      <c r="E35" s="11">
        <f t="shared" si="22"/>
        <v>0.24840837536614993</v>
      </c>
      <c r="F35" s="11">
        <f t="shared" si="22"/>
        <v>2.0735061623346667</v>
      </c>
      <c r="G35" s="11">
        <f t="shared" si="22"/>
        <v>1.4873388791600197</v>
      </c>
      <c r="H35" s="11">
        <f t="shared" si="22"/>
        <v>2.7784490156383193</v>
      </c>
      <c r="I35" s="11">
        <f t="shared" si="22"/>
        <v>7.6188251957590963E-2</v>
      </c>
      <c r="J35" s="11">
        <f t="shared" si="22"/>
        <v>0.1583249469834826</v>
      </c>
      <c r="K35" s="11">
        <f t="shared" si="22"/>
        <v>7.100302502365094E-2</v>
      </c>
      <c r="L35" s="11">
        <f t="shared" si="22"/>
        <v>0</v>
      </c>
      <c r="M35" s="11">
        <f t="shared" si="22"/>
        <v>0.12946343852824643</v>
      </c>
      <c r="N35" s="6"/>
      <c r="O35" s="11">
        <f t="shared" ref="O35:V35" si="23">IF(O12="","",(O12/$O$23))</f>
        <v>1.272505854916324</v>
      </c>
      <c r="P35" s="11">
        <f t="shared" si="23"/>
        <v>1.6320145275419722</v>
      </c>
      <c r="Q35" s="11">
        <f t="shared" si="23"/>
        <v>0.16479570276943234</v>
      </c>
      <c r="R35" s="11">
        <f t="shared" si="23"/>
        <v>1.1066776074139066</v>
      </c>
      <c r="S35" s="11">
        <f t="shared" si="23"/>
        <v>1.3576091914278561</v>
      </c>
      <c r="T35" s="11">
        <f t="shared" si="23"/>
        <v>1.9325606084492308</v>
      </c>
      <c r="U35" s="11">
        <f t="shared" si="23"/>
        <v>0.71798219487663584</v>
      </c>
      <c r="V35" s="11">
        <f t="shared" si="23"/>
        <v>0.27969810498629333</v>
      </c>
    </row>
    <row r="36" spans="1:22" s="1" customFormat="1" x14ac:dyDescent="0.35">
      <c r="A36" s="223"/>
      <c r="B36" s="11" t="str">
        <f t="shared" ref="B36:M36" si="24">IF(B13="","",(B13/$O$23))</f>
        <v/>
      </c>
      <c r="C36" s="11" t="str">
        <f t="shared" si="24"/>
        <v/>
      </c>
      <c r="D36" s="11" t="str">
        <f t="shared" si="24"/>
        <v/>
      </c>
      <c r="E36" s="11" t="str">
        <f t="shared" si="24"/>
        <v/>
      </c>
      <c r="F36" s="11" t="str">
        <f t="shared" si="24"/>
        <v/>
      </c>
      <c r="G36" s="11" t="str">
        <f t="shared" si="24"/>
        <v/>
      </c>
      <c r="H36" s="11" t="str">
        <f t="shared" si="24"/>
        <v/>
      </c>
      <c r="I36" s="11" t="str">
        <f t="shared" si="24"/>
        <v/>
      </c>
      <c r="J36" s="11" t="str">
        <f t="shared" si="24"/>
        <v/>
      </c>
      <c r="K36" s="11" t="str">
        <f t="shared" si="24"/>
        <v/>
      </c>
      <c r="L36" s="11" t="str">
        <f t="shared" si="24"/>
        <v/>
      </c>
      <c r="M36" s="11" t="str">
        <f t="shared" si="24"/>
        <v/>
      </c>
      <c r="N36" s="6"/>
      <c r="O36" s="11" t="str">
        <f t="shared" ref="O36:V36" si="25">IF(O13="","",(O13/$O$23))</f>
        <v/>
      </c>
      <c r="P36" s="11" t="str">
        <f t="shared" si="25"/>
        <v/>
      </c>
      <c r="Q36" s="11" t="str">
        <f t="shared" si="25"/>
        <v/>
      </c>
      <c r="R36" s="11" t="str">
        <f t="shared" si="25"/>
        <v/>
      </c>
      <c r="S36" s="11" t="str">
        <f t="shared" si="25"/>
        <v/>
      </c>
      <c r="T36" s="11" t="str">
        <f t="shared" si="25"/>
        <v/>
      </c>
      <c r="U36" s="11" t="str">
        <f t="shared" si="25"/>
        <v/>
      </c>
      <c r="V36" s="11" t="str">
        <f t="shared" si="25"/>
        <v/>
      </c>
    </row>
    <row r="37" spans="1:22" s="1" customFormat="1" x14ac:dyDescent="0.35">
      <c r="A37" s="223"/>
      <c r="B37" s="11" t="str">
        <f t="shared" ref="B37:M37" si="26">IF(B14="","",(B14/$O$23))</f>
        <v/>
      </c>
      <c r="C37" s="11" t="str">
        <f t="shared" si="26"/>
        <v/>
      </c>
      <c r="D37" s="11" t="str">
        <f t="shared" si="26"/>
        <v/>
      </c>
      <c r="E37" s="11" t="str">
        <f t="shared" si="26"/>
        <v/>
      </c>
      <c r="F37" s="11" t="str">
        <f t="shared" si="26"/>
        <v/>
      </c>
      <c r="G37" s="11" t="str">
        <f t="shared" si="26"/>
        <v/>
      </c>
      <c r="H37" s="11" t="str">
        <f t="shared" si="26"/>
        <v/>
      </c>
      <c r="I37" s="11" t="str">
        <f t="shared" si="26"/>
        <v/>
      </c>
      <c r="J37" s="11" t="str">
        <f t="shared" si="26"/>
        <v/>
      </c>
      <c r="K37" s="11" t="str">
        <f t="shared" si="26"/>
        <v/>
      </c>
      <c r="L37" s="11" t="str">
        <f t="shared" si="26"/>
        <v/>
      </c>
      <c r="M37" s="11" t="str">
        <f t="shared" si="26"/>
        <v/>
      </c>
      <c r="N37" s="6"/>
      <c r="O37" s="11">
        <f t="shared" ref="O37:V37" si="27">IF(O14="","",(O14/$O$23))</f>
        <v>0.75356081069439995</v>
      </c>
      <c r="P37" s="11" t="str">
        <f t="shared" si="27"/>
        <v/>
      </c>
      <c r="Q37" s="11" t="str">
        <f t="shared" si="27"/>
        <v/>
      </c>
      <c r="R37" s="11" t="str">
        <f t="shared" si="27"/>
        <v/>
      </c>
      <c r="S37" s="11" t="str">
        <f t="shared" si="27"/>
        <v/>
      </c>
      <c r="T37" s="11" t="str">
        <f t="shared" si="27"/>
        <v/>
      </c>
      <c r="U37" s="11" t="str">
        <f t="shared" si="27"/>
        <v/>
      </c>
      <c r="V37" s="11" t="str">
        <f t="shared" si="27"/>
        <v/>
      </c>
    </row>
    <row r="38" spans="1:22" s="1" customFormat="1" x14ac:dyDescent="0.35">
      <c r="A38" s="223"/>
      <c r="B38" s="11" t="str">
        <f t="shared" ref="B38:M38" si="28">IF(B15="","",(B15/$O$23))</f>
        <v/>
      </c>
      <c r="C38" s="11" t="str">
        <f t="shared" si="28"/>
        <v/>
      </c>
      <c r="D38" s="11" t="str">
        <f t="shared" si="28"/>
        <v/>
      </c>
      <c r="E38" s="11" t="str">
        <f t="shared" si="28"/>
        <v/>
      </c>
      <c r="F38" s="11" t="str">
        <f t="shared" si="28"/>
        <v/>
      </c>
      <c r="G38" s="11" t="str">
        <f t="shared" si="28"/>
        <v/>
      </c>
      <c r="H38" s="11" t="str">
        <f t="shared" si="28"/>
        <v/>
      </c>
      <c r="I38" s="11" t="str">
        <f t="shared" si="28"/>
        <v/>
      </c>
      <c r="J38" s="11" t="str">
        <f t="shared" si="28"/>
        <v/>
      </c>
      <c r="K38" s="11" t="str">
        <f t="shared" si="28"/>
        <v/>
      </c>
      <c r="L38" s="11" t="str">
        <f t="shared" si="28"/>
        <v/>
      </c>
      <c r="M38" s="11" t="str">
        <f t="shared" si="28"/>
        <v/>
      </c>
      <c r="N38" s="6"/>
      <c r="O38" s="11">
        <f t="shared" ref="O38:R38" si="29">IF(O15="","",(O15/$O$23))</f>
        <v>1.8777535414499875</v>
      </c>
      <c r="P38" s="11" t="str">
        <f t="shared" si="29"/>
        <v/>
      </c>
      <c r="Q38" s="11" t="str">
        <f t="shared" si="29"/>
        <v/>
      </c>
      <c r="R38" s="11" t="str">
        <f t="shared" si="29"/>
        <v/>
      </c>
      <c r="S38" s="11" t="str">
        <f t="shared" ref="S38:V38" si="30">IF(S15="","",(S15/$O$23))</f>
        <v/>
      </c>
      <c r="T38" s="11" t="str">
        <f t="shared" si="30"/>
        <v/>
      </c>
      <c r="U38" s="11" t="str">
        <f t="shared" si="30"/>
        <v/>
      </c>
      <c r="V38" s="11" t="str">
        <f t="shared" si="30"/>
        <v/>
      </c>
    </row>
    <row r="39" spans="1:22" s="1" customFormat="1" x14ac:dyDescent="0.35">
      <c r="A39" s="223"/>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R39" si="32">IF(O16="","",(O16/$O$23))</f>
        <v>1.1548881371972357</v>
      </c>
      <c r="P39" s="11" t="str">
        <f t="shared" si="32"/>
        <v/>
      </c>
      <c r="Q39" s="11" t="str">
        <f t="shared" si="32"/>
        <v/>
      </c>
      <c r="R39" s="11" t="str">
        <f t="shared" si="32"/>
        <v/>
      </c>
      <c r="S39" s="11" t="str">
        <f t="shared" ref="S39:V39" si="33">IF(S16="","",(S16/$O$23))</f>
        <v/>
      </c>
      <c r="T39" s="11" t="str">
        <f t="shared" si="33"/>
        <v/>
      </c>
      <c r="U39" s="11" t="str">
        <f t="shared" si="33"/>
        <v/>
      </c>
      <c r="V39" s="11" t="str">
        <f t="shared" si="33"/>
        <v/>
      </c>
    </row>
    <row r="40" spans="1:22" s="1" customFormat="1" x14ac:dyDescent="0.35">
      <c r="A40" s="223"/>
      <c r="B40" s="11" t="str">
        <f t="shared" ref="B40:M40" si="34">IF(B17="","",(B17/$O$23))</f>
        <v/>
      </c>
      <c r="C40" s="11" t="str">
        <f t="shared" si="34"/>
        <v/>
      </c>
      <c r="D40" s="11" t="str">
        <f t="shared" si="34"/>
        <v/>
      </c>
      <c r="E40" s="11" t="str">
        <f t="shared" si="34"/>
        <v/>
      </c>
      <c r="F40" s="11" t="str">
        <f t="shared" si="34"/>
        <v/>
      </c>
      <c r="G40" s="11" t="str">
        <f t="shared" si="34"/>
        <v/>
      </c>
      <c r="H40" s="11" t="str">
        <f t="shared" si="34"/>
        <v/>
      </c>
      <c r="I40" s="11" t="str">
        <f t="shared" si="34"/>
        <v/>
      </c>
      <c r="J40" s="11" t="str">
        <f t="shared" si="34"/>
        <v/>
      </c>
      <c r="K40" s="11" t="str">
        <f t="shared" si="34"/>
        <v/>
      </c>
      <c r="L40" s="11" t="str">
        <f t="shared" si="34"/>
        <v/>
      </c>
      <c r="M40" s="11" t="str">
        <f t="shared" si="34"/>
        <v/>
      </c>
      <c r="N40" s="6"/>
      <c r="O40" s="11">
        <f t="shared" ref="O40:R40" si="35">IF(O17="","",(O17/$O$23))</f>
        <v>2.4569675513757137</v>
      </c>
      <c r="P40" s="11" t="str">
        <f t="shared" si="35"/>
        <v/>
      </c>
      <c r="Q40" s="11" t="str">
        <f t="shared" si="35"/>
        <v/>
      </c>
      <c r="R40" s="11" t="str">
        <f t="shared" si="35"/>
        <v/>
      </c>
      <c r="S40" s="11" t="str">
        <f t="shared" ref="S40:V40" si="36">IF(S17="","",(S17/$O$23))</f>
        <v/>
      </c>
      <c r="T40" s="11" t="str">
        <f t="shared" si="36"/>
        <v/>
      </c>
      <c r="U40" s="11" t="str">
        <f t="shared" si="36"/>
        <v/>
      </c>
      <c r="V40" s="11" t="str">
        <f t="shared" si="36"/>
        <v/>
      </c>
    </row>
    <row r="41" spans="1:22" s="1" customFormat="1" x14ac:dyDescent="0.35">
      <c r="A41" s="223"/>
      <c r="B41" s="11" t="str">
        <f t="shared" ref="B41:M41" si="37">IF(B18="","",(B18/$O$23))</f>
        <v/>
      </c>
      <c r="C41" s="11" t="str">
        <f t="shared" si="37"/>
        <v/>
      </c>
      <c r="D41" s="11" t="str">
        <f t="shared" si="37"/>
        <v/>
      </c>
      <c r="E41" s="11" t="str">
        <f t="shared" si="37"/>
        <v/>
      </c>
      <c r="F41" s="11" t="str">
        <f t="shared" si="37"/>
        <v/>
      </c>
      <c r="G41" s="11" t="str">
        <f t="shared" si="37"/>
        <v/>
      </c>
      <c r="H41" s="11" t="str">
        <f t="shared" si="37"/>
        <v/>
      </c>
      <c r="I41" s="11" t="str">
        <f t="shared" si="37"/>
        <v/>
      </c>
      <c r="J41" s="11" t="str">
        <f t="shared" si="37"/>
        <v/>
      </c>
      <c r="K41" s="11" t="str">
        <f t="shared" si="37"/>
        <v/>
      </c>
      <c r="L41" s="11" t="str">
        <f t="shared" si="37"/>
        <v/>
      </c>
      <c r="M41" s="11" t="str">
        <f t="shared" si="37"/>
        <v/>
      </c>
      <c r="N41" s="6"/>
      <c r="O41" s="11">
        <f t="shared" ref="O41:R41" si="38">IF(O18="","",(O18/$O$23))</f>
        <v>0.91823357455205912</v>
      </c>
      <c r="P41" s="11" t="str">
        <f t="shared" si="38"/>
        <v/>
      </c>
      <c r="Q41" s="11" t="str">
        <f t="shared" si="38"/>
        <v/>
      </c>
      <c r="R41" s="11" t="str">
        <f t="shared" si="38"/>
        <v/>
      </c>
      <c r="S41" s="11" t="str">
        <f t="shared" ref="S41:V41" si="39">IF(S18="","",(S18/$O$23))</f>
        <v/>
      </c>
      <c r="T41" s="11" t="str">
        <f t="shared" si="39"/>
        <v/>
      </c>
      <c r="U41" s="11" t="str">
        <f t="shared" si="39"/>
        <v/>
      </c>
      <c r="V41" s="11" t="str">
        <f t="shared" si="39"/>
        <v/>
      </c>
    </row>
    <row r="42" spans="1:22" s="1" customFormat="1" x14ac:dyDescent="0.35">
      <c r="A42" s="223"/>
      <c r="B42" s="11" t="str">
        <f t="shared" ref="B42:M42" si="40">IF(B19="","",(B19/$O$23))</f>
        <v/>
      </c>
      <c r="C42" s="11" t="str">
        <f t="shared" si="40"/>
        <v/>
      </c>
      <c r="D42" s="11" t="str">
        <f t="shared" si="40"/>
        <v/>
      </c>
      <c r="E42" s="11" t="str">
        <f t="shared" si="40"/>
        <v/>
      </c>
      <c r="F42" s="11" t="str">
        <f t="shared" si="40"/>
        <v/>
      </c>
      <c r="G42" s="11" t="str">
        <f t="shared" si="40"/>
        <v/>
      </c>
      <c r="H42" s="11" t="str">
        <f t="shared" si="40"/>
        <v/>
      </c>
      <c r="I42" s="11" t="str">
        <f t="shared" si="40"/>
        <v/>
      </c>
      <c r="J42" s="11" t="str">
        <f t="shared" si="40"/>
        <v/>
      </c>
      <c r="K42" s="11" t="str">
        <f t="shared" si="40"/>
        <v/>
      </c>
      <c r="L42" s="11" t="str">
        <f t="shared" si="40"/>
        <v/>
      </c>
      <c r="M42" s="11" t="str">
        <f t="shared" si="40"/>
        <v/>
      </c>
      <c r="N42" s="6"/>
      <c r="O42" s="11">
        <f t="shared" ref="O42:R42" si="41">IF(O19="","",(O19/$O$23))</f>
        <v>7.3923475588682758E-2</v>
      </c>
      <c r="P42" s="11" t="str">
        <f t="shared" si="41"/>
        <v/>
      </c>
      <c r="Q42" s="11" t="str">
        <f t="shared" si="41"/>
        <v/>
      </c>
      <c r="R42" s="11" t="str">
        <f t="shared" si="41"/>
        <v/>
      </c>
      <c r="S42" s="11" t="str">
        <f t="shared" ref="S42:V42" si="42">IF(S19="","",(S19/$O$23))</f>
        <v/>
      </c>
      <c r="T42" s="11" t="str">
        <f t="shared" si="42"/>
        <v/>
      </c>
      <c r="U42" s="11" t="str">
        <f t="shared" si="42"/>
        <v/>
      </c>
      <c r="V42" s="11" t="str">
        <f t="shared" si="42"/>
        <v/>
      </c>
    </row>
    <row r="43" spans="1:22" s="1" customFormat="1" x14ac:dyDescent="0.35">
      <c r="A43" s="223"/>
      <c r="B43" s="11" t="str">
        <f t="shared" ref="B43:M43" si="43">IF(B20="","",(B20/$O$23))</f>
        <v/>
      </c>
      <c r="C43" s="11" t="str">
        <f t="shared" si="43"/>
        <v/>
      </c>
      <c r="D43" s="11" t="str">
        <f t="shared" si="43"/>
        <v/>
      </c>
      <c r="E43" s="11" t="str">
        <f t="shared" si="43"/>
        <v/>
      </c>
      <c r="F43" s="11" t="str">
        <f t="shared" si="43"/>
        <v/>
      </c>
      <c r="G43" s="11" t="str">
        <f t="shared" si="43"/>
        <v/>
      </c>
      <c r="H43" s="11" t="str">
        <f t="shared" si="43"/>
        <v/>
      </c>
      <c r="I43" s="11" t="str">
        <f t="shared" si="43"/>
        <v/>
      </c>
      <c r="J43" s="11" t="str">
        <f t="shared" si="43"/>
        <v/>
      </c>
      <c r="K43" s="11" t="str">
        <f t="shared" si="43"/>
        <v/>
      </c>
      <c r="L43" s="11" t="str">
        <f t="shared" si="43"/>
        <v/>
      </c>
      <c r="M43" s="11" t="str">
        <f t="shared" si="43"/>
        <v/>
      </c>
      <c r="N43" s="6"/>
      <c r="O43" s="11">
        <f t="shared" ref="O43:R43" si="44">IF(O20="","",(O20/$O$23))</f>
        <v>0.67787450007408712</v>
      </c>
      <c r="P43" s="11" t="str">
        <f t="shared" si="44"/>
        <v/>
      </c>
      <c r="Q43" s="11" t="str">
        <f t="shared" si="44"/>
        <v/>
      </c>
      <c r="R43" s="11" t="str">
        <f t="shared" si="44"/>
        <v/>
      </c>
      <c r="S43" s="11" t="str">
        <f t="shared" ref="S43:V43" si="45">IF(S20="","",(S20/$O$23))</f>
        <v/>
      </c>
      <c r="T43" s="11" t="str">
        <f t="shared" si="45"/>
        <v/>
      </c>
      <c r="U43" s="11" t="str">
        <f t="shared" si="45"/>
        <v/>
      </c>
      <c r="V43" s="11" t="str">
        <f t="shared" si="45"/>
        <v/>
      </c>
    </row>
    <row r="44" spans="1:22" x14ac:dyDescent="0.35">
      <c r="A44" s="7"/>
      <c r="B44" s="3"/>
      <c r="C44" s="3"/>
      <c r="D44" s="3"/>
      <c r="E44" s="3"/>
      <c r="F44" s="3"/>
      <c r="G44" s="3"/>
      <c r="H44" s="3"/>
      <c r="I44" s="3"/>
      <c r="J44" s="3"/>
      <c r="N44" s="7"/>
      <c r="O44" s="3"/>
      <c r="P44" s="3"/>
      <c r="Q44" s="3"/>
      <c r="R44" s="3"/>
      <c r="S44" s="3"/>
      <c r="T44" s="3"/>
      <c r="U44" s="3"/>
      <c r="V44" s="3"/>
    </row>
    <row r="45" spans="1:22" s="69" customFormat="1" x14ac:dyDescent="0.35">
      <c r="A45" s="70" t="str">
        <f t="shared" ref="A45:M45" si="46">A4</f>
        <v>Noms des groupes</v>
      </c>
      <c r="B45" s="70" t="str">
        <f t="shared" si="46"/>
        <v>Témoin solvant</v>
      </c>
      <c r="C45" s="70" t="str">
        <f t="shared" si="46"/>
        <v>EE2-33,8ng/L</v>
      </c>
      <c r="D45" s="70" t="str">
        <f t="shared" si="46"/>
        <v>EE2-50,6ng/L</v>
      </c>
      <c r="E45" s="70" t="str">
        <f t="shared" si="46"/>
        <v>EE2-76ng/L</v>
      </c>
      <c r="F45" s="70" t="str">
        <f t="shared" si="46"/>
        <v>EE2-114ng/L</v>
      </c>
      <c r="G45" s="70" t="str">
        <f t="shared" si="46"/>
        <v>EE2-170,9ng/L</v>
      </c>
      <c r="H45" s="70" t="str">
        <f t="shared" si="46"/>
        <v>EE2-488ng/L</v>
      </c>
      <c r="I45" s="70" t="str">
        <f t="shared" si="46"/>
        <v>Cefuroxime-0.001mg/L</v>
      </c>
      <c r="J45" s="70" t="str">
        <f t="shared" si="46"/>
        <v>Cefuroxime-0.01mg/L</v>
      </c>
      <c r="K45" s="70" t="str">
        <f t="shared" si="46"/>
        <v>Cefuroxime-0.1mg/L</v>
      </c>
      <c r="L45" s="70" t="str">
        <f t="shared" si="46"/>
        <v>Cefuroxime-1mg/L</v>
      </c>
      <c r="M45" s="70" t="str">
        <f t="shared" si="46"/>
        <v>Cefuroxime-10mg/L</v>
      </c>
      <c r="N45" s="70" t="str">
        <f>N22</f>
        <v>Nom des groupes</v>
      </c>
      <c r="O45" s="70" t="str">
        <f t="shared" ref="O45:V45" si="47">O4</f>
        <v>Testo -30µg/L</v>
      </c>
      <c r="P45" s="70" t="str">
        <f t="shared" si="47"/>
        <v>Testo 30µg/L + EE2 -64ng/L</v>
      </c>
      <c r="Q45" s="70" t="str">
        <f t="shared" si="47"/>
        <v>Testo 30µg/L + FAD-10mg/L</v>
      </c>
      <c r="R45" s="70" t="str">
        <f t="shared" si="47"/>
        <v>Cefuroxime-0,001mg/L + Testostérone</v>
      </c>
      <c r="S45" s="70" t="str">
        <f t="shared" si="47"/>
        <v>Cefuroxime-0,01mg/L + Testostérone</v>
      </c>
      <c r="T45" s="70" t="str">
        <f t="shared" si="47"/>
        <v>Cefuroxime-0,1mg/L + Testostérone</v>
      </c>
      <c r="U45" s="70" t="str">
        <f t="shared" si="47"/>
        <v>Cefuroxime-1mg/L + Testostérone</v>
      </c>
      <c r="V45" s="70" t="str">
        <f t="shared" si="47"/>
        <v>Cefuroxime-10mg/L + Testostérone</v>
      </c>
    </row>
    <row r="46" spans="1:22" x14ac:dyDescent="0.35">
      <c r="A46" s="8" t="s">
        <v>0</v>
      </c>
      <c r="B46" s="10">
        <f t="shared" ref="B46:H46" si="48">AVERAGE(B28:B43)</f>
        <v>0.11036781585308085</v>
      </c>
      <c r="C46" s="10">
        <f t="shared" si="48"/>
        <v>0.13336899930394627</v>
      </c>
      <c r="D46" s="10">
        <f t="shared" si="48"/>
        <v>6.7531125929509384E-2</v>
      </c>
      <c r="E46" s="10">
        <f t="shared" si="48"/>
        <v>0.30159458519550525</v>
      </c>
      <c r="F46" s="10">
        <f t="shared" si="48"/>
        <v>1.3489165508421341</v>
      </c>
      <c r="G46" s="10">
        <f t="shared" si="48"/>
        <v>1.6044891506844636</v>
      </c>
      <c r="H46" s="10">
        <f t="shared" si="48"/>
        <v>2.4302781117429593</v>
      </c>
      <c r="I46" s="10">
        <f>AVERAGE(I28:I43)</f>
        <v>0.10925727952722226</v>
      </c>
      <c r="J46" s="9">
        <f>AVERAGE(J28:J43)</f>
        <v>9.5689415687922413E-2</v>
      </c>
      <c r="K46" s="9">
        <f>AVERAGE(K28:K43)</f>
        <v>7.6759390847088271E-2</v>
      </c>
      <c r="L46" s="9">
        <f t="shared" ref="L46:M46" si="49">AVERAGE(L28:L43)</f>
        <v>0.10054179727746361</v>
      </c>
      <c r="M46" s="9">
        <f t="shared" si="49"/>
        <v>0.10419830777627861</v>
      </c>
      <c r="N46" s="8" t="s">
        <v>0</v>
      </c>
      <c r="O46" s="10">
        <f>AVERAGE(O28:O43)</f>
        <v>1</v>
      </c>
      <c r="P46" s="10">
        <f>AVERAGE(P28:P43)</f>
        <v>2.4369516042169894</v>
      </c>
      <c r="Q46" s="10">
        <f>AVERAGE(Q28:Q43)</f>
        <v>0.13050231970803294</v>
      </c>
      <c r="R46" s="10">
        <f>AVERAGE(R28:R43)</f>
        <v>0.51407489266374951</v>
      </c>
      <c r="S46" s="10">
        <f t="shared" ref="S46:V46" si="50">AVERAGE(S28:S43)</f>
        <v>0.70952720911540723</v>
      </c>
      <c r="T46" s="10">
        <f t="shared" si="50"/>
        <v>0.76184488581943954</v>
      </c>
      <c r="U46" s="10">
        <f t="shared" si="50"/>
        <v>0.81188128093732803</v>
      </c>
      <c r="V46" s="10">
        <f t="shared" si="50"/>
        <v>0.46543036068887045</v>
      </c>
    </row>
    <row r="47" spans="1:22" x14ac:dyDescent="0.35">
      <c r="A47" s="8" t="s">
        <v>1</v>
      </c>
      <c r="B47" s="8">
        <f t="shared" ref="B47:K47" si="51">STDEV(B28:B43)</f>
        <v>0.10231065661329847</v>
      </c>
      <c r="C47" s="8">
        <f t="shared" si="51"/>
        <v>9.0505136051378748E-2</v>
      </c>
      <c r="D47" s="8">
        <f t="shared" si="51"/>
        <v>6.1282862420592506E-2</v>
      </c>
      <c r="E47" s="8">
        <f t="shared" si="51"/>
        <v>0.23988816958141926</v>
      </c>
      <c r="F47" s="8">
        <f t="shared" si="51"/>
        <v>0.65039999869310849</v>
      </c>
      <c r="G47" s="8">
        <f t="shared" si="51"/>
        <v>0.74170080656447901</v>
      </c>
      <c r="H47" s="8">
        <f t="shared" si="51"/>
        <v>0.60028150610656905</v>
      </c>
      <c r="I47" s="8">
        <f>STDEV(I28:I43)</f>
        <v>0.10675518098250483</v>
      </c>
      <c r="J47" s="8">
        <f t="shared" si="51"/>
        <v>7.5695365857554417E-2</v>
      </c>
      <c r="K47" s="8">
        <f t="shared" si="51"/>
        <v>5.5409673968263795E-2</v>
      </c>
      <c r="L47" s="8">
        <f t="shared" ref="L47:M47" si="52">STDEV(L28:L43)</f>
        <v>9.3395366796682075E-2</v>
      </c>
      <c r="M47" s="8">
        <f t="shared" si="52"/>
        <v>6.2392067427316317E-2</v>
      </c>
      <c r="N47" s="8" t="s">
        <v>1</v>
      </c>
      <c r="O47" s="8">
        <f>STDEV(O28:O43)</f>
        <v>0.71209477681407007</v>
      </c>
      <c r="P47" s="8">
        <f>STDEV(P28:P43)</f>
        <v>0.54676948156813121</v>
      </c>
      <c r="Q47" s="8">
        <f>STDEV(Q28:Q43)</f>
        <v>7.368841121900338E-2</v>
      </c>
      <c r="R47" s="8">
        <f>STDEV(R28:R43)</f>
        <v>0.53729152542093772</v>
      </c>
      <c r="S47" s="8">
        <f t="shared" ref="S47:V47" si="53">STDEV(S28:S43)</f>
        <v>0.39878535061219678</v>
      </c>
      <c r="T47" s="8">
        <f t="shared" si="53"/>
        <v>0.83329097323616719</v>
      </c>
      <c r="U47" s="8">
        <f t="shared" si="53"/>
        <v>0.56518194520920706</v>
      </c>
      <c r="V47" s="8">
        <f t="shared" si="53"/>
        <v>0.47578366693952917</v>
      </c>
    </row>
    <row r="48" spans="1:22" x14ac:dyDescent="0.35">
      <c r="A48" s="8" t="s">
        <v>2</v>
      </c>
      <c r="B48" s="8">
        <f t="shared" ref="B48:K48" si="54" xml:space="preserve"> B47/SQRT(COUNT(B28:B43))</f>
        <v>3.6172279539455815E-2</v>
      </c>
      <c r="C48" s="8">
        <f t="shared" si="54"/>
        <v>3.1998397717070491E-2</v>
      </c>
      <c r="D48" s="8">
        <f t="shared" si="54"/>
        <v>2.16667637940616E-2</v>
      </c>
      <c r="E48" s="8">
        <f t="shared" si="54"/>
        <v>8.4813275718725017E-2</v>
      </c>
      <c r="F48" s="8">
        <f t="shared" si="54"/>
        <v>0.24582809275124282</v>
      </c>
      <c r="G48" s="8">
        <f t="shared" si="54"/>
        <v>0.2622308349666374</v>
      </c>
      <c r="H48" s="8">
        <f t="shared" si="54"/>
        <v>0.21223156179441444</v>
      </c>
      <c r="I48" s="8">
        <f xml:space="preserve"> I47/SQRT(COUNT(I28:I43))</f>
        <v>3.7743656199763158E-2</v>
      </c>
      <c r="J48" s="8">
        <f t="shared" si="54"/>
        <v>2.8610159065591206E-2</v>
      </c>
      <c r="K48" s="8">
        <f t="shared" si="54"/>
        <v>1.9590278103147521E-2</v>
      </c>
      <c r="L48" s="8">
        <f t="shared" ref="L48:M48" si="55" xml:space="preserve"> L47/SQRT(COUNT(L28:L43))</f>
        <v>3.5300130592811417E-2</v>
      </c>
      <c r="M48" s="8">
        <f t="shared" si="55"/>
        <v>2.2058926985051838E-2</v>
      </c>
      <c r="N48" s="8" t="s">
        <v>2</v>
      </c>
      <c r="O48" s="8">
        <f xml:space="preserve"> O47/SQRT(COUNT(O28:O43))</f>
        <v>0.18386208076814539</v>
      </c>
      <c r="P48" s="8">
        <f xml:space="preserve"> P47/SQRT(COUNT(P28:P43))</f>
        <v>0.19331220408133928</v>
      </c>
      <c r="Q48" s="8">
        <f xml:space="preserve"> Q47/SQRT(COUNT(Q28:Q43))</f>
        <v>2.6052787633910078E-2</v>
      </c>
      <c r="R48" s="8">
        <f xml:space="preserve"> R47/SQRT(COUNT(R28:R43))</f>
        <v>0.18996124054960467</v>
      </c>
      <c r="S48" s="8">
        <f t="shared" ref="S48:V48" si="56" xml:space="preserve"> S47/SQRT(COUNT(S28:S43))</f>
        <v>0.15072669488793886</v>
      </c>
      <c r="T48" s="8">
        <f t="shared" si="56"/>
        <v>0.29461284893841583</v>
      </c>
      <c r="U48" s="8">
        <f t="shared" si="56"/>
        <v>0.21361869607532788</v>
      </c>
      <c r="V48" s="8">
        <f t="shared" si="56"/>
        <v>0.16821492863537141</v>
      </c>
    </row>
    <row r="49" spans="1:22" s="1" customFormat="1"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8" t="s">
        <v>38</v>
      </c>
      <c r="B50" s="219"/>
      <c r="C50" s="219"/>
      <c r="D50" s="219"/>
      <c r="E50" s="219"/>
      <c r="F50" s="219"/>
      <c r="G50" s="219"/>
      <c r="H50" s="219"/>
      <c r="I50" s="219"/>
      <c r="J50" s="219"/>
      <c r="K50" s="219"/>
      <c r="L50" s="219"/>
      <c r="M50" s="219"/>
      <c r="N50" s="219"/>
      <c r="O50" s="219"/>
      <c r="P50" s="219"/>
      <c r="Q50" s="219"/>
      <c r="R50" s="219"/>
      <c r="S50" s="219"/>
      <c r="T50" s="219"/>
      <c r="U50" s="219"/>
      <c r="V50" s="219"/>
    </row>
    <row r="51" spans="1:22" ht="15" thickBot="1" x14ac:dyDescent="0.4">
      <c r="A51"/>
      <c r="B51"/>
      <c r="C51"/>
      <c r="D51"/>
      <c r="E51"/>
      <c r="F51"/>
      <c r="G51"/>
      <c r="H51"/>
      <c r="I51"/>
      <c r="J51"/>
      <c r="K51"/>
      <c r="L51"/>
      <c r="M51"/>
      <c r="S51"/>
      <c r="T51"/>
      <c r="U51"/>
      <c r="V51"/>
    </row>
    <row r="52" spans="1:22" x14ac:dyDescent="0.35">
      <c r="A52" s="45" t="str">
        <f t="shared" ref="A52:H52" si="57">A27</f>
        <v>Noms des groupes</v>
      </c>
      <c r="B52" s="46" t="str">
        <f t="shared" si="57"/>
        <v>Témoin solvant</v>
      </c>
      <c r="C52" s="46" t="str">
        <f t="shared" si="57"/>
        <v>EE2-33,8ng/L</v>
      </c>
      <c r="D52" s="46" t="str">
        <f t="shared" si="57"/>
        <v>EE2-50,6ng/L</v>
      </c>
      <c r="E52" s="46" t="str">
        <f t="shared" si="57"/>
        <v>EE2-76ng/L</v>
      </c>
      <c r="F52" s="46" t="str">
        <f t="shared" si="57"/>
        <v>EE2-114ng/L</v>
      </c>
      <c r="G52" s="46" t="str">
        <f t="shared" si="57"/>
        <v>EE2-170,9ng/L</v>
      </c>
      <c r="H52" s="46" t="str">
        <f t="shared" si="57"/>
        <v>EE2-488ng/L</v>
      </c>
      <c r="I52" s="46" t="str">
        <f>I4</f>
        <v>Cefuroxime-0.001mg/L</v>
      </c>
      <c r="J52" s="46" t="str">
        <f>J4</f>
        <v>Cefuroxime-0.01mg/L</v>
      </c>
      <c r="K52" s="46" t="str">
        <f>K27</f>
        <v>Cefuroxime-0.1mg/L</v>
      </c>
      <c r="L52" s="46" t="str">
        <f t="shared" ref="L52:M52" si="58">L27</f>
        <v>Cefuroxime-1mg/L</v>
      </c>
      <c r="M52" s="46" t="str">
        <f t="shared" si="58"/>
        <v>Cefuroxime-10mg/L</v>
      </c>
      <c r="N52" s="47"/>
      <c r="O52" s="46" t="str">
        <f>O27</f>
        <v>Testo -30µg/L</v>
      </c>
      <c r="P52" s="46" t="str">
        <f>P27</f>
        <v>Testo 30µg/L + EE2 -64ng/L</v>
      </c>
      <c r="Q52" s="46" t="str">
        <f>Q27</f>
        <v>Testo 30µg/L + FAD-10mg/L</v>
      </c>
      <c r="R52" s="46" t="str">
        <f>R27</f>
        <v>Cefuroxime-0,001mg/L + Testostérone</v>
      </c>
      <c r="S52" s="46" t="str">
        <f t="shared" ref="S52:V52" si="59">S27</f>
        <v>Cefuroxime-0,01mg/L + Testostérone</v>
      </c>
      <c r="T52" s="46" t="str">
        <f t="shared" si="59"/>
        <v>Cefuroxime-0,1mg/L + Testostérone</v>
      </c>
      <c r="U52" s="46" t="str">
        <f t="shared" si="59"/>
        <v>Cefuroxime-1mg/L + Testostérone</v>
      </c>
      <c r="V52" s="46" t="str">
        <f t="shared" si="59"/>
        <v>Cefuroxime-10mg/L + Testostérone</v>
      </c>
    </row>
    <row r="53" spans="1:22" s="3" customFormat="1" x14ac:dyDescent="0.35">
      <c r="A53" s="61" t="s">
        <v>32</v>
      </c>
      <c r="B53" s="142">
        <f t="shared" ref="B53:M53" si="60">B46</f>
        <v>0.11036781585308085</v>
      </c>
      <c r="C53" s="142">
        <f t="shared" si="60"/>
        <v>0.13336899930394627</v>
      </c>
      <c r="D53" s="142">
        <f t="shared" si="60"/>
        <v>6.7531125929509384E-2</v>
      </c>
      <c r="E53" s="142">
        <f t="shared" si="60"/>
        <v>0.30159458519550525</v>
      </c>
      <c r="F53" s="142">
        <f t="shared" si="60"/>
        <v>1.3489165508421341</v>
      </c>
      <c r="G53" s="142">
        <f t="shared" si="60"/>
        <v>1.6044891506844636</v>
      </c>
      <c r="H53" s="142">
        <f t="shared" si="60"/>
        <v>2.4302781117429593</v>
      </c>
      <c r="I53" s="142">
        <f t="shared" si="60"/>
        <v>0.10925727952722226</v>
      </c>
      <c r="J53" s="142">
        <f t="shared" si="60"/>
        <v>9.5689415687922413E-2</v>
      </c>
      <c r="K53" s="142">
        <f t="shared" si="60"/>
        <v>7.6759390847088271E-2</v>
      </c>
      <c r="L53" s="142">
        <f t="shared" si="60"/>
        <v>0.10054179727746361</v>
      </c>
      <c r="M53" s="142">
        <f t="shared" si="60"/>
        <v>0.10419830777627861</v>
      </c>
      <c r="N53" s="142"/>
      <c r="O53" s="142">
        <f t="shared" ref="O53:V53" si="61">O46</f>
        <v>1</v>
      </c>
      <c r="P53" s="142">
        <f t="shared" si="61"/>
        <v>2.4369516042169894</v>
      </c>
      <c r="Q53" s="142">
        <f t="shared" si="61"/>
        <v>0.13050231970803294</v>
      </c>
      <c r="R53" s="142">
        <f t="shared" si="61"/>
        <v>0.51407489266374951</v>
      </c>
      <c r="S53" s="142">
        <f t="shared" si="61"/>
        <v>0.70952720911540723</v>
      </c>
      <c r="T53" s="142">
        <f t="shared" si="61"/>
        <v>0.76184488581943954</v>
      </c>
      <c r="U53" s="142">
        <f t="shared" si="61"/>
        <v>0.81188128093732803</v>
      </c>
      <c r="V53" s="142">
        <f t="shared" si="61"/>
        <v>0.46543036068887045</v>
      </c>
    </row>
    <row r="54" spans="1:22" s="3" customFormat="1" x14ac:dyDescent="0.35">
      <c r="A54" s="61" t="s">
        <v>2</v>
      </c>
      <c r="B54" s="142">
        <f t="shared" ref="B54:M54" si="62">B48</f>
        <v>3.6172279539455815E-2</v>
      </c>
      <c r="C54" s="142">
        <f t="shared" si="62"/>
        <v>3.1998397717070491E-2</v>
      </c>
      <c r="D54" s="142">
        <f t="shared" si="62"/>
        <v>2.16667637940616E-2</v>
      </c>
      <c r="E54" s="142">
        <f t="shared" si="62"/>
        <v>8.4813275718725017E-2</v>
      </c>
      <c r="F54" s="142">
        <f t="shared" si="62"/>
        <v>0.24582809275124282</v>
      </c>
      <c r="G54" s="142">
        <f t="shared" si="62"/>
        <v>0.2622308349666374</v>
      </c>
      <c r="H54" s="142">
        <f t="shared" si="62"/>
        <v>0.21223156179441444</v>
      </c>
      <c r="I54" s="142">
        <f t="shared" si="62"/>
        <v>3.7743656199763158E-2</v>
      </c>
      <c r="J54" s="142">
        <f t="shared" si="62"/>
        <v>2.8610159065591206E-2</v>
      </c>
      <c r="K54" s="142">
        <f t="shared" si="62"/>
        <v>1.9590278103147521E-2</v>
      </c>
      <c r="L54" s="142">
        <f t="shared" si="62"/>
        <v>3.5300130592811417E-2</v>
      </c>
      <c r="M54" s="142">
        <f t="shared" si="62"/>
        <v>2.2058926985051838E-2</v>
      </c>
      <c r="N54" s="142"/>
      <c r="O54" s="142">
        <f t="shared" ref="O54:V54" si="63">O48</f>
        <v>0.18386208076814539</v>
      </c>
      <c r="P54" s="142">
        <f t="shared" si="63"/>
        <v>0.19331220408133928</v>
      </c>
      <c r="Q54" s="142">
        <f t="shared" si="63"/>
        <v>2.6052787633910078E-2</v>
      </c>
      <c r="R54" s="142">
        <f t="shared" si="63"/>
        <v>0.18996124054960467</v>
      </c>
      <c r="S54" s="142">
        <f t="shared" si="63"/>
        <v>0.15072669488793886</v>
      </c>
      <c r="T54" s="142">
        <f t="shared" si="63"/>
        <v>0.29461284893841583</v>
      </c>
      <c r="U54" s="142">
        <f t="shared" si="63"/>
        <v>0.21361869607532788</v>
      </c>
      <c r="V54" s="142">
        <f t="shared" si="63"/>
        <v>0.16821492863537141</v>
      </c>
    </row>
    <row r="55" spans="1:22" s="3" customFormat="1" x14ac:dyDescent="0.35">
      <c r="A55" s="61" t="s">
        <v>79</v>
      </c>
      <c r="B55" s="142">
        <f t="shared" ref="B55:M55" si="64">(B53*100/$B$53)-100</f>
        <v>0</v>
      </c>
      <c r="C55" s="142">
        <f t="shared" si="64"/>
        <v>20.840480780632717</v>
      </c>
      <c r="D55" s="142">
        <f t="shared" si="64"/>
        <v>-38.812664355517107</v>
      </c>
      <c r="E55" s="142">
        <f t="shared" si="64"/>
        <v>173.26316359923368</v>
      </c>
      <c r="F55" s="142">
        <f t="shared" si="64"/>
        <v>1122.2010016378158</v>
      </c>
      <c r="G55" s="142">
        <f t="shared" si="64"/>
        <v>1353.7654281573564</v>
      </c>
      <c r="H55" s="142">
        <f t="shared" si="64"/>
        <v>2101.9807975343924</v>
      </c>
      <c r="I55" s="142">
        <f t="shared" si="64"/>
        <v>-1.0062139195876654</v>
      </c>
      <c r="J55" s="142">
        <f t="shared" si="64"/>
        <v>-13.299529443164843</v>
      </c>
      <c r="K55" s="142">
        <f t="shared" si="64"/>
        <v>-30.451291208599571</v>
      </c>
      <c r="L55" s="142">
        <f t="shared" si="64"/>
        <v>-8.9029745670580382</v>
      </c>
      <c r="M55" s="142">
        <f t="shared" si="64"/>
        <v>-5.5899521333419671</v>
      </c>
      <c r="N55" s="142"/>
      <c r="O55" s="142">
        <f>(O53*100/$O$53)-100</f>
        <v>0</v>
      </c>
      <c r="P55" s="142">
        <f t="shared" ref="P55:V55" si="65">(P53*100/$O$53)-100</f>
        <v>143.69516042169894</v>
      </c>
      <c r="Q55" s="142">
        <f t="shared" si="65"/>
        <v>-86.949768029196704</v>
      </c>
      <c r="R55" s="142">
        <f t="shared" si="65"/>
        <v>-48.592510733625048</v>
      </c>
      <c r="S55" s="142">
        <f t="shared" si="65"/>
        <v>-29.047279088459277</v>
      </c>
      <c r="T55" s="142">
        <f t="shared" si="65"/>
        <v>-23.815511418056047</v>
      </c>
      <c r="U55" s="142">
        <f t="shared" si="65"/>
        <v>-18.8118719062672</v>
      </c>
      <c r="V55" s="142">
        <f t="shared" si="65"/>
        <v>-53.456963931112952</v>
      </c>
    </row>
    <row r="56" spans="1:22" s="3" customFormat="1" x14ac:dyDescent="0.35">
      <c r="A56" s="61" t="s">
        <v>81</v>
      </c>
      <c r="B56" s="142">
        <f>[1]!SWTEST(B28:B43)</f>
        <v>0.32929476206899089</v>
      </c>
      <c r="C56" s="142">
        <f>[1]!SWTEST(C28:C43)</f>
        <v>0.43063952865416577</v>
      </c>
      <c r="D56" s="142">
        <f>[1]!SWTEST(D28:D43)</f>
        <v>5.0438657237356854E-2</v>
      </c>
      <c r="E56" s="142">
        <f>[1]!SWTEST(E28:E43)</f>
        <v>7.6129916839491329E-3</v>
      </c>
      <c r="F56" s="142">
        <f>[1]!SWTEST(F28:F43)</f>
        <v>0.18853901877744095</v>
      </c>
      <c r="G56" s="142">
        <f>[1]!SWTEST(G28:G43)</f>
        <v>5.5672741491418765E-2</v>
      </c>
      <c r="H56" s="142">
        <f>[1]!SWTEST(H28:H43)</f>
        <v>0.25203954695680908</v>
      </c>
      <c r="I56" s="142">
        <f>[1]!SWTEST(I28:I43)</f>
        <v>0.21346325995317073</v>
      </c>
      <c r="J56" s="142">
        <f>[1]!SWTEST(J28:J43)</f>
        <v>0.86295461696890174</v>
      </c>
      <c r="K56" s="142">
        <f>[1]!SWTEST(K28:K43)</f>
        <v>0.82012131252123655</v>
      </c>
      <c r="L56" s="142">
        <f>[1]!SWTEST(L28:L43)</f>
        <v>3.0407474286806235E-2</v>
      </c>
      <c r="M56" s="142">
        <f>[1]!SWTEST(M28:M43)</f>
        <v>0.89394452696990934</v>
      </c>
      <c r="N56" s="142"/>
      <c r="O56" s="142">
        <f>[1]!SWTEST(O28:O43)</f>
        <v>0.66495698776190049</v>
      </c>
      <c r="P56" s="142">
        <f>[1]!SWTEST(P28:P43)</f>
        <v>0.82764887034603563</v>
      </c>
      <c r="Q56" s="142">
        <f>[1]!SWTEST(Q28:Q43)</f>
        <v>0.49235030652707235</v>
      </c>
      <c r="R56" s="142">
        <f>[1]!SWTEST(R28:R43)</f>
        <v>1.3702265483871656E-2</v>
      </c>
      <c r="S56" s="142">
        <f>[1]!SWTEST(S28:S43)</f>
        <v>0.39468383320477995</v>
      </c>
      <c r="T56" s="142">
        <f>[1]!SWTEST(T28:T43)</f>
        <v>1.3754019116617777E-2</v>
      </c>
      <c r="U56" s="142">
        <f>[1]!SWTEST(U28:U43)</f>
        <v>0.23467104259315508</v>
      </c>
      <c r="V56" s="142">
        <f>[1]!SWTEST(V28:V43)</f>
        <v>9.5737754495548444E-2</v>
      </c>
    </row>
    <row r="57" spans="1:22" s="3" customFormat="1" x14ac:dyDescent="0.35">
      <c r="A57" s="61" t="s">
        <v>85</v>
      </c>
      <c r="B57" s="142" t="str">
        <f t="shared" ref="B57:M57" si="66">IF(B56&gt;0.05,"Oui","Non")</f>
        <v>Oui</v>
      </c>
      <c r="C57" s="142" t="str">
        <f t="shared" si="66"/>
        <v>Oui</v>
      </c>
      <c r="D57" s="142" t="str">
        <f t="shared" si="66"/>
        <v>Oui</v>
      </c>
      <c r="E57" s="142" t="str">
        <f t="shared" si="66"/>
        <v>Non</v>
      </c>
      <c r="F57" s="142" t="str">
        <f t="shared" si="66"/>
        <v>Oui</v>
      </c>
      <c r="G57" s="142" t="str">
        <f t="shared" si="66"/>
        <v>Oui</v>
      </c>
      <c r="H57" s="142" t="str">
        <f t="shared" si="66"/>
        <v>Oui</v>
      </c>
      <c r="I57" s="142" t="str">
        <f t="shared" si="66"/>
        <v>Oui</v>
      </c>
      <c r="J57" s="142" t="str">
        <f t="shared" si="66"/>
        <v>Oui</v>
      </c>
      <c r="K57" s="142" t="str">
        <f t="shared" si="66"/>
        <v>Oui</v>
      </c>
      <c r="L57" s="142" t="str">
        <f t="shared" si="66"/>
        <v>Non</v>
      </c>
      <c r="M57" s="142" t="str">
        <f t="shared" si="66"/>
        <v>Oui</v>
      </c>
      <c r="N57" s="142"/>
      <c r="O57" s="142" t="str">
        <f t="shared" ref="O57:V57" si="67">IF(O56&gt;0.05,"Oui","Non")</f>
        <v>Oui</v>
      </c>
      <c r="P57" s="142" t="str">
        <f t="shared" si="67"/>
        <v>Oui</v>
      </c>
      <c r="Q57" s="142" t="str">
        <f t="shared" si="67"/>
        <v>Oui</v>
      </c>
      <c r="R57" s="142" t="str">
        <f t="shared" si="67"/>
        <v>Non</v>
      </c>
      <c r="S57" s="142" t="str">
        <f t="shared" si="67"/>
        <v>Oui</v>
      </c>
      <c r="T57" s="142" t="str">
        <f t="shared" si="67"/>
        <v>Non</v>
      </c>
      <c r="U57" s="142" t="str">
        <f t="shared" si="67"/>
        <v>Oui</v>
      </c>
      <c r="V57" s="142" t="str">
        <f t="shared" si="67"/>
        <v>Oui</v>
      </c>
    </row>
    <row r="58" spans="1:22" s="3" customFormat="1" x14ac:dyDescent="0.35">
      <c r="A58" s="61"/>
      <c r="B58" s="142"/>
      <c r="C58" s="142"/>
      <c r="D58" s="142"/>
      <c r="E58" s="142"/>
      <c r="F58" s="142"/>
      <c r="G58" s="142"/>
      <c r="H58" s="142"/>
      <c r="I58" s="142"/>
      <c r="J58" s="142"/>
      <c r="K58" s="142"/>
      <c r="L58" s="142"/>
      <c r="M58" s="142"/>
      <c r="N58" s="149"/>
      <c r="O58" s="150"/>
      <c r="P58" s="142"/>
      <c r="Q58" s="142"/>
      <c r="R58" s="142"/>
      <c r="S58" s="142"/>
      <c r="T58" s="142"/>
      <c r="U58" s="142"/>
      <c r="V58" s="142"/>
    </row>
    <row r="59" spans="1:22" s="3" customFormat="1" x14ac:dyDescent="0.35">
      <c r="A59" s="61" t="s">
        <v>82</v>
      </c>
      <c r="B59" s="151"/>
      <c r="C59" s="151" t="str">
        <f t="shared" ref="C59:M59" si="68">IF($B57="Non",IF(C$57="Non","Mann Withney",IF(C$57="Oui","Mann Withney","")),IF($B$57="Oui",IF(C$57="Oui","T-Test Welch",IF(C$57="Non","Mann Withney",""))))</f>
        <v>T-Test Welch</v>
      </c>
      <c r="D59" s="151" t="str">
        <f t="shared" si="68"/>
        <v>T-Test Welch</v>
      </c>
      <c r="E59" s="151" t="str">
        <f t="shared" si="68"/>
        <v>Mann Withney</v>
      </c>
      <c r="F59" s="151" t="str">
        <f t="shared" si="68"/>
        <v>T-Test Welch</v>
      </c>
      <c r="G59" s="151" t="str">
        <f t="shared" si="68"/>
        <v>T-Test Welch</v>
      </c>
      <c r="H59" s="151" t="str">
        <f t="shared" si="68"/>
        <v>T-Test Welch</v>
      </c>
      <c r="I59" s="151" t="str">
        <f t="shared" si="68"/>
        <v>T-Test Welch</v>
      </c>
      <c r="J59" s="151" t="str">
        <f t="shared" si="68"/>
        <v>T-Test Welch</v>
      </c>
      <c r="K59" s="151" t="str">
        <f t="shared" si="68"/>
        <v>T-Test Welch</v>
      </c>
      <c r="L59" s="151" t="str">
        <f t="shared" si="68"/>
        <v>Mann Withney</v>
      </c>
      <c r="M59" s="151" t="str">
        <f t="shared" si="68"/>
        <v>T-Test Welch</v>
      </c>
      <c r="N59" s="151"/>
      <c r="O59" s="151" t="str">
        <f>IF($B57="Non",IF(O$57="Non","Mann Withney",IF(O$57="Oui","Mann Withney","")),IF($B$57="Oui",IF(O$57="Oui","T-Test Welch",IF(O$57="Non","Mann Withney",""))))</f>
        <v>T-Test Welch</v>
      </c>
      <c r="P59" s="151" t="str">
        <f>IF($O57="Non",IF(P$57="Non","Mann Withney",IF(P$57="Oui","Mann Withney","")),IF($O$57="Oui",IF(P$57="Oui","T-Test Welch",IF(P$57="Non","Mann Withney",""))))</f>
        <v>T-Test Welch</v>
      </c>
      <c r="Q59" s="151" t="str">
        <f t="shared" ref="Q59:V59" si="69">IF($O57="Non",IF(Q$57="Non","Mann Withney",IF(Q$57="Oui","Mann Withney","")),IF($O$57="Oui",IF(Q$57="Oui","T-Test Welch",IF(Q$57="Non","Mann Withney",""))))</f>
        <v>T-Test Welch</v>
      </c>
      <c r="R59" s="151" t="str">
        <f t="shared" si="69"/>
        <v>Mann Withney</v>
      </c>
      <c r="S59" s="151" t="str">
        <f t="shared" si="69"/>
        <v>T-Test Welch</v>
      </c>
      <c r="T59" s="151" t="str">
        <f t="shared" si="69"/>
        <v>Mann Withney</v>
      </c>
      <c r="U59" s="151" t="str">
        <f t="shared" si="69"/>
        <v>T-Test Welch</v>
      </c>
      <c r="V59" s="151" t="str">
        <f t="shared" si="69"/>
        <v>T-Test Welch</v>
      </c>
    </row>
    <row r="60" spans="1:22" s="3" customFormat="1" x14ac:dyDescent="0.35">
      <c r="A60" s="61" t="s">
        <v>83</v>
      </c>
      <c r="B60" s="152"/>
      <c r="C60" s="152">
        <f>IF(C59="Mann Withney",[1]!MTEST($B28:$B43,C28:C43,2), IF(C59="T-Test Welch",_xlfn.T.TEST($B28:$B43,C28:C43,2,3),""))</f>
        <v>0.64133595286496414</v>
      </c>
      <c r="D60" s="152">
        <f>IF(D59="Mann Withney",[1]!MTEST($B28:$B43,D28:D43,2), IF(D59="T-Test Welch",_xlfn.T.TEST($B28:$B43,D28:D43,2,3),""))</f>
        <v>0.3306488584181595</v>
      </c>
      <c r="E60" s="152">
        <f>IF(E59="Mann Withney",[1]!MTEST($B28:$B43,E28:E43,2), IF(E59="T-Test Welch",_xlfn.T.TEST($B28:$B43,E28:E43,2,3),""))</f>
        <v>2.08625823327655E-2</v>
      </c>
      <c r="F60" s="152">
        <f>IF(F59="Mann Withney",[1]!MTEST($B28:$B43,F28:F43,2), IF(F59="T-Test Welch",_xlfn.T.TEST($B28:$B43,F28:F43,2,3),""))</f>
        <v>2.2043303110455647E-3</v>
      </c>
      <c r="G60" s="152">
        <f>IF(G59="Mann Withney",[1]!MTEST($B28:$B43,G28:G43,2), IF(G59="T-Test Welch",_xlfn.T.TEST($B28:$B43,G28:G43,2,3),""))</f>
        <v>6.8308888851791017E-4</v>
      </c>
      <c r="H60" s="152">
        <f>IF(H59="Mann Withney",[1]!MTEST($B28:$B43,H28:H43,2), IF(H59="T-Test Welch",_xlfn.T.TEST($B28:$B43,H28:H43,2,3),""))</f>
        <v>8.6548973025152634E-6</v>
      </c>
      <c r="I60" s="152">
        <f>IF(I59="Mann Withney",[1]!MTEST($B28:$B43,I28:I43,2), IF(I59="T-Test Welch",_xlfn.T.TEST($B28:$B43,I28:I43,2,3),""))</f>
        <v>0.98335231082670871</v>
      </c>
      <c r="J60" s="152">
        <f>IF(J59="Mann Withney",[1]!MTEST($B28:$B43,J28:J43,2), IF(J59="T-Test Welch",_xlfn.T.TEST($B28:$B43,J28:J43,2,3),""))</f>
        <v>0.75545247391805426</v>
      </c>
      <c r="K60" s="152">
        <f>IF(K59="Mann Withney",[1]!MTEST($B28:$B43,K28:K43,2), IF(K59="T-Test Welch",_xlfn.T.TEST($B28:$B43,K28:K43,2,3),""))</f>
        <v>0.43161365254061568</v>
      </c>
      <c r="L60" s="152">
        <f>IF(L59="Mann Withney",[1]!MTEST($B28:$B43,L28:L43,2), IF(L59="T-Test Welch",_xlfn.T.TEST($B28:$B43,L28:L43,2,3),""))</f>
        <v>1</v>
      </c>
      <c r="M60" s="152">
        <f>IF(M59="Mann Withney",[1]!MTEST($B28:$B43,M28:M43,2), IF(M59="T-Test Welch",_xlfn.T.TEST($B28:$B43,M28:M43,2,3),""))</f>
        <v>0.88672829822310817</v>
      </c>
      <c r="N60" s="152"/>
      <c r="O60" s="152">
        <f>IF(O59="Mann Withney",[1]!MTEST($B28:$B43,O28:O43,2), IF(O59="T-Test Welch",_xlfn.T.TEST($B28:$B43,O28:O43,2,3),""))</f>
        <v>2.5652795832308857E-4</v>
      </c>
      <c r="P60" s="152">
        <f>IF(P59="Mann Withney",[1]!MTEST($O28:$O43,P28:P43,2), IF(P59="T-Test Welch",_xlfn.T.TEST($O28:$O43,P28:P43,2,3),""))</f>
        <v>4.0412616355273818E-5</v>
      </c>
      <c r="Q60" s="152">
        <f>IF(Q59="Mann Withney",[1]!MTEST($O28:$O43,Q28:Q43,2), IF(Q59="T-Test Welch",_xlfn.T.TEST($O28:$O43,Q28:Q43,2,3),""))</f>
        <v>3.1872883866158837E-4</v>
      </c>
      <c r="R60" s="152">
        <f>IF(R59="Mann Withney",[1]!MTEST($O28:$O43,R28:R43,2), IF(R59="T-Test Welch",_xlfn.T.TEST($O28:$O43,R28:R43,2,3),""))</f>
        <v>9.3289956183604694E-2</v>
      </c>
      <c r="S60" s="152">
        <f>IF(S59="Mann Withney",[1]!MTEST($O28:$O43,S28:S43,2), IF(S59="T-Test Welch",_xlfn.T.TEST($O28:$O43,S28:S43,2,3),""))</f>
        <v>0.23669274506808774</v>
      </c>
      <c r="T60" s="152">
        <f>IF(T59="Mann Withney",[1]!MTEST($O28:$O43,T28:T43,2), IF(T59="T-Test Welch",_xlfn.T.TEST($O28:$O43,T28:T43,2,3),""))</f>
        <v>0.65137844647639254</v>
      </c>
      <c r="U60" s="152">
        <f>IF(U59="Mann Withney",[1]!MTEST($O28:$O43,U28:U43,2), IF(U59="T-Test Welch",_xlfn.T.TEST($O28:$O43,U28:U43,2,3),""))</f>
        <v>0.51481426200759839</v>
      </c>
      <c r="V60" s="152">
        <f>IF(V59="Mann Withney",[1]!MTEST($O28:$O43,V28:V43,2), IF(V59="T-Test Welch",_xlfn.T.TEST($O28:$O43,V28:V43,2,3),""))</f>
        <v>4.461612868956092E-2</v>
      </c>
    </row>
    <row r="61" spans="1:22" s="3" customFormat="1" ht="15" thickBot="1" x14ac:dyDescent="0.4">
      <c r="A61" s="62" t="s">
        <v>84</v>
      </c>
      <c r="B61" s="143"/>
      <c r="C61" s="143" t="str">
        <f t="shared" ref="C61:M61" si="70">IF(C60&gt;0.05,"NS",IF(C60&gt;0.01,"*",IF(C60&gt;0.001,"**","***")))</f>
        <v>NS</v>
      </c>
      <c r="D61" s="143" t="str">
        <f t="shared" si="70"/>
        <v>NS</v>
      </c>
      <c r="E61" s="143" t="str">
        <f t="shared" si="70"/>
        <v>*</v>
      </c>
      <c r="F61" s="143" t="str">
        <f t="shared" si="70"/>
        <v>**</v>
      </c>
      <c r="G61" s="143" t="str">
        <f t="shared" si="70"/>
        <v>***</v>
      </c>
      <c r="H61" s="143" t="str">
        <f t="shared" si="70"/>
        <v>***</v>
      </c>
      <c r="I61" s="143" t="str">
        <f t="shared" si="70"/>
        <v>NS</v>
      </c>
      <c r="J61" s="143" t="str">
        <f t="shared" si="70"/>
        <v>NS</v>
      </c>
      <c r="K61" s="143" t="str">
        <f t="shared" si="70"/>
        <v>NS</v>
      </c>
      <c r="L61" s="143" t="str">
        <f t="shared" si="70"/>
        <v>NS</v>
      </c>
      <c r="M61" s="143" t="str">
        <f t="shared" si="70"/>
        <v>NS</v>
      </c>
      <c r="N61" s="143"/>
      <c r="O61" s="143" t="str">
        <f>IF(O60&gt;0.05,"NS",IF(O60&gt;0.01,"*",IF(O60&gt;0.001,"**","***")))</f>
        <v>***</v>
      </c>
      <c r="P61" s="143" t="str">
        <f>IF(P60&gt;0.05,"NS",IF(P60&gt;0.01,"*",IF(P60&gt;0.001,"**","***")))</f>
        <v>***</v>
      </c>
      <c r="Q61" s="143" t="str">
        <f t="shared" ref="Q61" si="71">IF(Q60&gt;0.05,"NS",IF(Q60&gt;0.01,"*",IF(Q60&gt;0.001,"**","***")))</f>
        <v>***</v>
      </c>
      <c r="R61" s="143" t="str">
        <f t="shared" ref="R61" si="72">IF(R60&gt;0.05,"NS",IF(R60&gt;0.01,"*",IF(R60&gt;0.001,"**","***")))</f>
        <v>NS</v>
      </c>
      <c r="S61" s="143" t="str">
        <f t="shared" ref="S61" si="73">IF(S60&gt;0.05,"NS",IF(S60&gt;0.01,"*",IF(S60&gt;0.001,"**","***")))</f>
        <v>NS</v>
      </c>
      <c r="T61" s="143" t="str">
        <f t="shared" ref="T61" si="74">IF(T60&gt;0.05,"NS",IF(T60&gt;0.01,"*",IF(T60&gt;0.001,"**","***")))</f>
        <v>NS</v>
      </c>
      <c r="U61" s="143" t="str">
        <f t="shared" ref="U61" si="75">IF(U60&gt;0.05,"NS",IF(U60&gt;0.01,"*",IF(U60&gt;0.001,"**","***")))</f>
        <v>NS</v>
      </c>
      <c r="V61" s="143" t="str">
        <f t="shared" ref="V61" si="76">IF(V60&gt;0.05,"NS",IF(V60&gt;0.01,"*",IF(V60&gt;0.001,"**","***")))</f>
        <v>*</v>
      </c>
    </row>
    <row r="63" spans="1:22" x14ac:dyDescent="0.35">
      <c r="A63" s="2" t="s">
        <v>39</v>
      </c>
    </row>
    <row r="64" spans="1:22" x14ac:dyDescent="0.35">
      <c r="A64" s="1" t="s">
        <v>23</v>
      </c>
      <c r="B64" s="1">
        <f>B46+(3*B47)</f>
        <v>0.41729978569297627</v>
      </c>
    </row>
    <row r="65" spans="1:22" x14ac:dyDescent="0.35">
      <c r="A65" s="1" t="s">
        <v>24</v>
      </c>
      <c r="B65" s="1">
        <f>B46+(10*B47)</f>
        <v>1.1334743819860655</v>
      </c>
    </row>
    <row r="66" spans="1:22" ht="15" thickBot="1" x14ac:dyDescent="0.4"/>
    <row r="67" spans="1:22" s="1" customFormat="1" ht="26.5" thickBot="1" x14ac:dyDescent="0.65">
      <c r="A67" s="218" t="s">
        <v>52</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O1" zoomScale="80" zoomScaleNormal="80" workbookViewId="0">
      <selection activeCell="Z5" sqref="Z5:AD12"/>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K1" s="119"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 s="153" t="s">
        <v>172</v>
      </c>
      <c r="D2" s="1" t="s">
        <v>110</v>
      </c>
      <c r="E2" s="1" t="s">
        <v>111</v>
      </c>
      <c r="F2" s="1" t="s">
        <v>112</v>
      </c>
      <c r="G2" s="1" t="s">
        <v>113</v>
      </c>
      <c r="K2" s="157" t="s">
        <v>120</v>
      </c>
      <c r="L2" s="157"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1</v>
      </c>
      <c r="B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 s="1" t="s">
        <v>1611</v>
      </c>
      <c r="D3" s="1" t="s">
        <v>1612</v>
      </c>
      <c r="E3" s="1" t="s">
        <v>1613</v>
      </c>
      <c r="F3" s="1" t="s">
        <v>112</v>
      </c>
      <c r="G3" s="1">
        <v>323194</v>
      </c>
      <c r="K3" s="119" t="s">
        <v>154</v>
      </c>
      <c r="L3" s="119"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1</v>
      </c>
      <c r="B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 s="1" t="s">
        <v>1614</v>
      </c>
      <c r="D4" s="1" t="s">
        <v>1615</v>
      </c>
      <c r="E4" s="1" t="s">
        <v>1616</v>
      </c>
      <c r="F4" s="1" t="s">
        <v>112</v>
      </c>
      <c r="G4" s="1">
        <v>325660</v>
      </c>
      <c r="K4" s="119" t="s">
        <v>100</v>
      </c>
      <c r="L4" s="1" t="s">
        <v>1576</v>
      </c>
      <c r="M4" s="1" t="s">
        <v>1577</v>
      </c>
      <c r="N4" s="1" t="s">
        <v>1578</v>
      </c>
      <c r="O4" s="1" t="s">
        <v>1579</v>
      </c>
      <c r="P4" s="1" t="s">
        <v>1580</v>
      </c>
      <c r="Q4" s="1" t="s">
        <v>1581</v>
      </c>
      <c r="R4" s="1" t="s">
        <v>1582</v>
      </c>
      <c r="S4" s="1" t="s">
        <v>1583</v>
      </c>
      <c r="T4" s="1" t="s">
        <v>1584</v>
      </c>
      <c r="U4" s="1" t="s">
        <v>1585</v>
      </c>
      <c r="V4" s="1" t="s">
        <v>1586</v>
      </c>
      <c r="W4" s="1" t="s">
        <v>1587</v>
      </c>
      <c r="X4" s="1" t="s">
        <v>1588</v>
      </c>
      <c r="Y4" s="1" t="s">
        <v>1589</v>
      </c>
      <c r="Z4" s="1" t="s">
        <v>1590</v>
      </c>
      <c r="AA4" s="1" t="s">
        <v>1591</v>
      </c>
      <c r="AB4" s="1" t="s">
        <v>1592</v>
      </c>
      <c r="AC4" s="1" t="s">
        <v>1593</v>
      </c>
      <c r="AD4" s="1" t="s">
        <v>1594</v>
      </c>
      <c r="AE4" s="1" t="s">
        <v>1595</v>
      </c>
      <c r="AF4" s="1" t="s">
        <v>1596</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1</v>
      </c>
      <c r="B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 s="1" t="s">
        <v>1617</v>
      </c>
      <c r="D5" s="1" t="s">
        <v>1618</v>
      </c>
      <c r="E5" s="1" t="s">
        <v>1619</v>
      </c>
      <c r="F5" s="1" t="s">
        <v>112</v>
      </c>
      <c r="G5" s="1">
        <v>272039</v>
      </c>
      <c r="K5" s="146" t="s">
        <v>164</v>
      </c>
      <c r="L5" s="44">
        <v>306964.33333333331</v>
      </c>
      <c r="M5" s="44">
        <v>1240907</v>
      </c>
      <c r="N5" s="44">
        <v>70048.5</v>
      </c>
      <c r="O5" s="44"/>
      <c r="P5" s="44"/>
      <c r="Q5" s="44"/>
      <c r="R5" s="44">
        <v>41003.333333333336</v>
      </c>
      <c r="S5" s="44">
        <v>2007968</v>
      </c>
      <c r="T5" s="44">
        <v>2497935.6666666665</v>
      </c>
      <c r="U5" s="44">
        <v>364751.66666666669</v>
      </c>
      <c r="V5" s="44">
        <v>4675612</v>
      </c>
      <c r="W5" s="44">
        <v>0</v>
      </c>
      <c r="X5" s="44">
        <v>128272.66666666667</v>
      </c>
      <c r="Y5" s="44">
        <v>482293</v>
      </c>
      <c r="Z5" s="44">
        <v>2255298.6666666665</v>
      </c>
      <c r="AA5" s="44">
        <v>1503825.6666666667</v>
      </c>
      <c r="AB5" s="44">
        <v>2130977.5</v>
      </c>
      <c r="AC5" s="44"/>
      <c r="AD5" s="44">
        <v>483745.33333333331</v>
      </c>
      <c r="AE5" s="44">
        <v>241086.5</v>
      </c>
      <c r="AF5" s="44">
        <v>40404.5</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1</v>
      </c>
      <c r="B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 s="1" t="s">
        <v>1620</v>
      </c>
      <c r="D6" s="1" t="s">
        <v>1621</v>
      </c>
      <c r="E6" s="1" t="s">
        <v>1622</v>
      </c>
      <c r="F6" s="1" t="s">
        <v>112</v>
      </c>
      <c r="G6" s="1">
        <v>242082</v>
      </c>
      <c r="K6" s="146" t="s">
        <v>1597</v>
      </c>
      <c r="L6" s="44">
        <v>253762</v>
      </c>
      <c r="M6" s="44">
        <v>2546585</v>
      </c>
      <c r="N6" s="44">
        <v>508951.33333333331</v>
      </c>
      <c r="O6" s="44">
        <v>3184548</v>
      </c>
      <c r="P6" s="44">
        <v>58955.666666666664</v>
      </c>
      <c r="Q6" s="44">
        <v>65084.333333333336</v>
      </c>
      <c r="R6" s="44">
        <v>57838.666666666664</v>
      </c>
      <c r="S6" s="44">
        <v>1593272.6666666667</v>
      </c>
      <c r="T6" s="44">
        <v>1361219.6666666667</v>
      </c>
      <c r="U6" s="44">
        <v>3187273</v>
      </c>
      <c r="V6" s="44"/>
      <c r="W6" s="44"/>
      <c r="X6" s="44">
        <v>162483.66666666666</v>
      </c>
      <c r="Y6" s="44">
        <v>115172</v>
      </c>
      <c r="Z6" s="44">
        <v>365163.33333333331</v>
      </c>
      <c r="AA6" s="44">
        <v>2652344.3333333335</v>
      </c>
      <c r="AB6" s="44">
        <v>700866.33333333337</v>
      </c>
      <c r="AC6" s="44">
        <v>295882.33333333331</v>
      </c>
      <c r="AD6" s="44">
        <v>568159.66666666663</v>
      </c>
      <c r="AE6" s="44"/>
      <c r="AF6" s="44">
        <v>178684.66666666666</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1</v>
      </c>
      <c r="B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 s="1" t="s">
        <v>1623</v>
      </c>
      <c r="D7" s="1" t="s">
        <v>1624</v>
      </c>
      <c r="E7" s="1" t="s">
        <v>1625</v>
      </c>
      <c r="F7" s="1" t="s">
        <v>112</v>
      </c>
      <c r="G7" s="1">
        <v>325379</v>
      </c>
      <c r="K7" s="146" t="s">
        <v>1598</v>
      </c>
      <c r="L7" s="44">
        <v>367784</v>
      </c>
      <c r="M7" s="44">
        <v>698227.33333333337</v>
      </c>
      <c r="N7" s="44">
        <v>992134.33333333337</v>
      </c>
      <c r="O7" s="44">
        <v>933070.33333333337</v>
      </c>
      <c r="P7" s="44">
        <v>142764.33333333334</v>
      </c>
      <c r="Q7" s="44">
        <v>279804.5</v>
      </c>
      <c r="R7" s="44">
        <v>217351.33333333334</v>
      </c>
      <c r="S7" s="44">
        <v>81739.666666666672</v>
      </c>
      <c r="T7" s="44"/>
      <c r="U7" s="44">
        <v>1686382</v>
      </c>
      <c r="V7" s="44">
        <v>3647103</v>
      </c>
      <c r="W7" s="44">
        <v>686381</v>
      </c>
      <c r="X7" s="44">
        <v>3006.5</v>
      </c>
      <c r="Y7" s="44">
        <v>0</v>
      </c>
      <c r="Z7" s="44">
        <v>766469.33333333337</v>
      </c>
      <c r="AA7" s="44">
        <v>504618.33333333331</v>
      </c>
      <c r="AB7" s="44">
        <v>2423831.6666666665</v>
      </c>
      <c r="AC7" s="44">
        <v>836774.33333333337</v>
      </c>
      <c r="AD7" s="44">
        <v>1666071.6666666667</v>
      </c>
      <c r="AE7" s="44">
        <v>50282</v>
      </c>
      <c r="AF7" s="44">
        <v>150443</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1</v>
      </c>
      <c r="B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8" s="1" t="s">
        <v>1626</v>
      </c>
      <c r="D8" s="1" t="s">
        <v>1627</v>
      </c>
      <c r="E8" s="1" t="s">
        <v>1628</v>
      </c>
      <c r="F8" s="1" t="s">
        <v>112</v>
      </c>
      <c r="G8" s="1">
        <v>193825</v>
      </c>
      <c r="K8" s="146" t="s">
        <v>1599</v>
      </c>
      <c r="L8" s="44">
        <v>286870</v>
      </c>
      <c r="M8" s="44">
        <v>1874843.3333333333</v>
      </c>
      <c r="N8" s="44">
        <v>1175498.5</v>
      </c>
      <c r="O8" s="44">
        <v>4217901.333333333</v>
      </c>
      <c r="P8" s="44">
        <v>319409</v>
      </c>
      <c r="Q8" s="44">
        <v>13079</v>
      </c>
      <c r="R8" s="44">
        <v>211908</v>
      </c>
      <c r="S8" s="44">
        <v>329250.33333333331</v>
      </c>
      <c r="T8" s="44">
        <v>1906999.3333333333</v>
      </c>
      <c r="U8" s="44">
        <v>1407695</v>
      </c>
      <c r="V8" s="44">
        <v>3287088</v>
      </c>
      <c r="W8" s="44">
        <v>318067.66666666669</v>
      </c>
      <c r="X8" s="44">
        <v>112745.5</v>
      </c>
      <c r="Y8" s="44">
        <v>196605</v>
      </c>
      <c r="Z8" s="44">
        <v>271671.33333333331</v>
      </c>
      <c r="AA8" s="44">
        <v>116916.66666666667</v>
      </c>
      <c r="AB8" s="44">
        <v>1977527.3333333333</v>
      </c>
      <c r="AC8" s="44">
        <v>1603258.3333333333</v>
      </c>
      <c r="AD8" s="44">
        <v>1086750.6666666667</v>
      </c>
      <c r="AE8" s="44">
        <v>133867.33333333334</v>
      </c>
      <c r="AF8" s="44">
        <v>74169</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1</v>
      </c>
      <c r="B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 s="1" t="s">
        <v>1629</v>
      </c>
      <c r="K9" s="146" t="s">
        <v>1600</v>
      </c>
      <c r="L9" s="44">
        <v>262803</v>
      </c>
      <c r="M9" s="44">
        <v>592760.33333333337</v>
      </c>
      <c r="N9" s="44">
        <v>1956107</v>
      </c>
      <c r="O9" s="44">
        <v>2831230.6666666665</v>
      </c>
      <c r="P9" s="44">
        <v>73556</v>
      </c>
      <c r="Q9" s="44">
        <v>53959.333333333336</v>
      </c>
      <c r="R9" s="44">
        <v>100341.33333333333</v>
      </c>
      <c r="S9" s="44">
        <v>627173</v>
      </c>
      <c r="T9" s="44">
        <v>1628940</v>
      </c>
      <c r="U9" s="44">
        <v>3155650</v>
      </c>
      <c r="V9" s="44">
        <v>4862775.333333333</v>
      </c>
      <c r="W9" s="44">
        <v>265557.33333333331</v>
      </c>
      <c r="X9" s="44">
        <v>141971.33333333334</v>
      </c>
      <c r="Y9" s="44">
        <v>131567.33333333334</v>
      </c>
      <c r="Z9" s="44">
        <v>1678818.6666666667</v>
      </c>
      <c r="AA9" s="44">
        <v>2484092.6666666665</v>
      </c>
      <c r="AB9" s="44">
        <v>1238679</v>
      </c>
      <c r="AC9" s="44">
        <v>3869688.6666666665</v>
      </c>
      <c r="AD9" s="44">
        <v>756894.5</v>
      </c>
      <c r="AE9" s="44"/>
      <c r="AF9" s="44">
        <v>28443.333333333332</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1</v>
      </c>
      <c r="B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 s="1" t="s">
        <v>1630</v>
      </c>
      <c r="D10" s="1" t="s">
        <v>1631</v>
      </c>
      <c r="E10" s="1" t="s">
        <v>1632</v>
      </c>
      <c r="F10" s="1" t="s">
        <v>112</v>
      </c>
      <c r="G10" s="1">
        <v>385315</v>
      </c>
      <c r="K10" s="146" t="s">
        <v>1601</v>
      </c>
      <c r="L10" s="44">
        <v>98509.666666666672</v>
      </c>
      <c r="M10" s="44">
        <v>489254</v>
      </c>
      <c r="N10" s="44"/>
      <c r="O10" s="44">
        <v>4321790</v>
      </c>
      <c r="P10" s="44">
        <v>413412.33333333331</v>
      </c>
      <c r="Q10" s="44">
        <v>558195.33333333337</v>
      </c>
      <c r="R10" s="44">
        <v>172130.66666666666</v>
      </c>
      <c r="S10" s="44">
        <v>529139.33333333337</v>
      </c>
      <c r="T10" s="44">
        <v>1515401</v>
      </c>
      <c r="U10" s="44">
        <v>2743276.3333333335</v>
      </c>
      <c r="V10" s="44">
        <v>2544829.3333333335</v>
      </c>
      <c r="W10" s="44">
        <v>15076</v>
      </c>
      <c r="X10" s="44">
        <v>64320</v>
      </c>
      <c r="Y10" s="44">
        <v>461812.66666666669</v>
      </c>
      <c r="Z10" s="44">
        <v>910388</v>
      </c>
      <c r="AA10" s="44">
        <v>298666</v>
      </c>
      <c r="AB10" s="44">
        <v>149087.66666666666</v>
      </c>
      <c r="AC10" s="44">
        <v>386699.33333333331</v>
      </c>
      <c r="AD10" s="44">
        <v>2756009</v>
      </c>
      <c r="AE10" s="44">
        <v>153897</v>
      </c>
      <c r="AF10" s="44">
        <v>178353</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1</v>
      </c>
      <c r="B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1" s="1" t="s">
        <v>1633</v>
      </c>
      <c r="D11" s="1" t="s">
        <v>1634</v>
      </c>
      <c r="E11" s="1" t="s">
        <v>1635</v>
      </c>
      <c r="F11" s="1" t="s">
        <v>112</v>
      </c>
      <c r="G11" s="1">
        <v>350253</v>
      </c>
      <c r="K11" s="146" t="s">
        <v>1602</v>
      </c>
      <c r="L11" s="44">
        <v>61803.666666666664</v>
      </c>
      <c r="M11" s="44">
        <v>54456.666666666664</v>
      </c>
      <c r="N11" s="44">
        <v>1563747.6666666667</v>
      </c>
      <c r="O11" s="44">
        <v>3105295.6666666665</v>
      </c>
      <c r="P11" s="44">
        <v>133016.33333333334</v>
      </c>
      <c r="Q11" s="44">
        <v>262450</v>
      </c>
      <c r="R11" s="44">
        <v>294022.33333333331</v>
      </c>
      <c r="S11" s="44">
        <v>134617</v>
      </c>
      <c r="T11" s="44">
        <v>808056.66666666663</v>
      </c>
      <c r="U11" s="44">
        <v>1831129.3333333333</v>
      </c>
      <c r="V11" s="44">
        <v>4059643</v>
      </c>
      <c r="W11" s="44">
        <v>22856</v>
      </c>
      <c r="X11" s="44">
        <v>82763</v>
      </c>
      <c r="Y11" s="44">
        <v>186997.66666666666</v>
      </c>
      <c r="Z11" s="44">
        <v>630461</v>
      </c>
      <c r="AA11" s="44">
        <v>1232168.3333333333</v>
      </c>
      <c r="AB11" s="44">
        <v>2764920.6666666665</v>
      </c>
      <c r="AC11" s="44">
        <v>322220.33333333331</v>
      </c>
      <c r="AD11" s="44">
        <v>2633865</v>
      </c>
      <c r="AE11" s="44">
        <v>264836.33333333331</v>
      </c>
      <c r="AF11" s="44">
        <v>136809</v>
      </c>
      <c r="AG11"/>
    </row>
    <row r="12" spans="1:144" x14ac:dyDescent="0.35">
      <c r="A12" s="1" t="str">
        <f t="shared" si="0"/>
        <v>1</v>
      </c>
      <c r="B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 s="1" t="s">
        <v>1636</v>
      </c>
      <c r="D12" s="1" t="s">
        <v>1326</v>
      </c>
      <c r="E12" s="1" t="s">
        <v>1637</v>
      </c>
      <c r="F12" s="1" t="s">
        <v>112</v>
      </c>
      <c r="G12" s="1">
        <v>426909</v>
      </c>
      <c r="K12" s="146" t="s">
        <v>1603</v>
      </c>
      <c r="L12" s="44">
        <v>49871.333333333336</v>
      </c>
      <c r="M12" s="44">
        <v>1524612.3333333333</v>
      </c>
      <c r="N12" s="44">
        <v>525282</v>
      </c>
      <c r="O12" s="44">
        <v>2782159.6666666665</v>
      </c>
      <c r="P12" s="44">
        <v>74334.666666666672</v>
      </c>
      <c r="Q12" s="44">
        <v>79915</v>
      </c>
      <c r="R12" s="44">
        <v>486456.33333333331</v>
      </c>
      <c r="S12" s="44">
        <v>487602.66666666669</v>
      </c>
      <c r="T12" s="44">
        <v>2835051.6666666665</v>
      </c>
      <c r="U12" s="44">
        <v>2492297.3333333335</v>
      </c>
      <c r="V12" s="44">
        <v>3627491.6666666665</v>
      </c>
      <c r="W12" s="44">
        <v>129743</v>
      </c>
      <c r="X12" s="44">
        <v>345977</v>
      </c>
      <c r="Y12" s="44">
        <v>116289.66666666667</v>
      </c>
      <c r="Z12" s="44"/>
      <c r="AA12" s="44">
        <v>808922</v>
      </c>
      <c r="AB12" s="44">
        <v>2231080.6666666665</v>
      </c>
      <c r="AC12" s="44">
        <v>411300</v>
      </c>
      <c r="AD12" s="44">
        <v>421603</v>
      </c>
      <c r="AE12" s="44">
        <v>69749.333333333328</v>
      </c>
      <c r="AF12" s="44">
        <v>3698.5</v>
      </c>
      <c r="AG12"/>
    </row>
    <row r="13" spans="1:144" x14ac:dyDescent="0.35">
      <c r="A13" s="1" t="str">
        <f t="shared" si="0"/>
        <v>1</v>
      </c>
      <c r="B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 s="1" t="s">
        <v>1638</v>
      </c>
      <c r="D13" s="1" t="s">
        <v>725</v>
      </c>
      <c r="E13" s="1" t="s">
        <v>1639</v>
      </c>
      <c r="F13" s="1" t="s">
        <v>112</v>
      </c>
      <c r="G13" s="1">
        <v>424941</v>
      </c>
      <c r="K13"/>
      <c r="L13"/>
      <c r="M13"/>
      <c r="N13"/>
      <c r="O13"/>
      <c r="P13"/>
      <c r="Q13"/>
      <c r="R13"/>
      <c r="S13"/>
      <c r="T13"/>
      <c r="U13"/>
      <c r="V13"/>
      <c r="W13"/>
      <c r="X13"/>
      <c r="Y13"/>
      <c r="Z13"/>
      <c r="AA13"/>
      <c r="AB13"/>
      <c r="AC13"/>
      <c r="AD13"/>
      <c r="AE13"/>
      <c r="AF13"/>
      <c r="AG13"/>
    </row>
    <row r="14" spans="1:144" x14ac:dyDescent="0.35">
      <c r="A14" s="1" t="str">
        <f t="shared" si="0"/>
        <v>1</v>
      </c>
      <c r="B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 s="1" t="s">
        <v>1640</v>
      </c>
      <c r="D14" s="1" t="s">
        <v>1641</v>
      </c>
      <c r="E14" s="1" t="s">
        <v>1642</v>
      </c>
      <c r="F14" s="1" t="s">
        <v>112</v>
      </c>
      <c r="G14" s="1">
        <v>8760</v>
      </c>
      <c r="K14"/>
      <c r="L14"/>
      <c r="M14"/>
      <c r="N14"/>
      <c r="O14"/>
      <c r="P14"/>
      <c r="Q14"/>
      <c r="R14"/>
      <c r="S14"/>
      <c r="T14"/>
      <c r="U14"/>
      <c r="V14"/>
      <c r="W14"/>
      <c r="X14"/>
      <c r="Y14"/>
      <c r="Z14"/>
      <c r="AA14"/>
      <c r="AB14"/>
      <c r="AC14"/>
      <c r="AD14"/>
      <c r="AE14"/>
      <c r="AF14"/>
      <c r="AG14"/>
    </row>
    <row r="15" spans="1:144" x14ac:dyDescent="0.35">
      <c r="A15" s="1" t="str">
        <f t="shared" si="0"/>
        <v>1</v>
      </c>
      <c r="B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5" s="1" t="s">
        <v>1643</v>
      </c>
      <c r="D15" s="1" t="s">
        <v>1644</v>
      </c>
      <c r="E15" s="1" t="s">
        <v>1645</v>
      </c>
      <c r="F15" s="1" t="s">
        <v>112</v>
      </c>
      <c r="G15" s="1">
        <v>295075</v>
      </c>
    </row>
    <row r="16" spans="1:144" x14ac:dyDescent="0.35">
      <c r="A16" s="1" t="str">
        <f t="shared" si="0"/>
        <v>1</v>
      </c>
      <c r="B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6" s="1" t="s">
        <v>1646</v>
      </c>
      <c r="D16" s="1" t="s">
        <v>539</v>
      </c>
      <c r="E16" s="1" t="s">
        <v>1647</v>
      </c>
      <c r="F16" s="1" t="s">
        <v>112</v>
      </c>
      <c r="G16" s="1">
        <v>207106</v>
      </c>
    </row>
    <row r="17" spans="1:8" x14ac:dyDescent="0.35">
      <c r="A17" s="1" t="str">
        <f t="shared" si="0"/>
        <v>1</v>
      </c>
      <c r="B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7" s="1" t="s">
        <v>1648</v>
      </c>
      <c r="D17" s="1" t="s">
        <v>1649</v>
      </c>
      <c r="E17" s="1" t="s">
        <v>1650</v>
      </c>
      <c r="F17" s="1" t="s">
        <v>112</v>
      </c>
      <c r="G17" s="1">
        <v>286228</v>
      </c>
    </row>
    <row r="18" spans="1:8" x14ac:dyDescent="0.35">
      <c r="A18" s="1" t="str">
        <f t="shared" si="0"/>
        <v>1</v>
      </c>
      <c r="B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 s="1" t="s">
        <v>1651</v>
      </c>
      <c r="D18" s="1" t="s">
        <v>670</v>
      </c>
      <c r="E18" s="1" t="s">
        <v>1652</v>
      </c>
      <c r="F18" s="1" t="s">
        <v>112</v>
      </c>
      <c r="G18" s="1">
        <v>176370</v>
      </c>
    </row>
    <row r="19" spans="1:8" x14ac:dyDescent="0.35">
      <c r="A19" s="1" t="str">
        <f t="shared" si="0"/>
        <v>1</v>
      </c>
      <c r="B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9" s="1" t="s">
        <v>1653</v>
      </c>
      <c r="D19" s="1" t="s">
        <v>1100</v>
      </c>
      <c r="E19" s="1" t="s">
        <v>1654</v>
      </c>
      <c r="F19" s="1" t="s">
        <v>112</v>
      </c>
      <c r="G19" s="1">
        <v>78019</v>
      </c>
    </row>
    <row r="20" spans="1:8" x14ac:dyDescent="0.35">
      <c r="A20" s="1" t="str">
        <f t="shared" si="0"/>
        <v>1</v>
      </c>
      <c r="B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0" s="1" t="s">
        <v>1655</v>
      </c>
      <c r="D20" s="1" t="s">
        <v>1165</v>
      </c>
      <c r="E20" s="1" t="s">
        <v>1656</v>
      </c>
      <c r="F20" s="1" t="s">
        <v>112</v>
      </c>
      <c r="G20" s="1">
        <v>41140</v>
      </c>
    </row>
    <row r="21" spans="1:8" x14ac:dyDescent="0.35">
      <c r="A21" s="1" t="str">
        <f t="shared" si="0"/>
        <v>1</v>
      </c>
      <c r="B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 s="1" t="s">
        <v>1657</v>
      </c>
      <c r="D21" s="1" t="s">
        <v>575</v>
      </c>
      <c r="E21" s="1" t="s">
        <v>1658</v>
      </c>
      <c r="F21" s="1" t="s">
        <v>112</v>
      </c>
      <c r="G21" s="1">
        <v>171568</v>
      </c>
    </row>
    <row r="22" spans="1:8" x14ac:dyDescent="0.35">
      <c r="A22" s="1" t="str">
        <f t="shared" si="0"/>
        <v>1</v>
      </c>
      <c r="B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 s="1" t="s">
        <v>1659</v>
      </c>
      <c r="D22" s="1" t="s">
        <v>463</v>
      </c>
      <c r="E22" s="1">
        <v>30</v>
      </c>
      <c r="F22" s="1" t="s">
        <v>112</v>
      </c>
      <c r="G22" s="1">
        <v>649</v>
      </c>
    </row>
    <row r="23" spans="1:8" x14ac:dyDescent="0.35">
      <c r="A23" s="1" t="str">
        <f t="shared" si="0"/>
        <v>1</v>
      </c>
      <c r="B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3" s="1" t="s">
        <v>1660</v>
      </c>
      <c r="D23" s="1" t="s">
        <v>1661</v>
      </c>
      <c r="E23" s="1" t="s">
        <v>1662</v>
      </c>
      <c r="F23" s="1" t="s">
        <v>112</v>
      </c>
      <c r="G23" s="1">
        <v>13194</v>
      </c>
    </row>
    <row r="24" spans="1:8" x14ac:dyDescent="0.35">
      <c r="A24" s="1" t="str">
        <f t="shared" si="0"/>
        <v>1</v>
      </c>
      <c r="B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4" s="1" t="s">
        <v>1663</v>
      </c>
      <c r="D24" s="1" t="s">
        <v>1664</v>
      </c>
      <c r="E24" s="1" t="s">
        <v>1665</v>
      </c>
      <c r="F24" s="1" t="s">
        <v>112</v>
      </c>
      <c r="G24" s="1">
        <v>1449</v>
      </c>
    </row>
    <row r="25" spans="1:8" x14ac:dyDescent="0.35">
      <c r="A25" s="1" t="str">
        <f t="shared" si="0"/>
        <v>1</v>
      </c>
      <c r="B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 s="1" t="s">
        <v>1666</v>
      </c>
      <c r="D25" s="1" t="s">
        <v>1667</v>
      </c>
      <c r="E25" s="1" t="s">
        <v>1668</v>
      </c>
      <c r="F25" s="1" t="s">
        <v>112</v>
      </c>
      <c r="G25" s="1">
        <v>96448</v>
      </c>
    </row>
    <row r="26" spans="1:8" x14ac:dyDescent="0.35">
      <c r="A26" s="1" t="str">
        <f t="shared" si="0"/>
        <v>1</v>
      </c>
      <c r="B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6" s="1" t="s">
        <v>1669</v>
      </c>
      <c r="D26" s="1" t="s">
        <v>1670</v>
      </c>
      <c r="E26" s="1" t="s">
        <v>1671</v>
      </c>
      <c r="F26" s="1" t="s">
        <v>112</v>
      </c>
      <c r="G26" s="1">
        <v>51717</v>
      </c>
    </row>
    <row r="27" spans="1:8" x14ac:dyDescent="0.35">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7" s="1" t="s">
        <v>112</v>
      </c>
    </row>
    <row r="28" spans="1:8" x14ac:dyDescent="0.35">
      <c r="A28" s="1" t="str">
        <f t="shared" si="0"/>
        <v/>
      </c>
      <c r="B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8" s="1" t="s">
        <v>239</v>
      </c>
      <c r="D28" s="1" t="s">
        <v>112</v>
      </c>
      <c r="E28" s="1" t="s">
        <v>240</v>
      </c>
      <c r="F28" s="1" t="s">
        <v>241</v>
      </c>
      <c r="G28" s="1" t="s">
        <v>242</v>
      </c>
      <c r="H28" s="1" t="s">
        <v>243</v>
      </c>
    </row>
    <row r="29" spans="1:8" x14ac:dyDescent="0.35">
      <c r="A29" s="1" t="str">
        <f t="shared" si="0"/>
        <v>1</v>
      </c>
      <c r="B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 s="1" t="s">
        <v>1672</v>
      </c>
      <c r="D29" s="1" t="s">
        <v>112</v>
      </c>
      <c r="E29" s="1" t="s">
        <v>1673</v>
      </c>
      <c r="F29" s="1" t="s">
        <v>1674</v>
      </c>
      <c r="G29" s="1" t="s">
        <v>1675</v>
      </c>
      <c r="H29" s="1" t="s">
        <v>1676</v>
      </c>
    </row>
    <row r="30" spans="1:8" x14ac:dyDescent="0.35">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0" s="1" t="s">
        <v>112</v>
      </c>
    </row>
    <row r="31" spans="1:8" x14ac:dyDescent="0.35">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1" s="1" t="s">
        <v>112</v>
      </c>
    </row>
    <row r="32" spans="1:8" x14ac:dyDescent="0.35">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 s="1" t="s">
        <v>112</v>
      </c>
    </row>
    <row r="33" spans="1:7" x14ac:dyDescent="0.35">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 s="1" t="s">
        <v>112</v>
      </c>
    </row>
    <row r="34" spans="1:7" x14ac:dyDescent="0.35">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4" s="1" t="s">
        <v>112</v>
      </c>
    </row>
    <row r="35" spans="1:7" x14ac:dyDescent="0.35">
      <c r="A35" s="1" t="str">
        <f t="shared" si="0"/>
        <v/>
      </c>
      <c r="B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 s="1" t="s">
        <v>172</v>
      </c>
      <c r="D35" s="1" t="s">
        <v>110</v>
      </c>
      <c r="E35" s="1" t="s">
        <v>111</v>
      </c>
      <c r="F35" s="1" t="s">
        <v>112</v>
      </c>
      <c r="G35" s="1" t="s">
        <v>113</v>
      </c>
    </row>
    <row r="36" spans="1:7" x14ac:dyDescent="0.35">
      <c r="A36" s="1" t="str">
        <f t="shared" si="0"/>
        <v>13</v>
      </c>
      <c r="B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 s="1" t="s">
        <v>1677</v>
      </c>
      <c r="D36" s="1" t="s">
        <v>1678</v>
      </c>
      <c r="E36" s="1" t="s">
        <v>1679</v>
      </c>
      <c r="F36" s="1" t="s">
        <v>112</v>
      </c>
      <c r="G36" s="1">
        <v>1474618</v>
      </c>
    </row>
    <row r="37" spans="1:7" x14ac:dyDescent="0.35">
      <c r="A37" s="1" t="str">
        <f t="shared" si="0"/>
        <v>13</v>
      </c>
      <c r="B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7" s="1" t="s">
        <v>1680</v>
      </c>
      <c r="D37" s="1" t="s">
        <v>1681</v>
      </c>
      <c r="E37" s="1" t="s">
        <v>1682</v>
      </c>
      <c r="F37" s="1" t="s">
        <v>112</v>
      </c>
      <c r="G37" s="1">
        <v>1210193</v>
      </c>
    </row>
    <row r="38" spans="1:7" x14ac:dyDescent="0.35">
      <c r="A38" s="1" t="str">
        <f t="shared" si="0"/>
        <v>13</v>
      </c>
      <c r="B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8" s="1" t="s">
        <v>1683</v>
      </c>
      <c r="D38" s="1" t="s">
        <v>1684</v>
      </c>
      <c r="E38" s="1" t="s">
        <v>1685</v>
      </c>
      <c r="F38" s="1" t="s">
        <v>112</v>
      </c>
      <c r="G38" s="1">
        <v>1037910</v>
      </c>
    </row>
    <row r="39" spans="1:7" x14ac:dyDescent="0.35">
      <c r="A39" s="1" t="str">
        <f t="shared" si="0"/>
        <v>13</v>
      </c>
      <c r="B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9" s="1" t="s">
        <v>1686</v>
      </c>
    </row>
    <row r="40" spans="1:7" x14ac:dyDescent="0.35">
      <c r="A40" s="1" t="str">
        <f t="shared" si="0"/>
        <v>13</v>
      </c>
      <c r="B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 s="1" t="s">
        <v>1687</v>
      </c>
      <c r="D40" s="1" t="s">
        <v>1688</v>
      </c>
      <c r="E40" s="1" t="s">
        <v>1689</v>
      </c>
      <c r="F40" s="1" t="s">
        <v>112</v>
      </c>
      <c r="G40" s="1">
        <v>2677154</v>
      </c>
    </row>
    <row r="41" spans="1:7" x14ac:dyDescent="0.35">
      <c r="A41" s="1" t="str">
        <f t="shared" si="0"/>
        <v>13</v>
      </c>
      <c r="B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1" s="1" t="s">
        <v>1690</v>
      </c>
      <c r="D41" s="1" t="s">
        <v>1691</v>
      </c>
      <c r="E41" s="1" t="s">
        <v>1692</v>
      </c>
      <c r="F41" s="1" t="s">
        <v>112</v>
      </c>
      <c r="G41" s="1">
        <v>2416016</v>
      </c>
    </row>
    <row r="42" spans="1:7" x14ac:dyDescent="0.35">
      <c r="A42" s="1" t="str">
        <f t="shared" si="0"/>
        <v>13</v>
      </c>
      <c r="B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2" s="1" t="s">
        <v>1693</v>
      </c>
      <c r="D42" s="1" t="s">
        <v>1694</v>
      </c>
      <c r="E42" s="1" t="s">
        <v>1695</v>
      </c>
      <c r="F42" s="1" t="s">
        <v>112</v>
      </c>
      <c r="G42" s="1">
        <v>683916</v>
      </c>
    </row>
    <row r="43" spans="1:7" x14ac:dyDescent="0.35">
      <c r="A43" s="1" t="str">
        <f t="shared" si="0"/>
        <v>13</v>
      </c>
      <c r="B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 s="1" t="s">
        <v>1696</v>
      </c>
      <c r="D43" s="1" t="s">
        <v>1697</v>
      </c>
      <c r="E43" s="1" t="s">
        <v>1698</v>
      </c>
      <c r="F43" s="1" t="s">
        <v>112</v>
      </c>
      <c r="G43" s="1">
        <v>741905</v>
      </c>
    </row>
    <row r="44" spans="1:7" x14ac:dyDescent="0.35">
      <c r="A44" s="1" t="str">
        <f t="shared" si="0"/>
        <v>13</v>
      </c>
      <c r="B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4" s="1" t="s">
        <v>1699</v>
      </c>
      <c r="D44" s="1" t="s">
        <v>682</v>
      </c>
      <c r="E44" s="1" t="s">
        <v>1700</v>
      </c>
      <c r="F44" s="1" t="s">
        <v>112</v>
      </c>
      <c r="G44" s="1">
        <v>668861</v>
      </c>
    </row>
    <row r="45" spans="1:7" x14ac:dyDescent="0.35">
      <c r="A45" s="1" t="str">
        <f t="shared" si="0"/>
        <v>13</v>
      </c>
      <c r="B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5" s="1" t="s">
        <v>1701</v>
      </c>
      <c r="D45" s="1" t="s">
        <v>1702</v>
      </c>
      <c r="E45" s="1" t="s">
        <v>1703</v>
      </c>
      <c r="F45" s="1" t="s">
        <v>112</v>
      </c>
      <c r="G45" s="1">
        <v>1550215</v>
      </c>
    </row>
    <row r="46" spans="1:7" x14ac:dyDescent="0.35">
      <c r="A46" s="1" t="str">
        <f t="shared" si="0"/>
        <v>13</v>
      </c>
      <c r="B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6" s="1" t="s">
        <v>1704</v>
      </c>
      <c r="D46" s="1" t="s">
        <v>1705</v>
      </c>
      <c r="E46" s="1" t="s">
        <v>1706</v>
      </c>
      <c r="F46" s="1" t="s">
        <v>112</v>
      </c>
      <c r="G46" s="1">
        <v>2090832</v>
      </c>
    </row>
    <row r="47" spans="1:7" x14ac:dyDescent="0.35">
      <c r="A47" s="1" t="str">
        <f t="shared" si="0"/>
        <v>13</v>
      </c>
      <c r="B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 s="1" t="s">
        <v>1707</v>
      </c>
      <c r="D47" s="1" t="s">
        <v>1708</v>
      </c>
      <c r="E47" s="1" t="s">
        <v>1709</v>
      </c>
      <c r="F47" s="1" t="s">
        <v>112</v>
      </c>
      <c r="G47" s="1">
        <v>1983483</v>
      </c>
    </row>
    <row r="48" spans="1:7" x14ac:dyDescent="0.35">
      <c r="A48" s="1" t="str">
        <f t="shared" si="0"/>
        <v>13</v>
      </c>
      <c r="B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8" s="1" t="s">
        <v>1710</v>
      </c>
      <c r="D48" s="1" t="s">
        <v>1711</v>
      </c>
      <c r="E48" s="1" t="s">
        <v>1712</v>
      </c>
      <c r="F48" s="1" t="s">
        <v>112</v>
      </c>
      <c r="G48" s="1">
        <v>637152</v>
      </c>
    </row>
    <row r="49" spans="1:8" x14ac:dyDescent="0.35">
      <c r="A49" s="1" t="str">
        <f t="shared" si="0"/>
        <v>13</v>
      </c>
      <c r="B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9" s="1" t="s">
        <v>1713</v>
      </c>
      <c r="D49" s="1" t="s">
        <v>1714</v>
      </c>
      <c r="E49" s="1" t="s">
        <v>1715</v>
      </c>
      <c r="F49" s="1" t="s">
        <v>112</v>
      </c>
      <c r="G49" s="1">
        <v>668602</v>
      </c>
    </row>
    <row r="50" spans="1:8" x14ac:dyDescent="0.35">
      <c r="A50" s="1" t="str">
        <f t="shared" si="0"/>
        <v>13</v>
      </c>
      <c r="B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0" s="1" t="s">
        <v>1716</v>
      </c>
      <c r="D50" s="1" t="s">
        <v>1717</v>
      </c>
      <c r="E50" s="1" t="s">
        <v>1718</v>
      </c>
      <c r="F50" s="1" t="s">
        <v>112</v>
      </c>
      <c r="G50" s="1">
        <v>472527</v>
      </c>
    </row>
    <row r="51" spans="1:8" x14ac:dyDescent="0.35">
      <c r="A51" s="1" t="str">
        <f t="shared" si="0"/>
        <v>13</v>
      </c>
      <c r="B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 s="1" t="s">
        <v>1719</v>
      </c>
      <c r="D51" s="1" t="s">
        <v>1720</v>
      </c>
      <c r="E51" s="1" t="s">
        <v>1721</v>
      </c>
      <c r="F51" s="1" t="s">
        <v>112</v>
      </c>
      <c r="G51" s="1">
        <v>416138</v>
      </c>
    </row>
    <row r="52" spans="1:8" x14ac:dyDescent="0.35">
      <c r="A52" s="1" t="str">
        <f t="shared" si="0"/>
        <v>13</v>
      </c>
      <c r="B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2" s="1" t="s">
        <v>1722</v>
      </c>
      <c r="D52" s="1" t="s">
        <v>1723</v>
      </c>
      <c r="E52" s="1" t="s">
        <v>1724</v>
      </c>
      <c r="F52" s="1" t="s">
        <v>112</v>
      </c>
      <c r="G52" s="1">
        <v>575312</v>
      </c>
    </row>
    <row r="53" spans="1:8" x14ac:dyDescent="0.35">
      <c r="A53" s="1" t="str">
        <f t="shared" si="0"/>
        <v>13</v>
      </c>
      <c r="B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3" s="1" t="s">
        <v>1725</v>
      </c>
      <c r="D53" s="1" t="s">
        <v>1726</v>
      </c>
      <c r="E53" s="1" t="s">
        <v>1727</v>
      </c>
      <c r="F53" s="1" t="s">
        <v>112</v>
      </c>
      <c r="G53" s="1">
        <v>476312</v>
      </c>
    </row>
    <row r="54" spans="1:8" x14ac:dyDescent="0.35">
      <c r="A54" s="1" t="str">
        <f t="shared" si="0"/>
        <v>13</v>
      </c>
      <c r="B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 s="1" t="s">
        <v>1728</v>
      </c>
      <c r="D54" s="1" t="s">
        <v>234</v>
      </c>
      <c r="E54" s="1" t="s">
        <v>1729</v>
      </c>
      <c r="F54" s="1" t="s">
        <v>112</v>
      </c>
      <c r="G54" s="1">
        <v>19402</v>
      </c>
    </row>
    <row r="55" spans="1:8" x14ac:dyDescent="0.35">
      <c r="A55" s="1" t="str">
        <f t="shared" si="0"/>
        <v>13</v>
      </c>
      <c r="B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 s="1" t="s">
        <v>1730</v>
      </c>
      <c r="D55" s="1" t="s">
        <v>1731</v>
      </c>
      <c r="E55" s="1" t="s">
        <v>1732</v>
      </c>
      <c r="F55" s="1" t="s">
        <v>112</v>
      </c>
      <c r="G55" s="1">
        <v>72633</v>
      </c>
    </row>
    <row r="56" spans="1:8" x14ac:dyDescent="0.35">
      <c r="A56" s="1" t="str">
        <f t="shared" si="0"/>
        <v>13</v>
      </c>
      <c r="B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6" s="1" t="s">
        <v>1733</v>
      </c>
      <c r="D56" s="1" t="s">
        <v>570</v>
      </c>
      <c r="E56" s="1" t="s">
        <v>1734</v>
      </c>
      <c r="F56" s="1" t="s">
        <v>112</v>
      </c>
      <c r="G56" s="1">
        <v>71335</v>
      </c>
    </row>
    <row r="57" spans="1:8" x14ac:dyDescent="0.35">
      <c r="A57" s="1" t="str">
        <f t="shared" si="0"/>
        <v>13</v>
      </c>
      <c r="B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7" s="1" t="s">
        <v>1735</v>
      </c>
      <c r="D57" s="1" t="s">
        <v>1736</v>
      </c>
      <c r="E57" s="1" t="s">
        <v>1737</v>
      </c>
      <c r="F57" s="1" t="s">
        <v>112</v>
      </c>
      <c r="G57" s="1">
        <v>1613915</v>
      </c>
    </row>
    <row r="58" spans="1:8" x14ac:dyDescent="0.35">
      <c r="A58" s="1" t="str">
        <f t="shared" si="0"/>
        <v>13</v>
      </c>
      <c r="B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 s="1" t="s">
        <v>1738</v>
      </c>
      <c r="D58" s="1" t="s">
        <v>1739</v>
      </c>
      <c r="E58" s="1" t="s">
        <v>1740</v>
      </c>
      <c r="F58" s="1" t="s">
        <v>112</v>
      </c>
      <c r="G58" s="1">
        <v>1575219</v>
      </c>
    </row>
    <row r="59" spans="1:8" x14ac:dyDescent="0.35">
      <c r="A59" s="1" t="str">
        <f t="shared" si="0"/>
        <v>13</v>
      </c>
      <c r="B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9" s="1" t="s">
        <v>1741</v>
      </c>
      <c r="D59" s="1" t="s">
        <v>1742</v>
      </c>
      <c r="E59" s="1" t="s">
        <v>1743</v>
      </c>
      <c r="F59" s="1" t="s">
        <v>112</v>
      </c>
      <c r="G59" s="1">
        <v>1384703</v>
      </c>
    </row>
    <row r="60" spans="1:8" x14ac:dyDescent="0.35">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0" s="1" t="s">
        <v>112</v>
      </c>
    </row>
    <row r="61" spans="1:8" x14ac:dyDescent="0.35">
      <c r="A61" s="1" t="str">
        <f t="shared" si="0"/>
        <v/>
      </c>
      <c r="B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1" s="1" t="s">
        <v>239</v>
      </c>
      <c r="D61" s="1" t="s">
        <v>112</v>
      </c>
      <c r="E61" s="1" t="s">
        <v>240</v>
      </c>
      <c r="F61" s="1" t="s">
        <v>241</v>
      </c>
      <c r="G61" s="1" t="s">
        <v>242</v>
      </c>
      <c r="H61" s="1" t="s">
        <v>243</v>
      </c>
    </row>
    <row r="62" spans="1:8" x14ac:dyDescent="0.35">
      <c r="A62" s="1" t="str">
        <f t="shared" si="0"/>
        <v>13</v>
      </c>
      <c r="B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2" s="1" t="s">
        <v>1744</v>
      </c>
      <c r="D62" s="1" t="s">
        <v>112</v>
      </c>
      <c r="E62" s="1" t="s">
        <v>1745</v>
      </c>
      <c r="F62" s="1" t="s">
        <v>1746</v>
      </c>
      <c r="G62" s="1" t="s">
        <v>1747</v>
      </c>
      <c r="H62" s="1" t="s">
        <v>1748</v>
      </c>
    </row>
    <row r="63" spans="1:8" x14ac:dyDescent="0.35">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3" s="1" t="s">
        <v>112</v>
      </c>
    </row>
    <row r="64" spans="1:8" x14ac:dyDescent="0.35">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4" s="1" t="s">
        <v>112</v>
      </c>
    </row>
    <row r="65" spans="1:7" x14ac:dyDescent="0.35">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 s="1" t="s">
        <v>112</v>
      </c>
    </row>
    <row r="66" spans="1:7" x14ac:dyDescent="0.35">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 s="1" t="s">
        <v>112</v>
      </c>
    </row>
    <row r="67" spans="1:7" x14ac:dyDescent="0.35">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7" s="1" t="s">
        <v>112</v>
      </c>
    </row>
    <row r="68" spans="1:7" x14ac:dyDescent="0.35">
      <c r="A68" s="1" t="str">
        <f t="shared" si="1"/>
        <v/>
      </c>
      <c r="B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 s="1" t="s">
        <v>172</v>
      </c>
      <c r="D68" s="1" t="s">
        <v>110</v>
      </c>
      <c r="E68" s="1" t="s">
        <v>111</v>
      </c>
      <c r="F68" s="1" t="s">
        <v>112</v>
      </c>
      <c r="G68" s="1" t="s">
        <v>113</v>
      </c>
    </row>
    <row r="69" spans="1:7" x14ac:dyDescent="0.35">
      <c r="A69" s="1" t="str">
        <f t="shared" si="1"/>
        <v>14</v>
      </c>
      <c r="B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9" s="1" t="s">
        <v>1749</v>
      </c>
      <c r="D69" s="1" t="s">
        <v>1502</v>
      </c>
      <c r="E69" s="1" t="s">
        <v>1750</v>
      </c>
      <c r="F69" s="1" t="s">
        <v>112</v>
      </c>
      <c r="G69" s="1">
        <v>15033</v>
      </c>
    </row>
    <row r="70" spans="1:7" x14ac:dyDescent="0.35">
      <c r="A70" s="1" t="str">
        <f t="shared" si="1"/>
        <v>14</v>
      </c>
      <c r="B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0" s="1" t="s">
        <v>1751</v>
      </c>
      <c r="D70" s="1" t="s">
        <v>1752</v>
      </c>
      <c r="E70" s="1" t="s">
        <v>1753</v>
      </c>
      <c r="F70" s="1" t="s">
        <v>112</v>
      </c>
      <c r="G70" s="1">
        <v>125064</v>
      </c>
    </row>
    <row r="71" spans="1:7" x14ac:dyDescent="0.35">
      <c r="A71" s="1" t="str">
        <f t="shared" si="1"/>
        <v>14</v>
      </c>
      <c r="B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1" s="1" t="s">
        <v>1754</v>
      </c>
    </row>
    <row r="72" spans="1:7" x14ac:dyDescent="0.35">
      <c r="A72" s="1" t="str">
        <f t="shared" si="1"/>
        <v>14</v>
      </c>
      <c r="B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2" s="1" t="s">
        <v>1755</v>
      </c>
      <c r="D72" s="1" t="s">
        <v>1756</v>
      </c>
      <c r="E72" s="1" t="s">
        <v>1757</v>
      </c>
      <c r="F72" s="1" t="s">
        <v>112</v>
      </c>
      <c r="G72" s="1">
        <v>648983</v>
      </c>
    </row>
    <row r="73" spans="1:7" x14ac:dyDescent="0.35">
      <c r="A73" s="1" t="str">
        <f t="shared" si="1"/>
        <v>14</v>
      </c>
      <c r="B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3" s="1" t="s">
        <v>1758</v>
      </c>
      <c r="D73" s="1" t="s">
        <v>1759</v>
      </c>
      <c r="E73" s="1" t="s">
        <v>1760</v>
      </c>
      <c r="F73" s="1" t="s">
        <v>112</v>
      </c>
      <c r="G73" s="1">
        <v>577713</v>
      </c>
    </row>
    <row r="74" spans="1:7" x14ac:dyDescent="0.35">
      <c r="A74" s="1" t="str">
        <f t="shared" si="1"/>
        <v>14</v>
      </c>
      <c r="B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4" s="1" t="s">
        <v>1761</v>
      </c>
      <c r="D74" s="1" t="s">
        <v>1762</v>
      </c>
      <c r="E74" s="1" t="s">
        <v>1763</v>
      </c>
      <c r="F74" s="1" t="s">
        <v>112</v>
      </c>
      <c r="G74" s="1">
        <v>300158</v>
      </c>
    </row>
    <row r="75" spans="1:7" x14ac:dyDescent="0.35">
      <c r="A75" s="1" t="str">
        <f t="shared" si="1"/>
        <v>14</v>
      </c>
      <c r="B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5" s="1" t="s">
        <v>1764</v>
      </c>
      <c r="D75" s="1" t="s">
        <v>1765</v>
      </c>
      <c r="E75" s="1" t="s">
        <v>1766</v>
      </c>
      <c r="F75" s="1" t="s">
        <v>112</v>
      </c>
      <c r="G75" s="1">
        <v>1113788</v>
      </c>
    </row>
    <row r="76" spans="1:7" x14ac:dyDescent="0.35">
      <c r="A76" s="1" t="str">
        <f t="shared" si="1"/>
        <v>14</v>
      </c>
      <c r="B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6" s="1" t="s">
        <v>1767</v>
      </c>
      <c r="D76" s="1" t="s">
        <v>1768</v>
      </c>
      <c r="E76" s="1" t="s">
        <v>1769</v>
      </c>
      <c r="F76" s="1" t="s">
        <v>112</v>
      </c>
      <c r="G76" s="1">
        <v>831907</v>
      </c>
    </row>
    <row r="77" spans="1:7" x14ac:dyDescent="0.35">
      <c r="A77" s="1" t="str">
        <f t="shared" si="1"/>
        <v>14</v>
      </c>
      <c r="B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7" s="1" t="s">
        <v>1770</v>
      </c>
      <c r="D77" s="1" t="s">
        <v>361</v>
      </c>
      <c r="E77" s="1" t="s">
        <v>1771</v>
      </c>
      <c r="F77" s="1" t="s">
        <v>112</v>
      </c>
      <c r="G77" s="1">
        <v>1030708</v>
      </c>
    </row>
    <row r="78" spans="1:7" x14ac:dyDescent="0.35">
      <c r="A78" s="1" t="str">
        <f t="shared" si="1"/>
        <v>14</v>
      </c>
      <c r="B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8" s="1" t="s">
        <v>1772</v>
      </c>
      <c r="D78" s="1" t="s">
        <v>1773</v>
      </c>
      <c r="E78" s="1" t="s">
        <v>1774</v>
      </c>
      <c r="F78" s="1" t="s">
        <v>112</v>
      </c>
      <c r="G78" s="1">
        <v>1119715</v>
      </c>
    </row>
    <row r="79" spans="1:7" x14ac:dyDescent="0.35">
      <c r="A79" s="1" t="str">
        <f t="shared" si="1"/>
        <v>14</v>
      </c>
      <c r="B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9" s="1" t="s">
        <v>1775</v>
      </c>
      <c r="D79" s="1" t="s">
        <v>1776</v>
      </c>
      <c r="E79" s="1" t="s">
        <v>1777</v>
      </c>
      <c r="F79" s="1" t="s">
        <v>112</v>
      </c>
      <c r="G79" s="1">
        <v>1231282</v>
      </c>
    </row>
    <row r="80" spans="1:7" x14ac:dyDescent="0.35">
      <c r="A80" s="1" t="str">
        <f t="shared" si="1"/>
        <v>14</v>
      </c>
      <c r="B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80" s="1" t="s">
        <v>1778</v>
      </c>
    </row>
    <row r="81" spans="1:8" x14ac:dyDescent="0.35">
      <c r="A81" s="1" t="str">
        <f t="shared" si="1"/>
        <v>14</v>
      </c>
      <c r="B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1" s="1" t="s">
        <v>1779</v>
      </c>
      <c r="D81" s="1" t="s">
        <v>1780</v>
      </c>
      <c r="E81" s="1" t="s">
        <v>1781</v>
      </c>
      <c r="F81" s="1" t="s">
        <v>112</v>
      </c>
      <c r="G81" s="1">
        <v>2051228</v>
      </c>
    </row>
    <row r="82" spans="1:8" x14ac:dyDescent="0.35">
      <c r="A82" s="1" t="str">
        <f t="shared" si="1"/>
        <v>14</v>
      </c>
      <c r="B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2" s="1" t="s">
        <v>1782</v>
      </c>
      <c r="D82" s="1" t="s">
        <v>1783</v>
      </c>
      <c r="E82" s="1" t="s">
        <v>1784</v>
      </c>
      <c r="F82" s="1" t="s">
        <v>112</v>
      </c>
      <c r="G82" s="1">
        <v>1995315</v>
      </c>
    </row>
    <row r="83" spans="1:8" x14ac:dyDescent="0.35">
      <c r="A83" s="1" t="str">
        <f t="shared" si="1"/>
        <v>14</v>
      </c>
      <c r="B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3" s="1" t="s">
        <v>1785</v>
      </c>
      <c r="D83" s="1" t="s">
        <v>453</v>
      </c>
      <c r="E83" s="1" t="s">
        <v>1786</v>
      </c>
      <c r="F83" s="1" t="s">
        <v>112</v>
      </c>
      <c r="G83" s="1">
        <v>1821778</v>
      </c>
    </row>
    <row r="84" spans="1:8" x14ac:dyDescent="0.35">
      <c r="A84" s="1" t="str">
        <f t="shared" si="1"/>
        <v>14</v>
      </c>
      <c r="B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4" s="1" t="s">
        <v>1787</v>
      </c>
    </row>
    <row r="85" spans="1:8" x14ac:dyDescent="0.35">
      <c r="A85" s="1" t="str">
        <f t="shared" si="1"/>
        <v>14</v>
      </c>
      <c r="B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5" s="1" t="s">
        <v>1788</v>
      </c>
    </row>
    <row r="86" spans="1:8" x14ac:dyDescent="0.35">
      <c r="A86" s="1" t="str">
        <f t="shared" si="1"/>
        <v>14</v>
      </c>
      <c r="B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6" s="1" t="s">
        <v>1789</v>
      </c>
    </row>
    <row r="87" spans="1:8" x14ac:dyDescent="0.35">
      <c r="A87" s="1" t="str">
        <f t="shared" si="1"/>
        <v>14</v>
      </c>
      <c r="B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7" s="1" t="s">
        <v>1790</v>
      </c>
      <c r="D87" s="1" t="s">
        <v>1791</v>
      </c>
      <c r="E87" s="1" t="s">
        <v>1792</v>
      </c>
      <c r="F87" s="1" t="s">
        <v>112</v>
      </c>
      <c r="G87" s="1">
        <v>1464582</v>
      </c>
    </row>
    <row r="88" spans="1:8" x14ac:dyDescent="0.35">
      <c r="A88" s="1" t="str">
        <f t="shared" si="1"/>
        <v>14</v>
      </c>
      <c r="B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8" s="1" t="s">
        <v>1793</v>
      </c>
      <c r="D88" s="1" t="s">
        <v>1794</v>
      </c>
      <c r="E88" s="1" t="s">
        <v>1795</v>
      </c>
      <c r="F88" s="1" t="s">
        <v>112</v>
      </c>
      <c r="G88" s="1">
        <v>1677982</v>
      </c>
    </row>
    <row r="89" spans="1:8" x14ac:dyDescent="0.35">
      <c r="A89" s="1" t="str">
        <f t="shared" si="1"/>
        <v>14</v>
      </c>
      <c r="B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9" s="1" t="s">
        <v>1796</v>
      </c>
      <c r="D89" s="1" t="s">
        <v>1797</v>
      </c>
      <c r="E89" s="1" t="s">
        <v>1798</v>
      </c>
      <c r="F89" s="1" t="s">
        <v>112</v>
      </c>
      <c r="G89" s="1">
        <v>1548679</v>
      </c>
    </row>
    <row r="90" spans="1:8" x14ac:dyDescent="0.35">
      <c r="A90" s="1" t="str">
        <f t="shared" si="1"/>
        <v>14</v>
      </c>
      <c r="B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0" s="1" t="s">
        <v>1799</v>
      </c>
      <c r="D90" s="1" t="s">
        <v>1800</v>
      </c>
      <c r="E90" s="1" t="s">
        <v>1801</v>
      </c>
      <c r="F90" s="1" t="s">
        <v>112</v>
      </c>
      <c r="G90" s="1">
        <v>677297</v>
      </c>
    </row>
    <row r="91" spans="1:8" x14ac:dyDescent="0.35">
      <c r="A91" s="1" t="str">
        <f t="shared" si="1"/>
        <v>14</v>
      </c>
      <c r="B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1" s="1" t="s">
        <v>1802</v>
      </c>
      <c r="D91" s="1" t="s">
        <v>1803</v>
      </c>
      <c r="E91" s="1" t="s">
        <v>1804</v>
      </c>
      <c r="F91" s="1" t="s">
        <v>112</v>
      </c>
      <c r="G91" s="1">
        <v>491323</v>
      </c>
    </row>
    <row r="92" spans="1:8" x14ac:dyDescent="0.35">
      <c r="A92" s="1" t="str">
        <f t="shared" si="1"/>
        <v>14</v>
      </c>
      <c r="B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2" s="1" t="s">
        <v>1805</v>
      </c>
      <c r="D92" s="1" t="s">
        <v>1806</v>
      </c>
      <c r="E92" s="1" t="s">
        <v>1807</v>
      </c>
      <c r="F92" s="1" t="s">
        <v>112</v>
      </c>
      <c r="G92" s="1">
        <v>407226</v>
      </c>
    </row>
    <row r="93" spans="1:8" x14ac:dyDescent="0.35">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3" s="1" t="s">
        <v>112</v>
      </c>
    </row>
    <row r="94" spans="1:8" x14ac:dyDescent="0.35">
      <c r="A94" s="1" t="str">
        <f t="shared" si="1"/>
        <v/>
      </c>
      <c r="B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4" s="1" t="s">
        <v>239</v>
      </c>
      <c r="D94" s="1" t="s">
        <v>112</v>
      </c>
      <c r="E94" s="1" t="s">
        <v>240</v>
      </c>
      <c r="F94" s="1" t="s">
        <v>241</v>
      </c>
      <c r="G94" s="1" t="s">
        <v>242</v>
      </c>
      <c r="H94" s="1" t="s">
        <v>243</v>
      </c>
    </row>
    <row r="95" spans="1:8" x14ac:dyDescent="0.35">
      <c r="A95" s="1" t="str">
        <f t="shared" si="1"/>
        <v>14</v>
      </c>
      <c r="B9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95" s="1" t="s">
        <v>1808</v>
      </c>
      <c r="D95" s="1" t="s">
        <v>112</v>
      </c>
      <c r="E95" s="1" t="s">
        <v>1809</v>
      </c>
      <c r="F95" s="1" t="s">
        <v>1810</v>
      </c>
      <c r="G95" s="1" t="s">
        <v>1811</v>
      </c>
      <c r="H95" s="1" t="s">
        <v>1812</v>
      </c>
    </row>
    <row r="96" spans="1:8" x14ac:dyDescent="0.35">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6" s="1" t="s">
        <v>112</v>
      </c>
    </row>
    <row r="97" spans="1:7" x14ac:dyDescent="0.35">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7" s="1" t="s">
        <v>112</v>
      </c>
    </row>
    <row r="98" spans="1:7" x14ac:dyDescent="0.35">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8" s="1" t="s">
        <v>112</v>
      </c>
    </row>
    <row r="99" spans="1:7" x14ac:dyDescent="0.35">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 s="1" t="s">
        <v>112</v>
      </c>
    </row>
    <row r="100" spans="1:7" x14ac:dyDescent="0.35">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0" s="1" t="s">
        <v>112</v>
      </c>
    </row>
    <row r="101" spans="1:7" x14ac:dyDescent="0.35">
      <c r="A101" s="1" t="str">
        <f t="shared" si="1"/>
        <v/>
      </c>
      <c r="B1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1" s="1" t="s">
        <v>172</v>
      </c>
      <c r="D101" s="1" t="s">
        <v>110</v>
      </c>
      <c r="E101" s="1" t="s">
        <v>111</v>
      </c>
      <c r="F101" s="1" t="s">
        <v>112</v>
      </c>
      <c r="G101" s="1" t="s">
        <v>113</v>
      </c>
    </row>
    <row r="102" spans="1:7" x14ac:dyDescent="0.35">
      <c r="A102" s="1" t="str">
        <f t="shared" si="1"/>
        <v>15</v>
      </c>
      <c r="B1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2" s="1" t="s">
        <v>1813</v>
      </c>
    </row>
    <row r="103" spans="1:7" x14ac:dyDescent="0.35">
      <c r="A103" s="1" t="str">
        <f t="shared" si="1"/>
        <v>15</v>
      </c>
      <c r="B1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3" s="1" t="s">
        <v>1814</v>
      </c>
    </row>
    <row r="104" spans="1:7" x14ac:dyDescent="0.35">
      <c r="A104" s="1" t="str">
        <f t="shared" si="1"/>
        <v>15</v>
      </c>
      <c r="B1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4" s="1" t="s">
        <v>1815</v>
      </c>
    </row>
    <row r="105" spans="1:7" x14ac:dyDescent="0.35">
      <c r="A105" s="1" t="str">
        <f t="shared" si="1"/>
        <v>15</v>
      </c>
      <c r="B1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5" s="1" t="s">
        <v>1816</v>
      </c>
      <c r="D105" s="1" t="s">
        <v>1817</v>
      </c>
      <c r="E105" s="1" t="s">
        <v>1818</v>
      </c>
      <c r="F105" s="1" t="s">
        <v>112</v>
      </c>
      <c r="G105" s="1">
        <v>3184548</v>
      </c>
    </row>
    <row r="106" spans="1:7" x14ac:dyDescent="0.35">
      <c r="A106" s="1" t="str">
        <f t="shared" si="1"/>
        <v>15</v>
      </c>
      <c r="B1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6" s="1" t="s">
        <v>1819</v>
      </c>
    </row>
    <row r="107" spans="1:7" x14ac:dyDescent="0.35">
      <c r="A107" s="1" t="str">
        <f t="shared" si="1"/>
        <v>15</v>
      </c>
      <c r="B1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7" s="1" t="s">
        <v>1820</v>
      </c>
    </row>
    <row r="108" spans="1:7" x14ac:dyDescent="0.35">
      <c r="A108" s="1" t="str">
        <f t="shared" si="1"/>
        <v>15</v>
      </c>
      <c r="B1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8" s="1" t="s">
        <v>1821</v>
      </c>
      <c r="D108" s="1" t="s">
        <v>1822</v>
      </c>
      <c r="E108" s="1" t="s">
        <v>1823</v>
      </c>
      <c r="F108" s="1" t="s">
        <v>112</v>
      </c>
      <c r="G108" s="1">
        <v>1078942</v>
      </c>
    </row>
    <row r="109" spans="1:7" x14ac:dyDescent="0.35">
      <c r="A109" s="1" t="str">
        <f t="shared" si="1"/>
        <v>15</v>
      </c>
      <c r="B1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9" s="1" t="s">
        <v>1824</v>
      </c>
      <c r="D109" s="1" t="s">
        <v>1825</v>
      </c>
      <c r="E109" s="1" t="s">
        <v>1826</v>
      </c>
      <c r="F109" s="1" t="s">
        <v>112</v>
      </c>
      <c r="G109" s="1">
        <v>941009</v>
      </c>
    </row>
    <row r="110" spans="1:7" x14ac:dyDescent="0.35">
      <c r="A110" s="1" t="str">
        <f t="shared" si="1"/>
        <v>15</v>
      </c>
      <c r="B1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10" s="1" t="s">
        <v>1827</v>
      </c>
      <c r="D110" s="1" t="s">
        <v>1828</v>
      </c>
      <c r="E110" s="1" t="s">
        <v>1829</v>
      </c>
      <c r="F110" s="1" t="s">
        <v>112</v>
      </c>
      <c r="G110" s="1">
        <v>779260</v>
      </c>
    </row>
    <row r="111" spans="1:7" x14ac:dyDescent="0.35">
      <c r="A111" s="1" t="str">
        <f t="shared" si="1"/>
        <v>15</v>
      </c>
      <c r="B1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1" s="1" t="s">
        <v>1830</v>
      </c>
      <c r="D111" s="1" t="s">
        <v>1831</v>
      </c>
      <c r="E111" s="1" t="s">
        <v>1832</v>
      </c>
      <c r="F111" s="1" t="s">
        <v>112</v>
      </c>
      <c r="G111" s="1">
        <v>4241103</v>
      </c>
    </row>
    <row r="112" spans="1:7" x14ac:dyDescent="0.35">
      <c r="A112" s="1" t="str">
        <f t="shared" si="1"/>
        <v>15</v>
      </c>
      <c r="B1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2" s="1" t="s">
        <v>1833</v>
      </c>
      <c r="D112" s="1" t="s">
        <v>1834</v>
      </c>
      <c r="E112" s="1" t="s">
        <v>1835</v>
      </c>
      <c r="F112" s="1" t="s">
        <v>112</v>
      </c>
      <c r="G112" s="1">
        <v>4434604</v>
      </c>
    </row>
    <row r="113" spans="1:8" x14ac:dyDescent="0.35">
      <c r="A113" s="1" t="str">
        <f t="shared" si="1"/>
        <v>15</v>
      </c>
      <c r="B1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3" s="1" t="s">
        <v>1836</v>
      </c>
      <c r="D113" s="1" t="s">
        <v>1837</v>
      </c>
      <c r="E113" s="1" t="s">
        <v>1838</v>
      </c>
      <c r="F113" s="1" t="s">
        <v>112</v>
      </c>
      <c r="G113" s="1">
        <v>3977997</v>
      </c>
    </row>
    <row r="114" spans="1:8" x14ac:dyDescent="0.35">
      <c r="A114" s="1" t="str">
        <f t="shared" si="1"/>
        <v>15</v>
      </c>
      <c r="B1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4" s="1" t="s">
        <v>1839</v>
      </c>
      <c r="D114" s="1" t="s">
        <v>1840</v>
      </c>
      <c r="E114" s="1" t="s">
        <v>1841</v>
      </c>
      <c r="F114" s="1" t="s">
        <v>112</v>
      </c>
      <c r="G114" s="1">
        <v>2606792</v>
      </c>
    </row>
    <row r="115" spans="1:8" x14ac:dyDescent="0.35">
      <c r="A115" s="1" t="str">
        <f t="shared" si="1"/>
        <v>15</v>
      </c>
      <c r="B1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5" s="1" t="s">
        <v>1842</v>
      </c>
      <c r="D115" s="1" t="s">
        <v>1843</v>
      </c>
      <c r="E115" s="1" t="s">
        <v>1844</v>
      </c>
      <c r="F115" s="1" t="s">
        <v>112</v>
      </c>
      <c r="G115" s="1">
        <v>2963101</v>
      </c>
    </row>
    <row r="116" spans="1:8" x14ac:dyDescent="0.35">
      <c r="A116" s="1" t="str">
        <f t="shared" si="1"/>
        <v>15</v>
      </c>
      <c r="B1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6" s="1" t="s">
        <v>1845</v>
      </c>
      <c r="D116" s="1" t="s">
        <v>1846</v>
      </c>
      <c r="E116" s="1" t="s">
        <v>1847</v>
      </c>
      <c r="F116" s="1" t="s">
        <v>112</v>
      </c>
      <c r="G116" s="1">
        <v>2923799</v>
      </c>
    </row>
    <row r="117" spans="1:8" x14ac:dyDescent="0.35">
      <c r="A117" s="1" t="str">
        <f t="shared" si="1"/>
        <v>15</v>
      </c>
      <c r="B1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7" s="1" t="s">
        <v>1848</v>
      </c>
      <c r="D117" s="1" t="s">
        <v>1849</v>
      </c>
      <c r="E117" s="1" t="s">
        <v>1850</v>
      </c>
      <c r="F117" s="1" t="s">
        <v>112</v>
      </c>
      <c r="G117" s="1">
        <v>4428159</v>
      </c>
    </row>
    <row r="118" spans="1:8" x14ac:dyDescent="0.35">
      <c r="A118" s="1" t="str">
        <f t="shared" si="1"/>
        <v>15</v>
      </c>
      <c r="B1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8" s="1" t="s">
        <v>1851</v>
      </c>
      <c r="D118" s="1" t="s">
        <v>438</v>
      </c>
      <c r="E118" s="1" t="s">
        <v>1852</v>
      </c>
      <c r="F118" s="1" t="s">
        <v>112</v>
      </c>
      <c r="G118" s="1">
        <v>4596266</v>
      </c>
    </row>
    <row r="119" spans="1:8" x14ac:dyDescent="0.35">
      <c r="A119" s="1" t="str">
        <f t="shared" si="1"/>
        <v>15</v>
      </c>
      <c r="B1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9" s="1" t="s">
        <v>1853</v>
      </c>
      <c r="D119" s="1" t="s">
        <v>1854</v>
      </c>
      <c r="E119" s="1" t="s">
        <v>1855</v>
      </c>
      <c r="F119" s="1" t="s">
        <v>112</v>
      </c>
      <c r="G119" s="1">
        <v>3940945</v>
      </c>
    </row>
    <row r="120" spans="1:8" x14ac:dyDescent="0.35">
      <c r="A120" s="1" t="str">
        <f t="shared" si="1"/>
        <v>15</v>
      </c>
      <c r="B1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0" s="1" t="s">
        <v>1856</v>
      </c>
      <c r="D120" s="1" t="s">
        <v>1857</v>
      </c>
      <c r="E120" s="1" t="s">
        <v>1858</v>
      </c>
      <c r="F120" s="1" t="s">
        <v>112</v>
      </c>
      <c r="G120" s="1">
        <v>3162420</v>
      </c>
    </row>
    <row r="121" spans="1:8" x14ac:dyDescent="0.35">
      <c r="A121" s="1" t="str">
        <f t="shared" si="1"/>
        <v>15</v>
      </c>
      <c r="B1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1" s="1" t="s">
        <v>1859</v>
      </c>
      <c r="D121" s="1" t="s">
        <v>1860</v>
      </c>
      <c r="E121" s="1" t="s">
        <v>1861</v>
      </c>
      <c r="F121" s="1" t="s">
        <v>112</v>
      </c>
      <c r="G121" s="1">
        <v>2768453</v>
      </c>
    </row>
    <row r="122" spans="1:8" x14ac:dyDescent="0.35">
      <c r="A122" s="1" t="str">
        <f t="shared" si="1"/>
        <v>15</v>
      </c>
      <c r="B1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2" s="1" t="s">
        <v>1862</v>
      </c>
      <c r="D122" s="1" t="s">
        <v>934</v>
      </c>
      <c r="E122" s="1" t="s">
        <v>1863</v>
      </c>
      <c r="F122" s="1" t="s">
        <v>112</v>
      </c>
      <c r="G122" s="1">
        <v>3385014</v>
      </c>
    </row>
    <row r="123" spans="1:8" x14ac:dyDescent="0.35">
      <c r="A123" s="1" t="str">
        <f t="shared" si="1"/>
        <v>15</v>
      </c>
      <c r="B1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3" s="1" t="s">
        <v>1864</v>
      </c>
      <c r="D123" s="1" t="s">
        <v>1865</v>
      </c>
      <c r="E123" s="1" t="s">
        <v>1866</v>
      </c>
      <c r="F123" s="1" t="s">
        <v>112</v>
      </c>
      <c r="G123" s="1">
        <v>2828563</v>
      </c>
    </row>
    <row r="124" spans="1:8" x14ac:dyDescent="0.35">
      <c r="A124" s="1" t="str">
        <f t="shared" si="1"/>
        <v>15</v>
      </c>
      <c r="B1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4" s="1" t="s">
        <v>1867</v>
      </c>
      <c r="D124" s="1" t="s">
        <v>1868</v>
      </c>
      <c r="E124" s="1" t="s">
        <v>1869</v>
      </c>
      <c r="F124" s="1" t="s">
        <v>112</v>
      </c>
      <c r="G124" s="1">
        <v>2939157</v>
      </c>
    </row>
    <row r="125" spans="1:8" x14ac:dyDescent="0.35">
      <c r="A125" s="1" t="str">
        <f t="shared" si="1"/>
        <v>15</v>
      </c>
      <c r="B1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5" s="1" t="s">
        <v>1870</v>
      </c>
      <c r="D125" s="1" t="s">
        <v>1871</v>
      </c>
      <c r="E125" s="1" t="s">
        <v>1872</v>
      </c>
      <c r="F125" s="1" t="s">
        <v>112</v>
      </c>
      <c r="G125" s="1">
        <v>2578759</v>
      </c>
    </row>
    <row r="126" spans="1:8" x14ac:dyDescent="0.35">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6" s="1" t="s">
        <v>112</v>
      </c>
    </row>
    <row r="127" spans="1:8" x14ac:dyDescent="0.35">
      <c r="A127" s="1" t="str">
        <f t="shared" si="1"/>
        <v/>
      </c>
      <c r="B1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7" s="1" t="s">
        <v>239</v>
      </c>
      <c r="D127" s="1" t="s">
        <v>112</v>
      </c>
      <c r="E127" s="1" t="s">
        <v>240</v>
      </c>
      <c r="F127" s="1" t="s">
        <v>241</v>
      </c>
      <c r="G127" s="1" t="s">
        <v>242</v>
      </c>
      <c r="H127" s="1" t="s">
        <v>243</v>
      </c>
    </row>
    <row r="128" spans="1:8" x14ac:dyDescent="0.35">
      <c r="A128" s="1" t="str">
        <f t="shared" si="1"/>
        <v>15</v>
      </c>
      <c r="B1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28" s="1" t="s">
        <v>1873</v>
      </c>
      <c r="D128" s="1" t="s">
        <v>112</v>
      </c>
      <c r="E128" s="1" t="s">
        <v>1874</v>
      </c>
      <c r="F128" s="1" t="s">
        <v>1875</v>
      </c>
      <c r="G128" s="1" t="s">
        <v>1876</v>
      </c>
      <c r="H128" s="1" t="s">
        <v>1877</v>
      </c>
    </row>
    <row r="129" spans="1:7" x14ac:dyDescent="0.35">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9" s="1" t="s">
        <v>112</v>
      </c>
    </row>
    <row r="130" spans="1:7" x14ac:dyDescent="0.35">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0" s="1" t="s">
        <v>112</v>
      </c>
    </row>
    <row r="131" spans="1:7" x14ac:dyDescent="0.35">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1" s="1" t="s">
        <v>112</v>
      </c>
    </row>
    <row r="132" spans="1:7" x14ac:dyDescent="0.35">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 s="1" t="s">
        <v>112</v>
      </c>
    </row>
    <row r="133" spans="1:7" x14ac:dyDescent="0.35">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3" s="1" t="s">
        <v>112</v>
      </c>
    </row>
    <row r="134" spans="1:7" x14ac:dyDescent="0.35">
      <c r="A134" s="1" t="str">
        <f t="shared" si="2"/>
        <v/>
      </c>
      <c r="B1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4" s="1" t="s">
        <v>172</v>
      </c>
      <c r="D134" s="1" t="s">
        <v>110</v>
      </c>
      <c r="E134" s="1" t="s">
        <v>111</v>
      </c>
      <c r="F134" s="1" t="s">
        <v>112</v>
      </c>
      <c r="G134" s="1" t="s">
        <v>113</v>
      </c>
    </row>
    <row r="135" spans="1:7" x14ac:dyDescent="0.35">
      <c r="A135" s="1" t="str">
        <f t="shared" si="2"/>
        <v>16</v>
      </c>
      <c r="B1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5" s="1" t="s">
        <v>1878</v>
      </c>
    </row>
    <row r="136" spans="1:7" x14ac:dyDescent="0.35">
      <c r="A136" s="1" t="str">
        <f t="shared" si="2"/>
        <v>16</v>
      </c>
      <c r="B1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6" s="1" t="s">
        <v>1879</v>
      </c>
    </row>
    <row r="137" spans="1:7" x14ac:dyDescent="0.35">
      <c r="A137" s="1" t="str">
        <f t="shared" si="2"/>
        <v>16</v>
      </c>
      <c r="B1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7" s="1" t="s">
        <v>1880</v>
      </c>
    </row>
    <row r="138" spans="1:7" x14ac:dyDescent="0.35">
      <c r="A138" s="1" t="str">
        <f t="shared" si="2"/>
        <v>16</v>
      </c>
      <c r="B1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8" s="1" t="s">
        <v>1881</v>
      </c>
      <c r="D138" s="1" t="s">
        <v>491</v>
      </c>
      <c r="E138" s="1" t="s">
        <v>1882</v>
      </c>
      <c r="F138" s="1" t="s">
        <v>112</v>
      </c>
      <c r="G138" s="1">
        <v>17931</v>
      </c>
    </row>
    <row r="139" spans="1:7" x14ac:dyDescent="0.35">
      <c r="A139" s="1" t="str">
        <f t="shared" si="2"/>
        <v>16</v>
      </c>
      <c r="B1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9" s="1" t="s">
        <v>1883</v>
      </c>
      <c r="D139" s="1">
        <v>0</v>
      </c>
      <c r="E139" s="1">
        <v>0</v>
      </c>
      <c r="F139" s="1" t="s">
        <v>112</v>
      </c>
      <c r="G139" s="1">
        <v>0</v>
      </c>
    </row>
    <row r="140" spans="1:7" x14ac:dyDescent="0.35">
      <c r="A140" s="1" t="str">
        <f t="shared" si="2"/>
        <v>16</v>
      </c>
      <c r="B1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40" s="1" t="s">
        <v>1884</v>
      </c>
      <c r="D140" s="1" t="s">
        <v>482</v>
      </c>
      <c r="E140" s="1" t="s">
        <v>1885</v>
      </c>
      <c r="F140" s="1" t="s">
        <v>112</v>
      </c>
      <c r="G140" s="1">
        <v>158936</v>
      </c>
    </row>
    <row r="141" spans="1:7" x14ac:dyDescent="0.35">
      <c r="A141" s="1" t="str">
        <f t="shared" si="2"/>
        <v>16</v>
      </c>
      <c r="B1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1" s="1" t="s">
        <v>1886</v>
      </c>
      <c r="D141" s="1" t="s">
        <v>518</v>
      </c>
      <c r="E141" s="1" t="s">
        <v>1887</v>
      </c>
      <c r="F141" s="1" t="s">
        <v>112</v>
      </c>
      <c r="G141" s="1">
        <v>160602</v>
      </c>
    </row>
    <row r="142" spans="1:7" x14ac:dyDescent="0.35">
      <c r="A142" s="1" t="str">
        <f t="shared" si="2"/>
        <v>16</v>
      </c>
      <c r="B1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2" s="1" t="s">
        <v>1888</v>
      </c>
      <c r="D142" s="1" t="s">
        <v>738</v>
      </c>
      <c r="E142" s="1" t="s">
        <v>1889</v>
      </c>
      <c r="F142" s="1" t="s">
        <v>112</v>
      </c>
      <c r="G142" s="1">
        <v>66382</v>
      </c>
    </row>
    <row r="143" spans="1:7" x14ac:dyDescent="0.35">
      <c r="A143" s="1" t="str">
        <f t="shared" si="2"/>
        <v>16</v>
      </c>
      <c r="B1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3" s="1" t="s">
        <v>1890</v>
      </c>
      <c r="D143" s="1" t="s">
        <v>1891</v>
      </c>
      <c r="E143" s="1" t="s">
        <v>1892</v>
      </c>
      <c r="F143" s="1" t="s">
        <v>112</v>
      </c>
      <c r="G143" s="1">
        <v>201309</v>
      </c>
    </row>
    <row r="144" spans="1:7" x14ac:dyDescent="0.35">
      <c r="A144" s="1" t="str">
        <f t="shared" si="2"/>
        <v>16</v>
      </c>
      <c r="B1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4" s="1" t="s">
        <v>1893</v>
      </c>
      <c r="D144" s="1" t="s">
        <v>1894</v>
      </c>
      <c r="E144" s="1" t="s">
        <v>1895</v>
      </c>
      <c r="F144" s="1" t="s">
        <v>112</v>
      </c>
      <c r="G144" s="1">
        <v>303857</v>
      </c>
    </row>
    <row r="145" spans="1:8" x14ac:dyDescent="0.35">
      <c r="A145" s="1" t="str">
        <f t="shared" si="2"/>
        <v>16</v>
      </c>
      <c r="B1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5" s="1" t="s">
        <v>1896</v>
      </c>
      <c r="D145" s="1" t="s">
        <v>1615</v>
      </c>
      <c r="E145" s="1" t="s">
        <v>1897</v>
      </c>
      <c r="F145" s="1" t="s">
        <v>112</v>
      </c>
      <c r="G145" s="1">
        <v>384926</v>
      </c>
    </row>
    <row r="146" spans="1:8" x14ac:dyDescent="0.35">
      <c r="A146" s="1" t="str">
        <f t="shared" si="2"/>
        <v>16</v>
      </c>
      <c r="B1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6" s="1" t="s">
        <v>1898</v>
      </c>
      <c r="D146" s="1" t="s">
        <v>180</v>
      </c>
      <c r="E146" s="1" t="s">
        <v>1899</v>
      </c>
      <c r="F146" s="1" t="s">
        <v>112</v>
      </c>
      <c r="G146" s="1">
        <v>269444</v>
      </c>
    </row>
    <row r="147" spans="1:8" x14ac:dyDescent="0.35">
      <c r="A147" s="1" t="str">
        <f t="shared" si="2"/>
        <v>16</v>
      </c>
      <c r="B1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7" s="1" t="s">
        <v>1900</v>
      </c>
      <c r="D147" s="1" t="s">
        <v>494</v>
      </c>
      <c r="E147" s="1" t="s">
        <v>1901</v>
      </c>
      <c r="F147" s="1" t="s">
        <v>112</v>
      </c>
      <c r="G147" s="1">
        <v>145850</v>
      </c>
    </row>
    <row r="148" spans="1:8" x14ac:dyDescent="0.35">
      <c r="A148" s="1" t="str">
        <f t="shared" si="2"/>
        <v>16</v>
      </c>
      <c r="B1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8" s="1" t="s">
        <v>1902</v>
      </c>
      <c r="D148" s="1" t="s">
        <v>1903</v>
      </c>
      <c r="E148" s="1">
        <v>33</v>
      </c>
      <c r="F148" s="1" t="s">
        <v>112</v>
      </c>
      <c r="G148" s="1">
        <v>36403</v>
      </c>
    </row>
    <row r="149" spans="1:8" x14ac:dyDescent="0.35">
      <c r="A149" s="1" t="str">
        <f t="shared" si="2"/>
        <v>16</v>
      </c>
      <c r="B1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9" s="1" t="s">
        <v>1904</v>
      </c>
      <c r="D149" s="1" t="s">
        <v>1417</v>
      </c>
      <c r="E149" s="1" t="s">
        <v>1905</v>
      </c>
      <c r="F149" s="1" t="s">
        <v>112</v>
      </c>
      <c r="G149" s="1">
        <v>38415</v>
      </c>
    </row>
    <row r="150" spans="1:8" x14ac:dyDescent="0.35">
      <c r="A150" s="1" t="str">
        <f t="shared" si="2"/>
        <v>16</v>
      </c>
      <c r="B1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0" s="1" t="s">
        <v>1906</v>
      </c>
      <c r="D150" s="1" t="s">
        <v>1907</v>
      </c>
      <c r="E150" s="1" t="s">
        <v>1908</v>
      </c>
      <c r="F150" s="1" t="s">
        <v>112</v>
      </c>
      <c r="G150" s="1">
        <v>475685</v>
      </c>
    </row>
    <row r="151" spans="1:8" x14ac:dyDescent="0.35">
      <c r="A151" s="1" t="str">
        <f t="shared" si="2"/>
        <v>16</v>
      </c>
      <c r="B1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1" s="1" t="s">
        <v>1909</v>
      </c>
      <c r="D151" s="1" t="s">
        <v>720</v>
      </c>
      <c r="E151" s="1" t="s">
        <v>1910</v>
      </c>
      <c r="F151" s="1" t="s">
        <v>112</v>
      </c>
      <c r="G151" s="1">
        <v>489182</v>
      </c>
    </row>
    <row r="152" spans="1:8" x14ac:dyDescent="0.35">
      <c r="A152" s="1" t="str">
        <f t="shared" si="2"/>
        <v>16</v>
      </c>
      <c r="B1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2" s="1" t="s">
        <v>1911</v>
      </c>
      <c r="D152" s="1" t="s">
        <v>1912</v>
      </c>
      <c r="E152" s="1" t="s">
        <v>1913</v>
      </c>
      <c r="F152" s="1" t="s">
        <v>112</v>
      </c>
      <c r="G152" s="1">
        <v>275370</v>
      </c>
    </row>
    <row r="153" spans="1:8" x14ac:dyDescent="0.35">
      <c r="A153" s="1" t="str">
        <f t="shared" si="2"/>
        <v>16</v>
      </c>
      <c r="B1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3" s="1" t="s">
        <v>1914</v>
      </c>
      <c r="D153" s="1" t="s">
        <v>1915</v>
      </c>
      <c r="E153" s="1" t="s">
        <v>1916</v>
      </c>
      <c r="F153" s="1" t="s">
        <v>112</v>
      </c>
      <c r="G153" s="1">
        <v>179982</v>
      </c>
    </row>
    <row r="154" spans="1:8" x14ac:dyDescent="0.35">
      <c r="A154" s="1" t="str">
        <f t="shared" si="2"/>
        <v>16</v>
      </c>
      <c r="B1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4" s="1" t="s">
        <v>1917</v>
      </c>
      <c r="D154" s="1" t="s">
        <v>1918</v>
      </c>
      <c r="E154" s="1" t="s">
        <v>1919</v>
      </c>
      <c r="F154" s="1" t="s">
        <v>112</v>
      </c>
      <c r="G154" s="1">
        <v>176002</v>
      </c>
    </row>
    <row r="155" spans="1:8" x14ac:dyDescent="0.35">
      <c r="A155" s="1" t="str">
        <f t="shared" si="2"/>
        <v>16</v>
      </c>
      <c r="B1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5" s="1" t="s">
        <v>1920</v>
      </c>
      <c r="D155" s="1" t="s">
        <v>1921</v>
      </c>
      <c r="E155" s="1" t="s">
        <v>1922</v>
      </c>
      <c r="F155" s="1" t="s">
        <v>112</v>
      </c>
      <c r="G155" s="1">
        <v>43065</v>
      </c>
    </row>
    <row r="156" spans="1:8" x14ac:dyDescent="0.35">
      <c r="A156" s="1" t="str">
        <f t="shared" si="2"/>
        <v>16</v>
      </c>
      <c r="B1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6" s="1" t="s">
        <v>1923</v>
      </c>
      <c r="D156" s="1" t="s">
        <v>1924</v>
      </c>
      <c r="E156" s="1" t="s">
        <v>1925</v>
      </c>
      <c r="F156" s="1" t="s">
        <v>112</v>
      </c>
      <c r="G156" s="1">
        <v>85049</v>
      </c>
    </row>
    <row r="157" spans="1:8" x14ac:dyDescent="0.35">
      <c r="A157" s="1" t="str">
        <f t="shared" si="2"/>
        <v>16</v>
      </c>
      <c r="B1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7" s="1" t="s">
        <v>1926</v>
      </c>
      <c r="D157" s="1">
        <v>0</v>
      </c>
      <c r="E157" s="1">
        <v>0</v>
      </c>
      <c r="F157" s="1" t="s">
        <v>112</v>
      </c>
      <c r="G157" s="1">
        <v>0</v>
      </c>
    </row>
    <row r="158" spans="1:8" x14ac:dyDescent="0.35">
      <c r="A158" s="1" t="str">
        <f t="shared" si="2"/>
        <v>16</v>
      </c>
      <c r="B1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8" s="1" t="s">
        <v>1927</v>
      </c>
      <c r="D158" s="1" t="s">
        <v>1928</v>
      </c>
      <c r="E158" s="1" t="s">
        <v>1929</v>
      </c>
      <c r="F158" s="1" t="s">
        <v>112</v>
      </c>
      <c r="G158" s="1">
        <v>137955</v>
      </c>
    </row>
    <row r="159" spans="1:8" x14ac:dyDescent="0.35">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9" s="1" t="s">
        <v>112</v>
      </c>
    </row>
    <row r="160" spans="1:8" x14ac:dyDescent="0.35">
      <c r="A160" s="1" t="str">
        <f t="shared" si="2"/>
        <v/>
      </c>
      <c r="B1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0" s="1" t="s">
        <v>239</v>
      </c>
      <c r="D160" s="1" t="s">
        <v>112</v>
      </c>
      <c r="E160" s="1" t="s">
        <v>240</v>
      </c>
      <c r="F160" s="1" t="s">
        <v>241</v>
      </c>
      <c r="G160" s="1" t="s">
        <v>242</v>
      </c>
      <c r="H160" s="1" t="s">
        <v>243</v>
      </c>
    </row>
    <row r="161" spans="1:8" x14ac:dyDescent="0.35">
      <c r="A161" s="1" t="str">
        <f t="shared" si="2"/>
        <v>16</v>
      </c>
      <c r="B1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61" s="1" t="s">
        <v>1930</v>
      </c>
      <c r="D161" s="1" t="s">
        <v>112</v>
      </c>
      <c r="E161" s="1" t="s">
        <v>1931</v>
      </c>
      <c r="F161" s="1" t="s">
        <v>1932</v>
      </c>
      <c r="G161" s="1" t="s">
        <v>1933</v>
      </c>
      <c r="H161" s="1" t="s">
        <v>1934</v>
      </c>
    </row>
    <row r="162" spans="1:8" x14ac:dyDescent="0.35">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2" s="1" t="s">
        <v>112</v>
      </c>
    </row>
    <row r="163" spans="1:8" x14ac:dyDescent="0.35">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3" s="1" t="s">
        <v>112</v>
      </c>
    </row>
    <row r="164" spans="1:8" x14ac:dyDescent="0.35">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4" s="1" t="s">
        <v>112</v>
      </c>
    </row>
    <row r="165" spans="1:8" x14ac:dyDescent="0.35">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5" s="1" t="s">
        <v>112</v>
      </c>
    </row>
    <row r="166" spans="1:8" x14ac:dyDescent="0.35">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6" s="1" t="s">
        <v>112</v>
      </c>
    </row>
    <row r="167" spans="1:8" x14ac:dyDescent="0.35">
      <c r="A167" s="1" t="str">
        <f t="shared" si="2"/>
        <v/>
      </c>
      <c r="B1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7" s="1" t="s">
        <v>172</v>
      </c>
      <c r="D167" s="1" t="s">
        <v>110</v>
      </c>
      <c r="E167" s="1" t="s">
        <v>111</v>
      </c>
      <c r="F167" s="1" t="s">
        <v>112</v>
      </c>
      <c r="G167" s="1" t="s">
        <v>113</v>
      </c>
    </row>
    <row r="168" spans="1:8" x14ac:dyDescent="0.35">
      <c r="A168" s="1" t="str">
        <f t="shared" si="2"/>
        <v>2</v>
      </c>
      <c r="B1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8" s="1" t="s">
        <v>1935</v>
      </c>
    </row>
    <row r="169" spans="1:8" x14ac:dyDescent="0.35">
      <c r="A169" s="1" t="str">
        <f t="shared" si="2"/>
        <v>2</v>
      </c>
      <c r="B1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9" s="1" t="s">
        <v>1936</v>
      </c>
    </row>
    <row r="170" spans="1:8" x14ac:dyDescent="0.35">
      <c r="A170" s="1" t="str">
        <f t="shared" si="2"/>
        <v>2</v>
      </c>
      <c r="B1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70" s="1" t="s">
        <v>1937</v>
      </c>
    </row>
    <row r="171" spans="1:8" x14ac:dyDescent="0.35">
      <c r="A171" s="1" t="str">
        <f t="shared" si="2"/>
        <v>2</v>
      </c>
      <c r="B1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1" s="1" t="s">
        <v>1938</v>
      </c>
      <c r="D171" s="1" t="s">
        <v>183</v>
      </c>
      <c r="E171" s="1" t="s">
        <v>1071</v>
      </c>
      <c r="F171" s="1" t="s">
        <v>112</v>
      </c>
      <c r="G171" s="1">
        <v>3288</v>
      </c>
    </row>
    <row r="172" spans="1:8" x14ac:dyDescent="0.35">
      <c r="A172" s="1" t="str">
        <f t="shared" si="2"/>
        <v>2</v>
      </c>
      <c r="B1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2" s="1" t="s">
        <v>1939</v>
      </c>
      <c r="D172" s="1" t="s">
        <v>667</v>
      </c>
      <c r="E172" s="1">
        <v>33</v>
      </c>
      <c r="F172" s="1" t="s">
        <v>112</v>
      </c>
      <c r="G172" s="1">
        <v>75661</v>
      </c>
    </row>
    <row r="173" spans="1:8" x14ac:dyDescent="0.35">
      <c r="A173" s="1" t="str">
        <f t="shared" si="2"/>
        <v>2</v>
      </c>
      <c r="B1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3" s="1" t="s">
        <v>1940</v>
      </c>
      <c r="D173" s="1" t="s">
        <v>1411</v>
      </c>
      <c r="E173" s="1" t="s">
        <v>1941</v>
      </c>
      <c r="F173" s="1" t="s">
        <v>112</v>
      </c>
      <c r="G173" s="1">
        <v>116304</v>
      </c>
    </row>
    <row r="174" spans="1:8" x14ac:dyDescent="0.35">
      <c r="A174" s="1" t="str">
        <f t="shared" si="2"/>
        <v>2</v>
      </c>
      <c r="B1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4" s="1" t="s">
        <v>1942</v>
      </c>
    </row>
    <row r="175" spans="1:8" x14ac:dyDescent="0.35">
      <c r="A175" s="1" t="str">
        <f t="shared" si="2"/>
        <v>2</v>
      </c>
      <c r="B1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5" s="1" t="s">
        <v>1943</v>
      </c>
      <c r="D175" s="1" t="s">
        <v>1944</v>
      </c>
      <c r="E175" s="1" t="s">
        <v>1945</v>
      </c>
      <c r="F175" s="1" t="s">
        <v>112</v>
      </c>
      <c r="G175" s="1">
        <v>443608</v>
      </c>
    </row>
    <row r="176" spans="1:8" x14ac:dyDescent="0.35">
      <c r="A176" s="1" t="str">
        <f t="shared" si="2"/>
        <v>2</v>
      </c>
      <c r="B1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6" s="1" t="s">
        <v>1946</v>
      </c>
      <c r="D176" s="1" t="s">
        <v>1947</v>
      </c>
      <c r="E176" s="1" t="s">
        <v>1948</v>
      </c>
      <c r="F176" s="1" t="s">
        <v>112</v>
      </c>
      <c r="G176" s="1">
        <v>116001</v>
      </c>
    </row>
    <row r="177" spans="1:7" x14ac:dyDescent="0.35">
      <c r="A177" s="1" t="str">
        <f t="shared" si="2"/>
        <v>2</v>
      </c>
      <c r="B1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7" s="1" t="s">
        <v>1949</v>
      </c>
      <c r="D177" s="1" t="s">
        <v>1950</v>
      </c>
      <c r="E177" s="1" t="s">
        <v>1951</v>
      </c>
      <c r="F177" s="1" t="s">
        <v>112</v>
      </c>
      <c r="G177" s="1">
        <v>15163</v>
      </c>
    </row>
    <row r="178" spans="1:7" x14ac:dyDescent="0.35">
      <c r="A178" s="1" t="str">
        <f t="shared" si="2"/>
        <v>2</v>
      </c>
      <c r="B1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8" s="1" t="s">
        <v>1952</v>
      </c>
      <c r="D178" s="1" t="s">
        <v>1394</v>
      </c>
      <c r="E178" s="1" t="s">
        <v>1953</v>
      </c>
      <c r="F178" s="1" t="s">
        <v>112</v>
      </c>
      <c r="G178" s="1">
        <v>17931</v>
      </c>
    </row>
    <row r="179" spans="1:7" x14ac:dyDescent="0.35">
      <c r="A179" s="1" t="str">
        <f t="shared" si="2"/>
        <v>2</v>
      </c>
      <c r="B1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9" s="1" t="s">
        <v>1954</v>
      </c>
      <c r="D179" s="1" t="s">
        <v>1466</v>
      </c>
      <c r="E179" s="1" t="s">
        <v>1955</v>
      </c>
      <c r="F179" s="1" t="s">
        <v>112</v>
      </c>
      <c r="G179" s="1">
        <v>6143</v>
      </c>
    </row>
    <row r="180" spans="1:7" x14ac:dyDescent="0.35">
      <c r="A180" s="1" t="str">
        <f t="shared" si="2"/>
        <v>2</v>
      </c>
      <c r="B1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0" s="1" t="s">
        <v>1956</v>
      </c>
      <c r="D180" s="1" t="s">
        <v>1957</v>
      </c>
      <c r="E180" s="1" t="s">
        <v>1958</v>
      </c>
      <c r="F180" s="1" t="s">
        <v>112</v>
      </c>
      <c r="G180" s="1">
        <v>25393</v>
      </c>
    </row>
    <row r="181" spans="1:7" x14ac:dyDescent="0.35">
      <c r="A181" s="1" t="str">
        <f t="shared" si="2"/>
        <v>2</v>
      </c>
      <c r="B1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1" s="1" t="s">
        <v>1959</v>
      </c>
      <c r="D181" s="1" t="s">
        <v>667</v>
      </c>
      <c r="E181" s="1" t="s">
        <v>1960</v>
      </c>
      <c r="F181" s="1" t="s">
        <v>112</v>
      </c>
      <c r="G181" s="1">
        <v>80550</v>
      </c>
    </row>
    <row r="182" spans="1:7" x14ac:dyDescent="0.35">
      <c r="A182" s="1" t="str">
        <f t="shared" si="2"/>
        <v>2</v>
      </c>
      <c r="B1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2" s="1" t="s">
        <v>1961</v>
      </c>
      <c r="D182" s="1" t="s">
        <v>1962</v>
      </c>
      <c r="E182" s="1" t="s">
        <v>1963</v>
      </c>
      <c r="F182" s="1" t="s">
        <v>112</v>
      </c>
      <c r="G182" s="1">
        <v>55935</v>
      </c>
    </row>
    <row r="183" spans="1:7" x14ac:dyDescent="0.35">
      <c r="A183" s="1" t="str">
        <f t="shared" si="2"/>
        <v>2</v>
      </c>
      <c r="B1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3" s="1" t="s">
        <v>1964</v>
      </c>
      <c r="D183" s="1" t="s">
        <v>1965</v>
      </c>
      <c r="E183" s="1" t="s">
        <v>1966</v>
      </c>
      <c r="F183" s="1" t="s">
        <v>112</v>
      </c>
      <c r="G183" s="1">
        <v>711991</v>
      </c>
    </row>
    <row r="184" spans="1:7" x14ac:dyDescent="0.35">
      <c r="A184" s="1" t="str">
        <f t="shared" si="2"/>
        <v>2</v>
      </c>
      <c r="B1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4" s="1" t="s">
        <v>1967</v>
      </c>
      <c r="D184" s="1" t="s">
        <v>1968</v>
      </c>
      <c r="E184" s="1" t="s">
        <v>1969</v>
      </c>
      <c r="F184" s="1" t="s">
        <v>112</v>
      </c>
      <c r="G184" s="1">
        <v>584418</v>
      </c>
    </row>
    <row r="185" spans="1:7" x14ac:dyDescent="0.35">
      <c r="A185" s="1" t="str">
        <f t="shared" si="2"/>
        <v>2</v>
      </c>
      <c r="B1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5" s="1" t="s">
        <v>1970</v>
      </c>
      <c r="D185" s="1" t="s">
        <v>1971</v>
      </c>
      <c r="E185" s="1" t="s">
        <v>1972</v>
      </c>
      <c r="F185" s="1" t="s">
        <v>112</v>
      </c>
      <c r="G185" s="1">
        <v>378177</v>
      </c>
    </row>
    <row r="186" spans="1:7" x14ac:dyDescent="0.35">
      <c r="A186" s="1" t="str">
        <f t="shared" si="2"/>
        <v>2</v>
      </c>
      <c r="B1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6" s="1" t="s">
        <v>1973</v>
      </c>
      <c r="D186" s="1" t="s">
        <v>1039</v>
      </c>
      <c r="E186" s="1" t="s">
        <v>1974</v>
      </c>
      <c r="F186" s="1" t="s">
        <v>112</v>
      </c>
      <c r="G186" s="1">
        <v>231678</v>
      </c>
    </row>
    <row r="187" spans="1:7" x14ac:dyDescent="0.35">
      <c r="A187" s="1" t="str">
        <f t="shared" si="2"/>
        <v>2</v>
      </c>
      <c r="B1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7" s="1" t="s">
        <v>1975</v>
      </c>
      <c r="D187" s="1" t="s">
        <v>183</v>
      </c>
      <c r="E187" s="1">
        <v>31</v>
      </c>
      <c r="F187" s="1" t="s">
        <v>112</v>
      </c>
      <c r="G187" s="1">
        <v>3353</v>
      </c>
    </row>
    <row r="188" spans="1:7" x14ac:dyDescent="0.35">
      <c r="A188" s="1" t="str">
        <f t="shared" si="2"/>
        <v>2</v>
      </c>
      <c r="B1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8" s="1" t="s">
        <v>1976</v>
      </c>
      <c r="D188" s="1" t="s">
        <v>1977</v>
      </c>
      <c r="E188" s="1" t="s">
        <v>1978</v>
      </c>
      <c r="F188" s="1" t="s">
        <v>112</v>
      </c>
      <c r="G188" s="1">
        <v>552319</v>
      </c>
    </row>
    <row r="189" spans="1:7" x14ac:dyDescent="0.35">
      <c r="A189" s="1" t="str">
        <f t="shared" si="2"/>
        <v>2</v>
      </c>
      <c r="B1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9" s="1" t="s">
        <v>1979</v>
      </c>
      <c r="D189" s="1" t="s">
        <v>1980</v>
      </c>
      <c r="E189" s="1" t="s">
        <v>1981</v>
      </c>
      <c r="F189" s="1" t="s">
        <v>112</v>
      </c>
      <c r="G189" s="1">
        <v>65668</v>
      </c>
    </row>
    <row r="190" spans="1:7" x14ac:dyDescent="0.35">
      <c r="A190" s="1" t="str">
        <f t="shared" si="2"/>
        <v>2</v>
      </c>
      <c r="B1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0" s="1" t="s">
        <v>1982</v>
      </c>
      <c r="D190" s="1" t="s">
        <v>1480</v>
      </c>
      <c r="E190" s="1" t="s">
        <v>1983</v>
      </c>
      <c r="F190" s="1" t="s">
        <v>112</v>
      </c>
      <c r="G190" s="1">
        <v>143514</v>
      </c>
    </row>
    <row r="191" spans="1:7" x14ac:dyDescent="0.35">
      <c r="A191" s="1" t="str">
        <f t="shared" si="2"/>
        <v>2</v>
      </c>
      <c r="B1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1" s="1" t="s">
        <v>1984</v>
      </c>
      <c r="D191" s="1" t="s">
        <v>534</v>
      </c>
      <c r="E191" s="1" t="s">
        <v>1985</v>
      </c>
      <c r="F191" s="1" t="s">
        <v>112</v>
      </c>
      <c r="G191" s="1">
        <v>30563</v>
      </c>
    </row>
    <row r="192" spans="1:7" x14ac:dyDescent="0.35">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2" s="1" t="s">
        <v>112</v>
      </c>
    </row>
    <row r="193" spans="1:8" x14ac:dyDescent="0.35">
      <c r="A193" s="1" t="str">
        <f t="shared" si="2"/>
        <v/>
      </c>
      <c r="B1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3" s="1" t="s">
        <v>239</v>
      </c>
      <c r="D193" s="1" t="s">
        <v>112</v>
      </c>
      <c r="E193" s="1" t="s">
        <v>240</v>
      </c>
      <c r="F193" s="1" t="s">
        <v>241</v>
      </c>
      <c r="G193" s="1" t="s">
        <v>242</v>
      </c>
      <c r="H193" s="1" t="s">
        <v>243</v>
      </c>
    </row>
    <row r="194" spans="1:8" x14ac:dyDescent="0.35">
      <c r="A194" s="1" t="str">
        <f t="shared" ref="A194:A257" si="3">IFERROR(LEFT(RIGHT(C194,LEN(C194)-SEARCH("@",C194)),SEARCH("/",RIGHT(C194,LEN(C194)-SEARCH("@",C194)-1))),"")</f>
        <v>2</v>
      </c>
      <c r="B1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94" s="1" t="s">
        <v>1986</v>
      </c>
      <c r="D194" s="1" t="s">
        <v>112</v>
      </c>
      <c r="E194" s="1" t="s">
        <v>1987</v>
      </c>
      <c r="F194" s="1" t="s">
        <v>1988</v>
      </c>
      <c r="G194" s="1" t="s">
        <v>1989</v>
      </c>
      <c r="H194" s="1" t="s">
        <v>1990</v>
      </c>
    </row>
    <row r="195" spans="1:8" x14ac:dyDescent="0.35">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5" s="1" t="s">
        <v>112</v>
      </c>
    </row>
    <row r="196" spans="1:8" x14ac:dyDescent="0.35">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6" s="1" t="s">
        <v>112</v>
      </c>
    </row>
    <row r="197" spans="1:8" x14ac:dyDescent="0.35">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7" s="1" t="s">
        <v>112</v>
      </c>
    </row>
    <row r="198" spans="1:8" x14ac:dyDescent="0.35">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8" s="1" t="s">
        <v>112</v>
      </c>
    </row>
    <row r="199" spans="1:8" x14ac:dyDescent="0.35">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9" s="1" t="s">
        <v>112</v>
      </c>
    </row>
    <row r="200" spans="1:8" x14ac:dyDescent="0.35">
      <c r="A200" s="1" t="str">
        <f t="shared" si="3"/>
        <v/>
      </c>
      <c r="B2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00" s="1" t="s">
        <v>172</v>
      </c>
      <c r="D200" s="1" t="s">
        <v>110</v>
      </c>
      <c r="E200" s="1" t="s">
        <v>111</v>
      </c>
      <c r="F200" s="1" t="s">
        <v>112</v>
      </c>
      <c r="G200" s="1" t="s">
        <v>113</v>
      </c>
    </row>
    <row r="201" spans="1:8" x14ac:dyDescent="0.35">
      <c r="A201" s="1" t="str">
        <f t="shared" si="3"/>
        <v>3</v>
      </c>
      <c r="B2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1" s="1" t="s">
        <v>1991</v>
      </c>
      <c r="D201" s="1" t="s">
        <v>174</v>
      </c>
      <c r="E201" s="1" t="s">
        <v>1992</v>
      </c>
      <c r="F201" s="1" t="s">
        <v>112</v>
      </c>
      <c r="G201" s="1">
        <v>48408</v>
      </c>
    </row>
    <row r="202" spans="1:8" x14ac:dyDescent="0.35">
      <c r="A202" s="1" t="str">
        <f t="shared" si="3"/>
        <v>3</v>
      </c>
      <c r="B2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2" s="1" t="s">
        <v>1993</v>
      </c>
      <c r="D202" s="1" t="s">
        <v>1980</v>
      </c>
      <c r="E202" s="1" t="s">
        <v>1994</v>
      </c>
      <c r="F202" s="1" t="s">
        <v>112</v>
      </c>
      <c r="G202" s="1">
        <v>63787</v>
      </c>
    </row>
    <row r="203" spans="1:8" x14ac:dyDescent="0.35">
      <c r="A203" s="1" t="str">
        <f t="shared" si="3"/>
        <v>3</v>
      </c>
      <c r="B2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3" s="1" t="s">
        <v>1995</v>
      </c>
      <c r="D203" s="1" t="s">
        <v>1996</v>
      </c>
      <c r="E203" s="1" t="s">
        <v>1997</v>
      </c>
      <c r="F203" s="1" t="s">
        <v>112</v>
      </c>
      <c r="G203" s="1">
        <v>10815</v>
      </c>
    </row>
    <row r="204" spans="1:8" x14ac:dyDescent="0.35">
      <c r="A204" s="1" t="str">
        <f t="shared" si="3"/>
        <v>3</v>
      </c>
      <c r="B2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4" s="1" t="s">
        <v>1998</v>
      </c>
      <c r="D204" s="1" t="s">
        <v>641</v>
      </c>
      <c r="E204" s="1" t="s">
        <v>1999</v>
      </c>
      <c r="F204" s="1" t="s">
        <v>112</v>
      </c>
      <c r="G204" s="1">
        <v>163371</v>
      </c>
    </row>
    <row r="205" spans="1:8" x14ac:dyDescent="0.35">
      <c r="A205" s="1" t="str">
        <f t="shared" si="3"/>
        <v>3</v>
      </c>
      <c r="B2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5" s="1" t="s">
        <v>2000</v>
      </c>
      <c r="D205" s="1" t="s">
        <v>1641</v>
      </c>
      <c r="E205" s="1" t="s">
        <v>2001</v>
      </c>
      <c r="F205" s="1" t="s">
        <v>112</v>
      </c>
      <c r="G205" s="1">
        <v>8847</v>
      </c>
    </row>
    <row r="206" spans="1:8" x14ac:dyDescent="0.35">
      <c r="A206" s="1" t="str">
        <f t="shared" si="3"/>
        <v>3</v>
      </c>
      <c r="B2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6" s="1" t="s">
        <v>2002</v>
      </c>
      <c r="D206" s="1" t="s">
        <v>1664</v>
      </c>
      <c r="E206" s="1">
        <v>30</v>
      </c>
      <c r="F206" s="1" t="s">
        <v>112</v>
      </c>
      <c r="G206" s="1">
        <v>1298</v>
      </c>
    </row>
    <row r="207" spans="1:8" x14ac:dyDescent="0.35">
      <c r="A207" s="1" t="str">
        <f t="shared" si="3"/>
        <v>3</v>
      </c>
      <c r="B2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7" s="1" t="s">
        <v>2003</v>
      </c>
      <c r="D207" s="1" t="s">
        <v>570</v>
      </c>
      <c r="E207" s="1" t="s">
        <v>2004</v>
      </c>
      <c r="F207" s="1" t="s">
        <v>112</v>
      </c>
      <c r="G207" s="1">
        <v>67009</v>
      </c>
    </row>
    <row r="208" spans="1:8" x14ac:dyDescent="0.35">
      <c r="A208" s="1" t="str">
        <f t="shared" si="3"/>
        <v>3</v>
      </c>
      <c r="B2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8" s="1" t="s">
        <v>2005</v>
      </c>
      <c r="D208" s="1" t="s">
        <v>2006</v>
      </c>
      <c r="E208" s="1" t="s">
        <v>2007</v>
      </c>
      <c r="F208" s="1" t="s">
        <v>112</v>
      </c>
      <c r="G208" s="1">
        <v>459981</v>
      </c>
    </row>
    <row r="209" spans="1:7" x14ac:dyDescent="0.35">
      <c r="A209" s="1" t="str">
        <f t="shared" si="3"/>
        <v>3</v>
      </c>
      <c r="B2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9" s="1" t="s">
        <v>2008</v>
      </c>
      <c r="D209" s="1" t="s">
        <v>2009</v>
      </c>
      <c r="E209" s="1" t="s">
        <v>2010</v>
      </c>
      <c r="F209" s="1" t="s">
        <v>112</v>
      </c>
      <c r="G209" s="1">
        <v>125064</v>
      </c>
    </row>
    <row r="210" spans="1:7" x14ac:dyDescent="0.35">
      <c r="A210" s="1" t="str">
        <f t="shared" si="3"/>
        <v>3</v>
      </c>
      <c r="B2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0" s="1" t="s">
        <v>2011</v>
      </c>
      <c r="D210" s="1" t="s">
        <v>2012</v>
      </c>
      <c r="E210" s="1" t="s">
        <v>2013</v>
      </c>
      <c r="F210" s="1" t="s">
        <v>112</v>
      </c>
      <c r="G210" s="1">
        <v>222052</v>
      </c>
    </row>
    <row r="211" spans="1:7" x14ac:dyDescent="0.35">
      <c r="A211" s="1" t="str">
        <f t="shared" si="3"/>
        <v>3</v>
      </c>
      <c r="B2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1" s="1" t="s">
        <v>2014</v>
      </c>
      <c r="D211" s="1" t="s">
        <v>1928</v>
      </c>
      <c r="E211" s="1" t="s">
        <v>2015</v>
      </c>
      <c r="F211" s="1" t="s">
        <v>112</v>
      </c>
      <c r="G211" s="1">
        <v>118186</v>
      </c>
    </row>
    <row r="212" spans="1:7" x14ac:dyDescent="0.35">
      <c r="A212" s="1" t="str">
        <f t="shared" si="3"/>
        <v>3</v>
      </c>
      <c r="B2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2" s="1" t="s">
        <v>2016</v>
      </c>
      <c r="D212" s="1" t="s">
        <v>1162</v>
      </c>
      <c r="E212" s="1" t="s">
        <v>2017</v>
      </c>
      <c r="F212" s="1" t="s">
        <v>112</v>
      </c>
      <c r="G212" s="1">
        <v>295486</v>
      </c>
    </row>
    <row r="213" spans="1:7" x14ac:dyDescent="0.35">
      <c r="A213" s="1" t="str">
        <f t="shared" si="3"/>
        <v>3</v>
      </c>
      <c r="B2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3" s="1" t="s">
        <v>2018</v>
      </c>
      <c r="D213" s="1" t="s">
        <v>1414</v>
      </c>
      <c r="E213" s="1" t="s">
        <v>2019</v>
      </c>
      <c r="F213" s="1" t="s">
        <v>112</v>
      </c>
      <c r="G213" s="1">
        <v>65344</v>
      </c>
    </row>
    <row r="214" spans="1:7" x14ac:dyDescent="0.35">
      <c r="A214" s="1" t="str">
        <f t="shared" si="3"/>
        <v>3</v>
      </c>
      <c r="B2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4" s="1" t="s">
        <v>2020</v>
      </c>
      <c r="D214" s="1" t="s">
        <v>1086</v>
      </c>
      <c r="E214" s="1" t="s">
        <v>2021</v>
      </c>
      <c r="F214" s="1" t="s">
        <v>112</v>
      </c>
      <c r="G214" s="1">
        <v>114574</v>
      </c>
    </row>
    <row r="215" spans="1:7" x14ac:dyDescent="0.35">
      <c r="A215" s="1" t="str">
        <f t="shared" si="3"/>
        <v>3</v>
      </c>
      <c r="B2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5" s="1" t="s">
        <v>2022</v>
      </c>
      <c r="D215" s="1" t="s">
        <v>741</v>
      </c>
      <c r="E215" s="1" t="s">
        <v>2023</v>
      </c>
      <c r="F215" s="1" t="s">
        <v>112</v>
      </c>
      <c r="G215" s="1">
        <v>121106</v>
      </c>
    </row>
    <row r="216" spans="1:7" x14ac:dyDescent="0.35">
      <c r="A216" s="1" t="str">
        <f t="shared" si="3"/>
        <v>3</v>
      </c>
      <c r="B2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6" s="1" t="s">
        <v>2024</v>
      </c>
      <c r="D216" s="1" t="s">
        <v>1618</v>
      </c>
      <c r="E216" s="1" t="s">
        <v>2025</v>
      </c>
      <c r="F216" s="1" t="s">
        <v>112</v>
      </c>
      <c r="G216" s="1">
        <v>258218</v>
      </c>
    </row>
    <row r="217" spans="1:7" x14ac:dyDescent="0.35">
      <c r="A217" s="1" t="str">
        <f t="shared" si="3"/>
        <v>3</v>
      </c>
      <c r="B2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7" s="1" t="s">
        <v>2026</v>
      </c>
      <c r="D217" s="1" t="s">
        <v>2027</v>
      </c>
      <c r="E217" s="1" t="s">
        <v>2028</v>
      </c>
      <c r="F217" s="1" t="s">
        <v>112</v>
      </c>
      <c r="G217" s="1">
        <v>166550</v>
      </c>
    </row>
    <row r="218" spans="1:7" x14ac:dyDescent="0.35">
      <c r="A218" s="1" t="str">
        <f t="shared" si="3"/>
        <v>3</v>
      </c>
      <c r="B2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8" s="1" t="s">
        <v>2029</v>
      </c>
      <c r="D218" s="1" t="s">
        <v>603</v>
      </c>
      <c r="E218" s="1" t="s">
        <v>2030</v>
      </c>
      <c r="F218" s="1" t="s">
        <v>112</v>
      </c>
      <c r="G218" s="1">
        <v>91624</v>
      </c>
    </row>
    <row r="219" spans="1:7" x14ac:dyDescent="0.35">
      <c r="A219" s="1" t="str">
        <f t="shared" si="3"/>
        <v>3</v>
      </c>
      <c r="B2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9" s="1" t="s">
        <v>2031</v>
      </c>
      <c r="D219" s="1" t="s">
        <v>2032</v>
      </c>
      <c r="E219" s="1" t="s">
        <v>2033</v>
      </c>
      <c r="F219" s="1" t="s">
        <v>112</v>
      </c>
      <c r="G219" s="1">
        <v>218635</v>
      </c>
    </row>
    <row r="220" spans="1:7" x14ac:dyDescent="0.35">
      <c r="A220" s="1" t="str">
        <f t="shared" si="3"/>
        <v>3</v>
      </c>
      <c r="B2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0" s="1" t="s">
        <v>2034</v>
      </c>
      <c r="D220" s="1" t="s">
        <v>717</v>
      </c>
      <c r="E220" s="1" t="s">
        <v>2035</v>
      </c>
      <c r="F220" s="1" t="s">
        <v>112</v>
      </c>
      <c r="G220" s="1">
        <v>325465</v>
      </c>
    </row>
    <row r="221" spans="1:7" x14ac:dyDescent="0.35">
      <c r="A221" s="1" t="str">
        <f t="shared" si="3"/>
        <v>3</v>
      </c>
      <c r="B2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1" s="1" t="s">
        <v>2036</v>
      </c>
      <c r="D221" s="1" t="s">
        <v>2037</v>
      </c>
      <c r="E221" s="1" t="s">
        <v>2038</v>
      </c>
      <c r="F221" s="1" t="s">
        <v>112</v>
      </c>
      <c r="G221" s="1">
        <v>337967</v>
      </c>
    </row>
    <row r="222" spans="1:7" x14ac:dyDescent="0.35">
      <c r="A222" s="1" t="str">
        <f t="shared" si="3"/>
        <v>3</v>
      </c>
      <c r="B2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2" s="1" t="s">
        <v>2039</v>
      </c>
      <c r="D222" s="1" t="s">
        <v>1212</v>
      </c>
      <c r="E222" s="1" t="s">
        <v>2040</v>
      </c>
      <c r="F222" s="1" t="s">
        <v>112</v>
      </c>
      <c r="G222" s="1">
        <v>518923</v>
      </c>
    </row>
    <row r="223" spans="1:7" x14ac:dyDescent="0.35">
      <c r="A223" s="1" t="str">
        <f t="shared" si="3"/>
        <v>3</v>
      </c>
      <c r="B2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3" s="1" t="s">
        <v>2041</v>
      </c>
      <c r="D223" s="1" t="s">
        <v>2042</v>
      </c>
      <c r="E223" s="1" t="s">
        <v>2043</v>
      </c>
      <c r="F223" s="1" t="s">
        <v>112</v>
      </c>
      <c r="G223" s="1">
        <v>433982</v>
      </c>
    </row>
    <row r="224" spans="1:7" x14ac:dyDescent="0.35">
      <c r="A224" s="1" t="str">
        <f t="shared" si="3"/>
        <v>3</v>
      </c>
      <c r="B2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4" s="1" t="s">
        <v>2044</v>
      </c>
      <c r="D224" s="1" t="s">
        <v>1806</v>
      </c>
      <c r="E224" s="1" t="s">
        <v>2045</v>
      </c>
      <c r="F224" s="1" t="s">
        <v>112</v>
      </c>
      <c r="G224" s="1">
        <v>506464</v>
      </c>
    </row>
    <row r="225" spans="1:8" x14ac:dyDescent="0.35">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5" s="1" t="s">
        <v>112</v>
      </c>
    </row>
    <row r="226" spans="1:8" x14ac:dyDescent="0.35">
      <c r="A226" s="1" t="str">
        <f t="shared" si="3"/>
        <v/>
      </c>
      <c r="B2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6" s="1" t="s">
        <v>239</v>
      </c>
      <c r="D226" s="1" t="s">
        <v>112</v>
      </c>
      <c r="E226" s="1" t="s">
        <v>240</v>
      </c>
      <c r="F226" s="1" t="s">
        <v>241</v>
      </c>
      <c r="G226" s="1" t="s">
        <v>242</v>
      </c>
      <c r="H226" s="1" t="s">
        <v>243</v>
      </c>
    </row>
    <row r="227" spans="1:8" x14ac:dyDescent="0.35">
      <c r="A227" s="1" t="str">
        <f t="shared" si="3"/>
        <v>3</v>
      </c>
      <c r="B2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27" s="1" t="s">
        <v>2046</v>
      </c>
      <c r="D227" s="1" t="s">
        <v>112</v>
      </c>
      <c r="E227" s="1" t="s">
        <v>2047</v>
      </c>
      <c r="F227" s="1" t="s">
        <v>2048</v>
      </c>
      <c r="G227" s="1" t="s">
        <v>2049</v>
      </c>
      <c r="H227" s="1" t="s">
        <v>2050</v>
      </c>
    </row>
    <row r="228" spans="1:8" x14ac:dyDescent="0.35">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8" s="1" t="s">
        <v>112</v>
      </c>
    </row>
    <row r="229" spans="1:8" x14ac:dyDescent="0.35">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9" s="1" t="s">
        <v>112</v>
      </c>
    </row>
    <row r="230" spans="1:8" x14ac:dyDescent="0.35">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0" s="1" t="s">
        <v>112</v>
      </c>
    </row>
    <row r="231" spans="1:8" x14ac:dyDescent="0.35">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1" s="1" t="s">
        <v>112</v>
      </c>
    </row>
    <row r="232" spans="1:8" x14ac:dyDescent="0.35">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2" s="1" t="s">
        <v>112</v>
      </c>
    </row>
    <row r="233" spans="1:8" x14ac:dyDescent="0.35">
      <c r="A233" s="1" t="str">
        <f t="shared" si="3"/>
        <v/>
      </c>
      <c r="B2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3" s="1" t="s">
        <v>172</v>
      </c>
      <c r="D233" s="1" t="s">
        <v>110</v>
      </c>
      <c r="E233" s="1" t="s">
        <v>111</v>
      </c>
      <c r="F233" s="1" t="s">
        <v>112</v>
      </c>
      <c r="G233" s="1" t="s">
        <v>113</v>
      </c>
    </row>
    <row r="234" spans="1:8" x14ac:dyDescent="0.35">
      <c r="A234" s="1" t="str">
        <f t="shared" si="3"/>
        <v>4</v>
      </c>
      <c r="B2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4" s="1" t="s">
        <v>2051</v>
      </c>
      <c r="D234" s="1" t="s">
        <v>2052</v>
      </c>
      <c r="E234" s="1" t="s">
        <v>2053</v>
      </c>
      <c r="F234" s="1" t="s">
        <v>112</v>
      </c>
      <c r="G234" s="1">
        <v>1692691</v>
      </c>
    </row>
    <row r="235" spans="1:8" x14ac:dyDescent="0.35">
      <c r="A235" s="1" t="str">
        <f t="shared" si="3"/>
        <v>4</v>
      </c>
      <c r="B2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5" s="1" t="s">
        <v>2054</v>
      </c>
      <c r="D235" s="1" t="s">
        <v>2055</v>
      </c>
      <c r="E235" s="1" t="s">
        <v>2056</v>
      </c>
      <c r="F235" s="1" t="s">
        <v>112</v>
      </c>
      <c r="G235" s="1">
        <v>2126305</v>
      </c>
    </row>
    <row r="236" spans="1:8" x14ac:dyDescent="0.35">
      <c r="A236" s="1" t="str">
        <f t="shared" si="3"/>
        <v>4</v>
      </c>
      <c r="B2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6" s="1" t="s">
        <v>2057</v>
      </c>
      <c r="D236" s="1" t="s">
        <v>2058</v>
      </c>
      <c r="E236" s="1" t="s">
        <v>2059</v>
      </c>
      <c r="F236" s="1" t="s">
        <v>112</v>
      </c>
      <c r="G236" s="1">
        <v>2204908</v>
      </c>
    </row>
    <row r="237" spans="1:8" x14ac:dyDescent="0.35">
      <c r="A237" s="1" t="str">
        <f t="shared" si="3"/>
        <v>4</v>
      </c>
      <c r="B2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7" s="1" t="s">
        <v>2060</v>
      </c>
      <c r="D237" s="1" t="s">
        <v>2061</v>
      </c>
      <c r="E237" s="1" t="s">
        <v>2062</v>
      </c>
      <c r="F237" s="1" t="s">
        <v>112</v>
      </c>
      <c r="G237" s="1">
        <v>1550907</v>
      </c>
    </row>
    <row r="238" spans="1:8" x14ac:dyDescent="0.35">
      <c r="A238" s="1" t="str">
        <f t="shared" si="3"/>
        <v>4</v>
      </c>
      <c r="B2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8" s="1" t="s">
        <v>2063</v>
      </c>
      <c r="D238" s="1" t="s">
        <v>2064</v>
      </c>
      <c r="E238" s="1" t="s">
        <v>2065</v>
      </c>
      <c r="F238" s="1" t="s">
        <v>112</v>
      </c>
      <c r="G238" s="1">
        <v>1722389</v>
      </c>
    </row>
    <row r="239" spans="1:8" x14ac:dyDescent="0.35">
      <c r="A239" s="1" t="str">
        <f t="shared" si="3"/>
        <v>4</v>
      </c>
      <c r="B2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9" s="1" t="s">
        <v>2066</v>
      </c>
      <c r="D239" s="1" t="s">
        <v>2067</v>
      </c>
      <c r="E239" s="1" t="s">
        <v>2068</v>
      </c>
      <c r="F239" s="1" t="s">
        <v>112</v>
      </c>
      <c r="G239" s="1">
        <v>1506522</v>
      </c>
    </row>
    <row r="240" spans="1:8" x14ac:dyDescent="0.35">
      <c r="A240" s="1" t="str">
        <f t="shared" si="3"/>
        <v>4</v>
      </c>
      <c r="B2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0" s="1" t="s">
        <v>2069</v>
      </c>
      <c r="D240" s="1" t="s">
        <v>2009</v>
      </c>
      <c r="E240" s="1" t="s">
        <v>2070</v>
      </c>
      <c r="F240" s="1" t="s">
        <v>112</v>
      </c>
      <c r="G240" s="1">
        <v>104408</v>
      </c>
    </row>
    <row r="241" spans="1:7" x14ac:dyDescent="0.35">
      <c r="A241" s="1" t="str">
        <f t="shared" si="3"/>
        <v>4</v>
      </c>
      <c r="B2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1" s="1" t="s">
        <v>2071</v>
      </c>
      <c r="D241" s="1" t="s">
        <v>1928</v>
      </c>
      <c r="E241" s="1" t="s">
        <v>2072</v>
      </c>
      <c r="F241" s="1" t="s">
        <v>112</v>
      </c>
      <c r="G241" s="1">
        <v>118056</v>
      </c>
    </row>
    <row r="242" spans="1:7" x14ac:dyDescent="0.35">
      <c r="A242" s="1" t="str">
        <f t="shared" si="3"/>
        <v>4</v>
      </c>
      <c r="B2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2" s="1" t="s">
        <v>2073</v>
      </c>
      <c r="D242" s="1" t="s">
        <v>2074</v>
      </c>
      <c r="E242" s="1" t="s">
        <v>2075</v>
      </c>
      <c r="F242" s="1" t="s">
        <v>112</v>
      </c>
      <c r="G242" s="1">
        <v>22755</v>
      </c>
    </row>
    <row r="243" spans="1:7" x14ac:dyDescent="0.35">
      <c r="A243" s="1" t="str">
        <f t="shared" si="3"/>
        <v>4</v>
      </c>
      <c r="B2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3" s="1" t="s">
        <v>2076</v>
      </c>
      <c r="D243" s="1" t="s">
        <v>2077</v>
      </c>
      <c r="E243" s="1" t="s">
        <v>2078</v>
      </c>
      <c r="F243" s="1" t="s">
        <v>112</v>
      </c>
      <c r="G243" s="1">
        <v>102893</v>
      </c>
    </row>
    <row r="244" spans="1:7" x14ac:dyDescent="0.35">
      <c r="A244" s="1" t="str">
        <f t="shared" si="3"/>
        <v>4</v>
      </c>
      <c r="B2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4" s="1" t="s">
        <v>2079</v>
      </c>
      <c r="D244" s="1" t="s">
        <v>1907</v>
      </c>
      <c r="E244" s="1" t="s">
        <v>2080</v>
      </c>
      <c r="F244" s="1" t="s">
        <v>112</v>
      </c>
      <c r="G244" s="1">
        <v>389252</v>
      </c>
    </row>
    <row r="245" spans="1:7" x14ac:dyDescent="0.35">
      <c r="A245" s="1" t="str">
        <f t="shared" si="3"/>
        <v>4</v>
      </c>
      <c r="B2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5" s="1" t="s">
        <v>2081</v>
      </c>
      <c r="D245" s="1" t="s">
        <v>1229</v>
      </c>
      <c r="E245" s="1" t="s">
        <v>2082</v>
      </c>
      <c r="F245" s="1" t="s">
        <v>112</v>
      </c>
      <c r="G245" s="1">
        <v>495606</v>
      </c>
    </row>
    <row r="246" spans="1:7" x14ac:dyDescent="0.35">
      <c r="A246" s="1" t="str">
        <f t="shared" si="3"/>
        <v>4</v>
      </c>
      <c r="B2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6" s="1" t="s">
        <v>2083</v>
      </c>
      <c r="D246" s="1" t="s">
        <v>1714</v>
      </c>
      <c r="E246" s="1" t="s">
        <v>2084</v>
      </c>
      <c r="F246" s="1" t="s">
        <v>112</v>
      </c>
      <c r="G246" s="1">
        <v>617533</v>
      </c>
    </row>
    <row r="247" spans="1:7" x14ac:dyDescent="0.35">
      <c r="A247" s="1" t="str">
        <f t="shared" si="3"/>
        <v>4</v>
      </c>
      <c r="B2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7" s="1" t="s">
        <v>2085</v>
      </c>
      <c r="D247" s="1" t="s">
        <v>2086</v>
      </c>
      <c r="E247" s="1" t="s">
        <v>2087</v>
      </c>
      <c r="F247" s="1" t="s">
        <v>112</v>
      </c>
      <c r="G247" s="1">
        <v>854078</v>
      </c>
    </row>
    <row r="248" spans="1:7" x14ac:dyDescent="0.35">
      <c r="A248" s="1" t="str">
        <f t="shared" si="3"/>
        <v>4</v>
      </c>
      <c r="B2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8" s="1" t="s">
        <v>2088</v>
      </c>
      <c r="D248" s="1" t="s">
        <v>2089</v>
      </c>
      <c r="E248" s="1" t="s">
        <v>2090</v>
      </c>
      <c r="F248" s="1" t="s">
        <v>112</v>
      </c>
      <c r="G248" s="1">
        <v>409908</v>
      </c>
    </row>
    <row r="249" spans="1:7" x14ac:dyDescent="0.35">
      <c r="A249" s="1" t="str">
        <f t="shared" si="3"/>
        <v>4</v>
      </c>
      <c r="B2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9" s="1" t="s">
        <v>2091</v>
      </c>
      <c r="D249" s="1" t="s">
        <v>2092</v>
      </c>
      <c r="E249" s="1" t="s">
        <v>2093</v>
      </c>
      <c r="F249" s="1" t="s">
        <v>112</v>
      </c>
      <c r="G249" s="1">
        <v>497379</v>
      </c>
    </row>
    <row r="250" spans="1:7" x14ac:dyDescent="0.35">
      <c r="A250" s="1" t="str">
        <f t="shared" si="3"/>
        <v>4</v>
      </c>
      <c r="B2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0" s="1" t="s">
        <v>2094</v>
      </c>
      <c r="D250" s="1" t="s">
        <v>2095</v>
      </c>
      <c r="E250" s="1" t="s">
        <v>2096</v>
      </c>
      <c r="F250" s="1" t="s">
        <v>112</v>
      </c>
      <c r="G250" s="1">
        <v>447458</v>
      </c>
    </row>
    <row r="251" spans="1:7" x14ac:dyDescent="0.35">
      <c r="A251" s="1" t="str">
        <f t="shared" si="3"/>
        <v>4</v>
      </c>
      <c r="B2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1" s="1" t="s">
        <v>2097</v>
      </c>
      <c r="D251" s="1" t="s">
        <v>2098</v>
      </c>
      <c r="E251" s="1" t="s">
        <v>2099</v>
      </c>
      <c r="F251" s="1" t="s">
        <v>112</v>
      </c>
      <c r="G251" s="1">
        <v>642581</v>
      </c>
    </row>
    <row r="252" spans="1:7" x14ac:dyDescent="0.35">
      <c r="A252" s="1" t="str">
        <f t="shared" si="3"/>
        <v>4</v>
      </c>
      <c r="B2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2" s="1" t="s">
        <v>2100</v>
      </c>
      <c r="D252" s="1" t="s">
        <v>1049</v>
      </c>
      <c r="E252" s="1" t="s">
        <v>2101</v>
      </c>
      <c r="F252" s="1" t="s">
        <v>112</v>
      </c>
      <c r="G252" s="1">
        <v>149376</v>
      </c>
    </row>
    <row r="253" spans="1:7" x14ac:dyDescent="0.35">
      <c r="A253" s="1" t="str">
        <f t="shared" si="3"/>
        <v>4</v>
      </c>
      <c r="B2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3" s="1" t="s">
        <v>2102</v>
      </c>
      <c r="D253" s="1" t="s">
        <v>584</v>
      </c>
      <c r="E253" s="1" t="s">
        <v>2103</v>
      </c>
      <c r="F253" s="1" t="s">
        <v>112</v>
      </c>
      <c r="G253" s="1">
        <v>180393</v>
      </c>
    </row>
    <row r="254" spans="1:7" x14ac:dyDescent="0.35">
      <c r="A254" s="1" t="str">
        <f t="shared" si="3"/>
        <v>4</v>
      </c>
      <c r="B2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4" s="1" t="s">
        <v>2104</v>
      </c>
      <c r="D254" s="1" t="s">
        <v>593</v>
      </c>
      <c r="E254" s="1" t="s">
        <v>2105</v>
      </c>
      <c r="F254" s="1" t="s">
        <v>112</v>
      </c>
      <c r="G254" s="1">
        <v>74082</v>
      </c>
    </row>
    <row r="255" spans="1:7" x14ac:dyDescent="0.35">
      <c r="A255" s="1" t="str">
        <f t="shared" si="3"/>
        <v>4</v>
      </c>
      <c r="B2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5" s="1" t="s">
        <v>2106</v>
      </c>
      <c r="D255" s="1" t="s">
        <v>2107</v>
      </c>
      <c r="E255" s="1" t="s">
        <v>2108</v>
      </c>
      <c r="F255" s="1" t="s">
        <v>112</v>
      </c>
      <c r="G255" s="1">
        <v>523032</v>
      </c>
    </row>
    <row r="256" spans="1:7" x14ac:dyDescent="0.35">
      <c r="A256" s="1" t="str">
        <f t="shared" si="3"/>
        <v>4</v>
      </c>
      <c r="B2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6" s="1" t="s">
        <v>2109</v>
      </c>
      <c r="D256" s="1" t="s">
        <v>2110</v>
      </c>
      <c r="E256" s="1" t="s">
        <v>2111</v>
      </c>
      <c r="F256" s="1" t="s">
        <v>112</v>
      </c>
      <c r="G256" s="1">
        <v>393556</v>
      </c>
    </row>
    <row r="257" spans="1:8" x14ac:dyDescent="0.35">
      <c r="A257" s="1" t="str">
        <f t="shared" si="3"/>
        <v>4</v>
      </c>
      <c r="B2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7" s="1" t="s">
        <v>2112</v>
      </c>
      <c r="D257" s="1" t="s">
        <v>2113</v>
      </c>
      <c r="E257" s="1" t="s">
        <v>2114</v>
      </c>
      <c r="F257" s="1" t="s">
        <v>112</v>
      </c>
      <c r="G257" s="1">
        <v>546220</v>
      </c>
    </row>
    <row r="258" spans="1:8" x14ac:dyDescent="0.35">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8" s="1" t="s">
        <v>112</v>
      </c>
    </row>
    <row r="259" spans="1:8" x14ac:dyDescent="0.35">
      <c r="A259" s="1" t="str">
        <f t="shared" si="4"/>
        <v/>
      </c>
      <c r="B2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9" s="1" t="s">
        <v>239</v>
      </c>
      <c r="D259" s="1" t="s">
        <v>112</v>
      </c>
      <c r="E259" s="1" t="s">
        <v>240</v>
      </c>
      <c r="F259" s="1" t="s">
        <v>241</v>
      </c>
      <c r="G259" s="1" t="s">
        <v>242</v>
      </c>
      <c r="H259" s="1" t="s">
        <v>243</v>
      </c>
    </row>
    <row r="260" spans="1:8" x14ac:dyDescent="0.35">
      <c r="A260" s="1" t="str">
        <f t="shared" si="4"/>
        <v>4</v>
      </c>
      <c r="B2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60" s="1" t="s">
        <v>2115</v>
      </c>
      <c r="D260" s="1" t="s">
        <v>112</v>
      </c>
      <c r="E260" s="1" t="s">
        <v>2116</v>
      </c>
      <c r="F260" s="1" t="s">
        <v>2117</v>
      </c>
      <c r="G260" s="1" t="s">
        <v>2118</v>
      </c>
      <c r="H260" s="1" t="s">
        <v>2119</v>
      </c>
    </row>
    <row r="261" spans="1:8" x14ac:dyDescent="0.35">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1" s="1" t="s">
        <v>112</v>
      </c>
    </row>
    <row r="262" spans="1:8" x14ac:dyDescent="0.35">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2" s="1" t="s">
        <v>112</v>
      </c>
    </row>
    <row r="263" spans="1:8" x14ac:dyDescent="0.35">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3" s="1" t="s">
        <v>112</v>
      </c>
    </row>
    <row r="264" spans="1:8" x14ac:dyDescent="0.35">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4" s="1" t="s">
        <v>112</v>
      </c>
    </row>
    <row r="265" spans="1:8" x14ac:dyDescent="0.35">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5" s="1" t="s">
        <v>112</v>
      </c>
    </row>
    <row r="266" spans="1:8" x14ac:dyDescent="0.35">
      <c r="A266" s="1" t="str">
        <f t="shared" si="4"/>
        <v/>
      </c>
      <c r="B2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6" s="1" t="s">
        <v>172</v>
      </c>
      <c r="D266" s="1" t="s">
        <v>110</v>
      </c>
      <c r="E266" s="1" t="s">
        <v>111</v>
      </c>
      <c r="F266" s="1" t="s">
        <v>112</v>
      </c>
      <c r="G266" s="1" t="s">
        <v>113</v>
      </c>
    </row>
    <row r="267" spans="1:8" x14ac:dyDescent="0.35">
      <c r="A267" s="1" t="str">
        <f t="shared" si="4"/>
        <v>5</v>
      </c>
      <c r="B2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7" s="1" t="s">
        <v>2120</v>
      </c>
      <c r="D267" s="1" t="s">
        <v>2121</v>
      </c>
      <c r="E267" s="1" t="s">
        <v>2122</v>
      </c>
      <c r="F267" s="1" t="s">
        <v>112</v>
      </c>
      <c r="G267" s="1">
        <v>2758612</v>
      </c>
    </row>
    <row r="268" spans="1:8" x14ac:dyDescent="0.35">
      <c r="A268" s="1" t="str">
        <f t="shared" si="4"/>
        <v>5</v>
      </c>
      <c r="B2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8" s="1" t="s">
        <v>2123</v>
      </c>
      <c r="D268" s="1" t="s">
        <v>2124</v>
      </c>
      <c r="E268" s="1" t="s">
        <v>2125</v>
      </c>
      <c r="F268" s="1" t="s">
        <v>112</v>
      </c>
      <c r="G268" s="1">
        <v>2351256</v>
      </c>
    </row>
    <row r="269" spans="1:8" x14ac:dyDescent="0.35">
      <c r="A269" s="1" t="str">
        <f t="shared" si="4"/>
        <v>5</v>
      </c>
      <c r="B2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9" s="1" t="s">
        <v>2126</v>
      </c>
      <c r="D269" s="1" t="s">
        <v>2127</v>
      </c>
      <c r="E269" s="1" t="s">
        <v>2128</v>
      </c>
      <c r="F269" s="1" t="s">
        <v>112</v>
      </c>
      <c r="G269" s="1">
        <v>2383939</v>
      </c>
    </row>
    <row r="270" spans="1:8" x14ac:dyDescent="0.35">
      <c r="A270" s="1" t="str">
        <f t="shared" si="4"/>
        <v>5</v>
      </c>
      <c r="B2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0" s="1" t="s">
        <v>2129</v>
      </c>
      <c r="D270" s="1" t="s">
        <v>2130</v>
      </c>
      <c r="E270" s="1" t="s">
        <v>2131</v>
      </c>
      <c r="F270" s="1" t="s">
        <v>112</v>
      </c>
      <c r="G270" s="1">
        <v>1209154</v>
      </c>
    </row>
    <row r="271" spans="1:8" x14ac:dyDescent="0.35">
      <c r="A271" s="1" t="str">
        <f t="shared" si="4"/>
        <v>5</v>
      </c>
      <c r="B2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1" s="1" t="s">
        <v>2132</v>
      </c>
      <c r="D271" s="1" t="s">
        <v>2133</v>
      </c>
      <c r="E271" s="1" t="s">
        <v>2134</v>
      </c>
      <c r="F271" s="1" t="s">
        <v>112</v>
      </c>
      <c r="G271" s="1">
        <v>1329957</v>
      </c>
    </row>
    <row r="272" spans="1:8" x14ac:dyDescent="0.35">
      <c r="A272" s="1" t="str">
        <f t="shared" si="4"/>
        <v>5</v>
      </c>
      <c r="B2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2" s="1" t="s">
        <v>2135</v>
      </c>
      <c r="D272" s="1" t="s">
        <v>781</v>
      </c>
      <c r="E272" s="1" t="s">
        <v>2136</v>
      </c>
      <c r="F272" s="1" t="s">
        <v>112</v>
      </c>
      <c r="G272" s="1">
        <v>1544548</v>
      </c>
    </row>
    <row r="273" spans="1:7" x14ac:dyDescent="0.35">
      <c r="A273" s="1" t="str">
        <f t="shared" si="4"/>
        <v>5</v>
      </c>
      <c r="B2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3" s="1" t="s">
        <v>2137</v>
      </c>
    </row>
    <row r="274" spans="1:7" x14ac:dyDescent="0.35">
      <c r="A274" s="1" t="str">
        <f t="shared" si="4"/>
        <v>5</v>
      </c>
      <c r="B2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4" s="1" t="s">
        <v>2138</v>
      </c>
    </row>
    <row r="275" spans="1:7" x14ac:dyDescent="0.35">
      <c r="A275" s="1" t="str">
        <f t="shared" si="4"/>
        <v>5</v>
      </c>
      <c r="B2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5" s="1" t="s">
        <v>2139</v>
      </c>
    </row>
    <row r="276" spans="1:7" x14ac:dyDescent="0.35">
      <c r="A276" s="1" t="str">
        <f t="shared" si="4"/>
        <v>5</v>
      </c>
      <c r="B2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6" s="1" t="s">
        <v>2140</v>
      </c>
      <c r="D276" s="1" t="s">
        <v>2141</v>
      </c>
      <c r="E276" s="1" t="s">
        <v>2142</v>
      </c>
      <c r="F276" s="1" t="s">
        <v>112</v>
      </c>
      <c r="G276" s="1">
        <v>2109931</v>
      </c>
    </row>
    <row r="277" spans="1:7" x14ac:dyDescent="0.35">
      <c r="A277" s="1" t="str">
        <f t="shared" si="4"/>
        <v>5</v>
      </c>
      <c r="B2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7" s="1" t="s">
        <v>2143</v>
      </c>
      <c r="D277" s="1" t="s">
        <v>2144</v>
      </c>
      <c r="E277" s="1" t="s">
        <v>2145</v>
      </c>
      <c r="F277" s="1" t="s">
        <v>112</v>
      </c>
      <c r="G277" s="1">
        <v>1845008</v>
      </c>
    </row>
    <row r="278" spans="1:7" x14ac:dyDescent="0.35">
      <c r="A278" s="1" t="str">
        <f t="shared" si="4"/>
        <v>5</v>
      </c>
      <c r="B2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8" s="1" t="s">
        <v>2146</v>
      </c>
      <c r="D278" s="1" t="s">
        <v>2147</v>
      </c>
      <c r="E278" s="1" t="s">
        <v>2148</v>
      </c>
      <c r="F278" s="1" t="s">
        <v>112</v>
      </c>
      <c r="G278" s="1">
        <v>1766059</v>
      </c>
    </row>
    <row r="279" spans="1:7" x14ac:dyDescent="0.35">
      <c r="A279" s="1" t="str">
        <f t="shared" si="4"/>
        <v>5</v>
      </c>
      <c r="B2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9" s="1" t="s">
        <v>2149</v>
      </c>
      <c r="D279" s="1" t="s">
        <v>2150</v>
      </c>
      <c r="E279" s="1" t="s">
        <v>2151</v>
      </c>
      <c r="F279" s="1" t="s">
        <v>112</v>
      </c>
      <c r="G279" s="1">
        <v>1826515</v>
      </c>
    </row>
    <row r="280" spans="1:7" x14ac:dyDescent="0.35">
      <c r="A280" s="1" t="str">
        <f t="shared" si="4"/>
        <v>5</v>
      </c>
      <c r="B2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80" s="1" t="s">
        <v>2152</v>
      </c>
      <c r="D280" s="1" t="s">
        <v>2153</v>
      </c>
      <c r="E280" s="1" t="s">
        <v>2154</v>
      </c>
      <c r="F280" s="1" t="s">
        <v>112</v>
      </c>
      <c r="G280" s="1">
        <v>1551815</v>
      </c>
    </row>
    <row r="281" spans="1:7" x14ac:dyDescent="0.35">
      <c r="A281" s="1" t="str">
        <f t="shared" si="4"/>
        <v>5</v>
      </c>
      <c r="B2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81" s="1" t="s">
        <v>2155</v>
      </c>
      <c r="D281" s="1" t="s">
        <v>2156</v>
      </c>
      <c r="E281" s="1" t="s">
        <v>2157</v>
      </c>
      <c r="F281" s="1" t="s">
        <v>112</v>
      </c>
      <c r="G281" s="1">
        <v>1508490</v>
      </c>
    </row>
    <row r="282" spans="1:7" x14ac:dyDescent="0.35">
      <c r="A282" s="1" t="str">
        <f t="shared" si="4"/>
        <v>5</v>
      </c>
      <c r="B2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2" s="1" t="s">
        <v>2158</v>
      </c>
      <c r="D282" s="1" t="s">
        <v>2159</v>
      </c>
      <c r="E282" s="1" t="s">
        <v>2160</v>
      </c>
      <c r="F282" s="1" t="s">
        <v>112</v>
      </c>
      <c r="G282" s="1">
        <v>1392792</v>
      </c>
    </row>
    <row r="283" spans="1:7" x14ac:dyDescent="0.35">
      <c r="A283" s="1" t="str">
        <f t="shared" si="4"/>
        <v>5</v>
      </c>
      <c r="B2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3" s="1" t="s">
        <v>2161</v>
      </c>
    </row>
    <row r="284" spans="1:7" x14ac:dyDescent="0.35">
      <c r="A284" s="1" t="str">
        <f t="shared" si="4"/>
        <v>5</v>
      </c>
      <c r="B2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4" s="1" t="s">
        <v>2162</v>
      </c>
      <c r="D284" s="1" t="s">
        <v>2163</v>
      </c>
      <c r="E284" s="1" t="s">
        <v>2164</v>
      </c>
      <c r="F284" s="1" t="s">
        <v>112</v>
      </c>
      <c r="G284" s="1">
        <v>1638010</v>
      </c>
    </row>
    <row r="285" spans="1:7" x14ac:dyDescent="0.35">
      <c r="A285" s="1" t="str">
        <f t="shared" si="4"/>
        <v>5</v>
      </c>
      <c r="B2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5" s="1" t="s">
        <v>2165</v>
      </c>
      <c r="D285" s="1" t="s">
        <v>676</v>
      </c>
      <c r="E285" s="1" t="s">
        <v>2166</v>
      </c>
      <c r="F285" s="1" t="s">
        <v>112</v>
      </c>
      <c r="G285" s="1">
        <v>1202730</v>
      </c>
    </row>
    <row r="286" spans="1:7" x14ac:dyDescent="0.35">
      <c r="A286" s="1" t="str">
        <f t="shared" si="4"/>
        <v>5</v>
      </c>
      <c r="B2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6" s="1" t="s">
        <v>2167</v>
      </c>
      <c r="D286" s="1" t="s">
        <v>2168</v>
      </c>
      <c r="E286" s="1" t="s">
        <v>2169</v>
      </c>
      <c r="F286" s="1" t="s">
        <v>112</v>
      </c>
      <c r="G286" s="1">
        <v>477069</v>
      </c>
    </row>
    <row r="287" spans="1:7" x14ac:dyDescent="0.35">
      <c r="A287" s="1" t="str">
        <f t="shared" si="4"/>
        <v>5</v>
      </c>
      <c r="B2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7" s="1" t="s">
        <v>2170</v>
      </c>
      <c r="D287" s="1" t="s">
        <v>2171</v>
      </c>
      <c r="E287" s="1" t="s">
        <v>2172</v>
      </c>
      <c r="F287" s="1" t="s">
        <v>112</v>
      </c>
      <c r="G287" s="1">
        <v>744371</v>
      </c>
    </row>
    <row r="288" spans="1:7" x14ac:dyDescent="0.35">
      <c r="A288" s="1" t="str">
        <f t="shared" si="4"/>
        <v>5</v>
      </c>
      <c r="B2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8" s="1" t="s">
        <v>2173</v>
      </c>
      <c r="D288" s="1" t="s">
        <v>2174</v>
      </c>
      <c r="E288" s="1" t="s">
        <v>2175</v>
      </c>
      <c r="F288" s="1" t="s">
        <v>112</v>
      </c>
      <c r="G288" s="1">
        <v>2978458</v>
      </c>
    </row>
    <row r="289" spans="1:8" x14ac:dyDescent="0.35">
      <c r="A289" s="1" t="str">
        <f t="shared" si="4"/>
        <v>5</v>
      </c>
      <c r="B2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9" s="1" t="s">
        <v>2176</v>
      </c>
      <c r="D289" s="1" t="s">
        <v>2177</v>
      </c>
      <c r="E289" s="1" t="s">
        <v>2178</v>
      </c>
      <c r="F289" s="1" t="s">
        <v>112</v>
      </c>
      <c r="G289" s="1">
        <v>3156991</v>
      </c>
    </row>
    <row r="290" spans="1:8" x14ac:dyDescent="0.35">
      <c r="A290" s="1" t="str">
        <f t="shared" si="4"/>
        <v>5</v>
      </c>
      <c r="B2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90" s="1" t="s">
        <v>2179</v>
      </c>
      <c r="D290" s="1" t="s">
        <v>2180</v>
      </c>
      <c r="E290" s="1" t="s">
        <v>2181</v>
      </c>
      <c r="F290" s="1" t="s">
        <v>112</v>
      </c>
      <c r="G290" s="1">
        <v>2369706</v>
      </c>
    </row>
    <row r="291" spans="1:8" x14ac:dyDescent="0.35">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1" s="1" t="s">
        <v>112</v>
      </c>
    </row>
    <row r="292" spans="1:8" x14ac:dyDescent="0.35">
      <c r="A292" s="1" t="str">
        <f t="shared" si="4"/>
        <v/>
      </c>
      <c r="B2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2" s="1" t="s">
        <v>239</v>
      </c>
      <c r="D292" s="1" t="s">
        <v>112</v>
      </c>
      <c r="E292" s="1" t="s">
        <v>240</v>
      </c>
      <c r="F292" s="1" t="s">
        <v>241</v>
      </c>
      <c r="G292" s="1" t="s">
        <v>242</v>
      </c>
      <c r="H292" s="1" t="s">
        <v>243</v>
      </c>
    </row>
    <row r="293" spans="1:8" x14ac:dyDescent="0.35">
      <c r="A293" s="1" t="str">
        <f t="shared" si="4"/>
        <v>5</v>
      </c>
      <c r="B2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3" s="1" t="s">
        <v>2182</v>
      </c>
      <c r="D293" s="1" t="s">
        <v>112</v>
      </c>
      <c r="E293" s="1" t="s">
        <v>2183</v>
      </c>
      <c r="F293" s="1" t="s">
        <v>2184</v>
      </c>
      <c r="G293" s="1" t="s">
        <v>2185</v>
      </c>
      <c r="H293" s="1" t="s">
        <v>2186</v>
      </c>
    </row>
    <row r="294" spans="1:8" x14ac:dyDescent="0.35">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4" s="1" t="s">
        <v>112</v>
      </c>
    </row>
    <row r="295" spans="1:8" x14ac:dyDescent="0.35">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5" s="1" t="s">
        <v>112</v>
      </c>
    </row>
    <row r="296" spans="1:8" x14ac:dyDescent="0.35">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6" s="1" t="s">
        <v>112</v>
      </c>
    </row>
    <row r="297" spans="1:8" x14ac:dyDescent="0.35">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7" s="1" t="s">
        <v>112</v>
      </c>
    </row>
    <row r="298" spans="1:8" x14ac:dyDescent="0.35">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8" s="1" t="s">
        <v>112</v>
      </c>
    </row>
    <row r="299" spans="1:8" x14ac:dyDescent="0.35">
      <c r="A299" s="1" t="str">
        <f t="shared" si="4"/>
        <v/>
      </c>
      <c r="B2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9" s="1" t="s">
        <v>172</v>
      </c>
      <c r="D299" s="1" t="s">
        <v>110</v>
      </c>
      <c r="E299" s="1" t="s">
        <v>111</v>
      </c>
      <c r="F299" s="1" t="s">
        <v>112</v>
      </c>
      <c r="G299" s="1" t="s">
        <v>113</v>
      </c>
    </row>
    <row r="300" spans="1:8" x14ac:dyDescent="0.35">
      <c r="A300" s="1" t="str">
        <f t="shared" si="4"/>
        <v>6</v>
      </c>
      <c r="B3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0" s="1" t="s">
        <v>2187</v>
      </c>
      <c r="D300" s="1" t="s">
        <v>2188</v>
      </c>
      <c r="E300" s="1" t="s">
        <v>2189</v>
      </c>
      <c r="F300" s="1" t="s">
        <v>112</v>
      </c>
      <c r="G300" s="1">
        <v>553249</v>
      </c>
    </row>
    <row r="301" spans="1:8" x14ac:dyDescent="0.35">
      <c r="A301" s="1" t="str">
        <f t="shared" si="4"/>
        <v>6</v>
      </c>
      <c r="B3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1" s="1" t="s">
        <v>2190</v>
      </c>
      <c r="D301" s="1" t="s">
        <v>2191</v>
      </c>
      <c r="E301" s="1" t="s">
        <v>2192</v>
      </c>
      <c r="F301" s="1" t="s">
        <v>112</v>
      </c>
      <c r="G301" s="1">
        <v>233624</v>
      </c>
    </row>
    <row r="302" spans="1:8" x14ac:dyDescent="0.35">
      <c r="A302" s="1" t="str">
        <f t="shared" si="4"/>
        <v>6</v>
      </c>
      <c r="B3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2" s="1" t="s">
        <v>2193</v>
      </c>
      <c r="D302" s="1" t="s">
        <v>2194</v>
      </c>
      <c r="E302" s="1" t="s">
        <v>2195</v>
      </c>
      <c r="F302" s="1" t="s">
        <v>112</v>
      </c>
      <c r="G302" s="1">
        <v>307382</v>
      </c>
    </row>
    <row r="303" spans="1:8" x14ac:dyDescent="0.35">
      <c r="A303" s="1" t="str">
        <f t="shared" si="4"/>
        <v>6</v>
      </c>
      <c r="B3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3" s="1" t="s">
        <v>2196</v>
      </c>
      <c r="D303" s="1" t="s">
        <v>2197</v>
      </c>
      <c r="E303" s="1" t="s">
        <v>2198</v>
      </c>
      <c r="F303" s="1" t="s">
        <v>112</v>
      </c>
      <c r="G303" s="1">
        <v>3482889</v>
      </c>
    </row>
    <row r="304" spans="1:8" x14ac:dyDescent="0.35">
      <c r="A304" s="1" t="str">
        <f t="shared" si="4"/>
        <v>6</v>
      </c>
      <c r="B3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4" s="1" t="s">
        <v>2199</v>
      </c>
      <c r="D304" s="1" t="s">
        <v>2200</v>
      </c>
      <c r="E304" s="1" t="s">
        <v>2201</v>
      </c>
      <c r="F304" s="1" t="s">
        <v>112</v>
      </c>
      <c r="G304" s="1">
        <v>3051870</v>
      </c>
    </row>
    <row r="305" spans="1:7" x14ac:dyDescent="0.35">
      <c r="A305" s="1" t="str">
        <f t="shared" si="4"/>
        <v>6</v>
      </c>
      <c r="B3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5" s="1" t="s">
        <v>2202</v>
      </c>
      <c r="D305" s="1" t="s">
        <v>2203</v>
      </c>
      <c r="E305" s="1" t="s">
        <v>2204</v>
      </c>
      <c r="F305" s="1" t="s">
        <v>112</v>
      </c>
      <c r="G305" s="1">
        <v>3027060</v>
      </c>
    </row>
    <row r="306" spans="1:7" x14ac:dyDescent="0.35">
      <c r="A306" s="1" t="str">
        <f t="shared" si="4"/>
        <v>6</v>
      </c>
      <c r="B3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6" s="1" t="s">
        <v>2205</v>
      </c>
      <c r="D306" s="1" t="s">
        <v>2206</v>
      </c>
      <c r="E306" s="1" t="s">
        <v>2207</v>
      </c>
      <c r="F306" s="1" t="s">
        <v>112</v>
      </c>
      <c r="G306" s="1">
        <v>1620750</v>
      </c>
    </row>
    <row r="307" spans="1:7" x14ac:dyDescent="0.35">
      <c r="A307" s="1" t="str">
        <f t="shared" si="4"/>
        <v>6</v>
      </c>
      <c r="B3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7" s="1" t="s">
        <v>2208</v>
      </c>
      <c r="D307" s="1" t="s">
        <v>2209</v>
      </c>
      <c r="E307" s="1" t="s">
        <v>2210</v>
      </c>
      <c r="F307" s="1" t="s">
        <v>112</v>
      </c>
      <c r="G307" s="1">
        <v>1622264</v>
      </c>
    </row>
    <row r="308" spans="1:7" x14ac:dyDescent="0.35">
      <c r="A308" s="1" t="str">
        <f t="shared" si="4"/>
        <v>6</v>
      </c>
      <c r="B3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8" s="1" t="s">
        <v>2211</v>
      </c>
      <c r="D308" s="1" t="s">
        <v>2212</v>
      </c>
      <c r="E308" s="1" t="s">
        <v>2213</v>
      </c>
      <c r="F308" s="1" t="s">
        <v>112</v>
      </c>
      <c r="G308" s="1">
        <v>1816132</v>
      </c>
    </row>
    <row r="309" spans="1:7" x14ac:dyDescent="0.35">
      <c r="A309" s="1" t="str">
        <f t="shared" si="4"/>
        <v>6</v>
      </c>
      <c r="B3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9" s="1" t="s">
        <v>2214</v>
      </c>
      <c r="D309" s="1" t="s">
        <v>2215</v>
      </c>
      <c r="E309" s="1" t="s">
        <v>2216</v>
      </c>
      <c r="F309" s="1" t="s">
        <v>112</v>
      </c>
      <c r="G309" s="1">
        <v>1617894</v>
      </c>
    </row>
    <row r="310" spans="1:7" x14ac:dyDescent="0.35">
      <c r="A310" s="1" t="str">
        <f t="shared" si="4"/>
        <v>6</v>
      </c>
      <c r="B3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10" s="1" t="s">
        <v>2217</v>
      </c>
      <c r="D310" s="1" t="s">
        <v>2218</v>
      </c>
      <c r="E310" s="1" t="s">
        <v>2219</v>
      </c>
      <c r="F310" s="1" t="s">
        <v>112</v>
      </c>
      <c r="G310" s="1">
        <v>1962545</v>
      </c>
    </row>
    <row r="311" spans="1:7" x14ac:dyDescent="0.35">
      <c r="A311" s="1" t="str">
        <f t="shared" si="4"/>
        <v>6</v>
      </c>
      <c r="B3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11" s="1" t="s">
        <v>2220</v>
      </c>
      <c r="D311" s="1" t="s">
        <v>2221</v>
      </c>
      <c r="E311" s="1" t="s">
        <v>2222</v>
      </c>
      <c r="F311" s="1" t="s">
        <v>112</v>
      </c>
      <c r="G311" s="1">
        <v>642646</v>
      </c>
    </row>
    <row r="312" spans="1:7" x14ac:dyDescent="0.35">
      <c r="A312" s="1" t="str">
        <f t="shared" si="4"/>
        <v>6</v>
      </c>
      <c r="B3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2" s="1" t="s">
        <v>2223</v>
      </c>
      <c r="D312" s="1" t="s">
        <v>2224</v>
      </c>
      <c r="E312" s="1" t="s">
        <v>2225</v>
      </c>
      <c r="F312" s="1" t="s">
        <v>112</v>
      </c>
      <c r="G312" s="1">
        <v>2604239</v>
      </c>
    </row>
    <row r="313" spans="1:7" x14ac:dyDescent="0.35">
      <c r="A313" s="1" t="str">
        <f t="shared" si="4"/>
        <v>6</v>
      </c>
      <c r="B3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3" s="1" t="s">
        <v>2226</v>
      </c>
    </row>
    <row r="314" spans="1:7" x14ac:dyDescent="0.35">
      <c r="A314" s="1" t="str">
        <f t="shared" si="4"/>
        <v>6</v>
      </c>
      <c r="B3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4" s="1" t="s">
        <v>2227</v>
      </c>
      <c r="D314" s="1" t="s">
        <v>2228</v>
      </c>
      <c r="E314" s="1" t="s">
        <v>2229</v>
      </c>
      <c r="F314" s="1" t="s">
        <v>112</v>
      </c>
      <c r="G314" s="1">
        <v>3707061</v>
      </c>
    </row>
    <row r="315" spans="1:7" x14ac:dyDescent="0.35">
      <c r="A315" s="1" t="str">
        <f t="shared" si="4"/>
        <v>6</v>
      </c>
      <c r="B3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5" s="1" t="s">
        <v>2230</v>
      </c>
      <c r="D315" s="1" t="s">
        <v>2231</v>
      </c>
      <c r="E315" s="1" t="s">
        <v>2232</v>
      </c>
      <c r="F315" s="1" t="s">
        <v>112</v>
      </c>
      <c r="G315" s="1">
        <v>2737523</v>
      </c>
    </row>
    <row r="316" spans="1:7" x14ac:dyDescent="0.35">
      <c r="A316" s="1" t="str">
        <f t="shared" si="4"/>
        <v>6</v>
      </c>
      <c r="B3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6" s="1" t="s">
        <v>2233</v>
      </c>
      <c r="D316" s="1" t="s">
        <v>2234</v>
      </c>
      <c r="E316" s="1" t="s">
        <v>2235</v>
      </c>
      <c r="F316" s="1" t="s">
        <v>112</v>
      </c>
      <c r="G316" s="1">
        <v>2767026</v>
      </c>
    </row>
    <row r="317" spans="1:7" x14ac:dyDescent="0.35">
      <c r="A317" s="1" t="str">
        <f t="shared" si="4"/>
        <v>6</v>
      </c>
      <c r="B3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7" s="1" t="s">
        <v>2236</v>
      </c>
      <c r="D317" s="1" t="s">
        <v>840</v>
      </c>
      <c r="E317" s="1" t="s">
        <v>2237</v>
      </c>
      <c r="F317" s="1" t="s">
        <v>112</v>
      </c>
      <c r="G317" s="1">
        <v>2725280</v>
      </c>
    </row>
    <row r="318" spans="1:7" x14ac:dyDescent="0.35">
      <c r="A318" s="1" t="str">
        <f t="shared" si="4"/>
        <v>6</v>
      </c>
      <c r="B3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8" s="1" t="s">
        <v>2238</v>
      </c>
      <c r="D318" s="1" t="s">
        <v>861</v>
      </c>
      <c r="E318" s="1" t="s">
        <v>2239</v>
      </c>
      <c r="F318" s="1" t="s">
        <v>112</v>
      </c>
      <c r="G318" s="1">
        <v>1792902</v>
      </c>
    </row>
    <row r="319" spans="1:7" x14ac:dyDescent="0.35">
      <c r="A319" s="1" t="str">
        <f t="shared" si="4"/>
        <v>6</v>
      </c>
      <c r="B3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9" s="1" t="s">
        <v>2240</v>
      </c>
      <c r="D319" s="1" t="s">
        <v>2241</v>
      </c>
      <c r="E319" s="1" t="s">
        <v>2242</v>
      </c>
      <c r="F319" s="1" t="s">
        <v>112</v>
      </c>
      <c r="G319" s="1">
        <v>2040024</v>
      </c>
    </row>
    <row r="320" spans="1:7" x14ac:dyDescent="0.35">
      <c r="A320" s="1" t="str">
        <f t="shared" si="4"/>
        <v>6</v>
      </c>
      <c r="B3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20" s="1" t="s">
        <v>2243</v>
      </c>
      <c r="D320" s="1" t="s">
        <v>2244</v>
      </c>
      <c r="E320" s="1" t="s">
        <v>2245</v>
      </c>
      <c r="F320" s="1" t="s">
        <v>112</v>
      </c>
      <c r="G320" s="1">
        <v>1660462</v>
      </c>
    </row>
    <row r="321" spans="1:8" x14ac:dyDescent="0.35">
      <c r="A321" s="1" t="str">
        <f t="shared" si="4"/>
        <v>6</v>
      </c>
      <c r="B3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1" s="1" t="s">
        <v>2246</v>
      </c>
      <c r="D321" s="1" t="s">
        <v>937</v>
      </c>
      <c r="E321" s="1" t="s">
        <v>2247</v>
      </c>
      <c r="F321" s="1" t="s">
        <v>112</v>
      </c>
      <c r="G321" s="1">
        <v>2564332</v>
      </c>
    </row>
    <row r="322" spans="1:8" x14ac:dyDescent="0.35">
      <c r="A322" s="1" t="str">
        <f t="shared" ref="A322:A385" si="5">IFERROR(LEFT(RIGHT(C322,LEN(C322)-SEARCH("@",C322)),SEARCH("/",RIGHT(C322,LEN(C322)-SEARCH("@",C322)-1))),"")</f>
        <v>6</v>
      </c>
      <c r="B3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2" s="1" t="s">
        <v>2248</v>
      </c>
      <c r="D322" s="1" t="s">
        <v>2249</v>
      </c>
      <c r="E322" s="1" t="s">
        <v>2250</v>
      </c>
      <c r="F322" s="1" t="s">
        <v>112</v>
      </c>
      <c r="G322" s="1">
        <v>2734797</v>
      </c>
    </row>
    <row r="323" spans="1:8" x14ac:dyDescent="0.35">
      <c r="A323" s="1" t="str">
        <f t="shared" si="5"/>
        <v>6</v>
      </c>
      <c r="B3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3" s="1" t="s">
        <v>2251</v>
      </c>
      <c r="D323" s="1" t="s">
        <v>2252</v>
      </c>
      <c r="E323" s="1" t="s">
        <v>2253</v>
      </c>
      <c r="F323" s="1" t="s">
        <v>112</v>
      </c>
      <c r="G323" s="1">
        <v>2177763</v>
      </c>
    </row>
    <row r="324" spans="1:8" x14ac:dyDescent="0.35">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4" s="1" t="s">
        <v>112</v>
      </c>
    </row>
    <row r="325" spans="1:8" x14ac:dyDescent="0.35">
      <c r="A325" s="1" t="str">
        <f t="shared" si="5"/>
        <v/>
      </c>
      <c r="B3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5" s="1" t="s">
        <v>239</v>
      </c>
      <c r="D325" s="1" t="s">
        <v>112</v>
      </c>
      <c r="E325" s="1" t="s">
        <v>240</v>
      </c>
      <c r="F325" s="1" t="s">
        <v>241</v>
      </c>
      <c r="G325" s="1" t="s">
        <v>242</v>
      </c>
      <c r="H325" s="1" t="s">
        <v>243</v>
      </c>
    </row>
    <row r="326" spans="1:8" x14ac:dyDescent="0.35">
      <c r="A326" s="1" t="str">
        <f t="shared" si="5"/>
        <v>6</v>
      </c>
      <c r="B3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26" s="1" t="s">
        <v>2254</v>
      </c>
      <c r="D326" s="1" t="s">
        <v>112</v>
      </c>
      <c r="E326" s="1" t="s">
        <v>2255</v>
      </c>
      <c r="F326" s="1" t="s">
        <v>2256</v>
      </c>
      <c r="G326" s="1" t="s">
        <v>2257</v>
      </c>
      <c r="H326" s="1" t="s">
        <v>2258</v>
      </c>
    </row>
    <row r="327" spans="1:8" x14ac:dyDescent="0.35">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7" s="1" t="s">
        <v>112</v>
      </c>
    </row>
    <row r="328" spans="1:8" x14ac:dyDescent="0.35">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8" s="1" t="s">
        <v>112</v>
      </c>
    </row>
    <row r="329" spans="1:8" x14ac:dyDescent="0.35">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9" s="1" t="s">
        <v>112</v>
      </c>
    </row>
    <row r="330" spans="1:8" x14ac:dyDescent="0.35">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0" s="1" t="s">
        <v>112</v>
      </c>
    </row>
    <row r="331" spans="1:8" x14ac:dyDescent="0.35">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1" s="1" t="s">
        <v>112</v>
      </c>
    </row>
    <row r="332" spans="1:8" x14ac:dyDescent="0.35">
      <c r="A332" s="1" t="str">
        <f t="shared" si="5"/>
        <v/>
      </c>
      <c r="B3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2" s="1" t="s">
        <v>172</v>
      </c>
      <c r="D332" s="1" t="s">
        <v>110</v>
      </c>
      <c r="E332" s="1" t="s">
        <v>111</v>
      </c>
      <c r="F332" s="1" t="s">
        <v>112</v>
      </c>
      <c r="G332" s="1" t="s">
        <v>113</v>
      </c>
    </row>
    <row r="333" spans="1:8" x14ac:dyDescent="0.35">
      <c r="A333" s="1" t="str">
        <f t="shared" si="5"/>
        <v>7</v>
      </c>
      <c r="B3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3" s="1" t="s">
        <v>2259</v>
      </c>
      <c r="D333" s="1" t="s">
        <v>2260</v>
      </c>
      <c r="E333" s="1" t="s">
        <v>2261</v>
      </c>
      <c r="F333" s="1" t="s">
        <v>112</v>
      </c>
      <c r="G333" s="1">
        <v>4881024</v>
      </c>
    </row>
    <row r="334" spans="1:8" x14ac:dyDescent="0.35">
      <c r="A334" s="1" t="str">
        <f t="shared" si="5"/>
        <v>7</v>
      </c>
      <c r="B3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4" s="1" t="s">
        <v>2262</v>
      </c>
      <c r="D334" s="1" t="s">
        <v>2263</v>
      </c>
      <c r="E334" s="1" t="s">
        <v>2264</v>
      </c>
      <c r="F334" s="1" t="s">
        <v>112</v>
      </c>
      <c r="G334" s="1">
        <v>4649995</v>
      </c>
    </row>
    <row r="335" spans="1:8" x14ac:dyDescent="0.35">
      <c r="A335" s="1" t="str">
        <f t="shared" si="5"/>
        <v>7</v>
      </c>
      <c r="B3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5" s="1" t="s">
        <v>2265</v>
      </c>
      <c r="D335" s="1" t="s">
        <v>2266</v>
      </c>
      <c r="E335" s="1" t="s">
        <v>2267</v>
      </c>
      <c r="F335" s="1" t="s">
        <v>112</v>
      </c>
      <c r="G335" s="1">
        <v>4495817</v>
      </c>
    </row>
    <row r="336" spans="1:8" x14ac:dyDescent="0.35">
      <c r="A336" s="1" t="str">
        <f t="shared" si="5"/>
        <v>7</v>
      </c>
      <c r="B3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6" s="1" t="s">
        <v>2268</v>
      </c>
    </row>
    <row r="337" spans="1:7" x14ac:dyDescent="0.35">
      <c r="A337" s="1" t="str">
        <f t="shared" si="5"/>
        <v>7</v>
      </c>
      <c r="B3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7" s="1" t="s">
        <v>2269</v>
      </c>
    </row>
    <row r="338" spans="1:7" x14ac:dyDescent="0.35">
      <c r="A338" s="1" t="str">
        <f t="shared" si="5"/>
        <v>7</v>
      </c>
      <c r="B3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8" s="1" t="s">
        <v>2270</v>
      </c>
    </row>
    <row r="339" spans="1:7" x14ac:dyDescent="0.35">
      <c r="A339" s="1" t="str">
        <f t="shared" si="5"/>
        <v>7</v>
      </c>
      <c r="B3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9" s="1" t="s">
        <v>2271</v>
      </c>
      <c r="D339" s="1" t="s">
        <v>2272</v>
      </c>
      <c r="E339" s="1" t="s">
        <v>2273</v>
      </c>
      <c r="F339" s="1" t="s">
        <v>112</v>
      </c>
      <c r="G339" s="1">
        <v>3652337</v>
      </c>
    </row>
    <row r="340" spans="1:7" x14ac:dyDescent="0.35">
      <c r="A340" s="1" t="str">
        <f t="shared" si="5"/>
        <v>7</v>
      </c>
      <c r="B3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0" s="1" t="s">
        <v>2274</v>
      </c>
      <c r="D340" s="1" t="s">
        <v>2275</v>
      </c>
      <c r="E340" s="1" t="s">
        <v>2276</v>
      </c>
      <c r="F340" s="1" t="s">
        <v>112</v>
      </c>
      <c r="G340" s="1">
        <v>3799118</v>
      </c>
    </row>
    <row r="341" spans="1:7" x14ac:dyDescent="0.35">
      <c r="A341" s="1" t="str">
        <f t="shared" si="5"/>
        <v>7</v>
      </c>
      <c r="B3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1" s="1" t="s">
        <v>2277</v>
      </c>
      <c r="D341" s="1" t="s">
        <v>2278</v>
      </c>
      <c r="E341" s="1" t="s">
        <v>2279</v>
      </c>
      <c r="F341" s="1" t="s">
        <v>112</v>
      </c>
      <c r="G341" s="1">
        <v>3489854</v>
      </c>
    </row>
    <row r="342" spans="1:7" x14ac:dyDescent="0.35">
      <c r="A342" s="1" t="str">
        <f t="shared" si="5"/>
        <v>7</v>
      </c>
      <c r="B3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2" s="1" t="s">
        <v>2280</v>
      </c>
      <c r="D342" s="1" t="s">
        <v>2281</v>
      </c>
      <c r="E342" s="1" t="s">
        <v>2282</v>
      </c>
      <c r="F342" s="1" t="s">
        <v>112</v>
      </c>
      <c r="G342" s="1">
        <v>3214246</v>
      </c>
    </row>
    <row r="343" spans="1:7" x14ac:dyDescent="0.35">
      <c r="A343" s="1" t="str">
        <f t="shared" si="5"/>
        <v>7</v>
      </c>
      <c r="B3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3" s="1" t="s">
        <v>2283</v>
      </c>
      <c r="D343" s="1" t="s">
        <v>2284</v>
      </c>
      <c r="E343" s="1" t="s">
        <v>2285</v>
      </c>
      <c r="F343" s="1" t="s">
        <v>112</v>
      </c>
      <c r="G343" s="1">
        <v>3648812</v>
      </c>
    </row>
    <row r="344" spans="1:7" x14ac:dyDescent="0.35">
      <c r="A344" s="1" t="str">
        <f t="shared" si="5"/>
        <v>7</v>
      </c>
      <c r="B3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4" s="1" t="s">
        <v>2286</v>
      </c>
      <c r="D344" s="1" t="s">
        <v>2287</v>
      </c>
      <c r="E344" s="1" t="s">
        <v>2288</v>
      </c>
      <c r="F344" s="1" t="s">
        <v>112</v>
      </c>
      <c r="G344" s="1">
        <v>2998206</v>
      </c>
    </row>
    <row r="345" spans="1:7" x14ac:dyDescent="0.35">
      <c r="A345" s="1" t="str">
        <f t="shared" si="5"/>
        <v>7</v>
      </c>
      <c r="B3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5" s="1" t="s">
        <v>2289</v>
      </c>
      <c r="D345" s="1" t="s">
        <v>2290</v>
      </c>
      <c r="E345" s="1" t="s">
        <v>2291</v>
      </c>
      <c r="F345" s="1" t="s">
        <v>112</v>
      </c>
      <c r="G345" s="1">
        <v>4813106</v>
      </c>
    </row>
    <row r="346" spans="1:7" x14ac:dyDescent="0.35">
      <c r="A346" s="1" t="str">
        <f t="shared" si="5"/>
        <v>7</v>
      </c>
      <c r="B3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6" s="1" t="s">
        <v>2292</v>
      </c>
      <c r="D346" s="1" t="s">
        <v>2293</v>
      </c>
      <c r="E346" s="1" t="s">
        <v>2294</v>
      </c>
      <c r="F346" s="1" t="s">
        <v>112</v>
      </c>
      <c r="G346" s="1">
        <v>5311805</v>
      </c>
    </row>
    <row r="347" spans="1:7" x14ac:dyDescent="0.35">
      <c r="A347" s="1" t="str">
        <f t="shared" si="5"/>
        <v>7</v>
      </c>
      <c r="B3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7" s="1" t="s">
        <v>2295</v>
      </c>
      <c r="D347" s="1" t="s">
        <v>2296</v>
      </c>
      <c r="E347" s="1" t="s">
        <v>2297</v>
      </c>
      <c r="F347" s="1" t="s">
        <v>112</v>
      </c>
      <c r="G347" s="1">
        <v>4463415</v>
      </c>
    </row>
    <row r="348" spans="1:7" x14ac:dyDescent="0.35">
      <c r="A348" s="1" t="str">
        <f t="shared" si="5"/>
        <v>7</v>
      </c>
      <c r="B3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8" s="1" t="s">
        <v>2298</v>
      </c>
      <c r="D348" s="1" t="s">
        <v>2299</v>
      </c>
      <c r="E348" s="1" t="s">
        <v>2300</v>
      </c>
      <c r="F348" s="1" t="s">
        <v>112</v>
      </c>
      <c r="G348" s="1">
        <v>2535846</v>
      </c>
    </row>
    <row r="349" spans="1:7" x14ac:dyDescent="0.35">
      <c r="A349" s="1" t="str">
        <f t="shared" si="5"/>
        <v>7</v>
      </c>
      <c r="B3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9" s="1" t="s">
        <v>2301</v>
      </c>
      <c r="D349" s="1" t="s">
        <v>264</v>
      </c>
      <c r="E349" s="1" t="s">
        <v>2302</v>
      </c>
      <c r="F349" s="1" t="s">
        <v>112</v>
      </c>
      <c r="G349" s="1">
        <v>2336245</v>
      </c>
    </row>
    <row r="350" spans="1:7" x14ac:dyDescent="0.35">
      <c r="A350" s="1" t="str">
        <f t="shared" si="5"/>
        <v>7</v>
      </c>
      <c r="B3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50" s="1" t="s">
        <v>2303</v>
      </c>
      <c r="D350" s="1" t="s">
        <v>2304</v>
      </c>
      <c r="E350" s="1" t="s">
        <v>2305</v>
      </c>
      <c r="F350" s="1" t="s">
        <v>112</v>
      </c>
      <c r="G350" s="1">
        <v>2762397</v>
      </c>
    </row>
    <row r="351" spans="1:7" x14ac:dyDescent="0.35">
      <c r="A351" s="1" t="str">
        <f t="shared" si="5"/>
        <v>7</v>
      </c>
      <c r="B3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1" s="1" t="s">
        <v>2306</v>
      </c>
      <c r="D351" s="1" t="s">
        <v>2307</v>
      </c>
      <c r="E351" s="1" t="s">
        <v>2308</v>
      </c>
      <c r="F351" s="1" t="s">
        <v>112</v>
      </c>
      <c r="G351" s="1">
        <v>4069319</v>
      </c>
    </row>
    <row r="352" spans="1:7" x14ac:dyDescent="0.35">
      <c r="A352" s="1" t="str">
        <f t="shared" si="5"/>
        <v>7</v>
      </c>
      <c r="B3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2" s="1" t="s">
        <v>2309</v>
      </c>
      <c r="D352" s="1" t="s">
        <v>2310</v>
      </c>
      <c r="E352" s="1" t="s">
        <v>2311</v>
      </c>
      <c r="F352" s="1" t="s">
        <v>112</v>
      </c>
      <c r="G352" s="1">
        <v>3975856</v>
      </c>
    </row>
    <row r="353" spans="1:8" x14ac:dyDescent="0.35">
      <c r="A353" s="1" t="str">
        <f t="shared" si="5"/>
        <v>7</v>
      </c>
      <c r="B3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3" s="1" t="s">
        <v>2312</v>
      </c>
      <c r="D353" s="1" t="s">
        <v>2313</v>
      </c>
      <c r="E353" s="1" t="s">
        <v>2314</v>
      </c>
      <c r="F353" s="1" t="s">
        <v>112</v>
      </c>
      <c r="G353" s="1">
        <v>4133754</v>
      </c>
    </row>
    <row r="354" spans="1:8" x14ac:dyDescent="0.35">
      <c r="A354" s="1" t="str">
        <f t="shared" si="5"/>
        <v>7</v>
      </c>
      <c r="B3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4" s="1" t="s">
        <v>2315</v>
      </c>
      <c r="D354" s="1" t="s">
        <v>2316</v>
      </c>
      <c r="E354" s="1" t="s">
        <v>2317</v>
      </c>
      <c r="F354" s="1" t="s">
        <v>112</v>
      </c>
      <c r="G354" s="1">
        <v>3664169</v>
      </c>
    </row>
    <row r="355" spans="1:8" x14ac:dyDescent="0.35">
      <c r="A355" s="1" t="str">
        <f t="shared" si="5"/>
        <v>7</v>
      </c>
      <c r="B3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5" s="1" t="s">
        <v>2318</v>
      </c>
      <c r="D355" s="1" t="s">
        <v>2319</v>
      </c>
      <c r="E355" s="1" t="s">
        <v>2320</v>
      </c>
      <c r="F355" s="1" t="s">
        <v>112</v>
      </c>
      <c r="G355" s="1">
        <v>3680456</v>
      </c>
    </row>
    <row r="356" spans="1:8" x14ac:dyDescent="0.35">
      <c r="A356" s="1" t="str">
        <f t="shared" si="5"/>
        <v>7</v>
      </c>
      <c r="B3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6" s="1" t="s">
        <v>2321</v>
      </c>
      <c r="D356" s="1" t="s">
        <v>2322</v>
      </c>
      <c r="E356" s="1" t="s">
        <v>2323</v>
      </c>
      <c r="F356" s="1" t="s">
        <v>112</v>
      </c>
      <c r="G356" s="1">
        <v>3537850</v>
      </c>
    </row>
    <row r="357" spans="1:8" x14ac:dyDescent="0.35">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7" s="1" t="s">
        <v>112</v>
      </c>
    </row>
    <row r="358" spans="1:8" x14ac:dyDescent="0.35">
      <c r="A358" s="1" t="str">
        <f t="shared" si="5"/>
        <v/>
      </c>
      <c r="B3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8" s="1" t="s">
        <v>239</v>
      </c>
      <c r="D358" s="1" t="s">
        <v>112</v>
      </c>
      <c r="E358" s="1" t="s">
        <v>240</v>
      </c>
      <c r="F358" s="1" t="s">
        <v>241</v>
      </c>
      <c r="G358" s="1" t="s">
        <v>242</v>
      </c>
      <c r="H358" s="1" t="s">
        <v>243</v>
      </c>
    </row>
    <row r="359" spans="1:8" x14ac:dyDescent="0.35">
      <c r="A359" s="1" t="str">
        <f t="shared" si="5"/>
        <v>7</v>
      </c>
      <c r="B3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59" s="1" t="s">
        <v>2324</v>
      </c>
      <c r="D359" s="1" t="s">
        <v>112</v>
      </c>
      <c r="E359" s="1" t="s">
        <v>2325</v>
      </c>
      <c r="F359" s="1" t="s">
        <v>2326</v>
      </c>
      <c r="G359" s="1" t="s">
        <v>2327</v>
      </c>
      <c r="H359" s="1" t="s">
        <v>2328</v>
      </c>
    </row>
    <row r="360" spans="1:8" x14ac:dyDescent="0.35">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0" s="1" t="s">
        <v>112</v>
      </c>
    </row>
    <row r="361" spans="1:8" x14ac:dyDescent="0.35">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1" s="1" t="s">
        <v>112</v>
      </c>
    </row>
    <row r="362" spans="1:8" x14ac:dyDescent="0.35">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2" s="1" t="s">
        <v>112</v>
      </c>
    </row>
    <row r="363" spans="1:8" x14ac:dyDescent="0.35">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3" s="1" t="s">
        <v>112</v>
      </c>
    </row>
    <row r="364" spans="1:8" x14ac:dyDescent="0.35">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4" s="1" t="s">
        <v>112</v>
      </c>
    </row>
    <row r="365" spans="1:8" x14ac:dyDescent="0.35">
      <c r="A365" s="1" t="str">
        <f t="shared" si="5"/>
        <v/>
      </c>
      <c r="B3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5" s="1" t="s">
        <v>172</v>
      </c>
      <c r="D365" s="1" t="s">
        <v>110</v>
      </c>
      <c r="E365" s="1" t="s">
        <v>111</v>
      </c>
      <c r="F365" s="1" t="s">
        <v>112</v>
      </c>
      <c r="G365" s="1" t="s">
        <v>113</v>
      </c>
    </row>
    <row r="366" spans="1:8" x14ac:dyDescent="0.35">
      <c r="A366" s="1" t="str">
        <f t="shared" si="5"/>
        <v>10</v>
      </c>
      <c r="B3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6" s="1" t="s">
        <v>2329</v>
      </c>
      <c r="D366" s="1">
        <v>0</v>
      </c>
      <c r="E366" s="1">
        <v>0</v>
      </c>
      <c r="F366" s="1" t="s">
        <v>112</v>
      </c>
      <c r="G366" s="1">
        <v>0</v>
      </c>
    </row>
    <row r="367" spans="1:8" x14ac:dyDescent="0.35">
      <c r="A367" s="1" t="str">
        <f t="shared" si="5"/>
        <v>10</v>
      </c>
      <c r="B3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7" s="1" t="s">
        <v>2330</v>
      </c>
      <c r="D367" s="1">
        <v>0</v>
      </c>
      <c r="E367" s="1">
        <v>0</v>
      </c>
      <c r="F367" s="1" t="s">
        <v>112</v>
      </c>
      <c r="G367" s="1">
        <v>0</v>
      </c>
    </row>
    <row r="368" spans="1:8" x14ac:dyDescent="0.35">
      <c r="A368" s="1" t="str">
        <f t="shared" si="5"/>
        <v>10</v>
      </c>
      <c r="B3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8" s="1" t="s">
        <v>2331</v>
      </c>
    </row>
    <row r="369" spans="1:7" x14ac:dyDescent="0.35">
      <c r="A369" s="1" t="str">
        <f t="shared" si="5"/>
        <v>10</v>
      </c>
      <c r="B3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9" s="1" t="s">
        <v>2332</v>
      </c>
    </row>
    <row r="370" spans="1:7" x14ac:dyDescent="0.35">
      <c r="A370" s="1" t="str">
        <f t="shared" si="5"/>
        <v>10</v>
      </c>
      <c r="B3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0" s="1" t="s">
        <v>2333</v>
      </c>
    </row>
    <row r="371" spans="1:7" x14ac:dyDescent="0.35">
      <c r="A371" s="1" t="str">
        <f t="shared" si="5"/>
        <v>10</v>
      </c>
      <c r="B3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1" s="1" t="s">
        <v>2334</v>
      </c>
    </row>
    <row r="372" spans="1:7" x14ac:dyDescent="0.35">
      <c r="A372" s="1" t="str">
        <f t="shared" si="5"/>
        <v>10</v>
      </c>
      <c r="B3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2" s="1" t="s">
        <v>2335</v>
      </c>
      <c r="D372" s="1" t="s">
        <v>1968</v>
      </c>
      <c r="E372" s="1" t="s">
        <v>2336</v>
      </c>
      <c r="F372" s="1" t="s">
        <v>112</v>
      </c>
      <c r="G372" s="1">
        <v>686381</v>
      </c>
    </row>
    <row r="373" spans="1:7" x14ac:dyDescent="0.35">
      <c r="A373" s="1" t="str">
        <f t="shared" si="5"/>
        <v>10</v>
      </c>
      <c r="B3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3" s="1" t="s">
        <v>2337</v>
      </c>
    </row>
    <row r="374" spans="1:7" x14ac:dyDescent="0.35">
      <c r="A374" s="1" t="str">
        <f t="shared" si="5"/>
        <v>10</v>
      </c>
      <c r="B3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4" s="1" t="s">
        <v>2338</v>
      </c>
    </row>
    <row r="375" spans="1:7" x14ac:dyDescent="0.35">
      <c r="A375" s="1" t="str">
        <f t="shared" si="5"/>
        <v>10</v>
      </c>
      <c r="B3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5" s="1" t="s">
        <v>2339</v>
      </c>
      <c r="D375" s="1" t="s">
        <v>1024</v>
      </c>
      <c r="E375" s="1" t="s">
        <v>2340</v>
      </c>
      <c r="F375" s="1" t="s">
        <v>112</v>
      </c>
      <c r="G375" s="1">
        <v>307902</v>
      </c>
    </row>
    <row r="376" spans="1:7" x14ac:dyDescent="0.35">
      <c r="A376" s="1" t="str">
        <f t="shared" si="5"/>
        <v>10</v>
      </c>
      <c r="B3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6" s="1" t="s">
        <v>2341</v>
      </c>
      <c r="D376" s="1" t="s">
        <v>2342</v>
      </c>
      <c r="E376" s="1" t="s">
        <v>2343</v>
      </c>
      <c r="F376" s="1" t="s">
        <v>112</v>
      </c>
      <c r="G376" s="1">
        <v>306366</v>
      </c>
    </row>
    <row r="377" spans="1:7" x14ac:dyDescent="0.35">
      <c r="A377" s="1" t="str">
        <f t="shared" si="5"/>
        <v>10</v>
      </c>
      <c r="B3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7" s="1" t="s">
        <v>2344</v>
      </c>
      <c r="D377" s="1" t="s">
        <v>2345</v>
      </c>
      <c r="E377" s="1" t="s">
        <v>2346</v>
      </c>
      <c r="F377" s="1" t="s">
        <v>112</v>
      </c>
      <c r="G377" s="1">
        <v>339935</v>
      </c>
    </row>
    <row r="378" spans="1:7" x14ac:dyDescent="0.35">
      <c r="A378" s="1" t="str">
        <f t="shared" si="5"/>
        <v>10</v>
      </c>
      <c r="B3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8" s="1" t="s">
        <v>2347</v>
      </c>
      <c r="D378" s="1" t="s">
        <v>2348</v>
      </c>
      <c r="E378" s="1" t="s">
        <v>2349</v>
      </c>
      <c r="F378" s="1" t="s">
        <v>112</v>
      </c>
      <c r="G378" s="1">
        <v>414277</v>
      </c>
    </row>
    <row r="379" spans="1:7" x14ac:dyDescent="0.35">
      <c r="A379" s="1" t="str">
        <f t="shared" si="5"/>
        <v>10</v>
      </c>
      <c r="B3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9" s="1" t="s">
        <v>2350</v>
      </c>
      <c r="D379" s="1" t="s">
        <v>189</v>
      </c>
      <c r="E379" s="1" t="s">
        <v>2351</v>
      </c>
      <c r="F379" s="1" t="s">
        <v>112</v>
      </c>
      <c r="G379" s="1">
        <v>210848</v>
      </c>
    </row>
    <row r="380" spans="1:7" x14ac:dyDescent="0.35">
      <c r="A380" s="1" t="str">
        <f t="shared" si="5"/>
        <v>10</v>
      </c>
      <c r="B3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80" s="1" t="s">
        <v>2352</v>
      </c>
      <c r="D380" s="1" t="s">
        <v>657</v>
      </c>
      <c r="E380" s="1" t="s">
        <v>2353</v>
      </c>
      <c r="F380" s="1" t="s">
        <v>112</v>
      </c>
      <c r="G380" s="1">
        <v>171547</v>
      </c>
    </row>
    <row r="381" spans="1:7" x14ac:dyDescent="0.35">
      <c r="A381" s="1" t="str">
        <f t="shared" si="5"/>
        <v>10</v>
      </c>
      <c r="B3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1" s="1" t="s">
        <v>2354</v>
      </c>
      <c r="D381" s="1" t="s">
        <v>1403</v>
      </c>
      <c r="E381" s="1" t="s">
        <v>2355</v>
      </c>
      <c r="F381" s="1" t="s">
        <v>112</v>
      </c>
      <c r="G381" s="1">
        <v>22019</v>
      </c>
    </row>
    <row r="382" spans="1:7" x14ac:dyDescent="0.35">
      <c r="A382" s="1" t="str">
        <f t="shared" si="5"/>
        <v>10</v>
      </c>
      <c r="B3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2" s="1" t="s">
        <v>2356</v>
      </c>
      <c r="D382" s="1" t="s">
        <v>1661</v>
      </c>
      <c r="E382" s="1">
        <v>32</v>
      </c>
      <c r="F382" s="1" t="s">
        <v>112</v>
      </c>
      <c r="G382" s="1">
        <v>13843</v>
      </c>
    </row>
    <row r="383" spans="1:7" x14ac:dyDescent="0.35">
      <c r="A383" s="1" t="str">
        <f t="shared" si="5"/>
        <v>10</v>
      </c>
      <c r="B3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3" s="1" t="s">
        <v>2357</v>
      </c>
      <c r="D383" s="1" t="s">
        <v>1641</v>
      </c>
      <c r="E383" s="1" t="s">
        <v>2358</v>
      </c>
      <c r="F383" s="1" t="s">
        <v>112</v>
      </c>
      <c r="G383" s="1">
        <v>9366</v>
      </c>
    </row>
    <row r="384" spans="1:7" x14ac:dyDescent="0.35">
      <c r="A384" s="1" t="str">
        <f t="shared" si="5"/>
        <v>10</v>
      </c>
      <c r="B3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4" s="1" t="s">
        <v>2359</v>
      </c>
      <c r="D384" s="1" t="s">
        <v>1921</v>
      </c>
      <c r="E384" s="1" t="s">
        <v>2360</v>
      </c>
      <c r="F384" s="1" t="s">
        <v>112</v>
      </c>
      <c r="G384" s="1">
        <v>42633</v>
      </c>
    </row>
    <row r="385" spans="1:8" x14ac:dyDescent="0.35">
      <c r="A385" s="1" t="str">
        <f t="shared" si="5"/>
        <v>10</v>
      </c>
      <c r="B3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5" s="1" t="s">
        <v>2361</v>
      </c>
      <c r="D385" s="1" t="s">
        <v>1664</v>
      </c>
      <c r="E385" s="1">
        <v>33</v>
      </c>
      <c r="F385" s="1" t="s">
        <v>112</v>
      </c>
      <c r="G385" s="1">
        <v>1428</v>
      </c>
    </row>
    <row r="386" spans="1:8" x14ac:dyDescent="0.35">
      <c r="A386" s="1" t="str">
        <f t="shared" ref="A386:A449" si="6">IFERROR(LEFT(RIGHT(C386,LEN(C386)-SEARCH("@",C386)),SEARCH("/",RIGHT(C386,LEN(C386)-SEARCH("@",C386)-1))),"")</f>
        <v>10</v>
      </c>
      <c r="B3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6" s="1" t="s">
        <v>2362</v>
      </c>
      <c r="D386" s="1" t="s">
        <v>2363</v>
      </c>
      <c r="E386" s="1" t="s">
        <v>2364</v>
      </c>
      <c r="F386" s="1" t="s">
        <v>112</v>
      </c>
      <c r="G386" s="1">
        <v>24507</v>
      </c>
    </row>
    <row r="387" spans="1:8" x14ac:dyDescent="0.35">
      <c r="A387" s="1" t="str">
        <f t="shared" si="6"/>
        <v>10</v>
      </c>
      <c r="B3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7" s="1" t="s">
        <v>2365</v>
      </c>
      <c r="D387" s="1" t="s">
        <v>2366</v>
      </c>
      <c r="E387" s="1" t="s">
        <v>2367</v>
      </c>
      <c r="F387" s="1" t="s">
        <v>112</v>
      </c>
      <c r="G387" s="1">
        <v>274656</v>
      </c>
    </row>
    <row r="388" spans="1:8" x14ac:dyDescent="0.35">
      <c r="A388" s="1" t="str">
        <f t="shared" si="6"/>
        <v>10</v>
      </c>
      <c r="B3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8" s="1" t="s">
        <v>2368</v>
      </c>
      <c r="D388" s="1" t="s">
        <v>2369</v>
      </c>
      <c r="E388" s="1">
        <v>31</v>
      </c>
      <c r="F388" s="1" t="s">
        <v>112</v>
      </c>
      <c r="G388" s="1">
        <v>4023</v>
      </c>
    </row>
    <row r="389" spans="1:8" x14ac:dyDescent="0.35">
      <c r="A389" s="1" t="str">
        <f t="shared" si="6"/>
        <v>10</v>
      </c>
      <c r="B3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9" s="1" t="s">
        <v>2370</v>
      </c>
      <c r="D389" s="1" t="s">
        <v>2371</v>
      </c>
      <c r="E389" s="1" t="s">
        <v>2372</v>
      </c>
      <c r="F389" s="1" t="s">
        <v>112</v>
      </c>
      <c r="G389" s="1">
        <v>110550</v>
      </c>
    </row>
    <row r="390" spans="1:8" x14ac:dyDescent="0.35">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0" s="1" t="s">
        <v>112</v>
      </c>
    </row>
    <row r="391" spans="1:8" x14ac:dyDescent="0.35">
      <c r="A391" s="1" t="str">
        <f t="shared" si="6"/>
        <v/>
      </c>
      <c r="B3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1" s="1" t="s">
        <v>239</v>
      </c>
      <c r="D391" s="1" t="s">
        <v>112</v>
      </c>
      <c r="E391" s="1" t="s">
        <v>240</v>
      </c>
      <c r="F391" s="1" t="s">
        <v>241</v>
      </c>
      <c r="G391" s="1" t="s">
        <v>242</v>
      </c>
      <c r="H391" s="1" t="s">
        <v>243</v>
      </c>
    </row>
    <row r="392" spans="1:8" x14ac:dyDescent="0.35">
      <c r="A392" s="1" t="str">
        <f t="shared" si="6"/>
        <v>10</v>
      </c>
      <c r="B3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92" s="1" t="s">
        <v>2373</v>
      </c>
      <c r="D392" s="1" t="s">
        <v>112</v>
      </c>
      <c r="E392" s="1" t="s">
        <v>2374</v>
      </c>
      <c r="F392" s="1" t="s">
        <v>2375</v>
      </c>
      <c r="G392" s="1" t="s">
        <v>2376</v>
      </c>
      <c r="H392" s="1" t="s">
        <v>2377</v>
      </c>
    </row>
    <row r="393" spans="1:8" x14ac:dyDescent="0.35">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3" s="1" t="s">
        <v>112</v>
      </c>
    </row>
    <row r="394" spans="1:8" x14ac:dyDescent="0.35">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4" s="1" t="s">
        <v>112</v>
      </c>
    </row>
    <row r="395" spans="1:8" x14ac:dyDescent="0.35">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5" s="1" t="s">
        <v>112</v>
      </c>
    </row>
    <row r="396" spans="1:8" x14ac:dyDescent="0.35">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6" s="1" t="s">
        <v>112</v>
      </c>
    </row>
    <row r="397" spans="1:8" x14ac:dyDescent="0.35">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7" s="1" t="s">
        <v>112</v>
      </c>
    </row>
    <row r="398" spans="1:8" x14ac:dyDescent="0.35">
      <c r="A398" s="1" t="str">
        <f t="shared" si="6"/>
        <v/>
      </c>
      <c r="B3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8" s="1" t="s">
        <v>172</v>
      </c>
      <c r="D398" s="1" t="s">
        <v>110</v>
      </c>
      <c r="E398" s="1" t="s">
        <v>111</v>
      </c>
      <c r="F398" s="1" t="s">
        <v>112</v>
      </c>
      <c r="G398" s="1" t="s">
        <v>113</v>
      </c>
    </row>
    <row r="399" spans="1:8" x14ac:dyDescent="0.35">
      <c r="A399" s="1" t="str">
        <f t="shared" si="6"/>
        <v>11</v>
      </c>
      <c r="B3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9" s="1" t="s">
        <v>2378</v>
      </c>
      <c r="D399" s="1">
        <v>0</v>
      </c>
      <c r="E399" s="1">
        <v>0</v>
      </c>
      <c r="F399" s="1" t="s">
        <v>112</v>
      </c>
      <c r="G399" s="1">
        <v>0</v>
      </c>
    </row>
    <row r="400" spans="1:8" x14ac:dyDescent="0.35">
      <c r="A400" s="1" t="str">
        <f t="shared" si="6"/>
        <v>11</v>
      </c>
      <c r="B4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00" s="1" t="s">
        <v>2379</v>
      </c>
      <c r="D400" s="1" t="s">
        <v>228</v>
      </c>
      <c r="E400" s="1">
        <v>31</v>
      </c>
      <c r="F400" s="1" t="s">
        <v>112</v>
      </c>
      <c r="G400" s="1">
        <v>2012</v>
      </c>
    </row>
    <row r="401" spans="1:7" x14ac:dyDescent="0.35">
      <c r="A401" s="1" t="str">
        <f t="shared" si="6"/>
        <v>11</v>
      </c>
      <c r="B4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01" s="1" t="s">
        <v>2380</v>
      </c>
      <c r="D401" s="1" t="s">
        <v>485</v>
      </c>
      <c r="E401" s="1" t="s">
        <v>2381</v>
      </c>
      <c r="F401" s="1" t="s">
        <v>112</v>
      </c>
      <c r="G401" s="1">
        <v>382806</v>
      </c>
    </row>
    <row r="402" spans="1:7" x14ac:dyDescent="0.35">
      <c r="A402" s="1" t="str">
        <f t="shared" si="6"/>
        <v>11</v>
      </c>
      <c r="B4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2" s="1" t="s">
        <v>2382</v>
      </c>
      <c r="D402" s="1" t="s">
        <v>1077</v>
      </c>
      <c r="E402" s="1" t="s">
        <v>2383</v>
      </c>
      <c r="F402" s="1" t="s">
        <v>112</v>
      </c>
      <c r="G402" s="1">
        <v>181215</v>
      </c>
    </row>
    <row r="403" spans="1:7" x14ac:dyDescent="0.35">
      <c r="A403" s="1" t="str">
        <f t="shared" si="6"/>
        <v>11</v>
      </c>
      <c r="B4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3" s="1" t="s">
        <v>2384</v>
      </c>
      <c r="D403" s="1" t="s">
        <v>2385</v>
      </c>
      <c r="E403" s="1" t="s">
        <v>2386</v>
      </c>
      <c r="F403" s="1" t="s">
        <v>112</v>
      </c>
      <c r="G403" s="1">
        <v>109166</v>
      </c>
    </row>
    <row r="404" spans="1:7" x14ac:dyDescent="0.35">
      <c r="A404" s="1" t="str">
        <f t="shared" si="6"/>
        <v>11</v>
      </c>
      <c r="B4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4" s="1" t="s">
        <v>2387</v>
      </c>
      <c r="D404" s="1" t="s">
        <v>2388</v>
      </c>
      <c r="E404" s="1" t="s">
        <v>2389</v>
      </c>
      <c r="F404" s="1" t="s">
        <v>112</v>
      </c>
      <c r="G404" s="1">
        <v>197070</v>
      </c>
    </row>
    <row r="405" spans="1:7" x14ac:dyDescent="0.35">
      <c r="A405" s="1" t="str">
        <f t="shared" si="6"/>
        <v>11</v>
      </c>
      <c r="B4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5" s="1" t="s">
        <v>2390</v>
      </c>
    </row>
    <row r="406" spans="1:7" x14ac:dyDescent="0.35">
      <c r="A406" s="1" t="str">
        <f t="shared" si="6"/>
        <v>11</v>
      </c>
      <c r="B4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6" s="1" t="s">
        <v>2391</v>
      </c>
      <c r="D406" s="1" t="s">
        <v>463</v>
      </c>
      <c r="E406" s="1">
        <v>32</v>
      </c>
      <c r="F406" s="1" t="s">
        <v>112</v>
      </c>
      <c r="G406" s="1">
        <v>692</v>
      </c>
    </row>
    <row r="407" spans="1:7" x14ac:dyDescent="0.35">
      <c r="A407" s="1" t="str">
        <f t="shared" si="6"/>
        <v>11</v>
      </c>
      <c r="B4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7" s="1" t="s">
        <v>2392</v>
      </c>
      <c r="D407" s="1" t="s">
        <v>1466</v>
      </c>
      <c r="E407" s="1" t="s">
        <v>466</v>
      </c>
      <c r="F407" s="1" t="s">
        <v>112</v>
      </c>
      <c r="G407" s="1">
        <v>5321</v>
      </c>
    </row>
    <row r="408" spans="1:7" x14ac:dyDescent="0.35">
      <c r="A408" s="1" t="str">
        <f t="shared" si="6"/>
        <v>11</v>
      </c>
      <c r="B4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8" s="1" t="s">
        <v>2393</v>
      </c>
      <c r="D408" s="1" t="s">
        <v>1165</v>
      </c>
      <c r="E408" s="1" t="s">
        <v>2394</v>
      </c>
      <c r="F408" s="1" t="s">
        <v>112</v>
      </c>
      <c r="G408" s="1">
        <v>40015</v>
      </c>
    </row>
    <row r="409" spans="1:7" x14ac:dyDescent="0.35">
      <c r="A409" s="1" t="str">
        <f t="shared" si="6"/>
        <v>11</v>
      </c>
      <c r="B4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9" s="1" t="s">
        <v>2395</v>
      </c>
      <c r="D409" s="1" t="s">
        <v>2396</v>
      </c>
      <c r="E409" s="1" t="s">
        <v>2397</v>
      </c>
      <c r="F409" s="1" t="s">
        <v>112</v>
      </c>
      <c r="G409" s="1">
        <v>185476</v>
      </c>
    </row>
    <row r="410" spans="1:7" x14ac:dyDescent="0.35">
      <c r="A410" s="1" t="str">
        <f t="shared" si="6"/>
        <v>11</v>
      </c>
      <c r="B4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10" s="1" t="s">
        <v>2398</v>
      </c>
    </row>
    <row r="411" spans="1:7" x14ac:dyDescent="0.35">
      <c r="A411" s="1" t="str">
        <f t="shared" si="6"/>
        <v>11</v>
      </c>
      <c r="B4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1" s="1" t="s">
        <v>2399</v>
      </c>
      <c r="D411" s="1" t="s">
        <v>1083</v>
      </c>
      <c r="E411" s="1" t="s">
        <v>2400</v>
      </c>
      <c r="F411" s="1" t="s">
        <v>112</v>
      </c>
      <c r="G411" s="1">
        <v>254757</v>
      </c>
    </row>
    <row r="412" spans="1:7" x14ac:dyDescent="0.35">
      <c r="A412" s="1" t="str">
        <f t="shared" si="6"/>
        <v>11</v>
      </c>
      <c r="B4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2" s="1" t="s">
        <v>2401</v>
      </c>
      <c r="D412" s="1" t="s">
        <v>2402</v>
      </c>
      <c r="E412" s="1" t="s">
        <v>2403</v>
      </c>
      <c r="F412" s="1" t="s">
        <v>112</v>
      </c>
      <c r="G412" s="1">
        <v>163111</v>
      </c>
    </row>
    <row r="413" spans="1:7" x14ac:dyDescent="0.35">
      <c r="A413" s="1" t="str">
        <f t="shared" si="6"/>
        <v>11</v>
      </c>
      <c r="B4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3" s="1" t="s">
        <v>2404</v>
      </c>
      <c r="D413" s="1" t="s">
        <v>611</v>
      </c>
      <c r="E413" s="1">
        <v>31</v>
      </c>
      <c r="F413" s="1" t="s">
        <v>112</v>
      </c>
      <c r="G413" s="1">
        <v>8046</v>
      </c>
    </row>
    <row r="414" spans="1:7" x14ac:dyDescent="0.35">
      <c r="A414" s="1" t="str">
        <f t="shared" si="6"/>
        <v>11</v>
      </c>
      <c r="B4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4" s="1" t="s">
        <v>2405</v>
      </c>
      <c r="D414" s="1" t="s">
        <v>2371</v>
      </c>
      <c r="E414" s="1" t="s">
        <v>2406</v>
      </c>
      <c r="F414" s="1" t="s">
        <v>112</v>
      </c>
      <c r="G414" s="1">
        <v>111026</v>
      </c>
    </row>
    <row r="415" spans="1:7" x14ac:dyDescent="0.35">
      <c r="A415" s="1" t="str">
        <f t="shared" si="6"/>
        <v>11</v>
      </c>
      <c r="B4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5" s="1" t="s">
        <v>2407</v>
      </c>
      <c r="D415" s="1" t="s">
        <v>228</v>
      </c>
      <c r="E415" s="1" t="s">
        <v>2408</v>
      </c>
      <c r="F415" s="1" t="s">
        <v>112</v>
      </c>
      <c r="G415" s="1">
        <v>1990</v>
      </c>
    </row>
    <row r="416" spans="1:7" x14ac:dyDescent="0.35">
      <c r="A416" s="1" t="str">
        <f t="shared" si="6"/>
        <v>11</v>
      </c>
      <c r="B4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6" s="1" t="s">
        <v>2409</v>
      </c>
      <c r="D416" s="1" t="s">
        <v>2410</v>
      </c>
      <c r="E416" s="1" t="s">
        <v>2411</v>
      </c>
      <c r="F416" s="1" t="s">
        <v>112</v>
      </c>
      <c r="G416" s="1">
        <v>79944</v>
      </c>
    </row>
    <row r="417" spans="1:8" x14ac:dyDescent="0.35">
      <c r="A417" s="1" t="str">
        <f t="shared" si="6"/>
        <v>11</v>
      </c>
      <c r="B4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7" s="1" t="s">
        <v>2412</v>
      </c>
      <c r="D417" s="1" t="s">
        <v>974</v>
      </c>
      <c r="E417" s="1" t="s">
        <v>2413</v>
      </c>
      <c r="F417" s="1" t="s">
        <v>112</v>
      </c>
      <c r="G417" s="1">
        <v>93722</v>
      </c>
    </row>
    <row r="418" spans="1:8" x14ac:dyDescent="0.35">
      <c r="A418" s="1" t="str">
        <f t="shared" si="6"/>
        <v>11</v>
      </c>
      <c r="B4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8" s="1" t="s">
        <v>2414</v>
      </c>
      <c r="D418" s="1" t="s">
        <v>2415</v>
      </c>
      <c r="E418" s="1" t="s">
        <v>2416</v>
      </c>
      <c r="F418" s="1" t="s">
        <v>112</v>
      </c>
      <c r="G418" s="1">
        <v>97291</v>
      </c>
    </row>
    <row r="419" spans="1:8" x14ac:dyDescent="0.35">
      <c r="A419" s="1" t="str">
        <f t="shared" si="6"/>
        <v>11</v>
      </c>
      <c r="B4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9" s="1" t="s">
        <v>2417</v>
      </c>
      <c r="D419" s="1" t="s">
        <v>2418</v>
      </c>
      <c r="E419" s="1" t="s">
        <v>2419</v>
      </c>
      <c r="F419" s="1" t="s">
        <v>112</v>
      </c>
      <c r="G419" s="1">
        <v>57276</v>
      </c>
    </row>
    <row r="420" spans="1:8" x14ac:dyDescent="0.35">
      <c r="A420" s="1" t="str">
        <f t="shared" si="6"/>
        <v>11</v>
      </c>
      <c r="B4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0" s="1" t="s">
        <v>2420</v>
      </c>
      <c r="D420" s="1" t="s">
        <v>1114</v>
      </c>
      <c r="E420" s="1" t="s">
        <v>2421</v>
      </c>
      <c r="F420" s="1" t="s">
        <v>112</v>
      </c>
      <c r="G420" s="1">
        <v>417024</v>
      </c>
    </row>
    <row r="421" spans="1:8" x14ac:dyDescent="0.35">
      <c r="A421" s="1" t="str">
        <f t="shared" si="6"/>
        <v>11</v>
      </c>
      <c r="B4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1" s="1" t="s">
        <v>2422</v>
      </c>
      <c r="D421" s="1" t="s">
        <v>151</v>
      </c>
      <c r="E421" s="1" t="s">
        <v>2423</v>
      </c>
      <c r="F421" s="1" t="s">
        <v>112</v>
      </c>
      <c r="G421" s="1">
        <v>118445</v>
      </c>
    </row>
    <row r="422" spans="1:8" x14ac:dyDescent="0.35">
      <c r="A422" s="1" t="str">
        <f t="shared" si="6"/>
        <v>11</v>
      </c>
      <c r="B4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2" s="1" t="s">
        <v>2424</v>
      </c>
      <c r="D422" s="1" t="s">
        <v>1717</v>
      </c>
      <c r="E422" s="1" t="s">
        <v>2425</v>
      </c>
      <c r="F422" s="1" t="s">
        <v>112</v>
      </c>
      <c r="G422" s="1">
        <v>502462</v>
      </c>
    </row>
    <row r="423" spans="1:8" x14ac:dyDescent="0.35">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3" s="1" t="s">
        <v>112</v>
      </c>
    </row>
    <row r="424" spans="1:8" x14ac:dyDescent="0.35">
      <c r="A424" s="1" t="str">
        <f t="shared" si="6"/>
        <v/>
      </c>
      <c r="B4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4" s="1" t="s">
        <v>239</v>
      </c>
      <c r="D424" s="1" t="s">
        <v>112</v>
      </c>
      <c r="E424" s="1" t="s">
        <v>240</v>
      </c>
      <c r="F424" s="1" t="s">
        <v>241</v>
      </c>
      <c r="G424" s="1" t="s">
        <v>242</v>
      </c>
      <c r="H424" s="1" t="s">
        <v>243</v>
      </c>
    </row>
    <row r="425" spans="1:8" x14ac:dyDescent="0.35">
      <c r="A425" s="1" t="str">
        <f t="shared" si="6"/>
        <v>11</v>
      </c>
      <c r="B4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25" s="1" t="s">
        <v>2426</v>
      </c>
      <c r="D425" s="1" t="s">
        <v>112</v>
      </c>
      <c r="E425" s="1" t="s">
        <v>2427</v>
      </c>
      <c r="F425" s="1" t="s">
        <v>2428</v>
      </c>
      <c r="G425" s="1" t="s">
        <v>2429</v>
      </c>
      <c r="H425" s="1" t="s">
        <v>2430</v>
      </c>
    </row>
    <row r="426" spans="1:8" x14ac:dyDescent="0.35">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6" s="1" t="s">
        <v>112</v>
      </c>
    </row>
    <row r="427" spans="1:8" x14ac:dyDescent="0.35">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7" s="1" t="s">
        <v>112</v>
      </c>
    </row>
    <row r="428" spans="1:8" x14ac:dyDescent="0.35">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8" s="1" t="s">
        <v>112</v>
      </c>
    </row>
    <row r="429" spans="1:8" x14ac:dyDescent="0.35">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9" s="1" t="s">
        <v>112</v>
      </c>
    </row>
    <row r="430" spans="1:8" x14ac:dyDescent="0.35">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0" s="1" t="s">
        <v>112</v>
      </c>
    </row>
    <row r="431" spans="1:8" x14ac:dyDescent="0.35">
      <c r="A431" s="1" t="str">
        <f t="shared" si="6"/>
        <v/>
      </c>
      <c r="B4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1" s="1" t="s">
        <v>172</v>
      </c>
      <c r="D431" s="1" t="s">
        <v>110</v>
      </c>
      <c r="E431" s="1" t="s">
        <v>111</v>
      </c>
      <c r="F431" s="1" t="s">
        <v>112</v>
      </c>
      <c r="G431" s="1" t="s">
        <v>113</v>
      </c>
    </row>
    <row r="432" spans="1:8" x14ac:dyDescent="0.35">
      <c r="A432" s="1" t="str">
        <f t="shared" si="6"/>
        <v>12</v>
      </c>
      <c r="B4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2" s="1" t="s">
        <v>2431</v>
      </c>
    </row>
    <row r="433" spans="1:7" x14ac:dyDescent="0.35">
      <c r="A433" s="1" t="str">
        <f t="shared" si="6"/>
        <v>12</v>
      </c>
      <c r="B4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3" s="1" t="s">
        <v>2432</v>
      </c>
      <c r="D433" s="1" t="s">
        <v>1618</v>
      </c>
      <c r="E433" s="1" t="s">
        <v>2433</v>
      </c>
      <c r="F433" s="1" t="s">
        <v>112</v>
      </c>
      <c r="G433" s="1">
        <v>266870</v>
      </c>
    </row>
    <row r="434" spans="1:7" x14ac:dyDescent="0.35">
      <c r="A434" s="1" t="str">
        <f t="shared" si="6"/>
        <v>12</v>
      </c>
      <c r="B4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4" s="1" t="s">
        <v>2434</v>
      </c>
      <c r="D434" s="1" t="s">
        <v>1803</v>
      </c>
      <c r="E434" s="1" t="s">
        <v>2435</v>
      </c>
      <c r="F434" s="1" t="s">
        <v>112</v>
      </c>
      <c r="G434" s="1">
        <v>697716</v>
      </c>
    </row>
    <row r="435" spans="1:7" x14ac:dyDescent="0.35">
      <c r="A435" s="1" t="str">
        <f t="shared" si="6"/>
        <v>12</v>
      </c>
      <c r="B4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5" s="1" t="s">
        <v>2436</v>
      </c>
      <c r="D435" s="1" t="s">
        <v>575</v>
      </c>
      <c r="E435" s="1" t="s">
        <v>2437</v>
      </c>
      <c r="F435" s="1" t="s">
        <v>112</v>
      </c>
      <c r="G435" s="1">
        <v>171936</v>
      </c>
    </row>
    <row r="436" spans="1:7" x14ac:dyDescent="0.35">
      <c r="A436" s="1" t="str">
        <f t="shared" si="6"/>
        <v>12</v>
      </c>
      <c r="B4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6" s="1" t="s">
        <v>2438</v>
      </c>
      <c r="D436" s="1" t="s">
        <v>2439</v>
      </c>
      <c r="E436" s="1" t="s">
        <v>2440</v>
      </c>
      <c r="F436" s="1" t="s">
        <v>112</v>
      </c>
      <c r="G436" s="1">
        <v>80658</v>
      </c>
    </row>
    <row r="437" spans="1:7" x14ac:dyDescent="0.35">
      <c r="A437" s="1" t="str">
        <f t="shared" si="6"/>
        <v>12</v>
      </c>
      <c r="B4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7" s="1" t="s">
        <v>2441</v>
      </c>
      <c r="D437" s="1" t="s">
        <v>1406</v>
      </c>
      <c r="E437" s="1" t="s">
        <v>2442</v>
      </c>
      <c r="F437" s="1" t="s">
        <v>112</v>
      </c>
      <c r="G437" s="1">
        <v>92922</v>
      </c>
    </row>
    <row r="438" spans="1:7" x14ac:dyDescent="0.35">
      <c r="A438" s="1" t="str">
        <f t="shared" si="6"/>
        <v>12</v>
      </c>
      <c r="B4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8" s="1" t="s">
        <v>2443</v>
      </c>
      <c r="D438" s="1">
        <v>0</v>
      </c>
      <c r="E438" s="1">
        <v>0</v>
      </c>
      <c r="F438" s="1" t="s">
        <v>112</v>
      </c>
      <c r="G438" s="1">
        <v>0</v>
      </c>
    </row>
    <row r="439" spans="1:7" x14ac:dyDescent="0.35">
      <c r="A439" s="1" t="str">
        <f t="shared" si="6"/>
        <v>12</v>
      </c>
      <c r="B4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9" s="1" t="s">
        <v>2444</v>
      </c>
      <c r="D439" s="1">
        <v>0</v>
      </c>
      <c r="E439" s="1">
        <v>0</v>
      </c>
      <c r="F439" s="1" t="s">
        <v>112</v>
      </c>
      <c r="G439" s="1">
        <v>0</v>
      </c>
    </row>
    <row r="440" spans="1:7" x14ac:dyDescent="0.35">
      <c r="A440" s="1" t="str">
        <f t="shared" si="6"/>
        <v>12</v>
      </c>
      <c r="B4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40" s="1" t="s">
        <v>2445</v>
      </c>
      <c r="D440" s="1">
        <v>0</v>
      </c>
      <c r="E440" s="1">
        <v>0</v>
      </c>
      <c r="F440" s="1" t="s">
        <v>112</v>
      </c>
      <c r="G440" s="1">
        <v>0</v>
      </c>
    </row>
    <row r="441" spans="1:7" x14ac:dyDescent="0.35">
      <c r="A441" s="1" t="str">
        <f t="shared" si="6"/>
        <v>12</v>
      </c>
      <c r="B4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1" s="1" t="s">
        <v>2446</v>
      </c>
      <c r="D441" s="1" t="s">
        <v>2447</v>
      </c>
      <c r="E441" s="1" t="s">
        <v>2448</v>
      </c>
      <c r="F441" s="1" t="s">
        <v>112</v>
      </c>
      <c r="G441" s="1">
        <v>188721</v>
      </c>
    </row>
    <row r="442" spans="1:7" x14ac:dyDescent="0.35">
      <c r="A442" s="1" t="str">
        <f t="shared" si="6"/>
        <v>12</v>
      </c>
      <c r="B4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2" s="1" t="s">
        <v>2449</v>
      </c>
    </row>
    <row r="443" spans="1:7" x14ac:dyDescent="0.35">
      <c r="A443" s="1" t="str">
        <f t="shared" si="6"/>
        <v>12</v>
      </c>
      <c r="B4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3" s="1" t="s">
        <v>2450</v>
      </c>
      <c r="D443" s="1" t="s">
        <v>2447</v>
      </c>
      <c r="E443" s="1" t="s">
        <v>2451</v>
      </c>
      <c r="F443" s="1" t="s">
        <v>112</v>
      </c>
      <c r="G443" s="1">
        <v>204489</v>
      </c>
    </row>
    <row r="444" spans="1:7" x14ac:dyDescent="0.35">
      <c r="A444" s="1" t="str">
        <f t="shared" si="6"/>
        <v>12</v>
      </c>
      <c r="B4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4" s="1" t="s">
        <v>2452</v>
      </c>
      <c r="D444" s="1" t="s">
        <v>2453</v>
      </c>
      <c r="E444" s="1" t="s">
        <v>2454</v>
      </c>
      <c r="F444" s="1" t="s">
        <v>112</v>
      </c>
      <c r="G444" s="1">
        <v>142411</v>
      </c>
    </row>
    <row r="445" spans="1:7" x14ac:dyDescent="0.35">
      <c r="A445" s="1" t="str">
        <f t="shared" si="6"/>
        <v>12</v>
      </c>
      <c r="B4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5" s="1" t="s">
        <v>2455</v>
      </c>
      <c r="D445" s="1" t="s">
        <v>1928</v>
      </c>
      <c r="E445" s="1" t="s">
        <v>2456</v>
      </c>
      <c r="F445" s="1" t="s">
        <v>112</v>
      </c>
      <c r="G445" s="1">
        <v>125540</v>
      </c>
    </row>
    <row r="446" spans="1:7" x14ac:dyDescent="0.35">
      <c r="A446" s="1" t="str">
        <f t="shared" si="6"/>
        <v>12</v>
      </c>
      <c r="B4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6" s="1" t="s">
        <v>2457</v>
      </c>
      <c r="D446" s="1" t="s">
        <v>2458</v>
      </c>
      <c r="E446" s="1" t="s">
        <v>2459</v>
      </c>
      <c r="F446" s="1" t="s">
        <v>112</v>
      </c>
      <c r="G446" s="1">
        <v>126751</v>
      </c>
    </row>
    <row r="447" spans="1:7" x14ac:dyDescent="0.35">
      <c r="A447" s="1" t="str">
        <f t="shared" si="6"/>
        <v>12</v>
      </c>
      <c r="B4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7" s="1" t="s">
        <v>2460</v>
      </c>
      <c r="D447" s="1" t="s">
        <v>2461</v>
      </c>
      <c r="E447" s="1" t="s">
        <v>1429</v>
      </c>
      <c r="F447" s="1" t="s">
        <v>112</v>
      </c>
      <c r="G447" s="1">
        <v>411249</v>
      </c>
    </row>
    <row r="448" spans="1:7" x14ac:dyDescent="0.35">
      <c r="A448" s="1" t="str">
        <f t="shared" si="6"/>
        <v>12</v>
      </c>
      <c r="B4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8" s="1" t="s">
        <v>2462</v>
      </c>
      <c r="D448" s="1" t="s">
        <v>2463</v>
      </c>
      <c r="E448" s="1" t="s">
        <v>2464</v>
      </c>
      <c r="F448" s="1" t="s">
        <v>112</v>
      </c>
      <c r="G448" s="1">
        <v>473349</v>
      </c>
    </row>
    <row r="449" spans="1:8" x14ac:dyDescent="0.35">
      <c r="A449" s="1" t="str">
        <f t="shared" si="6"/>
        <v>12</v>
      </c>
      <c r="B4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9" s="1" t="s">
        <v>2465</v>
      </c>
      <c r="D449" s="1" t="s">
        <v>2466</v>
      </c>
      <c r="E449" s="1" t="s">
        <v>2467</v>
      </c>
      <c r="F449" s="1" t="s">
        <v>112</v>
      </c>
      <c r="G449" s="1">
        <v>500840</v>
      </c>
    </row>
    <row r="450" spans="1:8" x14ac:dyDescent="0.35">
      <c r="A450" s="1" t="str">
        <f t="shared" ref="A450:A513" si="7">IFERROR(LEFT(RIGHT(C450,LEN(C450)-SEARCH("@",C450)),SEARCH("/",RIGHT(C450,LEN(C450)-SEARCH("@",C450)-1))),"")</f>
        <v>12</v>
      </c>
      <c r="B4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0" s="1" t="s">
        <v>2468</v>
      </c>
      <c r="D450" s="1" t="s">
        <v>2469</v>
      </c>
      <c r="E450" s="1" t="s">
        <v>2470</v>
      </c>
      <c r="F450" s="1" t="s">
        <v>112</v>
      </c>
      <c r="G450" s="1">
        <v>311470</v>
      </c>
    </row>
    <row r="451" spans="1:8" x14ac:dyDescent="0.35">
      <c r="A451" s="1" t="str">
        <f t="shared" si="7"/>
        <v>12</v>
      </c>
      <c r="B4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1" s="1" t="s">
        <v>2471</v>
      </c>
      <c r="D451" s="1" t="s">
        <v>2472</v>
      </c>
      <c r="E451" s="1" t="s">
        <v>2473</v>
      </c>
      <c r="F451" s="1" t="s">
        <v>112</v>
      </c>
      <c r="G451" s="1">
        <v>197135</v>
      </c>
    </row>
    <row r="452" spans="1:8" x14ac:dyDescent="0.35">
      <c r="A452" s="1" t="str">
        <f t="shared" si="7"/>
        <v>12</v>
      </c>
      <c r="B4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2" s="1" t="s">
        <v>2474</v>
      </c>
      <c r="D452" s="1" t="s">
        <v>253</v>
      </c>
      <c r="E452" s="1" t="s">
        <v>2475</v>
      </c>
      <c r="F452" s="1" t="s">
        <v>112</v>
      </c>
      <c r="G452" s="1">
        <v>52388</v>
      </c>
    </row>
    <row r="453" spans="1:8" x14ac:dyDescent="0.35">
      <c r="A453" s="1" t="str">
        <f t="shared" si="7"/>
        <v>12</v>
      </c>
      <c r="B4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3" s="1" t="s">
        <v>2476</v>
      </c>
      <c r="D453" s="1" t="s">
        <v>2477</v>
      </c>
      <c r="E453" s="1" t="s">
        <v>2478</v>
      </c>
      <c r="F453" s="1" t="s">
        <v>112</v>
      </c>
      <c r="G453" s="1">
        <v>151907</v>
      </c>
    </row>
    <row r="454" spans="1:8" x14ac:dyDescent="0.35">
      <c r="A454" s="1" t="str">
        <f t="shared" si="7"/>
        <v>12</v>
      </c>
      <c r="B4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4" s="1" t="s">
        <v>2479</v>
      </c>
      <c r="D454" s="1" t="s">
        <v>714</v>
      </c>
      <c r="E454" s="1" t="s">
        <v>2480</v>
      </c>
      <c r="F454" s="1" t="s">
        <v>112</v>
      </c>
      <c r="G454" s="1">
        <v>76137</v>
      </c>
    </row>
    <row r="455" spans="1:8" x14ac:dyDescent="0.35">
      <c r="A455" s="1" t="str">
        <f t="shared" si="7"/>
        <v>12</v>
      </c>
      <c r="B4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5" s="1" t="s">
        <v>2481</v>
      </c>
      <c r="D455" s="1" t="s">
        <v>2482</v>
      </c>
      <c r="E455" s="1" t="s">
        <v>2483</v>
      </c>
      <c r="F455" s="1" t="s">
        <v>112</v>
      </c>
      <c r="G455" s="1">
        <v>120825</v>
      </c>
    </row>
    <row r="456" spans="1:8" x14ac:dyDescent="0.35">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6" s="1" t="s">
        <v>112</v>
      </c>
    </row>
    <row r="457" spans="1:8" x14ac:dyDescent="0.35">
      <c r="A457" s="1" t="str">
        <f t="shared" si="7"/>
        <v/>
      </c>
      <c r="B4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7" s="1" t="s">
        <v>239</v>
      </c>
      <c r="D457" s="1" t="s">
        <v>112</v>
      </c>
      <c r="E457" s="1" t="s">
        <v>240</v>
      </c>
      <c r="F457" s="1" t="s">
        <v>241</v>
      </c>
      <c r="G457" s="1" t="s">
        <v>242</v>
      </c>
      <c r="H457" s="1" t="s">
        <v>243</v>
      </c>
    </row>
    <row r="458" spans="1:8" x14ac:dyDescent="0.35">
      <c r="A458" s="1" t="str">
        <f t="shared" si="7"/>
        <v>12</v>
      </c>
      <c r="B4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58" s="1" t="s">
        <v>2484</v>
      </c>
      <c r="D458" s="1" t="s">
        <v>112</v>
      </c>
      <c r="E458" s="1" t="s">
        <v>2485</v>
      </c>
      <c r="F458" s="1" t="s">
        <v>2486</v>
      </c>
      <c r="G458" s="1" t="s">
        <v>2487</v>
      </c>
      <c r="H458" s="1" t="s">
        <v>2488</v>
      </c>
    </row>
    <row r="459" spans="1:8" x14ac:dyDescent="0.35">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9" s="1" t="s">
        <v>112</v>
      </c>
    </row>
    <row r="460" spans="1:8" x14ac:dyDescent="0.35">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0" s="1" t="s">
        <v>112</v>
      </c>
    </row>
    <row r="461" spans="1:8" x14ac:dyDescent="0.35">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1" s="1" t="s">
        <v>112</v>
      </c>
    </row>
    <row r="462" spans="1:8" x14ac:dyDescent="0.35">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2" s="1" t="s">
        <v>112</v>
      </c>
    </row>
    <row r="463" spans="1:8" x14ac:dyDescent="0.35">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3" s="1" t="s">
        <v>112</v>
      </c>
    </row>
    <row r="464" spans="1:8" x14ac:dyDescent="0.35">
      <c r="A464" s="1" t="str">
        <f t="shared" si="7"/>
        <v/>
      </c>
      <c r="B4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4" s="1" t="s">
        <v>172</v>
      </c>
      <c r="D464" s="1" t="s">
        <v>110</v>
      </c>
      <c r="E464" s="1" t="s">
        <v>111</v>
      </c>
      <c r="F464" s="1" t="s">
        <v>112</v>
      </c>
      <c r="G464" s="1" t="s">
        <v>113</v>
      </c>
    </row>
    <row r="465" spans="1:7" x14ac:dyDescent="0.35">
      <c r="A465" s="1" t="str">
        <f t="shared" si="7"/>
        <v>17</v>
      </c>
      <c r="B4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5" s="1" t="s">
        <v>2489</v>
      </c>
      <c r="D465" s="1" t="s">
        <v>2490</v>
      </c>
      <c r="E465" s="1" t="s">
        <v>2491</v>
      </c>
      <c r="F465" s="1" t="s">
        <v>112</v>
      </c>
      <c r="G465" s="1">
        <v>2449348</v>
      </c>
    </row>
    <row r="466" spans="1:7" x14ac:dyDescent="0.35">
      <c r="A466" s="1" t="str">
        <f t="shared" si="7"/>
        <v>17</v>
      </c>
      <c r="B4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6" s="1" t="s">
        <v>2492</v>
      </c>
      <c r="D466" s="1" t="s">
        <v>2493</v>
      </c>
      <c r="E466" s="1" t="s">
        <v>2494</v>
      </c>
      <c r="F466" s="1" t="s">
        <v>112</v>
      </c>
      <c r="G466" s="1">
        <v>1884396</v>
      </c>
    </row>
    <row r="467" spans="1:7" x14ac:dyDescent="0.35">
      <c r="A467" s="1" t="str">
        <f t="shared" si="7"/>
        <v>17</v>
      </c>
      <c r="B4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7" s="1" t="s">
        <v>2495</v>
      </c>
      <c r="D467" s="1" t="s">
        <v>2496</v>
      </c>
      <c r="E467" s="1" t="s">
        <v>2497</v>
      </c>
      <c r="F467" s="1" t="s">
        <v>112</v>
      </c>
      <c r="G467" s="1">
        <v>2432152</v>
      </c>
    </row>
    <row r="468" spans="1:7" x14ac:dyDescent="0.35">
      <c r="A468" s="1" t="str">
        <f t="shared" si="7"/>
        <v>17</v>
      </c>
      <c r="B4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8" s="1" t="s">
        <v>2498</v>
      </c>
      <c r="D468" s="1" t="s">
        <v>2499</v>
      </c>
      <c r="E468" s="1" t="s">
        <v>2500</v>
      </c>
      <c r="F468" s="1" t="s">
        <v>112</v>
      </c>
      <c r="G468" s="1">
        <v>423600</v>
      </c>
    </row>
    <row r="469" spans="1:7" x14ac:dyDescent="0.35">
      <c r="A469" s="1" t="str">
        <f t="shared" si="7"/>
        <v>17</v>
      </c>
      <c r="B4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9" s="1" t="s">
        <v>2501</v>
      </c>
      <c r="D469" s="1" t="s">
        <v>1631</v>
      </c>
      <c r="E469" s="1" t="s">
        <v>2502</v>
      </c>
      <c r="F469" s="1" t="s">
        <v>112</v>
      </c>
      <c r="G469" s="1">
        <v>366519</v>
      </c>
    </row>
    <row r="470" spans="1:7" x14ac:dyDescent="0.35">
      <c r="A470" s="1" t="str">
        <f t="shared" si="7"/>
        <v>17</v>
      </c>
      <c r="B4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70" s="1" t="s">
        <v>2503</v>
      </c>
      <c r="D470" s="1" t="s">
        <v>1762</v>
      </c>
      <c r="E470" s="1" t="s">
        <v>2504</v>
      </c>
      <c r="F470" s="1" t="s">
        <v>112</v>
      </c>
      <c r="G470" s="1">
        <v>305371</v>
      </c>
    </row>
    <row r="471" spans="1:7" x14ac:dyDescent="0.35">
      <c r="A471" s="1" t="str">
        <f t="shared" si="7"/>
        <v>17</v>
      </c>
      <c r="B4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1" s="1" t="s">
        <v>2505</v>
      </c>
      <c r="D471" s="1" t="s">
        <v>688</v>
      </c>
      <c r="E471" s="1" t="s">
        <v>2506</v>
      </c>
      <c r="F471" s="1" t="s">
        <v>112</v>
      </c>
      <c r="G471" s="1">
        <v>450745</v>
      </c>
    </row>
    <row r="472" spans="1:7" x14ac:dyDescent="0.35">
      <c r="A472" s="1" t="str">
        <f t="shared" si="7"/>
        <v>17</v>
      </c>
      <c r="B4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2" s="1" t="s">
        <v>2507</v>
      </c>
      <c r="D472" s="1" t="s">
        <v>2508</v>
      </c>
      <c r="E472" s="1" t="s">
        <v>2509</v>
      </c>
      <c r="F472" s="1" t="s">
        <v>112</v>
      </c>
      <c r="G472" s="1">
        <v>880877</v>
      </c>
    </row>
    <row r="473" spans="1:7" x14ac:dyDescent="0.35">
      <c r="A473" s="1" t="str">
        <f t="shared" si="7"/>
        <v>17</v>
      </c>
      <c r="B4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3" s="1" t="s">
        <v>2510</v>
      </c>
      <c r="D473" s="1" t="s">
        <v>2511</v>
      </c>
      <c r="E473" s="1" t="s">
        <v>2512</v>
      </c>
      <c r="F473" s="1" t="s">
        <v>112</v>
      </c>
      <c r="G473" s="1">
        <v>967786</v>
      </c>
    </row>
    <row r="474" spans="1:7" x14ac:dyDescent="0.35">
      <c r="A474" s="1" t="str">
        <f t="shared" si="7"/>
        <v>17</v>
      </c>
      <c r="B4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4" s="1" t="s">
        <v>2513</v>
      </c>
      <c r="D474" s="1" t="s">
        <v>565</v>
      </c>
      <c r="E474" s="1" t="s">
        <v>2514</v>
      </c>
      <c r="F474" s="1" t="s">
        <v>112</v>
      </c>
      <c r="G474" s="1">
        <v>249804</v>
      </c>
    </row>
    <row r="475" spans="1:7" x14ac:dyDescent="0.35">
      <c r="A475" s="1" t="str">
        <f t="shared" si="7"/>
        <v>17</v>
      </c>
      <c r="B4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5" s="1" t="s">
        <v>2515</v>
      </c>
      <c r="D475" s="1" t="s">
        <v>2402</v>
      </c>
      <c r="E475" s="1" t="s">
        <v>2516</v>
      </c>
      <c r="F475" s="1" t="s">
        <v>112</v>
      </c>
      <c r="G475" s="1">
        <v>181085</v>
      </c>
    </row>
    <row r="476" spans="1:7" x14ac:dyDescent="0.35">
      <c r="A476" s="1" t="str">
        <f t="shared" si="7"/>
        <v>17</v>
      </c>
      <c r="B4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6" s="1" t="s">
        <v>2517</v>
      </c>
      <c r="D476" s="1" t="s">
        <v>725</v>
      </c>
      <c r="E476" s="1" t="s">
        <v>2518</v>
      </c>
      <c r="F476" s="1" t="s">
        <v>112</v>
      </c>
      <c r="G476" s="1">
        <v>384125</v>
      </c>
    </row>
    <row r="477" spans="1:7" x14ac:dyDescent="0.35">
      <c r="A477" s="1" t="str">
        <f t="shared" si="7"/>
        <v>17</v>
      </c>
      <c r="B4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7" s="1" t="s">
        <v>2519</v>
      </c>
      <c r="D477" s="1" t="s">
        <v>2520</v>
      </c>
      <c r="E477" s="1" t="s">
        <v>2521</v>
      </c>
      <c r="F477" s="1" t="s">
        <v>112</v>
      </c>
      <c r="G477" s="1">
        <v>1679583</v>
      </c>
    </row>
    <row r="478" spans="1:7" x14ac:dyDescent="0.35">
      <c r="A478" s="1" t="str">
        <f t="shared" si="7"/>
        <v>17</v>
      </c>
      <c r="B4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8" s="1" t="s">
        <v>2522</v>
      </c>
      <c r="D478" s="1" t="s">
        <v>2523</v>
      </c>
      <c r="E478" s="1" t="s">
        <v>2524</v>
      </c>
      <c r="F478" s="1" t="s">
        <v>112</v>
      </c>
      <c r="G478" s="1">
        <v>1841288</v>
      </c>
    </row>
    <row r="479" spans="1:7" x14ac:dyDescent="0.35">
      <c r="A479" s="1" t="str">
        <f t="shared" si="7"/>
        <v>17</v>
      </c>
      <c r="B4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9" s="1" t="s">
        <v>2525</v>
      </c>
      <c r="D479" s="1" t="s">
        <v>2526</v>
      </c>
      <c r="E479" s="1" t="s">
        <v>2527</v>
      </c>
      <c r="F479" s="1" t="s">
        <v>112</v>
      </c>
      <c r="G479" s="1">
        <v>1515585</v>
      </c>
    </row>
    <row r="480" spans="1:7" x14ac:dyDescent="0.35">
      <c r="A480" s="1" t="str">
        <f t="shared" si="7"/>
        <v>17</v>
      </c>
      <c r="B4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0" s="1" t="s">
        <v>2528</v>
      </c>
      <c r="D480" s="1" t="s">
        <v>2529</v>
      </c>
      <c r="E480" s="1" t="s">
        <v>2530</v>
      </c>
      <c r="F480" s="1" t="s">
        <v>112</v>
      </c>
      <c r="G480" s="1">
        <v>1239523</v>
      </c>
    </row>
    <row r="481" spans="1:8" x14ac:dyDescent="0.35">
      <c r="A481" s="1" t="str">
        <f t="shared" si="7"/>
        <v>17</v>
      </c>
      <c r="B4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1" s="1" t="s">
        <v>2531</v>
      </c>
      <c r="D481" s="1" t="s">
        <v>2532</v>
      </c>
      <c r="E481" s="1" t="s">
        <v>2533</v>
      </c>
      <c r="F481" s="1" t="s">
        <v>112</v>
      </c>
      <c r="G481" s="1">
        <v>606416</v>
      </c>
    </row>
    <row r="482" spans="1:8" x14ac:dyDescent="0.35">
      <c r="A482" s="1" t="str">
        <f t="shared" si="7"/>
        <v>17</v>
      </c>
      <c r="B4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2" s="1" t="s">
        <v>2534</v>
      </c>
      <c r="D482" s="1" t="s">
        <v>2535</v>
      </c>
      <c r="E482" s="1" t="s">
        <v>2536</v>
      </c>
      <c r="F482" s="1" t="s">
        <v>112</v>
      </c>
      <c r="G482" s="1">
        <v>885225</v>
      </c>
    </row>
    <row r="483" spans="1:8" x14ac:dyDescent="0.35">
      <c r="A483" s="1" t="str">
        <f t="shared" si="7"/>
        <v>17</v>
      </c>
      <c r="B4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3" s="1" t="s">
        <v>2537</v>
      </c>
      <c r="D483" s="1" t="s">
        <v>2538</v>
      </c>
      <c r="E483" s="1" t="s">
        <v>2539</v>
      </c>
      <c r="F483" s="1" t="s">
        <v>112</v>
      </c>
      <c r="G483" s="1">
        <v>617966</v>
      </c>
    </row>
    <row r="484" spans="1:8" x14ac:dyDescent="0.35">
      <c r="A484" s="1" t="str">
        <f t="shared" si="7"/>
        <v>17</v>
      </c>
      <c r="B4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4" s="1" t="s">
        <v>2540</v>
      </c>
      <c r="D484" s="1" t="s">
        <v>2541</v>
      </c>
      <c r="E484" s="1" t="s">
        <v>2542</v>
      </c>
      <c r="F484" s="1" t="s">
        <v>112</v>
      </c>
      <c r="G484" s="1">
        <v>694082</v>
      </c>
    </row>
    <row r="485" spans="1:8" x14ac:dyDescent="0.35">
      <c r="A485" s="1" t="str">
        <f t="shared" si="7"/>
        <v>17</v>
      </c>
      <c r="B4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5" s="1" t="s">
        <v>2543</v>
      </c>
      <c r="D485" s="1" t="s">
        <v>1965</v>
      </c>
      <c r="E485" s="1" t="s">
        <v>2544</v>
      </c>
      <c r="F485" s="1" t="s">
        <v>112</v>
      </c>
      <c r="G485" s="1">
        <v>579335</v>
      </c>
    </row>
    <row r="486" spans="1:8" x14ac:dyDescent="0.35">
      <c r="A486" s="1" t="str">
        <f t="shared" si="7"/>
        <v>17</v>
      </c>
      <c r="B4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6" s="1" t="s">
        <v>2545</v>
      </c>
    </row>
    <row r="487" spans="1:8" x14ac:dyDescent="0.35">
      <c r="A487" s="1" t="str">
        <f t="shared" si="7"/>
        <v>17</v>
      </c>
      <c r="B4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7" s="1" t="s">
        <v>2546</v>
      </c>
    </row>
    <row r="488" spans="1:8" x14ac:dyDescent="0.35">
      <c r="A488" s="1" t="str">
        <f t="shared" si="7"/>
        <v>17</v>
      </c>
      <c r="B4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8" s="1" t="s">
        <v>2547</v>
      </c>
    </row>
    <row r="489" spans="1:8" x14ac:dyDescent="0.35">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9" s="1" t="s">
        <v>112</v>
      </c>
    </row>
    <row r="490" spans="1:8" x14ac:dyDescent="0.35">
      <c r="A490" s="1" t="str">
        <f t="shared" si="7"/>
        <v/>
      </c>
      <c r="B4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0" s="1" t="s">
        <v>239</v>
      </c>
      <c r="D490" s="1" t="s">
        <v>112</v>
      </c>
      <c r="E490" s="1" t="s">
        <v>240</v>
      </c>
      <c r="F490" s="1" t="s">
        <v>241</v>
      </c>
      <c r="G490" s="1" t="s">
        <v>242</v>
      </c>
      <c r="H490" s="1" t="s">
        <v>243</v>
      </c>
    </row>
    <row r="491" spans="1:8" x14ac:dyDescent="0.35">
      <c r="A491" s="1" t="str">
        <f t="shared" si="7"/>
        <v>17</v>
      </c>
      <c r="B4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91" s="1" t="s">
        <v>2548</v>
      </c>
      <c r="D491" s="1" t="s">
        <v>112</v>
      </c>
      <c r="E491" s="1" t="s">
        <v>2549</v>
      </c>
      <c r="F491" s="1" t="s">
        <v>2550</v>
      </c>
      <c r="G491" s="1" t="s">
        <v>2551</v>
      </c>
      <c r="H491" s="1" t="s">
        <v>2552</v>
      </c>
    </row>
    <row r="492" spans="1:8" x14ac:dyDescent="0.35">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2" s="1" t="s">
        <v>112</v>
      </c>
    </row>
    <row r="493" spans="1:8" x14ac:dyDescent="0.35">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3" s="1" t="s">
        <v>112</v>
      </c>
    </row>
    <row r="494" spans="1:8" x14ac:dyDescent="0.35">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4" s="1" t="s">
        <v>112</v>
      </c>
    </row>
    <row r="495" spans="1:8" x14ac:dyDescent="0.35">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5" s="1" t="s">
        <v>112</v>
      </c>
    </row>
    <row r="496" spans="1:8" x14ac:dyDescent="0.35">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6" s="1" t="s">
        <v>112</v>
      </c>
    </row>
    <row r="497" spans="1:7" x14ac:dyDescent="0.35">
      <c r="A497" s="1" t="str">
        <f t="shared" si="7"/>
        <v/>
      </c>
      <c r="B4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7" s="1" t="s">
        <v>172</v>
      </c>
      <c r="D497" s="1" t="s">
        <v>110</v>
      </c>
      <c r="E497" s="1" t="s">
        <v>111</v>
      </c>
      <c r="F497" s="1" t="s">
        <v>112</v>
      </c>
      <c r="G497" s="1" t="s">
        <v>113</v>
      </c>
    </row>
    <row r="498" spans="1:7" x14ac:dyDescent="0.35">
      <c r="A498" s="1" t="str">
        <f t="shared" si="7"/>
        <v>18</v>
      </c>
      <c r="B4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8" s="1" t="s">
        <v>2553</v>
      </c>
      <c r="D498" s="1" t="s">
        <v>2554</v>
      </c>
      <c r="E498" s="1" t="s">
        <v>2555</v>
      </c>
      <c r="F498" s="1" t="s">
        <v>112</v>
      </c>
      <c r="G498" s="1">
        <v>1510026</v>
      </c>
    </row>
    <row r="499" spans="1:7" x14ac:dyDescent="0.35">
      <c r="A499" s="1" t="str">
        <f t="shared" si="7"/>
        <v>18</v>
      </c>
      <c r="B4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9" s="1" t="s">
        <v>2556</v>
      </c>
      <c r="D499" s="1" t="s">
        <v>2557</v>
      </c>
      <c r="E499" s="1" t="s">
        <v>2558</v>
      </c>
      <c r="F499" s="1" t="s">
        <v>112</v>
      </c>
      <c r="G499" s="1">
        <v>1610930</v>
      </c>
    </row>
    <row r="500" spans="1:7" x14ac:dyDescent="0.35">
      <c r="A500" s="1" t="str">
        <f t="shared" si="7"/>
        <v>18</v>
      </c>
      <c r="B5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00" s="1" t="s">
        <v>2559</v>
      </c>
      <c r="D500" s="1" t="s">
        <v>2560</v>
      </c>
      <c r="E500" s="1" t="s">
        <v>2561</v>
      </c>
      <c r="F500" s="1" t="s">
        <v>112</v>
      </c>
      <c r="G500" s="1">
        <v>1390521</v>
      </c>
    </row>
    <row r="501" spans="1:7" x14ac:dyDescent="0.35">
      <c r="A501" s="1" t="str">
        <f t="shared" si="7"/>
        <v>18</v>
      </c>
      <c r="B5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1" s="1" t="s">
        <v>2562</v>
      </c>
      <c r="D501" s="1" t="s">
        <v>2563</v>
      </c>
      <c r="E501" s="1" t="s">
        <v>2564</v>
      </c>
      <c r="F501" s="1" t="s">
        <v>112</v>
      </c>
      <c r="G501" s="1">
        <v>2605083</v>
      </c>
    </row>
    <row r="502" spans="1:7" x14ac:dyDescent="0.35">
      <c r="A502" s="1" t="str">
        <f t="shared" si="7"/>
        <v>18</v>
      </c>
      <c r="B5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2" s="1" t="s">
        <v>2565</v>
      </c>
      <c r="D502" s="1" t="s">
        <v>2566</v>
      </c>
      <c r="E502" s="1" t="s">
        <v>2567</v>
      </c>
      <c r="F502" s="1" t="s">
        <v>112</v>
      </c>
      <c r="G502" s="1">
        <v>2535673</v>
      </c>
    </row>
    <row r="503" spans="1:7" x14ac:dyDescent="0.35">
      <c r="A503" s="1" t="str">
        <f t="shared" si="7"/>
        <v>18</v>
      </c>
      <c r="B5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3" s="1" t="s">
        <v>2568</v>
      </c>
      <c r="D503" s="1" t="s">
        <v>2569</v>
      </c>
      <c r="E503" s="1" t="s">
        <v>2570</v>
      </c>
      <c r="F503" s="1" t="s">
        <v>112</v>
      </c>
      <c r="G503" s="1">
        <v>2816277</v>
      </c>
    </row>
    <row r="504" spans="1:7" x14ac:dyDescent="0.35">
      <c r="A504" s="1" t="str">
        <f t="shared" si="7"/>
        <v>18</v>
      </c>
      <c r="B5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4" s="1" t="s">
        <v>2571</v>
      </c>
      <c r="D504" s="1" t="s">
        <v>2572</v>
      </c>
      <c r="E504" s="1" t="s">
        <v>2573</v>
      </c>
      <c r="F504" s="1" t="s">
        <v>112</v>
      </c>
      <c r="G504" s="1">
        <v>442245</v>
      </c>
    </row>
    <row r="505" spans="1:7" x14ac:dyDescent="0.35">
      <c r="A505" s="1" t="str">
        <f t="shared" si="7"/>
        <v>18</v>
      </c>
      <c r="B5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5" s="1" t="s">
        <v>2574</v>
      </c>
      <c r="D505" s="1" t="s">
        <v>2575</v>
      </c>
      <c r="E505" s="1" t="s">
        <v>2576</v>
      </c>
      <c r="F505" s="1" t="s">
        <v>112</v>
      </c>
      <c r="G505" s="1">
        <v>471056</v>
      </c>
    </row>
    <row r="506" spans="1:7" x14ac:dyDescent="0.35">
      <c r="A506" s="1" t="str">
        <f t="shared" si="7"/>
        <v>18</v>
      </c>
      <c r="B5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6" s="1" t="s">
        <v>2577</v>
      </c>
      <c r="D506" s="1" t="s">
        <v>2578</v>
      </c>
      <c r="E506" s="1" t="s">
        <v>2579</v>
      </c>
      <c r="F506" s="1" t="s">
        <v>112</v>
      </c>
      <c r="G506" s="1">
        <v>600554</v>
      </c>
    </row>
    <row r="507" spans="1:7" x14ac:dyDescent="0.35">
      <c r="A507" s="1" t="str">
        <f t="shared" si="7"/>
        <v>18</v>
      </c>
      <c r="B5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7" s="1" t="s">
        <v>2580</v>
      </c>
      <c r="D507" s="1" t="s">
        <v>2581</v>
      </c>
      <c r="E507" s="1" t="s">
        <v>2582</v>
      </c>
      <c r="F507" s="1" t="s">
        <v>112</v>
      </c>
      <c r="G507" s="1">
        <v>96664</v>
      </c>
    </row>
    <row r="508" spans="1:7" x14ac:dyDescent="0.35">
      <c r="A508" s="1" t="str">
        <f t="shared" si="7"/>
        <v>18</v>
      </c>
      <c r="B5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8" s="1" t="s">
        <v>2583</v>
      </c>
      <c r="D508" s="1" t="s">
        <v>590</v>
      </c>
      <c r="E508" s="1" t="s">
        <v>2584</v>
      </c>
      <c r="F508" s="1" t="s">
        <v>112</v>
      </c>
      <c r="G508" s="1">
        <v>155973</v>
      </c>
    </row>
    <row r="509" spans="1:7" x14ac:dyDescent="0.35">
      <c r="A509" s="1" t="str">
        <f t="shared" si="7"/>
        <v>18</v>
      </c>
      <c r="B5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9" s="1" t="s">
        <v>2585</v>
      </c>
      <c r="D509" s="1" t="s">
        <v>1510</v>
      </c>
      <c r="E509" s="1" t="s">
        <v>2586</v>
      </c>
      <c r="F509" s="1" t="s">
        <v>112</v>
      </c>
      <c r="G509" s="1">
        <v>98113</v>
      </c>
    </row>
    <row r="510" spans="1:7" x14ac:dyDescent="0.35">
      <c r="A510" s="1" t="str">
        <f t="shared" si="7"/>
        <v>18</v>
      </c>
      <c r="B5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0" s="1" t="s">
        <v>2587</v>
      </c>
      <c r="D510" s="1" t="s">
        <v>2588</v>
      </c>
      <c r="E510" s="1" t="s">
        <v>2589</v>
      </c>
      <c r="F510" s="1" t="s">
        <v>112</v>
      </c>
      <c r="G510" s="1">
        <v>2296900</v>
      </c>
    </row>
    <row r="511" spans="1:7" x14ac:dyDescent="0.35">
      <c r="A511" s="1" t="str">
        <f t="shared" si="7"/>
        <v>18</v>
      </c>
      <c r="B5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1" s="1" t="s">
        <v>2590</v>
      </c>
      <c r="D511" s="1" t="s">
        <v>2591</v>
      </c>
      <c r="E511" s="1" t="s">
        <v>2592</v>
      </c>
      <c r="F511" s="1" t="s">
        <v>112</v>
      </c>
      <c r="G511" s="1">
        <v>2874700</v>
      </c>
    </row>
    <row r="512" spans="1:7" x14ac:dyDescent="0.35">
      <c r="A512" s="1" t="str">
        <f t="shared" si="7"/>
        <v>18</v>
      </c>
      <c r="B5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2" s="1" t="s">
        <v>2593</v>
      </c>
      <c r="D512" s="1" t="s">
        <v>2594</v>
      </c>
      <c r="E512" s="1" t="s">
        <v>2595</v>
      </c>
      <c r="F512" s="1" t="s">
        <v>112</v>
      </c>
      <c r="G512" s="1">
        <v>2280678</v>
      </c>
    </row>
    <row r="513" spans="1:8" x14ac:dyDescent="0.35">
      <c r="A513" s="1" t="str">
        <f t="shared" si="7"/>
        <v>18</v>
      </c>
      <c r="B5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3" s="1" t="s">
        <v>2596</v>
      </c>
      <c r="D513" s="1" t="s">
        <v>2597</v>
      </c>
      <c r="E513" s="1" t="s">
        <v>2598</v>
      </c>
      <c r="F513" s="1" t="s">
        <v>112</v>
      </c>
      <c r="G513" s="1">
        <v>298666</v>
      </c>
    </row>
    <row r="514" spans="1:8" x14ac:dyDescent="0.35">
      <c r="A514" s="1" t="str">
        <f t="shared" ref="A514:A577" si="8">IFERROR(LEFT(RIGHT(C514,LEN(C514)-SEARCH("@",C514)),SEARCH("/",RIGHT(C514,LEN(C514)-SEARCH("@",C514)-1))),"")</f>
        <v>18</v>
      </c>
      <c r="B5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4" s="1" t="s">
        <v>2599</v>
      </c>
    </row>
    <row r="515" spans="1:8" x14ac:dyDescent="0.35">
      <c r="A515" s="1" t="str">
        <f t="shared" si="8"/>
        <v>18</v>
      </c>
      <c r="B5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5" s="1" t="s">
        <v>2600</v>
      </c>
    </row>
    <row r="516" spans="1:8" x14ac:dyDescent="0.35">
      <c r="A516" s="1" t="str">
        <f t="shared" si="8"/>
        <v>18</v>
      </c>
      <c r="B5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6" s="1" t="s">
        <v>2601</v>
      </c>
      <c r="D516" s="1" t="s">
        <v>2130</v>
      </c>
      <c r="E516" s="1" t="s">
        <v>2602</v>
      </c>
      <c r="F516" s="1" t="s">
        <v>112</v>
      </c>
      <c r="G516" s="1">
        <v>1222413</v>
      </c>
    </row>
    <row r="517" spans="1:8" x14ac:dyDescent="0.35">
      <c r="A517" s="1" t="str">
        <f t="shared" si="8"/>
        <v>18</v>
      </c>
      <c r="B5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7" s="1" t="s">
        <v>2603</v>
      </c>
      <c r="D517" s="1" t="s">
        <v>2604</v>
      </c>
      <c r="E517" s="1" t="s">
        <v>2605</v>
      </c>
      <c r="F517" s="1" t="s">
        <v>112</v>
      </c>
      <c r="G517" s="1">
        <v>1244822</v>
      </c>
    </row>
    <row r="518" spans="1:8" x14ac:dyDescent="0.35">
      <c r="A518" s="1" t="str">
        <f t="shared" si="8"/>
        <v>18</v>
      </c>
      <c r="B5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8" s="1" t="s">
        <v>2606</v>
      </c>
      <c r="D518" s="1" t="s">
        <v>2607</v>
      </c>
      <c r="E518" s="1" t="s">
        <v>2608</v>
      </c>
      <c r="F518" s="1" t="s">
        <v>112</v>
      </c>
      <c r="G518" s="1">
        <v>1229270</v>
      </c>
    </row>
    <row r="519" spans="1:8" x14ac:dyDescent="0.35">
      <c r="A519" s="1" t="str">
        <f t="shared" si="8"/>
        <v>18</v>
      </c>
      <c r="B5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9" s="1" t="s">
        <v>2609</v>
      </c>
      <c r="D519" s="1" t="s">
        <v>2610</v>
      </c>
      <c r="E519" s="1" t="s">
        <v>2611</v>
      </c>
      <c r="F519" s="1" t="s">
        <v>112</v>
      </c>
      <c r="G519" s="1">
        <v>627072</v>
      </c>
    </row>
    <row r="520" spans="1:8" x14ac:dyDescent="0.35">
      <c r="A520" s="1" t="str">
        <f t="shared" si="8"/>
        <v>18</v>
      </c>
      <c r="B5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0" s="1" t="s">
        <v>2612</v>
      </c>
      <c r="D520" s="1" t="s">
        <v>2613</v>
      </c>
      <c r="E520" s="1" t="s">
        <v>2614</v>
      </c>
      <c r="F520" s="1" t="s">
        <v>112</v>
      </c>
      <c r="G520" s="1">
        <v>650865</v>
      </c>
    </row>
    <row r="521" spans="1:8" x14ac:dyDescent="0.35">
      <c r="A521" s="1" t="str">
        <f t="shared" si="8"/>
        <v>18</v>
      </c>
      <c r="B5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1" s="1" t="s">
        <v>2615</v>
      </c>
      <c r="D521" s="1" t="s">
        <v>2616</v>
      </c>
      <c r="E521" s="1" t="s">
        <v>2617</v>
      </c>
      <c r="F521" s="1" t="s">
        <v>112</v>
      </c>
      <c r="G521" s="1">
        <v>1148829</v>
      </c>
    </row>
    <row r="522" spans="1:8" x14ac:dyDescent="0.35">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2" s="1" t="s">
        <v>112</v>
      </c>
    </row>
    <row r="523" spans="1:8" x14ac:dyDescent="0.35">
      <c r="A523" s="1" t="str">
        <f t="shared" si="8"/>
        <v/>
      </c>
      <c r="B5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3" s="1" t="s">
        <v>239</v>
      </c>
      <c r="D523" s="1" t="s">
        <v>112</v>
      </c>
      <c r="E523" s="1" t="s">
        <v>240</v>
      </c>
      <c r="F523" s="1" t="s">
        <v>241</v>
      </c>
      <c r="G523" s="1" t="s">
        <v>242</v>
      </c>
      <c r="H523" s="1" t="s">
        <v>243</v>
      </c>
    </row>
    <row r="524" spans="1:8" x14ac:dyDescent="0.35">
      <c r="A524" s="1" t="str">
        <f t="shared" si="8"/>
        <v>18</v>
      </c>
      <c r="B5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24" s="1" t="s">
        <v>2618</v>
      </c>
      <c r="D524" s="1" t="s">
        <v>112</v>
      </c>
      <c r="E524" s="1" t="s">
        <v>2619</v>
      </c>
      <c r="F524" s="1" t="s">
        <v>2620</v>
      </c>
      <c r="G524" s="1" t="s">
        <v>2621</v>
      </c>
      <c r="H524" s="1" t="s">
        <v>2622</v>
      </c>
    </row>
    <row r="525" spans="1:8" x14ac:dyDescent="0.35">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5" s="1" t="s">
        <v>112</v>
      </c>
    </row>
    <row r="526" spans="1:8" x14ac:dyDescent="0.35">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6" s="1" t="s">
        <v>112</v>
      </c>
    </row>
    <row r="527" spans="1:8" x14ac:dyDescent="0.35">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7" s="1" t="s">
        <v>112</v>
      </c>
    </row>
    <row r="528" spans="1:8" x14ac:dyDescent="0.35">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8" s="1" t="s">
        <v>112</v>
      </c>
    </row>
    <row r="529" spans="1:7" x14ac:dyDescent="0.35">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9" s="1" t="s">
        <v>112</v>
      </c>
    </row>
    <row r="530" spans="1:7" x14ac:dyDescent="0.35">
      <c r="A530" s="1" t="str">
        <f t="shared" si="8"/>
        <v/>
      </c>
      <c r="B5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30" s="1" t="s">
        <v>172</v>
      </c>
      <c r="D530" s="1" t="s">
        <v>110</v>
      </c>
      <c r="E530" s="1" t="s">
        <v>111</v>
      </c>
      <c r="F530" s="1" t="s">
        <v>112</v>
      </c>
      <c r="G530" s="1" t="s">
        <v>113</v>
      </c>
    </row>
    <row r="531" spans="1:7" x14ac:dyDescent="0.35">
      <c r="A531" s="1" t="str">
        <f t="shared" si="8"/>
        <v>19</v>
      </c>
      <c r="B5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1" s="1" t="s">
        <v>2623</v>
      </c>
      <c r="D531" s="1" t="s">
        <v>2624</v>
      </c>
      <c r="E531" s="1" t="s">
        <v>2625</v>
      </c>
      <c r="F531" s="1" t="s">
        <v>112</v>
      </c>
      <c r="G531" s="1">
        <v>2457243</v>
      </c>
    </row>
    <row r="532" spans="1:7" x14ac:dyDescent="0.35">
      <c r="A532" s="1" t="str">
        <f t="shared" si="8"/>
        <v>19</v>
      </c>
      <c r="B5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2" s="1" t="s">
        <v>2626</v>
      </c>
    </row>
    <row r="533" spans="1:7" x14ac:dyDescent="0.35">
      <c r="A533" s="1" t="str">
        <f t="shared" si="8"/>
        <v>19</v>
      </c>
      <c r="B5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3" s="1" t="s">
        <v>2627</v>
      </c>
      <c r="D533" s="1" t="s">
        <v>2628</v>
      </c>
      <c r="E533" s="1" t="s">
        <v>2629</v>
      </c>
      <c r="F533" s="1" t="s">
        <v>112</v>
      </c>
      <c r="G533" s="1">
        <v>1804712</v>
      </c>
    </row>
    <row r="534" spans="1:7" x14ac:dyDescent="0.35">
      <c r="A534" s="1" t="str">
        <f t="shared" si="8"/>
        <v>19</v>
      </c>
      <c r="B5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4" s="1" t="s">
        <v>2630</v>
      </c>
      <c r="D534" s="1" t="s">
        <v>2631</v>
      </c>
      <c r="E534" s="1" t="s">
        <v>2632</v>
      </c>
      <c r="F534" s="1" t="s">
        <v>112</v>
      </c>
      <c r="G534" s="1">
        <v>669770</v>
      </c>
    </row>
    <row r="535" spans="1:7" x14ac:dyDescent="0.35">
      <c r="A535" s="1" t="str">
        <f t="shared" si="8"/>
        <v>19</v>
      </c>
      <c r="B5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5" s="1" t="s">
        <v>2633</v>
      </c>
      <c r="D535" s="1" t="s">
        <v>2634</v>
      </c>
      <c r="E535" s="1" t="s">
        <v>2635</v>
      </c>
      <c r="F535" s="1" t="s">
        <v>112</v>
      </c>
      <c r="G535" s="1">
        <v>562940</v>
      </c>
    </row>
    <row r="536" spans="1:7" x14ac:dyDescent="0.35">
      <c r="A536" s="1" t="str">
        <f t="shared" si="8"/>
        <v>19</v>
      </c>
      <c r="B5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6" s="1" t="s">
        <v>2636</v>
      </c>
      <c r="D536" s="1" t="s">
        <v>2637</v>
      </c>
      <c r="E536" s="1" t="s">
        <v>2638</v>
      </c>
      <c r="F536" s="1" t="s">
        <v>112</v>
      </c>
      <c r="G536" s="1">
        <v>869889</v>
      </c>
    </row>
    <row r="537" spans="1:7" x14ac:dyDescent="0.35">
      <c r="A537" s="1" t="str">
        <f t="shared" si="8"/>
        <v>19</v>
      </c>
      <c r="B5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7" s="1" t="s">
        <v>2639</v>
      </c>
      <c r="D537" s="1" t="s">
        <v>2640</v>
      </c>
      <c r="E537" s="1" t="s">
        <v>2641</v>
      </c>
      <c r="F537" s="1" t="s">
        <v>112</v>
      </c>
      <c r="G537" s="1">
        <v>2373059</v>
      </c>
    </row>
    <row r="538" spans="1:7" x14ac:dyDescent="0.35">
      <c r="A538" s="1" t="str">
        <f t="shared" si="8"/>
        <v>19</v>
      </c>
      <c r="B5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8" s="1" t="s">
        <v>2642</v>
      </c>
      <c r="D538" s="1" t="s">
        <v>2643</v>
      </c>
      <c r="E538" s="1" t="s">
        <v>2644</v>
      </c>
      <c r="F538" s="1" t="s">
        <v>112</v>
      </c>
      <c r="G538" s="1">
        <v>2454409</v>
      </c>
    </row>
    <row r="539" spans="1:7" x14ac:dyDescent="0.35">
      <c r="A539" s="1" t="str">
        <f t="shared" si="8"/>
        <v>19</v>
      </c>
      <c r="B5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9" s="1" t="s">
        <v>2645</v>
      </c>
      <c r="D539" s="1" t="s">
        <v>2646</v>
      </c>
      <c r="E539" s="1" t="s">
        <v>2647</v>
      </c>
      <c r="F539" s="1" t="s">
        <v>112</v>
      </c>
      <c r="G539" s="1">
        <v>2444027</v>
      </c>
    </row>
    <row r="540" spans="1:7" x14ac:dyDescent="0.35">
      <c r="A540" s="1" t="str">
        <f t="shared" si="8"/>
        <v>19</v>
      </c>
      <c r="B5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0" s="1" t="s">
        <v>2648</v>
      </c>
      <c r="D540" s="1" t="s">
        <v>2649</v>
      </c>
      <c r="E540" s="1" t="s">
        <v>2650</v>
      </c>
      <c r="F540" s="1" t="s">
        <v>112</v>
      </c>
      <c r="G540" s="1">
        <v>2045604</v>
      </c>
    </row>
    <row r="541" spans="1:7" x14ac:dyDescent="0.35">
      <c r="A541" s="1" t="str">
        <f t="shared" si="8"/>
        <v>19</v>
      </c>
      <c r="B5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1" s="1" t="s">
        <v>2651</v>
      </c>
      <c r="D541" s="1" t="s">
        <v>2652</v>
      </c>
      <c r="E541" s="1" t="s">
        <v>2653</v>
      </c>
      <c r="F541" s="1" t="s">
        <v>112</v>
      </c>
      <c r="G541" s="1">
        <v>1989128</v>
      </c>
    </row>
    <row r="542" spans="1:7" x14ac:dyDescent="0.35">
      <c r="A542" s="1" t="str">
        <f t="shared" si="8"/>
        <v>19</v>
      </c>
      <c r="B5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2" s="1" t="s">
        <v>2654</v>
      </c>
      <c r="D542" s="1" t="s">
        <v>2655</v>
      </c>
      <c r="E542" s="1" t="s">
        <v>2656</v>
      </c>
      <c r="F542" s="1" t="s">
        <v>112</v>
      </c>
      <c r="G542" s="1">
        <v>1897850</v>
      </c>
    </row>
    <row r="543" spans="1:7" x14ac:dyDescent="0.35">
      <c r="A543" s="1" t="str">
        <f t="shared" si="8"/>
        <v>19</v>
      </c>
      <c r="B5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3" s="1" t="s">
        <v>2657</v>
      </c>
      <c r="D543" s="1" t="s">
        <v>2658</v>
      </c>
      <c r="E543" s="1" t="s">
        <v>2659</v>
      </c>
      <c r="F543" s="1" t="s">
        <v>112</v>
      </c>
      <c r="G543" s="1">
        <v>1592414</v>
      </c>
    </row>
    <row r="544" spans="1:7" x14ac:dyDescent="0.35">
      <c r="A544" s="1" t="str">
        <f t="shared" si="8"/>
        <v>19</v>
      </c>
      <c r="B5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4" s="1" t="s">
        <v>2660</v>
      </c>
      <c r="D544" s="1" t="s">
        <v>2661</v>
      </c>
      <c r="E544" s="1" t="s">
        <v>2662</v>
      </c>
      <c r="F544" s="1" t="s">
        <v>112</v>
      </c>
      <c r="G544" s="1">
        <v>894872</v>
      </c>
    </row>
    <row r="545" spans="1:8" x14ac:dyDescent="0.35">
      <c r="A545" s="1" t="str">
        <f t="shared" si="8"/>
        <v>19</v>
      </c>
      <c r="B5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5" s="1" t="s">
        <v>2663</v>
      </c>
      <c r="D545" s="1" t="s">
        <v>2664</v>
      </c>
      <c r="E545" s="1" t="s">
        <v>2665</v>
      </c>
      <c r="F545" s="1" t="s">
        <v>112</v>
      </c>
      <c r="G545" s="1">
        <v>1228751</v>
      </c>
    </row>
    <row r="546" spans="1:8" x14ac:dyDescent="0.35">
      <c r="A546" s="1" t="str">
        <f t="shared" si="8"/>
        <v>19</v>
      </c>
      <c r="B5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6" s="1" t="s">
        <v>2666</v>
      </c>
      <c r="D546" s="1" t="s">
        <v>593</v>
      </c>
      <c r="E546" s="1" t="s">
        <v>2667</v>
      </c>
      <c r="F546" s="1" t="s">
        <v>112</v>
      </c>
      <c r="G546" s="1">
        <v>83448</v>
      </c>
    </row>
    <row r="547" spans="1:8" x14ac:dyDescent="0.35">
      <c r="A547" s="1" t="str">
        <f t="shared" si="8"/>
        <v>19</v>
      </c>
      <c r="B5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7" s="1" t="s">
        <v>2668</v>
      </c>
      <c r="D547" s="1" t="s">
        <v>2669</v>
      </c>
      <c r="E547" s="1" t="s">
        <v>2670</v>
      </c>
      <c r="F547" s="1" t="s">
        <v>112</v>
      </c>
      <c r="G547" s="1">
        <v>254324</v>
      </c>
    </row>
    <row r="548" spans="1:8" x14ac:dyDescent="0.35">
      <c r="A548" s="1" t="str">
        <f t="shared" si="8"/>
        <v>19</v>
      </c>
      <c r="B5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8" s="1" t="s">
        <v>2671</v>
      </c>
      <c r="D548" s="1" t="s">
        <v>1080</v>
      </c>
      <c r="E548" s="1" t="s">
        <v>2672</v>
      </c>
      <c r="F548" s="1" t="s">
        <v>112</v>
      </c>
      <c r="G548" s="1">
        <v>109491</v>
      </c>
    </row>
    <row r="549" spans="1:8" x14ac:dyDescent="0.35">
      <c r="A549" s="1" t="str">
        <f t="shared" si="8"/>
        <v>19</v>
      </c>
      <c r="B5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9" s="1" t="s">
        <v>2673</v>
      </c>
      <c r="D549" s="1" t="s">
        <v>2674</v>
      </c>
      <c r="E549" s="1" t="s">
        <v>2675</v>
      </c>
      <c r="F549" s="1" t="s">
        <v>112</v>
      </c>
      <c r="G549" s="1">
        <v>2505607</v>
      </c>
    </row>
    <row r="550" spans="1:8" x14ac:dyDescent="0.35">
      <c r="A550" s="1" t="str">
        <f t="shared" si="8"/>
        <v>19</v>
      </c>
      <c r="B5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0" s="1" t="s">
        <v>2676</v>
      </c>
      <c r="D550" s="1" t="s">
        <v>2677</v>
      </c>
      <c r="E550" s="1" t="s">
        <v>2678</v>
      </c>
      <c r="F550" s="1" t="s">
        <v>112</v>
      </c>
      <c r="G550" s="1">
        <v>2876733</v>
      </c>
    </row>
    <row r="551" spans="1:8" x14ac:dyDescent="0.35">
      <c r="A551" s="1" t="str">
        <f t="shared" si="8"/>
        <v>19</v>
      </c>
      <c r="B5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1" s="1" t="s">
        <v>2679</v>
      </c>
      <c r="D551" s="1" t="s">
        <v>2680</v>
      </c>
      <c r="E551" s="1" t="s">
        <v>2681</v>
      </c>
      <c r="F551" s="1" t="s">
        <v>112</v>
      </c>
      <c r="G551" s="1">
        <v>2912422</v>
      </c>
    </row>
    <row r="552" spans="1:8" x14ac:dyDescent="0.35">
      <c r="A552" s="1" t="str">
        <f t="shared" si="8"/>
        <v>19</v>
      </c>
      <c r="B5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2" s="1" t="s">
        <v>2682</v>
      </c>
      <c r="D552" s="1" t="s">
        <v>2683</v>
      </c>
      <c r="E552" s="1" t="s">
        <v>2684</v>
      </c>
      <c r="F552" s="1" t="s">
        <v>112</v>
      </c>
      <c r="G552" s="1">
        <v>2176530</v>
      </c>
    </row>
    <row r="553" spans="1:8" x14ac:dyDescent="0.35">
      <c r="A553" s="1" t="str">
        <f t="shared" si="8"/>
        <v>19</v>
      </c>
      <c r="B5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3" s="1" t="s">
        <v>2685</v>
      </c>
      <c r="D553" s="1" t="s">
        <v>883</v>
      </c>
      <c r="E553" s="1" t="s">
        <v>2686</v>
      </c>
      <c r="F553" s="1" t="s">
        <v>112</v>
      </c>
      <c r="G553" s="1">
        <v>2200323</v>
      </c>
    </row>
    <row r="554" spans="1:8" x14ac:dyDescent="0.35">
      <c r="A554" s="1" t="str">
        <f t="shared" si="8"/>
        <v>19</v>
      </c>
      <c r="B5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4" s="1" t="s">
        <v>2687</v>
      </c>
      <c r="D554" s="1" t="s">
        <v>2688</v>
      </c>
      <c r="E554" s="1" t="s">
        <v>2689</v>
      </c>
      <c r="F554" s="1" t="s">
        <v>112</v>
      </c>
      <c r="G554" s="1">
        <v>2316389</v>
      </c>
    </row>
    <row r="555" spans="1:8" x14ac:dyDescent="0.35">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5" s="1" t="s">
        <v>112</v>
      </c>
    </row>
    <row r="556" spans="1:8" x14ac:dyDescent="0.35">
      <c r="A556" s="1" t="str">
        <f t="shared" si="8"/>
        <v/>
      </c>
      <c r="B5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6" s="1" t="s">
        <v>239</v>
      </c>
      <c r="D556" s="1" t="s">
        <v>112</v>
      </c>
      <c r="E556" s="1" t="s">
        <v>240</v>
      </c>
      <c r="F556" s="1" t="s">
        <v>241</v>
      </c>
      <c r="G556" s="1" t="s">
        <v>242</v>
      </c>
      <c r="H556" s="1" t="s">
        <v>243</v>
      </c>
    </row>
    <row r="557" spans="1:8" x14ac:dyDescent="0.35">
      <c r="A557" s="1" t="str">
        <f t="shared" si="8"/>
        <v>19</v>
      </c>
      <c r="B5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57" s="1" t="s">
        <v>2690</v>
      </c>
      <c r="D557" s="1" t="s">
        <v>112</v>
      </c>
      <c r="E557" s="1" t="s">
        <v>2691</v>
      </c>
      <c r="F557" s="1" t="s">
        <v>2692</v>
      </c>
      <c r="G557" s="1" t="s">
        <v>2693</v>
      </c>
      <c r="H557" s="1" t="s">
        <v>2694</v>
      </c>
    </row>
    <row r="558" spans="1:8" x14ac:dyDescent="0.35">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8" s="1" t="s">
        <v>112</v>
      </c>
    </row>
    <row r="559" spans="1:8" x14ac:dyDescent="0.35">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9" s="1" t="s">
        <v>112</v>
      </c>
    </row>
    <row r="560" spans="1:8" x14ac:dyDescent="0.35">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0" s="1" t="s">
        <v>112</v>
      </c>
    </row>
    <row r="561" spans="1:7" x14ac:dyDescent="0.35">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1" s="1" t="s">
        <v>112</v>
      </c>
    </row>
    <row r="562" spans="1:7" x14ac:dyDescent="0.35">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2" s="1" t="s">
        <v>112</v>
      </c>
    </row>
    <row r="563" spans="1:7" x14ac:dyDescent="0.35">
      <c r="A563" s="1" t="str">
        <f t="shared" si="8"/>
        <v/>
      </c>
      <c r="B5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3" s="1" t="s">
        <v>172</v>
      </c>
      <c r="D563" s="1" t="s">
        <v>110</v>
      </c>
      <c r="E563" s="1" t="s">
        <v>111</v>
      </c>
      <c r="F563" s="1" t="s">
        <v>112</v>
      </c>
      <c r="G563" s="1" t="s">
        <v>113</v>
      </c>
    </row>
    <row r="564" spans="1:7" x14ac:dyDescent="0.35">
      <c r="A564" s="1" t="str">
        <f t="shared" si="8"/>
        <v>20</v>
      </c>
      <c r="B5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4" s="1" t="s">
        <v>2695</v>
      </c>
    </row>
    <row r="565" spans="1:7" x14ac:dyDescent="0.35">
      <c r="A565" s="1" t="str">
        <f t="shared" si="8"/>
        <v>20</v>
      </c>
      <c r="B5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5" s="1" t="s">
        <v>2696</v>
      </c>
    </row>
    <row r="566" spans="1:7" x14ac:dyDescent="0.35">
      <c r="A566" s="1" t="str">
        <f t="shared" si="8"/>
        <v>20</v>
      </c>
      <c r="B5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6" s="1" t="s">
        <v>2697</v>
      </c>
    </row>
    <row r="567" spans="1:7" x14ac:dyDescent="0.35">
      <c r="A567" s="1" t="str">
        <f t="shared" si="8"/>
        <v>20</v>
      </c>
      <c r="B5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7" s="1" t="s">
        <v>2698</v>
      </c>
      <c r="D567" s="1" t="s">
        <v>1024</v>
      </c>
      <c r="E567" s="1" t="s">
        <v>2699</v>
      </c>
      <c r="F567" s="1" t="s">
        <v>112</v>
      </c>
      <c r="G567" s="1">
        <v>259602</v>
      </c>
    </row>
    <row r="568" spans="1:7" x14ac:dyDescent="0.35">
      <c r="A568" s="1" t="str">
        <f t="shared" si="8"/>
        <v>20</v>
      </c>
      <c r="B5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8" s="1" t="s">
        <v>2700</v>
      </c>
      <c r="D568" s="1" t="s">
        <v>2701</v>
      </c>
      <c r="E568" s="1" t="s">
        <v>2702</v>
      </c>
      <c r="F568" s="1" t="s">
        <v>112</v>
      </c>
      <c r="G568" s="1">
        <v>283373</v>
      </c>
    </row>
    <row r="569" spans="1:7" x14ac:dyDescent="0.35">
      <c r="A569" s="1" t="str">
        <f t="shared" si="8"/>
        <v>20</v>
      </c>
      <c r="B5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9" s="1" t="s">
        <v>2703</v>
      </c>
      <c r="D569" s="1" t="s">
        <v>801</v>
      </c>
      <c r="E569" s="1" t="s">
        <v>2704</v>
      </c>
      <c r="F569" s="1" t="s">
        <v>112</v>
      </c>
      <c r="G569" s="1">
        <v>344672</v>
      </c>
    </row>
    <row r="570" spans="1:7" x14ac:dyDescent="0.35">
      <c r="A570" s="1" t="str">
        <f t="shared" si="8"/>
        <v>20</v>
      </c>
      <c r="B5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0" s="1" t="s">
        <v>2705</v>
      </c>
      <c r="D570" s="1" t="s">
        <v>2706</v>
      </c>
      <c r="E570" s="1" t="s">
        <v>2707</v>
      </c>
      <c r="F570" s="1" t="s">
        <v>112</v>
      </c>
      <c r="G570" s="1">
        <v>940122</v>
      </c>
    </row>
    <row r="571" spans="1:7" x14ac:dyDescent="0.35">
      <c r="A571" s="1" t="str">
        <f t="shared" si="8"/>
        <v>20</v>
      </c>
      <c r="B5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1" s="1" t="s">
        <v>2708</v>
      </c>
      <c r="D571" s="1" t="s">
        <v>329</v>
      </c>
      <c r="E571" s="1" t="s">
        <v>2709</v>
      </c>
      <c r="F571" s="1" t="s">
        <v>112</v>
      </c>
      <c r="G571" s="1">
        <v>1003173</v>
      </c>
    </row>
    <row r="572" spans="1:7" x14ac:dyDescent="0.35">
      <c r="A572" s="1" t="str">
        <f t="shared" si="8"/>
        <v>20</v>
      </c>
      <c r="B5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2" s="1" t="s">
        <v>2710</v>
      </c>
      <c r="D572" s="1" t="s">
        <v>2711</v>
      </c>
      <c r="E572" s="1" t="s">
        <v>2712</v>
      </c>
      <c r="F572" s="1" t="s">
        <v>112</v>
      </c>
      <c r="G572" s="1">
        <v>567028</v>
      </c>
    </row>
    <row r="573" spans="1:7" x14ac:dyDescent="0.35">
      <c r="A573" s="1" t="str">
        <f t="shared" si="8"/>
        <v>20</v>
      </c>
      <c r="B5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3" s="1" t="s">
        <v>2713</v>
      </c>
      <c r="D573" s="1" t="s">
        <v>2714</v>
      </c>
      <c r="E573" s="1" t="s">
        <v>2715</v>
      </c>
      <c r="F573" s="1" t="s">
        <v>112</v>
      </c>
      <c r="G573" s="1">
        <v>1508620</v>
      </c>
    </row>
    <row r="574" spans="1:7" x14ac:dyDescent="0.35">
      <c r="A574" s="1" t="str">
        <f t="shared" si="8"/>
        <v>20</v>
      </c>
      <c r="B5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4" s="1" t="s">
        <v>2716</v>
      </c>
      <c r="D574" s="1" t="s">
        <v>2717</v>
      </c>
      <c r="E574" s="1" t="s">
        <v>2718</v>
      </c>
      <c r="F574" s="1" t="s">
        <v>112</v>
      </c>
      <c r="G574" s="1">
        <v>1720139</v>
      </c>
    </row>
    <row r="575" spans="1:7" x14ac:dyDescent="0.35">
      <c r="A575" s="1" t="str">
        <f t="shared" si="8"/>
        <v>20</v>
      </c>
      <c r="B5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5" s="1" t="s">
        <v>2719</v>
      </c>
      <c r="D575" s="1" t="s">
        <v>2720</v>
      </c>
      <c r="E575" s="1" t="s">
        <v>2721</v>
      </c>
      <c r="F575" s="1" t="s">
        <v>112</v>
      </c>
      <c r="G575" s="1">
        <v>1581016</v>
      </c>
    </row>
    <row r="576" spans="1:7" x14ac:dyDescent="0.35">
      <c r="A576" s="1" t="str">
        <f t="shared" si="8"/>
        <v>20</v>
      </c>
      <c r="B5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6" s="1" t="s">
        <v>2722</v>
      </c>
      <c r="D576" s="1" t="s">
        <v>2723</v>
      </c>
      <c r="E576" s="1" t="s">
        <v>2724</v>
      </c>
      <c r="F576" s="1" t="s">
        <v>112</v>
      </c>
      <c r="G576" s="1">
        <v>4045720</v>
      </c>
    </row>
    <row r="577" spans="1:8" x14ac:dyDescent="0.35">
      <c r="A577" s="1" t="str">
        <f t="shared" si="8"/>
        <v>20</v>
      </c>
      <c r="B5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7" s="1" t="s">
        <v>2725</v>
      </c>
      <c r="D577" s="1" t="s">
        <v>2726</v>
      </c>
      <c r="E577" s="1" t="s">
        <v>2727</v>
      </c>
      <c r="F577" s="1" t="s">
        <v>112</v>
      </c>
      <c r="G577" s="1">
        <v>3941161</v>
      </c>
    </row>
    <row r="578" spans="1:8" x14ac:dyDescent="0.35">
      <c r="A578" s="1" t="str">
        <f t="shared" ref="A578:A641" si="9">IFERROR(LEFT(RIGHT(C578,LEN(C578)-SEARCH("@",C578)),SEARCH("/",RIGHT(C578,LEN(C578)-SEARCH("@",C578)-1))),"")</f>
        <v>20</v>
      </c>
      <c r="B5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8" s="1" t="s">
        <v>2728</v>
      </c>
      <c r="D578" s="1" t="s">
        <v>2729</v>
      </c>
      <c r="E578" s="1" t="s">
        <v>2730</v>
      </c>
      <c r="F578" s="1" t="s">
        <v>112</v>
      </c>
      <c r="G578" s="1">
        <v>3622185</v>
      </c>
    </row>
    <row r="579" spans="1:8" x14ac:dyDescent="0.35">
      <c r="A579" s="1" t="str">
        <f t="shared" si="9"/>
        <v>20</v>
      </c>
      <c r="B5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9" s="1" t="s">
        <v>2731</v>
      </c>
      <c r="D579" s="1" t="s">
        <v>2732</v>
      </c>
      <c r="E579" s="1" t="s">
        <v>2733</v>
      </c>
      <c r="F579" s="1" t="s">
        <v>112</v>
      </c>
      <c r="G579" s="1">
        <v>458446</v>
      </c>
    </row>
    <row r="580" spans="1:8" x14ac:dyDescent="0.35">
      <c r="A580" s="1" t="str">
        <f t="shared" si="9"/>
        <v>20</v>
      </c>
      <c r="B5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80" s="1" t="s">
        <v>2734</v>
      </c>
      <c r="D580" s="1" t="s">
        <v>2735</v>
      </c>
      <c r="E580" s="1" t="s">
        <v>2736</v>
      </c>
      <c r="F580" s="1" t="s">
        <v>112</v>
      </c>
      <c r="G580" s="1">
        <v>542175</v>
      </c>
    </row>
    <row r="581" spans="1:8" x14ac:dyDescent="0.35">
      <c r="A581" s="1" t="str">
        <f t="shared" si="9"/>
        <v>20</v>
      </c>
      <c r="B5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81" s="1" t="s">
        <v>2737</v>
      </c>
      <c r="D581" s="1" t="s">
        <v>1355</v>
      </c>
      <c r="E581" s="1" t="s">
        <v>2738</v>
      </c>
      <c r="F581" s="1" t="s">
        <v>112</v>
      </c>
      <c r="G581" s="1">
        <v>159477</v>
      </c>
    </row>
    <row r="582" spans="1:8" x14ac:dyDescent="0.35">
      <c r="A582" s="1" t="str">
        <f t="shared" si="9"/>
        <v>20</v>
      </c>
      <c r="B5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2" s="1" t="s">
        <v>2739</v>
      </c>
      <c r="D582" s="1" t="s">
        <v>2740</v>
      </c>
      <c r="E582" s="1" t="s">
        <v>2741</v>
      </c>
      <c r="F582" s="1" t="s">
        <v>112</v>
      </c>
      <c r="G582" s="1">
        <v>560668</v>
      </c>
    </row>
    <row r="583" spans="1:8" x14ac:dyDescent="0.35">
      <c r="A583" s="1" t="str">
        <f t="shared" si="9"/>
        <v>20</v>
      </c>
      <c r="B5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3" s="1" t="s">
        <v>2742</v>
      </c>
      <c r="D583" s="1" t="s">
        <v>647</v>
      </c>
      <c r="E583" s="1" t="s">
        <v>2743</v>
      </c>
      <c r="F583" s="1" t="s">
        <v>112</v>
      </c>
      <c r="G583" s="1">
        <v>311103</v>
      </c>
    </row>
    <row r="584" spans="1:8" x14ac:dyDescent="0.35">
      <c r="A584" s="1" t="str">
        <f t="shared" si="9"/>
        <v>20</v>
      </c>
      <c r="B5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4" s="1" t="s">
        <v>2744</v>
      </c>
      <c r="D584" s="1" t="s">
        <v>2745</v>
      </c>
      <c r="E584" s="1" t="s">
        <v>2746</v>
      </c>
      <c r="F584" s="1" t="s">
        <v>112</v>
      </c>
      <c r="G584" s="1">
        <v>94890</v>
      </c>
    </row>
    <row r="585" spans="1:8" x14ac:dyDescent="0.35">
      <c r="A585" s="1" t="str">
        <f t="shared" si="9"/>
        <v>20</v>
      </c>
      <c r="B5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5" s="1" t="s">
        <v>2747</v>
      </c>
      <c r="D585" s="1" t="s">
        <v>2748</v>
      </c>
      <c r="E585" s="1" t="s">
        <v>2749</v>
      </c>
      <c r="F585" s="1" t="s">
        <v>112</v>
      </c>
      <c r="G585" s="1">
        <v>304160</v>
      </c>
    </row>
    <row r="586" spans="1:8" x14ac:dyDescent="0.35">
      <c r="A586" s="1" t="str">
        <f t="shared" si="9"/>
        <v>20</v>
      </c>
      <c r="B5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6" s="1" t="s">
        <v>2750</v>
      </c>
      <c r="D586" s="1" t="s">
        <v>2751</v>
      </c>
      <c r="E586" s="1" t="s">
        <v>2752</v>
      </c>
      <c r="F586" s="1" t="s">
        <v>112</v>
      </c>
      <c r="G586" s="1">
        <v>381530</v>
      </c>
    </row>
    <row r="587" spans="1:8" x14ac:dyDescent="0.35">
      <c r="A587" s="1" t="str">
        <f t="shared" si="9"/>
        <v>20</v>
      </c>
      <c r="B5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7" s="1" t="s">
        <v>2753</v>
      </c>
      <c r="D587" s="1" t="s">
        <v>2754</v>
      </c>
      <c r="E587" s="1" t="s">
        <v>2755</v>
      </c>
      <c r="F587" s="1" t="s">
        <v>112</v>
      </c>
      <c r="G587" s="1">
        <v>548210</v>
      </c>
    </row>
    <row r="588" spans="1:8" x14ac:dyDescent="0.35">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8" s="1" t="s">
        <v>112</v>
      </c>
    </row>
    <row r="589" spans="1:8" x14ac:dyDescent="0.35">
      <c r="A589" s="1" t="str">
        <f t="shared" si="9"/>
        <v/>
      </c>
      <c r="B5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9" s="1" t="s">
        <v>239</v>
      </c>
      <c r="D589" s="1" t="s">
        <v>112</v>
      </c>
      <c r="E589" s="1" t="s">
        <v>240</v>
      </c>
      <c r="F589" s="1" t="s">
        <v>241</v>
      </c>
      <c r="G589" s="1" t="s">
        <v>242</v>
      </c>
      <c r="H589" s="1" t="s">
        <v>243</v>
      </c>
    </row>
    <row r="590" spans="1:8" x14ac:dyDescent="0.35">
      <c r="A590" s="1" t="str">
        <f t="shared" si="9"/>
        <v>20</v>
      </c>
      <c r="B5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90" s="1" t="s">
        <v>2756</v>
      </c>
      <c r="D590" s="1" t="s">
        <v>112</v>
      </c>
      <c r="E590" s="1" t="s">
        <v>2757</v>
      </c>
      <c r="F590" s="1" t="s">
        <v>2758</v>
      </c>
      <c r="G590" s="1" t="s">
        <v>2759</v>
      </c>
      <c r="H590" s="1" t="s">
        <v>2760</v>
      </c>
    </row>
    <row r="591" spans="1:8" x14ac:dyDescent="0.35">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1" s="1" t="s">
        <v>112</v>
      </c>
    </row>
    <row r="592" spans="1:8" x14ac:dyDescent="0.35">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2" s="1" t="s">
        <v>112</v>
      </c>
    </row>
    <row r="593" spans="1:7" x14ac:dyDescent="0.35">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3" s="1" t="s">
        <v>112</v>
      </c>
    </row>
    <row r="594" spans="1:7" x14ac:dyDescent="0.35">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4" s="1" t="s">
        <v>112</v>
      </c>
    </row>
    <row r="595" spans="1:7" x14ac:dyDescent="0.35">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5" s="1" t="s">
        <v>112</v>
      </c>
    </row>
    <row r="596" spans="1:7" x14ac:dyDescent="0.35">
      <c r="A596" s="1" t="str">
        <f t="shared" si="9"/>
        <v/>
      </c>
      <c r="B5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6" s="1" t="s">
        <v>172</v>
      </c>
      <c r="D596" s="1" t="s">
        <v>110</v>
      </c>
      <c r="E596" s="1" t="s">
        <v>111</v>
      </c>
      <c r="F596" s="1" t="s">
        <v>112</v>
      </c>
      <c r="G596" s="1" t="s">
        <v>113</v>
      </c>
    </row>
    <row r="597" spans="1:7" x14ac:dyDescent="0.35">
      <c r="A597" s="1" t="str">
        <f t="shared" si="9"/>
        <v>21</v>
      </c>
      <c r="B5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7" s="1" t="s">
        <v>2761</v>
      </c>
      <c r="D597" s="1" t="s">
        <v>2762</v>
      </c>
      <c r="E597" s="1" t="s">
        <v>2763</v>
      </c>
      <c r="F597" s="1" t="s">
        <v>112</v>
      </c>
      <c r="G597" s="1">
        <v>790075</v>
      </c>
    </row>
    <row r="598" spans="1:7" x14ac:dyDescent="0.35">
      <c r="A598" s="1" t="str">
        <f t="shared" si="9"/>
        <v>21</v>
      </c>
      <c r="B5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8" s="1" t="s">
        <v>2764</v>
      </c>
      <c r="D598" s="1" t="s">
        <v>2634</v>
      </c>
      <c r="E598" s="1" t="s">
        <v>2765</v>
      </c>
      <c r="F598" s="1" t="s">
        <v>112</v>
      </c>
      <c r="G598" s="1">
        <v>572089</v>
      </c>
    </row>
    <row r="599" spans="1:7" x14ac:dyDescent="0.35">
      <c r="A599" s="1" t="str">
        <f t="shared" si="9"/>
        <v>21</v>
      </c>
      <c r="B5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9" s="1" t="s">
        <v>2766</v>
      </c>
      <c r="D599" s="1" t="s">
        <v>2767</v>
      </c>
      <c r="E599" s="1" t="s">
        <v>2768</v>
      </c>
      <c r="F599" s="1" t="s">
        <v>112</v>
      </c>
      <c r="G599" s="1">
        <v>89072</v>
      </c>
    </row>
    <row r="600" spans="1:7" x14ac:dyDescent="0.35">
      <c r="A600" s="1" t="str">
        <f t="shared" si="9"/>
        <v>21</v>
      </c>
      <c r="B6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0" s="1" t="s">
        <v>2769</v>
      </c>
      <c r="D600" s="1" t="s">
        <v>2770</v>
      </c>
      <c r="E600" s="1" t="s">
        <v>2771</v>
      </c>
      <c r="F600" s="1" t="s">
        <v>112</v>
      </c>
      <c r="G600" s="1">
        <v>600186</v>
      </c>
    </row>
    <row r="601" spans="1:7" x14ac:dyDescent="0.35">
      <c r="A601" s="1" t="str">
        <f t="shared" si="9"/>
        <v>21</v>
      </c>
      <c r="B6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1" s="1" t="s">
        <v>2772</v>
      </c>
      <c r="D601" s="1" t="s">
        <v>2773</v>
      </c>
      <c r="E601" s="1" t="s">
        <v>2774</v>
      </c>
      <c r="F601" s="1" t="s">
        <v>112</v>
      </c>
      <c r="G601" s="1">
        <v>404263</v>
      </c>
    </row>
    <row r="602" spans="1:7" x14ac:dyDescent="0.35">
      <c r="A602" s="1" t="str">
        <f t="shared" si="9"/>
        <v>21</v>
      </c>
      <c r="B6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2" s="1" t="s">
        <v>2775</v>
      </c>
      <c r="D602" s="1" t="s">
        <v>2776</v>
      </c>
      <c r="E602" s="1" t="s">
        <v>2777</v>
      </c>
      <c r="F602" s="1" t="s">
        <v>112</v>
      </c>
      <c r="G602" s="1">
        <v>700030</v>
      </c>
    </row>
    <row r="603" spans="1:7" x14ac:dyDescent="0.35">
      <c r="A603" s="1" t="str">
        <f t="shared" si="9"/>
        <v>21</v>
      </c>
      <c r="B6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3" s="1" t="s">
        <v>2778</v>
      </c>
      <c r="D603" s="1" t="s">
        <v>2779</v>
      </c>
      <c r="E603" s="1" t="s">
        <v>2780</v>
      </c>
      <c r="F603" s="1" t="s">
        <v>112</v>
      </c>
      <c r="G603" s="1">
        <v>1496486</v>
      </c>
    </row>
    <row r="604" spans="1:7" x14ac:dyDescent="0.35">
      <c r="A604" s="1" t="str">
        <f t="shared" si="9"/>
        <v>21</v>
      </c>
      <c r="B6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4" s="1" t="s">
        <v>2781</v>
      </c>
      <c r="D604" s="1" t="s">
        <v>2782</v>
      </c>
      <c r="E604" s="1" t="s">
        <v>2783</v>
      </c>
      <c r="F604" s="1" t="s">
        <v>112</v>
      </c>
      <c r="G604" s="1">
        <v>2136385</v>
      </c>
    </row>
    <row r="605" spans="1:7" x14ac:dyDescent="0.35">
      <c r="A605" s="1" t="str">
        <f t="shared" si="9"/>
        <v>21</v>
      </c>
      <c r="B6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5" s="1" t="s">
        <v>2784</v>
      </c>
      <c r="D605" s="1" t="s">
        <v>2244</v>
      </c>
      <c r="E605" s="1" t="s">
        <v>2785</v>
      </c>
      <c r="F605" s="1" t="s">
        <v>112</v>
      </c>
      <c r="G605" s="1">
        <v>1365344</v>
      </c>
    </row>
    <row r="606" spans="1:7" x14ac:dyDescent="0.35">
      <c r="A606" s="1" t="str">
        <f t="shared" si="9"/>
        <v>21</v>
      </c>
      <c r="B6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6" s="1" t="s">
        <v>2786</v>
      </c>
      <c r="D606" s="1" t="s">
        <v>2787</v>
      </c>
      <c r="E606" s="1" t="s">
        <v>2788</v>
      </c>
      <c r="F606" s="1" t="s">
        <v>112</v>
      </c>
      <c r="G606" s="1">
        <v>1022683</v>
      </c>
    </row>
    <row r="607" spans="1:7" x14ac:dyDescent="0.35">
      <c r="A607" s="1" t="str">
        <f t="shared" si="9"/>
        <v>21</v>
      </c>
      <c r="B6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7" s="1" t="s">
        <v>2789</v>
      </c>
      <c r="D607" s="1" t="s">
        <v>2790</v>
      </c>
      <c r="E607" s="1" t="s">
        <v>2791</v>
      </c>
      <c r="F607" s="1" t="s">
        <v>112</v>
      </c>
      <c r="G607" s="1">
        <v>1040311</v>
      </c>
    </row>
    <row r="608" spans="1:7" x14ac:dyDescent="0.35">
      <c r="A608" s="1" t="str">
        <f t="shared" si="9"/>
        <v>21</v>
      </c>
      <c r="B6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8" s="1" t="s">
        <v>2792</v>
      </c>
      <c r="D608" s="1" t="s">
        <v>2793</v>
      </c>
      <c r="E608" s="1" t="s">
        <v>2794</v>
      </c>
      <c r="F608" s="1" t="s">
        <v>112</v>
      </c>
      <c r="G608" s="1">
        <v>1197258</v>
      </c>
    </row>
    <row r="609" spans="1:8" x14ac:dyDescent="0.35">
      <c r="A609" s="1" t="str">
        <f t="shared" si="9"/>
        <v>21</v>
      </c>
      <c r="B6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9" s="1" t="s">
        <v>2795</v>
      </c>
      <c r="D609" s="1" t="s">
        <v>2796</v>
      </c>
      <c r="E609" s="1" t="s">
        <v>2797</v>
      </c>
      <c r="F609" s="1" t="s">
        <v>112</v>
      </c>
      <c r="G609" s="1">
        <v>529175</v>
      </c>
    </row>
    <row r="610" spans="1:8" x14ac:dyDescent="0.35">
      <c r="A610" s="1" t="str">
        <f t="shared" si="9"/>
        <v>21</v>
      </c>
      <c r="B6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10" s="1" t="s">
        <v>2798</v>
      </c>
    </row>
    <row r="611" spans="1:8" x14ac:dyDescent="0.35">
      <c r="A611" s="1" t="str">
        <f t="shared" si="9"/>
        <v>21</v>
      </c>
      <c r="B6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11" s="1" t="s">
        <v>2799</v>
      </c>
      <c r="D611" s="1" t="s">
        <v>2800</v>
      </c>
      <c r="E611" s="1" t="s">
        <v>2801</v>
      </c>
      <c r="F611" s="1" t="s">
        <v>112</v>
      </c>
      <c r="G611" s="1">
        <v>984614</v>
      </c>
    </row>
    <row r="612" spans="1:8" x14ac:dyDescent="0.35">
      <c r="A612" s="1" t="str">
        <f t="shared" si="9"/>
        <v>21</v>
      </c>
      <c r="B6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2" s="1" t="s">
        <v>2802</v>
      </c>
      <c r="D612" s="1" t="s">
        <v>2803</v>
      </c>
      <c r="E612" s="1" t="s">
        <v>2804</v>
      </c>
      <c r="F612" s="1" t="s">
        <v>112</v>
      </c>
      <c r="G612" s="1">
        <v>2736355</v>
      </c>
    </row>
    <row r="613" spans="1:8" x14ac:dyDescent="0.35">
      <c r="A613" s="1" t="str">
        <f t="shared" si="9"/>
        <v>21</v>
      </c>
      <c r="B6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3" s="1" t="s">
        <v>2805</v>
      </c>
      <c r="D613" s="1" t="s">
        <v>2806</v>
      </c>
      <c r="E613" s="1" t="s">
        <v>2807</v>
      </c>
      <c r="F613" s="1" t="s">
        <v>112</v>
      </c>
      <c r="G613" s="1">
        <v>2762613</v>
      </c>
    </row>
    <row r="614" spans="1:8" x14ac:dyDescent="0.35">
      <c r="A614" s="1" t="str">
        <f t="shared" si="9"/>
        <v>21</v>
      </c>
      <c r="B6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4" s="1" t="s">
        <v>2808</v>
      </c>
      <c r="D614" s="1" t="s">
        <v>2809</v>
      </c>
      <c r="E614" s="1" t="s">
        <v>2810</v>
      </c>
      <c r="F614" s="1" t="s">
        <v>112</v>
      </c>
      <c r="G614" s="1">
        <v>2769059</v>
      </c>
    </row>
    <row r="615" spans="1:8" x14ac:dyDescent="0.35">
      <c r="A615" s="1" t="str">
        <f t="shared" si="9"/>
        <v>21</v>
      </c>
      <c r="B6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5" s="1" t="s">
        <v>2811</v>
      </c>
      <c r="D615" s="1" t="s">
        <v>2812</v>
      </c>
      <c r="E615" s="1" t="s">
        <v>2813</v>
      </c>
      <c r="F615" s="1" t="s">
        <v>112</v>
      </c>
      <c r="G615" s="1">
        <v>2929250</v>
      </c>
    </row>
    <row r="616" spans="1:8" x14ac:dyDescent="0.35">
      <c r="A616" s="1" t="str">
        <f t="shared" si="9"/>
        <v>21</v>
      </c>
      <c r="B6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6" s="1" t="s">
        <v>2814</v>
      </c>
      <c r="D616" s="1" t="s">
        <v>2815</v>
      </c>
      <c r="E616" s="1" t="s">
        <v>2816</v>
      </c>
      <c r="F616" s="1" t="s">
        <v>112</v>
      </c>
      <c r="G616" s="1">
        <v>2419477</v>
      </c>
    </row>
    <row r="617" spans="1:8" x14ac:dyDescent="0.35">
      <c r="A617" s="1" t="str">
        <f t="shared" si="9"/>
        <v>21</v>
      </c>
      <c r="B6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7" s="1" t="s">
        <v>2817</v>
      </c>
      <c r="D617" s="1" t="s">
        <v>2818</v>
      </c>
      <c r="E617" s="1" t="s">
        <v>2819</v>
      </c>
      <c r="F617" s="1" t="s">
        <v>112</v>
      </c>
      <c r="G617" s="1">
        <v>2552868</v>
      </c>
    </row>
    <row r="618" spans="1:8" x14ac:dyDescent="0.35">
      <c r="A618" s="1" t="str">
        <f t="shared" si="9"/>
        <v>21</v>
      </c>
      <c r="B6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8" s="1" t="s">
        <v>2820</v>
      </c>
      <c r="D618" s="1" t="s">
        <v>2821</v>
      </c>
      <c r="E618" s="1" t="s">
        <v>2822</v>
      </c>
      <c r="F618" s="1" t="s">
        <v>112</v>
      </c>
      <c r="G618" s="1">
        <v>533718</v>
      </c>
    </row>
    <row r="619" spans="1:8" x14ac:dyDescent="0.35">
      <c r="A619" s="1" t="str">
        <f t="shared" si="9"/>
        <v>21</v>
      </c>
      <c r="B6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9" s="1" t="s">
        <v>2823</v>
      </c>
      <c r="D619" s="1" t="s">
        <v>2824</v>
      </c>
      <c r="E619" s="1" t="s">
        <v>2825</v>
      </c>
      <c r="F619" s="1" t="s">
        <v>112</v>
      </c>
      <c r="G619" s="1">
        <v>341147</v>
      </c>
    </row>
    <row r="620" spans="1:8" x14ac:dyDescent="0.35">
      <c r="A620" s="1" t="str">
        <f t="shared" si="9"/>
        <v>21</v>
      </c>
      <c r="B6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20" s="1" t="s">
        <v>2826</v>
      </c>
      <c r="D620" s="1" t="s">
        <v>2827</v>
      </c>
      <c r="E620" s="1" t="s">
        <v>2828</v>
      </c>
      <c r="F620" s="1" t="s">
        <v>112</v>
      </c>
      <c r="G620" s="1">
        <v>389944</v>
      </c>
    </row>
    <row r="621" spans="1:8" x14ac:dyDescent="0.35">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1" s="1" t="s">
        <v>112</v>
      </c>
    </row>
    <row r="622" spans="1:8" x14ac:dyDescent="0.35">
      <c r="A622" s="1" t="str">
        <f t="shared" si="9"/>
        <v/>
      </c>
      <c r="B6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2" s="1" t="s">
        <v>239</v>
      </c>
      <c r="D622" s="1" t="s">
        <v>112</v>
      </c>
      <c r="E622" s="1" t="s">
        <v>240</v>
      </c>
      <c r="F622" s="1" t="s">
        <v>241</v>
      </c>
      <c r="G622" s="1" t="s">
        <v>242</v>
      </c>
      <c r="H622" s="1" t="s">
        <v>243</v>
      </c>
    </row>
    <row r="623" spans="1:8" x14ac:dyDescent="0.35">
      <c r="A623" s="1" t="str">
        <f t="shared" si="9"/>
        <v>21</v>
      </c>
      <c r="B6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23" s="1" t="s">
        <v>2829</v>
      </c>
      <c r="D623" s="1" t="s">
        <v>112</v>
      </c>
      <c r="E623" s="1" t="s">
        <v>2830</v>
      </c>
      <c r="F623" s="1" t="s">
        <v>2831</v>
      </c>
      <c r="G623" s="1" t="s">
        <v>2832</v>
      </c>
      <c r="H623" s="1" t="s">
        <v>2833</v>
      </c>
    </row>
    <row r="624" spans="1:8" x14ac:dyDescent="0.35">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4" s="1" t="s">
        <v>112</v>
      </c>
    </row>
    <row r="625" spans="1:7" x14ac:dyDescent="0.35">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5" s="1" t="s">
        <v>112</v>
      </c>
    </row>
    <row r="626" spans="1:7" x14ac:dyDescent="0.35">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6" s="1" t="s">
        <v>112</v>
      </c>
    </row>
    <row r="627" spans="1:7" x14ac:dyDescent="0.35">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7" s="1" t="s">
        <v>112</v>
      </c>
    </row>
    <row r="628" spans="1:7" x14ac:dyDescent="0.35">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8" s="1" t="s">
        <v>112</v>
      </c>
    </row>
    <row r="629" spans="1:7" x14ac:dyDescent="0.35">
      <c r="A629" s="1" t="str">
        <f t="shared" si="9"/>
        <v/>
      </c>
      <c r="B6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9" s="1" t="s">
        <v>172</v>
      </c>
      <c r="D629" s="1" t="s">
        <v>110</v>
      </c>
      <c r="E629" s="1" t="s">
        <v>111</v>
      </c>
      <c r="F629" s="1" t="s">
        <v>112</v>
      </c>
      <c r="G629" s="1" t="s">
        <v>113</v>
      </c>
    </row>
    <row r="630" spans="1:7" x14ac:dyDescent="0.35">
      <c r="A630" s="1" t="str">
        <f t="shared" si="9"/>
        <v>8</v>
      </c>
      <c r="B6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0" s="1" t="s">
        <v>2834</v>
      </c>
      <c r="D630" s="1" t="s">
        <v>2477</v>
      </c>
      <c r="E630" s="1" t="s">
        <v>2835</v>
      </c>
      <c r="F630" s="1" t="s">
        <v>112</v>
      </c>
      <c r="G630" s="1">
        <v>171092</v>
      </c>
    </row>
    <row r="631" spans="1:7" x14ac:dyDescent="0.35">
      <c r="A631" s="1" t="str">
        <f t="shared" si="9"/>
        <v>8</v>
      </c>
      <c r="B6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1" s="1" t="s">
        <v>2836</v>
      </c>
      <c r="D631" s="1" t="s">
        <v>1024</v>
      </c>
      <c r="E631" s="1" t="s">
        <v>2837</v>
      </c>
      <c r="F631" s="1" t="s">
        <v>112</v>
      </c>
      <c r="G631" s="1">
        <v>311081</v>
      </c>
    </row>
    <row r="632" spans="1:7" x14ac:dyDescent="0.35">
      <c r="A632" s="1" t="str">
        <f t="shared" si="9"/>
        <v>8</v>
      </c>
      <c r="B6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2" s="1" t="s">
        <v>2838</v>
      </c>
    </row>
    <row r="633" spans="1:7" x14ac:dyDescent="0.35">
      <c r="A633" s="1" t="str">
        <f t="shared" si="9"/>
        <v>8</v>
      </c>
      <c r="B6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3" s="1" t="s">
        <v>2839</v>
      </c>
    </row>
    <row r="634" spans="1:7" x14ac:dyDescent="0.35">
      <c r="A634" s="1" t="str">
        <f t="shared" si="9"/>
        <v>8</v>
      </c>
      <c r="B6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4" s="1" t="s">
        <v>2840</v>
      </c>
    </row>
    <row r="635" spans="1:7" x14ac:dyDescent="0.35">
      <c r="A635" s="1" t="str">
        <f t="shared" si="9"/>
        <v>8</v>
      </c>
      <c r="B6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5" s="1" t="s">
        <v>2841</v>
      </c>
    </row>
    <row r="636" spans="1:7" x14ac:dyDescent="0.35">
      <c r="A636" s="1" t="str">
        <f t="shared" si="9"/>
        <v>8</v>
      </c>
      <c r="B6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6" s="1" t="s">
        <v>2842</v>
      </c>
      <c r="D636" s="1" t="s">
        <v>1641</v>
      </c>
      <c r="E636" s="1" t="s">
        <v>1642</v>
      </c>
      <c r="F636" s="1" t="s">
        <v>112</v>
      </c>
      <c r="G636" s="1">
        <v>8760</v>
      </c>
    </row>
    <row r="637" spans="1:7" x14ac:dyDescent="0.35">
      <c r="A637" s="1" t="str">
        <f t="shared" si="9"/>
        <v>8</v>
      </c>
      <c r="B6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7" s="1" t="s">
        <v>2843</v>
      </c>
      <c r="D637" s="1" t="s">
        <v>473</v>
      </c>
      <c r="E637" s="1" t="s">
        <v>2844</v>
      </c>
      <c r="F637" s="1" t="s">
        <v>112</v>
      </c>
      <c r="G637" s="1">
        <v>139361</v>
      </c>
    </row>
    <row r="638" spans="1:7" x14ac:dyDescent="0.35">
      <c r="A638" s="1" t="str">
        <f t="shared" si="9"/>
        <v>8</v>
      </c>
      <c r="B6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8" s="1" t="s">
        <v>2845</v>
      </c>
      <c r="D638" s="1" t="s">
        <v>2846</v>
      </c>
      <c r="E638" s="1" t="s">
        <v>2847</v>
      </c>
      <c r="F638" s="1" t="s">
        <v>112</v>
      </c>
      <c r="G638" s="1">
        <v>2725</v>
      </c>
    </row>
    <row r="639" spans="1:7" x14ac:dyDescent="0.35">
      <c r="A639" s="1" t="str">
        <f t="shared" si="9"/>
        <v>8</v>
      </c>
      <c r="B6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9" s="1" t="s">
        <v>2848</v>
      </c>
      <c r="D639" s="1" t="s">
        <v>2849</v>
      </c>
      <c r="E639" s="1" t="s">
        <v>2850</v>
      </c>
      <c r="F639" s="1" t="s">
        <v>112</v>
      </c>
      <c r="G639" s="1">
        <v>154675</v>
      </c>
    </row>
    <row r="640" spans="1:7" x14ac:dyDescent="0.35">
      <c r="A640" s="1" t="str">
        <f t="shared" si="9"/>
        <v>8</v>
      </c>
      <c r="B6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40" s="1" t="s">
        <v>2851</v>
      </c>
      <c r="D640" s="1" t="s">
        <v>2852</v>
      </c>
      <c r="E640" s="1" t="s">
        <v>2853</v>
      </c>
      <c r="F640" s="1" t="s">
        <v>112</v>
      </c>
      <c r="G640" s="1">
        <v>145742</v>
      </c>
    </row>
    <row r="641" spans="1:8" x14ac:dyDescent="0.35">
      <c r="A641" s="1" t="str">
        <f t="shared" si="9"/>
        <v>8</v>
      </c>
      <c r="B6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41" s="1" t="s">
        <v>2854</v>
      </c>
      <c r="D641" s="1" t="s">
        <v>1924</v>
      </c>
      <c r="E641" s="1" t="s">
        <v>2855</v>
      </c>
      <c r="F641" s="1" t="s">
        <v>112</v>
      </c>
      <c r="G641" s="1">
        <v>101185</v>
      </c>
    </row>
    <row r="642" spans="1:8" x14ac:dyDescent="0.35">
      <c r="A642" s="1" t="str">
        <f t="shared" ref="A642:A705" si="10">IFERROR(LEFT(RIGHT(C642,LEN(C642)-SEARCH("@",C642)),SEARCH("/",RIGHT(C642,LEN(C642)-SEARCH("@",C642)-1))),"")</f>
        <v>8</v>
      </c>
      <c r="B6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2" s="1" t="s">
        <v>2856</v>
      </c>
    </row>
    <row r="643" spans="1:8" x14ac:dyDescent="0.35">
      <c r="A643" s="1" t="str">
        <f t="shared" si="10"/>
        <v>8</v>
      </c>
      <c r="B6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3" s="1" t="s">
        <v>2857</v>
      </c>
    </row>
    <row r="644" spans="1:8" x14ac:dyDescent="0.35">
      <c r="A644" s="1" t="str">
        <f t="shared" si="10"/>
        <v>8</v>
      </c>
      <c r="B6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4" s="1" t="s">
        <v>2858</v>
      </c>
    </row>
    <row r="645" spans="1:8" x14ac:dyDescent="0.35">
      <c r="A645" s="1" t="str">
        <f t="shared" si="10"/>
        <v>8</v>
      </c>
      <c r="B6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5" s="1" t="s">
        <v>2859</v>
      </c>
      <c r="D645" s="1" t="s">
        <v>2458</v>
      </c>
      <c r="E645" s="1" t="s">
        <v>2860</v>
      </c>
      <c r="F645" s="1" t="s">
        <v>112</v>
      </c>
      <c r="G645" s="1">
        <v>153897</v>
      </c>
    </row>
    <row r="646" spans="1:8" x14ac:dyDescent="0.35">
      <c r="A646" s="1" t="str">
        <f t="shared" si="10"/>
        <v>8</v>
      </c>
      <c r="B6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6" s="1" t="s">
        <v>2861</v>
      </c>
    </row>
    <row r="647" spans="1:8" x14ac:dyDescent="0.35">
      <c r="A647" s="1" t="str">
        <f t="shared" si="10"/>
        <v>8</v>
      </c>
      <c r="B6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7" s="1" t="s">
        <v>2862</v>
      </c>
    </row>
    <row r="648" spans="1:8" x14ac:dyDescent="0.35">
      <c r="A648" s="1" t="str">
        <f t="shared" si="10"/>
        <v>8</v>
      </c>
      <c r="B6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8" s="1" t="s">
        <v>2863</v>
      </c>
      <c r="D648" s="1" t="s">
        <v>2864</v>
      </c>
      <c r="E648" s="1" t="s">
        <v>2865</v>
      </c>
      <c r="F648" s="1" t="s">
        <v>112</v>
      </c>
      <c r="G648" s="1">
        <v>330483</v>
      </c>
    </row>
    <row r="649" spans="1:8" x14ac:dyDescent="0.35">
      <c r="A649" s="1" t="str">
        <f t="shared" si="10"/>
        <v>8</v>
      </c>
      <c r="B6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9" s="1" t="s">
        <v>2866</v>
      </c>
      <c r="D649" s="1" t="s">
        <v>1566</v>
      </c>
      <c r="E649" s="1" t="s">
        <v>2867</v>
      </c>
      <c r="F649" s="1" t="s">
        <v>112</v>
      </c>
      <c r="G649" s="1">
        <v>213249</v>
      </c>
    </row>
    <row r="650" spans="1:8" x14ac:dyDescent="0.35">
      <c r="A650" s="1" t="str">
        <f t="shared" si="10"/>
        <v>8</v>
      </c>
      <c r="B6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50" s="1" t="s">
        <v>2868</v>
      </c>
      <c r="D650" s="1" t="s">
        <v>2869</v>
      </c>
      <c r="E650" s="1" t="s">
        <v>2870</v>
      </c>
      <c r="F650" s="1" t="s">
        <v>112</v>
      </c>
      <c r="G650" s="1">
        <v>250777</v>
      </c>
    </row>
    <row r="651" spans="1:8" x14ac:dyDescent="0.35">
      <c r="A651" s="1" t="str">
        <f t="shared" si="10"/>
        <v>8</v>
      </c>
      <c r="B6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1" s="1" t="s">
        <v>2871</v>
      </c>
      <c r="D651" s="1" t="s">
        <v>2369</v>
      </c>
      <c r="E651" s="1" t="s">
        <v>1662</v>
      </c>
      <c r="F651" s="1" t="s">
        <v>112</v>
      </c>
      <c r="G651" s="1">
        <v>3958</v>
      </c>
    </row>
    <row r="652" spans="1:8" x14ac:dyDescent="0.35">
      <c r="A652" s="1" t="str">
        <f t="shared" si="10"/>
        <v>8</v>
      </c>
      <c r="B6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2" s="1" t="s">
        <v>2872</v>
      </c>
      <c r="D652" s="1" t="s">
        <v>2873</v>
      </c>
      <c r="E652" s="1" t="s">
        <v>2874</v>
      </c>
      <c r="F652" s="1" t="s">
        <v>112</v>
      </c>
      <c r="G652" s="1">
        <v>61970</v>
      </c>
    </row>
    <row r="653" spans="1:8" x14ac:dyDescent="0.35">
      <c r="A653" s="1" t="str">
        <f t="shared" si="10"/>
        <v>8</v>
      </c>
      <c r="B6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3" s="1" t="s">
        <v>2875</v>
      </c>
      <c r="D653" s="1" t="s">
        <v>964</v>
      </c>
      <c r="E653" s="1" t="s">
        <v>2876</v>
      </c>
      <c r="F653" s="1" t="s">
        <v>112</v>
      </c>
      <c r="G653" s="1">
        <v>143320</v>
      </c>
    </row>
    <row r="654" spans="1:8" x14ac:dyDescent="0.35">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4" s="1" t="s">
        <v>112</v>
      </c>
    </row>
    <row r="655" spans="1:8" x14ac:dyDescent="0.35">
      <c r="A655" s="1" t="str">
        <f t="shared" si="10"/>
        <v/>
      </c>
      <c r="B6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5" s="1" t="s">
        <v>239</v>
      </c>
      <c r="D655" s="1" t="s">
        <v>112</v>
      </c>
      <c r="E655" s="1" t="s">
        <v>240</v>
      </c>
      <c r="F655" s="1" t="s">
        <v>241</v>
      </c>
      <c r="G655" s="1" t="s">
        <v>242</v>
      </c>
      <c r="H655" s="1" t="s">
        <v>243</v>
      </c>
    </row>
    <row r="656" spans="1:8" x14ac:dyDescent="0.35">
      <c r="A656" s="1" t="str">
        <f t="shared" si="10"/>
        <v>8</v>
      </c>
      <c r="B6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56" s="1" t="s">
        <v>2877</v>
      </c>
      <c r="D656" s="1" t="s">
        <v>112</v>
      </c>
      <c r="E656" s="1" t="s">
        <v>2878</v>
      </c>
      <c r="F656" s="1" t="s">
        <v>2879</v>
      </c>
      <c r="G656" s="1" t="s">
        <v>2880</v>
      </c>
      <c r="H656" s="1" t="s">
        <v>2881</v>
      </c>
    </row>
    <row r="657" spans="1:7" x14ac:dyDescent="0.35">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7" s="1" t="s">
        <v>112</v>
      </c>
    </row>
    <row r="658" spans="1:7" x14ac:dyDescent="0.35">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8" s="1" t="s">
        <v>112</v>
      </c>
    </row>
    <row r="659" spans="1:7" x14ac:dyDescent="0.35">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9" s="1" t="s">
        <v>112</v>
      </c>
    </row>
    <row r="660" spans="1:7" x14ac:dyDescent="0.35">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0" s="1" t="s">
        <v>112</v>
      </c>
    </row>
    <row r="661" spans="1:7" x14ac:dyDescent="0.35">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1" s="1" t="s">
        <v>112</v>
      </c>
    </row>
    <row r="662" spans="1:7" x14ac:dyDescent="0.35">
      <c r="A662" s="1" t="str">
        <f t="shared" si="10"/>
        <v/>
      </c>
      <c r="B6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2" s="1" t="s">
        <v>172</v>
      </c>
      <c r="D662" s="1" t="s">
        <v>110</v>
      </c>
      <c r="E662" s="1" t="s">
        <v>111</v>
      </c>
      <c r="F662" s="1" t="s">
        <v>112</v>
      </c>
      <c r="G662" s="1" t="s">
        <v>113</v>
      </c>
    </row>
    <row r="663" spans="1:7" x14ac:dyDescent="0.35">
      <c r="A663" s="1" t="str">
        <f t="shared" si="10"/>
        <v>9</v>
      </c>
      <c r="B6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3" s="1" t="s">
        <v>2882</v>
      </c>
      <c r="D663" s="1" t="s">
        <v>228</v>
      </c>
      <c r="E663" s="1" t="s">
        <v>2408</v>
      </c>
      <c r="F663" s="1" t="s">
        <v>112</v>
      </c>
      <c r="G663" s="1">
        <v>1990</v>
      </c>
    </row>
    <row r="664" spans="1:7" x14ac:dyDescent="0.35">
      <c r="A664" s="1" t="str">
        <f t="shared" si="10"/>
        <v>9</v>
      </c>
      <c r="B6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4" s="1" t="s">
        <v>2883</v>
      </c>
    </row>
    <row r="665" spans="1:7" x14ac:dyDescent="0.35">
      <c r="A665" s="1" t="str">
        <f t="shared" si="10"/>
        <v>9</v>
      </c>
      <c r="B6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5" s="1" t="s">
        <v>2884</v>
      </c>
      <c r="D665" s="1" t="s">
        <v>2410</v>
      </c>
      <c r="E665" s="1" t="s">
        <v>2885</v>
      </c>
      <c r="F665" s="1" t="s">
        <v>112</v>
      </c>
      <c r="G665" s="1">
        <v>78819</v>
      </c>
    </row>
    <row r="666" spans="1:7" x14ac:dyDescent="0.35">
      <c r="A666" s="1" t="str">
        <f t="shared" si="10"/>
        <v>9</v>
      </c>
      <c r="B6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6" s="1" t="s">
        <v>2886</v>
      </c>
      <c r="D666" s="1" t="s">
        <v>2745</v>
      </c>
      <c r="E666" s="1" t="s">
        <v>2887</v>
      </c>
      <c r="F666" s="1" t="s">
        <v>112</v>
      </c>
      <c r="G666" s="1">
        <v>103261</v>
      </c>
    </row>
    <row r="667" spans="1:7" x14ac:dyDescent="0.35">
      <c r="A667" s="1" t="str">
        <f t="shared" si="10"/>
        <v>9</v>
      </c>
      <c r="B6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7" s="1" t="s">
        <v>2888</v>
      </c>
      <c r="D667" s="1" t="s">
        <v>2889</v>
      </c>
      <c r="E667" s="1" t="s">
        <v>2890</v>
      </c>
      <c r="F667" s="1" t="s">
        <v>112</v>
      </c>
      <c r="G667" s="1">
        <v>294167</v>
      </c>
    </row>
    <row r="668" spans="1:7" x14ac:dyDescent="0.35">
      <c r="A668" s="1" t="str">
        <f t="shared" si="10"/>
        <v>9</v>
      </c>
      <c r="B6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8" s="1" t="s">
        <v>2891</v>
      </c>
      <c r="D668" s="1" t="s">
        <v>1752</v>
      </c>
      <c r="E668" s="1" t="s">
        <v>2892</v>
      </c>
      <c r="F668" s="1" t="s">
        <v>112</v>
      </c>
      <c r="G668" s="1">
        <v>138626</v>
      </c>
    </row>
    <row r="669" spans="1:7" x14ac:dyDescent="0.35">
      <c r="A669" s="1" t="str">
        <f t="shared" si="10"/>
        <v>9</v>
      </c>
      <c r="B6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9" s="1" t="s">
        <v>2893</v>
      </c>
      <c r="D669" s="1" t="s">
        <v>2894</v>
      </c>
      <c r="E669" s="1" t="s">
        <v>2895</v>
      </c>
      <c r="F669" s="1" t="s">
        <v>112</v>
      </c>
      <c r="G669" s="1">
        <v>52279</v>
      </c>
    </row>
    <row r="670" spans="1:7" x14ac:dyDescent="0.35">
      <c r="A670" s="1" t="str">
        <f t="shared" si="10"/>
        <v>9</v>
      </c>
      <c r="B6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70" s="1" t="s">
        <v>2896</v>
      </c>
      <c r="D670" s="1" t="s">
        <v>2897</v>
      </c>
      <c r="E670" s="1" t="s">
        <v>2898</v>
      </c>
      <c r="F670" s="1" t="s">
        <v>112</v>
      </c>
      <c r="G670" s="1">
        <v>199082</v>
      </c>
    </row>
    <row r="671" spans="1:7" x14ac:dyDescent="0.35">
      <c r="A671" s="1" t="str">
        <f t="shared" si="10"/>
        <v>9</v>
      </c>
      <c r="B6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71" s="1" t="s">
        <v>2899</v>
      </c>
      <c r="D671" s="1" t="s">
        <v>1566</v>
      </c>
      <c r="E671" s="1" t="s">
        <v>2900</v>
      </c>
      <c r="F671" s="1" t="s">
        <v>112</v>
      </c>
      <c r="G671" s="1">
        <v>199968</v>
      </c>
    </row>
    <row r="672" spans="1:7" x14ac:dyDescent="0.35">
      <c r="A672" s="1" t="str">
        <f t="shared" si="10"/>
        <v>9</v>
      </c>
      <c r="B6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2" s="1" t="s">
        <v>2901</v>
      </c>
      <c r="D672" s="1" t="s">
        <v>2902</v>
      </c>
      <c r="E672" s="1" t="s">
        <v>2903</v>
      </c>
      <c r="F672" s="1" t="s">
        <v>112</v>
      </c>
      <c r="G672" s="1">
        <v>74169</v>
      </c>
    </row>
    <row r="673" spans="1:8" x14ac:dyDescent="0.35">
      <c r="A673" s="1" t="str">
        <f t="shared" si="10"/>
        <v>9</v>
      </c>
      <c r="B6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3" s="1" t="s">
        <v>2904</v>
      </c>
    </row>
    <row r="674" spans="1:8" x14ac:dyDescent="0.35">
      <c r="A674" s="1" t="str">
        <f t="shared" si="10"/>
        <v>9</v>
      </c>
      <c r="B6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4" s="1" t="s">
        <v>2905</v>
      </c>
    </row>
    <row r="675" spans="1:8" x14ac:dyDescent="0.35">
      <c r="A675" s="1" t="str">
        <f t="shared" si="10"/>
        <v>9</v>
      </c>
      <c r="B6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5" s="1" t="s">
        <v>2906</v>
      </c>
      <c r="D675" s="1" t="s">
        <v>1534</v>
      </c>
      <c r="E675" s="1" t="s">
        <v>2907</v>
      </c>
      <c r="F675" s="1" t="s">
        <v>112</v>
      </c>
      <c r="G675" s="1">
        <v>7268</v>
      </c>
    </row>
    <row r="676" spans="1:8" x14ac:dyDescent="0.35">
      <c r="A676" s="1" t="str">
        <f t="shared" si="10"/>
        <v>9</v>
      </c>
      <c r="B6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6" s="1" t="s">
        <v>2908</v>
      </c>
      <c r="D676" s="1" t="s">
        <v>463</v>
      </c>
      <c r="E676" s="1">
        <v>30</v>
      </c>
      <c r="F676" s="1" t="s">
        <v>112</v>
      </c>
      <c r="G676" s="1">
        <v>649</v>
      </c>
    </row>
    <row r="677" spans="1:8" x14ac:dyDescent="0.35">
      <c r="A677" s="1" t="str">
        <f t="shared" si="10"/>
        <v>9</v>
      </c>
      <c r="B6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7" s="1" t="s">
        <v>2909</v>
      </c>
      <c r="D677" s="1" t="s">
        <v>2910</v>
      </c>
      <c r="E677" s="1" t="s">
        <v>2911</v>
      </c>
      <c r="F677" s="1" t="s">
        <v>112</v>
      </c>
      <c r="G677" s="1">
        <v>77413</v>
      </c>
    </row>
    <row r="678" spans="1:8" x14ac:dyDescent="0.35">
      <c r="A678" s="1" t="str">
        <f t="shared" si="10"/>
        <v>9</v>
      </c>
      <c r="B6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8" s="1" t="s">
        <v>2912</v>
      </c>
      <c r="D678" s="1" t="s">
        <v>2077</v>
      </c>
      <c r="E678" s="1" t="s">
        <v>2913</v>
      </c>
      <c r="F678" s="1" t="s">
        <v>112</v>
      </c>
      <c r="G678" s="1">
        <v>124588</v>
      </c>
    </row>
    <row r="679" spans="1:8" x14ac:dyDescent="0.35">
      <c r="A679" s="1" t="str">
        <f t="shared" si="10"/>
        <v>9</v>
      </c>
      <c r="B6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9" s="1" t="s">
        <v>2914</v>
      </c>
      <c r="D679" s="1" t="s">
        <v>2915</v>
      </c>
      <c r="E679" s="1" t="s">
        <v>2916</v>
      </c>
      <c r="F679" s="1" t="s">
        <v>112</v>
      </c>
      <c r="G679" s="1">
        <v>264642</v>
      </c>
    </row>
    <row r="680" spans="1:8" x14ac:dyDescent="0.35">
      <c r="A680" s="1" t="str">
        <f t="shared" si="10"/>
        <v>9</v>
      </c>
      <c r="B6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80" s="1" t="s">
        <v>2917</v>
      </c>
      <c r="D680" s="1" t="s">
        <v>2918</v>
      </c>
      <c r="E680" s="1" t="s">
        <v>2919</v>
      </c>
      <c r="F680" s="1" t="s">
        <v>112</v>
      </c>
      <c r="G680" s="1">
        <v>145829</v>
      </c>
    </row>
    <row r="681" spans="1:8" x14ac:dyDescent="0.35">
      <c r="A681" s="1" t="str">
        <f t="shared" si="10"/>
        <v>9</v>
      </c>
      <c r="B6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1" s="1" t="s">
        <v>2920</v>
      </c>
      <c r="D681" s="1" t="s">
        <v>2921</v>
      </c>
      <c r="E681" s="1" t="s">
        <v>2922</v>
      </c>
      <c r="F681" s="1" t="s">
        <v>112</v>
      </c>
      <c r="G681" s="1">
        <v>171633</v>
      </c>
    </row>
    <row r="682" spans="1:8" x14ac:dyDescent="0.35">
      <c r="A682" s="1" t="str">
        <f t="shared" si="10"/>
        <v>9</v>
      </c>
      <c r="B6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2" s="1" t="s">
        <v>2923</v>
      </c>
      <c r="D682" s="1" t="s">
        <v>463</v>
      </c>
      <c r="E682" s="1">
        <v>30</v>
      </c>
      <c r="F682" s="1" t="s">
        <v>112</v>
      </c>
      <c r="G682" s="1">
        <v>649</v>
      </c>
    </row>
    <row r="683" spans="1:8" x14ac:dyDescent="0.35">
      <c r="A683" s="1" t="str">
        <f t="shared" si="10"/>
        <v>9</v>
      </c>
      <c r="B6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3" s="1" t="s">
        <v>2924</v>
      </c>
      <c r="D683" s="1" t="s">
        <v>1095</v>
      </c>
      <c r="E683" s="1" t="s">
        <v>2925</v>
      </c>
      <c r="F683" s="1" t="s">
        <v>112</v>
      </c>
      <c r="G683" s="1">
        <v>238145</v>
      </c>
    </row>
    <row r="684" spans="1:8" x14ac:dyDescent="0.35">
      <c r="A684" s="1" t="str">
        <f t="shared" si="10"/>
        <v>9</v>
      </c>
      <c r="B6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4" s="1" t="s">
        <v>2926</v>
      </c>
      <c r="D684" s="1" t="s">
        <v>228</v>
      </c>
      <c r="E684" s="1" t="s">
        <v>1124</v>
      </c>
      <c r="F684" s="1" t="s">
        <v>112</v>
      </c>
      <c r="G684" s="1">
        <v>2098</v>
      </c>
    </row>
    <row r="685" spans="1:8" x14ac:dyDescent="0.35">
      <c r="A685" s="1" t="str">
        <f t="shared" si="10"/>
        <v>9</v>
      </c>
      <c r="B6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5" s="1" t="s">
        <v>2927</v>
      </c>
    </row>
    <row r="686" spans="1:8" x14ac:dyDescent="0.35">
      <c r="A686" s="1" t="str">
        <f t="shared" si="10"/>
        <v>9</v>
      </c>
      <c r="B6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6" s="1" t="s">
        <v>2928</v>
      </c>
      <c r="D686" s="1" t="s">
        <v>1466</v>
      </c>
      <c r="E686" s="1" t="s">
        <v>2929</v>
      </c>
      <c r="F686" s="1" t="s">
        <v>112</v>
      </c>
      <c r="G686" s="1">
        <v>5299</v>
      </c>
    </row>
    <row r="687" spans="1:8" x14ac:dyDescent="0.35">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7" s="1" t="s">
        <v>112</v>
      </c>
    </row>
    <row r="688" spans="1:8" x14ac:dyDescent="0.35">
      <c r="A688" s="1" t="str">
        <f t="shared" si="10"/>
        <v/>
      </c>
      <c r="B6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8" s="1" t="s">
        <v>239</v>
      </c>
      <c r="D688" s="1" t="s">
        <v>112</v>
      </c>
      <c r="E688" s="1" t="s">
        <v>240</v>
      </c>
      <c r="F688" s="1" t="s">
        <v>241</v>
      </c>
      <c r="G688" s="1" t="s">
        <v>242</v>
      </c>
      <c r="H688" s="1" t="s">
        <v>243</v>
      </c>
    </row>
    <row r="689" spans="1:8" x14ac:dyDescent="0.35">
      <c r="A689" s="1" t="str">
        <f t="shared" si="10"/>
        <v>9</v>
      </c>
      <c r="B6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89" s="1" t="s">
        <v>2930</v>
      </c>
      <c r="D689" s="1" t="s">
        <v>112</v>
      </c>
      <c r="E689" s="1" t="s">
        <v>2931</v>
      </c>
      <c r="F689" s="1" t="s">
        <v>2932</v>
      </c>
      <c r="G689" s="1" t="s">
        <v>2933</v>
      </c>
      <c r="H689" s="1" t="s">
        <v>2934</v>
      </c>
    </row>
    <row r="690" spans="1:8" x14ac:dyDescent="0.35">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0" s="1" t="s">
        <v>112</v>
      </c>
    </row>
    <row r="691" spans="1:8" x14ac:dyDescent="0.35">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2" spans="1:8" x14ac:dyDescent="0.35">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3" spans="1:8" x14ac:dyDescent="0.35">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4" spans="1:8" x14ac:dyDescent="0.35">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8" x14ac:dyDescent="0.35">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8" x14ac:dyDescent="0.35">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8" x14ac:dyDescent="0.35">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8" x14ac:dyDescent="0.35">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8" x14ac:dyDescent="0.35">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8" x14ac:dyDescent="0.35">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8" x14ac:dyDescent="0.35">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8" x14ac:dyDescent="0.35">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8" x14ac:dyDescent="0.35">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8" x14ac:dyDescent="0.35">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35">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35">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35">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35">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35">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35">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35">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35">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35">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35">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35">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35">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35">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35">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35">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35">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35">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35">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35">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35">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35">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35">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35">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35">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35">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35">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35">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35">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35">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35">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35">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35">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35">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35">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35">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35">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35">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35">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35">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35">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35">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35">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35">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35">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35">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35">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35">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35">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35">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35">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35">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35">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35">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35">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35">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35">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35">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35">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35">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35">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35">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35">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35">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35">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35">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35">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35">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35">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35">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35">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35">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35">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35">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35">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35">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35">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35">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35">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35">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35">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35">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35">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35">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35">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35">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35">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35">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35">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35">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35">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35">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35">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35">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35">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35">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35">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35">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35">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35">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35">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35">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35">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35">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35">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35">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35">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35">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35">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35">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35">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35">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35">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35">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35">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35">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35">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35">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35">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35">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35">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35">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35">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35">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35">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35">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35">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35">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35">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35">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35">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35">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35">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35">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35">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35">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35">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35">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35">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35">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35">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35">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35">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35">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35">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35">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35">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35">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35">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35">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35">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35">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35">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35">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35">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35">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35">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35">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35">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35">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35">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35">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35">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35">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35">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35">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35">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35">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35">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35">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35">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35">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35">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35">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35">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35">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35">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35">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35">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35">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35">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35">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35">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35">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35">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35">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35">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35">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35">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35">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35">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35">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35">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35">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35">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35">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35">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35">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35">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35">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35">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35">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35">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35">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35">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35">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35">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35">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35">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35">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35">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35">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35">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35">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35">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35">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35">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35">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35">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35">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35">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35">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35">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35">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35">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35">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35">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35">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35">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35">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35">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35">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35">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35">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35">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35">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35">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35">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35">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35">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35">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35">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35">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35">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35">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35">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35">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35">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35">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35">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35">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35">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35">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35">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35">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35">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35">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35">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35">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35">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35">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35">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35">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35">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35">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35">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35">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35">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35">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35">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35">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35">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35">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35">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35">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35">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35">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35">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35">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35">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35">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35">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35">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35">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35">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35">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35">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35">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35">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35">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35">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35">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35">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35">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35">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35">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35">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35">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35">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35">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35">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35">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35">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35">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35">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35">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35">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35">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35">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35">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35">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35">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35">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35">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35">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35">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35">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35">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35">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35">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35">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35">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35">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35">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35">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35">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35">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35">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35">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35">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35">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35">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35">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35">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35">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35">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35">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35">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35">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35">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35">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35">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35">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35">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35">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35">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35">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35">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35">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35">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35">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35">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35">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35">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35">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35">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35">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35">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35">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35">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35">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35">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35">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35">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35">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35">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35">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35">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35">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35">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35">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35">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35">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35">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35">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35">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35">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35">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35">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35">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35">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35">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35">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35">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35">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35">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35">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35">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35">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35">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35">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35">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35">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35">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35">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35">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35">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35">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35">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35">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35">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35">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35">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35">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35">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35">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35">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35">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35">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35">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35">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35">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35">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35">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35">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35">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35">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35">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35">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35">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35">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35">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35">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35">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35">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35">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35">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35">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35">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35">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35">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35">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35">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35">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35">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35">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35">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35">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35">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35">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35">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35">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35">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35">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35">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35">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35">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35">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35">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35">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35">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35">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35">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35">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35">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35">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35">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35">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35">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35">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35">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35">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35">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35">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35">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35">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35">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35">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35">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35">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35">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35">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35">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35">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35">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35">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35">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35">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35">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35">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35">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35">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35">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35">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35">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35">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35">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35">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35">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35">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35">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35">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35">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35">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35">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35">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35">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35">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35">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35">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35">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35">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35">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35">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35">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35">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35">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35">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35">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35">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35">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35">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35">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35">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35">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35">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35">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35">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35">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35">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35">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35">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35">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35">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35">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35">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35">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35">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35">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35">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35">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35">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35">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35">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35">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35">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35">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35">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35">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35">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35">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35">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35">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35">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35">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35">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35">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35">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35">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35">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35">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35">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35">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35">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35">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35">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35">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35">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35">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35">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35">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35">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35">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35">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35">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35">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35">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35">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35">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35">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35">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35">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35">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35">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35">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35">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35">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35">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35">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35">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35">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35">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35">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35">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35">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35">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35">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35">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35">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35">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35">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35">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35">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35">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35">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35">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35">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35">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35">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35">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35">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35">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35">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35">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35">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35">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35">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35">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35">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35">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35">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35">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35">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35">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35">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35">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35">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35">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35">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35">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35">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35">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35">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35">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35">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35">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35">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35">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35">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35">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35">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35">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35">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35">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35">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35">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35">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35">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35">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35">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35">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35">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35">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35">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35">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35">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35">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35">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35">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35">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35">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35">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35">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35">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35">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35">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35">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35">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35">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35">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35">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35">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35">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35">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35">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35">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35">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35">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35">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35">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35">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35">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35">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35">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35">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35">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35">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35">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35">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35">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35">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35">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35">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35">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35">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35">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35">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35">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35">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35">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35">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35">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35">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35">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35">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35">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35">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35">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35">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35">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35">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35">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35">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35">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35">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35">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35">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35">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35">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35">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35">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35">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35">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35">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35">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35">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35">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35">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35">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35">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35">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35">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35">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35">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35">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35">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35">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35">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35">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35">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35">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35">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35">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35">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35">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35">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35">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35">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35">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35">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35">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35">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35">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35">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35">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35">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35">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35">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35">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35">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35">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35">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35">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35">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35">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35">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35">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35">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35">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35">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35">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35">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35">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35">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35">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35">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35">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35">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35">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35">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35">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35">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35">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35">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35">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35">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35">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35">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35">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35">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35">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35">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35">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35">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35">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35">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35">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35">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35">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35">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35">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35">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35">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35">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35">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35">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35">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35">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35">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35">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35">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35">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35">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35">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35">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35">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35">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35">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35">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35">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35">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35">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35">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35">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35">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35">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35">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35">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35">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35">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35">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35">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35">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35">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35">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35">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35">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35">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A1:J2 EO1:XFD10 B11:K13 K1:L4 A1532:XFD1048576 M15:XFD19 B14:J19 K5:K6 B3:J10 B20:XFD1531 A3:A1531 AH11:XFD14">
    <cfRule type="containsText" dxfId="28" priority="1" operator="containsText" text="ERREUR">
      <formula>NOT(ISERROR(SEARCH("ERREUR",A1)))</formula>
    </cfRule>
    <cfRule type="containsText" dxfId="27" priority="2" operator="containsText" text="OK">
      <formula>NOT(ISERROR(SEARCH("OK",A1)))</formula>
    </cfRule>
  </conditionalFormatting>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topLeftCell="O1" zoomScale="70" zoomScaleNormal="70" zoomScaleSheetLayoutView="40" zoomScalePageLayoutView="30" workbookViewId="0">
      <selection activeCell="R5" sqref="R5:V12"/>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1.7265625" style="1" customWidth="1"/>
    <col min="15" max="15" width="14.81640625" style="1" customWidth="1"/>
    <col min="16" max="16" width="17.7265625" style="1" customWidth="1"/>
    <col min="17" max="18" width="25.81640625" style="1" bestFit="1" customWidth="1"/>
    <col min="19" max="22" width="25.81640625" style="1" customWidth="1"/>
    <col min="23" max="16384" width="9.1796875" style="1"/>
  </cols>
  <sheetData>
    <row r="1" spans="1:22" ht="26.5" thickBot="1" x14ac:dyDescent="0.65">
      <c r="A1" s="216" t="s">
        <v>43</v>
      </c>
      <c r="B1" s="217"/>
      <c r="C1" s="217"/>
      <c r="D1" s="217"/>
      <c r="E1" s="217"/>
      <c r="F1" s="217"/>
      <c r="G1" s="217"/>
      <c r="H1" s="217"/>
      <c r="I1" s="217"/>
      <c r="J1" s="217"/>
      <c r="K1" s="217"/>
      <c r="L1" s="217"/>
      <c r="M1" s="217"/>
      <c r="N1" s="217"/>
      <c r="O1" s="217"/>
      <c r="P1" s="217"/>
      <c r="Q1" s="217"/>
      <c r="R1" s="217"/>
      <c r="S1" s="217"/>
      <c r="T1" s="217"/>
      <c r="U1" s="217"/>
      <c r="V1" s="217"/>
    </row>
    <row r="2" spans="1:22" customFormat="1" ht="15" thickBot="1" x14ac:dyDescent="0.4"/>
    <row r="3" spans="1:22" ht="15" thickBot="1" x14ac:dyDescent="0.4">
      <c r="A3" s="51" t="s">
        <v>18</v>
      </c>
      <c r="B3" s="224" t="s">
        <v>6</v>
      </c>
      <c r="C3" s="225"/>
      <c r="D3" s="225"/>
      <c r="E3" s="225"/>
      <c r="F3" s="225"/>
      <c r="G3" s="225"/>
      <c r="H3" s="225"/>
      <c r="I3" s="225"/>
      <c r="J3" s="225"/>
      <c r="K3" s="225"/>
      <c r="L3" s="225"/>
      <c r="M3" s="225"/>
      <c r="O3" s="224" t="s">
        <v>3</v>
      </c>
      <c r="P3" s="225"/>
      <c r="Q3" s="225"/>
      <c r="R3" s="225"/>
      <c r="S3" s="225"/>
      <c r="T3" s="225"/>
      <c r="U3" s="225"/>
      <c r="V3" s="225"/>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Cefuroxime-0.001mg/L</v>
      </c>
      <c r="J4" s="35" t="str">
        <f>'Page de garde'!A16</f>
        <v>Cefuroxime-0.01mg/L</v>
      </c>
      <c r="K4" s="35" t="str">
        <f>'Page de garde'!A17</f>
        <v>Cefuroxime-0.1mg/L</v>
      </c>
      <c r="L4" s="35" t="str">
        <f>'Page de garde'!A18</f>
        <v>Cefuroxime-1mg/L</v>
      </c>
      <c r="M4" s="35" t="str">
        <f>'Page de garde'!A19</f>
        <v>Cefuroxime-10mg/L</v>
      </c>
      <c r="N4" s="3"/>
      <c r="O4" s="36" t="str">
        <f>'Page de garde'!A36</f>
        <v>Testo -30µg/L</v>
      </c>
      <c r="P4" s="36" t="str">
        <f>'Page de garde'!A37</f>
        <v>Testo 30µg/L + EE2 -64ng/L</v>
      </c>
      <c r="Q4" s="36" t="str">
        <f>'Page de garde'!A38</f>
        <v>Testo 30µg/L + FAD-10mg/L</v>
      </c>
      <c r="R4" s="36" t="str">
        <f>'Page de garde'!A39</f>
        <v>Cefuroxime-0,001mg/L + Testostérone</v>
      </c>
      <c r="S4" s="36" t="str">
        <f>'Page de garde'!A40</f>
        <v>Cefuroxime-0,01mg/L + Testostérone</v>
      </c>
      <c r="T4" s="36" t="str">
        <f>'Page de garde'!A41</f>
        <v>Cefuroxime-0,1mg/L + Testostérone</v>
      </c>
      <c r="U4" s="36" t="str">
        <f>'Page de garde'!A42</f>
        <v>Cefuroxime-1mg/L + Testostérone</v>
      </c>
      <c r="V4" s="36" t="str">
        <f>'Page de garde'!A43</f>
        <v>Cefuroxime-10mg/L + Testostérone</v>
      </c>
    </row>
    <row r="5" spans="1:22" x14ac:dyDescent="0.35">
      <c r="A5" s="226" t="s">
        <v>33</v>
      </c>
      <c r="B5" s="32">
        <v>306964.33333333331</v>
      </c>
      <c r="C5" s="32"/>
      <c r="D5" s="32">
        <v>41003.333333333336</v>
      </c>
      <c r="E5" s="32">
        <v>2007968</v>
      </c>
      <c r="F5" s="32">
        <v>2497935.6666666665</v>
      </c>
      <c r="G5" s="32">
        <v>364751.66666666669</v>
      </c>
      <c r="H5" s="32">
        <v>4675612</v>
      </c>
      <c r="I5" s="32">
        <v>241086.5</v>
      </c>
      <c r="J5" s="32">
        <v>40404.5</v>
      </c>
      <c r="K5" s="13">
        <v>0</v>
      </c>
      <c r="L5" s="13">
        <v>128272.66666666667</v>
      </c>
      <c r="M5" s="13">
        <v>482293</v>
      </c>
      <c r="N5" s="3"/>
      <c r="O5" s="32">
        <v>1240907</v>
      </c>
      <c r="P5" s="13"/>
      <c r="Q5" s="13"/>
      <c r="R5" s="32">
        <v>2255298.6666666665</v>
      </c>
      <c r="S5" s="32">
        <v>1503825.6666666667</v>
      </c>
      <c r="T5" s="32">
        <v>2130977.5</v>
      </c>
      <c r="U5" s="32"/>
      <c r="V5" s="32">
        <v>483745.33333333331</v>
      </c>
    </row>
    <row r="6" spans="1:22" ht="16.5" x14ac:dyDescent="0.35">
      <c r="A6" s="226"/>
      <c r="B6" s="14">
        <v>253762</v>
      </c>
      <c r="C6" s="13">
        <v>65084.333333333336</v>
      </c>
      <c r="D6" s="32">
        <v>57838.666666666664</v>
      </c>
      <c r="E6" s="32">
        <v>1593272.6666666667</v>
      </c>
      <c r="F6" s="32">
        <v>1361219.6666666667</v>
      </c>
      <c r="G6" s="32">
        <v>3187273</v>
      </c>
      <c r="H6" s="32"/>
      <c r="I6" s="32"/>
      <c r="J6" s="32">
        <v>178684.66666666666</v>
      </c>
      <c r="K6" s="13"/>
      <c r="L6" s="13">
        <v>162483.66666666666</v>
      </c>
      <c r="M6" s="13">
        <v>115172</v>
      </c>
      <c r="N6" s="3"/>
      <c r="O6" s="32">
        <v>2546585</v>
      </c>
      <c r="P6" s="13">
        <v>3184548</v>
      </c>
      <c r="Q6" s="13">
        <v>58955.666666666664</v>
      </c>
      <c r="R6" s="32">
        <v>365163.33333333331</v>
      </c>
      <c r="S6" s="32">
        <v>2652344.3333333335</v>
      </c>
      <c r="T6" s="32">
        <v>700866.33333333337</v>
      </c>
      <c r="U6" s="32">
        <v>295882.33333333331</v>
      </c>
      <c r="V6" s="32">
        <v>568159.66666666663</v>
      </c>
    </row>
    <row r="7" spans="1:22" ht="16.5" x14ac:dyDescent="0.35">
      <c r="A7" s="226"/>
      <c r="B7" s="14">
        <v>367784</v>
      </c>
      <c r="C7" s="13">
        <v>279804.5</v>
      </c>
      <c r="D7" s="32">
        <v>217351.33333333334</v>
      </c>
      <c r="E7" s="32">
        <v>81739.666666666672</v>
      </c>
      <c r="F7" s="32"/>
      <c r="G7" s="32">
        <v>1686382</v>
      </c>
      <c r="H7" s="32">
        <v>3647103</v>
      </c>
      <c r="I7" s="32">
        <v>50282</v>
      </c>
      <c r="J7" s="32">
        <v>150443</v>
      </c>
      <c r="K7" s="13">
        <v>686381</v>
      </c>
      <c r="L7" s="13">
        <v>3006.5</v>
      </c>
      <c r="M7" s="13">
        <v>0</v>
      </c>
      <c r="N7" s="3"/>
      <c r="O7" s="32">
        <v>698227.33333333337</v>
      </c>
      <c r="P7" s="13">
        <v>933070.33333333337</v>
      </c>
      <c r="Q7" s="13">
        <v>142764.33333333334</v>
      </c>
      <c r="R7" s="32">
        <v>766469.33333333337</v>
      </c>
      <c r="S7" s="32">
        <v>504618.33333333331</v>
      </c>
      <c r="T7" s="32">
        <v>2423831.6666666665</v>
      </c>
      <c r="U7" s="32">
        <v>836774.33333333337</v>
      </c>
      <c r="V7" s="32">
        <v>1666071.6666666667</v>
      </c>
    </row>
    <row r="8" spans="1:22" ht="16.5" x14ac:dyDescent="0.35">
      <c r="A8" s="226"/>
      <c r="B8" s="14">
        <v>286870</v>
      </c>
      <c r="C8" s="13">
        <v>13079</v>
      </c>
      <c r="D8" s="32">
        <v>211908</v>
      </c>
      <c r="E8" s="32">
        <v>329250.33333333331</v>
      </c>
      <c r="F8" s="32">
        <v>1906999.3333333333</v>
      </c>
      <c r="G8" s="32">
        <v>1407695</v>
      </c>
      <c r="H8" s="32">
        <v>3287088</v>
      </c>
      <c r="I8" s="32">
        <v>133867.33333333334</v>
      </c>
      <c r="J8" s="32">
        <v>74169</v>
      </c>
      <c r="K8" s="13">
        <v>318067.66666666669</v>
      </c>
      <c r="L8" s="13">
        <v>112745.5</v>
      </c>
      <c r="M8" s="13">
        <v>196605</v>
      </c>
      <c r="N8" s="3"/>
      <c r="O8" s="32">
        <v>1874843.3333333333</v>
      </c>
      <c r="P8" s="13">
        <v>4217901.333333333</v>
      </c>
      <c r="Q8" s="13">
        <v>319409</v>
      </c>
      <c r="R8" s="32">
        <v>271671.33333333331</v>
      </c>
      <c r="S8" s="32">
        <v>116916.66666666667</v>
      </c>
      <c r="T8" s="32">
        <v>1977527.3333333333</v>
      </c>
      <c r="U8" s="32">
        <v>1603258.3333333333</v>
      </c>
      <c r="V8" s="32">
        <v>1086750.6666666667</v>
      </c>
    </row>
    <row r="9" spans="1:22" ht="16.5" x14ac:dyDescent="0.35">
      <c r="A9" s="226"/>
      <c r="B9" s="14">
        <v>262803</v>
      </c>
      <c r="C9" s="13">
        <v>53959.333333333336</v>
      </c>
      <c r="D9" s="32">
        <v>100341.33333333333</v>
      </c>
      <c r="E9" s="32">
        <v>627173</v>
      </c>
      <c r="F9" s="32">
        <v>1628940</v>
      </c>
      <c r="G9" s="32">
        <v>3155650</v>
      </c>
      <c r="H9" s="32">
        <v>4862775.333333333</v>
      </c>
      <c r="I9" s="32"/>
      <c r="J9" s="32">
        <v>28443.333333333332</v>
      </c>
      <c r="K9" s="13">
        <v>265557.33333333331</v>
      </c>
      <c r="L9" s="13">
        <v>141971.33333333334</v>
      </c>
      <c r="M9" s="13">
        <v>131567.33333333334</v>
      </c>
      <c r="N9" s="3"/>
      <c r="O9" s="32">
        <v>592760.33333333337</v>
      </c>
      <c r="P9" s="13">
        <v>2831230.6666666665</v>
      </c>
      <c r="Q9" s="13">
        <v>73556</v>
      </c>
      <c r="R9" s="32">
        <v>1678818.6666666667</v>
      </c>
      <c r="S9" s="32">
        <v>2484092.6666666665</v>
      </c>
      <c r="T9" s="32">
        <v>1238679</v>
      </c>
      <c r="U9" s="32">
        <v>3869688.6666666665</v>
      </c>
      <c r="V9" s="32">
        <v>756894.5</v>
      </c>
    </row>
    <row r="10" spans="1:22" ht="16.5" x14ac:dyDescent="0.35">
      <c r="A10" s="226"/>
      <c r="B10" s="14">
        <v>98509.666666666672</v>
      </c>
      <c r="C10" s="13">
        <v>558195.33333333337</v>
      </c>
      <c r="D10" s="32">
        <v>172130.66666666666</v>
      </c>
      <c r="E10" s="32">
        <v>529139.33333333337</v>
      </c>
      <c r="F10" s="32">
        <v>1515401</v>
      </c>
      <c r="G10" s="32">
        <v>2743276.3333333335</v>
      </c>
      <c r="H10" s="32">
        <v>2544829.3333333335</v>
      </c>
      <c r="I10" s="32">
        <v>153897</v>
      </c>
      <c r="J10" s="32">
        <v>178353</v>
      </c>
      <c r="K10" s="13">
        <v>15076</v>
      </c>
      <c r="L10" s="13">
        <v>64320</v>
      </c>
      <c r="M10" s="13">
        <v>461812.66666666669</v>
      </c>
      <c r="N10" s="3"/>
      <c r="O10" s="32">
        <v>489254</v>
      </c>
      <c r="P10" s="13">
        <v>4321790</v>
      </c>
      <c r="Q10" s="13">
        <v>413412.33333333331</v>
      </c>
      <c r="R10" s="32">
        <v>910388</v>
      </c>
      <c r="S10" s="32">
        <v>298666</v>
      </c>
      <c r="T10" s="32">
        <v>149087.66666666666</v>
      </c>
      <c r="U10" s="32">
        <v>386699.33333333331</v>
      </c>
      <c r="V10" s="32">
        <v>2756009</v>
      </c>
    </row>
    <row r="11" spans="1:22" ht="16.5" x14ac:dyDescent="0.35">
      <c r="A11" s="226"/>
      <c r="B11" s="14">
        <v>61803.666666666664</v>
      </c>
      <c r="C11" s="13">
        <v>262450</v>
      </c>
      <c r="D11" s="32">
        <v>294022.33333333331</v>
      </c>
      <c r="E11" s="32">
        <v>134617</v>
      </c>
      <c r="F11" s="32">
        <v>808056.66666666663</v>
      </c>
      <c r="G11" s="32">
        <v>1831129.3333333333</v>
      </c>
      <c r="H11" s="32">
        <v>4059643</v>
      </c>
      <c r="I11" s="32">
        <v>264836.33333333331</v>
      </c>
      <c r="J11" s="32">
        <v>136809</v>
      </c>
      <c r="K11" s="13">
        <v>22856</v>
      </c>
      <c r="L11" s="13">
        <v>82763</v>
      </c>
      <c r="M11" s="13">
        <v>186997.66666666666</v>
      </c>
      <c r="N11" s="3"/>
      <c r="O11" s="32">
        <v>54456.666666666664</v>
      </c>
      <c r="P11" s="13">
        <v>3105295.6666666665</v>
      </c>
      <c r="Q11" s="13">
        <v>133016.33333333334</v>
      </c>
      <c r="R11" s="32">
        <v>630461</v>
      </c>
      <c r="S11" s="32">
        <v>1232168.3333333333</v>
      </c>
      <c r="T11" s="32">
        <v>2764920.6666666665</v>
      </c>
      <c r="U11" s="32">
        <v>322220.33333333331</v>
      </c>
      <c r="V11" s="32">
        <v>2633865</v>
      </c>
    </row>
    <row r="12" spans="1:22" ht="16.5" x14ac:dyDescent="0.35">
      <c r="A12" s="226"/>
      <c r="B12" s="14">
        <v>49871.333333333336</v>
      </c>
      <c r="C12" s="13">
        <v>79915</v>
      </c>
      <c r="D12" s="32">
        <v>486456.33333333331</v>
      </c>
      <c r="E12" s="32">
        <v>487602.66666666669</v>
      </c>
      <c r="F12" s="32">
        <v>2835051.6666666665</v>
      </c>
      <c r="G12" s="32">
        <v>2492297.3333333335</v>
      </c>
      <c r="H12" s="32">
        <v>3627491.6666666665</v>
      </c>
      <c r="I12" s="32">
        <v>69749.333333333328</v>
      </c>
      <c r="J12" s="32">
        <v>3698.5</v>
      </c>
      <c r="K12" s="13">
        <v>129743</v>
      </c>
      <c r="L12" s="13">
        <v>345977</v>
      </c>
      <c r="M12" s="13">
        <v>116289.66666666667</v>
      </c>
      <c r="N12" s="3"/>
      <c r="O12" s="32">
        <v>1524612.3333333333</v>
      </c>
      <c r="P12" s="13">
        <v>2782159.6666666665</v>
      </c>
      <c r="Q12" s="13">
        <v>74334.666666666672</v>
      </c>
      <c r="R12" s="32"/>
      <c r="S12" s="32">
        <v>808922</v>
      </c>
      <c r="T12" s="32">
        <v>2231080.6666666665</v>
      </c>
      <c r="U12" s="32">
        <v>411300</v>
      </c>
      <c r="V12" s="32">
        <v>421603</v>
      </c>
    </row>
    <row r="13" spans="1:22" ht="16.5" x14ac:dyDescent="0.35">
      <c r="A13" s="226"/>
      <c r="B13" s="14"/>
      <c r="C13" s="13"/>
      <c r="D13" s="32"/>
      <c r="E13" s="32"/>
      <c r="F13" s="32"/>
      <c r="G13" s="32"/>
      <c r="H13" s="32"/>
      <c r="I13" s="32"/>
      <c r="J13" s="32"/>
      <c r="K13" s="13"/>
      <c r="L13" s="13"/>
      <c r="M13" s="13"/>
      <c r="N13" s="3"/>
      <c r="O13" s="32">
        <v>70048.5</v>
      </c>
      <c r="P13" s="13"/>
      <c r="Q13" s="13"/>
      <c r="R13" s="32"/>
      <c r="S13" s="32"/>
      <c r="T13" s="32"/>
      <c r="U13" s="32"/>
      <c r="V13" s="32"/>
    </row>
    <row r="14" spans="1:22" ht="16.5" x14ac:dyDescent="0.35">
      <c r="A14" s="226"/>
      <c r="B14" s="14"/>
      <c r="C14" s="32"/>
      <c r="D14" s="32"/>
      <c r="E14" s="32"/>
      <c r="F14" s="32"/>
      <c r="G14" s="32"/>
      <c r="H14" s="32"/>
      <c r="I14" s="32"/>
      <c r="J14" s="32"/>
      <c r="K14" s="13"/>
      <c r="L14" s="13"/>
      <c r="M14" s="13"/>
      <c r="N14" s="3"/>
      <c r="O14" s="32">
        <v>508951.33333333331</v>
      </c>
      <c r="P14" s="13"/>
      <c r="Q14" s="13"/>
      <c r="R14" s="32"/>
      <c r="S14" s="32"/>
      <c r="T14" s="32"/>
      <c r="U14" s="32"/>
      <c r="V14" s="32"/>
    </row>
    <row r="15" spans="1:22" ht="16.5" x14ac:dyDescent="0.35">
      <c r="A15" s="226"/>
      <c r="B15" s="14"/>
      <c r="C15" s="32"/>
      <c r="D15" s="32"/>
      <c r="E15" s="32"/>
      <c r="F15" s="32"/>
      <c r="G15" s="32"/>
      <c r="H15" s="32"/>
      <c r="I15" s="32"/>
      <c r="J15" s="32"/>
      <c r="K15" s="13"/>
      <c r="L15" s="13"/>
      <c r="M15" s="13"/>
      <c r="N15" s="3"/>
      <c r="O15" s="32">
        <v>992134.33333333337</v>
      </c>
      <c r="P15" s="13"/>
      <c r="Q15" s="13"/>
      <c r="R15" s="32"/>
      <c r="S15" s="32"/>
      <c r="T15" s="32"/>
      <c r="U15" s="32"/>
      <c r="V15" s="32"/>
    </row>
    <row r="16" spans="1:22" ht="16.5" x14ac:dyDescent="0.35">
      <c r="A16" s="226"/>
      <c r="B16" s="14"/>
      <c r="C16" s="32"/>
      <c r="D16" s="32"/>
      <c r="E16" s="32"/>
      <c r="F16" s="32"/>
      <c r="G16" s="32"/>
      <c r="H16" s="32"/>
      <c r="I16" s="32"/>
      <c r="J16" s="32"/>
      <c r="K16" s="13"/>
      <c r="L16" s="13"/>
      <c r="M16" s="13"/>
      <c r="N16" s="3"/>
      <c r="O16" s="32">
        <v>1175498.5</v>
      </c>
      <c r="P16" s="13"/>
      <c r="Q16" s="13"/>
      <c r="R16" s="32"/>
      <c r="S16" s="32"/>
      <c r="T16" s="32"/>
      <c r="U16" s="32"/>
      <c r="V16" s="32"/>
    </row>
    <row r="17" spans="1:22" ht="16.5" x14ac:dyDescent="0.35">
      <c r="A17" s="226"/>
      <c r="B17" s="14"/>
      <c r="C17" s="32"/>
      <c r="D17" s="32"/>
      <c r="E17" s="32"/>
      <c r="F17" s="32"/>
      <c r="G17" s="32"/>
      <c r="H17" s="32"/>
      <c r="I17" s="32"/>
      <c r="J17" s="32"/>
      <c r="K17" s="13"/>
      <c r="L17" s="13"/>
      <c r="M17" s="13"/>
      <c r="N17" s="3"/>
      <c r="O17" s="32">
        <v>1956107</v>
      </c>
      <c r="P17" s="13"/>
      <c r="Q17" s="13"/>
      <c r="R17" s="32"/>
      <c r="S17" s="32"/>
      <c r="T17" s="32"/>
      <c r="U17" s="32"/>
      <c r="V17" s="32"/>
    </row>
    <row r="18" spans="1:22" ht="16.5" x14ac:dyDescent="0.35">
      <c r="A18" s="226"/>
      <c r="B18" s="14"/>
      <c r="C18" s="32"/>
      <c r="D18" s="32"/>
      <c r="E18" s="32"/>
      <c r="F18" s="32"/>
      <c r="G18" s="32"/>
      <c r="H18" s="32"/>
      <c r="I18" s="32"/>
      <c r="J18" s="32"/>
      <c r="K18" s="13"/>
      <c r="L18" s="13"/>
      <c r="M18" s="13"/>
      <c r="N18" s="3"/>
      <c r="O18" s="32"/>
      <c r="P18" s="13"/>
      <c r="Q18" s="13"/>
      <c r="R18" s="32"/>
      <c r="S18" s="32"/>
      <c r="T18" s="32"/>
      <c r="U18" s="32"/>
      <c r="V18" s="32"/>
    </row>
    <row r="19" spans="1:22" ht="16.5" x14ac:dyDescent="0.35">
      <c r="A19" s="226"/>
      <c r="B19" s="14"/>
      <c r="C19" s="32"/>
      <c r="D19" s="32"/>
      <c r="E19" s="32"/>
      <c r="F19" s="32"/>
      <c r="G19" s="32"/>
      <c r="H19" s="32"/>
      <c r="I19" s="32"/>
      <c r="J19" s="32"/>
      <c r="K19" s="13"/>
      <c r="L19" s="13"/>
      <c r="M19" s="13"/>
      <c r="N19" s="3"/>
      <c r="O19" s="32">
        <v>1563747.6666666667</v>
      </c>
      <c r="P19" s="13"/>
      <c r="Q19" s="13"/>
      <c r="R19" s="32"/>
      <c r="S19" s="32"/>
      <c r="T19" s="32"/>
      <c r="U19" s="32"/>
      <c r="V19" s="32"/>
    </row>
    <row r="20" spans="1:22" ht="16.5" x14ac:dyDescent="0.35">
      <c r="A20" s="226"/>
      <c r="B20" s="14"/>
      <c r="C20" s="32"/>
      <c r="D20" s="32"/>
      <c r="E20" s="32"/>
      <c r="F20" s="32"/>
      <c r="G20" s="32"/>
      <c r="H20" s="32"/>
      <c r="I20" s="32"/>
      <c r="J20" s="32"/>
      <c r="K20" s="13"/>
      <c r="L20" s="13"/>
      <c r="M20" s="13"/>
      <c r="N20" s="3"/>
      <c r="O20" s="32">
        <v>525282</v>
      </c>
      <c r="P20" s="13"/>
      <c r="Q20" s="13"/>
      <c r="R20" s="32"/>
      <c r="S20" s="32"/>
      <c r="T20" s="32"/>
      <c r="U20" s="32"/>
      <c r="V20" s="32"/>
    </row>
    <row r="21" spans="1:22" x14ac:dyDescent="0.35">
      <c r="A21" s="3"/>
      <c r="B21" s="7"/>
      <c r="C21" s="7"/>
      <c r="D21" s="7"/>
      <c r="E21" s="7"/>
      <c r="F21" s="7"/>
      <c r="G21" s="7"/>
      <c r="H21" s="7"/>
      <c r="I21" s="7"/>
      <c r="J21" s="7"/>
      <c r="N21" s="3"/>
      <c r="O21" s="7"/>
      <c r="R21" s="7"/>
      <c r="S21" s="7"/>
      <c r="T21" s="7"/>
      <c r="U21" s="7"/>
      <c r="V21" s="7"/>
    </row>
    <row r="22" spans="1:22" x14ac:dyDescent="0.3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Cefuroxime-0.001mg/L</v>
      </c>
      <c r="J22" s="3" t="str">
        <f t="shared" si="0"/>
        <v>Cefuroxime-0.01mg/L</v>
      </c>
      <c r="K22" s="3" t="str">
        <f t="shared" si="0"/>
        <v>Cefuroxime-0.1mg/L</v>
      </c>
      <c r="L22" s="3" t="str">
        <f t="shared" si="0"/>
        <v>Cefuroxime-1mg/L</v>
      </c>
      <c r="M22" s="3" t="str">
        <f t="shared" si="0"/>
        <v>Cefuroxime-10mg/L</v>
      </c>
      <c r="N22" s="3" t="s">
        <v>41</v>
      </c>
      <c r="O22" s="3" t="str">
        <f t="shared" si="0"/>
        <v>Testo -30µg/L</v>
      </c>
      <c r="P22" s="3" t="str">
        <f t="shared" si="0"/>
        <v>Testo 30µg/L + EE2 -64ng/L</v>
      </c>
      <c r="Q22" s="3" t="str">
        <f t="shared" si="0"/>
        <v>Testo 30µg/L + FAD-10mg/L</v>
      </c>
      <c r="R22" s="3" t="str">
        <f t="shared" si="0"/>
        <v>Cefuroxime-0,001mg/L + Testostérone</v>
      </c>
      <c r="S22" s="3" t="str">
        <f t="shared" si="0"/>
        <v>Cefuroxime-0,01mg/L + Testostérone</v>
      </c>
      <c r="T22" s="3" t="str">
        <f t="shared" si="0"/>
        <v>Cefuroxime-0,1mg/L + Testostérone</v>
      </c>
      <c r="U22" s="3" t="str">
        <f t="shared" si="0"/>
        <v>Cefuroxime-1mg/L + Testostérone</v>
      </c>
      <c r="V22" s="3" t="str">
        <f t="shared" si="0"/>
        <v>Cefuroxime-10mg/L + Testostérone</v>
      </c>
    </row>
    <row r="23" spans="1:22" x14ac:dyDescent="0.35">
      <c r="A23" s="5" t="s">
        <v>0</v>
      </c>
      <c r="B23" s="5">
        <f t="shared" ref="B23:J23" si="1">AVERAGE(B5:B20)</f>
        <v>211046</v>
      </c>
      <c r="C23" s="5">
        <f t="shared" si="1"/>
        <v>187498.21428571429</v>
      </c>
      <c r="D23" s="5">
        <f t="shared" si="1"/>
        <v>197631.5</v>
      </c>
      <c r="E23" s="5">
        <f t="shared" si="1"/>
        <v>723845.33333333337</v>
      </c>
      <c r="F23" s="5">
        <f t="shared" si="1"/>
        <v>1793371.9999999998</v>
      </c>
      <c r="G23" s="5">
        <f t="shared" si="1"/>
        <v>2108556.8333333335</v>
      </c>
      <c r="H23" s="5">
        <f t="shared" si="1"/>
        <v>3814934.6190476189</v>
      </c>
      <c r="I23" s="5">
        <f t="shared" si="1"/>
        <v>152286.41666666669</v>
      </c>
      <c r="J23" s="5">
        <f t="shared" si="1"/>
        <v>98875.625</v>
      </c>
      <c r="K23" s="5"/>
      <c r="L23" s="5">
        <f>AVERAGE(L5:L20)</f>
        <v>130192.45833333333</v>
      </c>
      <c r="M23" s="5"/>
      <c r="N23" s="5" t="s">
        <v>0</v>
      </c>
      <c r="O23" s="5">
        <f>AVERAGE(O5:O20)</f>
        <v>1054227.688888889</v>
      </c>
      <c r="P23" s="5">
        <f>AVERAGE(P5:P20)</f>
        <v>3053713.666666667</v>
      </c>
      <c r="Q23" s="5">
        <f>AVERAGE(Q5:Q20)</f>
        <v>173635.47619047618</v>
      </c>
      <c r="R23" s="5">
        <f>AVERAGE(R5:R20)</f>
        <v>982610.04761904769</v>
      </c>
      <c r="S23" s="5">
        <f>AVERAGE(S5:S20)</f>
        <v>1200194.25</v>
      </c>
      <c r="T23" s="5">
        <f t="shared" ref="T23:V23" si="2">AVERAGE(T5:T20)</f>
        <v>1702121.3541666663</v>
      </c>
      <c r="U23" s="5">
        <f t="shared" si="2"/>
        <v>1103689.0476190473</v>
      </c>
      <c r="V23" s="5">
        <f t="shared" si="2"/>
        <v>1296637.3541666667</v>
      </c>
    </row>
    <row r="24" spans="1:22" x14ac:dyDescent="0.35">
      <c r="A24" s="3" t="s">
        <v>1</v>
      </c>
      <c r="B24" s="3">
        <f t="shared" ref="B24:J24" si="3">STDEV(B5:B20)</f>
        <v>122436.46956013232</v>
      </c>
      <c r="C24" s="3">
        <f t="shared" si="3"/>
        <v>194237.21576046385</v>
      </c>
      <c r="D24" s="3">
        <f t="shared" si="3"/>
        <v>145156.93736441215</v>
      </c>
      <c r="E24" s="3">
        <f t="shared" si="3"/>
        <v>699299.28244629619</v>
      </c>
      <c r="F24" s="3">
        <f t="shared" si="3"/>
        <v>689966.83060204936</v>
      </c>
      <c r="G24" s="3">
        <f t="shared" si="3"/>
        <v>970818.48084869294</v>
      </c>
      <c r="H24" s="3">
        <f t="shared" si="3"/>
        <v>801426.82251667033</v>
      </c>
      <c r="I24" s="3">
        <f t="shared" si="3"/>
        <v>87306.433091582585</v>
      </c>
      <c r="J24" s="3">
        <f t="shared" si="3"/>
        <v>70541.73433635266</v>
      </c>
      <c r="K24" s="3"/>
      <c r="L24" s="3">
        <f>STDEV(L5:L20)</f>
        <v>100582.2454448901</v>
      </c>
      <c r="M24" s="3"/>
      <c r="N24" s="3" t="s">
        <v>1</v>
      </c>
      <c r="O24" s="3">
        <f>STDEV(O5:O20)</f>
        <v>729596.49385472969</v>
      </c>
      <c r="P24" s="3">
        <f>STDEV(P5:P20)</f>
        <v>1125721.7864772929</v>
      </c>
      <c r="Q24" s="3">
        <f>STDEV(Q5:Q20)</f>
        <v>138066.29731881726</v>
      </c>
      <c r="R24" s="3">
        <f>STDEV(R5:R20)</f>
        <v>726528.14203525567</v>
      </c>
      <c r="S24" s="3">
        <f>STDEV(S5:S20)</f>
        <v>961658.74000555521</v>
      </c>
      <c r="T24" s="3">
        <f t="shared" ref="T24:V24" si="4">STDEV(T5:T20)</f>
        <v>911762.51780892734</v>
      </c>
      <c r="U24" s="3">
        <f t="shared" si="4"/>
        <v>1305647.2667614361</v>
      </c>
      <c r="V24" s="3">
        <f t="shared" si="4"/>
        <v>952212.32315674995</v>
      </c>
    </row>
    <row r="25" spans="1:22" ht="15" thickBot="1" x14ac:dyDescent="0.4"/>
    <row r="26" spans="1:22" ht="15" thickBot="1" x14ac:dyDescent="0.4">
      <c r="B26" s="224" t="s">
        <v>6</v>
      </c>
      <c r="C26" s="225"/>
      <c r="D26" s="225"/>
      <c r="E26" s="225"/>
      <c r="F26" s="225"/>
      <c r="G26" s="225"/>
      <c r="H26" s="225"/>
      <c r="I26" s="225"/>
      <c r="J26" s="225"/>
      <c r="K26" s="225"/>
      <c r="L26" s="225"/>
      <c r="M26" s="225"/>
      <c r="O26" s="224" t="s">
        <v>3</v>
      </c>
      <c r="P26" s="225"/>
      <c r="Q26" s="225"/>
      <c r="R26" s="225"/>
      <c r="S26" s="225"/>
      <c r="T26" s="225"/>
      <c r="U26" s="225"/>
      <c r="V26" s="225"/>
    </row>
    <row r="27" spans="1:22" x14ac:dyDescent="0.3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Cefuroxime-0.001mg/L</v>
      </c>
      <c r="J27" s="35" t="str">
        <f t="shared" si="5"/>
        <v>Cefuroxime-0.01mg/L</v>
      </c>
      <c r="K27" s="35" t="str">
        <f t="shared" si="5"/>
        <v>Cefuroxime-0.1mg/L</v>
      </c>
      <c r="L27" s="35" t="str">
        <f t="shared" si="5"/>
        <v>Cefuroxime-1mg/L</v>
      </c>
      <c r="M27" s="35" t="str">
        <f t="shared" si="5"/>
        <v>Cefuroxime-10mg/L</v>
      </c>
      <c r="N27" s="3"/>
      <c r="O27" s="36" t="str">
        <f>O4</f>
        <v>Testo -30µg/L</v>
      </c>
      <c r="P27" s="36" t="str">
        <f t="shared" ref="P27:R27" si="6">P4</f>
        <v>Testo 30µg/L + EE2 -64ng/L</v>
      </c>
      <c r="Q27" s="36" t="str">
        <f t="shared" si="6"/>
        <v>Testo 30µg/L + FAD-10mg/L</v>
      </c>
      <c r="R27" s="36" t="str">
        <f t="shared" si="6"/>
        <v>Cefuroxime-0,001mg/L + Testostérone</v>
      </c>
      <c r="S27" s="36" t="str">
        <f t="shared" ref="S27:V27" si="7">S4</f>
        <v>Cefuroxime-0,01mg/L + Testostérone</v>
      </c>
      <c r="T27" s="36" t="str">
        <f t="shared" si="7"/>
        <v>Cefuroxime-0,1mg/L + Testostérone</v>
      </c>
      <c r="U27" s="36" t="str">
        <f t="shared" si="7"/>
        <v>Cefuroxime-1mg/L + Testostérone</v>
      </c>
      <c r="V27" s="36" t="str">
        <f t="shared" si="7"/>
        <v>Cefuroxime-10mg/L + Testostérone</v>
      </c>
    </row>
    <row r="28" spans="1:22" x14ac:dyDescent="0.35">
      <c r="A28" s="227" t="s">
        <v>34</v>
      </c>
      <c r="B28" s="11">
        <f t="shared" ref="B28:M28" si="8">IF(B5="","",(B5/$O$23))</f>
        <v>0.29117460731548478</v>
      </c>
      <c r="C28" s="11" t="str">
        <f t="shared" si="8"/>
        <v/>
      </c>
      <c r="D28" s="11">
        <f t="shared" si="8"/>
        <v>3.8894191231639057E-2</v>
      </c>
      <c r="E28" s="11">
        <f t="shared" si="8"/>
        <v>1.9046815229415124</v>
      </c>
      <c r="F28" s="11">
        <f t="shared" si="8"/>
        <v>2.3694460817087664</v>
      </c>
      <c r="G28" s="11">
        <f t="shared" si="8"/>
        <v>0.3459894579804666</v>
      </c>
      <c r="H28" s="11">
        <f t="shared" si="8"/>
        <v>4.4351064284110153</v>
      </c>
      <c r="I28" s="11">
        <f t="shared" si="8"/>
        <v>0.22868541828387648</v>
      </c>
      <c r="J28" s="11">
        <f t="shared" si="8"/>
        <v>3.8326160871931393E-2</v>
      </c>
      <c r="K28" s="11">
        <f t="shared" si="8"/>
        <v>0</v>
      </c>
      <c r="L28" s="11">
        <f t="shared" si="8"/>
        <v>0.12167453769105664</v>
      </c>
      <c r="M28" s="11">
        <f t="shared" si="8"/>
        <v>0.45748466397075588</v>
      </c>
      <c r="N28" s="6"/>
      <c r="O28" s="11">
        <f t="shared" ref="O28:S37" si="9">IF(O5="","",(O5/$O$23))</f>
        <v>1.1770768431512768</v>
      </c>
      <c r="P28" s="11" t="str">
        <f t="shared" si="9"/>
        <v/>
      </c>
      <c r="Q28" s="11" t="str">
        <f t="shared" si="9"/>
        <v/>
      </c>
      <c r="R28" s="11">
        <f t="shared" si="9"/>
        <v>2.1392899185219227</v>
      </c>
      <c r="S28" s="11">
        <f t="shared" si="9"/>
        <v>1.4264714183817679</v>
      </c>
      <c r="T28" s="11">
        <f t="shared" ref="T28:V28" si="10">IF(T5="","",(T5/$O$23))</f>
        <v>2.0213636223555835</v>
      </c>
      <c r="U28" s="11" t="str">
        <f t="shared" si="10"/>
        <v/>
      </c>
      <c r="V28" s="11">
        <f t="shared" si="10"/>
        <v>0.45886229173432186</v>
      </c>
    </row>
    <row r="29" spans="1:22" x14ac:dyDescent="0.35">
      <c r="A29" s="227"/>
      <c r="B29" s="11">
        <f t="shared" ref="B29:M29" si="11">IF(B6="","",(B6/$O$23))</f>
        <v>0.2407089120069065</v>
      </c>
      <c r="C29" s="11">
        <f t="shared" si="11"/>
        <v>6.173650532925145E-2</v>
      </c>
      <c r="D29" s="11">
        <f t="shared" si="11"/>
        <v>5.4863543498488591E-2</v>
      </c>
      <c r="E29" s="11">
        <f t="shared" si="11"/>
        <v>1.5113174160184581</v>
      </c>
      <c r="F29" s="11">
        <f t="shared" si="11"/>
        <v>1.2912008297764728</v>
      </c>
      <c r="G29" s="11">
        <f t="shared" si="11"/>
        <v>3.0233250687612365</v>
      </c>
      <c r="H29" s="11" t="str">
        <f t="shared" si="11"/>
        <v/>
      </c>
      <c r="I29" s="11" t="str">
        <f t="shared" si="11"/>
        <v/>
      </c>
      <c r="J29" s="11">
        <f t="shared" si="11"/>
        <v>0.16949342969258629</v>
      </c>
      <c r="K29" s="11" t="str">
        <f t="shared" si="11"/>
        <v/>
      </c>
      <c r="L29" s="11">
        <f t="shared" si="11"/>
        <v>0.15412578172549946</v>
      </c>
      <c r="M29" s="11">
        <f t="shared" si="11"/>
        <v>0.10924774715544264</v>
      </c>
      <c r="N29" s="6"/>
      <c r="O29" s="11">
        <f t="shared" si="9"/>
        <v>2.4155929756350756</v>
      </c>
      <c r="P29" s="11">
        <f t="shared" si="9"/>
        <v>3.0207402381513786</v>
      </c>
      <c r="Q29" s="11">
        <f t="shared" si="9"/>
        <v>5.592308690810751E-2</v>
      </c>
      <c r="R29" s="11">
        <f t="shared" si="9"/>
        <v>0.3463799492102127</v>
      </c>
      <c r="S29" s="11">
        <f t="shared" si="9"/>
        <v>2.5159122277738608</v>
      </c>
      <c r="T29" s="11">
        <f t="shared" ref="T29:V29" si="12">IF(T6="","",(T6/$O$23))</f>
        <v>0.6648149547959763</v>
      </c>
      <c r="U29" s="11">
        <f t="shared" si="12"/>
        <v>0.28066264664816448</v>
      </c>
      <c r="V29" s="11">
        <f t="shared" si="12"/>
        <v>0.53893449456396147</v>
      </c>
    </row>
    <row r="30" spans="1:22" x14ac:dyDescent="0.35">
      <c r="A30" s="227"/>
      <c r="B30" s="11">
        <f t="shared" ref="B30:M30" si="13">IF(B7="","",(B7/$O$23))</f>
        <v>0.34886581321690441</v>
      </c>
      <c r="C30" s="11">
        <f t="shared" si="13"/>
        <v>0.2654118298627709</v>
      </c>
      <c r="D30" s="11">
        <f t="shared" si="13"/>
        <v>0.20617114843797393</v>
      </c>
      <c r="E30" s="11">
        <f t="shared" si="13"/>
        <v>7.7535116491596598E-2</v>
      </c>
      <c r="F30" s="11" t="str">
        <f t="shared" si="13"/>
        <v/>
      </c>
      <c r="G30" s="11">
        <f t="shared" si="13"/>
        <v>1.5996373627573515</v>
      </c>
      <c r="H30" s="11">
        <f t="shared" si="13"/>
        <v>3.459502191451536</v>
      </c>
      <c r="I30" s="11">
        <f t="shared" si="13"/>
        <v>4.7695578981609831E-2</v>
      </c>
      <c r="J30" s="11">
        <f t="shared" si="13"/>
        <v>0.14270446658307798</v>
      </c>
      <c r="K30" s="11">
        <f t="shared" si="13"/>
        <v>0.65107472250460074</v>
      </c>
      <c r="L30" s="11">
        <f t="shared" si="13"/>
        <v>2.8518507260691687E-3</v>
      </c>
      <c r="M30" s="11">
        <f t="shared" si="13"/>
        <v>0</v>
      </c>
      <c r="N30" s="6"/>
      <c r="O30" s="11">
        <f t="shared" si="9"/>
        <v>0.66231170049160359</v>
      </c>
      <c r="P30" s="11">
        <f t="shared" si="9"/>
        <v>0.88507477385340705</v>
      </c>
      <c r="Q30" s="11">
        <f t="shared" si="9"/>
        <v>0.13542077753981291</v>
      </c>
      <c r="R30" s="11">
        <f t="shared" si="9"/>
        <v>0.72704344745598493</v>
      </c>
      <c r="S30" s="11">
        <f t="shared" si="9"/>
        <v>0.47866161992498935</v>
      </c>
      <c r="T30" s="11">
        <f t="shared" ref="T30:V30" si="14">IF(T7="","",(T7/$O$23))</f>
        <v>2.2991538661076922</v>
      </c>
      <c r="U30" s="11">
        <f t="shared" si="14"/>
        <v>0.79373207719032479</v>
      </c>
      <c r="V30" s="11">
        <f t="shared" si="14"/>
        <v>1.5803717586118755</v>
      </c>
    </row>
    <row r="31" spans="1:22" x14ac:dyDescent="0.35">
      <c r="A31" s="227"/>
      <c r="B31" s="11">
        <f t="shared" ref="B31:M31" si="15">IF(B8="","",(B8/$O$23))</f>
        <v>0.27211389249541407</v>
      </c>
      <c r="C31" s="11">
        <f t="shared" si="15"/>
        <v>1.240623836562736E-2</v>
      </c>
      <c r="D31" s="11">
        <f t="shared" si="15"/>
        <v>0.20100781096286893</v>
      </c>
      <c r="E31" s="11">
        <f t="shared" si="15"/>
        <v>0.31231425317651174</v>
      </c>
      <c r="F31" s="11">
        <f t="shared" si="15"/>
        <v>1.8089065136803884</v>
      </c>
      <c r="G31" s="11">
        <f t="shared" si="15"/>
        <v>1.3352855505850452</v>
      </c>
      <c r="H31" s="11">
        <f t="shared" si="15"/>
        <v>3.1180057540173798</v>
      </c>
      <c r="I31" s="11">
        <f t="shared" si="15"/>
        <v>0.12698142416883756</v>
      </c>
      <c r="J31" s="11">
        <f t="shared" si="15"/>
        <v>7.0353872111034152E-2</v>
      </c>
      <c r="K31" s="11">
        <f t="shared" si="15"/>
        <v>0.30170680396556121</v>
      </c>
      <c r="L31" s="11">
        <f t="shared" si="15"/>
        <v>0.10694606221055429</v>
      </c>
      <c r="M31" s="11">
        <f t="shared" si="15"/>
        <v>0.18649197139492066</v>
      </c>
      <c r="N31" s="6"/>
      <c r="O31" s="11">
        <f t="shared" si="9"/>
        <v>1.7784045639223707</v>
      </c>
      <c r="P31" s="11">
        <f t="shared" si="9"/>
        <v>4.0009396241326396</v>
      </c>
      <c r="Q31" s="11">
        <f t="shared" si="9"/>
        <v>0.30297914138134946</v>
      </c>
      <c r="R31" s="11">
        <f t="shared" si="9"/>
        <v>0.25769701953063223</v>
      </c>
      <c r="S31" s="11">
        <f t="shared" si="9"/>
        <v>0.11090267112021299</v>
      </c>
      <c r="T31" s="11">
        <f t="shared" ref="T31:V31" si="16">IF(T8="","",(T8/$O$23))</f>
        <v>1.8758066726719753</v>
      </c>
      <c r="U31" s="11">
        <f t="shared" si="16"/>
        <v>1.5207894368844543</v>
      </c>
      <c r="V31" s="11">
        <f t="shared" si="16"/>
        <v>1.0308500508197196</v>
      </c>
    </row>
    <row r="32" spans="1:22" x14ac:dyDescent="0.35">
      <c r="A32" s="227"/>
      <c r="B32" s="11">
        <f t="shared" ref="B32:M32" si="17">IF(B9="","",(B9/$O$23))</f>
        <v>0.24928485826148536</v>
      </c>
      <c r="C32" s="11">
        <f t="shared" si="17"/>
        <v>5.1183756509188418E-2</v>
      </c>
      <c r="D32" s="11">
        <f t="shared" si="17"/>
        <v>9.5179944893203111E-2</v>
      </c>
      <c r="E32" s="11">
        <f t="shared" si="17"/>
        <v>0.59491228186295653</v>
      </c>
      <c r="F32" s="11">
        <f t="shared" si="17"/>
        <v>1.5451500820632336</v>
      </c>
      <c r="G32" s="11">
        <f t="shared" si="17"/>
        <v>2.9933287023848902</v>
      </c>
      <c r="H32" s="11">
        <f t="shared" si="17"/>
        <v>4.6126423965002195</v>
      </c>
      <c r="I32" s="11" t="str">
        <f t="shared" si="17"/>
        <v/>
      </c>
      <c r="J32" s="11">
        <f t="shared" si="17"/>
        <v>2.6980256383999354E-2</v>
      </c>
      <c r="K32" s="11">
        <f t="shared" si="17"/>
        <v>0.25189751334763311</v>
      </c>
      <c r="L32" s="11">
        <f t="shared" si="17"/>
        <v>0.13466856811830191</v>
      </c>
      <c r="M32" s="11">
        <f t="shared" si="17"/>
        <v>0.12479973227794813</v>
      </c>
      <c r="N32" s="6"/>
      <c r="O32" s="11">
        <f t="shared" si="9"/>
        <v>0.56226974455402268</v>
      </c>
      <c r="P32" s="11">
        <f t="shared" si="9"/>
        <v>2.6855969507409378</v>
      </c>
      <c r="Q32" s="11">
        <f t="shared" si="9"/>
        <v>6.9772403794027535E-2</v>
      </c>
      <c r="R32" s="11">
        <f t="shared" si="9"/>
        <v>1.5924630744958614</v>
      </c>
      <c r="S32" s="11">
        <f t="shared" si="9"/>
        <v>2.3563151422106872</v>
      </c>
      <c r="T32" s="11">
        <f t="shared" ref="T32:V32" si="18">IF(T9="","",(T9/$O$23))</f>
        <v>1.1749634477021893</v>
      </c>
      <c r="U32" s="11">
        <f t="shared" si="18"/>
        <v>3.6706384279710518</v>
      </c>
      <c r="V32" s="11">
        <f t="shared" si="18"/>
        <v>0.71796112735165818</v>
      </c>
    </row>
    <row r="33" spans="1:22" x14ac:dyDescent="0.35">
      <c r="A33" s="227"/>
      <c r="B33" s="11">
        <f t="shared" ref="B33:M33" si="19">IF(B10="","",(B10/$O$23))</f>
        <v>9.3442496061255667E-2</v>
      </c>
      <c r="C33" s="11">
        <f t="shared" si="19"/>
        <v>0.52948270968072131</v>
      </c>
      <c r="D33" s="11">
        <f t="shared" si="19"/>
        <v>0.1632765563652431</v>
      </c>
      <c r="E33" s="11">
        <f t="shared" si="19"/>
        <v>0.50192130116694589</v>
      </c>
      <c r="F33" s="11">
        <f t="shared" si="19"/>
        <v>1.4374513361503225</v>
      </c>
      <c r="G33" s="11">
        <f t="shared" si="19"/>
        <v>2.6021668395227122</v>
      </c>
      <c r="H33" s="11">
        <f t="shared" si="19"/>
        <v>2.4139276174916966</v>
      </c>
      <c r="I33" s="11">
        <f t="shared" si="19"/>
        <v>0.14598079866617891</v>
      </c>
      <c r="J33" s="11">
        <f t="shared" si="19"/>
        <v>0.16917882339817544</v>
      </c>
      <c r="K33" s="11">
        <f t="shared" si="19"/>
        <v>1.4300516063934406E-2</v>
      </c>
      <c r="L33" s="11">
        <f t="shared" si="19"/>
        <v>6.1011488009568911E-2</v>
      </c>
      <c r="M33" s="11">
        <f t="shared" si="19"/>
        <v>0.43805780433769248</v>
      </c>
      <c r="N33" s="6"/>
      <c r="O33" s="11">
        <f t="shared" si="9"/>
        <v>0.46408760190661735</v>
      </c>
      <c r="P33" s="11">
        <f t="shared" si="9"/>
        <v>4.0994844335335019</v>
      </c>
      <c r="Q33" s="11">
        <f t="shared" si="9"/>
        <v>0.39214710227261462</v>
      </c>
      <c r="R33" s="11">
        <f t="shared" si="9"/>
        <v>0.86355918137523979</v>
      </c>
      <c r="S33" s="11">
        <f t="shared" si="9"/>
        <v>0.28330312621060183</v>
      </c>
      <c r="T33" s="11">
        <f t="shared" ref="T33:V33" si="20">IF(T10="","",(T10/$O$23))</f>
        <v>0.14141884930360601</v>
      </c>
      <c r="U33" s="11">
        <f t="shared" si="20"/>
        <v>0.36680817380247138</v>
      </c>
      <c r="V33" s="11">
        <f t="shared" si="20"/>
        <v>2.6142445593557837</v>
      </c>
    </row>
    <row r="34" spans="1:22" x14ac:dyDescent="0.35">
      <c r="A34" s="227"/>
      <c r="B34" s="11">
        <f t="shared" ref="B34:M34" si="21">IF(B11="","",(B11/$O$23))</f>
        <v>5.8624590606043643E-2</v>
      </c>
      <c r="C34" s="11">
        <f t="shared" si="21"/>
        <v>0.24895001598431843</v>
      </c>
      <c r="D34" s="11">
        <f t="shared" si="21"/>
        <v>0.27889832190161906</v>
      </c>
      <c r="E34" s="11">
        <f t="shared" si="21"/>
        <v>0.12769252925037528</v>
      </c>
      <c r="F34" s="11">
        <f t="shared" si="21"/>
        <v>0.76649159871557149</v>
      </c>
      <c r="G34" s="11">
        <f t="shared" si="21"/>
        <v>1.7369391381317876</v>
      </c>
      <c r="H34" s="11">
        <f t="shared" si="21"/>
        <v>3.8508218317417655</v>
      </c>
      <c r="I34" s="11">
        <f t="shared" si="21"/>
        <v>0.25121360036792384</v>
      </c>
      <c r="J34" s="11">
        <f t="shared" si="21"/>
        <v>0.12977177647856208</v>
      </c>
      <c r="K34" s="11">
        <f t="shared" si="21"/>
        <v>2.1680326025290846E-2</v>
      </c>
      <c r="L34" s="11">
        <f t="shared" si="21"/>
        <v>7.8505811289427116E-2</v>
      </c>
      <c r="M34" s="11">
        <f t="shared" si="21"/>
        <v>0.17737882303561409</v>
      </c>
      <c r="N34" s="6"/>
      <c r="O34" s="11">
        <f t="shared" si="9"/>
        <v>5.1655507857189434E-2</v>
      </c>
      <c r="P34" s="11">
        <f t="shared" si="9"/>
        <v>2.9455645107742479</v>
      </c>
      <c r="Q34" s="11">
        <f t="shared" si="9"/>
        <v>0.12617419816920847</v>
      </c>
      <c r="R34" s="11">
        <f t="shared" si="9"/>
        <v>0.59803115270523677</v>
      </c>
      <c r="S34" s="11">
        <f t="shared" si="9"/>
        <v>1.1687876787148193</v>
      </c>
      <c r="T34" s="11">
        <f t="shared" ref="T34:V34" si="22">IF(T11="","",(T11/$O$23))</f>
        <v>2.6226978249649036</v>
      </c>
      <c r="U34" s="11">
        <f t="shared" si="22"/>
        <v>0.30564586448392356</v>
      </c>
      <c r="V34" s="11">
        <f t="shared" si="22"/>
        <v>2.4983834400858709</v>
      </c>
    </row>
    <row r="35" spans="1:22" x14ac:dyDescent="0.35">
      <c r="A35" s="227"/>
      <c r="B35" s="11">
        <f t="shared" ref="B35:M35" si="23">IF(B12="","",(B12/$O$23))</f>
        <v>4.7306036313555365E-2</v>
      </c>
      <c r="C35" s="11">
        <f t="shared" si="23"/>
        <v>7.5804307591490983E-2</v>
      </c>
      <c r="D35" s="11">
        <f t="shared" si="23"/>
        <v>0.46143384248049635</v>
      </c>
      <c r="E35" s="11">
        <f t="shared" si="23"/>
        <v>0.46252121036640487</v>
      </c>
      <c r="F35" s="11">
        <f t="shared" si="23"/>
        <v>2.6892214049648895</v>
      </c>
      <c r="G35" s="11">
        <f t="shared" si="23"/>
        <v>2.3640977747037821</v>
      </c>
      <c r="H35" s="11">
        <f t="shared" si="23"/>
        <v>3.4408996319285521</v>
      </c>
      <c r="I35" s="11">
        <f t="shared" si="23"/>
        <v>6.6161545620990234E-2</v>
      </c>
      <c r="J35" s="11">
        <f t="shared" si="23"/>
        <v>3.5082554167193817E-3</v>
      </c>
      <c r="K35" s="11">
        <f t="shared" si="23"/>
        <v>0.12306923956507307</v>
      </c>
      <c r="L35" s="11">
        <f t="shared" si="23"/>
        <v>0.32818052840619749</v>
      </c>
      <c r="M35" s="11">
        <f t="shared" si="23"/>
        <v>0.11030792293952268</v>
      </c>
      <c r="N35" s="6"/>
      <c r="O35" s="11">
        <f t="shared" si="9"/>
        <v>1.4461888540797192</v>
      </c>
      <c r="P35" s="11">
        <f t="shared" si="9"/>
        <v>2.6390500799679657</v>
      </c>
      <c r="Q35" s="11">
        <f t="shared" si="9"/>
        <v>7.0511017164624309E-2</v>
      </c>
      <c r="R35" s="11" t="str">
        <f t="shared" si="9"/>
        <v/>
      </c>
      <c r="S35" s="11">
        <f t="shared" si="9"/>
        <v>0.76731242076611483</v>
      </c>
      <c r="T35" s="11">
        <f t="shared" ref="T35:V35" si="24">IF(T12="","",(T12/$O$23))</f>
        <v>2.1163176514725488</v>
      </c>
      <c r="U35" s="11">
        <f t="shared" si="24"/>
        <v>0.39014342379253253</v>
      </c>
      <c r="V35" s="11">
        <f t="shared" si="24"/>
        <v>0.39991645490202554</v>
      </c>
    </row>
    <row r="36" spans="1:22" x14ac:dyDescent="0.35">
      <c r="A36" s="227"/>
      <c r="B36" s="11" t="str">
        <f t="shared" ref="B36:M36" si="25">IF(B13="","",(B13/$O$23))</f>
        <v/>
      </c>
      <c r="C36" s="11" t="str">
        <f t="shared" si="25"/>
        <v/>
      </c>
      <c r="D36" s="11" t="str">
        <f t="shared" si="25"/>
        <v/>
      </c>
      <c r="E36" s="11" t="str">
        <f t="shared" si="25"/>
        <v/>
      </c>
      <c r="F36" s="11" t="str">
        <f t="shared" si="25"/>
        <v/>
      </c>
      <c r="G36" s="11" t="str">
        <f t="shared" si="25"/>
        <v/>
      </c>
      <c r="H36" s="11" t="str">
        <f t="shared" si="25"/>
        <v/>
      </c>
      <c r="I36" s="11" t="str">
        <f t="shared" si="25"/>
        <v/>
      </c>
      <c r="J36" s="11" t="str">
        <f t="shared" si="25"/>
        <v/>
      </c>
      <c r="K36" s="11" t="str">
        <f t="shared" si="25"/>
        <v/>
      </c>
      <c r="L36" s="11" t="str">
        <f t="shared" si="25"/>
        <v/>
      </c>
      <c r="M36" s="11" t="str">
        <f t="shared" si="25"/>
        <v/>
      </c>
      <c r="N36" s="6"/>
      <c r="O36" s="11">
        <f t="shared" si="9"/>
        <v>6.6445323660421149E-2</v>
      </c>
      <c r="P36" s="11" t="str">
        <f t="shared" si="9"/>
        <v/>
      </c>
      <c r="Q36" s="11" t="str">
        <f t="shared" si="9"/>
        <v/>
      </c>
      <c r="R36" s="11" t="str">
        <f t="shared" si="9"/>
        <v/>
      </c>
      <c r="S36" s="11" t="str">
        <f t="shared" si="9"/>
        <v/>
      </c>
      <c r="T36" s="11" t="str">
        <f t="shared" ref="T36:V36" si="26">IF(T13="","",(T13/$O$23))</f>
        <v/>
      </c>
      <c r="U36" s="11" t="str">
        <f t="shared" si="26"/>
        <v/>
      </c>
      <c r="V36" s="11" t="str">
        <f t="shared" si="26"/>
        <v/>
      </c>
    </row>
    <row r="37" spans="1:22" x14ac:dyDescent="0.35">
      <c r="A37" s="227"/>
      <c r="B37" s="11" t="str">
        <f t="shared" ref="B37:M37" si="27">IF(B14="","",(B14/$O$23))</f>
        <v/>
      </c>
      <c r="C37" s="11" t="str">
        <f t="shared" si="27"/>
        <v/>
      </c>
      <c r="D37" s="11" t="str">
        <f t="shared" si="27"/>
        <v/>
      </c>
      <c r="E37" s="11" t="str">
        <f t="shared" si="27"/>
        <v/>
      </c>
      <c r="F37" s="11" t="str">
        <f t="shared" si="27"/>
        <v/>
      </c>
      <c r="G37" s="11" t="str">
        <f t="shared" si="27"/>
        <v/>
      </c>
      <c r="H37" s="11" t="str">
        <f t="shared" si="27"/>
        <v/>
      </c>
      <c r="I37" s="11" t="str">
        <f t="shared" si="27"/>
        <v/>
      </c>
      <c r="J37" s="11" t="str">
        <f t="shared" si="27"/>
        <v/>
      </c>
      <c r="K37" s="11" t="str">
        <f t="shared" si="27"/>
        <v/>
      </c>
      <c r="L37" s="11" t="str">
        <f t="shared" si="27"/>
        <v/>
      </c>
      <c r="M37" s="11" t="str">
        <f t="shared" si="27"/>
        <v/>
      </c>
      <c r="N37" s="6"/>
      <c r="O37" s="11">
        <f t="shared" si="9"/>
        <v>0.48277173773508669</v>
      </c>
      <c r="P37" s="11" t="str">
        <f t="shared" si="9"/>
        <v/>
      </c>
      <c r="Q37" s="11" t="str">
        <f t="shared" si="9"/>
        <v/>
      </c>
      <c r="R37" s="11" t="str">
        <f t="shared" si="9"/>
        <v/>
      </c>
      <c r="S37" s="11" t="str">
        <f t="shared" si="9"/>
        <v/>
      </c>
      <c r="T37" s="11" t="str">
        <f t="shared" ref="T37:V37" si="28">IF(T14="","",(T14/$O$23))</f>
        <v/>
      </c>
      <c r="U37" s="11" t="str">
        <f t="shared" si="28"/>
        <v/>
      </c>
      <c r="V37" s="11" t="str">
        <f t="shared" si="28"/>
        <v/>
      </c>
    </row>
    <row r="38" spans="1:22" x14ac:dyDescent="0.35">
      <c r="A38" s="227"/>
      <c r="B38" s="11" t="str">
        <f t="shared" ref="B38:M38" si="29">IF(B15="","",(B15/$O$23))</f>
        <v/>
      </c>
      <c r="C38" s="11" t="str">
        <f t="shared" si="29"/>
        <v/>
      </c>
      <c r="D38" s="11" t="str">
        <f t="shared" si="29"/>
        <v/>
      </c>
      <c r="E38" s="11" t="str">
        <f t="shared" si="29"/>
        <v/>
      </c>
      <c r="F38" s="11" t="str">
        <f t="shared" si="29"/>
        <v/>
      </c>
      <c r="G38" s="11" t="str">
        <f t="shared" si="29"/>
        <v/>
      </c>
      <c r="H38" s="11" t="str">
        <f t="shared" si="29"/>
        <v/>
      </c>
      <c r="I38" s="11" t="str">
        <f t="shared" si="29"/>
        <v/>
      </c>
      <c r="J38" s="11" t="str">
        <f t="shared" si="29"/>
        <v/>
      </c>
      <c r="K38" s="11" t="str">
        <f t="shared" si="29"/>
        <v/>
      </c>
      <c r="L38" s="11" t="str">
        <f t="shared" si="29"/>
        <v/>
      </c>
      <c r="M38" s="11" t="str">
        <f t="shared" si="29"/>
        <v/>
      </c>
      <c r="N38" s="6"/>
      <c r="O38" s="11">
        <f t="shared" ref="O38:V38" si="30">IF(O15="","",(O15/$O$23))</f>
        <v>0.9411006216114477</v>
      </c>
      <c r="P38" s="11" t="str">
        <f t="shared" si="30"/>
        <v/>
      </c>
      <c r="Q38" s="11" t="str">
        <f t="shared" si="30"/>
        <v/>
      </c>
      <c r="R38" s="11" t="str">
        <f t="shared" si="30"/>
        <v/>
      </c>
      <c r="S38" s="11" t="str">
        <f t="shared" si="30"/>
        <v/>
      </c>
      <c r="T38" s="11" t="str">
        <f t="shared" si="30"/>
        <v/>
      </c>
      <c r="U38" s="11" t="str">
        <f t="shared" si="30"/>
        <v/>
      </c>
      <c r="V38" s="11" t="str">
        <f t="shared" si="30"/>
        <v/>
      </c>
    </row>
    <row r="39" spans="1:22" x14ac:dyDescent="0.35">
      <c r="A39" s="227"/>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V39" si="32">IF(O16="","",(O16/$O$23))</f>
        <v>1.1150328457403023</v>
      </c>
      <c r="P39" s="11" t="str">
        <f t="shared" si="32"/>
        <v/>
      </c>
      <c r="Q39" s="11" t="str">
        <f t="shared" si="32"/>
        <v/>
      </c>
      <c r="R39" s="11" t="str">
        <f t="shared" si="32"/>
        <v/>
      </c>
      <c r="S39" s="11" t="str">
        <f t="shared" si="32"/>
        <v/>
      </c>
      <c r="T39" s="11" t="str">
        <f t="shared" si="32"/>
        <v/>
      </c>
      <c r="U39" s="11" t="str">
        <f t="shared" si="32"/>
        <v/>
      </c>
      <c r="V39" s="11" t="str">
        <f t="shared" si="32"/>
        <v/>
      </c>
    </row>
    <row r="40" spans="1:22" x14ac:dyDescent="0.35">
      <c r="A40" s="227"/>
      <c r="B40" s="11" t="str">
        <f t="shared" ref="B40:M40" si="33">IF(B17="","",(B17/$O$23))</f>
        <v/>
      </c>
      <c r="C40" s="11" t="str">
        <f t="shared" si="33"/>
        <v/>
      </c>
      <c r="D40" s="11" t="str">
        <f t="shared" si="33"/>
        <v/>
      </c>
      <c r="E40" s="11" t="str">
        <f t="shared" si="33"/>
        <v/>
      </c>
      <c r="F40" s="11" t="str">
        <f t="shared" si="33"/>
        <v/>
      </c>
      <c r="G40" s="11" t="str">
        <f t="shared" si="33"/>
        <v/>
      </c>
      <c r="H40" s="11" t="str">
        <f t="shared" si="33"/>
        <v/>
      </c>
      <c r="I40" s="11" t="str">
        <f t="shared" si="33"/>
        <v/>
      </c>
      <c r="J40" s="11" t="str">
        <f t="shared" si="33"/>
        <v/>
      </c>
      <c r="K40" s="11" t="str">
        <f t="shared" si="33"/>
        <v/>
      </c>
      <c r="L40" s="11" t="str">
        <f t="shared" si="33"/>
        <v/>
      </c>
      <c r="M40" s="11" t="str">
        <f t="shared" si="33"/>
        <v/>
      </c>
      <c r="N40" s="6"/>
      <c r="O40" s="11">
        <f t="shared" ref="O40:V40" si="34">IF(O17="","",(O17/$O$23))</f>
        <v>1.8554881650487223</v>
      </c>
      <c r="P40" s="11" t="str">
        <f t="shared" si="34"/>
        <v/>
      </c>
      <c r="Q40" s="11" t="str">
        <f t="shared" si="34"/>
        <v/>
      </c>
      <c r="R40" s="11" t="str">
        <f t="shared" si="34"/>
        <v/>
      </c>
      <c r="S40" s="11" t="str">
        <f t="shared" si="34"/>
        <v/>
      </c>
      <c r="T40" s="11" t="str">
        <f t="shared" si="34"/>
        <v/>
      </c>
      <c r="U40" s="11" t="str">
        <f t="shared" si="34"/>
        <v/>
      </c>
      <c r="V40" s="11" t="str">
        <f t="shared" si="34"/>
        <v/>
      </c>
    </row>
    <row r="41" spans="1:22" x14ac:dyDescent="0.35">
      <c r="A41" s="227"/>
      <c r="B41" s="11" t="str">
        <f t="shared" ref="B41:M41" si="35">IF(B18="","",(B18/$O$23))</f>
        <v/>
      </c>
      <c r="C41" s="11" t="str">
        <f t="shared" si="35"/>
        <v/>
      </c>
      <c r="D41" s="11" t="str">
        <f t="shared" si="35"/>
        <v/>
      </c>
      <c r="E41" s="11" t="str">
        <f t="shared" si="35"/>
        <v/>
      </c>
      <c r="F41" s="11" t="str">
        <f t="shared" si="35"/>
        <v/>
      </c>
      <c r="G41" s="11" t="str">
        <f t="shared" si="35"/>
        <v/>
      </c>
      <c r="H41" s="11" t="str">
        <f t="shared" si="35"/>
        <v/>
      </c>
      <c r="I41" s="11" t="str">
        <f t="shared" si="35"/>
        <v/>
      </c>
      <c r="J41" s="11" t="str">
        <f t="shared" si="35"/>
        <v/>
      </c>
      <c r="K41" s="11" t="str">
        <f t="shared" si="35"/>
        <v/>
      </c>
      <c r="L41" s="11" t="str">
        <f t="shared" si="35"/>
        <v/>
      </c>
      <c r="M41" s="11" t="str">
        <f t="shared" si="35"/>
        <v/>
      </c>
      <c r="N41" s="6"/>
      <c r="O41" s="11" t="str">
        <f t="shared" ref="O41:V41" si="36">IF(O18="","",(O18/$O$23))</f>
        <v/>
      </c>
      <c r="P41" s="11" t="str">
        <f t="shared" si="36"/>
        <v/>
      </c>
      <c r="Q41" s="11" t="str">
        <f t="shared" si="36"/>
        <v/>
      </c>
      <c r="R41" s="11" t="str">
        <f t="shared" si="36"/>
        <v/>
      </c>
      <c r="S41" s="11" t="str">
        <f t="shared" si="36"/>
        <v/>
      </c>
      <c r="T41" s="11" t="str">
        <f t="shared" si="36"/>
        <v/>
      </c>
      <c r="U41" s="11" t="str">
        <f t="shared" si="36"/>
        <v/>
      </c>
      <c r="V41" s="11" t="str">
        <f t="shared" si="36"/>
        <v/>
      </c>
    </row>
    <row r="42" spans="1:22" x14ac:dyDescent="0.35">
      <c r="A42" s="227"/>
      <c r="B42" s="11" t="str">
        <f t="shared" ref="B42:M42" si="37">IF(B19="","",(B19/$O$23))</f>
        <v/>
      </c>
      <c r="C42" s="11" t="str">
        <f t="shared" si="37"/>
        <v/>
      </c>
      <c r="D42" s="11" t="str">
        <f t="shared" si="37"/>
        <v/>
      </c>
      <c r="E42" s="11" t="str">
        <f t="shared" si="37"/>
        <v/>
      </c>
      <c r="F42" s="11" t="str">
        <f t="shared" si="37"/>
        <v/>
      </c>
      <c r="G42" s="11" t="str">
        <f t="shared" si="37"/>
        <v/>
      </c>
      <c r="H42" s="11" t="str">
        <f t="shared" si="37"/>
        <v/>
      </c>
      <c r="I42" s="11" t="str">
        <f t="shared" si="37"/>
        <v/>
      </c>
      <c r="J42" s="11" t="str">
        <f t="shared" si="37"/>
        <v/>
      </c>
      <c r="K42" s="11" t="str">
        <f t="shared" si="37"/>
        <v/>
      </c>
      <c r="L42" s="11" t="str">
        <f t="shared" si="37"/>
        <v/>
      </c>
      <c r="M42" s="11" t="str">
        <f t="shared" si="37"/>
        <v/>
      </c>
      <c r="N42" s="6"/>
      <c r="O42" s="11">
        <f t="shared" ref="O42:V42" si="38">IF(O19="","",(O19/$O$23))</f>
        <v>1.4833111320712795</v>
      </c>
      <c r="P42" s="11" t="str">
        <f t="shared" si="38"/>
        <v/>
      </c>
      <c r="Q42" s="11" t="str">
        <f t="shared" si="38"/>
        <v/>
      </c>
      <c r="R42" s="11" t="str">
        <f t="shared" si="38"/>
        <v/>
      </c>
      <c r="S42" s="11" t="str">
        <f t="shared" si="38"/>
        <v/>
      </c>
      <c r="T42" s="11" t="str">
        <f t="shared" si="38"/>
        <v/>
      </c>
      <c r="U42" s="11" t="str">
        <f t="shared" si="38"/>
        <v/>
      </c>
      <c r="V42" s="11" t="str">
        <f t="shared" si="38"/>
        <v/>
      </c>
    </row>
    <row r="43" spans="1:22" x14ac:dyDescent="0.35">
      <c r="A43" s="227"/>
      <c r="B43" s="11" t="str">
        <f t="shared" ref="B43:M43" si="39">IF(B20="","",(B20/$O$23))</f>
        <v/>
      </c>
      <c r="C43" s="11" t="str">
        <f t="shared" si="39"/>
        <v/>
      </c>
      <c r="D43" s="11" t="str">
        <f t="shared" si="39"/>
        <v/>
      </c>
      <c r="E43" s="11" t="str">
        <f t="shared" si="39"/>
        <v/>
      </c>
      <c r="F43" s="11" t="str">
        <f t="shared" si="39"/>
        <v/>
      </c>
      <c r="G43" s="11" t="str">
        <f t="shared" si="39"/>
        <v/>
      </c>
      <c r="H43" s="11" t="str">
        <f t="shared" si="39"/>
        <v/>
      </c>
      <c r="I43" s="11" t="str">
        <f t="shared" si="39"/>
        <v/>
      </c>
      <c r="J43" s="11" t="str">
        <f t="shared" si="39"/>
        <v/>
      </c>
      <c r="K43" s="11" t="str">
        <f t="shared" si="39"/>
        <v/>
      </c>
      <c r="L43" s="11" t="str">
        <f t="shared" si="39"/>
        <v/>
      </c>
      <c r="M43" s="11" t="str">
        <f t="shared" si="39"/>
        <v/>
      </c>
      <c r="N43" s="6"/>
      <c r="O43" s="11">
        <f t="shared" ref="O43:V43" si="40">IF(O20="","",(O20/$O$23))</f>
        <v>0.49826238253486282</v>
      </c>
      <c r="P43" s="11" t="str">
        <f t="shared" si="40"/>
        <v/>
      </c>
      <c r="Q43" s="11" t="str">
        <f t="shared" si="40"/>
        <v/>
      </c>
      <c r="R43" s="11" t="str">
        <f t="shared" si="40"/>
        <v/>
      </c>
      <c r="S43" s="11" t="str">
        <f t="shared" si="40"/>
        <v/>
      </c>
      <c r="T43" s="11" t="str">
        <f t="shared" si="40"/>
        <v/>
      </c>
      <c r="U43" s="11" t="str">
        <f t="shared" si="40"/>
        <v/>
      </c>
      <c r="V43" s="11" t="str">
        <f t="shared" si="40"/>
        <v/>
      </c>
    </row>
    <row r="44" spans="1:22" x14ac:dyDescent="0.35">
      <c r="A44" s="7"/>
      <c r="B44" s="3"/>
      <c r="C44" s="3"/>
      <c r="D44" s="3"/>
      <c r="E44" s="3"/>
      <c r="F44" s="3"/>
      <c r="G44" s="3"/>
      <c r="H44" s="3"/>
      <c r="I44" s="3"/>
      <c r="J44" s="3"/>
      <c r="K44" s="3"/>
      <c r="L44" s="3"/>
      <c r="M44" s="3"/>
      <c r="N44" s="7"/>
      <c r="O44" s="3"/>
      <c r="P44" s="3"/>
      <c r="Q44" s="3"/>
      <c r="R44" s="3"/>
      <c r="S44" s="3"/>
      <c r="T44" s="3"/>
      <c r="U44" s="3"/>
      <c r="V44" s="3"/>
    </row>
    <row r="45" spans="1:22" x14ac:dyDescent="0.35">
      <c r="A45" s="7" t="str">
        <f>A4</f>
        <v>Noms des groupes</v>
      </c>
      <c r="B45" s="7" t="str">
        <f t="shared" ref="B45:R45" si="41">B4</f>
        <v>Témoin solvant</v>
      </c>
      <c r="C45" s="7" t="str">
        <f t="shared" si="41"/>
        <v>EE2-33,8ng/L</v>
      </c>
      <c r="D45" s="7" t="str">
        <f t="shared" si="41"/>
        <v>EE2-50,6ng/L</v>
      </c>
      <c r="E45" s="7" t="str">
        <f t="shared" si="41"/>
        <v>EE2-76ng/L</v>
      </c>
      <c r="F45" s="7" t="str">
        <f t="shared" si="41"/>
        <v>EE2-114ng/L</v>
      </c>
      <c r="G45" s="7" t="str">
        <f t="shared" si="41"/>
        <v>EE2-170,9ng/L</v>
      </c>
      <c r="H45" s="7" t="str">
        <f t="shared" si="41"/>
        <v>EE2-488ng/L</v>
      </c>
      <c r="I45" s="7" t="str">
        <f t="shared" si="41"/>
        <v>Cefuroxime-0.001mg/L</v>
      </c>
      <c r="J45" s="7" t="str">
        <f t="shared" si="41"/>
        <v>Cefuroxime-0.01mg/L</v>
      </c>
      <c r="K45" s="7" t="str">
        <f t="shared" ref="K45:M45" si="42">K4</f>
        <v>Cefuroxime-0.1mg/L</v>
      </c>
      <c r="L45" s="7" t="str">
        <f t="shared" si="42"/>
        <v>Cefuroxime-1mg/L</v>
      </c>
      <c r="M45" s="7" t="str">
        <f t="shared" si="42"/>
        <v>Cefuroxime-10mg/L</v>
      </c>
      <c r="N45" s="7"/>
      <c r="O45" s="7" t="str">
        <f t="shared" si="41"/>
        <v>Testo -30µg/L</v>
      </c>
      <c r="P45" s="7" t="str">
        <f t="shared" si="41"/>
        <v>Testo 30µg/L + EE2 -64ng/L</v>
      </c>
      <c r="Q45" s="7" t="str">
        <f t="shared" si="41"/>
        <v>Testo 30µg/L + FAD-10mg/L</v>
      </c>
      <c r="R45" s="7" t="str">
        <f t="shared" si="41"/>
        <v>Cefuroxime-0,001mg/L + Testostérone</v>
      </c>
      <c r="S45" s="7" t="str">
        <f t="shared" ref="S45:V45" si="43">S4</f>
        <v>Cefuroxime-0,01mg/L + Testostérone</v>
      </c>
      <c r="T45" s="7" t="str">
        <f t="shared" si="43"/>
        <v>Cefuroxime-0,1mg/L + Testostérone</v>
      </c>
      <c r="U45" s="7" t="str">
        <f t="shared" si="43"/>
        <v>Cefuroxime-1mg/L + Testostérone</v>
      </c>
      <c r="V45" s="7" t="str">
        <f t="shared" si="43"/>
        <v>Cefuroxime-10mg/L + Testostérone</v>
      </c>
    </row>
    <row r="46" spans="1:22" x14ac:dyDescent="0.35">
      <c r="A46" s="8" t="s">
        <v>0</v>
      </c>
      <c r="B46" s="10">
        <f t="shared" ref="B46:H46" si="44">AVERAGE(B28:B43)</f>
        <v>0.2001901507846312</v>
      </c>
      <c r="C46" s="10">
        <f t="shared" si="44"/>
        <v>0.17785362333190982</v>
      </c>
      <c r="D46" s="10">
        <f t="shared" si="44"/>
        <v>0.18746566997144154</v>
      </c>
      <c r="E46" s="10">
        <f t="shared" si="44"/>
        <v>0.68661195390934526</v>
      </c>
      <c r="F46" s="10">
        <f t="shared" si="44"/>
        <v>1.7011239781513778</v>
      </c>
      <c r="G46" s="10">
        <f t="shared" si="44"/>
        <v>2.000096236853409</v>
      </c>
      <c r="H46" s="10">
        <f t="shared" si="44"/>
        <v>3.6187008359345954</v>
      </c>
      <c r="I46" s="10">
        <f>AVERAGE(I28:I43)</f>
        <v>0.14445306101490282</v>
      </c>
      <c r="J46" s="9">
        <f>AVERAGE(J28:J43)</f>
        <v>9.3789630117010761E-2</v>
      </c>
      <c r="K46" s="9">
        <f t="shared" ref="K46:M46" si="45">AVERAGE(K28:K43)</f>
        <v>0.19481844592458478</v>
      </c>
      <c r="L46" s="9">
        <f t="shared" si="45"/>
        <v>0.12349557852208437</v>
      </c>
      <c r="M46" s="9">
        <f t="shared" si="45"/>
        <v>0.20047108313898709</v>
      </c>
      <c r="N46" s="8" t="s">
        <v>0</v>
      </c>
      <c r="O46" s="10">
        <f t="shared" ref="O46:R46" si="46">AVERAGE(O28:O43)</f>
        <v>0.99999999999999978</v>
      </c>
      <c r="P46" s="10">
        <f t="shared" si="46"/>
        <v>2.8966358015934395</v>
      </c>
      <c r="Q46" s="10">
        <f t="shared" si="46"/>
        <v>0.1647039610328207</v>
      </c>
      <c r="R46" s="10">
        <f t="shared" si="46"/>
        <v>0.93206624904215574</v>
      </c>
      <c r="S46" s="10">
        <f t="shared" ref="S46:V46" si="47">AVERAGE(S28:S43)</f>
        <v>1.138458288137882</v>
      </c>
      <c r="T46" s="10">
        <f t="shared" si="47"/>
        <v>1.6145671111718096</v>
      </c>
      <c r="U46" s="10">
        <f t="shared" si="47"/>
        <v>1.0469171501104175</v>
      </c>
      <c r="V46" s="10">
        <f t="shared" si="47"/>
        <v>1.2299405221781519</v>
      </c>
    </row>
    <row r="47" spans="1:22" x14ac:dyDescent="0.35">
      <c r="A47" s="8" t="s">
        <v>1</v>
      </c>
      <c r="B47" s="8">
        <f t="shared" ref="B47:J47" si="48">STDEV(B28:B43)</f>
        <v>0.11613854469063994</v>
      </c>
      <c r="C47" s="8">
        <f t="shared" si="48"/>
        <v>0.18424598197110684</v>
      </c>
      <c r="D47" s="8">
        <f t="shared" si="48"/>
        <v>0.13769031006707985</v>
      </c>
      <c r="E47" s="8">
        <f t="shared" si="48"/>
        <v>0.66332851035560247</v>
      </c>
      <c r="F47" s="8">
        <f t="shared" si="48"/>
        <v>0.65447610404659817</v>
      </c>
      <c r="G47" s="8">
        <f t="shared" si="48"/>
        <v>0.92088122051878019</v>
      </c>
      <c r="H47" s="8">
        <f t="shared" si="48"/>
        <v>0.760202782533</v>
      </c>
      <c r="I47" s="8">
        <f t="shared" si="48"/>
        <v>8.2815537868863864E-2</v>
      </c>
      <c r="J47" s="8">
        <f t="shared" si="48"/>
        <v>6.691318685691193E-2</v>
      </c>
      <c r="K47" s="8">
        <f t="shared" ref="K47:M47" si="49">STDEV(K28:K43)</f>
        <v>0.23399381686644621</v>
      </c>
      <c r="L47" s="8">
        <f t="shared" si="49"/>
        <v>9.5408464893290232E-2</v>
      </c>
      <c r="M47" s="8">
        <f t="shared" si="49"/>
        <v>0.1628312008820916</v>
      </c>
      <c r="N47" s="8" t="s">
        <v>1</v>
      </c>
      <c r="O47" s="8">
        <f t="shared" ref="O47:R47" si="50">STDEV(O28:O43)</f>
        <v>0.69206728446270771</v>
      </c>
      <c r="P47" s="8">
        <f t="shared" si="50"/>
        <v>1.0678165621543845</v>
      </c>
      <c r="Q47" s="8">
        <f t="shared" si="50"/>
        <v>0.13096440055025799</v>
      </c>
      <c r="R47" s="8">
        <f t="shared" si="50"/>
        <v>0.68915676347012422</v>
      </c>
      <c r="S47" s="8">
        <f t="shared" ref="S47:V47" si="51">STDEV(S28:S43)</f>
        <v>0.91219264124916133</v>
      </c>
      <c r="T47" s="8">
        <f t="shared" si="51"/>
        <v>0.86486299631333408</v>
      </c>
      <c r="U47" s="8">
        <f t="shared" si="51"/>
        <v>1.238486980111035</v>
      </c>
      <c r="V47" s="8">
        <f t="shared" si="51"/>
        <v>0.90323213210264042</v>
      </c>
    </row>
    <row r="48" spans="1:22" x14ac:dyDescent="0.35">
      <c r="A48" s="8" t="s">
        <v>2</v>
      </c>
      <c r="B48" s="8">
        <f t="shared" ref="B48:J48" si="52" xml:space="preserve"> B47/SQRT(COUNT(B28:B43))</f>
        <v>4.1061176253944204E-2</v>
      </c>
      <c r="C48" s="8">
        <f t="shared" si="52"/>
        <v>6.9638435479776967E-2</v>
      </c>
      <c r="D48" s="8">
        <f t="shared" si="52"/>
        <v>4.8680875976055256E-2</v>
      </c>
      <c r="E48" s="8">
        <f t="shared" si="52"/>
        <v>0.23452204391340875</v>
      </c>
      <c r="F48" s="8">
        <f t="shared" si="52"/>
        <v>0.24736871576310462</v>
      </c>
      <c r="G48" s="8">
        <f t="shared" si="52"/>
        <v>0.32558067784808692</v>
      </c>
      <c r="H48" s="8">
        <f t="shared" si="52"/>
        <v>0.28732964408023348</v>
      </c>
      <c r="I48" s="8">
        <f t="shared" si="52"/>
        <v>3.3809301758808988E-2</v>
      </c>
      <c r="J48" s="8">
        <f t="shared" si="52"/>
        <v>2.3657384088662494E-2</v>
      </c>
      <c r="K48" s="8">
        <f t="shared" ref="K48:M48" si="53" xml:space="preserve"> K47/SQRT(COUNT(K28:K43))</f>
        <v>8.8441349679343959E-2</v>
      </c>
      <c r="L48" s="8">
        <f t="shared" si="53"/>
        <v>3.373198625432209E-2</v>
      </c>
      <c r="M48" s="8">
        <f t="shared" si="53"/>
        <v>5.7569523166237951E-2</v>
      </c>
      <c r="N48" s="8" t="s">
        <v>2</v>
      </c>
      <c r="O48" s="8">
        <f t="shared" ref="O48:R48" si="54" xml:space="preserve"> O47/SQRT(COUNT(O28:O43))</f>
        <v>0.17869100447860387</v>
      </c>
      <c r="P48" s="8">
        <f t="shared" si="54"/>
        <v>0.40359672418520665</v>
      </c>
      <c r="Q48" s="8">
        <f t="shared" si="54"/>
        <v>4.9499890636947604E-2</v>
      </c>
      <c r="R48" s="8">
        <f t="shared" si="54"/>
        <v>0.26047677292573013</v>
      </c>
      <c r="S48" s="8">
        <f t="shared" ref="S48:V48" si="55" xml:space="preserve"> S47/SQRT(COUNT(S28:S43))</f>
        <v>0.32250880118787478</v>
      </c>
      <c r="T48" s="8">
        <f t="shared" si="55"/>
        <v>0.30577524474523726</v>
      </c>
      <c r="U48" s="8">
        <f t="shared" si="55"/>
        <v>0.4681040787664566</v>
      </c>
      <c r="V48" s="8">
        <f t="shared" si="55"/>
        <v>0.31934078279768024</v>
      </c>
    </row>
    <row r="49" spans="1:22"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8" t="s">
        <v>44</v>
      </c>
      <c r="B50" s="219"/>
      <c r="C50" s="219"/>
      <c r="D50" s="219"/>
      <c r="E50" s="219"/>
      <c r="F50" s="219"/>
      <c r="G50" s="219"/>
      <c r="H50" s="219"/>
      <c r="I50" s="219"/>
      <c r="J50" s="219"/>
      <c r="K50" s="219"/>
      <c r="L50" s="219"/>
      <c r="M50" s="219"/>
      <c r="N50" s="219"/>
      <c r="O50" s="219"/>
      <c r="P50" s="219"/>
      <c r="Q50" s="219"/>
      <c r="R50" s="219"/>
      <c r="S50" s="219"/>
      <c r="T50" s="219"/>
      <c r="U50" s="219"/>
      <c r="V50" s="219"/>
    </row>
    <row r="51" spans="1:22" customFormat="1" ht="15" thickBot="1" x14ac:dyDescent="0.4"/>
    <row r="52" spans="1:22" x14ac:dyDescent="0.35">
      <c r="A52" s="45" t="str">
        <f t="shared" ref="A52:H52" si="56">A27</f>
        <v>Noms des groupes</v>
      </c>
      <c r="B52" s="46" t="str">
        <f t="shared" si="56"/>
        <v>Témoin solvant</v>
      </c>
      <c r="C52" s="46" t="str">
        <f t="shared" si="56"/>
        <v>EE2-33,8ng/L</v>
      </c>
      <c r="D52" s="46" t="str">
        <f t="shared" si="56"/>
        <v>EE2-50,6ng/L</v>
      </c>
      <c r="E52" s="46" t="str">
        <f t="shared" si="56"/>
        <v>EE2-76ng/L</v>
      </c>
      <c r="F52" s="46" t="str">
        <f t="shared" si="56"/>
        <v>EE2-114ng/L</v>
      </c>
      <c r="G52" s="46" t="str">
        <f t="shared" si="56"/>
        <v>EE2-170,9ng/L</v>
      </c>
      <c r="H52" s="46" t="str">
        <f t="shared" si="56"/>
        <v>EE2-488ng/L</v>
      </c>
      <c r="I52" s="46" t="str">
        <f>I4</f>
        <v>Cefuroxime-0.001mg/L</v>
      </c>
      <c r="J52" s="46" t="str">
        <f>J4</f>
        <v>Cefuroxime-0.01mg/L</v>
      </c>
      <c r="K52" s="46" t="str">
        <f t="shared" ref="K52:M52" si="57">K4</f>
        <v>Cefuroxime-0.1mg/L</v>
      </c>
      <c r="L52" s="46" t="str">
        <f t="shared" si="57"/>
        <v>Cefuroxime-1mg/L</v>
      </c>
      <c r="M52" s="46" t="str">
        <f t="shared" si="57"/>
        <v>Cefuroxime-10mg/L</v>
      </c>
      <c r="N52" s="47"/>
      <c r="O52" s="46" t="str">
        <f>O27</f>
        <v>Testo -30µg/L</v>
      </c>
      <c r="P52" s="46" t="str">
        <f>P27</f>
        <v>Testo 30µg/L + EE2 -64ng/L</v>
      </c>
      <c r="Q52" s="46" t="str">
        <f>Q27</f>
        <v>Testo 30µg/L + FAD-10mg/L</v>
      </c>
      <c r="R52" s="46" t="str">
        <f>R27</f>
        <v>Cefuroxime-0,001mg/L + Testostérone</v>
      </c>
      <c r="S52" s="46" t="str">
        <f t="shared" ref="S52:V52" si="58">S27</f>
        <v>Cefuroxime-0,01mg/L + Testostérone</v>
      </c>
      <c r="T52" s="46" t="str">
        <f t="shared" si="58"/>
        <v>Cefuroxime-0,1mg/L + Testostérone</v>
      </c>
      <c r="U52" s="46" t="str">
        <f t="shared" si="58"/>
        <v>Cefuroxime-1mg/L + Testostérone</v>
      </c>
      <c r="V52" s="46" t="str">
        <f t="shared" si="58"/>
        <v>Cefuroxime-10mg/L + Testostérone</v>
      </c>
    </row>
    <row r="53" spans="1:22" s="3" customFormat="1" x14ac:dyDescent="0.35">
      <c r="A53" s="61" t="s">
        <v>32</v>
      </c>
      <c r="B53" s="142">
        <f t="shared" ref="B53" si="59">B46</f>
        <v>0.2001901507846312</v>
      </c>
      <c r="C53" s="142">
        <f t="shared" ref="C53:V53" si="60">C46</f>
        <v>0.17785362333190982</v>
      </c>
      <c r="D53" s="142">
        <f t="shared" si="60"/>
        <v>0.18746566997144154</v>
      </c>
      <c r="E53" s="142">
        <f t="shared" si="60"/>
        <v>0.68661195390934526</v>
      </c>
      <c r="F53" s="142">
        <f t="shared" si="60"/>
        <v>1.7011239781513778</v>
      </c>
      <c r="G53" s="142">
        <f t="shared" si="60"/>
        <v>2.000096236853409</v>
      </c>
      <c r="H53" s="142">
        <f t="shared" si="60"/>
        <v>3.6187008359345954</v>
      </c>
      <c r="I53" s="142">
        <f t="shared" si="60"/>
        <v>0.14445306101490282</v>
      </c>
      <c r="J53" s="142">
        <f t="shared" si="60"/>
        <v>9.3789630117010761E-2</v>
      </c>
      <c r="K53" s="142">
        <f t="shared" si="60"/>
        <v>0.19481844592458478</v>
      </c>
      <c r="L53" s="142">
        <f t="shared" si="60"/>
        <v>0.12349557852208437</v>
      </c>
      <c r="M53" s="142">
        <f t="shared" si="60"/>
        <v>0.20047108313898709</v>
      </c>
      <c r="N53" s="142"/>
      <c r="O53" s="142">
        <f t="shared" si="60"/>
        <v>0.99999999999999978</v>
      </c>
      <c r="P53" s="142">
        <f t="shared" si="60"/>
        <v>2.8966358015934395</v>
      </c>
      <c r="Q53" s="142">
        <f t="shared" si="60"/>
        <v>0.1647039610328207</v>
      </c>
      <c r="R53" s="142">
        <f t="shared" si="60"/>
        <v>0.93206624904215574</v>
      </c>
      <c r="S53" s="142">
        <f t="shared" si="60"/>
        <v>1.138458288137882</v>
      </c>
      <c r="T53" s="142">
        <f t="shared" si="60"/>
        <v>1.6145671111718096</v>
      </c>
      <c r="U53" s="142">
        <f t="shared" si="60"/>
        <v>1.0469171501104175</v>
      </c>
      <c r="V53" s="142">
        <f t="shared" si="60"/>
        <v>1.2299405221781519</v>
      </c>
    </row>
    <row r="54" spans="1:22" s="3" customFormat="1" x14ac:dyDescent="0.35">
      <c r="A54" s="61" t="s">
        <v>2</v>
      </c>
      <c r="B54" s="142">
        <f t="shared" ref="B54" si="61">B48</f>
        <v>4.1061176253944204E-2</v>
      </c>
      <c r="C54" s="142">
        <f t="shared" ref="C54:V54" si="62">C48</f>
        <v>6.9638435479776967E-2</v>
      </c>
      <c r="D54" s="142">
        <f t="shared" si="62"/>
        <v>4.8680875976055256E-2</v>
      </c>
      <c r="E54" s="142">
        <f t="shared" si="62"/>
        <v>0.23452204391340875</v>
      </c>
      <c r="F54" s="142">
        <f t="shared" si="62"/>
        <v>0.24736871576310462</v>
      </c>
      <c r="G54" s="142">
        <f t="shared" si="62"/>
        <v>0.32558067784808692</v>
      </c>
      <c r="H54" s="142">
        <f t="shared" si="62"/>
        <v>0.28732964408023348</v>
      </c>
      <c r="I54" s="142">
        <f t="shared" si="62"/>
        <v>3.3809301758808988E-2</v>
      </c>
      <c r="J54" s="142">
        <f t="shared" si="62"/>
        <v>2.3657384088662494E-2</v>
      </c>
      <c r="K54" s="142">
        <f t="shared" si="62"/>
        <v>8.8441349679343959E-2</v>
      </c>
      <c r="L54" s="142">
        <f t="shared" si="62"/>
        <v>3.373198625432209E-2</v>
      </c>
      <c r="M54" s="142">
        <f t="shared" si="62"/>
        <v>5.7569523166237951E-2</v>
      </c>
      <c r="N54" s="142"/>
      <c r="O54" s="142">
        <f t="shared" si="62"/>
        <v>0.17869100447860387</v>
      </c>
      <c r="P54" s="142">
        <f t="shared" si="62"/>
        <v>0.40359672418520665</v>
      </c>
      <c r="Q54" s="142">
        <f t="shared" si="62"/>
        <v>4.9499890636947604E-2</v>
      </c>
      <c r="R54" s="142">
        <f t="shared" si="62"/>
        <v>0.26047677292573013</v>
      </c>
      <c r="S54" s="142">
        <f t="shared" si="62"/>
        <v>0.32250880118787478</v>
      </c>
      <c r="T54" s="142">
        <f t="shared" si="62"/>
        <v>0.30577524474523726</v>
      </c>
      <c r="U54" s="142">
        <f t="shared" si="62"/>
        <v>0.4681040787664566</v>
      </c>
      <c r="V54" s="142">
        <f t="shared" si="62"/>
        <v>0.31934078279768024</v>
      </c>
    </row>
    <row r="55" spans="1:22" s="3" customFormat="1" x14ac:dyDescent="0.35">
      <c r="A55" s="61" t="s">
        <v>79</v>
      </c>
      <c r="B55" s="142">
        <f>(B53*100/$B53)-100</f>
        <v>0</v>
      </c>
      <c r="C55" s="142">
        <f t="shared" ref="C55:M55" si="63">(C53*100/$B53)-100</f>
        <v>-11.157655541581306</v>
      </c>
      <c r="D55" s="142">
        <f t="shared" si="63"/>
        <v>-6.3561972271447758</v>
      </c>
      <c r="E55" s="142">
        <f t="shared" si="63"/>
        <v>242.97988748108634</v>
      </c>
      <c r="F55" s="142">
        <f t="shared" si="63"/>
        <v>749.7540820484636</v>
      </c>
      <c r="G55" s="142">
        <f t="shared" si="63"/>
        <v>899.09822187264092</v>
      </c>
      <c r="H55" s="142">
        <f t="shared" si="63"/>
        <v>1707.6318049371321</v>
      </c>
      <c r="I55" s="142">
        <f t="shared" si="63"/>
        <v>-27.842073923852297</v>
      </c>
      <c r="J55" s="142">
        <f t="shared" si="63"/>
        <v>-53.149728021379218</v>
      </c>
      <c r="K55" s="142">
        <f t="shared" si="63"/>
        <v>-2.6833012708129758</v>
      </c>
      <c r="L55" s="142">
        <f t="shared" si="63"/>
        <v>-38.310861928994932</v>
      </c>
      <c r="M55" s="142">
        <f t="shared" si="63"/>
        <v>0.14033275526034572</v>
      </c>
      <c r="N55" s="142"/>
      <c r="O55" s="142">
        <f>(O53*100/$O53)-100</f>
        <v>0</v>
      </c>
      <c r="P55" s="142">
        <f t="shared" ref="P55:V55" si="64">(P53*100/$O53)-100</f>
        <v>189.66358015934401</v>
      </c>
      <c r="Q55" s="142">
        <f t="shared" si="64"/>
        <v>-83.52960389671793</v>
      </c>
      <c r="R55" s="142">
        <f t="shared" si="64"/>
        <v>-6.7933750957844126</v>
      </c>
      <c r="S55" s="142">
        <f t="shared" si="64"/>
        <v>13.845828813788231</v>
      </c>
      <c r="T55" s="142">
        <f t="shared" si="64"/>
        <v>61.456711117180987</v>
      </c>
      <c r="U55" s="142">
        <f t="shared" si="64"/>
        <v>4.6917150110417793</v>
      </c>
      <c r="V55" s="142">
        <f t="shared" si="64"/>
        <v>22.994052217815209</v>
      </c>
    </row>
    <row r="56" spans="1:22" s="3" customFormat="1" x14ac:dyDescent="0.35">
      <c r="A56" s="61" t="s">
        <v>81</v>
      </c>
      <c r="B56" s="142">
        <f>[1]!SWTEST(B28:B43)</f>
        <v>0.1770442219303523</v>
      </c>
      <c r="C56" s="142">
        <f>[1]!SWTEST(C28:C43)</f>
        <v>9.8485425577074182E-2</v>
      </c>
      <c r="D56" s="142">
        <f>[1]!SWTEST(D28:D43)</f>
        <v>0.37586363319943938</v>
      </c>
      <c r="E56" s="142">
        <f>[1]!SWTEST(E28:E43)</f>
        <v>5.3751507048092728E-2</v>
      </c>
      <c r="F56" s="142">
        <f>[1]!SWTEST(F28:F43)</f>
        <v>0.88316718531238037</v>
      </c>
      <c r="G56" s="142">
        <f>[1]!SWTEST(G28:G43)</f>
        <v>0.55860445149506877</v>
      </c>
      <c r="H56" s="142">
        <f>[1]!SWTEST(H28:H43)</f>
        <v>0.84103887577897862</v>
      </c>
      <c r="I56" s="142">
        <f>[1]!SWTEST(I28:I43)</f>
        <v>0.5462761574465862</v>
      </c>
      <c r="J56" s="142">
        <f>[1]!SWTEST(J28:J43)</f>
        <v>0.23551264548290629</v>
      </c>
      <c r="K56" s="142">
        <f>[1]!SWTEST(K28:K43)</f>
        <v>9.9044036495352983E-2</v>
      </c>
      <c r="L56" s="142">
        <f>[1]!SWTEST(L28:L43)</f>
        <v>0.19347469591094013</v>
      </c>
      <c r="M56" s="142">
        <f>[1]!SWTEST(M28:M43)</f>
        <v>9.4625336974377916E-2</v>
      </c>
      <c r="N56" s="142"/>
      <c r="O56" s="142">
        <f>[1]!SWTEST(O28:O43)</f>
        <v>0.56063459038696362</v>
      </c>
      <c r="P56" s="142">
        <f>[1]!SWTEST(P28:P43)</f>
        <v>0.25759969947016448</v>
      </c>
      <c r="Q56" s="142">
        <f>[1]!SWTEST(Q28:Q43)</f>
        <v>5.549990365518831E-2</v>
      </c>
      <c r="R56" s="142">
        <f>[1]!SWTEST(R28:R43)</f>
        <v>0.24659821428137607</v>
      </c>
      <c r="S56" s="142">
        <f>[1]!SWTEST(S28:S43)</f>
        <v>0.33904097718808579</v>
      </c>
      <c r="T56" s="142">
        <f>[1]!SWTEST(T28:T43)</f>
        <v>0.40689697941464242</v>
      </c>
      <c r="U56" s="142">
        <f>[1]!SWTEST(U28:U43)</f>
        <v>3.8453263858813092E-3</v>
      </c>
      <c r="V56" s="142">
        <f>[1]!SWTEST(V28:V43)</f>
        <v>6.8440854056720068E-2</v>
      </c>
    </row>
    <row r="57" spans="1:22" s="3" customFormat="1" x14ac:dyDescent="0.35">
      <c r="A57" s="61" t="s">
        <v>85</v>
      </c>
      <c r="B57" s="142" t="str">
        <f>IF(B56&gt;0.05,"Oui","Non")</f>
        <v>Oui</v>
      </c>
      <c r="C57" s="142" t="str">
        <f t="shared" ref="C57:V57" si="65">IF(C56&gt;0.05,"Oui","Non")</f>
        <v>Oui</v>
      </c>
      <c r="D57" s="142" t="str">
        <f t="shared" si="65"/>
        <v>Oui</v>
      </c>
      <c r="E57" s="142" t="str">
        <f t="shared" si="65"/>
        <v>Oui</v>
      </c>
      <c r="F57" s="142" t="str">
        <f t="shared" si="65"/>
        <v>Oui</v>
      </c>
      <c r="G57" s="142" t="str">
        <f t="shared" si="65"/>
        <v>Oui</v>
      </c>
      <c r="H57" s="142" t="str">
        <f t="shared" si="65"/>
        <v>Oui</v>
      </c>
      <c r="I57" s="142" t="str">
        <f t="shared" si="65"/>
        <v>Oui</v>
      </c>
      <c r="J57" s="142" t="str">
        <f t="shared" si="65"/>
        <v>Oui</v>
      </c>
      <c r="K57" s="142" t="str">
        <f t="shared" si="65"/>
        <v>Oui</v>
      </c>
      <c r="L57" s="142" t="str">
        <f t="shared" si="65"/>
        <v>Oui</v>
      </c>
      <c r="M57" s="142" t="str">
        <f t="shared" si="65"/>
        <v>Oui</v>
      </c>
      <c r="N57" s="142"/>
      <c r="O57" s="142" t="str">
        <f t="shared" si="65"/>
        <v>Oui</v>
      </c>
      <c r="P57" s="142" t="str">
        <f t="shared" si="65"/>
        <v>Oui</v>
      </c>
      <c r="Q57" s="142" t="str">
        <f t="shared" si="65"/>
        <v>Oui</v>
      </c>
      <c r="R57" s="142" t="str">
        <f t="shared" si="65"/>
        <v>Oui</v>
      </c>
      <c r="S57" s="142" t="str">
        <f t="shared" si="65"/>
        <v>Oui</v>
      </c>
      <c r="T57" s="142" t="str">
        <f t="shared" si="65"/>
        <v>Oui</v>
      </c>
      <c r="U57" s="142" t="str">
        <f t="shared" si="65"/>
        <v>Non</v>
      </c>
      <c r="V57" s="142" t="str">
        <f t="shared" si="65"/>
        <v>Oui</v>
      </c>
    </row>
    <row r="58" spans="1:22" s="3" customFormat="1" x14ac:dyDescent="0.35">
      <c r="A58" s="61"/>
      <c r="B58" s="142"/>
      <c r="C58" s="142"/>
      <c r="D58" s="142"/>
      <c r="E58" s="142"/>
      <c r="F58" s="142"/>
      <c r="G58" s="142"/>
      <c r="H58" s="142"/>
      <c r="I58" s="142"/>
      <c r="J58" s="142"/>
      <c r="K58" s="142"/>
      <c r="L58" s="142"/>
      <c r="M58" s="142"/>
      <c r="N58" s="149"/>
      <c r="O58" s="150"/>
      <c r="P58" s="142"/>
      <c r="Q58" s="142"/>
      <c r="R58" s="142"/>
      <c r="S58" s="142"/>
      <c r="T58" s="142"/>
      <c r="U58" s="142"/>
      <c r="V58" s="142"/>
    </row>
    <row r="59" spans="1:22" s="3" customFormat="1" x14ac:dyDescent="0.35">
      <c r="A59" s="61" t="s">
        <v>82</v>
      </c>
      <c r="B59" s="151"/>
      <c r="C59" s="151" t="str">
        <f t="shared" ref="C59:O59" si="66">IF($B57="Non",IF(C57="Non","MW",IF(C57="Oui","MW","")),IF($B57="Oui",IF(C57="Oui","T-Test Welch",IF(C57="Non","MW",""))))</f>
        <v>T-Test Welch</v>
      </c>
      <c r="D59" s="151" t="str">
        <f t="shared" si="66"/>
        <v>T-Test Welch</v>
      </c>
      <c r="E59" s="151" t="str">
        <f t="shared" si="66"/>
        <v>T-Test Welch</v>
      </c>
      <c r="F59" s="151" t="str">
        <f t="shared" si="66"/>
        <v>T-Test Welch</v>
      </c>
      <c r="G59" s="151" t="str">
        <f t="shared" si="66"/>
        <v>T-Test Welch</v>
      </c>
      <c r="H59" s="151" t="str">
        <f t="shared" si="66"/>
        <v>T-Test Welch</v>
      </c>
      <c r="I59" s="151" t="str">
        <f t="shared" si="66"/>
        <v>T-Test Welch</v>
      </c>
      <c r="J59" s="151" t="str">
        <f t="shared" si="66"/>
        <v>T-Test Welch</v>
      </c>
      <c r="K59" s="151" t="str">
        <f t="shared" si="66"/>
        <v>T-Test Welch</v>
      </c>
      <c r="L59" s="151" t="str">
        <f t="shared" si="66"/>
        <v>T-Test Welch</v>
      </c>
      <c r="M59" s="151" t="str">
        <f t="shared" si="66"/>
        <v>T-Test Welch</v>
      </c>
      <c r="N59" s="151"/>
      <c r="O59" s="151" t="str">
        <f t="shared" si="66"/>
        <v>T-Test Welch</v>
      </c>
      <c r="P59" s="151" t="str">
        <f>IF($O57="Non",IF(P57="Non","MW",IF(P57="Oui","MW","")),IF($O57="Oui",IF(P57="Oui","T-Test Welch",IF(P57="Non","MW",""))))</f>
        <v>T-Test Welch</v>
      </c>
      <c r="Q59" s="151" t="str">
        <f t="shared" ref="Q59:V59" si="67">IF($O57="Non",IF(Q57="Non","MW",IF(Q57="Oui","MW","")),IF($O57="Oui",IF(Q57="Oui","T-Test Welch",IF(Q57="Non","MW",""))))</f>
        <v>T-Test Welch</v>
      </c>
      <c r="R59" s="151" t="str">
        <f t="shared" si="67"/>
        <v>T-Test Welch</v>
      </c>
      <c r="S59" s="151" t="str">
        <f t="shared" si="67"/>
        <v>T-Test Welch</v>
      </c>
      <c r="T59" s="151" t="str">
        <f t="shared" si="67"/>
        <v>T-Test Welch</v>
      </c>
      <c r="U59" s="151" t="str">
        <f t="shared" si="67"/>
        <v>MW</v>
      </c>
      <c r="V59" s="151" t="str">
        <f t="shared" si="67"/>
        <v>T-Test Welch</v>
      </c>
    </row>
    <row r="60" spans="1:22" s="3" customFormat="1" x14ac:dyDescent="0.35">
      <c r="A60" s="61" t="s">
        <v>83</v>
      </c>
      <c r="B60" s="152"/>
      <c r="C60" s="152">
        <f>IF(C59="MW",[1]!MTEST($B28:$B43,C28:C43,2), IF(C59="T-Test Welch",_xlfn.T.TEST($B28:$B43,C28:C43,2,3),""))</f>
        <v>0.78801713091120229</v>
      </c>
      <c r="D60" s="152">
        <f>IF(D59="MW",[1]!MTEST($B28:$B43,D28:D43,2), IF(D59="T-Test Welch",_xlfn.T.TEST($B28:$B43,D28:D43,2,3),""))</f>
        <v>0.84458946452343997</v>
      </c>
      <c r="E60" s="152">
        <f>IF(E59="MW",[1]!MTEST($B28:$B43,E28:E43,2), IF(E59="T-Test Welch",_xlfn.T.TEST($B28:$B43,E28:E43,2,3),""))</f>
        <v>7.8027925455558242E-2</v>
      </c>
      <c r="F60" s="152">
        <f>IF(F59="MW",[1]!MTEST($B28:$B43,F28:F43,2), IF(F59="T-Test Welch",_xlfn.T.TEST($B28:$B43,F28:F43,2,3),""))</f>
        <v>8.0173503286412758E-4</v>
      </c>
      <c r="G60" s="152">
        <f>IF(G59="MW",[1]!MTEST($B28:$B43,G28:G43,2), IF(G59="T-Test Welch",_xlfn.T.TEST($B28:$B43,G28:G43,2,3),""))</f>
        <v>8.2867955174403308E-4</v>
      </c>
      <c r="H60" s="152">
        <f>IF(H59="MW",[1]!MTEST($B28:$B43,H28:H43,2), IF(H59="T-Test Welch",_xlfn.T.TEST($B28:$B43,H28:H43,2,3),""))</f>
        <v>1.6960135680395925E-5</v>
      </c>
      <c r="I60" s="152">
        <f>IF(I59="MW",[1]!MTEST($B28:$B43,I28:I43,2), IF(I59="T-Test Welch",_xlfn.T.TEST($B28:$B43,I28:I43,2,3),""))</f>
        <v>0.31534474282429203</v>
      </c>
      <c r="J60" s="152">
        <f>IF(J59="MW",[1]!MTEST($B28:$B43,J28:J43,2), IF(J59="T-Test Welch",_xlfn.T.TEST($B28:$B43,J28:J43,2,3),""))</f>
        <v>4.5892012465319411E-2</v>
      </c>
      <c r="K60" s="152">
        <f>IF(K59="MW",[1]!MTEST($B28:$B43,K28:K43,2), IF(K59="T-Test Welch",_xlfn.T.TEST($B28:$B43,K28:K43,2,3),""))</f>
        <v>0.95733626986010067</v>
      </c>
      <c r="L60" s="152">
        <f>IF(L59="MW",[1]!MTEST($B28:$B43,L28:L43,2), IF(L59="T-Test Welch",_xlfn.T.TEST($B28:$B43,L28:L43,2,3),""))</f>
        <v>0.17176476348838896</v>
      </c>
      <c r="M60" s="152">
        <f>IF(M59="MW",[1]!MTEST($B28:$B43,M28:M43,2), IF(M59="T-Test Welch",_xlfn.T.TEST($B28:$B43,M28:M43,2,3),""))</f>
        <v>0.99689204208006066</v>
      </c>
      <c r="N60" s="152"/>
      <c r="O60" s="152">
        <f>IF(O59="MW",[1]!MTEST($B28:$B43,O28:O43,2), IF(O59="T-Test Welch",_xlfn.T.TEST($B28:$B43,O28:O43,2,3),""))</f>
        <v>5.2367247851163958E-4</v>
      </c>
      <c r="P60" s="152">
        <f>IF(P59="MW",[1]!MTEST($O28:$O43,P28:P43,2), IF(P59="T-Test Welch",_xlfn.T.TEST($O28:$O43,P28:P43,2,3),""))</f>
        <v>2.3173822717533384E-3</v>
      </c>
      <c r="Q60" s="152">
        <f>IF(Q59="MW",[1]!MTEST($O28:$O43,Q28:Q43,2), IF(Q59="T-Test Welch",_xlfn.T.TEST($O28:$O43,Q28:Q43,2,3),""))</f>
        <v>3.5930856060939991E-4</v>
      </c>
      <c r="R60" s="152">
        <f>IF(R59="MW",[1]!MTEST($O28:$O43,R28:R43,2), IF(R59="T-Test Welch",_xlfn.T.TEST($O28:$O43,R28:R43,2,3),""))</f>
        <v>0.83337415211407995</v>
      </c>
      <c r="S60" s="152">
        <f>IF(S59="MW",[1]!MTEST($O28:$O43,S28:S43,2), IF(S59="T-Test Welch",_xlfn.T.TEST($O28:$O43,S28:S43,2,3),""))</f>
        <v>0.71415067064193782</v>
      </c>
      <c r="T60" s="152">
        <f>IF(T59="MW",[1]!MTEST($O28:$O43,T28:T43,2), IF(T59="T-Test Welch",_xlfn.T.TEST($O28:$O43,T28:T43,2,3),""))</f>
        <v>0.10847970139874005</v>
      </c>
      <c r="U60" s="152">
        <f>IF(U59="MW",[1]!MTEST($O28:$O43,U28:U43,2), IF(U59="T-Test Welch",_xlfn.T.TEST($O28:$O43,U28:U43,2,3),""))</f>
        <v>0.45920731675515469</v>
      </c>
      <c r="V60" s="152">
        <f>IF(V59="MW",[1]!MTEST($O28:$O43,V28:V43,2), IF(V59="T-Test Welch",_xlfn.T.TEST($O28:$O43,V28:V43,2,3),""))</f>
        <v>0.54203851330509867</v>
      </c>
    </row>
    <row r="61" spans="1:22" s="3" customFormat="1" ht="15" thickBot="1" x14ac:dyDescent="0.4">
      <c r="A61" s="62" t="s">
        <v>84</v>
      </c>
      <c r="B61" s="143"/>
      <c r="C61" s="143" t="str">
        <f t="shared" ref="C61:O61" si="68">IF(C60&gt;0.05,"NS",IF(C60&gt;0.01,"*",IF(C60&gt;0.001,"**","***")))</f>
        <v>NS</v>
      </c>
      <c r="D61" s="143" t="str">
        <f t="shared" si="68"/>
        <v>NS</v>
      </c>
      <c r="E61" s="143" t="str">
        <f t="shared" si="68"/>
        <v>NS</v>
      </c>
      <c r="F61" s="143" t="str">
        <f t="shared" si="68"/>
        <v>***</v>
      </c>
      <c r="G61" s="143" t="str">
        <f t="shared" si="68"/>
        <v>***</v>
      </c>
      <c r="H61" s="143" t="str">
        <f t="shared" si="68"/>
        <v>***</v>
      </c>
      <c r="I61" s="143" t="str">
        <f t="shared" si="68"/>
        <v>NS</v>
      </c>
      <c r="J61" s="143" t="str">
        <f t="shared" si="68"/>
        <v>*</v>
      </c>
      <c r="K61" s="143" t="str">
        <f t="shared" si="68"/>
        <v>NS</v>
      </c>
      <c r="L61" s="143" t="str">
        <f t="shared" si="68"/>
        <v>NS</v>
      </c>
      <c r="M61" s="143" t="str">
        <f t="shared" si="68"/>
        <v>NS</v>
      </c>
      <c r="N61" s="143"/>
      <c r="O61" s="143" t="str">
        <f t="shared" si="68"/>
        <v>***</v>
      </c>
      <c r="P61" s="143" t="str">
        <f>IF(P60&gt;0.05,"NS",IF(P60&gt;0.01,"*",IF(P60&gt;0.001,"**","***")))</f>
        <v>**</v>
      </c>
      <c r="Q61" s="143" t="str">
        <f t="shared" ref="Q61:V61" si="69">IF(Q60&gt;0.05,"NS",IF(Q60&gt;0.01,"*",IF(Q60&gt;0.001,"**","***")))</f>
        <v>***</v>
      </c>
      <c r="R61" s="143" t="str">
        <f t="shared" si="69"/>
        <v>NS</v>
      </c>
      <c r="S61" s="143" t="str">
        <f t="shared" si="69"/>
        <v>NS</v>
      </c>
      <c r="T61" s="143" t="str">
        <f t="shared" si="69"/>
        <v>NS</v>
      </c>
      <c r="U61" s="143" t="str">
        <f t="shared" si="69"/>
        <v>NS</v>
      </c>
      <c r="V61" s="143" t="str">
        <f t="shared" si="69"/>
        <v>NS</v>
      </c>
    </row>
    <row r="63" spans="1:22" x14ac:dyDescent="0.35">
      <c r="A63" s="2" t="s">
        <v>39</v>
      </c>
    </row>
    <row r="64" spans="1:22" x14ac:dyDescent="0.35">
      <c r="A64" s="1" t="s">
        <v>23</v>
      </c>
      <c r="B64" s="1">
        <f>B46+(3*B47)</f>
        <v>0.54860578485655109</v>
      </c>
    </row>
    <row r="65" spans="1:22" x14ac:dyDescent="0.35">
      <c r="A65" s="1" t="s">
        <v>24</v>
      </c>
      <c r="B65" s="1">
        <f>B46+(10*B47)</f>
        <v>1.3615755976910306</v>
      </c>
    </row>
    <row r="66" spans="1:22" ht="15" thickBot="1" x14ac:dyDescent="0.4"/>
    <row r="67" spans="1:22" ht="26.5" thickBot="1" x14ac:dyDescent="0.65">
      <c r="A67" s="218" t="s">
        <v>45</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Q1" zoomScale="80" zoomScaleNormal="80" workbookViewId="0">
      <selection activeCell="Z5" sqref="Z5:AD12"/>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K1" s="119"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 s="153" t="s">
        <v>172</v>
      </c>
      <c r="D2" s="1" t="s">
        <v>110</v>
      </c>
      <c r="E2" s="1" t="s">
        <v>111</v>
      </c>
      <c r="F2" s="1" t="s">
        <v>112</v>
      </c>
      <c r="G2" s="1" t="s">
        <v>113</v>
      </c>
      <c r="K2" s="157" t="s">
        <v>120</v>
      </c>
      <c r="L2" s="157"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1</v>
      </c>
      <c r="B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 s="1" t="s">
        <v>2935</v>
      </c>
      <c r="D3" s="1" t="s">
        <v>2402</v>
      </c>
      <c r="E3" s="1" t="s">
        <v>2936</v>
      </c>
      <c r="F3" s="1" t="s">
        <v>112</v>
      </c>
      <c r="G3" s="1">
        <v>165382</v>
      </c>
      <c r="K3" s="119" t="s">
        <v>154</v>
      </c>
      <c r="L3" s="119"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1</v>
      </c>
      <c r="B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 s="1" t="s">
        <v>2937</v>
      </c>
      <c r="D4" s="1" t="s">
        <v>2938</v>
      </c>
      <c r="E4" s="1" t="s">
        <v>2939</v>
      </c>
      <c r="F4" s="1" t="s">
        <v>112</v>
      </c>
      <c r="G4" s="1">
        <v>256833</v>
      </c>
      <c r="K4" s="119" t="s">
        <v>100</v>
      </c>
      <c r="L4" s="1" t="s">
        <v>1576</v>
      </c>
      <c r="M4" s="1" t="s">
        <v>1577</v>
      </c>
      <c r="N4" s="1" t="s">
        <v>1578</v>
      </c>
      <c r="O4" s="1" t="s">
        <v>1579</v>
      </c>
      <c r="P4" s="1" t="s">
        <v>1580</v>
      </c>
      <c r="Q4" s="1" t="s">
        <v>1581</v>
      </c>
      <c r="R4" s="1" t="s">
        <v>1582</v>
      </c>
      <c r="S4" s="1" t="s">
        <v>1583</v>
      </c>
      <c r="T4" s="1" t="s">
        <v>1584</v>
      </c>
      <c r="U4" s="1" t="s">
        <v>1585</v>
      </c>
      <c r="V4" s="1" t="s">
        <v>1586</v>
      </c>
      <c r="W4" s="1" t="s">
        <v>1587</v>
      </c>
      <c r="X4" s="1" t="s">
        <v>1588</v>
      </c>
      <c r="Y4" s="1" t="s">
        <v>1589</v>
      </c>
      <c r="Z4" s="1" t="s">
        <v>1590</v>
      </c>
      <c r="AA4" s="1" t="s">
        <v>1591</v>
      </c>
      <c r="AB4" s="1" t="s">
        <v>1592</v>
      </c>
      <c r="AC4" s="1" t="s">
        <v>1593</v>
      </c>
      <c r="AD4" s="1" t="s">
        <v>1594</v>
      </c>
      <c r="AE4" s="1" t="s">
        <v>1595</v>
      </c>
      <c r="AF4" s="1" t="s">
        <v>1596</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1</v>
      </c>
      <c r="B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 s="1" t="s">
        <v>2940</v>
      </c>
      <c r="D5" s="1" t="s">
        <v>1118</v>
      </c>
      <c r="E5" s="1" t="s">
        <v>2941</v>
      </c>
      <c r="F5" s="1" t="s">
        <v>112</v>
      </c>
      <c r="G5" s="1">
        <v>305003</v>
      </c>
      <c r="K5" s="146" t="s">
        <v>164</v>
      </c>
      <c r="L5" s="44">
        <v>242406</v>
      </c>
      <c r="M5" s="44">
        <v>2513242</v>
      </c>
      <c r="N5" s="44">
        <v>804978.33333333337</v>
      </c>
      <c r="O5" s="44">
        <v>3936604.6666666665</v>
      </c>
      <c r="P5" s="44">
        <v>3893</v>
      </c>
      <c r="Q5" s="44">
        <v>256545</v>
      </c>
      <c r="R5" s="44">
        <v>68660.666666666672</v>
      </c>
      <c r="S5" s="44">
        <v>2102736</v>
      </c>
      <c r="T5" s="44">
        <v>1652105.6666666667</v>
      </c>
      <c r="U5" s="44">
        <v>3737198.6666666665</v>
      </c>
      <c r="V5" s="44">
        <v>2772592</v>
      </c>
      <c r="W5" s="44">
        <v>207214.33333333334</v>
      </c>
      <c r="X5" s="44">
        <v>112172.66666666667</v>
      </c>
      <c r="Y5" s="44">
        <v>275262</v>
      </c>
      <c r="Z5" s="44">
        <v>933661.66666666663</v>
      </c>
      <c r="AA5" s="44"/>
      <c r="AB5" s="44">
        <v>935904</v>
      </c>
      <c r="AC5" s="44"/>
      <c r="AD5" s="44">
        <v>1655061.6666666667</v>
      </c>
      <c r="AE5" s="44"/>
      <c r="AF5" s="44">
        <v>323424.33333333331</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1</v>
      </c>
      <c r="B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 s="1" t="s">
        <v>2942</v>
      </c>
      <c r="D6" s="1" t="s">
        <v>2943</v>
      </c>
      <c r="E6" s="1" t="s">
        <v>2944</v>
      </c>
      <c r="F6" s="1" t="s">
        <v>112</v>
      </c>
      <c r="G6" s="1">
        <v>730744</v>
      </c>
      <c r="K6" s="146" t="s">
        <v>1597</v>
      </c>
      <c r="L6" s="44">
        <v>368000</v>
      </c>
      <c r="M6" s="44">
        <v>979466.33333333337</v>
      </c>
      <c r="N6" s="44">
        <v>2136853</v>
      </c>
      <c r="O6" s="44">
        <v>3242883.6666666665</v>
      </c>
      <c r="P6" s="44">
        <v>183580</v>
      </c>
      <c r="Q6" s="44">
        <v>246811.33333333334</v>
      </c>
      <c r="R6" s="44">
        <v>792548.33333333337</v>
      </c>
      <c r="S6" s="44">
        <v>597576.33333333337</v>
      </c>
      <c r="T6" s="44">
        <v>2617484.3333333335</v>
      </c>
      <c r="U6" s="44">
        <v>2100468.5</v>
      </c>
      <c r="V6" s="44">
        <v>2044119</v>
      </c>
      <c r="W6" s="44">
        <v>58725</v>
      </c>
      <c r="X6" s="44">
        <v>410341</v>
      </c>
      <c r="Y6" s="44">
        <v>202102.66666666666</v>
      </c>
      <c r="Z6" s="44">
        <v>955197.66666666663</v>
      </c>
      <c r="AA6" s="44">
        <v>430867.33333333331</v>
      </c>
      <c r="AB6" s="44">
        <v>1493926.3333333333</v>
      </c>
      <c r="AC6" s="44">
        <v>289126.66666666669</v>
      </c>
      <c r="AD6" s="44">
        <v>478208</v>
      </c>
      <c r="AE6" s="44">
        <v>309148.66666666669</v>
      </c>
      <c r="AF6" s="44">
        <v>189723</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1</v>
      </c>
      <c r="B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 s="1" t="s">
        <v>2945</v>
      </c>
      <c r="D7" s="1" t="s">
        <v>1466</v>
      </c>
      <c r="E7" s="1" t="s">
        <v>1467</v>
      </c>
      <c r="F7" s="1" t="s">
        <v>112</v>
      </c>
      <c r="G7" s="1">
        <v>5256</v>
      </c>
      <c r="K7" s="146" t="s">
        <v>1598</v>
      </c>
      <c r="L7" s="44">
        <v>105308.66666666667</v>
      </c>
      <c r="M7" s="44">
        <v>1282097.3333333333</v>
      </c>
      <c r="N7" s="44">
        <v>1499730.3333333333</v>
      </c>
      <c r="O7" s="44">
        <v>2336461.3333333335</v>
      </c>
      <c r="P7" s="44">
        <v>285731</v>
      </c>
      <c r="Q7" s="44">
        <v>688970</v>
      </c>
      <c r="R7" s="44">
        <v>378588.33333333331</v>
      </c>
      <c r="S7" s="44"/>
      <c r="T7" s="44">
        <v>1995992</v>
      </c>
      <c r="U7" s="44">
        <v>2370507</v>
      </c>
      <c r="V7" s="44">
        <v>4533042</v>
      </c>
      <c r="W7" s="44">
        <v>286964</v>
      </c>
      <c r="X7" s="44">
        <v>257958</v>
      </c>
      <c r="Y7" s="44">
        <v>279631.33333333331</v>
      </c>
      <c r="Z7" s="44">
        <v>169506.33333333334</v>
      </c>
      <c r="AA7" s="44">
        <v>310075.5</v>
      </c>
      <c r="AB7" s="44">
        <v>2481302.3333333335</v>
      </c>
      <c r="AC7" s="44">
        <v>66887</v>
      </c>
      <c r="AD7" s="44"/>
      <c r="AE7" s="44">
        <v>173998.33333333334</v>
      </c>
      <c r="AF7" s="44">
        <v>182498.66666666666</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1</v>
      </c>
      <c r="B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8" s="1" t="s">
        <v>2946</v>
      </c>
      <c r="K8" s="146" t="s">
        <v>1599</v>
      </c>
      <c r="L8" s="44">
        <v>239169</v>
      </c>
      <c r="M8" s="44">
        <v>2310008</v>
      </c>
      <c r="N8" s="44">
        <v>3457567.3333333335</v>
      </c>
      <c r="O8" s="44"/>
      <c r="P8" s="44">
        <v>366107.66666666669</v>
      </c>
      <c r="Q8" s="44">
        <v>283214.66666666669</v>
      </c>
      <c r="R8" s="44">
        <v>63656.666666666664</v>
      </c>
      <c r="S8" s="44">
        <v>1384573</v>
      </c>
      <c r="T8" s="44">
        <v>2006757</v>
      </c>
      <c r="U8" s="44"/>
      <c r="V8" s="44">
        <v>3654024.6666666665</v>
      </c>
      <c r="W8" s="44">
        <v>451106</v>
      </c>
      <c r="X8" s="44"/>
      <c r="Y8" s="44">
        <v>182571</v>
      </c>
      <c r="Z8" s="44">
        <v>96180.666666666672</v>
      </c>
      <c r="AA8" s="44">
        <v>898275</v>
      </c>
      <c r="AB8" s="44">
        <v>14168</v>
      </c>
      <c r="AC8" s="44">
        <v>202729.66666666666</v>
      </c>
      <c r="AD8" s="44">
        <v>866147.66666666663</v>
      </c>
      <c r="AE8" s="44">
        <v>459945.33333333331</v>
      </c>
      <c r="AF8" s="44">
        <v>134141.33333333334</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1</v>
      </c>
      <c r="B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 s="1" t="s">
        <v>2947</v>
      </c>
      <c r="D9" s="1" t="s">
        <v>1033</v>
      </c>
      <c r="E9" s="1" t="s">
        <v>2948</v>
      </c>
      <c r="F9" s="1" t="s">
        <v>112</v>
      </c>
      <c r="G9" s="1">
        <v>6770</v>
      </c>
      <c r="K9" s="146" t="s">
        <v>1600</v>
      </c>
      <c r="L9" s="44">
        <v>101674.66666666667</v>
      </c>
      <c r="M9" s="44">
        <v>896703.33333333337</v>
      </c>
      <c r="N9" s="44">
        <v>958759.66666666663</v>
      </c>
      <c r="O9" s="44">
        <v>3246452.6666666665</v>
      </c>
      <c r="P9" s="44">
        <v>433261.33333333331</v>
      </c>
      <c r="Q9" s="44">
        <v>26056.666666666668</v>
      </c>
      <c r="R9" s="44">
        <v>749562.5</v>
      </c>
      <c r="S9" s="44">
        <v>856644.66666666663</v>
      </c>
      <c r="T9" s="44">
        <v>1905730.6666666667</v>
      </c>
      <c r="U9" s="44">
        <v>4193207.3333333335</v>
      </c>
      <c r="V9" s="44">
        <v>4934846.333333333</v>
      </c>
      <c r="W9" s="44">
        <v>22444.666666666668</v>
      </c>
      <c r="X9" s="44">
        <v>692697.5</v>
      </c>
      <c r="Y9" s="44">
        <v>470915.5</v>
      </c>
      <c r="Z9" s="44"/>
      <c r="AA9" s="44">
        <v>552557.33333333337</v>
      </c>
      <c r="AB9" s="44">
        <v>1292991.6666666667</v>
      </c>
      <c r="AC9" s="44">
        <v>1241483.6666666667</v>
      </c>
      <c r="AD9" s="44">
        <v>1125374.6666666667</v>
      </c>
      <c r="AE9" s="44">
        <v>85532</v>
      </c>
      <c r="AF9" s="44">
        <v>199067.33333333334</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1</v>
      </c>
      <c r="B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 s="1" t="s">
        <v>2949</v>
      </c>
      <c r="D10" s="1" t="s">
        <v>228</v>
      </c>
      <c r="E10" s="1" t="s">
        <v>609</v>
      </c>
      <c r="F10" s="1" t="s">
        <v>112</v>
      </c>
      <c r="G10" s="1">
        <v>2033</v>
      </c>
      <c r="K10" s="146" t="s">
        <v>1601</v>
      </c>
      <c r="L10" s="44">
        <v>388913</v>
      </c>
      <c r="M10" s="44">
        <v>1763968.3333333333</v>
      </c>
      <c r="N10" s="44">
        <v>3902509</v>
      </c>
      <c r="O10" s="44">
        <v>3103125.6666666665</v>
      </c>
      <c r="P10" s="44">
        <v>154336.66666666666</v>
      </c>
      <c r="Q10" s="44">
        <v>188706.33333333334</v>
      </c>
      <c r="R10" s="44">
        <v>93733</v>
      </c>
      <c r="S10" s="44">
        <v>1743737.3333333333</v>
      </c>
      <c r="T10" s="44"/>
      <c r="U10" s="44">
        <v>3327543</v>
      </c>
      <c r="V10" s="44">
        <v>4195521.666666667</v>
      </c>
      <c r="W10" s="44">
        <v>116765.66666666667</v>
      </c>
      <c r="X10" s="44">
        <v>522088</v>
      </c>
      <c r="Y10" s="44">
        <v>349012.66666666669</v>
      </c>
      <c r="Z10" s="44">
        <v>435727</v>
      </c>
      <c r="AA10" s="44">
        <v>347138</v>
      </c>
      <c r="AB10" s="44">
        <v>1384904.3333333333</v>
      </c>
      <c r="AC10" s="44">
        <v>714687.66666666663</v>
      </c>
      <c r="AD10" s="44">
        <v>985876</v>
      </c>
      <c r="AE10" s="44">
        <v>106902.33333333333</v>
      </c>
      <c r="AF10" s="44">
        <v>80037.666666666672</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1</v>
      </c>
      <c r="B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1" s="1" t="s">
        <v>2950</v>
      </c>
      <c r="D11" s="1" t="s">
        <v>2951</v>
      </c>
      <c r="E11" s="1" t="s">
        <v>2952</v>
      </c>
      <c r="F11" s="1" t="s">
        <v>112</v>
      </c>
      <c r="G11" s="1">
        <v>307123</v>
      </c>
      <c r="K11" s="146" t="s">
        <v>1602</v>
      </c>
      <c r="L11" s="44">
        <v>276458.66666666669</v>
      </c>
      <c r="M11" s="44">
        <v>2474113.6666666665</v>
      </c>
      <c r="N11" s="44">
        <v>2154798.6666666665</v>
      </c>
      <c r="O11" s="44">
        <v>3003022.6666666665</v>
      </c>
      <c r="P11" s="44">
        <v>425373.33333333331</v>
      </c>
      <c r="Q11" s="44">
        <v>204142.66666666666</v>
      </c>
      <c r="R11" s="44">
        <v>337974.33333333331</v>
      </c>
      <c r="S11" s="44">
        <v>799210</v>
      </c>
      <c r="T11" s="44">
        <v>2890381.3333333335</v>
      </c>
      <c r="U11" s="44">
        <v>3068222.3333333335</v>
      </c>
      <c r="V11" s="44">
        <v>3442419.6666666665</v>
      </c>
      <c r="W11" s="44">
        <v>364168</v>
      </c>
      <c r="X11" s="44">
        <v>401725</v>
      </c>
      <c r="Y11" s="44"/>
      <c r="Z11" s="44">
        <v>1336814</v>
      </c>
      <c r="AA11" s="44">
        <v>247100</v>
      </c>
      <c r="AB11" s="44">
        <v>1371667</v>
      </c>
      <c r="AC11" s="44">
        <v>2981940.6666666665</v>
      </c>
      <c r="AD11" s="44">
        <v>915377</v>
      </c>
      <c r="AE11" s="44">
        <v>262478.66666666669</v>
      </c>
      <c r="AF11" s="44">
        <v>119494</v>
      </c>
      <c r="AG11"/>
    </row>
    <row r="12" spans="1:144" x14ac:dyDescent="0.35">
      <c r="A12" s="1" t="str">
        <f t="shared" si="0"/>
        <v>1</v>
      </c>
      <c r="B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2" s="1" t="s">
        <v>2953</v>
      </c>
      <c r="D12" s="1" t="s">
        <v>2954</v>
      </c>
      <c r="E12" s="1" t="s">
        <v>2955</v>
      </c>
      <c r="F12" s="1" t="s">
        <v>112</v>
      </c>
      <c r="G12" s="1">
        <v>372597</v>
      </c>
      <c r="K12" s="146" t="s">
        <v>1603</v>
      </c>
      <c r="L12" s="44">
        <v>174373</v>
      </c>
      <c r="M12" s="44">
        <v>1359410</v>
      </c>
      <c r="N12" s="44">
        <v>2452433.3333333335</v>
      </c>
      <c r="O12" s="44">
        <v>3611313</v>
      </c>
      <c r="P12" s="44">
        <v>187041</v>
      </c>
      <c r="Q12" s="44">
        <v>257648.33333333334</v>
      </c>
      <c r="R12" s="44">
        <v>289977.66666666669</v>
      </c>
      <c r="S12" s="44">
        <v>796513.66666666663</v>
      </c>
      <c r="T12" s="44">
        <v>1102036</v>
      </c>
      <c r="U12" s="44">
        <v>3112880.6666666665</v>
      </c>
      <c r="V12" s="44">
        <v>3016195</v>
      </c>
      <c r="W12" s="44">
        <v>150010.33333333334</v>
      </c>
      <c r="X12" s="44">
        <v>389987.33333333331</v>
      </c>
      <c r="Y12" s="44">
        <v>543891</v>
      </c>
      <c r="Z12" s="44">
        <v>633886</v>
      </c>
      <c r="AA12" s="44">
        <v>6820.666666666667</v>
      </c>
      <c r="AB12" s="44">
        <v>324643</v>
      </c>
      <c r="AC12" s="44">
        <v>729511.5</v>
      </c>
      <c r="AD12" s="44">
        <v>887070.66666666663</v>
      </c>
      <c r="AE12" s="44">
        <v>207055.66666666666</v>
      </c>
      <c r="AF12" s="44">
        <v>194243.66666666666</v>
      </c>
      <c r="AG12"/>
    </row>
    <row r="13" spans="1:144" x14ac:dyDescent="0.35">
      <c r="A13" s="1" t="str">
        <f t="shared" si="0"/>
        <v>1</v>
      </c>
      <c r="B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3" s="1" t="s">
        <v>2956</v>
      </c>
      <c r="D13" s="1" t="s">
        <v>2957</v>
      </c>
      <c r="E13" s="1" t="s">
        <v>2958</v>
      </c>
      <c r="F13" s="1" t="s">
        <v>112</v>
      </c>
      <c r="G13" s="1">
        <v>188353</v>
      </c>
      <c r="K13"/>
      <c r="L13"/>
      <c r="M13"/>
      <c r="N13"/>
      <c r="O13"/>
      <c r="P13"/>
      <c r="Q13"/>
      <c r="R13"/>
      <c r="S13"/>
      <c r="T13"/>
      <c r="U13"/>
      <c r="V13"/>
      <c r="W13"/>
      <c r="X13"/>
      <c r="Y13"/>
      <c r="Z13"/>
      <c r="AA13"/>
      <c r="AB13"/>
      <c r="AC13"/>
      <c r="AD13"/>
      <c r="AE13"/>
      <c r="AF13"/>
      <c r="AG13"/>
    </row>
    <row r="14" spans="1:144" x14ac:dyDescent="0.35">
      <c r="A14" s="1" t="str">
        <f t="shared" si="0"/>
        <v>1</v>
      </c>
      <c r="B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 s="1" t="s">
        <v>2959</v>
      </c>
      <c r="D14" s="1" t="s">
        <v>2960</v>
      </c>
      <c r="E14" s="1" t="s">
        <v>2961</v>
      </c>
      <c r="F14" s="1" t="s">
        <v>112</v>
      </c>
      <c r="G14" s="1">
        <v>156557</v>
      </c>
      <c r="K14"/>
      <c r="L14"/>
      <c r="M14"/>
      <c r="N14"/>
      <c r="O14"/>
      <c r="P14"/>
      <c r="Q14"/>
      <c r="R14"/>
      <c r="S14"/>
      <c r="T14"/>
      <c r="U14"/>
      <c r="V14"/>
      <c r="W14"/>
      <c r="X14"/>
      <c r="Y14"/>
      <c r="Z14"/>
      <c r="AA14"/>
      <c r="AB14"/>
      <c r="AC14"/>
      <c r="AD14"/>
      <c r="AE14"/>
      <c r="AF14"/>
      <c r="AG14"/>
    </row>
    <row r="15" spans="1:144" x14ac:dyDescent="0.35">
      <c r="A15" s="1" t="str">
        <f t="shared" si="0"/>
        <v>1</v>
      </c>
      <c r="B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5" s="1" t="s">
        <v>2962</v>
      </c>
      <c r="D15" s="1" t="s">
        <v>2963</v>
      </c>
      <c r="E15" s="1" t="s">
        <v>2964</v>
      </c>
      <c r="F15" s="1" t="s">
        <v>112</v>
      </c>
      <c r="G15" s="1">
        <v>124047</v>
      </c>
    </row>
    <row r="16" spans="1:144" x14ac:dyDescent="0.35">
      <c r="A16" s="1" t="str">
        <f t="shared" si="0"/>
        <v>1</v>
      </c>
      <c r="B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6" s="1" t="s">
        <v>2965</v>
      </c>
      <c r="D16" s="1" t="s">
        <v>2966</v>
      </c>
      <c r="E16" s="1" t="s">
        <v>2967</v>
      </c>
      <c r="F16" s="1" t="s">
        <v>112</v>
      </c>
      <c r="G16" s="1">
        <v>106808</v>
      </c>
    </row>
    <row r="17" spans="1:8" x14ac:dyDescent="0.35">
      <c r="A17" s="1" t="str">
        <f t="shared" si="0"/>
        <v>1</v>
      </c>
      <c r="B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7" s="1" t="s">
        <v>2968</v>
      </c>
      <c r="D17" s="1" t="s">
        <v>2969</v>
      </c>
      <c r="E17" s="1" t="s">
        <v>2970</v>
      </c>
      <c r="F17" s="1" t="s">
        <v>112</v>
      </c>
      <c r="G17" s="1">
        <v>74169</v>
      </c>
    </row>
    <row r="18" spans="1:8" x14ac:dyDescent="0.35">
      <c r="A18" s="1" t="str">
        <f t="shared" si="0"/>
        <v>1</v>
      </c>
      <c r="B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 s="1" t="s">
        <v>2971</v>
      </c>
      <c r="D18" s="1" t="s">
        <v>725</v>
      </c>
      <c r="E18" s="1" t="s">
        <v>2972</v>
      </c>
      <c r="F18" s="1" t="s">
        <v>112</v>
      </c>
      <c r="G18" s="1">
        <v>380665</v>
      </c>
    </row>
    <row r="19" spans="1:8" x14ac:dyDescent="0.35">
      <c r="A19" s="1" t="str">
        <f t="shared" si="0"/>
        <v>1</v>
      </c>
      <c r="B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9" s="1" t="s">
        <v>2973</v>
      </c>
      <c r="D19" s="1" t="s">
        <v>2974</v>
      </c>
      <c r="E19" s="1" t="s">
        <v>2975</v>
      </c>
      <c r="F19" s="1" t="s">
        <v>112</v>
      </c>
      <c r="G19" s="1">
        <v>400218</v>
      </c>
    </row>
    <row r="20" spans="1:8" x14ac:dyDescent="0.35">
      <c r="A20" s="1" t="str">
        <f t="shared" si="0"/>
        <v>1</v>
      </c>
      <c r="B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0" s="1" t="s">
        <v>2976</v>
      </c>
      <c r="D20" s="1" t="s">
        <v>2977</v>
      </c>
      <c r="E20" s="1" t="s">
        <v>2978</v>
      </c>
      <c r="F20" s="1" t="s">
        <v>112</v>
      </c>
      <c r="G20" s="1">
        <v>385856</v>
      </c>
    </row>
    <row r="21" spans="1:8" x14ac:dyDescent="0.35">
      <c r="A21" s="1" t="str">
        <f t="shared" si="0"/>
        <v>1</v>
      </c>
      <c r="B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 s="1" t="s">
        <v>2979</v>
      </c>
      <c r="D21" s="1" t="s">
        <v>1502</v>
      </c>
      <c r="E21" s="1" t="s">
        <v>2980</v>
      </c>
      <c r="F21" s="1" t="s">
        <v>112</v>
      </c>
      <c r="G21" s="1">
        <v>14362</v>
      </c>
    </row>
    <row r="22" spans="1:8" x14ac:dyDescent="0.35">
      <c r="A22" s="1" t="str">
        <f t="shared" si="0"/>
        <v>1</v>
      </c>
      <c r="B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 s="1" t="s">
        <v>2981</v>
      </c>
      <c r="D22" s="1" t="s">
        <v>725</v>
      </c>
      <c r="E22" s="1" t="s">
        <v>2982</v>
      </c>
      <c r="F22" s="1" t="s">
        <v>112</v>
      </c>
      <c r="G22" s="1">
        <v>437789</v>
      </c>
    </row>
    <row r="23" spans="1:8" x14ac:dyDescent="0.35">
      <c r="A23" s="1" t="str">
        <f t="shared" si="0"/>
        <v>1</v>
      </c>
      <c r="B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3" s="1" t="s">
        <v>2983</v>
      </c>
      <c r="D23" s="1" t="s">
        <v>2984</v>
      </c>
      <c r="E23" s="1" t="s">
        <v>2985</v>
      </c>
      <c r="F23" s="1" t="s">
        <v>112</v>
      </c>
      <c r="G23" s="1">
        <v>377225</v>
      </c>
    </row>
    <row r="24" spans="1:8" x14ac:dyDescent="0.35">
      <c r="A24" s="1" t="str">
        <f t="shared" si="0"/>
        <v>1</v>
      </c>
      <c r="B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4" s="1" t="s">
        <v>2986</v>
      </c>
      <c r="D24" s="1" t="s">
        <v>584</v>
      </c>
      <c r="E24" s="1" t="s">
        <v>2987</v>
      </c>
      <c r="F24" s="1" t="s">
        <v>112</v>
      </c>
      <c r="G24" s="1">
        <v>175029</v>
      </c>
    </row>
    <row r="25" spans="1:8" x14ac:dyDescent="0.35">
      <c r="A25" s="1" t="str">
        <f t="shared" si="0"/>
        <v>1</v>
      </c>
      <c r="B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 s="1" t="s">
        <v>2988</v>
      </c>
      <c r="D25" s="1" t="s">
        <v>2989</v>
      </c>
      <c r="E25" s="1" t="s">
        <v>2990</v>
      </c>
      <c r="F25" s="1" t="s">
        <v>112</v>
      </c>
      <c r="G25" s="1">
        <v>203516</v>
      </c>
    </row>
    <row r="26" spans="1:8" x14ac:dyDescent="0.35">
      <c r="A26" s="1" t="str">
        <f t="shared" si="0"/>
        <v>1</v>
      </c>
      <c r="B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6" s="1" t="s">
        <v>2991</v>
      </c>
      <c r="D26" s="1" t="s">
        <v>2992</v>
      </c>
      <c r="E26" s="1" t="s">
        <v>2993</v>
      </c>
      <c r="F26" s="1" t="s">
        <v>112</v>
      </c>
      <c r="G26" s="1">
        <v>144574</v>
      </c>
    </row>
    <row r="27" spans="1:8" x14ac:dyDescent="0.35">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7" s="1" t="s">
        <v>112</v>
      </c>
    </row>
    <row r="28" spans="1:8" x14ac:dyDescent="0.35">
      <c r="A28" s="1" t="str">
        <f t="shared" si="0"/>
        <v/>
      </c>
      <c r="B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8" s="1" t="s">
        <v>239</v>
      </c>
      <c r="D28" s="1" t="s">
        <v>112</v>
      </c>
      <c r="E28" s="1" t="s">
        <v>240</v>
      </c>
      <c r="F28" s="1" t="s">
        <v>241</v>
      </c>
      <c r="G28" s="1" t="s">
        <v>242</v>
      </c>
      <c r="H28" s="1" t="s">
        <v>243</v>
      </c>
    </row>
    <row r="29" spans="1:8" x14ac:dyDescent="0.35">
      <c r="A29" s="1" t="str">
        <f t="shared" si="0"/>
        <v>1</v>
      </c>
      <c r="B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9" s="1" t="s">
        <v>2994</v>
      </c>
      <c r="D29" s="1" t="s">
        <v>112</v>
      </c>
      <c r="E29" s="1" t="s">
        <v>2995</v>
      </c>
      <c r="F29" s="1" t="s">
        <v>2996</v>
      </c>
      <c r="G29" s="1" t="s">
        <v>2997</v>
      </c>
      <c r="H29" s="1" t="s">
        <v>2998</v>
      </c>
    </row>
    <row r="30" spans="1:8" x14ac:dyDescent="0.35">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0" s="1" t="s">
        <v>112</v>
      </c>
    </row>
    <row r="31" spans="1:8" x14ac:dyDescent="0.35">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1" s="1" t="s">
        <v>112</v>
      </c>
    </row>
    <row r="32" spans="1:8" x14ac:dyDescent="0.35">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 s="1" t="s">
        <v>112</v>
      </c>
    </row>
    <row r="33" spans="1:7" x14ac:dyDescent="0.35">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 s="1" t="s">
        <v>112</v>
      </c>
    </row>
    <row r="34" spans="1:7" x14ac:dyDescent="0.35">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4" s="1" t="s">
        <v>112</v>
      </c>
    </row>
    <row r="35" spans="1:7" x14ac:dyDescent="0.35">
      <c r="A35" s="1" t="str">
        <f t="shared" si="0"/>
        <v/>
      </c>
      <c r="B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 s="1" t="s">
        <v>172</v>
      </c>
      <c r="D35" s="1" t="s">
        <v>110</v>
      </c>
      <c r="E35" s="1" t="s">
        <v>111</v>
      </c>
      <c r="F35" s="1" t="s">
        <v>112</v>
      </c>
      <c r="G35" s="1" t="s">
        <v>113</v>
      </c>
    </row>
    <row r="36" spans="1:7" x14ac:dyDescent="0.35">
      <c r="A36" s="1" t="str">
        <f t="shared" si="0"/>
        <v>13</v>
      </c>
      <c r="B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 s="1" t="s">
        <v>2999</v>
      </c>
      <c r="D36" s="1" t="s">
        <v>3000</v>
      </c>
      <c r="E36" s="1" t="s">
        <v>3001</v>
      </c>
      <c r="F36" s="1" t="s">
        <v>112</v>
      </c>
      <c r="G36" s="1">
        <v>2226105</v>
      </c>
    </row>
    <row r="37" spans="1:7" x14ac:dyDescent="0.35">
      <c r="A37" s="1" t="str">
        <f t="shared" si="0"/>
        <v>13</v>
      </c>
      <c r="B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 s="1" t="s">
        <v>3002</v>
      </c>
      <c r="D37" s="1" t="s">
        <v>3003</v>
      </c>
      <c r="E37" s="1" t="s">
        <v>3004</v>
      </c>
      <c r="F37" s="1" t="s">
        <v>112</v>
      </c>
      <c r="G37" s="1">
        <v>2958104</v>
      </c>
    </row>
    <row r="38" spans="1:7" x14ac:dyDescent="0.35">
      <c r="A38" s="1" t="str">
        <f t="shared" si="0"/>
        <v>13</v>
      </c>
      <c r="B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8" s="1" t="s">
        <v>3005</v>
      </c>
      <c r="D38" s="1" t="s">
        <v>3006</v>
      </c>
      <c r="E38" s="1" t="s">
        <v>3007</v>
      </c>
      <c r="F38" s="1" t="s">
        <v>112</v>
      </c>
      <c r="G38" s="1">
        <v>2355517</v>
      </c>
    </row>
    <row r="39" spans="1:7" x14ac:dyDescent="0.35">
      <c r="A39" s="1" t="str">
        <f t="shared" si="0"/>
        <v>13</v>
      </c>
      <c r="B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9" s="1" t="s">
        <v>3008</v>
      </c>
      <c r="D39" s="1" t="s">
        <v>3009</v>
      </c>
      <c r="E39" s="1" t="s">
        <v>3010</v>
      </c>
      <c r="F39" s="1" t="s">
        <v>112</v>
      </c>
      <c r="G39" s="1">
        <v>1086015</v>
      </c>
    </row>
    <row r="40" spans="1:7" x14ac:dyDescent="0.35">
      <c r="A40" s="1" t="str">
        <f t="shared" si="0"/>
        <v>13</v>
      </c>
      <c r="B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 s="1" t="s">
        <v>3011</v>
      </c>
      <c r="D40" s="1" t="s">
        <v>3012</v>
      </c>
      <c r="E40" s="1" t="s">
        <v>3013</v>
      </c>
      <c r="F40" s="1" t="s">
        <v>112</v>
      </c>
      <c r="G40" s="1">
        <v>788085</v>
      </c>
    </row>
    <row r="41" spans="1:7" x14ac:dyDescent="0.35">
      <c r="A41" s="1" t="str">
        <f t="shared" si="0"/>
        <v>13</v>
      </c>
      <c r="B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1" s="1" t="s">
        <v>3014</v>
      </c>
      <c r="D41" s="1" t="s">
        <v>3015</v>
      </c>
      <c r="E41" s="1" t="s">
        <v>3016</v>
      </c>
      <c r="F41" s="1" t="s">
        <v>112</v>
      </c>
      <c r="G41" s="1">
        <v>1064299</v>
      </c>
    </row>
    <row r="42" spans="1:7" x14ac:dyDescent="0.35">
      <c r="A42" s="1" t="str">
        <f t="shared" si="0"/>
        <v>13</v>
      </c>
      <c r="B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 s="1" t="s">
        <v>3017</v>
      </c>
      <c r="D42" s="1" t="s">
        <v>3018</v>
      </c>
      <c r="E42" s="1" t="s">
        <v>3019</v>
      </c>
      <c r="F42" s="1" t="s">
        <v>112</v>
      </c>
      <c r="G42" s="1">
        <v>1666237</v>
      </c>
    </row>
    <row r="43" spans="1:7" x14ac:dyDescent="0.35">
      <c r="A43" s="1" t="str">
        <f t="shared" si="0"/>
        <v>13</v>
      </c>
      <c r="B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 s="1" t="s">
        <v>3020</v>
      </c>
      <c r="D43" s="1" t="s">
        <v>3021</v>
      </c>
      <c r="E43" s="1" t="s">
        <v>3022</v>
      </c>
      <c r="F43" s="1" t="s">
        <v>112</v>
      </c>
      <c r="G43" s="1">
        <v>1080002</v>
      </c>
    </row>
    <row r="44" spans="1:7" x14ac:dyDescent="0.35">
      <c r="A44" s="1" t="str">
        <f t="shared" si="0"/>
        <v>13</v>
      </c>
      <c r="B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4" s="1" t="s">
        <v>3023</v>
      </c>
      <c r="D44" s="1" t="s">
        <v>3024</v>
      </c>
      <c r="E44" s="1" t="s">
        <v>3025</v>
      </c>
      <c r="F44" s="1" t="s">
        <v>112</v>
      </c>
      <c r="G44" s="1">
        <v>1100053</v>
      </c>
    </row>
    <row r="45" spans="1:7" x14ac:dyDescent="0.35">
      <c r="A45" s="1" t="str">
        <f t="shared" si="0"/>
        <v>13</v>
      </c>
      <c r="B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5" s="1" t="s">
        <v>3026</v>
      </c>
      <c r="D45" s="1" t="s">
        <v>3027</v>
      </c>
      <c r="E45" s="1" t="s">
        <v>3028</v>
      </c>
      <c r="F45" s="1" t="s">
        <v>112</v>
      </c>
      <c r="G45" s="1">
        <v>1712201</v>
      </c>
    </row>
    <row r="46" spans="1:7" x14ac:dyDescent="0.35">
      <c r="A46" s="1" t="str">
        <f t="shared" si="0"/>
        <v>13</v>
      </c>
      <c r="B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 s="1" t="s">
        <v>3029</v>
      </c>
      <c r="D46" s="1" t="s">
        <v>2322</v>
      </c>
      <c r="E46" s="1" t="s">
        <v>2151</v>
      </c>
      <c r="F46" s="1" t="s">
        <v>112</v>
      </c>
      <c r="G46" s="1">
        <v>2195932</v>
      </c>
    </row>
    <row r="47" spans="1:7" x14ac:dyDescent="0.35">
      <c r="A47" s="1" t="str">
        <f t="shared" si="0"/>
        <v>13</v>
      </c>
      <c r="B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 s="1" t="s">
        <v>3030</v>
      </c>
      <c r="D47" s="1" t="s">
        <v>3031</v>
      </c>
      <c r="E47" s="1" t="s">
        <v>3032</v>
      </c>
      <c r="F47" s="1" t="s">
        <v>112</v>
      </c>
      <c r="G47" s="1">
        <v>3021891</v>
      </c>
    </row>
    <row r="48" spans="1:7" x14ac:dyDescent="0.35">
      <c r="A48" s="1" t="str">
        <f t="shared" si="0"/>
        <v>13</v>
      </c>
      <c r="B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8" s="1" t="s">
        <v>3033</v>
      </c>
      <c r="D48" s="1" t="s">
        <v>3034</v>
      </c>
      <c r="E48" s="1" t="s">
        <v>3035</v>
      </c>
      <c r="F48" s="1" t="s">
        <v>112</v>
      </c>
      <c r="G48" s="1">
        <v>969971</v>
      </c>
    </row>
    <row r="49" spans="1:8" x14ac:dyDescent="0.35">
      <c r="A49" s="1" t="str">
        <f t="shared" si="0"/>
        <v>13</v>
      </c>
      <c r="B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9" s="1" t="s">
        <v>3036</v>
      </c>
      <c r="D49" s="1" t="s">
        <v>3037</v>
      </c>
      <c r="E49" s="1" t="s">
        <v>3038</v>
      </c>
      <c r="F49" s="1" t="s">
        <v>112</v>
      </c>
      <c r="G49" s="1">
        <v>732583</v>
      </c>
    </row>
    <row r="50" spans="1:8" x14ac:dyDescent="0.35">
      <c r="A50" s="1" t="str">
        <f t="shared" si="0"/>
        <v>13</v>
      </c>
      <c r="B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0" s="1" t="s">
        <v>3039</v>
      </c>
      <c r="D50" s="1" t="s">
        <v>3040</v>
      </c>
      <c r="E50" s="1" t="s">
        <v>3041</v>
      </c>
      <c r="F50" s="1" t="s">
        <v>112</v>
      </c>
      <c r="G50" s="1">
        <v>987556</v>
      </c>
    </row>
    <row r="51" spans="1:8" x14ac:dyDescent="0.35">
      <c r="A51" s="1" t="str">
        <f t="shared" si="0"/>
        <v>13</v>
      </c>
      <c r="B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 s="1" t="s">
        <v>3042</v>
      </c>
      <c r="D51" s="1" t="s">
        <v>3043</v>
      </c>
      <c r="E51" s="1" t="s">
        <v>3044</v>
      </c>
      <c r="F51" s="1" t="s">
        <v>112</v>
      </c>
      <c r="G51" s="1">
        <v>1626417</v>
      </c>
    </row>
    <row r="52" spans="1:8" x14ac:dyDescent="0.35">
      <c r="A52" s="1" t="str">
        <f t="shared" si="0"/>
        <v>13</v>
      </c>
      <c r="B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2" s="1" t="s">
        <v>3045</v>
      </c>
      <c r="D52" s="1" t="s">
        <v>3046</v>
      </c>
      <c r="E52" s="1" t="s">
        <v>3047</v>
      </c>
      <c r="F52" s="1" t="s">
        <v>112</v>
      </c>
      <c r="G52" s="1">
        <v>1999835</v>
      </c>
    </row>
    <row r="53" spans="1:8" x14ac:dyDescent="0.35">
      <c r="A53" s="1" t="str">
        <f t="shared" si="0"/>
        <v>13</v>
      </c>
      <c r="B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3" s="1" t="s">
        <v>3048</v>
      </c>
      <c r="D53" s="1" t="s">
        <v>3049</v>
      </c>
      <c r="E53" s="1" t="s">
        <v>3050</v>
      </c>
      <c r="F53" s="1" t="s">
        <v>112</v>
      </c>
      <c r="G53" s="1">
        <v>1665653</v>
      </c>
    </row>
    <row r="54" spans="1:8" x14ac:dyDescent="0.35">
      <c r="A54" s="1" t="str">
        <f t="shared" si="0"/>
        <v>13</v>
      </c>
      <c r="B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 s="1" t="s">
        <v>3051</v>
      </c>
      <c r="D54" s="1" t="s">
        <v>3052</v>
      </c>
      <c r="E54" s="1" t="s">
        <v>3053</v>
      </c>
      <c r="F54" s="1" t="s">
        <v>112</v>
      </c>
      <c r="G54" s="1">
        <v>2444805</v>
      </c>
    </row>
    <row r="55" spans="1:8" x14ac:dyDescent="0.35">
      <c r="A55" s="1" t="str">
        <f t="shared" si="0"/>
        <v>13</v>
      </c>
      <c r="B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 s="1" t="s">
        <v>3054</v>
      </c>
      <c r="D55" s="1" t="s">
        <v>3055</v>
      </c>
      <c r="E55" s="1" t="s">
        <v>3056</v>
      </c>
      <c r="F55" s="1" t="s">
        <v>112</v>
      </c>
      <c r="G55" s="1">
        <v>2358697</v>
      </c>
    </row>
    <row r="56" spans="1:8" x14ac:dyDescent="0.35">
      <c r="A56" s="1" t="str">
        <f t="shared" si="0"/>
        <v>13</v>
      </c>
      <c r="B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6" s="1" t="s">
        <v>3057</v>
      </c>
      <c r="D56" s="1" t="s">
        <v>3058</v>
      </c>
      <c r="E56" s="1" t="s">
        <v>3059</v>
      </c>
      <c r="F56" s="1" t="s">
        <v>112</v>
      </c>
      <c r="G56" s="1">
        <v>2618839</v>
      </c>
    </row>
    <row r="57" spans="1:8" x14ac:dyDescent="0.35">
      <c r="A57" s="1" t="str">
        <f t="shared" si="0"/>
        <v>13</v>
      </c>
      <c r="B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7" s="1" t="s">
        <v>3060</v>
      </c>
      <c r="D57" s="1" t="s">
        <v>3061</v>
      </c>
      <c r="E57" s="1" t="s">
        <v>3062</v>
      </c>
      <c r="F57" s="1" t="s">
        <v>112</v>
      </c>
      <c r="G57" s="1">
        <v>1021255</v>
      </c>
    </row>
    <row r="58" spans="1:8" x14ac:dyDescent="0.35">
      <c r="A58" s="1" t="str">
        <f t="shared" si="0"/>
        <v>13</v>
      </c>
      <c r="B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 s="1" t="s">
        <v>3063</v>
      </c>
      <c r="D58" s="1" t="s">
        <v>3064</v>
      </c>
      <c r="E58" s="1" t="s">
        <v>3065</v>
      </c>
      <c r="F58" s="1" t="s">
        <v>112</v>
      </c>
      <c r="G58" s="1">
        <v>1714472</v>
      </c>
    </row>
    <row r="59" spans="1:8" x14ac:dyDescent="0.35">
      <c r="A59" s="1" t="str">
        <f t="shared" si="0"/>
        <v>13</v>
      </c>
      <c r="B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9" s="1" t="s">
        <v>3066</v>
      </c>
      <c r="D59" s="1" t="s">
        <v>3067</v>
      </c>
      <c r="E59" s="1" t="s">
        <v>3068</v>
      </c>
      <c r="F59" s="1" t="s">
        <v>112</v>
      </c>
      <c r="G59" s="1">
        <v>1342503</v>
      </c>
    </row>
    <row r="60" spans="1:8" x14ac:dyDescent="0.35">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 s="1" t="s">
        <v>112</v>
      </c>
    </row>
    <row r="61" spans="1:8" x14ac:dyDescent="0.35">
      <c r="A61" s="1" t="str">
        <f t="shared" si="0"/>
        <v/>
      </c>
      <c r="B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1" s="1" t="s">
        <v>239</v>
      </c>
      <c r="D61" s="1" t="s">
        <v>112</v>
      </c>
      <c r="E61" s="1" t="s">
        <v>240</v>
      </c>
      <c r="F61" s="1" t="s">
        <v>241</v>
      </c>
      <c r="G61" s="1" t="s">
        <v>242</v>
      </c>
      <c r="H61" s="1" t="s">
        <v>243</v>
      </c>
    </row>
    <row r="62" spans="1:8" x14ac:dyDescent="0.35">
      <c r="A62" s="1" t="str">
        <f t="shared" si="0"/>
        <v>13</v>
      </c>
      <c r="B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2" s="1" t="s">
        <v>3069</v>
      </c>
      <c r="D62" s="1" t="s">
        <v>112</v>
      </c>
      <c r="E62" s="1" t="s">
        <v>3070</v>
      </c>
      <c r="F62" s="1" t="s">
        <v>3071</v>
      </c>
      <c r="G62" s="1" t="s">
        <v>3072</v>
      </c>
      <c r="H62" s="1" t="s">
        <v>3073</v>
      </c>
    </row>
    <row r="63" spans="1:8" x14ac:dyDescent="0.35">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3" s="1" t="s">
        <v>112</v>
      </c>
    </row>
    <row r="64" spans="1:8" x14ac:dyDescent="0.35">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4" s="1" t="s">
        <v>112</v>
      </c>
    </row>
    <row r="65" spans="1:7" x14ac:dyDescent="0.35">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 s="1" t="s">
        <v>112</v>
      </c>
    </row>
    <row r="66" spans="1:7" x14ac:dyDescent="0.35">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 s="1" t="s">
        <v>112</v>
      </c>
    </row>
    <row r="67" spans="1:7" x14ac:dyDescent="0.35">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7" s="1" t="s">
        <v>112</v>
      </c>
    </row>
    <row r="68" spans="1:7" x14ac:dyDescent="0.35">
      <c r="A68" s="1" t="str">
        <f t="shared" si="1"/>
        <v/>
      </c>
      <c r="B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 s="1" t="s">
        <v>172</v>
      </c>
      <c r="D68" s="1" t="s">
        <v>110</v>
      </c>
      <c r="E68" s="1" t="s">
        <v>111</v>
      </c>
      <c r="F68" s="1" t="s">
        <v>112</v>
      </c>
      <c r="G68" s="1" t="s">
        <v>113</v>
      </c>
    </row>
    <row r="69" spans="1:7" x14ac:dyDescent="0.35">
      <c r="A69" s="1" t="str">
        <f t="shared" si="1"/>
        <v>14</v>
      </c>
      <c r="B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9" s="1" t="s">
        <v>3074</v>
      </c>
      <c r="D69" s="1" t="s">
        <v>3075</v>
      </c>
      <c r="E69" s="1" t="s">
        <v>3076</v>
      </c>
      <c r="F69" s="1" t="s">
        <v>112</v>
      </c>
      <c r="G69" s="1">
        <v>811727</v>
      </c>
    </row>
    <row r="70" spans="1:7" x14ac:dyDescent="0.35">
      <c r="A70" s="1" t="str">
        <f t="shared" si="1"/>
        <v>14</v>
      </c>
      <c r="B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 s="1" t="s">
        <v>3077</v>
      </c>
      <c r="D70" s="1" t="s">
        <v>3078</v>
      </c>
      <c r="E70" s="1" t="s">
        <v>3079</v>
      </c>
      <c r="F70" s="1" t="s">
        <v>112</v>
      </c>
      <c r="G70" s="1">
        <v>812116</v>
      </c>
    </row>
    <row r="71" spans="1:7" x14ac:dyDescent="0.35">
      <c r="A71" s="1" t="str">
        <f t="shared" si="1"/>
        <v>14</v>
      </c>
      <c r="B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1" s="1" t="s">
        <v>3080</v>
      </c>
      <c r="D71" s="1" t="s">
        <v>1329</v>
      </c>
      <c r="E71" s="1" t="s">
        <v>3081</v>
      </c>
      <c r="F71" s="1" t="s">
        <v>112</v>
      </c>
      <c r="G71" s="1">
        <v>791092</v>
      </c>
    </row>
    <row r="72" spans="1:7" x14ac:dyDescent="0.35">
      <c r="A72" s="1" t="str">
        <f t="shared" si="1"/>
        <v>14</v>
      </c>
      <c r="B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2" s="1" t="s">
        <v>3082</v>
      </c>
      <c r="D72" s="1" t="s">
        <v>1691</v>
      </c>
      <c r="E72" s="1" t="s">
        <v>3083</v>
      </c>
      <c r="F72" s="1" t="s">
        <v>112</v>
      </c>
      <c r="G72" s="1">
        <v>2324132</v>
      </c>
    </row>
    <row r="73" spans="1:7" x14ac:dyDescent="0.35">
      <c r="A73" s="1" t="str">
        <f t="shared" si="1"/>
        <v>14</v>
      </c>
      <c r="B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3" s="1" t="s">
        <v>3084</v>
      </c>
      <c r="D73" s="1" t="s">
        <v>3085</v>
      </c>
      <c r="E73" s="1" t="s">
        <v>3086</v>
      </c>
      <c r="F73" s="1" t="s">
        <v>112</v>
      </c>
      <c r="G73" s="1">
        <v>2062410</v>
      </c>
    </row>
    <row r="74" spans="1:7" x14ac:dyDescent="0.35">
      <c r="A74" s="1" t="str">
        <f t="shared" si="1"/>
        <v>14</v>
      </c>
      <c r="B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4" s="1" t="s">
        <v>3087</v>
      </c>
      <c r="D74" s="1" t="s">
        <v>3088</v>
      </c>
      <c r="E74" s="1" t="s">
        <v>3089</v>
      </c>
      <c r="F74" s="1" t="s">
        <v>112</v>
      </c>
      <c r="G74" s="1">
        <v>2024017</v>
      </c>
    </row>
    <row r="75" spans="1:7" x14ac:dyDescent="0.35">
      <c r="A75" s="1" t="str">
        <f t="shared" si="1"/>
        <v>14</v>
      </c>
      <c r="B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5" s="1" t="s">
        <v>3090</v>
      </c>
      <c r="D75" s="1" t="s">
        <v>3091</v>
      </c>
      <c r="E75" s="1" t="s">
        <v>3092</v>
      </c>
      <c r="F75" s="1" t="s">
        <v>112</v>
      </c>
      <c r="G75" s="1">
        <v>1184388</v>
      </c>
    </row>
    <row r="76" spans="1:7" x14ac:dyDescent="0.35">
      <c r="A76" s="1" t="str">
        <f t="shared" si="1"/>
        <v>14</v>
      </c>
      <c r="B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6" s="1" t="s">
        <v>3093</v>
      </c>
      <c r="D76" s="1" t="s">
        <v>3094</v>
      </c>
      <c r="E76" s="1" t="s">
        <v>3095</v>
      </c>
      <c r="F76" s="1" t="s">
        <v>112</v>
      </c>
      <c r="G76" s="1">
        <v>1662214</v>
      </c>
    </row>
    <row r="77" spans="1:7" x14ac:dyDescent="0.35">
      <c r="A77" s="1" t="str">
        <f t="shared" si="1"/>
        <v>14</v>
      </c>
      <c r="B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7" s="1" t="s">
        <v>3096</v>
      </c>
      <c r="D77" s="1" t="s">
        <v>2061</v>
      </c>
      <c r="E77" s="1" t="s">
        <v>3097</v>
      </c>
      <c r="F77" s="1" t="s">
        <v>112</v>
      </c>
      <c r="G77" s="1">
        <v>1652589</v>
      </c>
    </row>
    <row r="78" spans="1:7" x14ac:dyDescent="0.35">
      <c r="A78" s="1" t="str">
        <f t="shared" si="1"/>
        <v>14</v>
      </c>
      <c r="B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8" s="1" t="s">
        <v>3098</v>
      </c>
      <c r="D78" s="1" t="s">
        <v>3099</v>
      </c>
      <c r="E78" s="1" t="s">
        <v>3100</v>
      </c>
      <c r="F78" s="1" t="s">
        <v>112</v>
      </c>
      <c r="G78" s="1">
        <v>3511743</v>
      </c>
    </row>
    <row r="79" spans="1:7" x14ac:dyDescent="0.35">
      <c r="A79" s="1" t="str">
        <f t="shared" si="1"/>
        <v>14</v>
      </c>
      <c r="B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9" s="1" t="s">
        <v>3101</v>
      </c>
      <c r="D79" s="1" t="s">
        <v>400</v>
      </c>
      <c r="E79" s="1" t="s">
        <v>3102</v>
      </c>
      <c r="F79" s="1" t="s">
        <v>112</v>
      </c>
      <c r="G79" s="1">
        <v>3314197</v>
      </c>
    </row>
    <row r="80" spans="1:7" x14ac:dyDescent="0.35">
      <c r="A80" s="1" t="str">
        <f t="shared" si="1"/>
        <v>14</v>
      </c>
      <c r="B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80" s="1" t="s">
        <v>3103</v>
      </c>
      <c r="D80" s="1" t="s">
        <v>3104</v>
      </c>
      <c r="E80" s="1" t="s">
        <v>3105</v>
      </c>
      <c r="F80" s="1" t="s">
        <v>112</v>
      </c>
      <c r="G80" s="1">
        <v>3546762</v>
      </c>
    </row>
    <row r="81" spans="1:8" x14ac:dyDescent="0.35">
      <c r="A81" s="1" t="str">
        <f t="shared" si="1"/>
        <v>14</v>
      </c>
      <c r="B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1" s="1" t="s">
        <v>3106</v>
      </c>
      <c r="D81" s="1" t="s">
        <v>3107</v>
      </c>
      <c r="E81" s="1" t="s">
        <v>3108</v>
      </c>
      <c r="F81" s="1" t="s">
        <v>112</v>
      </c>
      <c r="G81" s="1">
        <v>781207</v>
      </c>
    </row>
    <row r="82" spans="1:8" x14ac:dyDescent="0.35">
      <c r="A82" s="1" t="str">
        <f t="shared" si="1"/>
        <v>14</v>
      </c>
      <c r="B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2" s="1" t="s">
        <v>3109</v>
      </c>
      <c r="D82" s="1" t="s">
        <v>1694</v>
      </c>
      <c r="E82" s="1" t="s">
        <v>3110</v>
      </c>
      <c r="F82" s="1" t="s">
        <v>112</v>
      </c>
      <c r="G82" s="1">
        <v>631939</v>
      </c>
    </row>
    <row r="83" spans="1:8" x14ac:dyDescent="0.35">
      <c r="A83" s="1" t="str">
        <f t="shared" si="1"/>
        <v>14</v>
      </c>
      <c r="B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3" s="1" t="s">
        <v>3111</v>
      </c>
      <c r="D83" s="1" t="s">
        <v>3112</v>
      </c>
      <c r="E83" s="1" t="s">
        <v>3113</v>
      </c>
      <c r="F83" s="1" t="s">
        <v>112</v>
      </c>
      <c r="G83" s="1">
        <v>1463133</v>
      </c>
    </row>
    <row r="84" spans="1:8" x14ac:dyDescent="0.35">
      <c r="A84" s="1" t="str">
        <f t="shared" si="1"/>
        <v>14</v>
      </c>
      <c r="B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 s="1" t="s">
        <v>3114</v>
      </c>
      <c r="D84" s="1" t="s">
        <v>3115</v>
      </c>
      <c r="E84" s="1" t="s">
        <v>3116</v>
      </c>
      <c r="F84" s="1" t="s">
        <v>112</v>
      </c>
      <c r="G84" s="1">
        <v>4219084</v>
      </c>
    </row>
    <row r="85" spans="1:8" x14ac:dyDescent="0.35">
      <c r="A85" s="1" t="str">
        <f t="shared" si="1"/>
        <v>14</v>
      </c>
      <c r="B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5" s="1" t="s">
        <v>3117</v>
      </c>
      <c r="D85" s="1" t="s">
        <v>3118</v>
      </c>
      <c r="E85" s="1" t="s">
        <v>3119</v>
      </c>
      <c r="F85" s="1" t="s">
        <v>112</v>
      </c>
      <c r="G85" s="1">
        <v>3802298</v>
      </c>
    </row>
    <row r="86" spans="1:8" x14ac:dyDescent="0.35">
      <c r="A86" s="1" t="str">
        <f t="shared" si="1"/>
        <v>14</v>
      </c>
      <c r="B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6" s="1" t="s">
        <v>3120</v>
      </c>
      <c r="D86" s="1" t="s">
        <v>3121</v>
      </c>
      <c r="E86" s="1" t="s">
        <v>3122</v>
      </c>
      <c r="F86" s="1" t="s">
        <v>112</v>
      </c>
      <c r="G86" s="1">
        <v>3686145</v>
      </c>
    </row>
    <row r="87" spans="1:8" x14ac:dyDescent="0.35">
      <c r="A87" s="1" t="str">
        <f t="shared" si="1"/>
        <v>14</v>
      </c>
      <c r="B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7" s="1" t="s">
        <v>3123</v>
      </c>
      <c r="D87" s="1" t="s">
        <v>3124</v>
      </c>
      <c r="E87" s="1" t="s">
        <v>3125</v>
      </c>
      <c r="F87" s="1" t="s">
        <v>112</v>
      </c>
      <c r="G87" s="1">
        <v>2327593</v>
      </c>
    </row>
    <row r="88" spans="1:8" x14ac:dyDescent="0.35">
      <c r="A88" s="1" t="str">
        <f t="shared" si="1"/>
        <v>14</v>
      </c>
      <c r="B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8" s="1" t="s">
        <v>3126</v>
      </c>
      <c r="D88" s="1" t="s">
        <v>2782</v>
      </c>
      <c r="E88" s="1" t="s">
        <v>3127</v>
      </c>
      <c r="F88" s="1" t="s">
        <v>112</v>
      </c>
      <c r="G88" s="1">
        <v>2044414</v>
      </c>
    </row>
    <row r="89" spans="1:8" x14ac:dyDescent="0.35">
      <c r="A89" s="1" t="str">
        <f t="shared" si="1"/>
        <v>14</v>
      </c>
      <c r="B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9" s="1" t="s">
        <v>3128</v>
      </c>
      <c r="D89" s="1" t="s">
        <v>3129</v>
      </c>
      <c r="E89" s="1" t="s">
        <v>3130</v>
      </c>
      <c r="F89" s="1" t="s">
        <v>112</v>
      </c>
      <c r="G89" s="1">
        <v>2092389</v>
      </c>
    </row>
    <row r="90" spans="1:8" x14ac:dyDescent="0.35">
      <c r="A90" s="1" t="str">
        <f t="shared" si="1"/>
        <v>14</v>
      </c>
      <c r="B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0" s="1" t="s">
        <v>3131</v>
      </c>
      <c r="D90" s="1" t="s">
        <v>3132</v>
      </c>
      <c r="E90" s="1" t="s">
        <v>3133</v>
      </c>
      <c r="F90" s="1" t="s">
        <v>112</v>
      </c>
      <c r="G90" s="1">
        <v>2493667</v>
      </c>
    </row>
    <row r="91" spans="1:8" x14ac:dyDescent="0.35">
      <c r="A91" s="1" t="str">
        <f t="shared" si="1"/>
        <v>14</v>
      </c>
      <c r="B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1" s="1" t="s">
        <v>3134</v>
      </c>
      <c r="D91" s="1" t="s">
        <v>2287</v>
      </c>
      <c r="E91" s="1" t="s">
        <v>3135</v>
      </c>
      <c r="F91" s="1" t="s">
        <v>112</v>
      </c>
      <c r="G91" s="1">
        <v>2338862</v>
      </c>
    </row>
    <row r="92" spans="1:8" x14ac:dyDescent="0.35">
      <c r="A92" s="1" t="str">
        <f t="shared" si="1"/>
        <v>14</v>
      </c>
      <c r="B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2" s="1" t="s">
        <v>3136</v>
      </c>
      <c r="D92" s="1" t="s">
        <v>3137</v>
      </c>
      <c r="E92" s="1" t="s">
        <v>3138</v>
      </c>
      <c r="F92" s="1" t="s">
        <v>112</v>
      </c>
      <c r="G92" s="1">
        <v>2524771</v>
      </c>
    </row>
    <row r="93" spans="1:8" x14ac:dyDescent="0.35">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3" s="1" t="s">
        <v>112</v>
      </c>
    </row>
    <row r="94" spans="1:8" x14ac:dyDescent="0.35">
      <c r="A94" s="1" t="str">
        <f t="shared" si="1"/>
        <v/>
      </c>
      <c r="B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4" s="1" t="s">
        <v>239</v>
      </c>
      <c r="D94" s="1" t="s">
        <v>112</v>
      </c>
      <c r="E94" s="1" t="s">
        <v>240</v>
      </c>
      <c r="F94" s="1" t="s">
        <v>241</v>
      </c>
      <c r="G94" s="1" t="s">
        <v>242</v>
      </c>
      <c r="H94" s="1" t="s">
        <v>243</v>
      </c>
    </row>
    <row r="95" spans="1:8" x14ac:dyDescent="0.35">
      <c r="A95" s="1" t="str">
        <f t="shared" si="1"/>
        <v>14</v>
      </c>
      <c r="B9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95" s="1" t="s">
        <v>3139</v>
      </c>
      <c r="D95" s="1" t="s">
        <v>112</v>
      </c>
      <c r="E95" s="1" t="s">
        <v>3140</v>
      </c>
      <c r="F95" s="1" t="s">
        <v>3141</v>
      </c>
      <c r="G95" s="1" t="s">
        <v>3142</v>
      </c>
      <c r="H95" s="1" t="s">
        <v>3143</v>
      </c>
    </row>
    <row r="96" spans="1:8" x14ac:dyDescent="0.35">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6" s="1" t="s">
        <v>112</v>
      </c>
    </row>
    <row r="97" spans="1:7" x14ac:dyDescent="0.35">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7" s="1" t="s">
        <v>112</v>
      </c>
    </row>
    <row r="98" spans="1:7" x14ac:dyDescent="0.35">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8" s="1" t="s">
        <v>112</v>
      </c>
    </row>
    <row r="99" spans="1:7" x14ac:dyDescent="0.35">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9" s="1" t="s">
        <v>112</v>
      </c>
    </row>
    <row r="100" spans="1:7" x14ac:dyDescent="0.35">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00" s="1" t="s">
        <v>112</v>
      </c>
    </row>
    <row r="101" spans="1:7" x14ac:dyDescent="0.35">
      <c r="A101" s="1" t="str">
        <f t="shared" si="1"/>
        <v/>
      </c>
      <c r="B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01" s="1" t="s">
        <v>172</v>
      </c>
      <c r="D101" s="1" t="s">
        <v>110</v>
      </c>
      <c r="E101" s="1" t="s">
        <v>111</v>
      </c>
      <c r="F101" s="1" t="s">
        <v>112</v>
      </c>
      <c r="G101" s="1" t="s">
        <v>113</v>
      </c>
    </row>
    <row r="102" spans="1:7" x14ac:dyDescent="0.35">
      <c r="A102" s="1" t="str">
        <f t="shared" si="1"/>
        <v>15</v>
      </c>
      <c r="B1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2" s="1" t="s">
        <v>3144</v>
      </c>
      <c r="D102" s="1" t="s">
        <v>3145</v>
      </c>
      <c r="E102" s="1" t="s">
        <v>3146</v>
      </c>
      <c r="F102" s="1" t="s">
        <v>112</v>
      </c>
      <c r="G102" s="1">
        <v>4241904</v>
      </c>
    </row>
    <row r="103" spans="1:7" x14ac:dyDescent="0.35">
      <c r="A103" s="1" t="str">
        <f t="shared" si="1"/>
        <v>15</v>
      </c>
      <c r="B1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3" s="1" t="s">
        <v>3147</v>
      </c>
      <c r="D103" s="1" t="s">
        <v>3148</v>
      </c>
      <c r="E103" s="1" t="s">
        <v>3149</v>
      </c>
      <c r="F103" s="1" t="s">
        <v>112</v>
      </c>
      <c r="G103" s="1">
        <v>3794121</v>
      </c>
    </row>
    <row r="104" spans="1:7" x14ac:dyDescent="0.35">
      <c r="A104" s="1" t="str">
        <f t="shared" si="1"/>
        <v>15</v>
      </c>
      <c r="B1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4" s="1" t="s">
        <v>3150</v>
      </c>
      <c r="D104" s="1" t="s">
        <v>3151</v>
      </c>
      <c r="E104" s="1" t="s">
        <v>3152</v>
      </c>
      <c r="F104" s="1" t="s">
        <v>112</v>
      </c>
      <c r="G104" s="1">
        <v>3773789</v>
      </c>
    </row>
    <row r="105" spans="1:7" x14ac:dyDescent="0.35">
      <c r="A105" s="1" t="str">
        <f t="shared" si="1"/>
        <v>15</v>
      </c>
      <c r="B1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5" s="1" t="s">
        <v>3153</v>
      </c>
      <c r="D105" s="1" t="s">
        <v>3154</v>
      </c>
      <c r="E105" s="1" t="s">
        <v>3155</v>
      </c>
      <c r="F105" s="1" t="s">
        <v>112</v>
      </c>
      <c r="G105" s="1">
        <v>3449838</v>
      </c>
    </row>
    <row r="106" spans="1:7" x14ac:dyDescent="0.35">
      <c r="A106" s="1" t="str">
        <f t="shared" si="1"/>
        <v>15</v>
      </c>
      <c r="B1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6" s="1" t="s">
        <v>3156</v>
      </c>
      <c r="D106" s="1" t="s">
        <v>3157</v>
      </c>
      <c r="E106" s="1" t="s">
        <v>3158</v>
      </c>
      <c r="F106" s="1" t="s">
        <v>112</v>
      </c>
      <c r="G106" s="1">
        <v>3062750</v>
      </c>
    </row>
    <row r="107" spans="1:7" x14ac:dyDescent="0.35">
      <c r="A107" s="1" t="str">
        <f t="shared" si="1"/>
        <v>15</v>
      </c>
      <c r="B1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7" s="1" t="s">
        <v>3159</v>
      </c>
      <c r="D107" s="1" t="s">
        <v>3160</v>
      </c>
      <c r="E107" s="1" t="s">
        <v>3161</v>
      </c>
      <c r="F107" s="1" t="s">
        <v>112</v>
      </c>
      <c r="G107" s="1">
        <v>3216063</v>
      </c>
    </row>
    <row r="108" spans="1:7" x14ac:dyDescent="0.35">
      <c r="A108" s="1" t="str">
        <f t="shared" si="1"/>
        <v>15</v>
      </c>
      <c r="B1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8" s="1" t="s">
        <v>3162</v>
      </c>
      <c r="D108" s="1" t="s">
        <v>3163</v>
      </c>
      <c r="E108" s="1" t="s">
        <v>3164</v>
      </c>
      <c r="F108" s="1" t="s">
        <v>112</v>
      </c>
      <c r="G108" s="1">
        <v>2133984</v>
      </c>
    </row>
    <row r="109" spans="1:7" x14ac:dyDescent="0.35">
      <c r="A109" s="1" t="str">
        <f t="shared" si="1"/>
        <v>15</v>
      </c>
      <c r="B1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9" s="1" t="s">
        <v>3165</v>
      </c>
      <c r="D109" s="1" t="s">
        <v>3166</v>
      </c>
      <c r="E109" s="1" t="s">
        <v>3167</v>
      </c>
      <c r="F109" s="1" t="s">
        <v>112</v>
      </c>
      <c r="G109" s="1">
        <v>2592473</v>
      </c>
    </row>
    <row r="110" spans="1:7" x14ac:dyDescent="0.35">
      <c r="A110" s="1" t="str">
        <f t="shared" si="1"/>
        <v>15</v>
      </c>
      <c r="B1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10" s="1" t="s">
        <v>3168</v>
      </c>
      <c r="D110" s="1" t="s">
        <v>3169</v>
      </c>
      <c r="E110" s="1" t="s">
        <v>3170</v>
      </c>
      <c r="F110" s="1" t="s">
        <v>112</v>
      </c>
      <c r="G110" s="1">
        <v>2282927</v>
      </c>
    </row>
    <row r="111" spans="1:7" x14ac:dyDescent="0.35">
      <c r="A111" s="1" t="str">
        <f t="shared" si="1"/>
        <v>15</v>
      </c>
      <c r="B1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1" s="1" t="s">
        <v>3171</v>
      </c>
    </row>
    <row r="112" spans="1:7" x14ac:dyDescent="0.35">
      <c r="A112" s="1" t="str">
        <f t="shared" si="1"/>
        <v>15</v>
      </c>
      <c r="B1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2" s="1" t="s">
        <v>3172</v>
      </c>
    </row>
    <row r="113" spans="1:8" x14ac:dyDescent="0.35">
      <c r="A113" s="1" t="str">
        <f t="shared" si="1"/>
        <v>15</v>
      </c>
      <c r="B1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3" s="1" t="s">
        <v>3173</v>
      </c>
    </row>
    <row r="114" spans="1:8" x14ac:dyDescent="0.35">
      <c r="A114" s="1" t="str">
        <f t="shared" si="1"/>
        <v>15</v>
      </c>
      <c r="B1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4" s="1" t="s">
        <v>3174</v>
      </c>
      <c r="D114" s="1" t="s">
        <v>3175</v>
      </c>
      <c r="E114" s="1" t="s">
        <v>3176</v>
      </c>
      <c r="F114" s="1" t="s">
        <v>112</v>
      </c>
      <c r="G114" s="1">
        <v>3003549</v>
      </c>
    </row>
    <row r="115" spans="1:8" x14ac:dyDescent="0.35">
      <c r="A115" s="1" t="str">
        <f t="shared" si="1"/>
        <v>15</v>
      </c>
      <c r="B1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5" s="1" t="s">
        <v>3177</v>
      </c>
      <c r="D115" s="1" t="s">
        <v>3178</v>
      </c>
      <c r="E115" s="1" t="s">
        <v>3179</v>
      </c>
      <c r="F115" s="1" t="s">
        <v>112</v>
      </c>
      <c r="G115" s="1">
        <v>3531643</v>
      </c>
    </row>
    <row r="116" spans="1:8" x14ac:dyDescent="0.35">
      <c r="A116" s="1" t="str">
        <f t="shared" si="1"/>
        <v>15</v>
      </c>
      <c r="B1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6" s="1" t="s">
        <v>3180</v>
      </c>
      <c r="D116" s="1" t="s">
        <v>3181</v>
      </c>
      <c r="E116" s="1" t="s">
        <v>3182</v>
      </c>
      <c r="F116" s="1" t="s">
        <v>112</v>
      </c>
      <c r="G116" s="1">
        <v>3204166</v>
      </c>
    </row>
    <row r="117" spans="1:8" x14ac:dyDescent="0.35">
      <c r="A117" s="1" t="str">
        <f t="shared" si="1"/>
        <v>15</v>
      </c>
      <c r="B1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7" s="1" t="s">
        <v>3183</v>
      </c>
      <c r="D117" s="1" t="s">
        <v>2316</v>
      </c>
      <c r="E117" s="1" t="s">
        <v>3184</v>
      </c>
      <c r="F117" s="1" t="s">
        <v>112</v>
      </c>
      <c r="G117" s="1">
        <v>2943591</v>
      </c>
    </row>
    <row r="118" spans="1:8" x14ac:dyDescent="0.35">
      <c r="A118" s="1" t="str">
        <f t="shared" si="1"/>
        <v>15</v>
      </c>
      <c r="B1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8" s="1" t="s">
        <v>3185</v>
      </c>
      <c r="D118" s="1" t="s">
        <v>3186</v>
      </c>
      <c r="E118" s="1" t="s">
        <v>3187</v>
      </c>
      <c r="F118" s="1" t="s">
        <v>112</v>
      </c>
      <c r="G118" s="1">
        <v>2910021</v>
      </c>
    </row>
    <row r="119" spans="1:8" x14ac:dyDescent="0.35">
      <c r="A119" s="1" t="str">
        <f t="shared" si="1"/>
        <v>15</v>
      </c>
      <c r="B1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9" s="1" t="s">
        <v>3188</v>
      </c>
      <c r="D119" s="1" t="s">
        <v>3189</v>
      </c>
      <c r="E119" s="1" t="s">
        <v>3190</v>
      </c>
      <c r="F119" s="1" t="s">
        <v>112</v>
      </c>
      <c r="G119" s="1">
        <v>3455765</v>
      </c>
    </row>
    <row r="120" spans="1:8" x14ac:dyDescent="0.35">
      <c r="A120" s="1" t="str">
        <f t="shared" si="1"/>
        <v>15</v>
      </c>
      <c r="B1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0" s="1" t="s">
        <v>3191</v>
      </c>
      <c r="D120" s="1" t="s">
        <v>3192</v>
      </c>
      <c r="E120" s="1" t="s">
        <v>3193</v>
      </c>
      <c r="F120" s="1" t="s">
        <v>112</v>
      </c>
      <c r="G120" s="1">
        <v>3165362</v>
      </c>
    </row>
    <row r="121" spans="1:8" x14ac:dyDescent="0.35">
      <c r="A121" s="1" t="str">
        <f t="shared" si="1"/>
        <v>15</v>
      </c>
      <c r="B1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1" s="1" t="s">
        <v>3194</v>
      </c>
      <c r="D121" s="1" t="s">
        <v>3195</v>
      </c>
      <c r="E121" s="1" t="s">
        <v>3196</v>
      </c>
      <c r="F121" s="1" t="s">
        <v>112</v>
      </c>
      <c r="G121" s="1">
        <v>2897433</v>
      </c>
    </row>
    <row r="122" spans="1:8" x14ac:dyDescent="0.35">
      <c r="A122" s="1" t="str">
        <f t="shared" si="1"/>
        <v>15</v>
      </c>
      <c r="B1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2" s="1" t="s">
        <v>3197</v>
      </c>
      <c r="D122" s="1" t="s">
        <v>3198</v>
      </c>
      <c r="E122" s="1" t="s">
        <v>3199</v>
      </c>
      <c r="F122" s="1" t="s">
        <v>112</v>
      </c>
      <c r="G122" s="1">
        <v>2946273</v>
      </c>
    </row>
    <row r="123" spans="1:8" x14ac:dyDescent="0.35">
      <c r="A123" s="1" t="str">
        <f t="shared" si="1"/>
        <v>15</v>
      </c>
      <c r="B1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3" s="1" t="s">
        <v>3200</v>
      </c>
      <c r="D123" s="1" t="s">
        <v>3201</v>
      </c>
      <c r="E123" s="1" t="s">
        <v>3202</v>
      </c>
      <c r="F123" s="1" t="s">
        <v>112</v>
      </c>
      <c r="G123" s="1">
        <v>3477157</v>
      </c>
    </row>
    <row r="124" spans="1:8" x14ac:dyDescent="0.35">
      <c r="A124" s="1" t="str">
        <f t="shared" si="1"/>
        <v>15</v>
      </c>
      <c r="B1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4" s="1" t="s">
        <v>3203</v>
      </c>
      <c r="D124" s="1" t="s">
        <v>3204</v>
      </c>
      <c r="E124" s="1" t="s">
        <v>3205</v>
      </c>
      <c r="F124" s="1" t="s">
        <v>112</v>
      </c>
      <c r="G124" s="1">
        <v>3588508</v>
      </c>
    </row>
    <row r="125" spans="1:8" x14ac:dyDescent="0.35">
      <c r="A125" s="1" t="str">
        <f t="shared" si="1"/>
        <v>15</v>
      </c>
      <c r="B1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5" s="1" t="s">
        <v>3206</v>
      </c>
      <c r="D125" s="1" t="s">
        <v>3207</v>
      </c>
      <c r="E125" s="1" t="s">
        <v>3208</v>
      </c>
      <c r="F125" s="1" t="s">
        <v>112</v>
      </c>
      <c r="G125" s="1">
        <v>3768274</v>
      </c>
    </row>
    <row r="126" spans="1:8" x14ac:dyDescent="0.35">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6" s="1" t="s">
        <v>112</v>
      </c>
    </row>
    <row r="127" spans="1:8" x14ac:dyDescent="0.35">
      <c r="A127" s="1" t="str">
        <f t="shared" si="1"/>
        <v/>
      </c>
      <c r="B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7" s="1" t="s">
        <v>239</v>
      </c>
      <c r="D127" s="1" t="s">
        <v>112</v>
      </c>
      <c r="E127" s="1" t="s">
        <v>240</v>
      </c>
      <c r="F127" s="1" t="s">
        <v>241</v>
      </c>
      <c r="G127" s="1" t="s">
        <v>242</v>
      </c>
      <c r="H127" s="1" t="s">
        <v>243</v>
      </c>
    </row>
    <row r="128" spans="1:8" x14ac:dyDescent="0.35">
      <c r="A128" s="1" t="str">
        <f t="shared" si="1"/>
        <v>15</v>
      </c>
      <c r="B1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28" s="1" t="s">
        <v>3209</v>
      </c>
      <c r="D128" s="1" t="s">
        <v>112</v>
      </c>
      <c r="E128" s="1" t="s">
        <v>3210</v>
      </c>
      <c r="F128" s="1" t="s">
        <v>3211</v>
      </c>
      <c r="G128" s="1" t="s">
        <v>3212</v>
      </c>
      <c r="H128" s="1" t="s">
        <v>3213</v>
      </c>
    </row>
    <row r="129" spans="1:7" x14ac:dyDescent="0.35">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9" s="1" t="s">
        <v>112</v>
      </c>
    </row>
    <row r="130" spans="1:7" x14ac:dyDescent="0.35">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0" s="1" t="s">
        <v>112</v>
      </c>
    </row>
    <row r="131" spans="1:7" x14ac:dyDescent="0.35">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1" s="1" t="s">
        <v>112</v>
      </c>
    </row>
    <row r="132" spans="1:7" x14ac:dyDescent="0.35">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2" s="1" t="s">
        <v>112</v>
      </c>
    </row>
    <row r="133" spans="1:7" x14ac:dyDescent="0.35">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3" s="1" t="s">
        <v>112</v>
      </c>
    </row>
    <row r="134" spans="1:7" x14ac:dyDescent="0.35">
      <c r="A134" s="1" t="str">
        <f t="shared" si="2"/>
        <v/>
      </c>
      <c r="B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4" s="1" t="s">
        <v>172</v>
      </c>
      <c r="D134" s="1" t="s">
        <v>110</v>
      </c>
      <c r="E134" s="1" t="s">
        <v>111</v>
      </c>
      <c r="F134" s="1" t="s">
        <v>112</v>
      </c>
      <c r="G134" s="1" t="s">
        <v>113</v>
      </c>
    </row>
    <row r="135" spans="1:7" x14ac:dyDescent="0.35">
      <c r="A135" s="1" t="str">
        <f t="shared" si="2"/>
        <v>16</v>
      </c>
      <c r="B1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5" s="1" t="s">
        <v>3214</v>
      </c>
      <c r="D135" s="1" t="s">
        <v>2369</v>
      </c>
      <c r="E135" s="1">
        <v>30</v>
      </c>
      <c r="F135" s="1" t="s">
        <v>112</v>
      </c>
      <c r="G135" s="1">
        <v>3893</v>
      </c>
    </row>
    <row r="136" spans="1:7" x14ac:dyDescent="0.35">
      <c r="A136" s="1" t="str">
        <f t="shared" si="2"/>
        <v>16</v>
      </c>
      <c r="B1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6" s="1" t="s">
        <v>3215</v>
      </c>
    </row>
    <row r="137" spans="1:7" x14ac:dyDescent="0.35">
      <c r="A137" s="1" t="str">
        <f t="shared" si="2"/>
        <v>16</v>
      </c>
      <c r="B1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7" s="1" t="s">
        <v>3216</v>
      </c>
    </row>
    <row r="138" spans="1:7" x14ac:dyDescent="0.35">
      <c r="A138" s="1" t="str">
        <f t="shared" si="2"/>
        <v>16</v>
      </c>
      <c r="B1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8" s="1" t="s">
        <v>3217</v>
      </c>
      <c r="D138" s="1" t="s">
        <v>2458</v>
      </c>
      <c r="E138" s="1" t="s">
        <v>3218</v>
      </c>
      <c r="F138" s="1" t="s">
        <v>112</v>
      </c>
      <c r="G138" s="1">
        <v>126621</v>
      </c>
    </row>
    <row r="139" spans="1:7" x14ac:dyDescent="0.35">
      <c r="A139" s="1" t="str">
        <f t="shared" si="2"/>
        <v>16</v>
      </c>
      <c r="B1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9" s="1" t="s">
        <v>3219</v>
      </c>
      <c r="D139" s="1" t="s">
        <v>1010</v>
      </c>
      <c r="E139" s="1" t="s">
        <v>3220</v>
      </c>
      <c r="F139" s="1" t="s">
        <v>112</v>
      </c>
      <c r="G139" s="1">
        <v>272991</v>
      </c>
    </row>
    <row r="140" spans="1:7" x14ac:dyDescent="0.35">
      <c r="A140" s="1" t="str">
        <f t="shared" si="2"/>
        <v>16</v>
      </c>
      <c r="B1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40" s="1" t="s">
        <v>3221</v>
      </c>
      <c r="D140" s="1" t="s">
        <v>641</v>
      </c>
      <c r="E140" s="1" t="s">
        <v>3222</v>
      </c>
      <c r="F140" s="1" t="s">
        <v>112</v>
      </c>
      <c r="G140" s="1">
        <v>151128</v>
      </c>
    </row>
    <row r="141" spans="1:7" x14ac:dyDescent="0.35">
      <c r="A141" s="1" t="str">
        <f t="shared" si="2"/>
        <v>16</v>
      </c>
      <c r="B1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1" s="1" t="s">
        <v>3223</v>
      </c>
      <c r="D141" s="1" t="s">
        <v>1185</v>
      </c>
      <c r="E141" s="1" t="s">
        <v>3224</v>
      </c>
      <c r="F141" s="1" t="s">
        <v>112</v>
      </c>
      <c r="G141" s="1">
        <v>317375</v>
      </c>
    </row>
    <row r="142" spans="1:7" x14ac:dyDescent="0.35">
      <c r="A142" s="1" t="str">
        <f t="shared" si="2"/>
        <v>16</v>
      </c>
      <c r="B1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2" s="1" t="s">
        <v>3225</v>
      </c>
      <c r="D142" s="1" t="s">
        <v>213</v>
      </c>
      <c r="E142" s="1" t="s">
        <v>3226</v>
      </c>
      <c r="F142" s="1" t="s">
        <v>112</v>
      </c>
      <c r="G142" s="1">
        <v>335545</v>
      </c>
    </row>
    <row r="143" spans="1:7" x14ac:dyDescent="0.35">
      <c r="A143" s="1" t="str">
        <f t="shared" si="2"/>
        <v>16</v>
      </c>
      <c r="B1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3" s="1" t="s">
        <v>3227</v>
      </c>
      <c r="D143" s="1" t="s">
        <v>3228</v>
      </c>
      <c r="E143" s="1" t="s">
        <v>3229</v>
      </c>
      <c r="F143" s="1" t="s">
        <v>112</v>
      </c>
      <c r="G143" s="1">
        <v>204273</v>
      </c>
    </row>
    <row r="144" spans="1:7" x14ac:dyDescent="0.35">
      <c r="A144" s="1" t="str">
        <f t="shared" si="2"/>
        <v>16</v>
      </c>
      <c r="B1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4" s="1" t="s">
        <v>3230</v>
      </c>
      <c r="D144" s="1" t="s">
        <v>959</v>
      </c>
      <c r="E144" s="1" t="s">
        <v>3231</v>
      </c>
      <c r="F144" s="1" t="s">
        <v>112</v>
      </c>
      <c r="G144" s="1">
        <v>304160</v>
      </c>
    </row>
    <row r="145" spans="1:8" x14ac:dyDescent="0.35">
      <c r="A145" s="1" t="str">
        <f t="shared" si="2"/>
        <v>16</v>
      </c>
      <c r="B1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5" s="1" t="s">
        <v>3232</v>
      </c>
      <c r="D145" s="1" t="s">
        <v>3233</v>
      </c>
      <c r="E145" s="1" t="s">
        <v>3234</v>
      </c>
      <c r="F145" s="1" t="s">
        <v>112</v>
      </c>
      <c r="G145" s="1">
        <v>639336</v>
      </c>
    </row>
    <row r="146" spans="1:8" x14ac:dyDescent="0.35">
      <c r="A146" s="1" t="str">
        <f t="shared" si="2"/>
        <v>16</v>
      </c>
      <c r="B1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6" s="1" t="s">
        <v>3235</v>
      </c>
      <c r="D146" s="1" t="s">
        <v>1918</v>
      </c>
      <c r="E146" s="1" t="s">
        <v>2911</v>
      </c>
      <c r="F146" s="1" t="s">
        <v>112</v>
      </c>
      <c r="G146" s="1">
        <v>154827</v>
      </c>
    </row>
    <row r="147" spans="1:8" x14ac:dyDescent="0.35">
      <c r="A147" s="1" t="str">
        <f t="shared" si="2"/>
        <v>16</v>
      </c>
      <c r="B1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7" s="1" t="s">
        <v>3236</v>
      </c>
      <c r="D147" s="1" t="s">
        <v>653</v>
      </c>
      <c r="E147" s="1" t="s">
        <v>3237</v>
      </c>
      <c r="F147" s="1" t="s">
        <v>112</v>
      </c>
      <c r="G147" s="1">
        <v>547712</v>
      </c>
    </row>
    <row r="148" spans="1:8" x14ac:dyDescent="0.35">
      <c r="A148" s="1" t="str">
        <f t="shared" si="2"/>
        <v>16</v>
      </c>
      <c r="B1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8" s="1" t="s">
        <v>3238</v>
      </c>
      <c r="D148" s="1" t="s">
        <v>3239</v>
      </c>
      <c r="E148" s="1" t="s">
        <v>3240</v>
      </c>
      <c r="F148" s="1" t="s">
        <v>112</v>
      </c>
      <c r="G148" s="1">
        <v>375322</v>
      </c>
    </row>
    <row r="149" spans="1:8" x14ac:dyDescent="0.35">
      <c r="A149" s="1" t="str">
        <f t="shared" si="2"/>
        <v>16</v>
      </c>
      <c r="B1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9" s="1" t="s">
        <v>3241</v>
      </c>
      <c r="D149" s="1" t="s">
        <v>3242</v>
      </c>
      <c r="E149" s="1" t="s">
        <v>3243</v>
      </c>
      <c r="F149" s="1" t="s">
        <v>112</v>
      </c>
      <c r="G149" s="1">
        <v>376750</v>
      </c>
    </row>
    <row r="150" spans="1:8" x14ac:dyDescent="0.35">
      <c r="A150" s="1" t="str">
        <f t="shared" si="2"/>
        <v>16</v>
      </c>
      <c r="B1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0" s="1" t="s">
        <v>3244</v>
      </c>
      <c r="D150" s="1" t="s">
        <v>1095</v>
      </c>
      <c r="E150" s="1" t="s">
        <v>3245</v>
      </c>
      <c r="F150" s="1" t="s">
        <v>112</v>
      </c>
      <c r="G150" s="1">
        <v>228304</v>
      </c>
    </row>
    <row r="151" spans="1:8" x14ac:dyDescent="0.35">
      <c r="A151" s="1" t="str">
        <f t="shared" si="2"/>
        <v>16</v>
      </c>
      <c r="B1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1" s="1" t="s">
        <v>3246</v>
      </c>
      <c r="D151" s="1" t="s">
        <v>2453</v>
      </c>
      <c r="E151" s="1" t="s">
        <v>3247</v>
      </c>
      <c r="F151" s="1" t="s">
        <v>112</v>
      </c>
      <c r="G151" s="1">
        <v>151258</v>
      </c>
    </row>
    <row r="152" spans="1:8" x14ac:dyDescent="0.35">
      <c r="A152" s="1" t="str">
        <f t="shared" si="2"/>
        <v>16</v>
      </c>
      <c r="B1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2" s="1" t="s">
        <v>3248</v>
      </c>
      <c r="D152" s="1" t="s">
        <v>1536</v>
      </c>
      <c r="E152" s="1" t="s">
        <v>3249</v>
      </c>
      <c r="F152" s="1" t="s">
        <v>112</v>
      </c>
      <c r="G152" s="1">
        <v>83448</v>
      </c>
    </row>
    <row r="153" spans="1:8" x14ac:dyDescent="0.35">
      <c r="A153" s="1" t="str">
        <f t="shared" si="2"/>
        <v>16</v>
      </c>
      <c r="B1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3" s="1" t="s">
        <v>3250</v>
      </c>
      <c r="D153" s="1" t="s">
        <v>485</v>
      </c>
      <c r="E153" s="1" t="s">
        <v>3251</v>
      </c>
      <c r="F153" s="1" t="s">
        <v>112</v>
      </c>
      <c r="G153" s="1">
        <v>404609</v>
      </c>
    </row>
    <row r="154" spans="1:8" x14ac:dyDescent="0.35">
      <c r="A154" s="1" t="str">
        <f t="shared" si="2"/>
        <v>16</v>
      </c>
      <c r="B1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4" s="1" t="s">
        <v>3252</v>
      </c>
      <c r="D154" s="1" t="s">
        <v>1118</v>
      </c>
      <c r="E154" s="1" t="s">
        <v>3253</v>
      </c>
      <c r="F154" s="1" t="s">
        <v>112</v>
      </c>
      <c r="G154" s="1">
        <v>363317</v>
      </c>
    </row>
    <row r="155" spans="1:8" x14ac:dyDescent="0.35">
      <c r="A155" s="1" t="str">
        <f t="shared" si="2"/>
        <v>16</v>
      </c>
      <c r="B1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5" s="1" t="s">
        <v>3254</v>
      </c>
      <c r="D155" s="1" t="s">
        <v>2110</v>
      </c>
      <c r="E155" s="1" t="s">
        <v>3255</v>
      </c>
      <c r="F155" s="1" t="s">
        <v>112</v>
      </c>
      <c r="G155" s="1">
        <v>508194</v>
      </c>
    </row>
    <row r="156" spans="1:8" x14ac:dyDescent="0.35">
      <c r="A156" s="1" t="str">
        <f t="shared" si="2"/>
        <v>16</v>
      </c>
      <c r="B1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6" s="1" t="s">
        <v>3256</v>
      </c>
      <c r="D156" s="1" t="s">
        <v>3257</v>
      </c>
      <c r="E156" s="1" t="s">
        <v>3258</v>
      </c>
      <c r="F156" s="1" t="s">
        <v>112</v>
      </c>
      <c r="G156" s="1">
        <v>267670</v>
      </c>
    </row>
    <row r="157" spans="1:8" x14ac:dyDescent="0.35">
      <c r="A157" s="1" t="str">
        <f t="shared" si="2"/>
        <v>16</v>
      </c>
      <c r="B1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7" s="1" t="s">
        <v>3259</v>
      </c>
      <c r="D157" s="1" t="s">
        <v>3260</v>
      </c>
      <c r="E157" s="1" t="s">
        <v>3261</v>
      </c>
      <c r="F157" s="1" t="s">
        <v>112</v>
      </c>
      <c r="G157" s="1">
        <v>154978</v>
      </c>
    </row>
    <row r="158" spans="1:8" x14ac:dyDescent="0.35">
      <c r="A158" s="1" t="str">
        <f t="shared" si="2"/>
        <v>16</v>
      </c>
      <c r="B1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8" s="1" t="s">
        <v>3262</v>
      </c>
      <c r="D158" s="1" t="s">
        <v>3263</v>
      </c>
      <c r="E158" s="1" t="s">
        <v>3264</v>
      </c>
      <c r="F158" s="1" t="s">
        <v>112</v>
      </c>
      <c r="G158" s="1">
        <v>138475</v>
      </c>
    </row>
    <row r="159" spans="1:8" x14ac:dyDescent="0.35">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9" s="1" t="s">
        <v>112</v>
      </c>
    </row>
    <row r="160" spans="1:8" x14ac:dyDescent="0.35">
      <c r="A160" s="1" t="str">
        <f t="shared" si="2"/>
        <v/>
      </c>
      <c r="B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0" s="1" t="s">
        <v>239</v>
      </c>
      <c r="D160" s="1" t="s">
        <v>112</v>
      </c>
      <c r="E160" s="1" t="s">
        <v>240</v>
      </c>
      <c r="F160" s="1" t="s">
        <v>241</v>
      </c>
      <c r="G160" s="1" t="s">
        <v>242</v>
      </c>
      <c r="H160" s="1" t="s">
        <v>243</v>
      </c>
    </row>
    <row r="161" spans="1:8" x14ac:dyDescent="0.35">
      <c r="A161" s="1" t="str">
        <f t="shared" si="2"/>
        <v>16</v>
      </c>
      <c r="B1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61" s="1" t="s">
        <v>3265</v>
      </c>
      <c r="D161" s="1" t="s">
        <v>112</v>
      </c>
      <c r="E161" s="1" t="s">
        <v>3266</v>
      </c>
      <c r="F161" s="1" t="s">
        <v>3267</v>
      </c>
      <c r="G161" s="1" t="s">
        <v>3268</v>
      </c>
      <c r="H161" s="1" t="s">
        <v>3269</v>
      </c>
    </row>
    <row r="162" spans="1:8" x14ac:dyDescent="0.35">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2" s="1" t="s">
        <v>112</v>
      </c>
    </row>
    <row r="163" spans="1:8" x14ac:dyDescent="0.35">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3" s="1" t="s">
        <v>112</v>
      </c>
    </row>
    <row r="164" spans="1:8" x14ac:dyDescent="0.35">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4" s="1" t="s">
        <v>112</v>
      </c>
    </row>
    <row r="165" spans="1:8" x14ac:dyDescent="0.35">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5" s="1" t="s">
        <v>112</v>
      </c>
    </row>
    <row r="166" spans="1:8" x14ac:dyDescent="0.35">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6" s="1" t="s">
        <v>112</v>
      </c>
    </row>
    <row r="167" spans="1:8" x14ac:dyDescent="0.35">
      <c r="A167" s="1" t="str">
        <f t="shared" si="2"/>
        <v/>
      </c>
      <c r="B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7" s="1" t="s">
        <v>172</v>
      </c>
      <c r="D167" s="1" t="s">
        <v>110</v>
      </c>
      <c r="E167" s="1" t="s">
        <v>111</v>
      </c>
      <c r="F167" s="1" t="s">
        <v>112</v>
      </c>
      <c r="G167" s="1" t="s">
        <v>113</v>
      </c>
    </row>
    <row r="168" spans="1:8" x14ac:dyDescent="0.35">
      <c r="A168" s="1" t="str">
        <f t="shared" si="2"/>
        <v>2</v>
      </c>
      <c r="B1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8" s="1" t="s">
        <v>3270</v>
      </c>
      <c r="D168" s="1">
        <v>0</v>
      </c>
      <c r="E168" s="1">
        <v>0</v>
      </c>
      <c r="F168" s="1" t="s">
        <v>112</v>
      </c>
      <c r="G168" s="1">
        <v>0</v>
      </c>
    </row>
    <row r="169" spans="1:8" x14ac:dyDescent="0.35">
      <c r="A169" s="1" t="str">
        <f t="shared" si="2"/>
        <v>2</v>
      </c>
      <c r="B1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9" s="1" t="s">
        <v>3271</v>
      </c>
      <c r="D169" s="1" t="s">
        <v>1143</v>
      </c>
      <c r="E169" s="1" t="s">
        <v>3272</v>
      </c>
      <c r="F169" s="1" t="s">
        <v>112</v>
      </c>
      <c r="G169" s="1">
        <v>442721</v>
      </c>
    </row>
    <row r="170" spans="1:8" x14ac:dyDescent="0.35">
      <c r="A170" s="1" t="str">
        <f t="shared" si="2"/>
        <v>2</v>
      </c>
      <c r="B1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70" s="1" t="s">
        <v>3273</v>
      </c>
      <c r="D170" s="1" t="s">
        <v>3274</v>
      </c>
      <c r="E170" s="1" t="s">
        <v>3275</v>
      </c>
      <c r="F170" s="1" t="s">
        <v>112</v>
      </c>
      <c r="G170" s="1">
        <v>326914</v>
      </c>
    </row>
    <row r="171" spans="1:8" x14ac:dyDescent="0.35">
      <c r="A171" s="1" t="str">
        <f t="shared" si="2"/>
        <v>2</v>
      </c>
      <c r="B1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1" s="1" t="s">
        <v>3276</v>
      </c>
      <c r="D171" s="1" t="s">
        <v>2701</v>
      </c>
      <c r="E171" s="1" t="s">
        <v>3277</v>
      </c>
      <c r="F171" s="1" t="s">
        <v>112</v>
      </c>
      <c r="G171" s="1">
        <v>273488</v>
      </c>
    </row>
    <row r="172" spans="1:8" x14ac:dyDescent="0.35">
      <c r="A172" s="1" t="str">
        <f t="shared" si="2"/>
        <v>2</v>
      </c>
      <c r="B1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2" s="1" t="s">
        <v>3278</v>
      </c>
      <c r="D172" s="1" t="s">
        <v>3279</v>
      </c>
      <c r="E172" s="1" t="s">
        <v>3280</v>
      </c>
      <c r="F172" s="1" t="s">
        <v>112</v>
      </c>
      <c r="G172" s="1">
        <v>399158</v>
      </c>
    </row>
    <row r="173" spans="1:8" x14ac:dyDescent="0.35">
      <c r="A173" s="1" t="str">
        <f t="shared" si="2"/>
        <v>2</v>
      </c>
      <c r="B1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3" s="1" t="s">
        <v>3281</v>
      </c>
      <c r="D173" s="1" t="s">
        <v>3282</v>
      </c>
      <c r="E173" s="1" t="s">
        <v>3283</v>
      </c>
      <c r="F173" s="1" t="s">
        <v>112</v>
      </c>
      <c r="G173" s="1">
        <v>67788</v>
      </c>
    </row>
    <row r="174" spans="1:8" x14ac:dyDescent="0.35">
      <c r="A174" s="1" t="str">
        <f t="shared" si="2"/>
        <v>2</v>
      </c>
      <c r="B1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4" s="1" t="s">
        <v>3284</v>
      </c>
      <c r="D174" s="1" t="s">
        <v>3285</v>
      </c>
      <c r="E174" s="1" t="s">
        <v>3286</v>
      </c>
      <c r="F174" s="1" t="s">
        <v>112</v>
      </c>
      <c r="G174" s="1">
        <v>741451</v>
      </c>
    </row>
    <row r="175" spans="1:8" x14ac:dyDescent="0.35">
      <c r="A175" s="1" t="str">
        <f t="shared" si="2"/>
        <v>2</v>
      </c>
      <c r="B1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5" s="1" t="s">
        <v>3287</v>
      </c>
      <c r="D175" s="1" t="s">
        <v>3288</v>
      </c>
      <c r="E175" s="1" t="s">
        <v>3289</v>
      </c>
      <c r="F175" s="1" t="s">
        <v>112</v>
      </c>
      <c r="G175" s="1">
        <v>691508</v>
      </c>
    </row>
    <row r="176" spans="1:8" x14ac:dyDescent="0.35">
      <c r="A176" s="1" t="str">
        <f t="shared" si="2"/>
        <v>2</v>
      </c>
      <c r="B1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6" s="1" t="s">
        <v>3290</v>
      </c>
      <c r="D176" s="1" t="s">
        <v>3291</v>
      </c>
      <c r="E176" s="1" t="s">
        <v>3292</v>
      </c>
      <c r="F176" s="1" t="s">
        <v>112</v>
      </c>
      <c r="G176" s="1">
        <v>633951</v>
      </c>
    </row>
    <row r="177" spans="1:7" x14ac:dyDescent="0.35">
      <c r="A177" s="1" t="str">
        <f t="shared" si="2"/>
        <v>2</v>
      </c>
      <c r="B1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7" s="1" t="s">
        <v>3293</v>
      </c>
      <c r="D177" s="1" t="s">
        <v>3294</v>
      </c>
      <c r="E177" s="1" t="s">
        <v>3295</v>
      </c>
      <c r="F177" s="1" t="s">
        <v>112</v>
      </c>
      <c r="G177" s="1">
        <v>325919</v>
      </c>
    </row>
    <row r="178" spans="1:7" x14ac:dyDescent="0.35">
      <c r="A178" s="1" t="str">
        <f t="shared" si="2"/>
        <v>2</v>
      </c>
      <c r="B1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8" s="1" t="s">
        <v>3296</v>
      </c>
      <c r="D178" s="1" t="s">
        <v>1529</v>
      </c>
      <c r="E178" s="1" t="s">
        <v>3297</v>
      </c>
      <c r="F178" s="1" t="s">
        <v>112</v>
      </c>
      <c r="G178" s="1">
        <v>175354</v>
      </c>
    </row>
    <row r="179" spans="1:7" x14ac:dyDescent="0.35">
      <c r="A179" s="1" t="str">
        <f t="shared" si="2"/>
        <v>2</v>
      </c>
      <c r="B1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9" s="1" t="s">
        <v>3298</v>
      </c>
      <c r="D179" s="1" t="s">
        <v>3299</v>
      </c>
      <c r="E179" s="1" t="s">
        <v>3300</v>
      </c>
      <c r="F179" s="1" t="s">
        <v>112</v>
      </c>
      <c r="G179" s="1">
        <v>348371</v>
      </c>
    </row>
    <row r="180" spans="1:7" x14ac:dyDescent="0.35">
      <c r="A180" s="1" t="str">
        <f t="shared" si="2"/>
        <v>2</v>
      </c>
      <c r="B1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0" s="1" t="s">
        <v>3301</v>
      </c>
      <c r="D180" s="1" t="s">
        <v>3302</v>
      </c>
      <c r="E180" s="1" t="s">
        <v>3303</v>
      </c>
      <c r="F180" s="1" t="s">
        <v>112</v>
      </c>
      <c r="G180" s="1">
        <v>29114</v>
      </c>
    </row>
    <row r="181" spans="1:7" x14ac:dyDescent="0.35">
      <c r="A181" s="1" t="str">
        <f t="shared" si="2"/>
        <v>2</v>
      </c>
      <c r="B1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1" s="1" t="s">
        <v>3304</v>
      </c>
      <c r="D181" s="1" t="s">
        <v>636</v>
      </c>
      <c r="E181" s="1" t="s">
        <v>1642</v>
      </c>
      <c r="F181" s="1" t="s">
        <v>112</v>
      </c>
      <c r="G181" s="1">
        <v>26280</v>
      </c>
    </row>
    <row r="182" spans="1:7" x14ac:dyDescent="0.35">
      <c r="A182" s="1" t="str">
        <f t="shared" si="2"/>
        <v>2</v>
      </c>
      <c r="B1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2" s="1" t="s">
        <v>3305</v>
      </c>
      <c r="D182" s="1" t="s">
        <v>2074</v>
      </c>
      <c r="E182" s="1" t="s">
        <v>3306</v>
      </c>
      <c r="F182" s="1" t="s">
        <v>112</v>
      </c>
      <c r="G182" s="1">
        <v>22776</v>
      </c>
    </row>
    <row r="183" spans="1:7" x14ac:dyDescent="0.35">
      <c r="A183" s="1" t="str">
        <f t="shared" si="2"/>
        <v>2</v>
      </c>
      <c r="B1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3" s="1" t="s">
        <v>3307</v>
      </c>
      <c r="D183" s="1" t="s">
        <v>3308</v>
      </c>
      <c r="E183" s="1" t="s">
        <v>3309</v>
      </c>
      <c r="F183" s="1" t="s">
        <v>112</v>
      </c>
      <c r="G183" s="1">
        <v>143882</v>
      </c>
    </row>
    <row r="184" spans="1:7" x14ac:dyDescent="0.35">
      <c r="A184" s="1" t="str">
        <f t="shared" si="2"/>
        <v>2</v>
      </c>
      <c r="B1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4" s="1" t="s">
        <v>3310</v>
      </c>
      <c r="D184" s="1" t="s">
        <v>367</v>
      </c>
      <c r="E184" s="1" t="s">
        <v>3311</v>
      </c>
      <c r="F184" s="1" t="s">
        <v>112</v>
      </c>
      <c r="G184" s="1">
        <v>142606</v>
      </c>
    </row>
    <row r="185" spans="1:7" x14ac:dyDescent="0.35">
      <c r="A185" s="1" t="str">
        <f t="shared" si="2"/>
        <v>2</v>
      </c>
      <c r="B1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5" s="1" t="s">
        <v>3312</v>
      </c>
      <c r="D185" s="1" t="s">
        <v>3313</v>
      </c>
      <c r="E185" s="1" t="s">
        <v>3314</v>
      </c>
      <c r="F185" s="1" t="s">
        <v>112</v>
      </c>
      <c r="G185" s="1">
        <v>279631</v>
      </c>
    </row>
    <row r="186" spans="1:7" x14ac:dyDescent="0.35">
      <c r="A186" s="1" t="str">
        <f t="shared" si="2"/>
        <v>2</v>
      </c>
      <c r="B1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6" s="1" t="s">
        <v>3315</v>
      </c>
      <c r="D186" s="1" t="s">
        <v>3316</v>
      </c>
      <c r="E186" s="1">
        <v>32</v>
      </c>
      <c r="F186" s="1" t="s">
        <v>112</v>
      </c>
      <c r="G186" s="1">
        <v>4845</v>
      </c>
    </row>
    <row r="187" spans="1:7" x14ac:dyDescent="0.35">
      <c r="A187" s="1" t="str">
        <f t="shared" si="2"/>
        <v>2</v>
      </c>
      <c r="B1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7" s="1" t="s">
        <v>3317</v>
      </c>
      <c r="D187" s="1" t="s">
        <v>1095</v>
      </c>
      <c r="E187" s="1" t="s">
        <v>3318</v>
      </c>
      <c r="F187" s="1" t="s">
        <v>112</v>
      </c>
      <c r="G187" s="1">
        <v>242579</v>
      </c>
    </row>
    <row r="188" spans="1:7" x14ac:dyDescent="0.35">
      <c r="A188" s="1" t="str">
        <f t="shared" si="2"/>
        <v>2</v>
      </c>
      <c r="B1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8" s="1" t="s">
        <v>3319</v>
      </c>
      <c r="D188" s="1" t="s">
        <v>554</v>
      </c>
      <c r="E188" s="1" t="s">
        <v>3320</v>
      </c>
      <c r="F188" s="1" t="s">
        <v>112</v>
      </c>
      <c r="G188" s="1">
        <v>365004</v>
      </c>
    </row>
    <row r="189" spans="1:7" x14ac:dyDescent="0.35">
      <c r="A189" s="1" t="str">
        <f t="shared" si="2"/>
        <v>2</v>
      </c>
      <c r="B1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9" s="1" t="s">
        <v>3321</v>
      </c>
      <c r="D189" s="1" t="s">
        <v>1664</v>
      </c>
      <c r="E189" s="1">
        <v>30</v>
      </c>
      <c r="F189" s="1" t="s">
        <v>112</v>
      </c>
      <c r="G189" s="1">
        <v>1298</v>
      </c>
    </row>
    <row r="190" spans="1:7" x14ac:dyDescent="0.35">
      <c r="A190" s="1" t="str">
        <f t="shared" si="2"/>
        <v>2</v>
      </c>
      <c r="B1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0" s="1" t="s">
        <v>3322</v>
      </c>
      <c r="D190" s="1" t="s">
        <v>3323</v>
      </c>
      <c r="E190" s="1" t="s">
        <v>3324</v>
      </c>
      <c r="F190" s="1" t="s">
        <v>112</v>
      </c>
      <c r="G190" s="1">
        <v>423427</v>
      </c>
    </row>
    <row r="191" spans="1:7" x14ac:dyDescent="0.35">
      <c r="A191" s="1" t="str">
        <f t="shared" si="2"/>
        <v>2</v>
      </c>
      <c r="B1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1" s="1" t="s">
        <v>3325</v>
      </c>
      <c r="D191" s="1" t="s">
        <v>509</v>
      </c>
      <c r="E191" s="1" t="s">
        <v>3326</v>
      </c>
      <c r="F191" s="1" t="s">
        <v>112</v>
      </c>
      <c r="G191" s="1">
        <v>348220</v>
      </c>
    </row>
    <row r="192" spans="1:7" x14ac:dyDescent="0.35">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2" s="1" t="s">
        <v>112</v>
      </c>
    </row>
    <row r="193" spans="1:8" x14ac:dyDescent="0.35">
      <c r="A193" s="1" t="str">
        <f t="shared" si="2"/>
        <v/>
      </c>
      <c r="B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3" s="1" t="s">
        <v>239</v>
      </c>
      <c r="D193" s="1" t="s">
        <v>112</v>
      </c>
      <c r="E193" s="1" t="s">
        <v>240</v>
      </c>
      <c r="F193" s="1" t="s">
        <v>241</v>
      </c>
      <c r="G193" s="1" t="s">
        <v>242</v>
      </c>
      <c r="H193" s="1" t="s">
        <v>243</v>
      </c>
    </row>
    <row r="194" spans="1:8" x14ac:dyDescent="0.35">
      <c r="A194" s="1" t="str">
        <f t="shared" ref="A194:A257" si="3">IFERROR(LEFT(RIGHT(C194,LEN(C194)-SEARCH("@",C194)),SEARCH("/",RIGHT(C194,LEN(C194)-SEARCH("@",C194)-1))),"")</f>
        <v>2</v>
      </c>
      <c r="B1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94" s="1" t="s">
        <v>3327</v>
      </c>
      <c r="D194" s="1" t="s">
        <v>112</v>
      </c>
      <c r="E194" s="1" t="s">
        <v>3328</v>
      </c>
      <c r="F194" s="1" t="s">
        <v>3329</v>
      </c>
      <c r="G194" s="1" t="s">
        <v>3330</v>
      </c>
      <c r="H194" s="1" t="s">
        <v>3331</v>
      </c>
    </row>
    <row r="195" spans="1:8" x14ac:dyDescent="0.35">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5" s="1" t="s">
        <v>112</v>
      </c>
    </row>
    <row r="196" spans="1:8" x14ac:dyDescent="0.35">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6" s="1" t="s">
        <v>112</v>
      </c>
    </row>
    <row r="197" spans="1:8" x14ac:dyDescent="0.35">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7" s="1" t="s">
        <v>112</v>
      </c>
    </row>
    <row r="198" spans="1:8" x14ac:dyDescent="0.35">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8" s="1" t="s">
        <v>112</v>
      </c>
    </row>
    <row r="199" spans="1:8" x14ac:dyDescent="0.35">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9" s="1" t="s">
        <v>112</v>
      </c>
    </row>
    <row r="200" spans="1:8" x14ac:dyDescent="0.35">
      <c r="A200" s="1" t="str">
        <f t="shared" si="3"/>
        <v/>
      </c>
      <c r="B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00" s="1" t="s">
        <v>172</v>
      </c>
      <c r="D200" s="1" t="s">
        <v>110</v>
      </c>
      <c r="E200" s="1" t="s">
        <v>111</v>
      </c>
      <c r="F200" s="1" t="s">
        <v>112</v>
      </c>
      <c r="G200" s="1" t="s">
        <v>113</v>
      </c>
    </row>
    <row r="201" spans="1:8" x14ac:dyDescent="0.35">
      <c r="A201" s="1" t="str">
        <f t="shared" si="3"/>
        <v>3</v>
      </c>
      <c r="B2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1" s="1" t="s">
        <v>3332</v>
      </c>
      <c r="D201" s="1" t="s">
        <v>741</v>
      </c>
      <c r="E201" s="1" t="s">
        <v>3333</v>
      </c>
      <c r="F201" s="1" t="s">
        <v>112</v>
      </c>
      <c r="G201" s="1">
        <v>119289</v>
      </c>
    </row>
    <row r="202" spans="1:8" x14ac:dyDescent="0.35">
      <c r="A202" s="1" t="str">
        <f t="shared" si="3"/>
        <v>3</v>
      </c>
      <c r="B2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2" s="1" t="s">
        <v>3334</v>
      </c>
      <c r="D202" s="1" t="s">
        <v>611</v>
      </c>
      <c r="E202" s="1" t="s">
        <v>609</v>
      </c>
      <c r="F202" s="1" t="s">
        <v>112</v>
      </c>
      <c r="G202" s="1">
        <v>8133</v>
      </c>
    </row>
    <row r="203" spans="1:8" x14ac:dyDescent="0.35">
      <c r="A203" s="1" t="str">
        <f t="shared" si="3"/>
        <v>3</v>
      </c>
      <c r="B2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3" s="1" t="s">
        <v>3335</v>
      </c>
      <c r="D203" s="1" t="s">
        <v>1100</v>
      </c>
      <c r="E203" s="1" t="s">
        <v>3336</v>
      </c>
      <c r="F203" s="1" t="s">
        <v>112</v>
      </c>
      <c r="G203" s="1">
        <v>78560</v>
      </c>
    </row>
    <row r="204" spans="1:8" x14ac:dyDescent="0.35">
      <c r="A204" s="1" t="str">
        <f t="shared" si="3"/>
        <v>3</v>
      </c>
      <c r="B2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4" s="1" t="s">
        <v>3337</v>
      </c>
      <c r="D204" s="1" t="s">
        <v>162</v>
      </c>
      <c r="E204" s="1" t="s">
        <v>3338</v>
      </c>
      <c r="F204" s="1" t="s">
        <v>112</v>
      </c>
      <c r="G204" s="1">
        <v>726224</v>
      </c>
    </row>
    <row r="205" spans="1:8" x14ac:dyDescent="0.35">
      <c r="A205" s="1" t="str">
        <f t="shared" si="3"/>
        <v>3</v>
      </c>
      <c r="B2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5" s="1" t="s">
        <v>3339</v>
      </c>
      <c r="D205" s="1" t="s">
        <v>3340</v>
      </c>
      <c r="E205" s="1" t="s">
        <v>3341</v>
      </c>
      <c r="F205" s="1" t="s">
        <v>112</v>
      </c>
      <c r="G205" s="1">
        <v>1131763</v>
      </c>
    </row>
    <row r="206" spans="1:8" x14ac:dyDescent="0.35">
      <c r="A206" s="1" t="str">
        <f t="shared" si="3"/>
        <v>3</v>
      </c>
      <c r="B2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6" s="1" t="s">
        <v>3342</v>
      </c>
      <c r="D206" s="1" t="s">
        <v>3343</v>
      </c>
      <c r="E206" s="1" t="s">
        <v>3344</v>
      </c>
      <c r="F206" s="1" t="s">
        <v>112</v>
      </c>
      <c r="G206" s="1">
        <v>519658</v>
      </c>
    </row>
    <row r="207" spans="1:8" x14ac:dyDescent="0.35">
      <c r="A207" s="1" t="str">
        <f t="shared" si="3"/>
        <v>3</v>
      </c>
      <c r="B2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7" s="1" t="s">
        <v>3345</v>
      </c>
      <c r="D207" s="1" t="s">
        <v>3346</v>
      </c>
      <c r="E207" s="1" t="s">
        <v>3347</v>
      </c>
      <c r="F207" s="1" t="s">
        <v>112</v>
      </c>
      <c r="G207" s="1">
        <v>450378</v>
      </c>
    </row>
    <row r="208" spans="1:8" x14ac:dyDescent="0.35">
      <c r="A208" s="1" t="str">
        <f t="shared" si="3"/>
        <v>3</v>
      </c>
      <c r="B2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8" s="1" t="s">
        <v>3348</v>
      </c>
      <c r="D208" s="1" t="s">
        <v>3349</v>
      </c>
      <c r="E208" s="1" t="s">
        <v>3350</v>
      </c>
      <c r="F208" s="1" t="s">
        <v>112</v>
      </c>
      <c r="G208" s="1">
        <v>401581</v>
      </c>
    </row>
    <row r="209" spans="1:7" x14ac:dyDescent="0.35">
      <c r="A209" s="1" t="str">
        <f t="shared" si="3"/>
        <v>3</v>
      </c>
      <c r="B2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9" s="1" t="s">
        <v>3351</v>
      </c>
      <c r="D209" s="1" t="s">
        <v>2469</v>
      </c>
      <c r="E209" s="1" t="s">
        <v>3352</v>
      </c>
      <c r="F209" s="1" t="s">
        <v>112</v>
      </c>
      <c r="G209" s="1">
        <v>283806</v>
      </c>
    </row>
    <row r="210" spans="1:7" x14ac:dyDescent="0.35">
      <c r="A210" s="1" t="str">
        <f t="shared" si="3"/>
        <v>3</v>
      </c>
      <c r="B2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0" s="1" t="s">
        <v>3353</v>
      </c>
      <c r="D210" s="1" t="s">
        <v>3354</v>
      </c>
      <c r="E210" s="1" t="s">
        <v>3355</v>
      </c>
      <c r="F210" s="1" t="s">
        <v>112</v>
      </c>
      <c r="G210" s="1">
        <v>63743</v>
      </c>
    </row>
    <row r="211" spans="1:7" x14ac:dyDescent="0.35">
      <c r="A211" s="1" t="str">
        <f t="shared" si="3"/>
        <v>3</v>
      </c>
      <c r="B2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1" s="1" t="s">
        <v>3356</v>
      </c>
      <c r="D211" s="1" t="s">
        <v>3357</v>
      </c>
      <c r="E211" s="1" t="s">
        <v>3358</v>
      </c>
      <c r="F211" s="1" t="s">
        <v>112</v>
      </c>
      <c r="G211" s="1">
        <v>88899</v>
      </c>
    </row>
    <row r="212" spans="1:7" x14ac:dyDescent="0.35">
      <c r="A212" s="1" t="str">
        <f t="shared" si="3"/>
        <v>3</v>
      </c>
      <c r="B2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2" s="1" t="s">
        <v>3359</v>
      </c>
      <c r="D212" s="1" t="s">
        <v>983</v>
      </c>
      <c r="E212" s="1" t="s">
        <v>3360</v>
      </c>
      <c r="F212" s="1" t="s">
        <v>112</v>
      </c>
      <c r="G212" s="1">
        <v>38328</v>
      </c>
    </row>
    <row r="213" spans="1:7" x14ac:dyDescent="0.35">
      <c r="A213" s="1" t="str">
        <f t="shared" si="3"/>
        <v>3</v>
      </c>
      <c r="B2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3" s="1" t="s">
        <v>3361</v>
      </c>
      <c r="D213" s="1" t="s">
        <v>3362</v>
      </c>
      <c r="E213" s="1" t="s">
        <v>3363</v>
      </c>
      <c r="F213" s="1" t="s">
        <v>112</v>
      </c>
      <c r="G213" s="1">
        <v>862557</v>
      </c>
    </row>
    <row r="214" spans="1:7" x14ac:dyDescent="0.35">
      <c r="A214" s="1" t="str">
        <f t="shared" si="3"/>
        <v>3</v>
      </c>
      <c r="B2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4" s="1" t="s">
        <v>3364</v>
      </c>
      <c r="D214" s="1" t="s">
        <v>3365</v>
      </c>
      <c r="E214" s="1" t="s">
        <v>3366</v>
      </c>
      <c r="F214" s="1" t="s">
        <v>112</v>
      </c>
      <c r="G214" s="1">
        <v>636568</v>
      </c>
    </row>
    <row r="215" spans="1:7" x14ac:dyDescent="0.35">
      <c r="A215" s="1" t="str">
        <f t="shared" si="3"/>
        <v>3</v>
      </c>
      <c r="B2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5" s="1" t="s">
        <v>3367</v>
      </c>
    </row>
    <row r="216" spans="1:7" x14ac:dyDescent="0.35">
      <c r="A216" s="1" t="str">
        <f t="shared" si="3"/>
        <v>3</v>
      </c>
      <c r="B2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6" s="1" t="s">
        <v>3368</v>
      </c>
      <c r="D216" s="1" t="s">
        <v>1466</v>
      </c>
      <c r="E216" s="1" t="s">
        <v>3369</v>
      </c>
      <c r="F216" s="1" t="s">
        <v>112</v>
      </c>
      <c r="G216" s="1">
        <v>5407</v>
      </c>
    </row>
    <row r="217" spans="1:7" x14ac:dyDescent="0.35">
      <c r="A217" s="1" t="str">
        <f t="shared" si="3"/>
        <v>3</v>
      </c>
      <c r="B2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7" s="1" t="s">
        <v>3370</v>
      </c>
      <c r="D217" s="1" t="s">
        <v>1062</v>
      </c>
      <c r="E217" s="1" t="s">
        <v>3371</v>
      </c>
      <c r="F217" s="1" t="s">
        <v>112</v>
      </c>
      <c r="G217" s="1">
        <v>182059</v>
      </c>
    </row>
    <row r="218" spans="1:7" x14ac:dyDescent="0.35">
      <c r="A218" s="1" t="str">
        <f t="shared" si="3"/>
        <v>3</v>
      </c>
      <c r="B2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8" s="1" t="s">
        <v>3372</v>
      </c>
    </row>
    <row r="219" spans="1:7" x14ac:dyDescent="0.35">
      <c r="A219" s="1" t="str">
        <f t="shared" si="3"/>
        <v>3</v>
      </c>
      <c r="B2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9" s="1" t="s">
        <v>3373</v>
      </c>
      <c r="D219" s="1" t="s">
        <v>3374</v>
      </c>
      <c r="E219" s="1" t="s">
        <v>3375</v>
      </c>
      <c r="F219" s="1" t="s">
        <v>112</v>
      </c>
      <c r="G219" s="1">
        <v>212665</v>
      </c>
    </row>
    <row r="220" spans="1:7" x14ac:dyDescent="0.35">
      <c r="A220" s="1" t="str">
        <f t="shared" si="3"/>
        <v>3</v>
      </c>
      <c r="B2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0" s="1" t="s">
        <v>3376</v>
      </c>
      <c r="D220" s="1" t="s">
        <v>2194</v>
      </c>
      <c r="E220" s="1" t="s">
        <v>3377</v>
      </c>
      <c r="F220" s="1" t="s">
        <v>112</v>
      </c>
      <c r="G220" s="1">
        <v>377031</v>
      </c>
    </row>
    <row r="221" spans="1:7" x14ac:dyDescent="0.35">
      <c r="A221" s="1" t="str">
        <f t="shared" si="3"/>
        <v>3</v>
      </c>
      <c r="B2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1" s="1" t="s">
        <v>3378</v>
      </c>
      <c r="D221" s="1" t="s">
        <v>1131</v>
      </c>
      <c r="E221" s="1" t="s">
        <v>3379</v>
      </c>
      <c r="F221" s="1" t="s">
        <v>112</v>
      </c>
      <c r="G221" s="1">
        <v>424227</v>
      </c>
    </row>
    <row r="222" spans="1:7" x14ac:dyDescent="0.35">
      <c r="A222" s="1" t="str">
        <f t="shared" si="3"/>
        <v>3</v>
      </c>
      <c r="B2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2" s="1" t="s">
        <v>3380</v>
      </c>
      <c r="D222" s="1" t="s">
        <v>3381</v>
      </c>
      <c r="E222" s="1" t="s">
        <v>3382</v>
      </c>
      <c r="F222" s="1" t="s">
        <v>112</v>
      </c>
      <c r="G222" s="1">
        <v>287267</v>
      </c>
    </row>
    <row r="223" spans="1:7" x14ac:dyDescent="0.35">
      <c r="A223" s="1" t="str">
        <f t="shared" si="3"/>
        <v>3</v>
      </c>
      <c r="B2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3" s="1" t="s">
        <v>3383</v>
      </c>
      <c r="D223" s="1" t="s">
        <v>717</v>
      </c>
      <c r="E223" s="1" t="s">
        <v>3384</v>
      </c>
      <c r="F223" s="1" t="s">
        <v>112</v>
      </c>
      <c r="G223" s="1">
        <v>294599</v>
      </c>
    </row>
    <row r="224" spans="1:7" x14ac:dyDescent="0.35">
      <c r="A224" s="1" t="str">
        <f t="shared" si="3"/>
        <v>3</v>
      </c>
      <c r="B2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4" s="1" t="s">
        <v>3385</v>
      </c>
      <c r="D224" s="1" t="s">
        <v>3386</v>
      </c>
      <c r="E224" s="1" t="s">
        <v>3387</v>
      </c>
      <c r="F224" s="1" t="s">
        <v>112</v>
      </c>
      <c r="G224" s="1">
        <v>288067</v>
      </c>
    </row>
    <row r="225" spans="1:8" x14ac:dyDescent="0.35">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5" s="1" t="s">
        <v>112</v>
      </c>
    </row>
    <row r="226" spans="1:8" x14ac:dyDescent="0.35">
      <c r="A226" s="1" t="str">
        <f t="shared" si="3"/>
        <v/>
      </c>
      <c r="B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6" s="1" t="s">
        <v>239</v>
      </c>
      <c r="D226" s="1" t="s">
        <v>112</v>
      </c>
      <c r="E226" s="1" t="s">
        <v>240</v>
      </c>
      <c r="F226" s="1" t="s">
        <v>241</v>
      </c>
      <c r="G226" s="1" t="s">
        <v>242</v>
      </c>
      <c r="H226" s="1" t="s">
        <v>243</v>
      </c>
    </row>
    <row r="227" spans="1:8" x14ac:dyDescent="0.35">
      <c r="A227" s="1" t="str">
        <f t="shared" si="3"/>
        <v>3</v>
      </c>
      <c r="B2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27" s="1" t="s">
        <v>3388</v>
      </c>
      <c r="D227" s="1" t="s">
        <v>112</v>
      </c>
      <c r="E227" s="1" t="s">
        <v>3389</v>
      </c>
      <c r="F227" s="1" t="s">
        <v>3390</v>
      </c>
      <c r="G227" s="1" t="s">
        <v>3391</v>
      </c>
      <c r="H227" s="1" t="s">
        <v>3392</v>
      </c>
    </row>
    <row r="228" spans="1:8" x14ac:dyDescent="0.35">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8" s="1" t="s">
        <v>112</v>
      </c>
    </row>
    <row r="229" spans="1:8" x14ac:dyDescent="0.35">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9" s="1" t="s">
        <v>112</v>
      </c>
    </row>
    <row r="230" spans="1:8" x14ac:dyDescent="0.35">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0" s="1" t="s">
        <v>112</v>
      </c>
    </row>
    <row r="231" spans="1:8" x14ac:dyDescent="0.35">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1" s="1" t="s">
        <v>112</v>
      </c>
    </row>
    <row r="232" spans="1:8" x14ac:dyDescent="0.35">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2" s="1" t="s">
        <v>112</v>
      </c>
    </row>
    <row r="233" spans="1:8" x14ac:dyDescent="0.35">
      <c r="A233" s="1" t="str">
        <f t="shared" si="3"/>
        <v/>
      </c>
      <c r="B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3" s="1" t="s">
        <v>172</v>
      </c>
      <c r="D233" s="1" t="s">
        <v>110</v>
      </c>
      <c r="E233" s="1" t="s">
        <v>111</v>
      </c>
      <c r="F233" s="1" t="s">
        <v>112</v>
      </c>
      <c r="G233" s="1" t="s">
        <v>113</v>
      </c>
    </row>
    <row r="234" spans="1:8" x14ac:dyDescent="0.35">
      <c r="A234" s="1" t="str">
        <f t="shared" si="3"/>
        <v>4</v>
      </c>
      <c r="B2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4" s="1" t="s">
        <v>3393</v>
      </c>
      <c r="D234" s="1" t="s">
        <v>3394</v>
      </c>
      <c r="E234" s="1" t="s">
        <v>3395</v>
      </c>
      <c r="F234" s="1" t="s">
        <v>112</v>
      </c>
      <c r="G234" s="1">
        <v>2009028</v>
      </c>
    </row>
    <row r="235" spans="1:8" x14ac:dyDescent="0.35">
      <c r="A235" s="1" t="str">
        <f t="shared" si="3"/>
        <v>4</v>
      </c>
      <c r="B2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5" s="1" t="s">
        <v>3396</v>
      </c>
      <c r="D235" s="1" t="s">
        <v>855</v>
      </c>
      <c r="E235" s="1" t="s">
        <v>3397</v>
      </c>
      <c r="F235" s="1" t="s">
        <v>112</v>
      </c>
      <c r="G235" s="1">
        <v>2093017</v>
      </c>
    </row>
    <row r="236" spans="1:8" x14ac:dyDescent="0.35">
      <c r="A236" s="1" t="str">
        <f t="shared" si="3"/>
        <v>4</v>
      </c>
      <c r="B2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6" s="1" t="s">
        <v>3398</v>
      </c>
      <c r="D236" s="1" t="s">
        <v>3399</v>
      </c>
      <c r="E236" s="1" t="s">
        <v>3400</v>
      </c>
      <c r="F236" s="1" t="s">
        <v>112</v>
      </c>
      <c r="G236" s="1">
        <v>2206163</v>
      </c>
    </row>
    <row r="237" spans="1:8" x14ac:dyDescent="0.35">
      <c r="A237" s="1" t="str">
        <f t="shared" si="3"/>
        <v>4</v>
      </c>
      <c r="B2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7" s="1" t="s">
        <v>3401</v>
      </c>
      <c r="D237" s="1" t="s">
        <v>3402</v>
      </c>
      <c r="E237" s="1" t="s">
        <v>3403</v>
      </c>
      <c r="F237" s="1" t="s">
        <v>112</v>
      </c>
      <c r="G237" s="1">
        <v>591729</v>
      </c>
    </row>
    <row r="238" spans="1:8" x14ac:dyDescent="0.35">
      <c r="A238" s="1" t="str">
        <f t="shared" si="3"/>
        <v>4</v>
      </c>
      <c r="B2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8" s="1" t="s">
        <v>3404</v>
      </c>
      <c r="D238" s="1" t="s">
        <v>3405</v>
      </c>
      <c r="E238" s="1" t="s">
        <v>3406</v>
      </c>
      <c r="F238" s="1" t="s">
        <v>112</v>
      </c>
      <c r="G238" s="1">
        <v>526082</v>
      </c>
    </row>
    <row r="239" spans="1:8" x14ac:dyDescent="0.35">
      <c r="A239" s="1" t="str">
        <f t="shared" si="3"/>
        <v>4</v>
      </c>
      <c r="B2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9" s="1" t="s">
        <v>3407</v>
      </c>
      <c r="D239" s="1" t="s">
        <v>3408</v>
      </c>
      <c r="E239" s="1" t="s">
        <v>3409</v>
      </c>
      <c r="F239" s="1" t="s">
        <v>112</v>
      </c>
      <c r="G239" s="1">
        <v>674918</v>
      </c>
    </row>
    <row r="240" spans="1:8" x14ac:dyDescent="0.35">
      <c r="A240" s="1" t="str">
        <f t="shared" si="3"/>
        <v>4</v>
      </c>
      <c r="B2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0" s="1" t="s">
        <v>3410</v>
      </c>
    </row>
    <row r="241" spans="1:7" x14ac:dyDescent="0.35">
      <c r="A241" s="1" t="str">
        <f t="shared" si="3"/>
        <v>4</v>
      </c>
      <c r="B2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1" s="1" t="s">
        <v>3411</v>
      </c>
    </row>
    <row r="242" spans="1:7" x14ac:dyDescent="0.35">
      <c r="A242" s="1" t="str">
        <f t="shared" si="3"/>
        <v>4</v>
      </c>
      <c r="B2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2" s="1" t="s">
        <v>3412</v>
      </c>
    </row>
    <row r="243" spans="1:7" x14ac:dyDescent="0.35">
      <c r="A243" s="1" t="str">
        <f t="shared" si="3"/>
        <v>4</v>
      </c>
      <c r="B2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3" s="1" t="s">
        <v>3413</v>
      </c>
      <c r="D243" s="1" t="s">
        <v>3414</v>
      </c>
      <c r="E243" s="1" t="s">
        <v>3415</v>
      </c>
      <c r="F243" s="1" t="s">
        <v>112</v>
      </c>
      <c r="G243" s="1">
        <v>1844879</v>
      </c>
    </row>
    <row r="244" spans="1:7" x14ac:dyDescent="0.35">
      <c r="A244" s="1" t="str">
        <f t="shared" si="3"/>
        <v>4</v>
      </c>
      <c r="B2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4" s="1" t="s">
        <v>3416</v>
      </c>
    </row>
    <row r="245" spans="1:7" x14ac:dyDescent="0.35">
      <c r="A245" s="1" t="str">
        <f t="shared" si="3"/>
        <v>4</v>
      </c>
      <c r="B2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5" s="1" t="s">
        <v>3417</v>
      </c>
      <c r="D245" s="1" t="s">
        <v>3418</v>
      </c>
      <c r="E245" s="1" t="s">
        <v>3419</v>
      </c>
      <c r="F245" s="1" t="s">
        <v>112</v>
      </c>
      <c r="G245" s="1">
        <v>924267</v>
      </c>
    </row>
    <row r="246" spans="1:7" x14ac:dyDescent="0.35">
      <c r="A246" s="1" t="str">
        <f t="shared" si="3"/>
        <v>4</v>
      </c>
      <c r="B2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6" s="1" t="s">
        <v>3420</v>
      </c>
      <c r="D246" s="1" t="s">
        <v>3421</v>
      </c>
      <c r="E246" s="1" t="s">
        <v>3422</v>
      </c>
      <c r="F246" s="1" t="s">
        <v>112</v>
      </c>
      <c r="G246" s="1">
        <v>608319</v>
      </c>
    </row>
    <row r="247" spans="1:7" x14ac:dyDescent="0.35">
      <c r="A247" s="1" t="str">
        <f t="shared" si="3"/>
        <v>4</v>
      </c>
      <c r="B2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7" s="1" t="s">
        <v>3423</v>
      </c>
      <c r="D247" s="1" t="s">
        <v>3424</v>
      </c>
      <c r="E247" s="1" t="s">
        <v>3425</v>
      </c>
      <c r="F247" s="1" t="s">
        <v>112</v>
      </c>
      <c r="G247" s="1">
        <v>1478576</v>
      </c>
    </row>
    <row r="248" spans="1:7" x14ac:dyDescent="0.35">
      <c r="A248" s="1" t="str">
        <f t="shared" si="3"/>
        <v>4</v>
      </c>
      <c r="B2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8" s="1" t="s">
        <v>3426</v>
      </c>
      <c r="D248" s="1" t="s">
        <v>294</v>
      </c>
      <c r="E248" s="1" t="s">
        <v>3427</v>
      </c>
      <c r="F248" s="1" t="s">
        <v>112</v>
      </c>
      <c r="G248" s="1">
        <v>483039</v>
      </c>
    </row>
    <row r="249" spans="1:7" x14ac:dyDescent="0.35">
      <c r="A249" s="1" t="str">
        <f t="shared" si="3"/>
        <v>4</v>
      </c>
      <c r="B2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9" s="1" t="s">
        <v>3428</v>
      </c>
      <c r="D249" s="1" t="s">
        <v>3429</v>
      </c>
      <c r="E249" s="1" t="s">
        <v>3430</v>
      </c>
      <c r="F249" s="1" t="s">
        <v>112</v>
      </c>
      <c r="G249" s="1">
        <v>1677096</v>
      </c>
    </row>
    <row r="250" spans="1:7" x14ac:dyDescent="0.35">
      <c r="A250" s="1" t="str">
        <f t="shared" si="3"/>
        <v>4</v>
      </c>
      <c r="B2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50" s="1" t="s">
        <v>3431</v>
      </c>
      <c r="D250" s="1" t="s">
        <v>3432</v>
      </c>
      <c r="E250" s="1" t="s">
        <v>3433</v>
      </c>
      <c r="F250" s="1" t="s">
        <v>112</v>
      </c>
      <c r="G250" s="1">
        <v>1888398</v>
      </c>
    </row>
    <row r="251" spans="1:7" x14ac:dyDescent="0.35">
      <c r="A251" s="1" t="str">
        <f t="shared" si="3"/>
        <v>4</v>
      </c>
      <c r="B2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51" s="1" t="s">
        <v>3434</v>
      </c>
      <c r="D251" s="1" t="s">
        <v>2520</v>
      </c>
      <c r="E251" s="1" t="s">
        <v>3435</v>
      </c>
      <c r="F251" s="1" t="s">
        <v>112</v>
      </c>
      <c r="G251" s="1">
        <v>1665718</v>
      </c>
    </row>
    <row r="252" spans="1:7" x14ac:dyDescent="0.35">
      <c r="A252" s="1" t="str">
        <f t="shared" si="3"/>
        <v>4</v>
      </c>
      <c r="B2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2" s="1" t="s">
        <v>3436</v>
      </c>
      <c r="D252" s="1" t="s">
        <v>3437</v>
      </c>
      <c r="E252" s="1" t="s">
        <v>3438</v>
      </c>
      <c r="F252" s="1" t="s">
        <v>112</v>
      </c>
      <c r="G252" s="1">
        <v>856933</v>
      </c>
    </row>
    <row r="253" spans="1:7" x14ac:dyDescent="0.35">
      <c r="A253" s="1" t="str">
        <f t="shared" si="3"/>
        <v>4</v>
      </c>
      <c r="B2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3" s="1" t="s">
        <v>3439</v>
      </c>
      <c r="D253" s="1" t="s">
        <v>3440</v>
      </c>
      <c r="E253" s="1" t="s">
        <v>3441</v>
      </c>
      <c r="F253" s="1" t="s">
        <v>112</v>
      </c>
      <c r="G253" s="1">
        <v>794985</v>
      </c>
    </row>
    <row r="254" spans="1:7" x14ac:dyDescent="0.35">
      <c r="A254" s="1" t="str">
        <f t="shared" si="3"/>
        <v>4</v>
      </c>
      <c r="B2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4" s="1" t="s">
        <v>3442</v>
      </c>
      <c r="D254" s="1" t="s">
        <v>297</v>
      </c>
      <c r="E254" s="1" t="s">
        <v>3443</v>
      </c>
      <c r="F254" s="1" t="s">
        <v>112</v>
      </c>
      <c r="G254" s="1">
        <v>745712</v>
      </c>
    </row>
    <row r="255" spans="1:7" x14ac:dyDescent="0.35">
      <c r="A255" s="1" t="str">
        <f t="shared" si="3"/>
        <v>4</v>
      </c>
      <c r="B2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5" s="1" t="s">
        <v>3444</v>
      </c>
      <c r="D255" s="1" t="s">
        <v>3445</v>
      </c>
      <c r="E255" s="1" t="s">
        <v>3446</v>
      </c>
      <c r="F255" s="1" t="s">
        <v>112</v>
      </c>
      <c r="G255" s="1">
        <v>881397</v>
      </c>
    </row>
    <row r="256" spans="1:7" x14ac:dyDescent="0.35">
      <c r="A256" s="1" t="str">
        <f t="shared" si="3"/>
        <v>4</v>
      </c>
      <c r="B2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6" s="1" t="s">
        <v>3447</v>
      </c>
      <c r="D256" s="1" t="s">
        <v>3448</v>
      </c>
      <c r="E256" s="1" t="s">
        <v>3449</v>
      </c>
      <c r="F256" s="1" t="s">
        <v>112</v>
      </c>
      <c r="G256" s="1">
        <v>534150</v>
      </c>
    </row>
    <row r="257" spans="1:8" x14ac:dyDescent="0.35">
      <c r="A257" s="1" t="str">
        <f t="shared" si="3"/>
        <v>4</v>
      </c>
      <c r="B2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7" s="1" t="s">
        <v>3450</v>
      </c>
      <c r="D257" s="1" t="s">
        <v>3451</v>
      </c>
      <c r="E257" s="1" t="s">
        <v>3452</v>
      </c>
      <c r="F257" s="1" t="s">
        <v>112</v>
      </c>
      <c r="G257" s="1">
        <v>973994</v>
      </c>
    </row>
    <row r="258" spans="1:8" x14ac:dyDescent="0.35">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8" s="1" t="s">
        <v>112</v>
      </c>
    </row>
    <row r="259" spans="1:8" x14ac:dyDescent="0.35">
      <c r="A259" s="1" t="str">
        <f t="shared" si="4"/>
        <v/>
      </c>
      <c r="B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9" s="1" t="s">
        <v>239</v>
      </c>
      <c r="D259" s="1" t="s">
        <v>112</v>
      </c>
      <c r="E259" s="1" t="s">
        <v>240</v>
      </c>
      <c r="F259" s="1" t="s">
        <v>241</v>
      </c>
      <c r="G259" s="1" t="s">
        <v>242</v>
      </c>
      <c r="H259" s="1" t="s">
        <v>243</v>
      </c>
    </row>
    <row r="260" spans="1:8" x14ac:dyDescent="0.35">
      <c r="A260" s="1" t="str">
        <f t="shared" si="4"/>
        <v>4</v>
      </c>
      <c r="B2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60" s="1" t="s">
        <v>3453</v>
      </c>
      <c r="D260" s="1" t="s">
        <v>112</v>
      </c>
      <c r="E260" s="1" t="s">
        <v>3454</v>
      </c>
      <c r="F260" s="1" t="s">
        <v>3455</v>
      </c>
      <c r="G260" s="1" t="s">
        <v>3456</v>
      </c>
      <c r="H260" s="1" t="s">
        <v>3457</v>
      </c>
    </row>
    <row r="261" spans="1:8" x14ac:dyDescent="0.35">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1" s="1" t="s">
        <v>112</v>
      </c>
    </row>
    <row r="262" spans="1:8" x14ac:dyDescent="0.35">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2" s="1" t="s">
        <v>112</v>
      </c>
    </row>
    <row r="263" spans="1:8" x14ac:dyDescent="0.35">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3" s="1" t="s">
        <v>112</v>
      </c>
    </row>
    <row r="264" spans="1:8" x14ac:dyDescent="0.35">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4" s="1" t="s">
        <v>112</v>
      </c>
    </row>
    <row r="265" spans="1:8" x14ac:dyDescent="0.35">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5" s="1" t="s">
        <v>112</v>
      </c>
    </row>
    <row r="266" spans="1:8" x14ac:dyDescent="0.35">
      <c r="A266" s="1" t="str">
        <f t="shared" si="4"/>
        <v/>
      </c>
      <c r="B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6" s="1" t="s">
        <v>172</v>
      </c>
      <c r="D266" s="1" t="s">
        <v>110</v>
      </c>
      <c r="E266" s="1" t="s">
        <v>111</v>
      </c>
      <c r="F266" s="1" t="s">
        <v>112</v>
      </c>
      <c r="G266" s="1" t="s">
        <v>113</v>
      </c>
    </row>
    <row r="267" spans="1:8" x14ac:dyDescent="0.35">
      <c r="A267" s="1" t="str">
        <f t="shared" si="4"/>
        <v>5</v>
      </c>
      <c r="B2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7" s="1" t="s">
        <v>3458</v>
      </c>
      <c r="D267" s="1" t="s">
        <v>3459</v>
      </c>
      <c r="E267" s="1" t="s">
        <v>3460</v>
      </c>
      <c r="F267" s="1" t="s">
        <v>112</v>
      </c>
      <c r="G267" s="1">
        <v>1511670</v>
      </c>
    </row>
    <row r="268" spans="1:8" x14ac:dyDescent="0.35">
      <c r="A268" s="1" t="str">
        <f t="shared" si="4"/>
        <v>5</v>
      </c>
      <c r="B2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8" s="1" t="s">
        <v>3461</v>
      </c>
      <c r="D268" s="1" t="s">
        <v>3462</v>
      </c>
      <c r="E268" s="1" t="s">
        <v>3463</v>
      </c>
      <c r="F268" s="1" t="s">
        <v>112</v>
      </c>
      <c r="G268" s="1">
        <v>1635674</v>
      </c>
    </row>
    <row r="269" spans="1:8" x14ac:dyDescent="0.35">
      <c r="A269" s="1" t="str">
        <f t="shared" si="4"/>
        <v>5</v>
      </c>
      <c r="B2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9" s="1" t="s">
        <v>3464</v>
      </c>
      <c r="D269" s="1" t="s">
        <v>3465</v>
      </c>
      <c r="E269" s="1" t="s">
        <v>3466</v>
      </c>
      <c r="F269" s="1" t="s">
        <v>112</v>
      </c>
      <c r="G269" s="1">
        <v>1808973</v>
      </c>
    </row>
    <row r="270" spans="1:8" x14ac:dyDescent="0.35">
      <c r="A270" s="1" t="str">
        <f t="shared" si="4"/>
        <v>5</v>
      </c>
      <c r="B2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0" s="1" t="s">
        <v>3467</v>
      </c>
      <c r="D270" s="1" t="s">
        <v>3468</v>
      </c>
      <c r="E270" s="1" t="s">
        <v>3469</v>
      </c>
      <c r="F270" s="1" t="s">
        <v>112</v>
      </c>
      <c r="G270" s="1">
        <v>2433861</v>
      </c>
    </row>
    <row r="271" spans="1:8" x14ac:dyDescent="0.35">
      <c r="A271" s="1" t="str">
        <f t="shared" si="4"/>
        <v>5</v>
      </c>
      <c r="B2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1" s="1" t="s">
        <v>3470</v>
      </c>
      <c r="D271" s="1" t="s">
        <v>3471</v>
      </c>
      <c r="E271" s="1" t="s">
        <v>3472</v>
      </c>
      <c r="F271" s="1" t="s">
        <v>112</v>
      </c>
      <c r="G271" s="1">
        <v>2663765</v>
      </c>
    </row>
    <row r="272" spans="1:8" x14ac:dyDescent="0.35">
      <c r="A272" s="1" t="str">
        <f t="shared" si="4"/>
        <v>5</v>
      </c>
      <c r="B2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2" s="1" t="s">
        <v>3473</v>
      </c>
      <c r="D272" s="1" t="s">
        <v>3474</v>
      </c>
      <c r="E272" s="1" t="s">
        <v>3475</v>
      </c>
      <c r="F272" s="1" t="s">
        <v>112</v>
      </c>
      <c r="G272" s="1">
        <v>2754827</v>
      </c>
    </row>
    <row r="273" spans="1:7" x14ac:dyDescent="0.35">
      <c r="A273" s="1" t="str">
        <f t="shared" si="4"/>
        <v>5</v>
      </c>
      <c r="B2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3" s="1" t="s">
        <v>3476</v>
      </c>
      <c r="D273" s="1" t="s">
        <v>3477</v>
      </c>
      <c r="E273" s="1" t="s">
        <v>3478</v>
      </c>
      <c r="F273" s="1" t="s">
        <v>112</v>
      </c>
      <c r="G273" s="1">
        <v>1981298</v>
      </c>
    </row>
    <row r="274" spans="1:7" x14ac:dyDescent="0.35">
      <c r="A274" s="1" t="str">
        <f t="shared" si="4"/>
        <v>5</v>
      </c>
      <c r="B2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4" s="1" t="s">
        <v>3479</v>
      </c>
      <c r="D274" s="1" t="s">
        <v>3480</v>
      </c>
      <c r="E274" s="1" t="s">
        <v>3481</v>
      </c>
      <c r="F274" s="1" t="s">
        <v>112</v>
      </c>
      <c r="G274" s="1">
        <v>2096975</v>
      </c>
    </row>
    <row r="275" spans="1:7" x14ac:dyDescent="0.35">
      <c r="A275" s="1" t="str">
        <f t="shared" si="4"/>
        <v>5</v>
      </c>
      <c r="B2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5" s="1" t="s">
        <v>3482</v>
      </c>
      <c r="D275" s="1" t="s">
        <v>3483</v>
      </c>
      <c r="E275" s="1" t="s">
        <v>3484</v>
      </c>
      <c r="F275" s="1" t="s">
        <v>112</v>
      </c>
      <c r="G275" s="1">
        <v>1909703</v>
      </c>
    </row>
    <row r="276" spans="1:7" x14ac:dyDescent="0.35">
      <c r="A276" s="1" t="str">
        <f t="shared" si="4"/>
        <v>5</v>
      </c>
      <c r="B2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6" s="1" t="s">
        <v>3485</v>
      </c>
      <c r="D276" s="1" t="s">
        <v>3486</v>
      </c>
      <c r="E276" s="1" t="s">
        <v>3487</v>
      </c>
      <c r="F276" s="1" t="s">
        <v>112</v>
      </c>
      <c r="G276" s="1">
        <v>2094877</v>
      </c>
    </row>
    <row r="277" spans="1:7" x14ac:dyDescent="0.35">
      <c r="A277" s="1" t="str">
        <f t="shared" si="4"/>
        <v>5</v>
      </c>
      <c r="B2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7" s="1" t="s">
        <v>3488</v>
      </c>
      <c r="D277" s="1" t="s">
        <v>3489</v>
      </c>
      <c r="E277" s="1" t="s">
        <v>3490</v>
      </c>
      <c r="F277" s="1" t="s">
        <v>112</v>
      </c>
      <c r="G277" s="1">
        <v>1818815</v>
      </c>
    </row>
    <row r="278" spans="1:7" x14ac:dyDescent="0.35">
      <c r="A278" s="1" t="str">
        <f t="shared" si="4"/>
        <v>5</v>
      </c>
      <c r="B2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8" s="1" t="s">
        <v>3491</v>
      </c>
      <c r="D278" s="1" t="s">
        <v>3492</v>
      </c>
      <c r="E278" s="1" t="s">
        <v>3493</v>
      </c>
      <c r="F278" s="1" t="s">
        <v>112</v>
      </c>
      <c r="G278" s="1">
        <v>2106579</v>
      </c>
    </row>
    <row r="279" spans="1:7" x14ac:dyDescent="0.35">
      <c r="A279" s="1" t="str">
        <f t="shared" si="4"/>
        <v>5</v>
      </c>
      <c r="B2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9" s="1" t="s">
        <v>3494</v>
      </c>
      <c r="D279" s="1" t="s">
        <v>3495</v>
      </c>
      <c r="E279" s="1" t="s">
        <v>3496</v>
      </c>
      <c r="F279" s="1" t="s">
        <v>112</v>
      </c>
      <c r="G279" s="1">
        <v>2407104</v>
      </c>
    </row>
    <row r="280" spans="1:7" x14ac:dyDescent="0.35">
      <c r="A280" s="1" t="str">
        <f t="shared" si="4"/>
        <v>5</v>
      </c>
      <c r="B2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80" s="1" t="s">
        <v>3497</v>
      </c>
      <c r="D280" s="1" t="s">
        <v>3498</v>
      </c>
      <c r="E280" s="1" t="s">
        <v>3499</v>
      </c>
      <c r="F280" s="1" t="s">
        <v>112</v>
      </c>
      <c r="G280" s="1">
        <v>1785137</v>
      </c>
    </row>
    <row r="281" spans="1:7" x14ac:dyDescent="0.35">
      <c r="A281" s="1" t="str">
        <f t="shared" si="4"/>
        <v>5</v>
      </c>
      <c r="B2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81" s="1" t="s">
        <v>3500</v>
      </c>
      <c r="D281" s="1" t="s">
        <v>3501</v>
      </c>
      <c r="E281" s="1" t="s">
        <v>3502</v>
      </c>
      <c r="F281" s="1" t="s">
        <v>112</v>
      </c>
      <c r="G281" s="1">
        <v>1524951</v>
      </c>
    </row>
    <row r="282" spans="1:7" x14ac:dyDescent="0.35">
      <c r="A282" s="1" t="str">
        <f t="shared" si="4"/>
        <v>5</v>
      </c>
      <c r="B2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2" s="1" t="s">
        <v>3503</v>
      </c>
    </row>
    <row r="283" spans="1:7" x14ac:dyDescent="0.35">
      <c r="A283" s="1" t="str">
        <f t="shared" si="4"/>
        <v>5</v>
      </c>
      <c r="B2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3" s="1" t="s">
        <v>3504</v>
      </c>
    </row>
    <row r="284" spans="1:7" x14ac:dyDescent="0.35">
      <c r="A284" s="1" t="str">
        <f t="shared" si="4"/>
        <v>5</v>
      </c>
      <c r="B2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4" s="1" t="s">
        <v>3505</v>
      </c>
    </row>
    <row r="285" spans="1:7" x14ac:dyDescent="0.35">
      <c r="A285" s="1" t="str">
        <f t="shared" si="4"/>
        <v>5</v>
      </c>
      <c r="B2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5" s="1" t="s">
        <v>3506</v>
      </c>
      <c r="D285" s="1" t="s">
        <v>3507</v>
      </c>
      <c r="E285" s="1" t="s">
        <v>3508</v>
      </c>
      <c r="F285" s="1" t="s">
        <v>112</v>
      </c>
      <c r="G285" s="1">
        <v>2693506</v>
      </c>
    </row>
    <row r="286" spans="1:7" x14ac:dyDescent="0.35">
      <c r="A286" s="1" t="str">
        <f t="shared" si="4"/>
        <v>5</v>
      </c>
      <c r="B2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6" s="1" t="s">
        <v>3509</v>
      </c>
      <c r="D286" s="1" t="s">
        <v>3510</v>
      </c>
      <c r="E286" s="1" t="s">
        <v>3511</v>
      </c>
      <c r="F286" s="1" t="s">
        <v>112</v>
      </c>
      <c r="G286" s="1">
        <v>3009519</v>
      </c>
    </row>
    <row r="287" spans="1:7" x14ac:dyDescent="0.35">
      <c r="A287" s="1" t="str">
        <f t="shared" si="4"/>
        <v>5</v>
      </c>
      <c r="B2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7" s="1" t="s">
        <v>3512</v>
      </c>
      <c r="D287" s="1" t="s">
        <v>3513</v>
      </c>
      <c r="E287" s="1" t="s">
        <v>3514</v>
      </c>
      <c r="F287" s="1" t="s">
        <v>112</v>
      </c>
      <c r="G287" s="1">
        <v>2968119</v>
      </c>
    </row>
    <row r="288" spans="1:7" x14ac:dyDescent="0.35">
      <c r="A288" s="1" t="str">
        <f t="shared" si="4"/>
        <v>5</v>
      </c>
      <c r="B2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8" s="1" t="s">
        <v>3515</v>
      </c>
      <c r="D288" s="1" t="s">
        <v>3516</v>
      </c>
      <c r="E288" s="1" t="s">
        <v>3517</v>
      </c>
      <c r="F288" s="1" t="s">
        <v>112</v>
      </c>
      <c r="G288" s="1">
        <v>1370643</v>
      </c>
    </row>
    <row r="289" spans="1:8" x14ac:dyDescent="0.35">
      <c r="A289" s="1" t="str">
        <f t="shared" si="4"/>
        <v>5</v>
      </c>
      <c r="B2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9" s="1" t="s">
        <v>3518</v>
      </c>
      <c r="D289" s="1" t="s">
        <v>3519</v>
      </c>
      <c r="E289" s="1" t="s">
        <v>3520</v>
      </c>
      <c r="F289" s="1" t="s">
        <v>112</v>
      </c>
      <c r="G289" s="1">
        <v>662978</v>
      </c>
    </row>
    <row r="290" spans="1:8" x14ac:dyDescent="0.35">
      <c r="A290" s="1" t="str">
        <f t="shared" si="4"/>
        <v>5</v>
      </c>
      <c r="B2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90" s="1" t="s">
        <v>3521</v>
      </c>
      <c r="D290" s="1" t="s">
        <v>3522</v>
      </c>
      <c r="E290" s="1" t="s">
        <v>3523</v>
      </c>
      <c r="F290" s="1" t="s">
        <v>112</v>
      </c>
      <c r="G290" s="1">
        <v>1272487</v>
      </c>
    </row>
    <row r="291" spans="1:8" x14ac:dyDescent="0.35">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1" s="1" t="s">
        <v>112</v>
      </c>
    </row>
    <row r="292" spans="1:8" x14ac:dyDescent="0.35">
      <c r="A292" s="1" t="str">
        <f t="shared" si="4"/>
        <v/>
      </c>
      <c r="B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2" s="1" t="s">
        <v>239</v>
      </c>
      <c r="D292" s="1" t="s">
        <v>112</v>
      </c>
      <c r="E292" s="1" t="s">
        <v>240</v>
      </c>
      <c r="F292" s="1" t="s">
        <v>241</v>
      </c>
      <c r="G292" s="1" t="s">
        <v>242</v>
      </c>
      <c r="H292" s="1" t="s">
        <v>243</v>
      </c>
    </row>
    <row r="293" spans="1:8" x14ac:dyDescent="0.35">
      <c r="A293" s="1" t="str">
        <f t="shared" si="4"/>
        <v>5</v>
      </c>
      <c r="B2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93" s="1" t="s">
        <v>3524</v>
      </c>
      <c r="D293" s="1" t="s">
        <v>112</v>
      </c>
      <c r="E293" s="1" t="s">
        <v>3525</v>
      </c>
      <c r="F293" s="1" t="s">
        <v>3526</v>
      </c>
      <c r="G293" s="1" t="s">
        <v>3527</v>
      </c>
      <c r="H293" s="1" t="s">
        <v>3528</v>
      </c>
    </row>
    <row r="294" spans="1:8" x14ac:dyDescent="0.35">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4" s="1" t="s">
        <v>112</v>
      </c>
    </row>
    <row r="295" spans="1:8" x14ac:dyDescent="0.35">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5" s="1" t="s">
        <v>112</v>
      </c>
    </row>
    <row r="296" spans="1:8" x14ac:dyDescent="0.35">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6" s="1" t="s">
        <v>112</v>
      </c>
    </row>
    <row r="297" spans="1:8" x14ac:dyDescent="0.35">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7" s="1" t="s">
        <v>112</v>
      </c>
    </row>
    <row r="298" spans="1:8" x14ac:dyDescent="0.35">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8" s="1" t="s">
        <v>112</v>
      </c>
    </row>
    <row r="299" spans="1:8" x14ac:dyDescent="0.35">
      <c r="A299" s="1" t="str">
        <f t="shared" si="4"/>
        <v/>
      </c>
      <c r="B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9" s="1" t="s">
        <v>172</v>
      </c>
      <c r="D299" s="1" t="s">
        <v>110</v>
      </c>
      <c r="E299" s="1" t="s">
        <v>111</v>
      </c>
      <c r="F299" s="1" t="s">
        <v>112</v>
      </c>
      <c r="G299" s="1" t="s">
        <v>113</v>
      </c>
    </row>
    <row r="300" spans="1:8" x14ac:dyDescent="0.35">
      <c r="A300" s="1" t="str">
        <f t="shared" si="4"/>
        <v>6</v>
      </c>
      <c r="B3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0" s="1" t="s">
        <v>3529</v>
      </c>
      <c r="D300" s="1" t="s">
        <v>3530</v>
      </c>
      <c r="E300" s="1" t="s">
        <v>3531</v>
      </c>
      <c r="F300" s="1" t="s">
        <v>112</v>
      </c>
      <c r="G300" s="1">
        <v>3484619</v>
      </c>
    </row>
    <row r="301" spans="1:8" x14ac:dyDescent="0.35">
      <c r="A301" s="1" t="str">
        <f t="shared" si="4"/>
        <v>6</v>
      </c>
      <c r="B3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1" s="1" t="s">
        <v>3532</v>
      </c>
      <c r="D301" s="1" t="s">
        <v>3533</v>
      </c>
      <c r="E301" s="1" t="s">
        <v>3534</v>
      </c>
      <c r="F301" s="1" t="s">
        <v>112</v>
      </c>
      <c r="G301" s="1">
        <v>4037458</v>
      </c>
    </row>
    <row r="302" spans="1:8" x14ac:dyDescent="0.35">
      <c r="A302" s="1" t="str">
        <f t="shared" si="4"/>
        <v>6</v>
      </c>
      <c r="B3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2" s="1" t="s">
        <v>3535</v>
      </c>
      <c r="D302" s="1" t="s">
        <v>3536</v>
      </c>
      <c r="E302" s="1" t="s">
        <v>3537</v>
      </c>
      <c r="F302" s="1" t="s">
        <v>112</v>
      </c>
      <c r="G302" s="1">
        <v>3689519</v>
      </c>
    </row>
    <row r="303" spans="1:8" x14ac:dyDescent="0.35">
      <c r="A303" s="1" t="str">
        <f t="shared" si="4"/>
        <v>6</v>
      </c>
      <c r="B3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3" s="1" t="s">
        <v>3538</v>
      </c>
      <c r="D303" s="1" t="s">
        <v>1794</v>
      </c>
      <c r="E303" s="1" t="s">
        <v>3539</v>
      </c>
      <c r="F303" s="1" t="s">
        <v>112</v>
      </c>
      <c r="G303" s="1">
        <v>2166234</v>
      </c>
    </row>
    <row r="304" spans="1:8" x14ac:dyDescent="0.35">
      <c r="A304" s="1" t="str">
        <f t="shared" si="4"/>
        <v>6</v>
      </c>
      <c r="B3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4" s="1" t="s">
        <v>3540</v>
      </c>
      <c r="D304" s="1" t="s">
        <v>1441</v>
      </c>
      <c r="E304" s="1" t="s">
        <v>3541</v>
      </c>
      <c r="F304" s="1" t="s">
        <v>112</v>
      </c>
      <c r="G304" s="1">
        <v>2034703</v>
      </c>
    </row>
    <row r="305" spans="1:7" x14ac:dyDescent="0.35">
      <c r="A305" s="1" t="str">
        <f t="shared" si="4"/>
        <v>6</v>
      </c>
      <c r="B3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5" s="1" t="s">
        <v>3542</v>
      </c>
    </row>
    <row r="306" spans="1:7" x14ac:dyDescent="0.35">
      <c r="A306" s="1" t="str">
        <f t="shared" si="4"/>
        <v>6</v>
      </c>
      <c r="B3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6" s="1" t="s">
        <v>3543</v>
      </c>
      <c r="D306" s="1" t="s">
        <v>3544</v>
      </c>
      <c r="E306" s="1" t="s">
        <v>3545</v>
      </c>
      <c r="F306" s="1" t="s">
        <v>112</v>
      </c>
      <c r="G306" s="1">
        <v>2352511</v>
      </c>
    </row>
    <row r="307" spans="1:7" x14ac:dyDescent="0.35">
      <c r="A307" s="1" t="str">
        <f t="shared" si="4"/>
        <v>6</v>
      </c>
      <c r="B3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7" s="1" t="s">
        <v>3546</v>
      </c>
      <c r="D307" s="1" t="s">
        <v>3547</v>
      </c>
      <c r="E307" s="1" t="s">
        <v>3548</v>
      </c>
      <c r="F307" s="1" t="s">
        <v>112</v>
      </c>
      <c r="G307" s="1">
        <v>2468750</v>
      </c>
    </row>
    <row r="308" spans="1:7" x14ac:dyDescent="0.35">
      <c r="A308" s="1" t="str">
        <f t="shared" si="4"/>
        <v>6</v>
      </c>
      <c r="B3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8" s="1" t="s">
        <v>3549</v>
      </c>
      <c r="D308" s="1" t="s">
        <v>3550</v>
      </c>
      <c r="E308" s="1" t="s">
        <v>3551</v>
      </c>
      <c r="F308" s="1" t="s">
        <v>112</v>
      </c>
      <c r="G308" s="1">
        <v>2290260</v>
      </c>
    </row>
    <row r="309" spans="1:7" x14ac:dyDescent="0.35">
      <c r="A309" s="1" t="str">
        <f t="shared" si="4"/>
        <v>6</v>
      </c>
      <c r="B3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9" s="1" t="s">
        <v>3552</v>
      </c>
    </row>
    <row r="310" spans="1:7" x14ac:dyDescent="0.35">
      <c r="A310" s="1" t="str">
        <f t="shared" si="4"/>
        <v>6</v>
      </c>
      <c r="B3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10" s="1" t="s">
        <v>3553</v>
      </c>
    </row>
    <row r="311" spans="1:7" x14ac:dyDescent="0.35">
      <c r="A311" s="1" t="str">
        <f t="shared" si="4"/>
        <v>6</v>
      </c>
      <c r="B3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11" s="1" t="s">
        <v>3554</v>
      </c>
    </row>
    <row r="312" spans="1:7" x14ac:dyDescent="0.35">
      <c r="A312" s="1" t="str">
        <f t="shared" si="4"/>
        <v>6</v>
      </c>
      <c r="B3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2" s="1" t="s">
        <v>3555</v>
      </c>
      <c r="D312" s="1" t="s">
        <v>3556</v>
      </c>
      <c r="E312" s="1" t="s">
        <v>3557</v>
      </c>
      <c r="F312" s="1" t="s">
        <v>112</v>
      </c>
      <c r="G312" s="1">
        <v>4302878</v>
      </c>
    </row>
    <row r="313" spans="1:7" x14ac:dyDescent="0.35">
      <c r="A313" s="1" t="str">
        <f t="shared" si="4"/>
        <v>6</v>
      </c>
      <c r="B3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3" s="1" t="s">
        <v>3558</v>
      </c>
      <c r="D313" s="1" t="s">
        <v>3559</v>
      </c>
      <c r="E313" s="1" t="s">
        <v>3560</v>
      </c>
      <c r="F313" s="1" t="s">
        <v>112</v>
      </c>
      <c r="G313" s="1">
        <v>3801324</v>
      </c>
    </row>
    <row r="314" spans="1:7" x14ac:dyDescent="0.35">
      <c r="A314" s="1" t="str">
        <f t="shared" si="4"/>
        <v>6</v>
      </c>
      <c r="B3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4" s="1" t="s">
        <v>3561</v>
      </c>
      <c r="D314" s="1" t="s">
        <v>3562</v>
      </c>
      <c r="E314" s="1" t="s">
        <v>3563</v>
      </c>
      <c r="F314" s="1" t="s">
        <v>112</v>
      </c>
      <c r="G314" s="1">
        <v>4475420</v>
      </c>
    </row>
    <row r="315" spans="1:7" x14ac:dyDescent="0.35">
      <c r="A315" s="1" t="str">
        <f t="shared" si="4"/>
        <v>6</v>
      </c>
      <c r="B3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5" s="1" t="s">
        <v>3564</v>
      </c>
      <c r="D315" s="1" t="s">
        <v>3565</v>
      </c>
      <c r="E315" s="1" t="s">
        <v>3566</v>
      </c>
      <c r="F315" s="1" t="s">
        <v>112</v>
      </c>
      <c r="G315" s="1">
        <v>3404459</v>
      </c>
    </row>
    <row r="316" spans="1:7" x14ac:dyDescent="0.35">
      <c r="A316" s="1" t="str">
        <f t="shared" si="4"/>
        <v>6</v>
      </c>
      <c r="B3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6" s="1" t="s">
        <v>3567</v>
      </c>
      <c r="D316" s="1" t="s">
        <v>2319</v>
      </c>
      <c r="E316" s="1" t="s">
        <v>3568</v>
      </c>
      <c r="F316" s="1" t="s">
        <v>112</v>
      </c>
      <c r="G316" s="1">
        <v>3198953</v>
      </c>
    </row>
    <row r="317" spans="1:7" x14ac:dyDescent="0.35">
      <c r="A317" s="1" t="str">
        <f t="shared" si="4"/>
        <v>6</v>
      </c>
      <c r="B3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7" s="1" t="s">
        <v>3569</v>
      </c>
      <c r="D317" s="1" t="s">
        <v>3570</v>
      </c>
      <c r="E317" s="1" t="s">
        <v>3571</v>
      </c>
      <c r="F317" s="1" t="s">
        <v>112</v>
      </c>
      <c r="G317" s="1">
        <v>3379217</v>
      </c>
    </row>
    <row r="318" spans="1:7" x14ac:dyDescent="0.35">
      <c r="A318" s="1" t="str">
        <f t="shared" si="4"/>
        <v>6</v>
      </c>
      <c r="B3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8" s="1" t="s">
        <v>3572</v>
      </c>
      <c r="D318" s="1" t="s">
        <v>3573</v>
      </c>
      <c r="E318" s="1" t="s">
        <v>3574</v>
      </c>
      <c r="F318" s="1" t="s">
        <v>112</v>
      </c>
      <c r="G318" s="1">
        <v>2991436</v>
      </c>
    </row>
    <row r="319" spans="1:7" x14ac:dyDescent="0.35">
      <c r="A319" s="1" t="str">
        <f t="shared" si="4"/>
        <v>6</v>
      </c>
      <c r="B3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9" s="1" t="s">
        <v>3575</v>
      </c>
      <c r="D319" s="1" t="s">
        <v>3576</v>
      </c>
      <c r="E319" s="1" t="s">
        <v>3577</v>
      </c>
      <c r="F319" s="1" t="s">
        <v>112</v>
      </c>
      <c r="G319" s="1">
        <v>2960311</v>
      </c>
    </row>
    <row r="320" spans="1:7" x14ac:dyDescent="0.35">
      <c r="A320" s="1" t="str">
        <f t="shared" si="4"/>
        <v>6</v>
      </c>
      <c r="B3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20" s="1" t="s">
        <v>3578</v>
      </c>
      <c r="D320" s="1" t="s">
        <v>3579</v>
      </c>
      <c r="E320" s="1" t="s">
        <v>3580</v>
      </c>
      <c r="F320" s="1" t="s">
        <v>112</v>
      </c>
      <c r="G320" s="1">
        <v>3252920</v>
      </c>
    </row>
    <row r="321" spans="1:8" x14ac:dyDescent="0.35">
      <c r="A321" s="1" t="str">
        <f t="shared" si="4"/>
        <v>6</v>
      </c>
      <c r="B3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1" s="1" t="s">
        <v>3581</v>
      </c>
      <c r="D321" s="1" t="s">
        <v>3582</v>
      </c>
      <c r="E321" s="1" t="s">
        <v>3583</v>
      </c>
      <c r="F321" s="1" t="s">
        <v>112</v>
      </c>
      <c r="G321" s="1">
        <v>3107978</v>
      </c>
    </row>
    <row r="322" spans="1:8" x14ac:dyDescent="0.35">
      <c r="A322" s="1" t="str">
        <f t="shared" ref="A322:A385" si="5">IFERROR(LEFT(RIGHT(C322,LEN(C322)-SEARCH("@",C322)),SEARCH("/",RIGHT(C322,LEN(C322)-SEARCH("@",C322)-1))),"")</f>
        <v>6</v>
      </c>
      <c r="B3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2" s="1" t="s">
        <v>3584</v>
      </c>
      <c r="D322" s="1" t="s">
        <v>3585</v>
      </c>
      <c r="E322" s="1" t="s">
        <v>3586</v>
      </c>
      <c r="F322" s="1" t="s">
        <v>112</v>
      </c>
      <c r="G322" s="1">
        <v>3031992</v>
      </c>
    </row>
    <row r="323" spans="1:8" x14ac:dyDescent="0.35">
      <c r="A323" s="1" t="str">
        <f t="shared" si="5"/>
        <v>6</v>
      </c>
      <c r="B3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3" s="1" t="s">
        <v>3587</v>
      </c>
      <c r="D323" s="1" t="s">
        <v>3588</v>
      </c>
      <c r="E323" s="1" t="s">
        <v>3589</v>
      </c>
      <c r="F323" s="1" t="s">
        <v>112</v>
      </c>
      <c r="G323" s="1">
        <v>3198672</v>
      </c>
    </row>
    <row r="324" spans="1:8" x14ac:dyDescent="0.35">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4" s="1" t="s">
        <v>112</v>
      </c>
    </row>
    <row r="325" spans="1:8" x14ac:dyDescent="0.35">
      <c r="A325" s="1" t="str">
        <f t="shared" si="5"/>
        <v/>
      </c>
      <c r="B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5" s="1" t="s">
        <v>239</v>
      </c>
      <c r="D325" s="1" t="s">
        <v>112</v>
      </c>
      <c r="E325" s="1" t="s">
        <v>240</v>
      </c>
      <c r="F325" s="1" t="s">
        <v>241</v>
      </c>
      <c r="G325" s="1" t="s">
        <v>242</v>
      </c>
      <c r="H325" s="1" t="s">
        <v>243</v>
      </c>
    </row>
    <row r="326" spans="1:8" x14ac:dyDescent="0.35">
      <c r="A326" s="1" t="str">
        <f t="shared" si="5"/>
        <v>6</v>
      </c>
      <c r="B3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26" s="1" t="s">
        <v>3590</v>
      </c>
      <c r="D326" s="1" t="s">
        <v>112</v>
      </c>
      <c r="E326" s="1" t="s">
        <v>3591</v>
      </c>
      <c r="F326" s="1" t="s">
        <v>3592</v>
      </c>
      <c r="G326" s="1" t="s">
        <v>3593</v>
      </c>
      <c r="H326" s="1" t="s">
        <v>3594</v>
      </c>
    </row>
    <row r="327" spans="1:8" x14ac:dyDescent="0.35">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7" s="1" t="s">
        <v>112</v>
      </c>
    </row>
    <row r="328" spans="1:8" x14ac:dyDescent="0.35">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8" s="1" t="s">
        <v>112</v>
      </c>
    </row>
    <row r="329" spans="1:8" x14ac:dyDescent="0.35">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9" s="1" t="s">
        <v>112</v>
      </c>
    </row>
    <row r="330" spans="1:8" x14ac:dyDescent="0.35">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0" s="1" t="s">
        <v>112</v>
      </c>
    </row>
    <row r="331" spans="1:8" x14ac:dyDescent="0.35">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1" s="1" t="s">
        <v>112</v>
      </c>
    </row>
    <row r="332" spans="1:8" x14ac:dyDescent="0.35">
      <c r="A332" s="1" t="str">
        <f t="shared" si="5"/>
        <v/>
      </c>
      <c r="B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2" s="1" t="s">
        <v>172</v>
      </c>
      <c r="D332" s="1" t="s">
        <v>110</v>
      </c>
      <c r="E332" s="1" t="s">
        <v>111</v>
      </c>
      <c r="F332" s="1" t="s">
        <v>112</v>
      </c>
      <c r="G332" s="1" t="s">
        <v>113</v>
      </c>
    </row>
    <row r="333" spans="1:8" x14ac:dyDescent="0.35">
      <c r="A333" s="1" t="str">
        <f t="shared" si="5"/>
        <v>7</v>
      </c>
      <c r="B3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3" s="1" t="s">
        <v>3595</v>
      </c>
      <c r="D333" s="1" t="s">
        <v>3596</v>
      </c>
      <c r="E333" s="1" t="s">
        <v>3597</v>
      </c>
      <c r="F333" s="1" t="s">
        <v>112</v>
      </c>
      <c r="G333" s="1">
        <v>2565370</v>
      </c>
    </row>
    <row r="334" spans="1:8" x14ac:dyDescent="0.35">
      <c r="A334" s="1" t="str">
        <f t="shared" si="5"/>
        <v>7</v>
      </c>
      <c r="B3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4" s="1" t="s">
        <v>3598</v>
      </c>
      <c r="D334" s="1" t="s">
        <v>3599</v>
      </c>
      <c r="E334" s="1" t="s">
        <v>3600</v>
      </c>
      <c r="F334" s="1" t="s">
        <v>112</v>
      </c>
      <c r="G334" s="1">
        <v>2970953</v>
      </c>
    </row>
    <row r="335" spans="1:8" x14ac:dyDescent="0.35">
      <c r="A335" s="1" t="str">
        <f t="shared" si="5"/>
        <v>7</v>
      </c>
      <c r="B3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5" s="1" t="s">
        <v>3601</v>
      </c>
      <c r="D335" s="1" t="s">
        <v>3507</v>
      </c>
      <c r="E335" s="1" t="s">
        <v>3602</v>
      </c>
      <c r="F335" s="1" t="s">
        <v>112</v>
      </c>
      <c r="G335" s="1">
        <v>2781453</v>
      </c>
    </row>
    <row r="336" spans="1:8" x14ac:dyDescent="0.35">
      <c r="A336" s="1" t="str">
        <f t="shared" si="5"/>
        <v>7</v>
      </c>
      <c r="B3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6" s="1" t="s">
        <v>3603</v>
      </c>
      <c r="D336" s="1" t="s">
        <v>3604</v>
      </c>
      <c r="E336" s="1" t="s">
        <v>3605</v>
      </c>
      <c r="F336" s="1" t="s">
        <v>112</v>
      </c>
      <c r="G336" s="1">
        <v>2094769</v>
      </c>
    </row>
    <row r="337" spans="1:7" x14ac:dyDescent="0.35">
      <c r="A337" s="1" t="str">
        <f t="shared" si="5"/>
        <v>7</v>
      </c>
      <c r="B3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7" s="1" t="s">
        <v>3606</v>
      </c>
      <c r="D337" s="1" t="s">
        <v>3607</v>
      </c>
      <c r="E337" s="1" t="s">
        <v>3608</v>
      </c>
      <c r="F337" s="1" t="s">
        <v>112</v>
      </c>
      <c r="G337" s="1">
        <v>1988350</v>
      </c>
    </row>
    <row r="338" spans="1:7" x14ac:dyDescent="0.35">
      <c r="A338" s="1" t="str">
        <f t="shared" si="5"/>
        <v>7</v>
      </c>
      <c r="B3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8" s="1" t="s">
        <v>3609</v>
      </c>
      <c r="D338" s="1" t="s">
        <v>3610</v>
      </c>
      <c r="E338" s="1" t="s">
        <v>3611</v>
      </c>
      <c r="F338" s="1" t="s">
        <v>112</v>
      </c>
      <c r="G338" s="1">
        <v>2049238</v>
      </c>
    </row>
    <row r="339" spans="1:7" x14ac:dyDescent="0.35">
      <c r="A339" s="1" t="str">
        <f t="shared" si="5"/>
        <v>7</v>
      </c>
      <c r="B3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9" s="1" t="s">
        <v>3612</v>
      </c>
      <c r="D339" s="1" t="s">
        <v>3613</v>
      </c>
      <c r="E339" s="1" t="s">
        <v>3614</v>
      </c>
      <c r="F339" s="1" t="s">
        <v>112</v>
      </c>
      <c r="G339" s="1">
        <v>4273051</v>
      </c>
    </row>
    <row r="340" spans="1:7" x14ac:dyDescent="0.35">
      <c r="A340" s="1" t="str">
        <f t="shared" si="5"/>
        <v>7</v>
      </c>
      <c r="B3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0" s="1" t="s">
        <v>3615</v>
      </c>
      <c r="D340" s="1" t="s">
        <v>3616</v>
      </c>
      <c r="E340" s="1" t="s">
        <v>3617</v>
      </c>
      <c r="F340" s="1" t="s">
        <v>112</v>
      </c>
      <c r="G340" s="1">
        <v>4840381</v>
      </c>
    </row>
    <row r="341" spans="1:7" x14ac:dyDescent="0.35">
      <c r="A341" s="1" t="str">
        <f t="shared" si="5"/>
        <v>7</v>
      </c>
      <c r="B3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1" s="1" t="s">
        <v>3618</v>
      </c>
      <c r="D341" s="1" t="s">
        <v>3619</v>
      </c>
      <c r="E341" s="1" t="s">
        <v>3620</v>
      </c>
      <c r="F341" s="1" t="s">
        <v>112</v>
      </c>
      <c r="G341" s="1">
        <v>4485694</v>
      </c>
    </row>
    <row r="342" spans="1:7" x14ac:dyDescent="0.35">
      <c r="A342" s="1" t="str">
        <f t="shared" si="5"/>
        <v>7</v>
      </c>
      <c r="B3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2" s="1" t="s">
        <v>3621</v>
      </c>
      <c r="D342" s="1" t="s">
        <v>3622</v>
      </c>
      <c r="E342" s="1" t="s">
        <v>3623</v>
      </c>
      <c r="F342" s="1" t="s">
        <v>112</v>
      </c>
      <c r="G342" s="1">
        <v>3633498</v>
      </c>
    </row>
    <row r="343" spans="1:7" x14ac:dyDescent="0.35">
      <c r="A343" s="1" t="str">
        <f t="shared" si="5"/>
        <v>7</v>
      </c>
      <c r="B3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3" s="1" t="s">
        <v>3624</v>
      </c>
      <c r="D343" s="1" t="s">
        <v>3625</v>
      </c>
      <c r="E343" s="1" t="s">
        <v>3626</v>
      </c>
      <c r="F343" s="1" t="s">
        <v>112</v>
      </c>
      <c r="G343" s="1">
        <v>3389275</v>
      </c>
    </row>
    <row r="344" spans="1:7" x14ac:dyDescent="0.35">
      <c r="A344" s="1" t="str">
        <f t="shared" si="5"/>
        <v>7</v>
      </c>
      <c r="B3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4" s="1" t="s">
        <v>3627</v>
      </c>
      <c r="D344" s="1" t="s">
        <v>3628</v>
      </c>
      <c r="E344" s="1" t="s">
        <v>3629</v>
      </c>
      <c r="F344" s="1" t="s">
        <v>112</v>
      </c>
      <c r="G344" s="1">
        <v>3939301</v>
      </c>
    </row>
    <row r="345" spans="1:7" x14ac:dyDescent="0.35">
      <c r="A345" s="1" t="str">
        <f t="shared" si="5"/>
        <v>7</v>
      </c>
      <c r="B3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5" s="1" t="s">
        <v>3630</v>
      </c>
      <c r="D345" s="1" t="s">
        <v>3631</v>
      </c>
      <c r="E345" s="1" t="s">
        <v>3632</v>
      </c>
      <c r="F345" s="1" t="s">
        <v>112</v>
      </c>
      <c r="G345" s="1">
        <v>4832335</v>
      </c>
    </row>
    <row r="346" spans="1:7" x14ac:dyDescent="0.35">
      <c r="A346" s="1" t="str">
        <f t="shared" si="5"/>
        <v>7</v>
      </c>
      <c r="B3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6" s="1" t="s">
        <v>3633</v>
      </c>
      <c r="D346" s="1" t="s">
        <v>3634</v>
      </c>
      <c r="E346" s="1" t="s">
        <v>3635</v>
      </c>
      <c r="F346" s="1" t="s">
        <v>112</v>
      </c>
      <c r="G346" s="1">
        <v>4708093</v>
      </c>
    </row>
    <row r="347" spans="1:7" x14ac:dyDescent="0.35">
      <c r="A347" s="1" t="str">
        <f t="shared" si="5"/>
        <v>7</v>
      </c>
      <c r="B3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7" s="1" t="s">
        <v>3636</v>
      </c>
      <c r="D347" s="1" t="s">
        <v>3637</v>
      </c>
      <c r="E347" s="1" t="s">
        <v>3638</v>
      </c>
      <c r="F347" s="1" t="s">
        <v>112</v>
      </c>
      <c r="G347" s="1">
        <v>5264111</v>
      </c>
    </row>
    <row r="348" spans="1:7" x14ac:dyDescent="0.35">
      <c r="A348" s="1" t="str">
        <f t="shared" si="5"/>
        <v>7</v>
      </c>
      <c r="B3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8" s="1" t="s">
        <v>3639</v>
      </c>
      <c r="D348" s="1" t="s">
        <v>3640</v>
      </c>
      <c r="E348" s="1" t="s">
        <v>3641</v>
      </c>
      <c r="F348" s="1" t="s">
        <v>112</v>
      </c>
      <c r="G348" s="1">
        <v>4449399</v>
      </c>
    </row>
    <row r="349" spans="1:7" x14ac:dyDescent="0.35">
      <c r="A349" s="1" t="str">
        <f t="shared" si="5"/>
        <v>7</v>
      </c>
      <c r="B3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9" s="1" t="s">
        <v>3642</v>
      </c>
      <c r="D349" s="1" t="s">
        <v>3643</v>
      </c>
      <c r="E349" s="1" t="s">
        <v>3644</v>
      </c>
      <c r="F349" s="1" t="s">
        <v>112</v>
      </c>
      <c r="G349" s="1">
        <v>4085368</v>
      </c>
    </row>
    <row r="350" spans="1:7" x14ac:dyDescent="0.35">
      <c r="A350" s="1" t="str">
        <f t="shared" si="5"/>
        <v>7</v>
      </c>
      <c r="B3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50" s="1" t="s">
        <v>3645</v>
      </c>
      <c r="D350" s="1" t="s">
        <v>3646</v>
      </c>
      <c r="E350" s="1" t="s">
        <v>3647</v>
      </c>
      <c r="F350" s="1" t="s">
        <v>112</v>
      </c>
      <c r="G350" s="1">
        <v>4051798</v>
      </c>
    </row>
    <row r="351" spans="1:7" x14ac:dyDescent="0.35">
      <c r="A351" s="1" t="str">
        <f t="shared" si="5"/>
        <v>7</v>
      </c>
      <c r="B3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1" s="1" t="s">
        <v>3648</v>
      </c>
      <c r="D351" s="1" t="s">
        <v>3649</v>
      </c>
      <c r="E351" s="1" t="s">
        <v>3650</v>
      </c>
      <c r="F351" s="1" t="s">
        <v>112</v>
      </c>
      <c r="G351" s="1">
        <v>3181931</v>
      </c>
    </row>
    <row r="352" spans="1:7" x14ac:dyDescent="0.35">
      <c r="A352" s="1" t="str">
        <f t="shared" si="5"/>
        <v>7</v>
      </c>
      <c r="B3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2" s="1" t="s">
        <v>3651</v>
      </c>
      <c r="D352" s="1" t="s">
        <v>898</v>
      </c>
      <c r="E352" s="1" t="s">
        <v>3652</v>
      </c>
      <c r="F352" s="1" t="s">
        <v>112</v>
      </c>
      <c r="G352" s="1">
        <v>3594694</v>
      </c>
    </row>
    <row r="353" spans="1:8" x14ac:dyDescent="0.35">
      <c r="A353" s="1" t="str">
        <f t="shared" si="5"/>
        <v>7</v>
      </c>
      <c r="B3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3" s="1" t="s">
        <v>3653</v>
      </c>
      <c r="D353" s="1" t="s">
        <v>3654</v>
      </c>
      <c r="E353" s="1" t="s">
        <v>3655</v>
      </c>
      <c r="F353" s="1" t="s">
        <v>112</v>
      </c>
      <c r="G353" s="1">
        <v>3550634</v>
      </c>
    </row>
    <row r="354" spans="1:8" x14ac:dyDescent="0.35">
      <c r="A354" s="1" t="str">
        <f t="shared" si="5"/>
        <v>7</v>
      </c>
      <c r="B3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4" s="1" t="s">
        <v>3656</v>
      </c>
      <c r="D354" s="1" t="s">
        <v>3003</v>
      </c>
      <c r="E354" s="1" t="s">
        <v>3657</v>
      </c>
      <c r="F354" s="1" t="s">
        <v>112</v>
      </c>
      <c r="G354" s="1">
        <v>3021156</v>
      </c>
    </row>
    <row r="355" spans="1:8" x14ac:dyDescent="0.35">
      <c r="A355" s="1" t="str">
        <f t="shared" si="5"/>
        <v>7</v>
      </c>
      <c r="B3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5" s="1" t="s">
        <v>3658</v>
      </c>
      <c r="D355" s="1" t="s">
        <v>3659</v>
      </c>
      <c r="E355" s="1" t="s">
        <v>3660</v>
      </c>
      <c r="F355" s="1" t="s">
        <v>112</v>
      </c>
      <c r="G355" s="1">
        <v>2972769</v>
      </c>
    </row>
    <row r="356" spans="1:8" x14ac:dyDescent="0.35">
      <c r="A356" s="1" t="str">
        <f t="shared" si="5"/>
        <v>7</v>
      </c>
      <c r="B3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6" s="1" t="s">
        <v>3661</v>
      </c>
      <c r="D356" s="1" t="s">
        <v>3662</v>
      </c>
      <c r="E356" s="1" t="s">
        <v>3663</v>
      </c>
      <c r="F356" s="1" t="s">
        <v>112</v>
      </c>
      <c r="G356" s="1">
        <v>3054660</v>
      </c>
    </row>
    <row r="357" spans="1:8" x14ac:dyDescent="0.35">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7" s="1" t="s">
        <v>112</v>
      </c>
    </row>
    <row r="358" spans="1:8" x14ac:dyDescent="0.35">
      <c r="A358" s="1" t="str">
        <f t="shared" si="5"/>
        <v/>
      </c>
      <c r="B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8" s="1" t="s">
        <v>239</v>
      </c>
      <c r="D358" s="1" t="s">
        <v>112</v>
      </c>
      <c r="E358" s="1" t="s">
        <v>240</v>
      </c>
      <c r="F358" s="1" t="s">
        <v>241</v>
      </c>
      <c r="G358" s="1" t="s">
        <v>242</v>
      </c>
      <c r="H358" s="1" t="s">
        <v>243</v>
      </c>
    </row>
    <row r="359" spans="1:8" x14ac:dyDescent="0.35">
      <c r="A359" s="1" t="str">
        <f t="shared" si="5"/>
        <v>7</v>
      </c>
      <c r="B3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59" s="1" t="s">
        <v>3664</v>
      </c>
      <c r="D359" s="1" t="s">
        <v>112</v>
      </c>
      <c r="E359" s="1" t="s">
        <v>3665</v>
      </c>
      <c r="F359" s="1" t="s">
        <v>3666</v>
      </c>
      <c r="G359" s="1" t="s">
        <v>3667</v>
      </c>
      <c r="H359" s="1" t="s">
        <v>3668</v>
      </c>
    </row>
    <row r="360" spans="1:8" x14ac:dyDescent="0.35">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0" s="1" t="s">
        <v>112</v>
      </c>
    </row>
    <row r="361" spans="1:8" x14ac:dyDescent="0.35">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1" s="1" t="s">
        <v>112</v>
      </c>
    </row>
    <row r="362" spans="1:8" x14ac:dyDescent="0.35">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2" s="1" t="s">
        <v>112</v>
      </c>
    </row>
    <row r="363" spans="1:8" x14ac:dyDescent="0.35">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3" s="1" t="s">
        <v>112</v>
      </c>
    </row>
    <row r="364" spans="1:8" x14ac:dyDescent="0.35">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4" s="1" t="s">
        <v>112</v>
      </c>
    </row>
    <row r="365" spans="1:8" x14ac:dyDescent="0.35">
      <c r="A365" s="1" t="str">
        <f t="shared" si="5"/>
        <v/>
      </c>
      <c r="B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5" s="1" t="s">
        <v>172</v>
      </c>
      <c r="D365" s="1" t="s">
        <v>110</v>
      </c>
      <c r="E365" s="1" t="s">
        <v>111</v>
      </c>
      <c r="F365" s="1" t="s">
        <v>112</v>
      </c>
      <c r="G365" s="1" t="s">
        <v>113</v>
      </c>
    </row>
    <row r="366" spans="1:8" x14ac:dyDescent="0.35">
      <c r="A366" s="1" t="str">
        <f t="shared" si="5"/>
        <v>10</v>
      </c>
      <c r="B3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6" s="1" t="s">
        <v>3669</v>
      </c>
      <c r="D366" s="1" t="s">
        <v>3670</v>
      </c>
      <c r="E366" s="1" t="s">
        <v>3671</v>
      </c>
      <c r="F366" s="1" t="s">
        <v>112</v>
      </c>
      <c r="G366" s="1">
        <v>241173</v>
      </c>
    </row>
    <row r="367" spans="1:8" x14ac:dyDescent="0.35">
      <c r="A367" s="1" t="str">
        <f t="shared" si="5"/>
        <v>10</v>
      </c>
      <c r="B3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7" s="1" t="s">
        <v>3672</v>
      </c>
      <c r="D367" s="1" t="s">
        <v>3357</v>
      </c>
      <c r="E367" s="1" t="s">
        <v>3673</v>
      </c>
      <c r="F367" s="1" t="s">
        <v>112</v>
      </c>
      <c r="G367" s="1">
        <v>93182</v>
      </c>
    </row>
    <row r="368" spans="1:8" x14ac:dyDescent="0.35">
      <c r="A368" s="1" t="str">
        <f t="shared" si="5"/>
        <v>10</v>
      </c>
      <c r="B3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8" s="1" t="s">
        <v>3674</v>
      </c>
      <c r="D368" s="1" t="s">
        <v>3675</v>
      </c>
      <c r="E368" s="1" t="s">
        <v>3676</v>
      </c>
      <c r="F368" s="1" t="s">
        <v>112</v>
      </c>
      <c r="G368" s="1">
        <v>287288</v>
      </c>
    </row>
    <row r="369" spans="1:7" x14ac:dyDescent="0.35">
      <c r="A369" s="1" t="str">
        <f t="shared" si="5"/>
        <v>10</v>
      </c>
      <c r="B3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9" s="1" t="s">
        <v>3677</v>
      </c>
      <c r="D369" s="1">
        <v>0</v>
      </c>
      <c r="E369" s="1">
        <v>0</v>
      </c>
      <c r="F369" s="1" t="s">
        <v>112</v>
      </c>
      <c r="G369" s="1">
        <v>0</v>
      </c>
    </row>
    <row r="370" spans="1:7" x14ac:dyDescent="0.35">
      <c r="A370" s="1" t="str">
        <f t="shared" si="5"/>
        <v>10</v>
      </c>
      <c r="B3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0" s="1" t="s">
        <v>3678</v>
      </c>
      <c r="D370" s="1" t="s">
        <v>3679</v>
      </c>
      <c r="E370" s="1" t="s">
        <v>3680</v>
      </c>
      <c r="F370" s="1" t="s">
        <v>112</v>
      </c>
      <c r="G370" s="1">
        <v>117450</v>
      </c>
    </row>
    <row r="371" spans="1:7" x14ac:dyDescent="0.35">
      <c r="A371" s="1" t="str">
        <f t="shared" si="5"/>
        <v>10</v>
      </c>
      <c r="B3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1" s="1" t="s">
        <v>3681</v>
      </c>
    </row>
    <row r="372" spans="1:7" x14ac:dyDescent="0.35">
      <c r="A372" s="1" t="str">
        <f t="shared" si="5"/>
        <v>10</v>
      </c>
      <c r="B3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2" s="1" t="s">
        <v>3682</v>
      </c>
      <c r="D372" s="1" t="s">
        <v>2012</v>
      </c>
      <c r="E372" s="1" t="s">
        <v>3683</v>
      </c>
      <c r="F372" s="1" t="s">
        <v>112</v>
      </c>
      <c r="G372" s="1">
        <v>286964</v>
      </c>
    </row>
    <row r="373" spans="1:7" x14ac:dyDescent="0.35">
      <c r="A373" s="1" t="str">
        <f t="shared" si="5"/>
        <v>10</v>
      </c>
      <c r="B3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3" s="1" t="s">
        <v>3684</v>
      </c>
    </row>
    <row r="374" spans="1:7" x14ac:dyDescent="0.35">
      <c r="A374" s="1" t="str">
        <f t="shared" si="5"/>
        <v>10</v>
      </c>
      <c r="B3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4" s="1" t="s">
        <v>3685</v>
      </c>
    </row>
    <row r="375" spans="1:7" x14ac:dyDescent="0.35">
      <c r="A375" s="1" t="str">
        <f t="shared" si="5"/>
        <v>10</v>
      </c>
      <c r="B3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5" s="1" t="s">
        <v>3686</v>
      </c>
      <c r="D375" s="1" t="s">
        <v>2095</v>
      </c>
      <c r="E375" s="1" t="s">
        <v>3687</v>
      </c>
      <c r="F375" s="1" t="s">
        <v>112</v>
      </c>
      <c r="G375" s="1">
        <v>527726</v>
      </c>
    </row>
    <row r="376" spans="1:7" x14ac:dyDescent="0.35">
      <c r="A376" s="1" t="str">
        <f t="shared" si="5"/>
        <v>10</v>
      </c>
      <c r="B3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6" s="1" t="s">
        <v>3688</v>
      </c>
      <c r="D376" s="1" t="s">
        <v>1453</v>
      </c>
      <c r="E376" s="1" t="s">
        <v>3689</v>
      </c>
      <c r="F376" s="1" t="s">
        <v>112</v>
      </c>
      <c r="G376" s="1">
        <v>425655</v>
      </c>
    </row>
    <row r="377" spans="1:7" x14ac:dyDescent="0.35">
      <c r="A377" s="1" t="str">
        <f t="shared" si="5"/>
        <v>10</v>
      </c>
      <c r="B3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7" s="1" t="s">
        <v>3690</v>
      </c>
      <c r="D377" s="1" t="s">
        <v>3691</v>
      </c>
      <c r="E377" s="1" t="s">
        <v>3692</v>
      </c>
      <c r="F377" s="1" t="s">
        <v>112</v>
      </c>
      <c r="G377" s="1">
        <v>399937</v>
      </c>
    </row>
    <row r="378" spans="1:7" x14ac:dyDescent="0.35">
      <c r="A378" s="1" t="str">
        <f t="shared" si="5"/>
        <v>10</v>
      </c>
      <c r="B3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8" s="1" t="s">
        <v>3693</v>
      </c>
      <c r="D378" s="1" t="s">
        <v>1403</v>
      </c>
      <c r="E378" s="1" t="s">
        <v>3694</v>
      </c>
      <c r="F378" s="1" t="s">
        <v>112</v>
      </c>
      <c r="G378" s="1">
        <v>22733</v>
      </c>
    </row>
    <row r="379" spans="1:7" x14ac:dyDescent="0.35">
      <c r="A379" s="1" t="str">
        <f t="shared" si="5"/>
        <v>10</v>
      </c>
      <c r="B3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9" s="1" t="s">
        <v>3695</v>
      </c>
      <c r="D379" s="1" t="s">
        <v>1295</v>
      </c>
      <c r="E379" s="1" t="s">
        <v>3696</v>
      </c>
      <c r="F379" s="1" t="s">
        <v>112</v>
      </c>
      <c r="G379" s="1">
        <v>9647</v>
      </c>
    </row>
    <row r="380" spans="1:7" x14ac:dyDescent="0.35">
      <c r="A380" s="1" t="str">
        <f t="shared" si="5"/>
        <v>10</v>
      </c>
      <c r="B3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80" s="1" t="s">
        <v>3697</v>
      </c>
      <c r="D380" s="1" t="s">
        <v>3698</v>
      </c>
      <c r="E380" s="1" t="s">
        <v>3699</v>
      </c>
      <c r="F380" s="1" t="s">
        <v>112</v>
      </c>
      <c r="G380" s="1">
        <v>34954</v>
      </c>
    </row>
    <row r="381" spans="1:7" x14ac:dyDescent="0.35">
      <c r="A381" s="1" t="str">
        <f t="shared" si="5"/>
        <v>10</v>
      </c>
      <c r="B3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1" s="1" t="s">
        <v>3700</v>
      </c>
      <c r="D381" s="1" t="s">
        <v>494</v>
      </c>
      <c r="E381" s="1" t="s">
        <v>3701</v>
      </c>
      <c r="F381" s="1" t="s">
        <v>112</v>
      </c>
      <c r="G381" s="1">
        <v>151085</v>
      </c>
    </row>
    <row r="382" spans="1:7" x14ac:dyDescent="0.35">
      <c r="A382" s="1" t="str">
        <f t="shared" si="5"/>
        <v>10</v>
      </c>
      <c r="B3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2" s="1" t="s">
        <v>3702</v>
      </c>
      <c r="D382" s="1" t="s">
        <v>1526</v>
      </c>
      <c r="E382" s="1" t="s">
        <v>3703</v>
      </c>
      <c r="F382" s="1" t="s">
        <v>112</v>
      </c>
      <c r="G382" s="1">
        <v>194453</v>
      </c>
    </row>
    <row r="383" spans="1:7" x14ac:dyDescent="0.35">
      <c r="A383" s="1" t="str">
        <f t="shared" si="5"/>
        <v>10</v>
      </c>
      <c r="B3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3" s="1" t="s">
        <v>3704</v>
      </c>
      <c r="D383" s="1" t="s">
        <v>3316</v>
      </c>
      <c r="E383" s="1" t="s">
        <v>3705</v>
      </c>
      <c r="F383" s="1" t="s">
        <v>112</v>
      </c>
      <c r="G383" s="1">
        <v>4759</v>
      </c>
    </row>
    <row r="384" spans="1:7" x14ac:dyDescent="0.35">
      <c r="A384" s="1" t="str">
        <f t="shared" si="5"/>
        <v>10</v>
      </c>
      <c r="B3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4" s="1" t="s">
        <v>3706</v>
      </c>
      <c r="D384" s="1" t="s">
        <v>3707</v>
      </c>
      <c r="E384" s="1" t="s">
        <v>3708</v>
      </c>
      <c r="F384" s="1" t="s">
        <v>112</v>
      </c>
      <c r="G384" s="1">
        <v>453687</v>
      </c>
    </row>
    <row r="385" spans="1:8" x14ac:dyDescent="0.35">
      <c r="A385" s="1" t="str">
        <f t="shared" si="5"/>
        <v>10</v>
      </c>
      <c r="B3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5" s="1" t="s">
        <v>3709</v>
      </c>
      <c r="D385" s="1" t="s">
        <v>3710</v>
      </c>
      <c r="E385" s="1" t="s">
        <v>3711</v>
      </c>
      <c r="F385" s="1" t="s">
        <v>112</v>
      </c>
      <c r="G385" s="1">
        <v>365545</v>
      </c>
    </row>
    <row r="386" spans="1:8" x14ac:dyDescent="0.35">
      <c r="A386" s="1" t="str">
        <f t="shared" ref="A386:A449" si="6">IFERROR(LEFT(RIGHT(C386,LEN(C386)-SEARCH("@",C386)),SEARCH("/",RIGHT(C386,LEN(C386)-SEARCH("@",C386)-1))),"")</f>
        <v>10</v>
      </c>
      <c r="B3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6" s="1" t="s">
        <v>3712</v>
      </c>
      <c r="D386" s="1" t="s">
        <v>3381</v>
      </c>
      <c r="E386" s="1" t="s">
        <v>3713</v>
      </c>
      <c r="F386" s="1" t="s">
        <v>112</v>
      </c>
      <c r="G386" s="1">
        <v>273272</v>
      </c>
    </row>
    <row r="387" spans="1:8" x14ac:dyDescent="0.35">
      <c r="A387" s="1" t="str">
        <f t="shared" si="6"/>
        <v>10</v>
      </c>
      <c r="B3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7" s="1" t="s">
        <v>3714</v>
      </c>
      <c r="D387" s="1" t="s">
        <v>1408</v>
      </c>
      <c r="E387" s="1" t="s">
        <v>3715</v>
      </c>
      <c r="F387" s="1" t="s">
        <v>112</v>
      </c>
      <c r="G387" s="1">
        <v>26215</v>
      </c>
    </row>
    <row r="388" spans="1:8" x14ac:dyDescent="0.35">
      <c r="A388" s="1" t="str">
        <f t="shared" si="6"/>
        <v>10</v>
      </c>
      <c r="B3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8" s="1" t="s">
        <v>3716</v>
      </c>
      <c r="D388" s="1" t="s">
        <v>3717</v>
      </c>
      <c r="E388" s="1" t="s">
        <v>3718</v>
      </c>
      <c r="F388" s="1" t="s">
        <v>112</v>
      </c>
      <c r="G388" s="1">
        <v>148554</v>
      </c>
    </row>
    <row r="389" spans="1:8" x14ac:dyDescent="0.35">
      <c r="A389" s="1" t="str">
        <f t="shared" si="6"/>
        <v>10</v>
      </c>
      <c r="B3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9" s="1" t="s">
        <v>3719</v>
      </c>
      <c r="D389" s="1" t="s">
        <v>3720</v>
      </c>
      <c r="E389" s="1" t="s">
        <v>3721</v>
      </c>
      <c r="F389" s="1" t="s">
        <v>112</v>
      </c>
      <c r="G389" s="1">
        <v>275262</v>
      </c>
    </row>
    <row r="390" spans="1:8" x14ac:dyDescent="0.35">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0" s="1" t="s">
        <v>112</v>
      </c>
    </row>
    <row r="391" spans="1:8" x14ac:dyDescent="0.35">
      <c r="A391" s="1" t="str">
        <f t="shared" si="6"/>
        <v/>
      </c>
      <c r="B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1" s="1" t="s">
        <v>239</v>
      </c>
      <c r="D391" s="1" t="s">
        <v>112</v>
      </c>
      <c r="E391" s="1" t="s">
        <v>240</v>
      </c>
      <c r="F391" s="1" t="s">
        <v>241</v>
      </c>
      <c r="G391" s="1" t="s">
        <v>242</v>
      </c>
      <c r="H391" s="1" t="s">
        <v>243</v>
      </c>
    </row>
    <row r="392" spans="1:8" x14ac:dyDescent="0.35">
      <c r="A392" s="1" t="str">
        <f t="shared" si="6"/>
        <v>10</v>
      </c>
      <c r="B3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92" s="1" t="s">
        <v>3722</v>
      </c>
      <c r="D392" s="1" t="s">
        <v>112</v>
      </c>
      <c r="E392" s="1" t="s">
        <v>3723</v>
      </c>
      <c r="F392" s="1" t="s">
        <v>3724</v>
      </c>
      <c r="G392" s="1" t="s">
        <v>3725</v>
      </c>
      <c r="H392" s="1" t="s">
        <v>3726</v>
      </c>
    </row>
    <row r="393" spans="1:8" x14ac:dyDescent="0.35">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3" s="1" t="s">
        <v>112</v>
      </c>
    </row>
    <row r="394" spans="1:8" x14ac:dyDescent="0.35">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4" s="1" t="s">
        <v>112</v>
      </c>
    </row>
    <row r="395" spans="1:8" x14ac:dyDescent="0.35">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5" s="1" t="s">
        <v>112</v>
      </c>
    </row>
    <row r="396" spans="1:8" x14ac:dyDescent="0.35">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6" s="1" t="s">
        <v>112</v>
      </c>
    </row>
    <row r="397" spans="1:8" x14ac:dyDescent="0.35">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7" s="1" t="s">
        <v>112</v>
      </c>
    </row>
    <row r="398" spans="1:8" x14ac:dyDescent="0.35">
      <c r="A398" s="1" t="str">
        <f t="shared" si="6"/>
        <v/>
      </c>
      <c r="B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8" s="1" t="s">
        <v>172</v>
      </c>
      <c r="D398" s="1" t="s">
        <v>110</v>
      </c>
      <c r="E398" s="1" t="s">
        <v>111</v>
      </c>
      <c r="F398" s="1" t="s">
        <v>112</v>
      </c>
      <c r="G398" s="1" t="s">
        <v>113</v>
      </c>
    </row>
    <row r="399" spans="1:8" x14ac:dyDescent="0.35">
      <c r="A399" s="1" t="str">
        <f t="shared" si="6"/>
        <v>11</v>
      </c>
      <c r="B3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9" s="1" t="s">
        <v>3727</v>
      </c>
      <c r="D399" s="1" t="s">
        <v>515</v>
      </c>
      <c r="E399" s="1" t="s">
        <v>3728</v>
      </c>
      <c r="F399" s="1" t="s">
        <v>112</v>
      </c>
      <c r="G399" s="1">
        <v>186277</v>
      </c>
    </row>
    <row r="400" spans="1:8" x14ac:dyDescent="0.35">
      <c r="A400" s="1" t="str">
        <f t="shared" si="6"/>
        <v>11</v>
      </c>
      <c r="B4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00" s="1" t="s">
        <v>3729</v>
      </c>
      <c r="D400" s="1" t="s">
        <v>256</v>
      </c>
      <c r="E400" s="1" t="s">
        <v>3730</v>
      </c>
      <c r="F400" s="1" t="s">
        <v>112</v>
      </c>
      <c r="G400" s="1">
        <v>58314</v>
      </c>
    </row>
    <row r="401" spans="1:7" x14ac:dyDescent="0.35">
      <c r="A401" s="1" t="str">
        <f t="shared" si="6"/>
        <v>11</v>
      </c>
      <c r="B4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01" s="1" t="s">
        <v>3731</v>
      </c>
      <c r="D401" s="1" t="s">
        <v>2767</v>
      </c>
      <c r="E401" s="1" t="s">
        <v>3732</v>
      </c>
      <c r="F401" s="1" t="s">
        <v>112</v>
      </c>
      <c r="G401" s="1">
        <v>91927</v>
      </c>
    </row>
    <row r="402" spans="1:7" x14ac:dyDescent="0.35">
      <c r="A402" s="1" t="str">
        <f t="shared" si="6"/>
        <v>11</v>
      </c>
      <c r="B4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2" s="1" t="s">
        <v>3733</v>
      </c>
    </row>
    <row r="403" spans="1:7" x14ac:dyDescent="0.35">
      <c r="A403" s="1" t="str">
        <f t="shared" si="6"/>
        <v>11</v>
      </c>
      <c r="B4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3" s="1" t="s">
        <v>3734</v>
      </c>
      <c r="D403" s="1" t="s">
        <v>1162</v>
      </c>
      <c r="E403" s="1" t="s">
        <v>3735</v>
      </c>
      <c r="F403" s="1" t="s">
        <v>112</v>
      </c>
      <c r="G403" s="1">
        <v>348566</v>
      </c>
    </row>
    <row r="404" spans="1:7" x14ac:dyDescent="0.35">
      <c r="A404" s="1" t="str">
        <f t="shared" si="6"/>
        <v>11</v>
      </c>
      <c r="B4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4" s="1" t="s">
        <v>3736</v>
      </c>
      <c r="D404" s="1" t="s">
        <v>3737</v>
      </c>
      <c r="E404" s="1" t="s">
        <v>3738</v>
      </c>
      <c r="F404" s="1" t="s">
        <v>112</v>
      </c>
      <c r="G404" s="1">
        <v>472116</v>
      </c>
    </row>
    <row r="405" spans="1:7" x14ac:dyDescent="0.35">
      <c r="A405" s="1" t="str">
        <f t="shared" si="6"/>
        <v>11</v>
      </c>
      <c r="B4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5" s="1" t="s">
        <v>3739</v>
      </c>
    </row>
    <row r="406" spans="1:7" x14ac:dyDescent="0.35">
      <c r="A406" s="1" t="str">
        <f t="shared" si="6"/>
        <v>11</v>
      </c>
      <c r="B4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6" s="1" t="s">
        <v>3740</v>
      </c>
    </row>
    <row r="407" spans="1:7" x14ac:dyDescent="0.35">
      <c r="A407" s="1" t="str">
        <f t="shared" si="6"/>
        <v>11</v>
      </c>
      <c r="B4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7" s="1" t="s">
        <v>3741</v>
      </c>
      <c r="D407" s="1" t="s">
        <v>3742</v>
      </c>
      <c r="E407" s="1" t="s">
        <v>3743</v>
      </c>
      <c r="F407" s="1" t="s">
        <v>112</v>
      </c>
      <c r="G407" s="1">
        <v>257958</v>
      </c>
    </row>
    <row r="408" spans="1:7" x14ac:dyDescent="0.35">
      <c r="A408" s="1" t="str">
        <f t="shared" si="6"/>
        <v>11</v>
      </c>
      <c r="B4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8" s="1" t="s">
        <v>3744</v>
      </c>
    </row>
    <row r="409" spans="1:7" x14ac:dyDescent="0.35">
      <c r="A409" s="1" t="str">
        <f t="shared" si="6"/>
        <v>11</v>
      </c>
      <c r="B4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9" s="1" t="s">
        <v>3745</v>
      </c>
    </row>
    <row r="410" spans="1:7" x14ac:dyDescent="0.35">
      <c r="A410" s="1" t="str">
        <f t="shared" si="6"/>
        <v>11</v>
      </c>
      <c r="B4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10" s="1" t="s">
        <v>3746</v>
      </c>
    </row>
    <row r="411" spans="1:7" x14ac:dyDescent="0.35">
      <c r="A411" s="1" t="str">
        <f t="shared" si="6"/>
        <v>11</v>
      </c>
      <c r="B4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1" s="1" t="s">
        <v>3747</v>
      </c>
      <c r="D411" s="1" t="s">
        <v>3748</v>
      </c>
      <c r="E411" s="1" t="s">
        <v>3749</v>
      </c>
      <c r="F411" s="1" t="s">
        <v>112</v>
      </c>
      <c r="G411" s="1">
        <v>675956</v>
      </c>
    </row>
    <row r="412" spans="1:7" x14ac:dyDescent="0.35">
      <c r="A412" s="1" t="str">
        <f t="shared" si="6"/>
        <v>11</v>
      </c>
      <c r="B4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2" s="1" t="s">
        <v>3750</v>
      </c>
    </row>
    <row r="413" spans="1:7" x14ac:dyDescent="0.35">
      <c r="A413" s="1" t="str">
        <f t="shared" si="6"/>
        <v>11</v>
      </c>
      <c r="B4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3" s="1" t="s">
        <v>3751</v>
      </c>
      <c r="D413" s="1" t="s">
        <v>3752</v>
      </c>
      <c r="E413" s="1" t="s">
        <v>3753</v>
      </c>
      <c r="F413" s="1" t="s">
        <v>112</v>
      </c>
      <c r="G413" s="1">
        <v>709439</v>
      </c>
    </row>
    <row r="414" spans="1:7" x14ac:dyDescent="0.35">
      <c r="A414" s="1" t="str">
        <f t="shared" si="6"/>
        <v>11</v>
      </c>
      <c r="B4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4" s="1" t="s">
        <v>3754</v>
      </c>
      <c r="D414" s="1" t="s">
        <v>3755</v>
      </c>
      <c r="E414" s="1" t="s">
        <v>3756</v>
      </c>
      <c r="F414" s="1" t="s">
        <v>112</v>
      </c>
      <c r="G414" s="1">
        <v>557164</v>
      </c>
    </row>
    <row r="415" spans="1:7" x14ac:dyDescent="0.35">
      <c r="A415" s="1" t="str">
        <f t="shared" si="6"/>
        <v>11</v>
      </c>
      <c r="B4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5" s="1" t="s">
        <v>3757</v>
      </c>
      <c r="D415" s="1" t="s">
        <v>2824</v>
      </c>
      <c r="E415" s="1" t="s">
        <v>3758</v>
      </c>
      <c r="F415" s="1" t="s">
        <v>112</v>
      </c>
      <c r="G415" s="1">
        <v>431733</v>
      </c>
    </row>
    <row r="416" spans="1:7" x14ac:dyDescent="0.35">
      <c r="A416" s="1" t="str">
        <f t="shared" si="6"/>
        <v>11</v>
      </c>
      <c r="B4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6" s="1" t="s">
        <v>3759</v>
      </c>
      <c r="D416" s="1" t="s">
        <v>3760</v>
      </c>
      <c r="E416" s="1" t="s">
        <v>3761</v>
      </c>
      <c r="F416" s="1" t="s">
        <v>112</v>
      </c>
      <c r="G416" s="1">
        <v>577367</v>
      </c>
    </row>
    <row r="417" spans="1:8" x14ac:dyDescent="0.35">
      <c r="A417" s="1" t="str">
        <f t="shared" si="6"/>
        <v>11</v>
      </c>
      <c r="B4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7" s="1" t="s">
        <v>3762</v>
      </c>
      <c r="D417" s="1" t="s">
        <v>3763</v>
      </c>
      <c r="E417" s="1" t="s">
        <v>3764</v>
      </c>
      <c r="F417" s="1" t="s">
        <v>112</v>
      </c>
      <c r="G417" s="1">
        <v>675696</v>
      </c>
    </row>
    <row r="418" spans="1:8" x14ac:dyDescent="0.35">
      <c r="A418" s="1" t="str">
        <f t="shared" si="6"/>
        <v>11</v>
      </c>
      <c r="B4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8" s="1" t="s">
        <v>3765</v>
      </c>
      <c r="D418" s="1" t="s">
        <v>234</v>
      </c>
      <c r="E418" s="1" t="s">
        <v>2874</v>
      </c>
      <c r="F418" s="1" t="s">
        <v>112</v>
      </c>
      <c r="G418" s="1">
        <v>20657</v>
      </c>
    </row>
    <row r="419" spans="1:8" x14ac:dyDescent="0.35">
      <c r="A419" s="1" t="str">
        <f t="shared" si="6"/>
        <v>11</v>
      </c>
      <c r="B4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9" s="1" t="s">
        <v>3766</v>
      </c>
      <c r="D419" s="1" t="s">
        <v>3767</v>
      </c>
      <c r="E419" s="1" t="s">
        <v>3768</v>
      </c>
      <c r="F419" s="1" t="s">
        <v>112</v>
      </c>
      <c r="G419" s="1">
        <v>508822</v>
      </c>
    </row>
    <row r="420" spans="1:8" x14ac:dyDescent="0.35">
      <c r="A420" s="1" t="str">
        <f t="shared" si="6"/>
        <v>11</v>
      </c>
      <c r="B4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0" s="1" t="s">
        <v>3769</v>
      </c>
      <c r="D420" s="1" t="s">
        <v>3770</v>
      </c>
      <c r="E420" s="1" t="s">
        <v>3771</v>
      </c>
      <c r="F420" s="1" t="s">
        <v>112</v>
      </c>
      <c r="G420" s="1">
        <v>364529</v>
      </c>
    </row>
    <row r="421" spans="1:8" x14ac:dyDescent="0.35">
      <c r="A421" s="1" t="str">
        <f t="shared" si="6"/>
        <v>11</v>
      </c>
      <c r="B4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1" s="1" t="s">
        <v>3772</v>
      </c>
      <c r="D421" s="1" t="s">
        <v>3691</v>
      </c>
      <c r="E421" s="1" t="s">
        <v>3773</v>
      </c>
      <c r="F421" s="1" t="s">
        <v>112</v>
      </c>
      <c r="G421" s="1">
        <v>401927</v>
      </c>
    </row>
    <row r="422" spans="1:8" x14ac:dyDescent="0.35">
      <c r="A422" s="1" t="str">
        <f t="shared" si="6"/>
        <v>11</v>
      </c>
      <c r="B4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2" s="1" t="s">
        <v>3774</v>
      </c>
      <c r="D422" s="1" t="s">
        <v>3775</v>
      </c>
      <c r="E422" s="1" t="s">
        <v>3776</v>
      </c>
      <c r="F422" s="1" t="s">
        <v>112</v>
      </c>
      <c r="G422" s="1">
        <v>403506</v>
      </c>
    </row>
    <row r="423" spans="1:8" x14ac:dyDescent="0.35">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3" s="1" t="s">
        <v>112</v>
      </c>
    </row>
    <row r="424" spans="1:8" x14ac:dyDescent="0.35">
      <c r="A424" s="1" t="str">
        <f t="shared" si="6"/>
        <v/>
      </c>
      <c r="B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4" s="1" t="s">
        <v>239</v>
      </c>
      <c r="D424" s="1" t="s">
        <v>112</v>
      </c>
      <c r="E424" s="1" t="s">
        <v>240</v>
      </c>
      <c r="F424" s="1" t="s">
        <v>241</v>
      </c>
      <c r="G424" s="1" t="s">
        <v>242</v>
      </c>
      <c r="H424" s="1" t="s">
        <v>243</v>
      </c>
    </row>
    <row r="425" spans="1:8" x14ac:dyDescent="0.35">
      <c r="A425" s="1" t="str">
        <f t="shared" si="6"/>
        <v>11</v>
      </c>
      <c r="B4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25" s="1" t="s">
        <v>3777</v>
      </c>
      <c r="D425" s="1" t="s">
        <v>112</v>
      </c>
      <c r="E425" s="1" t="s">
        <v>2816</v>
      </c>
      <c r="F425" s="1" t="s">
        <v>3778</v>
      </c>
      <c r="G425" s="1" t="s">
        <v>3779</v>
      </c>
      <c r="H425" s="1" t="s">
        <v>3780</v>
      </c>
    </row>
    <row r="426" spans="1:8" x14ac:dyDescent="0.35">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6" s="1" t="s">
        <v>112</v>
      </c>
    </row>
    <row r="427" spans="1:8" x14ac:dyDescent="0.35">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7" s="1" t="s">
        <v>112</v>
      </c>
    </row>
    <row r="428" spans="1:8" x14ac:dyDescent="0.35">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8" s="1" t="s">
        <v>112</v>
      </c>
    </row>
    <row r="429" spans="1:8" x14ac:dyDescent="0.35">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9" s="1" t="s">
        <v>112</v>
      </c>
    </row>
    <row r="430" spans="1:8" x14ac:dyDescent="0.35">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30" s="1" t="s">
        <v>112</v>
      </c>
    </row>
    <row r="431" spans="1:8" x14ac:dyDescent="0.35">
      <c r="A431" s="1" t="str">
        <f t="shared" si="6"/>
        <v/>
      </c>
      <c r="B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31" s="1" t="s">
        <v>172</v>
      </c>
      <c r="D431" s="1" t="s">
        <v>110</v>
      </c>
      <c r="E431" s="1" t="s">
        <v>111</v>
      </c>
      <c r="F431" s="1" t="s">
        <v>112</v>
      </c>
      <c r="G431" s="1" t="s">
        <v>113</v>
      </c>
    </row>
    <row r="432" spans="1:8" x14ac:dyDescent="0.35">
      <c r="A432" s="1" t="str">
        <f t="shared" si="6"/>
        <v>12</v>
      </c>
      <c r="B4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2" s="1" t="s">
        <v>3781</v>
      </c>
      <c r="D432" s="1" t="s">
        <v>2989</v>
      </c>
      <c r="E432" s="1" t="s">
        <v>3782</v>
      </c>
      <c r="F432" s="1" t="s">
        <v>112</v>
      </c>
      <c r="G432" s="1">
        <v>195448</v>
      </c>
    </row>
    <row r="433" spans="1:7" x14ac:dyDescent="0.35">
      <c r="A433" s="1" t="str">
        <f t="shared" si="6"/>
        <v>12</v>
      </c>
      <c r="B4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3" s="1" t="s">
        <v>3783</v>
      </c>
      <c r="D433" s="1" t="s">
        <v>3784</v>
      </c>
      <c r="E433" s="1" t="s">
        <v>3785</v>
      </c>
      <c r="F433" s="1" t="s">
        <v>112</v>
      </c>
      <c r="G433" s="1">
        <v>448020</v>
      </c>
    </row>
    <row r="434" spans="1:7" x14ac:dyDescent="0.35">
      <c r="A434" s="1" t="str">
        <f t="shared" si="6"/>
        <v>12</v>
      </c>
      <c r="B4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4" s="1" t="s">
        <v>3786</v>
      </c>
      <c r="D434" s="1" t="s">
        <v>2027</v>
      </c>
      <c r="E434" s="1" t="s">
        <v>3787</v>
      </c>
      <c r="F434" s="1" t="s">
        <v>112</v>
      </c>
      <c r="G434" s="1">
        <v>182318</v>
      </c>
    </row>
    <row r="435" spans="1:7" x14ac:dyDescent="0.35">
      <c r="A435" s="1" t="str">
        <f t="shared" si="6"/>
        <v>12</v>
      </c>
      <c r="B4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5" s="1" t="s">
        <v>3788</v>
      </c>
      <c r="D435" s="1" t="s">
        <v>195</v>
      </c>
      <c r="E435" s="1" t="s">
        <v>3789</v>
      </c>
      <c r="F435" s="1" t="s">
        <v>112</v>
      </c>
      <c r="G435" s="1">
        <v>257115</v>
      </c>
    </row>
    <row r="436" spans="1:7" x14ac:dyDescent="0.35">
      <c r="A436" s="1" t="str">
        <f t="shared" si="6"/>
        <v>12</v>
      </c>
      <c r="B4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6" s="1" t="s">
        <v>3790</v>
      </c>
      <c r="D436" s="1" t="s">
        <v>3791</v>
      </c>
      <c r="E436" s="1" t="s">
        <v>3792</v>
      </c>
      <c r="F436" s="1" t="s">
        <v>112</v>
      </c>
      <c r="G436" s="1">
        <v>59612</v>
      </c>
    </row>
    <row r="437" spans="1:7" x14ac:dyDescent="0.35">
      <c r="A437" s="1" t="str">
        <f t="shared" si="6"/>
        <v>12</v>
      </c>
      <c r="B4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7" s="1" t="s">
        <v>3793</v>
      </c>
      <c r="D437" s="1" t="s">
        <v>3794</v>
      </c>
      <c r="E437" s="1" t="s">
        <v>3795</v>
      </c>
      <c r="F437" s="1" t="s">
        <v>112</v>
      </c>
      <c r="G437" s="1">
        <v>289581</v>
      </c>
    </row>
    <row r="438" spans="1:7" x14ac:dyDescent="0.35">
      <c r="A438" s="1" t="str">
        <f t="shared" si="6"/>
        <v>12</v>
      </c>
      <c r="B4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8" s="1" t="s">
        <v>3796</v>
      </c>
      <c r="D438" s="1" t="s">
        <v>956</v>
      </c>
      <c r="E438" s="1" t="s">
        <v>3797</v>
      </c>
      <c r="F438" s="1" t="s">
        <v>112</v>
      </c>
      <c r="G438" s="1">
        <v>177300</v>
      </c>
    </row>
    <row r="439" spans="1:7" x14ac:dyDescent="0.35">
      <c r="A439" s="1" t="str">
        <f t="shared" si="6"/>
        <v>12</v>
      </c>
      <c r="B4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9" s="1" t="s">
        <v>3798</v>
      </c>
      <c r="D439" s="1" t="s">
        <v>1156</v>
      </c>
      <c r="E439" s="1" t="s">
        <v>3799</v>
      </c>
      <c r="F439" s="1" t="s">
        <v>112</v>
      </c>
      <c r="G439" s="1">
        <v>416051</v>
      </c>
    </row>
    <row r="440" spans="1:7" x14ac:dyDescent="0.35">
      <c r="A440" s="1" t="str">
        <f t="shared" si="6"/>
        <v>12</v>
      </c>
      <c r="B4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40" s="1" t="s">
        <v>3800</v>
      </c>
      <c r="D440" s="1" t="s">
        <v>2366</v>
      </c>
      <c r="E440" s="1" t="s">
        <v>3801</v>
      </c>
      <c r="F440" s="1" t="s">
        <v>112</v>
      </c>
      <c r="G440" s="1">
        <v>245543</v>
      </c>
    </row>
    <row r="441" spans="1:7" x14ac:dyDescent="0.35">
      <c r="A441" s="1" t="str">
        <f t="shared" si="6"/>
        <v>12</v>
      </c>
      <c r="B4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1" s="1" t="s">
        <v>3802</v>
      </c>
      <c r="D441" s="1" t="s">
        <v>3803</v>
      </c>
      <c r="E441" s="1" t="s">
        <v>3804</v>
      </c>
      <c r="F441" s="1" t="s">
        <v>112</v>
      </c>
      <c r="G441" s="1">
        <v>230986</v>
      </c>
    </row>
    <row r="442" spans="1:7" x14ac:dyDescent="0.35">
      <c r="A442" s="1" t="str">
        <f t="shared" si="6"/>
        <v>12</v>
      </c>
      <c r="B4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2" s="1" t="s">
        <v>3805</v>
      </c>
      <c r="D442" s="1" t="s">
        <v>3806</v>
      </c>
      <c r="E442" s="1" t="s">
        <v>3807</v>
      </c>
      <c r="F442" s="1" t="s">
        <v>112</v>
      </c>
      <c r="G442" s="1">
        <v>132548</v>
      </c>
    </row>
    <row r="443" spans="1:7" x14ac:dyDescent="0.35">
      <c r="A443" s="1" t="str">
        <f t="shared" si="6"/>
        <v>12</v>
      </c>
      <c r="B4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3" s="1" t="s">
        <v>3808</v>
      </c>
      <c r="D443" s="1" t="s">
        <v>657</v>
      </c>
      <c r="E443" s="1" t="s">
        <v>3809</v>
      </c>
      <c r="F443" s="1" t="s">
        <v>112</v>
      </c>
      <c r="G443" s="1">
        <v>184179</v>
      </c>
    </row>
    <row r="444" spans="1:7" x14ac:dyDescent="0.35">
      <c r="A444" s="1" t="str">
        <f t="shared" si="6"/>
        <v>12</v>
      </c>
      <c r="B4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4" s="1" t="s">
        <v>3810</v>
      </c>
      <c r="D444" s="1" t="s">
        <v>3811</v>
      </c>
      <c r="E444" s="1" t="s">
        <v>3812</v>
      </c>
      <c r="F444" s="1" t="s">
        <v>112</v>
      </c>
      <c r="G444" s="1">
        <v>346338</v>
      </c>
    </row>
    <row r="445" spans="1:7" x14ac:dyDescent="0.35">
      <c r="A445" s="1" t="str">
        <f t="shared" si="6"/>
        <v>12</v>
      </c>
      <c r="B4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5" s="1" t="s">
        <v>3813</v>
      </c>
      <c r="D445" s="1" t="s">
        <v>3814</v>
      </c>
      <c r="E445" s="1" t="s">
        <v>3815</v>
      </c>
      <c r="F445" s="1" t="s">
        <v>112</v>
      </c>
      <c r="G445" s="1">
        <v>595493</v>
      </c>
    </row>
    <row r="446" spans="1:7" x14ac:dyDescent="0.35">
      <c r="A446" s="1" t="str">
        <f t="shared" si="6"/>
        <v>12</v>
      </c>
      <c r="B4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6" s="1" t="s">
        <v>3816</v>
      </c>
    </row>
    <row r="447" spans="1:7" x14ac:dyDescent="0.35">
      <c r="A447" s="1" t="str">
        <f t="shared" si="6"/>
        <v>12</v>
      </c>
      <c r="B4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7" s="1" t="s">
        <v>3817</v>
      </c>
      <c r="D447" s="1" t="s">
        <v>1271</v>
      </c>
      <c r="E447" s="1" t="s">
        <v>3818</v>
      </c>
      <c r="F447" s="1" t="s">
        <v>112</v>
      </c>
      <c r="G447" s="1">
        <v>452476</v>
      </c>
    </row>
    <row r="448" spans="1:7" x14ac:dyDescent="0.35">
      <c r="A448" s="1" t="str">
        <f t="shared" si="6"/>
        <v>12</v>
      </c>
      <c r="B4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8" s="1" t="s">
        <v>3819</v>
      </c>
      <c r="D448" s="1" t="s">
        <v>1182</v>
      </c>
      <c r="E448" s="1" t="s">
        <v>3820</v>
      </c>
      <c r="F448" s="1" t="s">
        <v>112</v>
      </c>
      <c r="G448" s="1">
        <v>245045</v>
      </c>
    </row>
    <row r="449" spans="1:8" x14ac:dyDescent="0.35">
      <c r="A449" s="1" t="str">
        <f t="shared" si="6"/>
        <v>12</v>
      </c>
      <c r="B4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9" s="1" t="s">
        <v>3821</v>
      </c>
      <c r="D449" s="1" t="s">
        <v>3822</v>
      </c>
      <c r="E449" s="1" t="s">
        <v>3823</v>
      </c>
      <c r="F449" s="1" t="s">
        <v>112</v>
      </c>
      <c r="G449" s="1">
        <v>349517</v>
      </c>
    </row>
    <row r="450" spans="1:8" x14ac:dyDescent="0.35">
      <c r="A450" s="1" t="str">
        <f t="shared" ref="A450:A513" si="7">IFERROR(LEFT(RIGHT(C450,LEN(C450)-SEARCH("@",C450)),SEARCH("/",RIGHT(C450,LEN(C450)-SEARCH("@",C450)-1))),"")</f>
        <v>12</v>
      </c>
      <c r="B4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0" s="1" t="s">
        <v>3824</v>
      </c>
    </row>
    <row r="451" spans="1:8" x14ac:dyDescent="0.35">
      <c r="A451" s="1" t="str">
        <f t="shared" si="7"/>
        <v>12</v>
      </c>
      <c r="B4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1" s="1" t="s">
        <v>3825</v>
      </c>
    </row>
    <row r="452" spans="1:8" x14ac:dyDescent="0.35">
      <c r="A452" s="1" t="str">
        <f t="shared" si="7"/>
        <v>12</v>
      </c>
      <c r="B4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2" s="1" t="s">
        <v>3826</v>
      </c>
    </row>
    <row r="453" spans="1:8" x14ac:dyDescent="0.35">
      <c r="A453" s="1" t="str">
        <f t="shared" si="7"/>
        <v>12</v>
      </c>
      <c r="B4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3" s="1" t="s">
        <v>3827</v>
      </c>
      <c r="D453" s="1" t="s">
        <v>3828</v>
      </c>
      <c r="E453" s="1" t="s">
        <v>3829</v>
      </c>
      <c r="F453" s="1" t="s">
        <v>112</v>
      </c>
      <c r="G453" s="1">
        <v>666547</v>
      </c>
    </row>
    <row r="454" spans="1:8" x14ac:dyDescent="0.35">
      <c r="A454" s="1" t="str">
        <f t="shared" si="7"/>
        <v>12</v>
      </c>
      <c r="B4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4" s="1" t="s">
        <v>3830</v>
      </c>
      <c r="D454" s="1" t="s">
        <v>3831</v>
      </c>
      <c r="E454" s="1" t="s">
        <v>3832</v>
      </c>
      <c r="F454" s="1" t="s">
        <v>112</v>
      </c>
      <c r="G454" s="1">
        <v>513191</v>
      </c>
    </row>
    <row r="455" spans="1:8" x14ac:dyDescent="0.35">
      <c r="A455" s="1" t="str">
        <f t="shared" si="7"/>
        <v>12</v>
      </c>
      <c r="B4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5" s="1" t="s">
        <v>3833</v>
      </c>
      <c r="D455" s="1" t="s">
        <v>3834</v>
      </c>
      <c r="E455" s="1" t="s">
        <v>3835</v>
      </c>
      <c r="F455" s="1" t="s">
        <v>112</v>
      </c>
      <c r="G455" s="1">
        <v>451935</v>
      </c>
    </row>
    <row r="456" spans="1:8" x14ac:dyDescent="0.35">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6" s="1" t="s">
        <v>112</v>
      </c>
    </row>
    <row r="457" spans="1:8" x14ac:dyDescent="0.35">
      <c r="A457" s="1" t="str">
        <f t="shared" si="7"/>
        <v/>
      </c>
      <c r="B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7" s="1" t="s">
        <v>239</v>
      </c>
      <c r="D457" s="1" t="s">
        <v>112</v>
      </c>
      <c r="E457" s="1" t="s">
        <v>240</v>
      </c>
      <c r="F457" s="1" t="s">
        <v>241</v>
      </c>
      <c r="G457" s="1" t="s">
        <v>242</v>
      </c>
      <c r="H457" s="1" t="s">
        <v>243</v>
      </c>
    </row>
    <row r="458" spans="1:8" x14ac:dyDescent="0.35">
      <c r="A458" s="1" t="str">
        <f t="shared" si="7"/>
        <v>12</v>
      </c>
      <c r="B4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58" s="1" t="s">
        <v>3836</v>
      </c>
      <c r="D458" s="1" t="s">
        <v>112</v>
      </c>
      <c r="E458" s="1" t="s">
        <v>3837</v>
      </c>
      <c r="F458" s="1" t="s">
        <v>3838</v>
      </c>
      <c r="G458" s="1" t="s">
        <v>3839</v>
      </c>
      <c r="H458" s="1" t="s">
        <v>3840</v>
      </c>
    </row>
    <row r="459" spans="1:8" x14ac:dyDescent="0.35">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9" s="1" t="s">
        <v>112</v>
      </c>
    </row>
    <row r="460" spans="1:8" x14ac:dyDescent="0.35">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0" s="1" t="s">
        <v>112</v>
      </c>
    </row>
    <row r="461" spans="1:8" x14ac:dyDescent="0.35">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1" s="1" t="s">
        <v>112</v>
      </c>
    </row>
    <row r="462" spans="1:8" x14ac:dyDescent="0.35">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2" s="1" t="s">
        <v>112</v>
      </c>
    </row>
    <row r="463" spans="1:8" x14ac:dyDescent="0.35">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3" s="1" t="s">
        <v>112</v>
      </c>
    </row>
    <row r="464" spans="1:8" x14ac:dyDescent="0.35">
      <c r="A464" s="1" t="str">
        <f t="shared" si="7"/>
        <v/>
      </c>
      <c r="B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4" s="1" t="s">
        <v>172</v>
      </c>
      <c r="D464" s="1" t="s">
        <v>110</v>
      </c>
      <c r="E464" s="1" t="s">
        <v>111</v>
      </c>
      <c r="F464" s="1" t="s">
        <v>112</v>
      </c>
      <c r="G464" s="1" t="s">
        <v>113</v>
      </c>
    </row>
    <row r="465" spans="1:7" x14ac:dyDescent="0.35">
      <c r="A465" s="1" t="str">
        <f t="shared" si="7"/>
        <v>17</v>
      </c>
      <c r="B4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5" s="1" t="s">
        <v>3841</v>
      </c>
      <c r="D465" s="1" t="s">
        <v>3842</v>
      </c>
      <c r="E465" s="1" t="s">
        <v>3843</v>
      </c>
      <c r="F465" s="1" t="s">
        <v>112</v>
      </c>
      <c r="G465" s="1">
        <v>888059</v>
      </c>
    </row>
    <row r="466" spans="1:7" x14ac:dyDescent="0.35">
      <c r="A466" s="1" t="str">
        <f t="shared" si="7"/>
        <v>17</v>
      </c>
      <c r="B4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6" s="1" t="s">
        <v>3844</v>
      </c>
      <c r="D466" s="1" t="s">
        <v>3845</v>
      </c>
      <c r="E466" s="1" t="s">
        <v>3846</v>
      </c>
      <c r="F466" s="1" t="s">
        <v>112</v>
      </c>
      <c r="G466" s="1">
        <v>1007845</v>
      </c>
    </row>
    <row r="467" spans="1:7" x14ac:dyDescent="0.35">
      <c r="A467" s="1" t="str">
        <f t="shared" si="7"/>
        <v>17</v>
      </c>
      <c r="B4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7" s="1" t="s">
        <v>3847</v>
      </c>
      <c r="D467" s="1" t="s">
        <v>3848</v>
      </c>
      <c r="E467" s="1" t="s">
        <v>3849</v>
      </c>
      <c r="F467" s="1" t="s">
        <v>112</v>
      </c>
      <c r="G467" s="1">
        <v>905081</v>
      </c>
    </row>
    <row r="468" spans="1:7" x14ac:dyDescent="0.35">
      <c r="A468" s="1" t="str">
        <f t="shared" si="7"/>
        <v>17</v>
      </c>
      <c r="B4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8" s="1" t="s">
        <v>3850</v>
      </c>
      <c r="D468" s="1" t="s">
        <v>1768</v>
      </c>
      <c r="E468" s="1" t="s">
        <v>3851</v>
      </c>
      <c r="F468" s="1" t="s">
        <v>112</v>
      </c>
      <c r="G468" s="1">
        <v>791286</v>
      </c>
    </row>
    <row r="469" spans="1:7" x14ac:dyDescent="0.35">
      <c r="A469" s="1" t="str">
        <f t="shared" si="7"/>
        <v>17</v>
      </c>
      <c r="B4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9" s="1" t="s">
        <v>3852</v>
      </c>
      <c r="D469" s="1" t="s">
        <v>3853</v>
      </c>
      <c r="E469" s="1" t="s">
        <v>3854</v>
      </c>
      <c r="F469" s="1" t="s">
        <v>112</v>
      </c>
      <c r="G469" s="1">
        <v>1158151</v>
      </c>
    </row>
    <row r="470" spans="1:7" x14ac:dyDescent="0.35">
      <c r="A470" s="1" t="str">
        <f t="shared" si="7"/>
        <v>17</v>
      </c>
      <c r="B4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70" s="1" t="s">
        <v>3855</v>
      </c>
      <c r="D470" s="1" t="s">
        <v>3856</v>
      </c>
      <c r="E470" s="1" t="s">
        <v>3857</v>
      </c>
      <c r="F470" s="1" t="s">
        <v>112</v>
      </c>
      <c r="G470" s="1">
        <v>916156</v>
      </c>
    </row>
    <row r="471" spans="1:7" x14ac:dyDescent="0.35">
      <c r="A471" s="1" t="str">
        <f t="shared" si="7"/>
        <v>17</v>
      </c>
      <c r="B4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1" s="1" t="s">
        <v>3858</v>
      </c>
      <c r="D471" s="1" t="s">
        <v>1092</v>
      </c>
      <c r="E471" s="1" t="s">
        <v>3859</v>
      </c>
      <c r="F471" s="1" t="s">
        <v>112</v>
      </c>
      <c r="G471" s="1">
        <v>193393</v>
      </c>
    </row>
    <row r="472" spans="1:7" x14ac:dyDescent="0.35">
      <c r="A472" s="1" t="str">
        <f t="shared" si="7"/>
        <v>17</v>
      </c>
      <c r="B4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2" s="1" t="s">
        <v>3860</v>
      </c>
      <c r="D472" s="1" t="s">
        <v>670</v>
      </c>
      <c r="E472" s="1" t="s">
        <v>3861</v>
      </c>
      <c r="F472" s="1" t="s">
        <v>112</v>
      </c>
      <c r="G472" s="1">
        <v>162246</v>
      </c>
    </row>
    <row r="473" spans="1:7" x14ac:dyDescent="0.35">
      <c r="A473" s="1" t="str">
        <f t="shared" si="7"/>
        <v>17</v>
      </c>
      <c r="B4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3" s="1" t="s">
        <v>3862</v>
      </c>
      <c r="D473" s="1" t="s">
        <v>3863</v>
      </c>
      <c r="E473" s="1" t="s">
        <v>3864</v>
      </c>
      <c r="F473" s="1" t="s">
        <v>112</v>
      </c>
      <c r="G473" s="1">
        <v>152880</v>
      </c>
    </row>
    <row r="474" spans="1:7" x14ac:dyDescent="0.35">
      <c r="A474" s="1" t="str">
        <f t="shared" si="7"/>
        <v>17</v>
      </c>
      <c r="B4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4" s="1" t="s">
        <v>3865</v>
      </c>
      <c r="D474" s="1" t="s">
        <v>1414</v>
      </c>
      <c r="E474" s="1" t="s">
        <v>229</v>
      </c>
      <c r="F474" s="1" t="s">
        <v>112</v>
      </c>
      <c r="G474" s="1">
        <v>61645</v>
      </c>
    </row>
    <row r="475" spans="1:7" x14ac:dyDescent="0.35">
      <c r="A475" s="1" t="str">
        <f t="shared" si="7"/>
        <v>17</v>
      </c>
      <c r="B4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5" s="1" t="s">
        <v>3866</v>
      </c>
      <c r="D475" s="1" t="s">
        <v>1355</v>
      </c>
      <c r="E475" s="1" t="s">
        <v>3867</v>
      </c>
      <c r="F475" s="1" t="s">
        <v>112</v>
      </c>
      <c r="G475" s="1">
        <v>159758</v>
      </c>
    </row>
    <row r="476" spans="1:7" x14ac:dyDescent="0.35">
      <c r="A476" s="1" t="str">
        <f t="shared" si="7"/>
        <v>17</v>
      </c>
      <c r="B4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6" s="1" t="s">
        <v>3868</v>
      </c>
      <c r="D476" s="1" t="s">
        <v>714</v>
      </c>
      <c r="E476" s="1">
        <v>32</v>
      </c>
      <c r="F476" s="1" t="s">
        <v>112</v>
      </c>
      <c r="G476" s="1">
        <v>67139</v>
      </c>
    </row>
    <row r="477" spans="1:7" x14ac:dyDescent="0.35">
      <c r="A477" s="1" t="str">
        <f t="shared" si="7"/>
        <v>17</v>
      </c>
      <c r="B4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7" s="1" t="s">
        <v>3869</v>
      </c>
    </row>
    <row r="478" spans="1:7" x14ac:dyDescent="0.35">
      <c r="A478" s="1" t="str">
        <f t="shared" si="7"/>
        <v>17</v>
      </c>
      <c r="B4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8" s="1" t="s">
        <v>3870</v>
      </c>
    </row>
    <row r="479" spans="1:7" x14ac:dyDescent="0.35">
      <c r="A479" s="1" t="str">
        <f t="shared" si="7"/>
        <v>17</v>
      </c>
      <c r="B4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9" s="1" t="s">
        <v>3871</v>
      </c>
    </row>
    <row r="480" spans="1:7" x14ac:dyDescent="0.35">
      <c r="A480" s="1" t="str">
        <f t="shared" si="7"/>
        <v>17</v>
      </c>
      <c r="B4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0" s="1" t="s">
        <v>3872</v>
      </c>
      <c r="D480" s="1" t="s">
        <v>1563</v>
      </c>
      <c r="E480" s="1" t="s">
        <v>3873</v>
      </c>
      <c r="F480" s="1" t="s">
        <v>112</v>
      </c>
      <c r="G480" s="1">
        <v>293496</v>
      </c>
    </row>
    <row r="481" spans="1:8" x14ac:dyDescent="0.35">
      <c r="A481" s="1" t="str">
        <f t="shared" si="7"/>
        <v>17</v>
      </c>
      <c r="B4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1" s="1" t="s">
        <v>3874</v>
      </c>
      <c r="D481" s="1" t="s">
        <v>3346</v>
      </c>
      <c r="E481" s="1" t="s">
        <v>3875</v>
      </c>
      <c r="F481" s="1" t="s">
        <v>112</v>
      </c>
      <c r="G481" s="1">
        <v>485267</v>
      </c>
    </row>
    <row r="482" spans="1:8" x14ac:dyDescent="0.35">
      <c r="A482" s="1" t="str">
        <f t="shared" si="7"/>
        <v>17</v>
      </c>
      <c r="B4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2" s="1" t="s">
        <v>3876</v>
      </c>
      <c r="D482" s="1" t="s">
        <v>3877</v>
      </c>
      <c r="E482" s="1" t="s">
        <v>3878</v>
      </c>
      <c r="F482" s="1" t="s">
        <v>112</v>
      </c>
      <c r="G482" s="1">
        <v>528418</v>
      </c>
    </row>
    <row r="483" spans="1:8" x14ac:dyDescent="0.35">
      <c r="A483" s="1" t="str">
        <f t="shared" si="7"/>
        <v>17</v>
      </c>
      <c r="B4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3" s="1" t="s">
        <v>3879</v>
      </c>
      <c r="D483" s="1" t="s">
        <v>3880</v>
      </c>
      <c r="E483" s="1" t="s">
        <v>3881</v>
      </c>
      <c r="F483" s="1" t="s">
        <v>112</v>
      </c>
      <c r="G483" s="1">
        <v>1295847</v>
      </c>
    </row>
    <row r="484" spans="1:8" x14ac:dyDescent="0.35">
      <c r="A484" s="1" t="str">
        <f t="shared" si="7"/>
        <v>17</v>
      </c>
      <c r="B4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4" s="1" t="s">
        <v>3882</v>
      </c>
      <c r="D484" s="1" t="s">
        <v>3883</v>
      </c>
      <c r="E484" s="1" t="s">
        <v>3884</v>
      </c>
      <c r="F484" s="1" t="s">
        <v>112</v>
      </c>
      <c r="G484" s="1">
        <v>1355913</v>
      </c>
    </row>
    <row r="485" spans="1:8" x14ac:dyDescent="0.35">
      <c r="A485" s="1" t="str">
        <f t="shared" si="7"/>
        <v>17</v>
      </c>
      <c r="B4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5" s="1" t="s">
        <v>3885</v>
      </c>
      <c r="D485" s="1" t="s">
        <v>3886</v>
      </c>
      <c r="E485" s="1" t="s">
        <v>3887</v>
      </c>
      <c r="F485" s="1" t="s">
        <v>112</v>
      </c>
      <c r="G485" s="1">
        <v>1358682</v>
      </c>
    </row>
    <row r="486" spans="1:8" x14ac:dyDescent="0.35">
      <c r="A486" s="1" t="str">
        <f t="shared" si="7"/>
        <v>17</v>
      </c>
      <c r="B4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6" s="1" t="s">
        <v>3888</v>
      </c>
    </row>
    <row r="487" spans="1:8" x14ac:dyDescent="0.35">
      <c r="A487" s="1" t="str">
        <f t="shared" si="7"/>
        <v>17</v>
      </c>
      <c r="B4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7" s="1" t="s">
        <v>3889</v>
      </c>
    </row>
    <row r="488" spans="1:8" x14ac:dyDescent="0.35">
      <c r="A488" s="1" t="str">
        <f t="shared" si="7"/>
        <v>17</v>
      </c>
      <c r="B4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8" s="1" t="s">
        <v>3890</v>
      </c>
      <c r="D488" s="1" t="s">
        <v>3891</v>
      </c>
      <c r="E488" s="1" t="s">
        <v>3892</v>
      </c>
      <c r="F488" s="1" t="s">
        <v>112</v>
      </c>
      <c r="G488" s="1">
        <v>633886</v>
      </c>
    </row>
    <row r="489" spans="1:8" x14ac:dyDescent="0.35">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9" s="1" t="s">
        <v>112</v>
      </c>
    </row>
    <row r="490" spans="1:8" x14ac:dyDescent="0.35">
      <c r="A490" s="1" t="str">
        <f t="shared" si="7"/>
        <v/>
      </c>
      <c r="B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0" s="1" t="s">
        <v>239</v>
      </c>
      <c r="D490" s="1" t="s">
        <v>112</v>
      </c>
      <c r="E490" s="1" t="s">
        <v>240</v>
      </c>
      <c r="F490" s="1" t="s">
        <v>241</v>
      </c>
      <c r="G490" s="1" t="s">
        <v>242</v>
      </c>
      <c r="H490" s="1" t="s">
        <v>243</v>
      </c>
    </row>
    <row r="491" spans="1:8" x14ac:dyDescent="0.35">
      <c r="A491" s="1" t="str">
        <f t="shared" si="7"/>
        <v>17</v>
      </c>
      <c r="B4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91" s="1" t="s">
        <v>3893</v>
      </c>
      <c r="D491" s="1" t="s">
        <v>112</v>
      </c>
      <c r="E491" s="1" t="s">
        <v>3894</v>
      </c>
      <c r="F491" s="1" t="s">
        <v>3895</v>
      </c>
      <c r="G491" s="1" t="s">
        <v>3896</v>
      </c>
      <c r="H491" s="1" t="s">
        <v>3897</v>
      </c>
    </row>
    <row r="492" spans="1:8" x14ac:dyDescent="0.35">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2" s="1" t="s">
        <v>112</v>
      </c>
    </row>
    <row r="493" spans="1:8" x14ac:dyDescent="0.35">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3" s="1" t="s">
        <v>112</v>
      </c>
    </row>
    <row r="494" spans="1:8" x14ac:dyDescent="0.35">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4" s="1" t="s">
        <v>112</v>
      </c>
    </row>
    <row r="495" spans="1:8" x14ac:dyDescent="0.35">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5" s="1" t="s">
        <v>112</v>
      </c>
    </row>
    <row r="496" spans="1:8" x14ac:dyDescent="0.35">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6" s="1" t="s">
        <v>112</v>
      </c>
    </row>
    <row r="497" spans="1:7" x14ac:dyDescent="0.35">
      <c r="A497" s="1" t="str">
        <f t="shared" si="7"/>
        <v/>
      </c>
      <c r="B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7" s="1" t="s">
        <v>172</v>
      </c>
      <c r="D497" s="1" t="s">
        <v>110</v>
      </c>
      <c r="E497" s="1" t="s">
        <v>111</v>
      </c>
      <c r="F497" s="1" t="s">
        <v>112</v>
      </c>
      <c r="G497" s="1" t="s">
        <v>113</v>
      </c>
    </row>
    <row r="498" spans="1:7" x14ac:dyDescent="0.35">
      <c r="A498" s="1" t="str">
        <f t="shared" si="7"/>
        <v>18</v>
      </c>
      <c r="B4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8" s="1" t="s">
        <v>3898</v>
      </c>
    </row>
    <row r="499" spans="1:7" x14ac:dyDescent="0.35">
      <c r="A499" s="1" t="str">
        <f t="shared" si="7"/>
        <v>18</v>
      </c>
      <c r="B4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9" s="1" t="s">
        <v>3899</v>
      </c>
    </row>
    <row r="500" spans="1:7" x14ac:dyDescent="0.35">
      <c r="A500" s="1" t="str">
        <f t="shared" si="7"/>
        <v>18</v>
      </c>
      <c r="B5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00" s="1" t="s">
        <v>3900</v>
      </c>
    </row>
    <row r="501" spans="1:7" x14ac:dyDescent="0.35">
      <c r="A501" s="1" t="str">
        <f t="shared" si="7"/>
        <v>18</v>
      </c>
      <c r="B5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1" s="1" t="s">
        <v>3901</v>
      </c>
      <c r="D501" s="1" t="s">
        <v>1450</v>
      </c>
      <c r="E501" s="1" t="s">
        <v>3902</v>
      </c>
      <c r="F501" s="1" t="s">
        <v>112</v>
      </c>
      <c r="G501" s="1">
        <v>445770</v>
      </c>
    </row>
    <row r="502" spans="1:7" x14ac:dyDescent="0.35">
      <c r="A502" s="1" t="str">
        <f t="shared" si="7"/>
        <v>18</v>
      </c>
      <c r="B5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2" s="1" t="s">
        <v>3903</v>
      </c>
      <c r="D502" s="1" t="s">
        <v>3904</v>
      </c>
      <c r="E502" s="1" t="s">
        <v>3905</v>
      </c>
      <c r="F502" s="1" t="s">
        <v>112</v>
      </c>
      <c r="G502" s="1">
        <v>329380</v>
      </c>
    </row>
    <row r="503" spans="1:7" x14ac:dyDescent="0.35">
      <c r="A503" s="1" t="str">
        <f t="shared" si="7"/>
        <v>18</v>
      </c>
      <c r="B5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3" s="1" t="s">
        <v>3906</v>
      </c>
      <c r="D503" s="1" t="s">
        <v>3907</v>
      </c>
      <c r="E503" s="1" t="s">
        <v>3908</v>
      </c>
      <c r="F503" s="1" t="s">
        <v>112</v>
      </c>
      <c r="G503" s="1">
        <v>517452</v>
      </c>
    </row>
    <row r="504" spans="1:7" x14ac:dyDescent="0.35">
      <c r="A504" s="1" t="str">
        <f t="shared" si="7"/>
        <v>18</v>
      </c>
      <c r="B5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4" s="1" t="s">
        <v>3909</v>
      </c>
      <c r="D504" s="1" t="s">
        <v>3910</v>
      </c>
      <c r="E504" s="1" t="s">
        <v>3911</v>
      </c>
      <c r="F504" s="1" t="s">
        <v>112</v>
      </c>
      <c r="G504" s="1">
        <v>266394</v>
      </c>
    </row>
    <row r="505" spans="1:7" x14ac:dyDescent="0.35">
      <c r="A505" s="1" t="str">
        <f t="shared" si="7"/>
        <v>18</v>
      </c>
      <c r="B5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5" s="1" t="s">
        <v>3912</v>
      </c>
      <c r="D505" s="1" t="s">
        <v>1137</v>
      </c>
      <c r="E505" s="1" t="s">
        <v>3913</v>
      </c>
      <c r="F505" s="1" t="s">
        <v>112</v>
      </c>
      <c r="G505" s="1">
        <v>353757</v>
      </c>
    </row>
    <row r="506" spans="1:7" x14ac:dyDescent="0.35">
      <c r="A506" s="1" t="str">
        <f t="shared" si="7"/>
        <v>18</v>
      </c>
      <c r="B5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6" s="1" t="s">
        <v>3914</v>
      </c>
    </row>
    <row r="507" spans="1:7" x14ac:dyDescent="0.35">
      <c r="A507" s="1" t="str">
        <f t="shared" si="7"/>
        <v>18</v>
      </c>
      <c r="B5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7" s="1" t="s">
        <v>3915</v>
      </c>
      <c r="D507" s="1" t="s">
        <v>1425</v>
      </c>
      <c r="E507" s="1" t="s">
        <v>3916</v>
      </c>
      <c r="F507" s="1" t="s">
        <v>112</v>
      </c>
      <c r="G507" s="1">
        <v>943128</v>
      </c>
    </row>
    <row r="508" spans="1:7" x14ac:dyDescent="0.35">
      <c r="A508" s="1" t="str">
        <f t="shared" si="7"/>
        <v>18</v>
      </c>
      <c r="B5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8" s="1" t="s">
        <v>3917</v>
      </c>
      <c r="D508" s="1" t="s">
        <v>3918</v>
      </c>
      <c r="E508" s="1" t="s">
        <v>3919</v>
      </c>
      <c r="F508" s="1" t="s">
        <v>112</v>
      </c>
      <c r="G508" s="1">
        <v>719064</v>
      </c>
    </row>
    <row r="509" spans="1:7" x14ac:dyDescent="0.35">
      <c r="A509" s="1" t="str">
        <f t="shared" si="7"/>
        <v>18</v>
      </c>
      <c r="B5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9" s="1" t="s">
        <v>3920</v>
      </c>
      <c r="D509" s="1" t="s">
        <v>3921</v>
      </c>
      <c r="E509" s="1" t="s">
        <v>3922</v>
      </c>
      <c r="F509" s="1" t="s">
        <v>112</v>
      </c>
      <c r="G509" s="1">
        <v>1032633</v>
      </c>
    </row>
    <row r="510" spans="1:7" x14ac:dyDescent="0.35">
      <c r="A510" s="1" t="str">
        <f t="shared" si="7"/>
        <v>18</v>
      </c>
      <c r="B5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0" s="1" t="s">
        <v>3923</v>
      </c>
      <c r="D510" s="1" t="s">
        <v>2776</v>
      </c>
      <c r="E510" s="1" t="s">
        <v>3924</v>
      </c>
      <c r="F510" s="1" t="s">
        <v>112</v>
      </c>
      <c r="G510" s="1">
        <v>545117</v>
      </c>
    </row>
    <row r="511" spans="1:7" x14ac:dyDescent="0.35">
      <c r="A511" s="1" t="str">
        <f t="shared" si="7"/>
        <v>18</v>
      </c>
      <c r="B5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1" s="1" t="s">
        <v>3925</v>
      </c>
      <c r="D511" s="1" t="s">
        <v>3926</v>
      </c>
      <c r="E511" s="1" t="s">
        <v>3927</v>
      </c>
      <c r="F511" s="1" t="s">
        <v>112</v>
      </c>
      <c r="G511" s="1">
        <v>644376</v>
      </c>
    </row>
    <row r="512" spans="1:7" x14ac:dyDescent="0.35">
      <c r="A512" s="1" t="str">
        <f t="shared" si="7"/>
        <v>18</v>
      </c>
      <c r="B5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2" s="1" t="s">
        <v>3928</v>
      </c>
      <c r="D512" s="1" t="s">
        <v>1268</v>
      </c>
      <c r="E512" s="1" t="s">
        <v>3929</v>
      </c>
      <c r="F512" s="1" t="s">
        <v>112</v>
      </c>
      <c r="G512" s="1">
        <v>468179</v>
      </c>
    </row>
    <row r="513" spans="1:8" x14ac:dyDescent="0.35">
      <c r="A513" s="1" t="str">
        <f t="shared" si="7"/>
        <v>18</v>
      </c>
      <c r="B5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3" s="1" t="s">
        <v>3930</v>
      </c>
      <c r="D513" s="1" t="s">
        <v>3931</v>
      </c>
      <c r="E513" s="1" t="s">
        <v>3932</v>
      </c>
      <c r="F513" s="1" t="s">
        <v>112</v>
      </c>
      <c r="G513" s="1">
        <v>356309</v>
      </c>
    </row>
    <row r="514" spans="1:8" x14ac:dyDescent="0.35">
      <c r="A514" s="1" t="str">
        <f t="shared" ref="A514:A577" si="8">IFERROR(LEFT(RIGHT(C514,LEN(C514)-SEARCH("@",C514)),SEARCH("/",RIGHT(C514,LEN(C514)-SEARCH("@",C514)-1))),"")</f>
        <v>18</v>
      </c>
      <c r="B5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4" s="1" t="s">
        <v>3933</v>
      </c>
      <c r="D514" s="1" t="s">
        <v>2572</v>
      </c>
      <c r="E514" s="1" t="s">
        <v>3934</v>
      </c>
      <c r="F514" s="1" t="s">
        <v>112</v>
      </c>
      <c r="G514" s="1">
        <v>346554</v>
      </c>
    </row>
    <row r="515" spans="1:8" x14ac:dyDescent="0.35">
      <c r="A515" s="1" t="str">
        <f t="shared" si="8"/>
        <v>18</v>
      </c>
      <c r="B5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5" s="1" t="s">
        <v>3935</v>
      </c>
      <c r="D515" s="1" t="s">
        <v>1326</v>
      </c>
      <c r="E515" s="1" t="s">
        <v>3936</v>
      </c>
      <c r="F515" s="1" t="s">
        <v>112</v>
      </c>
      <c r="G515" s="1">
        <v>338551</v>
      </c>
    </row>
    <row r="516" spans="1:8" x14ac:dyDescent="0.35">
      <c r="A516" s="1" t="str">
        <f t="shared" si="8"/>
        <v>18</v>
      </c>
      <c r="B5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6" s="1" t="s">
        <v>3937</v>
      </c>
      <c r="D516" s="1" t="s">
        <v>3720</v>
      </c>
      <c r="E516" s="1" t="s">
        <v>3938</v>
      </c>
      <c r="F516" s="1" t="s">
        <v>112</v>
      </c>
      <c r="G516" s="1">
        <v>260705</v>
      </c>
    </row>
    <row r="517" spans="1:8" x14ac:dyDescent="0.35">
      <c r="A517" s="1" t="str">
        <f t="shared" si="8"/>
        <v>18</v>
      </c>
      <c r="B5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7" s="1" t="s">
        <v>3939</v>
      </c>
      <c r="D517" s="1" t="s">
        <v>1013</v>
      </c>
      <c r="E517" s="1" t="s">
        <v>3940</v>
      </c>
      <c r="F517" s="1" t="s">
        <v>112</v>
      </c>
      <c r="G517" s="1">
        <v>304095</v>
      </c>
    </row>
    <row r="518" spans="1:8" x14ac:dyDescent="0.35">
      <c r="A518" s="1" t="str">
        <f t="shared" si="8"/>
        <v>18</v>
      </c>
      <c r="B5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8" s="1" t="s">
        <v>3941</v>
      </c>
      <c r="D518" s="1" t="s">
        <v>1627</v>
      </c>
      <c r="E518" s="1" t="s">
        <v>3942</v>
      </c>
      <c r="F518" s="1" t="s">
        <v>112</v>
      </c>
      <c r="G518" s="1">
        <v>176500</v>
      </c>
    </row>
    <row r="519" spans="1:8" x14ac:dyDescent="0.35">
      <c r="A519" s="1" t="str">
        <f t="shared" si="8"/>
        <v>18</v>
      </c>
      <c r="B5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9" s="1" t="s">
        <v>3943</v>
      </c>
      <c r="D519" s="1" t="s">
        <v>1664</v>
      </c>
      <c r="E519" s="1">
        <v>30</v>
      </c>
      <c r="F519" s="1" t="s">
        <v>112</v>
      </c>
      <c r="G519" s="1">
        <v>1298</v>
      </c>
    </row>
    <row r="520" spans="1:8" x14ac:dyDescent="0.35">
      <c r="A520" s="1" t="str">
        <f t="shared" si="8"/>
        <v>18</v>
      </c>
      <c r="B5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0" s="1" t="s">
        <v>3944</v>
      </c>
      <c r="D520" s="1" t="s">
        <v>183</v>
      </c>
      <c r="E520" s="1" t="s">
        <v>3945</v>
      </c>
      <c r="F520" s="1" t="s">
        <v>112</v>
      </c>
      <c r="G520" s="1">
        <v>3331</v>
      </c>
    </row>
    <row r="521" spans="1:8" x14ac:dyDescent="0.35">
      <c r="A521" s="1" t="str">
        <f t="shared" si="8"/>
        <v>18</v>
      </c>
      <c r="B5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1" s="1" t="s">
        <v>3946</v>
      </c>
      <c r="D521" s="1" t="s">
        <v>3947</v>
      </c>
      <c r="E521" s="1" t="s">
        <v>3948</v>
      </c>
      <c r="F521" s="1" t="s">
        <v>112</v>
      </c>
      <c r="G521" s="1">
        <v>15833</v>
      </c>
    </row>
    <row r="522" spans="1:8" x14ac:dyDescent="0.35">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2" s="1" t="s">
        <v>112</v>
      </c>
    </row>
    <row r="523" spans="1:8" x14ac:dyDescent="0.35">
      <c r="A523" s="1" t="str">
        <f t="shared" si="8"/>
        <v/>
      </c>
      <c r="B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3" s="1" t="s">
        <v>239</v>
      </c>
      <c r="D523" s="1" t="s">
        <v>112</v>
      </c>
      <c r="E523" s="1" t="s">
        <v>240</v>
      </c>
      <c r="F523" s="1" t="s">
        <v>241</v>
      </c>
      <c r="G523" s="1" t="s">
        <v>242</v>
      </c>
      <c r="H523" s="1" t="s">
        <v>243</v>
      </c>
    </row>
    <row r="524" spans="1:8" x14ac:dyDescent="0.35">
      <c r="A524" s="1" t="str">
        <f t="shared" si="8"/>
        <v>18</v>
      </c>
      <c r="B5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24" s="1" t="s">
        <v>3949</v>
      </c>
      <c r="D524" s="1" t="s">
        <v>112</v>
      </c>
      <c r="E524" s="1" t="s">
        <v>3950</v>
      </c>
      <c r="F524" s="1" t="s">
        <v>3951</v>
      </c>
      <c r="G524" s="1" t="s">
        <v>3952</v>
      </c>
      <c r="H524" s="1" t="s">
        <v>3953</v>
      </c>
    </row>
    <row r="525" spans="1:8" x14ac:dyDescent="0.35">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5" s="1" t="s">
        <v>112</v>
      </c>
    </row>
    <row r="526" spans="1:8" x14ac:dyDescent="0.35">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6" s="1" t="s">
        <v>112</v>
      </c>
    </row>
    <row r="527" spans="1:8" x14ac:dyDescent="0.35">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7" s="1" t="s">
        <v>112</v>
      </c>
    </row>
    <row r="528" spans="1:8" x14ac:dyDescent="0.35">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8" s="1" t="s">
        <v>112</v>
      </c>
    </row>
    <row r="529" spans="1:7" x14ac:dyDescent="0.35">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9" s="1" t="s">
        <v>112</v>
      </c>
    </row>
    <row r="530" spans="1:7" x14ac:dyDescent="0.35">
      <c r="A530" s="1" t="str">
        <f t="shared" si="8"/>
        <v/>
      </c>
      <c r="B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30" s="1" t="s">
        <v>172</v>
      </c>
      <c r="D530" s="1" t="s">
        <v>110</v>
      </c>
      <c r="E530" s="1" t="s">
        <v>111</v>
      </c>
      <c r="F530" s="1" t="s">
        <v>112</v>
      </c>
      <c r="G530" s="1" t="s">
        <v>113</v>
      </c>
    </row>
    <row r="531" spans="1:7" x14ac:dyDescent="0.35">
      <c r="A531" s="1" t="str">
        <f t="shared" si="8"/>
        <v>19</v>
      </c>
      <c r="B5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1" s="1" t="s">
        <v>3954</v>
      </c>
    </row>
    <row r="532" spans="1:7" x14ac:dyDescent="0.35">
      <c r="A532" s="1" t="str">
        <f t="shared" si="8"/>
        <v>19</v>
      </c>
      <c r="B5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2" s="1" t="s">
        <v>3955</v>
      </c>
    </row>
    <row r="533" spans="1:7" x14ac:dyDescent="0.35">
      <c r="A533" s="1" t="str">
        <f t="shared" si="8"/>
        <v>19</v>
      </c>
      <c r="B5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3" s="1" t="s">
        <v>3956</v>
      </c>
      <c r="D533" s="1" t="s">
        <v>3957</v>
      </c>
      <c r="E533" s="1" t="s">
        <v>3958</v>
      </c>
      <c r="F533" s="1" t="s">
        <v>112</v>
      </c>
      <c r="G533" s="1">
        <v>935904</v>
      </c>
    </row>
    <row r="534" spans="1:7" x14ac:dyDescent="0.35">
      <c r="A534" s="1" t="str">
        <f t="shared" si="8"/>
        <v>19</v>
      </c>
      <c r="B5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4" s="1" t="s">
        <v>3959</v>
      </c>
      <c r="D534" s="1" t="s">
        <v>3960</v>
      </c>
      <c r="E534" s="1" t="s">
        <v>3961</v>
      </c>
      <c r="F534" s="1" t="s">
        <v>112</v>
      </c>
      <c r="G534" s="1">
        <v>1547965</v>
      </c>
    </row>
    <row r="535" spans="1:7" x14ac:dyDescent="0.35">
      <c r="A535" s="1" t="str">
        <f t="shared" si="8"/>
        <v>19</v>
      </c>
      <c r="B5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5" s="1" t="s">
        <v>3962</v>
      </c>
      <c r="D535" s="1" t="s">
        <v>3963</v>
      </c>
      <c r="E535" s="1" t="s">
        <v>3964</v>
      </c>
      <c r="F535" s="1" t="s">
        <v>112</v>
      </c>
      <c r="G535" s="1">
        <v>1476716</v>
      </c>
    </row>
    <row r="536" spans="1:7" x14ac:dyDescent="0.35">
      <c r="A536" s="1" t="str">
        <f t="shared" si="8"/>
        <v>19</v>
      </c>
      <c r="B5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6" s="1" t="s">
        <v>3965</v>
      </c>
      <c r="D536" s="1" t="s">
        <v>861</v>
      </c>
      <c r="E536" s="1" t="s">
        <v>3966</v>
      </c>
      <c r="F536" s="1" t="s">
        <v>112</v>
      </c>
      <c r="G536" s="1">
        <v>1457098</v>
      </c>
    </row>
    <row r="537" spans="1:7" x14ac:dyDescent="0.35">
      <c r="A537" s="1" t="str">
        <f t="shared" si="8"/>
        <v>19</v>
      </c>
      <c r="B5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7" s="1" t="s">
        <v>3967</v>
      </c>
      <c r="D537" s="1" t="s">
        <v>2307</v>
      </c>
      <c r="E537" s="1" t="s">
        <v>3968</v>
      </c>
      <c r="F537" s="1" t="s">
        <v>112</v>
      </c>
      <c r="G537" s="1">
        <v>2663289</v>
      </c>
    </row>
    <row r="538" spans="1:7" x14ac:dyDescent="0.35">
      <c r="A538" s="1" t="str">
        <f t="shared" si="8"/>
        <v>19</v>
      </c>
      <c r="B5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8" s="1" t="s">
        <v>3969</v>
      </c>
      <c r="D538" s="1" t="s">
        <v>3970</v>
      </c>
      <c r="E538" s="1" t="s">
        <v>3971</v>
      </c>
      <c r="F538" s="1" t="s">
        <v>112</v>
      </c>
      <c r="G538" s="1">
        <v>2375525</v>
      </c>
    </row>
    <row r="539" spans="1:7" x14ac:dyDescent="0.35">
      <c r="A539" s="1" t="str">
        <f t="shared" si="8"/>
        <v>19</v>
      </c>
      <c r="B5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9" s="1" t="s">
        <v>3972</v>
      </c>
      <c r="D539" s="1" t="s">
        <v>3973</v>
      </c>
      <c r="E539" s="1" t="s">
        <v>3974</v>
      </c>
      <c r="F539" s="1" t="s">
        <v>112</v>
      </c>
      <c r="G539" s="1">
        <v>2405093</v>
      </c>
    </row>
    <row r="540" spans="1:7" x14ac:dyDescent="0.35">
      <c r="A540" s="1" t="str">
        <f t="shared" si="8"/>
        <v>19</v>
      </c>
      <c r="B5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0" s="1" t="s">
        <v>3975</v>
      </c>
      <c r="D540" s="1" t="s">
        <v>1502</v>
      </c>
      <c r="E540" s="1" t="s">
        <v>3976</v>
      </c>
      <c r="F540" s="1" t="s">
        <v>112</v>
      </c>
      <c r="G540" s="1">
        <v>14168</v>
      </c>
    </row>
    <row r="541" spans="1:7" x14ac:dyDescent="0.35">
      <c r="A541" s="1" t="str">
        <f t="shared" si="8"/>
        <v>19</v>
      </c>
      <c r="B5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1" s="1" t="s">
        <v>3977</v>
      </c>
    </row>
    <row r="542" spans="1:7" x14ac:dyDescent="0.35">
      <c r="A542" s="1" t="str">
        <f t="shared" si="8"/>
        <v>19</v>
      </c>
      <c r="B5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2" s="1" t="s">
        <v>3978</v>
      </c>
    </row>
    <row r="543" spans="1:7" x14ac:dyDescent="0.35">
      <c r="A543" s="1" t="str">
        <f t="shared" si="8"/>
        <v>19</v>
      </c>
      <c r="B5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3" s="1" t="s">
        <v>3979</v>
      </c>
      <c r="D543" s="1" t="s">
        <v>3980</v>
      </c>
      <c r="E543" s="1" t="s">
        <v>3981</v>
      </c>
      <c r="F543" s="1" t="s">
        <v>112</v>
      </c>
      <c r="G543" s="1">
        <v>1244130</v>
      </c>
    </row>
    <row r="544" spans="1:7" x14ac:dyDescent="0.35">
      <c r="A544" s="1" t="str">
        <f t="shared" si="8"/>
        <v>19</v>
      </c>
      <c r="B5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4" s="1" t="s">
        <v>3982</v>
      </c>
      <c r="D544" s="1" t="s">
        <v>3983</v>
      </c>
      <c r="E544" s="1" t="s">
        <v>3984</v>
      </c>
      <c r="F544" s="1" t="s">
        <v>112</v>
      </c>
      <c r="G544" s="1">
        <v>1436333</v>
      </c>
    </row>
    <row r="545" spans="1:8" x14ac:dyDescent="0.35">
      <c r="A545" s="1" t="str">
        <f t="shared" si="8"/>
        <v>19</v>
      </c>
      <c r="B5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5" s="1" t="s">
        <v>3985</v>
      </c>
      <c r="D545" s="1" t="s">
        <v>326</v>
      </c>
      <c r="E545" s="1" t="s">
        <v>3986</v>
      </c>
      <c r="F545" s="1" t="s">
        <v>112</v>
      </c>
      <c r="G545" s="1">
        <v>1198512</v>
      </c>
    </row>
    <row r="546" spans="1:8" x14ac:dyDescent="0.35">
      <c r="A546" s="1" t="str">
        <f t="shared" si="8"/>
        <v>19</v>
      </c>
      <c r="B5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6" s="1" t="s">
        <v>3987</v>
      </c>
      <c r="D546" s="1" t="s">
        <v>3988</v>
      </c>
      <c r="E546" s="1" t="s">
        <v>3989</v>
      </c>
      <c r="F546" s="1" t="s">
        <v>112</v>
      </c>
      <c r="G546" s="1">
        <v>1157156</v>
      </c>
    </row>
    <row r="547" spans="1:8" x14ac:dyDescent="0.35">
      <c r="A547" s="1" t="str">
        <f t="shared" si="8"/>
        <v>19</v>
      </c>
      <c r="B5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7" s="1" t="s">
        <v>3990</v>
      </c>
      <c r="D547" s="1" t="s">
        <v>3991</v>
      </c>
      <c r="E547" s="1" t="s">
        <v>3992</v>
      </c>
      <c r="F547" s="1" t="s">
        <v>112</v>
      </c>
      <c r="G547" s="1">
        <v>1455346</v>
      </c>
    </row>
    <row r="548" spans="1:8" x14ac:dyDescent="0.35">
      <c r="A548" s="1" t="str">
        <f t="shared" si="8"/>
        <v>19</v>
      </c>
      <c r="B5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8" s="1" t="s">
        <v>3993</v>
      </c>
      <c r="D548" s="1" t="s">
        <v>3994</v>
      </c>
      <c r="E548" s="1" t="s">
        <v>3995</v>
      </c>
      <c r="F548" s="1" t="s">
        <v>112</v>
      </c>
      <c r="G548" s="1">
        <v>1542211</v>
      </c>
    </row>
    <row r="549" spans="1:8" x14ac:dyDescent="0.35">
      <c r="A549" s="1" t="str">
        <f t="shared" si="8"/>
        <v>19</v>
      </c>
      <c r="B5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9" s="1" t="s">
        <v>3996</v>
      </c>
      <c r="D549" s="1" t="s">
        <v>3997</v>
      </c>
      <c r="E549" s="1" t="s">
        <v>3998</v>
      </c>
      <c r="F549" s="1" t="s">
        <v>112</v>
      </c>
      <c r="G549" s="1">
        <v>1176710</v>
      </c>
    </row>
    <row r="550" spans="1:8" x14ac:dyDescent="0.35">
      <c r="A550" s="1" t="str">
        <f t="shared" si="8"/>
        <v>19</v>
      </c>
      <c r="B5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0" s="1" t="s">
        <v>3999</v>
      </c>
      <c r="D550" s="1" t="s">
        <v>4000</v>
      </c>
      <c r="E550" s="1" t="s">
        <v>4001</v>
      </c>
      <c r="F550" s="1" t="s">
        <v>112</v>
      </c>
      <c r="G550" s="1">
        <v>1630353</v>
      </c>
    </row>
    <row r="551" spans="1:8" x14ac:dyDescent="0.35">
      <c r="A551" s="1" t="str">
        <f t="shared" si="8"/>
        <v>19</v>
      </c>
      <c r="B5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1" s="1" t="s">
        <v>4002</v>
      </c>
      <c r="D551" s="1" t="s">
        <v>4003</v>
      </c>
      <c r="E551" s="1" t="s">
        <v>4004</v>
      </c>
      <c r="F551" s="1" t="s">
        <v>112</v>
      </c>
      <c r="G551" s="1">
        <v>1307938</v>
      </c>
    </row>
    <row r="552" spans="1:8" x14ac:dyDescent="0.35">
      <c r="A552" s="1" t="str">
        <f t="shared" si="8"/>
        <v>19</v>
      </c>
      <c r="B5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2" s="1" t="s">
        <v>4005</v>
      </c>
      <c r="D552" s="1" t="s">
        <v>2012</v>
      </c>
      <c r="E552" s="1" t="s">
        <v>4006</v>
      </c>
      <c r="F552" s="1" t="s">
        <v>112</v>
      </c>
      <c r="G552" s="1">
        <v>232997</v>
      </c>
    </row>
    <row r="553" spans="1:8" x14ac:dyDescent="0.35">
      <c r="A553" s="1" t="str">
        <f t="shared" si="8"/>
        <v>19</v>
      </c>
      <c r="B5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3" s="1" t="s">
        <v>4007</v>
      </c>
      <c r="D553" s="1" t="s">
        <v>1717</v>
      </c>
      <c r="E553" s="1" t="s">
        <v>1321</v>
      </c>
      <c r="F553" s="1" t="s">
        <v>112</v>
      </c>
      <c r="G553" s="1">
        <v>509817</v>
      </c>
    </row>
    <row r="554" spans="1:8" x14ac:dyDescent="0.35">
      <c r="A554" s="1" t="str">
        <f t="shared" si="8"/>
        <v>19</v>
      </c>
      <c r="B5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4" s="1" t="s">
        <v>4008</v>
      </c>
      <c r="D554" s="1" t="s">
        <v>2938</v>
      </c>
      <c r="E554" s="1" t="s">
        <v>4009</v>
      </c>
      <c r="F554" s="1" t="s">
        <v>112</v>
      </c>
      <c r="G554" s="1">
        <v>231115</v>
      </c>
    </row>
    <row r="555" spans="1:8" x14ac:dyDescent="0.35">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5" s="1" t="s">
        <v>112</v>
      </c>
    </row>
    <row r="556" spans="1:8" x14ac:dyDescent="0.35">
      <c r="A556" s="1" t="str">
        <f t="shared" si="8"/>
        <v/>
      </c>
      <c r="B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6" s="1" t="s">
        <v>239</v>
      </c>
      <c r="D556" s="1" t="s">
        <v>112</v>
      </c>
      <c r="E556" s="1" t="s">
        <v>240</v>
      </c>
      <c r="F556" s="1" t="s">
        <v>241</v>
      </c>
      <c r="G556" s="1" t="s">
        <v>242</v>
      </c>
      <c r="H556" s="1" t="s">
        <v>243</v>
      </c>
    </row>
    <row r="557" spans="1:8" x14ac:dyDescent="0.35">
      <c r="A557" s="1" t="str">
        <f t="shared" si="8"/>
        <v>19</v>
      </c>
      <c r="B5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57" s="1" t="s">
        <v>4010</v>
      </c>
      <c r="D557" s="1" t="s">
        <v>112</v>
      </c>
      <c r="E557" s="1" t="s">
        <v>4011</v>
      </c>
      <c r="F557" s="1" t="s">
        <v>4012</v>
      </c>
      <c r="G557" s="1" t="s">
        <v>4013</v>
      </c>
      <c r="H557" s="1" t="s">
        <v>4014</v>
      </c>
    </row>
    <row r="558" spans="1:8" x14ac:dyDescent="0.35">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8" s="1" t="s">
        <v>112</v>
      </c>
    </row>
    <row r="559" spans="1:8" x14ac:dyDescent="0.35">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9" s="1" t="s">
        <v>112</v>
      </c>
    </row>
    <row r="560" spans="1:8" x14ac:dyDescent="0.35">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0" s="1" t="s">
        <v>112</v>
      </c>
    </row>
    <row r="561" spans="1:7" x14ac:dyDescent="0.35">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1" s="1" t="s">
        <v>112</v>
      </c>
    </row>
    <row r="562" spans="1:7" x14ac:dyDescent="0.35">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2" s="1" t="s">
        <v>112</v>
      </c>
    </row>
    <row r="563" spans="1:7" x14ac:dyDescent="0.35">
      <c r="A563" s="1" t="str">
        <f t="shared" si="8"/>
        <v/>
      </c>
      <c r="B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3" s="1" t="s">
        <v>172</v>
      </c>
      <c r="D563" s="1" t="s">
        <v>110</v>
      </c>
      <c r="E563" s="1" t="s">
        <v>111</v>
      </c>
      <c r="F563" s="1" t="s">
        <v>112</v>
      </c>
      <c r="G563" s="1" t="s">
        <v>113</v>
      </c>
    </row>
    <row r="564" spans="1:7" x14ac:dyDescent="0.35">
      <c r="A564" s="1" t="str">
        <f t="shared" si="8"/>
        <v>20</v>
      </c>
      <c r="B5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4" s="1" t="s">
        <v>4015</v>
      </c>
    </row>
    <row r="565" spans="1:7" x14ac:dyDescent="0.35">
      <c r="A565" s="1" t="str">
        <f t="shared" si="8"/>
        <v>20</v>
      </c>
      <c r="B5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5" s="1" t="s">
        <v>4016</v>
      </c>
    </row>
    <row r="566" spans="1:7" x14ac:dyDescent="0.35">
      <c r="A566" s="1" t="str">
        <f t="shared" si="8"/>
        <v>20</v>
      </c>
      <c r="B5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6" s="1" t="s">
        <v>4017</v>
      </c>
    </row>
    <row r="567" spans="1:7" x14ac:dyDescent="0.35">
      <c r="A567" s="1" t="str">
        <f t="shared" si="8"/>
        <v>20</v>
      </c>
      <c r="B5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7" s="1" t="s">
        <v>4018</v>
      </c>
      <c r="D567" s="1" t="s">
        <v>4019</v>
      </c>
      <c r="E567" s="1" t="s">
        <v>4020</v>
      </c>
      <c r="F567" s="1" t="s">
        <v>112</v>
      </c>
      <c r="G567" s="1">
        <v>418430</v>
      </c>
    </row>
    <row r="568" spans="1:7" x14ac:dyDescent="0.35">
      <c r="A568" s="1" t="str">
        <f t="shared" si="8"/>
        <v>20</v>
      </c>
      <c r="B5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8" s="1" t="s">
        <v>4021</v>
      </c>
      <c r="D568" s="1" t="s">
        <v>4022</v>
      </c>
      <c r="E568" s="1" t="s">
        <v>4023</v>
      </c>
      <c r="F568" s="1" t="s">
        <v>112</v>
      </c>
      <c r="G568" s="1">
        <v>221425</v>
      </c>
    </row>
    <row r="569" spans="1:7" x14ac:dyDescent="0.35">
      <c r="A569" s="1" t="str">
        <f t="shared" si="8"/>
        <v>20</v>
      </c>
      <c r="B5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9" s="1" t="s">
        <v>4024</v>
      </c>
      <c r="D569" s="1" t="s">
        <v>195</v>
      </c>
      <c r="E569" s="1" t="s">
        <v>4025</v>
      </c>
      <c r="F569" s="1" t="s">
        <v>112</v>
      </c>
      <c r="G569" s="1">
        <v>227525</v>
      </c>
    </row>
    <row r="570" spans="1:7" x14ac:dyDescent="0.35">
      <c r="A570" s="1" t="str">
        <f t="shared" si="8"/>
        <v>20</v>
      </c>
      <c r="B5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0" s="1" t="s">
        <v>4026</v>
      </c>
      <c r="D570" s="1" t="s">
        <v>4027</v>
      </c>
      <c r="E570" s="1" t="s">
        <v>4028</v>
      </c>
      <c r="F570" s="1" t="s">
        <v>112</v>
      </c>
      <c r="G570" s="1">
        <v>83621</v>
      </c>
    </row>
    <row r="571" spans="1:7" x14ac:dyDescent="0.35">
      <c r="A571" s="1" t="str">
        <f t="shared" si="8"/>
        <v>20</v>
      </c>
      <c r="B5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1" s="1" t="s">
        <v>4029</v>
      </c>
      <c r="D571" s="1" t="s">
        <v>2074</v>
      </c>
      <c r="E571" s="1" t="s">
        <v>4030</v>
      </c>
      <c r="F571" s="1" t="s">
        <v>112</v>
      </c>
      <c r="G571" s="1">
        <v>22452</v>
      </c>
    </row>
    <row r="572" spans="1:7" x14ac:dyDescent="0.35">
      <c r="A572" s="1" t="str">
        <f t="shared" si="8"/>
        <v>20</v>
      </c>
      <c r="B5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2" s="1" t="s">
        <v>4031</v>
      </c>
      <c r="D572" s="1" t="s">
        <v>2581</v>
      </c>
      <c r="E572" s="1" t="s">
        <v>4032</v>
      </c>
      <c r="F572" s="1" t="s">
        <v>112</v>
      </c>
      <c r="G572" s="1">
        <v>94588</v>
      </c>
    </row>
    <row r="573" spans="1:7" x14ac:dyDescent="0.35">
      <c r="A573" s="1" t="str">
        <f t="shared" si="8"/>
        <v>20</v>
      </c>
      <c r="B5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3" s="1" t="s">
        <v>4033</v>
      </c>
      <c r="D573" s="1" t="s">
        <v>198</v>
      </c>
      <c r="E573" s="1" t="s">
        <v>4034</v>
      </c>
      <c r="F573" s="1" t="s">
        <v>112</v>
      </c>
      <c r="G573" s="1">
        <v>275824</v>
      </c>
    </row>
    <row r="574" spans="1:7" x14ac:dyDescent="0.35">
      <c r="A574" s="1" t="str">
        <f t="shared" si="8"/>
        <v>20</v>
      </c>
      <c r="B5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4" s="1" t="s">
        <v>4035</v>
      </c>
      <c r="D574" s="1" t="s">
        <v>2963</v>
      </c>
      <c r="E574" s="1" t="s">
        <v>4036</v>
      </c>
      <c r="F574" s="1" t="s">
        <v>112</v>
      </c>
      <c r="G574" s="1">
        <v>109966</v>
      </c>
    </row>
    <row r="575" spans="1:7" x14ac:dyDescent="0.35">
      <c r="A575" s="1" t="str">
        <f t="shared" si="8"/>
        <v>20</v>
      </c>
      <c r="B5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5" s="1" t="s">
        <v>4037</v>
      </c>
      <c r="D575" s="1" t="s">
        <v>4038</v>
      </c>
      <c r="E575" s="1" t="s">
        <v>4039</v>
      </c>
      <c r="F575" s="1" t="s">
        <v>112</v>
      </c>
      <c r="G575" s="1">
        <v>222399</v>
      </c>
    </row>
    <row r="576" spans="1:7" x14ac:dyDescent="0.35">
      <c r="A576" s="1" t="str">
        <f t="shared" si="8"/>
        <v>20</v>
      </c>
      <c r="B5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6" s="1" t="s">
        <v>4040</v>
      </c>
      <c r="D576" s="1" t="s">
        <v>4041</v>
      </c>
      <c r="E576" s="1" t="s">
        <v>4042</v>
      </c>
      <c r="F576" s="1" t="s">
        <v>112</v>
      </c>
      <c r="G576" s="1">
        <v>1477754</v>
      </c>
    </row>
    <row r="577" spans="1:8" x14ac:dyDescent="0.35">
      <c r="A577" s="1" t="str">
        <f t="shared" si="8"/>
        <v>20</v>
      </c>
      <c r="B5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7" s="1" t="s">
        <v>4043</v>
      </c>
      <c r="D577" s="1" t="s">
        <v>4044</v>
      </c>
      <c r="E577" s="1" t="s">
        <v>4045</v>
      </c>
      <c r="F577" s="1" t="s">
        <v>112</v>
      </c>
      <c r="G577" s="1">
        <v>1053635</v>
      </c>
    </row>
    <row r="578" spans="1:8" x14ac:dyDescent="0.35">
      <c r="A578" s="1" t="str">
        <f t="shared" ref="A578:A641" si="9">IFERROR(LEFT(RIGHT(C578,LEN(C578)-SEARCH("@",C578)),SEARCH("/",RIGHT(C578,LEN(C578)-SEARCH("@",C578)-1))),"")</f>
        <v>20</v>
      </c>
      <c r="B5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8" s="1" t="s">
        <v>4046</v>
      </c>
      <c r="D578" s="1" t="s">
        <v>4047</v>
      </c>
      <c r="E578" s="1" t="s">
        <v>4048</v>
      </c>
      <c r="F578" s="1" t="s">
        <v>112</v>
      </c>
      <c r="G578" s="1">
        <v>1193062</v>
      </c>
    </row>
    <row r="579" spans="1:8" x14ac:dyDescent="0.35">
      <c r="A579" s="1" t="str">
        <f t="shared" si="9"/>
        <v>20</v>
      </c>
      <c r="B5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9" s="1" t="s">
        <v>4049</v>
      </c>
      <c r="D579" s="1" t="s">
        <v>4050</v>
      </c>
      <c r="E579" s="1" t="s">
        <v>4051</v>
      </c>
      <c r="F579" s="1" t="s">
        <v>112</v>
      </c>
      <c r="G579" s="1">
        <v>603409</v>
      </c>
    </row>
    <row r="580" spans="1:8" x14ac:dyDescent="0.35">
      <c r="A580" s="1" t="str">
        <f t="shared" si="9"/>
        <v>20</v>
      </c>
      <c r="B5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80" s="1" t="s">
        <v>4052</v>
      </c>
      <c r="D580" s="1" t="s">
        <v>4053</v>
      </c>
      <c r="E580" s="1" t="s">
        <v>4054</v>
      </c>
      <c r="F580" s="1" t="s">
        <v>112</v>
      </c>
      <c r="G580" s="1">
        <v>739526</v>
      </c>
    </row>
    <row r="581" spans="1:8" x14ac:dyDescent="0.35">
      <c r="A581" s="1" t="str">
        <f t="shared" si="9"/>
        <v>20</v>
      </c>
      <c r="B5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81" s="1" t="s">
        <v>4055</v>
      </c>
      <c r="D581" s="1" t="s">
        <v>4056</v>
      </c>
      <c r="E581" s="1" t="s">
        <v>4057</v>
      </c>
      <c r="F581" s="1" t="s">
        <v>112</v>
      </c>
      <c r="G581" s="1">
        <v>801128</v>
      </c>
    </row>
    <row r="582" spans="1:8" x14ac:dyDescent="0.35">
      <c r="A582" s="1" t="str">
        <f t="shared" si="9"/>
        <v>20</v>
      </c>
      <c r="B5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2" s="1" t="s">
        <v>4058</v>
      </c>
      <c r="D582" s="1" t="s">
        <v>4059</v>
      </c>
      <c r="E582" s="1" t="s">
        <v>4060</v>
      </c>
      <c r="F582" s="1" t="s">
        <v>112</v>
      </c>
      <c r="G582" s="1">
        <v>3141439</v>
      </c>
    </row>
    <row r="583" spans="1:8" x14ac:dyDescent="0.35">
      <c r="A583" s="1" t="str">
        <f t="shared" si="9"/>
        <v>20</v>
      </c>
      <c r="B5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3" s="1" t="s">
        <v>4061</v>
      </c>
      <c r="D583" s="1" t="s">
        <v>4062</v>
      </c>
      <c r="E583" s="1" t="s">
        <v>4063</v>
      </c>
      <c r="F583" s="1" t="s">
        <v>112</v>
      </c>
      <c r="G583" s="1">
        <v>2933252</v>
      </c>
    </row>
    <row r="584" spans="1:8" x14ac:dyDescent="0.35">
      <c r="A584" s="1" t="str">
        <f t="shared" si="9"/>
        <v>20</v>
      </c>
      <c r="B5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4" s="1" t="s">
        <v>4064</v>
      </c>
      <c r="D584" s="1" t="s">
        <v>4065</v>
      </c>
      <c r="E584" s="1" t="s">
        <v>4066</v>
      </c>
      <c r="F584" s="1" t="s">
        <v>112</v>
      </c>
      <c r="G584" s="1">
        <v>2871131</v>
      </c>
    </row>
    <row r="585" spans="1:8" x14ac:dyDescent="0.35">
      <c r="A585" s="1" t="str">
        <f t="shared" si="9"/>
        <v>20</v>
      </c>
      <c r="B5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5" s="1" t="s">
        <v>4067</v>
      </c>
      <c r="D585" s="1" t="s">
        <v>4068</v>
      </c>
      <c r="E585" s="1" t="s">
        <v>4069</v>
      </c>
      <c r="F585" s="1" t="s">
        <v>112</v>
      </c>
      <c r="G585" s="1">
        <v>643100</v>
      </c>
    </row>
    <row r="586" spans="1:8" x14ac:dyDescent="0.35">
      <c r="A586" s="1" t="str">
        <f t="shared" si="9"/>
        <v>20</v>
      </c>
      <c r="B5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6" s="1" t="s">
        <v>4070</v>
      </c>
    </row>
    <row r="587" spans="1:8" x14ac:dyDescent="0.35">
      <c r="A587" s="1" t="str">
        <f t="shared" si="9"/>
        <v>20</v>
      </c>
      <c r="B5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7" s="1" t="s">
        <v>4071</v>
      </c>
      <c r="D587" s="1" t="s">
        <v>4072</v>
      </c>
      <c r="E587" s="1" t="s">
        <v>4073</v>
      </c>
      <c r="F587" s="1" t="s">
        <v>112</v>
      </c>
      <c r="G587" s="1">
        <v>815923</v>
      </c>
    </row>
    <row r="588" spans="1:8" x14ac:dyDescent="0.35">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8" s="1" t="s">
        <v>112</v>
      </c>
    </row>
    <row r="589" spans="1:8" x14ac:dyDescent="0.35">
      <c r="A589" s="1" t="str">
        <f t="shared" si="9"/>
        <v/>
      </c>
      <c r="B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9" s="1" t="s">
        <v>239</v>
      </c>
      <c r="D589" s="1" t="s">
        <v>112</v>
      </c>
      <c r="E589" s="1" t="s">
        <v>240</v>
      </c>
      <c r="F589" s="1" t="s">
        <v>241</v>
      </c>
      <c r="G589" s="1" t="s">
        <v>242</v>
      </c>
      <c r="H589" s="1" t="s">
        <v>243</v>
      </c>
    </row>
    <row r="590" spans="1:8" x14ac:dyDescent="0.35">
      <c r="A590" s="1" t="str">
        <f t="shared" si="9"/>
        <v>20</v>
      </c>
      <c r="B5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90" s="1" t="s">
        <v>4074</v>
      </c>
      <c r="D590" s="1" t="s">
        <v>112</v>
      </c>
      <c r="E590" s="1" t="s">
        <v>4075</v>
      </c>
      <c r="F590" s="1" t="s">
        <v>4076</v>
      </c>
      <c r="G590" s="1" t="s">
        <v>4077</v>
      </c>
      <c r="H590" s="1" t="s">
        <v>4078</v>
      </c>
    </row>
    <row r="591" spans="1:8" x14ac:dyDescent="0.35">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1" s="1" t="s">
        <v>112</v>
      </c>
    </row>
    <row r="592" spans="1:8" x14ac:dyDescent="0.35">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2" s="1" t="s">
        <v>112</v>
      </c>
    </row>
    <row r="593" spans="1:7" x14ac:dyDescent="0.35">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3" s="1" t="s">
        <v>112</v>
      </c>
    </row>
    <row r="594" spans="1:7" x14ac:dyDescent="0.35">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4" s="1" t="s">
        <v>112</v>
      </c>
    </row>
    <row r="595" spans="1:7" x14ac:dyDescent="0.35">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5" s="1" t="s">
        <v>112</v>
      </c>
    </row>
    <row r="596" spans="1:7" x14ac:dyDescent="0.35">
      <c r="A596" s="1" t="str">
        <f t="shared" si="9"/>
        <v/>
      </c>
      <c r="B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6" s="1" t="s">
        <v>172</v>
      </c>
      <c r="D596" s="1" t="s">
        <v>110</v>
      </c>
      <c r="E596" s="1" t="s">
        <v>111</v>
      </c>
      <c r="F596" s="1" t="s">
        <v>112</v>
      </c>
      <c r="G596" s="1" t="s">
        <v>113</v>
      </c>
    </row>
    <row r="597" spans="1:7" x14ac:dyDescent="0.35">
      <c r="A597" s="1" t="str">
        <f t="shared" si="9"/>
        <v>21</v>
      </c>
      <c r="B5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7" s="1" t="s">
        <v>4079</v>
      </c>
      <c r="D597" s="1" t="s">
        <v>4080</v>
      </c>
      <c r="E597" s="1" t="s">
        <v>4081</v>
      </c>
      <c r="F597" s="1" t="s">
        <v>112</v>
      </c>
      <c r="G597" s="1">
        <v>1478749</v>
      </c>
    </row>
    <row r="598" spans="1:7" x14ac:dyDescent="0.35">
      <c r="A598" s="1" t="str">
        <f t="shared" si="9"/>
        <v>21</v>
      </c>
      <c r="B5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8" s="1" t="s">
        <v>4082</v>
      </c>
      <c r="D598" s="1" t="s">
        <v>2133</v>
      </c>
      <c r="E598" s="1" t="s">
        <v>4083</v>
      </c>
      <c r="F598" s="1" t="s">
        <v>112</v>
      </c>
      <c r="G598" s="1">
        <v>1404559</v>
      </c>
    </row>
    <row r="599" spans="1:7" x14ac:dyDescent="0.35">
      <c r="A599" s="1" t="str">
        <f t="shared" si="9"/>
        <v>21</v>
      </c>
      <c r="B5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9" s="1" t="s">
        <v>4084</v>
      </c>
      <c r="D599" s="1" t="s">
        <v>4085</v>
      </c>
      <c r="E599" s="1" t="s">
        <v>4086</v>
      </c>
      <c r="F599" s="1" t="s">
        <v>112</v>
      </c>
      <c r="G599" s="1">
        <v>2081877</v>
      </c>
    </row>
    <row r="600" spans="1:7" x14ac:dyDescent="0.35">
      <c r="A600" s="1" t="str">
        <f t="shared" si="9"/>
        <v>21</v>
      </c>
      <c r="B6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0" s="1" t="s">
        <v>4087</v>
      </c>
      <c r="D600" s="1" t="s">
        <v>804</v>
      </c>
      <c r="E600" s="1" t="s">
        <v>4088</v>
      </c>
      <c r="F600" s="1" t="s">
        <v>112</v>
      </c>
      <c r="G600" s="1">
        <v>460349</v>
      </c>
    </row>
    <row r="601" spans="1:7" x14ac:dyDescent="0.35">
      <c r="A601" s="1" t="str">
        <f t="shared" si="9"/>
        <v>21</v>
      </c>
      <c r="B6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1" s="1" t="s">
        <v>4089</v>
      </c>
      <c r="D601" s="1" t="s">
        <v>4090</v>
      </c>
      <c r="E601" s="1" t="s">
        <v>4091</v>
      </c>
      <c r="F601" s="1" t="s">
        <v>112</v>
      </c>
      <c r="G601" s="1">
        <v>464545</v>
      </c>
    </row>
    <row r="602" spans="1:7" x14ac:dyDescent="0.35">
      <c r="A602" s="1" t="str">
        <f t="shared" si="9"/>
        <v>21</v>
      </c>
      <c r="B6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2" s="1" t="s">
        <v>4092</v>
      </c>
      <c r="D602" s="1" t="s">
        <v>4093</v>
      </c>
      <c r="E602" s="1" t="s">
        <v>4094</v>
      </c>
      <c r="F602" s="1" t="s">
        <v>112</v>
      </c>
      <c r="G602" s="1">
        <v>509730</v>
      </c>
    </row>
    <row r="603" spans="1:7" x14ac:dyDescent="0.35">
      <c r="A603" s="1" t="str">
        <f t="shared" si="9"/>
        <v>21</v>
      </c>
      <c r="B6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3" s="1" t="s">
        <v>4095</v>
      </c>
    </row>
    <row r="604" spans="1:7" x14ac:dyDescent="0.35">
      <c r="A604" s="1" t="str">
        <f t="shared" si="9"/>
        <v>21</v>
      </c>
      <c r="B6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4" s="1" t="s">
        <v>4096</v>
      </c>
    </row>
    <row r="605" spans="1:7" x14ac:dyDescent="0.35">
      <c r="A605" s="1" t="str">
        <f t="shared" si="9"/>
        <v>21</v>
      </c>
      <c r="B6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5" s="1" t="s">
        <v>4097</v>
      </c>
    </row>
    <row r="606" spans="1:7" x14ac:dyDescent="0.35">
      <c r="A606" s="1" t="str">
        <f t="shared" si="9"/>
        <v>21</v>
      </c>
      <c r="B6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6" s="1" t="s">
        <v>4098</v>
      </c>
      <c r="D606" s="1" t="s">
        <v>4099</v>
      </c>
      <c r="E606" s="1" t="s">
        <v>4100</v>
      </c>
      <c r="F606" s="1" t="s">
        <v>112</v>
      </c>
      <c r="G606" s="1">
        <v>906877</v>
      </c>
    </row>
    <row r="607" spans="1:7" x14ac:dyDescent="0.35">
      <c r="A607" s="1" t="str">
        <f t="shared" si="9"/>
        <v>21</v>
      </c>
      <c r="B6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7" s="1" t="s">
        <v>4101</v>
      </c>
      <c r="D607" s="1" t="s">
        <v>4102</v>
      </c>
      <c r="E607" s="1" t="s">
        <v>4103</v>
      </c>
      <c r="F607" s="1" t="s">
        <v>112</v>
      </c>
      <c r="G607" s="1">
        <v>845102</v>
      </c>
    </row>
    <row r="608" spans="1:7" x14ac:dyDescent="0.35">
      <c r="A608" s="1" t="str">
        <f t="shared" si="9"/>
        <v>21</v>
      </c>
      <c r="B6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8" s="1" t="s">
        <v>4104</v>
      </c>
      <c r="D608" s="1" t="s">
        <v>4105</v>
      </c>
      <c r="E608" s="1" t="s">
        <v>4106</v>
      </c>
      <c r="F608" s="1" t="s">
        <v>112</v>
      </c>
      <c r="G608" s="1">
        <v>846464</v>
      </c>
    </row>
    <row r="609" spans="1:8" x14ac:dyDescent="0.35">
      <c r="A609" s="1" t="str">
        <f t="shared" si="9"/>
        <v>21</v>
      </c>
      <c r="B6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9" s="1" t="s">
        <v>4107</v>
      </c>
      <c r="D609" s="1" t="s">
        <v>3067</v>
      </c>
      <c r="E609" s="1" t="s">
        <v>4108</v>
      </c>
      <c r="F609" s="1" t="s">
        <v>112</v>
      </c>
      <c r="G609" s="1">
        <v>1213329</v>
      </c>
    </row>
    <row r="610" spans="1:8" x14ac:dyDescent="0.35">
      <c r="A610" s="1" t="str">
        <f t="shared" si="9"/>
        <v>21</v>
      </c>
      <c r="B6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10" s="1" t="s">
        <v>4109</v>
      </c>
      <c r="D610" s="1" t="s">
        <v>2133</v>
      </c>
      <c r="E610" s="1" t="s">
        <v>4110</v>
      </c>
      <c r="F610" s="1" t="s">
        <v>112</v>
      </c>
      <c r="G610" s="1">
        <v>1289553</v>
      </c>
    </row>
    <row r="611" spans="1:8" x14ac:dyDescent="0.35">
      <c r="A611" s="1" t="str">
        <f t="shared" si="9"/>
        <v>21</v>
      </c>
      <c r="B6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11" s="1" t="s">
        <v>4111</v>
      </c>
      <c r="D611" s="1" t="s">
        <v>4112</v>
      </c>
      <c r="E611" s="1" t="s">
        <v>4113</v>
      </c>
      <c r="F611" s="1" t="s">
        <v>112</v>
      </c>
      <c r="G611" s="1">
        <v>873242</v>
      </c>
    </row>
    <row r="612" spans="1:8" x14ac:dyDescent="0.35">
      <c r="A612" s="1" t="str">
        <f t="shared" si="9"/>
        <v>21</v>
      </c>
      <c r="B6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2" s="1" t="s">
        <v>4114</v>
      </c>
      <c r="D612" s="1" t="s">
        <v>3451</v>
      </c>
      <c r="E612" s="1" t="s">
        <v>4115</v>
      </c>
      <c r="F612" s="1" t="s">
        <v>112</v>
      </c>
      <c r="G612" s="1">
        <v>930388</v>
      </c>
    </row>
    <row r="613" spans="1:8" x14ac:dyDescent="0.35">
      <c r="A613" s="1" t="str">
        <f t="shared" si="9"/>
        <v>21</v>
      </c>
      <c r="B6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3" s="1" t="s">
        <v>4116</v>
      </c>
      <c r="D613" s="1" t="s">
        <v>4117</v>
      </c>
      <c r="E613" s="1" t="s">
        <v>4118</v>
      </c>
      <c r="F613" s="1" t="s">
        <v>112</v>
      </c>
      <c r="G613" s="1">
        <v>774307</v>
      </c>
    </row>
    <row r="614" spans="1:8" x14ac:dyDescent="0.35">
      <c r="A614" s="1" t="str">
        <f t="shared" si="9"/>
        <v>21</v>
      </c>
      <c r="B6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4" s="1" t="s">
        <v>4119</v>
      </c>
      <c r="D614" s="1" t="s">
        <v>4120</v>
      </c>
      <c r="E614" s="1" t="s">
        <v>4121</v>
      </c>
      <c r="F614" s="1" t="s">
        <v>112</v>
      </c>
      <c r="G614" s="1">
        <v>1252933</v>
      </c>
    </row>
    <row r="615" spans="1:8" x14ac:dyDescent="0.35">
      <c r="A615" s="1" t="str">
        <f t="shared" si="9"/>
        <v>21</v>
      </c>
      <c r="B6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5" s="1" t="s">
        <v>4122</v>
      </c>
      <c r="D615" s="1" t="s">
        <v>4123</v>
      </c>
      <c r="E615" s="1" t="s">
        <v>4124</v>
      </c>
      <c r="F615" s="1" t="s">
        <v>112</v>
      </c>
      <c r="G615" s="1">
        <v>657462</v>
      </c>
    </row>
    <row r="616" spans="1:8" x14ac:dyDescent="0.35">
      <c r="A616" s="1" t="str">
        <f t="shared" si="9"/>
        <v>21</v>
      </c>
      <c r="B6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6" s="1" t="s">
        <v>4125</v>
      </c>
      <c r="D616" s="1" t="s">
        <v>4126</v>
      </c>
      <c r="E616" s="1" t="s">
        <v>4127</v>
      </c>
      <c r="F616" s="1" t="s">
        <v>112</v>
      </c>
      <c r="G616" s="1">
        <v>1002589</v>
      </c>
    </row>
    <row r="617" spans="1:8" x14ac:dyDescent="0.35">
      <c r="A617" s="1" t="str">
        <f t="shared" si="9"/>
        <v>21</v>
      </c>
      <c r="B6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7" s="1" t="s">
        <v>4128</v>
      </c>
      <c r="D617" s="1" t="s">
        <v>4129</v>
      </c>
      <c r="E617" s="1" t="s">
        <v>4130</v>
      </c>
      <c r="F617" s="1" t="s">
        <v>112</v>
      </c>
      <c r="G617" s="1">
        <v>1086080</v>
      </c>
    </row>
    <row r="618" spans="1:8" x14ac:dyDescent="0.35">
      <c r="A618" s="1" t="str">
        <f t="shared" si="9"/>
        <v>21</v>
      </c>
      <c r="B6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8" s="1" t="s">
        <v>4131</v>
      </c>
      <c r="D618" s="1" t="s">
        <v>4132</v>
      </c>
      <c r="E618" s="1" t="s">
        <v>4133</v>
      </c>
      <c r="F618" s="1" t="s">
        <v>112</v>
      </c>
      <c r="G618" s="1">
        <v>920914</v>
      </c>
    </row>
    <row r="619" spans="1:8" x14ac:dyDescent="0.35">
      <c r="A619" s="1" t="str">
        <f t="shared" si="9"/>
        <v>21</v>
      </c>
      <c r="B6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9" s="1" t="s">
        <v>4134</v>
      </c>
      <c r="D619" s="1" t="s">
        <v>4135</v>
      </c>
      <c r="E619" s="1" t="s">
        <v>4136</v>
      </c>
      <c r="F619" s="1" t="s">
        <v>112</v>
      </c>
      <c r="G619" s="1">
        <v>1039619</v>
      </c>
    </row>
    <row r="620" spans="1:8" x14ac:dyDescent="0.35">
      <c r="A620" s="1" t="str">
        <f t="shared" si="9"/>
        <v>21</v>
      </c>
      <c r="B6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20" s="1" t="s">
        <v>4137</v>
      </c>
      <c r="D620" s="1" t="s">
        <v>4138</v>
      </c>
      <c r="E620" s="1" t="s">
        <v>4139</v>
      </c>
      <c r="F620" s="1" t="s">
        <v>112</v>
      </c>
      <c r="G620" s="1">
        <v>700679</v>
      </c>
    </row>
    <row r="621" spans="1:8" x14ac:dyDescent="0.35">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1" s="1" t="s">
        <v>112</v>
      </c>
    </row>
    <row r="622" spans="1:8" x14ac:dyDescent="0.35">
      <c r="A622" s="1" t="str">
        <f t="shared" si="9"/>
        <v/>
      </c>
      <c r="B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2" s="1" t="s">
        <v>239</v>
      </c>
      <c r="D622" s="1" t="s">
        <v>112</v>
      </c>
      <c r="E622" s="1" t="s">
        <v>240</v>
      </c>
      <c r="F622" s="1" t="s">
        <v>241</v>
      </c>
      <c r="G622" s="1" t="s">
        <v>242</v>
      </c>
      <c r="H622" s="1" t="s">
        <v>243</v>
      </c>
    </row>
    <row r="623" spans="1:8" x14ac:dyDescent="0.35">
      <c r="A623" s="1" t="str">
        <f t="shared" si="9"/>
        <v>21</v>
      </c>
      <c r="B6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23" s="1" t="s">
        <v>4140</v>
      </c>
      <c r="D623" s="1" t="s">
        <v>112</v>
      </c>
      <c r="E623" s="1" t="s">
        <v>4141</v>
      </c>
      <c r="F623" s="1" t="s">
        <v>4142</v>
      </c>
      <c r="G623" s="1" t="s">
        <v>4143</v>
      </c>
      <c r="H623" s="1" t="s">
        <v>4144</v>
      </c>
    </row>
    <row r="624" spans="1:8" x14ac:dyDescent="0.35">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4" s="1" t="s">
        <v>112</v>
      </c>
    </row>
    <row r="625" spans="1:7" x14ac:dyDescent="0.35">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5" s="1" t="s">
        <v>112</v>
      </c>
    </row>
    <row r="626" spans="1:7" x14ac:dyDescent="0.35">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6" s="1" t="s">
        <v>112</v>
      </c>
    </row>
    <row r="627" spans="1:7" x14ac:dyDescent="0.35">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7" s="1" t="s">
        <v>112</v>
      </c>
    </row>
    <row r="628" spans="1:7" x14ac:dyDescent="0.35">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8" s="1" t="s">
        <v>112</v>
      </c>
    </row>
    <row r="629" spans="1:7" x14ac:dyDescent="0.35">
      <c r="A629" s="1" t="str">
        <f t="shared" si="9"/>
        <v/>
      </c>
      <c r="B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9" s="1" t="s">
        <v>172</v>
      </c>
      <c r="D629" s="1" t="s">
        <v>110</v>
      </c>
      <c r="E629" s="1" t="s">
        <v>111</v>
      </c>
      <c r="F629" s="1" t="s">
        <v>112</v>
      </c>
      <c r="G629" s="1" t="s">
        <v>113</v>
      </c>
    </row>
    <row r="630" spans="1:7" x14ac:dyDescent="0.35">
      <c r="A630" s="1" t="str">
        <f t="shared" si="9"/>
        <v>8</v>
      </c>
      <c r="B6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0" s="1" t="s">
        <v>4145</v>
      </c>
    </row>
    <row r="631" spans="1:7" x14ac:dyDescent="0.35">
      <c r="A631" s="1" t="str">
        <f t="shared" si="9"/>
        <v>8</v>
      </c>
      <c r="B6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1" s="1" t="s">
        <v>4146</v>
      </c>
    </row>
    <row r="632" spans="1:7" x14ac:dyDescent="0.35">
      <c r="A632" s="1" t="str">
        <f t="shared" si="9"/>
        <v>8</v>
      </c>
      <c r="B6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2" s="1" t="s">
        <v>4147</v>
      </c>
    </row>
    <row r="633" spans="1:7" x14ac:dyDescent="0.35">
      <c r="A633" s="1" t="str">
        <f t="shared" si="9"/>
        <v>8</v>
      </c>
      <c r="B6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3" s="1" t="s">
        <v>4148</v>
      </c>
      <c r="D633" s="1" t="s">
        <v>1274</v>
      </c>
      <c r="E633" s="1" t="s">
        <v>4149</v>
      </c>
      <c r="F633" s="1" t="s">
        <v>112</v>
      </c>
      <c r="G633" s="1">
        <v>168172</v>
      </c>
    </row>
    <row r="634" spans="1:7" x14ac:dyDescent="0.35">
      <c r="A634" s="1" t="str">
        <f t="shared" si="9"/>
        <v>8</v>
      </c>
      <c r="B6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4" s="1" t="s">
        <v>4150</v>
      </c>
      <c r="D634" s="1" t="s">
        <v>4151</v>
      </c>
      <c r="E634" s="1" t="s">
        <v>4152</v>
      </c>
      <c r="F634" s="1" t="s">
        <v>112</v>
      </c>
      <c r="G634" s="1">
        <v>389814</v>
      </c>
    </row>
    <row r="635" spans="1:7" x14ac:dyDescent="0.35">
      <c r="A635" s="1" t="str">
        <f t="shared" si="9"/>
        <v>8</v>
      </c>
      <c r="B6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5" s="1" t="s">
        <v>4153</v>
      </c>
      <c r="D635" s="1" t="s">
        <v>4154</v>
      </c>
      <c r="E635" s="1" t="s">
        <v>4155</v>
      </c>
      <c r="F635" s="1" t="s">
        <v>112</v>
      </c>
      <c r="G635" s="1">
        <v>369460</v>
      </c>
    </row>
    <row r="636" spans="1:7" x14ac:dyDescent="0.35">
      <c r="A636" s="1" t="str">
        <f t="shared" si="9"/>
        <v>8</v>
      </c>
      <c r="B6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6" s="1" t="s">
        <v>4156</v>
      </c>
      <c r="D636" s="1" t="s">
        <v>4157</v>
      </c>
      <c r="E636" s="1" t="s">
        <v>4158</v>
      </c>
      <c r="F636" s="1" t="s">
        <v>112</v>
      </c>
      <c r="G636" s="1">
        <v>171590</v>
      </c>
    </row>
    <row r="637" spans="1:7" x14ac:dyDescent="0.35">
      <c r="A637" s="1" t="str">
        <f t="shared" si="9"/>
        <v>8</v>
      </c>
      <c r="B6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7" s="1" t="s">
        <v>4159</v>
      </c>
      <c r="D637" s="1" t="s">
        <v>2951</v>
      </c>
      <c r="E637" s="1" t="s">
        <v>4160</v>
      </c>
      <c r="F637" s="1" t="s">
        <v>112</v>
      </c>
      <c r="G637" s="1">
        <v>329921</v>
      </c>
    </row>
    <row r="638" spans="1:7" x14ac:dyDescent="0.35">
      <c r="A638" s="1" t="str">
        <f t="shared" si="9"/>
        <v>8</v>
      </c>
      <c r="B6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8" s="1" t="s">
        <v>4161</v>
      </c>
      <c r="D638" s="1" t="s">
        <v>234</v>
      </c>
      <c r="E638" s="1" t="s">
        <v>4162</v>
      </c>
      <c r="F638" s="1" t="s">
        <v>112</v>
      </c>
      <c r="G638" s="1">
        <v>20484</v>
      </c>
    </row>
    <row r="639" spans="1:7" x14ac:dyDescent="0.35">
      <c r="A639" s="1" t="str">
        <f t="shared" si="9"/>
        <v>8</v>
      </c>
      <c r="B6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9" s="1" t="s">
        <v>4163</v>
      </c>
      <c r="D639" s="1" t="s">
        <v>4164</v>
      </c>
      <c r="E639" s="1" t="s">
        <v>4165</v>
      </c>
      <c r="F639" s="1" t="s">
        <v>112</v>
      </c>
      <c r="G639" s="1">
        <v>401148</v>
      </c>
    </row>
    <row r="640" spans="1:7" x14ac:dyDescent="0.35">
      <c r="A640" s="1" t="str">
        <f t="shared" si="9"/>
        <v>8</v>
      </c>
      <c r="B6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40" s="1" t="s">
        <v>4166</v>
      </c>
      <c r="D640" s="1" t="s">
        <v>4167</v>
      </c>
      <c r="E640" s="1" t="s">
        <v>4168</v>
      </c>
      <c r="F640" s="1" t="s">
        <v>112</v>
      </c>
      <c r="G640" s="1">
        <v>489614</v>
      </c>
    </row>
    <row r="641" spans="1:8" x14ac:dyDescent="0.35">
      <c r="A641" s="1" t="str">
        <f t="shared" si="9"/>
        <v>8</v>
      </c>
      <c r="B6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41" s="1" t="s">
        <v>4169</v>
      </c>
      <c r="D641" s="1" t="s">
        <v>4170</v>
      </c>
      <c r="E641" s="1" t="s">
        <v>4171</v>
      </c>
      <c r="F641" s="1" t="s">
        <v>112</v>
      </c>
      <c r="G641" s="1">
        <v>489074</v>
      </c>
    </row>
    <row r="642" spans="1:8" x14ac:dyDescent="0.35">
      <c r="A642" s="1" t="str">
        <f t="shared" ref="A642:A705" si="10">IFERROR(LEFT(RIGHT(C642,LEN(C642)-SEARCH("@",C642)),SEARCH("/",RIGHT(C642,LEN(C642)-SEARCH("@",C642)-1))),"")</f>
        <v>8</v>
      </c>
      <c r="B6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2" s="1" t="s">
        <v>4172</v>
      </c>
      <c r="D642" s="1" t="s">
        <v>2439</v>
      </c>
      <c r="E642" s="1" t="s">
        <v>4173</v>
      </c>
      <c r="F642" s="1" t="s">
        <v>112</v>
      </c>
      <c r="G642" s="1">
        <v>84205</v>
      </c>
    </row>
    <row r="643" spans="1:8" x14ac:dyDescent="0.35">
      <c r="A643" s="1" t="str">
        <f t="shared" si="10"/>
        <v>8</v>
      </c>
      <c r="B6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3" s="1" t="s">
        <v>4174</v>
      </c>
      <c r="D643" s="1" t="s">
        <v>1400</v>
      </c>
      <c r="E643" s="1" t="s">
        <v>4175</v>
      </c>
      <c r="F643" s="1" t="s">
        <v>112</v>
      </c>
      <c r="G643" s="1">
        <v>109253</v>
      </c>
    </row>
    <row r="644" spans="1:8" x14ac:dyDescent="0.35">
      <c r="A644" s="1" t="str">
        <f t="shared" si="10"/>
        <v>8</v>
      </c>
      <c r="B6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4" s="1" t="s">
        <v>4176</v>
      </c>
      <c r="D644" s="1" t="s">
        <v>4177</v>
      </c>
      <c r="E644" s="1" t="s">
        <v>4178</v>
      </c>
      <c r="F644" s="1" t="s">
        <v>112</v>
      </c>
      <c r="G644" s="1">
        <v>63138</v>
      </c>
    </row>
    <row r="645" spans="1:8" x14ac:dyDescent="0.35">
      <c r="A645" s="1" t="str">
        <f t="shared" si="10"/>
        <v>8</v>
      </c>
      <c r="B6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5" s="1" t="s">
        <v>4179</v>
      </c>
      <c r="D645" s="1" t="s">
        <v>2447</v>
      </c>
      <c r="E645" s="1" t="s">
        <v>4180</v>
      </c>
      <c r="F645" s="1" t="s">
        <v>112</v>
      </c>
      <c r="G645" s="1">
        <v>191944</v>
      </c>
    </row>
    <row r="646" spans="1:8" x14ac:dyDescent="0.35">
      <c r="A646" s="1" t="str">
        <f t="shared" si="10"/>
        <v>8</v>
      </c>
      <c r="B6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6" s="1" t="s">
        <v>4181</v>
      </c>
      <c r="D646" s="1" t="s">
        <v>4182</v>
      </c>
      <c r="E646" s="1" t="s">
        <v>4183</v>
      </c>
      <c r="F646" s="1" t="s">
        <v>112</v>
      </c>
      <c r="G646" s="1">
        <v>128763</v>
      </c>
    </row>
    <row r="647" spans="1:8" x14ac:dyDescent="0.35">
      <c r="A647" s="1" t="str">
        <f t="shared" si="10"/>
        <v>8</v>
      </c>
      <c r="B6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7" s="1" t="s">
        <v>4184</v>
      </c>
      <c r="D647" s="1">
        <v>0</v>
      </c>
      <c r="E647" s="1">
        <v>0</v>
      </c>
      <c r="F647" s="1" t="s">
        <v>112</v>
      </c>
      <c r="G647" s="1">
        <v>0</v>
      </c>
    </row>
    <row r="648" spans="1:8" x14ac:dyDescent="0.35">
      <c r="A648" s="1" t="str">
        <f t="shared" si="10"/>
        <v>8</v>
      </c>
      <c r="B6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8" s="1" t="s">
        <v>4185</v>
      </c>
      <c r="D648" s="1" t="s">
        <v>1010</v>
      </c>
      <c r="E648" s="1" t="s">
        <v>4186</v>
      </c>
      <c r="F648" s="1" t="s">
        <v>112</v>
      </c>
      <c r="G648" s="1">
        <v>261051</v>
      </c>
    </row>
    <row r="649" spans="1:8" x14ac:dyDescent="0.35">
      <c r="A649" s="1" t="str">
        <f t="shared" si="10"/>
        <v>8</v>
      </c>
      <c r="B6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9" s="1" t="s">
        <v>4187</v>
      </c>
      <c r="D649" s="1" t="s">
        <v>4188</v>
      </c>
      <c r="E649" s="1" t="s">
        <v>4189</v>
      </c>
      <c r="F649" s="1" t="s">
        <v>112</v>
      </c>
      <c r="G649" s="1">
        <v>269206</v>
      </c>
    </row>
    <row r="650" spans="1:8" x14ac:dyDescent="0.35">
      <c r="A650" s="1" t="str">
        <f t="shared" si="10"/>
        <v>8</v>
      </c>
      <c r="B6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50" s="1" t="s">
        <v>4190</v>
      </c>
      <c r="D650" s="1" t="s">
        <v>1010</v>
      </c>
      <c r="E650" s="1" t="s">
        <v>4191</v>
      </c>
      <c r="F650" s="1" t="s">
        <v>112</v>
      </c>
      <c r="G650" s="1">
        <v>257179</v>
      </c>
    </row>
    <row r="651" spans="1:8" x14ac:dyDescent="0.35">
      <c r="A651" s="1" t="str">
        <f t="shared" si="10"/>
        <v>8</v>
      </c>
      <c r="B6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1" s="1" t="s">
        <v>4192</v>
      </c>
      <c r="D651" s="1">
        <v>0</v>
      </c>
      <c r="E651" s="1">
        <v>0</v>
      </c>
      <c r="F651" s="1" t="s">
        <v>112</v>
      </c>
      <c r="G651" s="1">
        <v>0</v>
      </c>
    </row>
    <row r="652" spans="1:8" x14ac:dyDescent="0.35">
      <c r="A652" s="1" t="str">
        <f t="shared" si="10"/>
        <v>8</v>
      </c>
      <c r="B6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2" s="1" t="s">
        <v>4193</v>
      </c>
      <c r="D652" s="1" t="s">
        <v>4194</v>
      </c>
      <c r="E652" s="1" t="s">
        <v>4195</v>
      </c>
      <c r="F652" s="1" t="s">
        <v>112</v>
      </c>
      <c r="G652" s="1">
        <v>288889</v>
      </c>
    </row>
    <row r="653" spans="1:8" x14ac:dyDescent="0.35">
      <c r="A653" s="1" t="str">
        <f t="shared" si="10"/>
        <v>8</v>
      </c>
      <c r="B6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3" s="1" t="s">
        <v>4196</v>
      </c>
      <c r="D653" s="1" t="s">
        <v>4197</v>
      </c>
      <c r="E653" s="1" t="s">
        <v>4198</v>
      </c>
      <c r="F653" s="1" t="s">
        <v>112</v>
      </c>
      <c r="G653" s="1">
        <v>332278</v>
      </c>
    </row>
    <row r="654" spans="1:8" x14ac:dyDescent="0.35">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4" s="1" t="s">
        <v>112</v>
      </c>
    </row>
    <row r="655" spans="1:8" x14ac:dyDescent="0.35">
      <c r="A655" s="1" t="str">
        <f t="shared" si="10"/>
        <v/>
      </c>
      <c r="B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5" s="1" t="s">
        <v>239</v>
      </c>
      <c r="D655" s="1" t="s">
        <v>112</v>
      </c>
      <c r="E655" s="1" t="s">
        <v>240</v>
      </c>
      <c r="F655" s="1" t="s">
        <v>241</v>
      </c>
      <c r="G655" s="1" t="s">
        <v>242</v>
      </c>
      <c r="H655" s="1" t="s">
        <v>243</v>
      </c>
    </row>
    <row r="656" spans="1:8" x14ac:dyDescent="0.35">
      <c r="A656" s="1" t="str">
        <f t="shared" si="10"/>
        <v>8</v>
      </c>
      <c r="B6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56" s="1" t="s">
        <v>4199</v>
      </c>
      <c r="D656" s="1" t="s">
        <v>112</v>
      </c>
      <c r="E656" s="1" t="s">
        <v>4200</v>
      </c>
      <c r="F656" s="1" t="s">
        <v>4201</v>
      </c>
      <c r="G656" s="1" t="s">
        <v>4202</v>
      </c>
      <c r="H656" s="1" t="s">
        <v>4203</v>
      </c>
    </row>
    <row r="657" spans="1:7" x14ac:dyDescent="0.35">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7" s="1" t="s">
        <v>112</v>
      </c>
    </row>
    <row r="658" spans="1:7" x14ac:dyDescent="0.35">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8" s="1" t="s">
        <v>112</v>
      </c>
    </row>
    <row r="659" spans="1:7" x14ac:dyDescent="0.35">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9" s="1" t="s">
        <v>112</v>
      </c>
    </row>
    <row r="660" spans="1:7" x14ac:dyDescent="0.35">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0" s="1" t="s">
        <v>112</v>
      </c>
    </row>
    <row r="661" spans="1:7" x14ac:dyDescent="0.35">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1" s="1" t="s">
        <v>112</v>
      </c>
    </row>
    <row r="662" spans="1:7" x14ac:dyDescent="0.35">
      <c r="A662" s="1" t="str">
        <f t="shared" si="10"/>
        <v/>
      </c>
      <c r="B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2" s="1" t="s">
        <v>172</v>
      </c>
      <c r="D662" s="1" t="s">
        <v>110</v>
      </c>
      <c r="E662" s="1" t="s">
        <v>111</v>
      </c>
      <c r="F662" s="1" t="s">
        <v>112</v>
      </c>
      <c r="G662" s="1" t="s">
        <v>113</v>
      </c>
    </row>
    <row r="663" spans="1:7" x14ac:dyDescent="0.35">
      <c r="A663" s="1" t="str">
        <f t="shared" si="10"/>
        <v>9</v>
      </c>
      <c r="B6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3" s="1" t="s">
        <v>4204</v>
      </c>
      <c r="D663" s="1" t="s">
        <v>705</v>
      </c>
      <c r="E663" s="1" t="s">
        <v>4205</v>
      </c>
      <c r="F663" s="1" t="s">
        <v>112</v>
      </c>
      <c r="G663" s="1">
        <v>340065</v>
      </c>
    </row>
    <row r="664" spans="1:7" x14ac:dyDescent="0.35">
      <c r="A664" s="1" t="str">
        <f t="shared" si="10"/>
        <v>9</v>
      </c>
      <c r="B6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4" s="1" t="s">
        <v>4206</v>
      </c>
      <c r="D664" s="1" t="s">
        <v>4207</v>
      </c>
      <c r="E664" s="1" t="s">
        <v>4208</v>
      </c>
      <c r="F664" s="1" t="s">
        <v>112</v>
      </c>
      <c r="G664" s="1">
        <v>280799</v>
      </c>
    </row>
    <row r="665" spans="1:7" x14ac:dyDescent="0.35">
      <c r="A665" s="1" t="str">
        <f t="shared" si="10"/>
        <v>9</v>
      </c>
      <c r="B6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5" s="1" t="s">
        <v>4209</v>
      </c>
      <c r="D665" s="1" t="s">
        <v>4210</v>
      </c>
      <c r="E665" s="1" t="s">
        <v>4211</v>
      </c>
      <c r="F665" s="1" t="s">
        <v>112</v>
      </c>
      <c r="G665" s="1">
        <v>349409</v>
      </c>
    </row>
    <row r="666" spans="1:7" x14ac:dyDescent="0.35">
      <c r="A666" s="1" t="str">
        <f t="shared" si="10"/>
        <v>9</v>
      </c>
      <c r="B6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6" s="1" t="s">
        <v>4212</v>
      </c>
      <c r="D666" s="1" t="s">
        <v>4213</v>
      </c>
      <c r="E666" s="1" t="s">
        <v>4214</v>
      </c>
      <c r="F666" s="1" t="s">
        <v>112</v>
      </c>
      <c r="G666" s="1">
        <v>273921</v>
      </c>
    </row>
    <row r="667" spans="1:7" x14ac:dyDescent="0.35">
      <c r="A667" s="1" t="str">
        <f t="shared" si="10"/>
        <v>9</v>
      </c>
      <c r="B6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7" s="1" t="s">
        <v>4215</v>
      </c>
      <c r="D667" s="1" t="s">
        <v>515</v>
      </c>
      <c r="E667" s="1" t="s">
        <v>4216</v>
      </c>
      <c r="F667" s="1" t="s">
        <v>112</v>
      </c>
      <c r="G667" s="1">
        <v>177819</v>
      </c>
    </row>
    <row r="668" spans="1:7" x14ac:dyDescent="0.35">
      <c r="A668" s="1" t="str">
        <f t="shared" si="10"/>
        <v>9</v>
      </c>
      <c r="B6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8" s="1" t="s">
        <v>4217</v>
      </c>
      <c r="D668" s="1" t="s">
        <v>2482</v>
      </c>
      <c r="E668" s="1" t="s">
        <v>4218</v>
      </c>
      <c r="F668" s="1" t="s">
        <v>112</v>
      </c>
      <c r="G668" s="1">
        <v>117429</v>
      </c>
    </row>
    <row r="669" spans="1:7" x14ac:dyDescent="0.35">
      <c r="A669" s="1" t="str">
        <f t="shared" si="10"/>
        <v>9</v>
      </c>
      <c r="B6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9" s="1" t="s">
        <v>4219</v>
      </c>
      <c r="D669" s="1" t="s">
        <v>1042</v>
      </c>
      <c r="E669" s="1" t="s">
        <v>4220</v>
      </c>
      <c r="F669" s="1" t="s">
        <v>112</v>
      </c>
      <c r="G669" s="1">
        <v>239205</v>
      </c>
    </row>
    <row r="670" spans="1:7" x14ac:dyDescent="0.35">
      <c r="A670" s="1" t="str">
        <f t="shared" si="10"/>
        <v>9</v>
      </c>
      <c r="B6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70" s="1" t="s">
        <v>4221</v>
      </c>
      <c r="D670" s="1" t="s">
        <v>967</v>
      </c>
      <c r="E670" s="1" t="s">
        <v>4222</v>
      </c>
      <c r="F670" s="1" t="s">
        <v>112</v>
      </c>
      <c r="G670" s="1">
        <v>143752</v>
      </c>
    </row>
    <row r="671" spans="1:7" x14ac:dyDescent="0.35">
      <c r="A671" s="1" t="str">
        <f t="shared" si="10"/>
        <v>9</v>
      </c>
      <c r="B6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71" s="1" t="s">
        <v>4223</v>
      </c>
      <c r="D671" s="1" t="s">
        <v>4224</v>
      </c>
      <c r="E671" s="1" t="s">
        <v>4225</v>
      </c>
      <c r="F671" s="1" t="s">
        <v>112</v>
      </c>
      <c r="G671" s="1">
        <v>164539</v>
      </c>
    </row>
    <row r="672" spans="1:7" x14ac:dyDescent="0.35">
      <c r="A672" s="1" t="str">
        <f t="shared" si="10"/>
        <v>9</v>
      </c>
      <c r="B6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2" s="1" t="s">
        <v>4226</v>
      </c>
      <c r="D672" s="1" t="s">
        <v>1641</v>
      </c>
      <c r="E672" s="1" t="s">
        <v>4227</v>
      </c>
      <c r="F672" s="1" t="s">
        <v>112</v>
      </c>
      <c r="G672" s="1">
        <v>8825</v>
      </c>
    </row>
    <row r="673" spans="1:8" x14ac:dyDescent="0.35">
      <c r="A673" s="1" t="str">
        <f t="shared" si="10"/>
        <v>9</v>
      </c>
      <c r="B6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3" s="1" t="s">
        <v>4228</v>
      </c>
      <c r="D673" s="1" t="s">
        <v>213</v>
      </c>
      <c r="E673" s="1" t="s">
        <v>4229</v>
      </c>
      <c r="F673" s="1" t="s">
        <v>112</v>
      </c>
      <c r="G673" s="1">
        <v>373483</v>
      </c>
    </row>
    <row r="674" spans="1:8" x14ac:dyDescent="0.35">
      <c r="A674" s="1" t="str">
        <f t="shared" si="10"/>
        <v>9</v>
      </c>
      <c r="B6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4" s="1" t="s">
        <v>4230</v>
      </c>
      <c r="D674" s="1" t="s">
        <v>1098</v>
      </c>
      <c r="E674" s="1">
        <v>31</v>
      </c>
      <c r="F674" s="1" t="s">
        <v>112</v>
      </c>
      <c r="G674" s="1">
        <v>20116</v>
      </c>
    </row>
    <row r="675" spans="1:8" x14ac:dyDescent="0.35">
      <c r="A675" s="1" t="str">
        <f t="shared" si="10"/>
        <v>9</v>
      </c>
      <c r="B6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5" s="1" t="s">
        <v>4231</v>
      </c>
      <c r="D675" s="1" t="s">
        <v>2921</v>
      </c>
      <c r="E675" s="1" t="s">
        <v>4232</v>
      </c>
      <c r="F675" s="1" t="s">
        <v>112</v>
      </c>
      <c r="G675" s="1">
        <v>176024</v>
      </c>
    </row>
    <row r="676" spans="1:8" x14ac:dyDescent="0.35">
      <c r="A676" s="1" t="str">
        <f t="shared" si="10"/>
        <v>9</v>
      </c>
      <c r="B6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6" s="1" t="s">
        <v>4233</v>
      </c>
      <c r="D676" s="1" t="s">
        <v>1915</v>
      </c>
      <c r="E676" s="1" t="s">
        <v>4234</v>
      </c>
      <c r="F676" s="1" t="s">
        <v>112</v>
      </c>
      <c r="G676" s="1">
        <v>161857</v>
      </c>
    </row>
    <row r="677" spans="1:8" x14ac:dyDescent="0.35">
      <c r="A677" s="1" t="str">
        <f t="shared" si="10"/>
        <v>9</v>
      </c>
      <c r="B6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7" s="1" t="s">
        <v>4235</v>
      </c>
      <c r="D677" s="1" t="s">
        <v>2191</v>
      </c>
      <c r="E677" s="1" t="s">
        <v>4236</v>
      </c>
      <c r="F677" s="1" t="s">
        <v>112</v>
      </c>
      <c r="G677" s="1">
        <v>259321</v>
      </c>
    </row>
    <row r="678" spans="1:8" x14ac:dyDescent="0.35">
      <c r="A678" s="1" t="str">
        <f t="shared" si="10"/>
        <v>9</v>
      </c>
      <c r="B6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8" s="1" t="s">
        <v>4237</v>
      </c>
      <c r="D678" s="1">
        <v>0</v>
      </c>
      <c r="E678" s="1">
        <v>0</v>
      </c>
      <c r="F678" s="1" t="s">
        <v>112</v>
      </c>
      <c r="G678" s="1">
        <v>0</v>
      </c>
    </row>
    <row r="679" spans="1:8" x14ac:dyDescent="0.35">
      <c r="A679" s="1" t="str">
        <f t="shared" si="10"/>
        <v>9</v>
      </c>
      <c r="B6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9" s="1" t="s">
        <v>4238</v>
      </c>
      <c r="D679" s="1" t="s">
        <v>2963</v>
      </c>
      <c r="E679" s="1" t="s">
        <v>4239</v>
      </c>
      <c r="F679" s="1" t="s">
        <v>112</v>
      </c>
      <c r="G679" s="1">
        <v>120565</v>
      </c>
    </row>
    <row r="680" spans="1:8" x14ac:dyDescent="0.35">
      <c r="A680" s="1" t="str">
        <f t="shared" si="10"/>
        <v>9</v>
      </c>
      <c r="B6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80" s="1" t="s">
        <v>4240</v>
      </c>
      <c r="D680" s="1" t="s">
        <v>2371</v>
      </c>
      <c r="E680" s="1" t="s">
        <v>4241</v>
      </c>
      <c r="F680" s="1" t="s">
        <v>112</v>
      </c>
      <c r="G680" s="1">
        <v>119548</v>
      </c>
    </row>
    <row r="681" spans="1:8" x14ac:dyDescent="0.35">
      <c r="A681" s="1" t="str">
        <f t="shared" si="10"/>
        <v>9</v>
      </c>
      <c r="B6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1" s="1" t="s">
        <v>4242</v>
      </c>
      <c r="D681" s="1" t="s">
        <v>1752</v>
      </c>
      <c r="E681" s="1" t="s">
        <v>4243</v>
      </c>
      <c r="F681" s="1" t="s">
        <v>112</v>
      </c>
      <c r="G681" s="1">
        <v>127789</v>
      </c>
    </row>
    <row r="682" spans="1:8" x14ac:dyDescent="0.35">
      <c r="A682" s="1" t="str">
        <f t="shared" si="10"/>
        <v>9</v>
      </c>
      <c r="B6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2" s="1" t="s">
        <v>4244</v>
      </c>
    </row>
    <row r="683" spans="1:8" x14ac:dyDescent="0.35">
      <c r="A683" s="1" t="str">
        <f t="shared" si="10"/>
        <v>9</v>
      </c>
      <c r="B6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3" s="1" t="s">
        <v>4245</v>
      </c>
      <c r="D683" s="1" t="s">
        <v>4246</v>
      </c>
      <c r="E683" s="1" t="s">
        <v>4247</v>
      </c>
      <c r="F683" s="1" t="s">
        <v>112</v>
      </c>
      <c r="G683" s="1">
        <v>111199</v>
      </c>
    </row>
    <row r="684" spans="1:8" x14ac:dyDescent="0.35">
      <c r="A684" s="1" t="str">
        <f t="shared" si="10"/>
        <v>9</v>
      </c>
      <c r="B6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4" s="1" t="s">
        <v>4248</v>
      </c>
      <c r="D684" s="1" t="s">
        <v>4249</v>
      </c>
      <c r="E684" s="1" t="s">
        <v>4250</v>
      </c>
      <c r="F684" s="1" t="s">
        <v>112</v>
      </c>
      <c r="G684" s="1">
        <v>535167</v>
      </c>
    </row>
    <row r="685" spans="1:8" x14ac:dyDescent="0.35">
      <c r="A685" s="1" t="str">
        <f t="shared" si="10"/>
        <v>9</v>
      </c>
      <c r="B6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5" s="1" t="s">
        <v>4251</v>
      </c>
      <c r="D685" s="1">
        <v>0</v>
      </c>
      <c r="E685" s="1">
        <v>0</v>
      </c>
      <c r="F685" s="1" t="s">
        <v>112</v>
      </c>
      <c r="G685" s="1">
        <v>0</v>
      </c>
    </row>
    <row r="686" spans="1:8" x14ac:dyDescent="0.35">
      <c r="A686" s="1" t="str">
        <f t="shared" si="10"/>
        <v>9</v>
      </c>
      <c r="B6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6" s="1" t="s">
        <v>4252</v>
      </c>
      <c r="D686" s="1" t="s">
        <v>1921</v>
      </c>
      <c r="E686" s="1" t="s">
        <v>4253</v>
      </c>
      <c r="F686" s="1" t="s">
        <v>112</v>
      </c>
      <c r="G686" s="1">
        <v>47564</v>
      </c>
    </row>
    <row r="687" spans="1:8" x14ac:dyDescent="0.35">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7" s="1" t="s">
        <v>112</v>
      </c>
    </row>
    <row r="688" spans="1:8" x14ac:dyDescent="0.35">
      <c r="A688" s="1" t="str">
        <f t="shared" si="10"/>
        <v/>
      </c>
      <c r="B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8" s="1" t="s">
        <v>239</v>
      </c>
      <c r="D688" s="1" t="s">
        <v>112</v>
      </c>
      <c r="E688" s="1" t="s">
        <v>240</v>
      </c>
      <c r="F688" s="1" t="s">
        <v>241</v>
      </c>
      <c r="G688" s="1" t="s">
        <v>242</v>
      </c>
      <c r="H688" s="1" t="s">
        <v>243</v>
      </c>
    </row>
    <row r="689" spans="1:8" x14ac:dyDescent="0.35">
      <c r="A689" s="1" t="str">
        <f t="shared" si="10"/>
        <v>9</v>
      </c>
      <c r="B6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89" s="1" t="s">
        <v>4254</v>
      </c>
      <c r="D689" s="1" t="s">
        <v>112</v>
      </c>
      <c r="E689" s="1" t="s">
        <v>4255</v>
      </c>
      <c r="F689" s="1" t="s">
        <v>4256</v>
      </c>
      <c r="G689" s="1" t="s">
        <v>4257</v>
      </c>
      <c r="H689" s="1" t="s">
        <v>4258</v>
      </c>
    </row>
    <row r="690" spans="1:8" x14ac:dyDescent="0.35">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1" spans="1:8" x14ac:dyDescent="0.35">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2" spans="1:8" x14ac:dyDescent="0.35">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3" spans="1:8" x14ac:dyDescent="0.35">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4" spans="1:8" x14ac:dyDescent="0.35">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5" spans="1:8" x14ac:dyDescent="0.35">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6" spans="1:8" x14ac:dyDescent="0.35">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7" spans="1:8" x14ac:dyDescent="0.35">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8" x14ac:dyDescent="0.35">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8" x14ac:dyDescent="0.35">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8" x14ac:dyDescent="0.35">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8" x14ac:dyDescent="0.35">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8" x14ac:dyDescent="0.35">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8" x14ac:dyDescent="0.35">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8" x14ac:dyDescent="0.35">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35">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35">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35">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35">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35">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35">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35">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35">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35">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35">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35">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35">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35">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35">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35">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35">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35">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35">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35">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35">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35">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35">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35">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35">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35">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35">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35">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35">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35">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35">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35">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35">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35">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35">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35">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35">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35">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35">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35">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35">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35">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35">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35">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35">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35">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35">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35">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35">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35">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35">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35">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35">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35">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35">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35">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35">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35">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35">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35">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35">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35">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35">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35">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35">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35">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35">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35">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35">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35">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35">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35">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35">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35">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35">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35">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35">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35">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35">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35">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35">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35">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35">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35">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35">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35">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35">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35">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35">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35">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35">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35">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35">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35">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35">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35">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35">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35">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35">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35">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35">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35">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35">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35">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35">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35">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35">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35">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35">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35">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35">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35">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35">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35">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35">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35">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35">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35">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35">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35">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35">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35">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35">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35">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35">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35">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35">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35">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35">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35">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35">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35">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35">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35">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35">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35">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35">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35">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35">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35">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35">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35">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35">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35">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35">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35">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35">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35">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35">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35">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35">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35">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35">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35">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35">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35">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35">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35">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35">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35">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35">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35">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35">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35">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35">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35">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35">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35">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35">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35">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35">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35">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35">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35">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35">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35">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35">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35">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35">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35">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35">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35">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35">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35">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35">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35">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35">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35">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35">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35">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35">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35">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35">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35">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35">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35">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35">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35">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35">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35">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35">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35">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35">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35">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35">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35">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35">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35">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35">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35">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35">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35">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35">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35">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35">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35">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35">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35">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35">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35">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35">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35">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35">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35">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35">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35">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35">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35">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35">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35">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35">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35">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35">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35">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35">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35">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35">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35">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35">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35">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35">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35">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35">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35">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35">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35">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35">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35">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35">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35">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35">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35">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35">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35">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35">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35">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35">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35">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35">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35">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35">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35">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35">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35">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35">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35">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35">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35">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35">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35">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35">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35">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35">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35">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35">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35">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35">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35">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35">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35">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35">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35">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35">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35">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35">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35">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35">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35">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35">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35">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35">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35">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35">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35">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35">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35">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35">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35">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35">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35">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35">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35">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35">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35">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35">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35">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35">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35">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35">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35">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35">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35">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35">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35">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35">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35">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35">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35">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35">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35">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35">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35">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35">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35">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35">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35">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35">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35">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35">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35">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35">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35">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35">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35">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35">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35">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35">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35">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35">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35">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35">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35">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35">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35">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35">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35">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35">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35">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35">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35">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35">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35">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35">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35">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35">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35">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35">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35">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35">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35">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35">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35">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35">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35">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35">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35">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35">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35">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35">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35">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35">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35">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35">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35">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35">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35">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35">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35">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35">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35">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35">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35">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35">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35">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35">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35">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35">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35">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35">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35">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35">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35">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35">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35">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35">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35">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35">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35">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35">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35">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35">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35">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35">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35">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35">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35">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35">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35">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35">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35">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35">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35">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35">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35">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35">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35">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35">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35">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35">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35">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35">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35">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35">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35">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35">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35">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35">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35">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35">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35">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35">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35">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35">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35">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35">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35">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35">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35">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35">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35">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35">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35">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35">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35">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35">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35">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35">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35">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35">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35">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35">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35">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35">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35">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35">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35">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35">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35">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35">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35">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35">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35">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35">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35">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35">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35">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35">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35">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35">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35">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35">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35">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35">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35">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35">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35">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35">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35">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35">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35">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35">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35">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35">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35">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35">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35">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35">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35">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35">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35">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35">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35">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35">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35">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35">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35">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35">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35">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35">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35">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35">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35">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35">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35">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35">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35">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35">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35">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35">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35">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35">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35">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35">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35">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35">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35">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35">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35">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35">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35">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35">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35">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35">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35">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35">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35">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35">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35">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35">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35">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35">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35">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35">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35">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35">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35">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35">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35">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35">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35">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35">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35">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35">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35">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35">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35">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35">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35">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35">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35">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35">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35">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35">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35">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35">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35">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35">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35">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35">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35">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35">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35">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35">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35">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35">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35">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35">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35">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35">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35">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35">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35">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35">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35">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35">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35">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35">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35">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35">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35">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35">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35">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35">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35">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35">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35">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35">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35">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35">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35">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35">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35">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35">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35">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35">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35">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35">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35">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35">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35">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35">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35">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35">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35">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35">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35">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35">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35">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35">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35">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35">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35">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35">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35">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35">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35">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35">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35">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35">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35">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35">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35">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35">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35">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35">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35">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35">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35">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35">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35">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35">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35">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35">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35">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35">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35">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35">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35">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35">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35">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35">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35">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35">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35">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35">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35">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35">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35">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35">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35">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35">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35">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35">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35">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35">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35">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35">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35">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35">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35">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35">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35">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35">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35">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35">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35">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35">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35">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35">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35">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35">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35">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35">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35">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35">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35">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35">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35">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35">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35">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35">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35">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35">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35">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35">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35">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35">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35">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35">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35">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35">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35">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35">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35">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35">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35">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35">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35">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35">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35">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35">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35">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35">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35">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35">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35">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35">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35">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35">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35">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35">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35">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35">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35">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35">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35">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35">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35">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35">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35">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35">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35">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35">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35">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35">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35">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35">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35">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35">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35">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35">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35">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35">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35">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35">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35">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35">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35">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35">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35">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35">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35">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35">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35">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35">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35">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35">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35">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35">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35">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35">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35">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35">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35">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35">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35">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35">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35">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35">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35">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35">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35">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35">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35">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35">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35">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35">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35">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35">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35">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35">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35">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35">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35">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35">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35">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35">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35">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35">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35">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35">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35">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35">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35">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35">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35">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35">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35">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35">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35">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35">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35">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35">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35">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35">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35">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35">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35">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35">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35">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35">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35">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35">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35">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35">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35">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35">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35">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35">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35">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35">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35">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35">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35">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35">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35">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35">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35">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35">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35">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35">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35">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35">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35">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35">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35">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35">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35">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35">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35">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35">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35">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35">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35">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35">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35">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35">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35">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35">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35">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35">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35">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35">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35">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35">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35">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35">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35">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35">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35">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35">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35">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35">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35">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35">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35">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35">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35">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35">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35">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35">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35">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35">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35">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35">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35">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35">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35">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35">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35">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35">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35">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35">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35">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35">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35">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35">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35">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35">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35">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35">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35">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35">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35">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35">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35">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35">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35">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35">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35">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35">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35">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35">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35">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35">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35">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35">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35">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35">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35">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35">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35">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35">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35">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35">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35">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35">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35">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35">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35">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35">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35">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35">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35">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35">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35">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35">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35">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35">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35">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35">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35">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35">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35">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35">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35">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35">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35">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35">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35">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35">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35">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35">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35">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35">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35">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35">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35">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35">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35">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35">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35">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35">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35">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35">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35">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35">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35">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35">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35">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35">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35">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35">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35">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35">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35">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35">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35">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35">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35">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35">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35">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35">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35">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35">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35">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35">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35">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35">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35">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35">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35">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35">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35">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35">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35">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35">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35">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35">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35">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35">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35">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35">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35">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35">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35">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35">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35">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35">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35">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35">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35">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35">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35">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35">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35">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35">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35">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35">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35">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35">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35">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35">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35">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35">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35">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35">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35">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J10 EO1:XFD10 A11:K13 M15:XFD18 K1:L4 A14:J18 K5 A19:XFD1048576 AH11:XFD14">
    <cfRule type="containsText" dxfId="24" priority="1" operator="containsText" text="ERREUR">
      <formula>NOT(ISERROR(SEARCH("ERREUR",A1)))</formula>
    </cfRule>
    <cfRule type="containsText" dxfId="23" priority="2" operator="containsText" text="OK">
      <formula>NOT(ISERROR(SEARCH("OK",A1)))</formula>
    </cfRule>
  </conditionalFormatting>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topLeftCell="M1" zoomScale="70" zoomScaleNormal="70" zoomScaleSheetLayoutView="40" zoomScalePageLayoutView="30" workbookViewId="0">
      <selection activeCell="R5" sqref="R5:V12"/>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1.7265625" style="1" customWidth="1"/>
    <col min="15" max="15" width="14.81640625" style="1" customWidth="1"/>
    <col min="16" max="16" width="17.7265625" style="1" customWidth="1"/>
    <col min="17" max="18" width="25.81640625" style="1" bestFit="1" customWidth="1"/>
    <col min="19" max="22" width="25.81640625" style="1" customWidth="1"/>
    <col min="23" max="16384" width="9.1796875" style="1"/>
  </cols>
  <sheetData>
    <row r="1" spans="1:22" ht="26.5" thickBot="1" x14ac:dyDescent="0.65">
      <c r="A1" s="216" t="s">
        <v>43</v>
      </c>
      <c r="B1" s="217"/>
      <c r="C1" s="217"/>
      <c r="D1" s="217"/>
      <c r="E1" s="217"/>
      <c r="F1" s="217"/>
      <c r="G1" s="217"/>
      <c r="H1" s="217"/>
      <c r="I1" s="217"/>
      <c r="J1" s="217"/>
      <c r="K1" s="217"/>
      <c r="L1" s="217"/>
      <c r="M1" s="217"/>
      <c r="N1" s="217"/>
      <c r="O1" s="217"/>
      <c r="P1" s="217"/>
      <c r="Q1" s="217"/>
      <c r="R1" s="217"/>
      <c r="S1" s="217"/>
      <c r="T1" s="217"/>
      <c r="U1" s="217"/>
      <c r="V1" s="217"/>
    </row>
    <row r="2" spans="1:22" ht="15" thickBot="1" x14ac:dyDescent="0.4"/>
    <row r="3" spans="1:22" ht="15" thickBot="1" x14ac:dyDescent="0.4">
      <c r="A3" s="154" t="s">
        <v>22</v>
      </c>
      <c r="B3" s="224" t="s">
        <v>6</v>
      </c>
      <c r="C3" s="225"/>
      <c r="D3" s="225"/>
      <c r="E3" s="225"/>
      <c r="F3" s="225"/>
      <c r="G3" s="225"/>
      <c r="H3" s="225"/>
      <c r="I3" s="225"/>
      <c r="J3" s="225"/>
      <c r="K3" s="225"/>
      <c r="L3" s="225"/>
      <c r="M3" s="225"/>
      <c r="O3" s="224" t="s">
        <v>3</v>
      </c>
      <c r="P3" s="225"/>
      <c r="Q3" s="225"/>
      <c r="R3" s="225"/>
      <c r="S3" s="225"/>
      <c r="T3" s="225"/>
      <c r="U3" s="225"/>
      <c r="V3" s="225"/>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Cefuroxime-0.001mg/L</v>
      </c>
      <c r="J4" s="35" t="str">
        <f>'Page de garde'!A16</f>
        <v>Cefuroxime-0.01mg/L</v>
      </c>
      <c r="K4" s="35" t="str">
        <f>'Page de garde'!A17</f>
        <v>Cefuroxime-0.1mg/L</v>
      </c>
      <c r="L4" s="35" t="str">
        <f>'Page de garde'!A18</f>
        <v>Cefuroxime-1mg/L</v>
      </c>
      <c r="M4" s="35" t="str">
        <f>'Page de garde'!A19</f>
        <v>Cefuroxime-10mg/L</v>
      </c>
      <c r="N4" s="3"/>
      <c r="O4" s="36" t="str">
        <f>'Page de garde'!A36</f>
        <v>Testo -30µg/L</v>
      </c>
      <c r="P4" s="36" t="str">
        <f>'Page de garde'!A37</f>
        <v>Testo 30µg/L + EE2 -64ng/L</v>
      </c>
      <c r="Q4" s="36" t="str">
        <f>'Page de garde'!A38</f>
        <v>Testo 30µg/L + FAD-10mg/L</v>
      </c>
      <c r="R4" s="36" t="str">
        <f>'Page de garde'!A39</f>
        <v>Cefuroxime-0,001mg/L + Testostérone</v>
      </c>
      <c r="S4" s="36" t="str">
        <f>'Page de garde'!A40</f>
        <v>Cefuroxime-0,01mg/L + Testostérone</v>
      </c>
      <c r="T4" s="36" t="str">
        <f>'Page de garde'!A41</f>
        <v>Cefuroxime-0,1mg/L + Testostérone</v>
      </c>
      <c r="U4" s="36" t="str">
        <f>'Page de garde'!A42</f>
        <v>Cefuroxime-1mg/L + Testostérone</v>
      </c>
      <c r="V4" s="36" t="str">
        <f>'Page de garde'!A43</f>
        <v>Cefuroxime-10mg/L + Testostérone</v>
      </c>
    </row>
    <row r="5" spans="1:22" x14ac:dyDescent="0.35">
      <c r="A5" s="226" t="s">
        <v>33</v>
      </c>
      <c r="B5" s="32">
        <v>242406</v>
      </c>
      <c r="C5" s="32">
        <v>256545</v>
      </c>
      <c r="D5" s="32">
        <v>68660.666666666672</v>
      </c>
      <c r="E5" s="32">
        <v>2102736</v>
      </c>
      <c r="F5" s="32">
        <v>1652105.6666666667</v>
      </c>
      <c r="G5" s="32">
        <v>3737198.6666666665</v>
      </c>
      <c r="H5" s="32">
        <v>2772592</v>
      </c>
      <c r="I5" s="32"/>
      <c r="J5" s="32">
        <v>323424.33333333331</v>
      </c>
      <c r="K5" s="13">
        <v>207214.33333333334</v>
      </c>
      <c r="L5" s="13">
        <v>112172.66666666667</v>
      </c>
      <c r="M5" s="13">
        <v>275262</v>
      </c>
      <c r="N5" s="3"/>
      <c r="O5" s="32">
        <v>2513242</v>
      </c>
      <c r="P5" s="13">
        <v>3936604.6666666665</v>
      </c>
      <c r="Q5" s="13">
        <v>3893</v>
      </c>
      <c r="R5" s="32">
        <v>933661.66666666663</v>
      </c>
      <c r="S5" s="32"/>
      <c r="T5" s="32">
        <v>935904</v>
      </c>
      <c r="U5" s="32"/>
      <c r="V5" s="32">
        <v>1655061.6666666667</v>
      </c>
    </row>
    <row r="6" spans="1:22" ht="16.5" x14ac:dyDescent="0.35">
      <c r="A6" s="226"/>
      <c r="B6" s="14">
        <v>368000</v>
      </c>
      <c r="C6" s="13">
        <v>246811.33333333334</v>
      </c>
      <c r="D6" s="32">
        <v>792548.33333333337</v>
      </c>
      <c r="E6" s="32">
        <v>597576.33333333337</v>
      </c>
      <c r="F6" s="32">
        <v>2617484.3333333335</v>
      </c>
      <c r="G6" s="32">
        <v>2100468.5</v>
      </c>
      <c r="H6" s="32">
        <v>2044119</v>
      </c>
      <c r="I6" s="32">
        <v>309148.66666666669</v>
      </c>
      <c r="J6" s="32">
        <v>189723</v>
      </c>
      <c r="K6" s="13">
        <v>58725</v>
      </c>
      <c r="L6" s="13">
        <v>410341</v>
      </c>
      <c r="M6" s="13">
        <v>202102.66666666666</v>
      </c>
      <c r="N6" s="3"/>
      <c r="O6" s="32">
        <v>979466.33333333337</v>
      </c>
      <c r="P6" s="13">
        <v>3242883.6666666665</v>
      </c>
      <c r="Q6" s="13">
        <v>183580</v>
      </c>
      <c r="R6" s="32">
        <v>955197.66666666663</v>
      </c>
      <c r="S6" s="32">
        <v>430867.33333333331</v>
      </c>
      <c r="T6" s="32">
        <v>1493926.3333333333</v>
      </c>
      <c r="U6" s="32">
        <v>289126.66666666669</v>
      </c>
      <c r="V6" s="32">
        <v>478208</v>
      </c>
    </row>
    <row r="7" spans="1:22" ht="16.5" x14ac:dyDescent="0.35">
      <c r="A7" s="226"/>
      <c r="B7" s="14">
        <v>105308.66666666667</v>
      </c>
      <c r="C7" s="13">
        <v>688970</v>
      </c>
      <c r="D7" s="32">
        <v>378588.33333333331</v>
      </c>
      <c r="E7" s="32"/>
      <c r="F7" s="32">
        <v>1995992</v>
      </c>
      <c r="G7" s="32">
        <v>2370507</v>
      </c>
      <c r="H7" s="32">
        <v>4533042</v>
      </c>
      <c r="I7" s="32">
        <v>173998.33333333334</v>
      </c>
      <c r="J7" s="32">
        <v>182498.66666666666</v>
      </c>
      <c r="K7" s="13">
        <v>286964</v>
      </c>
      <c r="L7" s="13">
        <v>257958</v>
      </c>
      <c r="M7" s="13">
        <v>279631.33333333331</v>
      </c>
      <c r="N7" s="3"/>
      <c r="O7" s="32">
        <v>1282097.3333333333</v>
      </c>
      <c r="P7" s="13">
        <v>2336461.3333333335</v>
      </c>
      <c r="Q7" s="13">
        <v>285731</v>
      </c>
      <c r="R7" s="32">
        <v>169506.33333333334</v>
      </c>
      <c r="S7" s="32">
        <v>310075.5</v>
      </c>
      <c r="T7" s="32">
        <v>2481302.3333333335</v>
      </c>
      <c r="U7" s="32">
        <v>66887</v>
      </c>
      <c r="V7" s="32"/>
    </row>
    <row r="8" spans="1:22" ht="16.5" x14ac:dyDescent="0.35">
      <c r="A8" s="226"/>
      <c r="B8" s="14">
        <v>239169</v>
      </c>
      <c r="C8" s="13">
        <v>283214.66666666669</v>
      </c>
      <c r="D8" s="32">
        <v>63656.666666666664</v>
      </c>
      <c r="E8" s="32">
        <v>1384573</v>
      </c>
      <c r="F8" s="32">
        <v>2006757</v>
      </c>
      <c r="G8" s="32"/>
      <c r="H8" s="32">
        <v>3654024.6666666665</v>
      </c>
      <c r="I8" s="32">
        <v>459945.33333333331</v>
      </c>
      <c r="J8" s="32">
        <v>134141.33333333334</v>
      </c>
      <c r="K8" s="13">
        <v>451106</v>
      </c>
      <c r="L8" s="13"/>
      <c r="M8" s="13">
        <v>182571</v>
      </c>
      <c r="N8" s="3"/>
      <c r="O8" s="32">
        <v>2310008</v>
      </c>
      <c r="P8" s="13"/>
      <c r="Q8" s="13">
        <v>366107.66666666669</v>
      </c>
      <c r="R8" s="32">
        <v>96180.666666666672</v>
      </c>
      <c r="S8" s="32">
        <v>898275</v>
      </c>
      <c r="T8" s="32">
        <v>14168</v>
      </c>
      <c r="U8" s="32">
        <v>202729.66666666666</v>
      </c>
      <c r="V8" s="32">
        <v>866147.66666666663</v>
      </c>
    </row>
    <row r="9" spans="1:22" ht="16.5" x14ac:dyDescent="0.35">
      <c r="A9" s="226"/>
      <c r="B9" s="14">
        <v>101674.66666666667</v>
      </c>
      <c r="C9" s="13">
        <v>26056.666666666668</v>
      </c>
      <c r="D9" s="32">
        <v>749562.5</v>
      </c>
      <c r="E9" s="32">
        <v>856644.66666666663</v>
      </c>
      <c r="F9" s="32">
        <v>1905730.6666666667</v>
      </c>
      <c r="G9" s="32">
        <v>4193207.3333333335</v>
      </c>
      <c r="H9" s="32">
        <v>4934846.333333333</v>
      </c>
      <c r="I9" s="32">
        <v>85532</v>
      </c>
      <c r="J9" s="32">
        <v>199067.33333333334</v>
      </c>
      <c r="K9" s="13">
        <v>22444.666666666668</v>
      </c>
      <c r="L9" s="13">
        <v>692697.5</v>
      </c>
      <c r="M9" s="13">
        <v>470915.5</v>
      </c>
      <c r="N9" s="3"/>
      <c r="O9" s="32">
        <v>896703.33333333337</v>
      </c>
      <c r="P9" s="13">
        <v>3246452.6666666665</v>
      </c>
      <c r="Q9" s="13">
        <v>433261.33333333331</v>
      </c>
      <c r="R9" s="32"/>
      <c r="S9" s="32">
        <v>552557.33333333337</v>
      </c>
      <c r="T9" s="32">
        <v>1292991.6666666667</v>
      </c>
      <c r="U9" s="32">
        <v>1241483.6666666667</v>
      </c>
      <c r="V9" s="32">
        <v>1125374.6666666667</v>
      </c>
    </row>
    <row r="10" spans="1:22" ht="16.5" x14ac:dyDescent="0.35">
      <c r="A10" s="226"/>
      <c r="B10" s="14">
        <v>388913</v>
      </c>
      <c r="C10" s="13">
        <v>188706.33333333334</v>
      </c>
      <c r="D10" s="32">
        <v>93733</v>
      </c>
      <c r="E10" s="32">
        <v>1743737.3333333333</v>
      </c>
      <c r="F10" s="32"/>
      <c r="G10" s="32">
        <v>3327543</v>
      </c>
      <c r="H10" s="32">
        <v>4195521.666666667</v>
      </c>
      <c r="I10" s="32">
        <v>106902.33333333333</v>
      </c>
      <c r="J10" s="32">
        <v>80037.666666666672</v>
      </c>
      <c r="K10" s="13">
        <v>116765.66666666667</v>
      </c>
      <c r="L10" s="13">
        <v>522088</v>
      </c>
      <c r="M10" s="13">
        <v>349012.66666666669</v>
      </c>
      <c r="N10" s="3"/>
      <c r="O10" s="32">
        <v>1763968.3333333333</v>
      </c>
      <c r="P10" s="13">
        <v>3103125.6666666665</v>
      </c>
      <c r="Q10" s="13">
        <v>154336.66666666666</v>
      </c>
      <c r="R10" s="32">
        <v>435727</v>
      </c>
      <c r="S10" s="32">
        <v>347138</v>
      </c>
      <c r="T10" s="32">
        <v>1384904.3333333333</v>
      </c>
      <c r="U10" s="32">
        <v>714687.66666666663</v>
      </c>
      <c r="V10" s="32">
        <v>985876</v>
      </c>
    </row>
    <row r="11" spans="1:22" ht="16.5" x14ac:dyDescent="0.35">
      <c r="A11" s="226"/>
      <c r="B11" s="14">
        <v>276458.66666666669</v>
      </c>
      <c r="C11" s="13">
        <v>204142.66666666666</v>
      </c>
      <c r="D11" s="32">
        <v>337974.33333333331</v>
      </c>
      <c r="E11" s="32">
        <v>799210</v>
      </c>
      <c r="F11" s="32">
        <v>2890381.3333333335</v>
      </c>
      <c r="G11" s="32">
        <v>3068222.3333333335</v>
      </c>
      <c r="H11" s="32">
        <v>3442419.6666666665</v>
      </c>
      <c r="I11" s="32">
        <v>262478.66666666669</v>
      </c>
      <c r="J11" s="32">
        <v>119494</v>
      </c>
      <c r="K11" s="13">
        <v>364168</v>
      </c>
      <c r="L11" s="13">
        <v>401725</v>
      </c>
      <c r="M11" s="13"/>
      <c r="N11" s="3"/>
      <c r="O11" s="32">
        <v>2474113.6666666665</v>
      </c>
      <c r="P11" s="13">
        <v>3003022.6666666665</v>
      </c>
      <c r="Q11" s="13">
        <v>425373.33333333331</v>
      </c>
      <c r="R11" s="32">
        <v>1336814</v>
      </c>
      <c r="S11" s="32">
        <v>247100</v>
      </c>
      <c r="T11" s="32">
        <v>1371667</v>
      </c>
      <c r="U11" s="32">
        <v>2981940.6666666665</v>
      </c>
      <c r="V11" s="32">
        <v>915377</v>
      </c>
    </row>
    <row r="12" spans="1:22" ht="16.5" x14ac:dyDescent="0.35">
      <c r="A12" s="226"/>
      <c r="B12" s="14">
        <v>174373</v>
      </c>
      <c r="C12" s="13">
        <v>257648.33333333334</v>
      </c>
      <c r="D12" s="32">
        <v>289977.66666666669</v>
      </c>
      <c r="E12" s="32">
        <v>796513.66666666663</v>
      </c>
      <c r="F12" s="32">
        <v>1102036</v>
      </c>
      <c r="G12" s="32">
        <v>3112880.6666666665</v>
      </c>
      <c r="H12" s="32">
        <v>3016195</v>
      </c>
      <c r="I12" s="32">
        <v>207055.66666666666</v>
      </c>
      <c r="J12" s="32">
        <v>194243.66666666666</v>
      </c>
      <c r="K12" s="13">
        <v>150010.33333333334</v>
      </c>
      <c r="L12" s="13">
        <v>389987.33333333331</v>
      </c>
      <c r="M12" s="13">
        <v>543891</v>
      </c>
      <c r="N12" s="3"/>
      <c r="O12" s="32">
        <v>1359410</v>
      </c>
      <c r="P12" s="13">
        <v>3611313</v>
      </c>
      <c r="Q12" s="13">
        <v>187041</v>
      </c>
      <c r="R12" s="32">
        <v>633886</v>
      </c>
      <c r="S12" s="32">
        <v>6820.666666666667</v>
      </c>
      <c r="T12" s="32">
        <v>324643</v>
      </c>
      <c r="U12" s="32">
        <v>729511.5</v>
      </c>
      <c r="V12" s="32">
        <v>887070.66666666663</v>
      </c>
    </row>
    <row r="13" spans="1:22" ht="16.5" x14ac:dyDescent="0.35">
      <c r="A13" s="226"/>
      <c r="B13" s="14"/>
      <c r="C13" s="13"/>
      <c r="D13" s="32"/>
      <c r="E13" s="32"/>
      <c r="F13" s="32"/>
      <c r="G13" s="32"/>
      <c r="H13" s="32"/>
      <c r="I13" s="32"/>
      <c r="J13" s="32"/>
      <c r="K13" s="13"/>
      <c r="L13" s="13"/>
      <c r="M13" s="13"/>
      <c r="N13" s="3"/>
      <c r="O13" s="32">
        <v>804978.33333333337</v>
      </c>
      <c r="P13" s="13"/>
      <c r="Q13" s="13"/>
      <c r="R13" s="32"/>
      <c r="S13" s="32"/>
      <c r="T13" s="32"/>
      <c r="U13" s="32"/>
      <c r="V13" s="32"/>
    </row>
    <row r="14" spans="1:22" ht="16.5" x14ac:dyDescent="0.35">
      <c r="A14" s="226"/>
      <c r="B14" s="14"/>
      <c r="C14" s="32"/>
      <c r="D14" s="32"/>
      <c r="E14" s="32"/>
      <c r="F14" s="32"/>
      <c r="G14" s="32"/>
      <c r="H14" s="32"/>
      <c r="I14" s="32"/>
      <c r="J14" s="32"/>
      <c r="K14" s="13"/>
      <c r="L14" s="13"/>
      <c r="M14" s="13"/>
      <c r="N14" s="3"/>
      <c r="O14" s="32">
        <v>2136853</v>
      </c>
      <c r="P14" s="13"/>
      <c r="Q14" s="13"/>
      <c r="R14" s="32"/>
      <c r="S14" s="32"/>
      <c r="T14" s="32"/>
      <c r="U14" s="32"/>
      <c r="V14" s="32"/>
    </row>
    <row r="15" spans="1:22" ht="16.5" x14ac:dyDescent="0.35">
      <c r="A15" s="226"/>
      <c r="B15" s="14"/>
      <c r="C15" s="32"/>
      <c r="D15" s="32"/>
      <c r="E15" s="32"/>
      <c r="F15" s="32"/>
      <c r="G15" s="32"/>
      <c r="H15" s="32"/>
      <c r="I15" s="32"/>
      <c r="J15" s="32"/>
      <c r="K15" s="13"/>
      <c r="L15" s="13"/>
      <c r="M15" s="13"/>
      <c r="N15" s="3"/>
      <c r="O15" s="32">
        <v>1499730.3333333333</v>
      </c>
      <c r="P15" s="13"/>
      <c r="Q15" s="13"/>
      <c r="R15" s="32"/>
      <c r="S15" s="32"/>
      <c r="T15" s="32"/>
      <c r="U15" s="32"/>
      <c r="V15" s="32"/>
    </row>
    <row r="16" spans="1:22" ht="16.5" x14ac:dyDescent="0.35">
      <c r="A16" s="226"/>
      <c r="B16" s="14"/>
      <c r="C16" s="32"/>
      <c r="D16" s="32"/>
      <c r="E16" s="32"/>
      <c r="F16" s="32"/>
      <c r="G16" s="32"/>
      <c r="H16" s="32"/>
      <c r="I16" s="32"/>
      <c r="J16" s="32"/>
      <c r="K16" s="13"/>
      <c r="L16" s="13"/>
      <c r="M16" s="13"/>
      <c r="N16" s="3"/>
      <c r="O16" s="32">
        <v>3457567.3333333335</v>
      </c>
      <c r="P16" s="13"/>
      <c r="Q16" s="13"/>
      <c r="R16" s="32"/>
      <c r="S16" s="32"/>
      <c r="T16" s="32"/>
      <c r="U16" s="32"/>
      <c r="V16" s="32"/>
    </row>
    <row r="17" spans="1:22" ht="16.5" x14ac:dyDescent="0.35">
      <c r="A17" s="226"/>
      <c r="B17" s="14"/>
      <c r="C17" s="32"/>
      <c r="D17" s="32"/>
      <c r="E17" s="32"/>
      <c r="F17" s="32"/>
      <c r="G17" s="32"/>
      <c r="H17" s="32"/>
      <c r="I17" s="32"/>
      <c r="J17" s="32"/>
      <c r="K17" s="13"/>
      <c r="L17" s="13"/>
      <c r="M17" s="13"/>
      <c r="N17" s="3"/>
      <c r="O17" s="32">
        <v>958759.66666666663</v>
      </c>
      <c r="P17" s="13"/>
      <c r="Q17" s="13"/>
      <c r="R17" s="32"/>
      <c r="S17" s="32"/>
      <c r="T17" s="32"/>
      <c r="U17" s="32"/>
      <c r="V17" s="32"/>
    </row>
    <row r="18" spans="1:22" ht="16.5" x14ac:dyDescent="0.35">
      <c r="A18" s="226"/>
      <c r="B18" s="14"/>
      <c r="C18" s="32"/>
      <c r="D18" s="32"/>
      <c r="E18" s="32"/>
      <c r="F18" s="32"/>
      <c r="G18" s="32"/>
      <c r="H18" s="32"/>
      <c r="I18" s="32"/>
      <c r="J18" s="32"/>
      <c r="K18" s="13"/>
      <c r="L18" s="13"/>
      <c r="M18" s="13"/>
      <c r="N18" s="3"/>
      <c r="O18" s="32">
        <v>3902509</v>
      </c>
      <c r="P18" s="13"/>
      <c r="Q18" s="13"/>
      <c r="R18" s="32"/>
      <c r="S18" s="32"/>
      <c r="T18" s="32"/>
      <c r="U18" s="32"/>
      <c r="V18" s="32"/>
    </row>
    <row r="19" spans="1:22" ht="16.5" x14ac:dyDescent="0.35">
      <c r="A19" s="226"/>
      <c r="B19" s="14"/>
      <c r="C19" s="32"/>
      <c r="D19" s="32"/>
      <c r="E19" s="32"/>
      <c r="F19" s="32"/>
      <c r="G19" s="32"/>
      <c r="H19" s="32"/>
      <c r="I19" s="32"/>
      <c r="J19" s="32"/>
      <c r="K19" s="13"/>
      <c r="L19" s="13"/>
      <c r="M19" s="13"/>
      <c r="N19" s="3"/>
      <c r="O19" s="32">
        <v>2154798.6666666665</v>
      </c>
      <c r="P19" s="13"/>
      <c r="Q19" s="13"/>
      <c r="R19" s="32"/>
      <c r="S19" s="32"/>
      <c r="T19" s="32"/>
      <c r="U19" s="32"/>
      <c r="V19" s="32"/>
    </row>
    <row r="20" spans="1:22" ht="16.5" x14ac:dyDescent="0.35">
      <c r="A20" s="226"/>
      <c r="B20" s="14"/>
      <c r="C20" s="32"/>
      <c r="D20" s="32"/>
      <c r="E20" s="32"/>
      <c r="F20" s="32"/>
      <c r="G20" s="32"/>
      <c r="H20" s="32"/>
      <c r="I20" s="32"/>
      <c r="J20" s="32"/>
      <c r="K20" s="13"/>
      <c r="L20" s="13"/>
      <c r="M20" s="13"/>
      <c r="N20" s="3"/>
      <c r="O20" s="32">
        <v>2452433.3333333335</v>
      </c>
      <c r="P20" s="13"/>
      <c r="Q20" s="13"/>
      <c r="R20" s="32"/>
      <c r="S20" s="32"/>
      <c r="T20" s="32"/>
      <c r="U20" s="32"/>
      <c r="V20" s="32"/>
    </row>
    <row r="21" spans="1:22" x14ac:dyDescent="0.35">
      <c r="A21" s="3"/>
      <c r="B21" s="7"/>
      <c r="C21" s="7"/>
      <c r="D21" s="7"/>
      <c r="E21" s="7"/>
      <c r="F21" s="7"/>
      <c r="G21" s="7"/>
      <c r="H21" s="7"/>
      <c r="I21" s="7"/>
      <c r="J21" s="7"/>
      <c r="N21" s="3"/>
      <c r="O21" s="7"/>
      <c r="R21" s="7"/>
      <c r="S21" s="7"/>
      <c r="T21" s="7"/>
      <c r="U21" s="7"/>
      <c r="V21" s="7"/>
    </row>
    <row r="22" spans="1:22" x14ac:dyDescent="0.3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Cefuroxime-0.001mg/L</v>
      </c>
      <c r="J22" s="3" t="str">
        <f t="shared" si="0"/>
        <v>Cefuroxime-0.01mg/L</v>
      </c>
      <c r="K22" s="3" t="str">
        <f t="shared" si="0"/>
        <v>Cefuroxime-0.1mg/L</v>
      </c>
      <c r="L22" s="3" t="str">
        <f t="shared" si="0"/>
        <v>Cefuroxime-1mg/L</v>
      </c>
      <c r="M22" s="3" t="str">
        <f t="shared" si="0"/>
        <v>Cefuroxime-10mg/L</v>
      </c>
      <c r="N22" s="3" t="s">
        <v>41</v>
      </c>
      <c r="O22" s="3" t="str">
        <f t="shared" si="0"/>
        <v>Testo -30µg/L</v>
      </c>
      <c r="P22" s="3" t="str">
        <f t="shared" si="0"/>
        <v>Testo 30µg/L + EE2 -64ng/L</v>
      </c>
      <c r="Q22" s="3" t="str">
        <f t="shared" si="0"/>
        <v>Testo 30µg/L + FAD-10mg/L</v>
      </c>
      <c r="R22" s="3" t="str">
        <f t="shared" si="0"/>
        <v>Cefuroxime-0,001mg/L + Testostérone</v>
      </c>
      <c r="S22" s="3" t="str">
        <f t="shared" si="0"/>
        <v>Cefuroxime-0,01mg/L + Testostérone</v>
      </c>
      <c r="T22" s="3" t="str">
        <f t="shared" si="0"/>
        <v>Cefuroxime-0,1mg/L + Testostérone</v>
      </c>
      <c r="U22" s="3" t="str">
        <f t="shared" si="0"/>
        <v>Cefuroxime-1mg/L + Testostérone</v>
      </c>
      <c r="V22" s="3" t="str">
        <f t="shared" si="0"/>
        <v>Cefuroxime-10mg/L + Testostérone</v>
      </c>
    </row>
    <row r="23" spans="1:22" x14ac:dyDescent="0.35">
      <c r="A23" s="5" t="s">
        <v>0</v>
      </c>
      <c r="B23" s="5">
        <f t="shared" ref="B23:J23" si="1">AVERAGE(B5:B20)</f>
        <v>237037.875</v>
      </c>
      <c r="C23" s="5">
        <f t="shared" si="1"/>
        <v>269011.87500000006</v>
      </c>
      <c r="D23" s="5">
        <f t="shared" si="1"/>
        <v>346837.6875</v>
      </c>
      <c r="E23" s="5">
        <f t="shared" si="1"/>
        <v>1182998.7142857143</v>
      </c>
      <c r="F23" s="5">
        <f t="shared" si="1"/>
        <v>2024355.2857142857</v>
      </c>
      <c r="G23" s="5">
        <f t="shared" si="1"/>
        <v>3130003.9285714286</v>
      </c>
      <c r="H23" s="5">
        <f t="shared" si="1"/>
        <v>3574095.041666667</v>
      </c>
      <c r="I23" s="5">
        <f t="shared" si="1"/>
        <v>229294.42857142858</v>
      </c>
      <c r="J23" s="5">
        <f t="shared" si="1"/>
        <v>177828.75000000003</v>
      </c>
      <c r="K23" s="5"/>
      <c r="L23" s="5">
        <f>AVERAGE(L5:L20)</f>
        <v>398138.50000000006</v>
      </c>
      <c r="M23" s="5"/>
      <c r="N23" s="5" t="s">
        <v>0</v>
      </c>
      <c r="O23" s="5">
        <f>AVERAGE(O5:O20)</f>
        <v>1934164.9166666667</v>
      </c>
      <c r="P23" s="5">
        <f>AVERAGE(P5:P20)</f>
        <v>3211409.0952380947</v>
      </c>
      <c r="Q23" s="5">
        <f>AVERAGE(Q5:Q20)</f>
        <v>254915.5</v>
      </c>
      <c r="R23" s="5">
        <f>AVERAGE(R5:R20)</f>
        <v>651567.61904761905</v>
      </c>
      <c r="S23" s="5">
        <f>AVERAGE(S5:S20)</f>
        <v>398976.26190476184</v>
      </c>
      <c r="T23" s="5">
        <f t="shared" ref="T23:V23" si="2">AVERAGE(T5:T20)</f>
        <v>1162438.3333333333</v>
      </c>
      <c r="U23" s="5">
        <f t="shared" si="2"/>
        <v>889480.9761904761</v>
      </c>
      <c r="V23" s="5">
        <f t="shared" si="2"/>
        <v>987587.95238095243</v>
      </c>
    </row>
    <row r="24" spans="1:22" x14ac:dyDescent="0.35">
      <c r="A24" s="3" t="s">
        <v>1</v>
      </c>
      <c r="B24" s="3">
        <f t="shared" ref="B24:J24" si="3">STDEV(B5:B20)</f>
        <v>107840.59539820468</v>
      </c>
      <c r="C24" s="3">
        <f t="shared" si="3"/>
        <v>187855.64009741816</v>
      </c>
      <c r="D24" s="3">
        <f t="shared" si="3"/>
        <v>289531.86532099964</v>
      </c>
      <c r="E24" s="3">
        <f t="shared" si="3"/>
        <v>569629.62587532913</v>
      </c>
      <c r="F24" s="3">
        <f t="shared" si="3"/>
        <v>592485.13368783402</v>
      </c>
      <c r="G24" s="3">
        <f t="shared" si="3"/>
        <v>727896.2345245739</v>
      </c>
      <c r="H24" s="3">
        <f t="shared" si="3"/>
        <v>961814.34328406863</v>
      </c>
      <c r="I24" s="3">
        <f t="shared" si="3"/>
        <v>129020.29193914993</v>
      </c>
      <c r="J24" s="3">
        <f t="shared" si="3"/>
        <v>72660.17922411795</v>
      </c>
      <c r="K24" s="3"/>
      <c r="L24" s="3">
        <f>STDEV(L5:L20)</f>
        <v>184293.1175021895</v>
      </c>
      <c r="M24" s="3"/>
      <c r="N24" s="3" t="s">
        <v>1</v>
      </c>
      <c r="O24" s="3">
        <f>STDEV(O5:O20)</f>
        <v>913203.86389879882</v>
      </c>
      <c r="P24" s="3">
        <f>STDEV(P5:P20)</f>
        <v>501453.59389588737</v>
      </c>
      <c r="Q24" s="3">
        <f>STDEV(Q5:Q20)</f>
        <v>149761.95431025</v>
      </c>
      <c r="R24" s="3">
        <f>STDEV(R5:R20)</f>
        <v>452597.76525263855</v>
      </c>
      <c r="S24" s="3">
        <f>STDEV(S5:S20)</f>
        <v>277292.37772694306</v>
      </c>
      <c r="T24" s="3">
        <f t="shared" ref="T24:V24" si="4">STDEV(T5:T20)</f>
        <v>758884.71331693558</v>
      </c>
      <c r="U24" s="3">
        <f t="shared" si="4"/>
        <v>1005580.2547533164</v>
      </c>
      <c r="V24" s="3">
        <f t="shared" si="4"/>
        <v>354505.0761108353</v>
      </c>
    </row>
    <row r="25" spans="1:22" ht="15" thickBot="1" x14ac:dyDescent="0.4"/>
    <row r="26" spans="1:22" ht="15" thickBot="1" x14ac:dyDescent="0.4">
      <c r="B26" s="224" t="s">
        <v>6</v>
      </c>
      <c r="C26" s="225"/>
      <c r="D26" s="225"/>
      <c r="E26" s="225"/>
      <c r="F26" s="225"/>
      <c r="G26" s="225"/>
      <c r="H26" s="225"/>
      <c r="I26" s="225"/>
      <c r="J26" s="225"/>
      <c r="K26" s="225"/>
      <c r="L26" s="225"/>
      <c r="M26" s="225"/>
      <c r="O26" s="224" t="s">
        <v>3</v>
      </c>
      <c r="P26" s="225"/>
      <c r="Q26" s="225"/>
      <c r="R26" s="225"/>
      <c r="S26" s="225"/>
      <c r="T26" s="225"/>
      <c r="U26" s="225"/>
      <c r="V26" s="225"/>
    </row>
    <row r="27" spans="1:22" x14ac:dyDescent="0.3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Cefuroxime-0.001mg/L</v>
      </c>
      <c r="J27" s="35" t="str">
        <f t="shared" si="5"/>
        <v>Cefuroxime-0.01mg/L</v>
      </c>
      <c r="K27" s="35" t="str">
        <f t="shared" si="5"/>
        <v>Cefuroxime-0.1mg/L</v>
      </c>
      <c r="L27" s="35" t="str">
        <f t="shared" si="5"/>
        <v>Cefuroxime-1mg/L</v>
      </c>
      <c r="M27" s="35" t="str">
        <f t="shared" si="5"/>
        <v>Cefuroxime-10mg/L</v>
      </c>
      <c r="N27" s="3"/>
      <c r="O27" s="36" t="str">
        <f>O4</f>
        <v>Testo -30µg/L</v>
      </c>
      <c r="P27" s="36" t="str">
        <f t="shared" ref="P27:V27" si="6">P4</f>
        <v>Testo 30µg/L + EE2 -64ng/L</v>
      </c>
      <c r="Q27" s="36" t="str">
        <f t="shared" si="6"/>
        <v>Testo 30µg/L + FAD-10mg/L</v>
      </c>
      <c r="R27" s="36" t="str">
        <f t="shared" si="6"/>
        <v>Cefuroxime-0,001mg/L + Testostérone</v>
      </c>
      <c r="S27" s="36" t="str">
        <f t="shared" si="6"/>
        <v>Cefuroxime-0,01mg/L + Testostérone</v>
      </c>
      <c r="T27" s="36" t="str">
        <f t="shared" si="6"/>
        <v>Cefuroxime-0,1mg/L + Testostérone</v>
      </c>
      <c r="U27" s="36" t="str">
        <f t="shared" si="6"/>
        <v>Cefuroxime-1mg/L + Testostérone</v>
      </c>
      <c r="V27" s="36" t="str">
        <f t="shared" si="6"/>
        <v>Cefuroxime-10mg/L + Testostérone</v>
      </c>
    </row>
    <row r="28" spans="1:22" x14ac:dyDescent="0.35">
      <c r="A28" s="227" t="s">
        <v>34</v>
      </c>
      <c r="B28" s="11">
        <f t="shared" ref="B28:M28" si="7">IF(B5="","",(B5/$O$23))</f>
        <v>0.12532850632910955</v>
      </c>
      <c r="C28" s="11">
        <f t="shared" si="7"/>
        <v>0.132638637889332</v>
      </c>
      <c r="D28" s="11">
        <f t="shared" si="7"/>
        <v>3.5498868827067875E-2</v>
      </c>
      <c r="E28" s="11">
        <f t="shared" si="7"/>
        <v>1.0871544519708527</v>
      </c>
      <c r="F28" s="11">
        <f t="shared" si="7"/>
        <v>0.85417001023568351</v>
      </c>
      <c r="G28" s="11">
        <f t="shared" si="7"/>
        <v>1.9322026960903325</v>
      </c>
      <c r="H28" s="11">
        <f t="shared" si="7"/>
        <v>1.4334827274078963</v>
      </c>
      <c r="I28" s="11" t="str">
        <f t="shared" si="7"/>
        <v/>
      </c>
      <c r="J28" s="11">
        <f t="shared" si="7"/>
        <v>0.16721652354791014</v>
      </c>
      <c r="K28" s="11">
        <f t="shared" si="7"/>
        <v>0.10713374622182985</v>
      </c>
      <c r="L28" s="11">
        <f t="shared" si="7"/>
        <v>5.7995399306479338E-2</v>
      </c>
      <c r="M28" s="11">
        <f t="shared" si="7"/>
        <v>0.14231568240539985</v>
      </c>
      <c r="N28" s="6"/>
      <c r="O28" s="11">
        <f t="shared" ref="O28:V39" si="8">IF(O5="","",(O5/$O$23))</f>
        <v>1.2993938512395895</v>
      </c>
      <c r="P28" s="11">
        <f t="shared" si="8"/>
        <v>2.0352993856651054</v>
      </c>
      <c r="Q28" s="11">
        <f t="shared" si="8"/>
        <v>2.0127549447588899E-3</v>
      </c>
      <c r="R28" s="11">
        <f t="shared" si="8"/>
        <v>0.48272081590422805</v>
      </c>
      <c r="S28" s="11" t="str">
        <f t="shared" si="8"/>
        <v/>
      </c>
      <c r="T28" s="11">
        <f t="shared" si="8"/>
        <v>0.48388014482908404</v>
      </c>
      <c r="U28" s="11" t="str">
        <f t="shared" si="8"/>
        <v/>
      </c>
      <c r="V28" s="11">
        <f t="shared" si="8"/>
        <v>0.85569831838279564</v>
      </c>
    </row>
    <row r="29" spans="1:22" x14ac:dyDescent="0.35">
      <c r="A29" s="227"/>
      <c r="B29" s="11">
        <f t="shared" ref="B29:M29" si="9">IF(B6="","",(B6/$O$23))</f>
        <v>0.19026298989757809</v>
      </c>
      <c r="C29" s="11">
        <f t="shared" si="9"/>
        <v>0.12760614733860812</v>
      </c>
      <c r="D29" s="11">
        <f t="shared" si="9"/>
        <v>0.40976254222375641</v>
      </c>
      <c r="E29" s="11">
        <f t="shared" si="9"/>
        <v>0.30895831486965153</v>
      </c>
      <c r="F29" s="11">
        <f t="shared" si="9"/>
        <v>1.3532891175817092</v>
      </c>
      <c r="G29" s="11">
        <f t="shared" si="9"/>
        <v>1.0859821114013071</v>
      </c>
      <c r="H29" s="11">
        <f t="shared" si="9"/>
        <v>1.0568483495827377</v>
      </c>
      <c r="I29" s="11">
        <f t="shared" si="9"/>
        <v>0.15983573272513518</v>
      </c>
      <c r="J29" s="11">
        <f t="shared" si="9"/>
        <v>9.8090394653092966E-2</v>
      </c>
      <c r="K29" s="11">
        <f t="shared" si="9"/>
        <v>3.0361940439498025E-2</v>
      </c>
      <c r="L29" s="11">
        <f t="shared" si="9"/>
        <v>0.21215409113467962</v>
      </c>
      <c r="M29" s="11">
        <f t="shared" si="9"/>
        <v>0.10449091746269998</v>
      </c>
      <c r="N29" s="6"/>
      <c r="O29" s="11">
        <f t="shared" si="8"/>
        <v>0.50640269859787468</v>
      </c>
      <c r="P29" s="11">
        <f t="shared" si="8"/>
        <v>1.6766324519294049</v>
      </c>
      <c r="Q29" s="11">
        <f t="shared" si="8"/>
        <v>9.4914346971188557E-2</v>
      </c>
      <c r="R29" s="11">
        <f t="shared" si="8"/>
        <v>0.49385533696519068</v>
      </c>
      <c r="S29" s="11">
        <f t="shared" si="8"/>
        <v>0.22276659535107721</v>
      </c>
      <c r="T29" s="11">
        <f t="shared" si="8"/>
        <v>0.7723882903987116</v>
      </c>
      <c r="U29" s="11">
        <f t="shared" si="8"/>
        <v>0.14948397842152292</v>
      </c>
      <c r="V29" s="11">
        <f t="shared" si="8"/>
        <v>0.24724261921994845</v>
      </c>
    </row>
    <row r="30" spans="1:22" x14ac:dyDescent="0.35">
      <c r="A30" s="227"/>
      <c r="B30" s="11">
        <f t="shared" ref="B30:M30" si="10">IF(B7="","",(B7/$O$23))</f>
        <v>5.444658092969408E-2</v>
      </c>
      <c r="C30" s="11">
        <f t="shared" si="10"/>
        <v>0.35621057649384341</v>
      </c>
      <c r="D30" s="11">
        <f t="shared" si="10"/>
        <v>0.19573735934875253</v>
      </c>
      <c r="E30" s="11" t="str">
        <f t="shared" si="10"/>
        <v/>
      </c>
      <c r="F30" s="11">
        <f t="shared" si="10"/>
        <v>1.0319657764446921</v>
      </c>
      <c r="G30" s="11">
        <f t="shared" si="10"/>
        <v>1.2255971450900494</v>
      </c>
      <c r="H30" s="11">
        <f t="shared" si="10"/>
        <v>2.3436688159002643</v>
      </c>
      <c r="I30" s="11">
        <f t="shared" si="10"/>
        <v>8.9960443307596269E-2</v>
      </c>
      <c r="J30" s="11">
        <f t="shared" si="10"/>
        <v>9.4355277098699647E-2</v>
      </c>
      <c r="K30" s="11">
        <f t="shared" si="10"/>
        <v>0.14836583867654513</v>
      </c>
      <c r="L30" s="11">
        <f t="shared" si="10"/>
        <v>0.13336918572825937</v>
      </c>
      <c r="M30" s="11">
        <f t="shared" si="10"/>
        <v>0.14457471073110406</v>
      </c>
      <c r="N30" s="6"/>
      <c r="O30" s="11">
        <f t="shared" si="8"/>
        <v>0.66286867385791248</v>
      </c>
      <c r="P30" s="11">
        <f t="shared" si="8"/>
        <v>1.2079948887502225</v>
      </c>
      <c r="Q30" s="11">
        <f t="shared" si="8"/>
        <v>0.14772835425658937</v>
      </c>
      <c r="R30" s="11">
        <f t="shared" si="8"/>
        <v>8.7637993985259538E-2</v>
      </c>
      <c r="S30" s="11">
        <f t="shared" si="8"/>
        <v>0.16031492316300675</v>
      </c>
      <c r="T30" s="11">
        <f t="shared" si="8"/>
        <v>1.282880436901731</v>
      </c>
      <c r="U30" s="11">
        <f t="shared" si="8"/>
        <v>3.4581849470867683E-2</v>
      </c>
      <c r="V30" s="11" t="str">
        <f t="shared" si="8"/>
        <v/>
      </c>
    </row>
    <row r="31" spans="1:22" x14ac:dyDescent="0.35">
      <c r="A31" s="227"/>
      <c r="B31" s="11">
        <f t="shared" ref="B31:M31" si="11">IF(B8="","",(B8/$O$23))</f>
        <v>0.12365491584460286</v>
      </c>
      <c r="C31" s="11">
        <f t="shared" si="11"/>
        <v>0.14642736212729879</v>
      </c>
      <c r="D31" s="11">
        <f t="shared" si="11"/>
        <v>3.2911705779656242E-2</v>
      </c>
      <c r="E31" s="11">
        <f t="shared" si="11"/>
        <v>0.71585053997679182</v>
      </c>
      <c r="F31" s="11">
        <f t="shared" si="11"/>
        <v>1.0375314859181906</v>
      </c>
      <c r="G31" s="11" t="str">
        <f t="shared" si="11"/>
        <v/>
      </c>
      <c r="H31" s="11">
        <f t="shared" si="11"/>
        <v>1.8892001582595139</v>
      </c>
      <c r="I31" s="11">
        <f t="shared" si="11"/>
        <v>0.23780047366695159</v>
      </c>
      <c r="J31" s="11">
        <f t="shared" si="11"/>
        <v>6.9353617252303421E-2</v>
      </c>
      <c r="K31" s="11">
        <f t="shared" si="11"/>
        <v>0.23323037043678496</v>
      </c>
      <c r="L31" s="11" t="str">
        <f t="shared" si="11"/>
        <v/>
      </c>
      <c r="M31" s="11">
        <f t="shared" si="11"/>
        <v>9.4392674805953078E-2</v>
      </c>
      <c r="N31" s="6"/>
      <c r="O31" s="11">
        <f t="shared" si="8"/>
        <v>1.1943180129546864</v>
      </c>
      <c r="P31" s="11" t="str">
        <f t="shared" si="8"/>
        <v/>
      </c>
      <c r="Q31" s="11">
        <f t="shared" si="8"/>
        <v>0.18928461762072255</v>
      </c>
      <c r="R31" s="11">
        <f t="shared" si="8"/>
        <v>4.9727231549843279E-2</v>
      </c>
      <c r="S31" s="11">
        <f t="shared" si="8"/>
        <v>0.46442523709306238</v>
      </c>
      <c r="T31" s="11">
        <f t="shared" si="8"/>
        <v>7.3251251110567567E-3</v>
      </c>
      <c r="U31" s="11">
        <f t="shared" si="8"/>
        <v>0.10481508837211787</v>
      </c>
      <c r="V31" s="11">
        <f t="shared" si="8"/>
        <v>0.44781479552394249</v>
      </c>
    </row>
    <row r="32" spans="1:22" x14ac:dyDescent="0.35">
      <c r="A32" s="227"/>
      <c r="B32" s="11">
        <f t="shared" ref="B32:M32" si="12">IF(B9="","",(B9/$O$23))</f>
        <v>5.2567733904455495E-2</v>
      </c>
      <c r="C32" s="11">
        <f t="shared" si="12"/>
        <v>1.3471791594468914E-2</v>
      </c>
      <c r="D32" s="11">
        <f t="shared" si="12"/>
        <v>0.38753804990517221</v>
      </c>
      <c r="E32" s="11">
        <f t="shared" si="12"/>
        <v>0.4429015640212341</v>
      </c>
      <c r="F32" s="11">
        <f t="shared" si="12"/>
        <v>0.98529895266169776</v>
      </c>
      <c r="G32" s="11">
        <f t="shared" si="12"/>
        <v>2.1679678383164416</v>
      </c>
      <c r="H32" s="11">
        <f t="shared" si="12"/>
        <v>2.5514092882203809</v>
      </c>
      <c r="I32" s="11">
        <f t="shared" si="12"/>
        <v>4.4221668619346878E-2</v>
      </c>
      <c r="J32" s="11">
        <f t="shared" si="12"/>
        <v>0.1029215924753745</v>
      </c>
      <c r="K32" s="11">
        <f t="shared" si="12"/>
        <v>1.1604318987104642E-2</v>
      </c>
      <c r="L32" s="11">
        <f t="shared" si="12"/>
        <v>0.35813776479504783</v>
      </c>
      <c r="M32" s="11">
        <f t="shared" si="12"/>
        <v>0.24347225820411125</v>
      </c>
      <c r="N32" s="6"/>
      <c r="O32" s="11">
        <f t="shared" si="8"/>
        <v>0.46361265557370818</v>
      </c>
      <c r="P32" s="11">
        <f t="shared" si="8"/>
        <v>1.6784776927200149</v>
      </c>
      <c r="Q32" s="11">
        <f t="shared" si="8"/>
        <v>0.22400433882340004</v>
      </c>
      <c r="R32" s="11" t="str">
        <f t="shared" si="8"/>
        <v/>
      </c>
      <c r="S32" s="11">
        <f t="shared" si="8"/>
        <v>0.28568263676584971</v>
      </c>
      <c r="T32" s="11">
        <f t="shared" si="8"/>
        <v>0.66850125112133885</v>
      </c>
      <c r="U32" s="11">
        <f t="shared" si="8"/>
        <v>0.64187063676360934</v>
      </c>
      <c r="V32" s="11">
        <f t="shared" si="8"/>
        <v>0.58184007835595197</v>
      </c>
    </row>
    <row r="33" spans="1:22" x14ac:dyDescent="0.35">
      <c r="A33" s="227"/>
      <c r="B33" s="11">
        <f t="shared" ref="B33:M33" si="13">IF(B10="","",(B10/$O$23))</f>
        <v>0.20107540812509997</v>
      </c>
      <c r="C33" s="11">
        <f t="shared" si="13"/>
        <v>9.756475867556795E-2</v>
      </c>
      <c r="D33" s="11">
        <f t="shared" si="13"/>
        <v>4.8461741391493715E-2</v>
      </c>
      <c r="E33" s="11">
        <f t="shared" si="13"/>
        <v>0.90154532238051566</v>
      </c>
      <c r="F33" s="11" t="str">
        <f t="shared" si="13"/>
        <v/>
      </c>
      <c r="G33" s="11">
        <f t="shared" si="13"/>
        <v>1.7204029353064041</v>
      </c>
      <c r="H33" s="11">
        <f t="shared" si="13"/>
        <v>2.1691643926088862</v>
      </c>
      <c r="I33" s="11">
        <f t="shared" si="13"/>
        <v>5.5270536866922626E-2</v>
      </c>
      <c r="J33" s="11">
        <f t="shared" si="13"/>
        <v>4.13809939250699E-2</v>
      </c>
      <c r="K33" s="11">
        <f t="shared" si="13"/>
        <v>6.0370067547239059E-2</v>
      </c>
      <c r="L33" s="11">
        <f t="shared" si="13"/>
        <v>0.26992941268925746</v>
      </c>
      <c r="M33" s="11">
        <f t="shared" si="13"/>
        <v>0.18044617791338805</v>
      </c>
      <c r="N33" s="6"/>
      <c r="O33" s="11">
        <f t="shared" si="8"/>
        <v>0.91200513365393387</v>
      </c>
      <c r="P33" s="11">
        <f t="shared" si="8"/>
        <v>1.6043749113258567</v>
      </c>
      <c r="Q33" s="11">
        <f t="shared" si="8"/>
        <v>7.9794988181592058E-2</v>
      </c>
      <c r="R33" s="11">
        <f t="shared" si="8"/>
        <v>0.22527913532364677</v>
      </c>
      <c r="S33" s="11">
        <f t="shared" si="8"/>
        <v>0.17947693963876485</v>
      </c>
      <c r="T33" s="11">
        <f t="shared" si="8"/>
        <v>0.71602184560356552</v>
      </c>
      <c r="U33" s="11">
        <f t="shared" si="8"/>
        <v>0.36950709864924908</v>
      </c>
      <c r="V33" s="11">
        <f t="shared" si="8"/>
        <v>0.50971661801158885</v>
      </c>
    </row>
    <row r="34" spans="1:22" x14ac:dyDescent="0.35">
      <c r="A34" s="227"/>
      <c r="B34" s="11">
        <f t="shared" ref="B34:M34" si="14">IF(B11="","",(B11/$O$23))</f>
        <v>0.14293438180189652</v>
      </c>
      <c r="C34" s="11">
        <f t="shared" si="14"/>
        <v>0.10554563621104525</v>
      </c>
      <c r="D34" s="11">
        <f t="shared" si="14"/>
        <v>0.17473914991478448</v>
      </c>
      <c r="E34" s="11">
        <f t="shared" si="14"/>
        <v>0.41320675042403093</v>
      </c>
      <c r="F34" s="11">
        <f t="shared" si="14"/>
        <v>1.4943820500656204</v>
      </c>
      <c r="G34" s="11">
        <f t="shared" si="14"/>
        <v>1.5863292250285965</v>
      </c>
      <c r="H34" s="11">
        <f t="shared" si="14"/>
        <v>1.7797963539734352</v>
      </c>
      <c r="I34" s="11">
        <f t="shared" si="14"/>
        <v>0.1357064562617657</v>
      </c>
      <c r="J34" s="11">
        <f t="shared" si="14"/>
        <v>6.178066770331847E-2</v>
      </c>
      <c r="K34" s="11">
        <f t="shared" si="14"/>
        <v>0.18828177311147071</v>
      </c>
      <c r="L34" s="11">
        <f t="shared" si="14"/>
        <v>0.20769945547990371</v>
      </c>
      <c r="M34" s="11" t="str">
        <f t="shared" si="14"/>
        <v/>
      </c>
      <c r="N34" s="6"/>
      <c r="O34" s="11">
        <f t="shared" si="8"/>
        <v>1.2791637596914671</v>
      </c>
      <c r="P34" s="11">
        <f t="shared" si="8"/>
        <v>1.5526197589407555</v>
      </c>
      <c r="Q34" s="11">
        <f t="shared" si="8"/>
        <v>0.21992609299646498</v>
      </c>
      <c r="R34" s="11">
        <f t="shared" si="8"/>
        <v>0.69115822982864394</v>
      </c>
      <c r="S34" s="11">
        <f t="shared" si="8"/>
        <v>0.12775539348829226</v>
      </c>
      <c r="T34" s="11">
        <f t="shared" si="8"/>
        <v>0.7091778928365251</v>
      </c>
      <c r="U34" s="11">
        <f t="shared" si="8"/>
        <v>1.5417199645031991</v>
      </c>
      <c r="V34" s="11">
        <f t="shared" si="8"/>
        <v>0.47326729593335692</v>
      </c>
    </row>
    <row r="35" spans="1:22" x14ac:dyDescent="0.35">
      <c r="A35" s="227"/>
      <c r="B35" s="11">
        <f t="shared" ref="B35:M35" si="15">IF(B12="","",(B12/$O$23))</f>
        <v>9.0154153090789085E-2</v>
      </c>
      <c r="C35" s="11">
        <f t="shared" si="15"/>
        <v>0.13320908217969521</v>
      </c>
      <c r="D35" s="11">
        <f t="shared" si="15"/>
        <v>0.14992396158566107</v>
      </c>
      <c r="E35" s="11">
        <f t="shared" si="15"/>
        <v>0.41181269487576871</v>
      </c>
      <c r="F35" s="11">
        <f t="shared" si="15"/>
        <v>0.5697735443879548</v>
      </c>
      <c r="G35" s="11">
        <f t="shared" si="15"/>
        <v>1.6094184316151254</v>
      </c>
      <c r="H35" s="11">
        <f t="shared" si="15"/>
        <v>1.5594301054731674</v>
      </c>
      <c r="I35" s="11">
        <f t="shared" si="15"/>
        <v>0.10705171254140299</v>
      </c>
      <c r="J35" s="11">
        <f t="shared" si="15"/>
        <v>0.10042766518659925</v>
      </c>
      <c r="K35" s="11">
        <f t="shared" si="15"/>
        <v>7.755819167264219E-2</v>
      </c>
      <c r="L35" s="11">
        <f t="shared" si="15"/>
        <v>0.20163085886462886</v>
      </c>
      <c r="M35" s="11">
        <f t="shared" si="15"/>
        <v>0.2812019778216947</v>
      </c>
      <c r="N35" s="6"/>
      <c r="O35" s="11">
        <f t="shared" si="8"/>
        <v>0.70284079102355068</v>
      </c>
      <c r="P35" s="11">
        <f t="shared" si="8"/>
        <v>1.8671174153151968</v>
      </c>
      <c r="Q35" s="11">
        <f t="shared" si="8"/>
        <v>9.670374971041551E-2</v>
      </c>
      <c r="R35" s="11">
        <f t="shared" si="8"/>
        <v>0.32773110221254398</v>
      </c>
      <c r="S35" s="11">
        <f t="shared" si="8"/>
        <v>3.5264142203661622E-3</v>
      </c>
      <c r="T35" s="11">
        <f t="shared" si="8"/>
        <v>0.16784659736228111</v>
      </c>
      <c r="U35" s="11">
        <f t="shared" si="8"/>
        <v>0.37717130205072569</v>
      </c>
      <c r="V35" s="11">
        <f t="shared" si="8"/>
        <v>0.45863238394140721</v>
      </c>
    </row>
    <row r="36" spans="1:22" x14ac:dyDescent="0.35">
      <c r="A36" s="227"/>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0.41618908832274254</v>
      </c>
      <c r="P36" s="11" t="str">
        <f t="shared" si="8"/>
        <v/>
      </c>
      <c r="Q36" s="11" t="str">
        <f t="shared" si="8"/>
        <v/>
      </c>
      <c r="R36" s="11" t="str">
        <f t="shared" si="8"/>
        <v/>
      </c>
      <c r="S36" s="11" t="str">
        <f t="shared" si="8"/>
        <v/>
      </c>
      <c r="T36" s="11" t="str">
        <f t="shared" si="8"/>
        <v/>
      </c>
      <c r="U36" s="11" t="str">
        <f t="shared" si="8"/>
        <v/>
      </c>
      <c r="V36" s="11" t="str">
        <f t="shared" si="8"/>
        <v/>
      </c>
    </row>
    <row r="37" spans="1:22" x14ac:dyDescent="0.35">
      <c r="A37" s="227"/>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1.1047935889989386</v>
      </c>
      <c r="P37" s="11" t="str">
        <f t="shared" si="8"/>
        <v/>
      </c>
      <c r="Q37" s="11" t="str">
        <f t="shared" si="8"/>
        <v/>
      </c>
      <c r="R37" s="11" t="str">
        <f t="shared" si="8"/>
        <v/>
      </c>
      <c r="S37" s="11" t="str">
        <f t="shared" si="8"/>
        <v/>
      </c>
      <c r="T37" s="11" t="str">
        <f t="shared" si="8"/>
        <v/>
      </c>
      <c r="U37" s="11" t="str">
        <f t="shared" si="8"/>
        <v/>
      </c>
      <c r="V37" s="11" t="str">
        <f t="shared" si="8"/>
        <v/>
      </c>
    </row>
    <row r="38" spans="1:22" x14ac:dyDescent="0.35">
      <c r="A38" s="227"/>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f t="shared" si="8"/>
        <v>0.77538906864155277</v>
      </c>
      <c r="P38" s="11" t="str">
        <f t="shared" si="8"/>
        <v/>
      </c>
      <c r="Q38" s="11" t="str">
        <f t="shared" si="8"/>
        <v/>
      </c>
      <c r="R38" s="11" t="str">
        <f t="shared" si="8"/>
        <v/>
      </c>
      <c r="S38" s="11" t="str">
        <f t="shared" si="8"/>
        <v/>
      </c>
      <c r="T38" s="11" t="str">
        <f t="shared" si="8"/>
        <v/>
      </c>
      <c r="U38" s="11" t="str">
        <f t="shared" si="8"/>
        <v/>
      </c>
      <c r="V38" s="11" t="str">
        <f t="shared" si="8"/>
        <v/>
      </c>
    </row>
    <row r="39" spans="1:22" x14ac:dyDescent="0.35">
      <c r="A39" s="227"/>
      <c r="B39" s="11" t="str">
        <f t="shared" ref="B39:M39" si="19">IF(B16="","",(B16/$O$23))</f>
        <v/>
      </c>
      <c r="C39" s="11" t="str">
        <f t="shared" si="19"/>
        <v/>
      </c>
      <c r="D39" s="11" t="str">
        <f t="shared" si="19"/>
        <v/>
      </c>
      <c r="E39" s="11" t="str">
        <f t="shared" si="19"/>
        <v/>
      </c>
      <c r="F39" s="11" t="str">
        <f t="shared" si="19"/>
        <v/>
      </c>
      <c r="G39" s="11" t="str">
        <f t="shared" si="19"/>
        <v/>
      </c>
      <c r="H39" s="11" t="str">
        <f t="shared" si="19"/>
        <v/>
      </c>
      <c r="I39" s="11" t="str">
        <f t="shared" si="19"/>
        <v/>
      </c>
      <c r="J39" s="11" t="str">
        <f t="shared" si="19"/>
        <v/>
      </c>
      <c r="K39" s="11" t="str">
        <f t="shared" si="19"/>
        <v/>
      </c>
      <c r="L39" s="11" t="str">
        <f t="shared" si="19"/>
        <v/>
      </c>
      <c r="M39" s="11" t="str">
        <f t="shared" si="19"/>
        <v/>
      </c>
      <c r="N39" s="6"/>
      <c r="O39" s="11">
        <f t="shared" si="8"/>
        <v>1.7876279853592285</v>
      </c>
      <c r="P39" s="11" t="str">
        <f t="shared" si="8"/>
        <v/>
      </c>
      <c r="Q39" s="11" t="str">
        <f t="shared" ref="Q39:V39" si="20">IF(Q16="","",(Q16/$O$23))</f>
        <v/>
      </c>
      <c r="R39" s="11" t="str">
        <f t="shared" si="20"/>
        <v/>
      </c>
      <c r="S39" s="11" t="str">
        <f t="shared" si="20"/>
        <v/>
      </c>
      <c r="T39" s="11" t="str">
        <f t="shared" si="20"/>
        <v/>
      </c>
      <c r="U39" s="11" t="str">
        <f t="shared" si="20"/>
        <v/>
      </c>
      <c r="V39" s="11" t="str">
        <f t="shared" si="20"/>
        <v/>
      </c>
    </row>
    <row r="40" spans="1:22" x14ac:dyDescent="0.35">
      <c r="A40" s="227"/>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ref="O40:V43" si="22">IF(O17="","",(O17/$O$23))</f>
        <v>0.49569695862284058</v>
      </c>
      <c r="P40" s="11" t="str">
        <f t="shared" si="22"/>
        <v/>
      </c>
      <c r="Q40" s="11" t="str">
        <f t="shared" si="22"/>
        <v/>
      </c>
      <c r="R40" s="11" t="str">
        <f t="shared" si="22"/>
        <v/>
      </c>
      <c r="S40" s="11" t="str">
        <f t="shared" si="22"/>
        <v/>
      </c>
      <c r="T40" s="11" t="str">
        <f t="shared" si="22"/>
        <v/>
      </c>
      <c r="U40" s="11" t="str">
        <f t="shared" si="22"/>
        <v/>
      </c>
      <c r="V40" s="11" t="str">
        <f t="shared" si="22"/>
        <v/>
      </c>
    </row>
    <row r="41" spans="1:22" x14ac:dyDescent="0.35">
      <c r="A41" s="227"/>
      <c r="B41" s="11" t="str">
        <f t="shared" ref="B41:M41" si="23">IF(B18="","",(B18/$O$23))</f>
        <v/>
      </c>
      <c r="C41" s="11" t="str">
        <f t="shared" si="23"/>
        <v/>
      </c>
      <c r="D41" s="11" t="str">
        <f t="shared" si="23"/>
        <v/>
      </c>
      <c r="E41" s="11" t="str">
        <f t="shared" si="23"/>
        <v/>
      </c>
      <c r="F41" s="11" t="str">
        <f t="shared" si="23"/>
        <v/>
      </c>
      <c r="G41" s="11" t="str">
        <f t="shared" si="23"/>
        <v/>
      </c>
      <c r="H41" s="11" t="str">
        <f t="shared" si="23"/>
        <v/>
      </c>
      <c r="I41" s="11" t="str">
        <f t="shared" si="23"/>
        <v/>
      </c>
      <c r="J41" s="11" t="str">
        <f t="shared" si="23"/>
        <v/>
      </c>
      <c r="K41" s="11" t="str">
        <f t="shared" si="23"/>
        <v/>
      </c>
      <c r="L41" s="11" t="str">
        <f t="shared" si="23"/>
        <v/>
      </c>
      <c r="M41" s="11" t="str">
        <f t="shared" si="23"/>
        <v/>
      </c>
      <c r="N41" s="6"/>
      <c r="O41" s="11">
        <f t="shared" si="22"/>
        <v>2.0176712783755644</v>
      </c>
      <c r="P41" s="11" t="str">
        <f t="shared" si="22"/>
        <v/>
      </c>
      <c r="Q41" s="11" t="str">
        <f t="shared" si="22"/>
        <v/>
      </c>
      <c r="R41" s="11" t="str">
        <f t="shared" si="22"/>
        <v/>
      </c>
      <c r="S41" s="11" t="str">
        <f t="shared" si="22"/>
        <v/>
      </c>
      <c r="T41" s="11" t="str">
        <f t="shared" si="22"/>
        <v/>
      </c>
      <c r="U41" s="11" t="str">
        <f t="shared" si="22"/>
        <v/>
      </c>
      <c r="V41" s="11" t="str">
        <f t="shared" si="22"/>
        <v/>
      </c>
    </row>
    <row r="42" spans="1:22" x14ac:dyDescent="0.35">
      <c r="A42" s="227"/>
      <c r="B42" s="11" t="str">
        <f t="shared" ref="B42:M42" si="24">IF(B19="","",(B19/$O$23))</f>
        <v/>
      </c>
      <c r="C42" s="11" t="str">
        <f t="shared" si="24"/>
        <v/>
      </c>
      <c r="D42" s="11" t="str">
        <f t="shared" si="24"/>
        <v/>
      </c>
      <c r="E42" s="11" t="str">
        <f t="shared" si="24"/>
        <v/>
      </c>
      <c r="F42" s="11" t="str">
        <f t="shared" si="24"/>
        <v/>
      </c>
      <c r="G42" s="11" t="str">
        <f t="shared" si="24"/>
        <v/>
      </c>
      <c r="H42" s="11" t="str">
        <f t="shared" si="24"/>
        <v/>
      </c>
      <c r="I42" s="11" t="str">
        <f t="shared" si="24"/>
        <v/>
      </c>
      <c r="J42" s="11" t="str">
        <f t="shared" si="24"/>
        <v/>
      </c>
      <c r="K42" s="11" t="str">
        <f t="shared" si="24"/>
        <v/>
      </c>
      <c r="L42" s="11" t="str">
        <f t="shared" si="24"/>
        <v/>
      </c>
      <c r="M42" s="11" t="str">
        <f t="shared" si="24"/>
        <v/>
      </c>
      <c r="N42" s="6"/>
      <c r="O42" s="11">
        <f t="shared" si="22"/>
        <v>1.1140718395307465</v>
      </c>
      <c r="P42" s="11" t="str">
        <f t="shared" si="22"/>
        <v/>
      </c>
      <c r="Q42" s="11" t="str">
        <f t="shared" si="22"/>
        <v/>
      </c>
      <c r="R42" s="11" t="str">
        <f t="shared" si="22"/>
        <v/>
      </c>
      <c r="S42" s="11" t="str">
        <f t="shared" si="22"/>
        <v/>
      </c>
      <c r="T42" s="11" t="str">
        <f t="shared" si="22"/>
        <v/>
      </c>
      <c r="U42" s="11" t="str">
        <f t="shared" si="22"/>
        <v/>
      </c>
      <c r="V42" s="11" t="str">
        <f t="shared" si="22"/>
        <v/>
      </c>
    </row>
    <row r="43" spans="1:22" x14ac:dyDescent="0.35">
      <c r="A43" s="227"/>
      <c r="B43" s="11" t="str">
        <f t="shared" ref="B43:M43" si="25">IF(B20="","",(B20/$O$23))</f>
        <v/>
      </c>
      <c r="C43" s="11" t="str">
        <f t="shared" si="25"/>
        <v/>
      </c>
      <c r="D43" s="11" t="str">
        <f t="shared" si="25"/>
        <v/>
      </c>
      <c r="E43" s="11" t="str">
        <f t="shared" si="25"/>
        <v/>
      </c>
      <c r="F43" s="11" t="str">
        <f t="shared" si="25"/>
        <v/>
      </c>
      <c r="G43" s="11" t="str">
        <f t="shared" si="25"/>
        <v/>
      </c>
      <c r="H43" s="11" t="str">
        <f t="shared" si="25"/>
        <v/>
      </c>
      <c r="I43" s="11" t="str">
        <f t="shared" si="25"/>
        <v/>
      </c>
      <c r="J43" s="11" t="str">
        <f t="shared" si="25"/>
        <v/>
      </c>
      <c r="K43" s="11" t="str">
        <f t="shared" si="25"/>
        <v/>
      </c>
      <c r="L43" s="11" t="str">
        <f t="shared" si="25"/>
        <v/>
      </c>
      <c r="M43" s="11" t="str">
        <f t="shared" si="25"/>
        <v/>
      </c>
      <c r="N43" s="6"/>
      <c r="O43" s="11">
        <f t="shared" si="22"/>
        <v>1.2679546155556625</v>
      </c>
      <c r="P43" s="11" t="str">
        <f t="shared" si="22"/>
        <v/>
      </c>
      <c r="Q43" s="11" t="str">
        <f t="shared" si="22"/>
        <v/>
      </c>
      <c r="R43" s="11" t="str">
        <f t="shared" si="22"/>
        <v/>
      </c>
      <c r="S43" s="11" t="str">
        <f t="shared" si="22"/>
        <v/>
      </c>
      <c r="T43" s="11" t="str">
        <f t="shared" si="22"/>
        <v/>
      </c>
      <c r="U43" s="11" t="str">
        <f t="shared" si="22"/>
        <v/>
      </c>
      <c r="V43" s="11" t="str">
        <f t="shared" si="22"/>
        <v/>
      </c>
    </row>
    <row r="44" spans="1:22" x14ac:dyDescent="0.35">
      <c r="A44" s="7"/>
      <c r="B44" s="3"/>
      <c r="C44" s="3"/>
      <c r="D44" s="3"/>
      <c r="E44" s="3"/>
      <c r="F44" s="3"/>
      <c r="G44" s="3"/>
      <c r="H44" s="3"/>
      <c r="I44" s="3"/>
      <c r="J44" s="3"/>
      <c r="K44" s="3"/>
      <c r="L44" s="3"/>
      <c r="M44" s="3"/>
      <c r="N44" s="7"/>
      <c r="O44" s="3"/>
      <c r="P44" s="3"/>
      <c r="Q44" s="3"/>
      <c r="R44" s="3"/>
      <c r="S44" s="3"/>
      <c r="T44" s="3"/>
      <c r="U44" s="3"/>
      <c r="V44" s="3"/>
    </row>
    <row r="45" spans="1:22" x14ac:dyDescent="0.35">
      <c r="A45" s="7" t="str">
        <f>A4</f>
        <v>Noms des groupes</v>
      </c>
      <c r="B45" s="7" t="str">
        <f t="shared" ref="B45:V45" si="26">B4</f>
        <v>Témoin solvant</v>
      </c>
      <c r="C45" s="7" t="str">
        <f t="shared" si="26"/>
        <v>EE2-33,8ng/L</v>
      </c>
      <c r="D45" s="7" t="str">
        <f t="shared" si="26"/>
        <v>EE2-50,6ng/L</v>
      </c>
      <c r="E45" s="7" t="str">
        <f t="shared" si="26"/>
        <v>EE2-76ng/L</v>
      </c>
      <c r="F45" s="7" t="str">
        <f t="shared" si="26"/>
        <v>EE2-114ng/L</v>
      </c>
      <c r="G45" s="7" t="str">
        <f t="shared" si="26"/>
        <v>EE2-170,9ng/L</v>
      </c>
      <c r="H45" s="7" t="str">
        <f t="shared" si="26"/>
        <v>EE2-488ng/L</v>
      </c>
      <c r="I45" s="7" t="str">
        <f t="shared" si="26"/>
        <v>Cefuroxime-0.001mg/L</v>
      </c>
      <c r="J45" s="7" t="str">
        <f t="shared" si="26"/>
        <v>Cefuroxime-0.01mg/L</v>
      </c>
      <c r="K45" s="7" t="str">
        <f t="shared" si="26"/>
        <v>Cefuroxime-0.1mg/L</v>
      </c>
      <c r="L45" s="7" t="str">
        <f t="shared" si="26"/>
        <v>Cefuroxime-1mg/L</v>
      </c>
      <c r="M45" s="7" t="str">
        <f t="shared" si="26"/>
        <v>Cefuroxime-10mg/L</v>
      </c>
      <c r="N45" s="7"/>
      <c r="O45" s="7" t="str">
        <f t="shared" si="26"/>
        <v>Testo -30µg/L</v>
      </c>
      <c r="P45" s="7" t="str">
        <f t="shared" si="26"/>
        <v>Testo 30µg/L + EE2 -64ng/L</v>
      </c>
      <c r="Q45" s="7" t="str">
        <f t="shared" si="26"/>
        <v>Testo 30µg/L + FAD-10mg/L</v>
      </c>
      <c r="R45" s="7" t="str">
        <f t="shared" si="26"/>
        <v>Cefuroxime-0,001mg/L + Testostérone</v>
      </c>
      <c r="S45" s="7" t="str">
        <f t="shared" si="26"/>
        <v>Cefuroxime-0,01mg/L + Testostérone</v>
      </c>
      <c r="T45" s="7" t="str">
        <f t="shared" si="26"/>
        <v>Cefuroxime-0,1mg/L + Testostérone</v>
      </c>
      <c r="U45" s="7" t="str">
        <f t="shared" si="26"/>
        <v>Cefuroxime-1mg/L + Testostérone</v>
      </c>
      <c r="V45" s="7" t="str">
        <f t="shared" si="26"/>
        <v>Cefuroxime-10mg/L + Testostérone</v>
      </c>
    </row>
    <row r="46" spans="1:22" x14ac:dyDescent="0.35">
      <c r="A46" s="8" t="s">
        <v>0</v>
      </c>
      <c r="B46" s="10">
        <f t="shared" ref="B46:H46" si="27">AVERAGE(B28:B43)</f>
        <v>0.1225530837404032</v>
      </c>
      <c r="C46" s="10">
        <f t="shared" si="27"/>
        <v>0.13908424906373246</v>
      </c>
      <c r="D46" s="10">
        <f t="shared" si="27"/>
        <v>0.17932167237204305</v>
      </c>
      <c r="E46" s="10">
        <f t="shared" si="27"/>
        <v>0.61163280550269228</v>
      </c>
      <c r="F46" s="10">
        <f t="shared" si="27"/>
        <v>1.0466301338993642</v>
      </c>
      <c r="G46" s="10">
        <f t="shared" si="27"/>
        <v>1.6182714832640366</v>
      </c>
      <c r="H46" s="10">
        <f t="shared" si="27"/>
        <v>1.8478750239282851</v>
      </c>
      <c r="I46" s="10">
        <f>AVERAGE(I28:I43)</f>
        <v>0.11854957485558874</v>
      </c>
      <c r="J46" s="9">
        <f>AVERAGE(J28:J43)</f>
        <v>9.1940841480296048E-2</v>
      </c>
      <c r="K46" s="9">
        <f t="shared" ref="K46:M46" si="28">AVERAGE(K28:K43)</f>
        <v>0.10711328088663932</v>
      </c>
      <c r="L46" s="9">
        <f t="shared" si="28"/>
        <v>0.20584516685689375</v>
      </c>
      <c r="M46" s="9">
        <f t="shared" si="28"/>
        <v>0.17012777133490728</v>
      </c>
      <c r="N46" s="8" t="s">
        <v>0</v>
      </c>
      <c r="O46" s="10">
        <f t="shared" ref="O46:V46" si="29">AVERAGE(O28:O43)</f>
        <v>1</v>
      </c>
      <c r="P46" s="10">
        <f t="shared" si="29"/>
        <v>1.6603595006637935</v>
      </c>
      <c r="Q46" s="10">
        <f t="shared" si="29"/>
        <v>0.13179615543814149</v>
      </c>
      <c r="R46" s="10">
        <f t="shared" si="29"/>
        <v>0.33687283510990806</v>
      </c>
      <c r="S46" s="10">
        <f t="shared" si="29"/>
        <v>0.2062783056743456</v>
      </c>
      <c r="T46" s="10">
        <f t="shared" si="29"/>
        <v>0.60100269802053674</v>
      </c>
      <c r="U46" s="10">
        <f t="shared" si="29"/>
        <v>0.45987855974732739</v>
      </c>
      <c r="V46" s="10">
        <f t="shared" si="29"/>
        <v>0.51060172990985586</v>
      </c>
    </row>
    <row r="47" spans="1:22" x14ac:dyDescent="0.35">
      <c r="A47" s="8" t="s">
        <v>1</v>
      </c>
      <c r="B47" s="8">
        <f t="shared" ref="B47:M47" si="30">STDEV(B28:B43)</f>
        <v>5.575563617607996E-2</v>
      </c>
      <c r="C47" s="8">
        <f t="shared" si="30"/>
        <v>9.7124934114288464E-2</v>
      </c>
      <c r="D47" s="8">
        <f t="shared" si="30"/>
        <v>0.14969347382227255</v>
      </c>
      <c r="E47" s="8">
        <f t="shared" si="30"/>
        <v>0.294509336286084</v>
      </c>
      <c r="F47" s="8">
        <f t="shared" si="30"/>
        <v>0.30632606794922129</v>
      </c>
      <c r="G47" s="8">
        <f t="shared" si="30"/>
        <v>0.37633617911911638</v>
      </c>
      <c r="H47" s="8">
        <f t="shared" si="30"/>
        <v>0.49727628445544247</v>
      </c>
      <c r="I47" s="8">
        <f t="shared" si="30"/>
        <v>6.6705941580981185E-2</v>
      </c>
      <c r="J47" s="8">
        <f t="shared" si="30"/>
        <v>3.756669278715917E-2</v>
      </c>
      <c r="K47" s="8">
        <f t="shared" si="30"/>
        <v>7.7705285447177364E-2</v>
      </c>
      <c r="L47" s="8">
        <f t="shared" si="30"/>
        <v>9.5283042264979134E-2</v>
      </c>
      <c r="M47" s="8">
        <f t="shared" si="30"/>
        <v>6.9873499082784243E-2</v>
      </c>
      <c r="N47" s="8" t="s">
        <v>1</v>
      </c>
      <c r="O47" s="8">
        <f t="shared" ref="O47:V47" si="31">STDEV(O28:O43)</f>
        <v>0.47214374329186554</v>
      </c>
      <c r="P47" s="8">
        <f t="shared" si="31"/>
        <v>0.2592610327976046</v>
      </c>
      <c r="Q47" s="8">
        <f t="shared" si="31"/>
        <v>7.7429774999925649E-2</v>
      </c>
      <c r="R47" s="8">
        <f t="shared" si="31"/>
        <v>0.23400164140741622</v>
      </c>
      <c r="S47" s="8">
        <f t="shared" si="31"/>
        <v>0.14336542625580642</v>
      </c>
      <c r="T47" s="8">
        <f t="shared" si="31"/>
        <v>0.39235781125882202</v>
      </c>
      <c r="U47" s="8">
        <f t="shared" si="31"/>
        <v>0.51990409198732124</v>
      </c>
      <c r="V47" s="8">
        <f t="shared" si="31"/>
        <v>0.18328585792042409</v>
      </c>
    </row>
    <row r="48" spans="1:22" x14ac:dyDescent="0.35">
      <c r="A48" s="8" t="s">
        <v>2</v>
      </c>
      <c r="B48" s="8">
        <f t="shared" ref="B48:M48" si="32" xml:space="preserve"> B47/SQRT(COUNT(B28:B43))</f>
        <v>1.9712594214738061E-2</v>
      </c>
      <c r="C48" s="8">
        <f t="shared" si="32"/>
        <v>3.4338849767255007E-2</v>
      </c>
      <c r="D48" s="8">
        <f t="shared" si="32"/>
        <v>5.2924635219549925E-2</v>
      </c>
      <c r="E48" s="8">
        <f t="shared" si="32"/>
        <v>0.11131406608566702</v>
      </c>
      <c r="F48" s="8">
        <f t="shared" si="32"/>
        <v>0.11578037084141615</v>
      </c>
      <c r="G48" s="8">
        <f t="shared" si="32"/>
        <v>0.14224170561506297</v>
      </c>
      <c r="H48" s="8">
        <f t="shared" si="32"/>
        <v>0.17581371643084695</v>
      </c>
      <c r="I48" s="8">
        <f t="shared" si="32"/>
        <v>2.5212476056239851E-2</v>
      </c>
      <c r="J48" s="8">
        <f t="shared" si="32"/>
        <v>1.3281831608276005E-2</v>
      </c>
      <c r="K48" s="8">
        <f t="shared" si="32"/>
        <v>2.7472967136867726E-2</v>
      </c>
      <c r="L48" s="8">
        <f t="shared" si="32"/>
        <v>3.6013604856398762E-2</v>
      </c>
      <c r="M48" s="8">
        <f t="shared" si="32"/>
        <v>2.6409700258135268E-2</v>
      </c>
      <c r="N48" s="8" t="s">
        <v>2</v>
      </c>
      <c r="O48" s="8">
        <f t="shared" ref="O48:V48" si="33" xml:space="preserve"> O47/SQRT(COUNT(O28:O43))</f>
        <v>0.11803593582296638</v>
      </c>
      <c r="P48" s="8">
        <f t="shared" si="33"/>
        <v>9.7991459633174599E-2</v>
      </c>
      <c r="Q48" s="8">
        <f t="shared" si="33"/>
        <v>2.7375559484098016E-2</v>
      </c>
      <c r="R48" s="8">
        <f t="shared" si="33"/>
        <v>8.8444307077848228E-2</v>
      </c>
      <c r="S48" s="8">
        <f t="shared" si="33"/>
        <v>5.4187037782519099E-2</v>
      </c>
      <c r="T48" s="8">
        <f t="shared" si="33"/>
        <v>0.13871943449631227</v>
      </c>
      <c r="U48" s="8">
        <f t="shared" si="33"/>
        <v>0.19650527614332866</v>
      </c>
      <c r="V48" s="8">
        <f t="shared" si="33"/>
        <v>6.9275542698937181E-2</v>
      </c>
    </row>
    <row r="49" spans="1:22"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8" t="s">
        <v>44</v>
      </c>
      <c r="B50" s="219"/>
      <c r="C50" s="219"/>
      <c r="D50" s="219"/>
      <c r="E50" s="219"/>
      <c r="F50" s="219"/>
      <c r="G50" s="219"/>
      <c r="H50" s="219"/>
      <c r="I50" s="219"/>
      <c r="J50" s="219"/>
      <c r="K50" s="219"/>
      <c r="L50" s="219"/>
      <c r="M50" s="219"/>
      <c r="N50" s="219"/>
      <c r="O50" s="219"/>
      <c r="P50" s="219"/>
      <c r="Q50" s="219"/>
      <c r="R50" s="219"/>
      <c r="S50" s="219"/>
      <c r="T50" s="219"/>
      <c r="U50" s="219"/>
      <c r="V50" s="219"/>
    </row>
    <row r="51" spans="1:22" ht="15" thickBot="1" x14ac:dyDescent="0.4"/>
    <row r="52" spans="1:22" x14ac:dyDescent="0.35">
      <c r="A52" s="45" t="str">
        <f t="shared" ref="A52:H52" si="34">A27</f>
        <v>Noms des groupes</v>
      </c>
      <c r="B52" s="46" t="str">
        <f t="shared" si="34"/>
        <v>Témoin solvant</v>
      </c>
      <c r="C52" s="46" t="str">
        <f t="shared" si="34"/>
        <v>EE2-33,8ng/L</v>
      </c>
      <c r="D52" s="46" t="str">
        <f t="shared" si="34"/>
        <v>EE2-50,6ng/L</v>
      </c>
      <c r="E52" s="46" t="str">
        <f t="shared" si="34"/>
        <v>EE2-76ng/L</v>
      </c>
      <c r="F52" s="46" t="str">
        <f t="shared" si="34"/>
        <v>EE2-114ng/L</v>
      </c>
      <c r="G52" s="46" t="str">
        <f t="shared" si="34"/>
        <v>EE2-170,9ng/L</v>
      </c>
      <c r="H52" s="46" t="str">
        <f t="shared" si="34"/>
        <v>EE2-488ng/L</v>
      </c>
      <c r="I52" s="46" t="str">
        <f>I4</f>
        <v>Cefuroxime-0.001mg/L</v>
      </c>
      <c r="J52" s="46" t="str">
        <f>J4</f>
        <v>Cefuroxime-0.01mg/L</v>
      </c>
      <c r="K52" s="46" t="str">
        <f t="shared" ref="K52:M52" si="35">K4</f>
        <v>Cefuroxime-0.1mg/L</v>
      </c>
      <c r="L52" s="46" t="str">
        <f t="shared" si="35"/>
        <v>Cefuroxime-1mg/L</v>
      </c>
      <c r="M52" s="46" t="str">
        <f t="shared" si="35"/>
        <v>Cefuroxime-10mg/L</v>
      </c>
      <c r="N52" s="47"/>
      <c r="O52" s="46" t="str">
        <f>O27</f>
        <v>Testo -30µg/L</v>
      </c>
      <c r="P52" s="46" t="str">
        <f>P27</f>
        <v>Testo 30µg/L + EE2 -64ng/L</v>
      </c>
      <c r="Q52" s="46" t="str">
        <f>Q27</f>
        <v>Testo 30µg/L + FAD-10mg/L</v>
      </c>
      <c r="R52" s="46" t="str">
        <f>R27</f>
        <v>Cefuroxime-0,001mg/L + Testostérone</v>
      </c>
      <c r="S52" s="46" t="str">
        <f t="shared" ref="S52:V52" si="36">S27</f>
        <v>Cefuroxime-0,01mg/L + Testostérone</v>
      </c>
      <c r="T52" s="46" t="str">
        <f t="shared" si="36"/>
        <v>Cefuroxime-0,1mg/L + Testostérone</v>
      </c>
      <c r="U52" s="46" t="str">
        <f t="shared" si="36"/>
        <v>Cefuroxime-1mg/L + Testostérone</v>
      </c>
      <c r="V52" s="46" t="str">
        <f t="shared" si="36"/>
        <v>Cefuroxime-10mg/L + Testostérone</v>
      </c>
    </row>
    <row r="53" spans="1:22" s="3" customFormat="1" x14ac:dyDescent="0.35">
      <c r="A53" s="61" t="s">
        <v>32</v>
      </c>
      <c r="B53" s="142">
        <f t="shared" ref="B53:V53" si="37">B46</f>
        <v>0.1225530837404032</v>
      </c>
      <c r="C53" s="142">
        <f t="shared" si="37"/>
        <v>0.13908424906373246</v>
      </c>
      <c r="D53" s="142">
        <f t="shared" si="37"/>
        <v>0.17932167237204305</v>
      </c>
      <c r="E53" s="142">
        <f t="shared" si="37"/>
        <v>0.61163280550269228</v>
      </c>
      <c r="F53" s="142">
        <f t="shared" si="37"/>
        <v>1.0466301338993642</v>
      </c>
      <c r="G53" s="142">
        <f t="shared" si="37"/>
        <v>1.6182714832640366</v>
      </c>
      <c r="H53" s="142">
        <f t="shared" si="37"/>
        <v>1.8478750239282851</v>
      </c>
      <c r="I53" s="142">
        <f t="shared" si="37"/>
        <v>0.11854957485558874</v>
      </c>
      <c r="J53" s="142">
        <f t="shared" si="37"/>
        <v>9.1940841480296048E-2</v>
      </c>
      <c r="K53" s="142">
        <f t="shared" si="37"/>
        <v>0.10711328088663932</v>
      </c>
      <c r="L53" s="142">
        <f t="shared" si="37"/>
        <v>0.20584516685689375</v>
      </c>
      <c r="M53" s="142">
        <f t="shared" si="37"/>
        <v>0.17012777133490728</v>
      </c>
      <c r="N53" s="142"/>
      <c r="O53" s="142">
        <f t="shared" si="37"/>
        <v>1</v>
      </c>
      <c r="P53" s="142">
        <f t="shared" si="37"/>
        <v>1.6603595006637935</v>
      </c>
      <c r="Q53" s="142">
        <f t="shared" si="37"/>
        <v>0.13179615543814149</v>
      </c>
      <c r="R53" s="142">
        <f t="shared" si="37"/>
        <v>0.33687283510990806</v>
      </c>
      <c r="S53" s="142">
        <f t="shared" si="37"/>
        <v>0.2062783056743456</v>
      </c>
      <c r="T53" s="142">
        <f t="shared" si="37"/>
        <v>0.60100269802053674</v>
      </c>
      <c r="U53" s="142">
        <f t="shared" si="37"/>
        <v>0.45987855974732739</v>
      </c>
      <c r="V53" s="142">
        <f t="shared" si="37"/>
        <v>0.51060172990985586</v>
      </c>
    </row>
    <row r="54" spans="1:22" s="3" customFormat="1" x14ac:dyDescent="0.35">
      <c r="A54" s="61" t="s">
        <v>2</v>
      </c>
      <c r="B54" s="142">
        <f t="shared" ref="B54:V54" si="38">B48</f>
        <v>1.9712594214738061E-2</v>
      </c>
      <c r="C54" s="142">
        <f t="shared" si="38"/>
        <v>3.4338849767255007E-2</v>
      </c>
      <c r="D54" s="142">
        <f t="shared" si="38"/>
        <v>5.2924635219549925E-2</v>
      </c>
      <c r="E54" s="142">
        <f t="shared" si="38"/>
        <v>0.11131406608566702</v>
      </c>
      <c r="F54" s="142">
        <f t="shared" si="38"/>
        <v>0.11578037084141615</v>
      </c>
      <c r="G54" s="142">
        <f t="shared" si="38"/>
        <v>0.14224170561506297</v>
      </c>
      <c r="H54" s="142">
        <f t="shared" si="38"/>
        <v>0.17581371643084695</v>
      </c>
      <c r="I54" s="142">
        <f t="shared" si="38"/>
        <v>2.5212476056239851E-2</v>
      </c>
      <c r="J54" s="142">
        <f t="shared" si="38"/>
        <v>1.3281831608276005E-2</v>
      </c>
      <c r="K54" s="142">
        <f t="shared" si="38"/>
        <v>2.7472967136867726E-2</v>
      </c>
      <c r="L54" s="142">
        <f t="shared" si="38"/>
        <v>3.6013604856398762E-2</v>
      </c>
      <c r="M54" s="142">
        <f t="shared" si="38"/>
        <v>2.6409700258135268E-2</v>
      </c>
      <c r="N54" s="142"/>
      <c r="O54" s="142">
        <f t="shared" si="38"/>
        <v>0.11803593582296638</v>
      </c>
      <c r="P54" s="142">
        <f t="shared" si="38"/>
        <v>9.7991459633174599E-2</v>
      </c>
      <c r="Q54" s="142">
        <f t="shared" si="38"/>
        <v>2.7375559484098016E-2</v>
      </c>
      <c r="R54" s="142">
        <f t="shared" si="38"/>
        <v>8.8444307077848228E-2</v>
      </c>
      <c r="S54" s="142">
        <f t="shared" si="38"/>
        <v>5.4187037782519099E-2</v>
      </c>
      <c r="T54" s="142">
        <f t="shared" si="38"/>
        <v>0.13871943449631227</v>
      </c>
      <c r="U54" s="142">
        <f t="shared" si="38"/>
        <v>0.19650527614332866</v>
      </c>
      <c r="V54" s="142">
        <f t="shared" si="38"/>
        <v>6.9275542698937181E-2</v>
      </c>
    </row>
    <row r="55" spans="1:22" s="3" customFormat="1" x14ac:dyDescent="0.35">
      <c r="A55" s="61" t="s">
        <v>79</v>
      </c>
      <c r="B55" s="142">
        <f>(B53*100/$B53)-100</f>
        <v>0</v>
      </c>
      <c r="C55" s="142">
        <f t="shared" ref="C55:M55" si="39">(C53*100/$B53)-100</f>
        <v>13.488983564335442</v>
      </c>
      <c r="D55" s="142">
        <f t="shared" si="39"/>
        <v>46.321632144230108</v>
      </c>
      <c r="E55" s="142">
        <f t="shared" si="39"/>
        <v>399.07581827828756</v>
      </c>
      <c r="F55" s="142">
        <f t="shared" si="39"/>
        <v>754.02186705997349</v>
      </c>
      <c r="G55" s="142">
        <f t="shared" si="39"/>
        <v>1220.4657393133602</v>
      </c>
      <c r="H55" s="142">
        <f t="shared" si="39"/>
        <v>1407.8160153379145</v>
      </c>
      <c r="I55" s="142">
        <f t="shared" si="39"/>
        <v>-3.266754913564526</v>
      </c>
      <c r="J55" s="142">
        <f t="shared" si="39"/>
        <v>-24.978761305550847</v>
      </c>
      <c r="K55" s="142">
        <f t="shared" si="39"/>
        <v>-12.598461321845704</v>
      </c>
      <c r="L55" s="142">
        <f t="shared" si="39"/>
        <v>67.964085908211956</v>
      </c>
      <c r="M55" s="142">
        <f t="shared" si="39"/>
        <v>38.819657688319523</v>
      </c>
      <c r="N55" s="142"/>
      <c r="O55" s="142">
        <f>(O53*100/$O53)-100</f>
        <v>0</v>
      </c>
      <c r="P55" s="142">
        <f t="shared" ref="P55:V55" si="40">(P53*100/$O53)-100</f>
        <v>66.035950066379343</v>
      </c>
      <c r="Q55" s="142">
        <f t="shared" si="40"/>
        <v>-86.820384456185849</v>
      </c>
      <c r="R55" s="142">
        <f t="shared" si="40"/>
        <v>-66.31271648900919</v>
      </c>
      <c r="S55" s="142">
        <f t="shared" si="40"/>
        <v>-79.372169432565443</v>
      </c>
      <c r="T55" s="142">
        <f t="shared" si="40"/>
        <v>-39.899730197946326</v>
      </c>
      <c r="U55" s="142">
        <f t="shared" si="40"/>
        <v>-54.012144025267261</v>
      </c>
      <c r="V55" s="142">
        <f t="shared" si="40"/>
        <v>-48.939827009014415</v>
      </c>
    </row>
    <row r="56" spans="1:22" s="3" customFormat="1" x14ac:dyDescent="0.35">
      <c r="A56" s="61" t="s">
        <v>81</v>
      </c>
      <c r="B56" s="142">
        <f>[1]!SWTEST(B28:B43)</f>
        <v>0.50347101134637029</v>
      </c>
      <c r="C56" s="142">
        <f>[1]!SWTEST(C28:C43)</f>
        <v>2.0734061679462457E-2</v>
      </c>
      <c r="D56" s="142">
        <f>[1]!SWTEST(D28:D43)</f>
        <v>0.11107551090046353</v>
      </c>
      <c r="E56" s="142">
        <f>[1]!SWTEST(E28:E43)</f>
        <v>0.21825333670034464</v>
      </c>
      <c r="F56" s="142">
        <f>[1]!SWTEST(F28:F43)</f>
        <v>0.80886335935273679</v>
      </c>
      <c r="G56" s="142">
        <f>[1]!SWTEST(G28:G43)</f>
        <v>0.88797217261681294</v>
      </c>
      <c r="H56" s="142">
        <f>[1]!SWTEST(H28:H43)</f>
        <v>0.98016532435708537</v>
      </c>
      <c r="I56" s="142">
        <f>[1]!SWTEST(I28:I43)</f>
        <v>0.67573818729566071</v>
      </c>
      <c r="J56" s="142">
        <f>[1]!SWTEST(J28:J43)</f>
        <v>0.35263843469865352</v>
      </c>
      <c r="K56" s="142">
        <f>[1]!SWTEST(K28:K43)</f>
        <v>0.78174688512060464</v>
      </c>
      <c r="L56" s="142">
        <f>[1]!SWTEST(L28:L43)</f>
        <v>0.89960697375159915</v>
      </c>
      <c r="M56" s="142">
        <f>[1]!SWTEST(M28:M43)</f>
        <v>0.44644727900804704</v>
      </c>
      <c r="N56" s="142"/>
      <c r="O56" s="142">
        <f>[1]!SWTEST(O28:O43)</f>
        <v>0.20397181910101336</v>
      </c>
      <c r="P56" s="142">
        <f>[1]!SWTEST(P28:P43)</f>
        <v>0.79268657619975058</v>
      </c>
      <c r="Q56" s="142">
        <f>[1]!SWTEST(Q28:Q43)</f>
        <v>0.55900911859756475</v>
      </c>
      <c r="R56" s="142">
        <f>[1]!SWTEST(R28:R43)</f>
        <v>0.7430846991782476</v>
      </c>
      <c r="S56" s="142">
        <f>[1]!SWTEST(S28:S43)</f>
        <v>0.80817571129752963</v>
      </c>
      <c r="T56" s="142">
        <f>[1]!SWTEST(T28:T43)</f>
        <v>0.601873478877469</v>
      </c>
      <c r="U56" s="142">
        <f>[1]!SWTEST(U28:U43)</f>
        <v>3.4813270117296957E-2</v>
      </c>
      <c r="V56" s="142">
        <f>[1]!SWTEST(V28:V43)</f>
        <v>0.35836809602837216</v>
      </c>
    </row>
    <row r="57" spans="1:22" s="3" customFormat="1" x14ac:dyDescent="0.35">
      <c r="A57" s="61" t="s">
        <v>85</v>
      </c>
      <c r="B57" s="142" t="str">
        <f>IF(B56&gt;0.05,"Oui","Non")</f>
        <v>Oui</v>
      </c>
      <c r="C57" s="142" t="str">
        <f t="shared" ref="C57:V57" si="41">IF(C56&gt;0.05,"Oui","Non")</f>
        <v>Non</v>
      </c>
      <c r="D57" s="142" t="str">
        <f t="shared" si="41"/>
        <v>Oui</v>
      </c>
      <c r="E57" s="142" t="str">
        <f t="shared" si="41"/>
        <v>Oui</v>
      </c>
      <c r="F57" s="142" t="str">
        <f t="shared" si="41"/>
        <v>Oui</v>
      </c>
      <c r="G57" s="142" t="str">
        <f t="shared" si="41"/>
        <v>Oui</v>
      </c>
      <c r="H57" s="142" t="str">
        <f t="shared" si="41"/>
        <v>Oui</v>
      </c>
      <c r="I57" s="142" t="str">
        <f t="shared" si="41"/>
        <v>Oui</v>
      </c>
      <c r="J57" s="142" t="str">
        <f t="shared" si="41"/>
        <v>Oui</v>
      </c>
      <c r="K57" s="142" t="str">
        <f t="shared" si="41"/>
        <v>Oui</v>
      </c>
      <c r="L57" s="142" t="str">
        <f t="shared" si="41"/>
        <v>Oui</v>
      </c>
      <c r="M57" s="142" t="str">
        <f t="shared" si="41"/>
        <v>Oui</v>
      </c>
      <c r="N57" s="142"/>
      <c r="O57" s="142" t="str">
        <f t="shared" si="41"/>
        <v>Oui</v>
      </c>
      <c r="P57" s="142" t="str">
        <f t="shared" si="41"/>
        <v>Oui</v>
      </c>
      <c r="Q57" s="142" t="str">
        <f t="shared" si="41"/>
        <v>Oui</v>
      </c>
      <c r="R57" s="142" t="str">
        <f t="shared" si="41"/>
        <v>Oui</v>
      </c>
      <c r="S57" s="142" t="str">
        <f t="shared" si="41"/>
        <v>Oui</v>
      </c>
      <c r="T57" s="142" t="str">
        <f t="shared" si="41"/>
        <v>Oui</v>
      </c>
      <c r="U57" s="142" t="str">
        <f t="shared" si="41"/>
        <v>Non</v>
      </c>
      <c r="V57" s="142" t="str">
        <f t="shared" si="41"/>
        <v>Oui</v>
      </c>
    </row>
    <row r="58" spans="1:22" s="3" customFormat="1" x14ac:dyDescent="0.35">
      <c r="A58" s="61"/>
      <c r="B58" s="142"/>
      <c r="C58" s="142"/>
      <c r="D58" s="142"/>
      <c r="E58" s="142"/>
      <c r="F58" s="142"/>
      <c r="G58" s="142"/>
      <c r="H58" s="142"/>
      <c r="I58" s="142"/>
      <c r="J58" s="142"/>
      <c r="K58" s="142"/>
      <c r="L58" s="142"/>
      <c r="M58" s="142"/>
      <c r="N58" s="149"/>
      <c r="O58" s="150"/>
      <c r="P58" s="142"/>
      <c r="Q58" s="142"/>
      <c r="R58" s="142"/>
      <c r="S58" s="142"/>
      <c r="T58" s="142"/>
      <c r="U58" s="142"/>
      <c r="V58" s="142"/>
    </row>
    <row r="59" spans="1:22" s="3" customFormat="1" x14ac:dyDescent="0.35">
      <c r="A59" s="61" t="s">
        <v>82</v>
      </c>
      <c r="B59" s="151"/>
      <c r="C59" s="151" t="str">
        <f t="shared" ref="C59:O59" si="42">IF($B57="Non",IF(C57="Non","MW",IF(C57="Oui","MW","")),IF($B57="Oui",IF(C57="Oui","T-Test Welch",IF(C57="Non","MW",""))))</f>
        <v>MW</v>
      </c>
      <c r="D59" s="151" t="str">
        <f t="shared" si="42"/>
        <v>T-Test Welch</v>
      </c>
      <c r="E59" s="151" t="str">
        <f t="shared" si="42"/>
        <v>T-Test Welch</v>
      </c>
      <c r="F59" s="151" t="str">
        <f t="shared" si="42"/>
        <v>T-Test Welch</v>
      </c>
      <c r="G59" s="151" t="str">
        <f t="shared" si="42"/>
        <v>T-Test Welch</v>
      </c>
      <c r="H59" s="151" t="str">
        <f t="shared" si="42"/>
        <v>T-Test Welch</v>
      </c>
      <c r="I59" s="151" t="str">
        <f t="shared" si="42"/>
        <v>T-Test Welch</v>
      </c>
      <c r="J59" s="151" t="str">
        <f t="shared" si="42"/>
        <v>T-Test Welch</v>
      </c>
      <c r="K59" s="151" t="str">
        <f t="shared" si="42"/>
        <v>T-Test Welch</v>
      </c>
      <c r="L59" s="151" t="str">
        <f t="shared" si="42"/>
        <v>T-Test Welch</v>
      </c>
      <c r="M59" s="151" t="str">
        <f t="shared" si="42"/>
        <v>T-Test Welch</v>
      </c>
      <c r="N59" s="151"/>
      <c r="O59" s="151" t="str">
        <f t="shared" si="42"/>
        <v>T-Test Welch</v>
      </c>
      <c r="P59" s="151" t="str">
        <f>IF($O57="Non",IF(P57="Non","MW",IF(P57="Oui","MW","")),IF($O57="Oui",IF(P57="Oui","T-Test Welch",IF(P57="Non","MW",""))))</f>
        <v>T-Test Welch</v>
      </c>
      <c r="Q59" s="151" t="str">
        <f t="shared" ref="Q59:V59" si="43">IF($O57="Non",IF(Q57="Non","MW",IF(Q57="Oui","MW","")),IF($O57="Oui",IF(Q57="Oui","T-Test Welch",IF(Q57="Non","MW",""))))</f>
        <v>T-Test Welch</v>
      </c>
      <c r="R59" s="151" t="str">
        <f t="shared" si="43"/>
        <v>T-Test Welch</v>
      </c>
      <c r="S59" s="151" t="str">
        <f t="shared" si="43"/>
        <v>T-Test Welch</v>
      </c>
      <c r="T59" s="151" t="str">
        <f t="shared" si="43"/>
        <v>T-Test Welch</v>
      </c>
      <c r="U59" s="151" t="str">
        <f t="shared" si="43"/>
        <v>MW</v>
      </c>
      <c r="V59" s="151" t="str">
        <f t="shared" si="43"/>
        <v>T-Test Welch</v>
      </c>
    </row>
    <row r="60" spans="1:22" s="3" customFormat="1" x14ac:dyDescent="0.35">
      <c r="A60" s="61" t="s">
        <v>83</v>
      </c>
      <c r="B60" s="152"/>
      <c r="C60" s="152">
        <f>IF(C59="MW",[1]!MTEST($B28:$B43,C28:C43,2), IF(C59="T-Test Welch",_xlfn.T.TEST($B28:$B43,C28:C43,2,3),""))</f>
        <v>0.75271380626305229</v>
      </c>
      <c r="D60" s="152">
        <f>IF(D59="MW",[1]!MTEST($B28:$B43,D28:D43,2), IF(D59="T-Test Welch",_xlfn.T.TEST($B28:$B43,D28:D43,2,3),""))</f>
        <v>0.34134320788296457</v>
      </c>
      <c r="E60" s="152">
        <f>IF(E59="MW",[1]!MTEST($B28:$B43,E28:E43,2), IF(E59="T-Test Welch",_xlfn.T.TEST($B28:$B43,E28:E43,2,3),""))</f>
        <v>4.2942500858704179E-3</v>
      </c>
      <c r="F60" s="152">
        <f>IF(F59="MW",[1]!MTEST($B28:$B43,F28:F43,2), IF(F59="T-Test Welch",_xlfn.T.TEST($B28:$B43,F28:F43,2,3),""))</f>
        <v>1.6807185188558009E-4</v>
      </c>
      <c r="G60" s="152">
        <f>IF(G59="MW",[1]!MTEST($B28:$B43,G28:G43,2), IF(G59="T-Test Welch",_xlfn.T.TEST($B28:$B43,G28:G43,2,3),""))</f>
        <v>3.5910418068735738E-5</v>
      </c>
      <c r="H60" s="152">
        <f>IF(H59="MW",[1]!MTEST($B28:$B43,H28:H43,2), IF(H59="T-Test Welch",_xlfn.T.TEST($B28:$B43,H28:H43,2,3),""))</f>
        <v>2.1426504532042231E-5</v>
      </c>
      <c r="I60" s="152">
        <f>IF(I59="MW",[1]!MTEST($B28:$B43,I28:I43,2), IF(I59="T-Test Welch",_xlfn.T.TEST($B28:$B43,I28:I43,2,3),""))</f>
        <v>0.90255520927808863</v>
      </c>
      <c r="J60" s="152">
        <f>IF(J59="MW",[1]!MTEST($B28:$B43,J28:J43,2), IF(J59="T-Test Welch",_xlfn.T.TEST($B28:$B43,J28:J43,2,3),""))</f>
        <v>0.2215499540380593</v>
      </c>
      <c r="K60" s="152">
        <f>IF(K59="MW",[1]!MTEST($B28:$B43,K28:K43,2), IF(K59="T-Test Welch",_xlfn.T.TEST($B28:$B43,K28:K43,2,3),""))</f>
        <v>0.65565912017921368</v>
      </c>
      <c r="L60" s="152">
        <f>IF(L59="MW",[1]!MTEST($B28:$B43,L28:L43,2), IF(L59="T-Test Welch",_xlfn.T.TEST($B28:$B43,L28:L43,2,3),""))</f>
        <v>7.1715609741224734E-2</v>
      </c>
      <c r="M60" s="152">
        <f>IF(M59="MW",[1]!MTEST($B28:$B43,M28:M43,2), IF(M59="T-Test Welch",_xlfn.T.TEST($B28:$B43,M28:M43,2,3),""))</f>
        <v>0.17555435960989133</v>
      </c>
      <c r="N60" s="152"/>
      <c r="O60" s="152">
        <f>IF(O59="MW",[1]!MTEST($B28:$B43,O28:O43,2), IF(O59="T-Test Welch",_xlfn.T.TEST($B28:$B43,O28:O43,2,3),""))</f>
        <v>1.8024410390441539E-6</v>
      </c>
      <c r="P60" s="152">
        <f>IF(P59="MW",[1]!MTEST($O28:$O43,P28:P43,2), IF(P59="T-Test Welch",_xlfn.T.TEST($O28:$O43,P28:P43,2,3),""))</f>
        <v>3.6056658515532582E-4</v>
      </c>
      <c r="Q60" s="152">
        <f>IF(Q59="MW",[1]!MTEST($O28:$O43,Q28:Q43,2), IF(Q59="T-Test Welch",_xlfn.T.TEST($O28:$O43,Q28:Q43,2,3),""))</f>
        <v>1.8451675059477156E-6</v>
      </c>
      <c r="R60" s="152">
        <f>IF(R59="MW",[1]!MTEST($O28:$O43,R28:R43,2), IF(R59="T-Test Welch",_xlfn.T.TEST($O28:$O43,R28:R43,2,3),""))</f>
        <v>2.1027036724850863E-4</v>
      </c>
      <c r="S60" s="152">
        <f>IF(S59="MW",[1]!MTEST($O28:$O43,S28:S43,2), IF(S59="T-Test Welch",_xlfn.T.TEST($O28:$O43,S28:S43,2,3),""))</f>
        <v>5.9438127291096243E-6</v>
      </c>
      <c r="T60" s="152">
        <f>IF(T59="MW",[1]!MTEST($O28:$O43,T28:T43,2), IF(T59="T-Test Welch",_xlfn.T.TEST($O28:$O43,T28:T43,2,3),""))</f>
        <v>4.2958877269978539E-2</v>
      </c>
      <c r="U60" s="152">
        <f>IF(U59="MW",[1]!MTEST($O28:$O43,U28:U43,2), IF(U59="T-Test Welch",_xlfn.T.TEST($O28:$O43,U28:U43,2,3),""))</f>
        <v>1.1117560716106922E-2</v>
      </c>
      <c r="V60" s="152">
        <f>IF(V59="MW",[1]!MTEST($O28:$O43,V28:V43,2), IF(V59="T-Test Welch",_xlfn.T.TEST($O28:$O43,V28:V43,2,3),""))</f>
        <v>1.7918714194143284E-3</v>
      </c>
    </row>
    <row r="61" spans="1:22" s="3" customFormat="1" ht="15" thickBot="1" x14ac:dyDescent="0.4">
      <c r="A61" s="62" t="s">
        <v>84</v>
      </c>
      <c r="B61" s="143"/>
      <c r="C61" s="143" t="str">
        <f t="shared" ref="C61:O61" si="44">IF(C60&gt;0.05,"NS",IF(C60&gt;0.01,"*",IF(C60&gt;0.001,"**","***")))</f>
        <v>NS</v>
      </c>
      <c r="D61" s="143" t="str">
        <f t="shared" si="44"/>
        <v>NS</v>
      </c>
      <c r="E61" s="143" t="str">
        <f t="shared" si="44"/>
        <v>**</v>
      </c>
      <c r="F61" s="143" t="str">
        <f t="shared" si="44"/>
        <v>***</v>
      </c>
      <c r="G61" s="143" t="str">
        <f t="shared" si="44"/>
        <v>***</v>
      </c>
      <c r="H61" s="143" t="str">
        <f t="shared" si="44"/>
        <v>***</v>
      </c>
      <c r="I61" s="143" t="str">
        <f t="shared" si="44"/>
        <v>NS</v>
      </c>
      <c r="J61" s="143" t="str">
        <f t="shared" si="44"/>
        <v>NS</v>
      </c>
      <c r="K61" s="143" t="str">
        <f t="shared" si="44"/>
        <v>NS</v>
      </c>
      <c r="L61" s="143" t="str">
        <f t="shared" si="44"/>
        <v>NS</v>
      </c>
      <c r="M61" s="143" t="str">
        <f t="shared" si="44"/>
        <v>NS</v>
      </c>
      <c r="N61" s="143"/>
      <c r="O61" s="143" t="str">
        <f t="shared" si="44"/>
        <v>***</v>
      </c>
      <c r="P61" s="143" t="str">
        <f>IF(P60&gt;0.05,"NS",IF(P60&gt;0.01,"*",IF(P60&gt;0.001,"**","***")))</f>
        <v>***</v>
      </c>
      <c r="Q61" s="143" t="str">
        <f t="shared" ref="Q61:V61" si="45">IF(Q60&gt;0.05,"NS",IF(Q60&gt;0.01,"*",IF(Q60&gt;0.001,"**","***")))</f>
        <v>***</v>
      </c>
      <c r="R61" s="143" t="str">
        <f t="shared" si="45"/>
        <v>***</v>
      </c>
      <c r="S61" s="143" t="str">
        <f t="shared" si="45"/>
        <v>***</v>
      </c>
      <c r="T61" s="143" t="str">
        <f t="shared" si="45"/>
        <v>*</v>
      </c>
      <c r="U61" s="143" t="str">
        <f t="shared" si="45"/>
        <v>*</v>
      </c>
      <c r="V61" s="143" t="str">
        <f t="shared" si="45"/>
        <v>**</v>
      </c>
    </row>
    <row r="63" spans="1:22" x14ac:dyDescent="0.35">
      <c r="A63" s="2" t="s">
        <v>39</v>
      </c>
    </row>
    <row r="64" spans="1:22" x14ac:dyDescent="0.35">
      <c r="A64" s="1" t="s">
        <v>23</v>
      </c>
      <c r="B64" s="1">
        <f>B46+(3*B47)</f>
        <v>0.28981999226864308</v>
      </c>
    </row>
    <row r="65" spans="1:22" x14ac:dyDescent="0.35">
      <c r="A65" s="1" t="s">
        <v>24</v>
      </c>
      <c r="B65" s="1">
        <f>B46+(10*B47)</f>
        <v>0.68010944550120278</v>
      </c>
    </row>
    <row r="66" spans="1:22" ht="15" thickBot="1" x14ac:dyDescent="0.4"/>
    <row r="67" spans="1:22" ht="26.5" thickBot="1" x14ac:dyDescent="0.65">
      <c r="A67" s="218" t="s">
        <v>45</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112"/>
  <sheetViews>
    <sheetView showGridLines="0" tabSelected="1" topLeftCell="E72" zoomScale="70" zoomScaleNormal="70" workbookViewId="0">
      <selection activeCell="B94" sqref="B94:V94"/>
    </sheetView>
  </sheetViews>
  <sheetFormatPr baseColWidth="10" defaultRowHeight="14.5" x14ac:dyDescent="0.35"/>
  <cols>
    <col min="1" max="1" width="42.81640625" customWidth="1"/>
    <col min="2" max="2" width="14" bestFit="1" customWidth="1"/>
    <col min="3" max="13" width="22.7265625" bestFit="1" customWidth="1"/>
    <col min="14" max="14" width="8.453125" customWidth="1"/>
    <col min="15" max="15" width="22.7265625" customWidth="1"/>
    <col min="18" max="22" width="29.1796875" customWidth="1"/>
  </cols>
  <sheetData>
    <row r="1" spans="1:22" s="1" customFormat="1" ht="21.5" thickBot="1" x14ac:dyDescent="0.4">
      <c r="A1" s="37" t="s">
        <v>8</v>
      </c>
      <c r="B1" s="55" t="e">
        <f>'Page de garde'!#REF!</f>
        <v>#REF!</v>
      </c>
      <c r="C1" s="38"/>
      <c r="D1" s="38"/>
      <c r="E1" s="38"/>
      <c r="F1" s="38"/>
      <c r="G1" s="38"/>
      <c r="H1" s="56"/>
      <c r="I1" s="55"/>
      <c r="J1" s="57"/>
      <c r="K1" s="57"/>
      <c r="L1" s="57"/>
      <c r="M1" s="57"/>
      <c r="N1" s="57"/>
      <c r="O1" s="57"/>
      <c r="P1" s="57"/>
      <c r="Q1" s="57"/>
      <c r="R1" s="57"/>
      <c r="S1" s="57"/>
      <c r="T1" s="57"/>
      <c r="U1" s="57"/>
      <c r="V1" s="57"/>
    </row>
    <row r="2" spans="1:22" ht="15" thickBot="1" x14ac:dyDescent="0.4">
      <c r="A2" s="1"/>
      <c r="B2" s="1"/>
      <c r="C2" s="1"/>
      <c r="D2" s="1"/>
      <c r="E2" s="1"/>
      <c r="F2" s="1"/>
      <c r="G2" s="1"/>
      <c r="H2" s="1"/>
      <c r="I2" s="1"/>
      <c r="J2" s="1"/>
      <c r="K2" s="1"/>
      <c r="L2" s="1"/>
      <c r="M2" s="1"/>
    </row>
    <row r="3" spans="1:22" s="33" customFormat="1" ht="15" thickBot="1" x14ac:dyDescent="0.4">
      <c r="B3" s="224" t="s">
        <v>6</v>
      </c>
      <c r="C3" s="225"/>
      <c r="D3" s="225"/>
      <c r="E3" s="225"/>
      <c r="F3" s="225"/>
      <c r="G3" s="225"/>
      <c r="H3" s="225"/>
      <c r="I3" s="225"/>
      <c r="J3" s="225"/>
      <c r="K3" s="225"/>
      <c r="L3" s="225"/>
      <c r="M3" s="225"/>
      <c r="N3" s="72"/>
      <c r="O3" s="224" t="s">
        <v>3</v>
      </c>
      <c r="P3" s="225"/>
      <c r="Q3" s="225"/>
      <c r="R3" s="225"/>
      <c r="S3" s="225"/>
      <c r="T3" s="225"/>
      <c r="U3" s="225"/>
      <c r="V3" s="225"/>
    </row>
    <row r="4" spans="1:22" x14ac:dyDescent="0.35">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Cefuroxime-0.001mg/L</v>
      </c>
      <c r="J4" s="35" t="str">
        <f>'R1'!J4</f>
        <v>Cefuroxime-0.01mg/L</v>
      </c>
      <c r="K4" s="35" t="str">
        <f>'R1'!K4</f>
        <v>Cefuroxime-0.1mg/L</v>
      </c>
      <c r="L4" s="35" t="str">
        <f>'R1'!L4</f>
        <v>Cefuroxime-1mg/L</v>
      </c>
      <c r="M4" s="35" t="str">
        <f>'R1'!M4</f>
        <v>Cefuroxime-10mg/L</v>
      </c>
      <c r="O4" s="35" t="str">
        <f>'R1'!O4</f>
        <v>Testo -30µg/L</v>
      </c>
      <c r="P4" s="35" t="str">
        <f>'R1'!P4</f>
        <v>Testo 30µg/L + EE2 -64ng/L</v>
      </c>
      <c r="Q4" s="35" t="str">
        <f>'R1'!Q4</f>
        <v>Testo 30µg/L + FAD-10mg/L</v>
      </c>
      <c r="R4" s="35" t="str">
        <f>'R1'!R4</f>
        <v>Cefuroxime-0,001mg/L + Testostérone</v>
      </c>
      <c r="S4" s="35" t="str">
        <f>'R1'!S4</f>
        <v>Cefuroxime-0,01mg/L + Testostérone</v>
      </c>
      <c r="T4" s="35" t="str">
        <f>'R1'!T4</f>
        <v>Cefuroxime-0,1mg/L + Testostérone</v>
      </c>
      <c r="U4" s="35" t="str">
        <f>'R1'!U4</f>
        <v>Cefuroxime-1mg/L + Testostérone</v>
      </c>
      <c r="V4" s="35" t="str">
        <f>'R1'!V4</f>
        <v>Cefuroxime-10mg/L + Testostérone</v>
      </c>
    </row>
    <row r="5" spans="1:22" s="1" customFormat="1" x14ac:dyDescent="0.35">
      <c r="A5" s="34"/>
      <c r="B5" s="35"/>
      <c r="C5" s="196" t="s">
        <v>165</v>
      </c>
      <c r="D5" s="35"/>
      <c r="E5" s="35"/>
      <c r="F5" s="35"/>
      <c r="G5" s="35"/>
      <c r="H5" s="35"/>
      <c r="I5" s="35"/>
      <c r="J5" s="35"/>
      <c r="K5" s="35"/>
      <c r="L5" s="35"/>
      <c r="M5" s="35"/>
      <c r="O5" s="35"/>
      <c r="P5" s="35"/>
      <c r="Q5" s="35"/>
      <c r="R5" s="35"/>
      <c r="S5" s="35"/>
      <c r="T5" s="35"/>
      <c r="U5" s="35"/>
      <c r="V5" s="35"/>
    </row>
    <row r="6" spans="1:22" s="1" customFormat="1" x14ac:dyDescent="0.35">
      <c r="A6" s="71" t="s">
        <v>4</v>
      </c>
      <c r="B6" s="53">
        <f>'R1'!B28</f>
        <v>0.113570208691211</v>
      </c>
      <c r="C6" s="53">
        <f>'R1'!C28</f>
        <v>2.6760650635358877E-2</v>
      </c>
      <c r="D6" s="53">
        <f>'R1'!D28</f>
        <v>3.1013294726040707E-2</v>
      </c>
      <c r="E6" s="53">
        <f>'R1'!E28</f>
        <v>0.11518925967766508</v>
      </c>
      <c r="F6" s="53" t="str">
        <f>'R1'!F28</f>
        <v/>
      </c>
      <c r="G6" s="53">
        <f>'R1'!G28</f>
        <v>0.31979040281530585</v>
      </c>
      <c r="H6" s="53">
        <f>'R1'!H28</f>
        <v>1.8190313793952777</v>
      </c>
      <c r="I6" s="53">
        <f>'R1'!I28</f>
        <v>1.5576999688254715E-3</v>
      </c>
      <c r="J6" s="53" t="str">
        <f>'R1'!J28</f>
        <v/>
      </c>
      <c r="K6" s="53">
        <f>'R1'!K28</f>
        <v>9.605247970785484E-2</v>
      </c>
      <c r="L6" s="53">
        <f>'R1'!L28</f>
        <v>0.19876545329092782</v>
      </c>
      <c r="M6" s="53">
        <f>'R1'!M28</f>
        <v>0.16322284270358664</v>
      </c>
      <c r="N6"/>
      <c r="O6" s="53">
        <f>'R1'!O28</f>
        <v>4.2813061491106405E-2</v>
      </c>
      <c r="P6" s="53">
        <f>'R1'!P28</f>
        <v>2.5290926604553752</v>
      </c>
      <c r="Q6" s="53">
        <f>'R1'!Q28</f>
        <v>1.5373285884545787E-4</v>
      </c>
      <c r="R6" s="53">
        <f>'R1'!R28</f>
        <v>0.28984281553448199</v>
      </c>
      <c r="S6" s="53" t="str">
        <f>'R1'!S28</f>
        <v/>
      </c>
      <c r="T6" s="53">
        <f>'R1'!T28</f>
        <v>0.24249025249188966</v>
      </c>
      <c r="U6" s="53">
        <f>'R1'!U28</f>
        <v>0.37101637064655907</v>
      </c>
      <c r="V6" s="53">
        <f>'R1'!V28</f>
        <v>4.5497583046261371E-2</v>
      </c>
    </row>
    <row r="7" spans="1:22" s="1" customFormat="1" x14ac:dyDescent="0.35">
      <c r="A7" s="228" t="s">
        <v>34</v>
      </c>
      <c r="B7" s="53">
        <f>'R1'!B29</f>
        <v>3.545567690599096E-3</v>
      </c>
      <c r="C7" s="53">
        <f>'R1'!C29</f>
        <v>0.24452431113427167</v>
      </c>
      <c r="D7" s="53">
        <f>'R1'!D29</f>
        <v>3.0254816121998859E-2</v>
      </c>
      <c r="E7" s="53">
        <f>'R1'!E29</f>
        <v>0.82467137765628795</v>
      </c>
      <c r="F7" s="53">
        <f>'R1'!F29</f>
        <v>6.7129383358474098E-2</v>
      </c>
      <c r="G7" s="53">
        <f>'R1'!G29</f>
        <v>0.63505646417614603</v>
      </c>
      <c r="H7" s="53">
        <f>'R1'!H29</f>
        <v>2.0800385060147608</v>
      </c>
      <c r="I7" s="53">
        <f>'R1'!I29</f>
        <v>2.4055520823317078E-2</v>
      </c>
      <c r="J7" s="53">
        <f>'R1'!J29</f>
        <v>0.11223777828904505</v>
      </c>
      <c r="K7" s="53">
        <f>'R1'!K29</f>
        <v>0.18157058699879872</v>
      </c>
      <c r="L7" s="53">
        <f>'R1'!L29</f>
        <v>3.6839035759084144E-3</v>
      </c>
      <c r="M7" s="53">
        <f>'R1'!M29</f>
        <v>1.1784369791529558E-2</v>
      </c>
      <c r="N7"/>
      <c r="O7" s="53">
        <f>'R1'!O29</f>
        <v>2.863552825902883E-2</v>
      </c>
      <c r="P7" s="53">
        <f>'R1'!P29</f>
        <v>2.7897103620826518</v>
      </c>
      <c r="Q7" s="53">
        <f>'R1'!Q29</f>
        <v>7.8739648910787316E-2</v>
      </c>
      <c r="R7" s="53">
        <f>'R1'!R29</f>
        <v>0.37482818754107544</v>
      </c>
      <c r="S7" s="53">
        <f>'R1'!S29</f>
        <v>0.79429338574599995</v>
      </c>
      <c r="T7" s="53">
        <f>'R1'!T29</f>
        <v>0.16858762203660965</v>
      </c>
      <c r="U7" s="53">
        <f>'R1'!U29</f>
        <v>1.2939021999716918</v>
      </c>
      <c r="V7" s="53">
        <f>'R1'!V29</f>
        <v>3.0726437265236623E-2</v>
      </c>
    </row>
    <row r="8" spans="1:22" s="1" customFormat="1" x14ac:dyDescent="0.35">
      <c r="A8" s="229"/>
      <c r="B8" s="53">
        <f>'R1'!B30</f>
        <v>0.17770736790032327</v>
      </c>
      <c r="C8" s="53">
        <f>'R1'!C30</f>
        <v>0.27831995741655086</v>
      </c>
      <c r="D8" s="53">
        <f>'R1'!D30</f>
        <v>6.6663210375102977E-2</v>
      </c>
      <c r="E8" s="53">
        <f>'R1'!E30</f>
        <v>0.48604644930551205</v>
      </c>
      <c r="F8" s="53">
        <f>'R1'!F30</f>
        <v>1.6107771266288007</v>
      </c>
      <c r="G8" s="53">
        <f>'R1'!G30</f>
        <v>2.0605944972037755</v>
      </c>
      <c r="H8" s="53">
        <f>'R1'!H30</f>
        <v>1.8059972491056451</v>
      </c>
      <c r="I8" s="53">
        <f>'R1'!I30</f>
        <v>0.15739733854705917</v>
      </c>
      <c r="J8" s="53">
        <f>'R1'!J30</f>
        <v>3.1223404195680027E-2</v>
      </c>
      <c r="K8" s="53">
        <f>'R1'!K30</f>
        <v>0.11098256963107574</v>
      </c>
      <c r="L8" s="53" t="str">
        <f>'R1'!L30</f>
        <v/>
      </c>
      <c r="M8" s="53">
        <f>'R1'!M30</f>
        <v>0.13463326848865032</v>
      </c>
      <c r="N8"/>
      <c r="O8" s="53">
        <f>'R1'!O30</f>
        <v>1.2668646406891984</v>
      </c>
      <c r="P8" s="53">
        <f>'R1'!P30</f>
        <v>2.1137367960489883</v>
      </c>
      <c r="Q8" s="53">
        <f>'R1'!Q30</f>
        <v>0.13438217938175326</v>
      </c>
      <c r="R8" s="53">
        <f>'R1'!R30</f>
        <v>0.2216216683140376</v>
      </c>
      <c r="S8" s="53">
        <f>'R1'!S30</f>
        <v>0.28631264481741903</v>
      </c>
      <c r="T8" s="53">
        <f>'R1'!T30</f>
        <v>1.3290397517167747</v>
      </c>
      <c r="U8" s="53">
        <f>'R1'!U30</f>
        <v>0.30507018548520837</v>
      </c>
      <c r="V8" s="53">
        <f>'R1'!V30</f>
        <v>4.8838252550571837E-2</v>
      </c>
    </row>
    <row r="9" spans="1:22" s="1" customFormat="1" x14ac:dyDescent="0.35">
      <c r="A9" s="229"/>
      <c r="B9" s="53">
        <f>'R1'!B31</f>
        <v>0.13727207287622872</v>
      </c>
      <c r="C9" s="53">
        <f>'R1'!C31</f>
        <v>5.7579469741812342E-2</v>
      </c>
      <c r="D9" s="53">
        <f>'R1'!D31</f>
        <v>3.2873012252690459E-2</v>
      </c>
      <c r="E9" s="53">
        <f>'R1'!E31</f>
        <v>0.23000922886697875</v>
      </c>
      <c r="F9" s="53">
        <f>'R1'!F31</f>
        <v>1.6946558115529193</v>
      </c>
      <c r="G9" s="53">
        <f>'R1'!G31</f>
        <v>1.8007402485873751</v>
      </c>
      <c r="H9" s="53">
        <f>'R1'!H31</f>
        <v>2.6261239139270969</v>
      </c>
      <c r="I9" s="53">
        <f>'R1'!I31</f>
        <v>4.4226977414755925E-2</v>
      </c>
      <c r="J9" s="53">
        <f>'R1'!J31</f>
        <v>9.8527128669886416E-2</v>
      </c>
      <c r="K9" s="53">
        <f>'R1'!K31</f>
        <v>7.1561342971722966E-2</v>
      </c>
      <c r="L9" s="53">
        <f>'R1'!L31</f>
        <v>0.18307191035683035</v>
      </c>
      <c r="M9" s="53">
        <f>'R1'!M31</f>
        <v>9.3316319072224818E-2</v>
      </c>
      <c r="N9"/>
      <c r="O9" s="53">
        <f>'R1'!O31</f>
        <v>1.6774507595706047</v>
      </c>
      <c r="P9" s="53">
        <f>'R1'!P31</f>
        <v>1.8727220473748929</v>
      </c>
      <c r="Q9" s="53">
        <f>'R1'!Q31</f>
        <v>0.17522253324810622</v>
      </c>
      <c r="R9" s="53">
        <f>'R1'!R31</f>
        <v>0.28852601898236813</v>
      </c>
      <c r="S9" s="53">
        <f>'R1'!S31</f>
        <v>0.49564326447233004</v>
      </c>
      <c r="T9" s="53">
        <f>'R1'!T31</f>
        <v>1.9498992587865358</v>
      </c>
      <c r="U9" s="53">
        <f>'R1'!U31</f>
        <v>0.1400128526039196</v>
      </c>
      <c r="V9" s="53">
        <f>'R1'!V31</f>
        <v>0.2953816991067213</v>
      </c>
    </row>
    <row r="10" spans="1:22" s="1" customFormat="1" x14ac:dyDescent="0.35">
      <c r="A10" s="229"/>
      <c r="B10" s="53">
        <f>'R1'!B32</f>
        <v>0.3158298274687788</v>
      </c>
      <c r="C10" s="53">
        <f>'R1'!C32</f>
        <v>0.16201903624957645</v>
      </c>
      <c r="D10" s="53">
        <f>'R1'!D32</f>
        <v>3.1267700104160926E-4</v>
      </c>
      <c r="E10" s="53">
        <f>'R1'!E32</f>
        <v>0.16284905156143237</v>
      </c>
      <c r="F10" s="53">
        <f>'R1'!F32</f>
        <v>1.160770254841073</v>
      </c>
      <c r="G10" s="53">
        <f>'R1'!G32</f>
        <v>2.1805539761594526</v>
      </c>
      <c r="H10" s="53">
        <f>'R1'!H32</f>
        <v>3.3430250043849798</v>
      </c>
      <c r="I10" s="53">
        <f>'R1'!I32</f>
        <v>0.18959951650660581</v>
      </c>
      <c r="J10" s="53">
        <f>'R1'!J32</f>
        <v>0.21855814433337764</v>
      </c>
      <c r="K10" s="53">
        <f>'R1'!K32</f>
        <v>0</v>
      </c>
      <c r="L10" s="53">
        <f>'R1'!L32</f>
        <v>6.005056555610482E-3</v>
      </c>
      <c r="M10" s="53">
        <f>'R1'!M32</f>
        <v>7.532223141531208E-2</v>
      </c>
      <c r="N10"/>
      <c r="O10" s="53">
        <f>'R1'!O32</f>
        <v>0.63821805503440543</v>
      </c>
      <c r="P10" s="53">
        <f>'R1'!P32</f>
        <v>3.0475769798537944</v>
      </c>
      <c r="Q10" s="53">
        <f>'R1'!Q32</f>
        <v>7.4769124750590749E-2</v>
      </c>
      <c r="R10" s="53">
        <f>'R1'!R32</f>
        <v>2.7160261317750692E-2</v>
      </c>
      <c r="S10" s="53">
        <f>'R1'!S32</f>
        <v>0.3825648114282118</v>
      </c>
      <c r="T10" s="53">
        <f>'R1'!T32</f>
        <v>4.4688175991292302E-2</v>
      </c>
      <c r="U10" s="53">
        <f>'R1'!U32</f>
        <v>1.3421665007241397</v>
      </c>
      <c r="V10" s="53">
        <f>'R1'!V32</f>
        <v>1.0041565038087454</v>
      </c>
    </row>
    <row r="11" spans="1:22" s="1" customFormat="1" x14ac:dyDescent="0.35">
      <c r="A11" s="229"/>
      <c r="B11" s="53">
        <f>'R1'!B33</f>
        <v>5.8434830840873898E-2</v>
      </c>
      <c r="C11" s="53">
        <f>'R1'!C33</f>
        <v>7.6413284647734545E-2</v>
      </c>
      <c r="D11" s="53">
        <f>'R1'!D33</f>
        <v>5.5888408294512304E-2</v>
      </c>
      <c r="E11" s="53">
        <f>'R1'!E33</f>
        <v>0.17833793318575716</v>
      </c>
      <c r="F11" s="53">
        <f>'R1'!F33</f>
        <v>1.6796283653816471</v>
      </c>
      <c r="G11" s="53">
        <f>'R1'!G33</f>
        <v>2.2636791568863646</v>
      </c>
      <c r="H11" s="53">
        <f>'R1'!H33</f>
        <v>1.9311568782157666</v>
      </c>
      <c r="I11" s="53">
        <f>'R1'!I33</f>
        <v>0.32016443083397605</v>
      </c>
      <c r="J11" s="53">
        <f>'R1'!J33</f>
        <v>2.4388806081245521E-3</v>
      </c>
      <c r="K11" s="53">
        <f>'R1'!K33</f>
        <v>2.536710609208025E-2</v>
      </c>
      <c r="L11" s="53">
        <f>'R1'!L33</f>
        <v>0.13094415362939119</v>
      </c>
      <c r="M11" s="53">
        <f>'R1'!M33</f>
        <v>3.3687867467526167E-2</v>
      </c>
      <c r="N11"/>
      <c r="O11" s="53">
        <f>'R1'!O33</f>
        <v>0.55804340819004983</v>
      </c>
      <c r="P11" s="53">
        <f>'R1'!P33</f>
        <v>2.3595473466648178</v>
      </c>
      <c r="Q11" s="53">
        <f>'R1'!Q33</f>
        <v>0.20363824010034215</v>
      </c>
      <c r="R11" s="53">
        <f>'R1'!R33</f>
        <v>1.5822335064579567</v>
      </c>
      <c r="S11" s="53">
        <f>'R1'!S33</f>
        <v>0.53488197777615054</v>
      </c>
      <c r="T11" s="53">
        <f>'R1'!T33</f>
        <v>0.31384172287048923</v>
      </c>
      <c r="U11" s="53">
        <f>'R1'!U33</f>
        <v>1.5130186622531416</v>
      </c>
      <c r="V11" s="53">
        <f>'R1'!V33</f>
        <v>0.78606465089699695</v>
      </c>
    </row>
    <row r="12" spans="1:22" s="1" customFormat="1" x14ac:dyDescent="0.35">
      <c r="A12" s="229"/>
      <c r="B12" s="53">
        <f>'R1'!B34</f>
        <v>6.3696805765978665E-2</v>
      </c>
      <c r="C12" s="53">
        <f>'R1'!C34</f>
        <v>0.14039221034419849</v>
      </c>
      <c r="D12" s="53">
        <f>'R1'!D34</f>
        <v>0.16305892415455575</v>
      </c>
      <c r="E12" s="53">
        <f>'R1'!E34</f>
        <v>0.16724500594425826</v>
      </c>
      <c r="F12" s="53">
        <f>'R1'!F34</f>
        <v>1.1559487517973599</v>
      </c>
      <c r="G12" s="53">
        <f>'R1'!G34</f>
        <v>2.088159580487269</v>
      </c>
      <c r="H12" s="53">
        <f>'R1'!H34</f>
        <v>3.0584029472618286</v>
      </c>
      <c r="I12" s="53">
        <f>'R1'!I34</f>
        <v>6.0868500165647751E-2</v>
      </c>
      <c r="J12" s="53">
        <f>'R1'!J34</f>
        <v>4.8515626735860719E-2</v>
      </c>
      <c r="K12" s="53">
        <f>'R1'!K34</f>
        <v>5.7538016351522739E-2</v>
      </c>
      <c r="L12" s="53">
        <f>'R1'!L34</f>
        <v>0.18132210353357703</v>
      </c>
      <c r="M12" s="53">
        <f>'R1'!M34</f>
        <v>0.19215612474315286</v>
      </c>
      <c r="N12"/>
      <c r="O12" s="53">
        <f>'R1'!O34</f>
        <v>1.6022671009171181</v>
      </c>
      <c r="P12" s="53">
        <f>'R1'!P34</f>
        <v>3.1512121137134246</v>
      </c>
      <c r="Q12" s="53">
        <f>'R1'!Q34</f>
        <v>0.21231739564440624</v>
      </c>
      <c r="R12" s="53">
        <f>'R1'!R34</f>
        <v>0.22170907574841969</v>
      </c>
      <c r="S12" s="53">
        <f>'R1'!S34</f>
        <v>1.1153851881398835</v>
      </c>
      <c r="T12" s="53">
        <f>'R1'!T34</f>
        <v>0.11365169421269457</v>
      </c>
      <c r="U12" s="53" t="str">
        <f>'R1'!U34</f>
        <v/>
      </c>
      <c r="V12" s="53">
        <f>'R1'!V34</f>
        <v>1.2330796538501365</v>
      </c>
    </row>
    <row r="13" spans="1:22" s="1" customFormat="1" x14ac:dyDescent="0.35">
      <c r="A13" s="229"/>
      <c r="B13" s="53">
        <f>'R1'!B35</f>
        <v>1.288584559065341E-2</v>
      </c>
      <c r="C13" s="53">
        <f>'R1'!C35</f>
        <v>8.0943074262066886E-2</v>
      </c>
      <c r="D13" s="53">
        <f>'R1'!D35</f>
        <v>0.16018466451013236</v>
      </c>
      <c r="E13" s="53">
        <f>'R1'!E35</f>
        <v>0.24840837536614993</v>
      </c>
      <c r="F13" s="53">
        <f>'R1'!F35</f>
        <v>2.0735061623346667</v>
      </c>
      <c r="G13" s="53">
        <f>'R1'!G35</f>
        <v>1.4873388791600197</v>
      </c>
      <c r="H13" s="53">
        <f>'R1'!H35</f>
        <v>2.7784490156383193</v>
      </c>
      <c r="I13" s="53">
        <f>'R1'!I35</f>
        <v>7.6188251957590963E-2</v>
      </c>
      <c r="J13" s="53">
        <f>'R1'!J35</f>
        <v>0.1583249469834826</v>
      </c>
      <c r="K13" s="53">
        <f>'R1'!K35</f>
        <v>7.100302502365094E-2</v>
      </c>
      <c r="L13" s="53">
        <f>'R1'!L35</f>
        <v>0</v>
      </c>
      <c r="M13" s="53">
        <f>'R1'!M35</f>
        <v>0.12946343852824643</v>
      </c>
      <c r="N13"/>
      <c r="O13" s="53">
        <f>'R1'!O35</f>
        <v>1.272505854916324</v>
      </c>
      <c r="P13" s="53">
        <f>'R1'!P35</f>
        <v>1.6320145275419722</v>
      </c>
      <c r="Q13" s="53">
        <f>'R1'!Q35</f>
        <v>0.16479570276943234</v>
      </c>
      <c r="R13" s="53">
        <f>'R1'!R35</f>
        <v>1.1066776074139066</v>
      </c>
      <c r="S13" s="53">
        <f>'R1'!S35</f>
        <v>1.3576091914278561</v>
      </c>
      <c r="T13" s="53">
        <f>'R1'!T35</f>
        <v>1.9325606084492308</v>
      </c>
      <c r="U13" s="53">
        <f>'R1'!U35</f>
        <v>0.71798219487663584</v>
      </c>
      <c r="V13" s="53">
        <f>'R1'!V35</f>
        <v>0.27969810498629333</v>
      </c>
    </row>
    <row r="14" spans="1:22" s="1" customFormat="1" x14ac:dyDescent="0.35">
      <c r="A14" s="229"/>
      <c r="B14" s="53" t="str">
        <f>'R1'!B36</f>
        <v/>
      </c>
      <c r="C14" s="53" t="str">
        <f>'R1'!C36</f>
        <v/>
      </c>
      <c r="D14" s="53" t="str">
        <f>'R1'!D36</f>
        <v/>
      </c>
      <c r="E14" s="53" t="str">
        <f>'R1'!E36</f>
        <v/>
      </c>
      <c r="F14" s="53" t="str">
        <f>'R1'!F36</f>
        <v/>
      </c>
      <c r="G14" s="53" t="str">
        <f>'R1'!G36</f>
        <v/>
      </c>
      <c r="H14" s="53" t="str">
        <f>'R1'!H36</f>
        <v/>
      </c>
      <c r="I14" s="53" t="str">
        <f>'R1'!I36</f>
        <v/>
      </c>
      <c r="J14" s="53" t="str">
        <f>'R1'!J36</f>
        <v/>
      </c>
      <c r="K14" s="53" t="str">
        <f>'R1'!K36</f>
        <v/>
      </c>
      <c r="L14" s="53" t="str">
        <f>'R1'!L36</f>
        <v/>
      </c>
      <c r="M14" s="53" t="str">
        <f>'R1'!M36</f>
        <v/>
      </c>
      <c r="N14"/>
      <c r="O14" s="53" t="str">
        <f>'R1'!O36</f>
        <v/>
      </c>
      <c r="P14" s="53" t="str">
        <f>'R1'!P36</f>
        <v/>
      </c>
      <c r="Q14" s="53" t="str">
        <f>'R1'!Q36</f>
        <v/>
      </c>
      <c r="R14" s="53" t="str">
        <f>'R1'!R36</f>
        <v/>
      </c>
      <c r="S14" s="53" t="str">
        <f>'R1'!S36</f>
        <v/>
      </c>
      <c r="T14" s="53" t="str">
        <f>'R1'!T36</f>
        <v/>
      </c>
      <c r="U14" s="53" t="str">
        <f>'R1'!U36</f>
        <v/>
      </c>
      <c r="V14" s="53" t="str">
        <f>'R1'!V36</f>
        <v/>
      </c>
    </row>
    <row r="15" spans="1:22" s="1" customFormat="1" x14ac:dyDescent="0.35">
      <c r="A15" s="229"/>
      <c r="B15" s="53" t="str">
        <f>'R1'!B37</f>
        <v/>
      </c>
      <c r="C15" s="53" t="str">
        <f>'R1'!C37</f>
        <v/>
      </c>
      <c r="D15" s="53" t="str">
        <f>'R1'!D37</f>
        <v/>
      </c>
      <c r="E15" s="53" t="str">
        <f>'R1'!E37</f>
        <v/>
      </c>
      <c r="F15" s="53" t="str">
        <f>'R1'!F37</f>
        <v/>
      </c>
      <c r="G15" s="53" t="str">
        <f>'R1'!G37</f>
        <v/>
      </c>
      <c r="H15" s="53" t="str">
        <f>'R1'!H37</f>
        <v/>
      </c>
      <c r="I15" s="53" t="str">
        <f>'R1'!I37</f>
        <v/>
      </c>
      <c r="J15" s="53" t="str">
        <f>'R1'!J37</f>
        <v/>
      </c>
      <c r="K15" s="53" t="str">
        <f>'R1'!K37</f>
        <v/>
      </c>
      <c r="L15" s="53" t="str">
        <f>'R1'!L37</f>
        <v/>
      </c>
      <c r="M15" s="53" t="str">
        <f>'R1'!M37</f>
        <v/>
      </c>
      <c r="N15"/>
      <c r="O15" s="53">
        <f>'R1'!O37</f>
        <v>0.75356081069439995</v>
      </c>
      <c r="P15" s="53" t="str">
        <f>'R1'!P37</f>
        <v/>
      </c>
      <c r="Q15" s="53" t="str">
        <f>'R1'!Q37</f>
        <v/>
      </c>
      <c r="R15" s="53" t="str">
        <f>'R1'!R37</f>
        <v/>
      </c>
      <c r="S15" s="53" t="str">
        <f>'R1'!S37</f>
        <v/>
      </c>
      <c r="T15" s="53" t="str">
        <f>'R1'!T37</f>
        <v/>
      </c>
      <c r="U15" s="53" t="str">
        <f>'R1'!U37</f>
        <v/>
      </c>
      <c r="V15" s="53" t="str">
        <f>'R1'!V37</f>
        <v/>
      </c>
    </row>
    <row r="16" spans="1:22" s="1" customFormat="1" x14ac:dyDescent="0.35">
      <c r="A16" s="229"/>
      <c r="B16" s="53" t="str">
        <f>'R1'!B38</f>
        <v/>
      </c>
      <c r="C16" s="53" t="str">
        <f>'R1'!C38</f>
        <v/>
      </c>
      <c r="D16" s="53" t="str">
        <f>'R1'!D38</f>
        <v/>
      </c>
      <c r="E16" s="53" t="str">
        <f>'R1'!E38</f>
        <v/>
      </c>
      <c r="F16" s="53" t="str">
        <f>'R1'!F38</f>
        <v/>
      </c>
      <c r="G16" s="53" t="str">
        <f>'R1'!G38</f>
        <v/>
      </c>
      <c r="H16" s="53" t="str">
        <f>'R1'!H38</f>
        <v/>
      </c>
      <c r="I16" s="53" t="str">
        <f>'R1'!I38</f>
        <v/>
      </c>
      <c r="J16" s="53" t="str">
        <f>'R1'!J38</f>
        <v/>
      </c>
      <c r="K16" s="53" t="str">
        <f>'R1'!K38</f>
        <v/>
      </c>
      <c r="L16" s="53" t="str">
        <f>'R1'!L38</f>
        <v/>
      </c>
      <c r="M16" s="53" t="str">
        <f>'R1'!M38</f>
        <v/>
      </c>
      <c r="N16"/>
      <c r="O16" s="53">
        <f>'R1'!O38</f>
        <v>1.8777535414499875</v>
      </c>
      <c r="P16" s="53" t="str">
        <f>'R1'!P38</f>
        <v/>
      </c>
      <c r="Q16" s="53" t="str">
        <f>'R1'!Q38</f>
        <v/>
      </c>
      <c r="R16" s="53" t="str">
        <f>'R1'!R38</f>
        <v/>
      </c>
      <c r="S16" s="53" t="str">
        <f>'R1'!S38</f>
        <v/>
      </c>
      <c r="T16" s="53" t="str">
        <f>'R1'!T38</f>
        <v/>
      </c>
      <c r="U16" s="53" t="str">
        <f>'R1'!U38</f>
        <v/>
      </c>
      <c r="V16" s="53" t="str">
        <f>'R1'!V38</f>
        <v/>
      </c>
    </row>
    <row r="17" spans="1:22" s="1" customFormat="1" x14ac:dyDescent="0.35">
      <c r="A17" s="229"/>
      <c r="B17" s="53" t="str">
        <f>'R1'!B39</f>
        <v/>
      </c>
      <c r="C17" s="53" t="str">
        <f>'R1'!C39</f>
        <v/>
      </c>
      <c r="D17" s="53" t="str">
        <f>'R1'!D39</f>
        <v/>
      </c>
      <c r="E17" s="53" t="str">
        <f>'R1'!E39</f>
        <v/>
      </c>
      <c r="F17" s="53" t="str">
        <f>'R1'!F39</f>
        <v/>
      </c>
      <c r="G17" s="53" t="str">
        <f>'R1'!G39</f>
        <v/>
      </c>
      <c r="H17" s="53" t="str">
        <f>'R1'!H39</f>
        <v/>
      </c>
      <c r="I17" s="53" t="str">
        <f>'R1'!I39</f>
        <v/>
      </c>
      <c r="J17" s="53" t="str">
        <f>'R1'!J39</f>
        <v/>
      </c>
      <c r="K17" s="53" t="str">
        <f>'R1'!K39</f>
        <v/>
      </c>
      <c r="L17" s="53" t="str">
        <f>'R1'!L39</f>
        <v/>
      </c>
      <c r="M17" s="53" t="str">
        <f>'R1'!M39</f>
        <v/>
      </c>
      <c r="N17"/>
      <c r="O17" s="53">
        <f>'R1'!O39</f>
        <v>1.1548881371972357</v>
      </c>
      <c r="P17" s="53" t="str">
        <f>'R1'!P39</f>
        <v/>
      </c>
      <c r="Q17" s="53" t="str">
        <f>'R1'!Q39</f>
        <v/>
      </c>
      <c r="R17" s="53" t="str">
        <f>'R1'!R39</f>
        <v/>
      </c>
      <c r="S17" s="53" t="str">
        <f>'R1'!S39</f>
        <v/>
      </c>
      <c r="T17" s="53" t="str">
        <f>'R1'!T39</f>
        <v/>
      </c>
      <c r="U17" s="53" t="str">
        <f>'R1'!U39</f>
        <v/>
      </c>
      <c r="V17" s="53" t="str">
        <f>'R1'!V39</f>
        <v/>
      </c>
    </row>
    <row r="18" spans="1:22" s="1" customFormat="1" x14ac:dyDescent="0.35">
      <c r="A18" s="229"/>
      <c r="B18" s="53" t="str">
        <f>'R1'!B40</f>
        <v/>
      </c>
      <c r="C18" s="53" t="str">
        <f>'R1'!C40</f>
        <v/>
      </c>
      <c r="D18" s="53" t="str">
        <f>'R1'!D40</f>
        <v/>
      </c>
      <c r="E18" s="53" t="str">
        <f>'R1'!E40</f>
        <v/>
      </c>
      <c r="F18" s="53" t="str">
        <f>'R1'!F40</f>
        <v/>
      </c>
      <c r="G18" s="53" t="str">
        <f>'R1'!G40</f>
        <v/>
      </c>
      <c r="H18" s="53" t="str">
        <f>'R1'!H40</f>
        <v/>
      </c>
      <c r="I18" s="53" t="str">
        <f>'R1'!I40</f>
        <v/>
      </c>
      <c r="J18" s="53" t="str">
        <f>'R1'!J40</f>
        <v/>
      </c>
      <c r="K18" s="53" t="str">
        <f>'R1'!K40</f>
        <v/>
      </c>
      <c r="L18" s="53" t="str">
        <f>'R1'!L40</f>
        <v/>
      </c>
      <c r="M18" s="53" t="str">
        <f>'R1'!M40</f>
        <v/>
      </c>
      <c r="N18"/>
      <c r="O18" s="53">
        <f>'R1'!O40</f>
        <v>2.4569675513757137</v>
      </c>
      <c r="P18" s="53" t="str">
        <f>'R1'!P40</f>
        <v/>
      </c>
      <c r="Q18" s="53" t="str">
        <f>'R1'!Q40</f>
        <v/>
      </c>
      <c r="R18" s="53" t="str">
        <f>'R1'!R40</f>
        <v/>
      </c>
      <c r="S18" s="53" t="str">
        <f>'R1'!S40</f>
        <v/>
      </c>
      <c r="T18" s="53" t="str">
        <f>'R1'!T40</f>
        <v/>
      </c>
      <c r="U18" s="53" t="str">
        <f>'R1'!U40</f>
        <v/>
      </c>
      <c r="V18" s="53" t="str">
        <f>'R1'!V40</f>
        <v/>
      </c>
    </row>
    <row r="19" spans="1:22" s="1" customFormat="1" x14ac:dyDescent="0.35">
      <c r="A19" s="229"/>
      <c r="B19" s="53" t="str">
        <f>'R1'!B41</f>
        <v/>
      </c>
      <c r="C19" s="53" t="str">
        <f>'R1'!C41</f>
        <v/>
      </c>
      <c r="D19" s="53" t="str">
        <f>'R1'!D41</f>
        <v/>
      </c>
      <c r="E19" s="53" t="str">
        <f>'R1'!E41</f>
        <v/>
      </c>
      <c r="F19" s="53" t="str">
        <f>'R1'!F41</f>
        <v/>
      </c>
      <c r="G19" s="53" t="str">
        <f>'R1'!G41</f>
        <v/>
      </c>
      <c r="H19" s="53" t="str">
        <f>'R1'!H41</f>
        <v/>
      </c>
      <c r="I19" s="53" t="str">
        <f>'R1'!I41</f>
        <v/>
      </c>
      <c r="J19" s="53" t="str">
        <f>'R1'!J41</f>
        <v/>
      </c>
      <c r="K19" s="53" t="str">
        <f>'R1'!K41</f>
        <v/>
      </c>
      <c r="L19" s="53" t="str">
        <f>'R1'!L41</f>
        <v/>
      </c>
      <c r="M19" s="53" t="str">
        <f>'R1'!M41</f>
        <v/>
      </c>
      <c r="N19"/>
      <c r="O19" s="53">
        <f>'R1'!O41</f>
        <v>0.91823357455205912</v>
      </c>
      <c r="P19" s="53" t="str">
        <f>'R1'!P41</f>
        <v/>
      </c>
      <c r="Q19" s="53" t="str">
        <f>'R1'!Q41</f>
        <v/>
      </c>
      <c r="R19" s="53" t="str">
        <f>'R1'!R41</f>
        <v/>
      </c>
      <c r="S19" s="53" t="str">
        <f>'R1'!S41</f>
        <v/>
      </c>
      <c r="T19" s="53" t="str">
        <f>'R1'!T41</f>
        <v/>
      </c>
      <c r="U19" s="53" t="str">
        <f>'R1'!U41</f>
        <v/>
      </c>
      <c r="V19" s="53" t="str">
        <f>'R1'!V41</f>
        <v/>
      </c>
    </row>
    <row r="20" spans="1:22" s="1" customFormat="1" x14ac:dyDescent="0.35">
      <c r="A20" s="229"/>
      <c r="B20" s="53" t="str">
        <f>'R1'!B42</f>
        <v/>
      </c>
      <c r="C20" s="53" t="str">
        <f>'R1'!C42</f>
        <v/>
      </c>
      <c r="D20" s="53" t="str">
        <f>'R1'!D42</f>
        <v/>
      </c>
      <c r="E20" s="53" t="str">
        <f>'R1'!E42</f>
        <v/>
      </c>
      <c r="F20" s="53" t="str">
        <f>'R1'!F42</f>
        <v/>
      </c>
      <c r="G20" s="53" t="str">
        <f>'R1'!G42</f>
        <v/>
      </c>
      <c r="H20" s="53" t="str">
        <f>'R1'!H42</f>
        <v/>
      </c>
      <c r="I20" s="53" t="str">
        <f>'R1'!I42</f>
        <v/>
      </c>
      <c r="J20" s="53" t="str">
        <f>'R1'!J42</f>
        <v/>
      </c>
      <c r="K20" s="53" t="str">
        <f>'R1'!K42</f>
        <v/>
      </c>
      <c r="L20" s="53" t="str">
        <f>'R1'!L42</f>
        <v/>
      </c>
      <c r="M20" s="53" t="str">
        <f>'R1'!M42</f>
        <v/>
      </c>
      <c r="N20"/>
      <c r="O20" s="53">
        <f>'R1'!O42</f>
        <v>7.3923475588682758E-2</v>
      </c>
      <c r="P20" s="53" t="str">
        <f>'R1'!P42</f>
        <v/>
      </c>
      <c r="Q20" s="53" t="str">
        <f>'R1'!Q42</f>
        <v/>
      </c>
      <c r="R20" s="53" t="str">
        <f>'R1'!R42</f>
        <v/>
      </c>
      <c r="S20" s="53" t="str">
        <f>'R1'!S42</f>
        <v/>
      </c>
      <c r="T20" s="53" t="str">
        <f>'R1'!T42</f>
        <v/>
      </c>
      <c r="U20" s="53" t="str">
        <f>'R1'!U42</f>
        <v/>
      </c>
      <c r="V20" s="53" t="str">
        <f>'R1'!V42</f>
        <v/>
      </c>
    </row>
    <row r="21" spans="1:22" s="1" customFormat="1" x14ac:dyDescent="0.35">
      <c r="A21" s="230"/>
      <c r="B21" s="53" t="str">
        <f>'R1'!B43</f>
        <v/>
      </c>
      <c r="C21" s="53" t="str">
        <f>'R1'!C43</f>
        <v/>
      </c>
      <c r="D21" s="53" t="str">
        <f>'R1'!D43</f>
        <v/>
      </c>
      <c r="E21" s="53" t="str">
        <f>'R1'!E43</f>
        <v/>
      </c>
      <c r="F21" s="53" t="str">
        <f>'R1'!F43</f>
        <v/>
      </c>
      <c r="G21" s="53" t="str">
        <f>'R1'!G43</f>
        <v/>
      </c>
      <c r="H21" s="53" t="str">
        <f>'R1'!H43</f>
        <v/>
      </c>
      <c r="I21" s="53" t="str">
        <f>'R1'!I43</f>
        <v/>
      </c>
      <c r="J21" s="53" t="str">
        <f>'R1'!J43</f>
        <v/>
      </c>
      <c r="K21" s="53" t="str">
        <f>'R1'!K43</f>
        <v/>
      </c>
      <c r="L21" s="53" t="str">
        <f>'R1'!L43</f>
        <v/>
      </c>
      <c r="M21" s="53" t="str">
        <f>'R1'!M43</f>
        <v/>
      </c>
      <c r="N21"/>
      <c r="O21" s="53">
        <f>'R1'!O43</f>
        <v>0.67787450007408712</v>
      </c>
      <c r="P21" s="53" t="str">
        <f>'R1'!P43</f>
        <v/>
      </c>
      <c r="Q21" s="53" t="str">
        <f>'R1'!Q43</f>
        <v/>
      </c>
      <c r="R21" s="53" t="str">
        <f>'R1'!R43</f>
        <v/>
      </c>
      <c r="S21" s="53" t="str">
        <f>'R1'!S43</f>
        <v/>
      </c>
      <c r="T21" s="53" t="str">
        <f>'R1'!T43</f>
        <v/>
      </c>
      <c r="U21" s="53" t="str">
        <f>'R1'!U43</f>
        <v/>
      </c>
      <c r="V21" s="53" t="str">
        <f>'R1'!V43</f>
        <v/>
      </c>
    </row>
    <row r="22" spans="1:22" x14ac:dyDescent="0.35">
      <c r="A22" s="39" t="s">
        <v>5</v>
      </c>
      <c r="B22" s="54">
        <f>'R2'!B28</f>
        <v>0.29117460731548478</v>
      </c>
      <c r="C22" s="54" t="str">
        <f>'R2'!C28</f>
        <v/>
      </c>
      <c r="D22" s="54">
        <f>'R2'!D28</f>
        <v>3.8894191231639057E-2</v>
      </c>
      <c r="E22" s="54">
        <f>'R2'!E28</f>
        <v>1.9046815229415124</v>
      </c>
      <c r="F22" s="54">
        <f>'R2'!F28</f>
        <v>2.3694460817087664</v>
      </c>
      <c r="G22" s="54">
        <f>'R2'!G28</f>
        <v>0.3459894579804666</v>
      </c>
      <c r="H22" s="54">
        <f>'R2'!H28</f>
        <v>4.4351064284110153</v>
      </c>
      <c r="I22" s="54">
        <f>'R2'!I28</f>
        <v>0.22868541828387648</v>
      </c>
      <c r="J22" s="54">
        <f>'R2'!J28</f>
        <v>3.8326160871931393E-2</v>
      </c>
      <c r="K22" s="54">
        <f>'R2'!K28</f>
        <v>0</v>
      </c>
      <c r="L22" s="54">
        <f>'R2'!L28</f>
        <v>0.12167453769105664</v>
      </c>
      <c r="M22" s="54">
        <f>'R2'!M28</f>
        <v>0.45748466397075588</v>
      </c>
      <c r="O22" s="54">
        <f>'R2'!O28</f>
        <v>1.1770768431512768</v>
      </c>
      <c r="P22" s="54" t="str">
        <f>'R2'!P28</f>
        <v/>
      </c>
      <c r="Q22" s="54" t="str">
        <f>'R2'!Q28</f>
        <v/>
      </c>
      <c r="R22" s="54">
        <f>'R2'!R28</f>
        <v>2.1392899185219227</v>
      </c>
      <c r="S22" s="54">
        <f>'R2'!S28</f>
        <v>1.4264714183817679</v>
      </c>
      <c r="T22" s="54">
        <f>'R2'!T28</f>
        <v>2.0213636223555835</v>
      </c>
      <c r="U22" s="54" t="str">
        <f>'R2'!U28</f>
        <v/>
      </c>
      <c r="V22" s="54">
        <f>'R2'!V28</f>
        <v>0.45886229173432186</v>
      </c>
    </row>
    <row r="23" spans="1:22" x14ac:dyDescent="0.35">
      <c r="A23" s="228" t="s">
        <v>34</v>
      </c>
      <c r="B23" s="54">
        <f>'R2'!B29</f>
        <v>0.2407089120069065</v>
      </c>
      <c r="C23" s="54">
        <f>'R2'!C29</f>
        <v>6.173650532925145E-2</v>
      </c>
      <c r="D23" s="54">
        <f>'R2'!D29</f>
        <v>5.4863543498488591E-2</v>
      </c>
      <c r="E23" s="54">
        <f>'R2'!E29</f>
        <v>1.5113174160184581</v>
      </c>
      <c r="F23" s="54">
        <f>'R2'!F29</f>
        <v>1.2912008297764728</v>
      </c>
      <c r="G23" s="54">
        <f>'R2'!G29</f>
        <v>3.0233250687612365</v>
      </c>
      <c r="H23" s="54" t="str">
        <f>'R2'!H29</f>
        <v/>
      </c>
      <c r="I23" s="54" t="str">
        <f>'R2'!I29</f>
        <v/>
      </c>
      <c r="J23" s="54">
        <f>'R2'!J29</f>
        <v>0.16949342969258629</v>
      </c>
      <c r="K23" s="54" t="str">
        <f>'R2'!K29</f>
        <v/>
      </c>
      <c r="L23" s="54">
        <f>'R2'!L29</f>
        <v>0.15412578172549946</v>
      </c>
      <c r="M23" s="54">
        <f>'R2'!M29</f>
        <v>0.10924774715544264</v>
      </c>
      <c r="O23" s="54">
        <f>'R2'!O29</f>
        <v>2.4155929756350756</v>
      </c>
      <c r="P23" s="54">
        <f>'R2'!P29</f>
        <v>3.0207402381513786</v>
      </c>
      <c r="Q23" s="54">
        <f>'R2'!Q29</f>
        <v>5.592308690810751E-2</v>
      </c>
      <c r="R23" s="54">
        <f>'R2'!R29</f>
        <v>0.3463799492102127</v>
      </c>
      <c r="S23" s="54">
        <f>'R2'!S29</f>
        <v>2.5159122277738608</v>
      </c>
      <c r="T23" s="54">
        <f>'R2'!T29</f>
        <v>0.6648149547959763</v>
      </c>
      <c r="U23" s="54">
        <f>'R2'!U29</f>
        <v>0.28066264664816448</v>
      </c>
      <c r="V23" s="54">
        <f>'R2'!V29</f>
        <v>0.53893449456396147</v>
      </c>
    </row>
    <row r="24" spans="1:22" x14ac:dyDescent="0.35">
      <c r="A24" s="229"/>
      <c r="B24" s="54">
        <f>'R2'!B30</f>
        <v>0.34886581321690441</v>
      </c>
      <c r="C24" s="54">
        <f>'R2'!C30</f>
        <v>0.2654118298627709</v>
      </c>
      <c r="D24" s="54">
        <f>'R2'!D30</f>
        <v>0.20617114843797393</v>
      </c>
      <c r="E24" s="54">
        <f>'R2'!E30</f>
        <v>7.7535116491596598E-2</v>
      </c>
      <c r="F24" s="54" t="str">
        <f>'R2'!F30</f>
        <v/>
      </c>
      <c r="G24" s="54">
        <f>'R2'!G30</f>
        <v>1.5996373627573515</v>
      </c>
      <c r="H24" s="54">
        <f>'R2'!H30</f>
        <v>3.459502191451536</v>
      </c>
      <c r="I24" s="54">
        <f>'R2'!I30</f>
        <v>4.7695578981609831E-2</v>
      </c>
      <c r="J24" s="54">
        <f>'R2'!J30</f>
        <v>0.14270446658307798</v>
      </c>
      <c r="K24" s="54">
        <f>'R2'!K30</f>
        <v>0.65107472250460074</v>
      </c>
      <c r="L24" s="54">
        <f>'R2'!L30</f>
        <v>2.8518507260691687E-3</v>
      </c>
      <c r="M24" s="54">
        <f>'R2'!M30</f>
        <v>0</v>
      </c>
      <c r="O24" s="54">
        <f>'R2'!O30</f>
        <v>0.66231170049160359</v>
      </c>
      <c r="P24" s="54">
        <f>'R2'!P30</f>
        <v>0.88507477385340705</v>
      </c>
      <c r="Q24" s="54">
        <f>'R2'!Q30</f>
        <v>0.13542077753981291</v>
      </c>
      <c r="R24" s="54">
        <f>'R2'!R30</f>
        <v>0.72704344745598493</v>
      </c>
      <c r="S24" s="54">
        <f>'R2'!S30</f>
        <v>0.47866161992498935</v>
      </c>
      <c r="T24" s="54">
        <f>'R2'!T30</f>
        <v>2.2991538661076922</v>
      </c>
      <c r="U24" s="54">
        <f>'R2'!U30</f>
        <v>0.79373207719032479</v>
      </c>
      <c r="V24" s="54">
        <f>'R2'!V30</f>
        <v>1.5803717586118755</v>
      </c>
    </row>
    <row r="25" spans="1:22" x14ac:dyDescent="0.35">
      <c r="A25" s="229"/>
      <c r="B25" s="54">
        <f>'R2'!B31</f>
        <v>0.27211389249541407</v>
      </c>
      <c r="C25" s="54">
        <f>'R2'!C31</f>
        <v>1.240623836562736E-2</v>
      </c>
      <c r="D25" s="54">
        <f>'R2'!D31</f>
        <v>0.20100781096286893</v>
      </c>
      <c r="E25" s="54">
        <f>'R2'!E31</f>
        <v>0.31231425317651174</v>
      </c>
      <c r="F25" s="54">
        <f>'R2'!F31</f>
        <v>1.8089065136803884</v>
      </c>
      <c r="G25" s="54">
        <f>'R2'!G31</f>
        <v>1.3352855505850452</v>
      </c>
      <c r="H25" s="54">
        <f>'R2'!H31</f>
        <v>3.1180057540173798</v>
      </c>
      <c r="I25" s="54">
        <f>'R2'!I31</f>
        <v>0.12698142416883756</v>
      </c>
      <c r="J25" s="54">
        <f>'R2'!J31</f>
        <v>7.0353872111034152E-2</v>
      </c>
      <c r="K25" s="54">
        <f>'R2'!K31</f>
        <v>0.30170680396556121</v>
      </c>
      <c r="L25" s="54">
        <f>'R2'!L31</f>
        <v>0.10694606221055429</v>
      </c>
      <c r="M25" s="54">
        <f>'R2'!M31</f>
        <v>0.18649197139492066</v>
      </c>
      <c r="O25" s="54">
        <f>'R2'!O31</f>
        <v>1.7784045639223707</v>
      </c>
      <c r="P25" s="54">
        <f>'R2'!P31</f>
        <v>4.0009396241326396</v>
      </c>
      <c r="Q25" s="54">
        <f>'R2'!Q31</f>
        <v>0.30297914138134946</v>
      </c>
      <c r="R25" s="54">
        <f>'R2'!R31</f>
        <v>0.25769701953063223</v>
      </c>
      <c r="S25" s="54">
        <f>'R2'!S31</f>
        <v>0.11090267112021299</v>
      </c>
      <c r="T25" s="54">
        <f>'R2'!T31</f>
        <v>1.8758066726719753</v>
      </c>
      <c r="U25" s="54">
        <f>'R2'!U31</f>
        <v>1.5207894368844543</v>
      </c>
      <c r="V25" s="54">
        <f>'R2'!V31</f>
        <v>1.0308500508197196</v>
      </c>
    </row>
    <row r="26" spans="1:22" x14ac:dyDescent="0.35">
      <c r="A26" s="229"/>
      <c r="B26" s="54">
        <f>'R2'!B32</f>
        <v>0.24928485826148536</v>
      </c>
      <c r="C26" s="54">
        <f>'R2'!C32</f>
        <v>5.1183756509188418E-2</v>
      </c>
      <c r="D26" s="54">
        <f>'R2'!D32</f>
        <v>9.5179944893203111E-2</v>
      </c>
      <c r="E26" s="54">
        <f>'R2'!E32</f>
        <v>0.59491228186295653</v>
      </c>
      <c r="F26" s="54">
        <f>'R2'!F32</f>
        <v>1.5451500820632336</v>
      </c>
      <c r="G26" s="54">
        <f>'R2'!G32</f>
        <v>2.9933287023848902</v>
      </c>
      <c r="H26" s="54">
        <f>'R2'!H32</f>
        <v>4.6126423965002195</v>
      </c>
      <c r="I26" s="54" t="str">
        <f>'R2'!I32</f>
        <v/>
      </c>
      <c r="J26" s="54">
        <f>'R2'!J32</f>
        <v>2.6980256383999354E-2</v>
      </c>
      <c r="K26" s="54">
        <f>'R2'!K32</f>
        <v>0.25189751334763311</v>
      </c>
      <c r="L26" s="54">
        <f>'R2'!L32</f>
        <v>0.13466856811830191</v>
      </c>
      <c r="M26" s="54">
        <f>'R2'!M32</f>
        <v>0.12479973227794813</v>
      </c>
      <c r="O26" s="54">
        <f>'R2'!O32</f>
        <v>0.56226974455402268</v>
      </c>
      <c r="P26" s="54">
        <f>'R2'!P32</f>
        <v>2.6855969507409378</v>
      </c>
      <c r="Q26" s="54">
        <f>'R2'!Q32</f>
        <v>6.9772403794027535E-2</v>
      </c>
      <c r="R26" s="54">
        <f>'R2'!R32</f>
        <v>1.5924630744958614</v>
      </c>
      <c r="S26" s="54">
        <f>'R2'!S32</f>
        <v>2.3563151422106872</v>
      </c>
      <c r="T26" s="54">
        <f>'R2'!T32</f>
        <v>1.1749634477021893</v>
      </c>
      <c r="U26" s="54">
        <f>'R2'!U32</f>
        <v>3.6706384279710518</v>
      </c>
      <c r="V26" s="54">
        <f>'R2'!V32</f>
        <v>0.71796112735165818</v>
      </c>
    </row>
    <row r="27" spans="1:22" x14ac:dyDescent="0.35">
      <c r="A27" s="229"/>
      <c r="B27" s="54">
        <f>'R2'!B33</f>
        <v>9.3442496061255667E-2</v>
      </c>
      <c r="C27" s="54">
        <f>'R2'!C33</f>
        <v>0.52948270968072131</v>
      </c>
      <c r="D27" s="54">
        <f>'R2'!D33</f>
        <v>0.1632765563652431</v>
      </c>
      <c r="E27" s="54">
        <f>'R2'!E33</f>
        <v>0.50192130116694589</v>
      </c>
      <c r="F27" s="54">
        <f>'R2'!F33</f>
        <v>1.4374513361503225</v>
      </c>
      <c r="G27" s="54">
        <f>'R2'!G33</f>
        <v>2.6021668395227122</v>
      </c>
      <c r="H27" s="54">
        <f>'R2'!H33</f>
        <v>2.4139276174916966</v>
      </c>
      <c r="I27" s="54">
        <f>'R2'!I33</f>
        <v>0.14598079866617891</v>
      </c>
      <c r="J27" s="54">
        <f>'R2'!J33</f>
        <v>0.16917882339817544</v>
      </c>
      <c r="K27" s="54">
        <f>'R2'!K33</f>
        <v>1.4300516063934406E-2</v>
      </c>
      <c r="L27" s="54">
        <f>'R2'!L33</f>
        <v>6.1011488009568911E-2</v>
      </c>
      <c r="M27" s="54">
        <f>'R2'!M33</f>
        <v>0.43805780433769248</v>
      </c>
      <c r="O27" s="54">
        <f>'R2'!O33</f>
        <v>0.46408760190661735</v>
      </c>
      <c r="P27" s="54">
        <f>'R2'!P33</f>
        <v>4.0994844335335019</v>
      </c>
      <c r="Q27" s="54">
        <f>'R2'!Q33</f>
        <v>0.39214710227261462</v>
      </c>
      <c r="R27" s="54">
        <f>'R2'!R33</f>
        <v>0.86355918137523979</v>
      </c>
      <c r="S27" s="54">
        <f>'R2'!S33</f>
        <v>0.28330312621060183</v>
      </c>
      <c r="T27" s="54">
        <f>'R2'!T33</f>
        <v>0.14141884930360601</v>
      </c>
      <c r="U27" s="54">
        <f>'R2'!U33</f>
        <v>0.36680817380247138</v>
      </c>
      <c r="V27" s="54">
        <f>'R2'!V33</f>
        <v>2.6142445593557837</v>
      </c>
    </row>
    <row r="28" spans="1:22" x14ac:dyDescent="0.35">
      <c r="A28" s="229"/>
      <c r="B28" s="54">
        <f>'R2'!B34</f>
        <v>5.8624590606043643E-2</v>
      </c>
      <c r="C28" s="54">
        <f>'R2'!C34</f>
        <v>0.24895001598431843</v>
      </c>
      <c r="D28" s="54">
        <f>'R2'!D34</f>
        <v>0.27889832190161906</v>
      </c>
      <c r="E28" s="54">
        <f>'R2'!E34</f>
        <v>0.12769252925037528</v>
      </c>
      <c r="F28" s="54">
        <f>'R2'!F34</f>
        <v>0.76649159871557149</v>
      </c>
      <c r="G28" s="54">
        <f>'R2'!G34</f>
        <v>1.7369391381317876</v>
      </c>
      <c r="H28" s="54">
        <f>'R2'!H34</f>
        <v>3.8508218317417655</v>
      </c>
      <c r="I28" s="54">
        <f>'R2'!I34</f>
        <v>0.25121360036792384</v>
      </c>
      <c r="J28" s="54">
        <f>'R2'!J34</f>
        <v>0.12977177647856208</v>
      </c>
      <c r="K28" s="54">
        <f>'R2'!K34</f>
        <v>2.1680326025290846E-2</v>
      </c>
      <c r="L28" s="54">
        <f>'R2'!L34</f>
        <v>7.8505811289427116E-2</v>
      </c>
      <c r="M28" s="54">
        <f>'R2'!M34</f>
        <v>0.17737882303561409</v>
      </c>
      <c r="O28" s="54">
        <f>'R2'!O34</f>
        <v>5.1655507857189434E-2</v>
      </c>
      <c r="P28" s="54">
        <f>'R2'!P34</f>
        <v>2.9455645107742479</v>
      </c>
      <c r="Q28" s="54">
        <f>'R2'!Q34</f>
        <v>0.12617419816920847</v>
      </c>
      <c r="R28" s="54">
        <f>'R2'!R34</f>
        <v>0.59803115270523677</v>
      </c>
      <c r="S28" s="54">
        <f>'R2'!S34</f>
        <v>1.1687876787148193</v>
      </c>
      <c r="T28" s="54">
        <f>'R2'!T34</f>
        <v>2.6226978249649036</v>
      </c>
      <c r="U28" s="54">
        <f>'R2'!U34</f>
        <v>0.30564586448392356</v>
      </c>
      <c r="V28" s="54">
        <f>'R2'!V34</f>
        <v>2.4983834400858709</v>
      </c>
    </row>
    <row r="29" spans="1:22" x14ac:dyDescent="0.35">
      <c r="A29" s="229"/>
      <c r="B29" s="54">
        <f>'R2'!B35</f>
        <v>4.7306036313555365E-2</v>
      </c>
      <c r="C29" s="54">
        <f>'R2'!C35</f>
        <v>7.5804307591490983E-2</v>
      </c>
      <c r="D29" s="54">
        <f>'R2'!D35</f>
        <v>0.46143384248049635</v>
      </c>
      <c r="E29" s="54">
        <f>'R2'!E35</f>
        <v>0.46252121036640487</v>
      </c>
      <c r="F29" s="54">
        <f>'R2'!F35</f>
        <v>2.6892214049648895</v>
      </c>
      <c r="G29" s="54">
        <f>'R2'!G35</f>
        <v>2.3640977747037821</v>
      </c>
      <c r="H29" s="54">
        <f>'R2'!H35</f>
        <v>3.4408996319285521</v>
      </c>
      <c r="I29" s="54">
        <f>'R2'!I35</f>
        <v>6.6161545620990234E-2</v>
      </c>
      <c r="J29" s="54">
        <f>'R2'!J35</f>
        <v>3.5082554167193817E-3</v>
      </c>
      <c r="K29" s="54">
        <f>'R2'!K35</f>
        <v>0.12306923956507307</v>
      </c>
      <c r="L29" s="54">
        <f>'R2'!L35</f>
        <v>0.32818052840619749</v>
      </c>
      <c r="M29" s="54">
        <f>'R2'!M35</f>
        <v>0.11030792293952268</v>
      </c>
      <c r="O29" s="54">
        <f>'R2'!O35</f>
        <v>1.4461888540797192</v>
      </c>
      <c r="P29" s="54">
        <f>'R2'!P35</f>
        <v>2.6390500799679657</v>
      </c>
      <c r="Q29" s="54">
        <f>'R2'!Q35</f>
        <v>7.0511017164624309E-2</v>
      </c>
      <c r="R29" s="54" t="str">
        <f>'R2'!R35</f>
        <v/>
      </c>
      <c r="S29" s="54">
        <f>'R2'!S35</f>
        <v>0.76731242076611483</v>
      </c>
      <c r="T29" s="54">
        <f>'R2'!T35</f>
        <v>2.1163176514725488</v>
      </c>
      <c r="U29" s="54">
        <f>'R2'!U35</f>
        <v>0.39014342379253253</v>
      </c>
      <c r="V29" s="54">
        <f>'R2'!V35</f>
        <v>0.39991645490202554</v>
      </c>
    </row>
    <row r="30" spans="1:22" x14ac:dyDescent="0.35">
      <c r="A30" s="229"/>
      <c r="B30" s="54" t="str">
        <f>'R2'!B36</f>
        <v/>
      </c>
      <c r="C30" s="54" t="str">
        <f>'R2'!C36</f>
        <v/>
      </c>
      <c r="D30" s="54" t="str">
        <f>'R2'!D36</f>
        <v/>
      </c>
      <c r="E30" s="54" t="str">
        <f>'R2'!E36</f>
        <v/>
      </c>
      <c r="F30" s="54" t="str">
        <f>'R2'!F36</f>
        <v/>
      </c>
      <c r="G30" s="54" t="str">
        <f>'R2'!G36</f>
        <v/>
      </c>
      <c r="H30" s="54" t="str">
        <f>'R2'!H36</f>
        <v/>
      </c>
      <c r="I30" s="54" t="str">
        <f>'R2'!I36</f>
        <v/>
      </c>
      <c r="J30" s="54" t="str">
        <f>'R2'!J36</f>
        <v/>
      </c>
      <c r="K30" s="54" t="str">
        <f>'R2'!K36</f>
        <v/>
      </c>
      <c r="L30" s="54" t="str">
        <f>'R2'!L36</f>
        <v/>
      </c>
      <c r="M30" s="54" t="str">
        <f>'R2'!M36</f>
        <v/>
      </c>
      <c r="O30" s="54">
        <f>'R2'!O36</f>
        <v>6.6445323660421149E-2</v>
      </c>
      <c r="P30" s="54" t="str">
        <f>'R2'!P36</f>
        <v/>
      </c>
      <c r="Q30" s="54" t="str">
        <f>'R2'!Q36</f>
        <v/>
      </c>
      <c r="R30" s="54" t="str">
        <f>'R2'!R36</f>
        <v/>
      </c>
      <c r="S30" s="54" t="str">
        <f>'R2'!S36</f>
        <v/>
      </c>
      <c r="T30" s="54" t="str">
        <f>'R2'!T36</f>
        <v/>
      </c>
      <c r="U30" s="54" t="str">
        <f>'R2'!U36</f>
        <v/>
      </c>
      <c r="V30" s="54" t="str">
        <f>'R2'!V36</f>
        <v/>
      </c>
    </row>
    <row r="31" spans="1:22" s="1" customFormat="1" x14ac:dyDescent="0.35">
      <c r="A31" s="229"/>
      <c r="B31" s="54" t="str">
        <f>'R2'!B37</f>
        <v/>
      </c>
      <c r="C31" s="54" t="str">
        <f>'R2'!C37</f>
        <v/>
      </c>
      <c r="D31" s="54" t="str">
        <f>'R2'!D37</f>
        <v/>
      </c>
      <c r="E31" s="54" t="str">
        <f>'R2'!E37</f>
        <v/>
      </c>
      <c r="F31" s="54" t="str">
        <f>'R2'!F37</f>
        <v/>
      </c>
      <c r="G31" s="54" t="str">
        <f>'R2'!G37</f>
        <v/>
      </c>
      <c r="H31" s="54" t="str">
        <f>'R2'!H37</f>
        <v/>
      </c>
      <c r="I31" s="54" t="str">
        <f>'R2'!I37</f>
        <v/>
      </c>
      <c r="J31" s="54" t="str">
        <f>'R2'!J37</f>
        <v/>
      </c>
      <c r="K31" s="54" t="str">
        <f>'R2'!K37</f>
        <v/>
      </c>
      <c r="L31" s="54" t="str">
        <f>'R2'!L37</f>
        <v/>
      </c>
      <c r="M31" s="54" t="str">
        <f>'R2'!M37</f>
        <v/>
      </c>
      <c r="N31"/>
      <c r="O31" s="54">
        <f>'R2'!O37</f>
        <v>0.48277173773508669</v>
      </c>
      <c r="P31" s="54" t="str">
        <f>'R2'!P37</f>
        <v/>
      </c>
      <c r="Q31" s="54" t="str">
        <f>'R2'!Q37</f>
        <v/>
      </c>
      <c r="R31" s="54" t="str">
        <f>'R2'!R37</f>
        <v/>
      </c>
      <c r="S31" s="54" t="str">
        <f>'R2'!S37</f>
        <v/>
      </c>
      <c r="T31" s="54" t="str">
        <f>'R2'!T37</f>
        <v/>
      </c>
      <c r="U31" s="54" t="str">
        <f>'R2'!U37</f>
        <v/>
      </c>
      <c r="V31" s="54" t="str">
        <f>'R2'!V37</f>
        <v/>
      </c>
    </row>
    <row r="32" spans="1:22" s="1" customFormat="1" x14ac:dyDescent="0.35">
      <c r="A32" s="229"/>
      <c r="B32" s="54" t="str">
        <f>'R2'!B38</f>
        <v/>
      </c>
      <c r="C32" s="54" t="str">
        <f>'R2'!C38</f>
        <v/>
      </c>
      <c r="D32" s="54" t="str">
        <f>'R2'!D38</f>
        <v/>
      </c>
      <c r="E32" s="54" t="str">
        <f>'R2'!E38</f>
        <v/>
      </c>
      <c r="F32" s="54" t="str">
        <f>'R2'!F38</f>
        <v/>
      </c>
      <c r="G32" s="54" t="str">
        <f>'R2'!G38</f>
        <v/>
      </c>
      <c r="H32" s="54" t="str">
        <f>'R2'!H38</f>
        <v/>
      </c>
      <c r="I32" s="54" t="str">
        <f>'R2'!I38</f>
        <v/>
      </c>
      <c r="J32" s="54" t="str">
        <f>'R2'!J38</f>
        <v/>
      </c>
      <c r="K32" s="54" t="str">
        <f>'R2'!K38</f>
        <v/>
      </c>
      <c r="L32" s="54" t="str">
        <f>'R2'!L38</f>
        <v/>
      </c>
      <c r="M32" s="54" t="str">
        <f>'R2'!M38</f>
        <v/>
      </c>
      <c r="N32"/>
      <c r="O32" s="54">
        <f>'R2'!O38</f>
        <v>0.9411006216114477</v>
      </c>
      <c r="P32" s="54" t="str">
        <f>'R2'!P38</f>
        <v/>
      </c>
      <c r="Q32" s="54" t="str">
        <f>'R2'!Q38</f>
        <v/>
      </c>
      <c r="R32" s="54" t="str">
        <f>'R2'!R38</f>
        <v/>
      </c>
      <c r="S32" s="54" t="str">
        <f>'R2'!S38</f>
        <v/>
      </c>
      <c r="T32" s="54" t="str">
        <f>'R2'!T38</f>
        <v/>
      </c>
      <c r="U32" s="54" t="str">
        <f>'R2'!U38</f>
        <v/>
      </c>
      <c r="V32" s="54" t="str">
        <f>'R2'!V38</f>
        <v/>
      </c>
    </row>
    <row r="33" spans="1:22" s="1" customFormat="1" x14ac:dyDescent="0.35">
      <c r="A33" s="229"/>
      <c r="B33" s="54" t="str">
        <f>'R2'!B39</f>
        <v/>
      </c>
      <c r="C33" s="54" t="str">
        <f>'R2'!C39</f>
        <v/>
      </c>
      <c r="D33" s="54" t="str">
        <f>'R2'!D39</f>
        <v/>
      </c>
      <c r="E33" s="54" t="str">
        <f>'R2'!E39</f>
        <v/>
      </c>
      <c r="F33" s="54" t="str">
        <f>'R2'!F39</f>
        <v/>
      </c>
      <c r="G33" s="54" t="str">
        <f>'R2'!G39</f>
        <v/>
      </c>
      <c r="H33" s="54" t="str">
        <f>'R2'!H39</f>
        <v/>
      </c>
      <c r="I33" s="54" t="str">
        <f>'R2'!I39</f>
        <v/>
      </c>
      <c r="J33" s="54" t="str">
        <f>'R2'!J39</f>
        <v/>
      </c>
      <c r="K33" s="54" t="str">
        <f>'R2'!K39</f>
        <v/>
      </c>
      <c r="L33" s="54" t="str">
        <f>'R2'!L39</f>
        <v/>
      </c>
      <c r="M33" s="54" t="str">
        <f>'R2'!M39</f>
        <v/>
      </c>
      <c r="N33"/>
      <c r="O33" s="54">
        <f>'R2'!O39</f>
        <v>1.1150328457403023</v>
      </c>
      <c r="P33" s="54" t="str">
        <f>'R2'!P39</f>
        <v/>
      </c>
      <c r="Q33" s="54" t="str">
        <f>'R2'!Q39</f>
        <v/>
      </c>
      <c r="R33" s="54" t="str">
        <f>'R2'!R39</f>
        <v/>
      </c>
      <c r="S33" s="54" t="str">
        <f>'R2'!S39</f>
        <v/>
      </c>
      <c r="T33" s="54" t="str">
        <f>'R2'!T39</f>
        <v/>
      </c>
      <c r="U33" s="54" t="str">
        <f>'R2'!U39</f>
        <v/>
      </c>
      <c r="V33" s="54" t="str">
        <f>'R2'!V39</f>
        <v/>
      </c>
    </row>
    <row r="34" spans="1:22" s="1" customFormat="1" x14ac:dyDescent="0.35">
      <c r="A34" s="229"/>
      <c r="B34" s="54" t="str">
        <f>'R2'!B40</f>
        <v/>
      </c>
      <c r="C34" s="54" t="str">
        <f>'R2'!C40</f>
        <v/>
      </c>
      <c r="D34" s="54" t="str">
        <f>'R2'!D40</f>
        <v/>
      </c>
      <c r="E34" s="54" t="str">
        <f>'R2'!E40</f>
        <v/>
      </c>
      <c r="F34" s="54" t="str">
        <f>'R2'!F40</f>
        <v/>
      </c>
      <c r="G34" s="54" t="str">
        <f>'R2'!G40</f>
        <v/>
      </c>
      <c r="H34" s="54" t="str">
        <f>'R2'!H40</f>
        <v/>
      </c>
      <c r="I34" s="54" t="str">
        <f>'R2'!I40</f>
        <v/>
      </c>
      <c r="J34" s="54" t="str">
        <f>'R2'!J40</f>
        <v/>
      </c>
      <c r="K34" s="54" t="str">
        <f>'R2'!K40</f>
        <v/>
      </c>
      <c r="L34" s="54" t="str">
        <f>'R2'!L40</f>
        <v/>
      </c>
      <c r="M34" s="54" t="str">
        <f>'R2'!M40</f>
        <v/>
      </c>
      <c r="N34"/>
      <c r="O34" s="54">
        <f>'R2'!O40</f>
        <v>1.8554881650487223</v>
      </c>
      <c r="P34" s="54" t="str">
        <f>'R2'!P40</f>
        <v/>
      </c>
      <c r="Q34" s="54" t="str">
        <f>'R2'!Q40</f>
        <v/>
      </c>
      <c r="R34" s="54" t="str">
        <f>'R2'!R40</f>
        <v/>
      </c>
      <c r="S34" s="54" t="str">
        <f>'R2'!S40</f>
        <v/>
      </c>
      <c r="T34" s="54" t="str">
        <f>'R2'!T40</f>
        <v/>
      </c>
      <c r="U34" s="54" t="str">
        <f>'R2'!U40</f>
        <v/>
      </c>
      <c r="V34" s="54" t="str">
        <f>'R2'!V40</f>
        <v/>
      </c>
    </row>
    <row r="35" spans="1:22" s="1" customFormat="1" x14ac:dyDescent="0.35">
      <c r="A35" s="229"/>
      <c r="B35" s="54" t="str">
        <f>'R2'!B41</f>
        <v/>
      </c>
      <c r="C35" s="54" t="str">
        <f>'R2'!C41</f>
        <v/>
      </c>
      <c r="D35" s="54" t="str">
        <f>'R2'!D41</f>
        <v/>
      </c>
      <c r="E35" s="54" t="str">
        <f>'R2'!E41</f>
        <v/>
      </c>
      <c r="F35" s="54" t="str">
        <f>'R2'!F41</f>
        <v/>
      </c>
      <c r="G35" s="54" t="str">
        <f>'R2'!G41</f>
        <v/>
      </c>
      <c r="H35" s="54" t="str">
        <f>'R2'!H41</f>
        <v/>
      </c>
      <c r="I35" s="54" t="str">
        <f>'R2'!I41</f>
        <v/>
      </c>
      <c r="J35" s="54" t="str">
        <f>'R2'!J41</f>
        <v/>
      </c>
      <c r="K35" s="54" t="str">
        <f>'R2'!K41</f>
        <v/>
      </c>
      <c r="L35" s="54" t="str">
        <f>'R2'!L41</f>
        <v/>
      </c>
      <c r="M35" s="54" t="str">
        <f>'R2'!M41</f>
        <v/>
      </c>
      <c r="N35"/>
      <c r="O35" s="54" t="str">
        <f>'R2'!O41</f>
        <v/>
      </c>
      <c r="P35" s="54" t="str">
        <f>'R2'!P41</f>
        <v/>
      </c>
      <c r="Q35" s="54" t="str">
        <f>'R2'!Q41</f>
        <v/>
      </c>
      <c r="R35" s="54" t="str">
        <f>'R2'!R41</f>
        <v/>
      </c>
      <c r="S35" s="54" t="str">
        <f>'R2'!S41</f>
        <v/>
      </c>
      <c r="T35" s="54" t="str">
        <f>'R2'!T41</f>
        <v/>
      </c>
      <c r="U35" s="54" t="str">
        <f>'R2'!U41</f>
        <v/>
      </c>
      <c r="V35" s="54" t="str">
        <f>'R2'!V41</f>
        <v/>
      </c>
    </row>
    <row r="36" spans="1:22" x14ac:dyDescent="0.35">
      <c r="A36" s="229"/>
      <c r="B36" s="54" t="str">
        <f>'R2'!B42</f>
        <v/>
      </c>
      <c r="C36" s="54" t="str">
        <f>'R2'!C42</f>
        <v/>
      </c>
      <c r="D36" s="54" t="str">
        <f>'R2'!D42</f>
        <v/>
      </c>
      <c r="E36" s="54" t="str">
        <f>'R2'!E42</f>
        <v/>
      </c>
      <c r="F36" s="54" t="str">
        <f>'R2'!F42</f>
        <v/>
      </c>
      <c r="G36" s="54" t="str">
        <f>'R2'!G42</f>
        <v/>
      </c>
      <c r="H36" s="54" t="str">
        <f>'R2'!H42</f>
        <v/>
      </c>
      <c r="I36" s="54" t="str">
        <f>'R2'!I42</f>
        <v/>
      </c>
      <c r="J36" s="54" t="str">
        <f>'R2'!J42</f>
        <v/>
      </c>
      <c r="K36" s="54" t="str">
        <f>'R2'!K42</f>
        <v/>
      </c>
      <c r="L36" s="54" t="str">
        <f>'R2'!L42</f>
        <v/>
      </c>
      <c r="M36" s="54" t="str">
        <f>'R2'!M42</f>
        <v/>
      </c>
      <c r="O36" s="54">
        <f>'R2'!O42</f>
        <v>1.4833111320712795</v>
      </c>
      <c r="P36" s="54" t="str">
        <f>'R2'!P42</f>
        <v/>
      </c>
      <c r="Q36" s="54" t="str">
        <f>'R2'!Q42</f>
        <v/>
      </c>
      <c r="R36" s="54" t="str">
        <f>'R2'!R42</f>
        <v/>
      </c>
      <c r="S36" s="54" t="str">
        <f>'R2'!S42</f>
        <v/>
      </c>
      <c r="T36" s="54" t="str">
        <f>'R2'!T42</f>
        <v/>
      </c>
      <c r="U36" s="54" t="str">
        <f>'R2'!U42</f>
        <v/>
      </c>
      <c r="V36" s="54" t="str">
        <f>'R2'!V42</f>
        <v/>
      </c>
    </row>
    <row r="37" spans="1:22" x14ac:dyDescent="0.35">
      <c r="A37" s="230"/>
      <c r="B37" s="54" t="str">
        <f>'R2'!B43</f>
        <v/>
      </c>
      <c r="C37" s="54" t="str">
        <f>'R2'!C43</f>
        <v/>
      </c>
      <c r="D37" s="54" t="str">
        <f>'R2'!D43</f>
        <v/>
      </c>
      <c r="E37" s="54" t="str">
        <f>'R2'!E43</f>
        <v/>
      </c>
      <c r="F37" s="54" t="str">
        <f>'R2'!F43</f>
        <v/>
      </c>
      <c r="G37" s="54" t="str">
        <f>'R2'!G43</f>
        <v/>
      </c>
      <c r="H37" s="54" t="str">
        <f>'R2'!H43</f>
        <v/>
      </c>
      <c r="I37" s="54" t="str">
        <f>'R2'!I43</f>
        <v/>
      </c>
      <c r="J37" s="54" t="str">
        <f>'R2'!J43</f>
        <v/>
      </c>
      <c r="K37" s="54" t="str">
        <f>'R2'!K43</f>
        <v/>
      </c>
      <c r="L37" s="54" t="str">
        <f>'R2'!L43</f>
        <v/>
      </c>
      <c r="M37" s="54" t="str">
        <f>'R2'!M43</f>
        <v/>
      </c>
      <c r="O37" s="54">
        <f>'R2'!O43</f>
        <v>0.49826238253486282</v>
      </c>
      <c r="P37" s="54" t="str">
        <f>'R2'!P43</f>
        <v/>
      </c>
      <c r="Q37" s="54" t="str">
        <f>'R2'!Q43</f>
        <v/>
      </c>
      <c r="R37" s="54" t="str">
        <f>'R2'!R43</f>
        <v/>
      </c>
      <c r="S37" s="54" t="str">
        <f>'R2'!S43</f>
        <v/>
      </c>
      <c r="T37" s="54" t="str">
        <f>'R2'!T43</f>
        <v/>
      </c>
      <c r="U37" s="54" t="str">
        <f>'R2'!U43</f>
        <v/>
      </c>
      <c r="V37" s="54" t="str">
        <f>'R2'!V43</f>
        <v/>
      </c>
    </row>
    <row r="38" spans="1:22" s="1" customFormat="1" x14ac:dyDescent="0.35">
      <c r="A38" s="155" t="s">
        <v>116</v>
      </c>
      <c r="B38" s="156">
        <f>'R3'!B28</f>
        <v>0.12532850632910955</v>
      </c>
      <c r="C38" s="156">
        <f>'R3'!C28</f>
        <v>0.132638637889332</v>
      </c>
      <c r="D38" s="156">
        <f>'R3'!D28</f>
        <v>3.5498868827067875E-2</v>
      </c>
      <c r="E38" s="156">
        <f>'R3'!E28</f>
        <v>1.0871544519708527</v>
      </c>
      <c r="F38" s="156">
        <f>'R3'!F28</f>
        <v>0.85417001023568351</v>
      </c>
      <c r="G38" s="156">
        <f>'R3'!G28</f>
        <v>1.9322026960903325</v>
      </c>
      <c r="H38" s="156">
        <f>'R3'!H28</f>
        <v>1.4334827274078963</v>
      </c>
      <c r="I38" s="156" t="str">
        <f>'R3'!I28</f>
        <v/>
      </c>
      <c r="J38" s="156">
        <f>'R3'!J28</f>
        <v>0.16721652354791014</v>
      </c>
      <c r="K38" s="156">
        <f>'R3'!K28</f>
        <v>0.10713374622182985</v>
      </c>
      <c r="L38" s="156">
        <f>'R3'!L28</f>
        <v>5.7995399306479338E-2</v>
      </c>
      <c r="M38" s="156">
        <f>'R3'!M28</f>
        <v>0.14231568240539985</v>
      </c>
      <c r="N38"/>
      <c r="O38" s="156">
        <f>'R3'!O28</f>
        <v>1.2993938512395895</v>
      </c>
      <c r="P38" s="156">
        <f>'R3'!P28</f>
        <v>2.0352993856651054</v>
      </c>
      <c r="Q38" s="156">
        <f>'R3'!Q28</f>
        <v>2.0127549447588899E-3</v>
      </c>
      <c r="R38" s="156">
        <f>'R3'!R28</f>
        <v>0.48272081590422805</v>
      </c>
      <c r="S38" s="156" t="str">
        <f>'R3'!S28</f>
        <v/>
      </c>
      <c r="T38" s="156">
        <f>'R3'!T28</f>
        <v>0.48388014482908404</v>
      </c>
      <c r="U38" s="156" t="str">
        <f>'R3'!U28</f>
        <v/>
      </c>
      <c r="V38" s="156">
        <f>'R3'!V28</f>
        <v>0.85569831838279564</v>
      </c>
    </row>
    <row r="39" spans="1:22" s="1" customFormat="1" x14ac:dyDescent="0.35">
      <c r="A39" s="228" t="s">
        <v>34</v>
      </c>
      <c r="B39" s="156">
        <f>'R3'!B29</f>
        <v>0.19026298989757809</v>
      </c>
      <c r="C39" s="156">
        <f>'R3'!C29</f>
        <v>0.12760614733860812</v>
      </c>
      <c r="D39" s="156">
        <f>'R3'!D29</f>
        <v>0.40976254222375641</v>
      </c>
      <c r="E39" s="156">
        <f>'R3'!E29</f>
        <v>0.30895831486965153</v>
      </c>
      <c r="F39" s="156">
        <f>'R3'!F29</f>
        <v>1.3532891175817092</v>
      </c>
      <c r="G39" s="156">
        <f>'R3'!G29</f>
        <v>1.0859821114013071</v>
      </c>
      <c r="H39" s="156">
        <f>'R3'!H29</f>
        <v>1.0568483495827377</v>
      </c>
      <c r="I39" s="156">
        <f>'R3'!I29</f>
        <v>0.15983573272513518</v>
      </c>
      <c r="J39" s="156">
        <f>'R3'!J29</f>
        <v>9.8090394653092966E-2</v>
      </c>
      <c r="K39" s="156">
        <f>'R3'!K29</f>
        <v>3.0361940439498025E-2</v>
      </c>
      <c r="L39" s="156">
        <f>'R3'!L29</f>
        <v>0.21215409113467962</v>
      </c>
      <c r="M39" s="156">
        <f>'R3'!M29</f>
        <v>0.10449091746269998</v>
      </c>
      <c r="N39"/>
      <c r="O39" s="156">
        <f>'R3'!O29</f>
        <v>0.50640269859787468</v>
      </c>
      <c r="P39" s="156">
        <f>'R3'!P29</f>
        <v>1.6766324519294049</v>
      </c>
      <c r="Q39" s="156">
        <f>'R3'!Q29</f>
        <v>9.4914346971188557E-2</v>
      </c>
      <c r="R39" s="156">
        <f>'R3'!R29</f>
        <v>0.49385533696519068</v>
      </c>
      <c r="S39" s="156">
        <f>'R3'!S29</f>
        <v>0.22276659535107721</v>
      </c>
      <c r="T39" s="156">
        <f>'R3'!T29</f>
        <v>0.7723882903987116</v>
      </c>
      <c r="U39" s="156">
        <f>'R3'!U29</f>
        <v>0.14948397842152292</v>
      </c>
      <c r="V39" s="156">
        <f>'R3'!V29</f>
        <v>0.24724261921994845</v>
      </c>
    </row>
    <row r="40" spans="1:22" s="1" customFormat="1" x14ac:dyDescent="0.35">
      <c r="A40" s="229"/>
      <c r="B40" s="156">
        <f>'R3'!B30</f>
        <v>5.444658092969408E-2</v>
      </c>
      <c r="C40" s="156">
        <f>'R3'!C30</f>
        <v>0.35621057649384341</v>
      </c>
      <c r="D40" s="156">
        <f>'R3'!D30</f>
        <v>0.19573735934875253</v>
      </c>
      <c r="E40" s="156" t="str">
        <f>'R3'!E30</f>
        <v/>
      </c>
      <c r="F40" s="156">
        <f>'R3'!F30</f>
        <v>1.0319657764446921</v>
      </c>
      <c r="G40" s="156">
        <f>'R3'!G30</f>
        <v>1.2255971450900494</v>
      </c>
      <c r="H40" s="156">
        <f>'R3'!H30</f>
        <v>2.3436688159002643</v>
      </c>
      <c r="I40" s="156">
        <f>'R3'!I30</f>
        <v>8.9960443307596269E-2</v>
      </c>
      <c r="J40" s="156">
        <f>'R3'!J30</f>
        <v>9.4355277098699647E-2</v>
      </c>
      <c r="K40" s="156">
        <f>'R3'!K30</f>
        <v>0.14836583867654513</v>
      </c>
      <c r="L40" s="156">
        <f>'R3'!L30</f>
        <v>0.13336918572825937</v>
      </c>
      <c r="M40" s="156">
        <f>'R3'!M30</f>
        <v>0.14457471073110406</v>
      </c>
      <c r="N40"/>
      <c r="O40" s="156">
        <f>'R3'!O30</f>
        <v>0.66286867385791248</v>
      </c>
      <c r="P40" s="156">
        <f>'R3'!P30</f>
        <v>1.2079948887502225</v>
      </c>
      <c r="Q40" s="156">
        <f>'R3'!Q30</f>
        <v>0.14772835425658937</v>
      </c>
      <c r="R40" s="156">
        <f>'R3'!R30</f>
        <v>8.7637993985259538E-2</v>
      </c>
      <c r="S40" s="156">
        <f>'R3'!S30</f>
        <v>0.16031492316300675</v>
      </c>
      <c r="T40" s="156">
        <f>'R3'!T30</f>
        <v>1.282880436901731</v>
      </c>
      <c r="U40" s="156">
        <f>'R3'!U30</f>
        <v>3.4581849470867683E-2</v>
      </c>
      <c r="V40" s="156" t="str">
        <f>'R3'!V30</f>
        <v/>
      </c>
    </row>
    <row r="41" spans="1:22" s="1" customFormat="1" x14ac:dyDescent="0.35">
      <c r="A41" s="229"/>
      <c r="B41" s="156">
        <f>'R3'!B31</f>
        <v>0.12365491584460286</v>
      </c>
      <c r="C41" s="156">
        <f>'R3'!C31</f>
        <v>0.14642736212729879</v>
      </c>
      <c r="D41" s="156">
        <f>'R3'!D31</f>
        <v>3.2911705779656242E-2</v>
      </c>
      <c r="E41" s="156">
        <f>'R3'!E31</f>
        <v>0.71585053997679182</v>
      </c>
      <c r="F41" s="156">
        <f>'R3'!F31</f>
        <v>1.0375314859181906</v>
      </c>
      <c r="G41" s="156" t="str">
        <f>'R3'!G31</f>
        <v/>
      </c>
      <c r="H41" s="156">
        <f>'R3'!H31</f>
        <v>1.8892001582595139</v>
      </c>
      <c r="I41" s="156">
        <f>'R3'!I31</f>
        <v>0.23780047366695159</v>
      </c>
      <c r="J41" s="156">
        <f>'R3'!J31</f>
        <v>6.9353617252303421E-2</v>
      </c>
      <c r="K41" s="156">
        <f>'R3'!K31</f>
        <v>0.23323037043678496</v>
      </c>
      <c r="L41" s="156" t="str">
        <f>'R3'!L31</f>
        <v/>
      </c>
      <c r="M41" s="156">
        <f>'R3'!M31</f>
        <v>9.4392674805953078E-2</v>
      </c>
      <c r="N41"/>
      <c r="O41" s="156">
        <f>'R3'!O31</f>
        <v>1.1943180129546864</v>
      </c>
      <c r="P41" s="156" t="str">
        <f>'R3'!P31</f>
        <v/>
      </c>
      <c r="Q41" s="156">
        <f>'R3'!Q31</f>
        <v>0.18928461762072255</v>
      </c>
      <c r="R41" s="156">
        <f>'R3'!R31</f>
        <v>4.9727231549843279E-2</v>
      </c>
      <c r="S41" s="156">
        <f>'R3'!S31</f>
        <v>0.46442523709306238</v>
      </c>
      <c r="T41" s="156">
        <f>'R3'!T31</f>
        <v>7.3251251110567567E-3</v>
      </c>
      <c r="U41" s="156">
        <f>'R3'!U31</f>
        <v>0.10481508837211787</v>
      </c>
      <c r="V41" s="156">
        <f>'R3'!V31</f>
        <v>0.44781479552394249</v>
      </c>
    </row>
    <row r="42" spans="1:22" s="1" customFormat="1" x14ac:dyDescent="0.35">
      <c r="A42" s="229"/>
      <c r="B42" s="156">
        <f>'R3'!B32</f>
        <v>5.2567733904455495E-2</v>
      </c>
      <c r="C42" s="156">
        <f>'R3'!C32</f>
        <v>1.3471791594468914E-2</v>
      </c>
      <c r="D42" s="156">
        <f>'R3'!D32</f>
        <v>0.38753804990517221</v>
      </c>
      <c r="E42" s="156">
        <f>'R3'!E32</f>
        <v>0.4429015640212341</v>
      </c>
      <c r="F42" s="156">
        <f>'R3'!F32</f>
        <v>0.98529895266169776</v>
      </c>
      <c r="G42" s="156">
        <f>'R3'!G32</f>
        <v>2.1679678383164416</v>
      </c>
      <c r="H42" s="156">
        <f>'R3'!H32</f>
        <v>2.5514092882203809</v>
      </c>
      <c r="I42" s="156">
        <f>'R3'!I32</f>
        <v>4.4221668619346878E-2</v>
      </c>
      <c r="J42" s="156">
        <f>'R3'!J32</f>
        <v>0.1029215924753745</v>
      </c>
      <c r="K42" s="156">
        <f>'R3'!K32</f>
        <v>1.1604318987104642E-2</v>
      </c>
      <c r="L42" s="156">
        <f>'R3'!L32</f>
        <v>0.35813776479504783</v>
      </c>
      <c r="M42" s="156">
        <f>'R3'!M32</f>
        <v>0.24347225820411125</v>
      </c>
      <c r="N42"/>
      <c r="O42" s="156">
        <f>'R3'!O32</f>
        <v>0.46361265557370818</v>
      </c>
      <c r="P42" s="156">
        <f>'R3'!P32</f>
        <v>1.6784776927200149</v>
      </c>
      <c r="Q42" s="156">
        <f>'R3'!Q32</f>
        <v>0.22400433882340004</v>
      </c>
      <c r="R42" s="156" t="str">
        <f>'R3'!R32</f>
        <v/>
      </c>
      <c r="S42" s="156">
        <f>'R3'!S32</f>
        <v>0.28568263676584971</v>
      </c>
      <c r="T42" s="156">
        <f>'R3'!T32</f>
        <v>0.66850125112133885</v>
      </c>
      <c r="U42" s="156">
        <f>'R3'!U32</f>
        <v>0.64187063676360934</v>
      </c>
      <c r="V42" s="156">
        <f>'R3'!V32</f>
        <v>0.58184007835595197</v>
      </c>
    </row>
    <row r="43" spans="1:22" s="1" customFormat="1" x14ac:dyDescent="0.35">
      <c r="A43" s="229"/>
      <c r="B43" s="156">
        <f>'R3'!B33</f>
        <v>0.20107540812509997</v>
      </c>
      <c r="C43" s="156">
        <f>'R3'!C33</f>
        <v>9.756475867556795E-2</v>
      </c>
      <c r="D43" s="156">
        <f>'R3'!D33</f>
        <v>4.8461741391493715E-2</v>
      </c>
      <c r="E43" s="156">
        <f>'R3'!E33</f>
        <v>0.90154532238051566</v>
      </c>
      <c r="F43" s="156" t="str">
        <f>'R3'!F33</f>
        <v/>
      </c>
      <c r="G43" s="156">
        <f>'R3'!G33</f>
        <v>1.7204029353064041</v>
      </c>
      <c r="H43" s="156">
        <f>'R3'!H33</f>
        <v>2.1691643926088862</v>
      </c>
      <c r="I43" s="156">
        <f>'R3'!I33</f>
        <v>5.5270536866922626E-2</v>
      </c>
      <c r="J43" s="156">
        <f>'R3'!J33</f>
        <v>4.13809939250699E-2</v>
      </c>
      <c r="K43" s="156">
        <f>'R3'!K33</f>
        <v>6.0370067547239059E-2</v>
      </c>
      <c r="L43" s="156">
        <f>'R3'!L33</f>
        <v>0.26992941268925746</v>
      </c>
      <c r="M43" s="156">
        <f>'R3'!M33</f>
        <v>0.18044617791338805</v>
      </c>
      <c r="N43"/>
      <c r="O43" s="156">
        <f>'R3'!O33</f>
        <v>0.91200513365393387</v>
      </c>
      <c r="P43" s="156">
        <f>'R3'!P33</f>
        <v>1.6043749113258567</v>
      </c>
      <c r="Q43" s="156">
        <f>'R3'!Q33</f>
        <v>7.9794988181592058E-2</v>
      </c>
      <c r="R43" s="156">
        <f>'R3'!R33</f>
        <v>0.22527913532364677</v>
      </c>
      <c r="S43" s="156">
        <f>'R3'!S33</f>
        <v>0.17947693963876485</v>
      </c>
      <c r="T43" s="156">
        <f>'R3'!T33</f>
        <v>0.71602184560356552</v>
      </c>
      <c r="U43" s="156">
        <f>'R3'!U33</f>
        <v>0.36950709864924908</v>
      </c>
      <c r="V43" s="156">
        <f>'R3'!V33</f>
        <v>0.50971661801158885</v>
      </c>
    </row>
    <row r="44" spans="1:22" s="1" customFormat="1" x14ac:dyDescent="0.35">
      <c r="A44" s="229"/>
      <c r="B44" s="156">
        <f>'R3'!B34</f>
        <v>0.14293438180189652</v>
      </c>
      <c r="C44" s="156">
        <f>'R3'!C34</f>
        <v>0.10554563621104525</v>
      </c>
      <c r="D44" s="156">
        <f>'R3'!D34</f>
        <v>0.17473914991478448</v>
      </c>
      <c r="E44" s="156">
        <f>'R3'!E34</f>
        <v>0.41320675042403093</v>
      </c>
      <c r="F44" s="156">
        <f>'R3'!F34</f>
        <v>1.4943820500656204</v>
      </c>
      <c r="G44" s="156">
        <f>'R3'!G34</f>
        <v>1.5863292250285965</v>
      </c>
      <c r="H44" s="156">
        <f>'R3'!H34</f>
        <v>1.7797963539734352</v>
      </c>
      <c r="I44" s="156">
        <f>'R3'!I34</f>
        <v>0.1357064562617657</v>
      </c>
      <c r="J44" s="156">
        <f>'R3'!J34</f>
        <v>6.178066770331847E-2</v>
      </c>
      <c r="K44" s="156">
        <f>'R3'!K34</f>
        <v>0.18828177311147071</v>
      </c>
      <c r="L44" s="156">
        <f>'R3'!L34</f>
        <v>0.20769945547990371</v>
      </c>
      <c r="M44" s="156" t="str">
        <f>'R3'!M34</f>
        <v/>
      </c>
      <c r="N44"/>
      <c r="O44" s="156">
        <f>'R3'!O34</f>
        <v>1.2791637596914671</v>
      </c>
      <c r="P44" s="156">
        <f>'R3'!P34</f>
        <v>1.5526197589407555</v>
      </c>
      <c r="Q44" s="156">
        <f>'R3'!Q34</f>
        <v>0.21992609299646498</v>
      </c>
      <c r="R44" s="156">
        <f>'R3'!R34</f>
        <v>0.69115822982864394</v>
      </c>
      <c r="S44" s="156">
        <f>'R3'!S34</f>
        <v>0.12775539348829226</v>
      </c>
      <c r="T44" s="156">
        <f>'R3'!T34</f>
        <v>0.7091778928365251</v>
      </c>
      <c r="U44" s="156">
        <f>'R3'!U34</f>
        <v>1.5417199645031991</v>
      </c>
      <c r="V44" s="156">
        <f>'R3'!V34</f>
        <v>0.47326729593335692</v>
      </c>
    </row>
    <row r="45" spans="1:22" s="1" customFormat="1" x14ac:dyDescent="0.35">
      <c r="A45" s="229"/>
      <c r="B45" s="156">
        <f>'R3'!B35</f>
        <v>9.0154153090789085E-2</v>
      </c>
      <c r="C45" s="156">
        <f>'R3'!C35</f>
        <v>0.13320908217969521</v>
      </c>
      <c r="D45" s="156">
        <f>'R3'!D35</f>
        <v>0.14992396158566107</v>
      </c>
      <c r="E45" s="156">
        <f>'R3'!E35</f>
        <v>0.41181269487576871</v>
      </c>
      <c r="F45" s="156">
        <f>'R3'!F35</f>
        <v>0.5697735443879548</v>
      </c>
      <c r="G45" s="156">
        <f>'R3'!G35</f>
        <v>1.6094184316151254</v>
      </c>
      <c r="H45" s="156">
        <f>'R3'!H35</f>
        <v>1.5594301054731674</v>
      </c>
      <c r="I45" s="156">
        <f>'R3'!I35</f>
        <v>0.10705171254140299</v>
      </c>
      <c r="J45" s="156">
        <f>'R3'!J35</f>
        <v>0.10042766518659925</v>
      </c>
      <c r="K45" s="156">
        <f>'R3'!K35</f>
        <v>7.755819167264219E-2</v>
      </c>
      <c r="L45" s="156">
        <f>'R3'!L35</f>
        <v>0.20163085886462886</v>
      </c>
      <c r="M45" s="156">
        <f>'R3'!M35</f>
        <v>0.2812019778216947</v>
      </c>
      <c r="N45"/>
      <c r="O45" s="156">
        <f>'R3'!O35</f>
        <v>0.70284079102355068</v>
      </c>
      <c r="P45" s="156">
        <f>'R3'!P35</f>
        <v>1.8671174153151968</v>
      </c>
      <c r="Q45" s="156">
        <f>'R3'!Q35</f>
        <v>9.670374971041551E-2</v>
      </c>
      <c r="R45" s="156">
        <f>'R3'!R35</f>
        <v>0.32773110221254398</v>
      </c>
      <c r="S45" s="156">
        <f>'R3'!S35</f>
        <v>3.5264142203661622E-3</v>
      </c>
      <c r="T45" s="156">
        <f>'R3'!T35</f>
        <v>0.16784659736228111</v>
      </c>
      <c r="U45" s="156">
        <f>'R3'!U35</f>
        <v>0.37717130205072569</v>
      </c>
      <c r="V45" s="156">
        <f>'R3'!V35</f>
        <v>0.45863238394140721</v>
      </c>
    </row>
    <row r="46" spans="1:22" s="1" customFormat="1" x14ac:dyDescent="0.35">
      <c r="A46" s="229"/>
      <c r="B46" s="156" t="str">
        <f>'R3'!B36</f>
        <v/>
      </c>
      <c r="C46" s="156" t="str">
        <f>'R3'!C36</f>
        <v/>
      </c>
      <c r="D46" s="156" t="str">
        <f>'R3'!D36</f>
        <v/>
      </c>
      <c r="E46" s="156" t="str">
        <f>'R3'!E36</f>
        <v/>
      </c>
      <c r="F46" s="156" t="str">
        <f>'R3'!F36</f>
        <v/>
      </c>
      <c r="G46" s="156" t="str">
        <f>'R3'!G36</f>
        <v/>
      </c>
      <c r="H46" s="156" t="str">
        <f>'R3'!H36</f>
        <v/>
      </c>
      <c r="I46" s="156" t="str">
        <f>'R3'!I36</f>
        <v/>
      </c>
      <c r="J46" s="156" t="str">
        <f>'R3'!J36</f>
        <v/>
      </c>
      <c r="K46" s="156" t="str">
        <f>'R3'!K36</f>
        <v/>
      </c>
      <c r="L46" s="156" t="str">
        <f>'R3'!L36</f>
        <v/>
      </c>
      <c r="M46" s="156" t="str">
        <f>'R3'!M36</f>
        <v/>
      </c>
      <c r="N46"/>
      <c r="O46" s="156">
        <f>'R3'!O36</f>
        <v>0.41618908832274254</v>
      </c>
      <c r="P46" s="156" t="str">
        <f>'R3'!P36</f>
        <v/>
      </c>
      <c r="Q46" s="156" t="str">
        <f>'R3'!Q36</f>
        <v/>
      </c>
      <c r="R46" s="156" t="str">
        <f>'R3'!R36</f>
        <v/>
      </c>
      <c r="S46" s="156" t="str">
        <f>'R3'!S36</f>
        <v/>
      </c>
      <c r="T46" s="156" t="str">
        <f>'R3'!T36</f>
        <v/>
      </c>
      <c r="U46" s="156" t="str">
        <f>'R3'!U36</f>
        <v/>
      </c>
      <c r="V46" s="156" t="str">
        <f>'R3'!V36</f>
        <v/>
      </c>
    </row>
    <row r="47" spans="1:22" s="1" customFormat="1" x14ac:dyDescent="0.35">
      <c r="A47" s="229"/>
      <c r="B47" s="156" t="str">
        <f>'R3'!B37</f>
        <v/>
      </c>
      <c r="C47" s="156" t="str">
        <f>'R3'!C37</f>
        <v/>
      </c>
      <c r="D47" s="156" t="str">
        <f>'R3'!D37</f>
        <v/>
      </c>
      <c r="E47" s="156" t="str">
        <f>'R3'!E37</f>
        <v/>
      </c>
      <c r="F47" s="156" t="str">
        <f>'R3'!F37</f>
        <v/>
      </c>
      <c r="G47" s="156" t="str">
        <f>'R3'!G37</f>
        <v/>
      </c>
      <c r="H47" s="156" t="str">
        <f>'R3'!H37</f>
        <v/>
      </c>
      <c r="I47" s="156" t="str">
        <f>'R3'!I37</f>
        <v/>
      </c>
      <c r="J47" s="156" t="str">
        <f>'R3'!J37</f>
        <v/>
      </c>
      <c r="K47" s="156" t="str">
        <f>'R3'!K37</f>
        <v/>
      </c>
      <c r="L47" s="156" t="str">
        <f>'R3'!L37</f>
        <v/>
      </c>
      <c r="M47" s="156" t="str">
        <f>'R3'!M37</f>
        <v/>
      </c>
      <c r="N47"/>
      <c r="O47" s="156">
        <f>'R3'!O37</f>
        <v>1.1047935889989386</v>
      </c>
      <c r="P47" s="156" t="str">
        <f>'R3'!P37</f>
        <v/>
      </c>
      <c r="Q47" s="156" t="str">
        <f>'R3'!Q37</f>
        <v/>
      </c>
      <c r="R47" s="156" t="str">
        <f>'R3'!R37</f>
        <v/>
      </c>
      <c r="S47" s="156" t="str">
        <f>'R3'!S37</f>
        <v/>
      </c>
      <c r="T47" s="156" t="str">
        <f>'R3'!T37</f>
        <v/>
      </c>
      <c r="U47" s="156" t="str">
        <f>'R3'!U37</f>
        <v/>
      </c>
      <c r="V47" s="156" t="str">
        <f>'R3'!V37</f>
        <v/>
      </c>
    </row>
    <row r="48" spans="1:22" s="1" customFormat="1" x14ac:dyDescent="0.35">
      <c r="A48" s="229"/>
      <c r="B48" s="156" t="str">
        <f>'R3'!B38</f>
        <v/>
      </c>
      <c r="C48" s="156" t="str">
        <f>'R3'!C38</f>
        <v/>
      </c>
      <c r="D48" s="156" t="str">
        <f>'R3'!D38</f>
        <v/>
      </c>
      <c r="E48" s="156" t="str">
        <f>'R3'!E38</f>
        <v/>
      </c>
      <c r="F48" s="156" t="str">
        <f>'R3'!F38</f>
        <v/>
      </c>
      <c r="G48" s="156" t="str">
        <f>'R3'!G38</f>
        <v/>
      </c>
      <c r="H48" s="156" t="str">
        <f>'R3'!H38</f>
        <v/>
      </c>
      <c r="I48" s="156" t="str">
        <f>'R3'!I38</f>
        <v/>
      </c>
      <c r="J48" s="156" t="str">
        <f>'R3'!J38</f>
        <v/>
      </c>
      <c r="K48" s="156" t="str">
        <f>'R3'!K38</f>
        <v/>
      </c>
      <c r="L48" s="156" t="str">
        <f>'R3'!L38</f>
        <v/>
      </c>
      <c r="M48" s="156" t="str">
        <f>'R3'!M38</f>
        <v/>
      </c>
      <c r="N48"/>
      <c r="O48" s="156">
        <f>'R3'!O38</f>
        <v>0.77538906864155277</v>
      </c>
      <c r="P48" s="156" t="str">
        <f>'R3'!P38</f>
        <v/>
      </c>
      <c r="Q48" s="156" t="str">
        <f>'R3'!Q38</f>
        <v/>
      </c>
      <c r="R48" s="156" t="str">
        <f>'R3'!R38</f>
        <v/>
      </c>
      <c r="S48" s="156" t="str">
        <f>'R3'!S38</f>
        <v/>
      </c>
      <c r="T48" s="156" t="str">
        <f>'R3'!T38</f>
        <v/>
      </c>
      <c r="U48" s="156" t="str">
        <f>'R3'!U38</f>
        <v/>
      </c>
      <c r="V48" s="156" t="str">
        <f>'R3'!V38</f>
        <v/>
      </c>
    </row>
    <row r="49" spans="1:24" s="1" customFormat="1" x14ac:dyDescent="0.35">
      <c r="A49" s="229"/>
      <c r="B49" s="156" t="str">
        <f>'R3'!B39</f>
        <v/>
      </c>
      <c r="C49" s="156" t="str">
        <f>'R3'!C39</f>
        <v/>
      </c>
      <c r="D49" s="156" t="str">
        <f>'R3'!D39</f>
        <v/>
      </c>
      <c r="E49" s="156" t="str">
        <f>'R3'!E39</f>
        <v/>
      </c>
      <c r="F49" s="156" t="str">
        <f>'R3'!F39</f>
        <v/>
      </c>
      <c r="G49" s="156" t="str">
        <f>'R3'!G39</f>
        <v/>
      </c>
      <c r="H49" s="156" t="str">
        <f>'R3'!H39</f>
        <v/>
      </c>
      <c r="I49" s="156" t="str">
        <f>'R3'!I39</f>
        <v/>
      </c>
      <c r="J49" s="156" t="str">
        <f>'R3'!J39</f>
        <v/>
      </c>
      <c r="K49" s="156" t="str">
        <f>'R3'!K39</f>
        <v/>
      </c>
      <c r="L49" s="156" t="str">
        <f>'R3'!L39</f>
        <v/>
      </c>
      <c r="M49" s="156" t="str">
        <f>'R3'!M39</f>
        <v/>
      </c>
      <c r="N49"/>
      <c r="O49" s="156">
        <f>'R3'!O39</f>
        <v>1.7876279853592285</v>
      </c>
      <c r="P49" s="156" t="str">
        <f>'R3'!P39</f>
        <v/>
      </c>
      <c r="Q49" s="156" t="str">
        <f>'R3'!Q39</f>
        <v/>
      </c>
      <c r="R49" s="156" t="str">
        <f>'R3'!R39</f>
        <v/>
      </c>
      <c r="S49" s="156" t="str">
        <f>'R3'!S39</f>
        <v/>
      </c>
      <c r="T49" s="156" t="str">
        <f>'R3'!T39</f>
        <v/>
      </c>
      <c r="U49" s="156" t="str">
        <f>'R3'!U39</f>
        <v/>
      </c>
      <c r="V49" s="156" t="str">
        <f>'R3'!V39</f>
        <v/>
      </c>
    </row>
    <row r="50" spans="1:24" s="1" customFormat="1" x14ac:dyDescent="0.35">
      <c r="A50" s="229"/>
      <c r="B50" s="156" t="str">
        <f>'R3'!B40</f>
        <v/>
      </c>
      <c r="C50" s="156" t="str">
        <f>'R3'!C40</f>
        <v/>
      </c>
      <c r="D50" s="156" t="str">
        <f>'R3'!D40</f>
        <v/>
      </c>
      <c r="E50" s="156" t="str">
        <f>'R3'!E40</f>
        <v/>
      </c>
      <c r="F50" s="156" t="str">
        <f>'R3'!F40</f>
        <v/>
      </c>
      <c r="G50" s="156" t="str">
        <f>'R3'!G40</f>
        <v/>
      </c>
      <c r="H50" s="156" t="str">
        <f>'R3'!H40</f>
        <v/>
      </c>
      <c r="I50" s="156" t="str">
        <f>'R3'!I40</f>
        <v/>
      </c>
      <c r="J50" s="156" t="str">
        <f>'R3'!J40</f>
        <v/>
      </c>
      <c r="K50" s="156" t="str">
        <f>'R3'!K40</f>
        <v/>
      </c>
      <c r="L50" s="156" t="str">
        <f>'R3'!L40</f>
        <v/>
      </c>
      <c r="M50" s="156" t="str">
        <f>'R3'!M40</f>
        <v/>
      </c>
      <c r="N50"/>
      <c r="O50" s="156">
        <f>'R3'!O40</f>
        <v>0.49569695862284058</v>
      </c>
      <c r="P50" s="156" t="str">
        <f>'R3'!P40</f>
        <v/>
      </c>
      <c r="Q50" s="156" t="str">
        <f>'R3'!Q40</f>
        <v/>
      </c>
      <c r="R50" s="156" t="str">
        <f>'R3'!R40</f>
        <v/>
      </c>
      <c r="S50" s="156" t="str">
        <f>'R3'!S40</f>
        <v/>
      </c>
      <c r="T50" s="156" t="str">
        <f>'R3'!T40</f>
        <v/>
      </c>
      <c r="U50" s="156" t="str">
        <f>'R3'!U40</f>
        <v/>
      </c>
      <c r="V50" s="156" t="str">
        <f>'R3'!V40</f>
        <v/>
      </c>
    </row>
    <row r="51" spans="1:24" s="1" customFormat="1" x14ac:dyDescent="0.35">
      <c r="A51" s="229"/>
      <c r="B51" s="156" t="str">
        <f>'R3'!B41</f>
        <v/>
      </c>
      <c r="C51" s="156" t="str">
        <f>'R3'!C41</f>
        <v/>
      </c>
      <c r="D51" s="156" t="str">
        <f>'R3'!D41</f>
        <v/>
      </c>
      <c r="E51" s="156" t="str">
        <f>'R3'!E41</f>
        <v/>
      </c>
      <c r="F51" s="156" t="str">
        <f>'R3'!F41</f>
        <v/>
      </c>
      <c r="G51" s="156" t="str">
        <f>'R3'!G41</f>
        <v/>
      </c>
      <c r="H51" s="156" t="str">
        <f>'R3'!H41</f>
        <v/>
      </c>
      <c r="I51" s="156" t="str">
        <f>'R3'!I41</f>
        <v/>
      </c>
      <c r="J51" s="156" t="str">
        <f>'R3'!J41</f>
        <v/>
      </c>
      <c r="K51" s="156" t="str">
        <f>'R3'!K41</f>
        <v/>
      </c>
      <c r="L51" s="156" t="str">
        <f>'R3'!L41</f>
        <v/>
      </c>
      <c r="M51" s="156" t="str">
        <f>'R3'!M41</f>
        <v/>
      </c>
      <c r="N51"/>
      <c r="O51" s="156">
        <f>'R3'!O41</f>
        <v>2.0176712783755644</v>
      </c>
      <c r="P51" s="156" t="str">
        <f>'R3'!P41</f>
        <v/>
      </c>
      <c r="Q51" s="156" t="str">
        <f>'R3'!Q41</f>
        <v/>
      </c>
      <c r="R51" s="156" t="str">
        <f>'R3'!R41</f>
        <v/>
      </c>
      <c r="S51" s="156" t="str">
        <f>'R3'!S41</f>
        <v/>
      </c>
      <c r="T51" s="156" t="str">
        <f>'R3'!T41</f>
        <v/>
      </c>
      <c r="U51" s="156" t="str">
        <f>'R3'!U41</f>
        <v/>
      </c>
      <c r="V51" s="156" t="str">
        <f>'R3'!V41</f>
        <v/>
      </c>
    </row>
    <row r="52" spans="1:24" s="1" customFormat="1" x14ac:dyDescent="0.35">
      <c r="A52" s="229"/>
      <c r="B52" s="156" t="str">
        <f>'R3'!B42</f>
        <v/>
      </c>
      <c r="C52" s="156" t="str">
        <f>'R3'!C42</f>
        <v/>
      </c>
      <c r="D52" s="156" t="str">
        <f>'R3'!D42</f>
        <v/>
      </c>
      <c r="E52" s="156" t="str">
        <f>'R3'!E42</f>
        <v/>
      </c>
      <c r="F52" s="156" t="str">
        <f>'R3'!F42</f>
        <v/>
      </c>
      <c r="G52" s="156" t="str">
        <f>'R3'!G42</f>
        <v/>
      </c>
      <c r="H52" s="156" t="str">
        <f>'R3'!H42</f>
        <v/>
      </c>
      <c r="I52" s="156" t="str">
        <f>'R3'!I42</f>
        <v/>
      </c>
      <c r="J52" s="156" t="str">
        <f>'R3'!J42</f>
        <v/>
      </c>
      <c r="K52" s="156" t="str">
        <f>'R3'!K42</f>
        <v/>
      </c>
      <c r="L52" s="156" t="str">
        <f>'R3'!L42</f>
        <v/>
      </c>
      <c r="M52" s="156" t="str">
        <f>'R3'!M42</f>
        <v/>
      </c>
      <c r="N52"/>
      <c r="O52" s="156">
        <f>'R3'!O42</f>
        <v>1.1140718395307465</v>
      </c>
      <c r="P52" s="156" t="str">
        <f>'R3'!P42</f>
        <v/>
      </c>
      <c r="Q52" s="156" t="str">
        <f>'R3'!Q42</f>
        <v/>
      </c>
      <c r="R52" s="156" t="str">
        <f>'R3'!R42</f>
        <v/>
      </c>
      <c r="S52" s="156" t="str">
        <f>'R3'!S42</f>
        <v/>
      </c>
      <c r="T52" s="156" t="str">
        <f>'R3'!T42</f>
        <v/>
      </c>
      <c r="U52" s="156" t="str">
        <f>'R3'!U42</f>
        <v/>
      </c>
      <c r="V52" s="156" t="str">
        <f>'R3'!V42</f>
        <v/>
      </c>
    </row>
    <row r="53" spans="1:24" s="1" customFormat="1" x14ac:dyDescent="0.35">
      <c r="A53" s="230"/>
      <c r="B53" s="156" t="str">
        <f>'R3'!B43</f>
        <v/>
      </c>
      <c r="C53" s="156" t="str">
        <f>'R3'!C43</f>
        <v/>
      </c>
      <c r="D53" s="156" t="str">
        <f>'R3'!D43</f>
        <v/>
      </c>
      <c r="E53" s="156" t="str">
        <f>'R3'!E43</f>
        <v/>
      </c>
      <c r="F53" s="156" t="str">
        <f>'R3'!F43</f>
        <v/>
      </c>
      <c r="G53" s="156" t="str">
        <f>'R3'!G43</f>
        <v/>
      </c>
      <c r="H53" s="156" t="str">
        <f>'R3'!H43</f>
        <v/>
      </c>
      <c r="I53" s="156" t="str">
        <f>'R3'!I43</f>
        <v/>
      </c>
      <c r="J53" s="156" t="str">
        <f>'R3'!J43</f>
        <v/>
      </c>
      <c r="K53" s="156" t="str">
        <f>'R3'!K43</f>
        <v/>
      </c>
      <c r="L53" s="156" t="str">
        <f>'R3'!L43</f>
        <v/>
      </c>
      <c r="M53" s="156" t="str">
        <f>'R3'!M43</f>
        <v/>
      </c>
      <c r="N53"/>
      <c r="O53" s="156">
        <f>'R3'!O43</f>
        <v>1.2679546155556625</v>
      </c>
      <c r="P53" s="156" t="str">
        <f>'R3'!P43</f>
        <v/>
      </c>
      <c r="Q53" s="156" t="str">
        <f>'R3'!Q43</f>
        <v/>
      </c>
      <c r="R53" s="156" t="str">
        <f>'R3'!R43</f>
        <v/>
      </c>
      <c r="S53" s="156" t="str">
        <f>'R3'!S43</f>
        <v/>
      </c>
      <c r="T53" s="156" t="str">
        <f>'R3'!T43</f>
        <v/>
      </c>
      <c r="U53" s="156" t="str">
        <f>'R3'!U43</f>
        <v/>
      </c>
      <c r="V53" s="156" t="str">
        <f>'R3'!V43</f>
        <v/>
      </c>
    </row>
    <row r="54" spans="1:24" s="60" customFormat="1" x14ac:dyDescent="0.35">
      <c r="A54" s="58"/>
      <c r="B54" s="59"/>
      <c r="C54" s="59"/>
      <c r="D54" s="59"/>
      <c r="E54" s="59"/>
      <c r="F54" s="59"/>
      <c r="G54" s="59"/>
      <c r="H54" s="59"/>
      <c r="I54" s="59"/>
      <c r="J54" s="59"/>
      <c r="K54" s="59"/>
      <c r="L54" s="59"/>
      <c r="M54" s="59"/>
      <c r="N54"/>
      <c r="O54" s="59"/>
      <c r="P54" s="59"/>
      <c r="Q54" s="59"/>
      <c r="R54" s="59"/>
      <c r="S54" s="59"/>
      <c r="T54" s="59"/>
      <c r="U54" s="59"/>
      <c r="V54" s="59"/>
    </row>
    <row r="55" spans="1:24" s="41" customFormat="1" x14ac:dyDescent="0.35">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Cefuroxime-0.001mg/L</v>
      </c>
      <c r="J55" s="15" t="str">
        <f t="shared" si="0"/>
        <v>Cefuroxime-0.01mg/L</v>
      </c>
      <c r="K55" s="15" t="str">
        <f t="shared" si="0"/>
        <v>Cefuroxime-0.1mg/L</v>
      </c>
      <c r="L55" s="15" t="str">
        <f t="shared" si="0"/>
        <v>Cefuroxime-1mg/L</v>
      </c>
      <c r="M55" s="15" t="str">
        <f t="shared" si="0"/>
        <v>Cefuroxime-10mg/L</v>
      </c>
      <c r="O55" s="15" t="str">
        <f t="shared" ref="O55:V55" si="1">O4</f>
        <v>Testo -30µg/L</v>
      </c>
      <c r="P55" s="15" t="str">
        <f t="shared" si="1"/>
        <v>Testo 30µg/L + EE2 -64ng/L</v>
      </c>
      <c r="Q55" s="15" t="str">
        <f t="shared" si="1"/>
        <v>Testo 30µg/L + FAD-10mg/L</v>
      </c>
      <c r="R55" s="15" t="str">
        <f t="shared" si="1"/>
        <v>Cefuroxime-0,001mg/L + Testostérone</v>
      </c>
      <c r="S55" s="15" t="str">
        <f t="shared" si="1"/>
        <v>Cefuroxime-0,01mg/L + Testostérone</v>
      </c>
      <c r="T55" s="15" t="str">
        <f t="shared" si="1"/>
        <v>Cefuroxime-0,1mg/L + Testostérone</v>
      </c>
      <c r="U55" s="15" t="str">
        <f t="shared" si="1"/>
        <v>Cefuroxime-1mg/L + Testostérone</v>
      </c>
      <c r="V55" s="15" t="str">
        <f t="shared" si="1"/>
        <v>Cefuroxime-10mg/L + Testostérone</v>
      </c>
    </row>
    <row r="56" spans="1:24" x14ac:dyDescent="0.35">
      <c r="A56" t="s">
        <v>48</v>
      </c>
      <c r="B56" s="9">
        <f t="shared" ref="B56:V56" si="2">AVERAGE(B6:B53)</f>
        <v>0.14437035012603847</v>
      </c>
      <c r="C56" s="9">
        <f t="shared" si="2"/>
        <v>0.14889571088107822</v>
      </c>
      <c r="D56" s="9">
        <f t="shared" si="2"/>
        <v>0.14477282275766465</v>
      </c>
      <c r="E56" s="9">
        <f t="shared" si="2"/>
        <v>0.52987312831989786</v>
      </c>
      <c r="F56" s="9">
        <f t="shared" si="2"/>
        <v>1.3655568876309587</v>
      </c>
      <c r="G56" s="9">
        <f t="shared" si="2"/>
        <v>1.7462862383978803</v>
      </c>
      <c r="H56" s="9">
        <f t="shared" si="2"/>
        <v>2.5893969972570487</v>
      </c>
      <c r="I56" s="9">
        <f t="shared" si="2"/>
        <v>0.12241064887125315</v>
      </c>
      <c r="J56" s="9">
        <f t="shared" si="2"/>
        <v>9.3724768808430947E-2</v>
      </c>
      <c r="K56" s="9">
        <f t="shared" si="2"/>
        <v>0.12324828240617017</v>
      </c>
      <c r="L56" s="9">
        <f t="shared" si="2"/>
        <v>0.14239424441441711</v>
      </c>
      <c r="M56" s="9">
        <f t="shared" si="2"/>
        <v>0.15774997942028154</v>
      </c>
      <c r="N56" s="9"/>
      <c r="O56" s="9">
        <f t="shared" si="2"/>
        <v>0.99999999999999967</v>
      </c>
      <c r="P56" s="9">
        <f t="shared" si="2"/>
        <v>2.3361172704334798</v>
      </c>
      <c r="Q56" s="9">
        <f t="shared" si="2"/>
        <v>0.14136154471300608</v>
      </c>
      <c r="R56" s="9">
        <f t="shared" si="2"/>
        <v>0.59068966956247471</v>
      </c>
      <c r="S56" s="9">
        <f t="shared" si="2"/>
        <v>0.70537749584687848</v>
      </c>
      <c r="T56" s="9">
        <f t="shared" si="2"/>
        <v>0.99247156500392864</v>
      </c>
      <c r="U56" s="9">
        <f t="shared" si="2"/>
        <v>0.77289233026502424</v>
      </c>
      <c r="V56" s="9">
        <f t="shared" si="2"/>
        <v>0.74509474662196407</v>
      </c>
    </row>
    <row r="57" spans="1:24" x14ac:dyDescent="0.35">
      <c r="A57" t="s">
        <v>1</v>
      </c>
      <c r="B57" s="3">
        <f>STDEV(B6:B53)</f>
        <v>9.9440693633036648E-2</v>
      </c>
      <c r="C57" s="3">
        <f t="shared" ref="C57:V57" si="3">STDEV(C6:C53)</f>
        <v>0.12351282448713581</v>
      </c>
      <c r="D57" s="3">
        <f t="shared" si="3"/>
        <v>0.12983552861031744</v>
      </c>
      <c r="E57" s="3">
        <f t="shared" si="3"/>
        <v>0.46040938088363959</v>
      </c>
      <c r="F57" s="3">
        <f t="shared" si="3"/>
        <v>0.598888297802743</v>
      </c>
      <c r="G57" s="3">
        <f t="shared" si="3"/>
        <v>0.72072222481548365</v>
      </c>
      <c r="H57" s="3">
        <f t="shared" si="3"/>
        <v>0.94720773257939772</v>
      </c>
      <c r="I57" s="3">
        <f t="shared" si="3"/>
        <v>8.5196976158012028E-2</v>
      </c>
      <c r="J57" s="3">
        <f t="shared" si="3"/>
        <v>5.864053013572789E-2</v>
      </c>
      <c r="K57" s="3">
        <f t="shared" si="3"/>
        <v>0.14262243577840425</v>
      </c>
      <c r="L57" s="3">
        <f t="shared" si="3"/>
        <v>0.10090767754035358</v>
      </c>
      <c r="M57" s="3">
        <f t="shared" si="3"/>
        <v>0.11296755119252928</v>
      </c>
      <c r="N57" s="3"/>
      <c r="O57" s="3">
        <f t="shared" si="3"/>
        <v>0.61731139410974745</v>
      </c>
      <c r="P57" s="3">
        <f t="shared" si="3"/>
        <v>0.8399131654735591</v>
      </c>
      <c r="Q57" s="3">
        <f t="shared" si="3"/>
        <v>9.2534254987891487E-2</v>
      </c>
      <c r="R57" s="3">
        <f t="shared" si="3"/>
        <v>0.55688861130935541</v>
      </c>
      <c r="S57" s="3">
        <f t="shared" si="3"/>
        <v>0.69510056293909239</v>
      </c>
      <c r="T57" s="3">
        <f t="shared" si="3"/>
        <v>0.83201329326546214</v>
      </c>
      <c r="U57" s="3">
        <f t="shared" si="3"/>
        <v>0.83557156787009546</v>
      </c>
      <c r="V57" s="3">
        <f t="shared" si="3"/>
        <v>0.68716018023075631</v>
      </c>
      <c r="W57" s="3"/>
      <c r="X57" s="3"/>
    </row>
    <row r="58" spans="1:24" x14ac:dyDescent="0.35">
      <c r="A58" t="s">
        <v>2</v>
      </c>
      <c r="B58" s="3">
        <f xml:space="preserve"> B57/SQRT(COUNT(B6:B53))</f>
        <v>2.0298246589113982E-2</v>
      </c>
      <c r="C58" s="3">
        <f t="shared" ref="C58:V58" si="4" xml:space="preserve"> C57/SQRT(COUNT(C6:C53))</f>
        <v>2.5754204226469443E-2</v>
      </c>
      <c r="D58" s="3">
        <f t="shared" si="4"/>
        <v>2.6502566298317039E-2</v>
      </c>
      <c r="E58" s="3">
        <f t="shared" si="4"/>
        <v>9.6001992281332674E-2</v>
      </c>
      <c r="F58" s="3">
        <f t="shared" si="4"/>
        <v>0.1306881408335393</v>
      </c>
      <c r="G58" s="3">
        <f t="shared" si="4"/>
        <v>0.15028097240531191</v>
      </c>
      <c r="H58" s="3">
        <f t="shared" si="4"/>
        <v>0.1975064653491235</v>
      </c>
      <c r="I58" s="3">
        <f t="shared" si="4"/>
        <v>1.8591504391687528E-2</v>
      </c>
      <c r="J58" s="3">
        <f t="shared" si="4"/>
        <v>1.2227395781247537E-2</v>
      </c>
      <c r="K58" s="3">
        <f t="shared" si="4"/>
        <v>2.9738833627726741E-2</v>
      </c>
      <c r="L58" s="3">
        <f t="shared" si="4"/>
        <v>2.1513589137384326E-2</v>
      </c>
      <c r="M58" s="3">
        <f t="shared" si="4"/>
        <v>2.3555362744372844E-2</v>
      </c>
      <c r="N58" s="3"/>
      <c r="O58" s="3">
        <f t="shared" si="4"/>
        <v>9.1017599504247801E-2</v>
      </c>
      <c r="P58" s="3">
        <f t="shared" si="4"/>
        <v>0.17907008855547116</v>
      </c>
      <c r="Q58" s="3">
        <f t="shared" si="4"/>
        <v>1.9294725959008142E-2</v>
      </c>
      <c r="R58" s="3">
        <f t="shared" si="4"/>
        <v>0.11872905086143566</v>
      </c>
      <c r="S58" s="3">
        <f t="shared" si="4"/>
        <v>0.14819593795780256</v>
      </c>
      <c r="T58" s="3">
        <f t="shared" si="4"/>
        <v>0.16983400230941684</v>
      </c>
      <c r="U58" s="3">
        <f t="shared" si="4"/>
        <v>0.18233666468179255</v>
      </c>
      <c r="V58" s="3">
        <f t="shared" si="4"/>
        <v>0.14328280234417004</v>
      </c>
      <c r="W58" s="3"/>
      <c r="X58" s="3"/>
    </row>
    <row r="59" spans="1:24" s="1" customFormat="1" ht="15" thickBot="1" x14ac:dyDescent="0.4">
      <c r="B59" s="3"/>
      <c r="C59" s="3"/>
      <c r="D59" s="3"/>
      <c r="E59" s="3"/>
      <c r="F59" s="3"/>
      <c r="G59" s="3"/>
      <c r="H59" s="3"/>
      <c r="I59" s="3"/>
      <c r="J59" s="3"/>
      <c r="K59" s="3"/>
      <c r="L59" s="3"/>
      <c r="M59" s="3"/>
      <c r="N59" s="3"/>
      <c r="O59" s="3"/>
      <c r="P59" s="3"/>
      <c r="Q59" s="3"/>
      <c r="R59" s="3"/>
      <c r="S59" s="3"/>
      <c r="T59" s="3"/>
      <c r="U59" s="3"/>
      <c r="V59" s="3"/>
    </row>
    <row r="60" spans="1:24" s="48" customFormat="1" ht="26.5" thickBot="1" x14ac:dyDescent="0.4">
      <c r="A60" s="231" t="s">
        <v>46</v>
      </c>
      <c r="B60" s="232"/>
      <c r="C60" s="232"/>
      <c r="D60" s="232"/>
      <c r="E60" s="232"/>
      <c r="F60" s="232"/>
      <c r="G60" s="232"/>
      <c r="H60" s="232"/>
      <c r="I60" s="232"/>
      <c r="J60" s="232"/>
      <c r="K60" s="232"/>
      <c r="L60" s="232"/>
      <c r="M60" s="232"/>
      <c r="N60" s="232"/>
      <c r="O60" s="232"/>
      <c r="P60" s="232"/>
      <c r="Q60" s="232"/>
      <c r="R60" s="232"/>
      <c r="S60" s="232"/>
      <c r="T60" s="232"/>
      <c r="U60" s="232"/>
      <c r="V60" s="232"/>
    </row>
    <row r="61" spans="1:24" s="1" customFormat="1" x14ac:dyDescent="0.35">
      <c r="B61" s="3"/>
      <c r="C61" s="3"/>
      <c r="D61" s="3"/>
      <c r="E61" s="3"/>
      <c r="F61" s="3"/>
      <c r="G61" s="3"/>
      <c r="H61" s="3"/>
      <c r="I61" s="3"/>
      <c r="J61" s="3"/>
      <c r="K61" s="3"/>
      <c r="L61" s="3"/>
      <c r="M61" s="3"/>
      <c r="N61" s="3"/>
      <c r="O61" s="3"/>
      <c r="P61" s="3"/>
      <c r="Q61" s="3"/>
      <c r="R61" s="3"/>
      <c r="S61" s="3"/>
      <c r="T61" s="3"/>
      <c r="U61" s="3"/>
      <c r="V61" s="3"/>
    </row>
    <row r="62" spans="1:24" s="1" customFormat="1" x14ac:dyDescent="0.35">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Cefuroxime-0.001mg/L</v>
      </c>
      <c r="J62" s="3" t="str">
        <f t="shared" si="6"/>
        <v>Cefuroxime-0.01mg/L</v>
      </c>
      <c r="K62" s="3" t="str">
        <f t="shared" si="6"/>
        <v>Cefuroxime-0.1mg/L</v>
      </c>
      <c r="L62" s="3" t="str">
        <f t="shared" si="6"/>
        <v>Cefuroxime-1mg/L</v>
      </c>
      <c r="M62" s="3" t="str">
        <f t="shared" si="6"/>
        <v>Cefuroxime-10mg/L</v>
      </c>
      <c r="N62" s="3"/>
      <c r="O62" s="3" t="str">
        <f t="shared" si="6"/>
        <v>Testo -30µg/L</v>
      </c>
      <c r="P62" s="3" t="str">
        <f t="shared" si="6"/>
        <v>Testo 30µg/L + EE2 -64ng/L</v>
      </c>
      <c r="Q62" s="3" t="str">
        <f t="shared" si="6"/>
        <v>Testo 30µg/L + FAD-10mg/L</v>
      </c>
      <c r="R62" s="3" t="str">
        <f t="shared" si="6"/>
        <v>Cefuroxime-0,001mg/L + Testostérone</v>
      </c>
      <c r="S62" s="3" t="str">
        <f t="shared" si="6"/>
        <v>Cefuroxime-0,01mg/L + Testostérone</v>
      </c>
      <c r="T62" s="3" t="str">
        <f t="shared" si="6"/>
        <v>Cefuroxime-0,1mg/L + Testostérone</v>
      </c>
      <c r="U62" s="3" t="str">
        <f t="shared" si="6"/>
        <v>Cefuroxime-1mg/L + Testostérone</v>
      </c>
      <c r="V62" s="3" t="str">
        <f t="shared" si="6"/>
        <v>Cefuroxime-10mg/L + Testostérone</v>
      </c>
    </row>
    <row r="63" spans="1:24" s="1" customFormat="1" x14ac:dyDescent="0.35">
      <c r="A63" s="1" t="s">
        <v>49</v>
      </c>
      <c r="B63" s="3">
        <f>COUNT(B6:B53)</f>
        <v>24</v>
      </c>
      <c r="C63" s="3">
        <f t="shared" ref="C63:V63" si="7">COUNT(C6:C53)</f>
        <v>23</v>
      </c>
      <c r="D63" s="3">
        <f t="shared" si="7"/>
        <v>24</v>
      </c>
      <c r="E63" s="3">
        <f t="shared" si="7"/>
        <v>23</v>
      </c>
      <c r="F63" s="3">
        <f t="shared" si="7"/>
        <v>21</v>
      </c>
      <c r="G63" s="3">
        <f t="shared" si="7"/>
        <v>23</v>
      </c>
      <c r="H63" s="3">
        <f t="shared" si="7"/>
        <v>23</v>
      </c>
      <c r="I63" s="3">
        <f t="shared" si="7"/>
        <v>21</v>
      </c>
      <c r="J63" s="3">
        <f t="shared" si="7"/>
        <v>23</v>
      </c>
      <c r="K63" s="3">
        <f t="shared" si="7"/>
        <v>23</v>
      </c>
      <c r="L63" s="3">
        <f t="shared" si="7"/>
        <v>22</v>
      </c>
      <c r="M63" s="3">
        <f t="shared" si="7"/>
        <v>23</v>
      </c>
      <c r="N63" s="3"/>
      <c r="O63" s="3">
        <f t="shared" si="7"/>
        <v>46</v>
      </c>
      <c r="P63" s="3">
        <f t="shared" si="7"/>
        <v>22</v>
      </c>
      <c r="Q63" s="3">
        <f t="shared" si="7"/>
        <v>23</v>
      </c>
      <c r="R63" s="3">
        <f t="shared" si="7"/>
        <v>22</v>
      </c>
      <c r="S63" s="3">
        <f t="shared" si="7"/>
        <v>22</v>
      </c>
      <c r="T63" s="3">
        <f t="shared" si="7"/>
        <v>24</v>
      </c>
      <c r="U63" s="3">
        <f t="shared" si="7"/>
        <v>21</v>
      </c>
      <c r="V63" s="3">
        <f t="shared" si="7"/>
        <v>23</v>
      </c>
    </row>
    <row r="64" spans="1:24" s="1" customFormat="1" ht="15" thickBot="1" x14ac:dyDescent="0.4">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48" customFormat="1" ht="26.5" thickBot="1" x14ac:dyDescent="0.4">
      <c r="A65" s="231" t="s">
        <v>58</v>
      </c>
      <c r="B65" s="232"/>
      <c r="C65" s="232"/>
      <c r="D65" s="232"/>
      <c r="E65" s="232"/>
      <c r="F65" s="232"/>
      <c r="G65" s="232"/>
      <c r="H65" s="232"/>
      <c r="I65" s="232"/>
      <c r="J65" s="232"/>
      <c r="K65" s="232"/>
      <c r="L65" s="232"/>
      <c r="M65" s="232"/>
      <c r="N65" s="232"/>
      <c r="O65" s="232"/>
      <c r="P65" s="232"/>
      <c r="Q65" s="232"/>
      <c r="R65" s="232"/>
      <c r="S65" s="232"/>
      <c r="T65" s="232"/>
      <c r="U65" s="232"/>
      <c r="V65" s="232"/>
    </row>
    <row r="66" spans="1:22" s="1" customFormat="1" x14ac:dyDescent="0.35">
      <c r="B66" s="1" t="s">
        <v>61</v>
      </c>
      <c r="C66" s="3"/>
      <c r="D66" s="3"/>
      <c r="E66" s="3"/>
      <c r="F66" s="3"/>
      <c r="G66" s="3"/>
      <c r="H66" s="3"/>
      <c r="I66" s="3"/>
      <c r="J66" s="3"/>
      <c r="K66" s="3"/>
      <c r="L66" s="3"/>
      <c r="M66" s="3"/>
      <c r="N66" s="3"/>
      <c r="O66" s="3"/>
      <c r="P66" s="3"/>
      <c r="Q66" s="3"/>
      <c r="R66" s="3"/>
      <c r="S66" s="3"/>
      <c r="T66" s="3"/>
      <c r="U66" s="3"/>
      <c r="V66" s="3"/>
    </row>
    <row r="67" spans="1:22" s="1" customFormat="1" x14ac:dyDescent="0.35">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35">
      <c r="A68" s="1" t="s">
        <v>62</v>
      </c>
      <c r="B68" s="3">
        <v>2</v>
      </c>
      <c r="C68" s="3"/>
      <c r="D68" s="3"/>
      <c r="E68" s="3"/>
      <c r="F68" s="3"/>
      <c r="G68" s="3"/>
      <c r="H68" s="3"/>
      <c r="I68" s="3"/>
      <c r="J68" s="3"/>
      <c r="K68" s="3"/>
      <c r="L68" s="3"/>
      <c r="M68" s="3"/>
      <c r="N68" s="3"/>
      <c r="O68" s="3"/>
      <c r="P68" s="3"/>
      <c r="Q68" s="3"/>
      <c r="R68" s="3"/>
      <c r="S68" s="3"/>
      <c r="T68" s="3"/>
      <c r="U68" s="3"/>
      <c r="V68" s="3"/>
    </row>
    <row r="69" spans="1:22" s="1" customFormat="1" ht="15" thickBot="1" x14ac:dyDescent="0.4">
      <c r="A69" s="1" t="s">
        <v>63</v>
      </c>
      <c r="B69" s="3">
        <v>0.5</v>
      </c>
      <c r="C69" s="3"/>
      <c r="D69" s="3"/>
      <c r="E69" s="3"/>
      <c r="F69" s="3"/>
      <c r="G69" s="3"/>
      <c r="H69" s="3"/>
      <c r="I69" s="3"/>
      <c r="J69" s="3"/>
      <c r="K69" s="3"/>
      <c r="L69" s="3"/>
      <c r="M69" s="3"/>
      <c r="N69" s="3"/>
      <c r="O69" s="3"/>
      <c r="P69" s="3"/>
      <c r="Q69" s="3"/>
      <c r="R69" s="3"/>
      <c r="S69" s="3"/>
      <c r="T69" s="3"/>
      <c r="U69" s="3"/>
      <c r="V69" s="3"/>
    </row>
    <row r="70" spans="1:22" s="48" customFormat="1" ht="26.5" thickBot="1" x14ac:dyDescent="0.4">
      <c r="A70" s="231" t="s">
        <v>53</v>
      </c>
      <c r="B70" s="232"/>
      <c r="C70" s="232"/>
      <c r="D70" s="232"/>
      <c r="E70" s="232"/>
      <c r="F70" s="232"/>
      <c r="G70" s="232"/>
      <c r="H70" s="232"/>
      <c r="I70" s="232"/>
      <c r="J70" s="232"/>
      <c r="K70" s="232"/>
      <c r="L70" s="232"/>
      <c r="M70" s="232"/>
      <c r="N70" s="232"/>
      <c r="O70" s="232"/>
      <c r="P70" s="232"/>
      <c r="Q70" s="232"/>
      <c r="R70" s="232"/>
      <c r="S70" s="232"/>
      <c r="T70" s="232"/>
      <c r="U70" s="232"/>
      <c r="V70" s="232"/>
    </row>
    <row r="71" spans="1:22" ht="15" thickBot="1" x14ac:dyDescent="0.4"/>
    <row r="72" spans="1:22" s="48" customFormat="1" ht="26.5" thickBot="1" x14ac:dyDescent="0.4">
      <c r="A72" s="231" t="s">
        <v>54</v>
      </c>
      <c r="B72" s="232"/>
      <c r="C72" s="232"/>
      <c r="D72" s="232"/>
      <c r="E72" s="232"/>
      <c r="F72" s="232"/>
      <c r="G72" s="232"/>
      <c r="H72" s="232"/>
      <c r="I72" s="232"/>
      <c r="J72" s="232"/>
      <c r="K72" s="232"/>
      <c r="L72" s="232"/>
      <c r="M72" s="232"/>
      <c r="N72" s="232"/>
      <c r="O72" s="232"/>
      <c r="P72" s="232"/>
      <c r="Q72" s="232"/>
      <c r="R72" s="232"/>
      <c r="S72" s="232"/>
      <c r="T72" s="232"/>
      <c r="U72" s="232"/>
      <c r="V72" s="232"/>
    </row>
    <row r="73" spans="1:22" ht="15" thickBot="1" x14ac:dyDescent="0.4">
      <c r="J73" s="3">
        <v>1</v>
      </c>
      <c r="K73" s="3">
        <v>2</v>
      </c>
      <c r="L73" s="3">
        <v>3</v>
      </c>
      <c r="M73" s="3">
        <v>4</v>
      </c>
      <c r="R73" s="3">
        <v>1</v>
      </c>
      <c r="S73" s="3">
        <v>2</v>
      </c>
      <c r="T73" s="3">
        <v>3</v>
      </c>
      <c r="U73" s="3">
        <v>4</v>
      </c>
      <c r="V73" s="3">
        <v>5</v>
      </c>
    </row>
    <row r="74" spans="1:22" s="1" customFormat="1" x14ac:dyDescent="0.35">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Cefuroxime-0.001mg/L</v>
      </c>
      <c r="J74" s="46" t="str">
        <f t="shared" si="9"/>
        <v>Cefuroxime-0.01mg/L</v>
      </c>
      <c r="K74" s="46" t="str">
        <f t="shared" si="9"/>
        <v>Cefuroxime-0.1mg/L</v>
      </c>
      <c r="L74" s="46" t="str">
        <f t="shared" si="9"/>
        <v>Cefuroxime-1mg/L</v>
      </c>
      <c r="M74" s="46" t="str">
        <f t="shared" si="9"/>
        <v>Cefuroxime-10mg/L</v>
      </c>
      <c r="N74" s="46"/>
      <c r="O74" s="46" t="str">
        <f t="shared" ref="O74:V74" si="10">O4</f>
        <v>Testo -30µg/L</v>
      </c>
      <c r="P74" s="46" t="str">
        <f t="shared" si="10"/>
        <v>Testo 30µg/L + EE2 -64ng/L</v>
      </c>
      <c r="Q74" s="46" t="str">
        <f t="shared" si="10"/>
        <v>Testo 30µg/L + FAD-10mg/L</v>
      </c>
      <c r="R74" s="46" t="str">
        <f t="shared" si="10"/>
        <v>Cefuroxime-0,001mg/L + Testostérone</v>
      </c>
      <c r="S74" s="46" t="str">
        <f t="shared" si="10"/>
        <v>Cefuroxime-0,01mg/L + Testostérone</v>
      </c>
      <c r="T74" s="46" t="str">
        <f t="shared" si="10"/>
        <v>Cefuroxime-0,1mg/L + Testostérone</v>
      </c>
      <c r="U74" s="46" t="str">
        <f t="shared" si="10"/>
        <v>Cefuroxime-1mg/L + Testostérone</v>
      </c>
      <c r="V74" s="46" t="str">
        <f t="shared" si="10"/>
        <v>Cefuroxime-10mg/L + Testostérone</v>
      </c>
    </row>
    <row r="75" spans="1:22" s="3" customFormat="1" x14ac:dyDescent="0.35">
      <c r="A75" s="61" t="s">
        <v>32</v>
      </c>
      <c r="B75" s="142">
        <f>B56</f>
        <v>0.14437035012603847</v>
      </c>
      <c r="C75" s="142">
        <f t="shared" ref="C75:V75" si="11">C56</f>
        <v>0.14889571088107822</v>
      </c>
      <c r="D75" s="142">
        <f t="shared" si="11"/>
        <v>0.14477282275766465</v>
      </c>
      <c r="E75" s="142">
        <f t="shared" si="11"/>
        <v>0.52987312831989786</v>
      </c>
      <c r="F75" s="142">
        <f t="shared" si="11"/>
        <v>1.3655568876309587</v>
      </c>
      <c r="G75" s="142">
        <f t="shared" si="11"/>
        <v>1.7462862383978803</v>
      </c>
      <c r="H75" s="142">
        <f t="shared" si="11"/>
        <v>2.5893969972570487</v>
      </c>
      <c r="I75" s="142">
        <f t="shared" si="11"/>
        <v>0.12241064887125315</v>
      </c>
      <c r="J75" s="142">
        <f t="shared" si="11"/>
        <v>9.3724768808430947E-2</v>
      </c>
      <c r="K75" s="142">
        <f t="shared" si="11"/>
        <v>0.12324828240617017</v>
      </c>
      <c r="L75" s="142">
        <f t="shared" si="11"/>
        <v>0.14239424441441711</v>
      </c>
      <c r="M75" s="142">
        <f t="shared" si="11"/>
        <v>0.15774997942028154</v>
      </c>
      <c r="N75" s="142"/>
      <c r="O75" s="142">
        <f t="shared" si="11"/>
        <v>0.99999999999999967</v>
      </c>
      <c r="P75" s="142">
        <f t="shared" si="11"/>
        <v>2.3361172704334798</v>
      </c>
      <c r="Q75" s="142">
        <f t="shared" si="11"/>
        <v>0.14136154471300608</v>
      </c>
      <c r="R75" s="142">
        <f t="shared" si="11"/>
        <v>0.59068966956247471</v>
      </c>
      <c r="S75" s="142">
        <f t="shared" si="11"/>
        <v>0.70537749584687848</v>
      </c>
      <c r="T75" s="142">
        <f t="shared" si="11"/>
        <v>0.99247156500392864</v>
      </c>
      <c r="U75" s="142">
        <f t="shared" si="11"/>
        <v>0.77289233026502424</v>
      </c>
      <c r="V75" s="142">
        <f t="shared" si="11"/>
        <v>0.74509474662196407</v>
      </c>
    </row>
    <row r="76" spans="1:22" s="3" customFormat="1" x14ac:dyDescent="0.35">
      <c r="A76" s="61" t="s">
        <v>2</v>
      </c>
      <c r="B76" s="142">
        <f>B58</f>
        <v>2.0298246589113982E-2</v>
      </c>
      <c r="C76" s="142">
        <f t="shared" ref="C76:V76" si="12">C58</f>
        <v>2.5754204226469443E-2</v>
      </c>
      <c r="D76" s="142">
        <f t="shared" si="12"/>
        <v>2.6502566298317039E-2</v>
      </c>
      <c r="E76" s="142">
        <f t="shared" si="12"/>
        <v>9.6001992281332674E-2</v>
      </c>
      <c r="F76" s="142">
        <f t="shared" si="12"/>
        <v>0.1306881408335393</v>
      </c>
      <c r="G76" s="142">
        <f t="shared" si="12"/>
        <v>0.15028097240531191</v>
      </c>
      <c r="H76" s="142">
        <f t="shared" si="12"/>
        <v>0.1975064653491235</v>
      </c>
      <c r="I76" s="142">
        <f t="shared" si="12"/>
        <v>1.8591504391687528E-2</v>
      </c>
      <c r="J76" s="142">
        <f t="shared" si="12"/>
        <v>1.2227395781247537E-2</v>
      </c>
      <c r="K76" s="142">
        <f t="shared" si="12"/>
        <v>2.9738833627726741E-2</v>
      </c>
      <c r="L76" s="142">
        <f t="shared" si="12"/>
        <v>2.1513589137384326E-2</v>
      </c>
      <c r="M76" s="142">
        <f t="shared" si="12"/>
        <v>2.3555362744372844E-2</v>
      </c>
      <c r="N76" s="142"/>
      <c r="O76" s="142">
        <f t="shared" si="12"/>
        <v>9.1017599504247801E-2</v>
      </c>
      <c r="P76" s="142">
        <f t="shared" si="12"/>
        <v>0.17907008855547116</v>
      </c>
      <c r="Q76" s="142">
        <f t="shared" si="12"/>
        <v>1.9294725959008142E-2</v>
      </c>
      <c r="R76" s="142">
        <f t="shared" si="12"/>
        <v>0.11872905086143566</v>
      </c>
      <c r="S76" s="142">
        <f t="shared" si="12"/>
        <v>0.14819593795780256</v>
      </c>
      <c r="T76" s="142">
        <f t="shared" si="12"/>
        <v>0.16983400230941684</v>
      </c>
      <c r="U76" s="142">
        <f t="shared" si="12"/>
        <v>0.18233666468179255</v>
      </c>
      <c r="V76" s="142">
        <f t="shared" si="12"/>
        <v>0.14328280234417004</v>
      </c>
    </row>
    <row r="77" spans="1:22" s="3" customFormat="1" x14ac:dyDescent="0.35">
      <c r="A77" s="61" t="s">
        <v>79</v>
      </c>
      <c r="B77" s="142">
        <f>(B75*100/$B$75)-100</f>
        <v>0</v>
      </c>
      <c r="C77" s="142">
        <f t="shared" ref="C77:M77" si="13">(C75*100/$B$75)-100</f>
        <v>3.1345499620171466</v>
      </c>
      <c r="D77" s="142">
        <f t="shared" si="13"/>
        <v>0.27877790091581289</v>
      </c>
      <c r="E77" s="142">
        <f t="shared" si="13"/>
        <v>267.02351130776299</v>
      </c>
      <c r="F77" s="142">
        <f t="shared" si="13"/>
        <v>845.87073207123058</v>
      </c>
      <c r="G77" s="142">
        <f t="shared" si="13"/>
        <v>1109.5878668115263</v>
      </c>
      <c r="H77" s="142">
        <f t="shared" si="13"/>
        <v>1693.5794953717634</v>
      </c>
      <c r="I77" s="142">
        <f t="shared" si="13"/>
        <v>-15.210672576200039</v>
      </c>
      <c r="J77" s="142">
        <f t="shared" si="13"/>
        <v>-35.080320352061776</v>
      </c>
      <c r="K77" s="142">
        <f t="shared" si="13"/>
        <v>-14.630474818013724</v>
      </c>
      <c r="L77" s="142">
        <f t="shared" si="13"/>
        <v>-1.368775312864571</v>
      </c>
      <c r="M77" s="142">
        <f t="shared" si="13"/>
        <v>9.2675741816532025</v>
      </c>
      <c r="N77" s="142"/>
      <c r="O77" s="142">
        <f t="shared" ref="O77:V77" si="14">(O75*100/$O$75)-100</f>
        <v>0</v>
      </c>
      <c r="P77" s="142">
        <f t="shared" si="14"/>
        <v>133.61172704334805</v>
      </c>
      <c r="Q77" s="142">
        <f t="shared" si="14"/>
        <v>-85.863845528699386</v>
      </c>
      <c r="R77" s="142">
        <f t="shared" si="14"/>
        <v>-40.931033043752507</v>
      </c>
      <c r="S77" s="142">
        <f t="shared" si="14"/>
        <v>-29.462250415312127</v>
      </c>
      <c r="T77" s="142">
        <f t="shared" si="14"/>
        <v>-0.75284349960710983</v>
      </c>
      <c r="U77" s="142">
        <f t="shared" si="14"/>
        <v>-22.710766973497542</v>
      </c>
      <c r="V77" s="142">
        <f t="shared" si="14"/>
        <v>-25.490525337803561</v>
      </c>
    </row>
    <row r="78" spans="1:22" s="3" customFormat="1" x14ac:dyDescent="0.35">
      <c r="A78" s="61" t="s">
        <v>81</v>
      </c>
      <c r="B78" s="142">
        <f>[1]!DPTEST(B6:B53)</f>
        <v>0.31757807320085452</v>
      </c>
      <c r="C78" s="142">
        <f>[1]!DPTEST(C6:C53)</f>
        <v>1.2349952732362279E-3</v>
      </c>
      <c r="D78" s="142">
        <f>[1]!DPTEST(D6:D53)</f>
        <v>4.4107922040910519E-2</v>
      </c>
      <c r="E78" s="142">
        <f>[1]!DPTEST(E6:E53)</f>
        <v>6.4179212854698076E-4</v>
      </c>
      <c r="F78" s="142">
        <f>[1]!DPTEST(F6:F53)</f>
        <v>0.65316977475346483</v>
      </c>
      <c r="G78" s="142">
        <f>[1]!DPTEST(G6:G53)</f>
        <v>0.77340248645686938</v>
      </c>
      <c r="H78" s="142">
        <f>[1]!DPTEST(H6:H53)</f>
        <v>0.45216151940104177</v>
      </c>
      <c r="I78" s="142">
        <f>[1]!DPTEST(I6:I53)</f>
        <v>0.34043855172631354</v>
      </c>
      <c r="J78" s="142">
        <f>[1]!DPTEST(J6:J53)</f>
        <v>0.65173724422511081</v>
      </c>
      <c r="K78" s="142">
        <f>[1]!DPTEST(K6:K53)</f>
        <v>4.4244230834600273E-7</v>
      </c>
      <c r="L78" s="142">
        <f>[1]!DPTEST(L6:L53)</f>
        <v>0.72180038533256941</v>
      </c>
      <c r="M78" s="142">
        <f>[1]!DPTEST(M6:M53)</f>
        <v>3.519237147163623E-3</v>
      </c>
      <c r="N78" s="142"/>
      <c r="O78" s="142">
        <f>[1]!DPTEST(O6:O53)</f>
        <v>0.41883579869200638</v>
      </c>
      <c r="P78" s="142">
        <f>[1]!DPTEST(P6:P53)</f>
        <v>0.62131131439734888</v>
      </c>
      <c r="Q78" s="142">
        <f>[1]!DPTEST(Q6:Q53)</f>
        <v>8.2661776157931244E-2</v>
      </c>
      <c r="R78" s="142">
        <f>[1]!DPTEST(R6:R53)</f>
        <v>3.8973254245077138E-3</v>
      </c>
      <c r="S78" s="142">
        <f>[1]!DPTEST(S6:S53)</f>
        <v>4.532496288589094E-3</v>
      </c>
      <c r="T78" s="142">
        <f>[1]!DPTEST(T6:T53)</f>
        <v>9.8036436175319652E-2</v>
      </c>
      <c r="U78" s="142">
        <f>[1]!DPTEST(U6:U53)</f>
        <v>5.389764536123387E-6</v>
      </c>
      <c r="V78" s="142">
        <f>[1]!DPTEST(V6:V53)</f>
        <v>7.6040152676370987E-4</v>
      </c>
    </row>
    <row r="79" spans="1:22" s="3" customFormat="1" x14ac:dyDescent="0.35">
      <c r="A79" s="61" t="s">
        <v>85</v>
      </c>
      <c r="B79" s="142" t="str">
        <f>IF(B78&gt;0.05,"Oui","Non")</f>
        <v>Oui</v>
      </c>
      <c r="C79" s="142" t="str">
        <f t="shared" ref="C79:V79" si="15">IF(C78&gt;0.05,"Oui","Non")</f>
        <v>Non</v>
      </c>
      <c r="D79" s="142" t="str">
        <f t="shared" si="15"/>
        <v>Non</v>
      </c>
      <c r="E79" s="142" t="str">
        <f t="shared" si="15"/>
        <v>Non</v>
      </c>
      <c r="F79" s="142" t="str">
        <f t="shared" si="15"/>
        <v>Oui</v>
      </c>
      <c r="G79" s="142" t="str">
        <f t="shared" si="15"/>
        <v>Oui</v>
      </c>
      <c r="H79" s="142" t="str">
        <f t="shared" si="15"/>
        <v>Oui</v>
      </c>
      <c r="I79" s="142" t="str">
        <f t="shared" si="15"/>
        <v>Oui</v>
      </c>
      <c r="J79" s="142" t="str">
        <f t="shared" si="15"/>
        <v>Oui</v>
      </c>
      <c r="K79" s="142" t="str">
        <f t="shared" si="15"/>
        <v>Non</v>
      </c>
      <c r="L79" s="142" t="str">
        <f t="shared" si="15"/>
        <v>Oui</v>
      </c>
      <c r="M79" s="142" t="str">
        <f t="shared" si="15"/>
        <v>Non</v>
      </c>
      <c r="N79" s="142"/>
      <c r="O79" s="142" t="str">
        <f t="shared" si="15"/>
        <v>Oui</v>
      </c>
      <c r="P79" s="142" t="str">
        <f t="shared" si="15"/>
        <v>Oui</v>
      </c>
      <c r="Q79" s="142" t="str">
        <f t="shared" si="15"/>
        <v>Oui</v>
      </c>
      <c r="R79" s="142" t="str">
        <f t="shared" si="15"/>
        <v>Non</v>
      </c>
      <c r="S79" s="142" t="str">
        <f t="shared" si="15"/>
        <v>Non</v>
      </c>
      <c r="T79" s="142" t="str">
        <f t="shared" si="15"/>
        <v>Oui</v>
      </c>
      <c r="U79" s="142" t="str">
        <f t="shared" si="15"/>
        <v>Non</v>
      </c>
      <c r="V79" s="142" t="str">
        <f t="shared" si="15"/>
        <v>Non</v>
      </c>
    </row>
    <row r="80" spans="1:22" s="3" customFormat="1" x14ac:dyDescent="0.35">
      <c r="A80" s="61" t="s">
        <v>122</v>
      </c>
      <c r="B80" s="142"/>
      <c r="C80" s="142"/>
      <c r="D80" s="142"/>
      <c r="E80" s="142"/>
      <c r="F80" s="142"/>
      <c r="G80" s="142"/>
      <c r="H80" s="142"/>
      <c r="I80" s="142"/>
      <c r="J80" s="142" t="str">
        <f>IF(COUNTIF(J79:M79, "Non")&gt;0, "Oui","Non")</f>
        <v>Oui</v>
      </c>
      <c r="K80" s="142"/>
      <c r="L80" s="142"/>
      <c r="M80" s="142"/>
      <c r="N80" s="142"/>
      <c r="O80" s="142"/>
      <c r="P80" s="142"/>
      <c r="Q80" s="142"/>
      <c r="R80" s="142"/>
      <c r="S80" s="142"/>
      <c r="T80" s="142"/>
      <c r="U80" s="142"/>
      <c r="V80" s="142"/>
    </row>
    <row r="81" spans="1:22" s="3" customFormat="1" x14ac:dyDescent="0.35">
      <c r="A81" s="61" t="s">
        <v>82</v>
      </c>
      <c r="B81" s="142"/>
      <c r="C81" s="142" t="s">
        <v>171</v>
      </c>
      <c r="D81" s="142" t="s">
        <v>171</v>
      </c>
      <c r="E81" s="142" t="s">
        <v>171</v>
      </c>
      <c r="F81" s="142" t="s">
        <v>171</v>
      </c>
      <c r="G81" s="142" t="s">
        <v>171</v>
      </c>
      <c r="H81" s="142" t="s">
        <v>171</v>
      </c>
      <c r="I81" s="142" t="s">
        <v>171</v>
      </c>
      <c r="J81" s="142" t="s">
        <v>171</v>
      </c>
      <c r="K81" s="142" t="s">
        <v>171</v>
      </c>
      <c r="L81" s="142" t="s">
        <v>171</v>
      </c>
      <c r="M81" s="142" t="s">
        <v>171</v>
      </c>
      <c r="N81" s="142"/>
      <c r="O81" s="142" t="str">
        <f>IF($B79="Non",IF(O79="Non","Mann Withney",IF(O79="Oui","Mann Withney","")),IF($B79="Oui",IF(O79="Oui","T-Test Welch",IF(O79="Non","Mann Withney",""))))</f>
        <v>T-Test Welch</v>
      </c>
      <c r="P81" s="142" t="str">
        <f>IF($O79="Non",IF(P79="Non","Mann Withney",IF(P$79="Oui","Mann Withney","")),IF($O79="Oui",IF(P79="Oui","T-Test Welch",IF(P79="Non","Mann Withney",""))))</f>
        <v>T-Test Welch</v>
      </c>
      <c r="Q81" s="142" t="str">
        <f>IF($O79="Non",IF(Q79="Non","Mann Withney",IF(Q$79="Oui","Mann Withney","")),IF($O79="Oui",IF(Q79="Oui","T-Test Welch",IF(Q79="Non","Mann Withney",""))))</f>
        <v>T-Test Welch</v>
      </c>
      <c r="R81" s="142" t="s">
        <v>171</v>
      </c>
      <c r="S81" s="142" t="s">
        <v>171</v>
      </c>
      <c r="T81" s="142" t="s">
        <v>171</v>
      </c>
      <c r="U81" s="142" t="s">
        <v>171</v>
      </c>
      <c r="V81" s="142" t="s">
        <v>171</v>
      </c>
    </row>
    <row r="82" spans="1:22" s="3" customFormat="1" x14ac:dyDescent="0.35">
      <c r="A82" s="61" t="s">
        <v>83</v>
      </c>
      <c r="B82" s="142"/>
      <c r="C82" s="142" t="s">
        <v>167</v>
      </c>
      <c r="D82" s="142" t="s">
        <v>167</v>
      </c>
      <c r="E82" s="142">
        <v>0.04</v>
      </c>
      <c r="F82" s="142" t="s">
        <v>170</v>
      </c>
      <c r="G82" s="142" t="s">
        <v>170</v>
      </c>
      <c r="H82" s="142" t="s">
        <v>170</v>
      </c>
      <c r="I82" s="142" t="s">
        <v>167</v>
      </c>
      <c r="J82" s="142">
        <v>0.51</v>
      </c>
      <c r="K82" s="142">
        <v>0.9</v>
      </c>
      <c r="L82" s="142" t="s">
        <v>167</v>
      </c>
      <c r="M82" s="142" t="s">
        <v>167</v>
      </c>
      <c r="N82" s="142"/>
      <c r="O82" s="142">
        <f>IF(O81="Mann Withney",[1]!MTEST($B6:$B37,O6:O53,2), IF(O81="T-Test Welch",_xlfn.T.TEST($B6:$B37,O6:O53,2,3),""))</f>
        <v>5.1793292414021295E-12</v>
      </c>
      <c r="P82" s="142">
        <f>IF(P81="Mann Withney",[1]!MTEST($O6:$O53,P6:P53,2), IF(P81="T-Test Welch",_xlfn.T.TEST($O6:$O53,P6:P53,2,3),""))</f>
        <v>1.6076205767159979E-7</v>
      </c>
      <c r="Q82" s="142">
        <f>IF(Q81="Mann Withney",[1]!MTEST($O6:$O53,Q6:Q53,2), IF(Q81="T-Test Welch",_xlfn.T.TEST($O6:$O53,Q6:Q53,2,3),""))</f>
        <v>2.7320693701407943E-12</v>
      </c>
      <c r="R82" s="142">
        <v>0.03</v>
      </c>
      <c r="S82" s="142">
        <v>0.14000000000000001</v>
      </c>
      <c r="T82" s="142" t="s">
        <v>167</v>
      </c>
      <c r="U82" s="142">
        <v>0.25</v>
      </c>
      <c r="V82" s="142">
        <v>0.34</v>
      </c>
    </row>
    <row r="83" spans="1:22" s="3" customFormat="1" ht="15" thickBot="1" x14ac:dyDescent="0.4">
      <c r="A83" s="62" t="s">
        <v>84</v>
      </c>
      <c r="B83" s="143"/>
      <c r="C83" s="143" t="s">
        <v>166</v>
      </c>
      <c r="D83" s="143" t="s">
        <v>166</v>
      </c>
      <c r="E83" s="143" t="s">
        <v>168</v>
      </c>
      <c r="F83" s="143" t="s">
        <v>169</v>
      </c>
      <c r="G83" s="143" t="s">
        <v>169</v>
      </c>
      <c r="H83" s="143" t="s">
        <v>169</v>
      </c>
      <c r="I83" s="143" t="s">
        <v>166</v>
      </c>
      <c r="J83" s="143" t="s">
        <v>166</v>
      </c>
      <c r="K83" s="143" t="s">
        <v>166</v>
      </c>
      <c r="L83" s="143" t="s">
        <v>166</v>
      </c>
      <c r="M83" s="143" t="s">
        <v>166</v>
      </c>
      <c r="N83" s="143"/>
      <c r="O83" s="143" t="str">
        <f t="shared" ref="O83" si="16">IF(O82&gt;0.05,"NS",IF(O82&gt;0.01,"*",IF(O82&gt;0.001,"**","***")))</f>
        <v>***</v>
      </c>
      <c r="P83" s="143" t="str">
        <f t="shared" ref="P83" si="17">IF(P82&gt;0.05,"NS",IF(P82&gt;0.01,"*",IF(P82&gt;0.001,"**","***")))</f>
        <v>***</v>
      </c>
      <c r="Q83" s="143" t="str">
        <f t="shared" ref="Q83" si="18">IF(Q82&gt;0.05,"NS",IF(Q82&gt;0.01,"*",IF(Q82&gt;0.001,"**","***")))</f>
        <v>***</v>
      </c>
      <c r="R83" s="143" t="s">
        <v>168</v>
      </c>
      <c r="S83" s="143" t="s">
        <v>166</v>
      </c>
      <c r="T83" s="143" t="s">
        <v>166</v>
      </c>
      <c r="U83" s="143" t="s">
        <v>166</v>
      </c>
      <c r="V83" s="143" t="s">
        <v>166</v>
      </c>
    </row>
    <row r="84" spans="1:22" s="1" customFormat="1" x14ac:dyDescent="0.35"/>
    <row r="85" spans="1:22" s="1" customFormat="1" x14ac:dyDescent="0.35">
      <c r="A85" s="2" t="s">
        <v>39</v>
      </c>
    </row>
    <row r="86" spans="1:22" x14ac:dyDescent="0.35">
      <c r="A86" s="1" t="s">
        <v>23</v>
      </c>
      <c r="B86" s="1">
        <f>B56+(3*B57)</f>
        <v>0.44269243102514844</v>
      </c>
    </row>
    <row r="87" spans="1:22" x14ac:dyDescent="0.35">
      <c r="A87" s="1" t="s">
        <v>24</v>
      </c>
      <c r="B87" s="1">
        <f>B56+(10*B57)</f>
        <v>1.138777286456405</v>
      </c>
    </row>
    <row r="88" spans="1:22" ht="15" thickBot="1" x14ac:dyDescent="0.4"/>
    <row r="89" spans="1:22" s="48" customFormat="1" ht="26.5" thickBot="1" x14ac:dyDescent="0.4">
      <c r="A89" s="49" t="s">
        <v>55</v>
      </c>
      <c r="B89" s="50"/>
      <c r="C89" s="50"/>
      <c r="D89" s="50"/>
      <c r="E89" s="50"/>
      <c r="F89" s="50"/>
      <c r="G89" s="50"/>
      <c r="H89" s="50"/>
      <c r="I89" s="50"/>
      <c r="J89" s="50"/>
      <c r="K89" s="50"/>
      <c r="L89" s="50"/>
      <c r="M89" s="50"/>
      <c r="N89" s="50"/>
      <c r="O89" s="50"/>
      <c r="P89" s="50"/>
      <c r="Q89" s="50"/>
      <c r="R89" s="50"/>
      <c r="S89" s="50"/>
      <c r="T89" s="50"/>
      <c r="U89" s="50"/>
      <c r="V89" s="50"/>
    </row>
    <row r="90" spans="1:22" ht="15" thickBot="1" x14ac:dyDescent="0.4"/>
    <row r="91" spans="1:22" s="48" customFormat="1" ht="26.5" thickBot="1" x14ac:dyDescent="0.4">
      <c r="A91" s="49" t="s">
        <v>56</v>
      </c>
      <c r="B91" s="50"/>
      <c r="C91" s="50"/>
      <c r="D91" s="50"/>
      <c r="E91" s="50"/>
      <c r="F91" s="50"/>
      <c r="G91" s="50"/>
      <c r="H91" s="50"/>
      <c r="I91" s="50"/>
      <c r="J91" s="50"/>
      <c r="K91" s="50"/>
      <c r="L91" s="50"/>
      <c r="M91" s="50"/>
      <c r="N91" s="50"/>
      <c r="O91" s="50"/>
      <c r="P91" s="50"/>
      <c r="Q91" s="50"/>
      <c r="R91" s="50"/>
      <c r="S91" s="50"/>
      <c r="T91" s="50"/>
      <c r="U91" s="50"/>
      <c r="V91" s="50"/>
    </row>
    <row r="92" spans="1:22" ht="15" thickBot="1" x14ac:dyDescent="0.4"/>
    <row r="93" spans="1:22" s="48" customFormat="1" ht="26.5" thickBot="1" x14ac:dyDescent="0.4">
      <c r="A93" s="231" t="s">
        <v>57</v>
      </c>
      <c r="B93" s="232"/>
      <c r="C93" s="232"/>
      <c r="D93" s="232"/>
      <c r="E93" s="232"/>
      <c r="F93" s="232"/>
      <c r="G93" s="232"/>
      <c r="H93" s="232"/>
      <c r="I93" s="232"/>
      <c r="J93" s="232"/>
      <c r="K93" s="232"/>
      <c r="L93" s="232"/>
      <c r="M93" s="232"/>
      <c r="N93" s="232"/>
      <c r="O93" s="232"/>
      <c r="P93" s="232"/>
      <c r="Q93" s="232"/>
      <c r="R93" s="232"/>
      <c r="S93" s="232"/>
      <c r="T93" s="232"/>
      <c r="U93" s="232"/>
      <c r="V93" s="232"/>
    </row>
    <row r="94" spans="1:22" x14ac:dyDescent="0.35">
      <c r="B94" s="1">
        <f t="shared" ref="B94:V94" si="19">B75/$B$75</f>
        <v>1</v>
      </c>
      <c r="C94" s="1">
        <f t="shared" si="19"/>
        <v>1.0313454996201714</v>
      </c>
      <c r="D94" s="1">
        <f t="shared" si="19"/>
        <v>1.0027877790091582</v>
      </c>
      <c r="E94" s="1">
        <f t="shared" si="19"/>
        <v>3.6702351130776303</v>
      </c>
      <c r="F94" s="1">
        <f t="shared" si="19"/>
        <v>9.4587073207123051</v>
      </c>
      <c r="G94" s="1">
        <f t="shared" si="19"/>
        <v>12.095878668115263</v>
      </c>
      <c r="H94" s="1">
        <f>H75/$B$75</f>
        <v>17.935794953717636</v>
      </c>
      <c r="I94" s="1">
        <f t="shared" si="19"/>
        <v>0.84789327423799954</v>
      </c>
      <c r="J94" s="1">
        <f t="shared" si="19"/>
        <v>0.64919679647938222</v>
      </c>
      <c r="K94" s="1">
        <f t="shared" si="19"/>
        <v>0.85369525181986283</v>
      </c>
      <c r="L94" s="1">
        <f t="shared" si="19"/>
        <v>0.98631224687135433</v>
      </c>
      <c r="M94" s="1">
        <f t="shared" si="19"/>
        <v>1.092675741816532</v>
      </c>
      <c r="N94" s="1">
        <f t="shared" si="19"/>
        <v>0</v>
      </c>
      <c r="O94" s="1">
        <f t="shared" si="19"/>
        <v>6.9266300118201407</v>
      </c>
      <c r="P94" s="1">
        <f t="shared" si="19"/>
        <v>16.181419996515896</v>
      </c>
      <c r="Q94" s="1">
        <f t="shared" si="19"/>
        <v>0.97915911812636292</v>
      </c>
      <c r="R94" s="1">
        <f t="shared" si="19"/>
        <v>4.0914887928635606</v>
      </c>
      <c r="S94" s="1">
        <f t="shared" si="19"/>
        <v>4.8858889323955266</v>
      </c>
      <c r="T94" s="1">
        <f t="shared" si="19"/>
        <v>6.8744833280343176</v>
      </c>
      <c r="U94" s="1">
        <f t="shared" si="19"/>
        <v>5.3535392107193225</v>
      </c>
      <c r="V94" s="1">
        <f t="shared" si="19"/>
        <v>5.160995633601221</v>
      </c>
    </row>
    <row r="98" spans="3:25" x14ac:dyDescent="0.35">
      <c r="U98" s="1"/>
      <c r="V98" s="1"/>
      <c r="W98" s="1"/>
      <c r="X98" s="1"/>
      <c r="Y98" s="1"/>
    </row>
    <row r="99" spans="3:25" x14ac:dyDescent="0.35">
      <c r="F99" s="1"/>
      <c r="G99" s="1"/>
      <c r="H99" s="1"/>
      <c r="I99" s="1"/>
      <c r="J99" s="1"/>
      <c r="K99" s="1"/>
      <c r="L99" s="1"/>
      <c r="M99" s="1"/>
      <c r="N99" s="1"/>
      <c r="O99" s="1"/>
      <c r="P99" s="1"/>
      <c r="Q99" s="1"/>
      <c r="T99" s="1"/>
      <c r="U99" s="1"/>
      <c r="V99" s="1"/>
      <c r="W99" s="1"/>
      <c r="X99" s="1"/>
      <c r="Y99" s="1"/>
    </row>
    <row r="100" spans="3:25" x14ac:dyDescent="0.35">
      <c r="C100" s="1"/>
      <c r="D100" s="1"/>
      <c r="F100" s="1"/>
      <c r="G100" s="1"/>
      <c r="H100" s="1"/>
      <c r="I100" s="1"/>
      <c r="J100" s="1"/>
      <c r="K100" s="1"/>
      <c r="L100" s="1"/>
      <c r="M100" s="1"/>
      <c r="N100" s="1"/>
      <c r="O100" s="1"/>
      <c r="P100" s="1"/>
      <c r="Q100" s="1"/>
      <c r="T100" s="1"/>
      <c r="U100" s="1"/>
    </row>
    <row r="101" spans="3:25" x14ac:dyDescent="0.35">
      <c r="C101" s="1"/>
      <c r="D101" s="1"/>
      <c r="T101" s="1"/>
      <c r="U101" s="1"/>
    </row>
    <row r="102" spans="3:25" x14ac:dyDescent="0.35">
      <c r="C102" s="1"/>
      <c r="D102" s="1"/>
      <c r="F102" s="1"/>
      <c r="G102" s="1"/>
      <c r="T102" s="1"/>
      <c r="U102" s="1"/>
    </row>
    <row r="103" spans="3:25" x14ac:dyDescent="0.35">
      <c r="C103" s="1"/>
      <c r="D103" s="1"/>
      <c r="F103" s="1"/>
      <c r="G103" s="1"/>
      <c r="T103" s="1"/>
      <c r="U103" s="1"/>
    </row>
    <row r="104" spans="3:25" x14ac:dyDescent="0.35">
      <c r="C104" s="1"/>
      <c r="D104" s="1"/>
      <c r="F104" s="1"/>
      <c r="G104" s="1"/>
    </row>
    <row r="105" spans="3:25" x14ac:dyDescent="0.35">
      <c r="C105" s="1"/>
      <c r="D105" s="1"/>
      <c r="F105" s="1"/>
      <c r="G105" s="1"/>
    </row>
    <row r="106" spans="3:25" x14ac:dyDescent="0.35">
      <c r="C106" s="1"/>
      <c r="D106" s="1"/>
      <c r="F106" s="1"/>
      <c r="G106" s="1"/>
    </row>
    <row r="107" spans="3:25" x14ac:dyDescent="0.35">
      <c r="C107" s="1"/>
      <c r="D107" s="1"/>
      <c r="F107" s="1"/>
      <c r="G107" s="1"/>
    </row>
    <row r="108" spans="3:25" x14ac:dyDescent="0.35">
      <c r="C108" s="1"/>
      <c r="D108" s="1"/>
      <c r="F108" s="1"/>
      <c r="G108" s="1"/>
    </row>
    <row r="109" spans="3:25" x14ac:dyDescent="0.35">
      <c r="C109" s="1"/>
      <c r="D109" s="1"/>
      <c r="F109" s="1"/>
      <c r="G109" s="1"/>
      <c r="R109" s="1"/>
      <c r="S109" s="1"/>
      <c r="T109" s="1"/>
      <c r="U109" s="1"/>
      <c r="V109" s="1"/>
    </row>
    <row r="110" spans="3:25" x14ac:dyDescent="0.35">
      <c r="C110" s="1"/>
      <c r="D110" s="1"/>
      <c r="F110" s="1"/>
      <c r="G110" s="1"/>
      <c r="R110" s="1"/>
      <c r="S110" s="1"/>
      <c r="T110" s="1"/>
      <c r="U110" s="1"/>
      <c r="V110" s="1"/>
    </row>
    <row r="111" spans="3:25" x14ac:dyDescent="0.35">
      <c r="F111" s="1"/>
      <c r="G111" s="1"/>
    </row>
    <row r="112" spans="3:25" x14ac:dyDescent="0.35">
      <c r="F112" s="1"/>
      <c r="G112" s="1"/>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baseColWidth="10" defaultColWidth="9.1796875" defaultRowHeight="14.5" x14ac:dyDescent="0.35"/>
  <cols>
    <col min="1" max="1" width="33.7265625" style="41" bestFit="1" customWidth="1"/>
    <col min="2" max="3" width="14" style="41" bestFit="1" customWidth="1"/>
    <col min="4" max="4" width="14" style="41" customWidth="1"/>
    <col min="5" max="5" width="16" style="15" bestFit="1" customWidth="1"/>
    <col min="6" max="8" width="16" style="15" customWidth="1"/>
    <col min="9" max="13" width="19.1796875" style="15" customWidth="1"/>
    <col min="14" max="14" width="32.1796875" style="15" bestFit="1" customWidth="1"/>
    <col min="15" max="15" width="19.54296875" style="41" customWidth="1"/>
    <col min="16" max="16384" width="9.1796875" style="41"/>
  </cols>
  <sheetData>
    <row r="1" spans="1:15" s="48" customFormat="1" ht="26.5" thickBot="1" x14ac:dyDescent="0.4">
      <c r="A1" s="231" t="s">
        <v>104</v>
      </c>
      <c r="B1" s="232"/>
      <c r="C1" s="232"/>
      <c r="D1" s="232"/>
      <c r="E1" s="232"/>
      <c r="F1" s="232"/>
      <c r="G1" s="232"/>
      <c r="H1" s="232"/>
      <c r="I1" s="232"/>
      <c r="J1" s="232"/>
      <c r="K1" s="232"/>
      <c r="L1" s="232"/>
      <c r="M1" s="232"/>
      <c r="N1" s="232"/>
      <c r="O1" s="233"/>
    </row>
    <row r="2" spans="1:15" s="48" customFormat="1" ht="26.5" thickBot="1" x14ac:dyDescent="0.4">
      <c r="A2" s="231" t="s">
        <v>105</v>
      </c>
      <c r="B2" s="232"/>
      <c r="C2" s="232"/>
      <c r="D2" s="232"/>
      <c r="E2" s="232"/>
      <c r="F2" s="232"/>
      <c r="G2" s="232"/>
      <c r="H2" s="232"/>
      <c r="I2" s="232"/>
      <c r="J2" s="232"/>
      <c r="K2" s="232"/>
      <c r="L2" s="232"/>
      <c r="M2" s="232"/>
      <c r="N2" s="232"/>
      <c r="O2" s="233"/>
    </row>
    <row r="3" spans="1:15" s="77" customFormat="1" ht="15.5" x14ac:dyDescent="0.35">
      <c r="H3" s="78"/>
      <c r="I3" s="78"/>
      <c r="J3" s="78"/>
      <c r="K3" s="78"/>
      <c r="L3" s="78"/>
      <c r="M3" s="78"/>
      <c r="N3" s="78"/>
    </row>
    <row r="4" spans="1:15" s="77" customFormat="1" ht="15.5" x14ac:dyDescent="0.35">
      <c r="O4"/>
    </row>
    <row r="5" spans="1:15" s="77" customFormat="1" ht="45.75" customHeight="1" thickBot="1" x14ac:dyDescent="0.4">
      <c r="A5" s="79"/>
      <c r="B5" s="88" t="s">
        <v>25</v>
      </c>
      <c r="C5" s="88" t="s">
        <v>26</v>
      </c>
      <c r="D5" s="88" t="s">
        <v>27</v>
      </c>
      <c r="E5" s="89" t="s">
        <v>64</v>
      </c>
      <c r="F5" s="127" t="s">
        <v>80</v>
      </c>
      <c r="G5" s="95" t="s">
        <v>42</v>
      </c>
      <c r="H5" s="95" t="s">
        <v>65</v>
      </c>
      <c r="I5" s="95" t="s">
        <v>66</v>
      </c>
      <c r="J5" s="96" t="s">
        <v>77</v>
      </c>
      <c r="K5" s="96" t="s">
        <v>67</v>
      </c>
      <c r="L5" s="97" t="s">
        <v>76</v>
      </c>
      <c r="M5" s="97" t="s">
        <v>68</v>
      </c>
      <c r="N5" s="97" t="s">
        <v>69</v>
      </c>
      <c r="O5"/>
    </row>
    <row r="6" spans="1:15" s="77" customFormat="1" ht="15.5" x14ac:dyDescent="0.35">
      <c r="A6" s="80" t="s">
        <v>28</v>
      </c>
      <c r="B6" s="100">
        <v>64</v>
      </c>
      <c r="C6" s="80"/>
      <c r="D6" s="80"/>
      <c r="E6" s="90"/>
      <c r="F6" s="91"/>
      <c r="G6" s="129">
        <f>IF(F6="NS","NC",ROUND(B6,2-(1+INT(LOG10(ABS(B6))))))</f>
        <v>64</v>
      </c>
      <c r="H6" s="121"/>
      <c r="I6" s="121"/>
      <c r="J6" s="122"/>
      <c r="K6" s="123"/>
      <c r="L6" s="125"/>
      <c r="M6" s="122"/>
      <c r="N6" s="92"/>
      <c r="O6"/>
    </row>
    <row r="7" spans="1:15" s="77" customFormat="1" ht="15.5" x14ac:dyDescent="0.35">
      <c r="A7" s="80" t="str">
        <f>'Page de garde'!A15</f>
        <v>Cefuroxime-0.001mg/L</v>
      </c>
      <c r="B7" s="99"/>
      <c r="C7" s="81"/>
      <c r="D7" s="81"/>
      <c r="E7" s="82"/>
      <c r="F7" s="98" t="str">
        <f>HLOOKUP(A7,'pooled normalised values'!$B$74:$V$83,10,FALSE)</f>
        <v>ns</v>
      </c>
      <c r="G7" s="129" t="str">
        <f>IF(F7="NS","NC",ROUND(B7,2-(1+INT(LOG10(ABS(B7))))))</f>
        <v>NC</v>
      </c>
      <c r="H7" s="120" t="str">
        <f>IF(VLOOKUP(A7,liste_groupe[],4,FALSE)="%",VLOOKUP(A7,liste_groupe[],3,FALSE)/100,IF(ISBLANK(VLOOKUP(A7,liste_groupe[],4,FALSE)),"Non","Non"))</f>
        <v>Non</v>
      </c>
      <c r="I7" s="129" t="str">
        <f>IF(F7="NS","NC",IF(H7="Non",G7,G7*(1/H7)))</f>
        <v>NC</v>
      </c>
      <c r="J7" s="130">
        <v>64</v>
      </c>
      <c r="K7" s="131">
        <f>IF(F7="NS",0,ROUND(I7/J7*100,0))</f>
        <v>0</v>
      </c>
      <c r="L7" s="126">
        <v>1</v>
      </c>
      <c r="M7" s="132">
        <f>IF(K7&gt;100,125,K7)</f>
        <v>0</v>
      </c>
      <c r="N7" s="93" t="str">
        <f>IF(H7="Non",CONCATENATE(VLOOKUP(A7,liste_groupe[],5,FALSE),"-",VLOOKUP(A7,liste_groupe[],3,FALSE),VLOOKUP(A7,liste_groupe[],4,FALSE)," : ",ROUND(K7,0),"%"),CONCATENATE(VLOOKUP(A7,liste_groupe[],5,FALSE)," : ",ROUND(K7,0),"%"))</f>
        <v>Cefuroxime-0,001mg/L : 0%</v>
      </c>
      <c r="O7"/>
    </row>
    <row r="8" spans="1:15" s="77" customFormat="1" ht="15.5" x14ac:dyDescent="0.35">
      <c r="A8" s="80" t="str">
        <f>'Page de garde'!A16</f>
        <v>Cefuroxime-0.01mg/L</v>
      </c>
      <c r="B8" s="99"/>
      <c r="C8" s="83"/>
      <c r="D8" s="81"/>
      <c r="E8" s="82"/>
      <c r="F8" s="98" t="str">
        <f>HLOOKUP(A8,'pooled normalised values'!$B$74:$V$83,10,FALSE)</f>
        <v>ns</v>
      </c>
      <c r="G8" s="129" t="str">
        <f t="shared" ref="G8:G13" si="0">IF(F8="NS","NC",ROUND(B8,2-(1+INT(LOG10(ABS(B8))))))</f>
        <v>NC</v>
      </c>
      <c r="H8" s="120" t="str">
        <f>IF(VLOOKUP(A8,liste_groupe[],4,FALSE)="%",VLOOKUP(A8,liste_groupe[],3,FALSE)/100,IF(ISBLANK(VLOOKUP(A8,liste_groupe[],4,FALSE)),"Non","Non"))</f>
        <v>Non</v>
      </c>
      <c r="I8" s="129" t="str">
        <f t="shared" ref="I8:I26" si="1">IF(F8="NS","NC",IF(H8="Non",G8,G8*(1/H8)))</f>
        <v>NC</v>
      </c>
      <c r="J8" s="130">
        <v>64</v>
      </c>
      <c r="K8" s="131">
        <f t="shared" ref="K8:K26" si="2">IF(F8="NS",0,ROUND(I8/J8*100,0))</f>
        <v>0</v>
      </c>
      <c r="L8" s="126"/>
      <c r="M8" s="132">
        <f t="shared" ref="M8:M26" si="3">IF(K8&gt;100,125,K8)</f>
        <v>0</v>
      </c>
      <c r="N8" s="93" t="str">
        <f>IF(H8="Non",CONCATENATE(VLOOKUP(A8,liste_groupe[],5,FALSE),"-",VLOOKUP(A8,liste_groupe[],3,FALSE),VLOOKUP(A8,liste_groupe[],4,FALSE)," : ",ROUND(K8,0),"%"),CONCATENATE(VLOOKUP(A8,liste_groupe[],5,FALSE)," : ",ROUND(K8,0),"%"))</f>
        <v>Cefuroxime-0,01mg/L : 0%</v>
      </c>
      <c r="O8"/>
    </row>
    <row r="9" spans="1:15" s="77" customFormat="1" ht="15.5" x14ac:dyDescent="0.35">
      <c r="A9" s="80" t="str">
        <f>'Page de garde'!A17</f>
        <v>Cefuroxime-0.1mg/L</v>
      </c>
      <c r="B9" s="99"/>
      <c r="C9" s="83"/>
      <c r="D9" s="81"/>
      <c r="E9" s="82"/>
      <c r="F9" s="98" t="str">
        <f>HLOOKUP(A9,'pooled normalised values'!$B$74:$V$83,10,FALSE)</f>
        <v>ns</v>
      </c>
      <c r="G9" s="129" t="str">
        <f t="shared" si="0"/>
        <v>NC</v>
      </c>
      <c r="H9" s="120" t="str">
        <f>IF(VLOOKUP(A9,liste_groupe[],4,FALSE)="%",VLOOKUP(A9,liste_groupe[],3,FALSE)/100,IF(ISBLANK(VLOOKUP(A9,liste_groupe[],4,FALSE)),"Non","Non"))</f>
        <v>Non</v>
      </c>
      <c r="I9" s="129" t="str">
        <f t="shared" si="1"/>
        <v>NC</v>
      </c>
      <c r="J9" s="130">
        <v>64</v>
      </c>
      <c r="K9" s="131">
        <f t="shared" si="2"/>
        <v>0</v>
      </c>
      <c r="L9" s="126"/>
      <c r="M9" s="132">
        <f t="shared" si="3"/>
        <v>0</v>
      </c>
      <c r="N9" s="93" t="str">
        <f>IF(H9="Non",CONCATENATE(VLOOKUP(A9,liste_groupe[],5,FALSE),"-",VLOOKUP(A9,liste_groupe[],3,FALSE),VLOOKUP(A9,liste_groupe[],4,FALSE)," : ",ROUND(K9,0),"%"),CONCATENATE(VLOOKUP(A9,liste_groupe[],5,FALSE)," : ",ROUND(K9,0),"%"))</f>
        <v>Cefuroxime-0,1mg/L : 0%</v>
      </c>
      <c r="O9"/>
    </row>
    <row r="10" spans="1:15" s="77" customFormat="1" ht="15.5" x14ac:dyDescent="0.35">
      <c r="A10" s="80" t="str">
        <f>'Page de garde'!A18</f>
        <v>Cefuroxime-1mg/L</v>
      </c>
      <c r="B10" s="100"/>
      <c r="C10" s="80"/>
      <c r="D10" s="85"/>
      <c r="E10" s="82"/>
      <c r="F10" s="98" t="str">
        <f>HLOOKUP(A10,'pooled normalised values'!$B$74:$V$83,10,FALSE)</f>
        <v>ns</v>
      </c>
      <c r="G10" s="129" t="str">
        <f t="shared" si="0"/>
        <v>NC</v>
      </c>
      <c r="H10" s="120" t="str">
        <f>IF(VLOOKUP(A10,liste_groupe[],4,FALSE)="%",VLOOKUP(A10,liste_groupe[],3,FALSE)/100,IF(ISBLANK(VLOOKUP(A10,liste_groupe[],4,FALSE)),"Non","Non"))</f>
        <v>Non</v>
      </c>
      <c r="I10" s="129" t="str">
        <f t="shared" si="1"/>
        <v>NC</v>
      </c>
      <c r="J10" s="130">
        <v>64</v>
      </c>
      <c r="K10" s="131">
        <f t="shared" si="2"/>
        <v>0</v>
      </c>
      <c r="L10" s="126"/>
      <c r="M10" s="132">
        <f t="shared" si="3"/>
        <v>0</v>
      </c>
      <c r="N10" s="93" t="str">
        <f>IF(H10="Non",CONCATENATE(VLOOKUP(A10,liste_groupe[],5,FALSE),"-",VLOOKUP(A10,liste_groupe[],3,FALSE),VLOOKUP(A10,liste_groupe[],4,FALSE)," : ",ROUND(K10,0),"%"),CONCATENATE(VLOOKUP(A10,liste_groupe[],5,FALSE)," : ",ROUND(K10,0),"%"))</f>
        <v>Cefuroxime-1mg/L : 0%</v>
      </c>
      <c r="O10"/>
    </row>
    <row r="11" spans="1:15" s="77" customFormat="1" ht="15.5" x14ac:dyDescent="0.35">
      <c r="A11" s="80" t="str">
        <f>'Page de garde'!A19</f>
        <v>Cefuroxime-10mg/L</v>
      </c>
      <c r="B11" s="100"/>
      <c r="C11" s="80"/>
      <c r="D11" s="85"/>
      <c r="E11" s="82"/>
      <c r="F11" s="98" t="str">
        <f>HLOOKUP(A11,'pooled normalised values'!$B$74:$V$83,10,FALSE)</f>
        <v>ns</v>
      </c>
      <c r="G11" s="129" t="str">
        <f t="shared" si="0"/>
        <v>NC</v>
      </c>
      <c r="H11" s="120" t="str">
        <f>IF(VLOOKUP(A11,liste_groupe[],4,FALSE)="%",VLOOKUP(A11,liste_groupe[],3,FALSE)/100,IF(ISBLANK(VLOOKUP(A11,liste_groupe[],4,FALSE)),"Non","Non"))</f>
        <v>Non</v>
      </c>
      <c r="I11" s="129" t="str">
        <f t="shared" si="1"/>
        <v>NC</v>
      </c>
      <c r="J11" s="130">
        <v>64</v>
      </c>
      <c r="K11" s="131">
        <f t="shared" si="2"/>
        <v>0</v>
      </c>
      <c r="L11" s="126"/>
      <c r="M11" s="132">
        <f t="shared" si="3"/>
        <v>0</v>
      </c>
      <c r="N11" s="93" t="str">
        <f>IF(H11="Non",CONCATENATE(VLOOKUP(A11,liste_groupe[],5,FALSE),"-",VLOOKUP(A11,liste_groupe[],3,FALSE),VLOOKUP(A11,liste_groupe[],4,FALSE)," : ",ROUND(K11,0),"%"),CONCATENATE(VLOOKUP(A11,liste_groupe[],5,FALSE)," : ",ROUND(K11,0),"%"))</f>
        <v>Cefuroxime-10mg/L : 0%</v>
      </c>
      <c r="O11"/>
    </row>
    <row r="12" spans="1:15" s="77" customFormat="1" ht="15.5" x14ac:dyDescent="0.35">
      <c r="A12" s="80" t="str">
        <f>'Page de garde'!A20</f>
        <v xml:space="preserve"> </v>
      </c>
      <c r="B12" s="100"/>
      <c r="C12" s="80"/>
      <c r="D12" s="85"/>
      <c r="E12" s="82"/>
      <c r="F12" s="98" t="e">
        <f>HLOOKUP(A12,'pooled normalised values'!$B$74:$V$83,10,FALSE)</f>
        <v>#N/A</v>
      </c>
      <c r="G12" s="129" t="e">
        <f t="shared" si="0"/>
        <v>#N/A</v>
      </c>
      <c r="H12" s="120" t="str">
        <f>IF(VLOOKUP(A12,liste_groupe[],4,FALSE)="%",VLOOKUP(A12,liste_groupe[],3,FALSE)/100,IF(ISBLANK(VLOOKUP(A12,liste_groupe[],4,FALSE)),"Non","Non"))</f>
        <v>Non</v>
      </c>
      <c r="I12" s="129" t="e">
        <f t="shared" si="1"/>
        <v>#N/A</v>
      </c>
      <c r="J12" s="130">
        <v>64</v>
      </c>
      <c r="K12" s="131" t="e">
        <f t="shared" si="2"/>
        <v>#N/A</v>
      </c>
      <c r="L12" s="126"/>
      <c r="M12" s="132" t="e">
        <f t="shared" si="3"/>
        <v>#N/A</v>
      </c>
      <c r="N12" s="93" t="e">
        <f>IF(H12="Non",CONCATENATE(VLOOKUP(A12,liste_groupe[],5,FALSE),"-",VLOOKUP(A12,liste_groupe[],3,FALSE),VLOOKUP(A12,liste_groupe[],4,FALSE)," : ",ROUND(K12,0),"%"),CONCATENATE(VLOOKUP(A12,liste_groupe[],5,FALSE)," : ",ROUND(K12,0),"%"))</f>
        <v>#N/A</v>
      </c>
      <c r="O12"/>
    </row>
    <row r="13" spans="1:15" s="77" customFormat="1" ht="15.5" x14ac:dyDescent="0.35">
      <c r="A13" s="80" t="str">
        <f>'Page de garde'!A21</f>
        <v xml:space="preserve"> </v>
      </c>
      <c r="B13" s="100"/>
      <c r="C13" s="80"/>
      <c r="D13" s="80"/>
      <c r="E13" s="82"/>
      <c r="F13" s="98" t="e">
        <f>HLOOKUP(A13,'pooled normalised values'!$B$74:$V$83,10,FALSE)</f>
        <v>#N/A</v>
      </c>
      <c r="G13" s="129" t="e">
        <f t="shared" si="0"/>
        <v>#N/A</v>
      </c>
      <c r="H13" s="120" t="str">
        <f>IF(VLOOKUP(A13,liste_groupe[],4,FALSE)="%",VLOOKUP(A13,liste_groupe[],3,FALSE)/100,IF(ISBLANK(VLOOKUP(A13,liste_groupe[],4,FALSE)),"Non","Non"))</f>
        <v>Non</v>
      </c>
      <c r="I13" s="129" t="e">
        <f t="shared" si="1"/>
        <v>#N/A</v>
      </c>
      <c r="J13" s="130">
        <v>64</v>
      </c>
      <c r="K13" s="131" t="e">
        <f t="shared" si="2"/>
        <v>#N/A</v>
      </c>
      <c r="L13" s="126"/>
      <c r="M13" s="132" t="e">
        <f t="shared" si="3"/>
        <v>#N/A</v>
      </c>
      <c r="N13" s="93" t="e">
        <f>IF(H13="Non",CONCATENATE(VLOOKUP(A13,liste_groupe[],5,FALSE),"-",VLOOKUP(A13,liste_groupe[],3,FALSE),VLOOKUP(A13,liste_groupe[],4,FALSE)," : ",ROUND(K13,0),"%"),CONCATENATE(VLOOKUP(A13,liste_groupe[],5,FALSE)," : ",ROUND(K13,0),"%"))</f>
        <v>#N/A</v>
      </c>
      <c r="O13"/>
    </row>
    <row r="14" spans="1:15" s="77" customFormat="1" ht="15.5" x14ac:dyDescent="0.35">
      <c r="A14" s="80" t="str">
        <f>'Page de garde'!A22</f>
        <v xml:space="preserve"> </v>
      </c>
      <c r="B14" s="100"/>
      <c r="C14" s="80"/>
      <c r="D14" s="80"/>
      <c r="E14" s="82"/>
      <c r="F14" s="98" t="e">
        <f>HLOOKUP(A14,'pooled normalised values'!$B$74:$V$83,10,FALSE)</f>
        <v>#N/A</v>
      </c>
      <c r="G14" s="129" t="e">
        <f t="shared" ref="G14:G25" si="4">IF(F14="NS","NC",ROUND(B14,2-(1+INT(LOG10(ABS(B14))))))</f>
        <v>#N/A</v>
      </c>
      <c r="H14" s="120" t="str">
        <f>IF(VLOOKUP(A14,liste_groupe[],4,FALSE)="%",VLOOKUP(A14,liste_groupe[],3,FALSE)/100,IF(ISBLANK(VLOOKUP(A14,liste_groupe[],4,FALSE)),"Non","Non"))</f>
        <v>Non</v>
      </c>
      <c r="I14" s="129" t="e">
        <f t="shared" si="1"/>
        <v>#N/A</v>
      </c>
      <c r="J14" s="130">
        <v>64</v>
      </c>
      <c r="K14" s="131" t="e">
        <f t="shared" si="2"/>
        <v>#N/A</v>
      </c>
      <c r="L14" s="126"/>
      <c r="M14" s="132" t="e">
        <f t="shared" si="3"/>
        <v>#N/A</v>
      </c>
      <c r="N14" s="93" t="e">
        <f>IF(H14="Non",CONCATENATE(VLOOKUP(A14,liste_groupe[],5,FALSE),"-",VLOOKUP(A14,liste_groupe[],3,FALSE),VLOOKUP(A14,liste_groupe[],4,FALSE)," : ",ROUND(K14,0),"%"),CONCATENATE(VLOOKUP(A14,liste_groupe[],5,FALSE)," : ",ROUND(K14,0),"%"))</f>
        <v>#N/A</v>
      </c>
      <c r="O14" s="1"/>
    </row>
    <row r="15" spans="1:15" s="77" customFormat="1" ht="15.5" x14ac:dyDescent="0.35">
      <c r="A15" s="80" t="str">
        <f>'Page de garde'!A23</f>
        <v xml:space="preserve"> </v>
      </c>
      <c r="B15" s="100"/>
      <c r="C15" s="80"/>
      <c r="D15" s="80"/>
      <c r="E15" s="82"/>
      <c r="F15" s="98" t="e">
        <f>HLOOKUP(A15,'pooled normalised values'!$B$74:$V$83,10,FALSE)</f>
        <v>#N/A</v>
      </c>
      <c r="G15" s="129" t="e">
        <f t="shared" si="4"/>
        <v>#N/A</v>
      </c>
      <c r="H15" s="120" t="str">
        <f>IF(VLOOKUP(A15,liste_groupe[],4,FALSE)="%",VLOOKUP(A15,liste_groupe[],3,FALSE)/100,IF(ISBLANK(VLOOKUP(A15,liste_groupe[],4,FALSE)),"Non","Non"))</f>
        <v>Non</v>
      </c>
      <c r="I15" s="129" t="e">
        <f t="shared" si="1"/>
        <v>#N/A</v>
      </c>
      <c r="J15" s="130">
        <v>64</v>
      </c>
      <c r="K15" s="131" t="e">
        <f t="shared" si="2"/>
        <v>#N/A</v>
      </c>
      <c r="L15" s="126"/>
      <c r="M15" s="132" t="e">
        <f t="shared" si="3"/>
        <v>#N/A</v>
      </c>
      <c r="N15" s="93" t="e">
        <f>IF(H15="Non",CONCATENATE(VLOOKUP(A15,liste_groupe[],5,FALSE),"-",VLOOKUP(A15,liste_groupe[],3,FALSE),VLOOKUP(A15,liste_groupe[],4,FALSE)," : ",ROUND(K15,0),"%"),CONCATENATE(VLOOKUP(A15,liste_groupe[],5,FALSE)," : ",ROUND(K15,0),"%"))</f>
        <v>#N/A</v>
      </c>
      <c r="O15" s="1"/>
    </row>
    <row r="16" spans="1:15" s="77" customFormat="1" ht="15.5" x14ac:dyDescent="0.35">
      <c r="A16" s="80" t="str">
        <f>'Page de garde'!A24</f>
        <v xml:space="preserve"> </v>
      </c>
      <c r="B16" s="100"/>
      <c r="C16" s="80"/>
      <c r="D16" s="80"/>
      <c r="E16" s="82"/>
      <c r="F16" s="98" t="e">
        <f>HLOOKUP(A16,'pooled normalised values'!$B$74:$V$83,10,FALSE)</f>
        <v>#N/A</v>
      </c>
      <c r="G16" s="129" t="e">
        <f t="shared" si="4"/>
        <v>#N/A</v>
      </c>
      <c r="H16" s="120" t="str">
        <f>IF(VLOOKUP(A16,liste_groupe[],4,FALSE)="%",VLOOKUP(A16,liste_groupe[],3,FALSE)/100,IF(ISBLANK(VLOOKUP(A16,liste_groupe[],4,FALSE)),"Non","Non"))</f>
        <v>Non</v>
      </c>
      <c r="I16" s="129" t="e">
        <f t="shared" si="1"/>
        <v>#N/A</v>
      </c>
      <c r="J16" s="130">
        <v>64</v>
      </c>
      <c r="K16" s="131" t="e">
        <f t="shared" si="2"/>
        <v>#N/A</v>
      </c>
      <c r="L16" s="126"/>
      <c r="M16" s="132" t="e">
        <f t="shared" si="3"/>
        <v>#N/A</v>
      </c>
      <c r="N16" s="93" t="e">
        <f>IF(H16="Non",CONCATENATE(VLOOKUP(A16,liste_groupe[],5,FALSE),"-",VLOOKUP(A16,liste_groupe[],3,FALSE),VLOOKUP(A16,liste_groupe[],4,FALSE)," : ",ROUND(K16,0),"%"),CONCATENATE(VLOOKUP(A16,liste_groupe[],5,FALSE)," : ",ROUND(K16,0),"%"))</f>
        <v>#N/A</v>
      </c>
      <c r="O16" s="1"/>
    </row>
    <row r="17" spans="1:15" s="77" customFormat="1" ht="15.5" x14ac:dyDescent="0.35">
      <c r="A17" s="80" t="str">
        <f>'Page de garde'!A25</f>
        <v xml:space="preserve"> </v>
      </c>
      <c r="B17" s="100"/>
      <c r="C17" s="80"/>
      <c r="D17" s="80"/>
      <c r="E17" s="82"/>
      <c r="F17" s="98" t="e">
        <f>HLOOKUP(A17,'pooled normalised values'!$B$74:$V$83,10,FALSE)</f>
        <v>#N/A</v>
      </c>
      <c r="G17" s="129" t="e">
        <f t="shared" si="4"/>
        <v>#N/A</v>
      </c>
      <c r="H17" s="120" t="str">
        <f>IF(VLOOKUP(A17,liste_groupe[],4,FALSE)="%",VLOOKUP(A17,liste_groupe[],3,FALSE)/100,IF(ISBLANK(VLOOKUP(A17,liste_groupe[],4,FALSE)),"Non","Non"))</f>
        <v>Non</v>
      </c>
      <c r="I17" s="129" t="e">
        <f t="shared" si="1"/>
        <v>#N/A</v>
      </c>
      <c r="J17" s="130">
        <v>64</v>
      </c>
      <c r="K17" s="131" t="e">
        <f t="shared" si="2"/>
        <v>#N/A</v>
      </c>
      <c r="L17" s="126"/>
      <c r="M17" s="132" t="e">
        <f t="shared" si="3"/>
        <v>#N/A</v>
      </c>
      <c r="N17" s="93" t="e">
        <f>IF(H17="Non",CONCATENATE(VLOOKUP(A17,liste_groupe[],5,FALSE),"-",VLOOKUP(A17,liste_groupe[],3,FALSE),VLOOKUP(A17,liste_groupe[],4,FALSE)," : ",ROUND(K17,0),"%"),CONCATENATE(VLOOKUP(A17,liste_groupe[],5,FALSE)," : ",ROUND(K17,0),"%"))</f>
        <v>#N/A</v>
      </c>
      <c r="O17" s="1"/>
    </row>
    <row r="18" spans="1:15" s="77" customFormat="1" ht="15.5" x14ac:dyDescent="0.35">
      <c r="A18" s="80" t="str">
        <f>'Page de garde'!A26</f>
        <v xml:space="preserve"> </v>
      </c>
      <c r="B18" s="100"/>
      <c r="C18" s="80"/>
      <c r="D18" s="80"/>
      <c r="E18" s="82"/>
      <c r="F18" s="98" t="e">
        <f>HLOOKUP(A18,'pooled normalised values'!$B$74:$V$83,10,FALSE)</f>
        <v>#N/A</v>
      </c>
      <c r="G18" s="129" t="e">
        <f t="shared" si="4"/>
        <v>#N/A</v>
      </c>
      <c r="H18" s="120" t="str">
        <f>IF(VLOOKUP(A18,liste_groupe[],4,FALSE)="%",VLOOKUP(A18,liste_groupe[],3,FALSE)/100,IF(ISBLANK(VLOOKUP(A18,liste_groupe[],4,FALSE)),"Non","Non"))</f>
        <v>Non</v>
      </c>
      <c r="I18" s="129" t="e">
        <f t="shared" si="1"/>
        <v>#N/A</v>
      </c>
      <c r="J18" s="130">
        <v>64</v>
      </c>
      <c r="K18" s="131" t="e">
        <f t="shared" si="2"/>
        <v>#N/A</v>
      </c>
      <c r="L18" s="126"/>
      <c r="M18" s="132" t="e">
        <f t="shared" si="3"/>
        <v>#N/A</v>
      </c>
      <c r="N18" s="93" t="e">
        <f>IF(H18="Non",CONCATENATE(VLOOKUP(A18,liste_groupe[],5,FALSE),"-",VLOOKUP(A18,liste_groupe[],3,FALSE),VLOOKUP(A18,liste_groupe[],4,FALSE)," : ",ROUND(K18,0),"%"),CONCATENATE(VLOOKUP(A18,liste_groupe[],5,FALSE)," : ",ROUND(K18,0),"%"))</f>
        <v>#N/A</v>
      </c>
      <c r="O18" s="1"/>
    </row>
    <row r="19" spans="1:15" s="77" customFormat="1" ht="15.5" x14ac:dyDescent="0.35">
      <c r="A19" s="80" t="str">
        <f>'Page de garde'!A27</f>
        <v xml:space="preserve"> </v>
      </c>
      <c r="B19" s="100"/>
      <c r="C19" s="80"/>
      <c r="D19" s="80"/>
      <c r="E19" s="82"/>
      <c r="F19" s="98" t="e">
        <f>HLOOKUP(A19,'pooled normalised values'!$B$74:$V$83,10,FALSE)</f>
        <v>#N/A</v>
      </c>
      <c r="G19" s="129" t="e">
        <f t="shared" si="4"/>
        <v>#N/A</v>
      </c>
      <c r="H19" s="120" t="str">
        <f>IF(VLOOKUP(A19,liste_groupe[],4,FALSE)="%",VLOOKUP(A19,liste_groupe[],3,FALSE)/100,IF(ISBLANK(VLOOKUP(A19,liste_groupe[],4,FALSE)),"Non","Non"))</f>
        <v>Non</v>
      </c>
      <c r="I19" s="129" t="e">
        <f t="shared" si="1"/>
        <v>#N/A</v>
      </c>
      <c r="J19" s="130">
        <v>64</v>
      </c>
      <c r="K19" s="131" t="e">
        <f t="shared" si="2"/>
        <v>#N/A</v>
      </c>
      <c r="L19" s="126"/>
      <c r="M19" s="132" t="e">
        <f t="shared" si="3"/>
        <v>#N/A</v>
      </c>
      <c r="N19" s="93" t="e">
        <f>IF(H19="Non",CONCATENATE(VLOOKUP(A19,liste_groupe[],5,FALSE),"-",VLOOKUP(A19,liste_groupe[],3,FALSE),VLOOKUP(A19,liste_groupe[],4,FALSE)," : ",ROUND(K19,0),"%"),CONCATENATE(VLOOKUP(A19,liste_groupe[],5,FALSE)," : ",ROUND(K19,0),"%"))</f>
        <v>#N/A</v>
      </c>
      <c r="O19" s="1"/>
    </row>
    <row r="20" spans="1:15" s="77" customFormat="1" ht="15.5" x14ac:dyDescent="0.35">
      <c r="A20" s="80" t="str">
        <f>'Page de garde'!A28</f>
        <v xml:space="preserve"> </v>
      </c>
      <c r="B20" s="100"/>
      <c r="C20" s="80"/>
      <c r="D20" s="80"/>
      <c r="E20" s="82"/>
      <c r="F20" s="98" t="e">
        <f>HLOOKUP(A20,'pooled normalised values'!$B$74:$V$83,10,FALSE)</f>
        <v>#N/A</v>
      </c>
      <c r="G20" s="129" t="e">
        <f t="shared" si="4"/>
        <v>#N/A</v>
      </c>
      <c r="H20" s="120" t="str">
        <f>IF(VLOOKUP(A20,liste_groupe[],4,FALSE)="%",VLOOKUP(A20,liste_groupe[],3,FALSE)/100,IF(ISBLANK(VLOOKUP(A20,liste_groupe[],4,FALSE)),"Non","Non"))</f>
        <v>Non</v>
      </c>
      <c r="I20" s="129" t="e">
        <f t="shared" si="1"/>
        <v>#N/A</v>
      </c>
      <c r="J20" s="130">
        <v>64</v>
      </c>
      <c r="K20" s="131" t="e">
        <f t="shared" si="2"/>
        <v>#N/A</v>
      </c>
      <c r="L20" s="126"/>
      <c r="M20" s="132" t="e">
        <f t="shared" si="3"/>
        <v>#N/A</v>
      </c>
      <c r="N20" s="93" t="e">
        <f>IF(H20="Non",CONCATENATE(VLOOKUP(A20,liste_groupe[],5,FALSE),"-",VLOOKUP(A20,liste_groupe[],3,FALSE),VLOOKUP(A20,liste_groupe[],4,FALSE)," : ",ROUND(K20,0),"%"),CONCATENATE(VLOOKUP(A20,liste_groupe[],5,FALSE)," : ",ROUND(K20,0),"%"))</f>
        <v>#N/A</v>
      </c>
      <c r="O20" s="1"/>
    </row>
    <row r="21" spans="1:15" s="77" customFormat="1" ht="15.5" x14ac:dyDescent="0.35">
      <c r="A21" s="80" t="str">
        <f>'Page de garde'!A29</f>
        <v xml:space="preserve"> </v>
      </c>
      <c r="B21" s="100"/>
      <c r="C21" s="80"/>
      <c r="D21" s="80"/>
      <c r="E21" s="82"/>
      <c r="F21" s="98" t="e">
        <f>HLOOKUP(A21,'pooled normalised values'!$B$74:$V$83,10,FALSE)</f>
        <v>#N/A</v>
      </c>
      <c r="G21" s="129" t="e">
        <f t="shared" si="4"/>
        <v>#N/A</v>
      </c>
      <c r="H21" s="120" t="str">
        <f>IF(VLOOKUP(A21,liste_groupe[],4,FALSE)="%",VLOOKUP(A21,liste_groupe[],3,FALSE)/100,IF(ISBLANK(VLOOKUP(A21,liste_groupe[],4,FALSE)),"Non","Non"))</f>
        <v>Non</v>
      </c>
      <c r="I21" s="129" t="e">
        <f t="shared" si="1"/>
        <v>#N/A</v>
      </c>
      <c r="J21" s="130">
        <v>64</v>
      </c>
      <c r="K21" s="131" t="e">
        <f t="shared" si="2"/>
        <v>#N/A</v>
      </c>
      <c r="L21" s="126"/>
      <c r="M21" s="132" t="e">
        <f t="shared" si="3"/>
        <v>#N/A</v>
      </c>
      <c r="N21" s="93" t="e">
        <f>IF(H21="Non",CONCATENATE(VLOOKUP(A21,liste_groupe[],5,FALSE),"-",VLOOKUP(A21,liste_groupe[],3,FALSE),VLOOKUP(A21,liste_groupe[],4,FALSE)," : ",ROUND(K21,0),"%"),CONCATENATE(VLOOKUP(A21,liste_groupe[],5,FALSE)," : ",ROUND(K21,0),"%"))</f>
        <v>#N/A</v>
      </c>
      <c r="O21" s="1"/>
    </row>
    <row r="22" spans="1:15" s="77" customFormat="1" ht="15.5" x14ac:dyDescent="0.35">
      <c r="A22" s="80" t="str">
        <f>'Page de garde'!A30</f>
        <v xml:space="preserve"> </v>
      </c>
      <c r="B22" s="100"/>
      <c r="C22" s="80"/>
      <c r="D22" s="80"/>
      <c r="E22" s="82"/>
      <c r="F22" s="98" t="e">
        <f>HLOOKUP(A22,'pooled normalised values'!$B$74:$V$83,10,FALSE)</f>
        <v>#N/A</v>
      </c>
      <c r="G22" s="129" t="e">
        <f t="shared" si="4"/>
        <v>#N/A</v>
      </c>
      <c r="H22" s="120" t="str">
        <f>IF(VLOOKUP(A22,liste_groupe[],4,FALSE)="%",VLOOKUP(A22,liste_groupe[],3,FALSE)/100,IF(ISBLANK(VLOOKUP(A22,liste_groupe[],4,FALSE)),"Non","Non"))</f>
        <v>Non</v>
      </c>
      <c r="I22" s="129" t="e">
        <f t="shared" si="1"/>
        <v>#N/A</v>
      </c>
      <c r="J22" s="130">
        <v>64</v>
      </c>
      <c r="K22" s="131" t="e">
        <f t="shared" si="2"/>
        <v>#N/A</v>
      </c>
      <c r="L22" s="126"/>
      <c r="M22" s="132" t="e">
        <f t="shared" si="3"/>
        <v>#N/A</v>
      </c>
      <c r="N22" s="93" t="e">
        <f>IF(H22="Non",CONCATENATE(VLOOKUP(A22,liste_groupe[],5,FALSE),"-",VLOOKUP(A22,liste_groupe[],3,FALSE),VLOOKUP(A22,liste_groupe[],4,FALSE)," : ",ROUND(K22,0),"%"),CONCATENATE(VLOOKUP(A22,liste_groupe[],5,FALSE)," : ",ROUND(K22,0),"%"))</f>
        <v>#N/A</v>
      </c>
      <c r="O22" s="1"/>
    </row>
    <row r="23" spans="1:15" s="77" customFormat="1" ht="15.5" x14ac:dyDescent="0.35">
      <c r="A23" s="80" t="str">
        <f>'Page de garde'!A31</f>
        <v xml:space="preserve"> </v>
      </c>
      <c r="B23" s="100"/>
      <c r="C23" s="80"/>
      <c r="D23" s="80"/>
      <c r="E23" s="82"/>
      <c r="F23" s="98" t="e">
        <f>HLOOKUP(A23,'pooled normalised values'!$B$74:$V$83,10,FALSE)</f>
        <v>#N/A</v>
      </c>
      <c r="G23" s="129" t="e">
        <f t="shared" si="4"/>
        <v>#N/A</v>
      </c>
      <c r="H23" s="120" t="str">
        <f>IF(VLOOKUP(A23,liste_groupe[],4,FALSE)="%",VLOOKUP(A23,liste_groupe[],3,FALSE)/100,IF(ISBLANK(VLOOKUP(A23,liste_groupe[],4,FALSE)),"Non","Non"))</f>
        <v>Non</v>
      </c>
      <c r="I23" s="129" t="e">
        <f t="shared" si="1"/>
        <v>#N/A</v>
      </c>
      <c r="J23" s="130">
        <v>64</v>
      </c>
      <c r="K23" s="131" t="e">
        <f t="shared" si="2"/>
        <v>#N/A</v>
      </c>
      <c r="L23" s="126"/>
      <c r="M23" s="132" t="e">
        <f t="shared" si="3"/>
        <v>#N/A</v>
      </c>
      <c r="N23" s="93" t="e">
        <f>IF(H23="Non",CONCATENATE(VLOOKUP(A23,liste_groupe[],5,FALSE),"-",VLOOKUP(A23,liste_groupe[],3,FALSE),VLOOKUP(A23,liste_groupe[],4,FALSE)," : ",ROUND(K23,0),"%"),CONCATENATE(VLOOKUP(A23,liste_groupe[],5,FALSE)," : ",ROUND(K23,0),"%"))</f>
        <v>#N/A</v>
      </c>
      <c r="O23" s="1"/>
    </row>
    <row r="24" spans="1:15" s="77" customFormat="1" ht="15.5" x14ac:dyDescent="0.35">
      <c r="A24" s="80" t="str">
        <f>'Page de garde'!A32</f>
        <v xml:space="preserve"> </v>
      </c>
      <c r="B24" s="100"/>
      <c r="C24" s="80"/>
      <c r="D24" s="80"/>
      <c r="E24" s="82"/>
      <c r="F24" s="98" t="e">
        <f>HLOOKUP(A24,'pooled normalised values'!$B$74:$V$83,10,FALSE)</f>
        <v>#N/A</v>
      </c>
      <c r="G24" s="129" t="e">
        <f t="shared" si="4"/>
        <v>#N/A</v>
      </c>
      <c r="H24" s="120" t="str">
        <f>IF(VLOOKUP(A24,liste_groupe[],4,FALSE)="%",VLOOKUP(A24,liste_groupe[],3,FALSE)/100,IF(ISBLANK(VLOOKUP(A24,liste_groupe[],4,FALSE)),"Non","Non"))</f>
        <v>Non</v>
      </c>
      <c r="I24" s="129" t="e">
        <f t="shared" si="1"/>
        <v>#N/A</v>
      </c>
      <c r="J24" s="130">
        <v>64</v>
      </c>
      <c r="K24" s="131" t="e">
        <f t="shared" si="2"/>
        <v>#N/A</v>
      </c>
      <c r="L24" s="126"/>
      <c r="M24" s="132" t="e">
        <f t="shared" si="3"/>
        <v>#N/A</v>
      </c>
      <c r="N24" s="93" t="e">
        <f>IF(H24="Non",CONCATENATE(VLOOKUP(A24,liste_groupe[],5,FALSE),"-",VLOOKUP(A24,liste_groupe[],3,FALSE),VLOOKUP(A24,liste_groupe[],4,FALSE)," : ",ROUND(K24,0),"%"),CONCATENATE(VLOOKUP(A24,liste_groupe[],5,FALSE)," : ",ROUND(K24,0),"%"))</f>
        <v>#N/A</v>
      </c>
      <c r="O24" s="1"/>
    </row>
    <row r="25" spans="1:15" s="77" customFormat="1" ht="15.5" x14ac:dyDescent="0.35">
      <c r="A25" s="80" t="str">
        <f>'Page de garde'!A33</f>
        <v xml:space="preserve"> </v>
      </c>
      <c r="B25" s="100"/>
      <c r="C25" s="80"/>
      <c r="D25" s="80"/>
      <c r="E25" s="82"/>
      <c r="F25" s="98" t="e">
        <f>HLOOKUP(A25,'pooled normalised values'!$B$74:$V$83,10,FALSE)</f>
        <v>#N/A</v>
      </c>
      <c r="G25" s="129" t="e">
        <f t="shared" si="4"/>
        <v>#N/A</v>
      </c>
      <c r="H25" s="120" t="str">
        <f>IF(VLOOKUP(A25,liste_groupe[],4,FALSE)="%",VLOOKUP(A25,liste_groupe[],3,FALSE)/100,IF(ISBLANK(VLOOKUP(A25,liste_groupe[],4,FALSE)),"Non","Non"))</f>
        <v>Non</v>
      </c>
      <c r="I25" s="129" t="e">
        <f t="shared" si="1"/>
        <v>#N/A</v>
      </c>
      <c r="J25" s="130">
        <v>64</v>
      </c>
      <c r="K25" s="131" t="e">
        <f t="shared" si="2"/>
        <v>#N/A</v>
      </c>
      <c r="L25" s="126"/>
      <c r="M25" s="132" t="e">
        <f t="shared" si="3"/>
        <v>#N/A</v>
      </c>
      <c r="N25" s="93" t="e">
        <f>IF(H25="Non",CONCATENATE(VLOOKUP(A25,liste_groupe[],5,FALSE),"-",VLOOKUP(A25,liste_groupe[],3,FALSE),VLOOKUP(A25,liste_groupe[],4,FALSE)," : ",ROUND(K25,0),"%"),CONCATENATE(VLOOKUP(A25,liste_groupe[],5,FALSE)," : ",ROUND(K25,0),"%"))</f>
        <v>#N/A</v>
      </c>
      <c r="O25" s="1"/>
    </row>
    <row r="26" spans="1:15" s="77" customFormat="1" ht="15.5" x14ac:dyDescent="0.35">
      <c r="A26" s="80" t="str">
        <f>'Page de garde'!A34</f>
        <v xml:space="preserve"> </v>
      </c>
      <c r="B26" s="99"/>
      <c r="C26" s="86"/>
      <c r="D26" s="86"/>
      <c r="E26" s="82"/>
      <c r="F26" s="98" t="e">
        <f>HLOOKUP(A26,'pooled normalised values'!$B$74:$V$83,10,FALSE)</f>
        <v>#N/A</v>
      </c>
      <c r="G26" s="129" t="e">
        <f t="shared" ref="G26" si="5">IF(F26="NS","NC",ROUND(B26,2-(1+INT(LOG10(ABS(B26))))))</f>
        <v>#N/A</v>
      </c>
      <c r="H26" s="120" t="str">
        <f>IF(VLOOKUP(A26,liste_groupe[],4,FALSE)="%",VLOOKUP(A26,liste_groupe[],3,FALSE)/100,IF(ISBLANK(VLOOKUP(A26,liste_groupe[],4,FALSE)),"Non","Non"))</f>
        <v>Non</v>
      </c>
      <c r="I26" s="129" t="e">
        <f t="shared" si="1"/>
        <v>#N/A</v>
      </c>
      <c r="J26" s="130">
        <v>64</v>
      </c>
      <c r="K26" s="131" t="e">
        <f t="shared" si="2"/>
        <v>#N/A</v>
      </c>
      <c r="L26" s="126"/>
      <c r="M26" s="132" t="e">
        <f t="shared" si="3"/>
        <v>#N/A</v>
      </c>
      <c r="N26" s="93" t="e">
        <f>IF(H26="Non",CONCATENATE(VLOOKUP(A26,liste_groupe[],5,FALSE),"-",VLOOKUP(A26,liste_groupe[],3,FALSE),VLOOKUP(A26,liste_groupe[],4,FALSE)," : ",ROUND(K26,0),"%"),CONCATENATE(VLOOKUP(A26,liste_groupe[],5,FALSE)," : ",ROUND(K26,0),"%"))</f>
        <v>#N/A</v>
      </c>
      <c r="O26"/>
    </row>
    <row r="27" spans="1:15" s="77" customFormat="1" ht="15.5" x14ac:dyDescent="0.35">
      <c r="A27"/>
      <c r="B27"/>
      <c r="C27"/>
      <c r="D27"/>
      <c r="E27"/>
      <c r="F27"/>
      <c r="G27"/>
      <c r="H27"/>
      <c r="I27"/>
      <c r="J27"/>
      <c r="K27"/>
      <c r="L27"/>
      <c r="M27"/>
      <c r="N27"/>
      <c r="O27" s="1"/>
    </row>
    <row r="28" spans="1:15" s="77" customFormat="1" ht="31.5" thickBot="1" x14ac:dyDescent="0.4">
      <c r="A28"/>
      <c r="B28" s="88" t="s">
        <v>25</v>
      </c>
      <c r="C28" s="88" t="s">
        <v>26</v>
      </c>
      <c r="D28" s="88" t="s">
        <v>27</v>
      </c>
      <c r="E28" s="89" t="s">
        <v>64</v>
      </c>
      <c r="F28" s="127" t="s">
        <v>80</v>
      </c>
      <c r="G28" s="95" t="s">
        <v>42</v>
      </c>
      <c r="H28" s="95" t="s">
        <v>65</v>
      </c>
      <c r="I28" s="95" t="s">
        <v>66</v>
      </c>
      <c r="J28" s="96" t="s">
        <v>77</v>
      </c>
      <c r="K28" s="96" t="s">
        <v>67</v>
      </c>
      <c r="L28" s="97" t="s">
        <v>76</v>
      </c>
      <c r="M28" s="97" t="s">
        <v>68</v>
      </c>
      <c r="N28" s="97" t="s">
        <v>69</v>
      </c>
      <c r="O28" s="1"/>
    </row>
    <row r="29" spans="1:15" s="77" customFormat="1" ht="15.5" x14ac:dyDescent="0.35">
      <c r="A29" s="84" t="s">
        <v>29</v>
      </c>
      <c r="B29" s="100"/>
      <c r="C29" s="80"/>
      <c r="D29" s="80"/>
      <c r="E29" s="82"/>
      <c r="F29" s="91"/>
      <c r="G29" s="134"/>
      <c r="H29" s="121"/>
      <c r="I29" s="121"/>
      <c r="J29" s="122"/>
      <c r="K29" s="123"/>
      <c r="L29" s="125"/>
      <c r="M29" s="122"/>
      <c r="N29" s="92"/>
      <c r="O29"/>
    </row>
    <row r="30" spans="1:15" s="77" customFormat="1" ht="15.5" x14ac:dyDescent="0.35">
      <c r="A30" s="84" t="s">
        <v>31</v>
      </c>
      <c r="B30" s="100"/>
      <c r="C30" s="80"/>
      <c r="D30" s="80"/>
      <c r="E30" s="82"/>
      <c r="F30" s="91"/>
      <c r="G30" s="133" t="e">
        <f>IF(F30="NS","NC",ROUND(B30-$B$29,2-(1+INT(LOG10(ABS(B30-$B$29))))))</f>
        <v>#NUM!</v>
      </c>
      <c r="H30" s="121"/>
      <c r="I30" s="134"/>
      <c r="J30" s="135"/>
      <c r="K30" s="136"/>
      <c r="L30" s="135"/>
      <c r="M30" s="135"/>
      <c r="N30" s="137"/>
      <c r="O30"/>
    </row>
    <row r="31" spans="1:15" s="77" customFormat="1" ht="15.5" x14ac:dyDescent="0.35">
      <c r="A31" s="84" t="s">
        <v>30</v>
      </c>
      <c r="B31" s="100"/>
      <c r="C31" s="80"/>
      <c r="D31" s="80"/>
      <c r="E31" s="82"/>
      <c r="F31" s="91"/>
      <c r="G31" s="133" t="e">
        <f t="shared" ref="G31:G51" si="6">IF(F31="NS","NC",ROUND(B31-$B$29,2-(1+INT(LOG10(ABS(B31-$B$29))))))</f>
        <v>#NUM!</v>
      </c>
      <c r="H31" s="121"/>
      <c r="I31" s="134"/>
      <c r="J31" s="135"/>
      <c r="K31" s="136"/>
      <c r="L31" s="135"/>
      <c r="M31" s="135"/>
      <c r="N31" s="137"/>
    </row>
    <row r="32" spans="1:15" s="77" customFormat="1" ht="15.5" x14ac:dyDescent="0.35">
      <c r="A32" s="128" t="str">
        <f>'Page de garde'!A39</f>
        <v>Cefuroxime-0,001mg/L + Testostérone</v>
      </c>
      <c r="B32" s="100"/>
      <c r="C32" s="80"/>
      <c r="D32" s="80"/>
      <c r="E32" s="82"/>
      <c r="F32" s="94" t="str">
        <f>HLOOKUP(A32,'pooled normalised values'!$B$74:$V$83,10,FALSE)</f>
        <v>*</v>
      </c>
      <c r="G32" s="133" t="e">
        <f t="shared" si="6"/>
        <v>#NUM!</v>
      </c>
      <c r="H32" s="124" t="str">
        <f>IF(VLOOKUP(A32,liste_groupe[],4,FALSE)="%",VLOOKUP(A32,liste_groupe[],3,FALSE)/100,IF(ISBLANK(VLOOKUP(A32,liste_groupe[],4,FALSE)),"Non","Non"))</f>
        <v>Non</v>
      </c>
      <c r="I32" s="133" t="e">
        <f>IF(F32="NS","NC",IF(H32="Non",G32,G32*(1/H32)))</f>
        <v>#NUM!</v>
      </c>
      <c r="J32" s="138" t="e">
        <f>IF(G32&lt;0,$G$31,$G$30)</f>
        <v>#NUM!</v>
      </c>
      <c r="K32" s="139" t="e">
        <f>IF(F32="NS",0,IF(I32&lt;0,-ROUND(I32/J32*100,0),ROUND(I32/J32*100,0)))</f>
        <v>#NUM!</v>
      </c>
      <c r="L32" s="140">
        <v>1</v>
      </c>
      <c r="M32" s="132" t="e">
        <f>IF(I32&lt;0,IF(K32&lt;-100,-125,K32),IF(K32&gt;100,125,K32))</f>
        <v>#NUM!</v>
      </c>
      <c r="N32" s="141" t="e">
        <f>IF(H32="Non",CONCATENATE(VLOOKUP(A32,liste_groupe[],5,FALSE),"-",VLOOKUP(A32,liste_groupe[],3,FALSE),VLOOKUP(A32,liste_groupe[],4,FALSE)," : ",ROUND(K32,0),"%"),CONCATENATE(VLOOKUP(A32,liste_groupe[],5,FALSE)," : ",ROUND(K32,0),"%"))</f>
        <v>#NUM!</v>
      </c>
    </row>
    <row r="33" spans="1:14" s="77" customFormat="1" ht="15.5" x14ac:dyDescent="0.35">
      <c r="A33" s="128" t="str">
        <f>'Page de garde'!A40</f>
        <v>Cefuroxime-0,01mg/L + Testostérone</v>
      </c>
      <c r="B33" s="99"/>
      <c r="C33" s="87"/>
      <c r="D33" s="87"/>
      <c r="E33" s="82"/>
      <c r="F33" s="94" t="str">
        <f>HLOOKUP(A33,'pooled normalised values'!$B$74:$V$83,10,FALSE)</f>
        <v>ns</v>
      </c>
      <c r="G33" s="133" t="str">
        <f>IF(F33="NS","NC",ROUND(B33-$B$29,2-(1+INT(LOG10(ABS(B33-$B$29))))))</f>
        <v>NC</v>
      </c>
      <c r="H33" s="124" t="str">
        <f>IF(VLOOKUP(A33,liste_groupe[],4,FALSE)="%",VLOOKUP(A33,liste_groupe[],3,FALSE)/100,IF(ISBLANK(VLOOKUP(A33,liste_groupe[],4,FALSE)),"Non","Non"))</f>
        <v>Non</v>
      </c>
      <c r="I33" s="133" t="str">
        <f t="shared" ref="I33:I51" si="7">IF(F33="NS","NC",IF(H33="Non",G33,G33*(1/H33)))</f>
        <v>NC</v>
      </c>
      <c r="J33" s="138" t="e">
        <f t="shared" ref="J33:J51" si="8">IF(G33&lt;0,$G$31,$G$30)</f>
        <v>#NUM!</v>
      </c>
      <c r="K33" s="139">
        <f t="shared" ref="K33:K51" si="9">IF(F33="NS",0,IF(I33&lt;0,-ROUND(I33/J33*100,0),ROUND(I33/J33*100,0)))</f>
        <v>0</v>
      </c>
      <c r="L33" s="140"/>
      <c r="M33" s="132">
        <f t="shared" ref="M33:M51" si="10">IF(I33&lt;0,IF(K33&lt;-100,-125,K33),IF(K33&gt;100,125,K33))</f>
        <v>0</v>
      </c>
      <c r="N33" s="141" t="str">
        <f>IF(H33="Non",CONCATENATE(VLOOKUP(A33,liste_groupe[],5,FALSE),"-",VLOOKUP(A33,liste_groupe[],3,FALSE),VLOOKUP(A33,liste_groupe[],4,FALSE)," : ",ROUND(K33,0),"%"),CONCATENATE(VLOOKUP(A33,liste_groupe[],5,FALSE)," : ",ROUND(K33,0),"%"))</f>
        <v>Cefuroxime-0,01mg/L : 0%</v>
      </c>
    </row>
    <row r="34" spans="1:14" s="77" customFormat="1" ht="15.5" x14ac:dyDescent="0.35">
      <c r="A34" s="128" t="str">
        <f>'Page de garde'!A41</f>
        <v>Cefuroxime-0,1mg/L + Testostérone</v>
      </c>
      <c r="B34" s="100"/>
      <c r="C34" s="80"/>
      <c r="D34" s="80"/>
      <c r="E34" s="82"/>
      <c r="F34" s="94" t="str">
        <f>HLOOKUP(A34,'pooled normalised values'!$B$74:$V$83,10,FALSE)</f>
        <v>ns</v>
      </c>
      <c r="G34" s="133" t="str">
        <f t="shared" si="6"/>
        <v>NC</v>
      </c>
      <c r="H34" s="124" t="str">
        <f>IF(VLOOKUP(A34,liste_groupe[],4,FALSE)="%",VLOOKUP(A34,liste_groupe[],3,FALSE)/100,IF(ISBLANK(VLOOKUP(A34,liste_groupe[],4,FALSE)),"Non","Non"))</f>
        <v>Non</v>
      </c>
      <c r="I34" s="133" t="str">
        <f t="shared" si="7"/>
        <v>NC</v>
      </c>
      <c r="J34" s="138" t="e">
        <f t="shared" si="8"/>
        <v>#NUM!</v>
      </c>
      <c r="K34" s="139">
        <f t="shared" si="9"/>
        <v>0</v>
      </c>
      <c r="L34" s="140"/>
      <c r="M34" s="132">
        <f t="shared" si="10"/>
        <v>0</v>
      </c>
      <c r="N34" s="141" t="str">
        <f>IF(H34="Non",CONCATENATE(VLOOKUP(A34,liste_groupe[],5,FALSE),"-",VLOOKUP(A34,liste_groupe[],3,FALSE),VLOOKUP(A34,liste_groupe[],4,FALSE)," : ",ROUND(K34,0),"%"),CONCATENATE(VLOOKUP(A34,liste_groupe[],5,FALSE)," : ",ROUND(K34,0),"%"))</f>
        <v>Cefuroxime-0,1mg/L : 0%</v>
      </c>
    </row>
    <row r="35" spans="1:14" s="77" customFormat="1" ht="15.5" x14ac:dyDescent="0.35">
      <c r="A35" s="128" t="str">
        <f>'Page de garde'!A42</f>
        <v>Cefuroxime-1mg/L + Testostérone</v>
      </c>
      <c r="B35" s="99"/>
      <c r="C35" s="87"/>
      <c r="D35" s="87"/>
      <c r="E35" s="82"/>
      <c r="F35" s="94" t="str">
        <f>HLOOKUP(A35,'pooled normalised values'!$B$74:$V$83,10,FALSE)</f>
        <v>ns</v>
      </c>
      <c r="G35" s="133" t="str">
        <f t="shared" si="6"/>
        <v>NC</v>
      </c>
      <c r="H35" s="124" t="str">
        <f>IF(VLOOKUP(A35,liste_groupe[],4,FALSE)="%",VLOOKUP(A35,liste_groupe[],3,FALSE)/100,IF(ISBLANK(VLOOKUP(A35,liste_groupe[],4,FALSE)),"Non","Non"))</f>
        <v>Non</v>
      </c>
      <c r="I35" s="133" t="str">
        <f t="shared" si="7"/>
        <v>NC</v>
      </c>
      <c r="J35" s="138" t="e">
        <f t="shared" si="8"/>
        <v>#NUM!</v>
      </c>
      <c r="K35" s="139">
        <f t="shared" si="9"/>
        <v>0</v>
      </c>
      <c r="L35" s="140"/>
      <c r="M35" s="132">
        <f t="shared" si="10"/>
        <v>0</v>
      </c>
      <c r="N35" s="141" t="str">
        <f>IF(H35="Non",CONCATENATE(VLOOKUP(A35,liste_groupe[],5,FALSE),"-",VLOOKUP(A35,liste_groupe[],3,FALSE),VLOOKUP(A35,liste_groupe[],4,FALSE)," : ",ROUND(K35,0),"%"),CONCATENATE(VLOOKUP(A35,liste_groupe[],5,FALSE)," : ",ROUND(K35,0),"%"))</f>
        <v>Cefuroxime-1mg/L : 0%</v>
      </c>
    </row>
    <row r="36" spans="1:14" s="77" customFormat="1" ht="15.5" x14ac:dyDescent="0.35">
      <c r="A36" s="128" t="str">
        <f>'Page de garde'!A43</f>
        <v>Cefuroxime-10mg/L + Testostérone</v>
      </c>
      <c r="B36" s="99"/>
      <c r="C36" s="87"/>
      <c r="D36" s="87"/>
      <c r="E36" s="82"/>
      <c r="F36" s="94" t="str">
        <f>HLOOKUP(A36,'pooled normalised values'!$B$74:$V$83,10,FALSE)</f>
        <v>ns</v>
      </c>
      <c r="G36" s="133" t="str">
        <f t="shared" si="6"/>
        <v>NC</v>
      </c>
      <c r="H36" s="124" t="str">
        <f>IF(VLOOKUP(A36,liste_groupe[],4,FALSE)="%",VLOOKUP(A36,liste_groupe[],3,FALSE)/100,IF(ISBLANK(VLOOKUP(A36,liste_groupe[],4,FALSE)),"Non","Non"))</f>
        <v>Non</v>
      </c>
      <c r="I36" s="133" t="str">
        <f t="shared" si="7"/>
        <v>NC</v>
      </c>
      <c r="J36" s="138" t="e">
        <f t="shared" si="8"/>
        <v>#NUM!</v>
      </c>
      <c r="K36" s="139">
        <f t="shared" si="9"/>
        <v>0</v>
      </c>
      <c r="L36" s="140"/>
      <c r="M36" s="132">
        <f t="shared" si="10"/>
        <v>0</v>
      </c>
      <c r="N36" s="141" t="str">
        <f>IF(H36="Non",CONCATENATE(VLOOKUP(A36,liste_groupe[],5,FALSE),"-",VLOOKUP(A36,liste_groupe[],3,FALSE),VLOOKUP(A36,liste_groupe[],4,FALSE)," : ",ROUND(K36,0),"%"),CONCATENATE(VLOOKUP(A36,liste_groupe[],5,FALSE)," : ",ROUND(K36,0),"%"))</f>
        <v>Cefuroxime-10mg/L : 0%</v>
      </c>
    </row>
    <row r="37" spans="1:14" s="77" customFormat="1" ht="15.5" x14ac:dyDescent="0.35">
      <c r="A37" s="128" t="str">
        <f>'Page de garde'!A44</f>
        <v>0-00 + Testostérone</v>
      </c>
      <c r="B37" s="99"/>
      <c r="C37" s="87"/>
      <c r="D37" s="87"/>
      <c r="E37" s="82"/>
      <c r="F37" s="94" t="e">
        <f>HLOOKUP(A37,'pooled normalised values'!$B$74:$V$83,10,FALSE)</f>
        <v>#N/A</v>
      </c>
      <c r="G37" s="133" t="e">
        <f t="shared" si="6"/>
        <v>#N/A</v>
      </c>
      <c r="H37" s="124" t="str">
        <f>IF(VLOOKUP(A37,liste_groupe[],4,FALSE)="%",VLOOKUP(A37,liste_groupe[],3,FALSE)/100,IF(ISBLANK(VLOOKUP(A37,liste_groupe[],4,FALSE)),"Non","Non"))</f>
        <v>Non</v>
      </c>
      <c r="I37" s="133" t="e">
        <f t="shared" si="7"/>
        <v>#N/A</v>
      </c>
      <c r="J37" s="138" t="e">
        <f t="shared" si="8"/>
        <v>#N/A</v>
      </c>
      <c r="K37" s="139" t="e">
        <f t="shared" si="9"/>
        <v>#N/A</v>
      </c>
      <c r="L37" s="140"/>
      <c r="M37" s="132" t="e">
        <f t="shared" si="10"/>
        <v>#N/A</v>
      </c>
      <c r="N37" s="141" t="e">
        <f>IF(H37="Non",CONCATENATE(VLOOKUP(A37,liste_groupe[],5,FALSE),"-",VLOOKUP(A37,liste_groupe[],3,FALSE),VLOOKUP(A37,liste_groupe[],4,FALSE)," : ",ROUND(K37,0),"%"),CONCATENATE(VLOOKUP(A37,liste_groupe[],5,FALSE)," : ",ROUND(K37,0),"%"))</f>
        <v>#N/A</v>
      </c>
    </row>
    <row r="38" spans="1:14" s="77" customFormat="1" ht="15.5" x14ac:dyDescent="0.35">
      <c r="A38" s="128" t="str">
        <f>'Page de garde'!A45</f>
        <v>0-00 + Testostérone</v>
      </c>
      <c r="B38" s="99"/>
      <c r="C38" s="87"/>
      <c r="D38" s="87"/>
      <c r="E38" s="82"/>
      <c r="F38" s="94" t="e">
        <f>HLOOKUP(A38,'pooled normalised values'!$B$74:$V$83,10,FALSE)</f>
        <v>#N/A</v>
      </c>
      <c r="G38" s="133" t="e">
        <f t="shared" si="6"/>
        <v>#N/A</v>
      </c>
      <c r="H38" s="124" t="str">
        <f>IF(VLOOKUP(A38,liste_groupe[],4,FALSE)="%",VLOOKUP(A38,liste_groupe[],3,FALSE)/100,IF(ISBLANK(VLOOKUP(A38,liste_groupe[],4,FALSE)),"Non","Non"))</f>
        <v>Non</v>
      </c>
      <c r="I38" s="133" t="e">
        <f t="shared" si="7"/>
        <v>#N/A</v>
      </c>
      <c r="J38" s="138" t="e">
        <f t="shared" si="8"/>
        <v>#N/A</v>
      </c>
      <c r="K38" s="139" t="e">
        <f t="shared" si="9"/>
        <v>#N/A</v>
      </c>
      <c r="L38" s="140"/>
      <c r="M38" s="132" t="e">
        <f t="shared" si="10"/>
        <v>#N/A</v>
      </c>
      <c r="N38" s="141" t="e">
        <f>IF(H38="Non",CONCATENATE(VLOOKUP(A38,liste_groupe[],5,FALSE),"-",VLOOKUP(A38,liste_groupe[],3,FALSE),VLOOKUP(A38,liste_groupe[],4,FALSE)," : ",ROUND(K38,0),"%"),CONCATENATE(VLOOKUP(A38,liste_groupe[],5,FALSE)," : ",ROUND(K38,0),"%"))</f>
        <v>#N/A</v>
      </c>
    </row>
    <row r="39" spans="1:14" s="77" customFormat="1" ht="15.5" x14ac:dyDescent="0.35">
      <c r="A39" s="128" t="str">
        <f>'Page de garde'!A46</f>
        <v>0-00 + Testostérone</v>
      </c>
      <c r="B39" s="99"/>
      <c r="C39" s="87"/>
      <c r="D39" s="87"/>
      <c r="E39" s="82"/>
      <c r="F39" s="94" t="e">
        <f>HLOOKUP(A39,'pooled normalised values'!$B$74:$V$83,10,FALSE)</f>
        <v>#N/A</v>
      </c>
      <c r="G39" s="133" t="e">
        <f t="shared" ref="G39:G50" si="11">IF(F39="NS","NC",ROUND(B39-$B$29,2-(1+INT(LOG10(ABS(B39-$B$29))))))</f>
        <v>#N/A</v>
      </c>
      <c r="H39" s="124" t="str">
        <f>IF(VLOOKUP(A39,liste_groupe[],4,FALSE)="%",VLOOKUP(A39,liste_groupe[],3,FALSE)/100,IF(ISBLANK(VLOOKUP(A39,liste_groupe[],4,FALSE)),"Non","Non"))</f>
        <v>Non</v>
      </c>
      <c r="I39" s="133" t="e">
        <f t="shared" si="7"/>
        <v>#N/A</v>
      </c>
      <c r="J39" s="138" t="e">
        <f t="shared" ref="J39:J50" si="12">IF(G39&lt;0,$G$31,$G$30)</f>
        <v>#N/A</v>
      </c>
      <c r="K39" s="139" t="e">
        <f t="shared" si="9"/>
        <v>#N/A</v>
      </c>
      <c r="L39" s="140"/>
      <c r="M39" s="132" t="e">
        <f t="shared" si="10"/>
        <v>#N/A</v>
      </c>
      <c r="N39" s="141" t="e">
        <f>IF(H39="Non",CONCATENATE(VLOOKUP(A39,liste_groupe[],5,FALSE),"-",VLOOKUP(A39,liste_groupe[],3,FALSE),VLOOKUP(A39,liste_groupe[],4,FALSE)," : ",ROUND(K39,0),"%"),CONCATENATE(VLOOKUP(A39,liste_groupe[],5,FALSE)," : ",ROUND(K39,0),"%"))</f>
        <v>#N/A</v>
      </c>
    </row>
    <row r="40" spans="1:14" s="77" customFormat="1" ht="15.5" x14ac:dyDescent="0.35">
      <c r="A40" s="128" t="str">
        <f>'Page de garde'!A47</f>
        <v>0-00 + Testostérone</v>
      </c>
      <c r="B40" s="99"/>
      <c r="C40" s="87"/>
      <c r="D40" s="87"/>
      <c r="E40" s="82"/>
      <c r="F40" s="94" t="e">
        <f>HLOOKUP(A40,'pooled normalised values'!$B$74:$V$83,10,FALSE)</f>
        <v>#N/A</v>
      </c>
      <c r="G40" s="133" t="e">
        <f t="shared" si="11"/>
        <v>#N/A</v>
      </c>
      <c r="H40" s="124" t="str">
        <f>IF(VLOOKUP(A40,liste_groupe[],4,FALSE)="%",VLOOKUP(A40,liste_groupe[],3,FALSE)/100,IF(ISBLANK(VLOOKUP(A40,liste_groupe[],4,FALSE)),"Non","Non"))</f>
        <v>Non</v>
      </c>
      <c r="I40" s="133" t="e">
        <f t="shared" si="7"/>
        <v>#N/A</v>
      </c>
      <c r="J40" s="138" t="e">
        <f t="shared" si="12"/>
        <v>#N/A</v>
      </c>
      <c r="K40" s="139" t="e">
        <f t="shared" si="9"/>
        <v>#N/A</v>
      </c>
      <c r="L40" s="140"/>
      <c r="M40" s="132" t="e">
        <f t="shared" si="10"/>
        <v>#N/A</v>
      </c>
      <c r="N40" s="141" t="e">
        <f>IF(H40="Non",CONCATENATE(VLOOKUP(A40,liste_groupe[],5,FALSE),"-",VLOOKUP(A40,liste_groupe[],3,FALSE),VLOOKUP(A40,liste_groupe[],4,FALSE)," : ",ROUND(K40,0),"%"),CONCATENATE(VLOOKUP(A40,liste_groupe[],5,FALSE)," : ",ROUND(K40,0),"%"))</f>
        <v>#N/A</v>
      </c>
    </row>
    <row r="41" spans="1:14" s="77" customFormat="1" ht="15.5" x14ac:dyDescent="0.35">
      <c r="A41" s="128" t="str">
        <f>'Page de garde'!A48</f>
        <v>0-00 + Testostérone</v>
      </c>
      <c r="B41" s="99"/>
      <c r="C41" s="87"/>
      <c r="D41" s="87"/>
      <c r="E41" s="82"/>
      <c r="F41" s="94" t="e">
        <f>HLOOKUP(A41,'pooled normalised values'!$B$74:$V$83,10,FALSE)</f>
        <v>#N/A</v>
      </c>
      <c r="G41" s="133" t="e">
        <f t="shared" si="11"/>
        <v>#N/A</v>
      </c>
      <c r="H41" s="124" t="str">
        <f>IF(VLOOKUP(A41,liste_groupe[],4,FALSE)="%",VLOOKUP(A41,liste_groupe[],3,FALSE)/100,IF(ISBLANK(VLOOKUP(A41,liste_groupe[],4,FALSE)),"Non","Non"))</f>
        <v>Non</v>
      </c>
      <c r="I41" s="133" t="e">
        <f t="shared" si="7"/>
        <v>#N/A</v>
      </c>
      <c r="J41" s="138" t="e">
        <f t="shared" si="12"/>
        <v>#N/A</v>
      </c>
      <c r="K41" s="139" t="e">
        <f t="shared" si="9"/>
        <v>#N/A</v>
      </c>
      <c r="L41" s="140"/>
      <c r="M41" s="132" t="e">
        <f t="shared" si="10"/>
        <v>#N/A</v>
      </c>
      <c r="N41" s="141" t="e">
        <f>IF(H41="Non",CONCATENATE(VLOOKUP(A41,liste_groupe[],5,FALSE),"-",VLOOKUP(A41,liste_groupe[],3,FALSE),VLOOKUP(A41,liste_groupe[],4,FALSE)," : ",ROUND(K41,0),"%"),CONCATENATE(VLOOKUP(A41,liste_groupe[],5,FALSE)," : ",ROUND(K41,0),"%"))</f>
        <v>#N/A</v>
      </c>
    </row>
    <row r="42" spans="1:14" s="77" customFormat="1" ht="15.5" x14ac:dyDescent="0.35">
      <c r="A42" s="128" t="str">
        <f>'Page de garde'!A49</f>
        <v>0-00 + Testostérone</v>
      </c>
      <c r="B42" s="99"/>
      <c r="C42" s="87"/>
      <c r="D42" s="87"/>
      <c r="E42" s="82"/>
      <c r="F42" s="94" t="e">
        <f>HLOOKUP(A42,'pooled normalised values'!$B$74:$V$83,10,FALSE)</f>
        <v>#N/A</v>
      </c>
      <c r="G42" s="133" t="e">
        <f t="shared" si="11"/>
        <v>#N/A</v>
      </c>
      <c r="H42" s="124" t="str">
        <f>IF(VLOOKUP(A42,liste_groupe[],4,FALSE)="%",VLOOKUP(A42,liste_groupe[],3,FALSE)/100,IF(ISBLANK(VLOOKUP(A42,liste_groupe[],4,FALSE)),"Non","Non"))</f>
        <v>Non</v>
      </c>
      <c r="I42" s="133" t="e">
        <f t="shared" si="7"/>
        <v>#N/A</v>
      </c>
      <c r="J42" s="138" t="e">
        <f t="shared" si="12"/>
        <v>#N/A</v>
      </c>
      <c r="K42" s="139" t="e">
        <f t="shared" si="9"/>
        <v>#N/A</v>
      </c>
      <c r="L42" s="140"/>
      <c r="M42" s="132" t="e">
        <f t="shared" si="10"/>
        <v>#N/A</v>
      </c>
      <c r="N42" s="141" t="e">
        <f>IF(H42="Non",CONCATENATE(VLOOKUP(A42,liste_groupe[],5,FALSE),"-",VLOOKUP(A42,liste_groupe[],3,FALSE),VLOOKUP(A42,liste_groupe[],4,FALSE)," : ",ROUND(K42,0),"%"),CONCATENATE(VLOOKUP(A42,liste_groupe[],5,FALSE)," : ",ROUND(K42,0),"%"))</f>
        <v>#N/A</v>
      </c>
    </row>
    <row r="43" spans="1:14" s="77" customFormat="1" ht="15.5" x14ac:dyDescent="0.35">
      <c r="A43" s="128" t="str">
        <f>'Page de garde'!A50</f>
        <v>0-00 + Testostérone</v>
      </c>
      <c r="B43" s="99"/>
      <c r="C43" s="87"/>
      <c r="D43" s="87"/>
      <c r="E43" s="82"/>
      <c r="F43" s="94" t="e">
        <f>HLOOKUP(A43,'pooled normalised values'!$B$74:$V$83,10,FALSE)</f>
        <v>#N/A</v>
      </c>
      <c r="G43" s="133" t="e">
        <f t="shared" si="11"/>
        <v>#N/A</v>
      </c>
      <c r="H43" s="124" t="str">
        <f>IF(VLOOKUP(A43,liste_groupe[],4,FALSE)="%",VLOOKUP(A43,liste_groupe[],3,FALSE)/100,IF(ISBLANK(VLOOKUP(A43,liste_groupe[],4,FALSE)),"Non","Non"))</f>
        <v>Non</v>
      </c>
      <c r="I43" s="133" t="e">
        <f t="shared" si="7"/>
        <v>#N/A</v>
      </c>
      <c r="J43" s="138" t="e">
        <f t="shared" si="12"/>
        <v>#N/A</v>
      </c>
      <c r="K43" s="139" t="e">
        <f t="shared" si="9"/>
        <v>#N/A</v>
      </c>
      <c r="L43" s="140"/>
      <c r="M43" s="132" t="e">
        <f t="shared" si="10"/>
        <v>#N/A</v>
      </c>
      <c r="N43" s="141" t="e">
        <f>IF(H43="Non",CONCATENATE(VLOOKUP(A43,liste_groupe[],5,FALSE),"-",VLOOKUP(A43,liste_groupe[],3,FALSE),VLOOKUP(A43,liste_groupe[],4,FALSE)," : ",ROUND(K43,0),"%"),CONCATENATE(VLOOKUP(A43,liste_groupe[],5,FALSE)," : ",ROUND(K43,0),"%"))</f>
        <v>#N/A</v>
      </c>
    </row>
    <row r="44" spans="1:14" s="77" customFormat="1" ht="15.5" x14ac:dyDescent="0.35">
      <c r="A44" s="128" t="str">
        <f>'Page de garde'!A51</f>
        <v>0-00 + Testostérone</v>
      </c>
      <c r="B44" s="99"/>
      <c r="C44" s="87"/>
      <c r="D44" s="87"/>
      <c r="E44" s="82"/>
      <c r="F44" s="94" t="e">
        <f>HLOOKUP(A44,'pooled normalised values'!$B$74:$V$83,10,FALSE)</f>
        <v>#N/A</v>
      </c>
      <c r="G44" s="133" t="e">
        <f t="shared" si="11"/>
        <v>#N/A</v>
      </c>
      <c r="H44" s="124" t="str">
        <f>IF(VLOOKUP(A44,liste_groupe[],4,FALSE)="%",VLOOKUP(A44,liste_groupe[],3,FALSE)/100,IF(ISBLANK(VLOOKUP(A44,liste_groupe[],4,FALSE)),"Non","Non"))</f>
        <v>Non</v>
      </c>
      <c r="I44" s="133" t="e">
        <f t="shared" si="7"/>
        <v>#N/A</v>
      </c>
      <c r="J44" s="138" t="e">
        <f t="shared" si="12"/>
        <v>#N/A</v>
      </c>
      <c r="K44" s="139" t="e">
        <f t="shared" si="9"/>
        <v>#N/A</v>
      </c>
      <c r="L44" s="140"/>
      <c r="M44" s="132" t="e">
        <f t="shared" si="10"/>
        <v>#N/A</v>
      </c>
      <c r="N44" s="141" t="e">
        <f>IF(H44="Non",CONCATENATE(VLOOKUP(A44,liste_groupe[],5,FALSE),"-",VLOOKUP(A44,liste_groupe[],3,FALSE),VLOOKUP(A44,liste_groupe[],4,FALSE)," : ",ROUND(K44,0),"%"),CONCATENATE(VLOOKUP(A44,liste_groupe[],5,FALSE)," : ",ROUND(K44,0),"%"))</f>
        <v>#N/A</v>
      </c>
    </row>
    <row r="45" spans="1:14" s="77" customFormat="1" ht="15.5" x14ac:dyDescent="0.35">
      <c r="A45" s="128" t="str">
        <f>'Page de garde'!A52</f>
        <v>0-00 + Testostérone</v>
      </c>
      <c r="B45" s="99"/>
      <c r="C45" s="87"/>
      <c r="D45" s="87"/>
      <c r="E45" s="82"/>
      <c r="F45" s="94" t="e">
        <f>HLOOKUP(A45,'pooled normalised values'!$B$74:$V$83,10,FALSE)</f>
        <v>#N/A</v>
      </c>
      <c r="G45" s="133" t="e">
        <f t="shared" si="11"/>
        <v>#N/A</v>
      </c>
      <c r="H45" s="124" t="str">
        <f>IF(VLOOKUP(A45,liste_groupe[],4,FALSE)="%",VLOOKUP(A45,liste_groupe[],3,FALSE)/100,IF(ISBLANK(VLOOKUP(A45,liste_groupe[],4,FALSE)),"Non","Non"))</f>
        <v>Non</v>
      </c>
      <c r="I45" s="133" t="e">
        <f t="shared" si="7"/>
        <v>#N/A</v>
      </c>
      <c r="J45" s="138" t="e">
        <f t="shared" si="12"/>
        <v>#N/A</v>
      </c>
      <c r="K45" s="139" t="e">
        <f t="shared" si="9"/>
        <v>#N/A</v>
      </c>
      <c r="L45" s="140"/>
      <c r="M45" s="132" t="e">
        <f t="shared" si="10"/>
        <v>#N/A</v>
      </c>
      <c r="N45" s="141" t="e">
        <f>IF(H45="Non",CONCATENATE(VLOOKUP(A45,liste_groupe[],5,FALSE),"-",VLOOKUP(A45,liste_groupe[],3,FALSE),VLOOKUP(A45,liste_groupe[],4,FALSE)," : ",ROUND(K45,0),"%"),CONCATENATE(VLOOKUP(A45,liste_groupe[],5,FALSE)," : ",ROUND(K45,0),"%"))</f>
        <v>#N/A</v>
      </c>
    </row>
    <row r="46" spans="1:14" s="77" customFormat="1" ht="15.5" x14ac:dyDescent="0.35">
      <c r="A46" s="128" t="str">
        <f>'Page de garde'!A53</f>
        <v>0-00 + Testostérone</v>
      </c>
      <c r="B46" s="99"/>
      <c r="C46" s="87"/>
      <c r="D46" s="87"/>
      <c r="E46" s="82"/>
      <c r="F46" s="94" t="e">
        <f>HLOOKUP(A46,'pooled normalised values'!$B$74:$V$83,10,FALSE)</f>
        <v>#N/A</v>
      </c>
      <c r="G46" s="133" t="e">
        <f t="shared" si="11"/>
        <v>#N/A</v>
      </c>
      <c r="H46" s="124" t="str">
        <f>IF(VLOOKUP(A46,liste_groupe[],4,FALSE)="%",VLOOKUP(A46,liste_groupe[],3,FALSE)/100,IF(ISBLANK(VLOOKUP(A46,liste_groupe[],4,FALSE)),"Non","Non"))</f>
        <v>Non</v>
      </c>
      <c r="I46" s="133" t="e">
        <f t="shared" si="7"/>
        <v>#N/A</v>
      </c>
      <c r="J46" s="138" t="e">
        <f t="shared" si="12"/>
        <v>#N/A</v>
      </c>
      <c r="K46" s="139" t="e">
        <f t="shared" si="9"/>
        <v>#N/A</v>
      </c>
      <c r="L46" s="140"/>
      <c r="M46" s="132" t="e">
        <f t="shared" si="10"/>
        <v>#N/A</v>
      </c>
      <c r="N46" s="141" t="e">
        <f>IF(H46="Non",CONCATENATE(VLOOKUP(A46,liste_groupe[],5,FALSE),"-",VLOOKUP(A46,liste_groupe[],3,FALSE),VLOOKUP(A46,liste_groupe[],4,FALSE)," : ",ROUND(K46,0),"%"),CONCATENATE(VLOOKUP(A46,liste_groupe[],5,FALSE)," : ",ROUND(K46,0),"%"))</f>
        <v>#N/A</v>
      </c>
    </row>
    <row r="47" spans="1:14" s="77" customFormat="1" ht="15.5" x14ac:dyDescent="0.35">
      <c r="A47" s="128" t="str">
        <f>'Page de garde'!A54</f>
        <v>0-00 + Testostérone</v>
      </c>
      <c r="B47" s="99"/>
      <c r="C47" s="87"/>
      <c r="D47" s="87"/>
      <c r="E47" s="82"/>
      <c r="F47" s="94" t="e">
        <f>HLOOKUP(A47,'pooled normalised values'!$B$74:$V$83,10,FALSE)</f>
        <v>#N/A</v>
      </c>
      <c r="G47" s="133" t="e">
        <f t="shared" si="11"/>
        <v>#N/A</v>
      </c>
      <c r="H47" s="124" t="str">
        <f>IF(VLOOKUP(A47,liste_groupe[],4,FALSE)="%",VLOOKUP(A47,liste_groupe[],3,FALSE)/100,IF(ISBLANK(VLOOKUP(A47,liste_groupe[],4,FALSE)),"Non","Non"))</f>
        <v>Non</v>
      </c>
      <c r="I47" s="133" t="e">
        <f t="shared" si="7"/>
        <v>#N/A</v>
      </c>
      <c r="J47" s="138" t="e">
        <f t="shared" si="12"/>
        <v>#N/A</v>
      </c>
      <c r="K47" s="139" t="e">
        <f t="shared" si="9"/>
        <v>#N/A</v>
      </c>
      <c r="L47" s="140"/>
      <c r="M47" s="132" t="e">
        <f t="shared" si="10"/>
        <v>#N/A</v>
      </c>
      <c r="N47" s="141" t="e">
        <f>IF(H47="Non",CONCATENATE(VLOOKUP(A47,liste_groupe[],5,FALSE),"-",VLOOKUP(A47,liste_groupe[],3,FALSE),VLOOKUP(A47,liste_groupe[],4,FALSE)," : ",ROUND(K47,0),"%"),CONCATENATE(VLOOKUP(A47,liste_groupe[],5,FALSE)," : ",ROUND(K47,0),"%"))</f>
        <v>#N/A</v>
      </c>
    </row>
    <row r="48" spans="1:14" s="77" customFormat="1" ht="15.5" x14ac:dyDescent="0.35">
      <c r="A48" s="128" t="str">
        <f>'Page de garde'!A55</f>
        <v>0-00 + Testostérone</v>
      </c>
      <c r="B48" s="99"/>
      <c r="C48" s="87"/>
      <c r="D48" s="87"/>
      <c r="E48" s="82"/>
      <c r="F48" s="94" t="e">
        <f>HLOOKUP(A48,'pooled normalised values'!$B$74:$V$83,10,FALSE)</f>
        <v>#N/A</v>
      </c>
      <c r="G48" s="133" t="e">
        <f t="shared" si="11"/>
        <v>#N/A</v>
      </c>
      <c r="H48" s="124" t="str">
        <f>IF(VLOOKUP(A48,liste_groupe[],4,FALSE)="%",VLOOKUP(A48,liste_groupe[],3,FALSE)/100,IF(ISBLANK(VLOOKUP(A48,liste_groupe[],4,FALSE)),"Non","Non"))</f>
        <v>Non</v>
      </c>
      <c r="I48" s="133" t="e">
        <f t="shared" si="7"/>
        <v>#N/A</v>
      </c>
      <c r="J48" s="138" t="e">
        <f t="shared" si="12"/>
        <v>#N/A</v>
      </c>
      <c r="K48" s="139" t="e">
        <f t="shared" si="9"/>
        <v>#N/A</v>
      </c>
      <c r="L48" s="140"/>
      <c r="M48" s="132" t="e">
        <f t="shared" si="10"/>
        <v>#N/A</v>
      </c>
      <c r="N48" s="141" t="e">
        <f>IF(H48="Non",CONCATENATE(VLOOKUP(A48,liste_groupe[],5,FALSE),"-",VLOOKUP(A48,liste_groupe[],3,FALSE),VLOOKUP(A48,liste_groupe[],4,FALSE)," : ",ROUND(K48,0),"%"),CONCATENATE(VLOOKUP(A48,liste_groupe[],5,FALSE)," : ",ROUND(K48,0),"%"))</f>
        <v>#N/A</v>
      </c>
    </row>
    <row r="49" spans="1:15" s="77" customFormat="1" ht="15.5" x14ac:dyDescent="0.35">
      <c r="A49" s="128" t="str">
        <f>'Page de garde'!A56</f>
        <v>0-00 + Testostérone</v>
      </c>
      <c r="B49" s="99"/>
      <c r="C49" s="87"/>
      <c r="D49" s="87"/>
      <c r="E49" s="82"/>
      <c r="F49" s="94" t="e">
        <f>HLOOKUP(A49,'pooled normalised values'!$B$74:$V$83,10,FALSE)</f>
        <v>#N/A</v>
      </c>
      <c r="G49" s="133" t="e">
        <f t="shared" si="11"/>
        <v>#N/A</v>
      </c>
      <c r="H49" s="124" t="str">
        <f>IF(VLOOKUP(A49,liste_groupe[],4,FALSE)="%",VLOOKUP(A49,liste_groupe[],3,FALSE)/100,IF(ISBLANK(VLOOKUP(A49,liste_groupe[],4,FALSE)),"Non","Non"))</f>
        <v>Non</v>
      </c>
      <c r="I49" s="133" t="e">
        <f t="shared" si="7"/>
        <v>#N/A</v>
      </c>
      <c r="J49" s="138" t="e">
        <f t="shared" si="12"/>
        <v>#N/A</v>
      </c>
      <c r="K49" s="139" t="e">
        <f t="shared" si="9"/>
        <v>#N/A</v>
      </c>
      <c r="L49" s="140"/>
      <c r="M49" s="132" t="e">
        <f t="shared" si="10"/>
        <v>#N/A</v>
      </c>
      <c r="N49" s="141" t="e">
        <f>IF(H49="Non",CONCATENATE(VLOOKUP(A49,liste_groupe[],5,FALSE),"-",VLOOKUP(A49,liste_groupe[],3,FALSE),VLOOKUP(A49,liste_groupe[],4,FALSE)," : ",ROUND(K49,0),"%"),CONCATENATE(VLOOKUP(A49,liste_groupe[],5,FALSE)," : ",ROUND(K49,0),"%"))</f>
        <v>#N/A</v>
      </c>
    </row>
    <row r="50" spans="1:15" s="77" customFormat="1" ht="15.5" x14ac:dyDescent="0.35">
      <c r="A50" s="128" t="str">
        <f>'Page de garde'!A57</f>
        <v>0-00 + Testostérone</v>
      </c>
      <c r="B50" s="99"/>
      <c r="C50" s="87"/>
      <c r="D50" s="87"/>
      <c r="E50" s="82"/>
      <c r="F50" s="94" t="e">
        <f>HLOOKUP(A50,'pooled normalised values'!$B$74:$V$83,10,FALSE)</f>
        <v>#N/A</v>
      </c>
      <c r="G50" s="133" t="e">
        <f t="shared" si="11"/>
        <v>#N/A</v>
      </c>
      <c r="H50" s="124" t="str">
        <f>IF(VLOOKUP(A50,liste_groupe[],4,FALSE)="%",VLOOKUP(A50,liste_groupe[],3,FALSE)/100,IF(ISBLANK(VLOOKUP(A50,liste_groupe[],4,FALSE)),"Non","Non"))</f>
        <v>Non</v>
      </c>
      <c r="I50" s="133" t="e">
        <f t="shared" si="7"/>
        <v>#N/A</v>
      </c>
      <c r="J50" s="138" t="e">
        <f t="shared" si="12"/>
        <v>#N/A</v>
      </c>
      <c r="K50" s="139" t="e">
        <f t="shared" si="9"/>
        <v>#N/A</v>
      </c>
      <c r="L50" s="140"/>
      <c r="M50" s="132" t="e">
        <f t="shared" si="10"/>
        <v>#N/A</v>
      </c>
      <c r="N50" s="141" t="e">
        <f>IF(H50="Non",CONCATENATE(VLOOKUP(A50,liste_groupe[],5,FALSE),"-",VLOOKUP(A50,liste_groupe[],3,FALSE),VLOOKUP(A50,liste_groupe[],4,FALSE)," : ",ROUND(K50,0),"%"),CONCATENATE(VLOOKUP(A50,liste_groupe[],5,FALSE)," : ",ROUND(K50,0),"%"))</f>
        <v>#N/A</v>
      </c>
    </row>
    <row r="51" spans="1:15" s="77" customFormat="1" ht="15.5" x14ac:dyDescent="0.35">
      <c r="A51" s="128" t="str">
        <f>'Page de garde'!A58</f>
        <v>0-00 + Testostérone</v>
      </c>
      <c r="B51" s="99"/>
      <c r="C51" s="87"/>
      <c r="D51" s="87"/>
      <c r="E51" s="82"/>
      <c r="F51" s="94" t="e">
        <f>HLOOKUP(A51,'pooled normalised values'!$B$74:$V$83,10,FALSE)</f>
        <v>#N/A</v>
      </c>
      <c r="G51" s="133" t="e">
        <f t="shared" si="6"/>
        <v>#N/A</v>
      </c>
      <c r="H51" s="124" t="str">
        <f>IF(VLOOKUP(A51,liste_groupe[],4,FALSE)="%",VLOOKUP(A51,liste_groupe[],3,FALSE)/100,IF(ISBLANK(VLOOKUP(A51,liste_groupe[],4,FALSE)),"Non","Non"))</f>
        <v>Non</v>
      </c>
      <c r="I51" s="133" t="e">
        <f t="shared" si="7"/>
        <v>#N/A</v>
      </c>
      <c r="J51" s="138" t="e">
        <f t="shared" si="8"/>
        <v>#N/A</v>
      </c>
      <c r="K51" s="139" t="e">
        <f t="shared" si="9"/>
        <v>#N/A</v>
      </c>
      <c r="L51" s="140"/>
      <c r="M51" s="132" t="e">
        <f t="shared" si="10"/>
        <v>#N/A</v>
      </c>
      <c r="N51" s="141" t="e">
        <f>IF(H51="Non",CONCATENATE(VLOOKUP(A51,liste_groupe[],5,FALSE),"-",VLOOKUP(A51,liste_groupe[],3,FALSE),VLOOKUP(A51,liste_groupe[],4,FALSE)," : ",ROUND(K51,0),"%"),CONCATENATE(VLOOKUP(A51,liste_groupe[],5,FALSE)," : ",ROUND(K51,0),"%"))</f>
        <v>#N/A</v>
      </c>
    </row>
    <row r="52" spans="1:15" s="77" customFormat="1" ht="16" thickBot="1" x14ac:dyDescent="0.4">
      <c r="E52" s="78"/>
      <c r="F52" s="78"/>
      <c r="G52" s="78"/>
      <c r="H52" s="78"/>
      <c r="I52" s="78"/>
      <c r="J52" s="78"/>
      <c r="K52" s="78"/>
      <c r="L52" s="78"/>
      <c r="M52" s="78"/>
      <c r="N52" s="78"/>
    </row>
    <row r="53" spans="1:15" s="48" customFormat="1" ht="26.5" thickBot="1" x14ac:dyDescent="0.4">
      <c r="A53" s="231" t="s">
        <v>60</v>
      </c>
      <c r="B53" s="232"/>
      <c r="C53" s="232"/>
      <c r="D53" s="232"/>
      <c r="E53" s="232"/>
      <c r="F53" s="232"/>
      <c r="G53" s="232"/>
      <c r="H53" s="232"/>
      <c r="I53" s="232"/>
      <c r="J53" s="232"/>
      <c r="K53" s="232"/>
      <c r="L53" s="232"/>
      <c r="M53" s="232"/>
      <c r="N53" s="232"/>
      <c r="O53" s="233"/>
    </row>
  </sheetData>
  <mergeCells count="3">
    <mergeCell ref="A2:O2"/>
    <mergeCell ref="A1:O1"/>
    <mergeCell ref="A53:O5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baseColWidth="10" defaultColWidth="11.453125" defaultRowHeight="14.5" x14ac:dyDescent="0.35"/>
  <cols>
    <col min="1" max="1" width="22.81640625" style="181" customWidth="1"/>
    <col min="2" max="2" width="46.26953125" style="181" customWidth="1"/>
    <col min="3" max="3" width="15.26953125" style="181" customWidth="1"/>
    <col min="4" max="4" width="24.7265625" style="181" customWidth="1"/>
    <col min="5" max="5" width="24.453125" style="181" customWidth="1"/>
    <col min="6" max="6" width="23.1796875" style="181" customWidth="1"/>
    <col min="7" max="7" width="21.26953125" style="181" customWidth="1"/>
    <col min="8" max="16384" width="11.453125" style="181"/>
  </cols>
  <sheetData>
    <row r="1" spans="1:7" ht="29.5" thickBot="1" x14ac:dyDescent="0.4">
      <c r="A1" s="186" t="s">
        <v>132</v>
      </c>
      <c r="B1" s="187" t="s">
        <v>133</v>
      </c>
      <c r="C1" s="187" t="s">
        <v>139</v>
      </c>
      <c r="D1" s="187" t="s">
        <v>138</v>
      </c>
      <c r="E1" s="187" t="s">
        <v>140</v>
      </c>
      <c r="F1" s="188" t="s">
        <v>141</v>
      </c>
      <c r="G1" s="189" t="s">
        <v>142</v>
      </c>
    </row>
    <row r="2" spans="1:7" ht="58" x14ac:dyDescent="0.35">
      <c r="A2" s="182" t="s">
        <v>134</v>
      </c>
      <c r="B2" s="183" t="s">
        <v>135</v>
      </c>
      <c r="C2" s="183" t="s">
        <v>136</v>
      </c>
      <c r="D2" s="183" t="s">
        <v>143</v>
      </c>
      <c r="E2" s="183" t="s">
        <v>137</v>
      </c>
      <c r="F2" s="184" t="s">
        <v>136</v>
      </c>
      <c r="G2" s="185" t="s">
        <v>136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19" width="14.81640625" style="17" customWidth="1"/>
    <col min="20" max="21" width="11.453125" style="17"/>
    <col min="22" max="22" width="13.54296875" style="17" bestFit="1" customWidth="1"/>
    <col min="23" max="34" width="13.54296875" style="17" customWidth="1"/>
    <col min="35" max="35" width="13.54296875" style="17" bestFit="1" customWidth="1"/>
    <col min="36" max="282" width="11.453125" style="17"/>
    <col min="283" max="283" width="18.7265625" style="17" customWidth="1"/>
    <col min="284" max="284" width="13.7265625" style="17" bestFit="1" customWidth="1"/>
    <col min="285" max="285" width="17.26953125" style="17" customWidth="1"/>
    <col min="286" max="286" width="11" style="17" customWidth="1"/>
    <col min="287" max="287" width="12" style="17" bestFit="1" customWidth="1"/>
    <col min="288" max="288" width="14.81640625" style="17" customWidth="1"/>
    <col min="289" max="538" width="11.453125" style="17"/>
    <col min="539" max="539" width="18.7265625" style="17" customWidth="1"/>
    <col min="540" max="540" width="13.7265625" style="17" bestFit="1" customWidth="1"/>
    <col min="541" max="541" width="17.26953125" style="17" customWidth="1"/>
    <col min="542" max="542" width="11" style="17" customWidth="1"/>
    <col min="543" max="543" width="12" style="17" bestFit="1" customWidth="1"/>
    <col min="544" max="544" width="14.81640625" style="17" customWidth="1"/>
    <col min="545" max="794" width="11.453125" style="17"/>
    <col min="795" max="795" width="18.7265625" style="17" customWidth="1"/>
    <col min="796" max="796" width="13.7265625" style="17" bestFit="1" customWidth="1"/>
    <col min="797" max="797" width="17.26953125" style="17" customWidth="1"/>
    <col min="798" max="798" width="11" style="17" customWidth="1"/>
    <col min="799" max="799" width="12" style="17" bestFit="1" customWidth="1"/>
    <col min="800" max="800" width="14.81640625" style="17" customWidth="1"/>
    <col min="801" max="1050" width="11.453125" style="17"/>
    <col min="1051" max="1051" width="18.7265625" style="17" customWidth="1"/>
    <col min="1052" max="1052" width="13.7265625" style="17" bestFit="1" customWidth="1"/>
    <col min="1053" max="1053" width="17.26953125" style="17" customWidth="1"/>
    <col min="1054" max="1054" width="11" style="17" customWidth="1"/>
    <col min="1055" max="1055" width="12" style="17" bestFit="1" customWidth="1"/>
    <col min="1056" max="1056" width="14.81640625" style="17" customWidth="1"/>
    <col min="1057" max="1306" width="11.453125" style="17"/>
    <col min="1307" max="1307" width="18.7265625" style="17" customWidth="1"/>
    <col min="1308" max="1308" width="13.7265625" style="17" bestFit="1" customWidth="1"/>
    <col min="1309" max="1309" width="17.26953125" style="17" customWidth="1"/>
    <col min="1310" max="1310" width="11" style="17" customWidth="1"/>
    <col min="1311" max="1311" width="12" style="17" bestFit="1" customWidth="1"/>
    <col min="1312" max="1312" width="14.81640625" style="17" customWidth="1"/>
    <col min="1313" max="1562" width="11.453125" style="17"/>
    <col min="1563" max="1563" width="18.7265625" style="17" customWidth="1"/>
    <col min="1564" max="1564" width="13.7265625" style="17" bestFit="1" customWidth="1"/>
    <col min="1565" max="1565" width="17.26953125" style="17" customWidth="1"/>
    <col min="1566" max="1566" width="11" style="17" customWidth="1"/>
    <col min="1567" max="1567" width="12" style="17" bestFit="1" customWidth="1"/>
    <col min="1568" max="1568" width="14.81640625" style="17" customWidth="1"/>
    <col min="1569" max="1818" width="11.453125" style="17"/>
    <col min="1819" max="1819" width="18.7265625" style="17" customWidth="1"/>
    <col min="1820" max="1820" width="13.7265625" style="17" bestFit="1" customWidth="1"/>
    <col min="1821" max="1821" width="17.26953125" style="17" customWidth="1"/>
    <col min="1822" max="1822" width="11" style="17" customWidth="1"/>
    <col min="1823" max="1823" width="12" style="17" bestFit="1" customWidth="1"/>
    <col min="1824" max="1824" width="14.81640625" style="17" customWidth="1"/>
    <col min="1825" max="2074" width="11.453125" style="17"/>
    <col min="2075" max="2075" width="18.7265625" style="17" customWidth="1"/>
    <col min="2076" max="2076" width="13.7265625" style="17" bestFit="1" customWidth="1"/>
    <col min="2077" max="2077" width="17.26953125" style="17" customWidth="1"/>
    <col min="2078" max="2078" width="11" style="17" customWidth="1"/>
    <col min="2079" max="2079" width="12" style="17" bestFit="1" customWidth="1"/>
    <col min="2080" max="2080" width="14.81640625" style="17" customWidth="1"/>
    <col min="2081" max="2330" width="11.453125" style="17"/>
    <col min="2331" max="2331" width="18.7265625" style="17" customWidth="1"/>
    <col min="2332" max="2332" width="13.7265625" style="17" bestFit="1" customWidth="1"/>
    <col min="2333" max="2333" width="17.26953125" style="17" customWidth="1"/>
    <col min="2334" max="2334" width="11" style="17" customWidth="1"/>
    <col min="2335" max="2335" width="12" style="17" bestFit="1" customWidth="1"/>
    <col min="2336" max="2336" width="14.81640625" style="17" customWidth="1"/>
    <col min="2337" max="2586" width="11.453125" style="17"/>
    <col min="2587" max="2587" width="18.7265625" style="17" customWidth="1"/>
    <col min="2588" max="2588" width="13.7265625" style="17" bestFit="1" customWidth="1"/>
    <col min="2589" max="2589" width="17.26953125" style="17" customWidth="1"/>
    <col min="2590" max="2590" width="11" style="17" customWidth="1"/>
    <col min="2591" max="2591" width="12" style="17" bestFit="1" customWidth="1"/>
    <col min="2592" max="2592" width="14.81640625" style="17" customWidth="1"/>
    <col min="2593" max="2842" width="11.453125" style="17"/>
    <col min="2843" max="2843" width="18.7265625" style="17" customWidth="1"/>
    <col min="2844" max="2844" width="13.7265625" style="17" bestFit="1" customWidth="1"/>
    <col min="2845" max="2845" width="17.26953125" style="17" customWidth="1"/>
    <col min="2846" max="2846" width="11" style="17" customWidth="1"/>
    <col min="2847" max="2847" width="12" style="17" bestFit="1" customWidth="1"/>
    <col min="2848" max="2848" width="14.81640625" style="17" customWidth="1"/>
    <col min="2849" max="3098" width="11.453125" style="17"/>
    <col min="3099" max="3099" width="18.7265625" style="17" customWidth="1"/>
    <col min="3100" max="3100" width="13.7265625" style="17" bestFit="1" customWidth="1"/>
    <col min="3101" max="3101" width="17.26953125" style="17" customWidth="1"/>
    <col min="3102" max="3102" width="11" style="17" customWidth="1"/>
    <col min="3103" max="3103" width="12" style="17" bestFit="1" customWidth="1"/>
    <col min="3104" max="3104" width="14.81640625" style="17" customWidth="1"/>
    <col min="3105" max="3354" width="11.453125" style="17"/>
    <col min="3355" max="3355" width="18.7265625" style="17" customWidth="1"/>
    <col min="3356" max="3356" width="13.7265625" style="17" bestFit="1" customWidth="1"/>
    <col min="3357" max="3357" width="17.26953125" style="17" customWidth="1"/>
    <col min="3358" max="3358" width="11" style="17" customWidth="1"/>
    <col min="3359" max="3359" width="12" style="17" bestFit="1" customWidth="1"/>
    <col min="3360" max="3360" width="14.81640625" style="17" customWidth="1"/>
    <col min="3361" max="3610" width="11.453125" style="17"/>
    <col min="3611" max="3611" width="18.7265625" style="17" customWidth="1"/>
    <col min="3612" max="3612" width="13.7265625" style="17" bestFit="1" customWidth="1"/>
    <col min="3613" max="3613" width="17.26953125" style="17" customWidth="1"/>
    <col min="3614" max="3614" width="11" style="17" customWidth="1"/>
    <col min="3615" max="3615" width="12" style="17" bestFit="1" customWidth="1"/>
    <col min="3616" max="3616" width="14.81640625" style="17" customWidth="1"/>
    <col min="3617" max="3866" width="11.453125" style="17"/>
    <col min="3867" max="3867" width="18.7265625" style="17" customWidth="1"/>
    <col min="3868" max="3868" width="13.7265625" style="17" bestFit="1" customWidth="1"/>
    <col min="3869" max="3869" width="17.26953125" style="17" customWidth="1"/>
    <col min="3870" max="3870" width="11" style="17" customWidth="1"/>
    <col min="3871" max="3871" width="12" style="17" bestFit="1" customWidth="1"/>
    <col min="3872" max="3872" width="14.81640625" style="17" customWidth="1"/>
    <col min="3873" max="4122" width="11.453125" style="17"/>
    <col min="4123" max="4123" width="18.7265625" style="17" customWidth="1"/>
    <col min="4124" max="4124" width="13.7265625" style="17" bestFit="1" customWidth="1"/>
    <col min="4125" max="4125" width="17.26953125" style="17" customWidth="1"/>
    <col min="4126" max="4126" width="11" style="17" customWidth="1"/>
    <col min="4127" max="4127" width="12" style="17" bestFit="1" customWidth="1"/>
    <col min="4128" max="4128" width="14.81640625" style="17" customWidth="1"/>
    <col min="4129" max="4378" width="11.453125" style="17"/>
    <col min="4379" max="4379" width="18.7265625" style="17" customWidth="1"/>
    <col min="4380" max="4380" width="13.7265625" style="17" bestFit="1" customWidth="1"/>
    <col min="4381" max="4381" width="17.26953125" style="17" customWidth="1"/>
    <col min="4382" max="4382" width="11" style="17" customWidth="1"/>
    <col min="4383" max="4383" width="12" style="17" bestFit="1" customWidth="1"/>
    <col min="4384" max="4384" width="14.81640625" style="17" customWidth="1"/>
    <col min="4385" max="4634" width="11.453125" style="17"/>
    <col min="4635" max="4635" width="18.7265625" style="17" customWidth="1"/>
    <col min="4636" max="4636" width="13.7265625" style="17" bestFit="1" customWidth="1"/>
    <col min="4637" max="4637" width="17.26953125" style="17" customWidth="1"/>
    <col min="4638" max="4638" width="11" style="17" customWidth="1"/>
    <col min="4639" max="4639" width="12" style="17" bestFit="1" customWidth="1"/>
    <col min="4640" max="4640" width="14.81640625" style="17" customWidth="1"/>
    <col min="4641" max="4890" width="11.453125" style="17"/>
    <col min="4891" max="4891" width="18.7265625" style="17" customWidth="1"/>
    <col min="4892" max="4892" width="13.7265625" style="17" bestFit="1" customWidth="1"/>
    <col min="4893" max="4893" width="17.26953125" style="17" customWidth="1"/>
    <col min="4894" max="4894" width="11" style="17" customWidth="1"/>
    <col min="4895" max="4895" width="12" style="17" bestFit="1" customWidth="1"/>
    <col min="4896" max="4896" width="14.81640625" style="17" customWidth="1"/>
    <col min="4897" max="5146" width="11.453125" style="17"/>
    <col min="5147" max="5147" width="18.7265625" style="17" customWidth="1"/>
    <col min="5148" max="5148" width="13.7265625" style="17" bestFit="1" customWidth="1"/>
    <col min="5149" max="5149" width="17.26953125" style="17" customWidth="1"/>
    <col min="5150" max="5150" width="11" style="17" customWidth="1"/>
    <col min="5151" max="5151" width="12" style="17" bestFit="1" customWidth="1"/>
    <col min="5152" max="5152" width="14.81640625" style="17" customWidth="1"/>
    <col min="5153" max="5402" width="11.453125" style="17"/>
    <col min="5403" max="5403" width="18.7265625" style="17" customWidth="1"/>
    <col min="5404" max="5404" width="13.7265625" style="17" bestFit="1" customWidth="1"/>
    <col min="5405" max="5405" width="17.26953125" style="17" customWidth="1"/>
    <col min="5406" max="5406" width="11" style="17" customWidth="1"/>
    <col min="5407" max="5407" width="12" style="17" bestFit="1" customWidth="1"/>
    <col min="5408" max="5408" width="14.81640625" style="17" customWidth="1"/>
    <col min="5409" max="5658" width="11.453125" style="17"/>
    <col min="5659" max="5659" width="18.7265625" style="17" customWidth="1"/>
    <col min="5660" max="5660" width="13.7265625" style="17" bestFit="1" customWidth="1"/>
    <col min="5661" max="5661" width="17.26953125" style="17" customWidth="1"/>
    <col min="5662" max="5662" width="11" style="17" customWidth="1"/>
    <col min="5663" max="5663" width="12" style="17" bestFit="1" customWidth="1"/>
    <col min="5664" max="5664" width="14.81640625" style="17" customWidth="1"/>
    <col min="5665" max="5914" width="11.453125" style="17"/>
    <col min="5915" max="5915" width="18.7265625" style="17" customWidth="1"/>
    <col min="5916" max="5916" width="13.7265625" style="17" bestFit="1" customWidth="1"/>
    <col min="5917" max="5917" width="17.26953125" style="17" customWidth="1"/>
    <col min="5918" max="5918" width="11" style="17" customWidth="1"/>
    <col min="5919" max="5919" width="12" style="17" bestFit="1" customWidth="1"/>
    <col min="5920" max="5920" width="14.81640625" style="17" customWidth="1"/>
    <col min="5921" max="6170" width="11.453125" style="17"/>
    <col min="6171" max="6171" width="18.7265625" style="17" customWidth="1"/>
    <col min="6172" max="6172" width="13.7265625" style="17" bestFit="1" customWidth="1"/>
    <col min="6173" max="6173" width="17.26953125" style="17" customWidth="1"/>
    <col min="6174" max="6174" width="11" style="17" customWidth="1"/>
    <col min="6175" max="6175" width="12" style="17" bestFit="1" customWidth="1"/>
    <col min="6176" max="6176" width="14.81640625" style="17" customWidth="1"/>
    <col min="6177" max="6426" width="11.453125" style="17"/>
    <col min="6427" max="6427" width="18.7265625" style="17" customWidth="1"/>
    <col min="6428" max="6428" width="13.7265625" style="17" bestFit="1" customWidth="1"/>
    <col min="6429" max="6429" width="17.26953125" style="17" customWidth="1"/>
    <col min="6430" max="6430" width="11" style="17" customWidth="1"/>
    <col min="6431" max="6431" width="12" style="17" bestFit="1" customWidth="1"/>
    <col min="6432" max="6432" width="14.81640625" style="17" customWidth="1"/>
    <col min="6433" max="6682" width="11.453125" style="17"/>
    <col min="6683" max="6683" width="18.7265625" style="17" customWidth="1"/>
    <col min="6684" max="6684" width="13.7265625" style="17" bestFit="1" customWidth="1"/>
    <col min="6685" max="6685" width="17.26953125" style="17" customWidth="1"/>
    <col min="6686" max="6686" width="11" style="17" customWidth="1"/>
    <col min="6687" max="6687" width="12" style="17" bestFit="1" customWidth="1"/>
    <col min="6688" max="6688" width="14.81640625" style="17" customWidth="1"/>
    <col min="6689" max="6938" width="11.453125" style="17"/>
    <col min="6939" max="6939" width="18.7265625" style="17" customWidth="1"/>
    <col min="6940" max="6940" width="13.7265625" style="17" bestFit="1" customWidth="1"/>
    <col min="6941" max="6941" width="17.26953125" style="17" customWidth="1"/>
    <col min="6942" max="6942" width="11" style="17" customWidth="1"/>
    <col min="6943" max="6943" width="12" style="17" bestFit="1" customWidth="1"/>
    <col min="6944" max="6944" width="14.81640625" style="17" customWidth="1"/>
    <col min="6945" max="7194" width="11.453125" style="17"/>
    <col min="7195" max="7195" width="18.7265625" style="17" customWidth="1"/>
    <col min="7196" max="7196" width="13.7265625" style="17" bestFit="1" customWidth="1"/>
    <col min="7197" max="7197" width="17.26953125" style="17" customWidth="1"/>
    <col min="7198" max="7198" width="11" style="17" customWidth="1"/>
    <col min="7199" max="7199" width="12" style="17" bestFit="1" customWidth="1"/>
    <col min="7200" max="7200" width="14.81640625" style="17" customWidth="1"/>
    <col min="7201" max="7450" width="11.453125" style="17"/>
    <col min="7451" max="7451" width="18.7265625" style="17" customWidth="1"/>
    <col min="7452" max="7452" width="13.7265625" style="17" bestFit="1" customWidth="1"/>
    <col min="7453" max="7453" width="17.26953125" style="17" customWidth="1"/>
    <col min="7454" max="7454" width="11" style="17" customWidth="1"/>
    <col min="7455" max="7455" width="12" style="17" bestFit="1" customWidth="1"/>
    <col min="7456" max="7456" width="14.81640625" style="17" customWidth="1"/>
    <col min="7457" max="7706" width="11.453125" style="17"/>
    <col min="7707" max="7707" width="18.7265625" style="17" customWidth="1"/>
    <col min="7708" max="7708" width="13.7265625" style="17" bestFit="1" customWidth="1"/>
    <col min="7709" max="7709" width="17.26953125" style="17" customWidth="1"/>
    <col min="7710" max="7710" width="11" style="17" customWidth="1"/>
    <col min="7711" max="7711" width="12" style="17" bestFit="1" customWidth="1"/>
    <col min="7712" max="7712" width="14.81640625" style="17" customWidth="1"/>
    <col min="7713" max="7962" width="11.453125" style="17"/>
    <col min="7963" max="7963" width="18.7265625" style="17" customWidth="1"/>
    <col min="7964" max="7964" width="13.7265625" style="17" bestFit="1" customWidth="1"/>
    <col min="7965" max="7965" width="17.26953125" style="17" customWidth="1"/>
    <col min="7966" max="7966" width="11" style="17" customWidth="1"/>
    <col min="7967" max="7967" width="12" style="17" bestFit="1" customWidth="1"/>
    <col min="7968" max="7968" width="14.81640625" style="17" customWidth="1"/>
    <col min="7969" max="8218" width="11.453125" style="17"/>
    <col min="8219" max="8219" width="18.7265625" style="17" customWidth="1"/>
    <col min="8220" max="8220" width="13.7265625" style="17" bestFit="1" customWidth="1"/>
    <col min="8221" max="8221" width="17.26953125" style="17" customWidth="1"/>
    <col min="8222" max="8222" width="11" style="17" customWidth="1"/>
    <col min="8223" max="8223" width="12" style="17" bestFit="1" customWidth="1"/>
    <col min="8224" max="8224" width="14.81640625" style="17" customWidth="1"/>
    <col min="8225" max="8474" width="11.453125" style="17"/>
    <col min="8475" max="8475" width="18.7265625" style="17" customWidth="1"/>
    <col min="8476" max="8476" width="13.7265625" style="17" bestFit="1" customWidth="1"/>
    <col min="8477" max="8477" width="17.26953125" style="17" customWidth="1"/>
    <col min="8478" max="8478" width="11" style="17" customWidth="1"/>
    <col min="8479" max="8479" width="12" style="17" bestFit="1" customWidth="1"/>
    <col min="8480" max="8480" width="14.81640625" style="17" customWidth="1"/>
    <col min="8481" max="8730" width="11.453125" style="17"/>
    <col min="8731" max="8731" width="18.7265625" style="17" customWidth="1"/>
    <col min="8732" max="8732" width="13.7265625" style="17" bestFit="1" customWidth="1"/>
    <col min="8733" max="8733" width="17.26953125" style="17" customWidth="1"/>
    <col min="8734" max="8734" width="11" style="17" customWidth="1"/>
    <col min="8735" max="8735" width="12" style="17" bestFit="1" customWidth="1"/>
    <col min="8736" max="8736" width="14.81640625" style="17" customWidth="1"/>
    <col min="8737" max="8986" width="11.453125" style="17"/>
    <col min="8987" max="8987" width="18.7265625" style="17" customWidth="1"/>
    <col min="8988" max="8988" width="13.7265625" style="17" bestFit="1" customWidth="1"/>
    <col min="8989" max="8989" width="17.26953125" style="17" customWidth="1"/>
    <col min="8990" max="8990" width="11" style="17" customWidth="1"/>
    <col min="8991" max="8991" width="12" style="17" bestFit="1" customWidth="1"/>
    <col min="8992" max="8992" width="14.81640625" style="17" customWidth="1"/>
    <col min="8993" max="9242" width="11.453125" style="17"/>
    <col min="9243" max="9243" width="18.7265625" style="17" customWidth="1"/>
    <col min="9244" max="9244" width="13.7265625" style="17" bestFit="1" customWidth="1"/>
    <col min="9245" max="9245" width="17.26953125" style="17" customWidth="1"/>
    <col min="9246" max="9246" width="11" style="17" customWidth="1"/>
    <col min="9247" max="9247" width="12" style="17" bestFit="1" customWidth="1"/>
    <col min="9248" max="9248" width="14.81640625" style="17" customWidth="1"/>
    <col min="9249" max="9498" width="11.453125" style="17"/>
    <col min="9499" max="9499" width="18.7265625" style="17" customWidth="1"/>
    <col min="9500" max="9500" width="13.7265625" style="17" bestFit="1" customWidth="1"/>
    <col min="9501" max="9501" width="17.26953125" style="17" customWidth="1"/>
    <col min="9502" max="9502" width="11" style="17" customWidth="1"/>
    <col min="9503" max="9503" width="12" style="17" bestFit="1" customWidth="1"/>
    <col min="9504" max="9504" width="14.81640625" style="17" customWidth="1"/>
    <col min="9505" max="9754" width="11.453125" style="17"/>
    <col min="9755" max="9755" width="18.7265625" style="17" customWidth="1"/>
    <col min="9756" max="9756" width="13.7265625" style="17" bestFit="1" customWidth="1"/>
    <col min="9757" max="9757" width="17.26953125" style="17" customWidth="1"/>
    <col min="9758" max="9758" width="11" style="17" customWidth="1"/>
    <col min="9759" max="9759" width="12" style="17" bestFit="1" customWidth="1"/>
    <col min="9760" max="9760" width="14.81640625" style="17" customWidth="1"/>
    <col min="9761" max="10010" width="11.453125" style="17"/>
    <col min="10011" max="10011" width="18.7265625" style="17" customWidth="1"/>
    <col min="10012" max="10012" width="13.7265625" style="17" bestFit="1" customWidth="1"/>
    <col min="10013" max="10013" width="17.26953125" style="17" customWidth="1"/>
    <col min="10014" max="10014" width="11" style="17" customWidth="1"/>
    <col min="10015" max="10015" width="12" style="17" bestFit="1" customWidth="1"/>
    <col min="10016" max="10016" width="14.81640625" style="17" customWidth="1"/>
    <col min="10017" max="10266" width="11.453125" style="17"/>
    <col min="10267" max="10267" width="18.7265625" style="17" customWidth="1"/>
    <col min="10268" max="10268" width="13.7265625" style="17" bestFit="1" customWidth="1"/>
    <col min="10269" max="10269" width="17.26953125" style="17" customWidth="1"/>
    <col min="10270" max="10270" width="11" style="17" customWidth="1"/>
    <col min="10271" max="10271" width="12" style="17" bestFit="1" customWidth="1"/>
    <col min="10272" max="10272" width="14.81640625" style="17" customWidth="1"/>
    <col min="10273" max="10522" width="11.453125" style="17"/>
    <col min="10523" max="10523" width="18.7265625" style="17" customWidth="1"/>
    <col min="10524" max="10524" width="13.7265625" style="17" bestFit="1" customWidth="1"/>
    <col min="10525" max="10525" width="17.26953125" style="17" customWidth="1"/>
    <col min="10526" max="10526" width="11" style="17" customWidth="1"/>
    <col min="10527" max="10527" width="12" style="17" bestFit="1" customWidth="1"/>
    <col min="10528" max="10528" width="14.81640625" style="17" customWidth="1"/>
    <col min="10529" max="10778" width="11.453125" style="17"/>
    <col min="10779" max="10779" width="18.7265625" style="17" customWidth="1"/>
    <col min="10780" max="10780" width="13.7265625" style="17" bestFit="1" customWidth="1"/>
    <col min="10781" max="10781" width="17.26953125" style="17" customWidth="1"/>
    <col min="10782" max="10782" width="11" style="17" customWidth="1"/>
    <col min="10783" max="10783" width="12" style="17" bestFit="1" customWidth="1"/>
    <col min="10784" max="10784" width="14.81640625" style="17" customWidth="1"/>
    <col min="10785" max="11034" width="11.453125" style="17"/>
    <col min="11035" max="11035" width="18.7265625" style="17" customWidth="1"/>
    <col min="11036" max="11036" width="13.7265625" style="17" bestFit="1" customWidth="1"/>
    <col min="11037" max="11037" width="17.26953125" style="17" customWidth="1"/>
    <col min="11038" max="11038" width="11" style="17" customWidth="1"/>
    <col min="11039" max="11039" width="12" style="17" bestFit="1" customWidth="1"/>
    <col min="11040" max="11040" width="14.81640625" style="17" customWidth="1"/>
    <col min="11041" max="11290" width="11.453125" style="17"/>
    <col min="11291" max="11291" width="18.7265625" style="17" customWidth="1"/>
    <col min="11292" max="11292" width="13.7265625" style="17" bestFit="1" customWidth="1"/>
    <col min="11293" max="11293" width="17.26953125" style="17" customWidth="1"/>
    <col min="11294" max="11294" width="11" style="17" customWidth="1"/>
    <col min="11295" max="11295" width="12" style="17" bestFit="1" customWidth="1"/>
    <col min="11296" max="11296" width="14.81640625" style="17" customWidth="1"/>
    <col min="11297" max="11546" width="11.453125" style="17"/>
    <col min="11547" max="11547" width="18.7265625" style="17" customWidth="1"/>
    <col min="11548" max="11548" width="13.7265625" style="17" bestFit="1" customWidth="1"/>
    <col min="11549" max="11549" width="17.26953125" style="17" customWidth="1"/>
    <col min="11550" max="11550" width="11" style="17" customWidth="1"/>
    <col min="11551" max="11551" width="12" style="17" bestFit="1" customWidth="1"/>
    <col min="11552" max="11552" width="14.81640625" style="17" customWidth="1"/>
    <col min="11553" max="11802" width="11.453125" style="17"/>
    <col min="11803" max="11803" width="18.7265625" style="17" customWidth="1"/>
    <col min="11804" max="11804" width="13.7265625" style="17" bestFit="1" customWidth="1"/>
    <col min="11805" max="11805" width="17.26953125" style="17" customWidth="1"/>
    <col min="11806" max="11806" width="11" style="17" customWidth="1"/>
    <col min="11807" max="11807" width="12" style="17" bestFit="1" customWidth="1"/>
    <col min="11808" max="11808" width="14.81640625" style="17" customWidth="1"/>
    <col min="11809" max="12058" width="11.453125" style="17"/>
    <col min="12059" max="12059" width="18.7265625" style="17" customWidth="1"/>
    <col min="12060" max="12060" width="13.7265625" style="17" bestFit="1" customWidth="1"/>
    <col min="12061" max="12061" width="17.26953125" style="17" customWidth="1"/>
    <col min="12062" max="12062" width="11" style="17" customWidth="1"/>
    <col min="12063" max="12063" width="12" style="17" bestFit="1" customWidth="1"/>
    <col min="12064" max="12064" width="14.81640625" style="17" customWidth="1"/>
    <col min="12065" max="12314" width="11.453125" style="17"/>
    <col min="12315" max="12315" width="18.7265625" style="17" customWidth="1"/>
    <col min="12316" max="12316" width="13.7265625" style="17" bestFit="1" customWidth="1"/>
    <col min="12317" max="12317" width="17.26953125" style="17" customWidth="1"/>
    <col min="12318" max="12318" width="11" style="17" customWidth="1"/>
    <col min="12319" max="12319" width="12" style="17" bestFit="1" customWidth="1"/>
    <col min="12320" max="12320" width="14.81640625" style="17" customWidth="1"/>
    <col min="12321" max="12570" width="11.453125" style="17"/>
    <col min="12571" max="12571" width="18.7265625" style="17" customWidth="1"/>
    <col min="12572" max="12572" width="13.7265625" style="17" bestFit="1" customWidth="1"/>
    <col min="12573" max="12573" width="17.26953125" style="17" customWidth="1"/>
    <col min="12574" max="12574" width="11" style="17" customWidth="1"/>
    <col min="12575" max="12575" width="12" style="17" bestFit="1" customWidth="1"/>
    <col min="12576" max="12576" width="14.81640625" style="17" customWidth="1"/>
    <col min="12577" max="12826" width="11.453125" style="17"/>
    <col min="12827" max="12827" width="18.7265625" style="17" customWidth="1"/>
    <col min="12828" max="12828" width="13.7265625" style="17" bestFit="1" customWidth="1"/>
    <col min="12829" max="12829" width="17.26953125" style="17" customWidth="1"/>
    <col min="12830" max="12830" width="11" style="17" customWidth="1"/>
    <col min="12831" max="12831" width="12" style="17" bestFit="1" customWidth="1"/>
    <col min="12832" max="12832" width="14.81640625" style="17" customWidth="1"/>
    <col min="12833" max="13082" width="11.453125" style="17"/>
    <col min="13083" max="13083" width="18.7265625" style="17" customWidth="1"/>
    <col min="13084" max="13084" width="13.7265625" style="17" bestFit="1" customWidth="1"/>
    <col min="13085" max="13085" width="17.26953125" style="17" customWidth="1"/>
    <col min="13086" max="13086" width="11" style="17" customWidth="1"/>
    <col min="13087" max="13087" width="12" style="17" bestFit="1" customWidth="1"/>
    <col min="13088" max="13088" width="14.81640625" style="17" customWidth="1"/>
    <col min="13089" max="13338" width="11.453125" style="17"/>
    <col min="13339" max="13339" width="18.7265625" style="17" customWidth="1"/>
    <col min="13340" max="13340" width="13.7265625" style="17" bestFit="1" customWidth="1"/>
    <col min="13341" max="13341" width="17.26953125" style="17" customWidth="1"/>
    <col min="13342" max="13342" width="11" style="17" customWidth="1"/>
    <col min="13343" max="13343" width="12" style="17" bestFit="1" customWidth="1"/>
    <col min="13344" max="13344" width="14.81640625" style="17" customWidth="1"/>
    <col min="13345" max="13594" width="11.453125" style="17"/>
    <col min="13595" max="13595" width="18.7265625" style="17" customWidth="1"/>
    <col min="13596" max="13596" width="13.7265625" style="17" bestFit="1" customWidth="1"/>
    <col min="13597" max="13597" width="17.26953125" style="17" customWidth="1"/>
    <col min="13598" max="13598" width="11" style="17" customWidth="1"/>
    <col min="13599" max="13599" width="12" style="17" bestFit="1" customWidth="1"/>
    <col min="13600" max="13600" width="14.81640625" style="17" customWidth="1"/>
    <col min="13601" max="13850" width="11.453125" style="17"/>
    <col min="13851" max="13851" width="18.7265625" style="17" customWidth="1"/>
    <col min="13852" max="13852" width="13.7265625" style="17" bestFit="1" customWidth="1"/>
    <col min="13853" max="13853" width="17.26953125" style="17" customWidth="1"/>
    <col min="13854" max="13854" width="11" style="17" customWidth="1"/>
    <col min="13855" max="13855" width="12" style="17" bestFit="1" customWidth="1"/>
    <col min="13856" max="13856" width="14.81640625" style="17" customWidth="1"/>
    <col min="13857" max="14106" width="11.453125" style="17"/>
    <col min="14107" max="14107" width="18.7265625" style="17" customWidth="1"/>
    <col min="14108" max="14108" width="13.7265625" style="17" bestFit="1" customWidth="1"/>
    <col min="14109" max="14109" width="17.26953125" style="17" customWidth="1"/>
    <col min="14110" max="14110" width="11" style="17" customWidth="1"/>
    <col min="14111" max="14111" width="12" style="17" bestFit="1" customWidth="1"/>
    <col min="14112" max="14112" width="14.81640625" style="17" customWidth="1"/>
    <col min="14113" max="14362" width="11.453125" style="17"/>
    <col min="14363" max="14363" width="18.7265625" style="17" customWidth="1"/>
    <col min="14364" max="14364" width="13.7265625" style="17" bestFit="1" customWidth="1"/>
    <col min="14365" max="14365" width="17.26953125" style="17" customWidth="1"/>
    <col min="14366" max="14366" width="11" style="17" customWidth="1"/>
    <col min="14367" max="14367" width="12" style="17" bestFit="1" customWidth="1"/>
    <col min="14368" max="14368" width="14.81640625" style="17" customWidth="1"/>
    <col min="14369" max="14618" width="11.453125" style="17"/>
    <col min="14619" max="14619" width="18.7265625" style="17" customWidth="1"/>
    <col min="14620" max="14620" width="13.7265625" style="17" bestFit="1" customWidth="1"/>
    <col min="14621" max="14621" width="17.26953125" style="17" customWidth="1"/>
    <col min="14622" max="14622" width="11" style="17" customWidth="1"/>
    <col min="14623" max="14623" width="12" style="17" bestFit="1" customWidth="1"/>
    <col min="14624" max="14624" width="14.81640625" style="17" customWidth="1"/>
    <col min="14625" max="14874" width="11.453125" style="17"/>
    <col min="14875" max="14875" width="18.7265625" style="17" customWidth="1"/>
    <col min="14876" max="14876" width="13.7265625" style="17" bestFit="1" customWidth="1"/>
    <col min="14877" max="14877" width="17.26953125" style="17" customWidth="1"/>
    <col min="14878" max="14878" width="11" style="17" customWidth="1"/>
    <col min="14879" max="14879" width="12" style="17" bestFit="1" customWidth="1"/>
    <col min="14880" max="14880" width="14.81640625" style="17" customWidth="1"/>
    <col min="14881" max="15130" width="11.453125" style="17"/>
    <col min="15131" max="15131" width="18.7265625" style="17" customWidth="1"/>
    <col min="15132" max="15132" width="13.7265625" style="17" bestFit="1" customWidth="1"/>
    <col min="15133" max="15133" width="17.26953125" style="17" customWidth="1"/>
    <col min="15134" max="15134" width="11" style="17" customWidth="1"/>
    <col min="15135" max="15135" width="12" style="17" bestFit="1" customWidth="1"/>
    <col min="15136" max="15136" width="14.81640625" style="17" customWidth="1"/>
    <col min="15137" max="15386" width="11.453125" style="17"/>
    <col min="15387" max="15387" width="18.7265625" style="17" customWidth="1"/>
    <col min="15388" max="15388" width="13.7265625" style="17" bestFit="1" customWidth="1"/>
    <col min="15389" max="15389" width="17.26953125" style="17" customWidth="1"/>
    <col min="15390" max="15390" width="11" style="17" customWidth="1"/>
    <col min="15391" max="15391" width="12" style="17" bestFit="1" customWidth="1"/>
    <col min="15392" max="15392" width="14.81640625" style="17" customWidth="1"/>
    <col min="15393" max="15642" width="11.453125" style="17"/>
    <col min="15643" max="15643" width="18.7265625" style="17" customWidth="1"/>
    <col min="15644" max="15644" width="13.7265625" style="17" bestFit="1" customWidth="1"/>
    <col min="15645" max="15645" width="17.26953125" style="17" customWidth="1"/>
    <col min="15646" max="15646" width="11" style="17" customWidth="1"/>
    <col min="15647" max="15647" width="12" style="17" bestFit="1" customWidth="1"/>
    <col min="15648" max="15648" width="14.81640625" style="17" customWidth="1"/>
    <col min="15649" max="15898" width="11.453125" style="17"/>
    <col min="15899" max="15899" width="18.7265625" style="17" customWidth="1"/>
    <col min="15900" max="15900" width="13.7265625" style="17" bestFit="1" customWidth="1"/>
    <col min="15901" max="15901" width="17.26953125" style="17" customWidth="1"/>
    <col min="15902" max="15902" width="11" style="17" customWidth="1"/>
    <col min="15903" max="15903" width="12" style="17" bestFit="1" customWidth="1"/>
    <col min="15904" max="15904" width="14.81640625" style="17" customWidth="1"/>
    <col min="15905" max="16154" width="11.453125" style="17"/>
    <col min="16155" max="16155" width="18.7265625" style="17" customWidth="1"/>
    <col min="16156" max="16156" width="13.7265625" style="17" bestFit="1" customWidth="1"/>
    <col min="16157" max="16157" width="17.26953125" style="17" customWidth="1"/>
    <col min="16158" max="16158" width="11" style="17" customWidth="1"/>
    <col min="16159" max="16159" width="12" style="17" bestFit="1" customWidth="1"/>
    <col min="16160" max="16160" width="14.81640625" style="17" customWidth="1"/>
    <col min="16161" max="16384" width="11.453125" style="17"/>
  </cols>
  <sheetData>
    <row r="2" spans="1:37" x14ac:dyDescent="0.25">
      <c r="A2" s="17" t="s">
        <v>70</v>
      </c>
      <c r="B2" s="63">
        <f>'pooled normalised values'!B75</f>
        <v>0.14437035012603847</v>
      </c>
      <c r="D2" s="17" t="s">
        <v>9</v>
      </c>
      <c r="E2" s="18"/>
      <c r="F2" s="19" t="str">
        <f>'pooled normalised values'!J74</f>
        <v>Cefuroxime-0.01mg/L</v>
      </c>
      <c r="G2" s="19" t="str">
        <f>'pooled normalised values'!K74</f>
        <v>Cefuroxime-0.1mg/L</v>
      </c>
      <c r="H2" s="19" t="str">
        <f>'pooled normalised values'!L74</f>
        <v>Cefuroxime-1mg/L</v>
      </c>
      <c r="I2" s="19" t="str">
        <f>'pooled normalised values'!M74</f>
        <v>Cefuroxime-10mg/L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Cefuroxime-0,001mg/L + Testostérone</v>
      </c>
      <c r="W2" s="19" t="str">
        <f>'pooled normalised values'!S74</f>
        <v>Cefuroxime-0,01mg/L + Testostérone</v>
      </c>
      <c r="X2" s="19" t="str">
        <f>'pooled normalised values'!T74</f>
        <v>Cefuroxime-0,1mg/L + Testostérone</v>
      </c>
      <c r="Y2" s="19" t="str">
        <f>'pooled normalised values'!U74</f>
        <v>Cefuroxime-1mg/L + Testostérone</v>
      </c>
      <c r="Z2" s="19" t="str">
        <f>'pooled normalised values'!V74</f>
        <v>Cefuroxime-10mg/L + Testostérone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5">
      <c r="A3" s="17" t="s">
        <v>71</v>
      </c>
      <c r="B3" s="63">
        <f>'summary results'!E6</f>
        <v>0</v>
      </c>
      <c r="D3" s="21" t="s">
        <v>10</v>
      </c>
      <c r="E3" s="22"/>
      <c r="F3" s="19">
        <f>HLOOKUP(F2,'pooled normalised values'!B74:V83,2,FALSE)</f>
        <v>9.3724768808430947E-2</v>
      </c>
      <c r="G3" s="19">
        <f>HLOOKUP(G2,'pooled normalised values'!C74:W83,2,FALSE)</f>
        <v>0.12324828240617017</v>
      </c>
      <c r="H3" s="19">
        <f>HLOOKUP(H2,'pooled normalised values'!C74:X83,2,FALSE)</f>
        <v>0.14239424441441711</v>
      </c>
      <c r="I3" s="19">
        <f>HLOOKUP(I2,'pooled normalised values'!D74:Y83,2,FALSE)</f>
        <v>0.15774997942028154</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0.59068966956247471</v>
      </c>
      <c r="W3" s="19">
        <f>HLOOKUP(W2,'pooled normalised values'!N74:AM83,2,FALSE)</f>
        <v>0.70537749584687848</v>
      </c>
      <c r="X3" s="19">
        <f>HLOOKUP(X2,'pooled normalised values'!N74:AN83,2,FALSE)</f>
        <v>0.99247156500392864</v>
      </c>
      <c r="Y3" s="19">
        <f>HLOOKUP(Y2,'pooled normalised values'!N74:AO83,2,FALSE)</f>
        <v>0.77289233026502424</v>
      </c>
      <c r="Z3" s="19">
        <f>HLOOKUP(Z2,'pooled normalised values'!N74:AP83,2,FALSE)</f>
        <v>0.74509474662196407</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5">
      <c r="A4" s="17" t="s">
        <v>72</v>
      </c>
      <c r="B4" s="63">
        <f>'pooled normalised values'!O75</f>
        <v>0.99999999999999967</v>
      </c>
      <c r="D4" s="21" t="s">
        <v>2</v>
      </c>
      <c r="E4" s="22"/>
      <c r="F4" s="19">
        <f>HLOOKUP(F2,'pooled normalised values'!B74:V83,3,FALSE)</f>
        <v>1.2227395781247537E-2</v>
      </c>
      <c r="G4" s="19">
        <f>HLOOKUP(G2,'pooled normalised values'!C74:W83,3,FALSE)</f>
        <v>2.9738833627726741E-2</v>
      </c>
      <c r="H4" s="19">
        <f>HLOOKUP(H2,'pooled normalised values'!C74:X83,3,FALSE)</f>
        <v>2.1513589137384326E-2</v>
      </c>
      <c r="I4" s="19">
        <f>HLOOKUP(I2,'pooled normalised values'!D74:Y83,3,FALSE)</f>
        <v>2.3555362744372844E-2</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0.11872905086143566</v>
      </c>
      <c r="W4" s="19">
        <f>HLOOKUP(W2,'pooled normalised values'!N74:AM83,3,FALSE)</f>
        <v>0.14819593795780256</v>
      </c>
      <c r="X4" s="19">
        <f>HLOOKUP(X2,'pooled normalised values'!N74:AN83,3,FALSE)</f>
        <v>0.16983400230941684</v>
      </c>
      <c r="Y4" s="19">
        <f>HLOOKUP(Y2,'pooled normalised values'!N74:AO83,3,FALSE)</f>
        <v>0.18233666468179255</v>
      </c>
      <c r="Z4" s="19">
        <f>HLOOKUP(Z2,'pooled normalised values'!N74:AP83,3,FALSE)</f>
        <v>0.14328280234417004</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5">
      <c r="A5" s="17" t="s">
        <v>73</v>
      </c>
      <c r="B5" s="63">
        <f>'pooled normalised values'!P75</f>
        <v>2.3361172704334798</v>
      </c>
      <c r="D5" s="23" t="s">
        <v>11</v>
      </c>
      <c r="E5" s="22"/>
      <c r="F5" s="19" t="str">
        <f>HLOOKUP(F2,'pooled normalised values'!B74:V83,10,FALSE)</f>
        <v>ns</v>
      </c>
      <c r="G5" s="19" t="str">
        <f>HLOOKUP(G2,'pooled normalised values'!C74:W83,10,FALSE)</f>
        <v>ns</v>
      </c>
      <c r="H5" s="19" t="str">
        <f>HLOOKUP(H2,'pooled normalised values'!C74:X83,10,FALSE)</f>
        <v>ns</v>
      </c>
      <c r="I5" s="19" t="str">
        <f>HLOOKUP(I2,'pooled normalised values'!D74:Y83,10,FALSE)</f>
        <v>ns</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v>
      </c>
      <c r="W5" s="19" t="str">
        <f>HLOOKUP(W2,'pooled normalised values'!N74:AM83,10,FALSE)</f>
        <v>ns</v>
      </c>
      <c r="X5" s="19" t="str">
        <f>HLOOKUP(X2,'pooled normalised values'!N74:AN83,10,FALSE)</f>
        <v>ns</v>
      </c>
      <c r="Y5" s="19" t="str">
        <f>HLOOKUP(Y2,'pooled normalised values'!N74:AO83,10,FALSE)</f>
        <v>ns</v>
      </c>
      <c r="Z5" s="19" t="str">
        <f>HLOOKUP(Z2,'pooled normalised values'!N74:AP83,10,FALSE)</f>
        <v>ns</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5">
      <c r="A6" s="17" t="s">
        <v>74</v>
      </c>
      <c r="B6" s="63">
        <f>'pooled normalised values'!Q75</f>
        <v>0.14136154471300608</v>
      </c>
      <c r="D6" s="21" t="s">
        <v>12</v>
      </c>
      <c r="E6" s="24">
        <f>$B$2</f>
        <v>0.14437035012603847</v>
      </c>
      <c r="F6" s="24">
        <f>$B$2</f>
        <v>0.14437035012603847</v>
      </c>
      <c r="G6" s="24">
        <f t="shared" ref="G6:R6" si="0">$B$2</f>
        <v>0.14437035012603847</v>
      </c>
      <c r="H6" s="24">
        <f t="shared" si="0"/>
        <v>0.14437035012603847</v>
      </c>
      <c r="I6" s="24">
        <f t="shared" si="0"/>
        <v>0.14437035012603847</v>
      </c>
      <c r="J6" s="24">
        <f t="shared" si="0"/>
        <v>0.14437035012603847</v>
      </c>
      <c r="K6" s="24">
        <f t="shared" si="0"/>
        <v>0.14437035012603847</v>
      </c>
      <c r="L6" s="24">
        <f t="shared" si="0"/>
        <v>0.14437035012603847</v>
      </c>
      <c r="M6" s="24">
        <f t="shared" si="0"/>
        <v>0.14437035012603847</v>
      </c>
      <c r="N6" s="24">
        <f t="shared" si="0"/>
        <v>0.14437035012603847</v>
      </c>
      <c r="O6" s="24">
        <f t="shared" si="0"/>
        <v>0.14437035012603847</v>
      </c>
      <c r="P6" s="24">
        <f t="shared" si="0"/>
        <v>0.14437035012603847</v>
      </c>
      <c r="Q6" s="24">
        <f t="shared" si="0"/>
        <v>0.14437035012603847</v>
      </c>
      <c r="R6" s="24">
        <f t="shared" si="0"/>
        <v>0.14437035012603847</v>
      </c>
      <c r="S6" s="24">
        <f>$B$2</f>
        <v>0.14437035012603847</v>
      </c>
      <c r="T6" s="24">
        <f>$B$2</f>
        <v>0.14437035012603847</v>
      </c>
      <c r="U6" s="25"/>
      <c r="V6" s="25"/>
      <c r="W6" s="25"/>
      <c r="X6" s="25"/>
      <c r="Y6" s="25"/>
      <c r="Z6" s="25"/>
      <c r="AA6" s="25"/>
      <c r="AB6" s="25"/>
      <c r="AC6" s="25"/>
      <c r="AD6" s="25"/>
      <c r="AE6" s="25"/>
      <c r="AF6" s="25"/>
      <c r="AG6" s="25"/>
      <c r="AH6" s="25"/>
      <c r="AI6" s="25"/>
      <c r="AJ6" s="25"/>
      <c r="AK6" s="21" t="s">
        <v>12</v>
      </c>
    </row>
    <row r="7" spans="1:37" x14ac:dyDescent="0.25">
      <c r="B7" s="26"/>
      <c r="D7" s="26" t="s">
        <v>13</v>
      </c>
      <c r="E7" s="24"/>
      <c r="F7" s="24"/>
      <c r="G7" s="24"/>
      <c r="H7" s="24"/>
      <c r="I7" s="24"/>
      <c r="J7" s="24"/>
      <c r="K7" s="24"/>
      <c r="L7" s="24"/>
      <c r="M7" s="24"/>
      <c r="N7" s="24"/>
      <c r="O7" s="24"/>
      <c r="P7" s="24"/>
      <c r="Q7" s="24"/>
      <c r="R7" s="24"/>
      <c r="S7" s="24"/>
      <c r="T7" s="27"/>
      <c r="U7" s="25">
        <f t="shared" ref="U7:AJ7" si="1">$B$4</f>
        <v>0.99999999999999967</v>
      </c>
      <c r="V7" s="25">
        <f t="shared" si="1"/>
        <v>0.99999999999999967</v>
      </c>
      <c r="W7" s="25">
        <f t="shared" si="1"/>
        <v>0.99999999999999967</v>
      </c>
      <c r="X7" s="25">
        <f t="shared" si="1"/>
        <v>0.99999999999999967</v>
      </c>
      <c r="Y7" s="25">
        <f t="shared" si="1"/>
        <v>0.99999999999999967</v>
      </c>
      <c r="Z7" s="25">
        <f t="shared" si="1"/>
        <v>0.99999999999999967</v>
      </c>
      <c r="AA7" s="25">
        <f t="shared" si="1"/>
        <v>0.99999999999999967</v>
      </c>
      <c r="AB7" s="25">
        <f t="shared" si="1"/>
        <v>0.99999999999999967</v>
      </c>
      <c r="AC7" s="25">
        <f t="shared" si="1"/>
        <v>0.99999999999999967</v>
      </c>
      <c r="AD7" s="25">
        <f t="shared" si="1"/>
        <v>0.99999999999999967</v>
      </c>
      <c r="AE7" s="25">
        <f t="shared" si="1"/>
        <v>0.99999999999999967</v>
      </c>
      <c r="AF7" s="25">
        <f t="shared" si="1"/>
        <v>0.99999999999999967</v>
      </c>
      <c r="AG7" s="25">
        <f t="shared" si="1"/>
        <v>0.99999999999999967</v>
      </c>
      <c r="AH7" s="25">
        <f t="shared" si="1"/>
        <v>0.99999999999999967</v>
      </c>
      <c r="AI7" s="25">
        <f t="shared" si="1"/>
        <v>0.99999999999999967</v>
      </c>
      <c r="AJ7" s="25">
        <f t="shared" si="1"/>
        <v>0.99999999999999967</v>
      </c>
      <c r="AK7" s="26" t="s">
        <v>13</v>
      </c>
    </row>
    <row r="8" spans="1:37" x14ac:dyDescent="0.25">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0.14136154471300608</v>
      </c>
      <c r="V8" s="25">
        <f t="shared" ref="V8:AJ8" si="2">$B$6</f>
        <v>0.14136154471300608</v>
      </c>
      <c r="W8" s="25">
        <f t="shared" si="2"/>
        <v>0.14136154471300608</v>
      </c>
      <c r="X8" s="25">
        <f t="shared" si="2"/>
        <v>0.14136154471300608</v>
      </c>
      <c r="Y8" s="25">
        <f t="shared" si="2"/>
        <v>0.14136154471300608</v>
      </c>
      <c r="Z8" s="25">
        <f t="shared" si="2"/>
        <v>0.14136154471300608</v>
      </c>
      <c r="AA8" s="25">
        <f t="shared" si="2"/>
        <v>0.14136154471300608</v>
      </c>
      <c r="AB8" s="25">
        <f t="shared" si="2"/>
        <v>0.14136154471300608</v>
      </c>
      <c r="AC8" s="25">
        <f t="shared" si="2"/>
        <v>0.14136154471300608</v>
      </c>
      <c r="AD8" s="25">
        <f t="shared" si="2"/>
        <v>0.14136154471300608</v>
      </c>
      <c r="AE8" s="25">
        <f t="shared" si="2"/>
        <v>0.14136154471300608</v>
      </c>
      <c r="AF8" s="25">
        <f t="shared" si="2"/>
        <v>0.14136154471300608</v>
      </c>
      <c r="AG8" s="25">
        <f t="shared" si="2"/>
        <v>0.14136154471300608</v>
      </c>
      <c r="AH8" s="25">
        <f t="shared" si="2"/>
        <v>0.14136154471300608</v>
      </c>
      <c r="AI8" s="25">
        <f t="shared" si="2"/>
        <v>0.14136154471300608</v>
      </c>
      <c r="AJ8" s="25">
        <f t="shared" si="2"/>
        <v>0.14136154471300608</v>
      </c>
      <c r="AK8" s="28" t="s">
        <v>14</v>
      </c>
    </row>
    <row r="9" spans="1:37" x14ac:dyDescent="0.25">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2.1947557257204737</v>
      </c>
      <c r="V9" s="25">
        <f>$B$5-V8</f>
        <v>2.1947557257204737</v>
      </c>
      <c r="W9" s="25">
        <f t="shared" ref="W9:AH9" si="4">$B$5-W8</f>
        <v>2.1947557257204737</v>
      </c>
      <c r="X9" s="25">
        <f t="shared" si="4"/>
        <v>2.1947557257204737</v>
      </c>
      <c r="Y9" s="25">
        <f t="shared" si="4"/>
        <v>2.1947557257204737</v>
      </c>
      <c r="Z9" s="25">
        <f t="shared" si="4"/>
        <v>2.1947557257204737</v>
      </c>
      <c r="AA9" s="25">
        <f t="shared" si="4"/>
        <v>2.1947557257204737</v>
      </c>
      <c r="AB9" s="25">
        <f t="shared" si="4"/>
        <v>2.1947557257204737</v>
      </c>
      <c r="AC9" s="25">
        <f t="shared" si="4"/>
        <v>2.1947557257204737</v>
      </c>
      <c r="AD9" s="25">
        <f t="shared" si="4"/>
        <v>2.1947557257204737</v>
      </c>
      <c r="AE9" s="25">
        <f t="shared" si="4"/>
        <v>2.1947557257204737</v>
      </c>
      <c r="AF9" s="25">
        <f t="shared" si="4"/>
        <v>2.1947557257204737</v>
      </c>
      <c r="AG9" s="25">
        <f t="shared" si="4"/>
        <v>2.1947557257204737</v>
      </c>
      <c r="AH9" s="25">
        <f t="shared" si="4"/>
        <v>2.1947557257204737</v>
      </c>
      <c r="AI9" s="25">
        <f>$B$5-AI8</f>
        <v>2.1947557257204737</v>
      </c>
      <c r="AJ9" s="25">
        <f>$B$5-AJ8</f>
        <v>2.1947557257204737</v>
      </c>
      <c r="AK9" s="28" t="s">
        <v>15</v>
      </c>
    </row>
    <row r="10" spans="1:37" x14ac:dyDescent="0.25">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0.30524427427952627</v>
      </c>
      <c r="V10" s="25">
        <f>2.5-V9</f>
        <v>0.30524427427952627</v>
      </c>
      <c r="W10" s="25">
        <f t="shared" ref="W10:AH10" si="6">2.5-W9</f>
        <v>0.30524427427952627</v>
      </c>
      <c r="X10" s="25">
        <f t="shared" si="6"/>
        <v>0.30524427427952627</v>
      </c>
      <c r="Y10" s="25">
        <f t="shared" si="6"/>
        <v>0.30524427427952627</v>
      </c>
      <c r="Z10" s="25">
        <f t="shared" si="6"/>
        <v>0.30524427427952627</v>
      </c>
      <c r="AA10" s="25">
        <f t="shared" si="6"/>
        <v>0.30524427427952627</v>
      </c>
      <c r="AB10" s="25">
        <f t="shared" si="6"/>
        <v>0.30524427427952627</v>
      </c>
      <c r="AC10" s="25">
        <f t="shared" si="6"/>
        <v>0.30524427427952627</v>
      </c>
      <c r="AD10" s="25">
        <f t="shared" si="6"/>
        <v>0.30524427427952627</v>
      </c>
      <c r="AE10" s="25">
        <f t="shared" si="6"/>
        <v>0.30524427427952627</v>
      </c>
      <c r="AF10" s="25">
        <f t="shared" si="6"/>
        <v>0.30524427427952627</v>
      </c>
      <c r="AG10" s="25">
        <f t="shared" si="6"/>
        <v>0.30524427427952627</v>
      </c>
      <c r="AH10" s="25">
        <f t="shared" si="6"/>
        <v>0.30524427427952627</v>
      </c>
      <c r="AI10" s="25">
        <f>2.5-AI9</f>
        <v>0.30524427427952627</v>
      </c>
      <c r="AJ10" s="25">
        <f>2.5-AJ9</f>
        <v>0.30524427427952627</v>
      </c>
      <c r="AK10" s="28" t="s">
        <v>16</v>
      </c>
    </row>
    <row r="17" spans="2:20" x14ac:dyDescent="0.25">
      <c r="C17" s="23"/>
      <c r="D17" s="23"/>
    </row>
    <row r="18" spans="2:20" x14ac:dyDescent="0.25">
      <c r="B18" s="30"/>
    </row>
    <row r="19" spans="2:20" x14ac:dyDescent="0.25">
      <c r="B19" s="30"/>
    </row>
    <row r="20" spans="2:20" x14ac:dyDescent="0.25">
      <c r="B20" s="31"/>
    </row>
    <row r="21" spans="2:20" x14ac:dyDescent="0.25">
      <c r="B21" s="30"/>
    </row>
    <row r="22" spans="2:20" x14ac:dyDescent="0.25">
      <c r="B22" s="30"/>
      <c r="T22" s="23"/>
    </row>
    <row r="23" spans="2:20" x14ac:dyDescent="0.25">
      <c r="B23" s="31"/>
      <c r="T23" s="23"/>
    </row>
    <row r="24" spans="2:20" x14ac:dyDescent="0.25">
      <c r="T24" s="23"/>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6" width="14.81640625" style="17" customWidth="1"/>
    <col min="7" max="8" width="11.453125" style="17"/>
    <col min="9" max="9" width="13.54296875" style="17" bestFit="1" customWidth="1"/>
    <col min="10" max="256" width="11.453125" style="17"/>
    <col min="257" max="257" width="18.7265625" style="17" customWidth="1"/>
    <col min="258" max="258" width="13.7265625" style="17" bestFit="1" customWidth="1"/>
    <col min="259" max="259" width="17.26953125" style="17" customWidth="1"/>
    <col min="260" max="260" width="11" style="17" customWidth="1"/>
    <col min="261" max="261" width="12" style="17" bestFit="1" customWidth="1"/>
    <col min="262" max="262" width="14.81640625" style="17" customWidth="1"/>
    <col min="263" max="512" width="11.453125" style="17"/>
    <col min="513" max="513" width="18.7265625" style="17" customWidth="1"/>
    <col min="514" max="514" width="13.7265625" style="17" bestFit="1" customWidth="1"/>
    <col min="515" max="515" width="17.26953125" style="17" customWidth="1"/>
    <col min="516" max="516" width="11" style="17" customWidth="1"/>
    <col min="517" max="517" width="12" style="17" bestFit="1" customWidth="1"/>
    <col min="518" max="518" width="14.81640625" style="17" customWidth="1"/>
    <col min="519" max="768" width="11.453125" style="17"/>
    <col min="769" max="769" width="18.7265625" style="17" customWidth="1"/>
    <col min="770" max="770" width="13.7265625" style="17" bestFit="1" customWidth="1"/>
    <col min="771" max="771" width="17.26953125" style="17" customWidth="1"/>
    <col min="772" max="772" width="11" style="17" customWidth="1"/>
    <col min="773" max="773" width="12" style="17" bestFit="1" customWidth="1"/>
    <col min="774" max="774" width="14.81640625" style="17" customWidth="1"/>
    <col min="775" max="1024" width="11.453125" style="17"/>
    <col min="1025" max="1025" width="18.7265625" style="17" customWidth="1"/>
    <col min="1026" max="1026" width="13.7265625" style="17" bestFit="1" customWidth="1"/>
    <col min="1027" max="1027" width="17.26953125" style="17" customWidth="1"/>
    <col min="1028" max="1028" width="11" style="17" customWidth="1"/>
    <col min="1029" max="1029" width="12" style="17" bestFit="1" customWidth="1"/>
    <col min="1030" max="1030" width="14.81640625" style="17" customWidth="1"/>
    <col min="1031" max="1280" width="11.453125" style="17"/>
    <col min="1281" max="1281" width="18.7265625" style="17" customWidth="1"/>
    <col min="1282" max="1282" width="13.7265625" style="17" bestFit="1" customWidth="1"/>
    <col min="1283" max="1283" width="17.26953125" style="17" customWidth="1"/>
    <col min="1284" max="1284" width="11" style="17" customWidth="1"/>
    <col min="1285" max="1285" width="12" style="17" bestFit="1" customWidth="1"/>
    <col min="1286" max="1286" width="14.81640625" style="17" customWidth="1"/>
    <col min="1287" max="1536" width="11.453125" style="17"/>
    <col min="1537" max="1537" width="18.7265625" style="17" customWidth="1"/>
    <col min="1538" max="1538" width="13.7265625" style="17" bestFit="1" customWidth="1"/>
    <col min="1539" max="1539" width="17.26953125" style="17" customWidth="1"/>
    <col min="1540" max="1540" width="11" style="17" customWidth="1"/>
    <col min="1541" max="1541" width="12" style="17" bestFit="1" customWidth="1"/>
    <col min="1542" max="1542" width="14.81640625" style="17" customWidth="1"/>
    <col min="1543" max="1792" width="11.453125" style="17"/>
    <col min="1793" max="1793" width="18.7265625" style="17" customWidth="1"/>
    <col min="1794" max="1794" width="13.7265625" style="17" bestFit="1" customWidth="1"/>
    <col min="1795" max="1795" width="17.26953125" style="17" customWidth="1"/>
    <col min="1796" max="1796" width="11" style="17" customWidth="1"/>
    <col min="1797" max="1797" width="12" style="17" bestFit="1" customWidth="1"/>
    <col min="1798" max="1798" width="14.81640625" style="17" customWidth="1"/>
    <col min="1799" max="2048" width="11.453125" style="17"/>
    <col min="2049" max="2049" width="18.7265625" style="17" customWidth="1"/>
    <col min="2050" max="2050" width="13.7265625" style="17" bestFit="1" customWidth="1"/>
    <col min="2051" max="2051" width="17.26953125" style="17" customWidth="1"/>
    <col min="2052" max="2052" width="11" style="17" customWidth="1"/>
    <col min="2053" max="2053" width="12" style="17" bestFit="1" customWidth="1"/>
    <col min="2054" max="2054" width="14.81640625" style="17" customWidth="1"/>
    <col min="2055" max="2304" width="11.453125" style="17"/>
    <col min="2305" max="2305" width="18.7265625" style="17" customWidth="1"/>
    <col min="2306" max="2306" width="13.7265625" style="17" bestFit="1" customWidth="1"/>
    <col min="2307" max="2307" width="17.26953125" style="17" customWidth="1"/>
    <col min="2308" max="2308" width="11" style="17" customWidth="1"/>
    <col min="2309" max="2309" width="12" style="17" bestFit="1" customWidth="1"/>
    <col min="2310" max="2310" width="14.81640625" style="17" customWidth="1"/>
    <col min="2311" max="2560" width="11.453125" style="17"/>
    <col min="2561" max="2561" width="18.7265625" style="17" customWidth="1"/>
    <col min="2562" max="2562" width="13.7265625" style="17" bestFit="1" customWidth="1"/>
    <col min="2563" max="2563" width="17.26953125" style="17" customWidth="1"/>
    <col min="2564" max="2564" width="11" style="17" customWidth="1"/>
    <col min="2565" max="2565" width="12" style="17" bestFit="1" customWidth="1"/>
    <col min="2566" max="2566" width="14.81640625" style="17" customWidth="1"/>
    <col min="2567" max="2816" width="11.453125" style="17"/>
    <col min="2817" max="2817" width="18.7265625" style="17" customWidth="1"/>
    <col min="2818" max="2818" width="13.7265625" style="17" bestFit="1" customWidth="1"/>
    <col min="2819" max="2819" width="17.26953125" style="17" customWidth="1"/>
    <col min="2820" max="2820" width="11" style="17" customWidth="1"/>
    <col min="2821" max="2821" width="12" style="17" bestFit="1" customWidth="1"/>
    <col min="2822" max="2822" width="14.81640625" style="17" customWidth="1"/>
    <col min="2823" max="3072" width="11.453125" style="17"/>
    <col min="3073" max="3073" width="18.7265625" style="17" customWidth="1"/>
    <col min="3074" max="3074" width="13.7265625" style="17" bestFit="1" customWidth="1"/>
    <col min="3075" max="3075" width="17.26953125" style="17" customWidth="1"/>
    <col min="3076" max="3076" width="11" style="17" customWidth="1"/>
    <col min="3077" max="3077" width="12" style="17" bestFit="1" customWidth="1"/>
    <col min="3078" max="3078" width="14.81640625" style="17" customWidth="1"/>
    <col min="3079" max="3328" width="11.453125" style="17"/>
    <col min="3329" max="3329" width="18.7265625" style="17" customWidth="1"/>
    <col min="3330" max="3330" width="13.7265625" style="17" bestFit="1" customWidth="1"/>
    <col min="3331" max="3331" width="17.26953125" style="17" customWidth="1"/>
    <col min="3332" max="3332" width="11" style="17" customWidth="1"/>
    <col min="3333" max="3333" width="12" style="17" bestFit="1" customWidth="1"/>
    <col min="3334" max="3334" width="14.81640625" style="17" customWidth="1"/>
    <col min="3335" max="3584" width="11.453125" style="17"/>
    <col min="3585" max="3585" width="18.7265625" style="17" customWidth="1"/>
    <col min="3586" max="3586" width="13.7265625" style="17" bestFit="1" customWidth="1"/>
    <col min="3587" max="3587" width="17.26953125" style="17" customWidth="1"/>
    <col min="3588" max="3588" width="11" style="17" customWidth="1"/>
    <col min="3589" max="3589" width="12" style="17" bestFit="1" customWidth="1"/>
    <col min="3590" max="3590" width="14.81640625" style="17" customWidth="1"/>
    <col min="3591" max="3840" width="11.453125" style="17"/>
    <col min="3841" max="3841" width="18.7265625" style="17" customWidth="1"/>
    <col min="3842" max="3842" width="13.7265625" style="17" bestFit="1" customWidth="1"/>
    <col min="3843" max="3843" width="17.26953125" style="17" customWidth="1"/>
    <col min="3844" max="3844" width="11" style="17" customWidth="1"/>
    <col min="3845" max="3845" width="12" style="17" bestFit="1" customWidth="1"/>
    <col min="3846" max="3846" width="14.81640625" style="17" customWidth="1"/>
    <col min="3847" max="4096" width="11.453125" style="17"/>
    <col min="4097" max="4097" width="18.7265625" style="17" customWidth="1"/>
    <col min="4098" max="4098" width="13.7265625" style="17" bestFit="1" customWidth="1"/>
    <col min="4099" max="4099" width="17.26953125" style="17" customWidth="1"/>
    <col min="4100" max="4100" width="11" style="17" customWidth="1"/>
    <col min="4101" max="4101" width="12" style="17" bestFit="1" customWidth="1"/>
    <col min="4102" max="4102" width="14.81640625" style="17" customWidth="1"/>
    <col min="4103" max="4352" width="11.453125" style="17"/>
    <col min="4353" max="4353" width="18.7265625" style="17" customWidth="1"/>
    <col min="4354" max="4354" width="13.7265625" style="17" bestFit="1" customWidth="1"/>
    <col min="4355" max="4355" width="17.26953125" style="17" customWidth="1"/>
    <col min="4356" max="4356" width="11" style="17" customWidth="1"/>
    <col min="4357" max="4357" width="12" style="17" bestFit="1" customWidth="1"/>
    <col min="4358" max="4358" width="14.81640625" style="17" customWidth="1"/>
    <col min="4359" max="4608" width="11.453125" style="17"/>
    <col min="4609" max="4609" width="18.7265625" style="17" customWidth="1"/>
    <col min="4610" max="4610" width="13.7265625" style="17" bestFit="1" customWidth="1"/>
    <col min="4611" max="4611" width="17.26953125" style="17" customWidth="1"/>
    <col min="4612" max="4612" width="11" style="17" customWidth="1"/>
    <col min="4613" max="4613" width="12" style="17" bestFit="1" customWidth="1"/>
    <col min="4614" max="4614" width="14.81640625" style="17" customWidth="1"/>
    <col min="4615" max="4864" width="11.453125" style="17"/>
    <col min="4865" max="4865" width="18.7265625" style="17" customWidth="1"/>
    <col min="4866" max="4866" width="13.7265625" style="17" bestFit="1" customWidth="1"/>
    <col min="4867" max="4867" width="17.26953125" style="17" customWidth="1"/>
    <col min="4868" max="4868" width="11" style="17" customWidth="1"/>
    <col min="4869" max="4869" width="12" style="17" bestFit="1" customWidth="1"/>
    <col min="4870" max="4870" width="14.81640625" style="17" customWidth="1"/>
    <col min="4871" max="5120" width="11.453125" style="17"/>
    <col min="5121" max="5121" width="18.7265625" style="17" customWidth="1"/>
    <col min="5122" max="5122" width="13.7265625" style="17" bestFit="1" customWidth="1"/>
    <col min="5123" max="5123" width="17.26953125" style="17" customWidth="1"/>
    <col min="5124" max="5124" width="11" style="17" customWidth="1"/>
    <col min="5125" max="5125" width="12" style="17" bestFit="1" customWidth="1"/>
    <col min="5126" max="5126" width="14.81640625" style="17" customWidth="1"/>
    <col min="5127" max="5376" width="11.453125" style="17"/>
    <col min="5377" max="5377" width="18.7265625" style="17" customWidth="1"/>
    <col min="5378" max="5378" width="13.7265625" style="17" bestFit="1" customWidth="1"/>
    <col min="5379" max="5379" width="17.26953125" style="17" customWidth="1"/>
    <col min="5380" max="5380" width="11" style="17" customWidth="1"/>
    <col min="5381" max="5381" width="12" style="17" bestFit="1" customWidth="1"/>
    <col min="5382" max="5382" width="14.81640625" style="17" customWidth="1"/>
    <col min="5383" max="5632" width="11.453125" style="17"/>
    <col min="5633" max="5633" width="18.7265625" style="17" customWidth="1"/>
    <col min="5634" max="5634" width="13.7265625" style="17" bestFit="1" customWidth="1"/>
    <col min="5635" max="5635" width="17.26953125" style="17" customWidth="1"/>
    <col min="5636" max="5636" width="11" style="17" customWidth="1"/>
    <col min="5637" max="5637" width="12" style="17" bestFit="1" customWidth="1"/>
    <col min="5638" max="5638" width="14.81640625" style="17" customWidth="1"/>
    <col min="5639" max="5888" width="11.453125" style="17"/>
    <col min="5889" max="5889" width="18.7265625" style="17" customWidth="1"/>
    <col min="5890" max="5890" width="13.7265625" style="17" bestFit="1" customWidth="1"/>
    <col min="5891" max="5891" width="17.26953125" style="17" customWidth="1"/>
    <col min="5892" max="5892" width="11" style="17" customWidth="1"/>
    <col min="5893" max="5893" width="12" style="17" bestFit="1" customWidth="1"/>
    <col min="5894" max="5894" width="14.81640625" style="17" customWidth="1"/>
    <col min="5895" max="6144" width="11.453125" style="17"/>
    <col min="6145" max="6145" width="18.7265625" style="17" customWidth="1"/>
    <col min="6146" max="6146" width="13.7265625" style="17" bestFit="1" customWidth="1"/>
    <col min="6147" max="6147" width="17.26953125" style="17" customWidth="1"/>
    <col min="6148" max="6148" width="11" style="17" customWidth="1"/>
    <col min="6149" max="6149" width="12" style="17" bestFit="1" customWidth="1"/>
    <col min="6150" max="6150" width="14.81640625" style="17" customWidth="1"/>
    <col min="6151" max="6400" width="11.453125" style="17"/>
    <col min="6401" max="6401" width="18.7265625" style="17" customWidth="1"/>
    <col min="6402" max="6402" width="13.7265625" style="17" bestFit="1" customWidth="1"/>
    <col min="6403" max="6403" width="17.26953125" style="17" customWidth="1"/>
    <col min="6404" max="6404" width="11" style="17" customWidth="1"/>
    <col min="6405" max="6405" width="12" style="17" bestFit="1" customWidth="1"/>
    <col min="6406" max="6406" width="14.81640625" style="17" customWidth="1"/>
    <col min="6407" max="6656" width="11.453125" style="17"/>
    <col min="6657" max="6657" width="18.7265625" style="17" customWidth="1"/>
    <col min="6658" max="6658" width="13.7265625" style="17" bestFit="1" customWidth="1"/>
    <col min="6659" max="6659" width="17.26953125" style="17" customWidth="1"/>
    <col min="6660" max="6660" width="11" style="17" customWidth="1"/>
    <col min="6661" max="6661" width="12" style="17" bestFit="1" customWidth="1"/>
    <col min="6662" max="6662" width="14.81640625" style="17" customWidth="1"/>
    <col min="6663" max="6912" width="11.453125" style="17"/>
    <col min="6913" max="6913" width="18.7265625" style="17" customWidth="1"/>
    <col min="6914" max="6914" width="13.7265625" style="17" bestFit="1" customWidth="1"/>
    <col min="6915" max="6915" width="17.26953125" style="17" customWidth="1"/>
    <col min="6916" max="6916" width="11" style="17" customWidth="1"/>
    <col min="6917" max="6917" width="12" style="17" bestFit="1" customWidth="1"/>
    <col min="6918" max="6918" width="14.81640625" style="17" customWidth="1"/>
    <col min="6919" max="7168" width="11.453125" style="17"/>
    <col min="7169" max="7169" width="18.7265625" style="17" customWidth="1"/>
    <col min="7170" max="7170" width="13.7265625" style="17" bestFit="1" customWidth="1"/>
    <col min="7171" max="7171" width="17.26953125" style="17" customWidth="1"/>
    <col min="7172" max="7172" width="11" style="17" customWidth="1"/>
    <col min="7173" max="7173" width="12" style="17" bestFit="1" customWidth="1"/>
    <col min="7174" max="7174" width="14.81640625" style="17" customWidth="1"/>
    <col min="7175" max="7424" width="11.453125" style="17"/>
    <col min="7425" max="7425" width="18.7265625" style="17" customWidth="1"/>
    <col min="7426" max="7426" width="13.7265625" style="17" bestFit="1" customWidth="1"/>
    <col min="7427" max="7427" width="17.26953125" style="17" customWidth="1"/>
    <col min="7428" max="7428" width="11" style="17" customWidth="1"/>
    <col min="7429" max="7429" width="12" style="17" bestFit="1" customWidth="1"/>
    <col min="7430" max="7430" width="14.81640625" style="17" customWidth="1"/>
    <col min="7431" max="7680" width="11.453125" style="17"/>
    <col min="7681" max="7681" width="18.7265625" style="17" customWidth="1"/>
    <col min="7682" max="7682" width="13.7265625" style="17" bestFit="1" customWidth="1"/>
    <col min="7683" max="7683" width="17.26953125" style="17" customWidth="1"/>
    <col min="7684" max="7684" width="11" style="17" customWidth="1"/>
    <col min="7685" max="7685" width="12" style="17" bestFit="1" customWidth="1"/>
    <col min="7686" max="7686" width="14.81640625" style="17" customWidth="1"/>
    <col min="7687" max="7936" width="11.453125" style="17"/>
    <col min="7937" max="7937" width="18.7265625" style="17" customWidth="1"/>
    <col min="7938" max="7938" width="13.7265625" style="17" bestFit="1" customWidth="1"/>
    <col min="7939" max="7939" width="17.26953125" style="17" customWidth="1"/>
    <col min="7940" max="7940" width="11" style="17" customWidth="1"/>
    <col min="7941" max="7941" width="12" style="17" bestFit="1" customWidth="1"/>
    <col min="7942" max="7942" width="14.81640625" style="17" customWidth="1"/>
    <col min="7943" max="8192" width="11.453125" style="17"/>
    <col min="8193" max="8193" width="18.7265625" style="17" customWidth="1"/>
    <col min="8194" max="8194" width="13.7265625" style="17" bestFit="1" customWidth="1"/>
    <col min="8195" max="8195" width="17.26953125" style="17" customWidth="1"/>
    <col min="8196" max="8196" width="11" style="17" customWidth="1"/>
    <col min="8197" max="8197" width="12" style="17" bestFit="1" customWidth="1"/>
    <col min="8198" max="8198" width="14.81640625" style="17" customWidth="1"/>
    <col min="8199" max="8448" width="11.453125" style="17"/>
    <col min="8449" max="8449" width="18.7265625" style="17" customWidth="1"/>
    <col min="8450" max="8450" width="13.7265625" style="17" bestFit="1" customWidth="1"/>
    <col min="8451" max="8451" width="17.26953125" style="17" customWidth="1"/>
    <col min="8452" max="8452" width="11" style="17" customWidth="1"/>
    <col min="8453" max="8453" width="12" style="17" bestFit="1" customWidth="1"/>
    <col min="8454" max="8454" width="14.81640625" style="17" customWidth="1"/>
    <col min="8455" max="8704" width="11.453125" style="17"/>
    <col min="8705" max="8705" width="18.7265625" style="17" customWidth="1"/>
    <col min="8706" max="8706" width="13.7265625" style="17" bestFit="1" customWidth="1"/>
    <col min="8707" max="8707" width="17.26953125" style="17" customWidth="1"/>
    <col min="8708" max="8708" width="11" style="17" customWidth="1"/>
    <col min="8709" max="8709" width="12" style="17" bestFit="1" customWidth="1"/>
    <col min="8710" max="8710" width="14.81640625" style="17" customWidth="1"/>
    <col min="8711" max="8960" width="11.453125" style="17"/>
    <col min="8961" max="8961" width="18.7265625" style="17" customWidth="1"/>
    <col min="8962" max="8962" width="13.7265625" style="17" bestFit="1" customWidth="1"/>
    <col min="8963" max="8963" width="17.26953125" style="17" customWidth="1"/>
    <col min="8964" max="8964" width="11" style="17" customWidth="1"/>
    <col min="8965" max="8965" width="12" style="17" bestFit="1" customWidth="1"/>
    <col min="8966" max="8966" width="14.81640625" style="17" customWidth="1"/>
    <col min="8967" max="9216" width="11.453125" style="17"/>
    <col min="9217" max="9217" width="18.7265625" style="17" customWidth="1"/>
    <col min="9218" max="9218" width="13.7265625" style="17" bestFit="1" customWidth="1"/>
    <col min="9219" max="9219" width="17.26953125" style="17" customWidth="1"/>
    <col min="9220" max="9220" width="11" style="17" customWidth="1"/>
    <col min="9221" max="9221" width="12" style="17" bestFit="1" customWidth="1"/>
    <col min="9222" max="9222" width="14.81640625" style="17" customWidth="1"/>
    <col min="9223" max="9472" width="11.453125" style="17"/>
    <col min="9473" max="9473" width="18.7265625" style="17" customWidth="1"/>
    <col min="9474" max="9474" width="13.7265625" style="17" bestFit="1" customWidth="1"/>
    <col min="9475" max="9475" width="17.26953125" style="17" customWidth="1"/>
    <col min="9476" max="9476" width="11" style="17" customWidth="1"/>
    <col min="9477" max="9477" width="12" style="17" bestFit="1" customWidth="1"/>
    <col min="9478" max="9478" width="14.81640625" style="17" customWidth="1"/>
    <col min="9479" max="9728" width="11.453125" style="17"/>
    <col min="9729" max="9729" width="18.7265625" style="17" customWidth="1"/>
    <col min="9730" max="9730" width="13.7265625" style="17" bestFit="1" customWidth="1"/>
    <col min="9731" max="9731" width="17.26953125" style="17" customWidth="1"/>
    <col min="9732" max="9732" width="11" style="17" customWidth="1"/>
    <col min="9733" max="9733" width="12" style="17" bestFit="1" customWidth="1"/>
    <col min="9734" max="9734" width="14.81640625" style="17" customWidth="1"/>
    <col min="9735" max="9984" width="11.453125" style="17"/>
    <col min="9985" max="9985" width="18.7265625" style="17" customWidth="1"/>
    <col min="9986" max="9986" width="13.7265625" style="17" bestFit="1" customWidth="1"/>
    <col min="9987" max="9987" width="17.26953125" style="17" customWidth="1"/>
    <col min="9988" max="9988" width="11" style="17" customWidth="1"/>
    <col min="9989" max="9989" width="12" style="17" bestFit="1" customWidth="1"/>
    <col min="9990" max="9990" width="14.81640625" style="17" customWidth="1"/>
    <col min="9991" max="10240" width="11.453125" style="17"/>
    <col min="10241" max="10241" width="18.7265625" style="17" customWidth="1"/>
    <col min="10242" max="10242" width="13.7265625" style="17" bestFit="1" customWidth="1"/>
    <col min="10243" max="10243" width="17.26953125" style="17" customWidth="1"/>
    <col min="10244" max="10244" width="11" style="17" customWidth="1"/>
    <col min="10245" max="10245" width="12" style="17" bestFit="1" customWidth="1"/>
    <col min="10246" max="10246" width="14.81640625" style="17" customWidth="1"/>
    <col min="10247" max="10496" width="11.453125" style="17"/>
    <col min="10497" max="10497" width="18.7265625" style="17" customWidth="1"/>
    <col min="10498" max="10498" width="13.7265625" style="17" bestFit="1" customWidth="1"/>
    <col min="10499" max="10499" width="17.26953125" style="17" customWidth="1"/>
    <col min="10500" max="10500" width="11" style="17" customWidth="1"/>
    <col min="10501" max="10501" width="12" style="17" bestFit="1" customWidth="1"/>
    <col min="10502" max="10502" width="14.81640625" style="17" customWidth="1"/>
    <col min="10503" max="10752" width="11.453125" style="17"/>
    <col min="10753" max="10753" width="18.7265625" style="17" customWidth="1"/>
    <col min="10754" max="10754" width="13.7265625" style="17" bestFit="1" customWidth="1"/>
    <col min="10755" max="10755" width="17.26953125" style="17" customWidth="1"/>
    <col min="10756" max="10756" width="11" style="17" customWidth="1"/>
    <col min="10757" max="10757" width="12" style="17" bestFit="1" customWidth="1"/>
    <col min="10758" max="10758" width="14.81640625" style="17" customWidth="1"/>
    <col min="10759" max="11008" width="11.453125" style="17"/>
    <col min="11009" max="11009" width="18.7265625" style="17" customWidth="1"/>
    <col min="11010" max="11010" width="13.7265625" style="17" bestFit="1" customWidth="1"/>
    <col min="11011" max="11011" width="17.26953125" style="17" customWidth="1"/>
    <col min="11012" max="11012" width="11" style="17" customWidth="1"/>
    <col min="11013" max="11013" width="12" style="17" bestFit="1" customWidth="1"/>
    <col min="11014" max="11014" width="14.81640625" style="17" customWidth="1"/>
    <col min="11015" max="11264" width="11.453125" style="17"/>
    <col min="11265" max="11265" width="18.7265625" style="17" customWidth="1"/>
    <col min="11266" max="11266" width="13.7265625" style="17" bestFit="1" customWidth="1"/>
    <col min="11267" max="11267" width="17.26953125" style="17" customWidth="1"/>
    <col min="11268" max="11268" width="11" style="17" customWidth="1"/>
    <col min="11269" max="11269" width="12" style="17" bestFit="1" customWidth="1"/>
    <col min="11270" max="11270" width="14.81640625" style="17" customWidth="1"/>
    <col min="11271" max="11520" width="11.453125" style="17"/>
    <col min="11521" max="11521" width="18.7265625" style="17" customWidth="1"/>
    <col min="11522" max="11522" width="13.7265625" style="17" bestFit="1" customWidth="1"/>
    <col min="11523" max="11523" width="17.26953125" style="17" customWidth="1"/>
    <col min="11524" max="11524" width="11" style="17" customWidth="1"/>
    <col min="11525" max="11525" width="12" style="17" bestFit="1" customWidth="1"/>
    <col min="11526" max="11526" width="14.81640625" style="17" customWidth="1"/>
    <col min="11527" max="11776" width="11.453125" style="17"/>
    <col min="11777" max="11777" width="18.7265625" style="17" customWidth="1"/>
    <col min="11778" max="11778" width="13.7265625" style="17" bestFit="1" customWidth="1"/>
    <col min="11779" max="11779" width="17.26953125" style="17" customWidth="1"/>
    <col min="11780" max="11780" width="11" style="17" customWidth="1"/>
    <col min="11781" max="11781" width="12" style="17" bestFit="1" customWidth="1"/>
    <col min="11782" max="11782" width="14.81640625" style="17" customWidth="1"/>
    <col min="11783" max="12032" width="11.453125" style="17"/>
    <col min="12033" max="12033" width="18.7265625" style="17" customWidth="1"/>
    <col min="12034" max="12034" width="13.7265625" style="17" bestFit="1" customWidth="1"/>
    <col min="12035" max="12035" width="17.26953125" style="17" customWidth="1"/>
    <col min="12036" max="12036" width="11" style="17" customWidth="1"/>
    <col min="12037" max="12037" width="12" style="17" bestFit="1" customWidth="1"/>
    <col min="12038" max="12038" width="14.81640625" style="17" customWidth="1"/>
    <col min="12039" max="12288" width="11.453125" style="17"/>
    <col min="12289" max="12289" width="18.7265625" style="17" customWidth="1"/>
    <col min="12290" max="12290" width="13.7265625" style="17" bestFit="1" customWidth="1"/>
    <col min="12291" max="12291" width="17.26953125" style="17" customWidth="1"/>
    <col min="12292" max="12292" width="11" style="17" customWidth="1"/>
    <col min="12293" max="12293" width="12" style="17" bestFit="1" customWidth="1"/>
    <col min="12294" max="12294" width="14.81640625" style="17" customWidth="1"/>
    <col min="12295" max="12544" width="11.453125" style="17"/>
    <col min="12545" max="12545" width="18.7265625" style="17" customWidth="1"/>
    <col min="12546" max="12546" width="13.7265625" style="17" bestFit="1" customWidth="1"/>
    <col min="12547" max="12547" width="17.26953125" style="17" customWidth="1"/>
    <col min="12548" max="12548" width="11" style="17" customWidth="1"/>
    <col min="12549" max="12549" width="12" style="17" bestFit="1" customWidth="1"/>
    <col min="12550" max="12550" width="14.81640625" style="17" customWidth="1"/>
    <col min="12551" max="12800" width="11.453125" style="17"/>
    <col min="12801" max="12801" width="18.7265625" style="17" customWidth="1"/>
    <col min="12802" max="12802" width="13.7265625" style="17" bestFit="1" customWidth="1"/>
    <col min="12803" max="12803" width="17.26953125" style="17" customWidth="1"/>
    <col min="12804" max="12804" width="11" style="17" customWidth="1"/>
    <col min="12805" max="12805" width="12" style="17" bestFit="1" customWidth="1"/>
    <col min="12806" max="12806" width="14.81640625" style="17" customWidth="1"/>
    <col min="12807" max="13056" width="11.453125" style="17"/>
    <col min="13057" max="13057" width="18.7265625" style="17" customWidth="1"/>
    <col min="13058" max="13058" width="13.7265625" style="17" bestFit="1" customWidth="1"/>
    <col min="13059" max="13059" width="17.26953125" style="17" customWidth="1"/>
    <col min="13060" max="13060" width="11" style="17" customWidth="1"/>
    <col min="13061" max="13061" width="12" style="17" bestFit="1" customWidth="1"/>
    <col min="13062" max="13062" width="14.81640625" style="17" customWidth="1"/>
    <col min="13063" max="13312" width="11.453125" style="17"/>
    <col min="13313" max="13313" width="18.7265625" style="17" customWidth="1"/>
    <col min="13314" max="13314" width="13.7265625" style="17" bestFit="1" customWidth="1"/>
    <col min="13315" max="13315" width="17.26953125" style="17" customWidth="1"/>
    <col min="13316" max="13316" width="11" style="17" customWidth="1"/>
    <col min="13317" max="13317" width="12" style="17" bestFit="1" customWidth="1"/>
    <col min="13318" max="13318" width="14.81640625" style="17" customWidth="1"/>
    <col min="13319" max="13568" width="11.453125" style="17"/>
    <col min="13569" max="13569" width="18.7265625" style="17" customWidth="1"/>
    <col min="13570" max="13570" width="13.7265625" style="17" bestFit="1" customWidth="1"/>
    <col min="13571" max="13571" width="17.26953125" style="17" customWidth="1"/>
    <col min="13572" max="13572" width="11" style="17" customWidth="1"/>
    <col min="13573" max="13573" width="12" style="17" bestFit="1" customWidth="1"/>
    <col min="13574" max="13574" width="14.81640625" style="17" customWidth="1"/>
    <col min="13575" max="13824" width="11.453125" style="17"/>
    <col min="13825" max="13825" width="18.7265625" style="17" customWidth="1"/>
    <col min="13826" max="13826" width="13.7265625" style="17" bestFit="1" customWidth="1"/>
    <col min="13827" max="13827" width="17.26953125" style="17" customWidth="1"/>
    <col min="13828" max="13828" width="11" style="17" customWidth="1"/>
    <col min="13829" max="13829" width="12" style="17" bestFit="1" customWidth="1"/>
    <col min="13830" max="13830" width="14.81640625" style="17" customWidth="1"/>
    <col min="13831" max="14080" width="11.453125" style="17"/>
    <col min="14081" max="14081" width="18.7265625" style="17" customWidth="1"/>
    <col min="14082" max="14082" width="13.7265625" style="17" bestFit="1" customWidth="1"/>
    <col min="14083" max="14083" width="17.26953125" style="17" customWidth="1"/>
    <col min="14084" max="14084" width="11" style="17" customWidth="1"/>
    <col min="14085" max="14085" width="12" style="17" bestFit="1" customWidth="1"/>
    <col min="14086" max="14086" width="14.81640625" style="17" customWidth="1"/>
    <col min="14087" max="14336" width="11.453125" style="17"/>
    <col min="14337" max="14337" width="18.7265625" style="17" customWidth="1"/>
    <col min="14338" max="14338" width="13.7265625" style="17" bestFit="1" customWidth="1"/>
    <col min="14339" max="14339" width="17.26953125" style="17" customWidth="1"/>
    <col min="14340" max="14340" width="11" style="17" customWidth="1"/>
    <col min="14341" max="14341" width="12" style="17" bestFit="1" customWidth="1"/>
    <col min="14342" max="14342" width="14.81640625" style="17" customWidth="1"/>
    <col min="14343" max="14592" width="11.453125" style="17"/>
    <col min="14593" max="14593" width="18.7265625" style="17" customWidth="1"/>
    <col min="14594" max="14594" width="13.7265625" style="17" bestFit="1" customWidth="1"/>
    <col min="14595" max="14595" width="17.26953125" style="17" customWidth="1"/>
    <col min="14596" max="14596" width="11" style="17" customWidth="1"/>
    <col min="14597" max="14597" width="12" style="17" bestFit="1" customWidth="1"/>
    <col min="14598" max="14598" width="14.81640625" style="17" customWidth="1"/>
    <col min="14599" max="14848" width="11.453125" style="17"/>
    <col min="14849" max="14849" width="18.7265625" style="17" customWidth="1"/>
    <col min="14850" max="14850" width="13.7265625" style="17" bestFit="1" customWidth="1"/>
    <col min="14851" max="14851" width="17.26953125" style="17" customWidth="1"/>
    <col min="14852" max="14852" width="11" style="17" customWidth="1"/>
    <col min="14853" max="14853" width="12" style="17" bestFit="1" customWidth="1"/>
    <col min="14854" max="14854" width="14.81640625" style="17" customWidth="1"/>
    <col min="14855" max="15104" width="11.453125" style="17"/>
    <col min="15105" max="15105" width="18.7265625" style="17" customWidth="1"/>
    <col min="15106" max="15106" width="13.7265625" style="17" bestFit="1" customWidth="1"/>
    <col min="15107" max="15107" width="17.26953125" style="17" customWidth="1"/>
    <col min="15108" max="15108" width="11" style="17" customWidth="1"/>
    <col min="15109" max="15109" width="12" style="17" bestFit="1" customWidth="1"/>
    <col min="15110" max="15110" width="14.81640625" style="17" customWidth="1"/>
    <col min="15111" max="15360" width="11.453125" style="17"/>
    <col min="15361" max="15361" width="18.7265625" style="17" customWidth="1"/>
    <col min="15362" max="15362" width="13.7265625" style="17" bestFit="1" customWidth="1"/>
    <col min="15363" max="15363" width="17.26953125" style="17" customWidth="1"/>
    <col min="15364" max="15364" width="11" style="17" customWidth="1"/>
    <col min="15365" max="15365" width="12" style="17" bestFit="1" customWidth="1"/>
    <col min="15366" max="15366" width="14.81640625" style="17" customWidth="1"/>
    <col min="15367" max="15616" width="11.453125" style="17"/>
    <col min="15617" max="15617" width="18.7265625" style="17" customWidth="1"/>
    <col min="15618" max="15618" width="13.7265625" style="17" bestFit="1" customWidth="1"/>
    <col min="15619" max="15619" width="17.26953125" style="17" customWidth="1"/>
    <col min="15620" max="15620" width="11" style="17" customWidth="1"/>
    <col min="15621" max="15621" width="12" style="17" bestFit="1" customWidth="1"/>
    <col min="15622" max="15622" width="14.81640625" style="17" customWidth="1"/>
    <col min="15623" max="15872" width="11.453125" style="17"/>
    <col min="15873" max="15873" width="18.7265625" style="17" customWidth="1"/>
    <col min="15874" max="15874" width="13.7265625" style="17" bestFit="1" customWidth="1"/>
    <col min="15875" max="15875" width="17.26953125" style="17" customWidth="1"/>
    <col min="15876" max="15876" width="11" style="17" customWidth="1"/>
    <col min="15877" max="15877" width="12" style="17" bestFit="1" customWidth="1"/>
    <col min="15878" max="15878" width="14.81640625" style="17" customWidth="1"/>
    <col min="15879" max="16128" width="11.453125" style="17"/>
    <col min="16129" max="16129" width="18.7265625" style="17" customWidth="1"/>
    <col min="16130" max="16130" width="13.7265625" style="17" bestFit="1" customWidth="1"/>
    <col min="16131" max="16131" width="17.26953125" style="17" customWidth="1"/>
    <col min="16132" max="16132" width="11" style="17" customWidth="1"/>
    <col min="16133" max="16133" width="12" style="17" bestFit="1" customWidth="1"/>
    <col min="16134" max="16134" width="14.81640625" style="17" customWidth="1"/>
    <col min="16135" max="16384" width="11.453125" style="17"/>
  </cols>
  <sheetData>
    <row r="2" spans="1:11" x14ac:dyDescent="0.25">
      <c r="A2" s="17" t="s">
        <v>70</v>
      </c>
      <c r="B2" s="63">
        <f>'pooled normalised values'!B75</f>
        <v>0.14437035012603847</v>
      </c>
      <c r="D2" s="17" t="s">
        <v>9</v>
      </c>
      <c r="E2" s="18"/>
      <c r="F2" s="19" t="str">
        <f>'pooled normalised values'!J74</f>
        <v>Cefuroxime-0.01mg/L</v>
      </c>
      <c r="G2" s="18"/>
      <c r="H2" s="20"/>
      <c r="I2" s="19" t="str">
        <f>'pooled normalised values'!R74</f>
        <v>Cefuroxime-0,001mg/L + Testostérone</v>
      </c>
      <c r="J2" s="20"/>
      <c r="K2" s="17" t="s">
        <v>9</v>
      </c>
    </row>
    <row r="3" spans="1:11" x14ac:dyDescent="0.25">
      <c r="A3" s="17" t="s">
        <v>71</v>
      </c>
      <c r="B3" s="63">
        <f>'summary results'!E6</f>
        <v>0</v>
      </c>
      <c r="D3" s="21" t="s">
        <v>10</v>
      </c>
      <c r="E3" s="22"/>
      <c r="F3" s="19">
        <f>HLOOKUP(F2,'pooled normalised values'!B74:V83,2,FALSE)</f>
        <v>9.3724768808430947E-2</v>
      </c>
      <c r="G3" s="22"/>
      <c r="H3" s="20"/>
      <c r="I3" s="19">
        <f>HLOOKUP(I2,'pooled normalised values'!N74:AL83,2,FALSE)</f>
        <v>0.59068966956247471</v>
      </c>
      <c r="J3" s="20"/>
      <c r="K3" s="21" t="s">
        <v>10</v>
      </c>
    </row>
    <row r="4" spans="1:11" x14ac:dyDescent="0.25">
      <c r="A4" s="17" t="s">
        <v>72</v>
      </c>
      <c r="B4" s="63">
        <f>'pooled normalised values'!O75</f>
        <v>0.99999999999999967</v>
      </c>
      <c r="D4" s="21" t="s">
        <v>2</v>
      </c>
      <c r="E4" s="22"/>
      <c r="F4" s="19">
        <f>HLOOKUP(F2,'pooled normalised values'!B74:V83,3,FALSE)</f>
        <v>1.2227395781247537E-2</v>
      </c>
      <c r="G4" s="22"/>
      <c r="H4" s="20"/>
      <c r="I4" s="19">
        <f>HLOOKUP(I2,'pooled normalised values'!N74:AL83,3,FALSE)</f>
        <v>0.11872905086143566</v>
      </c>
      <c r="J4" s="20"/>
      <c r="K4" s="21" t="s">
        <v>2</v>
      </c>
    </row>
    <row r="5" spans="1:11" x14ac:dyDescent="0.25">
      <c r="A5" s="17" t="s">
        <v>73</v>
      </c>
      <c r="B5" s="63">
        <f>'pooled normalised values'!P75</f>
        <v>2.3361172704334798</v>
      </c>
      <c r="D5" s="23" t="s">
        <v>11</v>
      </c>
      <c r="E5" s="22"/>
      <c r="F5" s="19" t="str">
        <f>HLOOKUP(F2,'pooled normalised values'!B74:V83,10,FALSE)</f>
        <v>ns</v>
      </c>
      <c r="G5" s="22"/>
      <c r="H5" s="20"/>
      <c r="I5" s="19" t="str">
        <f>HLOOKUP(I2,'pooled normalised values'!N74:AL83,10,FALSE)</f>
        <v>*</v>
      </c>
      <c r="J5" s="20"/>
      <c r="K5" s="23" t="s">
        <v>11</v>
      </c>
    </row>
    <row r="6" spans="1:11" x14ac:dyDescent="0.25">
      <c r="A6" s="17" t="s">
        <v>74</v>
      </c>
      <c r="B6" s="63">
        <f>'pooled normalised values'!Q75</f>
        <v>0.14136154471300608</v>
      </c>
      <c r="D6" s="21" t="s">
        <v>12</v>
      </c>
      <c r="E6" s="24">
        <f>$B$2</f>
        <v>0.14437035012603847</v>
      </c>
      <c r="F6" s="24">
        <f>$B$2</f>
        <v>0.14437035012603847</v>
      </c>
      <c r="G6" s="24">
        <f>$B$2</f>
        <v>0.14437035012603847</v>
      </c>
      <c r="H6" s="25"/>
      <c r="I6" s="25"/>
      <c r="J6" s="25"/>
      <c r="K6" s="21" t="s">
        <v>12</v>
      </c>
    </row>
    <row r="7" spans="1:11" x14ac:dyDescent="0.25">
      <c r="B7" s="26"/>
      <c r="D7" s="26" t="s">
        <v>13</v>
      </c>
      <c r="E7" s="24"/>
      <c r="F7" s="24"/>
      <c r="G7" s="27"/>
      <c r="H7" s="25">
        <f t="shared" ref="H7:J7" si="0">$B$4</f>
        <v>0.99999999999999967</v>
      </c>
      <c r="I7" s="25">
        <f t="shared" si="0"/>
        <v>0.99999999999999967</v>
      </c>
      <c r="J7" s="25">
        <f t="shared" si="0"/>
        <v>0.99999999999999967</v>
      </c>
      <c r="K7" s="26" t="s">
        <v>13</v>
      </c>
    </row>
    <row r="8" spans="1:11" x14ac:dyDescent="0.25">
      <c r="D8" s="28" t="s">
        <v>14</v>
      </c>
      <c r="E8" s="24">
        <v>0</v>
      </c>
      <c r="F8" s="24">
        <v>0</v>
      </c>
      <c r="G8" s="27">
        <v>0</v>
      </c>
      <c r="H8" s="25">
        <f>$B$6</f>
        <v>0.14136154471300608</v>
      </c>
      <c r="I8" s="25">
        <f t="shared" ref="I8:J8" si="1">$B$6</f>
        <v>0.14136154471300608</v>
      </c>
      <c r="J8" s="25">
        <f t="shared" si="1"/>
        <v>0.14136154471300608</v>
      </c>
      <c r="K8" s="28" t="s">
        <v>14</v>
      </c>
    </row>
    <row r="9" spans="1:11" x14ac:dyDescent="0.25">
      <c r="D9" s="28" t="s">
        <v>15</v>
      </c>
      <c r="E9" s="29">
        <f>$B$3-E8</f>
        <v>0</v>
      </c>
      <c r="F9" s="29">
        <f>$B$3-F8</f>
        <v>0</v>
      </c>
      <c r="G9" s="29">
        <f>$B$3-G8</f>
        <v>0</v>
      </c>
      <c r="H9" s="25">
        <f>$B$5-H8</f>
        <v>2.1947557257204737</v>
      </c>
      <c r="I9" s="25">
        <f>$B$5-I8</f>
        <v>2.1947557257204737</v>
      </c>
      <c r="J9" s="25">
        <f>$B$5-J8</f>
        <v>2.1947557257204737</v>
      </c>
      <c r="K9" s="28" t="s">
        <v>15</v>
      </c>
    </row>
    <row r="10" spans="1:11" x14ac:dyDescent="0.25">
      <c r="D10" s="28" t="s">
        <v>16</v>
      </c>
      <c r="E10" s="27">
        <f t="shared" ref="E10:J10" si="2">2.5-E9</f>
        <v>2.5</v>
      </c>
      <c r="F10" s="27">
        <f t="shared" si="2"/>
        <v>2.5</v>
      </c>
      <c r="G10" s="27">
        <f t="shared" si="2"/>
        <v>2.5</v>
      </c>
      <c r="H10" s="25">
        <f t="shared" si="2"/>
        <v>0.30524427427952627</v>
      </c>
      <c r="I10" s="25">
        <f t="shared" si="2"/>
        <v>0.30524427427952627</v>
      </c>
      <c r="J10" s="25">
        <f t="shared" si="2"/>
        <v>0.30524427427952627</v>
      </c>
      <c r="K10" s="28" t="s">
        <v>16</v>
      </c>
    </row>
    <row r="17" spans="2:7" x14ac:dyDescent="0.25">
      <c r="C17" s="23"/>
      <c r="D17" s="23"/>
    </row>
    <row r="18" spans="2:7" x14ac:dyDescent="0.25">
      <c r="B18" s="30"/>
    </row>
    <row r="19" spans="2:7" x14ac:dyDescent="0.25">
      <c r="B19" s="30"/>
    </row>
    <row r="20" spans="2:7" x14ac:dyDescent="0.25">
      <c r="B20" s="31"/>
    </row>
    <row r="21" spans="2:7" x14ac:dyDescent="0.25">
      <c r="B21" s="30"/>
    </row>
    <row r="22" spans="2:7" x14ac:dyDescent="0.25">
      <c r="B22" s="30"/>
      <c r="G22" s="23"/>
    </row>
    <row r="23" spans="2:7" x14ac:dyDescent="0.25">
      <c r="B23" s="31"/>
      <c r="G23" s="23"/>
    </row>
    <row r="24" spans="2:7" x14ac:dyDescent="0.25">
      <c r="G24" s="23"/>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baseColWidth="10" defaultRowHeight="14.5" x14ac:dyDescent="0.35"/>
  <cols>
    <col min="1" max="1" width="11.453125" style="1"/>
    <col min="3" max="3" width="15.26953125" customWidth="1"/>
    <col min="4" max="4" width="13.7265625" customWidth="1"/>
    <col min="5" max="5" width="18.26953125" customWidth="1"/>
    <col min="6" max="6" width="14" customWidth="1"/>
    <col min="7" max="7" width="14.453125" customWidth="1"/>
    <col min="8" max="8" width="14.26953125" customWidth="1"/>
    <col min="9" max="9" width="17" customWidth="1"/>
    <col min="10" max="10" width="12.54296875" customWidth="1"/>
    <col min="11" max="11" width="13.1796875" customWidth="1"/>
    <col min="12" max="12" width="15.7265625" customWidth="1"/>
    <col min="13" max="14" width="16.1796875" customWidth="1"/>
    <col min="17" max="23" width="9.7265625" customWidth="1"/>
  </cols>
  <sheetData>
    <row r="1" spans="1:23" ht="29.5" thickBot="1" x14ac:dyDescent="0.4">
      <c r="A1" s="147" t="s">
        <v>102</v>
      </c>
      <c r="B1" s="147" t="s">
        <v>103</v>
      </c>
      <c r="C1" s="144" t="s">
        <v>86</v>
      </c>
      <c r="D1" s="144" t="s">
        <v>87</v>
      </c>
      <c r="E1" s="145" t="s">
        <v>88</v>
      </c>
      <c r="F1" s="145" t="s">
        <v>89</v>
      </c>
      <c r="G1" s="144" t="s">
        <v>90</v>
      </c>
      <c r="H1" s="144" t="s">
        <v>91</v>
      </c>
      <c r="I1" s="144" t="s">
        <v>92</v>
      </c>
      <c r="J1" s="144" t="s">
        <v>93</v>
      </c>
      <c r="K1" s="144" t="s">
        <v>94</v>
      </c>
      <c r="L1" s="144" t="s">
        <v>95</v>
      </c>
      <c r="M1" s="144" t="s">
        <v>96</v>
      </c>
      <c r="N1" s="144" t="s">
        <v>97</v>
      </c>
      <c r="Q1" s="234" t="s">
        <v>99</v>
      </c>
      <c r="R1" s="234"/>
      <c r="S1" s="234"/>
      <c r="U1" s="234" t="s">
        <v>98</v>
      </c>
      <c r="V1" s="234"/>
      <c r="W1" s="234"/>
    </row>
    <row r="2" spans="1:23" x14ac:dyDescent="0.35">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19" t="s">
        <v>7</v>
      </c>
      <c r="R2" s="1" t="s">
        <v>131</v>
      </c>
      <c r="U2" s="119" t="s">
        <v>7</v>
      </c>
      <c r="V2" s="1" t="s">
        <v>131</v>
      </c>
    </row>
    <row r="3" spans="1:23" x14ac:dyDescent="0.35">
      <c r="A3" s="1">
        <f>Q7</f>
        <v>0</v>
      </c>
      <c r="B3">
        <f t="shared" si="0"/>
        <v>0</v>
      </c>
      <c r="D3" t="e">
        <f>CONCATENATE(VLOOKUP(Tableau3[[#This Row],[Nom ND]],liste_groupe[],3,FALSE),VLOOKUP(Tableau3[[#This Row],[Nom ND]],liste_groupe[],4,FALSE))</f>
        <v>#N/A</v>
      </c>
      <c r="E3" t="e">
        <f>HLOOKUP(Tableau3[[#This Row],[Nom ND]],'pooled normalised values'!$B$74:$V$83,4,FALSE)</f>
        <v>#N/A</v>
      </c>
      <c r="F3" t="e">
        <f>HLOOKUP(Tableau3[[#This Row],[Nom ND]],'pooled normalised values'!$B$74:$V$83,8,FALSE)</f>
        <v>#N/A</v>
      </c>
      <c r="G3" t="e">
        <f>VLOOKUP(Tableau3[[#This Row],[Nom ND]],'summary results'!$A$6:$N$26,9,FALSE)</f>
        <v>#N/A</v>
      </c>
      <c r="H3" t="e">
        <f>VLOOKUP(Tableau3[[#This Row],[Nom ND]],'summary results'!$A$6:$N$26,11,FALSE)</f>
        <v>#N/A</v>
      </c>
      <c r="I3" t="e">
        <f>HLOOKUP(Tableau3[[#This Row],[Nom D]],'pooled normalised values'!$B$74:$V$83,4,FALSE)</f>
        <v>#N/A</v>
      </c>
      <c r="J3" t="e">
        <f>HLOOKUP(Tableau3[[#This Row],[Nom D]],'pooled normalised values'!$B$74:$V$83,8,FALSE)</f>
        <v>#N/A</v>
      </c>
      <c r="K3" t="e">
        <f>VLOOKUP(Tableau3[[#This Row],[Nom D]],'summary results'!$A$29:$N$51,9,FALSE)</f>
        <v>#N/A</v>
      </c>
      <c r="L3" t="e">
        <f>VLOOKUP(Tableau3[[#This Row],[Nom D]],'summary results'!$A$29:$N$51,11,FALSE)</f>
        <v>#N/A</v>
      </c>
      <c r="M3" s="1" t="e">
        <f>'summary results'!$G$30</f>
        <v>#NUM!</v>
      </c>
      <c r="N3" s="1" t="e">
        <f>'summary results'!$G$31</f>
        <v>#NUM!</v>
      </c>
      <c r="Q3" s="119" t="s">
        <v>78</v>
      </c>
      <c r="R3" s="1" t="s">
        <v>106</v>
      </c>
      <c r="U3" s="119" t="s">
        <v>78</v>
      </c>
      <c r="V3" s="1" t="s">
        <v>50</v>
      </c>
    </row>
    <row r="4" spans="1:23" x14ac:dyDescent="0.35">
      <c r="A4" s="1">
        <f t="shared" ref="A4:A15" si="1">Q8</f>
        <v>0</v>
      </c>
      <c r="B4" s="44">
        <f t="shared" ref="B4:B15" si="2">U8</f>
        <v>0</v>
      </c>
      <c r="D4" s="44" t="e">
        <f>CONCATENATE(VLOOKUP(Tableau3[[#This Row],[Nom ND]],liste_groupe[],3,FALSE),VLOOKUP(Tableau3[[#This Row],[Nom ND]],liste_groupe[],4,FALSE))</f>
        <v>#N/A</v>
      </c>
      <c r="E4" s="44" t="e">
        <f>HLOOKUP(Tableau3[[#This Row],[Nom ND]],'pooled normalised values'!$B$74:$V$83,4,FALSE)</f>
        <v>#N/A</v>
      </c>
      <c r="F4" s="44" t="e">
        <f>HLOOKUP(Tableau3[[#This Row],[Nom ND]],'pooled normalised values'!$B$74:$V$83,8,FALSE)</f>
        <v>#N/A</v>
      </c>
      <c r="G4" s="44" t="e">
        <f>VLOOKUP(Tableau3[[#This Row],[Nom ND]],'summary results'!$A$6:$N$26,9,FALSE)</f>
        <v>#N/A</v>
      </c>
      <c r="H4" s="44" t="e">
        <f>VLOOKUP(Tableau3[[#This Row],[Nom ND]],'summary results'!$A$6:$N$26,11,FALSE)</f>
        <v>#N/A</v>
      </c>
      <c r="I4" s="44" t="e">
        <f>HLOOKUP(Tableau3[[#This Row],[Nom D]],'pooled normalised values'!$B$74:$V$83,4,FALSE)</f>
        <v>#N/A</v>
      </c>
      <c r="J4" s="44" t="e">
        <f>HLOOKUP(Tableau3[[#This Row],[Nom D]],'pooled normalised values'!$B$74:$V$83,8,FALSE)</f>
        <v>#N/A</v>
      </c>
      <c r="K4" s="44" t="e">
        <f>VLOOKUP(Tableau3[[#This Row],[Nom D]],'summary results'!$A$29:$N$51,9,FALSE)</f>
        <v>#N/A</v>
      </c>
      <c r="L4" s="44" t="e">
        <f>VLOOKUP(Tableau3[[#This Row],[Nom D]],'summary results'!$A$29:$N$51,11,FALSE)</f>
        <v>#N/A</v>
      </c>
      <c r="M4" t="e">
        <f>'summary results'!$G$30</f>
        <v>#NUM!</v>
      </c>
      <c r="N4" t="e">
        <f>'summary results'!$G$31</f>
        <v>#NUM!</v>
      </c>
    </row>
    <row r="5" spans="1:23" x14ac:dyDescent="0.35">
      <c r="A5" s="1">
        <f t="shared" si="1"/>
        <v>0</v>
      </c>
      <c r="B5" s="44">
        <f t="shared" si="2"/>
        <v>0</v>
      </c>
      <c r="D5" s="44" t="e">
        <f>CONCATENATE(VLOOKUP(Tableau3[[#This Row],[Nom ND]],liste_groupe[],3,FALSE),VLOOKUP(Tableau3[[#This Row],[Nom ND]],liste_groupe[],4,FALSE))</f>
        <v>#N/A</v>
      </c>
      <c r="E5" s="44" t="e">
        <f>HLOOKUP(Tableau3[[#This Row],[Nom ND]],'pooled normalised values'!$B$74:$V$83,4,FALSE)</f>
        <v>#N/A</v>
      </c>
      <c r="F5" s="44" t="e">
        <f>HLOOKUP(Tableau3[[#This Row],[Nom ND]],'pooled normalised values'!$B$74:$V$83,8,FALSE)</f>
        <v>#N/A</v>
      </c>
      <c r="G5" s="44" t="e">
        <f>VLOOKUP(Tableau3[[#This Row],[Nom ND]],'summary results'!$A$6:$N$26,9,FALSE)</f>
        <v>#N/A</v>
      </c>
      <c r="H5" s="44" t="e">
        <f>VLOOKUP(Tableau3[[#This Row],[Nom ND]],'summary results'!$A$6:$N$26,11,FALSE)</f>
        <v>#N/A</v>
      </c>
      <c r="I5" s="44" t="e">
        <f>HLOOKUP(Tableau3[[#This Row],[Nom D]],'pooled normalised values'!$B$74:$V$83,4,FALSE)</f>
        <v>#N/A</v>
      </c>
      <c r="J5" s="44" t="e">
        <f>HLOOKUP(Tableau3[[#This Row],[Nom D]],'pooled normalised values'!$B$74:$V$83,8,FALSE)</f>
        <v>#N/A</v>
      </c>
      <c r="K5" s="44" t="e">
        <f>VLOOKUP(Tableau3[[#This Row],[Nom D]],'summary results'!$A$29:$N$51,9,FALSE)</f>
        <v>#N/A</v>
      </c>
      <c r="L5" s="44" t="e">
        <f>VLOOKUP(Tableau3[[#This Row],[Nom D]],'summary results'!$A$29:$N$51,11,FALSE)</f>
        <v>#N/A</v>
      </c>
      <c r="M5" t="e">
        <f>'summary results'!$G$30</f>
        <v>#NUM!</v>
      </c>
      <c r="N5" t="e">
        <f>'summary results'!$G$31</f>
        <v>#NUM!</v>
      </c>
      <c r="Q5" s="119" t="s">
        <v>100</v>
      </c>
      <c r="U5" s="119" t="s">
        <v>100</v>
      </c>
    </row>
    <row r="6" spans="1:23" x14ac:dyDescent="0.35">
      <c r="A6" s="1">
        <f t="shared" si="1"/>
        <v>0</v>
      </c>
      <c r="B6" s="44">
        <f t="shared" si="2"/>
        <v>0</v>
      </c>
      <c r="D6" s="44" t="e">
        <f>CONCATENATE(VLOOKUP(Tableau3[[#This Row],[Nom ND]],liste_groupe[],3,FALSE),VLOOKUP(Tableau3[[#This Row],[Nom ND]],liste_groupe[],4,FALSE))</f>
        <v>#N/A</v>
      </c>
      <c r="E6" s="44" t="e">
        <f>HLOOKUP(Tableau3[[#This Row],[Nom ND]],'pooled normalised values'!$B$74:$V$83,4,FALSE)</f>
        <v>#N/A</v>
      </c>
      <c r="F6" s="44" t="e">
        <f>HLOOKUP(Tableau3[[#This Row],[Nom ND]],'pooled normalised values'!$B$74:$V$83,8,FALSE)</f>
        <v>#N/A</v>
      </c>
      <c r="G6" s="44" t="e">
        <f>VLOOKUP(Tableau3[[#This Row],[Nom ND]],'summary results'!$A$6:$N$26,9,FALSE)</f>
        <v>#N/A</v>
      </c>
      <c r="H6" s="44" t="e">
        <f>VLOOKUP(Tableau3[[#This Row],[Nom ND]],'summary results'!$A$6:$N$26,11,FALSE)</f>
        <v>#N/A</v>
      </c>
      <c r="I6" s="44" t="e">
        <f>HLOOKUP(Tableau3[[#This Row],[Nom D]],'pooled normalised values'!$B$74:$V$83,4,FALSE)</f>
        <v>#N/A</v>
      </c>
      <c r="J6" s="44" t="e">
        <f>HLOOKUP(Tableau3[[#This Row],[Nom D]],'pooled normalised values'!$B$74:$V$83,8,FALSE)</f>
        <v>#N/A</v>
      </c>
      <c r="K6" s="44" t="e">
        <f>VLOOKUP(Tableau3[[#This Row],[Nom D]],'summary results'!$A$29:$N$51,9,FALSE)</f>
        <v>#N/A</v>
      </c>
      <c r="L6" s="44" t="e">
        <f>VLOOKUP(Tableau3[[#This Row],[Nom D]],'summary results'!$A$29:$N$51,11,FALSE)</f>
        <v>#N/A</v>
      </c>
      <c r="M6" t="e">
        <f>'summary results'!$G$30</f>
        <v>#NUM!</v>
      </c>
      <c r="N6" t="e">
        <f>'summary results'!$G$31</f>
        <v>#NUM!</v>
      </c>
      <c r="Q6" s="146" t="s">
        <v>112</v>
      </c>
      <c r="U6" s="146" t="s">
        <v>101</v>
      </c>
    </row>
    <row r="7" spans="1:23" x14ac:dyDescent="0.35">
      <c r="A7" s="1">
        <f t="shared" si="1"/>
        <v>0</v>
      </c>
      <c r="B7" s="44">
        <f t="shared" si="2"/>
        <v>0</v>
      </c>
      <c r="D7" s="44" t="e">
        <f>CONCATENATE(VLOOKUP(Tableau3[[#This Row],[Nom ND]],liste_groupe[],3,FALSE),VLOOKUP(Tableau3[[#This Row],[Nom ND]],liste_groupe[],4,FALSE))</f>
        <v>#N/A</v>
      </c>
      <c r="E7" s="44" t="e">
        <f>HLOOKUP(Tableau3[[#This Row],[Nom ND]],'pooled normalised values'!$B$74:$V$83,4,FALSE)</f>
        <v>#N/A</v>
      </c>
      <c r="F7" s="44" t="e">
        <f>HLOOKUP(Tableau3[[#This Row],[Nom ND]],'pooled normalised values'!$B$74:$V$83,8,FALSE)</f>
        <v>#N/A</v>
      </c>
      <c r="G7" s="44" t="e">
        <f>VLOOKUP(Tableau3[[#This Row],[Nom ND]],'summary results'!$A$6:$N$26,9,FALSE)</f>
        <v>#N/A</v>
      </c>
      <c r="H7" s="44" t="e">
        <f>VLOOKUP(Tableau3[[#This Row],[Nom ND]],'summary results'!$A$6:$N$26,11,FALSE)</f>
        <v>#N/A</v>
      </c>
      <c r="I7" s="44" t="e">
        <f>HLOOKUP(Tableau3[[#This Row],[Nom D]],'pooled normalised values'!$B$74:$V$83,4,FALSE)</f>
        <v>#N/A</v>
      </c>
      <c r="J7" s="44" t="e">
        <f>HLOOKUP(Tableau3[[#This Row],[Nom D]],'pooled normalised values'!$B$74:$V$83,8,FALSE)</f>
        <v>#N/A</v>
      </c>
      <c r="K7" s="44" t="e">
        <f>VLOOKUP(Tableau3[[#This Row],[Nom D]],'summary results'!$A$29:$N$51,9,FALSE)</f>
        <v>#N/A</v>
      </c>
      <c r="L7" s="44" t="e">
        <f>VLOOKUP(Tableau3[[#This Row],[Nom D]],'summary results'!$A$29:$N$51,11,FALSE)</f>
        <v>#N/A</v>
      </c>
      <c r="M7" t="e">
        <f>'summary results'!$G$30</f>
        <v>#NUM!</v>
      </c>
      <c r="N7" t="e">
        <f>'summary results'!$G$31</f>
        <v>#NUM!</v>
      </c>
    </row>
    <row r="8" spans="1:23" x14ac:dyDescent="0.35">
      <c r="A8" s="1">
        <f t="shared" si="1"/>
        <v>0</v>
      </c>
      <c r="B8" s="44">
        <f t="shared" si="2"/>
        <v>0</v>
      </c>
      <c r="D8" s="44" t="e">
        <f>CONCATENATE(VLOOKUP(Tableau3[[#This Row],[Nom ND]],liste_groupe[],3,FALSE),VLOOKUP(Tableau3[[#This Row],[Nom ND]],liste_groupe[],4,FALSE))</f>
        <v>#N/A</v>
      </c>
      <c r="E8" s="148"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row>
    <row r="9" spans="1:23" x14ac:dyDescent="0.35">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row>
    <row r="10" spans="1:23" x14ac:dyDescent="0.35">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row>
    <row r="11" spans="1:23" x14ac:dyDescent="0.35">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row>
    <row r="12" spans="1:23" x14ac:dyDescent="0.35">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35">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35">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35">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4230A3D-29CB-4B8D-810D-6DFAB5AFCCF2}"/>
</file>

<file path=customXml/itemProps2.xml><?xml version="1.0" encoding="utf-8"?>
<ds:datastoreItem xmlns:ds="http://schemas.openxmlformats.org/officeDocument/2006/customXml" ds:itemID="{1AB0BBF6-48E8-4407-99FF-45E0239D6AC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14</vt:i4>
      </vt:variant>
      <vt:variant>
        <vt:lpstr>Graphiques</vt:lpstr>
      </vt:variant>
      <vt:variant>
        <vt:i4>4</vt:i4>
      </vt:variant>
      <vt:variant>
        <vt:lpstr>Plages nommées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R3</vt:lpstr>
      <vt:lpstr>pooled normalised graphe</vt:lpstr>
      <vt:lpstr>'Page de garde'!Zone_d_impression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2022-10-05T14:02:36Z</dcterms:modified>
</cp:coreProperties>
</file>