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heets/sheet1.xml" ContentType="application/vnd.openxmlformats-officedocument.spreadsheetml.chart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3.xml" ContentType="application/vnd.openxmlformats-officedocument.spreadsheetml.chartsheet+xml"/>
  <Override PartName="/xl/worksheets/sheet10.xml" ContentType="application/vnd.openxmlformats-officedocument.spreadsheetml.worksheet+xml"/>
  <Override PartName="/xl/chartsheets/sheet4.xml" ContentType="application/vnd.openxmlformats-officedocument.spreadsheetml.chart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5.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6.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7.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5" documentId="13_ncr:1_{A5168D6D-50CB-46C3-913A-7490F008C31B}" xr6:coauthVersionLast="47" xr6:coauthVersionMax="47" xr10:uidLastSave="{5BF41836-5CA3-4F5E-A43F-B261947B2085}"/>
  <bookViews>
    <workbookView xWindow="3510" yWindow="3510" windowWidth="38700" windowHeight="15435" firstSheet="4" activeTab="10" xr2:uid="{00000000-000D-0000-FFFF-FFFF00000000}"/>
  </bookViews>
  <sheets>
    <sheet name="Page de garde" sheetId="10" r:id="rId1"/>
    <sheet name="Feuil1" sheetId="39" r:id="rId2"/>
    <sheet name="Feuil2" sheetId="40" r:id="rId3"/>
    <sheet name="Raw data R1" sheetId="35" r:id="rId4"/>
    <sheet name="R1" sheetId="1" r:id="rId5"/>
    <sheet name="Graph R1" sheetId="8" r:id="rId6"/>
    <sheet name="Raw data R2" sheetId="36" r:id="rId7"/>
    <sheet name="R2" sheetId="23" r:id="rId8"/>
    <sheet name="Graph R2" sheetId="19" r:id="rId9"/>
    <sheet name="Raw data R3" sheetId="37" r:id="rId10"/>
    <sheet name="R3" sheetId="33" r:id="rId11"/>
    <sheet name="Graph R3" sheetId="34" r:id="rId12"/>
    <sheet name="pooled normalised values" sheetId="4" r:id="rId13"/>
    <sheet name="pooled normalised graphe" sheetId="5" r:id="rId14"/>
    <sheet name="summary results" sheetId="22" r:id="rId15"/>
    <sheet name="Notice" sheetId="38" r:id="rId16"/>
    <sheet name="Graph format rapport CHG" sheetId="12" r:id="rId17"/>
    <sheet name="Graph format rapport CHG 1éch" sheetId="27" r:id="rId18"/>
    <sheet name="Récap" sheetId="28" r:id="rId19"/>
  </sheets>
  <externalReferences>
    <externalReference r:id="rId20"/>
    <externalReference r:id="rId21"/>
  </externalReferences>
  <definedNames>
    <definedName name="_xlnm.Print_Area" localSheetId="0">'Page de garde'!$A$1:$I$52</definedName>
  </definedNames>
  <calcPr calcId="191029"/>
  <pivotCaches>
    <pivotCache cacheId="0" r:id="rId22"/>
    <pivotCache cacheId="1" r:id="rId23"/>
    <pivotCache cacheId="2" r:id="rId24"/>
    <pivotCache cacheId="3" r:id="rId2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56" i="33"/>
  <c r="C56" i="33"/>
  <c r="I56" i="33"/>
  <c r="L56" i="33"/>
  <c r="F56" i="33"/>
  <c r="J56" i="33"/>
  <c r="H56" i="33"/>
  <c r="D56" i="33"/>
  <c r="K56" i="33"/>
  <c r="G56" i="33"/>
  <c r="E56" i="33"/>
  <c r="M56" i="33"/>
  <c r="V78" i="4"/>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7" i="22"/>
  <c r="A8" i="22"/>
  <c r="A9" i="22"/>
  <c r="A10" i="22"/>
  <c r="A11" i="22"/>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AK43" i="33"/>
  <c r="AJ43" i="33"/>
  <c r="AI43" i="33"/>
  <c r="AH43" i="33"/>
  <c r="AG43" i="33"/>
  <c r="AF43" i="33"/>
  <c r="AE43" i="33"/>
  <c r="AD43" i="33"/>
  <c r="AC43" i="33"/>
  <c r="AB43" i="33"/>
  <c r="AA43" i="33"/>
  <c r="Z43" i="33"/>
  <c r="Y43" i="33"/>
  <c r="X43" i="33"/>
  <c r="W43"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AK42" i="33"/>
  <c r="AJ42" i="33"/>
  <c r="AI42" i="33"/>
  <c r="AH42" i="33"/>
  <c r="AG42" i="33"/>
  <c r="AF42" i="33"/>
  <c r="AE42" i="33"/>
  <c r="AD42" i="33"/>
  <c r="AC42" i="33"/>
  <c r="AB42" i="33"/>
  <c r="AA42" i="33"/>
  <c r="Z42" i="33"/>
  <c r="Y42" i="33"/>
  <c r="X42" i="33"/>
  <c r="W42" i="33"/>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AK41" i="33"/>
  <c r="AJ41" i="33"/>
  <c r="AI41" i="33"/>
  <c r="AH41" i="33"/>
  <c r="AG41" i="33"/>
  <c r="AF41" i="33"/>
  <c r="AE41" i="33"/>
  <c r="AD41" i="33"/>
  <c r="AC41" i="33"/>
  <c r="AB41" i="33"/>
  <c r="AA41" i="33"/>
  <c r="Z41" i="33"/>
  <c r="Y41" i="33"/>
  <c r="X41" i="33"/>
  <c r="W41" i="33"/>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AK40" i="33"/>
  <c r="AJ40" i="33"/>
  <c r="AI40" i="33"/>
  <c r="AH40" i="33"/>
  <c r="AG40" i="33"/>
  <c r="AF40" i="33"/>
  <c r="AE40" i="33"/>
  <c r="AD40" i="33"/>
  <c r="AC40" i="33"/>
  <c r="AB40" i="33"/>
  <c r="AA40" i="33"/>
  <c r="Z40" i="33"/>
  <c r="Y40" i="33"/>
  <c r="X40" i="33"/>
  <c r="W40" i="33"/>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AK39" i="33"/>
  <c r="AJ39" i="33"/>
  <c r="AI39" i="33"/>
  <c r="AH39" i="33"/>
  <c r="AG39" i="33"/>
  <c r="AF39" i="33"/>
  <c r="AE39" i="33"/>
  <c r="AD39" i="33"/>
  <c r="AC39" i="33"/>
  <c r="AB39" i="33"/>
  <c r="AA39" i="33"/>
  <c r="Z39" i="33"/>
  <c r="Y39" i="33"/>
  <c r="X39" i="33"/>
  <c r="W39" i="33"/>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AK38" i="33"/>
  <c r="AJ38" i="33"/>
  <c r="AI38" i="33"/>
  <c r="AH38" i="33"/>
  <c r="AG38" i="33"/>
  <c r="AF38" i="33"/>
  <c r="AE38" i="33"/>
  <c r="AD38" i="33"/>
  <c r="AC38" i="33"/>
  <c r="AB38" i="33"/>
  <c r="AA38" i="33"/>
  <c r="Z38" i="33"/>
  <c r="Y38" i="33"/>
  <c r="X38" i="33"/>
  <c r="W38" i="33"/>
  <c r="V38" i="33"/>
  <c r="V48" i="4" s="1"/>
  <c r="U38" i="33"/>
  <c r="U48" i="4" s="1"/>
  <c r="T38" i="33"/>
  <c r="T48" i="4" s="1"/>
  <c r="S38" i="33"/>
  <c r="S48" i="4" s="1"/>
  <c r="R38" i="33"/>
  <c r="R48" i="4" s="1"/>
  <c r="Q38" i="33"/>
  <c r="Q48" i="4" s="1"/>
  <c r="P38" i="33"/>
  <c r="P48" i="4" s="1"/>
  <c r="O38" i="33"/>
  <c r="O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AK37" i="33"/>
  <c r="AJ37" i="33"/>
  <c r="AI37" i="33"/>
  <c r="AH37" i="33"/>
  <c r="AG37" i="33"/>
  <c r="AF37" i="33"/>
  <c r="AE37" i="33"/>
  <c r="AD37" i="33"/>
  <c r="AC37" i="33"/>
  <c r="AB37" i="33"/>
  <c r="AA37" i="33"/>
  <c r="Z37" i="33"/>
  <c r="Y37" i="33"/>
  <c r="X37" i="33"/>
  <c r="W37" i="33"/>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AK36" i="33"/>
  <c r="AJ36" i="33"/>
  <c r="AI36" i="33"/>
  <c r="AH36" i="33"/>
  <c r="AG36" i="33"/>
  <c r="AF36" i="33"/>
  <c r="AE36" i="33"/>
  <c r="AD36" i="33"/>
  <c r="AC36" i="33"/>
  <c r="AB36" i="33"/>
  <c r="AA36" i="33"/>
  <c r="Z36" i="33"/>
  <c r="Y36" i="33"/>
  <c r="X36" i="33"/>
  <c r="W36" i="33"/>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AK35" i="33"/>
  <c r="AJ35" i="33"/>
  <c r="AI35" i="33"/>
  <c r="AH35" i="33"/>
  <c r="AG35" i="33"/>
  <c r="AF35" i="33"/>
  <c r="AE35" i="33"/>
  <c r="AD35" i="33"/>
  <c r="AC35" i="33"/>
  <c r="AB35" i="33"/>
  <c r="AA35" i="33"/>
  <c r="Z35" i="33"/>
  <c r="Y35" i="33"/>
  <c r="X35" i="33"/>
  <c r="W35" i="33"/>
  <c r="Q35" i="33"/>
  <c r="Q45" i="4" s="1"/>
  <c r="AK34" i="33"/>
  <c r="AJ34" i="33"/>
  <c r="AI34" i="33"/>
  <c r="AH34" i="33"/>
  <c r="AG34" i="33"/>
  <c r="AF34" i="33"/>
  <c r="AE34" i="33"/>
  <c r="AD34" i="33"/>
  <c r="AC34" i="33"/>
  <c r="AB34" i="33"/>
  <c r="AA34" i="33"/>
  <c r="Z34" i="33"/>
  <c r="Y34" i="33"/>
  <c r="X34" i="33"/>
  <c r="W34" i="33"/>
  <c r="P34" i="33"/>
  <c r="P44" i="4" s="1"/>
  <c r="L34" i="33"/>
  <c r="L44" i="4" s="1"/>
  <c r="AK33" i="33"/>
  <c r="AJ33" i="33"/>
  <c r="AI33" i="33"/>
  <c r="AH33" i="33"/>
  <c r="AG33" i="33"/>
  <c r="AF33" i="33"/>
  <c r="AE33" i="33"/>
  <c r="AD33" i="33"/>
  <c r="AC33" i="33"/>
  <c r="AB33" i="33"/>
  <c r="AA33" i="33"/>
  <c r="Z33" i="33"/>
  <c r="Y33" i="33"/>
  <c r="X33" i="33"/>
  <c r="W33" i="33"/>
  <c r="AK32" i="33"/>
  <c r="AJ32" i="33"/>
  <c r="AI32" i="33"/>
  <c r="AH32" i="33"/>
  <c r="AG32" i="33"/>
  <c r="AF32" i="33"/>
  <c r="AE32" i="33"/>
  <c r="AD32" i="33"/>
  <c r="AC32" i="33"/>
  <c r="AB32" i="33"/>
  <c r="AA32" i="33"/>
  <c r="Z32" i="33"/>
  <c r="Y32" i="33"/>
  <c r="X32" i="33"/>
  <c r="W32" i="33"/>
  <c r="S32" i="33"/>
  <c r="S42" i="4" s="1"/>
  <c r="J32" i="33"/>
  <c r="J42" i="4" s="1"/>
  <c r="C32" i="33"/>
  <c r="C42" i="4" s="1"/>
  <c r="AK31" i="33"/>
  <c r="AJ31" i="33"/>
  <c r="AI31" i="33"/>
  <c r="AH31" i="33"/>
  <c r="AG31" i="33"/>
  <c r="AF31" i="33"/>
  <c r="AE31" i="33"/>
  <c r="AD31" i="33"/>
  <c r="AC31" i="33"/>
  <c r="AB31" i="33"/>
  <c r="AA31" i="33"/>
  <c r="Z31" i="33"/>
  <c r="Y31" i="33"/>
  <c r="X31" i="33"/>
  <c r="W31" i="33"/>
  <c r="AK30" i="33"/>
  <c r="AJ30" i="33"/>
  <c r="AI30" i="33"/>
  <c r="AH30" i="33"/>
  <c r="AG30" i="33"/>
  <c r="AF30" i="33"/>
  <c r="AE30" i="33"/>
  <c r="AD30" i="33"/>
  <c r="AC30" i="33"/>
  <c r="AB30" i="33"/>
  <c r="AA30" i="33"/>
  <c r="Z30" i="33"/>
  <c r="Y30" i="33"/>
  <c r="X30" i="33"/>
  <c r="W30" i="33"/>
  <c r="H30" i="33"/>
  <c r="H40" i="4" s="1"/>
  <c r="AK29" i="33"/>
  <c r="AJ29" i="33"/>
  <c r="AI29" i="33"/>
  <c r="AH29" i="33"/>
  <c r="AG29" i="33"/>
  <c r="AF29" i="33"/>
  <c r="AE29" i="33"/>
  <c r="AD29" i="33"/>
  <c r="AC29" i="33"/>
  <c r="AB29" i="33"/>
  <c r="AA29" i="33"/>
  <c r="Z29" i="33"/>
  <c r="Y29" i="33"/>
  <c r="X29" i="33"/>
  <c r="W29" i="33"/>
  <c r="R29" i="33"/>
  <c r="R39" i="4" s="1"/>
  <c r="AK28" i="33"/>
  <c r="AJ28" i="33"/>
  <c r="AI28" i="33"/>
  <c r="AH28" i="33"/>
  <c r="AG28" i="33"/>
  <c r="AF28" i="33"/>
  <c r="AE28" i="33"/>
  <c r="AD28" i="33"/>
  <c r="AC28" i="33"/>
  <c r="AB28" i="33"/>
  <c r="AA28" i="33"/>
  <c r="Z28" i="33"/>
  <c r="Y28" i="33"/>
  <c r="X28" i="33"/>
  <c r="W28" i="33"/>
  <c r="G28" i="33"/>
  <c r="AK24" i="33"/>
  <c r="AJ24" i="33"/>
  <c r="AI24" i="33"/>
  <c r="AH24" i="33"/>
  <c r="AG24" i="33"/>
  <c r="AF24" i="33"/>
  <c r="AE24" i="33"/>
  <c r="AD24" i="33"/>
  <c r="AC24" i="33"/>
  <c r="AB24" i="33"/>
  <c r="AA24" i="33"/>
  <c r="Z24" i="33"/>
  <c r="Y24" i="33"/>
  <c r="X24" i="33"/>
  <c r="W24" i="33"/>
  <c r="V24" i="33"/>
  <c r="U24" i="33"/>
  <c r="T24" i="33"/>
  <c r="S24" i="33"/>
  <c r="R24" i="33"/>
  <c r="Q24" i="33"/>
  <c r="P24" i="33"/>
  <c r="O24" i="33"/>
  <c r="L24" i="33"/>
  <c r="J24" i="33"/>
  <c r="I24" i="33"/>
  <c r="H24" i="33"/>
  <c r="G24" i="33"/>
  <c r="F24" i="33"/>
  <c r="E24" i="33"/>
  <c r="D24" i="33"/>
  <c r="C24" i="33"/>
  <c r="B24" i="33"/>
  <c r="AK23" i="33"/>
  <c r="AJ23" i="33"/>
  <c r="AI23" i="33"/>
  <c r="AH23" i="33"/>
  <c r="AG23" i="33"/>
  <c r="AF23" i="33"/>
  <c r="AE23" i="33"/>
  <c r="AD23" i="33"/>
  <c r="AC23" i="33"/>
  <c r="AB23" i="33"/>
  <c r="AA23" i="33"/>
  <c r="Z23" i="33"/>
  <c r="Y23" i="33"/>
  <c r="X23" i="33"/>
  <c r="W23" i="33"/>
  <c r="V23" i="33"/>
  <c r="U23" i="33"/>
  <c r="T23" i="33"/>
  <c r="S23" i="33"/>
  <c r="R23" i="33"/>
  <c r="Q23" i="33"/>
  <c r="P23" i="33"/>
  <c r="O23" i="33"/>
  <c r="B28" i="33" s="1"/>
  <c r="B38" i="4" s="1"/>
  <c r="L23" i="33"/>
  <c r="J23" i="33"/>
  <c r="I23" i="33"/>
  <c r="H23" i="33"/>
  <c r="G23" i="33"/>
  <c r="F23" i="33"/>
  <c r="E23" i="33"/>
  <c r="D23" i="33"/>
  <c r="C23" i="33"/>
  <c r="B23" i="33"/>
  <c r="A22" i="33"/>
  <c r="H22" i="33"/>
  <c r="G45" i="33"/>
  <c r="F27" i="33"/>
  <c r="F52" i="33" s="1"/>
  <c r="E45" i="33"/>
  <c r="D22" i="33"/>
  <c r="C45" i="33"/>
  <c r="B45" i="33"/>
  <c r="X56" i="33"/>
  <c r="Q56" i="33"/>
  <c r="V56" i="33"/>
  <c r="AE56" i="33"/>
  <c r="AK56" i="33"/>
  <c r="AB56" i="33"/>
  <c r="W56" i="33"/>
  <c r="U56" i="33"/>
  <c r="AI56" i="33"/>
  <c r="Z56" i="33"/>
  <c r="T56" i="33"/>
  <c r="AD56" i="33"/>
  <c r="S56" i="33"/>
  <c r="AG56" i="33"/>
  <c r="AC56" i="33"/>
  <c r="O56" i="33"/>
  <c r="AH56" i="33"/>
  <c r="Y56" i="33"/>
  <c r="P56" i="33"/>
  <c r="R56" i="33"/>
  <c r="AF56" i="33"/>
  <c r="AJ56" i="33"/>
  <c r="AA56" i="33"/>
  <c r="V32" i="33" l="1"/>
  <c r="V42" i="4" s="1"/>
  <c r="I33" i="33"/>
  <c r="I43" i="4" s="1"/>
  <c r="U33" i="33"/>
  <c r="U43" i="4" s="1"/>
  <c r="T28" i="33"/>
  <c r="S34" i="33"/>
  <c r="S44" i="4" s="1"/>
  <c r="S29" i="33"/>
  <c r="S39" i="4" s="1"/>
  <c r="M30" i="33"/>
  <c r="M40" i="4" s="1"/>
  <c r="L31" i="33"/>
  <c r="L41" i="4" s="1"/>
  <c r="I28" i="33"/>
  <c r="I38" i="4" s="1"/>
  <c r="M31" i="33"/>
  <c r="M41" i="4" s="1"/>
  <c r="K32" i="33"/>
  <c r="K42" i="4" s="1"/>
  <c r="J28" i="33"/>
  <c r="V28" i="33"/>
  <c r="I29" i="33"/>
  <c r="I39" i="4" s="1"/>
  <c r="U29" i="33"/>
  <c r="U39" i="4" s="1"/>
  <c r="S30" i="33"/>
  <c r="S40" i="4" s="1"/>
  <c r="R31" i="33"/>
  <c r="R41" i="4" s="1"/>
  <c r="L32" i="33"/>
  <c r="L42" i="4" s="1"/>
  <c r="K33" i="33"/>
  <c r="K43" i="4" s="1"/>
  <c r="J34" i="33"/>
  <c r="J44" i="4" s="1"/>
  <c r="U34" i="33"/>
  <c r="U44" i="4" s="1"/>
  <c r="S35" i="33"/>
  <c r="S45" i="4" s="1"/>
  <c r="T29" i="33"/>
  <c r="T39" i="4" s="1"/>
  <c r="V33" i="33"/>
  <c r="V43" i="4" s="1"/>
  <c r="T34" i="33"/>
  <c r="T44" i="4" s="1"/>
  <c r="K28" i="33"/>
  <c r="J29" i="33"/>
  <c r="J39" i="4" s="1"/>
  <c r="V29" i="33"/>
  <c r="V39" i="4" s="1"/>
  <c r="T30" i="33"/>
  <c r="T40" i="4" s="1"/>
  <c r="S31" i="33"/>
  <c r="S41" i="4" s="1"/>
  <c r="M32" i="33"/>
  <c r="M42" i="4" s="1"/>
  <c r="L33" i="33"/>
  <c r="L43" i="4" s="1"/>
  <c r="K34" i="33"/>
  <c r="K44" i="4" s="1"/>
  <c r="V34" i="33"/>
  <c r="V44" i="4" s="1"/>
  <c r="I35" i="33"/>
  <c r="I45" i="4" s="1"/>
  <c r="T35" i="33"/>
  <c r="T45" i="4" s="1"/>
  <c r="U28" i="33"/>
  <c r="U38" i="4" s="1"/>
  <c r="R35" i="33"/>
  <c r="R45" i="4" s="1"/>
  <c r="L28" i="33"/>
  <c r="L38" i="4" s="1"/>
  <c r="K29" i="33"/>
  <c r="K39" i="4" s="1"/>
  <c r="I30" i="33"/>
  <c r="I40" i="4" s="1"/>
  <c r="U30" i="33"/>
  <c r="U40" i="4" s="1"/>
  <c r="T31" i="33"/>
  <c r="T41" i="4" s="1"/>
  <c r="R32" i="33"/>
  <c r="R42" i="4" s="1"/>
  <c r="M33" i="33"/>
  <c r="M43" i="4" s="1"/>
  <c r="J35" i="33"/>
  <c r="J45" i="4" s="1"/>
  <c r="U35" i="33"/>
  <c r="U45" i="4" s="1"/>
  <c r="M28" i="33"/>
  <c r="M38" i="4" s="1"/>
  <c r="L29" i="33"/>
  <c r="L39" i="4" s="1"/>
  <c r="J30" i="33"/>
  <c r="J40" i="4" s="1"/>
  <c r="V30" i="33"/>
  <c r="V40" i="4" s="1"/>
  <c r="I31" i="33"/>
  <c r="I41" i="4" s="1"/>
  <c r="U31" i="33"/>
  <c r="U41" i="4" s="1"/>
  <c r="R33" i="33"/>
  <c r="R43" i="4" s="1"/>
  <c r="M34" i="33"/>
  <c r="M44" i="4" s="1"/>
  <c r="K35" i="33"/>
  <c r="K45" i="4" s="1"/>
  <c r="V35" i="33"/>
  <c r="V45" i="4" s="1"/>
  <c r="R30" i="33"/>
  <c r="R40" i="4" s="1"/>
  <c r="R28" i="33"/>
  <c r="M29" i="33"/>
  <c r="M39" i="4" s="1"/>
  <c r="K30" i="33"/>
  <c r="K40" i="4" s="1"/>
  <c r="J31" i="33"/>
  <c r="J41" i="4" s="1"/>
  <c r="V31" i="33"/>
  <c r="V41" i="4" s="1"/>
  <c r="T32" i="33"/>
  <c r="T42" i="4" s="1"/>
  <c r="S33" i="33"/>
  <c r="S43" i="4" s="1"/>
  <c r="L35" i="33"/>
  <c r="L45" i="4" s="1"/>
  <c r="J33" i="33"/>
  <c r="J43" i="4" s="1"/>
  <c r="I34" i="33"/>
  <c r="I44" i="4" s="1"/>
  <c r="S28" i="33"/>
  <c r="S38" i="4" s="1"/>
  <c r="L30" i="33"/>
  <c r="L40" i="4" s="1"/>
  <c r="K31" i="33"/>
  <c r="K41" i="4" s="1"/>
  <c r="I32" i="33"/>
  <c r="I42" i="4" s="1"/>
  <c r="U32" i="33"/>
  <c r="U42" i="4" s="1"/>
  <c r="T33" i="33"/>
  <c r="T43" i="4" s="1"/>
  <c r="R34" i="33"/>
  <c r="R44" i="4" s="1"/>
  <c r="M35" i="33"/>
  <c r="M45" i="4" s="1"/>
  <c r="O36" i="33"/>
  <c r="O46" i="4" s="1"/>
  <c r="O37" i="33"/>
  <c r="O47" i="4" s="1"/>
  <c r="O39" i="33"/>
  <c r="O49" i="4" s="1"/>
  <c r="O40" i="33"/>
  <c r="O50" i="4" s="1"/>
  <c r="O41" i="33"/>
  <c r="O51" i="4" s="1"/>
  <c r="O42" i="33"/>
  <c r="O52" i="4" s="1"/>
  <c r="O43" i="33"/>
  <c r="O53" i="4" s="1"/>
  <c r="E29" i="33"/>
  <c r="E39" i="4" s="1"/>
  <c r="G31" i="33"/>
  <c r="G41" i="4" s="1"/>
  <c r="H32" i="33"/>
  <c r="H42" i="4" s="1"/>
  <c r="E28" i="33"/>
  <c r="E38" i="4" s="1"/>
  <c r="F29" i="33"/>
  <c r="F39" i="4" s="1"/>
  <c r="O29" i="33"/>
  <c r="O39" i="4" s="1"/>
  <c r="C30" i="33"/>
  <c r="C40" i="4" s="1"/>
  <c r="G30" i="33"/>
  <c r="G40" i="4" s="1"/>
  <c r="P30" i="33"/>
  <c r="P40" i="4" s="1"/>
  <c r="D31" i="33"/>
  <c r="D41" i="4" s="1"/>
  <c r="H31" i="33"/>
  <c r="H41" i="4" s="1"/>
  <c r="Q31" i="33"/>
  <c r="Q41" i="4" s="1"/>
  <c r="E32" i="33"/>
  <c r="E42" i="4" s="1"/>
  <c r="F33" i="33"/>
  <c r="F43" i="4" s="1"/>
  <c r="O33" i="33"/>
  <c r="O43" i="4" s="1"/>
  <c r="C34" i="33"/>
  <c r="C44" i="4" s="1"/>
  <c r="G34" i="33"/>
  <c r="G44" i="4" s="1"/>
  <c r="D35" i="33"/>
  <c r="D45" i="4" s="1"/>
  <c r="H35" i="33"/>
  <c r="H45" i="4" s="1"/>
  <c r="D28" i="33"/>
  <c r="D38" i="4" s="1"/>
  <c r="Q28" i="33"/>
  <c r="Q46" i="33" s="1"/>
  <c r="Q53" i="33" s="1"/>
  <c r="C31" i="33"/>
  <c r="C41" i="4" s="1"/>
  <c r="P31" i="33"/>
  <c r="P41" i="4" s="1"/>
  <c r="D32" i="33"/>
  <c r="D42" i="4" s="1"/>
  <c r="Q32" i="33"/>
  <c r="Q42" i="4" s="1"/>
  <c r="E33" i="33"/>
  <c r="E43" i="4" s="1"/>
  <c r="C35" i="33"/>
  <c r="C45" i="4" s="1"/>
  <c r="F28" i="33"/>
  <c r="O28" i="33"/>
  <c r="O38" i="4" s="1"/>
  <c r="C29" i="33"/>
  <c r="C39" i="4" s="1"/>
  <c r="G29" i="33"/>
  <c r="G39" i="4" s="1"/>
  <c r="P29" i="33"/>
  <c r="P39" i="4" s="1"/>
  <c r="D30" i="33"/>
  <c r="D40" i="4" s="1"/>
  <c r="Q30" i="33"/>
  <c r="Q40" i="4" s="1"/>
  <c r="E31" i="33"/>
  <c r="E41" i="4" s="1"/>
  <c r="F32" i="33"/>
  <c r="F42" i="4" s="1"/>
  <c r="O32" i="33"/>
  <c r="O42" i="4" s="1"/>
  <c r="C33" i="33"/>
  <c r="C43" i="4" s="1"/>
  <c r="G33" i="33"/>
  <c r="G43" i="4" s="1"/>
  <c r="P33" i="33"/>
  <c r="P43" i="4" s="1"/>
  <c r="D34" i="33"/>
  <c r="D44" i="4" s="1"/>
  <c r="H34" i="33"/>
  <c r="H44" i="4" s="1"/>
  <c r="Q34" i="33"/>
  <c r="Q44" i="4" s="1"/>
  <c r="E35" i="33"/>
  <c r="E45" i="4" s="1"/>
  <c r="H28" i="33"/>
  <c r="H38" i="4" s="1"/>
  <c r="F30" i="33"/>
  <c r="F40" i="4" s="1"/>
  <c r="O30" i="33"/>
  <c r="O40" i="4" s="1"/>
  <c r="F34" i="33"/>
  <c r="F44" i="4" s="1"/>
  <c r="O34" i="33"/>
  <c r="O44" i="4" s="1"/>
  <c r="G35" i="33"/>
  <c r="G45" i="4" s="1"/>
  <c r="P35" i="33"/>
  <c r="P45" i="4" s="1"/>
  <c r="C28" i="33"/>
  <c r="C38" i="4" s="1"/>
  <c r="P28" i="33"/>
  <c r="D29" i="33"/>
  <c r="D39" i="4" s="1"/>
  <c r="H29" i="33"/>
  <c r="H39" i="4" s="1"/>
  <c r="Q29" i="33"/>
  <c r="Q39" i="4" s="1"/>
  <c r="E30" i="33"/>
  <c r="E40" i="4" s="1"/>
  <c r="F31" i="33"/>
  <c r="F41" i="4" s="1"/>
  <c r="O31" i="33"/>
  <c r="O41" i="4" s="1"/>
  <c r="G32" i="33"/>
  <c r="G42" i="4" s="1"/>
  <c r="P32" i="33"/>
  <c r="P42" i="4" s="1"/>
  <c r="D33" i="33"/>
  <c r="D43" i="4" s="1"/>
  <c r="H33" i="33"/>
  <c r="H43" i="4" s="1"/>
  <c r="Q33" i="33"/>
  <c r="Q43" i="4" s="1"/>
  <c r="E34" i="33"/>
  <c r="E44" i="4" s="1"/>
  <c r="F35" i="33"/>
  <c r="F45" i="4" s="1"/>
  <c r="O35" i="33"/>
  <c r="O45" i="4" s="1"/>
  <c r="B29" i="33"/>
  <c r="B39" i="4" s="1"/>
  <c r="B30" i="33"/>
  <c r="B40" i="4" s="1"/>
  <c r="B31" i="33"/>
  <c r="B41" i="4" s="1"/>
  <c r="B32" i="33"/>
  <c r="B42" i="4" s="1"/>
  <c r="B33" i="33"/>
  <c r="B43" i="4" s="1"/>
  <c r="B34" i="33"/>
  <c r="B44" i="4" s="1"/>
  <c r="B35" i="33"/>
  <c r="B45" i="4" s="1"/>
  <c r="R38" i="4"/>
  <c r="V38" i="4"/>
  <c r="B22" i="33"/>
  <c r="E22" i="33"/>
  <c r="I45" i="33"/>
  <c r="I52" i="33"/>
  <c r="I27" i="33"/>
  <c r="G38" i="4"/>
  <c r="K38" i="4"/>
  <c r="P38" i="4"/>
  <c r="T38" i="4"/>
  <c r="X47" i="33"/>
  <c r="X48" i="33" s="1"/>
  <c r="X54" i="33" s="1"/>
  <c r="X46" i="33"/>
  <c r="X53" i="33" s="1"/>
  <c r="AB47" i="33"/>
  <c r="AB48" i="33" s="1"/>
  <c r="AB54" i="33" s="1"/>
  <c r="AB46" i="33"/>
  <c r="AB53" i="33" s="1"/>
  <c r="AF46" i="33"/>
  <c r="AF53" i="33" s="1"/>
  <c r="AF47" i="33"/>
  <c r="AF48" i="33" s="1"/>
  <c r="AF54" i="33" s="1"/>
  <c r="AJ46" i="33"/>
  <c r="AJ53" i="33" s="1"/>
  <c r="AJ47" i="33"/>
  <c r="AJ48" i="33" s="1"/>
  <c r="AJ54" i="33" s="1"/>
  <c r="B27" i="33"/>
  <c r="B52" i="33" s="1"/>
  <c r="AC46" i="33"/>
  <c r="AC53" i="33" s="1"/>
  <c r="AG47" i="33"/>
  <c r="AG48" i="33" s="1"/>
  <c r="AG54" i="33" s="1"/>
  <c r="D27" i="33"/>
  <c r="D52" i="33" s="1"/>
  <c r="I22" i="33"/>
  <c r="E27" i="33"/>
  <c r="E52" i="33" s="1"/>
  <c r="J38" i="4"/>
  <c r="W46" i="33"/>
  <c r="W53" i="33" s="1"/>
  <c r="W47" i="33"/>
  <c r="W48" i="33" s="1"/>
  <c r="W54" i="33" s="1"/>
  <c r="AA46" i="33"/>
  <c r="AA53" i="33" s="1"/>
  <c r="AA47" i="33"/>
  <c r="AA48" i="33" s="1"/>
  <c r="AA54" i="33" s="1"/>
  <c r="AE46" i="33"/>
  <c r="AE53" i="33" s="1"/>
  <c r="AE47" i="33"/>
  <c r="AE48" i="33" s="1"/>
  <c r="AE54" i="33" s="1"/>
  <c r="AI47" i="33"/>
  <c r="AI48" i="33" s="1"/>
  <c r="AI54" i="33" s="1"/>
  <c r="AI46" i="33"/>
  <c r="AI53" i="33" s="1"/>
  <c r="D45" i="33"/>
  <c r="G57" i="33"/>
  <c r="T57" i="33"/>
  <c r="AA57" i="33"/>
  <c r="AI57" i="33"/>
  <c r="H57" i="33"/>
  <c r="O57" i="33"/>
  <c r="U57" i="33"/>
  <c r="AC57" i="33"/>
  <c r="AJ57" i="33"/>
  <c r="C57" i="33"/>
  <c r="J57" i="33"/>
  <c r="P57" i="33"/>
  <c r="X57" i="33"/>
  <c r="AE57" i="33"/>
  <c r="AK57" i="33"/>
  <c r="D57" i="33"/>
  <c r="L57" i="33"/>
  <c r="S57" i="33"/>
  <c r="Y57" i="33"/>
  <c r="AF57" i="33"/>
  <c r="F57" i="33"/>
  <c r="K57" i="33"/>
  <c r="Q57" i="33"/>
  <c r="W57" i="33"/>
  <c r="AB57" i="33"/>
  <c r="AG57" i="33"/>
  <c r="B57" i="33"/>
  <c r="E57" i="33"/>
  <c r="I57" i="33"/>
  <c r="M57" i="33"/>
  <c r="R57" i="33"/>
  <c r="V57" i="33"/>
  <c r="Z57" i="33"/>
  <c r="AD57" i="33"/>
  <c r="AH57" i="33"/>
  <c r="U46" i="33"/>
  <c r="U53" i="33" s="1"/>
  <c r="U47" i="33"/>
  <c r="U48" i="33" s="1"/>
  <c r="U54" i="33" s="1"/>
  <c r="Y46" i="33"/>
  <c r="Y53" i="33" s="1"/>
  <c r="Y47" i="33"/>
  <c r="Y48" i="33" s="1"/>
  <c r="Y54" i="33" s="1"/>
  <c r="AK46" i="33"/>
  <c r="AK53" i="33" s="1"/>
  <c r="AK47" i="33"/>
  <c r="AK48" i="33" s="1"/>
  <c r="AK54" i="33" s="1"/>
  <c r="AG46" i="33"/>
  <c r="AG53" i="33" s="1"/>
  <c r="AC47" i="33"/>
  <c r="AC48" i="33" s="1"/>
  <c r="AC54" i="33" s="1"/>
  <c r="F22" i="33"/>
  <c r="M46" i="33"/>
  <c r="M53" i="33" s="1"/>
  <c r="R47" i="33"/>
  <c r="R48" i="33" s="1"/>
  <c r="R54" i="33" s="1"/>
  <c r="R46" i="33"/>
  <c r="R53" i="33" s="1"/>
  <c r="Z47" i="33"/>
  <c r="Z48" i="33" s="1"/>
  <c r="Z54" i="33" s="1"/>
  <c r="Z46" i="33"/>
  <c r="Z53" i="33" s="1"/>
  <c r="AD47" i="33"/>
  <c r="AD48" i="33" s="1"/>
  <c r="AD54" i="33" s="1"/>
  <c r="AD46" i="33"/>
  <c r="AD53" i="33" s="1"/>
  <c r="AH47" i="33"/>
  <c r="AH48" i="33" s="1"/>
  <c r="AH54" i="33" s="1"/>
  <c r="AH46" i="33"/>
  <c r="AH53" i="33" s="1"/>
  <c r="F45" i="33"/>
  <c r="G22" i="33"/>
  <c r="G27" i="33"/>
  <c r="G52" i="33" s="1"/>
  <c r="C22" i="33"/>
  <c r="C27" i="33"/>
  <c r="C52" i="33" s="1"/>
  <c r="H27" i="33"/>
  <c r="H52" i="33" s="1"/>
  <c r="H45" i="33"/>
  <c r="L46" i="33" l="1"/>
  <c r="L53" i="33" s="1"/>
  <c r="F47" i="33"/>
  <c r="F48" i="33" s="1"/>
  <c r="F54" i="33" s="1"/>
  <c r="M47" i="33"/>
  <c r="M48" i="33" s="1"/>
  <c r="M54" i="33" s="1"/>
  <c r="T46" i="33"/>
  <c r="T53" i="33" s="1"/>
  <c r="I47" i="33"/>
  <c r="I48" i="33" s="1"/>
  <c r="I54" i="33" s="1"/>
  <c r="S46" i="33"/>
  <c r="S53" i="33" s="1"/>
  <c r="S47" i="33"/>
  <c r="S48" i="33" s="1"/>
  <c r="S54" i="33" s="1"/>
  <c r="V46" i="33"/>
  <c r="V53" i="33" s="1"/>
  <c r="J47" i="33"/>
  <c r="J48" i="33" s="1"/>
  <c r="J54" i="33" s="1"/>
  <c r="T47" i="33"/>
  <c r="T48" i="33" s="1"/>
  <c r="T54" i="33" s="1"/>
  <c r="I46" i="33"/>
  <c r="I53" i="33" s="1"/>
  <c r="V47" i="33"/>
  <c r="V48" i="33" s="1"/>
  <c r="V54" i="33" s="1"/>
  <c r="H47" i="33"/>
  <c r="H48" i="33" s="1"/>
  <c r="H54" i="33" s="1"/>
  <c r="J46" i="33"/>
  <c r="J53" i="33" s="1"/>
  <c r="K46" i="33"/>
  <c r="K53" i="33" s="1"/>
  <c r="L47" i="33"/>
  <c r="L48" i="33" s="1"/>
  <c r="L54" i="33" s="1"/>
  <c r="K47" i="33"/>
  <c r="K48" i="33" s="1"/>
  <c r="K54" i="33" s="1"/>
  <c r="D47" i="33"/>
  <c r="D48" i="33" s="1"/>
  <c r="D54" i="33" s="1"/>
  <c r="C47" i="33"/>
  <c r="C48" i="33" s="1"/>
  <c r="C54" i="33" s="1"/>
  <c r="Q47" i="33"/>
  <c r="Q48" i="33" s="1"/>
  <c r="Q54" i="33" s="1"/>
  <c r="E47" i="33"/>
  <c r="E48" i="33" s="1"/>
  <c r="E54" i="33" s="1"/>
  <c r="O47" i="33"/>
  <c r="O48" i="33" s="1"/>
  <c r="O54" i="33" s="1"/>
  <c r="G46" i="33"/>
  <c r="G53" i="33" s="1"/>
  <c r="F46" i="33"/>
  <c r="F53" i="33" s="1"/>
  <c r="B47" i="33"/>
  <c r="B48" i="33" s="1"/>
  <c r="B54" i="33" s="1"/>
  <c r="Q38" i="4"/>
  <c r="P46" i="33"/>
  <c r="P53" i="33" s="1"/>
  <c r="E46" i="33"/>
  <c r="E53" i="33" s="1"/>
  <c r="D46" i="33"/>
  <c r="D53" i="33" s="1"/>
  <c r="O46" i="33"/>
  <c r="O53" i="33" s="1"/>
  <c r="O55" i="33" s="1"/>
  <c r="P47" i="33"/>
  <c r="P48" i="33" s="1"/>
  <c r="P54" i="33" s="1"/>
  <c r="C46" i="33"/>
  <c r="C53" i="33" s="1"/>
  <c r="B46" i="33"/>
  <c r="B65" i="33" s="1"/>
  <c r="H46" i="33"/>
  <c r="H53" i="33" s="1"/>
  <c r="F38" i="4"/>
  <c r="G47" i="33"/>
  <c r="G48" i="33" s="1"/>
  <c r="G54" i="33" s="1"/>
  <c r="AK55" i="33"/>
  <c r="W55" i="33"/>
  <c r="AF55" i="33"/>
  <c r="AH55" i="33"/>
  <c r="O59" i="33"/>
  <c r="J59" i="33"/>
  <c r="F59" i="33"/>
  <c r="I59" i="33"/>
  <c r="D59" i="33"/>
  <c r="H59" i="33"/>
  <c r="M59" i="33"/>
  <c r="G59" i="33"/>
  <c r="L59" i="33"/>
  <c r="E59" i="33"/>
  <c r="K59" i="33"/>
  <c r="C59" i="33"/>
  <c r="AI59" i="33"/>
  <c r="AE59" i="33"/>
  <c r="AA59" i="33"/>
  <c r="W59" i="33"/>
  <c r="S59" i="33"/>
  <c r="AK59" i="33"/>
  <c r="AF59" i="33"/>
  <c r="Z59" i="33"/>
  <c r="U59" i="33"/>
  <c r="P59" i="33"/>
  <c r="AJ59" i="33"/>
  <c r="AC59" i="33"/>
  <c r="V59" i="33"/>
  <c r="AH59" i="33"/>
  <c r="AB59" i="33"/>
  <c r="T59" i="33"/>
  <c r="AG59" i="33"/>
  <c r="Y59" i="33"/>
  <c r="R59" i="33"/>
  <c r="AD59" i="33"/>
  <c r="X59" i="33"/>
  <c r="Q59" i="33"/>
  <c r="R55" i="33" l="1"/>
  <c r="B53" i="33"/>
  <c r="M55" i="33" s="1"/>
  <c r="B64" i="33"/>
  <c r="AC55" i="33"/>
  <c r="AI55" i="33"/>
  <c r="T55" i="33"/>
  <c r="AB55" i="33"/>
  <c r="Y55" i="33"/>
  <c r="P55" i="33"/>
  <c r="AJ55" i="33"/>
  <c r="AG55" i="33"/>
  <c r="Q55" i="33"/>
  <c r="AA55" i="33"/>
  <c r="V55" i="33"/>
  <c r="S55" i="33"/>
  <c r="AE55" i="33"/>
  <c r="Z55" i="33"/>
  <c r="X55" i="33"/>
  <c r="U55" i="33"/>
  <c r="AD55" i="33"/>
  <c r="V60" i="33"/>
  <c r="V61" i="33" s="1"/>
  <c r="AI60" i="33"/>
  <c r="AI61" i="33" s="1"/>
  <c r="AG60" i="33"/>
  <c r="AG61" i="33" s="1"/>
  <c r="S60" i="33"/>
  <c r="S61" i="33" s="1"/>
  <c r="AD60" i="33"/>
  <c r="AD61" i="33" s="1"/>
  <c r="X60" i="33"/>
  <c r="X61" i="33" s="1"/>
  <c r="U60" i="33"/>
  <c r="U61" i="33" s="1"/>
  <c r="T60" i="33"/>
  <c r="T61" i="33" s="1"/>
  <c r="AC60" i="33"/>
  <c r="AC61" i="33" s="1"/>
  <c r="Z60" i="33"/>
  <c r="Z61" i="33" s="1"/>
  <c r="W60" i="33"/>
  <c r="W61" i="33" s="1"/>
  <c r="R60" i="33"/>
  <c r="R61" i="33" s="1"/>
  <c r="AB60" i="33"/>
  <c r="AB61" i="33" s="1"/>
  <c r="AJ60" i="33"/>
  <c r="AJ61" i="33" s="1"/>
  <c r="AF60" i="33"/>
  <c r="AF61" i="33" s="1"/>
  <c r="AA60" i="33"/>
  <c r="AA61" i="33" s="1"/>
  <c r="Q60" i="33"/>
  <c r="Q61" i="33" s="1"/>
  <c r="Y60" i="33"/>
  <c r="Y61" i="33" s="1"/>
  <c r="AH60" i="33"/>
  <c r="AH61" i="33" s="1"/>
  <c r="P60" i="33"/>
  <c r="P61" i="33" s="1"/>
  <c r="AK60" i="33"/>
  <c r="AK61" i="33" s="1"/>
  <c r="AE60" i="33"/>
  <c r="AE61" i="33" s="1"/>
  <c r="J60" i="33"/>
  <c r="J61" i="33" s="1"/>
  <c r="C60" i="33"/>
  <c r="C61" i="33" s="1"/>
  <c r="E60" i="33"/>
  <c r="E61" i="33" s="1"/>
  <c r="G60" i="33"/>
  <c r="G61" i="33" s="1"/>
  <c r="H60" i="33"/>
  <c r="H61" i="33" s="1"/>
  <c r="D60" i="33"/>
  <c r="D61" i="33" s="1"/>
  <c r="O60" i="33"/>
  <c r="O61" i="33" s="1"/>
  <c r="K60" i="33"/>
  <c r="K61" i="33" s="1"/>
  <c r="L60" i="33"/>
  <c r="L61" i="33" s="1"/>
  <c r="M60" i="33"/>
  <c r="M61" i="33" s="1"/>
  <c r="I60" i="33"/>
  <c r="I61" i="33" s="1"/>
  <c r="F60" i="33"/>
  <c r="F61" i="33" s="1"/>
  <c r="D55" i="33"/>
  <c r="B55" i="33"/>
  <c r="K55" i="33"/>
  <c r="L55" i="33"/>
  <c r="G55" i="33"/>
  <c r="F55" i="33"/>
  <c r="C55" i="33"/>
  <c r="J55" i="33"/>
  <c r="H55" i="33"/>
  <c r="I55" i="33"/>
  <c r="E55" i="33"/>
  <c r="M4" i="33" l="1"/>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W28" i="23"/>
  <c r="X28" i="23"/>
  <c r="Y28" i="23"/>
  <c r="Z28" i="23"/>
  <c r="AA28" i="23"/>
  <c r="AB28" i="23"/>
  <c r="AC28" i="23"/>
  <c r="AD28" i="23"/>
  <c r="AE28" i="23"/>
  <c r="AF28" i="23"/>
  <c r="AG28" i="23"/>
  <c r="AH28" i="23"/>
  <c r="AI28" i="23"/>
  <c r="AJ28" i="23"/>
  <c r="AK28" i="23"/>
  <c r="W29" i="23"/>
  <c r="X29" i="23"/>
  <c r="Y29" i="23"/>
  <c r="Z29" i="23"/>
  <c r="AA29" i="23"/>
  <c r="AB29" i="23"/>
  <c r="AC29" i="23"/>
  <c r="AD29" i="23"/>
  <c r="AE29" i="23"/>
  <c r="AF29" i="23"/>
  <c r="AG29" i="23"/>
  <c r="AH29" i="23"/>
  <c r="AI29" i="23"/>
  <c r="AJ29" i="23"/>
  <c r="AK29" i="23"/>
  <c r="T30" i="23"/>
  <c r="T24" i="4" s="1"/>
  <c r="W30" i="23"/>
  <c r="X30" i="23"/>
  <c r="Y30" i="23"/>
  <c r="Z30" i="23"/>
  <c r="AA30" i="23"/>
  <c r="AB30" i="23"/>
  <c r="AC30" i="23"/>
  <c r="AD30" i="23"/>
  <c r="AE30" i="23"/>
  <c r="AF30" i="23"/>
  <c r="AG30" i="23"/>
  <c r="AH30" i="23"/>
  <c r="AI30" i="23"/>
  <c r="AJ30" i="23"/>
  <c r="AK30" i="23"/>
  <c r="R31" i="23"/>
  <c r="R25" i="4" s="1"/>
  <c r="W31" i="23"/>
  <c r="X31" i="23"/>
  <c r="Y31" i="23"/>
  <c r="Z31" i="23"/>
  <c r="AA31" i="23"/>
  <c r="AB31" i="23"/>
  <c r="AC31" i="23"/>
  <c r="AD31" i="23"/>
  <c r="AE31" i="23"/>
  <c r="AF31" i="23"/>
  <c r="AG31" i="23"/>
  <c r="AH31" i="23"/>
  <c r="AI31" i="23"/>
  <c r="AJ31" i="23"/>
  <c r="AK31" i="23"/>
  <c r="U32" i="23"/>
  <c r="U26" i="4" s="1"/>
  <c r="W32" i="23"/>
  <c r="X32" i="23"/>
  <c r="Y32" i="23"/>
  <c r="Z32" i="23"/>
  <c r="AA32" i="23"/>
  <c r="AB32" i="23"/>
  <c r="AC32" i="23"/>
  <c r="AD32" i="23"/>
  <c r="AE32" i="23"/>
  <c r="AF32" i="23"/>
  <c r="AG32" i="23"/>
  <c r="AH32" i="23"/>
  <c r="AI32" i="23"/>
  <c r="AJ32" i="23"/>
  <c r="AK32" i="23"/>
  <c r="W33" i="23"/>
  <c r="X33" i="23"/>
  <c r="Y33" i="23"/>
  <c r="Z33" i="23"/>
  <c r="AA33" i="23"/>
  <c r="AB33" i="23"/>
  <c r="AC33" i="23"/>
  <c r="AD33" i="23"/>
  <c r="AE33" i="23"/>
  <c r="AF33" i="23"/>
  <c r="AG33" i="23"/>
  <c r="AH33" i="23"/>
  <c r="AI33" i="23"/>
  <c r="AJ33" i="23"/>
  <c r="AK33" i="23"/>
  <c r="T34" i="23"/>
  <c r="T28" i="4" s="1"/>
  <c r="W34" i="23"/>
  <c r="X34" i="23"/>
  <c r="Y34" i="23"/>
  <c r="Z34" i="23"/>
  <c r="AA34" i="23"/>
  <c r="AB34" i="23"/>
  <c r="AC34" i="23"/>
  <c r="AD34" i="23"/>
  <c r="AE34" i="23"/>
  <c r="AF34" i="23"/>
  <c r="AG34" i="23"/>
  <c r="AH34" i="23"/>
  <c r="AI34" i="23"/>
  <c r="AJ34" i="23"/>
  <c r="AK34" i="23"/>
  <c r="W35" i="23"/>
  <c r="X35" i="23"/>
  <c r="Y35" i="23"/>
  <c r="Z35" i="23"/>
  <c r="AA35" i="23"/>
  <c r="AB35" i="23"/>
  <c r="AC35" i="23"/>
  <c r="AD35" i="23"/>
  <c r="AE35" i="23"/>
  <c r="AF35" i="23"/>
  <c r="AG35" i="23"/>
  <c r="AH35" i="23"/>
  <c r="AI35" i="23"/>
  <c r="AJ35" i="23"/>
  <c r="AK35" i="23"/>
  <c r="P36" i="23"/>
  <c r="P30" i="4" s="1"/>
  <c r="Q36" i="23"/>
  <c r="Q30" i="4" s="1"/>
  <c r="R36" i="23"/>
  <c r="R30" i="4" s="1"/>
  <c r="S36" i="23"/>
  <c r="S30" i="4" s="1"/>
  <c r="T36" i="23"/>
  <c r="T30" i="4" s="1"/>
  <c r="U36" i="23"/>
  <c r="U30" i="4" s="1"/>
  <c r="V36" i="23"/>
  <c r="V30" i="4" s="1"/>
  <c r="W36" i="23"/>
  <c r="X36" i="23"/>
  <c r="Y36" i="23"/>
  <c r="Z36" i="23"/>
  <c r="AA36" i="23"/>
  <c r="AB36" i="23"/>
  <c r="AC36" i="23"/>
  <c r="AD36" i="23"/>
  <c r="AE36" i="23"/>
  <c r="AF36" i="23"/>
  <c r="AG36" i="23"/>
  <c r="AH36" i="23"/>
  <c r="AI36" i="23"/>
  <c r="AJ36" i="23"/>
  <c r="AK36" i="23"/>
  <c r="P37" i="23"/>
  <c r="P31" i="4" s="1"/>
  <c r="Q37" i="23"/>
  <c r="Q31" i="4" s="1"/>
  <c r="R37" i="23"/>
  <c r="R31" i="4" s="1"/>
  <c r="S37" i="23"/>
  <c r="S31" i="4" s="1"/>
  <c r="T37" i="23"/>
  <c r="T31" i="4" s="1"/>
  <c r="U37" i="23"/>
  <c r="U31" i="4" s="1"/>
  <c r="V37" i="23"/>
  <c r="V31" i="4" s="1"/>
  <c r="W37" i="23"/>
  <c r="X37" i="23"/>
  <c r="Y37" i="23"/>
  <c r="Z37" i="23"/>
  <c r="AA37" i="23"/>
  <c r="AB37" i="23"/>
  <c r="AC37" i="23"/>
  <c r="AD37" i="23"/>
  <c r="AE37" i="23"/>
  <c r="AF37" i="23"/>
  <c r="AG37" i="23"/>
  <c r="AH37" i="23"/>
  <c r="AI37" i="23"/>
  <c r="AJ37" i="23"/>
  <c r="AK37" i="23"/>
  <c r="P38" i="23"/>
  <c r="P32" i="4" s="1"/>
  <c r="Q38" i="23"/>
  <c r="Q32" i="4" s="1"/>
  <c r="R38" i="23"/>
  <c r="R32" i="4" s="1"/>
  <c r="S38" i="23"/>
  <c r="S32" i="4" s="1"/>
  <c r="T38" i="23"/>
  <c r="T32" i="4" s="1"/>
  <c r="U38" i="23"/>
  <c r="U32" i="4" s="1"/>
  <c r="V38" i="23"/>
  <c r="V32" i="4" s="1"/>
  <c r="W38" i="23"/>
  <c r="X38" i="23"/>
  <c r="Y38" i="23"/>
  <c r="Z38" i="23"/>
  <c r="AA38" i="23"/>
  <c r="AB38" i="23"/>
  <c r="AC38" i="23"/>
  <c r="AD38" i="23"/>
  <c r="AE38" i="23"/>
  <c r="AF38" i="23"/>
  <c r="AG38" i="23"/>
  <c r="AH38" i="23"/>
  <c r="AI38" i="23"/>
  <c r="AJ38" i="23"/>
  <c r="AK38" i="23"/>
  <c r="P39" i="23"/>
  <c r="P33" i="4" s="1"/>
  <c r="Q39" i="23"/>
  <c r="Q33" i="4" s="1"/>
  <c r="R39" i="23"/>
  <c r="R33" i="4" s="1"/>
  <c r="S39" i="23"/>
  <c r="S33" i="4" s="1"/>
  <c r="T39" i="23"/>
  <c r="T33" i="4" s="1"/>
  <c r="U39" i="23"/>
  <c r="U33" i="4" s="1"/>
  <c r="V39" i="23"/>
  <c r="V33" i="4" s="1"/>
  <c r="W39" i="23"/>
  <c r="X39" i="23"/>
  <c r="Y39" i="23"/>
  <c r="Z39" i="23"/>
  <c r="AA39" i="23"/>
  <c r="AB39" i="23"/>
  <c r="AC39" i="23"/>
  <c r="AD39" i="23"/>
  <c r="AE39" i="23"/>
  <c r="AF39" i="23"/>
  <c r="AG39" i="23"/>
  <c r="AH39" i="23"/>
  <c r="AI39" i="23"/>
  <c r="AJ39" i="23"/>
  <c r="AK39" i="23"/>
  <c r="P40" i="23"/>
  <c r="P34" i="4" s="1"/>
  <c r="Q40" i="23"/>
  <c r="Q34" i="4" s="1"/>
  <c r="R40" i="23"/>
  <c r="R34" i="4" s="1"/>
  <c r="S40" i="23"/>
  <c r="S34" i="4" s="1"/>
  <c r="T40" i="23"/>
  <c r="U40" i="23"/>
  <c r="U34" i="4" s="1"/>
  <c r="V40" i="23"/>
  <c r="V34" i="4" s="1"/>
  <c r="W40" i="23"/>
  <c r="X40" i="23"/>
  <c r="Y40" i="23"/>
  <c r="Z40" i="23"/>
  <c r="AA40" i="23"/>
  <c r="AB40" i="23"/>
  <c r="AC40" i="23"/>
  <c r="AD40" i="23"/>
  <c r="AE40" i="23"/>
  <c r="AF40" i="23"/>
  <c r="AG40" i="23"/>
  <c r="AH40" i="23"/>
  <c r="AI40" i="23"/>
  <c r="AJ40" i="23"/>
  <c r="AK40" i="23"/>
  <c r="P41" i="23"/>
  <c r="P35" i="4" s="1"/>
  <c r="Q41" i="23"/>
  <c r="Q35" i="4" s="1"/>
  <c r="R41" i="23"/>
  <c r="R35" i="4" s="1"/>
  <c r="S41" i="23"/>
  <c r="S35" i="4" s="1"/>
  <c r="T41" i="23"/>
  <c r="T35" i="4" s="1"/>
  <c r="U41" i="23"/>
  <c r="U35" i="4" s="1"/>
  <c r="V41" i="23"/>
  <c r="W41" i="23"/>
  <c r="X41" i="23"/>
  <c r="Y41" i="23"/>
  <c r="Z41" i="23"/>
  <c r="AA41" i="23"/>
  <c r="AB41" i="23"/>
  <c r="AC41" i="23"/>
  <c r="AD41" i="23"/>
  <c r="AE41" i="23"/>
  <c r="AF41" i="23"/>
  <c r="AG41" i="23"/>
  <c r="AH41" i="23"/>
  <c r="AI41" i="23"/>
  <c r="AJ41" i="23"/>
  <c r="AK41" i="23"/>
  <c r="P42" i="23"/>
  <c r="P36" i="4" s="1"/>
  <c r="Q42" i="23"/>
  <c r="Q36" i="4" s="1"/>
  <c r="R42" i="23"/>
  <c r="R36" i="4" s="1"/>
  <c r="S42" i="23"/>
  <c r="S36" i="4" s="1"/>
  <c r="T42" i="23"/>
  <c r="T36" i="4" s="1"/>
  <c r="U42" i="23"/>
  <c r="U36" i="4" s="1"/>
  <c r="V42" i="23"/>
  <c r="V36" i="4" s="1"/>
  <c r="W42" i="23"/>
  <c r="X42" i="23"/>
  <c r="Y42" i="23"/>
  <c r="Z42" i="23"/>
  <c r="AA42" i="23"/>
  <c r="AB42" i="23"/>
  <c r="AC42" i="23"/>
  <c r="AD42" i="23"/>
  <c r="AE42" i="23"/>
  <c r="AF42" i="23"/>
  <c r="AG42" i="23"/>
  <c r="AH42" i="23"/>
  <c r="AI42" i="23"/>
  <c r="AJ42" i="23"/>
  <c r="AK42" i="23"/>
  <c r="P43" i="23"/>
  <c r="Q43" i="23"/>
  <c r="Q37" i="4" s="1"/>
  <c r="R43" i="23"/>
  <c r="S43" i="23"/>
  <c r="T43" i="23"/>
  <c r="U43" i="23"/>
  <c r="U37" i="4" s="1"/>
  <c r="V43" i="23"/>
  <c r="W43" i="23"/>
  <c r="X43" i="23"/>
  <c r="Y43" i="23"/>
  <c r="Z43" i="23"/>
  <c r="AA43" i="23"/>
  <c r="AB43" i="23"/>
  <c r="AC43" i="23"/>
  <c r="AD43" i="23"/>
  <c r="AE43" i="23"/>
  <c r="AF43" i="23"/>
  <c r="AG43" i="23"/>
  <c r="AH43" i="23"/>
  <c r="AI43" i="23"/>
  <c r="AJ43" i="23"/>
  <c r="AK43" i="23"/>
  <c r="L28" i="23"/>
  <c r="K31" i="23"/>
  <c r="K25" i="4" s="1"/>
  <c r="L34" i="23"/>
  <c r="L28" i="4" s="1"/>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W28" i="1"/>
  <c r="X28" i="1"/>
  <c r="Y28" i="1"/>
  <c r="Z28" i="1"/>
  <c r="AA28" i="1"/>
  <c r="AB28" i="1"/>
  <c r="AC28" i="1"/>
  <c r="AD28" i="1"/>
  <c r="AE28" i="1"/>
  <c r="AF28" i="1"/>
  <c r="AG28" i="1"/>
  <c r="AH28" i="1"/>
  <c r="AI28" i="1"/>
  <c r="AJ28" i="1"/>
  <c r="AK28" i="1"/>
  <c r="W29" i="1"/>
  <c r="X29" i="1"/>
  <c r="Y29" i="1"/>
  <c r="Z29" i="1"/>
  <c r="AA29" i="1"/>
  <c r="AB29" i="1"/>
  <c r="AC29" i="1"/>
  <c r="AD29" i="1"/>
  <c r="AE29" i="1"/>
  <c r="AF29" i="1"/>
  <c r="AG29" i="1"/>
  <c r="AH29" i="1"/>
  <c r="AI29" i="1"/>
  <c r="AJ29" i="1"/>
  <c r="AK29" i="1"/>
  <c r="W30" i="1"/>
  <c r="X30" i="1"/>
  <c r="Y30" i="1"/>
  <c r="Z30" i="1"/>
  <c r="AA30" i="1"/>
  <c r="AB30" i="1"/>
  <c r="AC30" i="1"/>
  <c r="AD30" i="1"/>
  <c r="AE30" i="1"/>
  <c r="AF30" i="1"/>
  <c r="AG30" i="1"/>
  <c r="AH30" i="1"/>
  <c r="AI30" i="1"/>
  <c r="AJ30" i="1"/>
  <c r="AK30" i="1"/>
  <c r="W31" i="1"/>
  <c r="X31" i="1"/>
  <c r="Y31" i="1"/>
  <c r="Z31" i="1"/>
  <c r="AA31" i="1"/>
  <c r="AB31" i="1"/>
  <c r="AC31" i="1"/>
  <c r="AD31" i="1"/>
  <c r="AE31" i="1"/>
  <c r="AF31" i="1"/>
  <c r="AG31" i="1"/>
  <c r="AH31" i="1"/>
  <c r="AI31" i="1"/>
  <c r="AJ31" i="1"/>
  <c r="AK31" i="1"/>
  <c r="W32" i="1"/>
  <c r="X32" i="1"/>
  <c r="Y32" i="1"/>
  <c r="Z32" i="1"/>
  <c r="AA32" i="1"/>
  <c r="AB32" i="1"/>
  <c r="AC32" i="1"/>
  <c r="AD32" i="1"/>
  <c r="AE32" i="1"/>
  <c r="AF32" i="1"/>
  <c r="AG32" i="1"/>
  <c r="AH32" i="1"/>
  <c r="AI32" i="1"/>
  <c r="AJ32" i="1"/>
  <c r="AK32" i="1"/>
  <c r="W33" i="1"/>
  <c r="X33" i="1"/>
  <c r="Y33" i="1"/>
  <c r="Z33" i="1"/>
  <c r="AA33" i="1"/>
  <c r="AB33" i="1"/>
  <c r="AC33" i="1"/>
  <c r="AD33" i="1"/>
  <c r="AE33" i="1"/>
  <c r="AF33" i="1"/>
  <c r="AG33" i="1"/>
  <c r="AH33" i="1"/>
  <c r="AI33" i="1"/>
  <c r="AJ33" i="1"/>
  <c r="AK33" i="1"/>
  <c r="S34" i="1"/>
  <c r="S12" i="4" s="1"/>
  <c r="U34" i="1"/>
  <c r="U12" i="4" s="1"/>
  <c r="W34" i="1"/>
  <c r="X34" i="1"/>
  <c r="Y34" i="1"/>
  <c r="Z34" i="1"/>
  <c r="AA34" i="1"/>
  <c r="AB34" i="1"/>
  <c r="AC34" i="1"/>
  <c r="AD34" i="1"/>
  <c r="AE34" i="1"/>
  <c r="AF34" i="1"/>
  <c r="AG34" i="1"/>
  <c r="AH34" i="1"/>
  <c r="AI34" i="1"/>
  <c r="AJ34" i="1"/>
  <c r="AK34" i="1"/>
  <c r="W35" i="1"/>
  <c r="X35" i="1"/>
  <c r="Y35" i="1"/>
  <c r="Z35" i="1"/>
  <c r="AA35" i="1"/>
  <c r="AB35" i="1"/>
  <c r="AC35" i="1"/>
  <c r="AD35" i="1"/>
  <c r="AE35" i="1"/>
  <c r="AF35" i="1"/>
  <c r="AG35" i="1"/>
  <c r="AH35" i="1"/>
  <c r="AI35" i="1"/>
  <c r="AJ35" i="1"/>
  <c r="AK35" i="1"/>
  <c r="S36" i="1"/>
  <c r="S14" i="4" s="1"/>
  <c r="T36" i="1"/>
  <c r="T14" i="4" s="1"/>
  <c r="U36" i="1"/>
  <c r="U14" i="4" s="1"/>
  <c r="V36" i="1"/>
  <c r="V14" i="4" s="1"/>
  <c r="W36" i="1"/>
  <c r="X36" i="1"/>
  <c r="Y36" i="1"/>
  <c r="Z36" i="1"/>
  <c r="AA36" i="1"/>
  <c r="AB36" i="1"/>
  <c r="AC36" i="1"/>
  <c r="AD36" i="1"/>
  <c r="AE36" i="1"/>
  <c r="AF36" i="1"/>
  <c r="AG36" i="1"/>
  <c r="AH36" i="1"/>
  <c r="AI36" i="1"/>
  <c r="AJ36" i="1"/>
  <c r="AK36" i="1"/>
  <c r="S37" i="1"/>
  <c r="S15" i="4" s="1"/>
  <c r="T37" i="1"/>
  <c r="T15" i="4" s="1"/>
  <c r="U37" i="1"/>
  <c r="U15" i="4" s="1"/>
  <c r="V37" i="1"/>
  <c r="V15" i="4" s="1"/>
  <c r="W37" i="1"/>
  <c r="X37" i="1"/>
  <c r="Y37" i="1"/>
  <c r="Z37" i="1"/>
  <c r="AA37" i="1"/>
  <c r="AB37" i="1"/>
  <c r="AC37" i="1"/>
  <c r="AD37" i="1"/>
  <c r="AE37" i="1"/>
  <c r="AF37" i="1"/>
  <c r="AG37" i="1"/>
  <c r="AH37" i="1"/>
  <c r="AI37" i="1"/>
  <c r="AJ37" i="1"/>
  <c r="AK37" i="1"/>
  <c r="S38" i="1"/>
  <c r="S16" i="4" s="1"/>
  <c r="T38" i="1"/>
  <c r="T16" i="4" s="1"/>
  <c r="U38" i="1"/>
  <c r="U16" i="4" s="1"/>
  <c r="V38" i="1"/>
  <c r="V16" i="4" s="1"/>
  <c r="W38" i="1"/>
  <c r="X38" i="1"/>
  <c r="Y38" i="1"/>
  <c r="Z38" i="1"/>
  <c r="AA38" i="1"/>
  <c r="AB38" i="1"/>
  <c r="AC38" i="1"/>
  <c r="AD38" i="1"/>
  <c r="AE38" i="1"/>
  <c r="AF38" i="1"/>
  <c r="AG38" i="1"/>
  <c r="AH38" i="1"/>
  <c r="AI38" i="1"/>
  <c r="AJ38" i="1"/>
  <c r="AK38" i="1"/>
  <c r="S39" i="1"/>
  <c r="S17" i="4" s="1"/>
  <c r="T39" i="1"/>
  <c r="T17" i="4" s="1"/>
  <c r="U39" i="1"/>
  <c r="U17" i="4" s="1"/>
  <c r="V39" i="1"/>
  <c r="V17" i="4" s="1"/>
  <c r="W39" i="1"/>
  <c r="X39" i="1"/>
  <c r="Y39" i="1"/>
  <c r="Z39" i="1"/>
  <c r="AA39" i="1"/>
  <c r="AB39" i="1"/>
  <c r="AC39" i="1"/>
  <c r="AD39" i="1"/>
  <c r="AE39" i="1"/>
  <c r="AF39" i="1"/>
  <c r="AG39" i="1"/>
  <c r="AH39" i="1"/>
  <c r="AI39" i="1"/>
  <c r="AJ39" i="1"/>
  <c r="AK39" i="1"/>
  <c r="S40" i="1"/>
  <c r="S18" i="4" s="1"/>
  <c r="T40" i="1"/>
  <c r="T18" i="4" s="1"/>
  <c r="U40" i="1"/>
  <c r="U18" i="4" s="1"/>
  <c r="V40" i="1"/>
  <c r="V18" i="4" s="1"/>
  <c r="W40" i="1"/>
  <c r="X40" i="1"/>
  <c r="Y40" i="1"/>
  <c r="Z40" i="1"/>
  <c r="AA40" i="1"/>
  <c r="AB40" i="1"/>
  <c r="AC40" i="1"/>
  <c r="AD40" i="1"/>
  <c r="AE40" i="1"/>
  <c r="AF40" i="1"/>
  <c r="AG40" i="1"/>
  <c r="AH40" i="1"/>
  <c r="AI40" i="1"/>
  <c r="AJ40" i="1"/>
  <c r="AK40" i="1"/>
  <c r="S41" i="1"/>
  <c r="S19" i="4" s="1"/>
  <c r="T41" i="1"/>
  <c r="T19" i="4" s="1"/>
  <c r="U41" i="1"/>
  <c r="U19" i="4" s="1"/>
  <c r="V41" i="1"/>
  <c r="V19" i="4" s="1"/>
  <c r="W41" i="1"/>
  <c r="X41" i="1"/>
  <c r="Y41" i="1"/>
  <c r="Z41" i="1"/>
  <c r="AA41" i="1"/>
  <c r="AB41" i="1"/>
  <c r="AC41" i="1"/>
  <c r="AD41" i="1"/>
  <c r="AE41" i="1"/>
  <c r="AF41" i="1"/>
  <c r="AG41" i="1"/>
  <c r="AH41" i="1"/>
  <c r="AI41" i="1"/>
  <c r="AJ41" i="1"/>
  <c r="AK41" i="1"/>
  <c r="S42" i="1"/>
  <c r="S20" i="4" s="1"/>
  <c r="T42" i="1"/>
  <c r="T20" i="4" s="1"/>
  <c r="U42" i="1"/>
  <c r="U20" i="4" s="1"/>
  <c r="V42" i="1"/>
  <c r="V20" i="4" s="1"/>
  <c r="W42" i="1"/>
  <c r="X42" i="1"/>
  <c r="Y42" i="1"/>
  <c r="Z42" i="1"/>
  <c r="AA42" i="1"/>
  <c r="AB42" i="1"/>
  <c r="AC42" i="1"/>
  <c r="AD42" i="1"/>
  <c r="AE42" i="1"/>
  <c r="AF42" i="1"/>
  <c r="AG42" i="1"/>
  <c r="AH42" i="1"/>
  <c r="AI42" i="1"/>
  <c r="AJ42" i="1"/>
  <c r="AK42" i="1"/>
  <c r="S43" i="1"/>
  <c r="S21" i="4" s="1"/>
  <c r="T43" i="1"/>
  <c r="U43" i="1"/>
  <c r="V43" i="1"/>
  <c r="W43" i="1"/>
  <c r="X43" i="1"/>
  <c r="Y43" i="1"/>
  <c r="Z43" i="1"/>
  <c r="AA43" i="1"/>
  <c r="AB43" i="1"/>
  <c r="AC43" i="1"/>
  <c r="AD43" i="1"/>
  <c r="AE43" i="1"/>
  <c r="AF43" i="1"/>
  <c r="AG43" i="1"/>
  <c r="AH43" i="1"/>
  <c r="AI43" i="1"/>
  <c r="AJ43" i="1"/>
  <c r="AK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AE23" i="23"/>
  <c r="AF23" i="23"/>
  <c r="AG23" i="23"/>
  <c r="AH23" i="23"/>
  <c r="AI23" i="23"/>
  <c r="AJ23" i="23"/>
  <c r="AK23" i="23"/>
  <c r="AE24" i="23"/>
  <c r="AF24" i="23"/>
  <c r="AG24" i="23"/>
  <c r="AH24" i="23"/>
  <c r="AI24" i="23"/>
  <c r="AJ24" i="23"/>
  <c r="AK24" i="23"/>
  <c r="AF23" i="1"/>
  <c r="AG23" i="1"/>
  <c r="AH23" i="1"/>
  <c r="AI23" i="1"/>
  <c r="AJ23" i="1"/>
  <c r="AK23" i="1"/>
  <c r="AF24" i="1"/>
  <c r="AG24" i="1"/>
  <c r="AH24" i="1"/>
  <c r="AI24" i="1"/>
  <c r="AJ24" i="1"/>
  <c r="AK24"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V35" i="4"/>
  <c r="I41" i="23"/>
  <c r="I35" i="4" s="1"/>
  <c r="H41" i="23"/>
  <c r="H35" i="4" s="1"/>
  <c r="G41" i="23"/>
  <c r="G35" i="4" s="1"/>
  <c r="F41" i="23"/>
  <c r="F35" i="4" s="1"/>
  <c r="E41" i="23"/>
  <c r="E35" i="4" s="1"/>
  <c r="D41" i="23"/>
  <c r="D35" i="4" s="1"/>
  <c r="C41" i="23"/>
  <c r="C35" i="4" s="1"/>
  <c r="B41" i="23"/>
  <c r="B35" i="4" s="1"/>
  <c r="T34" i="4"/>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AD24" i="23"/>
  <c r="AC24" i="23"/>
  <c r="AB24" i="23"/>
  <c r="AA24" i="23"/>
  <c r="Z24" i="23"/>
  <c r="Y24" i="23"/>
  <c r="X24" i="23"/>
  <c r="W24" i="23"/>
  <c r="V24" i="23"/>
  <c r="U24" i="23"/>
  <c r="T24" i="23"/>
  <c r="S24" i="23"/>
  <c r="R24" i="23"/>
  <c r="Q24" i="23"/>
  <c r="P24" i="23"/>
  <c r="O24" i="23"/>
  <c r="L24" i="23"/>
  <c r="J24" i="23"/>
  <c r="I24" i="23"/>
  <c r="H24" i="23"/>
  <c r="G24" i="23"/>
  <c r="F24" i="23"/>
  <c r="E24" i="23"/>
  <c r="D24" i="23"/>
  <c r="C24" i="23"/>
  <c r="B24" i="23"/>
  <c r="AD23" i="23"/>
  <c r="AC23" i="23"/>
  <c r="AB23" i="23"/>
  <c r="AA23" i="23"/>
  <c r="Z23" i="23"/>
  <c r="Y23" i="23"/>
  <c r="X23" i="23"/>
  <c r="W23"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J40" i="23"/>
  <c r="J34" i="4" s="1"/>
  <c r="J36" i="23"/>
  <c r="J30" i="4" s="1"/>
  <c r="G31" i="23"/>
  <c r="G25" i="4" s="1"/>
  <c r="D30" i="23"/>
  <c r="D24" i="4" s="1"/>
  <c r="J42" i="23"/>
  <c r="J36" i="4" s="1"/>
  <c r="J38" i="23"/>
  <c r="J32" i="4" s="1"/>
  <c r="F34" i="23"/>
  <c r="F28" i="4" s="1"/>
  <c r="I31" i="23"/>
  <c r="I25" i="4" s="1"/>
  <c r="D28" i="23"/>
  <c r="J41" i="23"/>
  <c r="J35" i="4" s="1"/>
  <c r="J37" i="23"/>
  <c r="J31" i="4" s="1"/>
  <c r="H35" i="23"/>
  <c r="H29" i="4" s="1"/>
  <c r="I34" i="23"/>
  <c r="I28" i="4" s="1"/>
  <c r="J43" i="23"/>
  <c r="J39" i="23"/>
  <c r="J33" i="4" s="1"/>
  <c r="J35" i="23"/>
  <c r="J29" i="4" s="1"/>
  <c r="E32" i="23"/>
  <c r="E26" i="4" s="1"/>
  <c r="J31" i="23"/>
  <c r="J25" i="4" s="1"/>
  <c r="C30" i="23"/>
  <c r="C24" i="4" s="1"/>
  <c r="I28" i="23"/>
  <c r="E35" i="23"/>
  <c r="E29" i="4" s="1"/>
  <c r="G33" i="23"/>
  <c r="G27" i="4" s="1"/>
  <c r="D32" i="23"/>
  <c r="D26" i="4" s="1"/>
  <c r="H28" i="23"/>
  <c r="I30" i="23"/>
  <c r="I24" i="4" s="1"/>
  <c r="P22" i="23"/>
  <c r="S23" i="1"/>
  <c r="T23" i="1"/>
  <c r="U23" i="1"/>
  <c r="V23" i="1"/>
  <c r="W23" i="1"/>
  <c r="X23" i="1"/>
  <c r="Y23" i="1"/>
  <c r="Z23" i="1"/>
  <c r="AA23" i="1"/>
  <c r="AB23" i="1"/>
  <c r="AC23" i="1"/>
  <c r="AD23" i="1"/>
  <c r="S24" i="1"/>
  <c r="T24" i="1"/>
  <c r="U24" i="1"/>
  <c r="V24" i="1"/>
  <c r="W24" i="1"/>
  <c r="X24" i="1"/>
  <c r="Y24" i="1"/>
  <c r="Z24" i="1"/>
  <c r="AA24" i="1"/>
  <c r="AB24" i="1"/>
  <c r="AC24" i="1"/>
  <c r="AD24" i="1"/>
  <c r="L23" i="1"/>
  <c r="M23" i="1"/>
  <c r="L24" i="1"/>
  <c r="M24" i="1"/>
  <c r="O9" i="12"/>
  <c r="O10" i="12" s="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D33" i="1"/>
  <c r="D11" i="4" s="1"/>
  <c r="G35" i="1"/>
  <c r="G13" i="4" s="1"/>
  <c r="Q27" i="1"/>
  <c r="Q52" i="1" s="1"/>
  <c r="K24" i="1"/>
  <c r="J24" i="1"/>
  <c r="H24" i="1"/>
  <c r="G24" i="1"/>
  <c r="F24" i="1"/>
  <c r="E24" i="1"/>
  <c r="D24" i="1"/>
  <c r="C24" i="1"/>
  <c r="B24" i="1"/>
  <c r="K23" i="1"/>
  <c r="J23" i="1"/>
  <c r="H23" i="1"/>
  <c r="G23" i="1"/>
  <c r="F23" i="1"/>
  <c r="E23" i="1"/>
  <c r="D23" i="1"/>
  <c r="C23" i="1"/>
  <c r="AE24" i="1"/>
  <c r="R24" i="1"/>
  <c r="AE23" i="1"/>
  <c r="R23" i="1"/>
  <c r="K4" i="1"/>
  <c r="K4" i="4" s="1"/>
  <c r="K62" i="4" s="1"/>
  <c r="L4" i="1"/>
  <c r="L4" i="4" s="1"/>
  <c r="K4" i="23"/>
  <c r="K52" i="23" s="1"/>
  <c r="L4" i="23"/>
  <c r="L27" i="23" s="1"/>
  <c r="T56" i="23"/>
  <c r="S56" i="23"/>
  <c r="AG56" i="23"/>
  <c r="AD56" i="1"/>
  <c r="AC56" i="1"/>
  <c r="Q56" i="23"/>
  <c r="AK56" i="1"/>
  <c r="AF56" i="1"/>
  <c r="U56" i="23"/>
  <c r="AB56" i="1"/>
  <c r="AJ56" i="1"/>
  <c r="J56" i="1"/>
  <c r="AK56" i="23"/>
  <c r="P56" i="23"/>
  <c r="AG56" i="1"/>
  <c r="AB56" i="23"/>
  <c r="I56" i="23"/>
  <c r="G56" i="23"/>
  <c r="E56" i="23"/>
  <c r="AE56" i="1"/>
  <c r="AA56" i="1"/>
  <c r="U56" i="1"/>
  <c r="W56" i="1"/>
  <c r="L56" i="1"/>
  <c r="M56" i="1"/>
  <c r="W56" i="23"/>
  <c r="L56" i="23"/>
  <c r="AI56" i="1"/>
  <c r="K56" i="1"/>
  <c r="M56" i="23"/>
  <c r="AJ56" i="23"/>
  <c r="AI56" i="23"/>
  <c r="Z56" i="23"/>
  <c r="V56" i="23"/>
  <c r="Z56" i="1"/>
  <c r="Y56" i="23"/>
  <c r="AH56" i="1"/>
  <c r="C56" i="23"/>
  <c r="X56" i="1"/>
  <c r="F56" i="23"/>
  <c r="AC56" i="23"/>
  <c r="AE56" i="23"/>
  <c r="S56" i="1"/>
  <c r="R56" i="23"/>
  <c r="H56" i="23"/>
  <c r="X56" i="23"/>
  <c r="T56" i="1"/>
  <c r="AD56" i="23"/>
  <c r="V56" i="1"/>
  <c r="AA56" i="23"/>
  <c r="D56" i="23"/>
  <c r="K56" i="23"/>
  <c r="J56" i="23"/>
  <c r="AH56" i="23"/>
  <c r="Y56" i="1"/>
  <c r="AF56" i="23"/>
  <c r="S34" i="23" l="1"/>
  <c r="S28" i="4" s="1"/>
  <c r="T32" i="23"/>
  <c r="T26" i="4" s="1"/>
  <c r="K34" i="23"/>
  <c r="K28" i="4" s="1"/>
  <c r="G28" i="23"/>
  <c r="I32" i="23"/>
  <c r="I26" i="4" s="1"/>
  <c r="J34" i="23"/>
  <c r="J28" i="4" s="1"/>
  <c r="F32" i="23"/>
  <c r="F26" i="4" s="1"/>
  <c r="J29" i="23"/>
  <c r="J23" i="4" s="1"/>
  <c r="M33" i="23"/>
  <c r="M27" i="4" s="1"/>
  <c r="S32" i="23"/>
  <c r="S26" i="4" s="1"/>
  <c r="U30" i="23"/>
  <c r="U24" i="4" s="1"/>
  <c r="C34" i="23"/>
  <c r="C28" i="4" s="1"/>
  <c r="C28" i="23"/>
  <c r="M31" i="23"/>
  <c r="M25" i="4" s="1"/>
  <c r="U28" i="23"/>
  <c r="U22" i="4" s="1"/>
  <c r="G32" i="23"/>
  <c r="G26" i="4" s="1"/>
  <c r="J32" i="23"/>
  <c r="J26" i="4" s="1"/>
  <c r="F33" i="23"/>
  <c r="F27" i="4" s="1"/>
  <c r="E33" i="23"/>
  <c r="E27" i="4" s="1"/>
  <c r="E30" i="23"/>
  <c r="E24" i="4" s="1"/>
  <c r="L31" i="23"/>
  <c r="L25" i="4" s="1"/>
  <c r="S30" i="23"/>
  <c r="S24" i="4" s="1"/>
  <c r="T28" i="23"/>
  <c r="T22" i="4" s="1"/>
  <c r="I35" i="23"/>
  <c r="I29" i="4" s="1"/>
  <c r="J33" i="23"/>
  <c r="J27" i="4" s="1"/>
  <c r="D29" i="23"/>
  <c r="D23" i="4" s="1"/>
  <c r="C29" i="23"/>
  <c r="C23" i="4" s="1"/>
  <c r="F28" i="23"/>
  <c r="I33" i="23"/>
  <c r="I27" i="4" s="1"/>
  <c r="S28" i="23"/>
  <c r="S22" i="4" s="1"/>
  <c r="J30" i="23"/>
  <c r="J24" i="4" s="1"/>
  <c r="J28" i="23"/>
  <c r="J22" i="4" s="1"/>
  <c r="C35" i="23"/>
  <c r="C29" i="4" s="1"/>
  <c r="K29" i="23"/>
  <c r="K23" i="4" s="1"/>
  <c r="G29" i="23"/>
  <c r="G23" i="4" s="1"/>
  <c r="G30" i="23"/>
  <c r="G24" i="4" s="1"/>
  <c r="E34" i="23"/>
  <c r="E28" i="4" s="1"/>
  <c r="E31" i="23"/>
  <c r="E25" i="4" s="1"/>
  <c r="I29" i="23"/>
  <c r="I23" i="4" s="1"/>
  <c r="G35" i="23"/>
  <c r="G29" i="4" s="1"/>
  <c r="M28" i="23"/>
  <c r="M46" i="23" s="1"/>
  <c r="M53" i="23" s="1"/>
  <c r="U34" i="23"/>
  <c r="U28" i="4" s="1"/>
  <c r="O38" i="1"/>
  <c r="O16" i="4" s="1"/>
  <c r="L33" i="23"/>
  <c r="L27" i="4" s="1"/>
  <c r="M30" i="23"/>
  <c r="M24" i="4" s="1"/>
  <c r="K28" i="23"/>
  <c r="K22" i="4" s="1"/>
  <c r="V35" i="23"/>
  <c r="V29" i="4" s="1"/>
  <c r="R34" i="23"/>
  <c r="R28" i="4" s="1"/>
  <c r="V33" i="23"/>
  <c r="V27" i="4" s="1"/>
  <c r="R32" i="23"/>
  <c r="R26" i="4" s="1"/>
  <c r="V31" i="23"/>
  <c r="V25" i="4" s="1"/>
  <c r="R30" i="23"/>
  <c r="R24" i="4" s="1"/>
  <c r="V29" i="23"/>
  <c r="V23" i="4" s="1"/>
  <c r="R28" i="23"/>
  <c r="M35" i="23"/>
  <c r="M29" i="4" s="1"/>
  <c r="K33" i="23"/>
  <c r="K27" i="4" s="1"/>
  <c r="L30" i="23"/>
  <c r="L24" i="4" s="1"/>
  <c r="U35" i="23"/>
  <c r="U47" i="23" s="1"/>
  <c r="U48" i="23" s="1"/>
  <c r="U54" i="23" s="1"/>
  <c r="U33" i="23"/>
  <c r="U27" i="4" s="1"/>
  <c r="U31" i="23"/>
  <c r="U25" i="4" s="1"/>
  <c r="U29" i="23"/>
  <c r="U23" i="4" s="1"/>
  <c r="L35" i="23"/>
  <c r="L29" i="4" s="1"/>
  <c r="M32" i="23"/>
  <c r="M26" i="4" s="1"/>
  <c r="K30" i="23"/>
  <c r="K24" i="4" s="1"/>
  <c r="T35" i="23"/>
  <c r="T29" i="4" s="1"/>
  <c r="T33" i="23"/>
  <c r="T31" i="23"/>
  <c r="T25" i="4" s="1"/>
  <c r="T29" i="23"/>
  <c r="T23" i="4" s="1"/>
  <c r="K35" i="23"/>
  <c r="K29" i="4" s="1"/>
  <c r="L32" i="23"/>
  <c r="L26" i="4" s="1"/>
  <c r="M29" i="23"/>
  <c r="M23" i="4" s="1"/>
  <c r="S35" i="23"/>
  <c r="S29" i="4" s="1"/>
  <c r="S33" i="23"/>
  <c r="S27" i="4" s="1"/>
  <c r="S31" i="23"/>
  <c r="S25" i="4" s="1"/>
  <c r="S29" i="23"/>
  <c r="S23" i="4" s="1"/>
  <c r="M34" i="23"/>
  <c r="M28" i="4" s="1"/>
  <c r="K32" i="23"/>
  <c r="K26" i="4" s="1"/>
  <c r="L29" i="23"/>
  <c r="L23" i="4" s="1"/>
  <c r="R35" i="23"/>
  <c r="R29" i="4" s="1"/>
  <c r="V34" i="23"/>
  <c r="V28" i="4" s="1"/>
  <c r="R33" i="23"/>
  <c r="R27" i="4" s="1"/>
  <c r="V32" i="23"/>
  <c r="V26" i="4" s="1"/>
  <c r="V30" i="23"/>
  <c r="V24" i="4" s="1"/>
  <c r="R29" i="23"/>
  <c r="R23" i="4" s="1"/>
  <c r="V28" i="23"/>
  <c r="R33" i="1"/>
  <c r="R11" i="4" s="1"/>
  <c r="D35" i="23"/>
  <c r="D29" i="4" s="1"/>
  <c r="E28" i="23"/>
  <c r="E47" i="23" s="1"/>
  <c r="E48" i="23" s="1"/>
  <c r="E54" i="23" s="1"/>
  <c r="H33" i="23"/>
  <c r="H27" i="4" s="1"/>
  <c r="F35" i="23"/>
  <c r="F29" i="4" s="1"/>
  <c r="C32" i="23"/>
  <c r="C26" i="4" s="1"/>
  <c r="C33" i="23"/>
  <c r="C27" i="4" s="1"/>
  <c r="E29" i="23"/>
  <c r="E23" i="4" s="1"/>
  <c r="C31" i="23"/>
  <c r="C25" i="4" s="1"/>
  <c r="H34" i="23"/>
  <c r="H28" i="4" s="1"/>
  <c r="F29" i="23"/>
  <c r="F23" i="4" s="1"/>
  <c r="T35" i="1"/>
  <c r="T13" i="4" s="1"/>
  <c r="V33" i="1"/>
  <c r="V11" i="4" s="1"/>
  <c r="U32" i="1"/>
  <c r="U10" i="4" s="1"/>
  <c r="T31" i="1"/>
  <c r="T9" i="4" s="1"/>
  <c r="S30" i="1"/>
  <c r="S8" i="4" s="1"/>
  <c r="V29" i="1"/>
  <c r="V7" i="4" s="1"/>
  <c r="U28" i="1"/>
  <c r="Q35" i="23"/>
  <c r="Q29" i="4" s="1"/>
  <c r="S35" i="1"/>
  <c r="S13" i="4" s="1"/>
  <c r="V34" i="1"/>
  <c r="V12" i="4" s="1"/>
  <c r="U33" i="1"/>
  <c r="U11" i="4" s="1"/>
  <c r="T32" i="1"/>
  <c r="T10" i="4" s="1"/>
  <c r="S31" i="1"/>
  <c r="S9" i="4" s="1"/>
  <c r="V30" i="1"/>
  <c r="V8" i="4" s="1"/>
  <c r="U29" i="1"/>
  <c r="U7" i="4" s="1"/>
  <c r="T28" i="1"/>
  <c r="Q33" i="23"/>
  <c r="Q27" i="4" s="1"/>
  <c r="V35" i="1"/>
  <c r="V13" i="4" s="1"/>
  <c r="T33" i="1"/>
  <c r="T11" i="4" s="1"/>
  <c r="S32" i="1"/>
  <c r="S10" i="4" s="1"/>
  <c r="V31" i="1"/>
  <c r="V9" i="4" s="1"/>
  <c r="U30" i="1"/>
  <c r="U8" i="4" s="1"/>
  <c r="T29" i="1"/>
  <c r="T7" i="4" s="1"/>
  <c r="S28" i="1"/>
  <c r="Q31" i="23"/>
  <c r="Q25" i="4" s="1"/>
  <c r="H31" i="23"/>
  <c r="H25" i="4" s="1"/>
  <c r="H29" i="23"/>
  <c r="H23" i="4" s="1"/>
  <c r="F31" i="23"/>
  <c r="F25" i="4" s="1"/>
  <c r="D33" i="23"/>
  <c r="D27" i="4" s="1"/>
  <c r="G34" i="23"/>
  <c r="G28" i="4" s="1"/>
  <c r="F30" i="23"/>
  <c r="F24" i="4" s="1"/>
  <c r="H32" i="23"/>
  <c r="H26" i="4" s="1"/>
  <c r="H30" i="23"/>
  <c r="H24" i="4" s="1"/>
  <c r="D34" i="23"/>
  <c r="D28" i="4" s="1"/>
  <c r="D31" i="23"/>
  <c r="D25" i="4" s="1"/>
  <c r="U35" i="1"/>
  <c r="U13" i="4" s="1"/>
  <c r="T34" i="1"/>
  <c r="T12" i="4" s="1"/>
  <c r="S33" i="1"/>
  <c r="S11" i="4" s="1"/>
  <c r="V32" i="1"/>
  <c r="V10" i="4" s="1"/>
  <c r="U31" i="1"/>
  <c r="U9" i="4" s="1"/>
  <c r="T30" i="1"/>
  <c r="T8" i="4" s="1"/>
  <c r="S29" i="1"/>
  <c r="S7" i="4" s="1"/>
  <c r="V28" i="1"/>
  <c r="Q29" i="23"/>
  <c r="Q23" i="4" s="1"/>
  <c r="P28" i="1"/>
  <c r="P6" i="4" s="1"/>
  <c r="I33" i="1"/>
  <c r="I11" i="4" s="1"/>
  <c r="J32" i="1"/>
  <c r="J10" i="4" s="1"/>
  <c r="K34" i="1"/>
  <c r="K12" i="4" s="1"/>
  <c r="M32" i="1"/>
  <c r="M10" i="4" s="1"/>
  <c r="Q35" i="1"/>
  <c r="Q13" i="4" s="1"/>
  <c r="P34" i="1"/>
  <c r="P12" i="4" s="1"/>
  <c r="Q34" i="1"/>
  <c r="Q12" i="4" s="1"/>
  <c r="I29" i="1"/>
  <c r="I7" i="4" s="1"/>
  <c r="I30" i="1"/>
  <c r="I8" i="4" s="1"/>
  <c r="J35" i="1"/>
  <c r="J13" i="4" s="1"/>
  <c r="J31" i="1"/>
  <c r="J9" i="4" s="1"/>
  <c r="K35" i="1"/>
  <c r="K13" i="4" s="1"/>
  <c r="M33" i="1"/>
  <c r="M11" i="4" s="1"/>
  <c r="L32" i="1"/>
  <c r="L10" i="4" s="1"/>
  <c r="K31" i="1"/>
  <c r="M29" i="1"/>
  <c r="M7" i="4" s="1"/>
  <c r="L28" i="1"/>
  <c r="L35" i="1"/>
  <c r="L13" i="4" s="1"/>
  <c r="Q33" i="1"/>
  <c r="Q11" i="4" s="1"/>
  <c r="P33" i="1"/>
  <c r="P11" i="4" s="1"/>
  <c r="Q31" i="1"/>
  <c r="Q9" i="4" s="1"/>
  <c r="J34" i="1"/>
  <c r="J12" i="4" s="1"/>
  <c r="J30" i="1"/>
  <c r="J8" i="4" s="1"/>
  <c r="J28" i="1"/>
  <c r="J6" i="4" s="1"/>
  <c r="M34" i="1"/>
  <c r="M12" i="4" s="1"/>
  <c r="L33" i="1"/>
  <c r="L11" i="4" s="1"/>
  <c r="K32" i="1"/>
  <c r="K10" i="4" s="1"/>
  <c r="M30" i="1"/>
  <c r="M8" i="4" s="1"/>
  <c r="L29" i="1"/>
  <c r="L7" i="4" s="1"/>
  <c r="K28" i="1"/>
  <c r="O41" i="1"/>
  <c r="O19" i="4" s="1"/>
  <c r="L31" i="1"/>
  <c r="L9" i="4" s="1"/>
  <c r="K30" i="1"/>
  <c r="K8" i="4" s="1"/>
  <c r="M28" i="1"/>
  <c r="M6" i="4" s="1"/>
  <c r="Q28" i="1"/>
  <c r="P30" i="1"/>
  <c r="P8" i="4" s="1"/>
  <c r="I34" i="1"/>
  <c r="I12" i="4" s="1"/>
  <c r="J33" i="1"/>
  <c r="J11" i="4" s="1"/>
  <c r="J29" i="1"/>
  <c r="J7" i="4" s="1"/>
  <c r="M35" i="1"/>
  <c r="M13" i="4" s="1"/>
  <c r="L34" i="1"/>
  <c r="L12" i="4" s="1"/>
  <c r="K33" i="1"/>
  <c r="K11" i="4" s="1"/>
  <c r="M31" i="1"/>
  <c r="M9" i="4" s="1"/>
  <c r="L30" i="1"/>
  <c r="L8" i="4" s="1"/>
  <c r="K29" i="1"/>
  <c r="K7" i="4" s="1"/>
  <c r="P35" i="23"/>
  <c r="P29" i="4" s="1"/>
  <c r="P33" i="23"/>
  <c r="P27" i="4" s="1"/>
  <c r="P31" i="23"/>
  <c r="P25" i="4" s="1"/>
  <c r="P29" i="23"/>
  <c r="P23" i="4" s="1"/>
  <c r="Q34" i="23"/>
  <c r="Q28" i="4" s="1"/>
  <c r="Q32" i="23"/>
  <c r="Q26" i="4" s="1"/>
  <c r="Q30" i="23"/>
  <c r="Q24" i="4" s="1"/>
  <c r="Q28" i="23"/>
  <c r="P34" i="23"/>
  <c r="P28" i="4" s="1"/>
  <c r="P32" i="23"/>
  <c r="P26" i="4" s="1"/>
  <c r="P30" i="23"/>
  <c r="P24" i="4" s="1"/>
  <c r="P28" i="23"/>
  <c r="P47" i="23" s="1"/>
  <c r="P48" i="23" s="1"/>
  <c r="P54" i="23" s="1"/>
  <c r="O41" i="23"/>
  <c r="O35" i="4" s="1"/>
  <c r="O40" i="23"/>
  <c r="O34" i="4" s="1"/>
  <c r="O43" i="23"/>
  <c r="O37" i="4" s="1"/>
  <c r="O39" i="23"/>
  <c r="O33" i="4" s="1"/>
  <c r="O42" i="23"/>
  <c r="O36" i="4" s="1"/>
  <c r="O36" i="23"/>
  <c r="O30" i="4" s="1"/>
  <c r="O35" i="23"/>
  <c r="O29" i="4" s="1"/>
  <c r="O33" i="23"/>
  <c r="O27" i="4" s="1"/>
  <c r="O29" i="23"/>
  <c r="O23" i="4" s="1"/>
  <c r="O40" i="1"/>
  <c r="O18" i="4" s="1"/>
  <c r="O43" i="1"/>
  <c r="O21" i="4" s="1"/>
  <c r="O42" i="1"/>
  <c r="O20" i="4" s="1"/>
  <c r="O39" i="1"/>
  <c r="O17" i="4" s="1"/>
  <c r="E29" i="1"/>
  <c r="E7" i="4" s="1"/>
  <c r="H35" i="1"/>
  <c r="H13" i="4" s="1"/>
  <c r="E35" i="1"/>
  <c r="E13" i="4" s="1"/>
  <c r="F33" i="1"/>
  <c r="F11" i="4" s="1"/>
  <c r="C35" i="1"/>
  <c r="C13" i="4" s="1"/>
  <c r="H32" i="1"/>
  <c r="H10" i="4" s="1"/>
  <c r="F35" i="1"/>
  <c r="F13" i="4" s="1"/>
  <c r="D35" i="1"/>
  <c r="D13" i="4" s="1"/>
  <c r="H34" i="1"/>
  <c r="H12" i="4" s="1"/>
  <c r="G29" i="1"/>
  <c r="G7" i="4" s="1"/>
  <c r="O32" i="1"/>
  <c r="O10" i="4" s="1"/>
  <c r="G30" i="1"/>
  <c r="G8" i="4" s="1"/>
  <c r="F34" i="1"/>
  <c r="F12" i="4" s="1"/>
  <c r="F30" i="1"/>
  <c r="F8" i="4" s="1"/>
  <c r="E32" i="1"/>
  <c r="E10" i="4" s="1"/>
  <c r="C33" i="1"/>
  <c r="C11" i="4" s="1"/>
  <c r="G34" i="1"/>
  <c r="G12" i="4" s="1"/>
  <c r="E33" i="1"/>
  <c r="E11" i="4" s="1"/>
  <c r="H33" i="1"/>
  <c r="H11" i="4" s="1"/>
  <c r="H30" i="1"/>
  <c r="H8" i="4" s="1"/>
  <c r="B33" i="1"/>
  <c r="B11" i="4" s="1"/>
  <c r="F29" i="1"/>
  <c r="F7" i="4" s="1"/>
  <c r="E30" i="1"/>
  <c r="E8" i="4" s="1"/>
  <c r="H31" i="1"/>
  <c r="H9" i="4" s="1"/>
  <c r="F32" i="1"/>
  <c r="F10" i="4" s="1"/>
  <c r="F22" i="4"/>
  <c r="L6" i="4"/>
  <c r="T6" i="4"/>
  <c r="M22" i="4"/>
  <c r="Q6" i="4"/>
  <c r="H22" i="4"/>
  <c r="I22" i="4"/>
  <c r="D22" i="4"/>
  <c r="C22" i="4"/>
  <c r="K6" i="4"/>
  <c r="S6" i="4"/>
  <c r="L22" i="4"/>
  <c r="G22" i="4"/>
  <c r="U6" i="4"/>
  <c r="AI4" i="33"/>
  <c r="AI27" i="33" s="1"/>
  <c r="AI52" i="33" s="1"/>
  <c r="AH4" i="33"/>
  <c r="AH22" i="33" s="1"/>
  <c r="AJ4" i="33"/>
  <c r="AJ22" i="33" s="1"/>
  <c r="AF4" i="33"/>
  <c r="AF27" i="33" s="1"/>
  <c r="AF52" i="33" s="1"/>
  <c r="AB4" i="33"/>
  <c r="AB27" i="33" s="1"/>
  <c r="AB52" i="33" s="1"/>
  <c r="X4" i="33"/>
  <c r="X45" i="33" s="1"/>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AB45" i="33"/>
  <c r="E55" i="4"/>
  <c r="E62" i="4"/>
  <c r="K9" i="12"/>
  <c r="K10" i="12" s="1"/>
  <c r="P21" i="4"/>
  <c r="I52" i="23"/>
  <c r="R4" i="33"/>
  <c r="AD4" i="33"/>
  <c r="Z4" i="33"/>
  <c r="V37" i="4"/>
  <c r="R37" i="4"/>
  <c r="K37" i="4"/>
  <c r="I45" i="23"/>
  <c r="AK4" i="33"/>
  <c r="AG4" i="33"/>
  <c r="AC4" i="33"/>
  <c r="U4" i="33"/>
  <c r="R21" i="4"/>
  <c r="Q21" i="4"/>
  <c r="AE4" i="33"/>
  <c r="AA4" i="33"/>
  <c r="S4" i="33"/>
  <c r="C27" i="23"/>
  <c r="C52" i="23" s="1"/>
  <c r="I27" i="23"/>
  <c r="V21" i="4"/>
  <c r="T21" i="4"/>
  <c r="B21" i="4"/>
  <c r="O37" i="23"/>
  <c r="O31" i="4" s="1"/>
  <c r="O34" i="23"/>
  <c r="O28" i="4" s="1"/>
  <c r="O38" i="23"/>
  <c r="T37" i="4"/>
  <c r="B38" i="23"/>
  <c r="F37" i="4"/>
  <c r="L37" i="4"/>
  <c r="P37" i="4"/>
  <c r="S37" i="4"/>
  <c r="J37" i="4"/>
  <c r="H37" i="4"/>
  <c r="M37" i="4"/>
  <c r="Q4" i="4"/>
  <c r="Q62" i="4" s="1"/>
  <c r="H7" i="22"/>
  <c r="Z4" i="1"/>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AA46" i="23"/>
  <c r="AA53" i="23" s="1"/>
  <c r="O28" i="23"/>
  <c r="B31" i="23"/>
  <c r="B25" i="4" s="1"/>
  <c r="B29" i="23"/>
  <c r="B23" i="4" s="1"/>
  <c r="P46" i="23"/>
  <c r="P53" i="23" s="1"/>
  <c r="Q32" i="1"/>
  <c r="P32" i="1"/>
  <c r="P10" i="4" s="1"/>
  <c r="D4" i="4"/>
  <c r="O29" i="1"/>
  <c r="O7" i="4" s="1"/>
  <c r="B27" i="23"/>
  <c r="B52" i="23" s="1"/>
  <c r="K45" i="23"/>
  <c r="E27" i="23"/>
  <c r="E52" i="23" s="1"/>
  <c r="Q30" i="1"/>
  <c r="Q8" i="4" s="1"/>
  <c r="B29" i="1"/>
  <c r="B7" i="4" s="1"/>
  <c r="P35" i="1"/>
  <c r="P13" i="4" s="1"/>
  <c r="P31" i="1"/>
  <c r="P9" i="4" s="1"/>
  <c r="H22" i="23"/>
  <c r="AB47" i="23"/>
  <c r="AB48" i="23" s="1"/>
  <c r="AB54" i="23" s="1"/>
  <c r="Z47" i="23"/>
  <c r="Z48" i="23" s="1"/>
  <c r="Z54" i="23" s="1"/>
  <c r="P37" i="1"/>
  <c r="F22" i="23"/>
  <c r="AF46" i="23"/>
  <c r="AF53" i="23" s="1"/>
  <c r="AD47" i="23"/>
  <c r="AD48" i="23" s="1"/>
  <c r="AD54" i="23" s="1"/>
  <c r="O36" i="1"/>
  <c r="H45" i="23"/>
  <c r="AK47" i="23"/>
  <c r="AK48" i="23" s="1"/>
  <c r="AK54" i="23" s="1"/>
  <c r="AA47" i="23"/>
  <c r="AA48" i="23" s="1"/>
  <c r="AA54" i="23" s="1"/>
  <c r="AB46" i="23"/>
  <c r="AB53" i="23" s="1"/>
  <c r="X47" i="23"/>
  <c r="X48" i="23" s="1"/>
  <c r="X54" i="23" s="1"/>
  <c r="R31" i="1"/>
  <c r="R9" i="4" s="1"/>
  <c r="R22" i="4"/>
  <c r="V22" i="4"/>
  <c r="AJ46" i="23"/>
  <c r="AJ53" i="23" s="1"/>
  <c r="AF47" i="23"/>
  <c r="AF48" i="23" s="1"/>
  <c r="AF54" i="23" s="1"/>
  <c r="AC46" i="23"/>
  <c r="AC53" i="23" s="1"/>
  <c r="X46" i="23"/>
  <c r="X53" i="23" s="1"/>
  <c r="Y47" i="23"/>
  <c r="Y48" i="23" s="1"/>
  <c r="Y54" i="23" s="1"/>
  <c r="AJ47" i="23"/>
  <c r="AJ48" i="23" s="1"/>
  <c r="AJ54" i="23" s="1"/>
  <c r="AG46" i="23"/>
  <c r="AG53" i="23" s="1"/>
  <c r="AG47" i="23"/>
  <c r="AG48" i="23" s="1"/>
  <c r="AG54" i="23" s="1"/>
  <c r="AK46" i="23"/>
  <c r="AK53" i="23" s="1"/>
  <c r="J57" i="1"/>
  <c r="E57" i="23"/>
  <c r="M57" i="1"/>
  <c r="AH57" i="1"/>
  <c r="AD57" i="1"/>
  <c r="Z57" i="1"/>
  <c r="V57" i="1"/>
  <c r="AJ57" i="23"/>
  <c r="AG57" i="23"/>
  <c r="AC57" i="23"/>
  <c r="Y57" i="23"/>
  <c r="U57" i="23"/>
  <c r="Q57" i="23"/>
  <c r="J57" i="23"/>
  <c r="H57" i="23"/>
  <c r="L57" i="1"/>
  <c r="AK57" i="1"/>
  <c r="AG57" i="1"/>
  <c r="AC57" i="1"/>
  <c r="Y57" i="1"/>
  <c r="U57" i="1"/>
  <c r="M57" i="23"/>
  <c r="AI57" i="23"/>
  <c r="AF57" i="23"/>
  <c r="AB57" i="23"/>
  <c r="X57" i="23"/>
  <c r="T57" i="23"/>
  <c r="P57" i="23"/>
  <c r="C57" i="23"/>
  <c r="F57" i="23"/>
  <c r="I57" i="23"/>
  <c r="K57" i="1"/>
  <c r="AJ57" i="1"/>
  <c r="AF57" i="1"/>
  <c r="AB57" i="1"/>
  <c r="X57" i="1"/>
  <c r="T57" i="1"/>
  <c r="L57" i="23"/>
  <c r="AE57" i="23"/>
  <c r="AA57" i="23"/>
  <c r="W57" i="23"/>
  <c r="S57" i="23"/>
  <c r="D57" i="23"/>
  <c r="G57" i="23"/>
  <c r="AI57" i="1"/>
  <c r="AE57" i="1"/>
  <c r="AA57" i="1"/>
  <c r="W57" i="1"/>
  <c r="S57" i="1"/>
  <c r="K57" i="23"/>
  <c r="AK57" i="23"/>
  <c r="AH57" i="23"/>
  <c r="AD57" i="23"/>
  <c r="Z57" i="23"/>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W47" i="1"/>
  <c r="W48" i="1" s="1"/>
  <c r="W54" i="1" s="1"/>
  <c r="X46" i="1"/>
  <c r="X53" i="1" s="1"/>
  <c r="Y46" i="1"/>
  <c r="Y53" i="1" s="1"/>
  <c r="B32" i="1"/>
  <c r="D28" i="1"/>
  <c r="C32" i="1"/>
  <c r="AH46" i="1"/>
  <c r="AH53" i="1" s="1"/>
  <c r="B28" i="1"/>
  <c r="D32" i="1"/>
  <c r="X47" i="1"/>
  <c r="X48" i="1" s="1"/>
  <c r="X54" i="1" s="1"/>
  <c r="B30" i="1"/>
  <c r="B8" i="4" s="1"/>
  <c r="C28" i="1"/>
  <c r="D31" i="1"/>
  <c r="D9" i="4" s="1"/>
  <c r="AB47" i="1"/>
  <c r="AB48" i="1" s="1"/>
  <c r="AB54" i="1" s="1"/>
  <c r="AI47" i="1"/>
  <c r="AI48" i="1" s="1"/>
  <c r="AI54" i="1" s="1"/>
  <c r="AI46" i="1"/>
  <c r="AI53" i="1" s="1"/>
  <c r="AA46" i="1"/>
  <c r="AA53" i="1" s="1"/>
  <c r="AA47" i="1"/>
  <c r="AA48" i="1" s="1"/>
  <c r="AA54" i="1" s="1"/>
  <c r="W46" i="1"/>
  <c r="W53" i="1" s="1"/>
  <c r="U46" i="1"/>
  <c r="U53" i="1" s="1"/>
  <c r="Z46" i="1"/>
  <c r="Z53" i="1" s="1"/>
  <c r="Z47" i="1"/>
  <c r="Z48" i="1" s="1"/>
  <c r="Z54" i="1" s="1"/>
  <c r="O28" i="1"/>
  <c r="C30" i="1"/>
  <c r="C8" i="4" s="1"/>
  <c r="C31" i="1"/>
  <c r="C9" i="4" s="1"/>
  <c r="D29" i="1"/>
  <c r="D7" i="4" s="1"/>
  <c r="D30" i="1"/>
  <c r="AC47" i="1"/>
  <c r="AC48" i="1" s="1"/>
  <c r="AC54" i="1" s="1"/>
  <c r="AB46" i="1"/>
  <c r="AB53" i="1" s="1"/>
  <c r="AH47" i="1"/>
  <c r="AH48" i="1" s="1"/>
  <c r="AH54" i="1" s="1"/>
  <c r="AF46" i="1"/>
  <c r="AF53" i="1" s="1"/>
  <c r="AF47" i="1"/>
  <c r="AF48" i="1" s="1"/>
  <c r="AF54" i="1" s="1"/>
  <c r="AD46" i="1"/>
  <c r="AD53" i="1" s="1"/>
  <c r="AD47" i="1"/>
  <c r="AD48" i="1" s="1"/>
  <c r="AD54" i="1" s="1"/>
  <c r="V6" i="4"/>
  <c r="Y47" i="1"/>
  <c r="Y48" i="1" s="1"/>
  <c r="Y54" i="1" s="1"/>
  <c r="AG46" i="1"/>
  <c r="AG53" i="1" s="1"/>
  <c r="AG47" i="1"/>
  <c r="AG48" i="1" s="1"/>
  <c r="AG54" i="1" s="1"/>
  <c r="AC46" i="1"/>
  <c r="AC53" i="1" s="1"/>
  <c r="U47" i="1"/>
  <c r="U48" i="1" s="1"/>
  <c r="U54" i="1" s="1"/>
  <c r="G21" i="4"/>
  <c r="I21" i="4"/>
  <c r="F21" i="4"/>
  <c r="H21" i="4"/>
  <c r="E21" i="4"/>
  <c r="L52" i="23"/>
  <c r="D17" i="4"/>
  <c r="C4" i="4"/>
  <c r="C47" i="23"/>
  <c r="C48" i="23" s="1"/>
  <c r="C54" i="23" s="1"/>
  <c r="A47" i="22"/>
  <c r="I47" i="23"/>
  <c r="I48" i="23" s="1"/>
  <c r="I54" i="23" s="1"/>
  <c r="C46" i="23"/>
  <c r="C53" i="23" s="1"/>
  <c r="G27" i="23"/>
  <c r="G52" i="23" s="1"/>
  <c r="A50" i="22"/>
  <c r="H50" i="22" s="1"/>
  <c r="AC47" i="23"/>
  <c r="AC48" i="23" s="1"/>
  <c r="AC54" i="23" s="1"/>
  <c r="Y46" i="23"/>
  <c r="Y53" i="23" s="1"/>
  <c r="K27" i="23"/>
  <c r="L22" i="1"/>
  <c r="D27" i="1"/>
  <c r="D52" i="1" s="1"/>
  <c r="D45" i="1"/>
  <c r="D22" i="23"/>
  <c r="D45" i="23"/>
  <c r="D27" i="23"/>
  <c r="D52" i="23" s="1"/>
  <c r="W47" i="23"/>
  <c r="W48" i="23" s="1"/>
  <c r="W54" i="23" s="1"/>
  <c r="AD46" i="23"/>
  <c r="AD53" i="23" s="1"/>
  <c r="AE47" i="23"/>
  <c r="AE48" i="23" s="1"/>
  <c r="AE54" i="23" s="1"/>
  <c r="AK46" i="1"/>
  <c r="AK53" i="1" s="1"/>
  <c r="AE46" i="1"/>
  <c r="AE53" i="1" s="1"/>
  <c r="F45" i="23"/>
  <c r="AE47" i="1"/>
  <c r="AE48" i="1" s="1"/>
  <c r="AE54" i="1" s="1"/>
  <c r="AK47" i="1"/>
  <c r="AK48" i="1" s="1"/>
  <c r="AK54" i="1" s="1"/>
  <c r="AH47" i="23"/>
  <c r="AH48" i="23" s="1"/>
  <c r="AH54" i="23" s="1"/>
  <c r="W46" i="23"/>
  <c r="W53" i="23" s="1"/>
  <c r="AI46" i="23"/>
  <c r="AI53" i="23" s="1"/>
  <c r="AI47" i="23"/>
  <c r="AI48" i="23" s="1"/>
  <c r="AI54" i="23" s="1"/>
  <c r="Z46" i="23"/>
  <c r="Z53" i="23" s="1"/>
  <c r="E22" i="23"/>
  <c r="AJ47" i="1"/>
  <c r="AJ48" i="1" s="1"/>
  <c r="AJ54" i="1" s="1"/>
  <c r="AJ46" i="1"/>
  <c r="AJ53" i="1" s="1"/>
  <c r="AE46" i="23"/>
  <c r="AE53" i="23" s="1"/>
  <c r="AH46" i="23"/>
  <c r="AH53" i="23" s="1"/>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H56" i="1"/>
  <c r="B56" i="1"/>
  <c r="G56" i="1"/>
  <c r="B56" i="23"/>
  <c r="I56" i="1"/>
  <c r="O56" i="1"/>
  <c r="R56" i="1"/>
  <c r="C56" i="1"/>
  <c r="D56" i="1"/>
  <c r="E56" i="1"/>
  <c r="P56" i="1"/>
  <c r="Q56" i="1"/>
  <c r="F56" i="1"/>
  <c r="O56" i="23"/>
  <c r="V79" i="4"/>
  <c r="J78" i="4"/>
  <c r="T78" i="4"/>
  <c r="S78" i="4"/>
  <c r="M78" i="4"/>
  <c r="U78" i="4"/>
  <c r="L78" i="4"/>
  <c r="AB22" i="33" l="1"/>
  <c r="AI22" i="33"/>
  <c r="AI45" i="33"/>
  <c r="J46" i="23"/>
  <c r="J53" i="23" s="1"/>
  <c r="G46" i="23"/>
  <c r="G53" i="23" s="1"/>
  <c r="E46" i="23"/>
  <c r="E53" i="23" s="1"/>
  <c r="M47" i="23"/>
  <c r="M48" i="23" s="1"/>
  <c r="M54" i="23" s="1"/>
  <c r="I46" i="23"/>
  <c r="I53" i="23" s="1"/>
  <c r="T46" i="23"/>
  <c r="T53" i="23" s="1"/>
  <c r="L47" i="23"/>
  <c r="L48" i="23" s="1"/>
  <c r="L54" i="23" s="1"/>
  <c r="K47" i="23"/>
  <c r="K48" i="23" s="1"/>
  <c r="K54" i="23" s="1"/>
  <c r="E22" i="4"/>
  <c r="K46" i="23"/>
  <c r="K53" i="23" s="1"/>
  <c r="J47" i="23"/>
  <c r="J48" i="23" s="1"/>
  <c r="J54" i="23" s="1"/>
  <c r="G47" i="23"/>
  <c r="G48" i="23" s="1"/>
  <c r="G54" i="23" s="1"/>
  <c r="R46" i="23"/>
  <c r="R53" i="23" s="1"/>
  <c r="Q47" i="23"/>
  <c r="Q48" i="23" s="1"/>
  <c r="Q54" i="23" s="1"/>
  <c r="T47" i="23"/>
  <c r="T48" i="23" s="1"/>
  <c r="T54" i="23" s="1"/>
  <c r="V46" i="1"/>
  <c r="V53" i="1" s="1"/>
  <c r="L46" i="1"/>
  <c r="L53" i="1" s="1"/>
  <c r="F47" i="23"/>
  <c r="F48" i="23" s="1"/>
  <c r="F54" i="23" s="1"/>
  <c r="K47" i="1"/>
  <c r="K48" i="1" s="1"/>
  <c r="K54" i="1" s="1"/>
  <c r="U29" i="4"/>
  <c r="R47" i="23"/>
  <c r="R48" i="23" s="1"/>
  <c r="R54" i="23" s="1"/>
  <c r="S47" i="23"/>
  <c r="S48" i="23" s="1"/>
  <c r="S54" i="23" s="1"/>
  <c r="T46" i="1"/>
  <c r="T53" i="1" s="1"/>
  <c r="T27" i="4"/>
  <c r="T57" i="4" s="1"/>
  <c r="T58" i="4" s="1"/>
  <c r="T76" i="4" s="1"/>
  <c r="U46" i="23"/>
  <c r="U53" i="23" s="1"/>
  <c r="D47" i="23"/>
  <c r="D48" i="23" s="1"/>
  <c r="D54" i="23" s="1"/>
  <c r="F46" i="23"/>
  <c r="F53" i="23" s="1"/>
  <c r="D46" i="23"/>
  <c r="D53" i="23" s="1"/>
  <c r="V47" i="23"/>
  <c r="V48" i="23" s="1"/>
  <c r="V54" i="23" s="1"/>
  <c r="V46" i="23"/>
  <c r="V53" i="23" s="1"/>
  <c r="S46" i="1"/>
  <c r="S53" i="1" s="1"/>
  <c r="S47" i="1"/>
  <c r="S48" i="1" s="1"/>
  <c r="S54" i="1" s="1"/>
  <c r="H46" i="23"/>
  <c r="H53" i="23" s="1"/>
  <c r="H47" i="23"/>
  <c r="H48" i="23" s="1"/>
  <c r="H54" i="23" s="1"/>
  <c r="L46" i="23"/>
  <c r="L53" i="23" s="1"/>
  <c r="S46" i="23"/>
  <c r="S53" i="23" s="1"/>
  <c r="V47" i="1"/>
  <c r="V48" i="1" s="1"/>
  <c r="V54" i="1" s="1"/>
  <c r="T47" i="1"/>
  <c r="T48" i="1" s="1"/>
  <c r="T54" i="1" s="1"/>
  <c r="L47" i="1"/>
  <c r="L48" i="1" s="1"/>
  <c r="L54" i="1" s="1"/>
  <c r="T79" i="4"/>
  <c r="U79" i="4"/>
  <c r="S79" i="4"/>
  <c r="S63" i="4"/>
  <c r="S64" i="4" s="1"/>
  <c r="K46" i="1"/>
  <c r="K53" i="1" s="1"/>
  <c r="J47" i="1"/>
  <c r="J48" i="1" s="1"/>
  <c r="J54" i="1" s="1"/>
  <c r="M46" i="1"/>
  <c r="M53" i="1" s="1"/>
  <c r="K9" i="4"/>
  <c r="K57" i="4" s="1"/>
  <c r="K58" i="4" s="1"/>
  <c r="K76" i="4" s="1"/>
  <c r="M47" i="1"/>
  <c r="M48" i="1" s="1"/>
  <c r="M54" i="1" s="1"/>
  <c r="J46" i="1"/>
  <c r="J53" i="1" s="1"/>
  <c r="P22" i="4"/>
  <c r="Q46" i="23"/>
  <c r="Q53" i="23" s="1"/>
  <c r="Q22" i="4"/>
  <c r="L63" i="4"/>
  <c r="L64" i="4" s="1"/>
  <c r="M63" i="4"/>
  <c r="M64" i="4" s="1"/>
  <c r="F46" i="1"/>
  <c r="F53" i="1" s="1"/>
  <c r="P47" i="1"/>
  <c r="P48" i="1" s="1"/>
  <c r="P54" i="1" s="1"/>
  <c r="D6" i="4"/>
  <c r="R6" i="4"/>
  <c r="C6" i="4"/>
  <c r="B22" i="4"/>
  <c r="I6" i="4"/>
  <c r="P7" i="4"/>
  <c r="E6" i="4"/>
  <c r="H6" i="4"/>
  <c r="F6" i="4"/>
  <c r="O6" i="4"/>
  <c r="B6" i="4"/>
  <c r="G6" i="4"/>
  <c r="Q7" i="4"/>
  <c r="U63" i="4"/>
  <c r="U64" i="4" s="1"/>
  <c r="J63" i="4"/>
  <c r="J64" i="4" s="1"/>
  <c r="V63" i="4"/>
  <c r="V64" i="4" s="1"/>
  <c r="AH27" i="33"/>
  <c r="AH52" i="33" s="1"/>
  <c r="AJ27" i="33"/>
  <c r="AJ52" i="33" s="1"/>
  <c r="H47" i="22"/>
  <c r="H49" i="22"/>
  <c r="H44" i="22"/>
  <c r="AH45" i="33"/>
  <c r="AF45" i="33"/>
  <c r="A46" i="22"/>
  <c r="H46" i="22" s="1"/>
  <c r="AD4" i="1"/>
  <c r="AD22" i="1" s="1"/>
  <c r="T27" i="33"/>
  <c r="T52" i="33" s="1"/>
  <c r="AF22" i="33"/>
  <c r="AJ45" i="33"/>
  <c r="A34" i="22"/>
  <c r="H34" i="22" s="1"/>
  <c r="A35" i="22"/>
  <c r="H35" i="22" s="1"/>
  <c r="AE4" i="1"/>
  <c r="AE45" i="1" s="1"/>
  <c r="T45" i="33"/>
  <c r="A38" i="22"/>
  <c r="H38" i="22" s="1"/>
  <c r="X27" i="33"/>
  <c r="X52" i="33" s="1"/>
  <c r="A42" i="22"/>
  <c r="H42" i="22" s="1"/>
  <c r="X22" i="33"/>
  <c r="AD4" i="23"/>
  <c r="AD22" i="23"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E4" i="23"/>
  <c r="AE27" i="23" s="1"/>
  <c r="AE52" i="23" s="1"/>
  <c r="Z4" i="23"/>
  <c r="Z45" i="23" s="1"/>
  <c r="A45" i="22"/>
  <c r="H45" i="22" s="1"/>
  <c r="M57" i="4"/>
  <c r="M58" i="4" s="1"/>
  <c r="M76" i="4" s="1"/>
  <c r="H57" i="1"/>
  <c r="G57" i="1"/>
  <c r="F57" i="1"/>
  <c r="I57" i="1"/>
  <c r="E57" i="1"/>
  <c r="H7" i="4"/>
  <c r="G46" i="1"/>
  <c r="G53" i="1" s="1"/>
  <c r="H46" i="1"/>
  <c r="H53" i="1" s="1"/>
  <c r="H47" i="1"/>
  <c r="H48" i="1" s="1"/>
  <c r="H54" i="1" s="1"/>
  <c r="G11" i="4"/>
  <c r="F9" i="4"/>
  <c r="I13" i="4"/>
  <c r="E12" i="4"/>
  <c r="I55" i="4"/>
  <c r="I62" i="4"/>
  <c r="V57" i="4"/>
  <c r="V58" i="4" s="1"/>
  <c r="V76" i="4" s="1"/>
  <c r="V56" i="4"/>
  <c r="V75" i="4" s="1"/>
  <c r="W4" i="1"/>
  <c r="W45" i="1" s="1"/>
  <c r="W4" i="33"/>
  <c r="AC22" i="33"/>
  <c r="AC45" i="33"/>
  <c r="AC27" i="33"/>
  <c r="AC52" i="33" s="1"/>
  <c r="Z45" i="33"/>
  <c r="Z27" i="33"/>
  <c r="Z52" i="33" s="1"/>
  <c r="Z22" i="33"/>
  <c r="U57" i="4"/>
  <c r="U58" i="4" s="1"/>
  <c r="U76" i="4" s="1"/>
  <c r="L56" i="4"/>
  <c r="L75" i="4" s="1"/>
  <c r="S56" i="4"/>
  <c r="S75" i="4" s="1"/>
  <c r="J56" i="4"/>
  <c r="J75" i="4" s="1"/>
  <c r="O55" i="4"/>
  <c r="O62" i="4"/>
  <c r="F55" i="4"/>
  <c r="F62" i="4"/>
  <c r="M55" i="4"/>
  <c r="M62" i="4"/>
  <c r="J55" i="4"/>
  <c r="J62" i="4"/>
  <c r="AA27" i="33"/>
  <c r="AA52" i="33" s="1"/>
  <c r="AA22" i="33"/>
  <c r="AA45" i="33"/>
  <c r="AG22" i="33"/>
  <c r="AG27" i="33"/>
  <c r="AG52" i="33" s="1"/>
  <c r="AG45" i="33"/>
  <c r="AD45" i="33"/>
  <c r="AD27" i="33"/>
  <c r="AD52" i="33" s="1"/>
  <c r="AD22" i="33"/>
  <c r="L57" i="4"/>
  <c r="L58" i="4" s="1"/>
  <c r="L76" i="4" s="1"/>
  <c r="J57" i="4"/>
  <c r="J58" i="4" s="1"/>
  <c r="J76" i="4" s="1"/>
  <c r="P55" i="4"/>
  <c r="P62" i="4"/>
  <c r="G55" i="4"/>
  <c r="G62" i="4"/>
  <c r="H74" i="4"/>
  <c r="H62" i="4"/>
  <c r="AE27" i="33"/>
  <c r="AE52" i="33" s="1"/>
  <c r="AE22" i="33"/>
  <c r="AE45" i="33"/>
  <c r="U22" i="33"/>
  <c r="U45" i="33"/>
  <c r="U27" i="33"/>
  <c r="U52" i="33" s="1"/>
  <c r="AK22" i="33"/>
  <c r="AK45" i="33"/>
  <c r="AK27" i="33"/>
  <c r="AK52" i="33" s="1"/>
  <c r="R45" i="33"/>
  <c r="R27" i="33"/>
  <c r="R52" i="33" s="1"/>
  <c r="R22" i="33"/>
  <c r="U56" i="4"/>
  <c r="U75" i="4" s="1"/>
  <c r="M56" i="4"/>
  <c r="M75" i="4" s="1"/>
  <c r="C74" i="4"/>
  <c r="C62" i="4"/>
  <c r="D55" i="4"/>
  <c r="D62" i="4"/>
  <c r="S27" i="33"/>
  <c r="S52" i="33" s="1"/>
  <c r="S22" i="33"/>
  <c r="S45" i="33"/>
  <c r="Y4" i="23"/>
  <c r="Y45" i="23" s="1"/>
  <c r="Y4" i="33"/>
  <c r="A36" i="22"/>
  <c r="H36" i="22" s="1"/>
  <c r="V4" i="33"/>
  <c r="S57" i="4"/>
  <c r="S58" i="4" s="1"/>
  <c r="S76" i="4" s="1"/>
  <c r="Q55" i="4"/>
  <c r="V4" i="1"/>
  <c r="V45" i="1" s="1"/>
  <c r="O32" i="4"/>
  <c r="Q10" i="4"/>
  <c r="B32" i="4"/>
  <c r="H55" i="4"/>
  <c r="R10" i="4"/>
  <c r="O14" i="4"/>
  <c r="P15" i="4"/>
  <c r="V4" i="23"/>
  <c r="V45" i="23" s="1"/>
  <c r="Z45" i="1"/>
  <c r="Z22" i="1"/>
  <c r="Z27" i="1"/>
  <c r="Z52" i="1" s="1"/>
  <c r="W4" i="23"/>
  <c r="W22" i="23" s="1"/>
  <c r="B10" i="4"/>
  <c r="A32" i="22"/>
  <c r="H32" i="22" s="1"/>
  <c r="D13" i="28"/>
  <c r="D9" i="28"/>
  <c r="D5" i="28"/>
  <c r="D14" i="28"/>
  <c r="D10" i="28"/>
  <c r="D6" i="28"/>
  <c r="D15" i="28"/>
  <c r="D11" i="28"/>
  <c r="D7" i="28"/>
  <c r="D3" i="28"/>
  <c r="D12" i="28"/>
  <c r="D8" i="28"/>
  <c r="D4" i="28"/>
  <c r="L79" i="4"/>
  <c r="M79" i="4"/>
  <c r="J79" i="4"/>
  <c r="O26" i="4"/>
  <c r="P46" i="1"/>
  <c r="P53" i="1" s="1"/>
  <c r="A37" i="22"/>
  <c r="H37" i="22" s="1"/>
  <c r="AF4" i="23"/>
  <c r="AF22" i="23" s="1"/>
  <c r="AI4" i="23"/>
  <c r="AI22" i="23" s="1"/>
  <c r="U4" i="1"/>
  <c r="U22" i="1" s="1"/>
  <c r="AJ4" i="1"/>
  <c r="AI4" i="1"/>
  <c r="AI22" i="1" s="1"/>
  <c r="M74" i="4"/>
  <c r="I2" i="12" s="1"/>
  <c r="M27" i="1"/>
  <c r="M52" i="1" s="1"/>
  <c r="M22" i="1"/>
  <c r="J52" i="1"/>
  <c r="J74" i="4"/>
  <c r="F2" i="12" s="1"/>
  <c r="J27" i="1"/>
  <c r="J45" i="1"/>
  <c r="AH4" i="1"/>
  <c r="AH22" i="1" s="1"/>
  <c r="A48" i="22"/>
  <c r="H48" i="22" s="1"/>
  <c r="S4" i="1"/>
  <c r="A33" i="22"/>
  <c r="H33" i="22" s="1"/>
  <c r="S4" i="23"/>
  <c r="AC4" i="1"/>
  <c r="A43" i="22"/>
  <c r="H43" i="22" s="1"/>
  <c r="AC4" i="23"/>
  <c r="AC27" i="23" s="1"/>
  <c r="AC52" i="23" s="1"/>
  <c r="AF4" i="1"/>
  <c r="AA4" i="23"/>
  <c r="A41" i="22"/>
  <c r="H41" i="22" s="1"/>
  <c r="Y4" i="1"/>
  <c r="A39" i="22"/>
  <c r="H39" i="22" s="1"/>
  <c r="C55" i="4"/>
  <c r="AJ4" i="23"/>
  <c r="AJ27" i="23" s="1"/>
  <c r="AJ52" i="23" s="1"/>
  <c r="U4" i="23"/>
  <c r="U22" i="23" s="1"/>
  <c r="AA4" i="1"/>
  <c r="AA22" i="1" s="1"/>
  <c r="J22" i="23"/>
  <c r="J52" i="23"/>
  <c r="J22" i="1"/>
  <c r="J27" i="23"/>
  <c r="R4" i="1"/>
  <c r="R22" i="1" s="1"/>
  <c r="R4" i="23"/>
  <c r="R22" i="23" s="1"/>
  <c r="AH4" i="23"/>
  <c r="AH45" i="23" s="1"/>
  <c r="M52" i="23"/>
  <c r="M22" i="23"/>
  <c r="M45" i="23"/>
  <c r="L2" i="12"/>
  <c r="M45" i="1"/>
  <c r="B46" i="23"/>
  <c r="B53" i="23" s="1"/>
  <c r="B55" i="23" s="1"/>
  <c r="O46" i="23"/>
  <c r="O53" i="23" s="1"/>
  <c r="O55" i="23" s="1"/>
  <c r="O47" i="23"/>
  <c r="O48" i="23" s="1"/>
  <c r="O54" i="23" s="1"/>
  <c r="B47" i="23"/>
  <c r="B48" i="23" s="1"/>
  <c r="B54" i="23" s="1"/>
  <c r="B57" i="23"/>
  <c r="O57" i="23"/>
  <c r="W59" i="23" s="1"/>
  <c r="W60" i="23" s="1"/>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X4" i="23"/>
  <c r="X4" i="1"/>
  <c r="AG4" i="1"/>
  <c r="AG4" i="23"/>
  <c r="AB4" i="23"/>
  <c r="AB4" i="1"/>
  <c r="T4" i="1"/>
  <c r="T4" i="23"/>
  <c r="AK4" i="1"/>
  <c r="AK4" i="23"/>
  <c r="F74" i="4"/>
  <c r="I74" i="4"/>
  <c r="O74" i="4"/>
  <c r="P74" i="4"/>
  <c r="AD2" i="12"/>
  <c r="P78" i="4"/>
  <c r="K78" i="4"/>
  <c r="B78" i="4"/>
  <c r="Q78" i="4"/>
  <c r="I78" i="4"/>
  <c r="D78" i="4"/>
  <c r="F78" i="4"/>
  <c r="E78" i="4"/>
  <c r="H78" i="4"/>
  <c r="G78" i="4"/>
  <c r="C78" i="4"/>
  <c r="O78" i="4"/>
  <c r="R78" i="4"/>
  <c r="T56" i="4" l="1"/>
  <c r="T75" i="4" s="1"/>
  <c r="T63" i="4"/>
  <c r="T64" i="4" s="1"/>
  <c r="C55" i="23"/>
  <c r="V4" i="4"/>
  <c r="V55" i="4" s="1"/>
  <c r="K63" i="4"/>
  <c r="K64" i="4" s="1"/>
  <c r="K56" i="4"/>
  <c r="K75" i="4" s="1"/>
  <c r="P79" i="4"/>
  <c r="Q79" i="4"/>
  <c r="R79" i="4"/>
  <c r="K79" i="4"/>
  <c r="J80" i="4" s="1"/>
  <c r="G55" i="1"/>
  <c r="F55" i="23"/>
  <c r="AE27" i="1"/>
  <c r="AE52" i="1" s="1"/>
  <c r="C63" i="4"/>
  <c r="C64" i="4" s="1"/>
  <c r="F63" i="4"/>
  <c r="F64" i="4" s="1"/>
  <c r="H56" i="4"/>
  <c r="H75" i="4" s="1"/>
  <c r="I57" i="4"/>
  <c r="I58" i="4" s="1"/>
  <c r="I76" i="4" s="1"/>
  <c r="J4" i="12" s="1"/>
  <c r="R63" i="4"/>
  <c r="R64" i="4" s="1"/>
  <c r="I63" i="4"/>
  <c r="I64" i="4" s="1"/>
  <c r="P55" i="23"/>
  <c r="V55" i="23"/>
  <c r="AE55" i="1"/>
  <c r="Q55" i="23"/>
  <c r="AK55" i="23"/>
  <c r="AD55" i="1"/>
  <c r="AJ55" i="1"/>
  <c r="U55" i="23"/>
  <c r="T55" i="1"/>
  <c r="AB55" i="23"/>
  <c r="AA55" i="1"/>
  <c r="AK55" i="1"/>
  <c r="R55" i="23"/>
  <c r="W55" i="23"/>
  <c r="T55" i="23"/>
  <c r="X55" i="1"/>
  <c r="W55" i="1"/>
  <c r="AC55" i="1"/>
  <c r="AH55" i="23"/>
  <c r="X55" i="23"/>
  <c r="AI55" i="1"/>
  <c r="V55" i="1"/>
  <c r="R55" i="1"/>
  <c r="P55" i="1"/>
  <c r="AJ55" i="23"/>
  <c r="S55" i="1"/>
  <c r="AE55" i="23"/>
  <c r="AC55" i="23"/>
  <c r="Y55" i="1"/>
  <c r="AB55" i="1"/>
  <c r="AI55" i="23"/>
  <c r="U55" i="1"/>
  <c r="AG55" i="1"/>
  <c r="Q55" i="1"/>
  <c r="Y55" i="23"/>
  <c r="S55" i="23"/>
  <c r="AA55" i="23"/>
  <c r="AG55" i="23"/>
  <c r="AH55" i="1"/>
  <c r="AF55" i="1"/>
  <c r="Z55" i="23"/>
  <c r="AF55" i="23"/>
  <c r="Z55" i="1"/>
  <c r="AD55" i="23"/>
  <c r="D63" i="4"/>
  <c r="D64" i="4" s="1"/>
  <c r="B63" i="4"/>
  <c r="B64" i="4" s="1"/>
  <c r="O63" i="4"/>
  <c r="O64" i="4" s="1"/>
  <c r="G56" i="4"/>
  <c r="G75" i="4" s="1"/>
  <c r="H57" i="4"/>
  <c r="H58" i="4" s="1"/>
  <c r="H76" i="4" s="1"/>
  <c r="H63" i="4"/>
  <c r="H64" i="4" s="1"/>
  <c r="P63" i="4"/>
  <c r="P64" i="4" s="1"/>
  <c r="G63" i="4"/>
  <c r="G64" i="4" s="1"/>
  <c r="E63" i="4"/>
  <c r="E64" i="4" s="1"/>
  <c r="Q63" i="4"/>
  <c r="Q64" i="4" s="1"/>
  <c r="AJ45" i="23"/>
  <c r="Y27" i="23"/>
  <c r="Y52" i="23" s="1"/>
  <c r="W27" i="1"/>
  <c r="W52" i="1" s="1"/>
  <c r="Y22" i="23"/>
  <c r="AD27" i="1"/>
  <c r="AD52" i="1" s="1"/>
  <c r="AD45" i="23"/>
  <c r="V27" i="23"/>
  <c r="V52" i="23" s="1"/>
  <c r="I56" i="4"/>
  <c r="I75" i="4" s="1"/>
  <c r="AE22" i="1"/>
  <c r="Z27" i="23"/>
  <c r="Z52" i="23" s="1"/>
  <c r="AD45" i="1"/>
  <c r="AI27" i="1"/>
  <c r="AI52" i="1" s="1"/>
  <c r="AE22" i="23"/>
  <c r="AD27" i="23"/>
  <c r="AD52" i="23" s="1"/>
  <c r="Z22" i="23"/>
  <c r="AE45" i="23"/>
  <c r="U45" i="1"/>
  <c r="V22" i="1"/>
  <c r="W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W27" i="33"/>
  <c r="W52" i="33" s="1"/>
  <c r="W22" i="33"/>
  <c r="W45" i="33"/>
  <c r="O57" i="4"/>
  <c r="O58" i="4" s="1"/>
  <c r="O76" i="4" s="1"/>
  <c r="C57" i="4"/>
  <c r="C58" i="4" s="1"/>
  <c r="C76" i="4" s="1"/>
  <c r="Q2" i="12"/>
  <c r="Q4" i="12" s="1"/>
  <c r="P2" i="12"/>
  <c r="P4" i="12" s="1"/>
  <c r="Q56" i="4"/>
  <c r="Q75" i="4" s="1"/>
  <c r="O56" i="4"/>
  <c r="O75" i="4" s="1"/>
  <c r="C56" i="4"/>
  <c r="C75" i="4" s="1"/>
  <c r="R2" i="12"/>
  <c r="R4" i="12" s="1"/>
  <c r="AA2" i="12"/>
  <c r="V74" i="4"/>
  <c r="Z2" i="12" s="1"/>
  <c r="V62" i="4"/>
  <c r="Y22" i="33"/>
  <c r="Y45" i="33"/>
  <c r="Y27" i="33"/>
  <c r="Y52" i="33" s="1"/>
  <c r="P56" i="4"/>
  <c r="R57" i="4"/>
  <c r="R58" i="4" s="1"/>
  <c r="R76" i="4" s="1"/>
  <c r="Q57" i="4"/>
  <c r="Q58" i="4" s="1"/>
  <c r="Q76" i="4" s="1"/>
  <c r="AJ45" i="1"/>
  <c r="AF27" i="1"/>
  <c r="AF52" i="1" s="1"/>
  <c r="AF45" i="23"/>
  <c r="U4" i="4"/>
  <c r="AF45" i="1"/>
  <c r="AJ22" i="1"/>
  <c r="AJ27" i="1"/>
  <c r="AJ52" i="1" s="1"/>
  <c r="AH27" i="1"/>
  <c r="AH52" i="1" s="1"/>
  <c r="F2" i="27"/>
  <c r="AJ22" i="23"/>
  <c r="AH45" i="1"/>
  <c r="O2" i="12"/>
  <c r="O4" i="12" s="1"/>
  <c r="AF27" i="23"/>
  <c r="AF52" i="23" s="1"/>
  <c r="AC22" i="23"/>
  <c r="U27" i="1"/>
  <c r="U52" i="1" s="1"/>
  <c r="W27" i="23"/>
  <c r="W52" i="23" s="1"/>
  <c r="W45" i="23"/>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AA59" i="23"/>
  <c r="AA60" i="23" s="1"/>
  <c r="AF59" i="23"/>
  <c r="AF60" i="23" s="1"/>
  <c r="R59" i="23"/>
  <c r="R60" i="23" s="1"/>
  <c r="O79" i="4"/>
  <c r="B79" i="4"/>
  <c r="B64" i="23"/>
  <c r="W61" i="23"/>
  <c r="L59" i="23"/>
  <c r="L60" i="23" s="1"/>
  <c r="F59" i="23"/>
  <c r="F60" i="23" s="1"/>
  <c r="AC59" i="23"/>
  <c r="AC60" i="23" s="1"/>
  <c r="AH59" i="23"/>
  <c r="AH60" i="23" s="1"/>
  <c r="X59" i="23"/>
  <c r="X60" i="23" s="1"/>
  <c r="Q59" i="23"/>
  <c r="Q60" i="23" s="1"/>
  <c r="AG59" i="23"/>
  <c r="AG60" i="23" s="1"/>
  <c r="V59" i="23"/>
  <c r="V60" i="23" s="1"/>
  <c r="P59" i="23"/>
  <c r="P60" i="23" s="1"/>
  <c r="AE59" i="23"/>
  <c r="AE60" i="23" s="1"/>
  <c r="T59" i="23"/>
  <c r="T60" i="23" s="1"/>
  <c r="U59" i="23"/>
  <c r="U60" i="23" s="1"/>
  <c r="AK59" i="23"/>
  <c r="AK60" i="23" s="1"/>
  <c r="Z59" i="23"/>
  <c r="Z60" i="23" s="1"/>
  <c r="S59" i="23"/>
  <c r="S60" i="23" s="1"/>
  <c r="AI59" i="23"/>
  <c r="AI60" i="23" s="1"/>
  <c r="AB59" i="23"/>
  <c r="AB60" i="23" s="1"/>
  <c r="Y59" i="23"/>
  <c r="Y60" i="23" s="1"/>
  <c r="AJ59" i="23"/>
  <c r="AJ60" i="23" s="1"/>
  <c r="AD59" i="23"/>
  <c r="AD60" i="23" s="1"/>
  <c r="B65" i="23"/>
  <c r="AF22" i="1"/>
  <c r="AH22" i="23"/>
  <c r="AI45" i="1"/>
  <c r="AI45" i="23"/>
  <c r="AH27" i="23"/>
  <c r="AH52" i="23" s="1"/>
  <c r="AI27" i="23"/>
  <c r="AI52" i="23" s="1"/>
  <c r="N2" i="12"/>
  <c r="R45" i="23"/>
  <c r="AC27" i="1"/>
  <c r="AC52" i="1" s="1"/>
  <c r="AC22" i="1"/>
  <c r="AC45" i="1"/>
  <c r="S4" i="4"/>
  <c r="S62" i="4" s="1"/>
  <c r="S45" i="1"/>
  <c r="S27" i="1"/>
  <c r="S52" i="1" s="1"/>
  <c r="S22" i="1"/>
  <c r="AA27" i="23"/>
  <c r="AA52" i="23" s="1"/>
  <c r="AA22" i="23"/>
  <c r="AA45" i="23"/>
  <c r="AA45" i="1"/>
  <c r="AA27" i="1"/>
  <c r="AA52" i="1" s="1"/>
  <c r="S2" i="12"/>
  <c r="S4" i="12" s="1"/>
  <c r="AC45" i="23"/>
  <c r="U27" i="23"/>
  <c r="U52" i="23" s="1"/>
  <c r="U45" i="23"/>
  <c r="Y27" i="1"/>
  <c r="Y52" i="1" s="1"/>
  <c r="Y45" i="1"/>
  <c r="Y22" i="1"/>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AJ59" i="1"/>
  <c r="AJ60" i="1" s="1"/>
  <c r="AF59" i="1"/>
  <c r="AF60" i="1" s="1"/>
  <c r="AB59" i="1"/>
  <c r="AB60" i="1" s="1"/>
  <c r="X59" i="1"/>
  <c r="X60" i="1" s="1"/>
  <c r="T59" i="1"/>
  <c r="T60" i="1" s="1"/>
  <c r="P59" i="1"/>
  <c r="P60" i="1" s="1"/>
  <c r="AI59" i="1"/>
  <c r="AI60" i="1" s="1"/>
  <c r="AE59" i="1"/>
  <c r="AE60" i="1" s="1"/>
  <c r="AA59" i="1"/>
  <c r="AA60" i="1" s="1"/>
  <c r="W59" i="1"/>
  <c r="W60" i="1" s="1"/>
  <c r="S59" i="1"/>
  <c r="S60" i="1" s="1"/>
  <c r="AH59" i="1"/>
  <c r="AH60" i="1" s="1"/>
  <c r="AD59" i="1"/>
  <c r="AD60" i="1" s="1"/>
  <c r="Z59" i="1"/>
  <c r="Z60" i="1" s="1"/>
  <c r="V59" i="1"/>
  <c r="V60" i="1" s="1"/>
  <c r="R59" i="1"/>
  <c r="R60" i="1" s="1"/>
  <c r="Y59" i="1"/>
  <c r="Y60" i="1" s="1"/>
  <c r="AK59" i="1"/>
  <c r="AK60" i="1" s="1"/>
  <c r="U59" i="1"/>
  <c r="U60" i="1" s="1"/>
  <c r="AC59" i="1"/>
  <c r="AC60" i="1" s="1"/>
  <c r="AG59" i="1"/>
  <c r="AG60" i="1" s="1"/>
  <c r="Q59" i="1"/>
  <c r="Q60" i="1" s="1"/>
  <c r="B65" i="1"/>
  <c r="B64" i="1"/>
  <c r="B55" i="1"/>
  <c r="AB45" i="23"/>
  <c r="AB27" i="23"/>
  <c r="AB52" i="23" s="1"/>
  <c r="AB22" i="23"/>
  <c r="AG22" i="23"/>
  <c r="AG27" i="23"/>
  <c r="AG52" i="23" s="1"/>
  <c r="AG45" i="23"/>
  <c r="X45" i="23"/>
  <c r="X27" i="23"/>
  <c r="X52" i="23" s="1"/>
  <c r="X22" i="23"/>
  <c r="AG45" i="1"/>
  <c r="AG27" i="1"/>
  <c r="AG52" i="1" s="1"/>
  <c r="AG22" i="1"/>
  <c r="X27" i="1"/>
  <c r="X52" i="1" s="1"/>
  <c r="X22" i="1"/>
  <c r="X45" i="1"/>
  <c r="G3" i="12"/>
  <c r="AB22" i="1"/>
  <c r="AB45" i="1"/>
  <c r="AB27" i="1"/>
  <c r="AB52" i="1" s="1"/>
  <c r="T27" i="23"/>
  <c r="T52" i="23" s="1"/>
  <c r="T45" i="23"/>
  <c r="T22" i="23"/>
  <c r="AK22" i="23"/>
  <c r="AK27" i="23"/>
  <c r="AK52" i="23" s="1"/>
  <c r="AK45" i="23"/>
  <c r="T27" i="1"/>
  <c r="T52" i="1" s="1"/>
  <c r="T45" i="1"/>
  <c r="T4" i="4"/>
  <c r="T62" i="4" s="1"/>
  <c r="T22" i="1"/>
  <c r="AK22" i="1"/>
  <c r="AK27" i="1"/>
  <c r="AK52" i="1" s="1"/>
  <c r="AK45" i="1"/>
  <c r="F3" i="12" l="1"/>
  <c r="T77" i="4"/>
  <c r="F4" i="27"/>
  <c r="H3" i="12"/>
  <c r="I3" i="12"/>
  <c r="J3" i="12"/>
  <c r="L4" i="12"/>
  <c r="F4" i="12"/>
  <c r="N4" i="12"/>
  <c r="H4" i="12"/>
  <c r="M4" i="12"/>
  <c r="I4" i="12"/>
  <c r="G4" i="12"/>
  <c r="P75" i="4"/>
  <c r="B5" i="12" s="1"/>
  <c r="O81" i="4"/>
  <c r="O82" i="4" s="1"/>
  <c r="AE2" i="12"/>
  <c r="U74" i="4"/>
  <c r="Y2" i="12" s="1"/>
  <c r="U62" i="4"/>
  <c r="B6" i="12"/>
  <c r="B6" i="27"/>
  <c r="R61" i="23"/>
  <c r="AF61" i="23"/>
  <c r="AA61" i="23"/>
  <c r="U55" i="4"/>
  <c r="F3" i="27"/>
  <c r="V77" i="4"/>
  <c r="U77" i="4"/>
  <c r="O77" i="4"/>
  <c r="S77" i="4"/>
  <c r="Q77" i="4"/>
  <c r="R77" i="4"/>
  <c r="P81" i="4"/>
  <c r="P82" i="4" s="1"/>
  <c r="Q81" i="4"/>
  <c r="Q82" i="4" s="1"/>
  <c r="B86" i="4"/>
  <c r="B87" i="4"/>
  <c r="B75" i="4"/>
  <c r="K94" i="4" s="1"/>
  <c r="M61" i="23"/>
  <c r="I61" i="23"/>
  <c r="E61" i="23"/>
  <c r="AD61" i="23"/>
  <c r="Z61" i="23"/>
  <c r="AG61" i="23"/>
  <c r="AC61" i="23"/>
  <c r="D61" i="23"/>
  <c r="C61" i="23"/>
  <c r="AJ61" i="23"/>
  <c r="AK61" i="23"/>
  <c r="AE61" i="23"/>
  <c r="Q61" i="23"/>
  <c r="Y61" i="23"/>
  <c r="AI61" i="23"/>
  <c r="U61" i="23"/>
  <c r="P61" i="23"/>
  <c r="X61" i="23"/>
  <c r="F61" i="23"/>
  <c r="H61" i="23"/>
  <c r="K61" i="23"/>
  <c r="G61" i="23"/>
  <c r="J61" i="23"/>
  <c r="AB61" i="23"/>
  <c r="S61" i="23"/>
  <c r="T61" i="23"/>
  <c r="V61" i="23"/>
  <c r="AH61" i="23"/>
  <c r="L61" i="23"/>
  <c r="AC61" i="1"/>
  <c r="AH61" i="1"/>
  <c r="X61" i="1"/>
  <c r="D61" i="1"/>
  <c r="U61" i="1"/>
  <c r="S61" i="1"/>
  <c r="AI61" i="1"/>
  <c r="G61" i="1"/>
  <c r="M61" i="1"/>
  <c r="AK61" i="1"/>
  <c r="Z61" i="1"/>
  <c r="W61" i="1"/>
  <c r="AF61" i="1"/>
  <c r="L61" i="1"/>
  <c r="AG61" i="1"/>
  <c r="Y61" i="1"/>
  <c r="AD61" i="1"/>
  <c r="AA61" i="1"/>
  <c r="T61" i="1"/>
  <c r="AJ61" i="1"/>
  <c r="E61" i="1"/>
  <c r="F61" i="1"/>
  <c r="AE61" i="1"/>
  <c r="K61" i="1"/>
  <c r="I61" i="1"/>
  <c r="J61" i="1"/>
  <c r="V61" i="1"/>
  <c r="AB61" i="1"/>
  <c r="H61" i="1"/>
  <c r="O3" i="12"/>
  <c r="R3" i="12"/>
  <c r="S3" i="12"/>
  <c r="N3" i="12"/>
  <c r="M3" i="12"/>
  <c r="L3" i="12"/>
  <c r="AC2" i="12"/>
  <c r="S55" i="4"/>
  <c r="S74" i="4"/>
  <c r="W2" i="12" s="1"/>
  <c r="AG2" i="12"/>
  <c r="R55" i="4"/>
  <c r="R74" i="4"/>
  <c r="P3" i="12"/>
  <c r="Q3" i="12"/>
  <c r="K2" i="12"/>
  <c r="K4" i="12" s="1"/>
  <c r="B4" i="27"/>
  <c r="B4" i="12"/>
  <c r="O61" i="1"/>
  <c r="Q61" i="1"/>
  <c r="P61" i="1"/>
  <c r="C61" i="1"/>
  <c r="R61" i="1"/>
  <c r="AB2" i="12"/>
  <c r="AF2" i="12"/>
  <c r="T55" i="4"/>
  <c r="T74" i="4"/>
  <c r="Q94" i="4" l="1"/>
  <c r="H94" i="4"/>
  <c r="D94" i="4"/>
  <c r="C94" i="4"/>
  <c r="G94" i="4"/>
  <c r="I94" i="4"/>
  <c r="F94" i="4"/>
  <c r="B5" i="27"/>
  <c r="P94" i="4"/>
  <c r="R94" i="4"/>
  <c r="N94" i="4"/>
  <c r="B94" i="4"/>
  <c r="M94" i="4"/>
  <c r="J94" i="4"/>
  <c r="V94" i="4"/>
  <c r="S94" i="4"/>
  <c r="U94" i="4"/>
  <c r="T94" i="4"/>
  <c r="L94" i="4"/>
  <c r="O94" i="4"/>
  <c r="E94" i="4"/>
  <c r="AB4" i="12"/>
  <c r="AD4" i="12"/>
  <c r="P77" i="4"/>
  <c r="AE4" i="12"/>
  <c r="Z4" i="12"/>
  <c r="W4" i="12"/>
  <c r="AG4" i="12"/>
  <c r="AC4" i="12"/>
  <c r="AH4" i="12"/>
  <c r="AF4" i="12"/>
  <c r="Y4" i="12"/>
  <c r="AA4" i="12"/>
  <c r="F2" i="28"/>
  <c r="K77" i="4"/>
  <c r="J77" i="4"/>
  <c r="G77" i="4"/>
  <c r="F77" i="4"/>
  <c r="L77" i="4"/>
  <c r="B77" i="4"/>
  <c r="B2" i="27"/>
  <c r="G6" i="27" s="1"/>
  <c r="M77" i="4"/>
  <c r="I77" i="4"/>
  <c r="B2" i="12"/>
  <c r="E6" i="12" s="1"/>
  <c r="H77" i="4"/>
  <c r="D77" i="4"/>
  <c r="C77" i="4"/>
  <c r="E77" i="4"/>
  <c r="AG8" i="12"/>
  <c r="AG9" i="12" s="1"/>
  <c r="AG10" i="12" s="1"/>
  <c r="U8" i="12"/>
  <c r="U9" i="12" s="1"/>
  <c r="U10" i="12" s="1"/>
  <c r="AJ8" i="12"/>
  <c r="AJ9" i="12" s="1"/>
  <c r="AJ10" i="12" s="1"/>
  <c r="AB8" i="12"/>
  <c r="AB9" i="12" s="1"/>
  <c r="AB10" i="12" s="1"/>
  <c r="Z8" i="12"/>
  <c r="Z9" i="12" s="1"/>
  <c r="Z10" i="12" s="1"/>
  <c r="AC8" i="12"/>
  <c r="AC9" i="12" s="1"/>
  <c r="AC10" i="12" s="1"/>
  <c r="V8" i="12"/>
  <c r="V9" i="12" s="1"/>
  <c r="V10" i="12" s="1"/>
  <c r="X8" i="12"/>
  <c r="X9" i="12" s="1"/>
  <c r="X10" i="12" s="1"/>
  <c r="AH8" i="12"/>
  <c r="AH9" i="12" s="1"/>
  <c r="AH10" i="12" s="1"/>
  <c r="AD8" i="12"/>
  <c r="AD9" i="12" s="1"/>
  <c r="AD10" i="12" s="1"/>
  <c r="AI8" i="12"/>
  <c r="AI9" i="12" s="1"/>
  <c r="AI10" i="12" s="1"/>
  <c r="W8" i="12"/>
  <c r="W9" i="12" s="1"/>
  <c r="W10" i="12" s="1"/>
  <c r="Y8" i="12"/>
  <c r="Y9" i="12" s="1"/>
  <c r="Y10" i="12" s="1"/>
  <c r="AE8" i="12"/>
  <c r="AE9" i="12" s="1"/>
  <c r="AE10" i="12" s="1"/>
  <c r="AA8" i="12"/>
  <c r="AA9" i="12" s="1"/>
  <c r="AA10" i="12" s="1"/>
  <c r="AF8" i="12"/>
  <c r="AF9" i="12" s="1"/>
  <c r="AF10" i="12" s="1"/>
  <c r="H8" i="27"/>
  <c r="J8" i="27"/>
  <c r="I8" i="27"/>
  <c r="P83" i="4"/>
  <c r="S5" i="12"/>
  <c r="Q83" i="4"/>
  <c r="O83" i="4"/>
  <c r="O61" i="23"/>
  <c r="AG3" i="12"/>
  <c r="AD3" i="12"/>
  <c r="AE3" i="12"/>
  <c r="AC3" i="12"/>
  <c r="W3" i="12"/>
  <c r="Y3" i="12"/>
  <c r="I2" i="27"/>
  <c r="I4" i="27" s="1"/>
  <c r="V2" i="12"/>
  <c r="V4" i="12" s="1"/>
  <c r="J2" i="28"/>
  <c r="K3" i="12"/>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H9" i="27" l="1"/>
  <c r="H10" i="27" s="1"/>
  <c r="I9" i="27"/>
  <c r="I10" i="27" s="1"/>
  <c r="J9" i="27"/>
  <c r="J10" i="27" s="1"/>
  <c r="R5" i="12"/>
  <c r="Q5" i="12"/>
  <c r="P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G7" i="22" s="1"/>
  <c r="F19" i="22"/>
  <c r="G19" i="22" s="1"/>
  <c r="F23" i="22"/>
  <c r="G23" i="22" s="1"/>
  <c r="N5" i="12"/>
  <c r="M5" i="12"/>
  <c r="I5" i="12"/>
  <c r="F20" i="22"/>
  <c r="I20" i="22" s="1"/>
  <c r="F9" i="22"/>
  <c r="F12" i="22"/>
  <c r="I12" i="22" s="1"/>
  <c r="F16" i="22"/>
  <c r="G16" i="22" s="1"/>
  <c r="F22" i="22"/>
  <c r="I22" i="22" s="1"/>
  <c r="J5" i="12"/>
  <c r="F15" i="22"/>
  <c r="I15" i="22" s="1"/>
  <c r="L5" i="12"/>
  <c r="F21" i="22"/>
  <c r="G21" i="22" s="1"/>
  <c r="F5" i="12"/>
  <c r="F24" i="22"/>
  <c r="K24" i="22" s="1"/>
  <c r="M24" i="22" s="1"/>
  <c r="F10" i="22"/>
  <c r="F11" i="22"/>
  <c r="F13" i="22"/>
  <c r="I13" i="22" s="1"/>
  <c r="F14" i="22"/>
  <c r="G14" i="22" s="1"/>
  <c r="F18" i="22"/>
  <c r="G18" i="22" s="1"/>
  <c r="F8" i="22"/>
  <c r="G8" i="22" s="1"/>
  <c r="F5" i="27"/>
  <c r="F25" i="22"/>
  <c r="I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K26" i="22"/>
  <c r="M26"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15" i="22"/>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I36" i="22" l="1"/>
  <c r="I34" i="22"/>
  <c r="I33" i="22"/>
  <c r="K33" i="22" s="1"/>
  <c r="N33" i="22" s="1"/>
  <c r="I32" i="22"/>
  <c r="I35" i="22"/>
  <c r="K34" i="22"/>
  <c r="N34" i="22" s="1"/>
  <c r="K12" i="22"/>
  <c r="M12" i="22" s="1"/>
  <c r="I14" i="22"/>
  <c r="I19" i="22"/>
  <c r="G12" i="22"/>
  <c r="G25" i="22"/>
  <c r="K25" i="22"/>
  <c r="M25" i="22" s="1"/>
  <c r="K14" i="22"/>
  <c r="M14" i="22" s="1"/>
  <c r="K16" i="22"/>
  <c r="M16" i="22" s="1"/>
  <c r="K18" i="22"/>
  <c r="M18" i="22" s="1"/>
  <c r="G10" i="22"/>
  <c r="I10" i="22" s="1"/>
  <c r="K10" i="22" s="1"/>
  <c r="K15" i="22"/>
  <c r="M15" i="22" s="1"/>
  <c r="I18" i="22"/>
  <c r="G13" i="22"/>
  <c r="G9" i="22"/>
  <c r="I9" i="22" s="1"/>
  <c r="K9" i="22" s="1"/>
  <c r="M9" i="22" s="1"/>
  <c r="K19" i="22"/>
  <c r="M19" i="22" s="1"/>
  <c r="I24" i="22"/>
  <c r="I7" i="22"/>
  <c r="G3" i="28" s="1"/>
  <c r="G24" i="22"/>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24" i="22"/>
  <c r="N17" i="22"/>
  <c r="N26" i="22"/>
  <c r="L2" i="28"/>
  <c r="K3" i="28"/>
  <c r="K2" i="28"/>
  <c r="G13" i="28"/>
  <c r="G14" i="28"/>
  <c r="G4" i="28"/>
  <c r="G8" i="28"/>
  <c r="G11" i="28"/>
  <c r="G12" i="28"/>
  <c r="G9" i="28"/>
  <c r="G6" i="28"/>
  <c r="G15" i="28"/>
  <c r="G7" i="28"/>
  <c r="G5" i="28"/>
  <c r="G10" i="28"/>
  <c r="H6" i="28"/>
  <c r="H15" i="28"/>
  <c r="H12" i="28"/>
  <c r="H9" i="28"/>
  <c r="H14" i="28"/>
  <c r="H10" i="28"/>
  <c r="H13" i="28"/>
  <c r="H11" i="28"/>
  <c r="H8" i="28"/>
  <c r="H5" i="28"/>
  <c r="H4" i="28"/>
  <c r="H7" i="28"/>
  <c r="M34" i="22" l="1"/>
  <c r="M33" i="22"/>
  <c r="N10" i="22"/>
  <c r="M10" i="22"/>
  <c r="K7" i="22"/>
  <c r="M7" i="22" s="1"/>
  <c r="K35" i="22"/>
  <c r="N35" i="22" s="1"/>
  <c r="K36" i="22"/>
  <c r="N36" i="22" s="1"/>
  <c r="K32" i="22"/>
  <c r="N32" i="22" s="1"/>
  <c r="N12" i="22"/>
  <c r="H2" i="28"/>
  <c r="N25" i="22"/>
  <c r="N18" i="22"/>
  <c r="N21" i="22"/>
  <c r="N19" i="22"/>
  <c r="N14" i="22"/>
  <c r="N16" i="22"/>
  <c r="N15" i="22"/>
  <c r="N8" i="22"/>
  <c r="N20" i="22"/>
  <c r="N13" i="22"/>
  <c r="G2" i="28"/>
  <c r="N11" i="22"/>
  <c r="N9" i="22"/>
  <c r="N23" i="22"/>
  <c r="N22" i="22"/>
  <c r="M36" i="22" l="1"/>
  <c r="M35" i="22"/>
  <c r="M32" i="22"/>
  <c r="N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<sst xmlns="http://schemas.openxmlformats.org/spreadsheetml/2006/main" count="7612" uniqueCount="4306">
  <si>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</si>
  <si>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</si>
  <si>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</si>
  <si>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</si>
  <si>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</si>
  <si>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</si>
  <si>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</si>
  <si>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</si>
  <si>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</si>
  <si>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</si>
  <si>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</si>
  <si>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</si>
  <si>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</si>
  <si>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</si>
  <si>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</si>
  <si>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</si>
  <si>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</si>
  <si>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</si>
  <si>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</si>
  <si>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</si>
  <si>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</si>
  <si>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</si>
  <si>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</si>
  <si>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</si>
  <si>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</si>
  <si>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</si>
  <si>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</si>
  <si>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</si>
  <si>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</si>
  <si>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</si>
  <si>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</si>
  <si>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</si>
  <si>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</si>
  <si>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</si>
  <si>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</si>
  <si>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</si>
  <si>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</si>
  <si>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</si>
  <si>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</si>
  <si>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</si>
  <si>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</si>
  <si>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</si>
  <si>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</si>
  <si>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</si>
  <si>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</si>
  <si>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</si>
  <si>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</si>
  <si>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</si>
  <si>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</si>
  <si>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</si>
  <si>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</si>
  <si>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</si>
  <si>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</si>
  <si>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</si>
  <si>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</si>
  <si>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</si>
  <si>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</si>
  <si>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</si>
  <si>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</si>
  <si>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</si>
  <si>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</si>
  <si>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</si>
  <si>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</si>
  <si>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</si>
  <si>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</si>
  <si>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</si>
  <si>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</si>
  <si>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</si>
  <si>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</si>
  <si>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</si>
  <si>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</si>
  <si>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</si>
  <si>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</si>
  <si>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</si>
  <si>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</si>
  <si>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</si>
  <si>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</si>
  <si>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</si>
  <si>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</si>
  <si>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</si>
  <si>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</si>
  <si>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</si>
  <si>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</si>
  <si>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</si>
  <si>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</si>
  <si>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</si>
  <si>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</si>
  <si>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</si>
  <si>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</si>
  <si>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</si>
  <si>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</si>
  <si>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</si>
  <si>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</si>
  <si>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</si>
  <si>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</si>
  <si>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</si>
  <si>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</si>
  <si>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</si>
  <si>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</si>
  <si>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</si>
  <si>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</si>
  <si>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</si>
  <si>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</si>
  <si>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</si>
  <si>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</si>
  <si>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</si>
  <si>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</si>
  <si>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</si>
  <si>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</si>
  <si>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</si>
  <si>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</si>
  <si>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</si>
  <si>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</si>
  <si>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</si>
  <si>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</si>
  <si>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</si>
  <si>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</si>
  <si>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</si>
  <si>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</si>
  <si>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</si>
  <si>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</si>
  <si>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</si>
  <si>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</si>
  <si>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</si>
  <si>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</si>
  <si>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</si>
  <si>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</si>
  <si>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</si>
  <si>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</si>
  <si>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</si>
  <si>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</si>
  <si>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</si>
  <si>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</si>
  <si>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</si>
  <si>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</si>
  <si>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</si>
  <si>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</si>
  <si>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</si>
  <si>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</si>
  <si>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</si>
  <si>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</si>
  <si>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</si>
  <si>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</si>
  <si>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</si>
  <si>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</si>
  <si>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</si>
  <si>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</si>
  <si>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</si>
  <si>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</si>
  <si>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</si>
  <si>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</si>
  <si>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</si>
  <si>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</si>
  <si>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</si>
  <si>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</si>
  <si>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</si>
  <si>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</si>
  <si>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</si>
  <si>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</si>
  <si>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</si>
  <si>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</si>
  <si>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</si>
  <si>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</si>
  <si>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</si>
  <si>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</si>
  <si>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</si>
  <si>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C:\Users\andre\Desktop\REACTIV CEFAS\Dutasteride\Dutasteride/20201201_Cefas_Test8_Run1/Plate 1/@1/A10_01- exclu.tif</t>
  </si>
  <si>
    <t>C:\Users\andre\Desktop\REACTIV CEFAS\Dutasteride\Dutasteride/20201201_Cefas_Test8_Run1/Plate 1/@1/A10_02- exclu.tif</t>
  </si>
  <si>
    <t>C:\Users\andre\Desktop\REACTIV CEFAS\Dutasteride\Dutasteride/20201201_Cefas_Test8_Run1/Plate 1/@1/A10_03- exclu.tif</t>
  </si>
  <si>
    <t>C:\Users\andre\Desktop\REACTIV CEFAS\Dutasteride\Dutasteride/20201201_Cefas_Test8_Run1/Plate 1/@1/B10_01- exclu.tif</t>
  </si>
  <si>
    <t>C:\Users\andre\Desktop\REACTIV CEFAS\Dutasteride\Dutasteride/20201201_Cefas_Test8_Run1/Plate 1/@1/B10_02- exclu.tif</t>
  </si>
  <si>
    <t xml:space="preserve">C:\Users\andre\Desktop\REACTIV CEFAS\Dutasteride\Dutasteride/20201201_Cefas_Test8_Run1/Plate 1/@1/B10_03.tif </t>
  </si>
  <si>
    <t xml:space="preserve"> 7267.6446 </t>
  </si>
  <si>
    <t xml:space="preserve"> 37.8036 </t>
  </si>
  <si>
    <t xml:space="preserve">C:\Users\andre\Desktop\REACTIV CEFAS\Dutasteride\Dutasteride/20201201_Cefas_Test8_Run1/Plate 1/@1/C10_01.tif </t>
  </si>
  <si>
    <t xml:space="preserve"> 6986.456 </t>
  </si>
  <si>
    <t xml:space="preserve"> 39.4241 </t>
  </si>
  <si>
    <t xml:space="preserve">C:\Users\andre\Desktop\REACTIV CEFAS\Dutasteride\Dutasteride/20201201_Cefas_Test8_Run1/Plate 1/@1/C10_02.tif </t>
  </si>
  <si>
    <t xml:space="preserve"> 6186.1499 </t>
  </si>
  <si>
    <t xml:space="preserve"> 39.8147 </t>
  </si>
  <si>
    <t xml:space="preserve">C:\Users\andre\Desktop\REACTIV CEFAS\Dutasteride\Dutasteride/20201201_Cefas_Test8_Run1/Plate 1/@1/C10_03.tif </t>
  </si>
  <si>
    <t xml:space="preserve"> 5991.4808 </t>
  </si>
  <si>
    <t xml:space="preserve"> 37.9639 </t>
  </si>
  <si>
    <t xml:space="preserve">C:\Users\andre\Desktop\REACTIV CEFAS\Dutasteride\Dutasteride/20201201_Cefas_Test8_Run1/Plate 1/@1/D10_01.tif </t>
  </si>
  <si>
    <t xml:space="preserve"> 3655.4522 </t>
  </si>
  <si>
    <t xml:space="preserve"> 34.5503 </t>
  </si>
  <si>
    <t xml:space="preserve">C:\Users\andre\Desktop\REACTIV CEFAS\Dutasteride\Dutasteride/20201201_Cefas_Test8_Run1/Plate 1/@1/D10_02.tif </t>
  </si>
  <si>
    <t xml:space="preserve"> 7592.093 </t>
  </si>
  <si>
    <t xml:space="preserve"> 32.9202 </t>
  </si>
  <si>
    <t xml:space="preserve">C:\Users\andre\Desktop\REACTIV CEFAS\Dutasteride\Dutasteride/20201201_Cefas_Test8_Run1/Plate 1/@1/D10_03.tif </t>
  </si>
  <si>
    <t xml:space="preserve"> 1838.541 </t>
  </si>
  <si>
    <t xml:space="preserve"> 33.2235 </t>
  </si>
  <si>
    <t xml:space="preserve">C:\Users\andre\Desktop\REACTIV CEFAS\Dutasteride\Dutasteride/20201201_Cefas_Test8_Run1/Plate 1/@1/E10_01.tif </t>
  </si>
  <si>
    <t xml:space="preserve"> 1752.0215 </t>
  </si>
  <si>
    <t xml:space="preserve"> 37.358 </t>
  </si>
  <si>
    <t xml:space="preserve">C:\Users\andre\Desktop\REACTIV CEFAS\Dutasteride\Dutasteride/20201201_Cefas_Test8_Run1/Plate 1/@1/E10_02.tif </t>
  </si>
  <si>
    <t xml:space="preserve"> 194.6691 </t>
  </si>
  <si>
    <t xml:space="preserve"> 31.4444 </t>
  </si>
  <si>
    <t xml:space="preserve">C:\Users\andre\Desktop\REACTIV CEFAS\Dutasteride\Dutasteride/20201201_Cefas_Test8_Run1/Plate 1/@1/E10_03.tif </t>
  </si>
  <si>
    <t xml:space="preserve">C:\Users\andre\Desktop\REACTIV CEFAS\Dutasteride\Dutasteride/20201201_Cefas_Test8_Run1/Plate 1/@1/F10_01.tif </t>
  </si>
  <si>
    <t xml:space="preserve"> 4412.4985 </t>
  </si>
  <si>
    <t xml:space="preserve"> 35.7255 </t>
  </si>
  <si>
    <t xml:space="preserve">C:\Users\andre\Desktop\REACTIV CEFAS\Dutasteride\Dutasteride/20201201_Cefas_Test8_Run1/Plate 1/@1/F10_02.tif </t>
  </si>
  <si>
    <t xml:space="preserve"> 800.3061 </t>
  </si>
  <si>
    <t xml:space="preserve"> 32.2703 </t>
  </si>
  <si>
    <t xml:space="preserve">C:\Users\andre\Desktop\REACTIV CEFAS\Dutasteride\Dutasteride/20201201_Cefas_Test8_Run1/Plate 1/@1/F10_03.tif </t>
  </si>
  <si>
    <t xml:space="preserve">C:\Users\andre\Desktop\REACTIV CEFAS\Dutasteride\Dutasteride/20201201_Cefas_Test8_Run1/Plate 1/@1/G10_01.tif </t>
  </si>
  <si>
    <t xml:space="preserve">C:\Users\andre\Desktop\REACTIV CEFAS\Dutasteride\Dutasteride/20201201_Cefas_Test8_Run1/Plate 1/@1/G10_02.tif </t>
  </si>
  <si>
    <t xml:space="preserve"> 21.6299 </t>
  </si>
  <si>
    <t xml:space="preserve">C:\Users\andre\Desktop\REACTIV CEFAS\Dutasteride\Dutasteride/20201201_Cefas_Test8_Run1/Plate 1/@1/G10_03.tif </t>
  </si>
  <si>
    <t xml:space="preserve">C:\Users\andre\Desktop\REACTIV CEFAS\Dutasteride\Dutasteride/20201201_Cefas_Test8_Run1/Plate 1/@1/H10_01.tif </t>
  </si>
  <si>
    <t xml:space="preserve"> 562.3773 </t>
  </si>
  <si>
    <t xml:space="preserve"> 31.4231 </t>
  </si>
  <si>
    <t xml:space="preserve">C:\Users\andre\Desktop\REACTIV CEFAS\Dutasteride\Dutasteride/20201201_Cefas_Test8_Run1/Plate 1/@1/H10_02.tif </t>
  </si>
  <si>
    <t xml:space="preserve"> 6467.3385 </t>
  </si>
  <si>
    <t xml:space="preserve"> 37.4582 </t>
  </si>
  <si>
    <t xml:space="preserve">C:\Users\andre\Desktop\REACTIV CEFAS\Dutasteride\Dutasteride/20201201_Cefas_Test8_Run1/Plate 1/@1/H10_03.tif </t>
  </si>
  <si>
    <t xml:space="preserve"> 7786.7621 </t>
  </si>
  <si>
    <t xml:space="preserve"> 39.6639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</si>
  <si>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</si>
  <si>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</si>
  <si>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</si>
  <si>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</si>
  <si>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</si>
  <si>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</si>
  <si>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</si>
  <si>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C:\Users\andre\Desktop\REACTIV CEFAS\Dutasteride\Dutasteride/20201201_Cefas_Test8_Run1/Plate 1/@1/ </t>
  </si>
  <si>
    <t xml:space="preserve"> 29.8795 </t>
  </si>
  <si>
    <t xml:space="preserve"> 14.2068 </t>
  </si>
  <si>
    <t xml:space="preserve"> 140170.792 </t>
  </si>
  <si>
    <t xml:space="preserve"> 147850.892 </t>
  </si>
  <si>
    <t xml:space="preserve">file name </t>
  </si>
  <si>
    <t xml:space="preserve">C:\Users\andre\Desktop\REACTIV CEFAS\Dutasteride\Dutasteride/20201201_Cefas_Test8_Run1/Plate 1/@13/A8_01.tif </t>
  </si>
  <si>
    <t xml:space="preserve"> 24312.0016 </t>
  </si>
  <si>
    <t xml:space="preserve"> 35.6423 </t>
  </si>
  <si>
    <t xml:space="preserve">C:\Users\andre\Desktop\REACTIV CEFAS\Dutasteride\Dutasteride/20201201_Cefas_Test8_Run1/Plate 1/@13/A8_02.tif </t>
  </si>
  <si>
    <t xml:space="preserve"> 15140.9262 </t>
  </si>
  <si>
    <t xml:space="preserve"> 35.39 </t>
  </si>
  <si>
    <t xml:space="preserve">C:\Users\andre\Desktop\REACTIV CEFAS\Dutasteride\Dutasteride/20201201_Cefas_Test8_Run1/Plate 1/@13/A8_03.tif </t>
  </si>
  <si>
    <t xml:space="preserve"> 21911.0833 </t>
  </si>
  <si>
    <t xml:space="preserve"> 35.157 </t>
  </si>
  <si>
    <t xml:space="preserve">C:\Users\andre\Desktop\REACTIV CEFAS\Dutasteride\Dutasteride/20201201_Cefas_Test8_Run1/Plate 1/@13/B8_01.tif </t>
  </si>
  <si>
    <t xml:space="preserve"> 47239.6899 </t>
  </si>
  <si>
    <t xml:space="preserve"> 36.8214 </t>
  </si>
  <si>
    <t xml:space="preserve">C:\Users\andre\Desktop\REACTIV CEFAS\Dutasteride\Dutasteride/20201201_Cefas_Test8_Run1/Plate 1/@13/B8_02.tif </t>
  </si>
  <si>
    <t xml:space="preserve"> 60217.6266 </t>
  </si>
  <si>
    <t xml:space="preserve"> 38.5862 </t>
  </si>
  <si>
    <t xml:space="preserve">C:\Users\andre\Desktop\REACTIV CEFAS\Dutasteride\Dutasteride/20201201_Cefas_Test8_Run1/Plate 1/@13/B8_03.tif </t>
  </si>
  <si>
    <t xml:space="preserve"> 51046.5513 </t>
  </si>
  <si>
    <t xml:space="preserve"> 37.1699 </t>
  </si>
  <si>
    <t xml:space="preserve">C:\Users\andre\Desktop\REACTIV CEFAS\Dutasteride\Dutasteride/20201201_Cefas_Test8_Run1/Plate 1/@13/C8_01.tif </t>
  </si>
  <si>
    <t xml:space="preserve"> 69756.4102 </t>
  </si>
  <si>
    <t xml:space="preserve"> 42.9181 </t>
  </si>
  <si>
    <t xml:space="preserve">C:\Users\andre\Desktop\REACTIV CEFAS\Dutasteride\Dutasteride/20201201_Cefas_Test8_Run1/Plate 1/@13/C8_02.tif </t>
  </si>
  <si>
    <t xml:space="preserve"> 74644.7664 </t>
  </si>
  <si>
    <t xml:space="preserve"> 47.8621 </t>
  </si>
  <si>
    <t xml:space="preserve">C:\Users\andre\Desktop\REACTIV CEFAS\Dutasteride\Dutasteride/20201201_Cefas_Test8_Run1/Plate 1/@13/C8_03.tif </t>
  </si>
  <si>
    <t xml:space="preserve"> 74298.6881 </t>
  </si>
  <si>
    <t xml:space="preserve"> 47.5345 </t>
  </si>
  <si>
    <t xml:space="preserve">C:\Users\andre\Desktop\REACTIV CEFAS\Dutasteride\Dutasteride/20201201_Cefas_Test8_Run1/Plate 1/@13/D8_01.tif </t>
  </si>
  <si>
    <t xml:space="preserve"> 50895.1421 </t>
  </si>
  <si>
    <t xml:space="preserve"> 39.4717 </t>
  </si>
  <si>
    <t xml:space="preserve">C:\Users\andre\Desktop\REACTIV CEFAS\Dutasteride\Dutasteride/20201201_Cefas_Test8_Run1/Plate 1/@13/D8_02.tif </t>
  </si>
  <si>
    <t xml:space="preserve"> 42459.4832 </t>
  </si>
  <si>
    <t xml:space="preserve"> 36.0683 </t>
  </si>
  <si>
    <t xml:space="preserve">C:\Users\andre\Desktop\REACTIV CEFAS\Dutasteride\Dutasteride/20201201_Cefas_Test8_Run1/Plate 1/@13/D8_03.tif </t>
  </si>
  <si>
    <t xml:space="preserve"> 41507.7678 </t>
  </si>
  <si>
    <t xml:space="preserve"> 37.468 </t>
  </si>
  <si>
    <t xml:space="preserve">C:\Users\andre\Desktop\REACTIV CEFAS\Dutasteride\Dutasteride/20201201_Cefas_Test8_Run1/Plate 1/@13/E8_01.tif </t>
  </si>
  <si>
    <t xml:space="preserve"> 8132.8404 </t>
  </si>
  <si>
    <t xml:space="preserve"> 33.8218 </t>
  </si>
  <si>
    <t xml:space="preserve">C:\Users\andre\Desktop\REACTIV CEFAS\Dutasteride\Dutasteride/20201201_Cefas_Test8_Run1/Plate 1/@13/E8_02.tif </t>
  </si>
  <si>
    <t xml:space="preserve"> 5472.3633 </t>
  </si>
  <si>
    <t xml:space="preserve"> 32.8735 </t>
  </si>
  <si>
    <t xml:space="preserve">C:\Users\andre\Desktop\REACTIV CEFAS\Dutasteride\Dutasteride/20201201_Cefas_Test8_Run1/Plate 1/@13/E8_03.tif </t>
  </si>
  <si>
    <t xml:space="preserve"> 3828.4913 </t>
  </si>
  <si>
    <t xml:space="preserve"> 32.1808 </t>
  </si>
  <si>
    <t xml:space="preserve">C:\Users\andre\Desktop\REACTIV CEFAS\Dutasteride\Dutasteride/20201201_Cefas_Test8_Run1/Plate 1/@13/F8_01.tif </t>
  </si>
  <si>
    <t xml:space="preserve"> 37571.127 </t>
  </si>
  <si>
    <t xml:space="preserve"> 39.4865 </t>
  </si>
  <si>
    <t xml:space="preserve">C:\Users\andre\Desktop\REACTIV CEFAS\Dutasteride\Dutasteride/20201201_Cefas_Test8_Run1/Plate 1/@13/F8_02.tif </t>
  </si>
  <si>
    <t xml:space="preserve"> 29503.1763 </t>
  </si>
  <si>
    <t xml:space="preserve"> 38.5249 </t>
  </si>
  <si>
    <t xml:space="preserve">C:\Users\andre\Desktop\REACTIV CEFAS\Dutasteride\Dutasteride/20201201_Cefas_Test8_Run1/Plate 1/@13/F8_03.tif </t>
  </si>
  <si>
    <t xml:space="preserve"> 38003.7249 </t>
  </si>
  <si>
    <t xml:space="preserve"> 39.7063 </t>
  </si>
  <si>
    <t xml:space="preserve">C:\Users\andre\Desktop\REACTIV CEFAS\Dutasteride\Dutasteride/20201201_Cefas_Test8_Run1/Plate 1/@13/G8_01.tif </t>
  </si>
  <si>
    <t xml:space="preserve"> 51630.5585 </t>
  </si>
  <si>
    <t xml:space="preserve"> 36.4001 </t>
  </si>
  <si>
    <t xml:space="preserve">C:\Users\andre\Desktop\REACTIV CEFAS\Dutasteride\Dutasteride/20201201_Cefas_Test8_Run1/Plate 1/@13/G8_02.tif </t>
  </si>
  <si>
    <t xml:space="preserve"> 42632.5223 </t>
  </si>
  <si>
    <t xml:space="preserve"> 36.1187 </t>
  </si>
  <si>
    <t xml:space="preserve">C:\Users\andre\Desktop\REACTIV CEFAS\Dutasteride\Dutasteride/20201201_Cefas_Test8_Run1/Plate 1/@13/G8_03.tif </t>
  </si>
  <si>
    <t xml:space="preserve"> 47499.2486 </t>
  </si>
  <si>
    <t xml:space="preserve"> 36.51 </t>
  </si>
  <si>
    <t>C:\Users\andre\Desktop\REACTIV CEFAS\Dutasteride\Dutasteride/20201201_Cefas_Test8_Run1/Plate 1/@13/H8_01- exclu.tif</t>
  </si>
  <si>
    <t>C:\Users\andre\Desktop\REACTIV CEFAS\Dutasteride\Dutasteride/20201201_Cefas_Test8_Run1/Plate 1/@13/H8_02- exclu.tif</t>
  </si>
  <si>
    <t>C:\Users\andre\Desktop\REACTIV CEFAS\Dutasteride\Dutasteride/20201201_Cefas_Test8_Run1/Plate 1/@13/H8_03- exclu.tif</t>
  </si>
  <si>
    <t xml:space="preserve">C:\Users\andre\Desktop\REACTIV CEFAS\Dutasteride\Dutasteride/20201201_Cefas_Test8_Run1/Plate 1/@13/ </t>
  </si>
  <si>
    <t xml:space="preserve"> 37.2545 </t>
  </si>
  <si>
    <t xml:space="preserve"> 4.1747 </t>
  </si>
  <si>
    <t xml:space="preserve"> 1401409.88 </t>
  </si>
  <si>
    <t xml:space="preserve"> 1029844.4 </t>
  </si>
  <si>
    <t xml:space="preserve">C:\Users\andre\Desktop\REACTIV CEFAS\Dutasteride\Dutasteride/20201201_Cefas_Test8_Run1/Plate 1/@14/A9_01.tif </t>
  </si>
  <si>
    <t xml:space="preserve"> 53620.5088 </t>
  </si>
  <si>
    <t xml:space="preserve"> 45.5264 </t>
  </si>
  <si>
    <t xml:space="preserve">C:\Users\andre\Desktop\REACTIV CEFAS\Dutasteride\Dutasteride/20201201_Cefas_Test8_Run1/Plate 1/@14/A9_02.tif </t>
  </si>
  <si>
    <t xml:space="preserve"> 56345.8755 </t>
  </si>
  <si>
    <t xml:space="preserve"> 47.2418 </t>
  </si>
  <si>
    <t xml:space="preserve">C:\Users\andre\Desktop\REACTIV CEFAS\Dutasteride\Dutasteride/20201201_Cefas_Test8_Run1/Plate 1/@14/A9_03.tif </t>
  </si>
  <si>
    <t xml:space="preserve"> 63224.182 </t>
  </si>
  <si>
    <t xml:space="preserve"> 48.338 </t>
  </si>
  <si>
    <t xml:space="preserve">C:\Users\andre\Desktop\REACTIV CEFAS\Dutasteride\Dutasteride/20201201_Cefas_Test8_Run1/Plate 1/@14/B9_01.tif </t>
  </si>
  <si>
    <t xml:space="preserve"> 57838.3382 </t>
  </si>
  <si>
    <t xml:space="preserve"> 40.2427 </t>
  </si>
  <si>
    <t xml:space="preserve">C:\Users\andre\Desktop\REACTIV CEFAS\Dutasteride\Dutasteride/20201201_Cefas_Test8_Run1/Plate 1/@14/B9_02.tif </t>
  </si>
  <si>
    <t xml:space="preserve"> 55350.9004 </t>
  </si>
  <si>
    <t xml:space="preserve"> 41.4412 </t>
  </si>
  <si>
    <t xml:space="preserve">C:\Users\andre\Desktop\REACTIV CEFAS\Dutasteride\Dutasteride/20201201_Cefas_Test8_Run1/Plate 1/@14/B9_03.tif </t>
  </si>
  <si>
    <t xml:space="preserve"> 56735.2136 </t>
  </si>
  <si>
    <t xml:space="preserve"> 40.9344 </t>
  </si>
  <si>
    <t xml:space="preserve">C:\Users\andre\Desktop\REACTIV CEFAS\Dutasteride\Dutasteride/20201201_Cefas_Test8_Run1/Plate 1/@14/C9_01.tif </t>
  </si>
  <si>
    <t xml:space="preserve"> 61126.0822 </t>
  </si>
  <si>
    <t xml:space="preserve"> 45.4306 </t>
  </si>
  <si>
    <t xml:space="preserve">C:\Users\andre\Desktop\REACTIV CEFAS\Dutasteride\Dutasteride/20201201_Cefas_Test8_Run1/Plate 1/@14/C9_02.tif </t>
  </si>
  <si>
    <t xml:space="preserve"> 57232.7012 </t>
  </si>
  <si>
    <t xml:space="preserve"> 44.8141 </t>
  </si>
  <si>
    <t xml:space="preserve">C:\Users\andre\Desktop\REACTIV CEFAS\Dutasteride\Dutasteride/20201201_Cefas_Test8_Run1/Plate 1/@14/C9_03.tif </t>
  </si>
  <si>
    <t xml:space="preserve"> 55199.4911 </t>
  </si>
  <si>
    <t xml:space="preserve"> 42.2092 </t>
  </si>
  <si>
    <t xml:space="preserve">C:\Users\andre\Desktop\REACTIV CEFAS\Dutasteride\Dutasteride/20201201_Cefas_Test8_Run1/Plate 1/@14/D9_01.tif </t>
  </si>
  <si>
    <t xml:space="preserve"> 65408.8014 </t>
  </si>
  <si>
    <t xml:space="preserve"> 44.8185 </t>
  </si>
  <si>
    <t xml:space="preserve">C:\Users\andre\Desktop\REACTIV CEFAS\Dutasteride\Dutasteride/20201201_Cefas_Test8_Run1/Plate 1/@14/D9_02.tif </t>
  </si>
  <si>
    <t xml:space="preserve"> 54853.4128 </t>
  </si>
  <si>
    <t xml:space="preserve"> 42.1928 </t>
  </si>
  <si>
    <t xml:space="preserve">C:\Users\andre\Desktop\REACTIV CEFAS\Dutasteride\Dutasteride/20201201_Cefas_Test8_Run1/Plate 1/@14/D9_03.tif </t>
  </si>
  <si>
    <t xml:space="preserve"> 59720.1391 </t>
  </si>
  <si>
    <t xml:space="preserve"> 44.2912 </t>
  </si>
  <si>
    <t xml:space="preserve">C:\Users\andre\Desktop\REACTIV CEFAS\Dutasteride\Dutasteride/20201201_Cefas_Test8_Run1/Plate 1/@14/E9_01.tif </t>
  </si>
  <si>
    <t xml:space="preserve"> 51500.7791 </t>
  </si>
  <si>
    <t xml:space="preserve"> 46.0302 </t>
  </si>
  <si>
    <t>C:\Users\andre\Desktop\REACTIV CEFAS\Dutasteride\Dutasteride/20201201_Cefas_Test8_Run1/Plate 1/@14/E9_02- exclu.tif</t>
  </si>
  <si>
    <t xml:space="preserve">C:\Users\andre\Desktop\REACTIV CEFAS\Dutasteride\Dutasteride/20201201_Cefas_Test8_Run1/Plate 1/@14/E9_03.tif </t>
  </si>
  <si>
    <t xml:space="preserve"> 43995.2057 </t>
  </si>
  <si>
    <t xml:space="preserve"> 45.826 </t>
  </si>
  <si>
    <t xml:space="preserve">C:\Users\andre\Desktop\REACTIV CEFAS\Dutasteride\Dutasteride/20201201_Cefas_Test8_Run1/Plate 1/@14/F9_01.tif </t>
  </si>
  <si>
    <t xml:space="preserve"> 36987.1198 </t>
  </si>
  <si>
    <t xml:space="preserve"> 42.5357 </t>
  </si>
  <si>
    <t xml:space="preserve">C:\Users\andre\Desktop\REACTIV CEFAS\Dutasteride\Dutasteride/20201201_Cefas_Test8_Run1/Plate 1/@14/F9_02.tif </t>
  </si>
  <si>
    <t xml:space="preserve"> 32012.2441 </t>
  </si>
  <si>
    <t xml:space="preserve"> 43.7878 </t>
  </si>
  <si>
    <t xml:space="preserve">C:\Users\andre\Desktop\REACTIV CEFAS\Dutasteride\Dutasteride/20201201_Cefas_Test8_Run1/Plate 1/@14/F9_03.tif </t>
  </si>
  <si>
    <t xml:space="preserve"> 30108.8133 </t>
  </si>
  <si>
    <t xml:space="preserve"> 42.1803 </t>
  </si>
  <si>
    <t xml:space="preserve">C:\Users\andre\Desktop\REACTIV CEFAS\Dutasteride\Dutasteride/20201201_Cefas_Test8_Run1/Plate 1/@14/G9_01.tif </t>
  </si>
  <si>
    <t xml:space="preserve"> 5818.4417 </t>
  </si>
  <si>
    <t xml:space="preserve"> 37.8885 </t>
  </si>
  <si>
    <t xml:space="preserve">C:\Users\andre\Desktop\REACTIV CEFAS\Dutasteride\Dutasteride/20201201_Cefas_Test8_Run1/Plate 1/@14/G9_02.tif </t>
  </si>
  <si>
    <t xml:space="preserve"> 10274.1999 </t>
  </si>
  <si>
    <t xml:space="preserve"> 43.7263 </t>
  </si>
  <si>
    <t xml:space="preserve">C:\Users\andre\Desktop\REACTIV CEFAS\Dutasteride\Dutasteride/20201201_Cefas_Test8_Run1/Plate 1/@14/G9_03.tif </t>
  </si>
  <si>
    <t xml:space="preserve"> 6488.9684 </t>
  </si>
  <si>
    <t xml:space="preserve"> 40.9467 </t>
  </si>
  <si>
    <t xml:space="preserve">C:\Users\andre\Desktop\REACTIV CEFAS\Dutasteride\Dutasteride/20201201_Cefas_Test8_Run1/Plate 1/@14/H9_01.tif </t>
  </si>
  <si>
    <t xml:space="preserve"> 31147.0483 </t>
  </si>
  <si>
    <t xml:space="preserve"> 35.1354 </t>
  </si>
  <si>
    <t xml:space="preserve">C:\Users\andre\Desktop\REACTIV CEFAS\Dutasteride\Dutasteride/20201201_Cefas_Test8_Run1/Plate 1/@14/H9_02.tif </t>
  </si>
  <si>
    <t xml:space="preserve"> 35062.0592 </t>
  </si>
  <si>
    <t xml:space="preserve"> 36.2918 </t>
  </si>
  <si>
    <t xml:space="preserve">C:\Users\andre\Desktop\REACTIV CEFAS\Dutasteride\Dutasteride/20201201_Cefas_Test8_Run1/Plate 1/@14/H9_03.tif </t>
  </si>
  <si>
    <t xml:space="preserve"> 36143.5539 </t>
  </si>
  <si>
    <t xml:space="preserve"> 35.2328 </t>
  </si>
  <si>
    <t xml:space="preserve">C:\Users\andre\Desktop\REACTIV CEFAS\Dutasteride\Dutasteride/20201201_Cefas_Test8_Run1/Plate 1/@14/ </t>
  </si>
  <si>
    <t xml:space="preserve"> 42.6169 </t>
  </si>
  <si>
    <t xml:space="preserve"> 3.6317 </t>
  </si>
  <si>
    <t xml:space="preserve"> 1901017.12 </t>
  </si>
  <si>
    <t xml:space="preserve"> 832858.493 </t>
  </si>
  <si>
    <t xml:space="preserve">C:\Users\andre\Desktop\REACTIV CEFAS\Dutasteride\Dutasteride/20201201_Cefas_Test8_Run1/Plate 1/@15/A11_01.tif </t>
  </si>
  <si>
    <t xml:space="preserve"> 79403.3432 </t>
  </si>
  <si>
    <t xml:space="preserve"> 51.1351 </t>
  </si>
  <si>
    <t xml:space="preserve">C:\Users\andre\Desktop\REACTIV CEFAS\Dutasteride\Dutasteride/20201201_Cefas_Test8_Run1/Plate 1/@15/A11_02.tif </t>
  </si>
  <si>
    <t xml:space="preserve"> 73498.3819 </t>
  </si>
  <si>
    <t xml:space="preserve"> 49.7969 </t>
  </si>
  <si>
    <t xml:space="preserve">C:\Users\andre\Desktop\REACTIV CEFAS\Dutasteride\Dutasteride/20201201_Cefas_Test8_Run1/Plate 1/@15/A11_03.tif </t>
  </si>
  <si>
    <t xml:space="preserve"> 75055.7344 </t>
  </si>
  <si>
    <t xml:space="preserve"> 53.9562 </t>
  </si>
  <si>
    <t xml:space="preserve">C:\Users\andre\Desktop\REACTIV CEFAS\Dutasteride\Dutasteride/20201201_Cefas_Test8_Run1/Plate 1/@15/B11_01.tif </t>
  </si>
  <si>
    <t xml:space="preserve"> 72957.6346 </t>
  </si>
  <si>
    <t xml:space="preserve"> 51.3694 </t>
  </si>
  <si>
    <t xml:space="preserve">C:\Users\andre\Desktop\REACTIV CEFAS\Dutasteride\Dutasteride/20201201_Cefas_Test8_Run1/Plate 1/@15/B11_02.tif </t>
  </si>
  <si>
    <t xml:space="preserve"> 79057.2649 </t>
  </si>
  <si>
    <t xml:space="preserve"> 51.3666 </t>
  </si>
  <si>
    <t xml:space="preserve">C:\Users\andre\Desktop\REACTIV CEFAS\Dutasteride\Dutasteride/20201201_Cefas_Test8_Run1/Plate 1/@15/B11_03.tif </t>
  </si>
  <si>
    <t xml:space="preserve"> 75380.1828 </t>
  </si>
  <si>
    <t xml:space="preserve"> 52.1392 </t>
  </si>
  <si>
    <t xml:space="preserve">C:\Users\andre\Desktop\REACTIV CEFAS\Dutasteride\Dutasteride/20201201_Cefas_Test8_Run1/Plate 1/@15/C11_01.tif </t>
  </si>
  <si>
    <t xml:space="preserve"> 87730.8526 </t>
  </si>
  <si>
    <t xml:space="preserve"> 49.747 </t>
  </si>
  <si>
    <t xml:space="preserve">C:\Users\andre\Desktop\REACTIV CEFAS\Dutasteride\Dutasteride/20201201_Cefas_Test8_Run1/Plate 1/@15/C11_02.tif </t>
  </si>
  <si>
    <t xml:space="preserve"> 85849.0518 </t>
  </si>
  <si>
    <t xml:space="preserve"> 48.5006 </t>
  </si>
  <si>
    <t xml:space="preserve">C:\Users\andre\Desktop\REACTIV CEFAS\Dutasteride\Dutasteride/20201201_Cefas_Test8_Run1/Plate 1/@15/C11_03.tif </t>
  </si>
  <si>
    <t xml:space="preserve"> 93484.4046 </t>
  </si>
  <si>
    <t xml:space="preserve"> 52.6617 </t>
  </si>
  <si>
    <t>C:\Users\andre\Desktop\REACTIV CEFAS\Dutasteride\Dutasteride/20201201_Cefas_Test8_Run1/Plate 1/@15/D11_01- exclu.tif</t>
  </si>
  <si>
    <t xml:space="preserve">C:\Users\andre\Desktop\REACTIV CEFAS\Dutasteride\Dutasteride/20201201_Cefas_Test8_Run1/Plate 1/@15/D11_02.tif </t>
  </si>
  <si>
    <t xml:space="preserve"> 53123.0212 </t>
  </si>
  <si>
    <t xml:space="preserve"> 43.9951 </t>
  </si>
  <si>
    <t xml:space="preserve">C:\Users\andre\Desktop\REACTIV CEFAS\Dutasteride\Dutasteride/20201201_Cefas_Test8_Run1/Plate 1/@15/D11_03.tif </t>
  </si>
  <si>
    <t xml:space="preserve"> 50332.7648 </t>
  </si>
  <si>
    <t xml:space="preserve"> 41.1771 </t>
  </si>
  <si>
    <t xml:space="preserve">C:\Users\andre\Desktop\REACTIV CEFAS\Dutasteride\Dutasteride/20201201_Cefas_Test8_Run1/Plate 1/@15/E11_01.tif </t>
  </si>
  <si>
    <t xml:space="preserve"> 86043.7208 </t>
  </si>
  <si>
    <t xml:space="preserve"> 57.5178 </t>
  </si>
  <si>
    <t xml:space="preserve">C:\Users\andre\Desktop\REACTIV CEFAS\Dutasteride\Dutasteride/20201201_Cefas_Test8_Run1/Plate 1/@15/E11_02.tif </t>
  </si>
  <si>
    <t xml:space="preserve"> 80117.1297 </t>
  </si>
  <si>
    <t xml:space="preserve"> 53.5359 </t>
  </si>
  <si>
    <t xml:space="preserve">C:\Users\andre\Desktop\REACTIV CEFAS\Dutasteride\Dutasteride/20201201_Cefas_Test8_Run1/Plate 1/@15/E11_03.tif </t>
  </si>
  <si>
    <t xml:space="preserve"> 83102.0552 </t>
  </si>
  <si>
    <t xml:space="preserve"> 58.6065 </t>
  </si>
  <si>
    <t xml:space="preserve">C:\Users\andre\Desktop\REACTIV CEFAS\Dutasteride\Dutasteride/20201201_Cefas_Test8_Run1/Plate 1/@15/F11_01.tif </t>
  </si>
  <si>
    <t xml:space="preserve"> 66706.595 </t>
  </si>
  <si>
    <t xml:space="preserve"> 47.4056 </t>
  </si>
  <si>
    <t xml:space="preserve">C:\Users\andre\Desktop\REACTIV CEFAS\Dutasteride\Dutasteride/20201201_Cefas_Test8_Run1/Plate 1/@15/F11_02.tif </t>
  </si>
  <si>
    <t xml:space="preserve"> 66230.7374 </t>
  </si>
  <si>
    <t xml:space="preserve"> 50.87 </t>
  </si>
  <si>
    <t>C:\Users\andre\Desktop\REACTIV CEFAS\Dutasteride\Dutasteride/20201201_Cefas_Test8_Run1/Plate 1/@15/F11_03- exclu.tif</t>
  </si>
  <si>
    <t xml:space="preserve">C:\Users\andre\Desktop\REACTIV CEFAS\Dutasteride\Dutasteride/20201201_Cefas_Test8_Run1/Plate 1/@15/G11_01.tif </t>
  </si>
  <si>
    <t xml:space="preserve"> 94219.821 </t>
  </si>
  <si>
    <t xml:space="preserve"> 52.9431 </t>
  </si>
  <si>
    <t xml:space="preserve">C:\Users\andre\Desktop\REACTIV CEFAS\Dutasteride\Dutasteride/20201201_Cefas_Test8_Run1/Plate 1/@15/G11_02.tif </t>
  </si>
  <si>
    <t xml:space="preserve"> 85978.8311 </t>
  </si>
  <si>
    <t xml:space="preserve"> 50.8503 </t>
  </si>
  <si>
    <t xml:space="preserve">C:\Users\andre\Desktop\REACTIV CEFAS\Dutasteride\Dutasteride/20201201_Cefas_Test8_Run1/Plate 1/@15/G11_03.tif </t>
  </si>
  <si>
    <t xml:space="preserve"> 92186.6109 </t>
  </si>
  <si>
    <t xml:space="preserve"> 54.7189 </t>
  </si>
  <si>
    <t xml:space="preserve">C:\Users\andre\Desktop\REACTIV CEFAS\Dutasteride\Dutasteride/20201201_Cefas_Test8_Run1/Plate 1/@15/H11_01.tif </t>
  </si>
  <si>
    <t xml:space="preserve"> 44773.8819 </t>
  </si>
  <si>
    <t xml:space="preserve"> 51.8604 </t>
  </si>
  <si>
    <t xml:space="preserve">C:\Users\andre\Desktop\REACTIV CEFAS\Dutasteride\Dutasteride/20201201_Cefas_Test8_Run1/Plate 1/@15/H11_02.tif </t>
  </si>
  <si>
    <t xml:space="preserve"> 51608.9286 </t>
  </si>
  <si>
    <t xml:space="preserve"> 49.6551 </t>
  </si>
  <si>
    <t xml:space="preserve">C:\Users\andre\Desktop\REACTIV CEFAS\Dutasteride\Dutasteride/20201201_Cefas_Test8_Run1/Plate 1/@15/H11_03.tif </t>
  </si>
  <si>
    <t xml:space="preserve"> 50376.0246 </t>
  </si>
  <si>
    <t xml:space="preserve"> 48.0854 </t>
  </si>
  <si>
    <t xml:space="preserve">C:\Users\andre\Desktop\REACTIV CEFAS\Dutasteride\Dutasteride/20201201_Cefas_Test8_Run1/Plate 1/@15/ </t>
  </si>
  <si>
    <t xml:space="preserve"> 50.8315 </t>
  </si>
  <si>
    <t xml:space="preserve"> 3.8989 </t>
  </si>
  <si>
    <t xml:space="preserve"> 3690184.42 </t>
  </si>
  <si>
    <t xml:space="preserve"> 1018859.53 </t>
  </si>
  <si>
    <t xml:space="preserve">C:\Users\andre\Desktop\REACTIV CEFAS\Dutasteride\Dutasteride/20201201_Cefas_Test8_Run1/Plate 1/@16/A12_01.tif </t>
  </si>
  <si>
    <t xml:space="preserve"> 4217.8295 </t>
  </si>
  <si>
    <t xml:space="preserve"> 35.1538 </t>
  </si>
  <si>
    <t xml:space="preserve">C:\Users\andre\Desktop\REACTIV CEFAS\Dutasteride\Dutasteride/20201201_Cefas_Test8_Run1/Plate 1/@16/A12_02.tif </t>
  </si>
  <si>
    <t xml:space="preserve"> 757.0463 </t>
  </si>
  <si>
    <t xml:space="preserve"> 31.5143 </t>
  </si>
  <si>
    <t xml:space="preserve">C:\Users\andre\Desktop\REACTIV CEFAS\Dutasteride\Dutasteride/20201201_Cefas_Test8_Run1/Plate 1/@16/A12_03.tif </t>
  </si>
  <si>
    <t xml:space="preserve"> 216.2989 </t>
  </si>
  <si>
    <t xml:space="preserve">C:\Users\andre\Desktop\REACTIV CEFAS\Dutasteride\Dutasteride/20201201_Cefas_Test8_Run1/Plate 1/@16/B12_01.tif </t>
  </si>
  <si>
    <t xml:space="preserve"> 2227.8791 </t>
  </si>
  <si>
    <t xml:space="preserve"> 32.8641 </t>
  </si>
  <si>
    <t xml:space="preserve">C:\Users\andre\Desktop\REACTIV CEFAS\Dutasteride\Dutasteride/20201201_Cefas_Test8_Run1/Plate 1/@16/B12_02.tif </t>
  </si>
  <si>
    <t xml:space="preserve"> 2898.4059 </t>
  </si>
  <si>
    <t xml:space="preserve"> 36.1642 </t>
  </si>
  <si>
    <t xml:space="preserve">C:\Users\andre\Desktop\REACTIV CEFAS\Dutasteride\Dutasteride/20201201_Cefas_Test8_Run1/Plate 1/@16/B12_03.tif </t>
  </si>
  <si>
    <t xml:space="preserve"> 3028.1852 </t>
  </si>
  <si>
    <t xml:space="preserve"> 34.8214 </t>
  </si>
  <si>
    <t xml:space="preserve">C:\Users\andre\Desktop\REACTIV CEFAS\Dutasteride\Dutasteride/20201201_Cefas_Test8_Run1/Plate 1/@16/C12_01.tif </t>
  </si>
  <si>
    <t xml:space="preserve"> 2920.0358 </t>
  </si>
  <si>
    <t xml:space="preserve"> 33.7111 </t>
  </si>
  <si>
    <t>C:\Users\andre\Desktop\REACTIV CEFAS\Dutasteride\Dutasteride/20201201_Cefas_Test8_Run1/Plate 1/@16/C12_02- exclu.tif</t>
  </si>
  <si>
    <t xml:space="preserve">C:\Users\andre\Desktop\REACTIV CEFAS\Dutasteride\Dutasteride/20201201_Cefas_Test8_Run1/Plate 1/@16/C12_03.tif </t>
  </si>
  <si>
    <t xml:space="preserve"> 648.8968 </t>
  </si>
  <si>
    <t xml:space="preserve"> 30.8333 </t>
  </si>
  <si>
    <t xml:space="preserve">C:\Users\andre\Desktop\REACTIV CEFAS\Dutasteride\Dutasteride/20201201_Cefas_Test8_Run1/Plate 1/@16/D12_01.tif </t>
  </si>
  <si>
    <t xml:space="preserve"> 8630.328 </t>
  </si>
  <si>
    <t xml:space="preserve"> 38.4511 </t>
  </si>
  <si>
    <t xml:space="preserve">C:\Users\andre\Desktop\REACTIV CEFAS\Dutasteride\Dutasteride/20201201_Cefas_Test8_Run1/Plate 1/@16/D12_02.tif </t>
  </si>
  <si>
    <t xml:space="preserve"> 2725.3667 </t>
  </si>
  <si>
    <t xml:space="preserve"> 33.7222 </t>
  </si>
  <si>
    <t xml:space="preserve">C:\Users\andre\Desktop\REACTIV CEFAS\Dutasteride\Dutasteride/20201201_Cefas_Test8_Run1/Plate 1/@16/D12_03.tif </t>
  </si>
  <si>
    <t xml:space="preserve"> 3417.5234 </t>
  </si>
  <si>
    <t xml:space="preserve"> 33.0253 </t>
  </si>
  <si>
    <t xml:space="preserve">C:\Users\andre\Desktop\REACTIV CEFAS\Dutasteride\Dutasteride/20201201_Cefas_Test8_Run1/Plate 1/@16/E12_01.tif </t>
  </si>
  <si>
    <t xml:space="preserve"> 4347.6088 </t>
  </si>
  <si>
    <t xml:space="preserve"> 35.1244 </t>
  </si>
  <si>
    <t>C:\Users\andre\Desktop\REACTIV CEFAS\Dutasteride\Dutasteride/20201201_Cefas_Test8_Run1/Plate 1/@16/E12_02- exclu.tif</t>
  </si>
  <si>
    <t>C:\Users\andre\Desktop\REACTIV CEFAS\Dutasteride\Dutasteride/20201201_Cefas_Test8_Run1/Plate 1/@16/E12_03- exclu.tif</t>
  </si>
  <si>
    <t xml:space="preserve">C:\Users\andre\Desktop\REACTIV CEFAS\Dutasteride\Dutasteride/20201201_Cefas_Test8_Run1/Plate 1/@16/F12_01.tif </t>
  </si>
  <si>
    <t xml:space="preserve"> 10555.3886 </t>
  </si>
  <si>
    <t xml:space="preserve"> 39.2766 </t>
  </si>
  <si>
    <t xml:space="preserve">C:\Users\andre\Desktop\REACTIV CEFAS\Dutasteride\Dutasteride/20201201_Cefas_Test8_Run1/Plate 1/@16/F12_02.tif </t>
  </si>
  <si>
    <t xml:space="preserve"> 5840.0715 </t>
  </si>
  <si>
    <t xml:space="preserve"> 37.4815 </t>
  </si>
  <si>
    <t xml:space="preserve">C:\Users\andre\Desktop\REACTIV CEFAS\Dutasteride\Dutasteride/20201201_Cefas_Test8_Run1/Plate 1/@16/F12_03.tif </t>
  </si>
  <si>
    <t xml:space="preserve"> 4650.4273 </t>
  </si>
  <si>
    <t xml:space="preserve"> 35.6186 </t>
  </si>
  <si>
    <t xml:space="preserve">C:\Users\andre\Desktop\REACTIV CEFAS\Dutasteride\Dutasteride/20201201_Cefas_Test8_Run1/Plate 1/@16/G12_01.tif </t>
  </si>
  <si>
    <t xml:space="preserve"> 1795.2813 </t>
  </si>
  <si>
    <t xml:space="preserve"> 31.0843 </t>
  </si>
  <si>
    <t xml:space="preserve">C:\Users\andre\Desktop\REACTIV CEFAS\Dutasteride\Dutasteride/20201201_Cefas_Test8_Run1/Plate 1/@16/G12_02.tif </t>
  </si>
  <si>
    <t xml:space="preserve"> 951.7154 </t>
  </si>
  <si>
    <t xml:space="preserve"> 32.6818 </t>
  </si>
  <si>
    <t xml:space="preserve">C:\Users\andre\Desktop\REACTIV CEFAS\Dutasteride\Dutasteride/20201201_Cefas_Test8_Run1/Plate 1/@16/G12_03.tif </t>
  </si>
  <si>
    <t xml:space="preserve"> 3439.1532 </t>
  </si>
  <si>
    <t xml:space="preserve"> 36.6164 </t>
  </si>
  <si>
    <t xml:space="preserve">C:\Users\andre\Desktop\REACTIV CEFAS\Dutasteride\Dutasteride/20201201_Cefas_Test8_Run1/Plate 1/@16/H12_01.tif </t>
  </si>
  <si>
    <t xml:space="preserve"> 4390.8686 </t>
  </si>
  <si>
    <t xml:space="preserve"> 35.1823 </t>
  </si>
  <si>
    <t xml:space="preserve">C:\Users\andre\Desktop\REACTIV CEFAS\Dutasteride\Dutasteride/20201201_Cefas_Test8_Run1/Plate 1/@16/H12_02.tif </t>
  </si>
  <si>
    <t xml:space="preserve"> 2768.6265 </t>
  </si>
  <si>
    <t xml:space="preserve"> 34.4375 </t>
  </si>
  <si>
    <t xml:space="preserve">C:\Users\andre\Desktop\REACTIV CEFAS\Dutasteride\Dutasteride/20201201_Cefas_Test8_Run1/Plate 1/@16/H12_03.tif </t>
  </si>
  <si>
    <t xml:space="preserve"> 4369.2387 </t>
  </si>
  <si>
    <t xml:space="preserve"> 37.3515 </t>
  </si>
  <si>
    <t xml:space="preserve">C:\Users\andre\Desktop\REACTIV CEFAS\Dutasteride\Dutasteride/20201201_Cefas_Test8_Run1/Plate 1/@16/ </t>
  </si>
  <si>
    <t xml:space="preserve"> 33.6831 </t>
  </si>
  <si>
    <t xml:space="preserve"> 7.7027 </t>
  </si>
  <si>
    <t xml:space="preserve"> 137755.5 </t>
  </si>
  <si>
    <t xml:space="preserve"> 108930.994 </t>
  </si>
  <si>
    <t xml:space="preserve">C:\Users\andre\Desktop\REACTIV CEFAS\Dutasteride\Dutasteride/20201201_Cefas_Test8_Run1/Plate 1/@2/A2_01.tif </t>
  </si>
  <si>
    <t xml:space="preserve"> 2314.3987 </t>
  </si>
  <si>
    <t xml:space="preserve"> 36.0935 </t>
  </si>
  <si>
    <t xml:space="preserve">C:\Users\andre\Desktop\REACTIV CEFAS\Dutasteride\Dutasteride/20201201_Cefas_Test8_Run1/Plate 1/@2/A2_02.tif </t>
  </si>
  <si>
    <t xml:space="preserve"> 3222.8543 </t>
  </si>
  <si>
    <t xml:space="preserve"> 35.3826 </t>
  </si>
  <si>
    <t xml:space="preserve">C:\Users\andre\Desktop\REACTIV CEFAS\Dutasteride\Dutasteride/20201201_Cefas_Test8_Run1/Plate 1/@2/A2_03.tif </t>
  </si>
  <si>
    <t xml:space="preserve"> 2422.5482 </t>
  </si>
  <si>
    <t xml:space="preserve"> 35.5625 </t>
  </si>
  <si>
    <t xml:space="preserve">C:\Users\andre\Desktop\REACTIV CEFAS\Dutasteride\Dutasteride/20201201_Cefas_Test8_Run1/Plate 1/@2/B2_01.tif </t>
  </si>
  <si>
    <t xml:space="preserve"> 6445.7086 </t>
  </si>
  <si>
    <t xml:space="preserve"> 37.4262 </t>
  </si>
  <si>
    <t xml:space="preserve">C:\Users\andre\Desktop\REACTIV CEFAS\Dutasteride\Dutasteride/20201201_Cefas_Test8_Run1/Plate 1/@2/B2_02.tif </t>
  </si>
  <si>
    <t xml:space="preserve"> 5018.1356 </t>
  </si>
  <si>
    <t xml:space="preserve"> 35.8621 </t>
  </si>
  <si>
    <t xml:space="preserve">C:\Users\andre\Desktop\REACTIV CEFAS\Dutasteride\Dutasteride/20201201_Cefas_Test8_Run1/Plate 1/@2/B2_03.tif </t>
  </si>
  <si>
    <t xml:space="preserve"> 6251.0395 </t>
  </si>
  <si>
    <t xml:space="preserve"> 37.4187 </t>
  </si>
  <si>
    <t xml:space="preserve">C:\Users\andre\Desktop\REACTIV CEFAS\Dutasteride\Dutasteride/20201201_Cefas_Test8_Run1/Plate 1/@2/C2_01.tif </t>
  </si>
  <si>
    <t xml:space="preserve"> 302.8185 </t>
  </si>
  <si>
    <t xml:space="preserve"> 31.2857 </t>
  </si>
  <si>
    <t xml:space="preserve">C:\Users\andre\Desktop\REACTIV CEFAS\Dutasteride\Dutasteride/20201201_Cefas_Test8_Run1/Plate 1/@2/C2_02.tif </t>
  </si>
  <si>
    <t xml:space="preserve"> 4174.5697 </t>
  </si>
  <si>
    <t xml:space="preserve"> 37.2124 </t>
  </si>
  <si>
    <t xml:space="preserve">C:\Users\andre\Desktop\REACTIV CEFAS\Dutasteride\Dutasteride/20201201_Cefas_Test8_Run1/Plate 1/@2/C2_03.tif </t>
  </si>
  <si>
    <t xml:space="preserve"> 6121.2602 </t>
  </si>
  <si>
    <t xml:space="preserve"> 40.8198 </t>
  </si>
  <si>
    <t xml:space="preserve">C:\Users\andre\Desktop\REACTIV CEFAS\Dutasteride\Dutasteride/20201201_Cefas_Test8_Run1/Plate 1/@2/D2_01.tif </t>
  </si>
  <si>
    <t xml:space="preserve"> 4261.0892 </t>
  </si>
  <si>
    <t xml:space="preserve"> 33.0558 </t>
  </si>
  <si>
    <t xml:space="preserve">C:\Users\andre\Desktop\REACTIV CEFAS\Dutasteride\Dutasteride/20201201_Cefas_Test8_Run1/Plate 1/@2/D2_02.tif </t>
  </si>
  <si>
    <t xml:space="preserve"> 4499.0181 </t>
  </si>
  <si>
    <t xml:space="preserve"> 37.6875 </t>
  </si>
  <si>
    <t xml:space="preserve">C:\Users\andre\Desktop\REACTIV CEFAS\Dutasteride\Dutasteride/20201201_Cefas_Test8_Run1/Plate 1/@2/D2_03.tif </t>
  </si>
  <si>
    <t xml:space="preserve"> 5147.9149 </t>
  </si>
  <si>
    <t xml:space="preserve"> 39.7647 </t>
  </si>
  <si>
    <t xml:space="preserve">C:\Users\andre\Desktop\REACTIV CEFAS\Dutasteride\Dutasteride/20201201_Cefas_Test8_Run1/Plate 1/@2/E2_01.tif </t>
  </si>
  <si>
    <t xml:space="preserve"> 6510.5983 </t>
  </si>
  <si>
    <t xml:space="preserve"> 38.6279 </t>
  </si>
  <si>
    <t xml:space="preserve">C:\Users\andre\Desktop\REACTIV CEFAS\Dutasteride\Dutasteride/20201201_Cefas_Test8_Run1/Plate 1/@2/E2_02.tif </t>
  </si>
  <si>
    <t xml:space="preserve"> 6078.0004 </t>
  </si>
  <si>
    <t xml:space="preserve"> 41.8221 </t>
  </si>
  <si>
    <t xml:space="preserve">C:\Users\andre\Desktop\REACTIV CEFAS\Dutasteride\Dutasteride/20201201_Cefas_Test8_Run1/Plate 1/@2/E2_03.tif </t>
  </si>
  <si>
    <t xml:space="preserve"> 6964.8261 </t>
  </si>
  <si>
    <t xml:space="preserve"> 39.5031 </t>
  </si>
  <si>
    <t xml:space="preserve">C:\Users\andre\Desktop\REACTIV CEFAS\Dutasteride\Dutasteride/20201201_Cefas_Test8_Run1/Plate 1/@2/F2_01.tif </t>
  </si>
  <si>
    <t xml:space="preserve"> 3309.3739 </t>
  </si>
  <si>
    <t xml:space="preserve"> 37.719 </t>
  </si>
  <si>
    <t xml:space="preserve">C:\Users\andre\Desktop\REACTIV CEFAS\Dutasteride\Dutasteride/20201201_Cefas_Test8_Run1/Plate 1/@2/F2_02.tif </t>
  </si>
  <si>
    <t xml:space="preserve"> 5320.9541 </t>
  </si>
  <si>
    <t xml:space="preserve"> 41.9553 </t>
  </si>
  <si>
    <t xml:space="preserve">C:\Users\andre\Desktop\REACTIV CEFAS\Dutasteride\Dutasteride/20201201_Cefas_Test8_Run1/Plate 1/@2/F2_03.tif </t>
  </si>
  <si>
    <t xml:space="preserve"> 7419.0539 </t>
  </si>
  <si>
    <t xml:space="preserve"> 40.0671 </t>
  </si>
  <si>
    <t xml:space="preserve">C:\Users\andre\Desktop\REACTIV CEFAS\Dutasteride\Dutasteride/20201201_Cefas_Test8_Run1/Plate 1/@2/G2_01.tif </t>
  </si>
  <si>
    <t xml:space="preserve"> 129.7794 </t>
  </si>
  <si>
    <t xml:space="preserve">C:\Users\andre\Desktop\REACTIV CEFAS\Dutasteride\Dutasteride/20201201_Cefas_Test8_Run1/Plate 1/@2/G2_02.tif </t>
  </si>
  <si>
    <t xml:space="preserve"> 35.3672 </t>
  </si>
  <si>
    <t xml:space="preserve">C:\Users\andre\Desktop\REACTIV CEFAS\Dutasteride\Dutasteride/20201201_Cefas_Test8_Run1/Plate 1/@2/G2_03.tif </t>
  </si>
  <si>
    <t xml:space="preserve"> 3871.7511 </t>
  </si>
  <si>
    <t xml:space="preserve"> 39.9777 </t>
  </si>
  <si>
    <t xml:space="preserve">C:\Users\andre\Desktop\REACTIV CEFAS\Dutasteride\Dutasteride/20201201_Cefas_Test8_Run1/Plate 1/@2/H2_01.tif </t>
  </si>
  <si>
    <t xml:space="preserve"> 6402.4488 </t>
  </si>
  <si>
    <t xml:space="preserve"> 34.5304 </t>
  </si>
  <si>
    <t xml:space="preserve">C:\Users\andre\Desktop\REACTIV CEFAS\Dutasteride\Dutasteride/20201201_Cefas_Test8_Run1/Plate 1/@2/H2_02.tif </t>
  </si>
  <si>
    <t xml:space="preserve"> 4542.2779 </t>
  </si>
  <si>
    <t xml:space="preserve"> 36.9857 </t>
  </si>
  <si>
    <t xml:space="preserve">C:\Users\andre\Desktop\REACTIV CEFAS\Dutasteride\Dutasteride/20201201_Cefas_Test8_Run1/Plate 1/@2/H2_03.tif </t>
  </si>
  <si>
    <t xml:space="preserve"> 5493.9932 </t>
  </si>
  <si>
    <t xml:space="preserve"> 39.7598 </t>
  </si>
  <si>
    <t xml:space="preserve">C:\Users\andre\Desktop\REACTIV CEFAS\Dutasteride\Dutasteride/20201201_Cefas_Test8_Run1/Plate 1/@2/ </t>
  </si>
  <si>
    <t xml:space="preserve"> 37.28 </t>
  </si>
  <si>
    <t xml:space="preserve"> 2.9939 </t>
  </si>
  <si>
    <t xml:space="preserve"> 173291.625 </t>
  </si>
  <si>
    <t xml:space="preserve"> 79358.4007 </t>
  </si>
  <si>
    <t xml:space="preserve">C:\Users\andre\Desktop\REACTIV CEFAS\Dutasteride\Dutasteride/20201201_Cefas_Test8_Run1/Plate 1/@3/A3_01.tif </t>
  </si>
  <si>
    <t xml:space="preserve"> 6315.9292 </t>
  </si>
  <si>
    <t xml:space="preserve"> 41.9555 </t>
  </si>
  <si>
    <t xml:space="preserve">C:\Users\andre\Desktop\REACTIV CEFAS\Dutasteride\Dutasteride/20201201_Cefas_Test8_Run1/Plate 1/@3/A3_02.tif </t>
  </si>
  <si>
    <t xml:space="preserve"> 6835.0467 </t>
  </si>
  <si>
    <t xml:space="preserve"> 43.3703 </t>
  </si>
  <si>
    <t xml:space="preserve">C:\Users\andre\Desktop\REACTIV CEFAS\Dutasteride\Dutasteride/20201201_Cefas_Test8_Run1/Plate 1/@3/A3_03.tif </t>
  </si>
  <si>
    <t xml:space="preserve">C:\Users\andre\Desktop\REACTIV CEFAS\Dutasteride\Dutasteride/20201201_Cefas_Test8_Run1/Plate 1/@3/B3_01.tif </t>
  </si>
  <si>
    <t xml:space="preserve"> 40556.0524 </t>
  </si>
  <si>
    <t xml:space="preserve"> 36.832 </t>
  </si>
  <si>
    <t xml:space="preserve">C:\Users\andre\Desktop\REACTIV CEFAS\Dutasteride\Dutasteride/20201201_Cefas_Test8_Run1/Plate 1/@3/B3_02.tif </t>
  </si>
  <si>
    <t xml:space="preserve"> 33461.447 </t>
  </si>
  <si>
    <t xml:space="preserve"> 34.9315 </t>
  </si>
  <si>
    <t xml:space="preserve">C:\Users\andre\Desktop\REACTIV CEFAS\Dutasteride\Dutasteride/20201201_Cefas_Test8_Run1/Plate 1/@3/B3_03.tif </t>
  </si>
  <si>
    <t xml:space="preserve"> 38479.5825 </t>
  </si>
  <si>
    <t xml:space="preserve"> 35.6521 </t>
  </si>
  <si>
    <t xml:space="preserve">C:\Users\andre\Desktop\REACTIV CEFAS\Dutasteride\Dutasteride/20201201_Cefas_Test8_Run1/Plate 1/@3/C3_01.tif </t>
  </si>
  <si>
    <t xml:space="preserve"> 2855.1461 </t>
  </si>
  <si>
    <t xml:space="preserve"> 35.1515 </t>
  </si>
  <si>
    <t xml:space="preserve">C:\Users\andre\Desktop\REACTIV CEFAS\Dutasteride\Dutasteride/20201201_Cefas_Test8_Run1/Plate 1/@3/C3_02.tif </t>
  </si>
  <si>
    <t xml:space="preserve"> 2465.808 </t>
  </si>
  <si>
    <t xml:space="preserve"> 34.6491 </t>
  </si>
  <si>
    <t xml:space="preserve">C:\Users\andre\Desktop\REACTIV CEFAS\Dutasteride\Dutasteride/20201201_Cefas_Test8_Run1/Plate 1/@3/C3_03.tif </t>
  </si>
  <si>
    <t xml:space="preserve"> 1578.9823 </t>
  </si>
  <si>
    <t xml:space="preserve"> 32.0959 </t>
  </si>
  <si>
    <t xml:space="preserve">C:\Users\andre\Desktop\REACTIV CEFAS\Dutasteride\Dutasteride/20201201_Cefas_Test8_Run1/Plate 1/@3/D3_01.tif </t>
  </si>
  <si>
    <t xml:space="preserve"> 5515.6231 </t>
  </si>
  <si>
    <t xml:space="preserve"> 40.0784 </t>
  </si>
  <si>
    <t xml:space="preserve">C:\Users\andre\Desktop\REACTIV CEFAS\Dutasteride\Dutasteride/20201201_Cefas_Test8_Run1/Plate 1/@3/D3_02.tif </t>
  </si>
  <si>
    <t xml:space="preserve"> 36.121 </t>
  </si>
  <si>
    <t xml:space="preserve">C:\Users\andre\Desktop\REACTIV CEFAS\Dutasteride\Dutasteride/20201201_Cefas_Test8_Run1/Plate 1/@3/D3_03.tif </t>
  </si>
  <si>
    <t xml:space="preserve"> 3741.9718 </t>
  </si>
  <si>
    <t xml:space="preserve"> 36.0173 </t>
  </si>
  <si>
    <t xml:space="preserve">C:\Users\andre\Desktop\REACTIV CEFAS\Dutasteride\Dutasteride/20201201_Cefas_Test8_Run1/Plate 1/@3/E3_01.tif </t>
  </si>
  <si>
    <t xml:space="preserve">C:\Users\andre\Desktop\REACTIV CEFAS\Dutasteride\Dutasteride/20201201_Cefas_Test8_Run1/Plate 1/@3/E3_02.tif </t>
  </si>
  <si>
    <t xml:space="preserve"> 1925.0606 </t>
  </si>
  <si>
    <t xml:space="preserve"> 33.0899 </t>
  </si>
  <si>
    <t xml:space="preserve">C:\Users\andre\Desktop\REACTIV CEFAS\Dutasteride\Dutasteride/20201201_Cefas_Test8_Run1/Plate 1/@3/E3_03.tif </t>
  </si>
  <si>
    <t xml:space="preserve"> 2941.6657 </t>
  </si>
  <si>
    <t xml:space="preserve"> 36.4559 </t>
  </si>
  <si>
    <t>C:\Users\andre\Desktop\REACTIV CEFAS\Dutasteride\Dutasteride/20201201_Cefas_Test8_Run1/Plate 1/@3/F3_01- exclu.tif</t>
  </si>
  <si>
    <t>C:\Users\andre\Desktop\REACTIV CEFAS\Dutasteride\Dutasteride/20201201_Cefas_Test8_Run1/Plate 1/@3/F3_02- exclu.tif</t>
  </si>
  <si>
    <t>C:\Users\andre\Desktop\REACTIV CEFAS\Dutasteride\Dutasteride/20201201_Cefas_Test8_Run1/Plate 1/@3/F3_03- exclu.tif</t>
  </si>
  <si>
    <t>C:\Users\andre\Desktop\REACTIV CEFAS\Dutasteride\Dutasteride/20201201_Cefas_Test8_Run1/Plate 1/@3/G3_01- exclu.tif</t>
  </si>
  <si>
    <t xml:space="preserve">C:\Users\andre\Desktop\REACTIV CEFAS\Dutasteride\Dutasteride/20201201_Cefas_Test8_Run1/Plate 1/@3/G3_02.tif </t>
  </si>
  <si>
    <t xml:space="preserve"> 4023.1604 </t>
  </si>
  <si>
    <t xml:space="preserve"> 35.9194 </t>
  </si>
  <si>
    <t>C:\Users\andre\Desktop\REACTIV CEFAS\Dutasteride\Dutasteride/20201201_Cefas_Test8_Run1/Plate 1/@3/G3_03- exclu.tif</t>
  </si>
  <si>
    <t xml:space="preserve">C:\Users\andre\Desktop\REACTIV CEFAS\Dutasteride\Dutasteride/20201201_Cefas_Test8_Run1/Plate 1/@3/H3_01.tif </t>
  </si>
  <si>
    <t xml:space="preserve"> 2119.7297 </t>
  </si>
  <si>
    <t xml:space="preserve"> 31.5204 </t>
  </si>
  <si>
    <t xml:space="preserve">C:\Users\andre\Desktop\REACTIV CEFAS\Dutasteride\Dutasteride/20201201_Cefas_Test8_Run1/Plate 1/@3/H3_02.tif </t>
  </si>
  <si>
    <t xml:space="preserve"> 908.4556 </t>
  </si>
  <si>
    <t xml:space="preserve"> 31.3571 </t>
  </si>
  <si>
    <t xml:space="preserve">C:\Users\andre\Desktop\REACTIV CEFAS\Dutasteride\Dutasteride/20201201_Cefas_Test8_Run1/Plate 1/@3/H3_03.tif </t>
  </si>
  <si>
    <t xml:space="preserve"> 2638.8471 </t>
  </si>
  <si>
    <t xml:space="preserve"> 33.4098 </t>
  </si>
  <si>
    <t xml:space="preserve">C:\Users\andre\Desktop\REACTIV CEFAS\Dutasteride\Dutasteride/20201201_Cefas_Test8_Run1/Plate 1/@3/ </t>
  </si>
  <si>
    <t xml:space="preserve"> 34.0583 </t>
  </si>
  <si>
    <t xml:space="preserve"> 11.4445 </t>
  </si>
  <si>
    <t xml:space="preserve"> 338262.75 </t>
  </si>
  <si>
    <t xml:space="preserve"> 433708.039 </t>
  </si>
  <si>
    <t xml:space="preserve">C:\Users\andre\Desktop\REACTIV CEFAS\Dutasteride\Dutasteride/20201201_Cefas_Test8_Run1/Plate 1/@4/A4_01.tif </t>
  </si>
  <si>
    <t xml:space="preserve"> 8305.8795 </t>
  </si>
  <si>
    <t xml:space="preserve"> 38.7161 </t>
  </si>
  <si>
    <t>C:\Users\andre\Desktop\REACTIV CEFAS\Dutasteride\Dutasteride/20201201_Cefas_Test8_Run1/Plate 1/@4/A4_02- exclu.tif</t>
  </si>
  <si>
    <t xml:space="preserve">C:\Users\andre\Desktop\REACTIV CEFAS\Dutasteride\Dutasteride/20201201_Cefas_Test8_Run1/Plate 1/@4/A4_03.tif </t>
  </si>
  <si>
    <t xml:space="preserve"> 6618.7478 </t>
  </si>
  <si>
    <t xml:space="preserve"> 36.0948 </t>
  </si>
  <si>
    <t xml:space="preserve">C:\Users\andre\Desktop\REACTIV CEFAS\Dutasteride\Dutasteride/20201201_Cefas_Test8_Run1/Plate 1/@4/B4_01.tif </t>
  </si>
  <si>
    <t xml:space="preserve"> 6921.5663 </t>
  </si>
  <si>
    <t xml:space="preserve"> 37.4438 </t>
  </si>
  <si>
    <t xml:space="preserve">C:\Users\andre\Desktop\REACTIV CEFAS\Dutasteride\Dutasteride/20201201_Cefas_Test8_Run1/Plate 1/@4/B4_02.tif </t>
  </si>
  <si>
    <t xml:space="preserve"> 13864.7625 </t>
  </si>
  <si>
    <t xml:space="preserve"> 42.6786 </t>
  </si>
  <si>
    <t xml:space="preserve">C:\Users\andre\Desktop\REACTIV CEFAS\Dutasteride\Dutasteride/20201201_Cefas_Test8_Run1/Plate 1/@4/B4_03.tif </t>
  </si>
  <si>
    <t xml:space="preserve"> 8954.7764 </t>
  </si>
  <si>
    <t xml:space="preserve"> 42.8237 </t>
  </si>
  <si>
    <t xml:space="preserve">C:\Users\andre\Desktop\REACTIV CEFAS\Dutasteride\Dutasteride/20201201_Cefas_Test8_Run1/Plate 1/@4/C4_01.tif </t>
  </si>
  <si>
    <t xml:space="preserve"> 21997.6028 </t>
  </si>
  <si>
    <t xml:space="preserve"> 32.8387 </t>
  </si>
  <si>
    <t xml:space="preserve">C:\Users\andre\Desktop\REACTIV CEFAS\Dutasteride\Dutasteride/20201201_Cefas_Test8_Run1/Plate 1/@4/C4_02.tif </t>
  </si>
  <si>
    <t xml:space="preserve"> 29957.4041 </t>
  </si>
  <si>
    <t xml:space="preserve"> 33.7292 </t>
  </si>
  <si>
    <t xml:space="preserve">C:\Users\andre\Desktop\REACTIV CEFAS\Dutasteride\Dutasteride/20201201_Cefas_Test8_Run1/Plate 1/@4/C4_03.tif </t>
  </si>
  <si>
    <t xml:space="preserve"> 37138.5291 </t>
  </si>
  <si>
    <t xml:space="preserve"> 35.2935 </t>
  </si>
  <si>
    <t xml:space="preserve">C:\Users\andre\Desktop\REACTIV CEFAS\Dutasteride\Dutasteride/20201201_Cefas_Test8_Run1/Plate 1/@4/D4_01.tif </t>
  </si>
  <si>
    <t xml:space="preserve"> 18493.5599 </t>
  </si>
  <si>
    <t xml:space="preserve"> 34.1825 </t>
  </si>
  <si>
    <t xml:space="preserve">C:\Users\andre\Desktop\REACTIV CEFAS\Dutasteride\Dutasteride/20201201_Cefas_Test8_Run1/Plate 1/@4/D4_02.tif </t>
  </si>
  <si>
    <t xml:space="preserve"> 24722.9696 </t>
  </si>
  <si>
    <t xml:space="preserve"> 33.7804 </t>
  </si>
  <si>
    <t xml:space="preserve">C:\Users\andre\Desktop\REACTIV CEFAS\Dutasteride\Dutasteride/20201201_Cefas_Test8_Run1/Plate 1/@4/D4_03.tif </t>
  </si>
  <si>
    <t xml:space="preserve"> 19293.866 </t>
  </si>
  <si>
    <t xml:space="preserve"> 32.3004 </t>
  </si>
  <si>
    <t xml:space="preserve">C:\Users\andre\Desktop\REACTIV CEFAS\Dutasteride\Dutasteride/20201201_Cefas_Test8_Run1/Plate 1/@4/E4_01.tif </t>
  </si>
  <si>
    <t xml:space="preserve"> 27145.5178 </t>
  </si>
  <si>
    <t xml:space="preserve"> 36.4135 </t>
  </si>
  <si>
    <t xml:space="preserve">C:\Users\andre\Desktop\REACTIV CEFAS\Dutasteride\Dutasteride/20201201_Cefas_Test8_Run1/Plate 1/@4/E4_02.tif </t>
  </si>
  <si>
    <t xml:space="preserve"> 23446.8058 </t>
  </si>
  <si>
    <t xml:space="preserve"> 35.8616 </t>
  </si>
  <si>
    <t xml:space="preserve">C:\Users\andre\Desktop\REACTIV CEFAS\Dutasteride\Dutasteride/20201201_Cefas_Test8_Run1/Plate 1/@4/E4_03.tif </t>
  </si>
  <si>
    <t xml:space="preserve"> 16157.5313 </t>
  </si>
  <si>
    <t xml:space="preserve"> 35.2383 </t>
  </si>
  <si>
    <t xml:space="preserve">C:\Users\andre\Desktop\REACTIV CEFAS\Dutasteride\Dutasteride/20201201_Cefas_Test8_Run1/Plate 1/@4/F4_01.tif </t>
  </si>
  <si>
    <t xml:space="preserve"> 3006.5554 </t>
  </si>
  <si>
    <t xml:space="preserve"> 31.7626 </t>
  </si>
  <si>
    <t xml:space="preserve">C:\Users\andre\Desktop\REACTIV CEFAS\Dutasteride\Dutasteride/20201201_Cefas_Test8_Run1/Plate 1/@4/F4_02.tif </t>
  </si>
  <si>
    <t xml:space="preserve"> 32.2624 </t>
  </si>
  <si>
    <t xml:space="preserve">C:\Users\andre\Desktop\REACTIV CEFAS\Dutasteride\Dutasteride/20201201_Cefas_Test8_Run1/Plate 1/@4/F4_03.tif </t>
  </si>
  <si>
    <t xml:space="preserve"> 4758.5768 </t>
  </si>
  <si>
    <t xml:space="preserve"> 32.4364 </t>
  </si>
  <si>
    <t xml:space="preserve">C:\Users\andre\Desktop\REACTIV CEFAS\Dutasteride\Dutasteride/20201201_Cefas_Test8_Run1/Plate 1/@4/G4_01.tif </t>
  </si>
  <si>
    <t xml:space="preserve"> 24095.7026 </t>
  </si>
  <si>
    <t xml:space="preserve"> 33.991 </t>
  </si>
  <si>
    <t xml:space="preserve">C:\Users\andre\Desktop\REACTIV CEFAS\Dutasteride\Dutasteride/20201201_Cefas_Test8_Run1/Plate 1/@4/G4_02.tif </t>
  </si>
  <si>
    <t xml:space="preserve"> 35624.4365 </t>
  </si>
  <si>
    <t xml:space="preserve"> 37.7747 </t>
  </si>
  <si>
    <t xml:space="preserve">C:\Users\andre\Desktop\REACTIV CEFAS\Dutasteride\Dutasteride/20201201_Cefas_Test8_Run1/Plate 1/@4/G4_03.tif </t>
  </si>
  <si>
    <t xml:space="preserve"> 23143.9873 </t>
  </si>
  <si>
    <t xml:space="preserve"> 35.3486 </t>
  </si>
  <si>
    <t xml:space="preserve">C:\Users\andre\Desktop\REACTIV CEFAS\Dutasteride\Dutasteride/20201201_Cefas_Test8_Run1/Plate 1/@4/H4_01.tif </t>
  </si>
  <si>
    <t xml:space="preserve"> 778.6762 </t>
  </si>
  <si>
    <t xml:space="preserve"> 31.0833 </t>
  </si>
  <si>
    <t>C:\Users\andre\Desktop\REACTIV CEFAS\Dutasteride\Dutasteride/20201201_Cefas_Test8_Run1/Plate 1/@4/H4_02- exclu.tif</t>
  </si>
  <si>
    <t xml:space="preserve">C:\Users\andre\Desktop\REACTIV CEFAS\Dutasteride\Dutasteride/20201201_Cefas_Test8_Run1/Plate 1/@4/H4_03.tif </t>
  </si>
  <si>
    <t xml:space="preserve"> 31.1613 </t>
  </si>
  <si>
    <t xml:space="preserve">C:\Users\andre\Desktop\REACTIV CEFAS\Dutasteride\Dutasteride/20201201_Cefas_Test8_Run1/Plate 1/@4/ </t>
  </si>
  <si>
    <t xml:space="preserve"> 33.5251 </t>
  </si>
  <si>
    <t xml:space="preserve"> 7.8271 </t>
  </si>
  <si>
    <t xml:space="preserve"> 544727.375 </t>
  </si>
  <si>
    <t xml:space="preserve"> 397328.388 </t>
  </si>
  <si>
    <t xml:space="preserve">C:\Users\andre\Desktop\REACTIV CEFAS\Dutasteride\Dutasteride/20201201_Cefas_Test8_Run1/Plate 1/@5/A5_01.tif </t>
  </si>
  <si>
    <t xml:space="preserve"> 23079.0976 </t>
  </si>
  <si>
    <t xml:space="preserve"> 36.5492 </t>
  </si>
  <si>
    <t>C:\Users\andre\Desktop\REACTIV CEFAS\Dutasteride\Dutasteride/20201201_Cefas_Test8_Run1/Plate 1/@5/A5_02- exclu.tif</t>
  </si>
  <si>
    <t xml:space="preserve">C:\Users\andre\Desktop\REACTIV CEFAS\Dutasteride\Dutasteride/20201201_Cefas_Test8_Run1/Plate 1/@5/A5_03.tif </t>
  </si>
  <si>
    <t xml:space="preserve"> 23554.9553 </t>
  </si>
  <si>
    <t xml:space="preserve"> 36.6538 </t>
  </si>
  <si>
    <t xml:space="preserve">C:\Users\andre\Desktop\REACTIV CEFAS\Dutasteride\Dutasteride/20201201_Cefas_Test8_Run1/Plate 1/@5/B5_01.tif </t>
  </si>
  <si>
    <t xml:space="preserve"> 53555.6191 </t>
  </si>
  <si>
    <t xml:space="preserve"> 38.2645 </t>
  </si>
  <si>
    <t xml:space="preserve">C:\Users\andre\Desktop\REACTIV CEFAS\Dutasteride\Dutasteride/20201201_Cefas_Test8_Run1/Plate 1/@5/B5_02.tif </t>
  </si>
  <si>
    <t xml:space="preserve"> 53490.7294 </t>
  </si>
  <si>
    <t xml:space="preserve"> 37.4905 </t>
  </si>
  <si>
    <t xml:space="preserve">C:\Users\andre\Desktop\REACTIV CEFAS\Dutasteride\Dutasteride/20201201_Cefas_Test8_Run1/Plate 1/@5/B5_03.tif </t>
  </si>
  <si>
    <t xml:space="preserve"> 67982.7588 </t>
  </si>
  <si>
    <t xml:space="preserve"> 40.2074 </t>
  </si>
  <si>
    <t xml:space="preserve">C:\Users\andre\Desktop\REACTIV CEFAS\Dutasteride\Dutasteride/20201201_Cefas_Test8_Run1/Plate 1/@5/C5_01.tif </t>
  </si>
  <si>
    <t xml:space="preserve"> 28508.2011 </t>
  </si>
  <si>
    <t xml:space="preserve"> 37.717 </t>
  </si>
  <si>
    <t xml:space="preserve">C:\Users\andre\Desktop\REACTIV CEFAS\Dutasteride\Dutasteride/20201201_Cefas_Test8_Run1/Plate 1/@5/C5_02.tif </t>
  </si>
  <si>
    <t xml:space="preserve"> 19812.9835 </t>
  </si>
  <si>
    <t xml:space="preserve"> 37.6299 </t>
  </si>
  <si>
    <t xml:space="preserve">C:\Users\andre\Desktop\REACTIV CEFAS\Dutasteride\Dutasteride/20201201_Cefas_Test8_Run1/Plate 1/@5/C5_03.tif </t>
  </si>
  <si>
    <t xml:space="preserve"> 28767.7599 </t>
  </si>
  <si>
    <t xml:space="preserve"> 40.9383 </t>
  </si>
  <si>
    <t xml:space="preserve">C:\Users\andre\Desktop\REACTIV CEFAS\Dutasteride\Dutasteride/20201201_Cefas_Test8_Run1/Plate 1/@5/D5_01.tif </t>
  </si>
  <si>
    <t xml:space="preserve"> 83988.8808 </t>
  </si>
  <si>
    <t xml:space="preserve"> 43.6902 </t>
  </si>
  <si>
    <t xml:space="preserve">C:\Users\andre\Desktop\REACTIV CEFAS\Dutasteride\Dutasteride/20201201_Cefas_Test8_Run1/Plate 1/@5/D5_02.tif </t>
  </si>
  <si>
    <t xml:space="preserve"> 80246.9091 </t>
  </si>
  <si>
    <t xml:space="preserve"> 42.4073 </t>
  </si>
  <si>
    <t xml:space="preserve">C:\Users\andre\Desktop\REACTIV CEFAS\Dutasteride\Dutasteride/20201201_Cefas_Test8_Run1/Plate 1/@5/D5_03.tif </t>
  </si>
  <si>
    <t xml:space="preserve"> 79122.1546 </t>
  </si>
  <si>
    <t xml:space="preserve"> 43.193 </t>
  </si>
  <si>
    <t xml:space="preserve">C:\Users\andre\Desktop\REACTIV CEFAS\Dutasteride\Dutasteride/20201201_Cefas_Test8_Run1/Plate 1/@5/E5_01.tif </t>
  </si>
  <si>
    <t xml:space="preserve"> 43951.9459 </t>
  </si>
  <si>
    <t xml:space="preserve"> 34.4405 </t>
  </si>
  <si>
    <t>C:\Users\andre\Desktop\REACTIV CEFAS\Dutasteride\Dutasteride/20201201_Cefas_Test8_Run1/Plate 1/@5/E5_02- exclu.tif</t>
  </si>
  <si>
    <t>C:\Users\andre\Desktop\REACTIV CEFAS\Dutasteride\Dutasteride/20201201_Cefas_Test8_Run1/Plate 1/@5/E5_03- exclu.tif</t>
  </si>
  <si>
    <t xml:space="preserve">C:\Users\andre\Desktop\REACTIV CEFAS\Dutasteride\Dutasteride/20201201_Cefas_Test8_Run1/Plate 1/@5/F5_01.tif </t>
  </si>
  <si>
    <t xml:space="preserve"> 50051.5762 </t>
  </si>
  <si>
    <t xml:space="preserve"> 39.0372 </t>
  </si>
  <si>
    <t xml:space="preserve">C:\Users\andre\Desktop\REACTIV CEFAS\Dutasteride\Dutasteride/20201201_Cefas_Test8_Run1/Plate 1/@5/F5_02.tif </t>
  </si>
  <si>
    <t xml:space="preserve"> 44665.7324 </t>
  </si>
  <si>
    <t xml:space="preserve"> 41.247 </t>
  </si>
  <si>
    <t xml:space="preserve">C:\Users\andre\Desktop\REACTIV CEFAS\Dutasteride\Dutasteride/20201201_Cefas_Test8_Run1/Plate 1/@5/F5_03.tif </t>
  </si>
  <si>
    <t xml:space="preserve"> 55545.5694 </t>
  </si>
  <si>
    <t xml:space="preserve"> 41.4202 </t>
  </si>
  <si>
    <t xml:space="preserve">C:\Users\andre\Desktop\REACTIV CEFAS\Dutasteride\Dutasteride/20201201_Cefas_Test8_Run1/Plate 1/@5/G5_01.tif </t>
  </si>
  <si>
    <t xml:space="preserve"> 64651.755 </t>
  </si>
  <si>
    <t xml:space="preserve"> 40.6591 </t>
  </si>
  <si>
    <t xml:space="preserve">C:\Users\andre\Desktop\REACTIV CEFAS\Dutasteride\Dutasteride/20201201_Cefas_Test8_Run1/Plate 1/@5/G5_02.tif </t>
  </si>
  <si>
    <t xml:space="preserve"> 54291.0355 </t>
  </si>
  <si>
    <t xml:space="preserve"> 36.7112 </t>
  </si>
  <si>
    <t xml:space="preserve">C:\Users\andre\Desktop\REACTIV CEFAS\Dutasteride\Dutasteride/20201201_Cefas_Test8_Run1/Plate 1/@5/G5_03.tif </t>
  </si>
  <si>
    <t xml:space="preserve"> 61169.342 </t>
  </si>
  <si>
    <t xml:space="preserve"> 40.8586 </t>
  </si>
  <si>
    <t xml:space="preserve">C:\Users\andre\Desktop\REACTIV CEFAS\Dutasteride\Dutasteride/20201201_Cefas_Test8_Run1/Plate 1/@5/H5_01.tif </t>
  </si>
  <si>
    <t xml:space="preserve"> 66014.4384 </t>
  </si>
  <si>
    <t xml:space="preserve"> 40.7126 </t>
  </si>
  <si>
    <t xml:space="preserve">C:\Users\andre\Desktop\REACTIV CEFAS\Dutasteride\Dutasteride/20201201_Cefas_Test8_Run1/Plate 1/@5/H5_02.tif </t>
  </si>
  <si>
    <t xml:space="preserve"> 71616.5811 </t>
  </si>
  <si>
    <t xml:space="preserve"> 41.396 </t>
  </si>
  <si>
    <t xml:space="preserve">C:\Users\andre\Desktop\REACTIV CEFAS\Dutasteride\Dutasteride/20201201_Cefas_Test8_Run1/Plate 1/@5/H5_03.tif </t>
  </si>
  <si>
    <t xml:space="preserve"> 58400.7155 </t>
  </si>
  <si>
    <t xml:space="preserve"> 41.1056 </t>
  </si>
  <si>
    <t xml:space="preserve">C:\Users\andre\Desktop\REACTIV CEFAS\Dutasteride\Dutasteride/20201201_Cefas_Test8_Run1/Plate 1/@5/ </t>
  </si>
  <si>
    <t xml:space="preserve"> 39.5958 </t>
  </si>
  <si>
    <t xml:space="preserve"> 2.3188 </t>
  </si>
  <si>
    <t xml:space="preserve"> 2007622.04 </t>
  </si>
  <si>
    <t xml:space="preserve"> 883631.368 </t>
  </si>
  <si>
    <t xml:space="preserve">C:\Users\andre\Desktop\REACTIV CEFAS\Dutasteride\Dutasteride/20201201_Cefas_Test8_Run1/Plate 1/@6/A6_01.tif </t>
  </si>
  <si>
    <t xml:space="preserve"> 57254.3311 </t>
  </si>
  <si>
    <t xml:space="preserve"> 41.0363 </t>
  </si>
  <si>
    <t>C:\Users\andre\Desktop\REACTIV CEFAS\Dutasteride\Dutasteride/20201201_Cefas_Test8_Run1/Plate 1/@6/A6_02- exclu.tif</t>
  </si>
  <si>
    <t xml:space="preserve">C:\Users\andre\Desktop\REACTIV CEFAS\Dutasteride\Dutasteride/20201201_Cefas_Test8_Run1/Plate 1/@6/A6_03.tif </t>
  </si>
  <si>
    <t xml:space="preserve"> 46980.1311 </t>
  </si>
  <si>
    <t xml:space="preserve"> 40.6285 </t>
  </si>
  <si>
    <t xml:space="preserve">C:\Users\andre\Desktop\REACTIV CEFAS\Dutasteride\Dutasteride/20201201_Cefas_Test8_Run1/Plate 1/@6/B6_01.tif </t>
  </si>
  <si>
    <t xml:space="preserve"> 56454.025 </t>
  </si>
  <si>
    <t xml:space="preserve"> 44.2326 </t>
  </si>
  <si>
    <t xml:space="preserve">C:\Users\andre\Desktop\REACTIV CEFAS\Dutasteride\Dutasteride/20201201_Cefas_Test8_Run1/Plate 1/@6/B6_02.tif </t>
  </si>
  <si>
    <t xml:space="preserve"> 41.2941 </t>
  </si>
  <si>
    <t xml:space="preserve">C:\Users\andre\Desktop\REACTIV CEFAS\Dutasteride\Dutasteride/20201201_Cefas_Test8_Run1/Plate 1/@6/B6_03.tif </t>
  </si>
  <si>
    <t xml:space="preserve"> 64997.8334 </t>
  </si>
  <si>
    <t xml:space="preserve"> 41.6912 </t>
  </si>
  <si>
    <t xml:space="preserve">C:\Users\andre\Desktop\REACTIV CEFAS\Dutasteride\Dutasteride/20201201_Cefas_Test8_Run1/Plate 1/@6/C6_01.tif </t>
  </si>
  <si>
    <t xml:space="preserve"> 69172.403 </t>
  </si>
  <si>
    <t xml:space="preserve"> 52.2861 </t>
  </si>
  <si>
    <t xml:space="preserve">C:\Users\andre\Desktop\REACTIV CEFAS\Dutasteride\Dutasteride/20201201_Cefas_Test8_Run1/Plate 1/@6/C6_02.tif </t>
  </si>
  <si>
    <t xml:space="preserve"> 63245.8119 </t>
  </si>
  <si>
    <t xml:space="preserve"> 53.6837 </t>
  </si>
  <si>
    <t xml:space="preserve">C:\Users\andre\Desktop\REACTIV CEFAS\Dutasteride\Dutasteride/20201201_Cefas_Test8_Run1/Plate 1/@6/C6_03.tif </t>
  </si>
  <si>
    <t xml:space="preserve"> 65105.9828 </t>
  </si>
  <si>
    <t xml:space="preserve"> 50.813 </t>
  </si>
  <si>
    <t xml:space="preserve">C:\Users\andre\Desktop\REACTIV CEFAS\Dutasteride\Dutasteride/20201201_Cefas_Test8_Run1/Plate 1/@6/D6_01.tif </t>
  </si>
  <si>
    <t xml:space="preserve"> 77716.2114 </t>
  </si>
  <si>
    <t xml:space="preserve"> 51.5853 </t>
  </si>
  <si>
    <t xml:space="preserve">C:\Users\andre\Desktop\REACTIV CEFAS\Dutasteride\Dutasteride/20201201_Cefas_Test8_Run1/Plate 1/@6/D6_02.tif </t>
  </si>
  <si>
    <t xml:space="preserve"> 77045.6847 </t>
  </si>
  <si>
    <t xml:space="preserve"> 46.3857 </t>
  </si>
  <si>
    <t xml:space="preserve">C:\Users\andre\Desktop\REACTIV CEFAS\Dutasteride\Dutasteride/20201201_Cefas_Test8_Run1/Plate 1/@6/D6_03.tif </t>
  </si>
  <si>
    <t xml:space="preserve"> 60109.4772 </t>
  </si>
  <si>
    <t xml:space="preserve"> 51.6463 </t>
  </si>
  <si>
    <t xml:space="preserve">C:\Users\andre\Desktop\REACTIV CEFAS\Dutasteride\Dutasteride/20201201_Cefas_Test8_Run1/Plate 1/@6/E6_01.tif </t>
  </si>
  <si>
    <t xml:space="preserve"> 55696.9787 </t>
  </si>
  <si>
    <t xml:space="preserve"> 45.8804 </t>
  </si>
  <si>
    <t xml:space="preserve">C:\Users\andre\Desktop\REACTIV CEFAS\Dutasteride\Dutasteride/20201201_Cefas_Test8_Run1/Plate 1/@6/E6_02.tif </t>
  </si>
  <si>
    <t xml:space="preserve"> 52949.9821 </t>
  </si>
  <si>
    <t xml:space="preserve"> 49.7177 </t>
  </si>
  <si>
    <t xml:space="preserve">C:\Users\andre\Desktop\REACTIV CEFAS\Dutasteride\Dutasteride/20201201_Cefas_Test8_Run1/Plate 1/@6/E6_03.tif </t>
  </si>
  <si>
    <t xml:space="preserve"> 64543.6056 </t>
  </si>
  <si>
    <t xml:space="preserve"> 46.8271 </t>
  </si>
  <si>
    <t xml:space="preserve">C:\Users\andre\Desktop\REACTIV CEFAS\Dutasteride\Dutasteride/20201201_Cefas_Test8_Run1/Plate 1/@6/F6_01.tif </t>
  </si>
  <si>
    <t xml:space="preserve"> 84745.9272 </t>
  </si>
  <si>
    <t xml:space="preserve"> 46.7483 </t>
  </si>
  <si>
    <t xml:space="preserve">C:\Users\andre\Desktop\REACTIV CEFAS\Dutasteride\Dutasteride/20201201_Cefas_Test8_Run1/Plate 1/@6/F6_02.tif </t>
  </si>
  <si>
    <t xml:space="preserve"> 86822.397 </t>
  </si>
  <si>
    <t xml:space="preserve"> 49.0252 </t>
  </si>
  <si>
    <t xml:space="preserve">C:\Users\andre\Desktop\REACTIV CEFAS\Dutasteride\Dutasteride/20201201_Cefas_Test8_Run1/Plate 1/@6/F6_03.tif </t>
  </si>
  <si>
    <t xml:space="preserve"> 87536.1836 </t>
  </si>
  <si>
    <t xml:space="preserve"> 46.8411 </t>
  </si>
  <si>
    <t xml:space="preserve">C:\Users\andre\Desktop\REACTIV CEFAS\Dutasteride\Dutasteride/20201201_Cefas_Test8_Run1/Plate 1/@6/G6_01.tif </t>
  </si>
  <si>
    <t xml:space="preserve"> 69064.2535 </t>
  </si>
  <si>
    <t xml:space="preserve"> 46.5205 </t>
  </si>
  <si>
    <t xml:space="preserve">C:\Users\andre\Desktop\REACTIV CEFAS\Dutasteride\Dutasteride/20201201_Cefas_Test8_Run1/Plate 1/@6/G6_02.tif </t>
  </si>
  <si>
    <t xml:space="preserve"> 76418.4177 </t>
  </si>
  <si>
    <t xml:space="preserve"> 50.7305 </t>
  </si>
  <si>
    <t xml:space="preserve">C:\Users\andre\Desktop\REACTIV CEFAS\Dutasteride\Dutasteride/20201201_Cefas_Test8_Run1/Plate 1/@6/G6_03.tif </t>
  </si>
  <si>
    <t xml:space="preserve"> 79835.9411 </t>
  </si>
  <si>
    <t xml:space="preserve"> 51.8309 </t>
  </si>
  <si>
    <t>C:\Users\andre\Desktop\REACTIV CEFAS\Dutasteride\Dutasteride/20201201_Cefas_Test8_Run1/Plate 1/@6/H6_01- exclu.tif</t>
  </si>
  <si>
    <t>C:\Users\andre\Desktop\REACTIV CEFAS\Dutasteride\Dutasteride/20201201_Cefas_Test8_Run1/Plate 1/@6/H6_02- exclu.tif</t>
  </si>
  <si>
    <t>C:\Users\andre\Desktop\REACTIV CEFAS\Dutasteride\Dutasteride/20201201_Cefas_Test8_Run1/Plate 1/@6/H6_03- exclu.tif</t>
  </si>
  <si>
    <t xml:space="preserve">C:\Users\andre\Desktop\REACTIV CEFAS\Dutasteride\Dutasteride/20201201_Cefas_Test8_Run1/Plate 1/@6/ </t>
  </si>
  <si>
    <t xml:space="preserve"> 44.1984 </t>
  </si>
  <si>
    <t xml:space="preserve"> 11.013 </t>
  </si>
  <si>
    <t xml:space="preserve"> 2787551.75 </t>
  </si>
  <si>
    <t xml:space="preserve"> 1268150.55 </t>
  </si>
  <si>
    <t xml:space="preserve">C:\Users\andre\Desktop\REACTIV CEFAS\Dutasteride\Dutasteride/20201201_Cefas_Test8_Run1/Plate 1/@7/A7_01.tif </t>
  </si>
  <si>
    <t xml:space="preserve"> 89893.8421 </t>
  </si>
  <si>
    <t xml:space="preserve"> 50.4981 </t>
  </si>
  <si>
    <t xml:space="preserve">C:\Users\andre\Desktop\REACTIV CEFAS\Dutasteride\Dutasteride/20201201_Cefas_Test8_Run1/Plate 1/@7/A7_02.tif </t>
  </si>
  <si>
    <t xml:space="preserve"> 91472.8244 </t>
  </si>
  <si>
    <t xml:space="preserve"> 51.5784 </t>
  </si>
  <si>
    <t xml:space="preserve">C:\Users\andre\Desktop\REACTIV CEFAS\Dutasteride\Dutasteride/20201201_Cefas_Test8_Run1/Plate 1/@7/A7_03.tif </t>
  </si>
  <si>
    <t xml:space="preserve"> 59568.7298 </t>
  </si>
  <si>
    <t xml:space="preserve"> 54.6801 </t>
  </si>
  <si>
    <t xml:space="preserve">C:\Users\andre\Desktop\REACTIV CEFAS\Dutasteride\Dutasteride/20201201_Cefas_Test8_Run1/Plate 1/@7/B7_01.tif </t>
  </si>
  <si>
    <t xml:space="preserve"> 66641.7054 </t>
  </si>
  <si>
    <t xml:space="preserve"> 49.9818 </t>
  </si>
  <si>
    <t xml:space="preserve">C:\Users\andre\Desktop\REACTIV CEFAS\Dutasteride\Dutasteride/20201201_Cefas_Test8_Run1/Plate 1/@7/B7_02.tif </t>
  </si>
  <si>
    <t xml:space="preserve"> 65798.1395 </t>
  </si>
  <si>
    <t xml:space="preserve"> 50.9471 </t>
  </si>
  <si>
    <t xml:space="preserve">C:\Users\andre\Desktop\REACTIV CEFAS\Dutasteride\Dutasteride/20201201_Cefas_Test8_Run1/Plate 1/@7/B7_03.tif </t>
  </si>
  <si>
    <t xml:space="preserve"> 70578.3462 </t>
  </si>
  <si>
    <t xml:space="preserve"> 54.19 </t>
  </si>
  <si>
    <t xml:space="preserve">C:\Users\andre\Desktop\REACTIV CEFAS\Dutasteride\Dutasteride/20201201_Cefas_Test8_Run1/Plate 1/@7/C7_01.tif </t>
  </si>
  <si>
    <t xml:space="preserve"> 68977.734 </t>
  </si>
  <si>
    <t xml:space="preserve"> 53.8272 </t>
  </si>
  <si>
    <t>C:\Users\andre\Desktop\REACTIV CEFAS\Dutasteride\Dutasteride/20201201_Cefas_Test8_Run1/Plate 1/@7/C7_02- exclu.tif</t>
  </si>
  <si>
    <t xml:space="preserve">C:\Users\andre\Desktop\REACTIV CEFAS\Dutasteride\Dutasteride/20201201_Cefas_Test8_Run1/Plate 1/@7/C7_03.tif </t>
  </si>
  <si>
    <t xml:space="preserve"> 71941.0295 </t>
  </si>
  <si>
    <t xml:space="preserve"> 56.5658 </t>
  </si>
  <si>
    <t xml:space="preserve">C:\Users\andre\Desktop\REACTIV CEFAS\Dutasteride\Dutasteride/20201201_Cefas_Test8_Run1/Plate 1/@7/D7_01.tif </t>
  </si>
  <si>
    <t xml:space="preserve"> 71551.6914 </t>
  </si>
  <si>
    <t xml:space="preserve"> 50.8458 </t>
  </si>
  <si>
    <t xml:space="preserve">C:\Users\andre\Desktop\REACTIV CEFAS\Dutasteride\Dutasteride/20201201_Cefas_Test8_Run1/Plate 1/@7/D7_02.tif </t>
  </si>
  <si>
    <t xml:space="preserve"> 72265.478 </t>
  </si>
  <si>
    <t xml:space="preserve"> 52.8578 </t>
  </si>
  <si>
    <t xml:space="preserve">C:\Users\andre\Desktop\REACTIV CEFAS\Dutasteride\Dutasteride/20201201_Cefas_Test8_Run1/Plate 1/@7/D7_03.tif </t>
  </si>
  <si>
    <t xml:space="preserve"> 69691.5205 </t>
  </si>
  <si>
    <t xml:space="preserve"> 54.7616 </t>
  </si>
  <si>
    <t xml:space="preserve">C:\Users\andre\Desktop\REACTIV CEFAS\Dutasteride\Dutasteride/20201201_Cefas_Test8_Run1/Plate 1/@7/E7_01.tif </t>
  </si>
  <si>
    <t xml:space="preserve"> 80766.0265 </t>
  </si>
  <si>
    <t xml:space="preserve"> 60.7469 </t>
  </si>
  <si>
    <t xml:space="preserve">C:\Users\andre\Desktop\REACTIV CEFAS\Dutasteride\Dutasteride/20201201_Cefas_Test8_Run1/Plate 1/@7/E7_02.tif </t>
  </si>
  <si>
    <t xml:space="preserve"> 80852.5461 </t>
  </si>
  <si>
    <t xml:space="preserve"> 63.0516 </t>
  </si>
  <si>
    <t xml:space="preserve">C:\Users\andre\Desktop\REACTIV CEFAS\Dutasteride\Dutasteride/20201201_Cefas_Test8_Run1/Plate 1/@7/E7_03.tif </t>
  </si>
  <si>
    <t xml:space="preserve"> 79684.5318 </t>
  </si>
  <si>
    <t xml:space="preserve"> 61.256 </t>
  </si>
  <si>
    <t xml:space="preserve">C:\Users\andre\Desktop\REACTIV CEFAS\Dutasteride\Dutasteride/20201201_Cefas_Test8_Run1/Plate 1/@7/F7_01.tif </t>
  </si>
  <si>
    <t xml:space="preserve"> 88185.0804 </t>
  </si>
  <si>
    <t xml:space="preserve"> 58.7508 </t>
  </si>
  <si>
    <t xml:space="preserve">C:\Users\andre\Desktop\REACTIV CEFAS\Dutasteride\Dutasteride/20201201_Cefas_Test8_Run1/Plate 1/@7/F7_02.tif </t>
  </si>
  <si>
    <t xml:space="preserve"> 81804.2615 </t>
  </si>
  <si>
    <t xml:space="preserve"> 58.4109 </t>
  </si>
  <si>
    <t xml:space="preserve">C:\Users\andre\Desktop\REACTIV CEFAS\Dutasteride\Dutasteride/20201201_Cefas_Test8_Run1/Plate 1/@7/F7_03.tif </t>
  </si>
  <si>
    <t xml:space="preserve"> 85221.7848 </t>
  </si>
  <si>
    <t xml:space="preserve"> 56.2566 </t>
  </si>
  <si>
    <t xml:space="preserve">C:\Users\andre\Desktop\REACTIV CEFAS\Dutasteride\Dutasteride/20201201_Cefas_Test8_Run1/Plate 1/@7/G7_01.tif </t>
  </si>
  <si>
    <t xml:space="preserve"> 71876.1399 </t>
  </si>
  <si>
    <t xml:space="preserve"> 54.0674 </t>
  </si>
  <si>
    <t xml:space="preserve">C:\Users\andre\Desktop\REACTIV CEFAS\Dutasteride\Dutasteride/20201201_Cefas_Test8_Run1/Plate 1/@7/G7_02.tif </t>
  </si>
  <si>
    <t xml:space="preserve"> 77088.9445 </t>
  </si>
  <si>
    <t xml:space="preserve"> 56.8123 </t>
  </si>
  <si>
    <t xml:space="preserve">C:\Users\andre\Desktop\REACTIV CEFAS\Dutasteride\Dutasteride/20201201_Cefas_Test8_Run1/Plate 1/@7/G7_03.tif </t>
  </si>
  <si>
    <t xml:space="preserve"> 75509.9621 </t>
  </si>
  <si>
    <t xml:space="preserve"> 54.4658 </t>
  </si>
  <si>
    <t xml:space="preserve">C:\Users\andre\Desktop\REACTIV CEFAS\Dutasteride\Dutasteride/20201201_Cefas_Test8_Run1/Plate 1/@7/H7_01.tif </t>
  </si>
  <si>
    <t xml:space="preserve"> 40534.4225 </t>
  </si>
  <si>
    <t xml:space="preserve"> 47.3991 </t>
  </si>
  <si>
    <t xml:space="preserve">C:\Users\andre\Desktop\REACTIV CEFAS\Dutasteride\Dutasteride/20201201_Cefas_Test8_Run1/Plate 1/@7/H7_02.tif </t>
  </si>
  <si>
    <t xml:space="preserve"> 40620.9421 </t>
  </si>
  <si>
    <t xml:space="preserve"> 47.7077 </t>
  </si>
  <si>
    <t xml:space="preserve">C:\Users\andre\Desktop\REACTIV CEFAS\Dutasteride\Dutasteride/20201201_Cefas_Test8_Run1/Plate 1/@7/H7_03.tif </t>
  </si>
  <si>
    <t xml:space="preserve"> 44882.0314 </t>
  </si>
  <si>
    <t xml:space="preserve"> 52.1137 </t>
  </si>
  <si>
    <t xml:space="preserve">C:\Users\andre\Desktop\REACTIV CEFAS\Dutasteride\Dutasteride/20201201_Cefas_Test8_Run1/Plate 1/@7/ </t>
  </si>
  <si>
    <t xml:space="preserve"> 54.3885 </t>
  </si>
  <si>
    <t xml:space="preserve"> 4.0711 </t>
  </si>
  <si>
    <t xml:space="preserve"> 3901850.92 </t>
  </si>
  <si>
    <t xml:space="preserve"> 924744.452 </t>
  </si>
  <si>
    <t xml:space="preserve">C:\Users\andre\Desktop\REACTIV CEFAS\Dutasteride\Dutasteride/20201201_Cefas_Test8_Run1/Plate 2/@10/A4_01.tif </t>
  </si>
  <si>
    <t xml:space="preserve"> 39.9953 </t>
  </si>
  <si>
    <t xml:space="preserve">C:\Users\andre\Desktop\REACTIV CEFAS\Dutasteride\Dutasteride/20201201_Cefas_Test8_Run1/Plate 2/@10/A4_02.tif </t>
  </si>
  <si>
    <t xml:space="preserve"> 4866.7263 </t>
  </si>
  <si>
    <t xml:space="preserve"> 36.5511 </t>
  </si>
  <si>
    <t xml:space="preserve">C:\Users\andre\Desktop\REACTIV CEFAS\Dutasteride\Dutasteride/20201201_Cefas_Test8_Run1/Plate 2/@10/A4_03.tif </t>
  </si>
  <si>
    <t xml:space="preserve"> 12999.5667 </t>
  </si>
  <si>
    <t xml:space="preserve"> 40.2546 </t>
  </si>
  <si>
    <t xml:space="preserve">C:\Users\andre\Desktop\REACTIV CEFAS\Dutasteride\Dutasteride/20201201_Cefas_Test8_Run1/Plate 2/@10/B4_01.tif </t>
  </si>
  <si>
    <t xml:space="preserve"> 4239.4593 </t>
  </si>
  <si>
    <t xml:space="preserve"> 35.8622 </t>
  </si>
  <si>
    <t xml:space="preserve">C:\Users\andre\Desktop\REACTIV CEFAS\Dutasteride\Dutasteride/20201201_Cefas_Test8_Run1/Plate 2/@10/B4_02.tif </t>
  </si>
  <si>
    <t xml:space="preserve"> 32.6742 </t>
  </si>
  <si>
    <t xml:space="preserve">C:\Users\andre\Desktop\REACTIV CEFAS\Dutasteride\Dutasteride/20201201_Cefas_Test8_Run1/Plate 2/@10/B4_03.tif </t>
  </si>
  <si>
    <t xml:space="preserve"> 4477.3882 </t>
  </si>
  <si>
    <t xml:space="preserve"> 34.2947 </t>
  </si>
  <si>
    <t xml:space="preserve">C:\Users\andre\Desktop\REACTIV CEFAS\Dutasteride\Dutasteride/20201201_Cefas_Test8_Run1/Plate 2/@10/C4_01.tif </t>
  </si>
  <si>
    <t xml:space="preserve"> 12112.741 </t>
  </si>
  <si>
    <t xml:space="preserve"> 47.9857 </t>
  </si>
  <si>
    <t xml:space="preserve">C:\Users\andre\Desktop\REACTIV CEFAS\Dutasteride\Dutasteride/20201201_Cefas_Test8_Run1/Plate 2/@10/C4_02.tif </t>
  </si>
  <si>
    <t xml:space="preserve"> 10209.3103 </t>
  </si>
  <si>
    <t xml:space="preserve"> 44.9958 </t>
  </si>
  <si>
    <t xml:space="preserve">C:\Users\andre\Desktop\REACTIV CEFAS\Dutasteride\Dutasteride/20201201_Cefas_Test8_Run1/Plate 2/@10/C4_03.tif </t>
  </si>
  <si>
    <t xml:space="preserve"> 9971.3814 </t>
  </si>
  <si>
    <t xml:space="preserve"> 42.2148 </t>
  </si>
  <si>
    <t xml:space="preserve">C:\Users\andre\Desktop\REACTIV CEFAS\Dutasteride\Dutasteride/20201201_Cefas_Test8_Run1/Plate 2/@10/D4_01.tif </t>
  </si>
  <si>
    <t xml:space="preserve"> 8716.8475 </t>
  </si>
  <si>
    <t xml:space="preserve"> 35.8139 </t>
  </si>
  <si>
    <t xml:space="preserve">C:\Users\andre\Desktop\REACTIV CEFAS\Dutasteride\Dutasteride/20201201_Cefas_Test8_Run1/Plate 2/@10/D4_02.tif </t>
  </si>
  <si>
    <t xml:space="preserve"> 38.1378 </t>
  </si>
  <si>
    <t xml:space="preserve">C:\Users\andre\Desktop\REACTIV CEFAS\Dutasteride\Dutasteride/20201201_Cefas_Test8_Run1/Plate 2/@10/D4_03.tif </t>
  </si>
  <si>
    <t xml:space="preserve"> 1514.0926 </t>
  </si>
  <si>
    <t xml:space="preserve"> 33.5286 </t>
  </si>
  <si>
    <t xml:space="preserve">C:\Users\andre\Desktop\REACTIV CEFAS\Dutasteride\Dutasteride/20201201_Cefas_Test8_Run1/Plate 2/@10/E4_01.tif </t>
  </si>
  <si>
    <t xml:space="preserve"> 5537.253 </t>
  </si>
  <si>
    <t xml:space="preserve"> 34.6797 </t>
  </si>
  <si>
    <t xml:space="preserve">C:\Users\andre\Desktop\REACTIV CEFAS\Dutasteride\Dutasteride/20201201_Cefas_Test8_Run1/Plate 2/@10/E4_02.tif </t>
  </si>
  <si>
    <t xml:space="preserve"> 5385.8438 </t>
  </si>
  <si>
    <t xml:space="preserve"> 39.3815 </t>
  </si>
  <si>
    <t xml:space="preserve">C:\Users\andre\Desktop\REACTIV CEFAS\Dutasteride\Dutasteride/20201201_Cefas_Test8_Run1/Plate 2/@10/E4_03.tif </t>
  </si>
  <si>
    <t xml:space="preserve"> 39.755 </t>
  </si>
  <si>
    <t xml:space="preserve">C:\Users\andre\Desktop\REACTIV CEFAS\Dutasteride\Dutasteride/20201201_Cefas_Test8_Run1/Plate 2/@10/F4_01.tif </t>
  </si>
  <si>
    <t xml:space="preserve"> 4672.0572 </t>
  </si>
  <si>
    <t xml:space="preserve"> 41.4676 </t>
  </si>
  <si>
    <t xml:space="preserve">C:\Users\andre\Desktop\REACTIV CEFAS\Dutasteride\Dutasteride/20201201_Cefas_Test8_Run1/Plate 2/@10/F4_02.tif </t>
  </si>
  <si>
    <t xml:space="preserve"> 4845.0964 </t>
  </si>
  <si>
    <t xml:space="preserve"> 40.7545 </t>
  </si>
  <si>
    <t xml:space="preserve">C:\Users\andre\Desktop\REACTIV CEFAS\Dutasteride\Dutasteride/20201201_Cefas_Test8_Run1/Plate 2/@10/F4_03.tif </t>
  </si>
  <si>
    <t xml:space="preserve"> 4607.1676 </t>
  </si>
  <si>
    <t xml:space="preserve"> 36.0986 </t>
  </si>
  <si>
    <t xml:space="preserve">C:\Users\andre\Desktop\REACTIV CEFAS\Dutasteride\Dutasteride/20201201_Cefas_Test8_Run1/Plate 2/@10/G4_01.tif </t>
  </si>
  <si>
    <t xml:space="preserve"> 11723.4029 </t>
  </si>
  <si>
    <t xml:space="preserve"> 46.2122 </t>
  </si>
  <si>
    <t xml:space="preserve">C:\Users\andre\Desktop\REACTIV CEFAS\Dutasteride\Dutasteride/20201201_Cefas_Test8_Run1/Plate 2/@10/G4_02.tif </t>
  </si>
  <si>
    <t xml:space="preserve"> 12069.4812 </t>
  </si>
  <si>
    <t xml:space="preserve"> 43.6649 </t>
  </si>
  <si>
    <t xml:space="preserve">C:\Users\andre\Desktop\REACTIV CEFAS\Dutasteride\Dutasteride/20201201_Cefas_Test8_Run1/Plate 2/@10/G4_03.tif </t>
  </si>
  <si>
    <t xml:space="preserve"> 6856.6766 </t>
  </si>
  <si>
    <t xml:space="preserve"> 37.1451 </t>
  </si>
  <si>
    <t xml:space="preserve">C:\Users\andre\Desktop\REACTIV CEFAS\Dutasteride\Dutasteride/20201201_Cefas_Test8_Run1/Plate 2/@10/H4_01.tif </t>
  </si>
  <si>
    <t xml:space="preserve"> 1622.2421 </t>
  </si>
  <si>
    <t xml:space="preserve"> 34.6267 </t>
  </si>
  <si>
    <t xml:space="preserve">C:\Users\andre\Desktop\REACTIV CEFAS\Dutasteride\Dutasteride/20201201_Cefas_Test8_Run1/Plate 2/@10/H4_02.tif </t>
  </si>
  <si>
    <t xml:space="preserve"> 31.9018 </t>
  </si>
  <si>
    <t xml:space="preserve">C:\Users\andre\Desktop\REACTIV CEFAS\Dutasteride\Dutasteride/20201201_Cefas_Test8_Run1/Plate 2/@10/H4_03.tif </t>
  </si>
  <si>
    <t xml:space="preserve"> 34.9252 </t>
  </si>
  <si>
    <t xml:space="preserve">C:\Users\andre\Desktop\REACTIV CEFAS\Dutasteride\Dutasteride/20201201_Cefas_Test8_Run1/Plate 2/@10/ </t>
  </si>
  <si>
    <t xml:space="preserve"> 38.4551 </t>
  </si>
  <si>
    <t xml:space="preserve"> 4.3817 </t>
  </si>
  <si>
    <t xml:space="preserve"> 251360.042 </t>
  </si>
  <si>
    <t xml:space="preserve"> 165263.763 </t>
  </si>
  <si>
    <t xml:space="preserve">C:\Users\andre\Desktop\REACTIV CEFAS\Dutasteride\Dutasteride/20201201_Cefas_Test8_Run1/Plate 2/@11/A5_01.tif </t>
  </si>
  <si>
    <t xml:space="preserve"> 886.8257 </t>
  </si>
  <si>
    <t xml:space="preserve"> 33.4878 </t>
  </si>
  <si>
    <t xml:space="preserve">C:\Users\andre\Desktop\REACTIV CEFAS\Dutasteride\Dutasteride/20201201_Cefas_Test8_Run1/Plate 2/@11/A5_02.tif </t>
  </si>
  <si>
    <t xml:space="preserve">C:\Users\andre\Desktop\REACTIV CEFAS\Dutasteride\Dutasteride/20201201_Cefas_Test8_Run1/Plate 2/@11/A5_03.tif </t>
  </si>
  <si>
    <t xml:space="preserve"> 4888.3562 </t>
  </si>
  <si>
    <t xml:space="preserve"> 36.4823 </t>
  </si>
  <si>
    <t xml:space="preserve">C:\Users\andre\Desktop\REACTIV CEFAS\Dutasteride\Dutasteride/20201201_Cefas_Test8_Run1/Plate 2/@11/B5_01.tif </t>
  </si>
  <si>
    <t xml:space="preserve"> 9452.264 </t>
  </si>
  <si>
    <t xml:space="preserve"> 37.6842 </t>
  </si>
  <si>
    <t xml:space="preserve">C:\Users\andre\Desktop\REACTIV CEFAS\Dutasteride\Dutasteride/20201201_Cefas_Test8_Run1/Plate 2/@11/B5_02.tif </t>
  </si>
  <si>
    <t xml:space="preserve"> 43.2598 </t>
  </si>
  <si>
    <t xml:space="preserve"> 31.5 </t>
  </si>
  <si>
    <t xml:space="preserve">C:\Users\andre\Desktop\REACTIV CEFAS\Dutasteride\Dutasteride/20201201_Cefas_Test8_Run1/Plate 2/@11/B5_03.tif </t>
  </si>
  <si>
    <t xml:space="preserve"> 37.5459 </t>
  </si>
  <si>
    <t xml:space="preserve">C:\Users\andre\Desktop\REACTIV CEFAS\Dutasteride\Dutasteride/20201201_Cefas_Test8_Run1/Plate 2/@11/C5_01.tif </t>
  </si>
  <si>
    <t xml:space="preserve"> 86.5196 </t>
  </si>
  <si>
    <t xml:space="preserve"> 30.25 </t>
  </si>
  <si>
    <t xml:space="preserve">C:\Users\andre\Desktop\REACTIV CEFAS\Dutasteride\Dutasteride/20201201_Cefas_Test8_Run1/Plate 2/@11/C5_02.tif </t>
  </si>
  <si>
    <t xml:space="preserve"> 32.2143 </t>
  </si>
  <si>
    <t xml:space="preserve">C:\Users\andre\Desktop\REACTIV CEFAS\Dutasteride\Dutasteride/20201201_Cefas_Test8_Run1/Plate 2/@11/C5_03.tif </t>
  </si>
  <si>
    <t xml:space="preserve">C:\Users\andre\Desktop\REACTIV CEFAS\Dutasteride\Dutasteride/20201201_Cefas_Test8_Run1/Plate 2/@11/D5_01.tif </t>
  </si>
  <si>
    <t xml:space="preserve"> 8414.029 </t>
  </si>
  <si>
    <t xml:space="preserve"> 35.7301 </t>
  </si>
  <si>
    <t xml:space="preserve">C:\Users\andre\Desktop\REACTIV CEFAS\Dutasteride\Dutasteride/20201201_Cefas_Test8_Run1/Plate 2/@11/D5_02.tif </t>
  </si>
  <si>
    <t xml:space="preserve"> 8846.6269 </t>
  </si>
  <si>
    <t xml:space="preserve"> 34.6601 </t>
  </si>
  <si>
    <t xml:space="preserve">C:\Users\andre\Desktop\REACTIV CEFAS\Dutasteride\Dutasteride/20201201_Cefas_Test8_Run1/Plate 2/@11/D5_03.tif </t>
  </si>
  <si>
    <t xml:space="preserve"> 994.9752 </t>
  </si>
  <si>
    <t xml:space="preserve"> 32.2391 </t>
  </si>
  <si>
    <t xml:space="preserve">C:\Users\andre\Desktop\REACTIV CEFAS\Dutasteride\Dutasteride/20201201_Cefas_Test8_Run1/Plate 2/@11/E5_01.tif </t>
  </si>
  <si>
    <t xml:space="preserve"> 2444.1781 </t>
  </si>
  <si>
    <t xml:space="preserve"> 34.5752 </t>
  </si>
  <si>
    <t xml:space="preserve">C:\Users\andre\Desktop\REACTIV CEFAS\Dutasteride\Dutasteride/20201201_Cefas_Test8_Run1/Plate 2/@11/E5_02.tif </t>
  </si>
  <si>
    <t xml:space="preserve"> 38.1503 </t>
  </si>
  <si>
    <t xml:space="preserve">C:\Users\andre\Desktop\REACTIV CEFAS\Dutasteride\Dutasteride/20201201_Cefas_Test8_Run1/Plate 2/@11/E5_03.tif </t>
  </si>
  <si>
    <t xml:space="preserve"> 6359.189 </t>
  </si>
  <si>
    <t xml:space="preserve"> 37.7653 </t>
  </si>
  <si>
    <t xml:space="preserve">C:\Users\andre\Desktop\REACTIV CEFAS\Dutasteride\Dutasteride/20201201_Cefas_Test8_Run1/Plate 2/@11/F5_01.tif </t>
  </si>
  <si>
    <t xml:space="preserve"> 36.6259 </t>
  </si>
  <si>
    <t xml:space="preserve">C:\Users\andre\Desktop\REACTIV CEFAS\Dutasteride\Dutasteride/20201201_Cefas_Test8_Run1/Plate 2/@11/F5_02.tif </t>
  </si>
  <si>
    <t xml:space="preserve"> 1081.4947 </t>
  </si>
  <si>
    <t xml:space="preserve"> 33.3 </t>
  </si>
  <si>
    <t xml:space="preserve">C:\Users\andre\Desktop\REACTIV CEFAS\Dutasteride\Dutasteride/20201201_Cefas_Test8_Run1/Plate 2/@11/F5_03.tif </t>
  </si>
  <si>
    <t xml:space="preserve"> 35.466 </t>
  </si>
  <si>
    <t xml:space="preserve">C:\Users\andre\Desktop\REACTIV CEFAS\Dutasteride\Dutasteride/20201201_Cefas_Test8_Run1/Plate 2/@11/G5_01.tif </t>
  </si>
  <si>
    <t xml:space="preserve"> 3936.6408 </t>
  </si>
  <si>
    <t xml:space="preserve"> 37.3077 </t>
  </si>
  <si>
    <t xml:space="preserve">C:\Users\andre\Desktop\REACTIV CEFAS\Dutasteride\Dutasteride/20201201_Cefas_Test8_Run1/Plate 2/@11/G5_02.tif </t>
  </si>
  <si>
    <t xml:space="preserve"> 5039.7654 </t>
  </si>
  <si>
    <t xml:space="preserve"> 37.7554 </t>
  </si>
  <si>
    <t xml:space="preserve">C:\Users\andre\Desktop\REACTIV CEFAS\Dutasteride\Dutasteride/20201201_Cefas_Test8_Run1/Plate 2/@11/G5_03.tif </t>
  </si>
  <si>
    <t xml:space="preserve"> 38.7044 </t>
  </si>
  <si>
    <t xml:space="preserve">C:\Users\andre\Desktop\REACTIV CEFAS\Dutasteride\Dutasteride/20201201_Cefas_Test8_Run1/Plate 2/@11/H5_01.tif </t>
  </si>
  <si>
    <t xml:space="preserve"> 36.451 </t>
  </si>
  <si>
    <t xml:space="preserve">C:\Users\andre\Desktop\REACTIV CEFAS\Dutasteride\Dutasteride/20201201_Cefas_Test8_Run1/Plate 2/@11/H5_02.tif </t>
  </si>
  <si>
    <t xml:space="preserve"> 10512.1288 </t>
  </si>
  <si>
    <t xml:space="preserve"> 33.2428 </t>
  </si>
  <si>
    <t xml:space="preserve">C:\Users\andre\Desktop\REACTIV CEFAS\Dutasteride\Dutasteride/20201201_Cefas_Test8_Run1/Plate 2/@11/H5_03.tif </t>
  </si>
  <si>
    <t xml:space="preserve"> 324.4484 </t>
  </si>
  <si>
    <t xml:space="preserve"> 32.5333 </t>
  </si>
  <si>
    <t xml:space="preserve">C:\Users\andre\Desktop\REACTIV CEFAS\Dutasteride\Dutasteride/20201201_Cefas_Test8_Run1/Plate 2/@11/ </t>
  </si>
  <si>
    <t xml:space="preserve"> 33.4863 </t>
  </si>
  <si>
    <t xml:space="preserve"> 7.5913 </t>
  </si>
  <si>
    <t xml:space="preserve"> 149827.583 </t>
  </si>
  <si>
    <t xml:space="preserve"> 131645.3 </t>
  </si>
  <si>
    <t xml:space="preserve">C:\Users\andre\Desktop\REACTIV CEFAS\Dutasteride\Dutasteride/20201201_Cefas_Test8_Run1/Plate 2/@12/A6_01.tif </t>
  </si>
  <si>
    <t xml:space="preserve"> 6662.0075 </t>
  </si>
  <si>
    <t xml:space="preserve"> 35.9286 </t>
  </si>
  <si>
    <t xml:space="preserve">C:\Users\andre\Desktop\REACTIV CEFAS\Dutasteride\Dutasteride/20201201_Cefas_Test8_Run1/Plate 2/@12/A6_02.tif </t>
  </si>
  <si>
    <t xml:space="preserve"> 3677.0821 </t>
  </si>
  <si>
    <t xml:space="preserve"> 35.0647 </t>
  </si>
  <si>
    <t xml:space="preserve">C:\Users\andre\Desktop\REACTIV CEFAS\Dutasteride\Dutasteride/20201201_Cefas_Test8_Run1/Plate 2/@12/A6_03.tif </t>
  </si>
  <si>
    <t xml:space="preserve"> 5169.5448 </t>
  </si>
  <si>
    <t xml:space="preserve"> 36.2971 </t>
  </si>
  <si>
    <t xml:space="preserve">C:\Users\andre\Desktop\REACTIV CEFAS\Dutasteride\Dutasteride/20201201_Cefas_Test8_Run1/Plate 2/@12/B6_01.tif </t>
  </si>
  <si>
    <t xml:space="preserve"> 5645.4025 </t>
  </si>
  <si>
    <t xml:space="preserve"> 41.318 </t>
  </si>
  <si>
    <t xml:space="preserve">C:\Users\andre\Desktop\REACTIV CEFAS\Dutasteride\Dutasteride/20201201_Cefas_Test8_Run1/Plate 2/@12/B6_02.tif </t>
  </si>
  <si>
    <t xml:space="preserve"> 8998.0362 </t>
  </si>
  <si>
    <t xml:space="preserve"> 32.5817 </t>
  </si>
  <si>
    <t xml:space="preserve">C:\Users\andre\Desktop\REACTIV CEFAS\Dutasteride\Dutasteride/20201201_Cefas_Test8_Run1/Plate 2/@12/B6_03.tif </t>
  </si>
  <si>
    <t xml:space="preserve">C:\Users\andre\Desktop\REACTIV CEFAS\Dutasteride\Dutasteride/20201201_Cefas_Test8_Run1/Plate 2/@12/C6_01.tif </t>
  </si>
  <si>
    <t>C:\Users\andre\Desktop\REACTIV CEFAS\Dutasteride\Dutasteride/20201201_Cefas_Test8_Run1/Plate 2/@12/C6_02- exclu.tif</t>
  </si>
  <si>
    <t xml:space="preserve">C:\Users\andre\Desktop\REACTIV CEFAS\Dutasteride\Dutasteride/20201201_Cefas_Test8_Run1/Plate 2/@12/C6_03.tif </t>
  </si>
  <si>
    <t xml:space="preserve">C:\Users\andre\Desktop\REACTIV CEFAS\Dutasteride\Dutasteride/20201201_Cefas_Test8_Run1/Plate 2/@12/D6_01.tif </t>
  </si>
  <si>
    <t xml:space="preserve">C:\Users\andre\Desktop\REACTIV CEFAS\Dutasteride\Dutasteride/20201201_Cefas_Test8_Run1/Plate 2/@12/D6_02.tif </t>
  </si>
  <si>
    <t xml:space="preserve"> 8587.0682 </t>
  </si>
  <si>
    <t xml:space="preserve"> 41.5441 </t>
  </si>
  <si>
    <t xml:space="preserve">C:\Users\andre\Desktop\REACTIV CEFAS\Dutasteride\Dutasteride/20201201_Cefas_Test8_Run1/Plate 2/@12/D6_03.tif </t>
  </si>
  <si>
    <t xml:space="preserve"> 9906.4917 </t>
  </si>
  <si>
    <t xml:space="preserve"> 36.0611 </t>
  </si>
  <si>
    <t xml:space="preserve">C:\Users\andre\Desktop\REACTIV CEFAS\Dutasteride\Dutasteride/20201201_Cefas_Test8_Run1/Plate 2/@12/E6_01.tif </t>
  </si>
  <si>
    <t xml:space="preserve"> 9214.3351 </t>
  </si>
  <si>
    <t xml:space="preserve"> 39.7958 </t>
  </si>
  <si>
    <t xml:space="preserve">C:\Users\andre\Desktop\REACTIV CEFAS\Dutasteride\Dutasteride/20201201_Cefas_Test8_Run1/Plate 2/@12/E6_02.tif </t>
  </si>
  <si>
    <t xml:space="preserve"> 43.1361 </t>
  </si>
  <si>
    <t xml:space="preserve">C:\Users\andre\Desktop\REACTIV CEFAS\Dutasteride\Dutasteride/20201201_Cefas_Test8_Run1/Plate 2/@12/E6_03.tif </t>
  </si>
  <si>
    <t xml:space="preserve"> 11398.9545 </t>
  </si>
  <si>
    <t xml:space="preserve"> 43.2486 </t>
  </si>
  <si>
    <t xml:space="preserve">C:\Users\andre\Desktop\REACTIV CEFAS\Dutasteride\Dutasteride/20201201_Cefas_Test8_Run1/Plate 2/@12/F6_01.tif </t>
  </si>
  <si>
    <t xml:space="preserve"> 11247.5452 </t>
  </si>
  <si>
    <t xml:space="preserve"> 36.1654 </t>
  </si>
  <si>
    <t xml:space="preserve">C:\Users\andre\Desktop\REACTIV CEFAS\Dutasteride\Dutasteride/20201201_Cefas_Test8_Run1/Plate 2/@12/F6_02.tif </t>
  </si>
  <si>
    <t xml:space="preserve"> 1276.1638 </t>
  </si>
  <si>
    <t xml:space="preserve"> 34.8305 </t>
  </si>
  <si>
    <t xml:space="preserve">C:\Users\andre\Desktop\REACTIV CEFAS\Dutasteride\Dutasteride/20201201_Cefas_Test8_Run1/Plate 2/@12/F6_03.tif </t>
  </si>
  <si>
    <t xml:space="preserve"> 475.8577 </t>
  </si>
  <si>
    <t xml:space="preserve"> 30.9545 </t>
  </si>
  <si>
    <t xml:space="preserve">C:\Users\andre\Desktop\REACTIV CEFAS\Dutasteride\Dutasteride/20201201_Cefas_Test8_Run1/Plate 2/@12/G6_01.tif </t>
  </si>
  <si>
    <t xml:space="preserve">C:\Users\andre\Desktop\REACTIV CEFAS\Dutasteride\Dutasteride/20201201_Cefas_Test8_Run1/Plate 2/@12/G6_02.tif </t>
  </si>
  <si>
    <t xml:space="preserve">C:\Users\andre\Desktop\REACTIV CEFAS\Dutasteride\Dutasteride/20201201_Cefas_Test8_Run1/Plate 2/@12/G6_03.tif </t>
  </si>
  <si>
    <t xml:space="preserve">C:\Users\andre\Desktop\REACTIV CEFAS\Dutasteride\Dutasteride/20201201_Cefas_Test8_Run1/Plate 2/@12/H6_01.tif </t>
  </si>
  <si>
    <t xml:space="preserve"> 41.3627 </t>
  </si>
  <si>
    <t xml:space="preserve">C:\Users\andre\Desktop\REACTIV CEFAS\Dutasteride\Dutasteride/20201201_Cefas_Test8_Run1/Plate 2/@12/H6_02.tif </t>
  </si>
  <si>
    <t xml:space="preserve"> 6272.6694 </t>
  </si>
  <si>
    <t xml:space="preserve"> 40.7793 </t>
  </si>
  <si>
    <t xml:space="preserve">C:\Users\andre\Desktop\REACTIV CEFAS\Dutasteride\Dutasteride/20201201_Cefas_Test8_Run1/Plate 2/@12/H6_03.tif </t>
  </si>
  <si>
    <t xml:space="preserve"> 41.2973 </t>
  </si>
  <si>
    <t xml:space="preserve">C:\Users\andre\Desktop\REACTIV CEFAS\Dutasteride\Dutasteride/20201201_Cefas_Test8_Run1/Plate 2/@12/ </t>
  </si>
  <si>
    <t xml:space="preserve"> 27.9736 </t>
  </si>
  <si>
    <t xml:space="preserve"> 16.923 </t>
  </si>
  <si>
    <t xml:space="preserve"> 177214.708 </t>
  </si>
  <si>
    <t xml:space="preserve"> 164041.041 </t>
  </si>
  <si>
    <t xml:space="preserve">C:\Users\andre\Desktop\REACTIV CEFAS\Dutasteride\Dutasteride/20201201_Cefas_Test8_Run1/Plate 2/@17/A8_01.tif </t>
  </si>
  <si>
    <t xml:space="preserve"> 41637.5472 </t>
  </si>
  <si>
    <t xml:space="preserve"> 35.9969 </t>
  </si>
  <si>
    <t xml:space="preserve">C:\Users\andre\Desktop\REACTIV CEFAS\Dutasteride\Dutasteride/20201201_Cefas_Test8_Run1/Plate 2/@17/A8_02.tif </t>
  </si>
  <si>
    <t xml:space="preserve"> 43303.049 </t>
  </si>
  <si>
    <t xml:space="preserve"> 36.7178 </t>
  </si>
  <si>
    <t xml:space="preserve">C:\Users\andre\Desktop\REACTIV CEFAS\Dutasteride\Dutasteride/20201201_Cefas_Test8_Run1/Plate 2/@17/A8_03.tif </t>
  </si>
  <si>
    <t xml:space="preserve"> 32552.9914 </t>
  </si>
  <si>
    <t xml:space="preserve"> 35.8093 </t>
  </si>
  <si>
    <t xml:space="preserve">C:\Users\andre\Desktop\REACTIV CEFAS\Dutasteride\Dutasteride/20201201_Cefas_Test8_Run1/Plate 2/@17/B8_01.tif </t>
  </si>
  <si>
    <t xml:space="preserve"> 17649.994 </t>
  </si>
  <si>
    <t xml:space="preserve"> 36.1127 </t>
  </si>
  <si>
    <t xml:space="preserve">C:\Users\andre\Desktop\REACTIV CEFAS\Dutasteride\Dutasteride/20201201_Cefas_Test8_Run1/Plate 2/@17/B8_02.tif </t>
  </si>
  <si>
    <t xml:space="preserve"> 16417.09 </t>
  </si>
  <si>
    <t xml:space="preserve"> 34.6245 </t>
  </si>
  <si>
    <t xml:space="preserve">C:\Users\andre\Desktop\REACTIV CEFAS\Dutasteride\Dutasteride/20201201_Cefas_Test8_Run1/Plate 2/@17/B8_03.tif </t>
  </si>
  <si>
    <t xml:space="preserve"> 19575.0546 </t>
  </si>
  <si>
    <t xml:space="preserve"> 35.6641 </t>
  </si>
  <si>
    <t xml:space="preserve">C:\Users\andre\Desktop\REACTIV CEFAS\Dutasteride\Dutasteride/20201201_Cefas_Test8_Run1/Plate 2/@17/C8_01.tif </t>
  </si>
  <si>
    <t xml:space="preserve"> 48.5773 </t>
  </si>
  <si>
    <t xml:space="preserve">C:\Users\andre\Desktop\REACTIV CEFAS\Dutasteride\Dutasteride/20201201_Cefas_Test8_Run1/Plate 2/@17/C8_02.tif </t>
  </si>
  <si>
    <t xml:space="preserve"> 63505.3706 </t>
  </si>
  <si>
    <t xml:space="preserve"> 46.6921 </t>
  </si>
  <si>
    <t xml:space="preserve">C:\Users\andre\Desktop\REACTIV CEFAS\Dutasteride\Dutasteride/20201201_Cefas_Test8_Run1/Plate 2/@17/C8_03.tif </t>
  </si>
  <si>
    <t xml:space="preserve"> 56540.5446 </t>
  </si>
  <si>
    <t xml:space="preserve"> 45.7865 </t>
  </si>
  <si>
    <t xml:space="preserve">C:\Users\andre\Desktop\REACTIV CEFAS\Dutasteride\Dutasteride/20201201_Cefas_Test8_Run1/Plate 2/@17/D8_01.tif </t>
  </si>
  <si>
    <t xml:space="preserve"> 7029.7158 </t>
  </si>
  <si>
    <t xml:space="preserve"> 35.4985 </t>
  </si>
  <si>
    <t xml:space="preserve">C:\Users\andre\Desktop\REACTIV CEFAS\Dutasteride\Dutasteride/20201201_Cefas_Test8_Run1/Plate 2/@17/D8_02.tif </t>
  </si>
  <si>
    <t xml:space="preserve"> 12156.0008 </t>
  </si>
  <si>
    <t xml:space="preserve"> 37.7687 </t>
  </si>
  <si>
    <t xml:space="preserve">C:\Users\andre\Desktop\REACTIV CEFAS\Dutasteride\Dutasteride/20201201_Cefas_Test8_Run1/Plate 2/@17/D8_03.tif </t>
  </si>
  <si>
    <t xml:space="preserve"> 11485.474 </t>
  </si>
  <si>
    <t xml:space="preserve"> 36.4162 </t>
  </si>
  <si>
    <t xml:space="preserve">C:\Users\andre\Desktop\REACTIV CEFAS\Dutasteride\Dutasteride/20201201_Cefas_Test8_Run1/Plate 2/@17/E8_01.tif </t>
  </si>
  <si>
    <t xml:space="preserve"> 47607.3981 </t>
  </si>
  <si>
    <t xml:space="preserve"> 40.0618 </t>
  </si>
  <si>
    <t xml:space="preserve">C:\Users\andre\Desktop\REACTIV CEFAS\Dutasteride\Dutasteride/20201201_Cefas_Test8_Run1/Plate 2/@17/E8_02.tif </t>
  </si>
  <si>
    <t xml:space="preserve"> 52474.1244 </t>
  </si>
  <si>
    <t xml:space="preserve"> 41.9744 </t>
  </si>
  <si>
    <t xml:space="preserve">C:\Users\andre\Desktop\REACTIV CEFAS\Dutasteride\Dutasteride/20201201_Cefas_Test8_Run1/Plate 2/@17/E8_03.tif </t>
  </si>
  <si>
    <t xml:space="preserve"> 47672.2878 </t>
  </si>
  <si>
    <t xml:space="preserve"> 41.2355 </t>
  </si>
  <si>
    <t xml:space="preserve">C:\Users\andre\Desktop\REACTIV CEFAS\Dutasteride\Dutasteride/20201201_Cefas_Test8_Run1/Plate 2/@17/F8_01.tif </t>
  </si>
  <si>
    <t xml:space="preserve"> 23901.0336 </t>
  </si>
  <si>
    <t xml:space="preserve">C:\Users\andre\Desktop\REACTIV CEFAS\Dutasteride\Dutasteride/20201201_Cefas_Test8_Run1/Plate 2/@17/F8_02.tif </t>
  </si>
  <si>
    <t xml:space="preserve"> 29286.8773 </t>
  </si>
  <si>
    <t xml:space="preserve"> 37.1211 </t>
  </si>
  <si>
    <t xml:space="preserve">C:\Users\andre\Desktop\REACTIV CEFAS\Dutasteride\Dutasteride/20201201_Cefas_Test8_Run1/Plate 2/@17/F8_03.tif </t>
  </si>
  <si>
    <t xml:space="preserve"> 31817.575 </t>
  </si>
  <si>
    <t xml:space="preserve"> 37.5908 </t>
  </si>
  <si>
    <t xml:space="preserve">C:\Users\andre\Desktop\REACTIV CEFAS\Dutasteride\Dutasteride/20201201_Cefas_Test8_Run1/Plate 2/@17/G8_01.tif </t>
  </si>
  <si>
    <t xml:space="preserve"> 33.2234 </t>
  </si>
  <si>
    <t xml:space="preserve">C:\Users\andre\Desktop\REACTIV CEFAS\Dutasteride\Dutasteride/20201201_Cefas_Test8_Run1/Plate 2/@17/G8_02.tif </t>
  </si>
  <si>
    <t xml:space="preserve"> 20699.8092 </t>
  </si>
  <si>
    <t xml:space="preserve"> 32.6719 </t>
  </si>
  <si>
    <t xml:space="preserve">C:\Users\andre\Desktop\REACTIV CEFAS\Dutasteride\Dutasteride/20201201_Cefas_Test8_Run1/Plate 2/@17/G8_03.tif </t>
  </si>
  <si>
    <t xml:space="preserve"> 33742.6356 </t>
  </si>
  <si>
    <t xml:space="preserve"> 34.7474 </t>
  </si>
  <si>
    <t xml:space="preserve">C:\Users\andre\Desktop\REACTIV CEFAS\Dutasteride\Dutasteride/20201201_Cefas_Test8_Run1/Plate 2/@17/H8_01.tif </t>
  </si>
  <si>
    <t xml:space="preserve"> 49316.1598 </t>
  </si>
  <si>
    <t xml:space="preserve"> 36.5206 </t>
  </si>
  <si>
    <t xml:space="preserve">C:\Users\andre\Desktop\REACTIV CEFAS\Dutasteride\Dutasteride/20201201_Cefas_Test8_Run1/Plate 2/@17/H8_02.tif </t>
  </si>
  <si>
    <t xml:space="preserve"> 48148.1454 </t>
  </si>
  <si>
    <t xml:space="preserve"> 37.6235 </t>
  </si>
  <si>
    <t xml:space="preserve">C:\Users\andre\Desktop\REACTIV CEFAS\Dutasteride\Dutasteride/20201201_Cefas_Test8_Run1/Plate 2/@17/H8_03.tif </t>
  </si>
  <si>
    <t xml:space="preserve"> 47023.3909 </t>
  </si>
  <si>
    <t xml:space="preserve"> 37.2093 </t>
  </si>
  <si>
    <t xml:space="preserve">C:\Users\andre\Desktop\REACTIV CEFAS\Dutasteride\Dutasteride/20201201_Cefas_Test8_Run1/Plate 2/@17/ </t>
  </si>
  <si>
    <t xml:space="preserve"> 37.9435 </t>
  </si>
  <si>
    <t xml:space="preserve"> 4.1329 </t>
  </si>
  <si>
    <t xml:space="preserve"> 1378624.62 </t>
  </si>
  <si>
    <t xml:space="preserve"> 801969.443 </t>
  </si>
  <si>
    <t xml:space="preserve">C:\Users\andre\Desktop\REACTIV CEFAS\Dutasteride\Dutasteride/20201201_Cefas_Test8_Run1/Plate 2/@18/A9_01.tif </t>
  </si>
  <si>
    <t xml:space="preserve"> 25717.9447 </t>
  </si>
  <si>
    <t xml:space="preserve"> 35.3894 </t>
  </si>
  <si>
    <t xml:space="preserve">C:\Users\andre\Desktop\REACTIV CEFAS\Dutasteride\Dutasteride/20201201_Cefas_Test8_Run1/Plate 2/@18/A9_02.tif </t>
  </si>
  <si>
    <t xml:space="preserve"> 10490.4989 </t>
  </si>
  <si>
    <t xml:space="preserve"> 31.3278 </t>
  </si>
  <si>
    <t xml:space="preserve">C:\Users\andre\Desktop\REACTIV CEFAS\Dutasteride\Dutasteride/20201201_Cefas_Test8_Run1/Plate 2/@18/A9_03.tif </t>
  </si>
  <si>
    <t xml:space="preserve"> 29849.2546 </t>
  </si>
  <si>
    <t xml:space="preserve"> 36.0587 </t>
  </si>
  <si>
    <t xml:space="preserve">C:\Users\andre\Desktop\REACTIV CEFAS\Dutasteride\Dutasteride/20201201_Cefas_Test8_Run1/Plate 2/@18/B9_01.tif </t>
  </si>
  <si>
    <t xml:space="preserve"> 71854.51 </t>
  </si>
  <si>
    <t xml:space="preserve"> 49.584 </t>
  </si>
  <si>
    <t xml:space="preserve">C:\Users\andre\Desktop\REACTIV CEFAS\Dutasteride\Dutasteride/20201201_Cefas_Test8_Run1/Plate 2/@18/B9_02.tif </t>
  </si>
  <si>
    <t xml:space="preserve"> 73000.8944 </t>
  </si>
  <si>
    <t xml:space="preserve"> 48.7345 </t>
  </si>
  <si>
    <t xml:space="preserve">C:\Users\andre\Desktop\REACTIV CEFAS\Dutasteride\Dutasteride/20201201_Cefas_Test8_Run1/Plate 2/@18/B9_03.tif </t>
  </si>
  <si>
    <t xml:space="preserve"> 70751.3853 </t>
  </si>
  <si>
    <t xml:space="preserve"> 47.3033 </t>
  </si>
  <si>
    <t xml:space="preserve">C:\Users\andre\Desktop\REACTIV CEFAS\Dutasteride\Dutasteride/20201201_Cefas_Test8_Run1/Plate 2/@18/C9_01.tif </t>
  </si>
  <si>
    <t xml:space="preserve"> 30.7778 </t>
  </si>
  <si>
    <t xml:space="preserve">C:\Users\andre\Desktop\REACTIV CEFAS\Dutasteride\Dutasteride/20201201_Cefas_Test8_Run1/Plate 2/@18/C9_02.tif </t>
  </si>
  <si>
    <t xml:space="preserve"> 3352.6337 </t>
  </si>
  <si>
    <t xml:space="preserve"> 33.0516 </t>
  </si>
  <si>
    <t xml:space="preserve">C:\Users\andre\Desktop\REACTIV CEFAS\Dutasteride\Dutasteride/20201201_Cefas_Test8_Run1/Plate 2/@18/C9_03.tif </t>
  </si>
  <si>
    <t xml:space="preserve"> 1708.7617 </t>
  </si>
  <si>
    <t xml:space="preserve"> 32.8987 </t>
  </si>
  <si>
    <t xml:space="preserve">C:\Users\andre\Desktop\REACTIV CEFAS\Dutasteride\Dutasteride/20201201_Cefas_Test8_Run1/Plate 2/@18/D9_01.tif </t>
  </si>
  <si>
    <t xml:space="preserve"> 65689.99 </t>
  </si>
  <si>
    <t xml:space="preserve"> 60.5479 </t>
  </si>
  <si>
    <t xml:space="preserve">C:\Users\andre\Desktop\REACTIV CEFAS\Dutasteride\Dutasteride/20201201_Cefas_Test8_Run1/Plate 2/@18/D9_02.tif </t>
  </si>
  <si>
    <t xml:space="preserve"> 62575.2852 </t>
  </si>
  <si>
    <t xml:space="preserve"> 55.3405 </t>
  </si>
  <si>
    <t xml:space="preserve">C:\Users\andre\Desktop\REACTIV CEFAS\Dutasteride\Dutasteride/20201201_Cefas_Test8_Run1/Plate 2/@18/D9_03.tif </t>
  </si>
  <si>
    <t xml:space="preserve"> 61558.6801 </t>
  </si>
  <si>
    <t xml:space="preserve"> 58.077 </t>
  </si>
  <si>
    <t xml:space="preserve">C:\Users\andre\Desktop\REACTIV CEFAS\Dutasteride\Dutasteride/20201201_Cefas_Test8_Run1/Plate 2/@18/E9_01.tif </t>
  </si>
  <si>
    <t xml:space="preserve"> 75985.8198 </t>
  </si>
  <si>
    <t xml:space="preserve"> 46.6815 </t>
  </si>
  <si>
    <t xml:space="preserve">C:\Users\andre\Desktop\REACTIV CEFAS\Dutasteride\Dutasteride/20201201_Cefas_Test8_Run1/Plate 2/@18/E9_02.tif </t>
  </si>
  <si>
    <t xml:space="preserve"> 64132.6376 </t>
  </si>
  <si>
    <t xml:space="preserve"> 41.7312 </t>
  </si>
  <si>
    <t xml:space="preserve">C:\Users\andre\Desktop\REACTIV CEFAS\Dutasteride\Dutasteride/20201201_Cefas_Test8_Run1/Plate 2/@18/E9_03.tif </t>
  </si>
  <si>
    <t xml:space="preserve"> 64111.0077 </t>
  </si>
  <si>
    <t xml:space="preserve"> 45.196 </t>
  </si>
  <si>
    <t xml:space="preserve">C:\Users\andre\Desktop\REACTIV CEFAS\Dutasteride\Dutasteride/20201201_Cefas_Test8_Run1/Plate 2/@18/F9_01.tif </t>
  </si>
  <si>
    <t xml:space="preserve"> 55394.1601 </t>
  </si>
  <si>
    <t xml:space="preserve"> 39.5365 </t>
  </si>
  <si>
    <t xml:space="preserve">C:\Users\andre\Desktop\REACTIV CEFAS\Dutasteride\Dutasteride/20201201_Cefas_Test8_Run1/Plate 2/@18/F9_02.tif </t>
  </si>
  <si>
    <t xml:space="preserve"> 48624.0031 </t>
  </si>
  <si>
    <t xml:space="preserve"> 39.8577 </t>
  </si>
  <si>
    <t xml:space="preserve">C:\Users\andre\Desktop\REACTIV CEFAS\Dutasteride\Dutasteride/20201201_Cefas_Test8_Run1/Plate 2/@18/F9_03.tif </t>
  </si>
  <si>
    <t xml:space="preserve"> 54810.153 </t>
  </si>
  <si>
    <t xml:space="preserve"> 39.7762 </t>
  </si>
  <si>
    <t>C:\Users\andre\Desktop\REACTIV CEFAS\Dutasteride\Dutasteride/20201201_Cefas_Test8_Run1/Plate 2/@18/G9_01- exclu.tif</t>
  </si>
  <si>
    <t>C:\Users\andre\Desktop\REACTIV CEFAS\Dutasteride\Dutasteride/20201201_Cefas_Test8_Run1/Plate 2/@18/G9_02- exclu.tif</t>
  </si>
  <si>
    <t>C:\Users\andre\Desktop\REACTIV CEFAS\Dutasteride\Dutasteride/20201201_Cefas_Test8_Run1/Plate 2/@18/G9_03- exclu.tif</t>
  </si>
  <si>
    <t xml:space="preserve">C:\Users\andre\Desktop\REACTIV CEFAS\Dutasteride\Dutasteride/20201201_Cefas_Test8_Run1/Plate 2/@18/H9_01.tif </t>
  </si>
  <si>
    <t xml:space="preserve"> 50440.9143 </t>
  </si>
  <si>
    <t xml:space="preserve"> 45.8023 </t>
  </si>
  <si>
    <t xml:space="preserve">C:\Users\andre\Desktop\REACTIV CEFAS\Dutasteride\Dutasteride/20201201_Cefas_Test8_Run1/Plate 2/@18/H9_02.tif </t>
  </si>
  <si>
    <t xml:space="preserve"> 55004.822 </t>
  </si>
  <si>
    <t xml:space="preserve"> 45.6209 </t>
  </si>
  <si>
    <t xml:space="preserve">C:\Users\andre\Desktop\REACTIV CEFAS\Dutasteride\Dutasteride/20201201_Cefas_Test8_Run1/Plate 2/@18/H9_03.tif </t>
  </si>
  <si>
    <t xml:space="preserve"> 58746.7938 </t>
  </si>
  <si>
    <t xml:space="preserve"> 44.5125 </t>
  </si>
  <si>
    <t xml:space="preserve">C:\Users\andre\Desktop\REACTIV CEFAS\Dutasteride\Dutasteride/20201201_Cefas_Test8_Run1/Plate 2/@18/ </t>
  </si>
  <si>
    <t xml:space="preserve"> 44.409 </t>
  </si>
  <si>
    <t xml:space="preserve"> 8.5414 </t>
  </si>
  <si>
    <t xml:space="preserve"> 2170692.46 </t>
  </si>
  <si>
    <t xml:space="preserve"> 1246542.44 </t>
  </si>
  <si>
    <t xml:space="preserve">C:\Users\andre\Desktop\REACTIV CEFAS\Dutasteride\Dutasteride/20201201_Cefas_Test8_Run1/Plate 2/@19/A10_01.tif </t>
  </si>
  <si>
    <t xml:space="preserve"> 48.2211 </t>
  </si>
  <si>
    <t xml:space="preserve">C:\Users\andre\Desktop\REACTIV CEFAS\Dutasteride\Dutasteride/20201201_Cefas_Test8_Run1/Plate 2/@19/A10_02.tif </t>
  </si>
  <si>
    <t xml:space="preserve"> 53533.9892 </t>
  </si>
  <si>
    <t xml:space="preserve"> 43.1067 </t>
  </si>
  <si>
    <t xml:space="preserve">C:\Users\andre\Desktop\REACTIV CEFAS\Dutasteride\Dutasteride/20201201_Cefas_Test8_Run1/Plate 2/@19/A10_03.tif </t>
  </si>
  <si>
    <t xml:space="preserve"> 55588.8292 </t>
  </si>
  <si>
    <t xml:space="preserve"> 44.0716 </t>
  </si>
  <si>
    <t xml:space="preserve">C:\Users\andre\Desktop\REACTIV CEFAS\Dutasteride\Dutasteride/20201201_Cefas_Test8_Run1/Plate 2/@19/B10_01.tif </t>
  </si>
  <si>
    <t xml:space="preserve"> 44016.8356 </t>
  </si>
  <si>
    <t xml:space="preserve"> 40.7042 </t>
  </si>
  <si>
    <t xml:space="preserve">C:\Users\andre\Desktop\REACTIV CEFAS\Dutasteride\Dutasteride/20201201_Cefas_Test8_Run1/Plate 2/@19/B10_02.tif </t>
  </si>
  <si>
    <t xml:space="preserve"> 47045.0208 </t>
  </si>
  <si>
    <t xml:space="preserve"> 41.2708 </t>
  </si>
  <si>
    <t xml:space="preserve">C:\Users\andre\Desktop\REACTIV CEFAS\Dutasteride\Dutasteride/20201201_Cefas_Test8_Run1/Plate 2/@19/B10_03.tif </t>
  </si>
  <si>
    <t xml:space="preserve"> 48645.633 </t>
  </si>
  <si>
    <t xml:space="preserve"> 44.1592 </t>
  </si>
  <si>
    <t xml:space="preserve">C:\Users\andre\Desktop\REACTIV CEFAS\Dutasteride\Dutasteride/20201201_Cefas_Test8_Run1/Plate 2/@19/C10_01.tif </t>
  </si>
  <si>
    <t xml:space="preserve"> 67290.6022 </t>
  </si>
  <si>
    <t xml:space="preserve"> 52.1475 </t>
  </si>
  <si>
    <t xml:space="preserve">C:\Users\andre\Desktop\REACTIV CEFAS\Dutasteride\Dutasteride/20201201_Cefas_Test8_Run1/Plate 2/@19/C10_02.tif </t>
  </si>
  <si>
    <t xml:space="preserve"> 65625.1003 </t>
  </si>
  <si>
    <t xml:space="preserve"> 53.5 </t>
  </si>
  <si>
    <t xml:space="preserve">C:\Users\andre\Desktop\REACTIV CEFAS\Dutasteride\Dutasteride/20201201_Cefas_Test8_Run1/Plate 2/@19/C10_03.tif </t>
  </si>
  <si>
    <t xml:space="preserve"> 50.9329 </t>
  </si>
  <si>
    <t xml:space="preserve">C:\Users\andre\Desktop\REACTIV CEFAS\Dutasteride\Dutasteride/20201201_Cefas_Test8_Run1/Plate 2/@19/D10_01.tif </t>
  </si>
  <si>
    <t xml:space="preserve"> 49099.8608 </t>
  </si>
  <si>
    <t xml:space="preserve"> 47.0163 </t>
  </si>
  <si>
    <t xml:space="preserve">C:\Users\andre\Desktop\REACTIV CEFAS\Dutasteride\Dutasteride/20201201_Cefas_Test8_Run1/Plate 2/@19/D10_02.tif </t>
  </si>
  <si>
    <t xml:space="preserve"> 42221.5543 </t>
  </si>
  <si>
    <t xml:space="preserve"> 44.2377 </t>
  </si>
  <si>
    <t xml:space="preserve">C:\Users\andre\Desktop\REACTIV CEFAS\Dutasteride\Dutasteride/20201201_Cefas_Test8_Run1/Plate 2/@19/D10_03.tif </t>
  </si>
  <si>
    <t xml:space="preserve"> 48169.7753 </t>
  </si>
  <si>
    <t xml:space="preserve"> 46.2762 </t>
  </si>
  <si>
    <t xml:space="preserve">C:\Users\andre\Desktop\REACTIV CEFAS\Dutasteride\Dutasteride/20201201_Cefas_Test8_Run1/Plate 2/@19/E10_01.tif </t>
  </si>
  <si>
    <t xml:space="preserve"> 64759.9045 </t>
  </si>
  <si>
    <t xml:space="preserve"> 46.9432 </t>
  </si>
  <si>
    <t xml:space="preserve">C:\Users\andre\Desktop\REACTIV CEFAS\Dutasteride\Dutasteride/20201201_Cefas_Test8_Run1/Plate 2/@19/E10_02.tif </t>
  </si>
  <si>
    <t xml:space="preserve"> 62315.7264 </t>
  </si>
  <si>
    <t xml:space="preserve"> 45.0705 </t>
  </si>
  <si>
    <t xml:space="preserve">C:\Users\andre\Desktop\REACTIV CEFAS\Dutasteride\Dutasteride/20201201_Cefas_Test8_Run1/Plate 2/@19/E10_03.tif </t>
  </si>
  <si>
    <t xml:space="preserve"> 65257.3921 </t>
  </si>
  <si>
    <t xml:space="preserve"> 46.6573 </t>
  </si>
  <si>
    <t xml:space="preserve">C:\Users\andre\Desktop\REACTIV CEFAS\Dutasteride\Dutasteride/20201201_Cefas_Test8_Run1/Plate 2/@19/F10_01.tif </t>
  </si>
  <si>
    <t xml:space="preserve"> 38544.4722 </t>
  </si>
  <si>
    <t xml:space="preserve"> 46.5589 </t>
  </si>
  <si>
    <t xml:space="preserve">C:\Users\andre\Desktop\REACTIV CEFAS\Dutasteride\Dutasteride/20201201_Cefas_Test8_Run1/Plate 2/@19/F10_02.tif </t>
  </si>
  <si>
    <t xml:space="preserve"> 49662.2381 </t>
  </si>
  <si>
    <t xml:space="preserve"> 43.7487 </t>
  </si>
  <si>
    <t xml:space="preserve">C:\Users\andre\Desktop\REACTIV CEFAS\Dutasteride\Dutasteride/20201201_Cefas_Test8_Run1/Plate 2/@19/F10_03.tif </t>
  </si>
  <si>
    <t xml:space="preserve"> 44.2431 </t>
  </si>
  <si>
    <t xml:space="preserve">C:\Users\andre\Desktop\REACTIV CEFAS\Dutasteride\Dutasteride/20201201_Cefas_Test8_Run1/Plate 2/@19/G10_01.tif </t>
  </si>
  <si>
    <t xml:space="preserve"> 43627.4975 </t>
  </si>
  <si>
    <t xml:space="preserve"> 48.3342 </t>
  </si>
  <si>
    <t xml:space="preserve">C:\Users\andre\Desktop\REACTIV CEFAS\Dutasteride\Dutasteride/20201201_Cefas_Test8_Run1/Plate 2/@19/G10_02.tif </t>
  </si>
  <si>
    <t xml:space="preserve"> 33634.4861 </t>
  </si>
  <si>
    <t xml:space="preserve"> 48.0367 </t>
  </si>
  <si>
    <t xml:space="preserve">C:\Users\andre\Desktop\REACTIV CEFAS\Dutasteride\Dutasteride/20201201_Cefas_Test8_Run1/Plate 2/@19/G10_03.tif </t>
  </si>
  <si>
    <t xml:space="preserve"> 36641.0415 </t>
  </si>
  <si>
    <t xml:space="preserve"> 46.7893 </t>
  </si>
  <si>
    <t xml:space="preserve">C:\Users\andre\Desktop\REACTIV CEFAS\Dutasteride\Dutasteride/20201201_Cefas_Test8_Run1/Plate 2/@19/H10_01.tif </t>
  </si>
  <si>
    <t xml:space="preserve"> 74363.5777 </t>
  </si>
  <si>
    <t xml:space="preserve"> 49.5675 </t>
  </si>
  <si>
    <t xml:space="preserve">C:\Users\andre\Desktop\REACTIV CEFAS\Dutasteride\Dutasteride/20201201_Cefas_Test8_Run1/Plate 2/@19/H10_02.tif </t>
  </si>
  <si>
    <t xml:space="preserve"> 63527.0005 </t>
  </si>
  <si>
    <t xml:space="preserve"> 46.095 </t>
  </si>
  <si>
    <t xml:space="preserve">C:\Users\andre\Desktop\REACTIV CEFAS\Dutasteride\Dutasteride/20201201_Cefas_Test8_Run1/Plate 2/@19/H10_03.tif </t>
  </si>
  <si>
    <t xml:space="preserve"> 66036.0683 </t>
  </si>
  <si>
    <t xml:space="preserve"> 47.8366 </t>
  </si>
  <si>
    <t xml:space="preserve">C:\Users\andre\Desktop\REACTIV CEFAS\Dutasteride\Dutasteride/20201201_Cefas_Test8_Run1/Plate 2/@19/ </t>
  </si>
  <si>
    <t xml:space="preserve"> 46.4802 </t>
  </si>
  <si>
    <t xml:space="preserve"> 3.1267 </t>
  </si>
  <si>
    <t xml:space="preserve"> 2531202.33 </t>
  </si>
  <si>
    <t xml:space="preserve"> 660443.232 </t>
  </si>
  <si>
    <t xml:space="preserve">C:\Users\andre\Desktop\REACTIV CEFAS\Dutasteride\Dutasteride/20201201_Cefas_Test8_Run1/Plate 2/@20/A11_01.tif </t>
  </si>
  <si>
    <t xml:space="preserve"> 54399.185 </t>
  </si>
  <si>
    <t xml:space="preserve"> 35.0978 </t>
  </si>
  <si>
    <t xml:space="preserve">C:\Users\andre\Desktop\REACTIV CEFAS\Dutasteride\Dutasteride/20201201_Cefas_Test8_Run1/Plate 2/@20/A11_02.tif </t>
  </si>
  <si>
    <t xml:space="preserve"> 63137.6624 </t>
  </si>
  <si>
    <t xml:space="preserve"> 44.3138 </t>
  </si>
  <si>
    <t xml:space="preserve">C:\Users\andre\Desktop\REACTIV CEFAS\Dutasteride\Dutasteride/20201201_Cefas_Test8_Run1/Plate 2/@20/A11_03.tif </t>
  </si>
  <si>
    <t xml:space="preserve"> 63072.7727 </t>
  </si>
  <si>
    <t xml:space="preserve"> 45.5312 </t>
  </si>
  <si>
    <t xml:space="preserve">C:\Users\andre\Desktop\REACTIV CEFAS\Dutasteride\Dutasteride/20201201_Cefas_Test8_Run1/Plate 2/@20/B11_01.tif </t>
  </si>
  <si>
    <t xml:space="preserve"> 51068.1812 </t>
  </si>
  <si>
    <t xml:space="preserve"> 43.546 </t>
  </si>
  <si>
    <t xml:space="preserve">C:\Users\andre\Desktop\REACTIV CEFAS\Dutasteride\Dutasteride/20201201_Cefas_Test8_Run1/Plate 2/@20/B11_02.tif </t>
  </si>
  <si>
    <t xml:space="preserve"> 48905.1918 </t>
  </si>
  <si>
    <t xml:space="preserve"> 42.5904 </t>
  </si>
  <si>
    <t xml:space="preserve">C:\Users\andre\Desktop\REACTIV CEFAS\Dutasteride\Dutasteride/20201201_Cefas_Test8_Run1/Plate 2/@20/B11_03.tif </t>
  </si>
  <si>
    <t xml:space="preserve"> 55740.2385 </t>
  </si>
  <si>
    <t xml:space="preserve"> 47.6768 </t>
  </si>
  <si>
    <t xml:space="preserve">C:\Users\andre\Desktop\REACTIV CEFAS\Dutasteride\Dutasteride/20201201_Cefas_Test8_Run1/Plate 2/@20/C11_01.tif </t>
  </si>
  <si>
    <t xml:space="preserve"> 70253.8978 </t>
  </si>
  <si>
    <t xml:space="preserve"> 52.17 </t>
  </si>
  <si>
    <t xml:space="preserve">C:\Users\andre\Desktop\REACTIV CEFAS\Dutasteride\Dutasteride/20201201_Cefas_Test8_Run1/Plate 2/@20/C11_02.tif </t>
  </si>
  <si>
    <t xml:space="preserve"> 68523.5062 </t>
  </si>
  <si>
    <t xml:space="preserve"> 52.6016 </t>
  </si>
  <si>
    <t xml:space="preserve">C:\Users\andre\Desktop\REACTIV CEFAS\Dutasteride\Dutasteride/20201201_Cefas_Test8_Run1/Plate 2/@20/C11_03.tif </t>
  </si>
  <si>
    <t xml:space="preserve"> 76375.1579 </t>
  </si>
  <si>
    <t xml:space="preserve"> 52.9343 </t>
  </si>
  <si>
    <t xml:space="preserve">C:\Users\andre\Desktop\REACTIV CEFAS\Dutasteride\Dutasteride/20201201_Cefas_Test8_Run1/Plate 2/@20/D11_01.tif </t>
  </si>
  <si>
    <t xml:space="preserve"> 33.886 </t>
  </si>
  <si>
    <t xml:space="preserve">C:\Users\andre\Desktop\REACTIV CEFAS\Dutasteride\Dutasteride/20201201_Cefas_Test8_Run1/Plate 2/@20/D11_02.tif </t>
  </si>
  <si>
    <t xml:space="preserve"> 1773.6514 </t>
  </si>
  <si>
    <t xml:space="preserve"> 34.6463 </t>
  </si>
  <si>
    <t xml:space="preserve">C:\Users\andre\Desktop\REACTIV CEFAS\Dutasteride\Dutasteride/20201201_Cefas_Test8_Run1/Plate 2/@20/D11_03.tif </t>
  </si>
  <si>
    <t xml:space="preserve"> 5796.8118 </t>
  </si>
  <si>
    <t xml:space="preserve"> 35.3694 </t>
  </si>
  <si>
    <t xml:space="preserve">C:\Users\andre\Desktop\REACTIV CEFAS\Dutasteride\Dutasteride/20201201_Cefas_Test8_Run1/Plate 2/@20/E11_01.tif </t>
  </si>
  <si>
    <t xml:space="preserve"> 54637.1138 </t>
  </si>
  <si>
    <t xml:space="preserve"> 38.7126 </t>
  </si>
  <si>
    <t xml:space="preserve">C:\Users\andre\Desktop\REACTIV CEFAS\Dutasteride\Dutasteride/20201201_Cefas_Test8_Run1/Plate 2/@20/E11_02.tif </t>
  </si>
  <si>
    <t xml:space="preserve"> 36035.4045 </t>
  </si>
  <si>
    <t xml:space="preserve"> 37.6038 </t>
  </si>
  <si>
    <t xml:space="preserve">C:\Users\andre\Desktop\REACTIV CEFAS\Dutasteride\Dutasteride/20201201_Cefas_Test8_Run1/Plate 2/@20/E11_03.tif </t>
  </si>
  <si>
    <t xml:space="preserve"> 42546.0027 </t>
  </si>
  <si>
    <t xml:space="preserve"> 39.7245 </t>
  </si>
  <si>
    <t xml:space="preserve">C:\Users\andre\Desktop\REACTIV CEFAS\Dutasteride\Dutasteride/20201201_Cefas_Test8_Run1/Plate 2/@20/F11_01.tif </t>
  </si>
  <si>
    <t xml:space="preserve"> 1881.8008 </t>
  </si>
  <si>
    <t xml:space="preserve"> 31.5747 </t>
  </si>
  <si>
    <t xml:space="preserve">C:\Users\andre\Desktop\REACTIV CEFAS\Dutasteride\Dutasteride/20201201_Cefas_Test8_Run1/Plate 2/@20/F11_02.tif </t>
  </si>
  <si>
    <t xml:space="preserve"> 454.2278 </t>
  </si>
  <si>
    <t xml:space="preserve"> 30.6667 </t>
  </si>
  <si>
    <t xml:space="preserve">C:\Users\andre\Desktop\REACTIV CEFAS\Dutasteride\Dutasteride/20201201_Cefas_Test8_Run1/Plate 2/@20/F11_03.tif </t>
  </si>
  <si>
    <t xml:space="preserve"> 3136.3347 </t>
  </si>
  <si>
    <t xml:space="preserve"> 31.0966 </t>
  </si>
  <si>
    <t>C:\Users\andre\Desktop\REACTIV CEFAS\Dutasteride\Dutasteride/20201201_Cefas_Test8_Run1/Plate 2/@20/G11_01- exclu.tif</t>
  </si>
  <si>
    <t>C:\Users\andre\Desktop\REACTIV CEFAS\Dutasteride\Dutasteride/20201201_Cefas_Test8_Run1/Plate 2/@20/G11_02- exclu.tif</t>
  </si>
  <si>
    <t>C:\Users\andre\Desktop\REACTIV CEFAS\Dutasteride\Dutasteride/20201201_Cefas_Test8_Run1/Plate 2/@20/G11_03- exclu.tif</t>
  </si>
  <si>
    <t xml:space="preserve">C:\Users\andre\Desktop\REACTIV CEFAS\Dutasteride\Dutasteride/20201201_Cefas_Test8_Run1/Plate 2/@20/H11_01.tif </t>
  </si>
  <si>
    <t xml:space="preserve"> 3504.0429 </t>
  </si>
  <si>
    <t xml:space="preserve"> 35.0802 </t>
  </si>
  <si>
    <t xml:space="preserve">C:\Users\andre\Desktop\REACTIV CEFAS\Dutasteride\Dutasteride/20201201_Cefas_Test8_Run1/Plate 2/@20/H11_02.tif </t>
  </si>
  <si>
    <t xml:space="preserve"> 34.8931 </t>
  </si>
  <si>
    <t xml:space="preserve">C:\Users\andre\Desktop\REACTIV CEFAS\Dutasteride\Dutasteride/20201201_Cefas_Test8_Run1/Plate 2/@20/H11_03.tif </t>
  </si>
  <si>
    <t xml:space="preserve"> 12761.6378 </t>
  </si>
  <si>
    <t xml:space="preserve"> 33.8966 </t>
  </si>
  <si>
    <t xml:space="preserve">C:\Users\andre\Desktop\REACTIV CEFAS\Dutasteride\Dutasteride/20201201_Cefas_Test8_Run1/Plate 2/@20/ </t>
  </si>
  <si>
    <t xml:space="preserve"> 39.587 </t>
  </si>
  <si>
    <t xml:space="preserve"> 6.7457 </t>
  </si>
  <si>
    <t xml:space="preserve"> 1425586.71 </t>
  </si>
  <si>
    <t xml:space="preserve"> 1332692.36 </t>
  </si>
  <si>
    <t xml:space="preserve">C:\Users\andre\Desktop\REACTIV CEFAS\Dutasteride\Dutasteride/20201201_Cefas_Test8_Run1/Plate 2/@21/A12_01.tif </t>
  </si>
  <si>
    <t xml:space="preserve"> 62510.3955 </t>
  </si>
  <si>
    <t xml:space="preserve"> 45.1315 </t>
  </si>
  <si>
    <t xml:space="preserve">C:\Users\andre\Desktop\REACTIV CEFAS\Dutasteride\Dutasteride/20201201_Cefas_Test8_Run1/Plate 2/@21/A12_02.tif </t>
  </si>
  <si>
    <t xml:space="preserve"> 61364.0111 </t>
  </si>
  <si>
    <t xml:space="preserve"> 45.5217 </t>
  </si>
  <si>
    <t xml:space="preserve">C:\Users\andre\Desktop\REACTIV CEFAS\Dutasteride\Dutasteride/20201201_Cefas_Test8_Run1/Plate 2/@21/A12_03.tif </t>
  </si>
  <si>
    <t xml:space="preserve"> 60520.4452 </t>
  </si>
  <si>
    <t xml:space="preserve"> 41.1762 </t>
  </si>
  <si>
    <t xml:space="preserve">C:\Users\andre\Desktop\REACTIV CEFAS\Dutasteride\Dutasteride/20201201_Cefas_Test8_Run1/Plate 2/@21/B12_01.tif </t>
  </si>
  <si>
    <t xml:space="preserve"> 93095.0665 </t>
  </si>
  <si>
    <t xml:space="preserve"> 47.1083 </t>
  </si>
  <si>
    <t xml:space="preserve">C:\Users\andre\Desktop\REACTIV CEFAS\Dutasteride\Dutasteride/20201201_Cefas_Test8_Run1/Plate 2/@21/B12_02.tif </t>
  </si>
  <si>
    <t xml:space="preserve"> 107003.089 </t>
  </si>
  <si>
    <t xml:space="preserve"> 52.7263 </t>
  </si>
  <si>
    <t xml:space="preserve">C:\Users\andre\Desktop\REACTIV CEFAS\Dutasteride\Dutasteride/20201201_Cefas_Test8_Run1/Plate 2/@21/B12_03.tif </t>
  </si>
  <si>
    <t xml:space="preserve"> 103044.818 </t>
  </si>
  <si>
    <t xml:space="preserve"> 52.4931 </t>
  </si>
  <si>
    <t xml:space="preserve">C:\Users\andre\Desktop\REACTIV CEFAS\Dutasteride\Dutasteride/20201201_Cefas_Test8_Run1/Plate 2/@21/C12_01.tif </t>
  </si>
  <si>
    <t xml:space="preserve"> 60542.0751 </t>
  </si>
  <si>
    <t xml:space="preserve"> 47.4427 </t>
  </si>
  <si>
    <t xml:space="preserve">C:\Users\andre\Desktop\REACTIV CEFAS\Dutasteride\Dutasteride/20201201_Cefas_Test8_Run1/Plate 2/@21/C12_02.tif </t>
  </si>
  <si>
    <t xml:space="preserve"> 44.6307 </t>
  </si>
  <si>
    <t xml:space="preserve">C:\Users\andre\Desktop\REACTIV CEFAS\Dutasteride\Dutasteride/20201201_Cefas_Test8_Run1/Plate 2/@21/C12_03.tif </t>
  </si>
  <si>
    <t xml:space="preserve"> 67874.6093 </t>
  </si>
  <si>
    <t xml:space="preserve"> 43.2259 </t>
  </si>
  <si>
    <t xml:space="preserve">C:\Users\andre\Desktop\REACTIV CEFAS\Dutasteride\Dutasteride/20201201_Cefas_Test8_Run1/Plate 2/@21/D12_01.tif </t>
  </si>
  <si>
    <t xml:space="preserve"> 47131.5404 </t>
  </si>
  <si>
    <t xml:space="preserve"> 40.2666 </t>
  </si>
  <si>
    <t xml:space="preserve">C:\Users\andre\Desktop\REACTIV CEFAS\Dutasteride\Dutasteride/20201201_Cefas_Test8_Run1/Plate 2/@21/D12_02.tif </t>
  </si>
  <si>
    <t xml:space="preserve"> 46244.7147 </t>
  </si>
  <si>
    <t xml:space="preserve"> 42.3835 </t>
  </si>
  <si>
    <t xml:space="preserve">C:\Users\andre\Desktop\REACTIV CEFAS\Dutasteride\Dutasteride/20201201_Cefas_Test8_Run1/Plate 2/@21/D12_03.tif </t>
  </si>
  <si>
    <t xml:space="preserve"> 30865.8596 </t>
  </si>
  <si>
    <t xml:space="preserve"> 41.2894 </t>
  </si>
  <si>
    <t xml:space="preserve">C:\Users\andre\Desktop\REACTIV CEFAS\Dutasteride\Dutasteride/20201201_Cefas_Test8_Run1/Plate 2/@21/E12_01.tif </t>
  </si>
  <si>
    <t xml:space="preserve"> 45271.3695 </t>
  </si>
  <si>
    <t xml:space="preserve"> 39.9632 </t>
  </si>
  <si>
    <t xml:space="preserve">C:\Users\andre\Desktop\REACTIV CEFAS\Dutasteride\Dutasteride/20201201_Cefas_Test8_Run1/Plate 2/@21/E12_02.tif </t>
  </si>
  <si>
    <t xml:space="preserve"> 35018.7994 </t>
  </si>
  <si>
    <t xml:space="preserve"> 35.6133 </t>
  </si>
  <si>
    <t xml:space="preserve">C:\Users\andre\Desktop\REACTIV CEFAS\Dutasteride\Dutasteride/20201201_Cefas_Test8_Run1/Plate 2/@21/E12_03.tif </t>
  </si>
  <si>
    <t xml:space="preserve"> 40145.0844 </t>
  </si>
  <si>
    <t xml:space="preserve"> 37.4871 </t>
  </si>
  <si>
    <t xml:space="preserve">C:\Users\andre\Desktop\REACTIV CEFAS\Dutasteride\Dutasteride/20201201_Cefas_Test8_Run1/Plate 2/@21/F12_01.tif </t>
  </si>
  <si>
    <t xml:space="preserve"> 63180.9222 </t>
  </si>
  <si>
    <t xml:space="preserve"> 46.6464 </t>
  </si>
  <si>
    <t xml:space="preserve">C:\Users\andre\Desktop\REACTIV CEFAS\Dutasteride\Dutasteride/20201201_Cefas_Test8_Run1/Plate 2/@21/F12_02.tif </t>
  </si>
  <si>
    <t xml:space="preserve"> 66273.9971 </t>
  </si>
  <si>
    <t xml:space="preserve"> 47.9967 </t>
  </si>
  <si>
    <t xml:space="preserve">C:\Users\andre\Desktop\REACTIV CEFAS\Dutasteride\Dutasteride/20201201_Cefas_Test8_Run1/Plate 2/@21/F12_03.tif </t>
  </si>
  <si>
    <t xml:space="preserve"> 69518.4813 </t>
  </si>
  <si>
    <t xml:space="preserve"> 43.8292 </t>
  </si>
  <si>
    <t xml:space="preserve">C:\Users\andre\Desktop\REACTIV CEFAS\Dutasteride\Dutasteride/20201201_Cefas_Test8_Run1/Plate 2/@21/G12_01.tif </t>
  </si>
  <si>
    <t xml:space="preserve"> 47542.5084 </t>
  </si>
  <si>
    <t xml:space="preserve"> 42.954 </t>
  </si>
  <si>
    <t xml:space="preserve">C:\Users\andre\Desktop\REACTIV CEFAS\Dutasteride\Dutasteride/20201201_Cefas_Test8_Run1/Plate 2/@21/G12_02.tif </t>
  </si>
  <si>
    <t xml:space="preserve"> 47282.9497 </t>
  </si>
  <si>
    <t xml:space="preserve"> 41.9886 </t>
  </si>
  <si>
    <t xml:space="preserve">C:\Users\andre\Desktop\REACTIV CEFAS\Dutasteride\Dutasteride/20201201_Cefas_Test8_Run1/Plate 2/@21/G12_03.tif </t>
  </si>
  <si>
    <t xml:space="preserve"> 41.5335 </t>
  </si>
  <si>
    <t xml:space="preserve">C:\Users\andre\Desktop\REACTIV CEFAS\Dutasteride\Dutasteride/20201201_Cefas_Test8_Run1/Plate 2/@21/H12_01.tif </t>
  </si>
  <si>
    <t xml:space="preserve"> 36576.1518 </t>
  </si>
  <si>
    <t xml:space="preserve"> 41.291 </t>
  </si>
  <si>
    <t xml:space="preserve">C:\Users\andre\Desktop\REACTIV CEFAS\Dutasteride\Dutasteride/20201201_Cefas_Test8_Run1/Plate 2/@21/H12_02.tif </t>
  </si>
  <si>
    <t xml:space="preserve"> 34564.5716 </t>
  </si>
  <si>
    <t xml:space="preserve"> 39.9512 </t>
  </si>
  <si>
    <t xml:space="preserve">C:\Users\andre\Desktop\REACTIV CEFAS\Dutasteride\Dutasteride/20201201_Cefas_Test8_Run1/Plate 2/@21/H12_03.tif </t>
  </si>
  <si>
    <t xml:space="preserve"> 34759.2407 </t>
  </si>
  <si>
    <t xml:space="preserve"> 43.0485 </t>
  </si>
  <si>
    <t xml:space="preserve">C:\Users\andre\Desktop\REACTIV CEFAS\Dutasteride\Dutasteride/20201201_Cefas_Test8_Run1/Plate 2/@21/ </t>
  </si>
  <si>
    <t xml:space="preserve"> 43.5708 </t>
  </si>
  <si>
    <t xml:space="preserve"> 4.1165 </t>
  </si>
  <si>
    <t xml:space="preserve"> 2575247.17 </t>
  </si>
  <si>
    <t xml:space="preserve"> 1192436.07 </t>
  </si>
  <si>
    <t xml:space="preserve">C:\Users\andre\Desktop\REACTIV CEFAS\Dutasteride\Dutasteride/20201201_Cefas_Test8_Run1/Plate 2/@8/A2_01.tif </t>
  </si>
  <si>
    <t xml:space="preserve"> 7008.0859 </t>
  </si>
  <si>
    <t xml:space="preserve"> 38.8642 </t>
  </si>
  <si>
    <t>C:\Users\andre\Desktop\REACTIV CEFAS\Dutasteride\Dutasteride/20201201_Cefas_Test8_Run1/Plate 2/@8/A2_02- exclu.tif</t>
  </si>
  <si>
    <t xml:space="preserve">C:\Users\andre\Desktop\REACTIV CEFAS\Dutasteride\Dutasteride/20201201_Cefas_Test8_Run1/Plate 2/@8/A2_03.tif </t>
  </si>
  <si>
    <t xml:space="preserve"> 9430.6341 </t>
  </si>
  <si>
    <t xml:space="preserve"> 38.8257 </t>
  </si>
  <si>
    <t xml:space="preserve">C:\Users\andre\Desktop\REACTIV CEFAS\Dutasteride\Dutasteride/20201201_Cefas_Test8_Run1/Plate 2/@8/B2_01.tif </t>
  </si>
  <si>
    <t xml:space="preserve"> 5753.552 </t>
  </si>
  <si>
    <t xml:space="preserve"> 38.9737 </t>
  </si>
  <si>
    <t xml:space="preserve">C:\Users\andre\Desktop\REACTIV CEFAS\Dutasteride\Dutasteride/20201201_Cefas_Test8_Run1/Plate 2/@8/B2_02.tif </t>
  </si>
  <si>
    <t xml:space="preserve"> 12783.2677 </t>
  </si>
  <si>
    <t xml:space="preserve"> 38.6497 </t>
  </si>
  <si>
    <t xml:space="preserve">C:\Users\andre\Desktop\REACTIV CEFAS\Dutasteride\Dutasteride/20201201_Cefas_Test8_Run1/Plate 2/@8/B2_03.tif </t>
  </si>
  <si>
    <t xml:space="preserve"> 5580.5128 </t>
  </si>
  <si>
    <t xml:space="preserve"> 38.314 </t>
  </si>
  <si>
    <t xml:space="preserve">C:\Users\andre\Desktop\REACTIV CEFAS\Dutasteride\Dutasteride/20201201_Cefas_Test8_Run1/Plate 2/@8/C2_01.tif </t>
  </si>
  <si>
    <t xml:space="preserve"> 3331.0038 </t>
  </si>
  <si>
    <t xml:space="preserve"> 33.7143 </t>
  </si>
  <si>
    <t xml:space="preserve">C:\Users\andre\Desktop\REACTIV CEFAS\Dutasteride\Dutasteride/20201201_Cefas_Test8_Run1/Plate 2/@8/C2_02.tif </t>
  </si>
  <si>
    <t xml:space="preserve"> 3958.2707 </t>
  </si>
  <si>
    <t xml:space="preserve"> 38.6284 </t>
  </si>
  <si>
    <t xml:space="preserve">C:\Users\andre\Desktop\REACTIV CEFAS\Dutasteride\Dutasteride/20201201_Cefas_Test8_Run1/Plate 2/@8/C2_03.tif </t>
  </si>
  <si>
    <t xml:space="preserve"> 7527.2033 </t>
  </si>
  <si>
    <t xml:space="preserve"> 37.2126 </t>
  </si>
  <si>
    <t xml:space="preserve">C:\Users\andre\Desktop\REACTIV CEFAS\Dutasteride\Dutasteride/20201201_Cefas_Test8_Run1/Plate 2/@8/D2_01.tif </t>
  </si>
  <si>
    <t xml:space="preserve"> 2746.9966 </t>
  </si>
  <si>
    <t xml:space="preserve"> 33.874 </t>
  </si>
  <si>
    <t xml:space="preserve">C:\Users\andre\Desktop\REACTIV CEFAS\Dutasteride\Dutasteride/20201201_Cefas_Test8_Run1/Plate 2/@8/D2_02.tif </t>
  </si>
  <si>
    <t xml:space="preserve"> 6640.3777 </t>
  </si>
  <si>
    <t xml:space="preserve"> 36.9349 </t>
  </si>
  <si>
    <t xml:space="preserve">C:\Users\andre\Desktop\REACTIV CEFAS\Dutasteride\Dutasteride/20201201_Cefas_Test8_Run1/Plate 2/@8/D2_03.tif </t>
  </si>
  <si>
    <t xml:space="preserve"> 3201.2244 </t>
  </si>
  <si>
    <t xml:space="preserve"> 33.1959 </t>
  </si>
  <si>
    <t xml:space="preserve">C:\Users\andre\Desktop\REACTIV CEFAS\Dutasteride\Dutasteride/20201201_Cefas_Test8_Run1/Plate 2/@8/E2_01.tif </t>
  </si>
  <si>
    <t xml:space="preserve"> 151.4093 </t>
  </si>
  <si>
    <t xml:space="preserve"> 31.8571 </t>
  </si>
  <si>
    <t xml:space="preserve">C:\Users\andre\Desktop\REACTIV CEFAS\Dutasteride\Dutasteride/20201201_Cefas_Test8_Run1/Plate 2/@8/E2_02.tif </t>
  </si>
  <si>
    <t xml:space="preserve"> 4434.1284 </t>
  </si>
  <si>
    <t xml:space="preserve"> 36.1366 </t>
  </si>
  <si>
    <t xml:space="preserve">C:\Users\andre\Desktop\REACTIV CEFAS\Dutasteride\Dutasteride/20201201_Cefas_Test8_Run1/Plate 2/@8/E2_03.tif </t>
  </si>
  <si>
    <t xml:space="preserve"> 37.5343 </t>
  </si>
  <si>
    <t xml:space="preserve">C:\Users\andre\Desktop\REACTIV CEFAS\Dutasteride\Dutasteride/20201201_Cefas_Test8_Run1/Plate 2/@8/F2_01.tif </t>
  </si>
  <si>
    <t xml:space="preserve"> 32.9545 </t>
  </si>
  <si>
    <t xml:space="preserve">C:\Users\andre\Desktop\REACTIV CEFAS\Dutasteride\Dutasteride/20201201_Cefas_Test8_Run1/Plate 2/@8/F2_02.tif </t>
  </si>
  <si>
    <t xml:space="preserve"> 540.7474 </t>
  </si>
  <si>
    <t xml:space="preserve"> 32.32 </t>
  </si>
  <si>
    <t>C:\Users\andre\Desktop\REACTIV CEFAS\Dutasteride\Dutasteride/20201201_Cefas_Test8_Run1/Plate 2/@8/F2_03- exclu.tif</t>
  </si>
  <si>
    <t xml:space="preserve">C:\Users\andre\Desktop\REACTIV CEFAS\Dutasteride\Dutasteride/20201201_Cefas_Test8_Run1/Plate 2/@8/G2_01.tif </t>
  </si>
  <si>
    <t xml:space="preserve"> 5407.4737 </t>
  </si>
  <si>
    <t xml:space="preserve"> 35.544 </t>
  </si>
  <si>
    <t xml:space="preserve">C:\Users\andre\Desktop\REACTIV CEFAS\Dutasteride\Dutasteride/20201201_Cefas_Test8_Run1/Plate 2/@8/G2_02.tif </t>
  </si>
  <si>
    <t xml:space="preserve"> 9019.6661 </t>
  </si>
  <si>
    <t xml:space="preserve"> 39.6499 </t>
  </si>
  <si>
    <t xml:space="preserve">C:\Users\andre\Desktop\REACTIV CEFAS\Dutasteride\Dutasteride/20201201_Cefas_Test8_Run1/Plate 2/@8/G2_03.tif </t>
  </si>
  <si>
    <t xml:space="preserve"> 10382.3494 </t>
  </si>
  <si>
    <t xml:space="preserve"> 36.7437 </t>
  </si>
  <si>
    <t xml:space="preserve">C:\Users\andre\Desktop\REACTIV CEFAS\Dutasteride\Dutasteride/20201201_Cefas_Test8_Run1/Plate 2/@8/H2_01.tif </t>
  </si>
  <si>
    <t xml:space="preserve"> 39.2995 </t>
  </si>
  <si>
    <t xml:space="preserve">C:\Users\andre\Desktop\REACTIV CEFAS\Dutasteride\Dutasteride/20201201_Cefas_Test8_Run1/Plate 2/@8/H2_02.tif </t>
  </si>
  <si>
    <t xml:space="preserve"> 6229.4097 </t>
  </si>
  <si>
    <t xml:space="preserve"> 37.3819 </t>
  </si>
  <si>
    <t xml:space="preserve">C:\Users\andre\Desktop\REACTIV CEFAS\Dutasteride\Dutasteride/20201201_Cefas_Test8_Run1/Plate 2/@8/H2_03.tif </t>
  </si>
  <si>
    <t xml:space="preserve"> 7830.0219 </t>
  </si>
  <si>
    <t xml:space="preserve"> 41.6851 </t>
  </si>
  <si>
    <t xml:space="preserve">C:\Users\andre\Desktop\REACTIV CEFAS\Dutasteride\Dutasteride/20201201_Cefas_Test8_Run1/Plate 2/@8/ </t>
  </si>
  <si>
    <t xml:space="preserve"> 34.9969 </t>
  </si>
  <si>
    <t xml:space="preserve"> 7.9585 </t>
  </si>
  <si>
    <t xml:space="preserve"> 192128.417 </t>
  </si>
  <si>
    <t xml:space="preserve"> 133636.2 </t>
  </si>
  <si>
    <t xml:space="preserve">C:\Users\andre\Desktop\REACTIV CEFAS\Dutasteride\Dutasteride/20201201_Cefas_Test8_Run1/Plate 2/@9/A3_01.tif </t>
  </si>
  <si>
    <t xml:space="preserve"> 11139.3957 </t>
  </si>
  <si>
    <t xml:space="preserve"> 41.7359 </t>
  </si>
  <si>
    <t xml:space="preserve">C:\Users\andre\Desktop\REACTIV CEFAS\Dutasteride\Dutasteride/20201201_Cefas_Test8_Run1/Plate 2/@9/A3_02.tif </t>
  </si>
  <si>
    <t xml:space="preserve"> 38.1728 </t>
  </si>
  <si>
    <t xml:space="preserve">C:\Users\andre\Desktop\REACTIV CEFAS\Dutasteride\Dutasteride/20201201_Cefas_Test8_Run1/Plate 2/@9/A3_03.tif </t>
  </si>
  <si>
    <t xml:space="preserve"> 346.0783 </t>
  </si>
  <si>
    <t xml:space="preserve"> 32.3125 </t>
  </si>
  <si>
    <t xml:space="preserve">C:\Users\andre\Desktop\REACTIV CEFAS\Dutasteride\Dutasteride/20201201_Cefas_Test8_Run1/Plate 2/@9/B3_01.tif </t>
  </si>
  <si>
    <t xml:space="preserve"> 34.2588 </t>
  </si>
  <si>
    <t xml:space="preserve">C:\Users\andre\Desktop\REACTIV CEFAS\Dutasteride\Dutasteride/20201201_Cefas_Test8_Run1/Plate 2/@9/B3_02.tif </t>
  </si>
  <si>
    <t xml:space="preserve"> 32.087 </t>
  </si>
  <si>
    <t xml:space="preserve">C:\Users\andre\Desktop\REACTIV CEFAS\Dutasteride\Dutasteride/20201201_Cefas_Test8_Run1/Plate 2/@9/B3_03.tif </t>
  </si>
  <si>
    <t xml:space="preserve"> 1405.9432 </t>
  </si>
  <si>
    <t xml:space="preserve"> 34.5692 </t>
  </si>
  <si>
    <t xml:space="preserve">C:\Users\andre\Desktop\REACTIV CEFAS\Dutasteride\Dutasteride/20201201_Cefas_Test8_Run1/Plate 2/@9/C3_01.tif </t>
  </si>
  <si>
    <t xml:space="preserve"> 1600.6122 </t>
  </si>
  <si>
    <t xml:space="preserve"> 34.1757 </t>
  </si>
  <si>
    <t xml:space="preserve">C:\Users\andre\Desktop\REACTIV CEFAS\Dutasteride\Dutasteride/20201201_Cefas_Test8_Run1/Plate 2/@9/C3_02.tif </t>
  </si>
  <si>
    <t xml:space="preserve"> 6770.157 </t>
  </si>
  <si>
    <t xml:space="preserve"> 38.2332 </t>
  </si>
  <si>
    <t xml:space="preserve">C:\Users\andre\Desktop\REACTIV CEFAS\Dutasteride\Dutasteride/20201201_Cefas_Test8_Run1/Plate 2/@9/C3_03.tif </t>
  </si>
  <si>
    <t xml:space="preserve"> 37.6836 </t>
  </si>
  <si>
    <t xml:space="preserve">C:\Users\andre\Desktop\REACTIV CEFAS\Dutasteride\Dutasteride/20201201_Cefas_Test8_Run1/Plate 2/@9/D3_01.tif </t>
  </si>
  <si>
    <t xml:space="preserve"> 33.2214 </t>
  </si>
  <si>
    <t xml:space="preserve">C:\Users\andre\Desktop\REACTIV CEFAS\Dutasteride\Dutasteride/20201201_Cefas_Test8_Run1/Plate 2/@9/D3_02.tif </t>
  </si>
  <si>
    <t xml:space="preserve"> 7246.0147 </t>
  </si>
  <si>
    <t xml:space="preserve"> 42.3104 </t>
  </si>
  <si>
    <t xml:space="preserve">C:\Users\andre\Desktop\REACTIV CEFAS\Dutasteride\Dutasteride/20201201_Cefas_Test8_Run1/Plate 2/@9/D3_03.tif </t>
  </si>
  <si>
    <t xml:space="preserve"> 8565.4383 </t>
  </si>
  <si>
    <t xml:space="preserve"> 39.4268 </t>
  </si>
  <si>
    <t xml:space="preserve">C:\Users\andre\Desktop\REACTIV CEFAS\Dutasteride\Dutasteride/20201201_Cefas_Test8_Run1/Plate 2/@9/E3_01.tif </t>
  </si>
  <si>
    <t xml:space="preserve"> 2184.6194 </t>
  </si>
  <si>
    <t xml:space="preserve"> 34.3069 </t>
  </si>
  <si>
    <t xml:space="preserve">C:\Users\andre\Desktop\REACTIV CEFAS\Dutasteride\Dutasteride/20201201_Cefas_Test8_Run1/Plate 2/@9/E3_02.tif </t>
  </si>
  <si>
    <t xml:space="preserve"> 930.0855 </t>
  </si>
  <si>
    <t xml:space="preserve"> 33.0465 </t>
  </si>
  <si>
    <t xml:space="preserve">C:\Users\andre\Desktop\REACTIV CEFAS\Dutasteride\Dutasteride/20201201_Cefas_Test8_Run1/Plate 2/@9/E3_03.tif </t>
  </si>
  <si>
    <t xml:space="preserve"> 36.5179 </t>
  </si>
  <si>
    <t xml:space="preserve">C:\Users\andre\Desktop\REACTIV CEFAS\Dutasteride\Dutasteride/20201201_Cefas_Test8_Run1/Plate 2/@9/F3_01.tif </t>
  </si>
  <si>
    <t xml:space="preserve">C:\Users\andre\Desktop\REACTIV CEFAS\Dutasteride\Dutasteride/20201201_Cefas_Test8_Run1/Plate 2/@9/F3_02.tif </t>
  </si>
  <si>
    <t xml:space="preserve"> 108.1495 </t>
  </si>
  <si>
    <t xml:space="preserve"> 30.6 </t>
  </si>
  <si>
    <t xml:space="preserve">C:\Users\andre\Desktop\REACTIV CEFAS\Dutasteride\Dutasteride/20201201_Cefas_Test8_Run1/Plate 2/@9/F3_03.tif </t>
  </si>
  <si>
    <t xml:space="preserve"> 32.6667 </t>
  </si>
  <si>
    <t xml:space="preserve">C:\Users\andre\Desktop\REACTIV CEFAS\Dutasteride\Dutasteride/20201201_Cefas_Test8_Run1/Plate 2/@9/G3_01.tif </t>
  </si>
  <si>
    <t xml:space="preserve"> 8111.2105 </t>
  </si>
  <si>
    <t xml:space="preserve"> 37.88 </t>
  </si>
  <si>
    <t xml:space="preserve">C:\Users\andre\Desktop\REACTIV CEFAS\Dutasteride\Dutasteride/20201201_Cefas_Test8_Run1/Plate 2/@9/G3_02.tif </t>
  </si>
  <si>
    <t xml:space="preserve"> 9300.8547 </t>
  </si>
  <si>
    <t xml:space="preserve"> 40.8581 </t>
  </si>
  <si>
    <t xml:space="preserve">C:\Users\andre\Desktop\REACTIV CEFAS\Dutasteride\Dutasteride/20201201_Cefas_Test8_Run1/Plate 2/@9/G3_03.tif </t>
  </si>
  <si>
    <t xml:space="preserve"> 32.5 </t>
  </si>
  <si>
    <t xml:space="preserve">C:\Users\andre\Desktop\REACTIV CEFAS\Dutasteride\Dutasteride/20201201_Cefas_Test8_Run1/Plate 2/@9/H3_01.tif </t>
  </si>
  <si>
    <t xml:space="preserve"> 39.9009 </t>
  </si>
  <si>
    <t xml:space="preserve">C:\Users\andre\Desktop\REACTIV CEFAS\Dutasteride\Dutasteride/20201201_Cefas_Test8_Run1/Plate 2/@9/H3_02.tif </t>
  </si>
  <si>
    <t xml:space="preserve"> 8284.2496 </t>
  </si>
  <si>
    <t xml:space="preserve"> 39.9582 </t>
  </si>
  <si>
    <t xml:space="preserve">C:\Users\andre\Desktop\REACTIV CEFAS\Dutasteride\Dutasteride/20201201_Cefas_Test8_Run1/Plate 2/@9/H3_03.tif </t>
  </si>
  <si>
    <t xml:space="preserve"> 10079.5309 </t>
  </si>
  <si>
    <t xml:space="preserve"> 41.3348 </t>
  </si>
  <si>
    <t xml:space="preserve">C:\Users\andre\Desktop\REACTIV CEFAS\Dutasteride\Dutasteride/20201201_Cefas_Test8_Run1/Plate 2/@9/ </t>
  </si>
  <si>
    <t xml:space="preserve"> 36.1566 </t>
  </si>
  <si>
    <t xml:space="preserve"> 3.7782 </t>
  </si>
  <si>
    <t xml:space="preserve"> 185087.042 </t>
  </si>
  <si>
    <t xml:space="preserve"> 163484.555 </t>
  </si>
  <si>
    <t>Colonne1</t>
  </si>
  <si>
    <t>1</t>
  </si>
  <si>
    <t>13</t>
  </si>
  <si>
    <t>14</t>
  </si>
  <si>
    <t>15</t>
  </si>
  <si>
    <t>16</t>
  </si>
  <si>
    <t>2</t>
  </si>
  <si>
    <t>3</t>
  </si>
  <si>
    <t>4</t>
  </si>
  <si>
    <t>5</t>
  </si>
  <si>
    <t>6</t>
  </si>
  <si>
    <t>7</t>
  </si>
  <si>
    <t>10</t>
  </si>
  <si>
    <t>11</t>
  </si>
  <si>
    <t>12</t>
  </si>
  <si>
    <t>17</t>
  </si>
  <si>
    <t>18</t>
  </si>
  <si>
    <t>19</t>
  </si>
  <si>
    <t>20</t>
  </si>
  <si>
    <t>21</t>
  </si>
  <si>
    <t>8</t>
  </si>
  <si>
    <t>9</t>
  </si>
  <si>
    <t>B</t>
  </si>
  <si>
    <t>C</t>
  </si>
  <si>
    <t>D</t>
  </si>
  <si>
    <t>E</t>
  </si>
  <si>
    <t>F</t>
  </si>
  <si>
    <t>G</t>
  </si>
  <si>
    <t>H</t>
  </si>
  <si>
    <t xml:space="preserve">C:\Users\andre\Desktop\REACTIV CEFAS\Dutasteride\Dutasteride/20201202_Cefas_Test8_Run2/Plate 1/@1/A10_01.tif </t>
  </si>
  <si>
    <t xml:space="preserve"> 973.3453 </t>
  </si>
  <si>
    <t xml:space="preserve"> 32.9778 </t>
  </si>
  <si>
    <t xml:space="preserve">C:\Users\andre\Desktop\REACTIV CEFAS\Dutasteride\Dutasteride/20201202_Cefas_Test8_Run2/Plate 1/@1/A10_02.tif </t>
  </si>
  <si>
    <t xml:space="preserve">C:\Users\andre\Desktop\REACTIV CEFAS\Dutasteride\Dutasteride/20201202_Cefas_Test8_Run2/Plate 1/@1/A10_03.tif </t>
  </si>
  <si>
    <t xml:space="preserve"> 692.1566 </t>
  </si>
  <si>
    <t xml:space="preserve"> 32.1562 </t>
  </si>
  <si>
    <t xml:space="preserve">C:\Users\andre\Desktop\REACTIV CEFAS\Dutasteride\Dutasteride/20201202_Cefas_Test8_Run2/Plate 1/@1/B10_01.tif </t>
  </si>
  <si>
    <t xml:space="preserve">C:\Users\andre\Desktop\REACTIV CEFAS\Dutasteride\Dutasteride/20201202_Cefas_Test8_Run2/Plate 1/@1/B10_02.tif </t>
  </si>
  <si>
    <t xml:space="preserve">C:\Users\andre\Desktop\REACTIV CEFAS\Dutasteride\Dutasteride/20201202_Cefas_Test8_Run2/Plate 1/@1/B10_03.tif </t>
  </si>
  <si>
    <t xml:space="preserve"> 735.4164 </t>
  </si>
  <si>
    <t xml:space="preserve"> 32.5588 </t>
  </si>
  <si>
    <t xml:space="preserve">C:\Users\andre\Desktop\REACTIV CEFAS\Dutasteride\Dutasteride/20201202_Cefas_Test8_Run2/Plate 1/@1/C10_01.tif </t>
  </si>
  <si>
    <t xml:space="preserve"> 38.7172 </t>
  </si>
  <si>
    <t xml:space="preserve">C:\Users\andre\Desktop\REACTIV CEFAS\Dutasteride\Dutasteride/20201202_Cefas_Test8_Run2/Plate 1/@1/C10_02.tif </t>
  </si>
  <si>
    <t xml:space="preserve"> 7116.2353 </t>
  </si>
  <si>
    <t xml:space="preserve"> 38.459 </t>
  </si>
  <si>
    <t xml:space="preserve">C:\Users\andre\Desktop\REACTIV CEFAS\Dutasteride\Dutasteride/20201202_Cefas_Test8_Run2/Plate 1/@1/C10_03.tif </t>
  </si>
  <si>
    <t xml:space="preserve"> 41.3785 </t>
  </si>
  <si>
    <t>C:\Users\andre\Desktop\REACTIV CEFAS\Dutasteride\Dutasteride/20201202_Cefas_Test8_Run2/Plate 1/@1/D10_01- exclu.tif</t>
  </si>
  <si>
    <t>C:\Users\andre\Desktop\REACTIV CEFAS\Dutasteride\Dutasteride/20201202_Cefas_Test8_Run2/Plate 1/@1/D10_02- exclu.tif</t>
  </si>
  <si>
    <t>C:\Users\andre\Desktop\REACTIV CEFAS\Dutasteride\Dutasteride/20201202_Cefas_Test8_Run2/Plate 1/@1/D10_03- exclu.tif</t>
  </si>
  <si>
    <t xml:space="preserve">C:\Users\andre\Desktop\REACTIV CEFAS\Dutasteride\Dutasteride/20201202_Cefas_Test8_Run2/Plate 1/@1/E10_01.tif </t>
  </si>
  <si>
    <t xml:space="preserve"> 9733.4526 </t>
  </si>
  <si>
    <t xml:space="preserve"> 39.3111 </t>
  </si>
  <si>
    <t xml:space="preserve">C:\Users\andre\Desktop\REACTIV CEFAS\Dutasteride\Dutasteride/20201202_Cefas_Test8_Run2/Plate 1/@1/E10_02.tif </t>
  </si>
  <si>
    <t xml:space="preserve"> 4196.1996 </t>
  </si>
  <si>
    <t xml:space="preserve"> 37.0361 </t>
  </si>
  <si>
    <t xml:space="preserve">C:\Users\andre\Desktop\REACTIV CEFAS\Dutasteride\Dutasteride/20201202_Cefas_Test8_Run2/Plate 1/@1/E10_03.tif </t>
  </si>
  <si>
    <t xml:space="preserve"> 4715.317 </t>
  </si>
  <si>
    <t xml:space="preserve"> 37.4404 </t>
  </si>
  <si>
    <t xml:space="preserve">C:\Users\andre\Desktop\REACTIV CEFAS\Dutasteride\Dutasteride/20201202_Cefas_Test8_Run2/Plate 1/@1/F10_01.tif </t>
  </si>
  <si>
    <t xml:space="preserve"> 7181.125 </t>
  </si>
  <si>
    <t xml:space="preserve"> 34.3373 </t>
  </si>
  <si>
    <t xml:space="preserve">C:\Users\andre\Desktop\REACTIV CEFAS\Dutasteride\Dutasteride/20201202_Cefas_Test8_Run2/Plate 1/@1/F10_02.tif </t>
  </si>
  <si>
    <t xml:space="preserve"> 5256.0644 </t>
  </si>
  <si>
    <t xml:space="preserve"> 33.2305 </t>
  </si>
  <si>
    <t xml:space="preserve">C:\Users\andre\Desktop\REACTIV CEFAS\Dutasteride\Dutasteride/20201202_Cefas_Test8_Run2/Plate 1/@1/F10_03.tif </t>
  </si>
  <si>
    <t xml:space="preserve"> 32.6074 </t>
  </si>
  <si>
    <t>C:\Users\andre\Desktop\REACTIV CEFAS\Dutasteride\Dutasteride/20201202_Cefas_Test8_Run2/Plate 1/@1/G10_01- exclu.tif</t>
  </si>
  <si>
    <t>C:\Users\andre\Desktop\REACTIV CEFAS\Dutasteride\Dutasteride/20201202_Cefas_Test8_Run2/Plate 1/@1/G10_02- exclu.tif</t>
  </si>
  <si>
    <t xml:space="preserve">C:\Users\andre\Desktop\REACTIV CEFAS\Dutasteride\Dutasteride/20201202_Cefas_Test8_Run2/Plate 1/@1/G10_03.tif </t>
  </si>
  <si>
    <t xml:space="preserve"> 36.6549 </t>
  </si>
  <si>
    <t xml:space="preserve">C:\Users\andre\Desktop\REACTIV CEFAS\Dutasteride\Dutasteride/20201202_Cefas_Test8_Run2/Plate 1/@1/H10_01.tif </t>
  </si>
  <si>
    <t xml:space="preserve"> 34.5722 </t>
  </si>
  <si>
    <t xml:space="preserve">C:\Users\andre\Desktop\REACTIV CEFAS\Dutasteride\Dutasteride/20201202_Cefas_Test8_Run2/Plate 1/@1/H10_02.tif </t>
  </si>
  <si>
    <t xml:space="preserve">C:\Users\andre\Desktop\REACTIV CEFAS\Dutasteride\Dutasteride/20201202_Cefas_Test8_Run2/Plate 1/@1/H10_03.tif </t>
  </si>
  <si>
    <t xml:space="preserve"> 37.9665 </t>
  </si>
  <si>
    <t xml:space="preserve">C:\Users\andre\Desktop\REACTIV CEFAS\Dutasteride\Dutasteride/20201202_Cefas_Test8_Run2/Plate 1/@1/ </t>
  </si>
  <si>
    <t xml:space="preserve"> 34.8344 </t>
  </si>
  <si>
    <t xml:space="preserve"> 12.1031 </t>
  </si>
  <si>
    <t xml:space="preserve"> 241722.167 </t>
  </si>
  <si>
    <t xml:space="preserve"> 223737.12 </t>
  </si>
  <si>
    <t xml:space="preserve">C:\Users\andre\Desktop\REACTIV CEFAS\Dutasteride\Dutasteride/20201202_Cefas_Test8_Run2/Plate 1/@13/A8_01.tif </t>
  </si>
  <si>
    <t xml:space="preserve"> 49381.0494 </t>
  </si>
  <si>
    <t xml:space="preserve"> 42.7175 </t>
  </si>
  <si>
    <t xml:space="preserve">C:\Users\andre\Desktop\REACTIV CEFAS\Dutasteride\Dutasteride/20201202_Cefas_Test8_Run2/Plate 1/@13/A8_02.tif </t>
  </si>
  <si>
    <t xml:space="preserve"> 46828.7219 </t>
  </si>
  <si>
    <t xml:space="preserve"> 43.0273 </t>
  </si>
  <si>
    <t xml:space="preserve">C:\Users\andre\Desktop\REACTIV CEFAS\Dutasteride\Dutasteride/20201202_Cefas_Test8_Run2/Plate 1/@13/A8_03.tif </t>
  </si>
  <si>
    <t xml:space="preserve"> 42.7958 </t>
  </si>
  <si>
    <t xml:space="preserve">C:\Users\andre\Desktop\REACTIV CEFAS\Dutasteride\Dutasteride/20201202_Cefas_Test8_Run2/Plate 1/@13/B8_01.tif </t>
  </si>
  <si>
    <t xml:space="preserve"> 28097.2331 </t>
  </si>
  <si>
    <t xml:space="preserve"> 36.0085 </t>
  </si>
  <si>
    <t xml:space="preserve">C:\Users\andre\Desktop\REACTIV CEFAS\Dutasteride\Dutasteride/20201202_Cefas_Test8_Run2/Plate 1/@13/B8_02.tif </t>
  </si>
  <si>
    <t xml:space="preserve"> 28594.7207 </t>
  </si>
  <si>
    <t xml:space="preserve"> 36.7057 </t>
  </si>
  <si>
    <t>C:\Users\andre\Desktop\REACTIV CEFAS\Dutasteride\Dutasteride/20201202_Cefas_Test8_Run2/Plate 1/@13/B8_03- exclu.tif</t>
  </si>
  <si>
    <t xml:space="preserve">C:\Users\andre\Desktop\REACTIV CEFAS\Dutasteride\Dutasteride/20201202_Cefas_Test8_Run2/Plate 1/@13/C8_01.tif </t>
  </si>
  <si>
    <t xml:space="preserve">C:\Users\andre\Desktop\REACTIV CEFAS\Dutasteride\Dutasteride/20201202_Cefas_Test8_Run2/Plate 1/@13/C8_02.tif </t>
  </si>
  <si>
    <t xml:space="preserve">C:\Users\andre\Desktop\REACTIV CEFAS\Dutasteride\Dutasteride/20201202_Cefas_Test8_Run2/Plate 1/@13/C8_03.tif </t>
  </si>
  <si>
    <t xml:space="preserve"> 2400.9183 </t>
  </si>
  <si>
    <t xml:space="preserve"> 34.6847 </t>
  </si>
  <si>
    <t xml:space="preserve">C:\Users\andre\Desktop\REACTIV CEFAS\Dutasteride\Dutasteride/20201202_Cefas_Test8_Run2/Plate 1/@13/D8_01.tif </t>
  </si>
  <si>
    <t xml:space="preserve"> 71465.1719 </t>
  </si>
  <si>
    <t xml:space="preserve"> 43.8172 </t>
  </si>
  <si>
    <t xml:space="preserve">C:\Users\andre\Desktop\REACTIV CEFAS\Dutasteride\Dutasteride/20201202_Cefas_Test8_Run2/Plate 1/@13/D8_02.tif </t>
  </si>
  <si>
    <t xml:space="preserve"> 40.4334 </t>
  </si>
  <si>
    <t xml:space="preserve">C:\Users\andre\Desktop\REACTIV CEFAS\Dutasteride\Dutasteride/20201202_Cefas_Test8_Run2/Plate 1/@13/D8_03.tif </t>
  </si>
  <si>
    <t xml:space="preserve"> 62921.3635 </t>
  </si>
  <si>
    <t xml:space="preserve"> 45.3606 </t>
  </si>
  <si>
    <t xml:space="preserve">C:\Users\andre\Desktop\REACTIV CEFAS\Dutasteride\Dutasteride/20201202_Cefas_Test8_Run2/Plate 1/@13/E8_01.tif </t>
  </si>
  <si>
    <t xml:space="preserve"> 33.3849 </t>
  </si>
  <si>
    <t xml:space="preserve">C:\Users\andre\Desktop\REACTIV CEFAS\Dutasteride\Dutasteride/20201202_Cefas_Test8_Run2/Plate 1/@13/E8_02.tif </t>
  </si>
  <si>
    <t xml:space="preserve"> 33.3677 </t>
  </si>
  <si>
    <t>C:\Users\andre\Desktop\REACTIV CEFAS\Dutasteride\Dutasteride/20201202_Cefas_Test8_Run2/Plate 1/@13/E8_03- exclu.tif</t>
  </si>
  <si>
    <t xml:space="preserve">C:\Users\andre\Desktop\REACTIV CEFAS\Dutasteride\Dutasteride/20201202_Cefas_Test8_Run2/Plate 1/@13/F8_01.tif </t>
  </si>
  <si>
    <t xml:space="preserve"> 6791.7869 </t>
  </si>
  <si>
    <t xml:space="preserve"> 35.1115 </t>
  </si>
  <si>
    <t xml:space="preserve">C:\Users\andre\Desktop\REACTIV CEFAS\Dutasteride\Dutasteride/20201202_Cefas_Test8_Run2/Plate 1/@13/F8_02.tif </t>
  </si>
  <si>
    <t xml:space="preserve"> 12804.8976 </t>
  </si>
  <si>
    <t xml:space="preserve"> 35.6284 </t>
  </si>
  <si>
    <t xml:space="preserve">C:\Users\andre\Desktop\REACTIV CEFAS\Dutasteride\Dutasteride/20201202_Cefas_Test8_Run2/Plate 1/@13/F8_03.tif </t>
  </si>
  <si>
    <t xml:space="preserve"> 12134.3709 </t>
  </si>
  <si>
    <t xml:space="preserve"> 32.4367 </t>
  </si>
  <si>
    <t xml:space="preserve">C:\Users\andre\Desktop\REACTIV CEFAS\Dutasteride\Dutasteride/20201202_Cefas_Test8_Run2/Plate 1/@13/G8_01.tif </t>
  </si>
  <si>
    <t xml:space="preserve"> 11961.3317 </t>
  </si>
  <si>
    <t xml:space="preserve"> 31.6691 </t>
  </si>
  <si>
    <t>C:\Users\andre\Desktop\REACTIV CEFAS\Dutasteride\Dutasteride/20201202_Cefas_Test8_Run2/Plate 1/@13/G8_02- exclu.tif</t>
  </si>
  <si>
    <t>C:\Users\andre\Desktop\REACTIV CEFAS\Dutasteride\Dutasteride/20201202_Cefas_Test8_Run2/Plate 1/@13/G8_03- exclu.tif</t>
  </si>
  <si>
    <t xml:space="preserve">C:\Users\andre\Desktop\REACTIV CEFAS\Dutasteride\Dutasteride/20201202_Cefas_Test8_Run2/Plate 1/@13/H8_01.tif </t>
  </si>
  <si>
    <t xml:space="preserve"> 45509.2983 </t>
  </si>
  <si>
    <t xml:space="preserve"> 38.4178 </t>
  </si>
  <si>
    <t xml:space="preserve">C:\Users\andre\Desktop\REACTIV CEFAS\Dutasteride\Dutasteride/20201202_Cefas_Test8_Run2/Plate 1/@13/H8_02.tif </t>
  </si>
  <si>
    <t xml:space="preserve"> 40296.4937 </t>
  </si>
  <si>
    <t xml:space="preserve"> 37.9549 </t>
  </si>
  <si>
    <t xml:space="preserve">C:\Users\andre\Desktop\REACTIV CEFAS\Dutasteride\Dutasteride/20201202_Cefas_Test8_Run2/Plate 1/@13/H8_03.tif </t>
  </si>
  <si>
    <t xml:space="preserve"> 44752.252 </t>
  </si>
  <si>
    <t xml:space="preserve"> 38.9502 </t>
  </si>
  <si>
    <t xml:space="preserve">C:\Users\andre\Desktop\REACTIV CEFAS\Dutasteride\Dutasteride/20201202_Cefas_Test8_Run2/Plate 1/@13/ </t>
  </si>
  <si>
    <t xml:space="preserve"> 37.6569 </t>
  </si>
  <si>
    <t xml:space="preserve"> 4.0828 </t>
  </si>
  <si>
    <t xml:space="preserve"> 1079453.42 </t>
  </si>
  <si>
    <t xml:space="preserve"> 953487.599 </t>
  </si>
  <si>
    <t xml:space="preserve">C:\Users\andre\Desktop\REACTIV CEFAS\Dutasteride\Dutasteride/20201202_Cefas_Test8_Run2/Plate 1/@14/A9_01.tif </t>
  </si>
  <si>
    <t xml:space="preserve"> 40815.6112 </t>
  </si>
  <si>
    <t xml:space="preserve"> 37.2353 </t>
  </si>
  <si>
    <t xml:space="preserve">C:\Users\andre\Desktop\REACTIV CEFAS\Dutasteride\Dutasteride/20201202_Cefas_Test8_Run2/Plate 1/@14/A9_02.tif </t>
  </si>
  <si>
    <t xml:space="preserve"> 54031.4768 </t>
  </si>
  <si>
    <t xml:space="preserve"> 42.4992 </t>
  </si>
  <si>
    <t xml:space="preserve">C:\Users\andre\Desktop\REACTIV CEFAS\Dutasteride\Dutasteride/20201202_Cefas_Test8_Run2/Plate 1/@14/A9_03.tif </t>
  </si>
  <si>
    <t xml:space="preserve"> 51306.1101 </t>
  </si>
  <si>
    <t xml:space="preserve"> 42.3187 </t>
  </si>
  <si>
    <t xml:space="preserve">C:\Users\andre\Desktop\REACTIV CEFAS\Dutasteride\Dutasteride/20201202_Cefas_Test8_Run2/Plate 1/@14/B9_01.tif </t>
  </si>
  <si>
    <t xml:space="preserve"> 37.4166 </t>
  </si>
  <si>
    <t xml:space="preserve">C:\Users\andre\Desktop\REACTIV CEFAS\Dutasteride\Dutasteride/20201202_Cefas_Test8_Run2/Plate 1/@14/B9_02.tif </t>
  </si>
  <si>
    <t xml:space="preserve"> 38782.4011 </t>
  </si>
  <si>
    <t xml:space="preserve"> 35.6665 </t>
  </si>
  <si>
    <t xml:space="preserve">C:\Users\andre\Desktop\REACTIV CEFAS\Dutasteride\Dutasteride/20201202_Cefas_Test8_Run2/Plate 1/@14/B9_03.tif </t>
  </si>
  <si>
    <t xml:space="preserve"> 32379.9523 </t>
  </si>
  <si>
    <t xml:space="preserve"> 34.8437 </t>
  </si>
  <si>
    <t xml:space="preserve">C:\Users\andre\Desktop\REACTIV CEFAS\Dutasteride\Dutasteride/20201202_Cefas_Test8_Run2/Plate 1/@14/C9_01.tif </t>
  </si>
  <si>
    <t xml:space="preserve"> 30281.8525 </t>
  </si>
  <si>
    <t xml:space="preserve"> 37.925 </t>
  </si>
  <si>
    <t>C:\Users\andre\Desktop\REACTIV CEFAS\Dutasteride\Dutasteride/20201202_Cefas_Test8_Run2/Plate 1/@14/C9_02- exclu.tif</t>
  </si>
  <si>
    <t>C:\Users\andre\Desktop\REACTIV CEFAS\Dutasteride\Dutasteride/20201202_Cefas_Test8_Run2/Plate 1/@14/C9_03- exclu.tif</t>
  </si>
  <si>
    <t xml:space="preserve">C:\Users\andre\Desktop\REACTIV CEFAS\Dutasteride\Dutasteride/20201202_Cefas_Test8_Run2/Plate 1/@14/D9_01.tif </t>
  </si>
  <si>
    <t xml:space="preserve"> 45249.7396 </t>
  </si>
  <si>
    <t xml:space="preserve"> 34.9221 </t>
  </si>
  <si>
    <t xml:space="preserve">C:\Users\andre\Desktop\REACTIV CEFAS\Dutasteride\Dutasteride/20201202_Cefas_Test8_Run2/Plate 1/@14/D9_02.tif </t>
  </si>
  <si>
    <t xml:space="preserve"> 38.658 </t>
  </si>
  <si>
    <t xml:space="preserve">C:\Users\andre\Desktop\REACTIV CEFAS\Dutasteride\Dutasteride/20201202_Cefas_Test8_Run2/Plate 1/@14/D9_03.tif </t>
  </si>
  <si>
    <t xml:space="preserve"> 41745.6966 </t>
  </si>
  <si>
    <t xml:space="preserve"> 35.2922 </t>
  </si>
  <si>
    <t xml:space="preserve">C:\Users\andre\Desktop\REACTIV CEFAS\Dutasteride\Dutasteride/20201202_Cefas_Test8_Run2/Plate 1/@14/E9_01.tif </t>
  </si>
  <si>
    <t xml:space="preserve"> 14665.0686 </t>
  </si>
  <si>
    <t xml:space="preserve"> 32.9484 </t>
  </si>
  <si>
    <t xml:space="preserve">C:\Users\andre\Desktop\REACTIV CEFAS\Dutasteride\Dutasteride/20201202_Cefas_Test8_Run2/Plate 1/@14/E9_02.tif </t>
  </si>
  <si>
    <t xml:space="preserve"> 26669.6601 </t>
  </si>
  <si>
    <t xml:space="preserve"> 34.4704 </t>
  </si>
  <si>
    <t xml:space="preserve">C:\Users\andre\Desktop\REACTIV CEFAS\Dutasteride\Dutasteride/20201202_Cefas_Test8_Run2/Plate 1/@14/E9_03.tif </t>
  </si>
  <si>
    <t xml:space="preserve"> 19964.3927 </t>
  </si>
  <si>
    <t xml:space="preserve"> 33.3608 </t>
  </si>
  <si>
    <t xml:space="preserve">C:\Users\andre\Desktop\REACTIV CEFAS\Dutasteride\Dutasteride/20201202_Cefas_Test8_Run2/Plate 1/@14/F9_01.tif </t>
  </si>
  <si>
    <t xml:space="preserve"> 43281.4192 </t>
  </si>
  <si>
    <t xml:space="preserve"> 40.1344 </t>
  </si>
  <si>
    <t xml:space="preserve">C:\Users\andre\Desktop\REACTIV CEFAS\Dutasteride\Dutasteride/20201202_Cefas_Test8_Run2/Plate 1/@14/F9_02.tif </t>
  </si>
  <si>
    <t xml:space="preserve"> 41.4723 </t>
  </si>
  <si>
    <t xml:space="preserve">C:\Users\andre\Desktop\REACTIV CEFAS\Dutasteride\Dutasteride/20201202_Cefas_Test8_Run2/Plate 1/@14/F9_03.tif </t>
  </si>
  <si>
    <t xml:space="preserve"> 43216.5295 </t>
  </si>
  <si>
    <t xml:space="preserve"> 37.7492 </t>
  </si>
  <si>
    <t>C:\Users\andre\Desktop\REACTIV CEFAS\Dutasteride\Dutasteride/20201202_Cefas_Test8_Run2/Plate 1/@14/G9_01- exclu.tif</t>
  </si>
  <si>
    <t xml:space="preserve">C:\Users\andre\Desktop\REACTIV CEFAS\Dutasteride\Dutasteride/20201202_Cefas_Test8_Run2/Plate 1/@14/G9_02.tif </t>
  </si>
  <si>
    <t xml:space="preserve"> 9884.8618 </t>
  </si>
  <si>
    <t xml:space="preserve"> 37.8512 </t>
  </si>
  <si>
    <t xml:space="preserve">C:\Users\andre\Desktop\REACTIV CEFAS\Dutasteride\Dutasteride/20201202_Cefas_Test8_Run2/Plate 1/@14/G9_03.tif </t>
  </si>
  <si>
    <t xml:space="preserve"> 19380.3856 </t>
  </si>
  <si>
    <t xml:space="preserve"> 34.3605 </t>
  </si>
  <si>
    <t>C:\Users\andre\Desktop\REACTIV CEFAS\Dutasteride\Dutasteride/20201202_Cefas_Test8_Run2/Plate 1/@14/H9_01- exclu.tif</t>
  </si>
  <si>
    <t>C:\Users\andre\Desktop\REACTIV CEFAS\Dutasteride\Dutasteride/20201202_Cefas_Test8_Run2/Plate 1/@14/H9_02- exclu.tif</t>
  </si>
  <si>
    <t>C:\Users\andre\Desktop\REACTIV CEFAS\Dutasteride\Dutasteride/20201202_Cefas_Test8_Run2/Plate 1/@14/H9_03- exclu.tif</t>
  </si>
  <si>
    <t xml:space="preserve">C:\Users\andre\Desktop\REACTIV CEFAS\Dutasteride\Dutasteride/20201202_Cefas_Test8_Run2/Plate 1/@14/ </t>
  </si>
  <si>
    <t xml:space="preserve"> 34.107 </t>
  </si>
  <si>
    <t xml:space="preserve"> 10.8395 </t>
  </si>
  <si>
    <t xml:space="preserve"> 1184338.71 </t>
  </si>
  <si>
    <t xml:space="preserve"> 693196.339 </t>
  </si>
  <si>
    <t xml:space="preserve">C:\Users\andre\Desktop\REACTIV CEFAS\Dutasteride\Dutasteride/20201202_Cefas_Test8_Run2/Plate 1/@15/A11_01.tif </t>
  </si>
  <si>
    <t xml:space="preserve"> 58054.6372 </t>
  </si>
  <si>
    <t xml:space="preserve"> 47.8651 </t>
  </si>
  <si>
    <t xml:space="preserve">C:\Users\andre\Desktop\REACTIV CEFAS\Dutasteride\Dutasteride/20201202_Cefas_Test8_Run2/Plate 1/@15/A11_02.tif </t>
  </si>
  <si>
    <t xml:space="preserve"> 62964.6233 </t>
  </si>
  <si>
    <t xml:space="preserve"> 46.3689 </t>
  </si>
  <si>
    <t xml:space="preserve">C:\Users\andre\Desktop\REACTIV CEFAS\Dutasteride\Dutasteride/20201202_Cefas_Test8_Run2/Plate 1/@15/A11_03.tif </t>
  </si>
  <si>
    <t xml:space="preserve"> 63591.8902 </t>
  </si>
  <si>
    <t xml:space="preserve"> 48.1891 </t>
  </si>
  <si>
    <t xml:space="preserve">C:\Users\andre\Desktop\REACTIV CEFAS\Dutasteride\Dutasteride/20201202_Cefas_Test8_Run2/Plate 1/@15/B11_01.tif </t>
  </si>
  <si>
    <t xml:space="preserve"> 100838.569 </t>
  </si>
  <si>
    <t xml:space="preserve"> 53.0547 </t>
  </si>
  <si>
    <t xml:space="preserve">C:\Users\andre\Desktop\REACTIV CEFAS\Dutasteride\Dutasteride/20201202_Cefas_Test8_Run2/Plate 1/@15/B11_02.tif </t>
  </si>
  <si>
    <t xml:space="preserve"> 110550.391 </t>
  </si>
  <si>
    <t xml:space="preserve"> 57.7235 </t>
  </si>
  <si>
    <t xml:space="preserve">C:\Users\andre\Desktop\REACTIV CEFAS\Dutasteride\Dutasteride/20201202_Cefas_Test8_Run2/Plate 1/@15/B11_03.tif </t>
  </si>
  <si>
    <t xml:space="preserve"> 103347.637 </t>
  </si>
  <si>
    <t xml:space="preserve"> 54.7323 </t>
  </si>
  <si>
    <t xml:space="preserve">C:\Users\andre\Desktop\REACTIV CEFAS\Dutasteride\Dutasteride/20201202_Cefas_Test8_Run2/Plate 1/@15/C11_01.tif </t>
  </si>
  <si>
    <t xml:space="preserve"> 73433.4923 </t>
  </si>
  <si>
    <t xml:space="preserve"> 54.2695 </t>
  </si>
  <si>
    <t xml:space="preserve">C:\Users\andre\Desktop\REACTIV CEFAS\Dutasteride\Dutasteride/20201202_Cefas_Test8_Run2/Plate 1/@15/C11_02.tif </t>
  </si>
  <si>
    <t xml:space="preserve"> 76483.3074 </t>
  </si>
  <si>
    <t xml:space="preserve"> 55.3657 </t>
  </si>
  <si>
    <t xml:space="preserve">C:\Users\andre\Desktop\REACTIV CEFAS\Dutasteride\Dutasteride/20201202_Cefas_Test8_Run2/Plate 1/@15/C11_03.tif </t>
  </si>
  <si>
    <t xml:space="preserve"> 76677.9765 </t>
  </si>
  <si>
    <t xml:space="preserve"> 57.1772 </t>
  </si>
  <si>
    <t xml:space="preserve">C:\Users\andre\Desktop\REACTIV CEFAS\Dutasteride\Dutasteride/20201202_Cefas_Test8_Run2/Plate 1/@15/D11_01.tif </t>
  </si>
  <si>
    <t xml:space="preserve"> 42783.9316 </t>
  </si>
  <si>
    <t xml:space="preserve"> 45.5308 </t>
  </si>
  <si>
    <t xml:space="preserve">C:\Users\andre\Desktop\REACTIV CEFAS\Dutasteride\Dutasteride/20201202_Cefas_Test8_Run2/Plate 1/@15/D11_02.tif </t>
  </si>
  <si>
    <t xml:space="preserve"> 44168.2448 </t>
  </si>
  <si>
    <t xml:space="preserve"> 45.0147 </t>
  </si>
  <si>
    <t xml:space="preserve">C:\Users\andre\Desktop\REACTIV CEFAS\Dutasteride\Dutasteride/20201202_Cefas_Test8_Run2/Plate 1/@15/D11_03.tif </t>
  </si>
  <si>
    <t xml:space="preserve"> 44622.4726 </t>
  </si>
  <si>
    <t xml:space="preserve"> 45.1949 </t>
  </si>
  <si>
    <t xml:space="preserve">C:\Users\andre\Desktop\REACTIV CEFAS\Dutasteride\Dutasteride/20201202_Cefas_Test8_Run2/Plate 1/@15/E11_01.tif </t>
  </si>
  <si>
    <t xml:space="preserve"> 40058.5649 </t>
  </si>
  <si>
    <t xml:space="preserve"> 42.5918 </t>
  </si>
  <si>
    <t xml:space="preserve">C:\Users\andre\Desktop\REACTIV CEFAS\Dutasteride\Dutasteride/20201202_Cefas_Test8_Run2/Plate 1/@15/E11_02.tif </t>
  </si>
  <si>
    <t xml:space="preserve"> 39258.2588 </t>
  </si>
  <si>
    <t xml:space="preserve"> 42.3989 </t>
  </si>
  <si>
    <t xml:space="preserve">C:\Users\andre\Desktop\REACTIV CEFAS\Dutasteride\Dutasteride/20201202_Cefas_Test8_Run2/Plate 1/@15/E11_03.tif </t>
  </si>
  <si>
    <t xml:space="preserve"> 39539.4474 </t>
  </si>
  <si>
    <t xml:space="preserve"> 41.1931 </t>
  </si>
  <si>
    <t xml:space="preserve">C:\Users\andre\Desktop\REACTIV CEFAS\Dutasteride\Dutasteride/20201202_Cefas_Test8_Run2/Plate 1/@15/F11_01.tif </t>
  </si>
  <si>
    <t xml:space="preserve"> 85027.1158 </t>
  </si>
  <si>
    <t xml:space="preserve"> 56.8148 </t>
  </si>
  <si>
    <t xml:space="preserve">C:\Users\andre\Desktop\REACTIV CEFAS\Dutasteride\Dutasteride/20201202_Cefas_Test8_Run2/Plate 1/@15/F11_02.tif </t>
  </si>
  <si>
    <t xml:space="preserve"> 88271.6 </t>
  </si>
  <si>
    <t xml:space="preserve"> 55.5624 </t>
  </si>
  <si>
    <t xml:space="preserve">C:\Users\andre\Desktop\REACTIV CEFAS\Dutasteride\Dutasteride/20201202_Cefas_Test8_Run2/Plate 1/@15/F11_03.tif </t>
  </si>
  <si>
    <t xml:space="preserve"> 89828.9524 </t>
  </si>
  <si>
    <t xml:space="preserve"> 55.9042 </t>
  </si>
  <si>
    <t xml:space="preserve">C:\Users\andre\Desktop\REACTIV CEFAS\Dutasteride\Dutasteride/20201202_Cefas_Test8_Run2/Plate 1/@15/G11_01.tif </t>
  </si>
  <si>
    <t xml:space="preserve"> 89850.5823 </t>
  </si>
  <si>
    <t xml:space="preserve"> 49.0207 </t>
  </si>
  <si>
    <t xml:space="preserve">C:\Users\andre\Desktop\REACTIV CEFAS\Dutasteride\Dutasteride/20201202_Cefas_Test8_Run2/Plate 1/@15/G11_02.tif </t>
  </si>
  <si>
    <t xml:space="preserve"> 87817.3722 </t>
  </si>
  <si>
    <t xml:space="preserve"> 53.6456 </t>
  </si>
  <si>
    <t xml:space="preserve">C:\Users\andre\Desktop\REACTIV CEFAS\Dutasteride\Dutasteride/20201202_Cefas_Test8_Run2/Plate 1/@15/G11_03.tif </t>
  </si>
  <si>
    <t xml:space="preserve"> 87709.2227 </t>
  </si>
  <si>
    <t xml:space="preserve"> 52.9285 </t>
  </si>
  <si>
    <t xml:space="preserve">C:\Users\andre\Desktop\REACTIV CEFAS\Dutasteride\Dutasteride/20201202_Cefas_Test8_Run2/Plate 1/@15/H11_01.tif </t>
  </si>
  <si>
    <t xml:space="preserve"> 70729.7554 </t>
  </si>
  <si>
    <t xml:space="preserve"> 48.7682 </t>
  </si>
  <si>
    <t xml:space="preserve">C:\Users\andre\Desktop\REACTIV CEFAS\Dutasteride\Dutasteride/20201202_Cefas_Test8_Run2/Plate 1/@15/H11_02.tif </t>
  </si>
  <si>
    <t xml:space="preserve"> 71032.574 </t>
  </si>
  <si>
    <t xml:space="preserve"> 49.3681 </t>
  </si>
  <si>
    <t xml:space="preserve">C:\Users\andre\Desktop\REACTIV CEFAS\Dutasteride\Dutasteride/20201202_Cefas_Test8_Run2/Plate 1/@15/H11_03.tif </t>
  </si>
  <si>
    <t xml:space="preserve"> 74320.3179 </t>
  </si>
  <si>
    <t xml:space="preserve"> 52.0731 </t>
  </si>
  <si>
    <t xml:space="preserve">C:\Users\andre\Desktop\REACTIV CEFAS\Dutasteride\Dutasteride/20201202_Cefas_Test8_Run2/Plate 1/@15/ </t>
  </si>
  <si>
    <t xml:space="preserve"> 50.4482 </t>
  </si>
  <si>
    <t xml:space="preserve"> 5.131 </t>
  </si>
  <si>
    <t xml:space="preserve"> 3710340.83 </t>
  </si>
  <si>
    <t xml:space="preserve"> 1393906.14 </t>
  </si>
  <si>
    <t xml:space="preserve">C:\Users\andre\Desktop\REACTIV CEFAS\Dutasteride\Dutasteride/20201202_Cefas_Test8_Run2/Plate 1/@16/A12_01.tif </t>
  </si>
  <si>
    <t xml:space="preserve"> 34.2037 </t>
  </si>
  <si>
    <t xml:space="preserve">C:\Users\andre\Desktop\REACTIV CEFAS\Dutasteride\Dutasteride/20201202_Cefas_Test8_Run2/Plate 1/@16/A12_02.tif </t>
  </si>
  <si>
    <t xml:space="preserve"> 1860.1709 </t>
  </si>
  <si>
    <t xml:space="preserve"> 33.0581 </t>
  </si>
  <si>
    <t xml:space="preserve">C:\Users\andre\Desktop\REACTIV CEFAS\Dutasteride\Dutasteride/20201202_Cefas_Test8_Run2/Plate 1/@16/A12_03.tif </t>
  </si>
  <si>
    <t xml:space="preserve"> 3568.9326 </t>
  </si>
  <si>
    <t xml:space="preserve"> 34.8848 </t>
  </si>
  <si>
    <t xml:space="preserve">C:\Users\andre\Desktop\REACTIV CEFAS\Dutasteride\Dutasteride/20201202_Cefas_Test8_Run2/Plate 1/@16/B12_01.tif </t>
  </si>
  <si>
    <t xml:space="preserve"> 12718.378 </t>
  </si>
  <si>
    <t xml:space="preserve"> 39.2432 </t>
  </si>
  <si>
    <t xml:space="preserve">C:\Users\andre\Desktop\REACTIV CEFAS\Dutasteride\Dutasteride/20201202_Cefas_Test8_Run2/Plate 1/@16/B12_02.tif </t>
  </si>
  <si>
    <t xml:space="preserve"> 10057.901 </t>
  </si>
  <si>
    <t xml:space="preserve"> 36.5312 </t>
  </si>
  <si>
    <t xml:space="preserve">C:\Users\andre\Desktop\REACTIV CEFAS\Dutasteride\Dutasteride/20201202_Cefas_Test8_Run2/Plate 1/@16/B12_03.tif </t>
  </si>
  <si>
    <t xml:space="preserve"> 38.2691 </t>
  </si>
  <si>
    <t xml:space="preserve">C:\Users\andre\Desktop\REACTIV CEFAS\Dutasteride\Dutasteride/20201202_Cefas_Test8_Run2/Plate 1/@16/C12_01.tif </t>
  </si>
  <si>
    <t xml:space="preserve"> 2098.0998 </t>
  </si>
  <si>
    <t xml:space="preserve"> 31.7423 </t>
  </si>
  <si>
    <t xml:space="preserve">C:\Users\andre\Desktop\REACTIV CEFAS\Dutasteride\Dutasteride/20201202_Cefas_Test8_Run2/Plate 1/@16/C12_02.tif </t>
  </si>
  <si>
    <t xml:space="preserve"> 35.956 </t>
  </si>
  <si>
    <t xml:space="preserve">C:\Users\andre\Desktop\REACTIV CEFAS\Dutasteride\Dutasteride/20201202_Cefas_Test8_Run2/Plate 1/@16/C12_03.tif </t>
  </si>
  <si>
    <t xml:space="preserve"> 1146.3844 </t>
  </si>
  <si>
    <t xml:space="preserve"> 31.8679 </t>
  </si>
  <si>
    <t>C:\Users\andre\Desktop\REACTIV CEFAS\Dutasteride\Dutasteride/20201202_Cefas_Test8_Run2/Plate 1/@16/D12_01- exclu.tif</t>
  </si>
  <si>
    <t>C:\Users\andre\Desktop\REACTIV CEFAS\Dutasteride\Dutasteride/20201202_Cefas_Test8_Run2/Plate 1/@16/D12_02- exclu.tif</t>
  </si>
  <si>
    <t xml:space="preserve">C:\Users\andre\Desktop\REACTIV CEFAS\Dutasteride\Dutasteride/20201202_Cefas_Test8_Run2/Plate 1/@16/D12_03.tif </t>
  </si>
  <si>
    <t xml:space="preserve"> 10187.6804 </t>
  </si>
  <si>
    <t xml:space="preserve"> 42.0594 </t>
  </si>
  <si>
    <t xml:space="preserve">C:\Users\andre\Desktop\REACTIV CEFAS\Dutasteride\Dutasteride/20201202_Cefas_Test8_Run2/Plate 1/@16/E12_01.tif </t>
  </si>
  <si>
    <t xml:space="preserve"> 410.968 </t>
  </si>
  <si>
    <t xml:space="preserve"> 31.4211 </t>
  </si>
  <si>
    <t xml:space="preserve">C:\Users\andre\Desktop\REACTIV CEFAS\Dutasteride\Dutasteride/20201202_Cefas_Test8_Run2/Plate 1/@16/E12_02.tif </t>
  </si>
  <si>
    <t xml:space="preserve"> 38.0759 </t>
  </si>
  <si>
    <t xml:space="preserve">C:\Users\andre\Desktop\REACTIV CEFAS\Dutasteride\Dutasteride/20201202_Cefas_Test8_Run2/Plate 1/@16/E12_03.tif </t>
  </si>
  <si>
    <t xml:space="preserve"> 37.0667 </t>
  </si>
  <si>
    <t xml:space="preserve">C:\Users\andre\Desktop\REACTIV CEFAS\Dutasteride\Dutasteride/20201202_Cefas_Test8_Run2/Plate 1/@16/F12_01.tif </t>
  </si>
  <si>
    <t xml:space="preserve"> 33.7235 </t>
  </si>
  <si>
    <t xml:space="preserve">C:\Users\andre\Desktop\REACTIV CEFAS\Dutasteride\Dutasteride/20201202_Cefas_Test8_Run2/Plate 1/@16/F12_02.tif </t>
  </si>
  <si>
    <t xml:space="preserve"> 7289.2745 </t>
  </si>
  <si>
    <t xml:space="preserve"> 40.6202 </t>
  </si>
  <si>
    <t xml:space="preserve">C:\Users\andre\Desktop\REACTIV CEFAS\Dutasteride\Dutasteride/20201202_Cefas_Test8_Run2/Plate 1/@16/F12_03.tif </t>
  </si>
  <si>
    <t xml:space="preserve"> 4044.7903 </t>
  </si>
  <si>
    <t xml:space="preserve"> 36.8235 </t>
  </si>
  <si>
    <t xml:space="preserve">C:\Users\andre\Desktop\REACTIV CEFAS\Dutasteride\Dutasteride/20201202_Cefas_Test8_Run2/Plate 1/@16/G12_01.tif </t>
  </si>
  <si>
    <t xml:space="preserve"> 31.7143 </t>
  </si>
  <si>
    <t xml:space="preserve">C:\Users\andre\Desktop\REACTIV CEFAS\Dutasteride\Dutasteride/20201202_Cefas_Test8_Run2/Plate 1/@16/G12_02.tif </t>
  </si>
  <si>
    <t xml:space="preserve"> 30.5 </t>
  </si>
  <si>
    <t xml:space="preserve">C:\Users\andre\Desktop\REACTIV CEFAS\Dutasteride\Dutasteride/20201202_Cefas_Test8_Run2/Plate 1/@16/G12_03.tif </t>
  </si>
  <si>
    <t xml:space="preserve"> 497.4876 </t>
  </si>
  <si>
    <t xml:space="preserve"> 31.5217 </t>
  </si>
  <si>
    <t xml:space="preserve">C:\Users\andre\Desktop\REACTIV CEFAS\Dutasteride\Dutasteride/20201202_Cefas_Test8_Run2/Plate 1/@16/H12_01.tif </t>
  </si>
  <si>
    <t xml:space="preserve"> 1103.1246 </t>
  </si>
  <si>
    <t xml:space="preserve"> 34.4118 </t>
  </si>
  <si>
    <t xml:space="preserve">C:\Users\andre\Desktop\REACTIV CEFAS\Dutasteride\Dutasteride/20201202_Cefas_Test8_Run2/Plate 1/@16/H12_02.tif </t>
  </si>
  <si>
    <t xml:space="preserve">C:\Users\andre\Desktop\REACTIV CEFAS\Dutasteride\Dutasteride/20201202_Cefas_Test8_Run2/Plate 1/@16/H12_03.tif </t>
  </si>
  <si>
    <t xml:space="preserve">C:\Users\andre\Desktop\REACTIV CEFAS\Dutasteride\Dutasteride/20201202_Cefas_Test8_Run2/Plate 1/@16/ </t>
  </si>
  <si>
    <t xml:space="preserve"> 34.9354 </t>
  </si>
  <si>
    <t xml:space="preserve"> 9.4692 </t>
  </si>
  <si>
    <t xml:space="preserve"> 213086.875 </t>
  </si>
  <si>
    <t xml:space="preserve"> 259945.568 </t>
  </si>
  <si>
    <t xml:space="preserve">C:\Users\andre\Desktop\REACTIV CEFAS\Dutasteride\Dutasteride/20201202_Cefas_Test8_Run2/Plate 1/@2/A2_01.tif </t>
  </si>
  <si>
    <t xml:space="preserve"> 33.8457 </t>
  </si>
  <si>
    <t xml:space="preserve">C:\Users\andre\Desktop\REACTIV CEFAS\Dutasteride\Dutasteride/20201202_Cefas_Test8_Run2/Plate 1/@2/A2_02.tif </t>
  </si>
  <si>
    <t xml:space="preserve"> 3114.7048 </t>
  </si>
  <si>
    <t xml:space="preserve"> 33.9236 </t>
  </si>
  <si>
    <t xml:space="preserve">C:\Users\andre\Desktop\REACTIV CEFAS\Dutasteride\Dutasteride/20201202_Cefas_Test8_Run2/Plate 1/@2/A2_03.tif </t>
  </si>
  <si>
    <t xml:space="preserve"> 33.3537 </t>
  </si>
  <si>
    <t xml:space="preserve">C:\Users\andre\Desktop\REACTIV CEFAS\Dutasteride\Dutasteride/20201202_Cefas_Test8_Run2/Plate 1/@2/B2_01.tif </t>
  </si>
  <si>
    <t xml:space="preserve"> 2811.8863 </t>
  </si>
  <si>
    <t xml:space="preserve"> 34.4308 </t>
  </si>
  <si>
    <t xml:space="preserve">C:\Users\andre\Desktop\REACTIV CEFAS\Dutasteride\Dutasteride/20201202_Cefas_Test8_Run2/Plate 1/@2/B2_02.tif </t>
  </si>
  <si>
    <t xml:space="preserve">C:\Users\andre\Desktop\REACTIV CEFAS\Dutasteride\Dutasteride/20201202_Cefas_Test8_Run2/Plate 1/@2/B2_03.tif </t>
  </si>
  <si>
    <t xml:space="preserve"> 7354.1642 </t>
  </si>
  <si>
    <t xml:space="preserve"> 38.0853 </t>
  </si>
  <si>
    <t xml:space="preserve">C:\Users\andre\Desktop\REACTIV CEFAS\Dutasteride\Dutasteride/20201202_Cefas_Test8_Run2/Plate 1/@2/C2_01.tif </t>
  </si>
  <si>
    <t xml:space="preserve"> 27707.895 </t>
  </si>
  <si>
    <t xml:space="preserve"> 34.2045 </t>
  </si>
  <si>
    <t xml:space="preserve">C:\Users\andre\Desktop\REACTIV CEFAS\Dutasteride\Dutasteride/20201202_Cefas_Test8_Run2/Plate 1/@2/C2_02.tif </t>
  </si>
  <si>
    <t xml:space="preserve"> 17758.1435 </t>
  </si>
  <si>
    <t xml:space="preserve"> 33.7942 </t>
  </si>
  <si>
    <t xml:space="preserve">C:\Users\andre\Desktop\REACTIV CEFAS\Dutasteride\Dutasteride/20201202_Cefas_Test8_Run2/Plate 1/@2/C2_03.tif </t>
  </si>
  <si>
    <t xml:space="preserve"> 20937.738 </t>
  </si>
  <si>
    <t xml:space="preserve"> 34.3089 </t>
  </si>
  <si>
    <t xml:space="preserve">C:\Users\andre\Desktop\REACTIV CEFAS\Dutasteride\Dutasteride/20201202_Cefas_Test8_Run2/Plate 1/@2/D2_01.tif </t>
  </si>
  <si>
    <t xml:space="preserve"> 865.1958 </t>
  </si>
  <si>
    <t xml:space="preserve"> 31.95 </t>
  </si>
  <si>
    <t xml:space="preserve">C:\Users\andre\Desktop\REACTIV CEFAS\Dutasteride\Dutasteride/20201202_Cefas_Test8_Run2/Plate 1/@2/D2_02.tif </t>
  </si>
  <si>
    <t xml:space="preserve"> 34.6835 </t>
  </si>
  <si>
    <t xml:space="preserve">C:\Users\andre\Desktop\REACTIV CEFAS\Dutasteride\Dutasteride/20201202_Cefas_Test8_Run2/Plate 1/@2/D2_03.tif </t>
  </si>
  <si>
    <t xml:space="preserve"> 1319.4236 </t>
  </si>
  <si>
    <t xml:space="preserve"> 32.4918 </t>
  </si>
  <si>
    <t xml:space="preserve">C:\Users\andre\Desktop\REACTIV CEFAS\Dutasteride\Dutasteride/20201202_Cefas_Test8_Run2/Plate 1/@2/E2_01.tif </t>
  </si>
  <si>
    <t xml:space="preserve"> 34.6344 </t>
  </si>
  <si>
    <t xml:space="preserve">C:\Users\andre\Desktop\REACTIV CEFAS\Dutasteride\Dutasteride/20201202_Cefas_Test8_Run2/Plate 1/@2/E2_02.tif </t>
  </si>
  <si>
    <t xml:space="preserve"> 3049.8151 </t>
  </si>
  <si>
    <t xml:space="preserve"> 36.305 </t>
  </si>
  <si>
    <t xml:space="preserve">C:\Users\andre\Desktop\REACTIV CEFAS\Dutasteride\Dutasteride/20201202_Cefas_Test8_Run2/Plate 1/@2/E2_03.tif </t>
  </si>
  <si>
    <t xml:space="preserve"> 2876.776 </t>
  </si>
  <si>
    <t xml:space="preserve"> 35.7293 </t>
  </si>
  <si>
    <t xml:space="preserve">C:\Users\andre\Desktop\REACTIV CEFAS\Dutasteride\Dutasteride/20201202_Cefas_Test8_Run2/Plate 1/@2/F2_01.tif </t>
  </si>
  <si>
    <t xml:space="preserve"> 33.3308 </t>
  </si>
  <si>
    <t xml:space="preserve">C:\Users\andre\Desktop\REACTIV CEFAS\Dutasteride\Dutasteride/20201202_Cefas_Test8_Run2/Plate 1/@2/F2_02.tif </t>
  </si>
  <si>
    <t xml:space="preserve"> 32.9195 </t>
  </si>
  <si>
    <t xml:space="preserve">C:\Users\andre\Desktop\REACTIV CEFAS\Dutasteride\Dutasteride/20201202_Cefas_Test8_Run2/Plate 1/@2/F2_03.tif </t>
  </si>
  <si>
    <t xml:space="preserve"> 1470.8328 </t>
  </si>
  <si>
    <t xml:space="preserve"> 32.7353 </t>
  </si>
  <si>
    <t xml:space="preserve">C:\Users\andre\Desktop\REACTIV CEFAS\Dutasteride\Dutasteride/20201202_Cefas_Test8_Run2/Plate 1/@2/G2_01.tif </t>
  </si>
  <si>
    <t xml:space="preserve"> 38.9525 </t>
  </si>
  <si>
    <t xml:space="preserve">C:\Users\andre\Desktop\REACTIV CEFAS\Dutasteride\Dutasteride/20201202_Cefas_Test8_Run2/Plate 1/@2/G2_02.tif </t>
  </si>
  <si>
    <t xml:space="preserve"> 5775.1819 </t>
  </si>
  <si>
    <t xml:space="preserve"> 34.8165 </t>
  </si>
  <si>
    <t xml:space="preserve">C:\Users\andre\Desktop\REACTIV CEFAS\Dutasteride\Dutasteride/20201202_Cefas_Test8_Run2/Plate 1/@2/G2_03.tif </t>
  </si>
  <si>
    <t xml:space="preserve"> 34.7087 </t>
  </si>
  <si>
    <t xml:space="preserve">C:\Users\andre\Desktop\REACTIV CEFAS\Dutasteride\Dutasteride/20201202_Cefas_Test8_Run2/Plate 1/@2/H2_01.tif </t>
  </si>
  <si>
    <t xml:space="preserve"> 37.4463 </t>
  </si>
  <si>
    <t xml:space="preserve">C:\Users\andre\Desktop\REACTIV CEFAS\Dutasteride\Dutasteride/20201202_Cefas_Test8_Run2/Plate 1/@2/H2_02.tif </t>
  </si>
  <si>
    <t xml:space="preserve"> 3287.744 </t>
  </si>
  <si>
    <t xml:space="preserve"> 37.9276 </t>
  </si>
  <si>
    <t xml:space="preserve">C:\Users\andre\Desktop\REACTIV CEFAS\Dutasteride\Dutasteride/20201202_Cefas_Test8_Run2/Plate 1/@2/H2_03.tif </t>
  </si>
  <si>
    <t xml:space="preserve"> 1254.5339 </t>
  </si>
  <si>
    <t xml:space="preserve"> 31.9655 </t>
  </si>
  <si>
    <t xml:space="preserve">C:\Users\andre\Desktop\REACTIV CEFAS\Dutasteride\Dutasteride/20201202_Cefas_Test8_Run2/Plate 1/@2/ </t>
  </si>
  <si>
    <t xml:space="preserve"> 34.4393 </t>
  </si>
  <si>
    <t xml:space="preserve"> 2.1354 </t>
  </si>
  <si>
    <t xml:space="preserve"> 196056.958 </t>
  </si>
  <si>
    <t xml:space="preserve"> 232984.333 </t>
  </si>
  <si>
    <t>C:\Users\andre\Desktop\REACTIV CEFAS\Dutasteride\Dutasteride/20201202_Cefas_Test8_Run2/Plate 1/@3/A3_01- exclu.tif</t>
  </si>
  <si>
    <t>C:\Users\andre\Desktop\REACTIV CEFAS\Dutasteride\Dutasteride/20201202_Cefas_Test8_Run2/Plate 1/@3/A3_02- exclu.tif</t>
  </si>
  <si>
    <t>C:\Users\andre\Desktop\REACTIV CEFAS\Dutasteride\Dutasteride/20201202_Cefas_Test8_Run2/Plate 1/@3/A3_03- exclu.tif</t>
  </si>
  <si>
    <t xml:space="preserve">C:\Users\andre\Desktop\REACTIV CEFAS\Dutasteride\Dutasteride/20201202_Cefas_Test8_Run2/Plate 1/@3/B3_01.tif </t>
  </si>
  <si>
    <t xml:space="preserve"> 1427.573 </t>
  </si>
  <si>
    <t xml:space="preserve"> 33.0303 </t>
  </si>
  <si>
    <t xml:space="preserve">C:\Users\andre\Desktop\REACTIV CEFAS\Dutasteride\Dutasteride/20201202_Cefas_Test8_Run2/Plate 1/@3/B3_02.tif </t>
  </si>
  <si>
    <t xml:space="preserve"> 33.5354 </t>
  </si>
  <si>
    <t xml:space="preserve">C:\Users\andre\Desktop\REACTIV CEFAS\Dutasteride\Dutasteride/20201202_Cefas_Test8_Run2/Plate 1/@3/B3_03.tif </t>
  </si>
  <si>
    <t xml:space="preserve"> 4066.4202 </t>
  </si>
  <si>
    <t xml:space="preserve"> 36.1915 </t>
  </si>
  <si>
    <t xml:space="preserve">C:\Users\andre\Desktop\REACTIV CEFAS\Dutasteride\Dutasteride/20201202_Cefas_Test8_Run2/Plate 1/@3/C3_01.tif </t>
  </si>
  <si>
    <t xml:space="preserve"> 1384.3133 </t>
  </si>
  <si>
    <t xml:space="preserve"> 33.3125 </t>
  </si>
  <si>
    <t xml:space="preserve">C:\Users\andre\Desktop\REACTIV CEFAS\Dutasteride\Dutasteride/20201202_Cefas_Test8_Run2/Plate 1/@3/C3_02.tif </t>
  </si>
  <si>
    <t xml:space="preserve">C:\Users\andre\Desktop\REACTIV CEFAS\Dutasteride\Dutasteride/20201202_Cefas_Test8_Run2/Plate 1/@3/C3_03.tif </t>
  </si>
  <si>
    <t xml:space="preserve"> 36.5077 </t>
  </si>
  <si>
    <t xml:space="preserve">C:\Users\andre\Desktop\REACTIV CEFAS\Dutasteride\Dutasteride/20201202_Cefas_Test8_Run2/Plate 1/@3/D3_01.tif </t>
  </si>
  <si>
    <t xml:space="preserve"> 32.9403 </t>
  </si>
  <si>
    <t xml:space="preserve">C:\Users\andre\Desktop\REACTIV CEFAS\Dutasteride\Dutasteride/20201202_Cefas_Test8_Run2/Plate 1/@3/D3_02.tif </t>
  </si>
  <si>
    <t xml:space="preserve"> 15249.0757 </t>
  </si>
  <si>
    <t xml:space="preserve"> 32.0241 </t>
  </si>
  <si>
    <t xml:space="preserve">C:\Users\andre\Desktop\REACTIV CEFAS\Dutasteride\Dutasteride/20201202_Cefas_Test8_Run2/Plate 1/@3/D3_03.tif </t>
  </si>
  <si>
    <t xml:space="preserve"> 11420.5844 </t>
  </si>
  <si>
    <t xml:space="preserve"> 34.8693 </t>
  </si>
  <si>
    <t>C:\Users\andre\Desktop\REACTIV CEFAS\Dutasteride\Dutasteride/20201202_Cefas_Test8_Run2/Plate 1/@3/E3_01- exclu.tif</t>
  </si>
  <si>
    <t>C:\Users\andre\Desktop\REACTIV CEFAS\Dutasteride\Dutasteride/20201202_Cefas_Test8_Run2/Plate 1/@3/E3_02- exclu.tif</t>
  </si>
  <si>
    <t>C:\Users\andre\Desktop\REACTIV CEFAS\Dutasteride\Dutasteride/20201202_Cefas_Test8_Run2/Plate 1/@3/E3_03- exclu.tif</t>
  </si>
  <si>
    <t xml:space="preserve">C:\Users\andre\Desktop\REACTIV CEFAS\Dutasteride\Dutasteride/20201202_Cefas_Test8_Run2/Plate 1/@3/F3_01.tif </t>
  </si>
  <si>
    <t xml:space="preserve"> 31.8864 </t>
  </si>
  <si>
    <t xml:space="preserve">C:\Users\andre\Desktop\REACTIV CEFAS\Dutasteride\Dutasteride/20201202_Cefas_Test8_Run2/Plate 1/@3/F3_02.tif </t>
  </si>
  <si>
    <t xml:space="preserve">C:\Users\andre\Desktop\REACTIV CEFAS\Dutasteride\Dutasteride/20201202_Cefas_Test8_Run2/Plate 1/@3/F3_03.tif </t>
  </si>
  <si>
    <t xml:space="preserve"> 31.4146 </t>
  </si>
  <si>
    <t xml:space="preserve">C:\Users\andre\Desktop\REACTIV CEFAS\Dutasteride\Dutasteride/20201202_Cefas_Test8_Run2/Plate 1/@3/G3_01.tif </t>
  </si>
  <si>
    <t xml:space="preserve">C:\Users\andre\Desktop\REACTIV CEFAS\Dutasteride\Dutasteride/20201202_Cefas_Test8_Run2/Plate 1/@3/G3_02.tif </t>
  </si>
  <si>
    <t xml:space="preserve"> 10036.2711 </t>
  </si>
  <si>
    <t xml:space="preserve"> 39.6379 </t>
  </si>
  <si>
    <t>C:\Users\andre\Desktop\REACTIV CEFAS\Dutasteride\Dutasteride/20201202_Cefas_Test8_Run2/Plate 1/@3/G3_03- exclu.tif</t>
  </si>
  <si>
    <t xml:space="preserve">C:\Users\andre\Desktop\REACTIV CEFAS\Dutasteride\Dutasteride/20201202_Cefas_Test8_Run2/Plate 1/@3/H3_01.tif </t>
  </si>
  <si>
    <t xml:space="preserve"> 31.1967 </t>
  </si>
  <si>
    <t>C:\Users\andre\Desktop\REACTIV CEFAS\Dutasteride\Dutasteride/20201202_Cefas_Test8_Run2/Plate 1/@3/H3_02- exclu.tif</t>
  </si>
  <si>
    <t xml:space="preserve">C:\Users\andre\Desktop\REACTIV CEFAS\Dutasteride\Dutasteride/20201202_Cefas_Test8_Run2/Plate 1/@3/H3_03.tif </t>
  </si>
  <si>
    <t xml:space="preserve"> 605.637 </t>
  </si>
  <si>
    <t xml:space="preserve"> 31.4643 </t>
  </si>
  <si>
    <t xml:space="preserve">C:\Users\andre\Desktop\REACTIV CEFAS\Dutasteride\Dutasteride/20201202_Cefas_Test8_Run2/Plate 1/@3/ </t>
  </si>
  <si>
    <t xml:space="preserve"> 27.0137 </t>
  </si>
  <si>
    <t xml:space="preserve"> 16.6686 </t>
  </si>
  <si>
    <t xml:space="preserve"> 167286.5 </t>
  </si>
  <si>
    <t xml:space="preserve"> 194947.832 </t>
  </si>
  <si>
    <t xml:space="preserve">C:\Users\andre\Desktop\REACTIV CEFAS\Dutasteride\Dutasteride/20201202_Cefas_Test8_Run2/Plate 1/@4/A4_01.tif </t>
  </si>
  <si>
    <t xml:space="preserve"> 11074.506 </t>
  </si>
  <si>
    <t xml:space="preserve"> 38.916 </t>
  </si>
  <si>
    <t xml:space="preserve">C:\Users\andre\Desktop\REACTIV CEFAS\Dutasteride\Dutasteride/20201202_Cefas_Test8_Run2/Plate 1/@4/A4_02.tif </t>
  </si>
  <si>
    <t xml:space="preserve"> 32.2713 </t>
  </si>
  <si>
    <t xml:space="preserve">C:\Users\andre\Desktop\REACTIV CEFAS\Dutasteride\Dutasteride/20201202_Cefas_Test8_Run2/Plate 1/@4/A4_03.tif </t>
  </si>
  <si>
    <t xml:space="preserve"> 36.8706 </t>
  </si>
  <si>
    <t xml:space="preserve">C:\Users\andre\Desktop\REACTIV CEFAS\Dutasteride\Dutasteride/20201202_Cefas_Test8_Run2/Plate 1/@4/B4_01.tif </t>
  </si>
  <si>
    <t xml:space="preserve"> 64089.3778 </t>
  </si>
  <si>
    <t xml:space="preserve"> 38.5251 </t>
  </si>
  <si>
    <t>C:\Users\andre\Desktop\REACTIV CEFAS\Dutasteride\Dutasteride/20201202_Cefas_Test8_Run2/Plate 1/@4/B4_02- exclu.tif</t>
  </si>
  <si>
    <t xml:space="preserve">C:\Users\andre\Desktop\REACTIV CEFAS\Dutasteride\Dutasteride/20201202_Cefas_Test8_Run2/Plate 1/@4/B4_03.tif </t>
  </si>
  <si>
    <t xml:space="preserve"> 36.7334 </t>
  </si>
  <si>
    <t xml:space="preserve">C:\Users\andre\Desktop\REACTIV CEFAS\Dutasteride\Dutasteride/20201202_Cefas_Test8_Run2/Plate 1/@4/C4_01.tif </t>
  </si>
  <si>
    <t xml:space="preserve"> 37852.3156 </t>
  </si>
  <si>
    <t xml:space="preserve"> 34.012 </t>
  </si>
  <si>
    <t xml:space="preserve">C:\Users\andre\Desktop\REACTIV CEFAS\Dutasteride\Dutasteride/20201202_Cefas_Test8_Run2/Plate 1/@4/C4_02.tif </t>
  </si>
  <si>
    <t xml:space="preserve"> 54053.1067 </t>
  </si>
  <si>
    <t xml:space="preserve"> 37.1072 </t>
  </si>
  <si>
    <t xml:space="preserve">C:\Users\andre\Desktop\REACTIV CEFAS\Dutasteride\Dutasteride/20201202_Cefas_Test8_Run2/Plate 1/@4/C4_03.tif </t>
  </si>
  <si>
    <t xml:space="preserve"> 44514.3231 </t>
  </si>
  <si>
    <t xml:space="preserve"> 35.3134 </t>
  </si>
  <si>
    <t xml:space="preserve">C:\Users\andre\Desktop\REACTIV CEFAS\Dutasteride\Dutasteride/20201202_Cefas_Test8_Run2/Plate 1/@4/D4_01.tif </t>
  </si>
  <si>
    <t xml:space="preserve"> 43173.2697 </t>
  </si>
  <si>
    <t xml:space="preserve"> 39.3086 </t>
  </si>
  <si>
    <t xml:space="preserve">C:\Users\andre\Desktop\REACTIV CEFAS\Dutasteride\Dutasteride/20201202_Cefas_Test8_Run2/Plate 1/@4/D4_02.tif </t>
  </si>
  <si>
    <t xml:space="preserve"> 36554.5219 </t>
  </si>
  <si>
    <t xml:space="preserve"> 35.8373 </t>
  </si>
  <si>
    <t xml:space="preserve">C:\Users\andre\Desktop\REACTIV CEFAS\Dutasteride\Dutasteride/20201202_Cefas_Test8_Run2/Plate 1/@4/D4_03.tif </t>
  </si>
  <si>
    <t xml:space="preserve"> 31904.0946 </t>
  </si>
  <si>
    <t xml:space="preserve"> 34.8563 </t>
  </si>
  <si>
    <t>C:\Users\andre\Desktop\REACTIV CEFAS\Dutasteride\Dutasteride/20201202_Cefas_Test8_Run2/Plate 1/@4/E4_01- exclu.tif</t>
  </si>
  <si>
    <t>C:\Users\andre\Desktop\REACTIV CEFAS\Dutasteride\Dutasteride/20201202_Cefas_Test8_Run2/Plate 1/@4/E4_02- exclu.tif</t>
  </si>
  <si>
    <t>C:\Users\andre\Desktop\REACTIV CEFAS\Dutasteride\Dutasteride/20201202_Cefas_Test8_Run2/Plate 1/@4/E4_03- exclu.tif</t>
  </si>
  <si>
    <t xml:space="preserve">C:\Users\andre\Desktop\REACTIV CEFAS\Dutasteride\Dutasteride/20201202_Cefas_Test8_Run2/Plate 1/@4/F4_01.tif </t>
  </si>
  <si>
    <t xml:space="preserve"> 50808.6225 </t>
  </si>
  <si>
    <t xml:space="preserve"> 35.5539 </t>
  </si>
  <si>
    <t xml:space="preserve">C:\Users\andre\Desktop\REACTIV CEFAS\Dutasteride\Dutasteride/20201202_Cefas_Test8_Run2/Plate 1/@4/F4_02.tif </t>
  </si>
  <si>
    <t xml:space="preserve"> 48861.932 </t>
  </si>
  <si>
    <t xml:space="preserve"> 35.7242 </t>
  </si>
  <si>
    <t xml:space="preserve">C:\Users\andre\Desktop\REACTIV CEFAS\Dutasteride\Dutasteride/20201202_Cefas_Test8_Run2/Plate 1/@4/F4_03.tif </t>
  </si>
  <si>
    <t xml:space="preserve"> 46958.5012 </t>
  </si>
  <si>
    <t xml:space="preserve"> 34.8669 </t>
  </si>
  <si>
    <t xml:space="preserve">C:\Users\andre\Desktop\REACTIV CEFAS\Dutasteride\Dutasteride/20201202_Cefas_Test8_Run2/Plate 1/@4/G4_01.tif </t>
  </si>
  <si>
    <t xml:space="preserve"> 10317.4597 </t>
  </si>
  <si>
    <t xml:space="preserve"> 34.2872 </t>
  </si>
  <si>
    <t xml:space="preserve">C:\Users\andre\Desktop\REACTIV CEFAS\Dutasteride\Dutasteride/20201202_Cefas_Test8_Run2/Plate 1/@4/G4_02.tif </t>
  </si>
  <si>
    <t xml:space="preserve"> 17001.0972 </t>
  </si>
  <si>
    <t xml:space="preserve"> 35.6018 </t>
  </si>
  <si>
    <t xml:space="preserve">C:\Users\andre\Desktop\REACTIV CEFAS\Dutasteride\Dutasteride/20201202_Cefas_Test8_Run2/Plate 1/@4/G4_03.tif </t>
  </si>
  <si>
    <t xml:space="preserve"> 14556.9191 </t>
  </si>
  <si>
    <t xml:space="preserve"> 35.2288 </t>
  </si>
  <si>
    <t>C:\Users\andre\Desktop\REACTIV CEFAS\Dutasteride\Dutasteride/20201202_Cefas_Test8_Run2/Plate 1/@4/H4_01- exclu.tif</t>
  </si>
  <si>
    <t>C:\Users\andre\Desktop\REACTIV CEFAS\Dutasteride\Dutasteride/20201202_Cefas_Test8_Run2/Plate 1/@4/H4_02- exclu.tif</t>
  </si>
  <si>
    <t>C:\Users\andre\Desktop\REACTIV CEFAS\Dutasteride\Dutasteride/20201202_Cefas_Test8_Run2/Plate 1/@4/H4_03- exclu.tif</t>
  </si>
  <si>
    <t xml:space="preserve">C:\Users\andre\Desktop\REACTIV CEFAS\Dutasteride\Dutasteride/20201202_Cefas_Test8_Run2/Plate 1/@4/ </t>
  </si>
  <si>
    <t xml:space="preserve"> 31.0104 </t>
  </si>
  <si>
    <t xml:space="preserve"> 12.1722 </t>
  </si>
  <si>
    <t xml:space="preserve"> 934927.083 </t>
  </si>
  <si>
    <t xml:space="preserve"> 807607.877 </t>
  </si>
  <si>
    <t xml:space="preserve">C:\Users\andre\Desktop\REACTIV CEFAS\Dutasteride\Dutasteride/20201202_Cefas_Test8_Run2/Plate 1/@5/A5_01.tif </t>
  </si>
  <si>
    <t xml:space="preserve"> 39561.0773 </t>
  </si>
  <si>
    <t xml:space="preserve"> 36.9371 </t>
  </si>
  <si>
    <t xml:space="preserve">C:\Users\andre\Desktop\REACTIV CEFAS\Dutasteride\Dutasteride/20201202_Cefas_Test8_Run2/Plate 1/@5/A5_02.tif </t>
  </si>
  <si>
    <t xml:space="preserve"> 42264.8141 </t>
  </si>
  <si>
    <t xml:space="preserve"> 37.0942 </t>
  </si>
  <si>
    <t xml:space="preserve">C:\Users\andre\Desktop\REACTIV CEFAS\Dutasteride\Dutasteride/20201202_Cefas_Test8_Run2/Plate 1/@5/A5_03.tif </t>
  </si>
  <si>
    <t xml:space="preserve"> 34456.4221 </t>
  </si>
  <si>
    <t xml:space="preserve"> 34.5016 </t>
  </si>
  <si>
    <t xml:space="preserve">C:\Users\andre\Desktop\REACTIV CEFAS\Dutasteride\Dutasteride/20201202_Cefas_Test8_Run2/Plate 1/@5/B5_01.tif </t>
  </si>
  <si>
    <t xml:space="preserve"> 40.4874 </t>
  </si>
  <si>
    <t xml:space="preserve">C:\Users\andre\Desktop\REACTIV CEFAS\Dutasteride\Dutasteride/20201202_Cefas_Test8_Run2/Plate 1/@5/B5_02.tif </t>
  </si>
  <si>
    <t xml:space="preserve"> 63094.4026 </t>
  </si>
  <si>
    <t xml:space="preserve"> 40.2873 </t>
  </si>
  <si>
    <t xml:space="preserve">C:\Users\andre\Desktop\REACTIV CEFAS\Dutasteride\Dutasteride/20201202_Cefas_Test8_Run2/Plate 1/@5/B5_03.tif </t>
  </si>
  <si>
    <t xml:space="preserve"> 49575.7185 </t>
  </si>
  <si>
    <t xml:space="preserve"> 37.6976 </t>
  </si>
  <si>
    <t xml:space="preserve">C:\Users\andre\Desktop\REACTIV CEFAS\Dutasteride\Dutasteride/20201202_Cefas_Test8_Run2/Plate 1/@5/C5_01.tif </t>
  </si>
  <si>
    <t xml:space="preserve"> 40.5493 </t>
  </si>
  <si>
    <t xml:space="preserve">C:\Users\andre\Desktop\REACTIV CEFAS\Dutasteride\Dutasteride/20201202_Cefas_Test8_Run2/Plate 1/@5/C5_02.tif </t>
  </si>
  <si>
    <t xml:space="preserve"> 45422.7787 </t>
  </si>
  <si>
    <t xml:space="preserve"> 38.7295 </t>
  </si>
  <si>
    <t xml:space="preserve">C:\Users\andre\Desktop\REACTIV CEFAS\Dutasteride\Dutasteride/20201202_Cefas_Test8_Run2/Plate 1/@5/C5_03.tif </t>
  </si>
  <si>
    <t xml:space="preserve"> 47304.5796 </t>
  </si>
  <si>
    <t xml:space="preserve"> 40.7124 </t>
  </si>
  <si>
    <t xml:space="preserve">C:\Users\andre\Desktop\REACTIV CEFAS\Dutasteride\Dutasteride/20201202_Cefas_Test8_Run2/Plate 1/@5/D5_01.tif </t>
  </si>
  <si>
    <t xml:space="preserve"> 51544.0389 </t>
  </si>
  <si>
    <t xml:space="preserve"> 39.7499 </t>
  </si>
  <si>
    <t xml:space="preserve">C:\Users\andre\Desktop\REACTIV CEFAS\Dutasteride\Dutasteride/20201202_Cefas_Test8_Run2/Plate 1/@5/D5_02.tif </t>
  </si>
  <si>
    <t xml:space="preserve"> 50570.6936 </t>
  </si>
  <si>
    <t xml:space="preserve"> 39.2258 </t>
  </si>
  <si>
    <t xml:space="preserve">C:\Users\andre\Desktop\REACTIV CEFAS\Dutasteride\Dutasteride/20201202_Cefas_Test8_Run2/Plate 1/@5/D5_03.tif </t>
  </si>
  <si>
    <t xml:space="preserve"> 37.0273 </t>
  </si>
  <si>
    <t xml:space="preserve">C:\Users\andre\Desktop\REACTIV CEFAS\Dutasteride\Dutasteride/20201202_Cefas_Test8_Run2/Plate 1/@5/E5_01.tif </t>
  </si>
  <si>
    <t xml:space="preserve"> 44644.1025 </t>
  </si>
  <si>
    <t xml:space="preserve"> 41.6928 </t>
  </si>
  <si>
    <t xml:space="preserve">C:\Users\andre\Desktop\REACTIV CEFAS\Dutasteride\Dutasteride/20201202_Cefas_Test8_Run2/Plate 1/@5/E5_02.tif </t>
  </si>
  <si>
    <t xml:space="preserve"> 42567.6326 </t>
  </si>
  <si>
    <t xml:space="preserve"> 39.5767 </t>
  </si>
  <si>
    <t xml:space="preserve">C:\Users\andre\Desktop\REACTIV CEFAS\Dutasteride\Dutasteride/20201202_Cefas_Test8_Run2/Plate 1/@5/E5_03.tif </t>
  </si>
  <si>
    <t xml:space="preserve"> 38522.8423 </t>
  </si>
  <si>
    <t xml:space="preserve"> 39.0898 </t>
  </si>
  <si>
    <t xml:space="preserve">C:\Users\andre\Desktop\REACTIV CEFAS\Dutasteride\Dutasteride/20201202_Cefas_Test8_Run2/Plate 1/@5/F5_01.tif </t>
  </si>
  <si>
    <t xml:space="preserve"> 63397.2212 </t>
  </si>
  <si>
    <t xml:space="preserve"> 40.4674 </t>
  </si>
  <si>
    <t xml:space="preserve">C:\Users\andre\Desktop\REACTIV CEFAS\Dutasteride\Dutasteride/20201202_Cefas_Test8_Run2/Plate 1/@5/F5_02.tif </t>
  </si>
  <si>
    <t xml:space="preserve"> 48299.5547 </t>
  </si>
  <si>
    <t xml:space="preserve"> 38.1026 </t>
  </si>
  <si>
    <t xml:space="preserve">C:\Users\andre\Desktop\REACTIV CEFAS\Dutasteride\Dutasteride/20201202_Cefas_Test8_Run2/Plate 1/@5/F5_03.tif </t>
  </si>
  <si>
    <t xml:space="preserve"> 56043.057 </t>
  </si>
  <si>
    <t xml:space="preserve"> 40.6538 </t>
  </si>
  <si>
    <t xml:space="preserve">C:\Users\andre\Desktop\REACTIV CEFAS\Dutasteride\Dutasteride/20201202_Cefas_Test8_Run2/Plate 1/@5/G5_01.tif </t>
  </si>
  <si>
    <t xml:space="preserve"> 54312.6654 </t>
  </si>
  <si>
    <t xml:space="preserve"> 38.233 </t>
  </si>
  <si>
    <t xml:space="preserve">C:\Users\andre\Desktop\REACTIV CEFAS\Dutasteride\Dutasteride/20201202_Cefas_Test8_Run2/Plate 1/@5/G5_02.tif </t>
  </si>
  <si>
    <t xml:space="preserve"> 52625.5336 </t>
  </si>
  <si>
    <t xml:space="preserve"> 37.7493 </t>
  </si>
  <si>
    <t xml:space="preserve">C:\Users\andre\Desktop\REACTIV CEFAS\Dutasteride\Dutasteride/20201202_Cefas_Test8_Run2/Plate 1/@5/G5_03.tif </t>
  </si>
  <si>
    <t xml:space="preserve"> 57189.4414 </t>
  </si>
  <si>
    <t xml:space="preserve"> 41.4107 </t>
  </si>
  <si>
    <t xml:space="preserve">C:\Users\andre\Desktop\REACTIV CEFAS\Dutasteride\Dutasteride/20201202_Cefas_Test8_Run2/Plate 1/@5/H5_01.tif </t>
  </si>
  <si>
    <t xml:space="preserve"> 15076.0366 </t>
  </si>
  <si>
    <t xml:space="preserve"> 34.0416 </t>
  </si>
  <si>
    <t xml:space="preserve">C:\Users\andre\Desktop\REACTIV CEFAS\Dutasteride\Dutasteride/20201202_Cefas_Test8_Run2/Plate 1/@5/H5_02.tif </t>
  </si>
  <si>
    <t xml:space="preserve"> 22062.4925 </t>
  </si>
  <si>
    <t xml:space="preserve"> 37.1657 </t>
  </si>
  <si>
    <t xml:space="preserve">C:\Users\andre\Desktop\REACTIV CEFAS\Dutasteride\Dutasteride/20201202_Cefas_Test8_Run2/Plate 1/@5/H5_03.tif </t>
  </si>
  <si>
    <t xml:space="preserve"> 21218.9266 </t>
  </si>
  <si>
    <t xml:space="preserve"> 36.208 </t>
  </si>
  <si>
    <t xml:space="preserve">C:\Users\andre\Desktop\REACTIV CEFAS\Dutasteride\Dutasteride/20201202_Cefas_Test8_Run2/Plate 1/@5/ </t>
  </si>
  <si>
    <t xml:space="preserve"> 38.6413 </t>
  </si>
  <si>
    <t xml:space="preserve"> 2.059 </t>
  </si>
  <si>
    <t xml:space="preserve"> 1778478.54 </t>
  </si>
  <si>
    <t xml:space="preserve"> 540353.432 </t>
  </si>
  <si>
    <t xml:space="preserve">C:\Users\andre\Desktop\REACTIV CEFAS\Dutasteride\Dutasteride/20201202_Cefas_Test8_Run2/Plate 1/@6/A6_01.tif </t>
  </si>
  <si>
    <t xml:space="preserve"> 58292.566 </t>
  </si>
  <si>
    <t xml:space="preserve"> 49.0059 </t>
  </si>
  <si>
    <t xml:space="preserve">C:\Users\andre\Desktop\REACTIV CEFAS\Dutasteride\Dutasteride/20201202_Cefas_Test8_Run2/Plate 1/@6/A6_02.tif </t>
  </si>
  <si>
    <t xml:space="preserve"> 49.332 </t>
  </si>
  <si>
    <t xml:space="preserve">C:\Users\andre\Desktop\REACTIV CEFAS\Dutasteride\Dutasteride/20201202_Cefas_Test8_Run2/Plate 1/@6/A6_03.tif </t>
  </si>
  <si>
    <t xml:space="preserve"> 74601.5066 </t>
  </si>
  <si>
    <t xml:space="preserve"> 47.8449 </t>
  </si>
  <si>
    <t xml:space="preserve">C:\Users\andre\Desktop\REACTIV CEFAS\Dutasteride\Dutasteride/20201202_Cefas_Test8_Run2/Plate 1/@6/B6_01.tif </t>
  </si>
  <si>
    <t xml:space="preserve"> 35343.2478 </t>
  </si>
  <si>
    <t xml:space="preserve"> 37.7289 </t>
  </si>
  <si>
    <t xml:space="preserve">C:\Users\andre\Desktop\REACTIV CEFAS\Dutasteride\Dutasteride/20201202_Cefas_Test8_Run2/Plate 1/@6/B6_02.tif </t>
  </si>
  <si>
    <t xml:space="preserve"> 33007.2192 </t>
  </si>
  <si>
    <t xml:space="preserve">C:\Users\andre\Desktop\REACTIV CEFAS\Dutasteride\Dutasteride/20201202_Cefas_Test8_Run2/Plate 1/@6/B6_03.tif </t>
  </si>
  <si>
    <t xml:space="preserve"> 37722.5362 </t>
  </si>
  <si>
    <t xml:space="preserve"> 42.3039 </t>
  </si>
  <si>
    <t xml:space="preserve">C:\Users\andre\Desktop\REACTIV CEFAS\Dutasteride\Dutasteride/20201202_Cefas_Test8_Run2/Plate 1/@6/C6_01.tif </t>
  </si>
  <si>
    <t xml:space="preserve"> 87363.1444 </t>
  </si>
  <si>
    <t xml:space="preserve"> 46.5454 </t>
  </si>
  <si>
    <t xml:space="preserve">C:\Users\andre\Desktop\REACTIV CEFAS\Dutasteride\Dutasteride/20201202_Cefas_Test8_Run2/Plate 1/@6/C6_02.tif </t>
  </si>
  <si>
    <t xml:space="preserve"> 90239.9204 </t>
  </si>
  <si>
    <t xml:space="preserve"> 44.5916 </t>
  </si>
  <si>
    <t xml:space="preserve">C:\Users\andre\Desktop\REACTIV CEFAS\Dutasteride\Dutasteride/20201202_Cefas_Test8_Run2/Plate 1/@6/C6_03.tif </t>
  </si>
  <si>
    <t xml:space="preserve"> 78538.1474 </t>
  </si>
  <si>
    <t xml:space="preserve"> 43.4693 </t>
  </si>
  <si>
    <t xml:space="preserve">C:\Users\andre\Desktop\REACTIV CEFAS\Dutasteride\Dutasteride/20201202_Cefas_Test8_Run2/Plate 1/@6/D6_01.tif </t>
  </si>
  <si>
    <t xml:space="preserve"> 48.9351 </t>
  </si>
  <si>
    <t xml:space="preserve">C:\Users\andre\Desktop\REACTIV CEFAS\Dutasteride\Dutasteride/20201202_Cefas_Test8_Run2/Plate 1/@6/D6_02.tif </t>
  </si>
  <si>
    <t xml:space="preserve"> 74233.7984 </t>
  </si>
  <si>
    <t xml:space="preserve"> 49.9677 </t>
  </si>
  <si>
    <t xml:space="preserve">C:\Users\andre\Desktop\REACTIV CEFAS\Dutasteride\Dutasteride/20201202_Cefas_Test8_Run2/Plate 1/@6/D6_03.tif </t>
  </si>
  <si>
    <t xml:space="preserve"> 75639.7415 </t>
  </si>
  <si>
    <t xml:space="preserve"> 49.5685 </t>
  </si>
  <si>
    <t xml:space="preserve">C:\Users\andre\Desktop\REACTIV CEFAS\Dutasteride\Dutasteride/20201202_Cefas_Test8_Run2/Plate 1/@6/E6_01.tif </t>
  </si>
  <si>
    <t xml:space="preserve"> 75596.4817 </t>
  </si>
  <si>
    <t xml:space="preserve"> 48.0472 </t>
  </si>
  <si>
    <t xml:space="preserve">C:\Users\andre\Desktop\REACTIV CEFAS\Dutasteride\Dutasteride/20201202_Cefas_Test8_Run2/Plate 1/@6/E6_02.tif </t>
  </si>
  <si>
    <t xml:space="preserve"> 73195.5634 </t>
  </si>
  <si>
    <t xml:space="preserve"> 46.781 </t>
  </si>
  <si>
    <t xml:space="preserve">C:\Users\andre\Desktop\REACTIV CEFAS\Dutasteride\Dutasteride/20201202_Cefas_Test8_Run2/Plate 1/@6/E6_03.tif </t>
  </si>
  <si>
    <t xml:space="preserve"> 79662.9019 </t>
  </si>
  <si>
    <t xml:space="preserve"> 48.6891 </t>
  </si>
  <si>
    <t xml:space="preserve">C:\Users\andre\Desktop\REACTIV CEFAS\Dutasteride\Dutasteride/20201202_Cefas_Test8_Run2/Plate 1/@6/F6_01.tif </t>
  </si>
  <si>
    <t xml:space="preserve"> 71140.7234 </t>
  </si>
  <si>
    <t xml:space="preserve"> 48.2299 </t>
  </si>
  <si>
    <t xml:space="preserve">C:\Users\andre\Desktop\REACTIV CEFAS\Dutasteride\Dutasteride/20201202_Cefas_Test8_Run2/Plate 1/@6/F6_02.tif </t>
  </si>
  <si>
    <t xml:space="preserve"> 64413.8262 </t>
  </si>
  <si>
    <t xml:space="preserve"> 47.8556 </t>
  </si>
  <si>
    <t xml:space="preserve">C:\Users\andre\Desktop\REACTIV CEFAS\Dutasteride\Dutasteride/20201202_Cefas_Test8_Run2/Plate 1/@6/F6_03.tif </t>
  </si>
  <si>
    <t xml:space="preserve"> 71789.6203 </t>
  </si>
  <si>
    <t xml:space="preserve"> 46.1392 </t>
  </si>
  <si>
    <t xml:space="preserve">C:\Users\andre\Desktop\REACTIV CEFAS\Dutasteride\Dutasteride/20201202_Cefas_Test8_Run2/Plate 1/@6/G6_01.tif </t>
  </si>
  <si>
    <t xml:space="preserve"> 84724.2973 </t>
  </si>
  <si>
    <t xml:space="preserve"> 42.8478 </t>
  </si>
  <si>
    <t xml:space="preserve">C:\Users\andre\Desktop\REACTIV CEFAS\Dutasteride\Dutasteride/20201202_Cefas_Test8_Run2/Plate 1/@6/G6_02.tif </t>
  </si>
  <si>
    <t xml:space="preserve"> 83404.8737 </t>
  </si>
  <si>
    <t xml:space="preserve"> 44.5309 </t>
  </si>
  <si>
    <t xml:space="preserve">C:\Users\andre\Desktop\REACTIV CEFAS\Dutasteride\Dutasteride/20201202_Cefas_Test8_Run2/Plate 1/@6/G6_03.tif </t>
  </si>
  <si>
    <t xml:space="preserve"> 42.7327 </t>
  </si>
  <si>
    <t xml:space="preserve">C:\Users\andre\Desktop\REACTIV CEFAS\Dutasteride\Dutasteride/20201202_Cefas_Test8_Run2/Plate 1/@6/H6_01.tif </t>
  </si>
  <si>
    <t xml:space="preserve"> 51349.3698 </t>
  </si>
  <si>
    <t xml:space="preserve"> 44.5998 </t>
  </si>
  <si>
    <t xml:space="preserve">C:\Users\andre\Desktop\REACTIV CEFAS\Dutasteride\Dutasteride/20201202_Cefas_Test8_Run2/Plate 1/@6/H6_02.tif </t>
  </si>
  <si>
    <t xml:space="preserve"> 46439.3838 </t>
  </si>
  <si>
    <t xml:space="preserve"> 46.1053 </t>
  </si>
  <si>
    <t xml:space="preserve">C:\Users\andre\Desktop\REACTIV CEFAS\Dutasteride\Dutasteride/20201202_Cefas_Test8_Run2/Plate 1/@6/H6_03.tif </t>
  </si>
  <si>
    <t xml:space="preserve"> 48537.4835 </t>
  </si>
  <si>
    <t xml:space="preserve"> 45.6012 </t>
  </si>
  <si>
    <t xml:space="preserve">C:\Users\andre\Desktop\REACTIV CEFAS\Dutasteride\Dutasteride/20201202_Cefas_Test8_Run2/Plate 1/@6/ </t>
  </si>
  <si>
    <t xml:space="preserve"> 46.0529 </t>
  </si>
  <si>
    <t xml:space="preserve"> 2.9596 </t>
  </si>
  <si>
    <t xml:space="preserve"> 3106882.88 </t>
  </si>
  <si>
    <t xml:space="preserve"> 826029.811 </t>
  </si>
  <si>
    <t xml:space="preserve">C:\Users\andre\Desktop\REACTIV CEFAS\Dutasteride\Dutasteride/20201202_Cefas_Test8_Run2/Plate 1/@7/A7_01.tif </t>
  </si>
  <si>
    <t xml:space="preserve"> 46742.2023 </t>
  </si>
  <si>
    <t xml:space="preserve"> 58.5021 </t>
  </si>
  <si>
    <t xml:space="preserve">C:\Users\andre\Desktop\REACTIV CEFAS\Dutasteride\Dutasteride/20201202_Cefas_Test8_Run2/Plate 1/@7/A7_02.tif </t>
  </si>
  <si>
    <t xml:space="preserve"> 54269.4056 </t>
  </si>
  <si>
    <t xml:space="preserve"> 60.5727 </t>
  </si>
  <si>
    <t xml:space="preserve">C:\Users\andre\Desktop\REACTIV CEFAS\Dutasteride\Dutasteride/20201202_Cefas_Test8_Run2/Plate 1/@7/A7_03.tif </t>
  </si>
  <si>
    <t xml:space="preserve"> 60909.7833 </t>
  </si>
  <si>
    <t xml:space="preserve"> 55.0202 </t>
  </si>
  <si>
    <t xml:space="preserve">C:\Users\andre\Desktop\REACTIV CEFAS\Dutasteride\Dutasteride/20201202_Cefas_Test8_Run2/Plate 1/@7/B7_01.tif </t>
  </si>
  <si>
    <t xml:space="preserve"> 53231.1707 </t>
  </si>
  <si>
    <t xml:space="preserve"> 60.3243 </t>
  </si>
  <si>
    <t>C:\Users\andre\Desktop\REACTIV CEFAS\Dutasteride\Dutasteride/20201202_Cefas_Test8_Run2/Plate 1/@7/B7_02- exclu.tif</t>
  </si>
  <si>
    <t xml:space="preserve">C:\Users\andre\Desktop\REACTIV CEFAS\Dutasteride\Dutasteride/20201202_Cefas_Test8_Run2/Plate 1/@7/B7_03.tif </t>
  </si>
  <si>
    <t xml:space="preserve"> 86606.0981 </t>
  </si>
  <si>
    <t xml:space="preserve"> 62.0649 </t>
  </si>
  <si>
    <t xml:space="preserve">C:\Users\andre\Desktop\REACTIV CEFAS\Dutasteride\Dutasteride/20201202_Cefas_Test8_Run2/Plate 1/@7/C7_01.tif </t>
  </si>
  <si>
    <t xml:space="preserve"> 84270.0695 </t>
  </si>
  <si>
    <t xml:space="preserve"> 61.0898 </t>
  </si>
  <si>
    <t xml:space="preserve">C:\Users\andre\Desktop\REACTIV CEFAS\Dutasteride\Dutasteride/20201202_Cefas_Test8_Run2/Plate 1/@7/C7_02.tif </t>
  </si>
  <si>
    <t xml:space="preserve"> 84897.3364 </t>
  </si>
  <si>
    <t xml:space="preserve"> 56.3699 </t>
  </si>
  <si>
    <t xml:space="preserve">C:\Users\andre\Desktop\REACTIV CEFAS\Dutasteride\Dutasteride/20201202_Cefas_Test8_Run2/Plate 1/@7/C7_03.tif </t>
  </si>
  <si>
    <t xml:space="preserve"> 64.2644 </t>
  </si>
  <si>
    <t xml:space="preserve">C:\Users\andre\Desktop\REACTIV CEFAS\Dutasteride\Dutasteride/20201202_Cefas_Test8_Run2/Plate 1/@7/D7_01.tif </t>
  </si>
  <si>
    <t xml:space="preserve"> 86260.0198 </t>
  </si>
  <si>
    <t xml:space="preserve"> 62.3608 </t>
  </si>
  <si>
    <t xml:space="preserve">C:\Users\andre\Desktop\REACTIV CEFAS\Dutasteride\Dutasteride/20201202_Cefas_Test8_Run2/Plate 1/@7/D7_02.tif </t>
  </si>
  <si>
    <t xml:space="preserve"> 82712.7171 </t>
  </si>
  <si>
    <t xml:space="preserve"> 57.5544 </t>
  </si>
  <si>
    <t xml:space="preserve">C:\Users\andre\Desktop\REACTIV CEFAS\Dutasteride\Dutasteride/20201202_Cefas_Test8_Run2/Plate 1/@7/D7_03.tif </t>
  </si>
  <si>
    <t xml:space="preserve"> 86389.7991 </t>
  </si>
  <si>
    <t xml:space="preserve"> 61.4394 </t>
  </si>
  <si>
    <t xml:space="preserve">C:\Users\andre\Desktop\REACTIV CEFAS\Dutasteride\Dutasteride/20201202_Cefas_Test8_Run2/Plate 1/@7/E7_01.tif </t>
  </si>
  <si>
    <t xml:space="preserve"> 58487.2351 </t>
  </si>
  <si>
    <t xml:space="preserve"> 56.2703 </t>
  </si>
  <si>
    <t xml:space="preserve">C:\Users\andre\Desktop\REACTIV CEFAS\Dutasteride\Dutasteride/20201202_Cefas_Test8_Run2/Plate 1/@7/E7_02.tif </t>
  </si>
  <si>
    <t xml:space="preserve"> 68328.8371 </t>
  </si>
  <si>
    <t xml:space="preserve"> 56.2858 </t>
  </si>
  <si>
    <t xml:space="preserve">C:\Users\andre\Desktop\REACTIV CEFAS\Dutasteride\Dutasteride/20201202_Cefas_Test8_Run2/Plate 1/@7/E7_03.tif </t>
  </si>
  <si>
    <t xml:space="preserve"> 63353.9614 </t>
  </si>
  <si>
    <t xml:space="preserve"> 54.5002 </t>
  </si>
  <si>
    <t xml:space="preserve">C:\Users\andre\Desktop\REACTIV CEFAS\Dutasteride\Dutasteride/20201202_Cefas_Test8_Run2/Plate 1/@7/F7_01.tif </t>
  </si>
  <si>
    <t xml:space="preserve"> 95236.4261 </t>
  </si>
  <si>
    <t xml:space="preserve"> 54.4708 </t>
  </si>
  <si>
    <t xml:space="preserve">C:\Users\andre\Desktop\REACTIV CEFAS\Dutasteride\Dutasteride/20201202_Cefas_Test8_Run2/Plate 1/@7/F7_02.tif </t>
  </si>
  <si>
    <t xml:space="preserve"> 98394.3907 </t>
  </si>
  <si>
    <t xml:space="preserve"> 52.6098 </t>
  </si>
  <si>
    <t xml:space="preserve">C:\Users\andre\Desktop\REACTIV CEFAS\Dutasteride\Dutasteride/20201202_Cefas_Test8_Run2/Plate 1/@7/F7_03.tif </t>
  </si>
  <si>
    <t xml:space="preserve"> 98632.3195 </t>
  </si>
  <si>
    <t xml:space="preserve"> 55.2838 </t>
  </si>
  <si>
    <t xml:space="preserve">C:\Users\andre\Desktop\REACTIV CEFAS\Dutasteride\Dutasteride/20201202_Cefas_Test8_Run2/Plate 1/@7/G7_01.tif </t>
  </si>
  <si>
    <t xml:space="preserve"> 75618.1116 </t>
  </si>
  <si>
    <t xml:space="preserve"> 60.3132 </t>
  </si>
  <si>
    <t xml:space="preserve">C:\Users\andre\Desktop\REACTIV CEFAS\Dutasteride\Dutasteride/20201202_Cefas_Test8_Run2/Plate 1/@7/G7_02.tif </t>
  </si>
  <si>
    <t xml:space="preserve"> 93808.853 </t>
  </si>
  <si>
    <t xml:space="preserve"> 62.8836 </t>
  </si>
  <si>
    <t xml:space="preserve">C:\Users\andre\Desktop\REACTIV CEFAS\Dutasteride\Dutasteride/20201202_Cefas_Test8_Run2/Plate 1/@7/G7_03.tif </t>
  </si>
  <si>
    <t xml:space="preserve"> 73044.1542 </t>
  </si>
  <si>
    <t xml:space="preserve"> 63.9902 </t>
  </si>
  <si>
    <t>C:\Users\andre\Desktop\REACTIV CEFAS\Dutasteride\Dutasteride/20201202_Cefas_Test8_Run2/Plate 1/@7/H7_01- exclu.tif</t>
  </si>
  <si>
    <t>C:\Users\andre\Desktop\REACTIV CEFAS\Dutasteride\Dutasteride/20201202_Cefas_Test8_Run2/Plate 1/@7/H7_02- exclu.tif</t>
  </si>
  <si>
    <t>C:\Users\andre\Desktop\REACTIV CEFAS\Dutasteride\Dutasteride/20201202_Cefas_Test8_Run2/Plate 1/@7/H7_03- exclu.tif</t>
  </si>
  <si>
    <t xml:space="preserve">C:\Users\andre\Desktop\REACTIV CEFAS\Dutasteride\Dutasteride/20201202_Cefas_Test8_Run2/Plate 1/@7/ </t>
  </si>
  <si>
    <t xml:space="preserve"> 57.7064 </t>
  </si>
  <si>
    <t xml:space="preserve"> 4.2413 </t>
  </si>
  <si>
    <t xml:space="preserve"> 4398670.79 </t>
  </si>
  <si>
    <t xml:space="preserve"> 1107118.27 </t>
  </si>
  <si>
    <t xml:space="preserve">C:\Users\andre\Desktop\REACTIV CEFAS\Dutasteride\Dutasteride/20201202_Cefas_Test8_Run2/Plate 2/@10/A4_01.tif </t>
  </si>
  <si>
    <t>C:\Users\andre\Desktop\REACTIV CEFAS\Dutasteride\Dutasteride/20201202_Cefas_Test8_Run2/Plate 2/@10/A4_02- exclu.tif</t>
  </si>
  <si>
    <t xml:space="preserve">C:\Users\andre\Desktop\REACTIV CEFAS\Dutasteride\Dutasteride/20201202_Cefas_Test8_Run2/Plate 2/@10/A4_03.tif </t>
  </si>
  <si>
    <t xml:space="preserve">C:\Users\andre\Desktop\REACTIV CEFAS\Dutasteride\Dutasteride/20201202_Cefas_Test8_Run2/Plate 2/@10/B4_01.tif </t>
  </si>
  <si>
    <t xml:space="preserve"> 36.2656 </t>
  </si>
  <si>
    <t xml:space="preserve">C:\Users\andre\Desktop\REACTIV CEFAS\Dutasteride\Dutasteride/20201202_Cefas_Test8_Run2/Plate 2/@10/B4_02.tif </t>
  </si>
  <si>
    <t xml:space="preserve"> 7873.2816 </t>
  </si>
  <si>
    <t xml:space="preserve"> 38.6758 </t>
  </si>
  <si>
    <t xml:space="preserve">C:\Users\andre\Desktop\REACTIV CEFAS\Dutasteride\Dutasteride/20201202_Cefas_Test8_Run2/Plate 2/@10/B4_03.tif </t>
  </si>
  <si>
    <t xml:space="preserve">C:\Users\andre\Desktop\REACTIV CEFAS\Dutasteride\Dutasteride/20201202_Cefas_Test8_Run2/Plate 2/@10/C4_01.tif </t>
  </si>
  <si>
    <t xml:space="preserve"> 36.4773 </t>
  </si>
  <si>
    <t xml:space="preserve">C:\Users\andre\Desktop\REACTIV CEFAS\Dutasteride\Dutasteride/20201202_Cefas_Test8_Run2/Plate 2/@10/C4_02.tif </t>
  </si>
  <si>
    <t xml:space="preserve"> 1535.7225 </t>
  </si>
  <si>
    <t xml:space="preserve"> 33.2535 </t>
  </si>
  <si>
    <t xml:space="preserve">C:\Users\andre\Desktop\REACTIV CEFAS\Dutasteride\Dutasteride/20201202_Cefas_Test8_Run2/Plate 2/@10/C4_03.tif </t>
  </si>
  <si>
    <t xml:space="preserve"> 32.8302 </t>
  </si>
  <si>
    <t>C:\Users\andre\Desktop\REACTIV CEFAS\Dutasteride\Dutasteride/20201202_Cefas_Test8_Run2/Plate 2/@10/D4_01- exclu.tif</t>
  </si>
  <si>
    <t>C:\Users\andre\Desktop\REACTIV CEFAS\Dutasteride\Dutasteride/20201202_Cefas_Test8_Run2/Plate 2/@10/D4_02- exclu.tif</t>
  </si>
  <si>
    <t>C:\Users\andre\Desktop\REACTIV CEFAS\Dutasteride\Dutasteride/20201202_Cefas_Test8_Run2/Plate 2/@10/D4_03- exclu.tif</t>
  </si>
  <si>
    <t xml:space="preserve">C:\Users\andre\Desktop\REACTIV CEFAS\Dutasteride\Dutasteride/20201202_Cefas_Test8_Run2/Plate 2/@10/E4_01.tif </t>
  </si>
  <si>
    <t xml:space="preserve"> 30.8889 </t>
  </si>
  <si>
    <t xml:space="preserve">C:\Users\andre\Desktop\REACTIV CEFAS\Dutasteride\Dutasteride/20201202_Cefas_Test8_Run2/Plate 2/@10/E4_02.tif </t>
  </si>
  <si>
    <t xml:space="preserve">C:\Users\andre\Desktop\REACTIV CEFAS\Dutasteride\Dutasteride/20201202_Cefas_Test8_Run2/Plate 2/@10/E4_03.tif </t>
  </si>
  <si>
    <t xml:space="preserve"> 367.7082 </t>
  </si>
  <si>
    <t xml:space="preserve"> 32.7647 </t>
  </si>
  <si>
    <t xml:space="preserve">C:\Users\andre\Desktop\REACTIV CEFAS\Dutasteride\Dutasteride/20201202_Cefas_Test8_Run2/Plate 2/@10/F4_01.tif </t>
  </si>
  <si>
    <t xml:space="preserve"> 1211.2741 </t>
  </si>
  <si>
    <t xml:space="preserve"> 32.5893 </t>
  </si>
  <si>
    <t xml:space="preserve">C:\Users\andre\Desktop\REACTIV CEFAS\Dutasteride\Dutasteride/20201202_Cefas_Test8_Run2/Plate 2/@10/F4_02.tif </t>
  </si>
  <si>
    <t xml:space="preserve"> 31.2759 </t>
  </si>
  <si>
    <t xml:space="preserve">C:\Users\andre\Desktop\REACTIV CEFAS\Dutasteride\Dutasteride/20201202_Cefas_Test8_Run2/Plate 2/@10/F4_03.tif </t>
  </si>
  <si>
    <t xml:space="preserve"> 31.3256 </t>
  </si>
  <si>
    <t xml:space="preserve">C:\Users\andre\Desktop\REACTIV CEFAS\Dutasteride\Dutasteride/20201202_Cefas_Test8_Run2/Plate 2/@10/G4_01.tif </t>
  </si>
  <si>
    <t xml:space="preserve"> 38.4206 </t>
  </si>
  <si>
    <t xml:space="preserve">C:\Users\andre\Desktop\REACTIV CEFAS\Dutasteride\Dutasteride/20201202_Cefas_Test8_Run2/Plate 2/@10/G4_02.tif </t>
  </si>
  <si>
    <t xml:space="preserve"> 10879.837 </t>
  </si>
  <si>
    <t xml:space="preserve"> 45.0119 </t>
  </si>
  <si>
    <t xml:space="preserve">C:\Users\andre\Desktop\REACTIV CEFAS\Dutasteride\Dutasteride/20201202_Cefas_Test8_Run2/Plate 2/@10/G4_03.tif </t>
  </si>
  <si>
    <t xml:space="preserve"> 4628.7975 </t>
  </si>
  <si>
    <t xml:space="preserve"> 38.9579 </t>
  </si>
  <si>
    <t xml:space="preserve">C:\Users\andre\Desktop\REACTIV CEFAS\Dutasteride\Dutasteride/20201202_Cefas_Test8_Run2/Plate 2/@10/H4_01.tif </t>
  </si>
  <si>
    <t xml:space="preserve"> 9863.232 </t>
  </si>
  <si>
    <t xml:space="preserve"> 44.0351 </t>
  </si>
  <si>
    <t xml:space="preserve">C:\Users\andre\Desktop\REACTIV CEFAS\Dutasteride\Dutasteride/20201202_Cefas_Test8_Run2/Plate 2/@10/H4_02.tif </t>
  </si>
  <si>
    <t xml:space="preserve"> 5342.584 </t>
  </si>
  <si>
    <t xml:space="preserve"> 34.2915 </t>
  </si>
  <si>
    <t xml:space="preserve">C:\Users\andre\Desktop\REACTIV CEFAS\Dutasteride\Dutasteride/20201202_Cefas_Test8_Run2/Plate 2/@10/H4_03.tif </t>
  </si>
  <si>
    <t xml:space="preserve"> 8695.2176 </t>
  </si>
  <si>
    <t xml:space="preserve"> 39.6468 </t>
  </si>
  <si>
    <t xml:space="preserve">C:\Users\andre\Desktop\REACTIV CEFAS\Dutasteride\Dutasteride/20201202_Cefas_Test8_Run2/Plate 2/@10/ </t>
  </si>
  <si>
    <t xml:space="preserve"> 30.5981 </t>
  </si>
  <si>
    <t xml:space="preserve"> 14.6181 </t>
  </si>
  <si>
    <t xml:space="preserve"> 165931.875 </t>
  </si>
  <si>
    <t xml:space="preserve"> 181413.275 </t>
  </si>
  <si>
    <t xml:space="preserve">C:\Users\andre\Desktop\REACTIV CEFAS\Dutasteride\Dutasteride/20201202_Cefas_Test8_Run2/Plate 2/@11/A5_01.tif </t>
  </si>
  <si>
    <t xml:space="preserve"> 33.6628 </t>
  </si>
  <si>
    <t xml:space="preserve">C:\Users\andre\Desktop\REACTIV CEFAS\Dutasteride\Dutasteride/20201202_Cefas_Test8_Run2/Plate 2/@11/A5_02.tif </t>
  </si>
  <si>
    <t xml:space="preserve"> 2509.0678 </t>
  </si>
  <si>
    <t xml:space="preserve"> 33.4569 </t>
  </si>
  <si>
    <t xml:space="preserve">C:\Users\andre\Desktop\REACTIV CEFAS\Dutasteride\Dutasteride/20201202_Cefas_Test8_Run2/Plate 2/@11/A5_03.tif </t>
  </si>
  <si>
    <t xml:space="preserve"> 2984.9255 </t>
  </si>
  <si>
    <t xml:space="preserve"> 34.8551 </t>
  </si>
  <si>
    <t>C:\Users\andre\Desktop\REACTIV CEFAS\Dutasteride\Dutasteride/20201202_Cefas_Test8_Run2/Plate 2/@11/B5_01- exclu.tif</t>
  </si>
  <si>
    <t xml:space="preserve">C:\Users\andre\Desktop\REACTIV CEFAS\Dutasteride\Dutasteride/20201202_Cefas_Test8_Run2/Plate 2/@11/B5_02.tif </t>
  </si>
  <si>
    <t xml:space="preserve"> 37.4783 </t>
  </si>
  <si>
    <t xml:space="preserve">C:\Users\andre\Desktop\REACTIV CEFAS\Dutasteride\Dutasteride/20201202_Cefas_Test8_Run2/Plate 2/@11/B5_03.tif </t>
  </si>
  <si>
    <t xml:space="preserve"> 38.5471 </t>
  </si>
  <si>
    <t xml:space="preserve">C:\Users\andre\Desktop\REACTIV CEFAS\Dutasteride\Dutasteride/20201202_Cefas_Test8_Run2/Plate 2/@11/C5_01.tif </t>
  </si>
  <si>
    <t xml:space="preserve"> 35.2439 </t>
  </si>
  <si>
    <t xml:space="preserve">C:\Users\andre\Desktop\REACTIV CEFAS\Dutasteride\Dutasteride/20201202_Cefas_Test8_Run2/Plate 2/@11/C5_02.tif </t>
  </si>
  <si>
    <t xml:space="preserve"> 3525.6728 </t>
  </si>
  <si>
    <t xml:space="preserve"> 35.0675 </t>
  </si>
  <si>
    <t xml:space="preserve">C:\Users\andre\Desktop\REACTIV CEFAS\Dutasteride\Dutasteride/20201202_Cefas_Test8_Run2/Plate 2/@11/C5_03.tif </t>
  </si>
  <si>
    <t xml:space="preserve"> 3785.2316 </t>
  </si>
  <si>
    <t xml:space="preserve"> 35.6114 </t>
  </si>
  <si>
    <t xml:space="preserve">C:\Users\andre\Desktop\REACTIV CEFAS\Dutasteride\Dutasteride/20201202_Cefas_Test8_Run2/Plate 2/@11/D5_01.tif </t>
  </si>
  <si>
    <t xml:space="preserve"> 281.1886 </t>
  </si>
  <si>
    <t xml:space="preserve"> 31.9231 </t>
  </si>
  <si>
    <t xml:space="preserve">C:\Users\andre\Desktop\REACTIV CEFAS\Dutasteride\Dutasteride/20201202_Cefas_Test8_Run2/Plate 2/@11/D5_02.tif </t>
  </si>
  <si>
    <t xml:space="preserve"> 1059.8648 </t>
  </si>
  <si>
    <t xml:space="preserve"> 32.0612 </t>
  </si>
  <si>
    <t xml:space="preserve">C:\Users\andre\Desktop\REACTIV CEFAS\Dutasteride\Dutasteride/20201202_Cefas_Test8_Run2/Plate 2/@11/D5_03.tif </t>
  </si>
  <si>
    <t xml:space="preserve">C:\Users\andre\Desktop\REACTIV CEFAS\Dutasteride\Dutasteride/20201202_Cefas_Test8_Run2/Plate 2/@11/E5_01.tif </t>
  </si>
  <si>
    <t xml:space="preserve"> 8154.4703 </t>
  </si>
  <si>
    <t xml:space="preserve"> 41.8992 </t>
  </si>
  <si>
    <t>C:\Users\andre\Desktop\REACTIV CEFAS\Dutasteride\Dutasteride/20201202_Cefas_Test8_Run2/Plate 2/@11/E5_02- exclu.tif</t>
  </si>
  <si>
    <t>C:\Users\andre\Desktop\REACTIV CEFAS\Dutasteride\Dutasteride/20201202_Cefas_Test8_Run2/Plate 2/@11/E5_03- exclu.tif</t>
  </si>
  <si>
    <t xml:space="preserve">C:\Users\andre\Desktop\REACTIV CEFAS\Dutasteride\Dutasteride/20201202_Cefas_Test8_Run2/Plate 2/@11/F5_01.tif </t>
  </si>
  <si>
    <t xml:space="preserve"> 32.6429 </t>
  </si>
  <si>
    <t xml:space="preserve">C:\Users\andre\Desktop\REACTIV CEFAS\Dutasteride\Dutasteride/20201202_Cefas_Test8_Run2/Plate 2/@11/F5_02.tif </t>
  </si>
  <si>
    <t xml:space="preserve"> 1038.2349 </t>
  </si>
  <si>
    <t xml:space="preserve"> 32.8542 </t>
  </si>
  <si>
    <t xml:space="preserve">C:\Users\andre\Desktop\REACTIV CEFAS\Dutasteride\Dutasteride/20201202_Cefas_Test8_Run2/Plate 2/@11/F5_03.tif </t>
  </si>
  <si>
    <t xml:space="preserve"> 32.6308 </t>
  </si>
  <si>
    <t xml:space="preserve">C:\Users\andre\Desktop\REACTIV CEFAS\Dutasteride\Dutasteride/20201202_Cefas_Test8_Run2/Plate 2/@11/G5_01.tif </t>
  </si>
  <si>
    <t xml:space="preserve">C:\Users\andre\Desktop\REACTIV CEFAS\Dutasteride\Dutasteride/20201202_Cefas_Test8_Run2/Plate 2/@11/G5_02.tif </t>
  </si>
  <si>
    <t xml:space="preserve"> 34.1562 </t>
  </si>
  <si>
    <t xml:space="preserve">C:\Users\andre\Desktop\REACTIV CEFAS\Dutasteride\Dutasteride/20201202_Cefas_Test8_Run2/Plate 2/@11/G5_03.tif </t>
  </si>
  <si>
    <t>C:\Users\andre\Desktop\REACTIV CEFAS\Dutasteride\Dutasteride/20201202_Cefas_Test8_Run2/Plate 2/@11/H5_01- exclu.tif</t>
  </si>
  <si>
    <t xml:space="preserve">C:\Users\andre\Desktop\REACTIV CEFAS\Dutasteride\Dutasteride/20201202_Cefas_Test8_Run2/Plate 2/@11/H5_02.tif </t>
  </si>
  <si>
    <t xml:space="preserve">C:\Users\andre\Desktop\REACTIV CEFAS\Dutasteride\Dutasteride/20201202_Cefas_Test8_Run2/Plate 2/@11/H5_03.tif </t>
  </si>
  <si>
    <t xml:space="preserve"> 32.8621 </t>
  </si>
  <si>
    <t xml:space="preserve">C:\Users\andre\Desktop\REACTIV CEFAS\Dutasteride\Dutasteride/20201202_Cefas_Test8_Run2/Plate 2/@11/ </t>
  </si>
  <si>
    <t xml:space="preserve"> 27.9495 </t>
  </si>
  <si>
    <t xml:space="preserve"> 15.0013 </t>
  </si>
  <si>
    <t xml:space="preserve"> 95620.4167 </t>
  </si>
  <si>
    <t xml:space="preserve"> 126832.391 </t>
  </si>
  <si>
    <t xml:space="preserve">C:\Users\andre\Desktop\REACTIV CEFAS\Dutasteride\Dutasteride/20201202_Cefas_Test8_Run2/Plate 2/@12/A6_01.tif </t>
  </si>
  <si>
    <t xml:space="preserve">C:\Users\andre\Desktop\REACTIV CEFAS\Dutasteride\Dutasteride/20201202_Cefas_Test8_Run2/Plate 2/@12/A6_02.tif </t>
  </si>
  <si>
    <t xml:space="preserve">C:\Users\andre\Desktop\REACTIV CEFAS\Dutasteride\Dutasteride/20201202_Cefas_Test8_Run2/Plate 2/@12/A6_03.tif </t>
  </si>
  <si>
    <t xml:space="preserve">C:\Users\andre\Desktop\REACTIV CEFAS\Dutasteride\Dutasteride/20201202_Cefas_Test8_Run2/Plate 2/@12/B6_01.tif </t>
  </si>
  <si>
    <t xml:space="preserve"> 4152.9398 </t>
  </si>
  <si>
    <t xml:space="preserve"> 32.9844 </t>
  </si>
  <si>
    <t xml:space="preserve">C:\Users\andre\Desktop\REACTIV CEFAS\Dutasteride\Dutasteride/20201202_Cefas_Test8_Run2/Plate 2/@12/B6_02.tif </t>
  </si>
  <si>
    <t xml:space="preserve"> 5277.6943 </t>
  </si>
  <si>
    <t xml:space="preserve"> 35.3648 </t>
  </si>
  <si>
    <t xml:space="preserve">C:\Users\andre\Desktop\REACTIV CEFAS\Dutasteride\Dutasteride/20201202_Cefas_Test8_Run2/Plate 2/@12/B6_03.tif </t>
  </si>
  <si>
    <t xml:space="preserve"> 4736.9469 </t>
  </si>
  <si>
    <t xml:space="preserve"> 33.9315 </t>
  </si>
  <si>
    <t xml:space="preserve">C:\Users\andre\Desktop\REACTIV CEFAS\Dutasteride\Dutasteride/20201202_Cefas_Test8_Run2/Plate 2/@12/C6_01.tif </t>
  </si>
  <si>
    <t xml:space="preserve"> 33.4324 </t>
  </si>
  <si>
    <t xml:space="preserve">C:\Users\andre\Desktop\REACTIV CEFAS\Dutasteride\Dutasteride/20201202_Cefas_Test8_Run2/Plate 2/@12/C6_02.tif </t>
  </si>
  <si>
    <t xml:space="preserve"> 32.8537 </t>
  </si>
  <si>
    <t xml:space="preserve">C:\Users\andre\Desktop\REACTIV CEFAS\Dutasteride\Dutasteride/20201202_Cefas_Test8_Run2/Plate 2/@12/C6_03.tif </t>
  </si>
  <si>
    <t xml:space="preserve"> 6034.7406 </t>
  </si>
  <si>
    <t xml:space="preserve"> 38.4014 </t>
  </si>
  <si>
    <t xml:space="preserve">C:\Users\andre\Desktop\REACTIV CEFAS\Dutasteride\Dutasteride/20201202_Cefas_Test8_Run2/Plate 2/@12/D6_01.tif </t>
  </si>
  <si>
    <t xml:space="preserve"> 1168.0143 </t>
  </si>
  <si>
    <t xml:space="preserve"> 32.8889 </t>
  </si>
  <si>
    <t xml:space="preserve">C:\Users\andre\Desktop\REACTIV CEFAS\Dutasteride\Dutasteride/20201202_Cefas_Test8_Run2/Plate 2/@12/D6_02.tif </t>
  </si>
  <si>
    <t xml:space="preserve"> 32.3846 </t>
  </si>
  <si>
    <t xml:space="preserve">C:\Users\andre\Desktop\REACTIV CEFAS\Dutasteride\Dutasteride/20201202_Cefas_Test8_Run2/Plate 2/@12/D6_03.tif </t>
  </si>
  <si>
    <t xml:space="preserve"> 5429.1036 </t>
  </si>
  <si>
    <t xml:space="preserve"> 35.9163 </t>
  </si>
  <si>
    <t xml:space="preserve">C:\Users\andre\Desktop\REACTIV CEFAS\Dutasteride\Dutasteride/20201202_Cefas_Test8_Run2/Plate 2/@12/E6_01.tif </t>
  </si>
  <si>
    <t xml:space="preserve"> 7743.5023 </t>
  </si>
  <si>
    <t xml:space="preserve"> 42.0084 </t>
  </si>
  <si>
    <t xml:space="preserve">C:\Users\andre\Desktop\REACTIV CEFAS\Dutasteride\Dutasteride/20201202_Cefas_Test8_Run2/Plate 2/@12/E6_02.tif </t>
  </si>
  <si>
    <t xml:space="preserve"> 39.7774 </t>
  </si>
  <si>
    <t xml:space="preserve">C:\Users\andre\Desktop\REACTIV CEFAS\Dutasteride\Dutasteride/20201202_Cefas_Test8_Run2/Plate 2/@12/E6_03.tif </t>
  </si>
  <si>
    <t xml:space="preserve"> 31.3761 </t>
  </si>
  <si>
    <t xml:space="preserve">C:\Users\andre\Desktop\REACTIV CEFAS\Dutasteride\Dutasteride/20201202_Cefas_Test8_Run2/Plate 2/@12/F6_01.tif </t>
  </si>
  <si>
    <t xml:space="preserve"> 2162.9895 </t>
  </si>
  <si>
    <t>C:\Users\andre\Desktop\REACTIV CEFAS\Dutasteride\Dutasteride/20201202_Cefas_Test8_Run2/Plate 2/@12/F6_02- exclu.tif</t>
  </si>
  <si>
    <t xml:space="preserve">C:\Users\andre\Desktop\REACTIV CEFAS\Dutasteride\Dutasteride/20201202_Cefas_Test8_Run2/Plate 2/@12/F6_03.tif </t>
  </si>
  <si>
    <t xml:space="preserve">C:\Users\andre\Desktop\REACTIV CEFAS\Dutasteride\Dutasteride/20201202_Cefas_Test8_Run2/Plate 2/@12/G6_01.tif </t>
  </si>
  <si>
    <t xml:space="preserve">C:\Users\andre\Desktop\REACTIV CEFAS\Dutasteride\Dutasteride/20201202_Cefas_Test8_Run2/Plate 2/@12/G6_02.tif </t>
  </si>
  <si>
    <t xml:space="preserve">C:\Users\andre\Desktop\REACTIV CEFAS\Dutasteride\Dutasteride/20201202_Cefas_Test8_Run2/Plate 2/@12/G6_03.tif </t>
  </si>
  <si>
    <t xml:space="preserve">C:\Users\andre\Desktop\REACTIV CEFAS\Dutasteride\Dutasteride/20201202_Cefas_Test8_Run2/Plate 2/@12/H6_01.tif </t>
  </si>
  <si>
    <t xml:space="preserve"> 51133.0709 </t>
  </si>
  <si>
    <t xml:space="preserve"> 54.4082 </t>
  </si>
  <si>
    <t>C:\Users\andre\Desktop\REACTIV CEFAS\Dutasteride\Dutasteride/20201202_Cefas_Test8_Run2/Plate 2/@12/H6_02- exclu.tif</t>
  </si>
  <si>
    <t>C:\Users\andre\Desktop\REACTIV CEFAS\Dutasteride\Dutasteride/20201202_Cefas_Test8_Run2/Plate 2/@12/H6_03- exclu.tif</t>
  </si>
  <si>
    <t xml:space="preserve">C:\Users\andre\Desktop\REACTIV CEFAS\Dutasteride\Dutasteride/20201202_Cefas_Test8_Run2/Plate 2/@12/ </t>
  </si>
  <si>
    <t xml:space="preserve"> 26.8286 </t>
  </si>
  <si>
    <t xml:space="preserve"> 18.5661 </t>
  </si>
  <si>
    <t xml:space="preserve"> 446039.958 </t>
  </si>
  <si>
    <t xml:space="preserve"> 951090.53 </t>
  </si>
  <si>
    <t xml:space="preserve">C:\Users\andre\Desktop\REACTIV CEFAS\Dutasteride\Dutasteride/20201202_Cefas_Test8_Run2/Plate 2/@17/A8_01.tif </t>
  </si>
  <si>
    <t xml:space="preserve"> 21435.2256 </t>
  </si>
  <si>
    <t xml:space="preserve"> 36.5732 </t>
  </si>
  <si>
    <t xml:space="preserve">C:\Users\andre\Desktop\REACTIV CEFAS\Dutasteride\Dutasteride/20201202_Cefas_Test8_Run2/Plate 2/@17/A8_02.tif </t>
  </si>
  <si>
    <t xml:space="preserve"> 16135.9014 </t>
  </si>
  <si>
    <t xml:space="preserve"> 34.6609 </t>
  </si>
  <si>
    <t xml:space="preserve">C:\Users\andre\Desktop\REACTIV CEFAS\Dutasteride\Dutasteride/20201202_Cefas_Test8_Run2/Plate 2/@17/A8_03.tif </t>
  </si>
  <si>
    <t xml:space="preserve"> 15487.0046 </t>
  </si>
  <si>
    <t xml:space="preserve"> 33.3254 </t>
  </si>
  <si>
    <t xml:space="preserve">C:\Users\andre\Desktop\REACTIV CEFAS\Dutasteride\Dutasteride/20201202_Cefas_Test8_Run2/Plate 2/@17/B8_01.tif </t>
  </si>
  <si>
    <t xml:space="preserve"> 33.5268 </t>
  </si>
  <si>
    <t xml:space="preserve">C:\Users\andre\Desktop\REACTIV CEFAS\Dutasteride\Dutasteride/20201202_Cefas_Test8_Run2/Plate 2/@17/B8_02.tif </t>
  </si>
  <si>
    <t xml:space="preserve"> 8089.5806 </t>
  </si>
  <si>
    <t xml:space="preserve"> 33.6551 </t>
  </si>
  <si>
    <t xml:space="preserve">C:\Users\andre\Desktop\REACTIV CEFAS\Dutasteride\Dutasteride/20201202_Cefas_Test8_Run2/Plate 2/@17/B8_03.tif </t>
  </si>
  <si>
    <t xml:space="preserve"> 32.8038 </t>
  </si>
  <si>
    <t xml:space="preserve">C:\Users\andre\Desktop\REACTIV CEFAS\Dutasteride\Dutasteride/20201202_Cefas_Test8_Run2/Plate 2/@17/C8_01.tif </t>
  </si>
  <si>
    <t xml:space="preserve"> 15097.6665 </t>
  </si>
  <si>
    <t xml:space="preserve"> 33.8281 </t>
  </si>
  <si>
    <t xml:space="preserve">C:\Users\andre\Desktop\REACTIV CEFAS\Dutasteride\Dutasteride/20201202_Cefas_Test8_Run2/Plate 2/@17/C8_02.tif </t>
  </si>
  <si>
    <t xml:space="preserve"> 20526.77 </t>
  </si>
  <si>
    <t xml:space="preserve"> 35.176 </t>
  </si>
  <si>
    <t xml:space="preserve">C:\Users\andre\Desktop\REACTIV CEFAS\Dutasteride\Dutasteride/20201202_Cefas_Test8_Run2/Plate 2/@17/C8_03.tif </t>
  </si>
  <si>
    <t xml:space="preserve"> 34.2663 </t>
  </si>
  <si>
    <t>C:\Users\andre\Desktop\REACTIV CEFAS\Dutasteride\Dutasteride/20201202_Cefas_Test8_Run2/Plate 2/@17/D8_01- exclu.tif</t>
  </si>
  <si>
    <t>C:\Users\andre\Desktop\REACTIV CEFAS\Dutasteride\Dutasteride/20201202_Cefas_Test8_Run2/Plate 2/@17/D8_02- exclu.tif</t>
  </si>
  <si>
    <t>C:\Users\andre\Desktop\REACTIV CEFAS\Dutasteride\Dutasteride/20201202_Cefas_Test8_Run2/Plate 2/@17/D8_03- exclu.tif</t>
  </si>
  <si>
    <t xml:space="preserve">C:\Users\andre\Desktop\REACTIV CEFAS\Dutasteride\Dutasteride/20201202_Cefas_Test8_Run2/Plate 2/@17/E8_01.tif </t>
  </si>
  <si>
    <t xml:space="preserve"> 59547.0999 </t>
  </si>
  <si>
    <t xml:space="preserve"> 41.3618 </t>
  </si>
  <si>
    <t xml:space="preserve">C:\Users\andre\Desktop\REACTIV CEFAS\Dutasteride\Dutasteride/20201202_Cefas_Test8_Run2/Plate 2/@17/E8_02.tif </t>
  </si>
  <si>
    <t xml:space="preserve"> 61104.4523 </t>
  </si>
  <si>
    <t xml:space="preserve"> 42.4478 </t>
  </si>
  <si>
    <t xml:space="preserve">C:\Users\andre\Desktop\REACTIV CEFAS\Dutasteride\Dutasteride/20201202_Cefas_Test8_Run2/Plate 2/@17/E8_03.tif </t>
  </si>
  <si>
    <t xml:space="preserve"> 62380.6161 </t>
  </si>
  <si>
    <t xml:space="preserve"> 47.9605 </t>
  </si>
  <si>
    <t xml:space="preserve">C:\Users\andre\Desktop\REACTIV CEFAS\Dutasteride\Dutasteride/20201202_Cefas_Test8_Run2/Plate 2/@17/F8_01.tif </t>
  </si>
  <si>
    <t xml:space="preserve"> 46396.124 </t>
  </si>
  <si>
    <t xml:space="preserve"> 37.6294 </t>
  </si>
  <si>
    <t xml:space="preserve">C:\Users\andre\Desktop\REACTIV CEFAS\Dutasteride\Dutasteride/20201202_Cefas_Test8_Run2/Plate 2/@17/F8_02.tif </t>
  </si>
  <si>
    <t xml:space="preserve"> 58530.4949 </t>
  </si>
  <si>
    <t xml:space="preserve"> 39.6112 </t>
  </si>
  <si>
    <t xml:space="preserve">C:\Users\andre\Desktop\REACTIV CEFAS\Dutasteride\Dutasteride/20201202_Cefas_Test8_Run2/Plate 2/@17/F8_03.tif </t>
  </si>
  <si>
    <t xml:space="preserve"> 38.1962 </t>
  </si>
  <si>
    <t>C:\Users\andre\Desktop\REACTIV CEFAS\Dutasteride\Dutasteride/20201202_Cefas_Test8_Run2/Plate 2/@17/G8_01- exclu.tif</t>
  </si>
  <si>
    <t>C:\Users\andre\Desktop\REACTIV CEFAS\Dutasteride\Dutasteride/20201202_Cefas_Test8_Run2/Plate 2/@17/G8_02- exclu.tif</t>
  </si>
  <si>
    <t xml:space="preserve">C:\Users\andre\Desktop\REACTIV CEFAS\Dutasteride\Dutasteride/20201202_Cefas_Test8_Run2/Plate 2/@17/G8_03.tif </t>
  </si>
  <si>
    <t xml:space="preserve"> 32.7507 </t>
  </si>
  <si>
    <t xml:space="preserve">C:\Users\andre\Desktop\REACTIV CEFAS\Dutasteride\Dutasteride/20201202_Cefas_Test8_Run2/Plate 2/@17/H8_01.tif </t>
  </si>
  <si>
    <t xml:space="preserve"> 8219.36 </t>
  </si>
  <si>
    <t xml:space="preserve"> 41.5474 </t>
  </si>
  <si>
    <t xml:space="preserve">C:\Users\andre\Desktop\REACTIV CEFAS\Dutasteride\Dutasteride/20201202_Cefas_Test8_Run2/Plate 2/@17/H8_02.tif </t>
  </si>
  <si>
    <t xml:space="preserve"> 1189.6442 </t>
  </si>
  <si>
    <t xml:space="preserve"> 31.6 </t>
  </si>
  <si>
    <t xml:space="preserve">C:\Users\andre\Desktop\REACTIV CEFAS\Dutasteride\Dutasteride/20201202_Cefas_Test8_Run2/Plate 2/@17/H8_03.tif </t>
  </si>
  <si>
    <t xml:space="preserve"> 4996.5057 </t>
  </si>
  <si>
    <t xml:space="preserve"> 40.368 </t>
  </si>
  <si>
    <t xml:space="preserve">C:\Users\andre\Desktop\REACTIV CEFAS\Dutasteride\Dutasteride/20201202_Cefas_Test8_Run2/Plate 2/@17/ </t>
  </si>
  <si>
    <t xml:space="preserve"> 36.2119 </t>
  </si>
  <si>
    <t xml:space="preserve"> 4.1773 </t>
  </si>
  <si>
    <t xml:space="preserve"> 894560.167 </t>
  </si>
  <si>
    <t xml:space="preserve"> 927876.705 </t>
  </si>
  <si>
    <t xml:space="preserve">C:\Users\andre\Desktop\REACTIV CEFAS\Dutasteride\Dutasteride/20201202_Cefas_Test8_Run2/Plate 2/@18/A9_01.tif </t>
  </si>
  <si>
    <t xml:space="preserve"> 48753.7825 </t>
  </si>
  <si>
    <t xml:space="preserve"> 38.6943 </t>
  </si>
  <si>
    <t xml:space="preserve">C:\Users\andre\Desktop\REACTIV CEFAS\Dutasteride\Dutasteride/20201202_Cefas_Test8_Run2/Plate 2/@18/A9_02.tif </t>
  </si>
  <si>
    <t xml:space="preserve"> 50505.804 </t>
  </si>
  <si>
    <t xml:space="preserve"> 39.6989 </t>
  </si>
  <si>
    <t xml:space="preserve">C:\Users\andre\Desktop\REACTIV CEFAS\Dutasteride\Dutasteride/20201202_Cefas_Test8_Run2/Plate 2/@18/A9_03.tif </t>
  </si>
  <si>
    <t xml:space="preserve"> 42070.1451 </t>
  </si>
  <si>
    <t xml:space="preserve"> 38.3918 </t>
  </si>
  <si>
    <t xml:space="preserve">C:\Users\andre\Desktop\REACTIV CEFAS\Dutasteride\Dutasteride/20201202_Cefas_Test8_Run2/Plate 2/@18/B9_01.tif </t>
  </si>
  <si>
    <t xml:space="preserve"> 15789.8231 </t>
  </si>
  <si>
    <t xml:space="preserve"> 32.6877 </t>
  </si>
  <si>
    <t xml:space="preserve">C:\Users\andre\Desktop\REACTIV CEFAS\Dutasteride\Dutasteride/20201202_Cefas_Test8_Run2/Plate 2/@18/B9_02.tif </t>
  </si>
  <si>
    <t xml:space="preserve"> 20007.6525 </t>
  </si>
  <si>
    <t xml:space="preserve"> 33.2735 </t>
  </si>
  <si>
    <t xml:space="preserve">C:\Users\andre\Desktop\REACTIV CEFAS\Dutasteride\Dutasteride/20201202_Cefas_Test8_Run2/Plate 2/@18/B9_03.tif </t>
  </si>
  <si>
    <t xml:space="preserve"> 32315.0626 </t>
  </si>
  <si>
    <t xml:space="preserve"> 35.1961 </t>
  </si>
  <si>
    <t xml:space="preserve">C:\Users\andre\Desktop\REACTIV CEFAS\Dutasteride\Dutasteride/20201202_Cefas_Test8_Run2/Plate 2/@18/C9_01.tif </t>
  </si>
  <si>
    <t xml:space="preserve"> 67961.1289 </t>
  </si>
  <si>
    <t xml:space="preserve"> 44.0016 </t>
  </si>
  <si>
    <t xml:space="preserve">C:\Users\andre\Desktop\REACTIV CEFAS\Dutasteride\Dutasteride/20201202_Cefas_Test8_Run2/Plate 2/@18/C9_02.tif </t>
  </si>
  <si>
    <t xml:space="preserve"> 69431.9618 </t>
  </si>
  <si>
    <t xml:space="preserve"> 44.766 </t>
  </si>
  <si>
    <t xml:space="preserve">C:\Users\andre\Desktop\REACTIV CEFAS\Dutasteride\Dutasteride/20201202_Cefas_Test8_Run2/Plate 2/@18/C9_03.tif </t>
  </si>
  <si>
    <t xml:space="preserve"> 61255.8616 </t>
  </si>
  <si>
    <t xml:space="preserve"> 47.0667 </t>
  </si>
  <si>
    <t xml:space="preserve">C:\Users\andre\Desktop\REACTIV CEFAS\Dutasteride\Dutasteride/20201202_Cefas_Test8_Run2/Plate 2/@18/D9_01.tif </t>
  </si>
  <si>
    <t xml:space="preserve"> 62229.2068 </t>
  </si>
  <si>
    <t xml:space="preserve"> 44.4032 </t>
  </si>
  <si>
    <t xml:space="preserve">C:\Users\andre\Desktop\REACTIV CEFAS\Dutasteride\Dutasteride/20201202_Cefas_Test8_Run2/Plate 2/@18/D9_02.tif </t>
  </si>
  <si>
    <t xml:space="preserve"> 66598.4456 </t>
  </si>
  <si>
    <t xml:space="preserve"> 49.4144 </t>
  </si>
  <si>
    <t xml:space="preserve">C:\Users\andre\Desktop\REACTIV CEFAS\Dutasteride\Dutasteride/20201202_Cefas_Test8_Run2/Plate 2/@18/D9_03.tif </t>
  </si>
  <si>
    <t xml:space="preserve"> 63375.5913 </t>
  </si>
  <si>
    <t xml:space="preserve"> 47.9372 </t>
  </si>
  <si>
    <t xml:space="preserve">C:\Users\andre\Desktop\REACTIV CEFAS\Dutasteride\Dutasteride/20201202_Cefas_Test8_Run2/Plate 2/@18/E9_01.tif </t>
  </si>
  <si>
    <t xml:space="preserve"> 60780.0039 </t>
  </si>
  <si>
    <t xml:space="preserve"> 46.1473 </t>
  </si>
  <si>
    <t xml:space="preserve">C:\Users\andre\Desktop\REACTIV CEFAS\Dutasteride\Dutasteride/20201202_Cefas_Test8_Run2/Plate 2/@18/E9_02.tif </t>
  </si>
  <si>
    <t xml:space="preserve"> 50181.3555 </t>
  </si>
  <si>
    <t xml:space="preserve"> 49.0069 </t>
  </si>
  <si>
    <t xml:space="preserve">C:\Users\andre\Desktop\REACTIV CEFAS\Dutasteride\Dutasteride/20201202_Cefas_Test8_Run2/Plate 2/@18/E9_03.tif </t>
  </si>
  <si>
    <t xml:space="preserve"> 59179.3917 </t>
  </si>
  <si>
    <t xml:space="preserve"> 47.2383 </t>
  </si>
  <si>
    <t xml:space="preserve">C:\Users\andre\Desktop\REACTIV CEFAS\Dutasteride\Dutasteride/20201202_Cefas_Test8_Run2/Plate 2/@18/F9_01.tif </t>
  </si>
  <si>
    <t xml:space="preserve"> 48.7225 </t>
  </si>
  <si>
    <t xml:space="preserve">C:\Users\andre\Desktop\REACTIV CEFAS\Dutasteride\Dutasteride/20201202_Cefas_Test8_Run2/Plate 2/@18/F9_02.tif </t>
  </si>
  <si>
    <t xml:space="preserve"> 69864.5597 </t>
  </si>
  <si>
    <t xml:space="preserve"> 45.5954 </t>
  </si>
  <si>
    <t xml:space="preserve">C:\Users\andre\Desktop\REACTIV CEFAS\Dutasteride\Dutasteride/20201202_Cefas_Test8_Run2/Plate 2/@18/F9_03.tif </t>
  </si>
  <si>
    <t xml:space="preserve"> 74839.4354 </t>
  </si>
  <si>
    <t xml:space="preserve"> 48.4185 </t>
  </si>
  <si>
    <t xml:space="preserve">C:\Users\andre\Desktop\REACTIV CEFAS\Dutasteride\Dutasteride/20201202_Cefas_Test8_Run2/Plate 2/@18/G9_01.tif </t>
  </si>
  <si>
    <t xml:space="preserve"> 64500.3458 </t>
  </si>
  <si>
    <t xml:space="preserve"> 49.3273 </t>
  </si>
  <si>
    <t xml:space="preserve">C:\Users\andre\Desktop\REACTIV CEFAS\Dutasteride\Dutasteride/20201202_Cefas_Test8_Run2/Plate 2/@18/G9_02.tif </t>
  </si>
  <si>
    <t xml:space="preserve"> 61666.8296 </t>
  </si>
  <si>
    <t xml:space="preserve"> 48.9327 </t>
  </si>
  <si>
    <t xml:space="preserve">C:\Users\andre\Desktop\REACTIV CEFAS\Dutasteride\Dutasteride/20201202_Cefas_Test8_Run2/Plate 2/@18/G9_03.tif </t>
  </si>
  <si>
    <t xml:space="preserve"> 56237.726 </t>
  </si>
  <si>
    <t xml:space="preserve"> 47.1508 </t>
  </si>
  <si>
    <t xml:space="preserve">C:\Users\andre\Desktop\REACTIV CEFAS\Dutasteride\Dutasteride/20201202_Cefas_Test8_Run2/Plate 2/@18/H9_01.tif </t>
  </si>
  <si>
    <t xml:space="preserve"> 27037.3683 </t>
  </si>
  <si>
    <t xml:space="preserve"> 38.2544 </t>
  </si>
  <si>
    <t xml:space="preserve">C:\Users\andre\Desktop\REACTIV CEFAS\Dutasteride\Dutasteride/20201202_Cefas_Test8_Run2/Plate 2/@18/H9_02.tif </t>
  </si>
  <si>
    <t xml:space="preserve"> 22451.8306 </t>
  </si>
  <si>
    <t xml:space="preserve"> 38.5308 </t>
  </si>
  <si>
    <t>C:\Users\andre\Desktop\REACTIV CEFAS\Dutasteride\Dutasteride/20201202_Cefas_Test8_Run2/Plate 2/@18/H9_03- exclu.tif</t>
  </si>
  <si>
    <t xml:space="preserve">C:\Users\andre\Desktop\REACTIV CEFAS\Dutasteride\Dutasteride/20201202_Cefas_Test8_Run2/Plate 2/@18/ </t>
  </si>
  <si>
    <t xml:space="preserve"> 43.2592 </t>
  </si>
  <si>
    <t xml:space="preserve"> 5.6148 </t>
  </si>
  <si>
    <t xml:space="preserve"> 2330574.29 </t>
  </si>
  <si>
    <t xml:space="preserve"> 1016044.39 </t>
  </si>
  <si>
    <t xml:space="preserve">C:\Users\andre\Desktop\REACTIV CEFAS\Dutasteride\Dutasteride/20201202_Cefas_Test8_Run2/Plate 2/@19/A10_01.tif </t>
  </si>
  <si>
    <t xml:space="preserve"> 61385.641 </t>
  </si>
  <si>
    <t xml:space="preserve"> 37.5821 </t>
  </si>
  <si>
    <t xml:space="preserve">C:\Users\andre\Desktop\REACTIV CEFAS\Dutasteride\Dutasteride/20201202_Cefas_Test8_Run2/Plate 2/@19/A10_02.tif </t>
  </si>
  <si>
    <t xml:space="preserve"> 67398.7517 </t>
  </si>
  <si>
    <t xml:space="preserve"> 37.7224 </t>
  </si>
  <si>
    <t xml:space="preserve">C:\Users\andre\Desktop\REACTIV CEFAS\Dutasteride\Dutasteride/20201202_Cefas_Test8_Run2/Plate 2/@19/A10_03.tif </t>
  </si>
  <si>
    <t xml:space="preserve"> 68653.2856 </t>
  </si>
  <si>
    <t xml:space="preserve"> 40.3129 </t>
  </si>
  <si>
    <t xml:space="preserve">C:\Users\andre\Desktop\REACTIV CEFAS\Dutasteride\Dutasteride/20201202_Cefas_Test8_Run2/Plate 2/@19/B10_01.tif </t>
  </si>
  <si>
    <t xml:space="preserve"> 8889.8867 </t>
  </si>
  <si>
    <t xml:space="preserve"> 34.4063 </t>
  </si>
  <si>
    <t xml:space="preserve">C:\Users\andre\Desktop\REACTIV CEFAS\Dutasteride\Dutasteride/20201202_Cefas_Test8_Run2/Plate 2/@19/B10_02.tif </t>
  </si>
  <si>
    <t xml:space="preserve"> 7159.4951 </t>
  </si>
  <si>
    <t xml:space="preserve"> 35.8943 </t>
  </si>
  <si>
    <t xml:space="preserve">C:\Users\andre\Desktop\REACTIV CEFAS\Dutasteride\Dutasteride/20201202_Cefas_Test8_Run2/Plate 2/@19/B10_03.tif </t>
  </si>
  <si>
    <t xml:space="preserve"> 3482.413 </t>
  </si>
  <si>
    <t xml:space="preserve"> 32.4596 </t>
  </si>
  <si>
    <t>C:\Users\andre\Desktop\REACTIV CEFAS\Dutasteride\Dutasteride/20201202_Cefas_Test8_Run2/Plate 2/@19/C10_01- exclu.tif</t>
  </si>
  <si>
    <t>C:\Users\andre\Desktop\REACTIV CEFAS\Dutasteride\Dutasteride/20201202_Cefas_Test8_Run2/Plate 2/@19/C10_02- exclu.tif</t>
  </si>
  <si>
    <t>C:\Users\andre\Desktop\REACTIV CEFAS\Dutasteride\Dutasteride/20201202_Cefas_Test8_Run2/Plate 2/@19/C10_03- exclu.tif</t>
  </si>
  <si>
    <t xml:space="preserve">C:\Users\andre\Desktop\REACTIV CEFAS\Dutasteride\Dutasteride/20201202_Cefas_Test8_Run2/Plate 2/@19/D10_01.tif </t>
  </si>
  <si>
    <t xml:space="preserve"> 70686.4956 </t>
  </si>
  <si>
    <t xml:space="preserve"> 47.5101 </t>
  </si>
  <si>
    <t xml:space="preserve">C:\Users\andre\Desktop\REACTIV CEFAS\Dutasteride\Dutasteride/20201202_Cefas_Test8_Run2/Plate 2/@19/D10_02.tif </t>
  </si>
  <si>
    <t xml:space="preserve"> 66209.1075 </t>
  </si>
  <si>
    <t xml:space="preserve"> 46.0817 </t>
  </si>
  <si>
    <t xml:space="preserve">C:\Users\andre\Desktop\REACTIV CEFAS\Dutasteride\Dutasteride/20201202_Cefas_Test8_Run2/Plate 2/@19/D10_03.tif </t>
  </si>
  <si>
    <t xml:space="preserve"> 69734.7803 </t>
  </si>
  <si>
    <t xml:space="preserve"> 47.5174 </t>
  </si>
  <si>
    <t xml:space="preserve">C:\Users\andre\Desktop\REACTIV CEFAS\Dutasteride\Dutasteride/20201202_Cefas_Test8_Run2/Plate 2/@19/E10_01.tif </t>
  </si>
  <si>
    <t xml:space="preserve"> 72762.9655 </t>
  </si>
  <si>
    <t xml:space="preserve"> 46.9218 </t>
  </si>
  <si>
    <t xml:space="preserve">C:\Users\andre\Desktop\REACTIV CEFAS\Dutasteride\Dutasteride/20201202_Cefas_Test8_Run2/Plate 2/@19/E10_02.tif </t>
  </si>
  <si>
    <t xml:space="preserve"> 64262.4169 </t>
  </si>
  <si>
    <t xml:space="preserve"> 47.2757 </t>
  </si>
  <si>
    <t xml:space="preserve">C:\Users\andre\Desktop\REACTIV CEFAS\Dutasteride\Dutasteride/20201202_Cefas_Test8_Run2/Plate 2/@19/E10_03.tif </t>
  </si>
  <si>
    <t xml:space="preserve"> 77197.0939 </t>
  </si>
  <si>
    <t xml:space="preserve"> 48.4716 </t>
  </si>
  <si>
    <t xml:space="preserve">C:\Users\andre\Desktop\REACTIV CEFAS\Dutasteride\Dutasteride/20201202_Cefas_Test8_Run2/Plate 2/@19/F10_01.tif </t>
  </si>
  <si>
    <t xml:space="preserve"> 68242.3176 </t>
  </si>
  <si>
    <t xml:space="preserve"> 48.6269 </t>
  </si>
  <si>
    <t xml:space="preserve">C:\Users\andre\Desktop\REACTIV CEFAS\Dutasteride\Dutasteride/20201202_Cefas_Test8_Run2/Plate 2/@19/F10_02.tif </t>
  </si>
  <si>
    <t xml:space="preserve"> 68631.6557 </t>
  </si>
  <si>
    <t xml:space="preserve"> 48.5194 </t>
  </si>
  <si>
    <t xml:space="preserve">C:\Users\andre\Desktop\REACTIV CEFAS\Dutasteride\Dutasteride/20201202_Cefas_Test8_Run2/Plate 2/@19/F10_03.tif </t>
  </si>
  <si>
    <t xml:space="preserve"> 70470.1967 </t>
  </si>
  <si>
    <t xml:space="preserve"> 49.6839 </t>
  </si>
  <si>
    <t xml:space="preserve">C:\Users\andre\Desktop\REACTIV CEFAS\Dutasteride\Dutasteride/20201202_Cefas_Test8_Run2/Plate 2/@19/G10_01.tif </t>
  </si>
  <si>
    <t xml:space="preserve"> 22127.3822 </t>
  </si>
  <si>
    <t xml:space="preserve"> 37.1105 </t>
  </si>
  <si>
    <t xml:space="preserve">C:\Users\andre\Desktop\REACTIV CEFAS\Dutasteride\Dutasteride/20201202_Cefas_Test8_Run2/Plate 2/@19/G10_02.tif </t>
  </si>
  <si>
    <t xml:space="preserve"> 15746.5633 </t>
  </si>
  <si>
    <t xml:space="preserve"> 34.4629 </t>
  </si>
  <si>
    <t xml:space="preserve">C:\Users\andre\Desktop\REACTIV CEFAS\Dutasteride\Dutasteride/20201202_Cefas_Test8_Run2/Plate 2/@19/G10_03.tif </t>
  </si>
  <si>
    <t xml:space="preserve"> 17282.2858 </t>
  </si>
  <si>
    <t xml:space="preserve"> 35.03 </t>
  </si>
  <si>
    <t xml:space="preserve">C:\Users\andre\Desktop\REACTIV CEFAS\Dutasteride\Dutasteride/20201202_Cefas_Test8_Run2/Plate 2/@19/H10_01.tif </t>
  </si>
  <si>
    <t xml:space="preserve"> 58465.6052 </t>
  </si>
  <si>
    <t xml:space="preserve"> 42.5575 </t>
  </si>
  <si>
    <t xml:space="preserve">C:\Users\andre\Desktop\REACTIV CEFAS\Dutasteride\Dutasteride/20201202_Cefas_Test8_Run2/Plate 2/@19/H10_02.tif </t>
  </si>
  <si>
    <t xml:space="preserve"> 60152.737 </t>
  </si>
  <si>
    <t xml:space="preserve"> 42.6872 </t>
  </si>
  <si>
    <t xml:space="preserve">C:\Users\andre\Desktop\REACTIV CEFAS\Dutasteride\Dutasteride/20201202_Cefas_Test8_Run2/Plate 2/@19/H10_03.tif </t>
  </si>
  <si>
    <t xml:space="preserve"> 54161.2562 </t>
  </si>
  <si>
    <t xml:space="preserve"> 41.77 </t>
  </si>
  <si>
    <t xml:space="preserve">C:\Users\andre\Desktop\REACTIV CEFAS\Dutasteride\Dutasteride/20201202_Cefas_Test8_Run2/Plate 2/@19/ </t>
  </si>
  <si>
    <t xml:space="preserve"> 41.7795 </t>
  </si>
  <si>
    <t xml:space="preserve"> 5.4544 </t>
  </si>
  <si>
    <t xml:space="preserve"> 2031714.92 </t>
  </si>
  <si>
    <t xml:space="preserve"> 1335399.44 </t>
  </si>
  <si>
    <t xml:space="preserve">C:\Users\andre\Desktop\REACTIV CEFAS\Dutasteride\Dutasteride/20201202_Cefas_Test8_Run2/Plate 2/@20/A11_01.tif </t>
  </si>
  <si>
    <t xml:space="preserve"> 75769.5209 </t>
  </si>
  <si>
    <t xml:space="preserve"> 43.6771 </t>
  </si>
  <si>
    <t xml:space="preserve">C:\Users\andre\Desktop\REACTIV CEFAS\Dutasteride\Dutasteride/20201202_Cefas_Test8_Run2/Plate 2/@20/A11_02.tif </t>
  </si>
  <si>
    <t xml:space="preserve"> 83859.1015 </t>
  </si>
  <si>
    <t xml:space="preserve"> 47.5308 </t>
  </si>
  <si>
    <t xml:space="preserve">C:\Users\andre\Desktop\REACTIV CEFAS\Dutasteride\Dutasteride/20201202_Cefas_Test8_Run2/Plate 2/@20/A11_03.tif </t>
  </si>
  <si>
    <t xml:space="preserve"> 43.6259 </t>
  </si>
  <si>
    <t xml:space="preserve">C:\Users\andre\Desktop\REACTIV CEFAS\Dutasteride\Dutasteride/20201202_Cefas_Test8_Run2/Plate 2/@20/B11_01.tif </t>
  </si>
  <si>
    <t xml:space="preserve"> 42329.7038 </t>
  </si>
  <si>
    <t xml:space="preserve"> 42.8523 </t>
  </si>
  <si>
    <t xml:space="preserve">C:\Users\andre\Desktop\REACTIV CEFAS\Dutasteride\Dutasteride/20201202_Cefas_Test8_Run2/Plate 2/@20/B11_02.tif </t>
  </si>
  <si>
    <t xml:space="preserve"> 37960.4651 </t>
  </si>
  <si>
    <t xml:space="preserve"> 40.2735 </t>
  </si>
  <si>
    <t xml:space="preserve">C:\Users\andre\Desktop\REACTIV CEFAS\Dutasteride\Dutasteride/20201202_Cefas_Test8_Run2/Plate 2/@20/B11_03.tif </t>
  </si>
  <si>
    <t xml:space="preserve"> 45055.0705 </t>
  </si>
  <si>
    <t xml:space="preserve"> 43.8886 </t>
  </si>
  <si>
    <t xml:space="preserve">C:\Users\andre\Desktop\REACTIV CEFAS\Dutasteride\Dutasteride/20201202_Cefas_Test8_Run2/Plate 2/@20/C11_01.tif </t>
  </si>
  <si>
    <t xml:space="preserve"> 44060.0954 </t>
  </si>
  <si>
    <t xml:space="preserve"> 37.7815 </t>
  </si>
  <si>
    <t xml:space="preserve">C:\Users\andre\Desktop\REACTIV CEFAS\Dutasteride\Dutasteride/20201202_Cefas_Test8_Run2/Plate 2/@20/C11_02.tif </t>
  </si>
  <si>
    <t xml:space="preserve"> 40.3742 </t>
  </si>
  <si>
    <t xml:space="preserve">C:\Users\andre\Desktop\REACTIV CEFAS\Dutasteride\Dutasteride/20201202_Cefas_Test8_Run2/Plate 2/@20/C11_03.tif </t>
  </si>
  <si>
    <t xml:space="preserve"> 38890.5505 </t>
  </si>
  <si>
    <t xml:space="preserve"> 37.1468 </t>
  </si>
  <si>
    <t xml:space="preserve">C:\Users\andre\Desktop\REACTIV CEFAS\Dutasteride\Dutasteride/20201202_Cefas_Test8_Run2/Plate 2/@20/D11_01.tif </t>
  </si>
  <si>
    <t xml:space="preserve"> 52.4625 </t>
  </si>
  <si>
    <t xml:space="preserve">C:\Users\andre\Desktop\REACTIV CEFAS\Dutasteride\Dutasteride/20201202_Cefas_Test8_Run2/Plate 2/@20/D11_02.tif </t>
  </si>
  <si>
    <t xml:space="preserve"> 76894.2754 </t>
  </si>
  <si>
    <t xml:space="preserve"> 55.2911 </t>
  </si>
  <si>
    <t xml:space="preserve">C:\Users\andre\Desktop\REACTIV CEFAS\Dutasteride\Dutasteride/20201202_Cefas_Test8_Run2/Plate 2/@20/D11_03.tif </t>
  </si>
  <si>
    <t xml:space="preserve"> 74688.0262 </t>
  </si>
  <si>
    <t xml:space="preserve"> 49.7782 </t>
  </si>
  <si>
    <t xml:space="preserve">C:\Users\andre\Desktop\REACTIV CEFAS\Dutasteride\Dutasteride/20201202_Cefas_Test8_Run2/Plate 2/@20/E11_01.tif </t>
  </si>
  <si>
    <t xml:space="preserve"> 73606.5314 </t>
  </si>
  <si>
    <t xml:space="preserve"> 48.8933 </t>
  </si>
  <si>
    <t xml:space="preserve">C:\Users\andre\Desktop\REACTIV CEFAS\Dutasteride\Dutasteride/20201202_Cefas_Test8_Run2/Plate 2/@20/E11_02.tif </t>
  </si>
  <si>
    <t xml:space="preserve"> 71205.6131 </t>
  </si>
  <si>
    <t xml:space="preserve"> 51.4371 </t>
  </si>
  <si>
    <t xml:space="preserve">C:\Users\andre\Desktop\REACTIV CEFAS\Dutasteride\Dutasteride/20201202_Cefas_Test8_Run2/Plate 2/@20/E11_03.tif </t>
  </si>
  <si>
    <t xml:space="preserve"> 67896.2392 </t>
  </si>
  <si>
    <t xml:space="preserve"> 47.4543 </t>
  </si>
  <si>
    <t xml:space="preserve">C:\Users\andre\Desktop\REACTIV CEFAS\Dutasteride\Dutasteride/20201202_Cefas_Test8_Run2/Plate 2/@20/F11_01.tif </t>
  </si>
  <si>
    <t xml:space="preserve"> 55978.1673 </t>
  </si>
  <si>
    <t xml:space="preserve"> 38.9455 </t>
  </si>
  <si>
    <t xml:space="preserve">C:\Users\andre\Desktop\REACTIV CEFAS\Dutasteride\Dutasteride/20201202_Cefas_Test8_Run2/Plate 2/@20/F11_02.tif </t>
  </si>
  <si>
    <t xml:space="preserve"> 60239.2565 </t>
  </si>
  <si>
    <t xml:space="preserve"> 40.4456 </t>
  </si>
  <si>
    <t xml:space="preserve">C:\Users\andre\Desktop\REACTIV CEFAS\Dutasteride\Dutasteride/20201202_Cefas_Test8_Run2/Plate 2/@20/F11_03.tif </t>
  </si>
  <si>
    <t xml:space="preserve"> 57773.4486 </t>
  </si>
  <si>
    <t xml:space="preserve"> 38.7319 </t>
  </si>
  <si>
    <t xml:space="preserve">C:\Users\andre\Desktop\REACTIV CEFAS\Dutasteride\Dutasteride/20201202_Cefas_Test8_Run2/Plate 2/@20/G11_01.tif </t>
  </si>
  <si>
    <t xml:space="preserve"> 71746.3605 </t>
  </si>
  <si>
    <t xml:space="preserve"> 57.4052 </t>
  </si>
  <si>
    <t xml:space="preserve">C:\Users\andre\Desktop\REACTIV CEFAS\Dutasteride\Dutasteride/20201202_Cefas_Test8_Run2/Plate 2/@20/G11_02.tif </t>
  </si>
  <si>
    <t xml:space="preserve"> 63721.6696 </t>
  </si>
  <si>
    <t xml:space="preserve"> 56.7889 </t>
  </si>
  <si>
    <t xml:space="preserve">C:\Users\andre\Desktop\REACTIV CEFAS\Dutasteride\Dutasteride/20201202_Cefas_Test8_Run2/Plate 2/@20/G11_03.tif </t>
  </si>
  <si>
    <t xml:space="preserve"> 54.6329 </t>
  </si>
  <si>
    <t xml:space="preserve">C:\Users\andre\Desktop\REACTIV CEFAS\Dutasteride\Dutasteride/20201202_Cefas_Test8_Run2/Plate 2/@20/H11_01.tif </t>
  </si>
  <si>
    <t xml:space="preserve"> 43411.1985 </t>
  </si>
  <si>
    <t xml:space="preserve"> 39.1565 </t>
  </si>
  <si>
    <t xml:space="preserve">C:\Users\andre\Desktop\REACTIV CEFAS\Dutasteride\Dutasteride/20201202_Cefas_Test8_Run2/Plate 2/@20/H11_02.tif </t>
  </si>
  <si>
    <t xml:space="preserve"> 42978.6006 </t>
  </si>
  <si>
    <t xml:space="preserve"> 38.4605 </t>
  </si>
  <si>
    <t xml:space="preserve">C:\Users\andre\Desktop\REACTIV CEFAS\Dutasteride\Dutasteride/20201202_Cefas_Test8_Run2/Plate 2/@20/H11_03.tif </t>
  </si>
  <si>
    <t xml:space="preserve"> 37938.8352 </t>
  </si>
  <si>
    <t xml:space="preserve"> 36.8193 </t>
  </si>
  <si>
    <t xml:space="preserve">C:\Users\andre\Desktop\REACTIV CEFAS\Dutasteride\Dutasteride/20201202_Cefas_Test8_Run2/Plate 2/@20/ </t>
  </si>
  <si>
    <t xml:space="preserve"> 45.1606 </t>
  </si>
  <si>
    <t xml:space="preserve"> 6.7438 </t>
  </si>
  <si>
    <t xml:space="preserve"> 2768841.88 </t>
  </si>
  <si>
    <t xml:space="preserve"> 1014694.11 </t>
  </si>
  <si>
    <t xml:space="preserve">C:\Users\andre\Desktop\REACTIV CEFAS\Dutasteride\Dutasteride/20201202_Cefas_Test8_Run2/Plate 2/@21/A12_01.tif </t>
  </si>
  <si>
    <t xml:space="preserve"> 36.1508 </t>
  </si>
  <si>
    <t xml:space="preserve">C:\Users\andre\Desktop\REACTIV CEFAS\Dutasteride\Dutasteride/20201202_Cefas_Test8_Run2/Plate 2/@21/A12_02.tif </t>
  </si>
  <si>
    <t xml:space="preserve"> 36424.7426 </t>
  </si>
  <si>
    <t xml:space="preserve"> 36.6366 </t>
  </si>
  <si>
    <t xml:space="preserve">C:\Users\andre\Desktop\REACTIV CEFAS\Dutasteride\Dutasteride/20201202_Cefas_Test8_Run2/Plate 2/@21/A12_03.tif </t>
  </si>
  <si>
    <t xml:space="preserve"> 40837.2411 </t>
  </si>
  <si>
    <t xml:space="preserve"> 36.8565 </t>
  </si>
  <si>
    <t xml:space="preserve">C:\Users\andre\Desktop\REACTIV CEFAS\Dutasteride\Dutasteride/20201202_Cefas_Test8_Run2/Plate 2/@21/B12_01.tif </t>
  </si>
  <si>
    <t xml:space="preserve"> 52993.2418 </t>
  </si>
  <si>
    <t xml:space="preserve"> 44.391 </t>
  </si>
  <si>
    <t xml:space="preserve">C:\Users\andre\Desktop\REACTIV CEFAS\Dutasteride\Dutasteride/20201202_Cefas_Test8_Run2/Plate 2/@21/B12_02.tif </t>
  </si>
  <si>
    <t xml:space="preserve"> 41.9284 </t>
  </si>
  <si>
    <t xml:space="preserve">C:\Users\andre\Desktop\REACTIV CEFAS\Dutasteride\Dutasteride/20201202_Cefas_Test8_Run2/Plate 2/@21/B12_03.tif </t>
  </si>
  <si>
    <t xml:space="preserve"> 49835.2772 </t>
  </si>
  <si>
    <t xml:space="preserve"> 45.421 </t>
  </si>
  <si>
    <t xml:space="preserve">C:\Users\andre\Desktop\REACTIV CEFAS\Dutasteride\Dutasteride/20201202_Cefas_Test8_Run2/Plate 2/@21/C12_01.tif </t>
  </si>
  <si>
    <t xml:space="preserve"> 32.2 </t>
  </si>
  <si>
    <t xml:space="preserve">C:\Users\andre\Desktop\REACTIV CEFAS\Dutasteride\Dutasteride/20201202_Cefas_Test8_Run2/Plate 2/@21/C12_02.tif </t>
  </si>
  <si>
    <t xml:space="preserve"> 31.96 </t>
  </si>
  <si>
    <t xml:space="preserve">C:\Users\andre\Desktop\REACTIV CEFAS\Dutasteride\Dutasteride/20201202_Cefas_Test8_Run2/Plate 2/@21/C12_03.tif </t>
  </si>
  <si>
    <t xml:space="preserve">C:\Users\andre\Desktop\REACTIV CEFAS\Dutasteride\Dutasteride/20201202_Cefas_Test8_Run2/Plate 2/@21/D12_01.tif </t>
  </si>
  <si>
    <t xml:space="preserve"> 37289.9383 </t>
  </si>
  <si>
    <t xml:space="preserve"> 34.1172 </t>
  </si>
  <si>
    <t xml:space="preserve">C:\Users\andre\Desktop\REACTIV CEFAS\Dutasteride\Dutasteride/20201202_Cefas_Test8_Run2/Plate 2/@21/D12_02.tif </t>
  </si>
  <si>
    <t xml:space="preserve"> 33.4103 </t>
  </si>
  <si>
    <t xml:space="preserve">C:\Users\andre\Desktop\REACTIV CEFAS\Dutasteride\Dutasteride/20201202_Cefas_Test8_Run2/Plate 2/@21/D12_03.tif </t>
  </si>
  <si>
    <t xml:space="preserve"> 33.9213 </t>
  </si>
  <si>
    <t xml:space="preserve">C:\Users\andre\Desktop\REACTIV CEFAS\Dutasteride\Dutasteride/20201202_Cefas_Test8_Run2/Plate 2/@21/E12_01.tif </t>
  </si>
  <si>
    <t xml:space="preserve"> 37354.828 </t>
  </si>
  <si>
    <t xml:space="preserve"> 39.8715 </t>
  </si>
  <si>
    <t xml:space="preserve">C:\Users\andre\Desktop\REACTIV CEFAS\Dutasteride\Dutasteride/20201202_Cefas_Test8_Run2/Plate 2/@21/E12_02.tif </t>
  </si>
  <si>
    <t xml:space="preserve"> 37506.2373 </t>
  </si>
  <si>
    <t xml:space="preserve"> 41.1557 </t>
  </si>
  <si>
    <t xml:space="preserve">C:\Users\andre\Desktop\REACTIV CEFAS\Dutasteride\Dutasteride/20201202_Cefas_Test8_Run2/Plate 2/@21/E12_03.tif </t>
  </si>
  <si>
    <t xml:space="preserve"> 35602.8066 </t>
  </si>
  <si>
    <t xml:space="preserve"> 40.0468 </t>
  </si>
  <si>
    <t xml:space="preserve">C:\Users\andre\Desktop\REACTIV CEFAS\Dutasteride\Dutasteride/20201202_Cefas_Test8_Run2/Plate 2/@21/F12_01.tif </t>
  </si>
  <si>
    <t xml:space="preserve"> 46850.3518 </t>
  </si>
  <si>
    <t xml:space="preserve"> 38.4871 </t>
  </si>
  <si>
    <t xml:space="preserve">C:\Users\andre\Desktop\REACTIV CEFAS\Dutasteride\Dutasteride/20201202_Cefas_Test8_Run2/Plate 2/@21/F12_02.tif </t>
  </si>
  <si>
    <t xml:space="preserve"> 47737.1774 </t>
  </si>
  <si>
    <t xml:space="preserve"> 40.1921 </t>
  </si>
  <si>
    <t xml:space="preserve">C:\Users\andre\Desktop\REACTIV CEFAS\Dutasteride\Dutasteride/20201202_Cefas_Test8_Run2/Plate 2/@21/F12_03.tif </t>
  </si>
  <si>
    <t xml:space="preserve"> 50202.9854 </t>
  </si>
  <si>
    <t xml:space="preserve"> 40.8772 </t>
  </si>
  <si>
    <t xml:space="preserve">C:\Users\andre\Desktop\REACTIV CEFAS\Dutasteride\Dutasteride/20201202_Cefas_Test8_Run2/Plate 2/@21/G12_01.tif </t>
  </si>
  <si>
    <t xml:space="preserve"> 42848.8213 </t>
  </si>
  <si>
    <t xml:space="preserve"> 39.7143 </t>
  </si>
  <si>
    <t xml:space="preserve">C:\Users\andre\Desktop\REACTIV CEFAS\Dutasteride\Dutasteride/20201202_Cefas_Test8_Run2/Plate 2/@21/G12_02.tif </t>
  </si>
  <si>
    <t xml:space="preserve"> 41.0837 </t>
  </si>
  <si>
    <t xml:space="preserve">C:\Users\andre\Desktop\REACTIV CEFAS\Dutasteride\Dutasteride/20201202_Cefas_Test8_Run2/Plate 2/@21/G12_03.tif </t>
  </si>
  <si>
    <t xml:space="preserve"> 41.2316 </t>
  </si>
  <si>
    <t xml:space="preserve">C:\Users\andre\Desktop\REACTIV CEFAS\Dutasteride\Dutasteride/20201202_Cefas_Test8_Run2/Plate 2/@21/H12_01.tif </t>
  </si>
  <si>
    <t xml:space="preserve"> 54961.5623 </t>
  </si>
  <si>
    <t xml:space="preserve"> 50.5309 </t>
  </si>
  <si>
    <t>C:\Users\andre\Desktop\REACTIV CEFAS\Dutasteride\Dutasteride/20201202_Cefas_Test8_Run2/Plate 2/@21/H12_02- exclu.tif</t>
  </si>
  <si>
    <t xml:space="preserve">C:\Users\andre\Desktop\REACTIV CEFAS\Dutasteride\Dutasteride/20201202_Cefas_Test8_Run2/Plate 2/@21/H12_03.tif </t>
  </si>
  <si>
    <t xml:space="preserve"> 54745.2633 </t>
  </si>
  <si>
    <t xml:space="preserve"> 46.6519 </t>
  </si>
  <si>
    <t xml:space="preserve">C:\Users\andre\Desktop\REACTIV CEFAS\Dutasteride\Dutasteride/20201202_Cefas_Test8_Run2/Plate 2/@21/ </t>
  </si>
  <si>
    <t xml:space="preserve"> 37.9324 </t>
  </si>
  <si>
    <t xml:space="preserve"> 9.3278 </t>
  </si>
  <si>
    <t xml:space="preserve"> 1562605.75 </t>
  </si>
  <si>
    <t xml:space="preserve"> 764396.763 </t>
  </si>
  <si>
    <t>C:\Users\andre\Desktop\REACTIV CEFAS\Dutasteride\Dutasteride/20201202_Cefas_Test8_Run2/Plate 2/@8/A2_01- exclu.tif</t>
  </si>
  <si>
    <t>C:\Users\andre\Desktop\REACTIV CEFAS\Dutasteride\Dutasteride/20201202_Cefas_Test8_Run2/Plate 2/@8/A2_02- exclu.tif</t>
  </si>
  <si>
    <t>C:\Users\andre\Desktop\REACTIV CEFAS\Dutasteride\Dutasteride/20201202_Cefas_Test8_Run2/Plate 2/@8/A2_03- exclu.tif</t>
  </si>
  <si>
    <t xml:space="preserve">C:\Users\andre\Desktop\REACTIV CEFAS\Dutasteride\Dutasteride/20201202_Cefas_Test8_Run2/Plate 2/@8/B2_01.tif </t>
  </si>
  <si>
    <t xml:space="preserve">C:\Users\andre\Desktop\REACTIV CEFAS\Dutasteride\Dutasteride/20201202_Cefas_Test8_Run2/Plate 2/@8/B2_02.tif </t>
  </si>
  <si>
    <t xml:space="preserve">C:\Users\andre\Desktop\REACTIV CEFAS\Dutasteride\Dutasteride/20201202_Cefas_Test8_Run2/Plate 2/@8/B2_03.tif </t>
  </si>
  <si>
    <t xml:space="preserve">C:\Users\andre\Desktop\REACTIV CEFAS\Dutasteride\Dutasteride/20201202_Cefas_Test8_Run2/Plate 2/@8/C2_01.tif </t>
  </si>
  <si>
    <t xml:space="preserve"> 8478.9187 </t>
  </si>
  <si>
    <t xml:space="preserve"> 43.5663 </t>
  </si>
  <si>
    <t xml:space="preserve">C:\Users\andre\Desktop\REACTIV CEFAS\Dutasteride\Dutasteride/20201202_Cefas_Test8_Run2/Plate 2/@8/C2_02.tif </t>
  </si>
  <si>
    <t xml:space="preserve"> 33.1765 </t>
  </si>
  <si>
    <t xml:space="preserve">C:\Users\andre\Desktop\REACTIV CEFAS\Dutasteride\Dutasteride/20201202_Cefas_Test8_Run2/Plate 2/@8/C2_03.tif </t>
  </si>
  <si>
    <t xml:space="preserve"> 9776.7124 </t>
  </si>
  <si>
    <t xml:space="preserve"> 38.208 </t>
  </si>
  <si>
    <t xml:space="preserve">C:\Users\andre\Desktop\REACTIV CEFAS\Dutasteride\Dutasteride/20201202_Cefas_Test8_Run2/Plate 2/@8/D2_01.tif </t>
  </si>
  <si>
    <t xml:space="preserve"> 32.6364 </t>
  </si>
  <si>
    <t xml:space="preserve">C:\Users\andre\Desktop\REACTIV CEFAS\Dutasteride\Dutasteride/20201202_Cefas_Test8_Run2/Plate 2/@8/D2_02.tif </t>
  </si>
  <si>
    <t xml:space="preserve"> 32.6 </t>
  </si>
  <si>
    <t xml:space="preserve">C:\Users\andre\Desktop\REACTIV CEFAS\Dutasteride\Dutasteride/20201202_Cefas_Test8_Run2/Plate 2/@8/D2_03.tif </t>
  </si>
  <si>
    <t xml:space="preserve"> 3763.6017 </t>
  </si>
  <si>
    <t xml:space="preserve"> 33.6379 </t>
  </si>
  <si>
    <t xml:space="preserve">C:\Users\andre\Desktop\REACTIV CEFAS\Dutasteride\Dutasteride/20201202_Cefas_Test8_Run2/Plate 2/@8/E2_01.tif </t>
  </si>
  <si>
    <t xml:space="preserve">C:\Users\andre\Desktop\REACTIV CEFAS\Dutasteride\Dutasteride/20201202_Cefas_Test8_Run2/Plate 2/@8/E2_02.tif </t>
  </si>
  <si>
    <t xml:space="preserve"> 31.1111 </t>
  </si>
  <si>
    <t xml:space="preserve">C:\Users\andre\Desktop\REACTIV CEFAS\Dutasteride\Dutasteride/20201202_Cefas_Test8_Run2/Plate 2/@8/E2_03.tif </t>
  </si>
  <si>
    <t xml:space="preserve"> 2206.2493 </t>
  </si>
  <si>
    <t xml:space="preserve"> 33.6176 </t>
  </si>
  <si>
    <t xml:space="preserve">C:\Users\andre\Desktop\REACTIV CEFAS\Dutasteride\Dutasteride/20201202_Cefas_Test8_Run2/Plate 2/@8/F2_01.tif </t>
  </si>
  <si>
    <t xml:space="preserve"> 32.0206 </t>
  </si>
  <si>
    <t xml:space="preserve">C:\Users\andre\Desktop\REACTIV CEFAS\Dutasteride\Dutasteride/20201202_Cefas_Test8_Run2/Plate 2/@8/F2_02.tif </t>
  </si>
  <si>
    <t xml:space="preserve"> 36.829 </t>
  </si>
  <si>
    <t xml:space="preserve">C:\Users\andre\Desktop\REACTIV CEFAS\Dutasteride\Dutasteride/20201202_Cefas_Test8_Run2/Plate 2/@8/F2_03.tif </t>
  </si>
  <si>
    <t xml:space="preserve"> 31.8 </t>
  </si>
  <si>
    <t xml:space="preserve">C:\Users\andre\Desktop\REACTIV CEFAS\Dutasteride\Dutasteride/20201202_Cefas_Test8_Run2/Plate 2/@8/G2_01.tif </t>
  </si>
  <si>
    <t xml:space="preserve"> 35.4342 </t>
  </si>
  <si>
    <t xml:space="preserve">C:\Users\andre\Desktop\REACTIV CEFAS\Dutasteride\Dutasteride/20201202_Cefas_Test8_Run2/Plate 2/@8/G2_02.tif </t>
  </si>
  <si>
    <t xml:space="preserve"> 2530.6977 </t>
  </si>
  <si>
    <t xml:space="preserve"> 35.5299 </t>
  </si>
  <si>
    <t xml:space="preserve">C:\Users\andre\Desktop\REACTIV CEFAS\Dutasteride\Dutasteride/20201202_Cefas_Test8_Run2/Plate 2/@8/G2_03.tif </t>
  </si>
  <si>
    <t xml:space="preserve"> 36.8218 </t>
  </si>
  <si>
    <t xml:space="preserve">C:\Users\andre\Desktop\REACTIV CEFAS\Dutasteride\Dutasteride/20201202_Cefas_Test8_Run2/Plate 2/@8/H2_01.tif </t>
  </si>
  <si>
    <t xml:space="preserve"> 37.6512 </t>
  </si>
  <si>
    <t xml:space="preserve">C:\Users\andre\Desktop\REACTIV CEFAS\Dutasteride\Dutasteride/20201202_Cefas_Test8_Run2/Plate 2/@8/H2_02.tif </t>
  </si>
  <si>
    <t xml:space="preserve"> 39.2667 </t>
  </si>
  <si>
    <t xml:space="preserve">C:\Users\andre\Desktop\REACTIV CEFAS\Dutasteride\Dutasteride/20201202_Cefas_Test8_Run2/Plate 2/@8/H2_03.tif </t>
  </si>
  <si>
    <t xml:space="preserve"> 4953.2459 </t>
  </si>
  <si>
    <t xml:space="preserve"> 39.9476 </t>
  </si>
  <si>
    <t xml:space="preserve">C:\Users\andre\Desktop\REACTIV CEFAS\Dutasteride\Dutasteride/20201202_Cefas_Test8_Run2/Plate 2/@8/ </t>
  </si>
  <si>
    <t xml:space="preserve"> 32.7491 </t>
  </si>
  <si>
    <t xml:space="preserve"> 10.7161 </t>
  </si>
  <si>
    <t xml:space="preserve"> 135321.083 </t>
  </si>
  <si>
    <t xml:space="preserve"> 141967.761 </t>
  </si>
  <si>
    <t xml:space="preserve">C:\Users\andre\Desktop\REACTIV CEFAS\Dutasteride\Dutasteride/20201202_Cefas_Test8_Run2/Plate 2/@9/A3_01.tif </t>
  </si>
  <si>
    <t xml:space="preserve"> 8370.7692 </t>
  </si>
  <si>
    <t xml:space="preserve"> 34.7829 </t>
  </si>
  <si>
    <t xml:space="preserve">C:\Users\andre\Desktop\REACTIV CEFAS\Dutasteride\Dutasteride/20201202_Cefas_Test8_Run2/Plate 2/@9/A3_02.tif </t>
  </si>
  <si>
    <t xml:space="preserve"> 2271.1389 </t>
  </si>
  <si>
    <t xml:space="preserve"> 32.5524 </t>
  </si>
  <si>
    <t xml:space="preserve">C:\Users\andre\Desktop\REACTIV CEFAS\Dutasteride\Dutasteride/20201202_Cefas_Test8_Run2/Plate 2/@9/A3_03.tif </t>
  </si>
  <si>
    <t xml:space="preserve"> 10901.4669 </t>
  </si>
  <si>
    <t xml:space="preserve"> 35.9901 </t>
  </si>
  <si>
    <t xml:space="preserve">C:\Users\andre\Desktop\REACTIV CEFAS\Dutasteride\Dutasteride/20201202_Cefas_Test8_Run2/Plate 2/@9/B3_01.tif </t>
  </si>
  <si>
    <t xml:space="preserve"> 37.5862 </t>
  </si>
  <si>
    <t xml:space="preserve">C:\Users\andre\Desktop\REACTIV CEFAS\Dutasteride\Dutasteride/20201202_Cefas_Test8_Run2/Plate 2/@9/B3_02.tif </t>
  </si>
  <si>
    <t xml:space="preserve"> 34.8481 </t>
  </si>
  <si>
    <t xml:space="preserve">C:\Users\andre\Desktop\REACTIV CEFAS\Dutasteride\Dutasteride/20201202_Cefas_Test8_Run2/Plate 2/@9/B3_03.tif </t>
  </si>
  <si>
    <t xml:space="preserve"> 5558.8829 </t>
  </si>
  <si>
    <t xml:space="preserve"> 35.6576 </t>
  </si>
  <si>
    <t xml:space="preserve">C:\Users\andre\Desktop\REACTIV CEFAS\Dutasteride\Dutasteride/20201202_Cefas_Test8_Run2/Plate 2/@9/C3_01.tif </t>
  </si>
  <si>
    <t xml:space="preserve"> 30.8571 </t>
  </si>
  <si>
    <t xml:space="preserve">C:\Users\andre\Desktop\REACTIV CEFAS\Dutasteride\Dutasteride/20201202_Cefas_Test8_Run2/Plate 2/@9/C3_02.tif </t>
  </si>
  <si>
    <t xml:space="preserve"> 31.9333 </t>
  </si>
  <si>
    <t xml:space="preserve">C:\Users\andre\Desktop\REACTIV CEFAS\Dutasteride\Dutasteride/20201202_Cefas_Test8_Run2/Plate 2/@9/C3_03.tif </t>
  </si>
  <si>
    <t xml:space="preserve"> 36.2808 </t>
  </si>
  <si>
    <t xml:space="preserve">C:\Users\andre\Desktop\REACTIV CEFAS\Dutasteride\Dutasteride/20201202_Cefas_Test8_Run2/Plate 2/@9/D3_01.tif </t>
  </si>
  <si>
    <t xml:space="preserve"> 432.5979 </t>
  </si>
  <si>
    <t xml:space="preserve"> 31.75 </t>
  </si>
  <si>
    <t xml:space="preserve">C:\Users\andre\Desktop\REACTIV CEFAS\Dutasteride\Dutasteride/20201202_Cefas_Test8_Run2/Plate 2/@9/D3_02.tif </t>
  </si>
  <si>
    <t xml:space="preserve"> 31.6667 </t>
  </si>
  <si>
    <t xml:space="preserve">C:\Users\andre\Desktop\REACTIV CEFAS\Dutasteride\Dutasteride/20201202_Cefas_Test8_Run2/Plate 2/@9/D3_03.tif </t>
  </si>
  <si>
    <t xml:space="preserve"> 32.7333 </t>
  </si>
  <si>
    <t xml:space="preserve">C:\Users\andre\Desktop\REACTIV CEFAS\Dutasteride\Dutasteride/20201202_Cefas_Test8_Run2/Plate 2/@9/E3_01.tif </t>
  </si>
  <si>
    <t xml:space="preserve"> 35.0284 </t>
  </si>
  <si>
    <t xml:space="preserve">C:\Users\andre\Desktop\REACTIV CEFAS\Dutasteride\Dutasteride/20201202_Cefas_Test8_Run2/Plate 2/@9/E3_02.tif </t>
  </si>
  <si>
    <t xml:space="preserve"> 3266.1141 </t>
  </si>
  <si>
    <t xml:space="preserve"> 34.0397 </t>
  </si>
  <si>
    <t xml:space="preserve">C:\Users\andre\Desktop\REACTIV CEFAS\Dutasteride\Dutasteride/20201202_Cefas_Test8_Run2/Plate 2/@9/E3_03.tif </t>
  </si>
  <si>
    <t xml:space="preserve"> 35.8923 </t>
  </si>
  <si>
    <t xml:space="preserve">C:\Users\andre\Desktop\REACTIV CEFAS\Dutasteride\Dutasteride/20201202_Cefas_Test8_Run2/Plate 2/@9/F3_01.tif </t>
  </si>
  <si>
    <t xml:space="preserve"> 35.0658 </t>
  </si>
  <si>
    <t xml:space="preserve">C:\Users\andre\Desktop\REACTIV CEFAS\Dutasteride\Dutasteride/20201202_Cefas_Test8_Run2/Plate 2/@9/F3_02.tif </t>
  </si>
  <si>
    <t xml:space="preserve"> 627.2669 </t>
  </si>
  <si>
    <t xml:space="preserve"> 31.3793 </t>
  </si>
  <si>
    <t xml:space="preserve">C:\Users\andre\Desktop\REACTIV CEFAS\Dutasteride\Dutasteride/20201202_Cefas_Test8_Run2/Plate 2/@9/F3_03.tif </t>
  </si>
  <si>
    <t xml:space="preserve"> 5688.6623 </t>
  </si>
  <si>
    <t xml:space="preserve"> 35.2433 </t>
  </si>
  <si>
    <t xml:space="preserve">C:\Users\andre\Desktop\REACTIV CEFAS\Dutasteride\Dutasteride/20201202_Cefas_Test8_Run2/Plate 2/@9/G3_01.tif </t>
  </si>
  <si>
    <t xml:space="preserve"> 32.9041 </t>
  </si>
  <si>
    <t xml:space="preserve">C:\Users\andre\Desktop\REACTIV CEFAS\Dutasteride\Dutasteride/20201202_Cefas_Test8_Run2/Plate 2/@9/G3_02.tif </t>
  </si>
  <si>
    <t xml:space="preserve"> 6899.9364 </t>
  </si>
  <si>
    <t xml:space="preserve"> 38.5298 </t>
  </si>
  <si>
    <t xml:space="preserve">C:\Users\andre\Desktop\REACTIV CEFAS\Dutasteride\Dutasteride/20201202_Cefas_Test8_Run2/Plate 2/@9/G3_03.tif </t>
  </si>
  <si>
    <t xml:space="preserve"> 35.3668 </t>
  </si>
  <si>
    <t>C:\Users\andre\Desktop\REACTIV CEFAS\Dutasteride\Dutasteride/20201202_Cefas_Test8_Run2/Plate 2/@9/H3_01- exclu.tif</t>
  </si>
  <si>
    <t>C:\Users\andre\Desktop\REACTIV CEFAS\Dutasteride\Dutasteride/20201202_Cefas_Test8_Run2/Plate 2/@9/H3_02- exclu.tif</t>
  </si>
  <si>
    <t>C:\Users\andre\Desktop\REACTIV CEFAS\Dutasteride\Dutasteride/20201202_Cefas_Test8_Run2/Plate 2/@9/H3_03- exclu.tif</t>
  </si>
  <si>
    <t xml:space="preserve">C:\Users\andre\Desktop\REACTIV CEFAS\Dutasteride\Dutasteride/20201202_Cefas_Test8_Run2/Plate 2/@9/ </t>
  </si>
  <si>
    <t xml:space="preserve"> 34.477 </t>
  </si>
  <si>
    <t xml:space="preserve"> 2.0471 </t>
  </si>
  <si>
    <t xml:space="preserve"> 145468.208 </t>
  </si>
  <si>
    <t xml:space="preserve"> 110403.136 </t>
  </si>
  <si>
    <t xml:space="preserve">C:\Users\andre\Desktop\REACTIV CEFAS\Dutasteride\Dutasteride/20201203_Cefas_Test8_Run3/Plate 1/@1/A10_01.tif </t>
  </si>
  <si>
    <t xml:space="preserve"> 1643.872 </t>
  </si>
  <si>
    <t xml:space="preserve"> 34.1316 </t>
  </si>
  <si>
    <t xml:space="preserve">C:\Users\andre\Desktop\REACTIV CEFAS\Dutasteride\Dutasteride/20201203_Cefas_Test8_Run3/Plate 1/@1/A10_02.tif </t>
  </si>
  <si>
    <t xml:space="preserve"> 36.3149 </t>
  </si>
  <si>
    <t xml:space="preserve">C:\Users\andre\Desktop\REACTIV CEFAS\Dutasteride\Dutasteride/20201203_Cefas_Test8_Run3/Plate 1/@1/A10_03.tif </t>
  </si>
  <si>
    <t xml:space="preserve"> 7894.9115 </t>
  </si>
  <si>
    <t xml:space="preserve"> 39.0521 </t>
  </si>
  <si>
    <t xml:space="preserve">C:\Users\andre\Desktop\REACTIV CEFAS\Dutasteride\Dutasteride/20201203_Cefas_Test8_Run3/Plate 1/@1/B10_01.tif </t>
  </si>
  <si>
    <t>C:\Users\andre\Desktop\REACTIV CEFAS\Dutasteride\Dutasteride/20201203_Cefas_Test8_Run3/Plate 1/@1/B10_02- exclu.tif</t>
  </si>
  <si>
    <t xml:space="preserve">C:\Users\andre\Desktop\REACTIV CEFAS\Dutasteride\Dutasteride/20201203_Cefas_Test8_Run3/Plate 1/@1/B10_03.tif </t>
  </si>
  <si>
    <t xml:space="preserve"> 1557.3524 </t>
  </si>
  <si>
    <t xml:space="preserve"> 32.3472 </t>
  </si>
  <si>
    <t xml:space="preserve">C:\Users\andre\Desktop\REACTIV CEFAS\Dutasteride\Dutasteride/20201203_Cefas_Test8_Run3/Plate 1/@1/C10_01.tif </t>
  </si>
  <si>
    <t xml:space="preserve"> 8608.6981 </t>
  </si>
  <si>
    <t xml:space="preserve"> 39.2839 </t>
  </si>
  <si>
    <t xml:space="preserve">C:\Users\andre\Desktop\REACTIV CEFAS\Dutasteride\Dutasteride/20201203_Cefas_Test8_Run3/Plate 1/@1/C10_02.tif </t>
  </si>
  <si>
    <t xml:space="preserve"> 2963.2956 </t>
  </si>
  <si>
    <t xml:space="preserve"> 38.3577 </t>
  </si>
  <si>
    <t xml:space="preserve">C:\Users\andre\Desktop\REACTIV CEFAS\Dutasteride\Dutasteride/20201203_Cefas_Test8_Run3/Plate 1/@1/C10_03.tif </t>
  </si>
  <si>
    <t xml:space="preserve"> 13302.3852 </t>
  </si>
  <si>
    <t xml:space="preserve"> 39.4276 </t>
  </si>
  <si>
    <t>C:\Users\andre\Desktop\REACTIV CEFAS\Dutasteride\Dutasteride/20201203_Cefas_Test8_Run3/Plate 1/@1/D10_01- exclu.tif</t>
  </si>
  <si>
    <t xml:space="preserve">C:\Users\andre\Desktop\REACTIV CEFAS\Dutasteride\Dutasteride/20201203_Cefas_Test8_Run3/Plate 1/@1/D10_02.tif </t>
  </si>
  <si>
    <t xml:space="preserve"> 2703.7368 </t>
  </si>
  <si>
    <t xml:space="preserve"> 36.56 </t>
  </si>
  <si>
    <t xml:space="preserve">C:\Users\andre\Desktop\REACTIV CEFAS\Dutasteride\Dutasteride/20201203_Cefas_Test8_Run3/Plate 1/@1/D10_03.tif </t>
  </si>
  <si>
    <t xml:space="preserve"> 9084.5557 </t>
  </si>
  <si>
    <t xml:space="preserve"> 43.5976 </t>
  </si>
  <si>
    <t xml:space="preserve">C:\Users\andre\Desktop\REACTIV CEFAS\Dutasteride\Dutasteride/20201203_Cefas_Test8_Run3/Plate 1/@1/E10_01.tif </t>
  </si>
  <si>
    <t xml:space="preserve"> 34.0602 </t>
  </si>
  <si>
    <t xml:space="preserve">C:\Users\andre\Desktop\REACTIV CEFAS\Dutasteride\Dutasteride/20201203_Cefas_Test8_Run3/Plate 1/@1/E10_02.tif </t>
  </si>
  <si>
    <t xml:space="preserve"> 6164.52 </t>
  </si>
  <si>
    <t xml:space="preserve"> 33.6035 </t>
  </si>
  <si>
    <t xml:space="preserve">C:\Users\andre\Desktop\REACTIV CEFAS\Dutasteride\Dutasteride/20201203_Cefas_Test8_Run3/Plate 1/@1/E10_03.tif </t>
  </si>
  <si>
    <t xml:space="preserve"> 7440.6838 </t>
  </si>
  <si>
    <t xml:space="preserve"> 33.1134 </t>
  </si>
  <si>
    <t xml:space="preserve">C:\Users\andre\Desktop\REACTIV CEFAS\Dutasteride\Dutasteride/20201203_Cefas_Test8_Run3/Plate 1/@1/F10_01.tif </t>
  </si>
  <si>
    <t xml:space="preserve"> 1989.9503 </t>
  </si>
  <si>
    <t xml:space="preserve"> 36.4022 </t>
  </si>
  <si>
    <t xml:space="preserve">C:\Users\andre\Desktop\REACTIV CEFAS\Dutasteride\Dutasteride/20201203_Cefas_Test8_Run3/Plate 1/@1/F10_02.tif </t>
  </si>
  <si>
    <t xml:space="preserve"> 30.6139 </t>
  </si>
  <si>
    <t xml:space="preserve">C:\Users\andre\Desktop\REACTIV CEFAS\Dutasteride\Dutasteride/20201203_Cefas_Test8_Run3/Plate 1/@1/F10_03.tif </t>
  </si>
  <si>
    <t xml:space="preserve"> 30.8421 </t>
  </si>
  <si>
    <t xml:space="preserve">C:\Users\andre\Desktop\REACTIV CEFAS\Dutasteride\Dutasteride/20201203_Cefas_Test8_Run3/Plate 1/@1/G10_01.tif </t>
  </si>
  <si>
    <t xml:space="preserve">C:\Users\andre\Desktop\REACTIV CEFAS\Dutasteride\Dutasteride/20201203_Cefas_Test8_Run3/Plate 1/@1/G10_02.tif </t>
  </si>
  <si>
    <t xml:space="preserve"> 7072.9755 </t>
  </si>
  <si>
    <t xml:space="preserve"> 38.8043 </t>
  </si>
  <si>
    <t xml:space="preserve">C:\Users\andre\Desktop\REACTIV CEFAS\Dutasteride\Dutasteride/20201203_Cefas_Test8_Run3/Plate 1/@1/G10_03.tif </t>
  </si>
  <si>
    <t xml:space="preserve"> 7570.4631 </t>
  </si>
  <si>
    <t xml:space="preserve"> 38.6686 </t>
  </si>
  <si>
    <t xml:space="preserve">C:\Users\andre\Desktop\REACTIV CEFAS\Dutasteride\Dutasteride/20201203_Cefas_Test8_Run3/Plate 1/@1/H10_01.tif </t>
  </si>
  <si>
    <t xml:space="preserve">C:\Users\andre\Desktop\REACTIV CEFAS\Dutasteride\Dutasteride/20201203_Cefas_Test8_Run3/Plate 1/@1/H10_02.tif </t>
  </si>
  <si>
    <t xml:space="preserve"> 46.0211 </t>
  </si>
  <si>
    <t xml:space="preserve">C:\Users\andre\Desktop\REACTIV CEFAS\Dutasteride\Dutasteride/20201203_Cefas_Test8_Run3/Plate 1/@1/H10_03.tif </t>
  </si>
  <si>
    <t xml:space="preserve"> 7916.5414 </t>
  </si>
  <si>
    <t xml:space="preserve"> 47.2568 </t>
  </si>
  <si>
    <t xml:space="preserve">C:\Users\andre\Desktop\REACTIV CEFAS\Dutasteride\Dutasteride/20201203_Cefas_Test8_Run3/Plate 1/@1/ </t>
  </si>
  <si>
    <t xml:space="preserve"> 32.1702 </t>
  </si>
  <si>
    <t xml:space="preserve"> 13.1971 </t>
  </si>
  <si>
    <t xml:space="preserve"> 180731.333 </t>
  </si>
  <si>
    <t xml:space="preserve"> 163665.138 </t>
  </si>
  <si>
    <t>C:\Users\andre\Desktop\REACTIV CEFAS\Dutasteride\Dutasteride/20201203_Cefas_Test8_Run3/Plate 1/@13/A8_01- exclu.tif</t>
  </si>
  <si>
    <t>C:\Users\andre\Desktop\REACTIV CEFAS\Dutasteride\Dutasteride/20201203_Cefas_Test8_Run3/Plate 1/@13/A8_02- exclu.tif</t>
  </si>
  <si>
    <t xml:space="preserve">C:\Users\andre\Desktop\REACTIV CEFAS\Dutasteride\Dutasteride/20201203_Cefas_Test8_Run3/Plate 1/@13/A8_03.tif </t>
  </si>
  <si>
    <t xml:space="preserve"> 15811.453 </t>
  </si>
  <si>
    <t xml:space="preserve"> 33.1737 </t>
  </si>
  <si>
    <t xml:space="preserve">C:\Users\andre\Desktop\REACTIV CEFAS\Dutasteride\Dutasteride/20201203_Cefas_Test8_Run3/Plate 1/@13/B8_01.tif </t>
  </si>
  <si>
    <t xml:space="preserve"> 72460.147 </t>
  </si>
  <si>
    <t xml:space="preserve"> 50.7788 </t>
  </si>
  <si>
    <t xml:space="preserve">C:\Users\andre\Desktop\REACTIV CEFAS\Dutasteride\Dutasteride/20201203_Cefas_Test8_Run3/Plate 1/@13/B8_02.tif </t>
  </si>
  <si>
    <t xml:space="preserve"> 64197.5273 </t>
  </si>
  <si>
    <t xml:space="preserve"> 48.597 </t>
  </si>
  <si>
    <t xml:space="preserve">C:\Users\andre\Desktop\REACTIV CEFAS\Dutasteride\Dutasteride/20201203_Cefas_Test8_Run3/Plate 1/@13/B8_03.tif </t>
  </si>
  <si>
    <t xml:space="preserve"> 50.8775 </t>
  </si>
  <si>
    <t xml:space="preserve">C:\Users\andre\Desktop\REACTIV CEFAS\Dutasteride\Dutasteride/20201203_Cefas_Test8_Run3/Plate 1/@13/C8_01.tif </t>
  </si>
  <si>
    <t xml:space="preserve"> 47.7466 </t>
  </si>
  <si>
    <t xml:space="preserve">C:\Users\andre\Desktop\REACTIV CEFAS\Dutasteride\Dutasteride/20201203_Cefas_Test8_Run3/Plate 1/@13/C8_02.tif </t>
  </si>
  <si>
    <t xml:space="preserve"> 68069.2784 </t>
  </si>
  <si>
    <t xml:space="preserve"> 44.2854 </t>
  </si>
  <si>
    <t xml:space="preserve">C:\Users\andre\Desktop\REACTIV CEFAS\Dutasteride\Dutasteride/20201203_Cefas_Test8_Run3/Plate 1/@13/C8_03.tif </t>
  </si>
  <si>
    <t xml:space="preserve"> 74341.9478 </t>
  </si>
  <si>
    <t xml:space="preserve"> 42.7221 </t>
  </si>
  <si>
    <t xml:space="preserve">C:\Users\andre\Desktop\REACTIV CEFAS\Dutasteride\Dutasteride/20201203_Cefas_Test8_Run3/Plate 1/@13/D8_01.tif </t>
  </si>
  <si>
    <t xml:space="preserve"> 33807.5253 </t>
  </si>
  <si>
    <t xml:space="preserve"> 37.1843 </t>
  </si>
  <si>
    <t xml:space="preserve">C:\Users\andre\Desktop\REACTIV CEFAS\Dutasteride\Dutasteride/20201203_Cefas_Test8_Run3/Plate 1/@13/D8_02.tif </t>
  </si>
  <si>
    <t xml:space="preserve"> 30390.002 </t>
  </si>
  <si>
    <t xml:space="preserve"> 35.5922 </t>
  </si>
  <si>
    <t xml:space="preserve">C:\Users\andre\Desktop\REACTIV CEFAS\Dutasteride\Dutasteride/20201203_Cefas_Test8_Run3/Plate 1/@13/D8_03.tif </t>
  </si>
  <si>
    <t xml:space="preserve"> 32250.1729 </t>
  </si>
  <si>
    <t xml:space="preserve"> 35.4299 </t>
  </si>
  <si>
    <t xml:space="preserve">C:\Users\andre\Desktop\REACTIV CEFAS\Dutasteride\Dutasteride/20201203_Cefas_Test8_Run3/Plate 1/@13/E8_01.tif </t>
  </si>
  <si>
    <t xml:space="preserve"> 57730.1888 </t>
  </si>
  <si>
    <t xml:space="preserve"> 38.1135 </t>
  </si>
  <si>
    <t xml:space="preserve">C:\Users\andre\Desktop\REACTIV CEFAS\Dutasteride\Dutasteride/20201203_Cefas_Test8_Run3/Plate 1/@13/E8_02.tif </t>
  </si>
  <si>
    <t xml:space="preserve"> 60455.5555 </t>
  </si>
  <si>
    <t xml:space="preserve"> 40.771 </t>
  </si>
  <si>
    <t xml:space="preserve">C:\Users\andre\Desktop\REACTIV CEFAS\Dutasteride\Dutasteride/20201203_Cefas_Test8_Run3/Plate 1/@13/E8_03.tif </t>
  </si>
  <si>
    <t xml:space="preserve"> 58206.0464 </t>
  </si>
  <si>
    <t xml:space="preserve"> 37.5151 </t>
  </si>
  <si>
    <t xml:space="preserve">C:\Users\andre\Desktop\REACTIV CEFAS\Dutasteride\Dutasteride/20201203_Cefas_Test8_Run3/Plate 1/@13/F8_01.tif </t>
  </si>
  <si>
    <t xml:space="preserve"> 1341.0535 </t>
  </si>
  <si>
    <t xml:space="preserve"> 33.4355 </t>
  </si>
  <si>
    <t xml:space="preserve">C:\Users\andre\Desktop\REACTIV CEFAS\Dutasteride\Dutasteride/20201203_Cefas_Test8_Run3/Plate 1/@13/F8_02.tif </t>
  </si>
  <si>
    <t xml:space="preserve"> 31.7027 </t>
  </si>
  <si>
    <t xml:space="preserve">C:\Users\andre\Desktop\REACTIV CEFAS\Dutasteride\Dutasteride/20201203_Cefas_Test8_Run3/Plate 1/@13/F8_03.tif </t>
  </si>
  <si>
    <t xml:space="preserve">C:\Users\andre\Desktop\REACTIV CEFAS\Dutasteride\Dutasteride/20201203_Cefas_Test8_Run3/Plate 1/@13/G8_01.tif </t>
  </si>
  <si>
    <t xml:space="preserve"> 73736.3108 </t>
  </si>
  <si>
    <t xml:space="preserve"> 41.9607 </t>
  </si>
  <si>
    <t xml:space="preserve">C:\Users\andre\Desktop\REACTIV CEFAS\Dutasteride\Dutasteride/20201203_Cefas_Test8_Run3/Plate 1/@13/G8_02.tif </t>
  </si>
  <si>
    <t xml:space="preserve"> 44.0905 </t>
  </si>
  <si>
    <t xml:space="preserve">C:\Users\andre\Desktop\REACTIV CEFAS\Dutasteride\Dutasteride/20201203_Cefas_Test8_Run3/Plate 1/@13/G8_03.tif </t>
  </si>
  <si>
    <t xml:space="preserve"> 85438.0838 </t>
  </si>
  <si>
    <t xml:space="preserve"> 49.0529 </t>
  </si>
  <si>
    <t xml:space="preserve">C:\Users\andre\Desktop\REACTIV CEFAS\Dutasteride\Dutasteride/20201203_Cefas_Test8_Run3/Plate 1/@13/H8_01.tif </t>
  </si>
  <si>
    <t xml:space="preserve"> 62012.9079 </t>
  </si>
  <si>
    <t xml:space="preserve"> 41.4077 </t>
  </si>
  <si>
    <t xml:space="preserve">C:\Users\andre\Desktop\REACTIV CEFAS\Dutasteride\Dutasteride/20201203_Cefas_Test8_Run3/Plate 1/@13/H8_02.tif </t>
  </si>
  <si>
    <t xml:space="preserve"> 47520.8785 </t>
  </si>
  <si>
    <t xml:space="preserve"> 38.7633 </t>
  </si>
  <si>
    <t xml:space="preserve">C:\Users\andre\Desktop\REACTIV CEFAS\Dutasteride\Dutasteride/20201203_Cefas_Test8_Run3/Plate 1/@13/H8_03.tif </t>
  </si>
  <si>
    <t xml:space="preserve"> 61277.4915 </t>
  </si>
  <si>
    <t xml:space="preserve"> 41.15 </t>
  </si>
  <si>
    <t xml:space="preserve">C:\Users\andre\Desktop\REACTIV CEFAS\Dutasteride\Dutasteride/20201203_Cefas_Test8_Run3/Plate 1/@13/ </t>
  </si>
  <si>
    <t xml:space="preserve"> 40.4829 </t>
  </si>
  <si>
    <t xml:space="preserve"> 6.0636 </t>
  </si>
  <si>
    <t xml:space="preserve"> 2004108.08 </t>
  </si>
  <si>
    <t xml:space="preserve"> 1264555.13 </t>
  </si>
  <si>
    <t xml:space="preserve">C:\Users\andre\Desktop\REACTIV CEFAS\Dutasteride\Dutasteride/20201203_Cefas_Test8_Run3/Plate 1/@14/A9_01.tif </t>
  </si>
  <si>
    <t xml:space="preserve"> 42.1961 </t>
  </si>
  <si>
    <t xml:space="preserve">C:\Users\andre\Desktop\REACTIV CEFAS\Dutasteride\Dutasteride/20201203_Cefas_Test8_Run3/Plate 1/@14/A9_02.tif </t>
  </si>
  <si>
    <t xml:space="preserve"> 41.3554 </t>
  </si>
  <si>
    <t xml:space="preserve">C:\Users\andre\Desktop\REACTIV CEFAS\Dutasteride\Dutasteride/20201203_Cefas_Test8_Run3/Plate 1/@14/A9_03.tif </t>
  </si>
  <si>
    <t xml:space="preserve"> 42827.1914 </t>
  </si>
  <si>
    <t xml:space="preserve"> 37.9515 </t>
  </si>
  <si>
    <t xml:space="preserve">C:\Users\andre\Desktop\REACTIV CEFAS\Dutasteride\Dutasteride/20201203_Cefas_Test8_Run3/Plate 1/@14/B9_01.tif </t>
  </si>
  <si>
    <t xml:space="preserve"> 45.2048 </t>
  </si>
  <si>
    <t xml:space="preserve">C:\Users\andre\Desktop\REACTIV CEFAS\Dutasteride\Dutasteride/20201203_Cefas_Test8_Run3/Plate 1/@14/B9_02.tif </t>
  </si>
  <si>
    <t xml:space="preserve"> 73346.9727 </t>
  </si>
  <si>
    <t xml:space="preserve"> 43.2365 </t>
  </si>
  <si>
    <t xml:space="preserve">C:\Users\andre\Desktop\REACTIV CEFAS\Dutasteride\Dutasteride/20201203_Cefas_Test8_Run3/Plate 1/@14/B9_03.tif </t>
  </si>
  <si>
    <t xml:space="preserve"> 75336.923 </t>
  </si>
  <si>
    <t xml:space="preserve"> 47.4574 </t>
  </si>
  <si>
    <t>C:\Users\andre\Desktop\REACTIV CEFAS\Dutasteride\Dutasteride/20201203_Cefas_Test8_Run3/Plate 1/@14/C9_01- exclu.tif</t>
  </si>
  <si>
    <t>C:\Users\andre\Desktop\REACTIV CEFAS\Dutasteride\Dutasteride/20201203_Cefas_Test8_Run3/Plate 1/@14/C9_02- exclu.tif</t>
  </si>
  <si>
    <t>C:\Users\andre\Desktop\REACTIV CEFAS\Dutasteride\Dutasteride/20201203_Cefas_Test8_Run3/Plate 1/@14/C9_03- exclu.tif</t>
  </si>
  <si>
    <t xml:space="preserve">C:\Users\andre\Desktop\REACTIV CEFAS\Dutasteride\Dutasteride/20201203_Cefas_Test8_Run3/Plate 1/@14/D9_01.tif </t>
  </si>
  <si>
    <t xml:space="preserve"> 61190.9719 </t>
  </si>
  <si>
    <t xml:space="preserve"> 38.2683 </t>
  </si>
  <si>
    <t xml:space="preserve">C:\Users\andre\Desktop\REACTIV CEFAS\Dutasteride\Dutasteride/20201203_Cefas_Test8_Run3/Plate 1/@14/D9_02.tif </t>
  </si>
  <si>
    <t xml:space="preserve"> 50722.1029 </t>
  </si>
  <si>
    <t xml:space="preserve"> 38.7416 </t>
  </si>
  <si>
    <t xml:space="preserve">C:\Users\andre\Desktop\REACTIV CEFAS\Dutasteride\Dutasteride/20201203_Cefas_Test8_Run3/Plate 1/@14/D9_03.tif </t>
  </si>
  <si>
    <t xml:space="preserve"> 54247.7757 </t>
  </si>
  <si>
    <t xml:space="preserve"> 38.8477 </t>
  </si>
  <si>
    <t xml:space="preserve">C:\Users\andre\Desktop\REACTIV CEFAS\Dutasteride\Dutasteride/20201203_Cefas_Test8_Run3/Plate 1/@14/E9_01.tif </t>
  </si>
  <si>
    <t xml:space="preserve"> 59525.47 </t>
  </si>
  <si>
    <t xml:space="preserve"> 38.8612 </t>
  </si>
  <si>
    <t xml:space="preserve">C:\Users\andre\Desktop\REACTIV CEFAS\Dutasteride\Dutasteride/20201203_Cefas_Test8_Run3/Plate 1/@14/E9_02.tif </t>
  </si>
  <si>
    <t xml:space="preserve"> 67139.1929 </t>
  </si>
  <si>
    <t xml:space="preserve"> 43.2072 </t>
  </si>
  <si>
    <t xml:space="preserve">C:\Users\andre\Desktop\REACTIV CEFAS\Dutasteride\Dutasteride/20201203_Cefas_Test8_Run3/Plate 1/@14/E9_03.tif </t>
  </si>
  <si>
    <t xml:space="preserve"> 55783.4982 </t>
  </si>
  <si>
    <t xml:space="preserve"> 39.071 </t>
  </si>
  <si>
    <t xml:space="preserve">C:\Users\andre\Desktop\REACTIV CEFAS\Dutasteride\Dutasteride/20201203_Cefas_Test8_Run3/Plate 1/@14/F9_01.tif </t>
  </si>
  <si>
    <t xml:space="preserve"> 59958.0679 </t>
  </si>
  <si>
    <t xml:space="preserve"> 39.825 </t>
  </si>
  <si>
    <t xml:space="preserve">C:\Users\andre\Desktop\REACTIV CEFAS\Dutasteride\Dutasteride/20201203_Cefas_Test8_Run3/Plate 1/@14/F9_02.tif </t>
  </si>
  <si>
    <t xml:space="preserve"> 54983.1921 </t>
  </si>
  <si>
    <t xml:space="preserve"> 40.9603 </t>
  </si>
  <si>
    <t xml:space="preserve">C:\Users\andre\Desktop\REACTIV CEFAS\Dutasteride\Dutasteride/20201203_Cefas_Test8_Run3/Plate 1/@14/F9_03.tif </t>
  </si>
  <si>
    <t xml:space="preserve"> 59633.6195 </t>
  </si>
  <si>
    <t xml:space="preserve"> 41.1821 </t>
  </si>
  <si>
    <t xml:space="preserve">C:\Users\andre\Desktop\REACTIV CEFAS\Dutasteride\Dutasteride/20201203_Cefas_Test8_Run3/Plate 1/@14/G9_01.tif </t>
  </si>
  <si>
    <t xml:space="preserve"> 18082.5919 </t>
  </si>
  <si>
    <t xml:space="preserve"> 32.4318 </t>
  </si>
  <si>
    <t xml:space="preserve">C:\Users\andre\Desktop\REACTIV CEFAS\Dutasteride\Dutasteride/20201203_Cefas_Test8_Run3/Plate 1/@14/G9_02.tif </t>
  </si>
  <si>
    <t xml:space="preserve"> 13518.6841 </t>
  </si>
  <si>
    <t xml:space="preserve"> 31.9152 </t>
  </si>
  <si>
    <t xml:space="preserve">C:\Users\andre\Desktop\REACTIV CEFAS\Dutasteride\Dutasteride/20201203_Cefas_Test8_Run3/Plate 1/@14/G9_03.tif </t>
  </si>
  <si>
    <t xml:space="preserve"> 19185.7165 </t>
  </si>
  <si>
    <t xml:space="preserve"> 32.6618 </t>
  </si>
  <si>
    <t xml:space="preserve">C:\Users\andre\Desktop\REACTIV CEFAS\Dutasteride\Dutasteride/20201203_Cefas_Test8_Run3/Plate 1/@14/H9_01.tif </t>
  </si>
  <si>
    <t xml:space="preserve"> 41572.6575 </t>
  </si>
  <si>
    <t xml:space="preserve"> 42.7503 </t>
  </si>
  <si>
    <t xml:space="preserve">C:\Users\andre\Desktop\REACTIV CEFAS\Dutasteride\Dutasteride/20201203_Cefas_Test8_Run3/Plate 1/@14/H9_02.tif </t>
  </si>
  <si>
    <t xml:space="preserve"> 42437.8533 </t>
  </si>
  <si>
    <t xml:space="preserve"> 39.3078 </t>
  </si>
  <si>
    <t>C:\Users\andre\Desktop\REACTIV CEFAS\Dutasteride\Dutasteride/20201203_Cefas_Test8_Run3/Plate 1/@14/H9_03- exclu.tif</t>
  </si>
  <si>
    <t xml:space="preserve">C:\Users\andre\Desktop\REACTIV CEFAS\Dutasteride\Dutasteride/20201203_Cefas_Test8_Run3/Plate 1/@14/ </t>
  </si>
  <si>
    <t xml:space="preserve"> 38.7894 </t>
  </si>
  <si>
    <t xml:space="preserve"> 4.8004 </t>
  </si>
  <si>
    <t xml:space="preserve"> 1033538.59 </t>
  </si>
  <si>
    <t xml:space="preserve">C:\Users\andre\Desktop\REACTIV CEFAS\Dutasteride\Dutasteride/20201203_Cefas_Test8_Run3/Plate 1/@15/A11_01.tif </t>
  </si>
  <si>
    <t xml:space="preserve"> 47.2926 </t>
  </si>
  <si>
    <t xml:space="preserve">C:\Users\andre\Desktop\REACTIV CEFAS\Dutasteride\Dutasteride/20201203_Cefas_Test8_Run3/Plate 1/@15/A11_02.tif </t>
  </si>
  <si>
    <t xml:space="preserve"> 68090.9083 </t>
  </si>
  <si>
    <t xml:space="preserve"> 45.0753 </t>
  </si>
  <si>
    <t xml:space="preserve">C:\Users\andre\Desktop\REACTIV CEFAS\Dutasteride\Dutasteride/20201203_Cefas_Test8_Run3/Plate 1/@15/A11_03.tif </t>
  </si>
  <si>
    <t xml:space="preserve"> 67442.0115 </t>
  </si>
  <si>
    <t xml:space="preserve"> 47.4885 </t>
  </si>
  <si>
    <t xml:space="preserve">C:\Users\andre\Desktop\REACTIV CEFAS\Dutasteride\Dutasteride/20201203_Cefas_Test8_Run3/Plate 1/@15/B11_01.tif </t>
  </si>
  <si>
    <t xml:space="preserve"> 73390.2325 </t>
  </si>
  <si>
    <t xml:space="preserve"> 40.5385 </t>
  </si>
  <si>
    <t xml:space="preserve">C:\Users\andre\Desktop\REACTIV CEFAS\Dutasteride\Dutasteride/20201203_Cefas_Test8_Run3/Plate 1/@15/B11_02.tif </t>
  </si>
  <si>
    <t xml:space="preserve"> 73952.6097 </t>
  </si>
  <si>
    <t xml:space="preserve"> 40.4899 </t>
  </si>
  <si>
    <t xml:space="preserve">C:\Users\andre\Desktop\REACTIV CEFAS\Dutasteride\Dutasteride/20201203_Cefas_Test8_Run3/Plate 1/@15/B11_03.tif </t>
  </si>
  <si>
    <t xml:space="preserve"> 78105.5495 </t>
  </si>
  <si>
    <t xml:space="preserve"> 45.2088 </t>
  </si>
  <si>
    <t xml:space="preserve">C:\Users\andre\Desktop\REACTIV CEFAS\Dutasteride\Dutasteride/20201203_Cefas_Test8_Run3/Plate 1/@15/C11_01.tif </t>
  </si>
  <si>
    <t xml:space="preserve"> 67831.3496 </t>
  </si>
  <si>
    <t xml:space="preserve"> 45.8029 </t>
  </si>
  <si>
    <t xml:space="preserve">C:\Users\andre\Desktop\REACTIV CEFAS\Dutasteride\Dutasteride/20201203_Cefas_Test8_Run3/Plate 1/@15/C11_02.tif </t>
  </si>
  <si>
    <t xml:space="preserve"> 60433.9256 </t>
  </si>
  <si>
    <t xml:space="preserve"> 46.8096 </t>
  </si>
  <si>
    <t xml:space="preserve">C:\Users\andre\Desktop\REACTIV CEFAS\Dutasteride\Dutasteride/20201203_Cefas_Test8_Run3/Plate 1/@15/C11_03.tif </t>
  </si>
  <si>
    <t xml:space="preserve"> 69626.6308 </t>
  </si>
  <si>
    <t xml:space="preserve"> 45.1066 </t>
  </si>
  <si>
    <t xml:space="preserve">C:\Users\andre\Desktop\REACTIV CEFAS\Dutasteride\Dutasteride/20201203_Cefas_Test8_Run3/Plate 1/@15/D11_01.tif </t>
  </si>
  <si>
    <t xml:space="preserve"> 54658.7437 </t>
  </si>
  <si>
    <t xml:space="preserve"> 48.4044 </t>
  </si>
  <si>
    <t xml:space="preserve">C:\Users\andre\Desktop\REACTIV CEFAS\Dutasteride\Dutasteride/20201203_Cefas_Test8_Run3/Plate 1/@15/D11_02.tif </t>
  </si>
  <si>
    <t xml:space="preserve"> 58249.3062 </t>
  </si>
  <si>
    <t xml:space="preserve"> 45.8147 </t>
  </si>
  <si>
    <t xml:space="preserve">C:\Users\andre\Desktop\REACTIV CEFAS\Dutasteride\Dutasteride/20201203_Cefas_Test8_Run3/Plate 1/@15/D11_03.tif </t>
  </si>
  <si>
    <t xml:space="preserve"> 62726.6944 </t>
  </si>
  <si>
    <t xml:space="preserve"> 48.1848 </t>
  </si>
  <si>
    <t xml:space="preserve">C:\Users\andre\Desktop\REACTIV CEFAS\Dutasteride\Dutasteride/20201203_Cefas_Test8_Run3/Plate 1/@15/E11_01.tif </t>
  </si>
  <si>
    <t xml:space="preserve"> 70318.7874 </t>
  </si>
  <si>
    <t xml:space="preserve"> 45.7032 </t>
  </si>
  <si>
    <t xml:space="preserve">C:\Users\andre\Desktop\REACTIV CEFAS\Dutasteride\Dutasteride/20201203_Cefas_Test8_Run3/Plate 1/@15/E11_02.tif </t>
  </si>
  <si>
    <t xml:space="preserve"> 74385.2076 </t>
  </si>
  <si>
    <t xml:space="preserve"> 50.8587 </t>
  </si>
  <si>
    <t xml:space="preserve">C:\Users\andre\Desktop\REACTIV CEFAS\Dutasteride\Dutasteride/20201203_Cefas_Test8_Run3/Plate 1/@15/E11_03.tif </t>
  </si>
  <si>
    <t xml:space="preserve"> 69215.6628 </t>
  </si>
  <si>
    <t xml:space="preserve"> 46.4684 </t>
  </si>
  <si>
    <t xml:space="preserve">C:\Users\andre\Desktop\REACTIV CEFAS\Dutasteride\Dutasteride/20201203_Cefas_Test8_Run3/Plate 1/@15/F11_01.tif </t>
  </si>
  <si>
    <t xml:space="preserve"> 95322.9456 </t>
  </si>
  <si>
    <t xml:space="preserve"> 49.4329 </t>
  </si>
  <si>
    <t xml:space="preserve">C:\Users\andre\Desktop\REACTIV CEFAS\Dutasteride\Dutasteride/20201203_Cefas_Test8_Run3/Plate 1/@15/F11_02.tif </t>
  </si>
  <si>
    <t xml:space="preserve"> 95604.1343 </t>
  </si>
  <si>
    <t xml:space="preserve"> 49.8353 </t>
  </si>
  <si>
    <t xml:space="preserve">C:\Users\andre\Desktop\REACTIV CEFAS\Dutasteride\Dutasteride/20201203_Cefas_Test8_Run3/Plate 1/@15/F11_03.tif </t>
  </si>
  <si>
    <t xml:space="preserve"> 96923.5578 </t>
  </si>
  <si>
    <t xml:space="preserve"> 47.4084 </t>
  </si>
  <si>
    <t>C:\Users\andre\Desktop\REACTIV CEFAS\Dutasteride\Dutasteride/20201203_Cefas_Test8_Run3/Plate 1/@15/G11_01- exclu.tif</t>
  </si>
  <si>
    <t>C:\Users\andre\Desktop\REACTIV CEFAS\Dutasteride\Dutasteride/20201203_Cefas_Test8_Run3/Plate 1/@15/G11_02- exclu.tif</t>
  </si>
  <si>
    <t>C:\Users\andre\Desktop\REACTIV CEFAS\Dutasteride\Dutasteride/20201203_Cefas_Test8_Run3/Plate 1/@15/G11_03- exclu.tif</t>
  </si>
  <si>
    <t xml:space="preserve">C:\Users\andre\Desktop\REACTIV CEFAS\Dutasteride\Dutasteride/20201203_Cefas_Test8_Run3/Plate 1/@15/H11_01.tif </t>
  </si>
  <si>
    <t xml:space="preserve"> 35710.956 </t>
  </si>
  <si>
    <t xml:space="preserve"> 36.2362 </t>
  </si>
  <si>
    <t xml:space="preserve">C:\Users\andre\Desktop\REACTIV CEFAS\Dutasteride\Dutasteride/20201203_Cefas_Test8_Run3/Plate 1/@15/H11_02.tif </t>
  </si>
  <si>
    <t xml:space="preserve"> 41529.3977 </t>
  </si>
  <si>
    <t xml:space="preserve"> 36.3109 </t>
  </si>
  <si>
    <t xml:space="preserve">C:\Users\andre\Desktop\REACTIV CEFAS\Dutasteride\Dutasteride/20201203_Cefas_Test8_Run3/Plate 1/@15/H11_03.tif </t>
  </si>
  <si>
    <t xml:space="preserve"> 27188.7775 </t>
  </si>
  <si>
    <t xml:space="preserve"> 33.922 </t>
  </si>
  <si>
    <t xml:space="preserve">C:\Users\andre\Desktop\REACTIV CEFAS\Dutasteride\Dutasteride/20201203_Cefas_Test8_Run3/Plate 1/@15/ </t>
  </si>
  <si>
    <t xml:space="preserve"> 39.2664 </t>
  </si>
  <si>
    <t xml:space="preserve"> 15.7769 </t>
  </si>
  <si>
    <t xml:space="preserve"> 2693719.42 </t>
  </si>
  <si>
    <t xml:space="preserve"> 1388268.76 </t>
  </si>
  <si>
    <t xml:space="preserve">C:\Users\andre\Desktop\REACTIV CEFAS\Dutasteride\Dutasteride/20201203_Cefas_Test8_Run3/Plate 1/@16/A12_01.tif </t>
  </si>
  <si>
    <t xml:space="preserve">C:\Users\andre\Desktop\REACTIV CEFAS\Dutasteride\Dutasteride/20201203_Cefas_Test8_Run3/Plate 1/@16/A12_02.tif </t>
  </si>
  <si>
    <t xml:space="preserve"> 237.9288 </t>
  </si>
  <si>
    <t xml:space="preserve"> 31.6364 </t>
  </si>
  <si>
    <t xml:space="preserve">C:\Users\andre\Desktop\REACTIV CEFAS\Dutasteride\Dutasteride/20201203_Cefas_Test8_Run3/Plate 1/@16/A12_03.tif </t>
  </si>
  <si>
    <t xml:space="preserve"> 31.7586 </t>
  </si>
  <si>
    <t xml:space="preserve">C:\Users\andre\Desktop\REACTIV CEFAS\Dutasteride\Dutasteride/20201203_Cefas_Test8_Run3/Plate 1/@16/B12_01.tif </t>
  </si>
  <si>
    <t xml:space="preserve"> 34.2222 </t>
  </si>
  <si>
    <t xml:space="preserve">C:\Users\andre\Desktop\REACTIV CEFAS\Dutasteride\Dutasteride/20201203_Cefas_Test8_Run3/Plate 1/@16/B12_02.tif </t>
  </si>
  <si>
    <t xml:space="preserve"> 32.1857 </t>
  </si>
  <si>
    <t xml:space="preserve">C:\Users\andre\Desktop\REACTIV CEFAS\Dutasteride\Dutasteride/20201203_Cefas_Test8_Run3/Plate 1/@16/B12_03.tif </t>
  </si>
  <si>
    <t xml:space="preserve"> 2357.6585 </t>
  </si>
  <si>
    <t xml:space="preserve"> 32.1284 </t>
  </si>
  <si>
    <t xml:space="preserve">C:\Users\andre\Desktop\REACTIV CEFAS\Dutasteride\Dutasteride/20201203_Cefas_Test8_Run3/Plate 1/@16/C12_01.tif </t>
  </si>
  <si>
    <t xml:space="preserve"> 41.7059 </t>
  </si>
  <si>
    <t>C:\Users\andre\Desktop\REACTIV CEFAS\Dutasteride\Dutasteride/20201203_Cefas_Test8_Run3/Plate 1/@16/C12_02- exclu.tif</t>
  </si>
  <si>
    <t xml:space="preserve">C:\Users\andre\Desktop\REACTIV CEFAS\Dutasteride\Dutasteride/20201203_Cefas_Test8_Run3/Plate 1/@16/C12_03.tif </t>
  </si>
  <si>
    <t xml:space="preserve">C:\Users\andre\Desktop\REACTIV CEFAS\Dutasteride\Dutasteride/20201203_Cefas_Test8_Run3/Plate 1/@16/D12_01.tif </t>
  </si>
  <si>
    <t xml:space="preserve">C:\Users\andre\Desktop\REACTIV CEFAS\Dutasteride\Dutasteride/20201203_Cefas_Test8_Run3/Plate 1/@16/D12_02.tif </t>
  </si>
  <si>
    <t xml:space="preserve"> 3720.3419 </t>
  </si>
  <si>
    <t xml:space="preserve"> 37.1628 </t>
  </si>
  <si>
    <t xml:space="preserve">C:\Users\andre\Desktop\REACTIV CEFAS\Dutasteride\Dutasteride/20201203_Cefas_Test8_Run3/Plate 1/@16/D12_03.tif </t>
  </si>
  <si>
    <t xml:space="preserve"> 33.1636 </t>
  </si>
  <si>
    <t xml:space="preserve">C:\Users\andre\Desktop\REACTIV CEFAS\Dutasteride\Dutasteride/20201203_Cefas_Test8_Run3/Plate 1/@16/E12_01.tif </t>
  </si>
  <si>
    <t xml:space="preserve"> 33.7194 </t>
  </si>
  <si>
    <t xml:space="preserve">C:\Users\andre\Desktop\REACTIV CEFAS\Dutasteride\Dutasteride/20201203_Cefas_Test8_Run3/Plate 1/@16/E12_02.tif </t>
  </si>
  <si>
    <t xml:space="preserve"> 33.3421 </t>
  </si>
  <si>
    <t xml:space="preserve">C:\Users\andre\Desktop\REACTIV CEFAS\Dutasteride\Dutasteride/20201203_Cefas_Test8_Run3/Plate 1/@16/E12_03.tif </t>
  </si>
  <si>
    <t xml:space="preserve"> 31.9535 </t>
  </si>
  <si>
    <t xml:space="preserve">C:\Users\andre\Desktop\REACTIV CEFAS\Dutasteride\Dutasteride/20201203_Cefas_Test8_Run3/Plate 1/@16/F12_01.tif </t>
  </si>
  <si>
    <t xml:space="preserve"> 2682.1069 </t>
  </si>
  <si>
    <t xml:space="preserve"> 33.9435 </t>
  </si>
  <si>
    <t xml:space="preserve">C:\Users\andre\Desktop\REACTIV CEFAS\Dutasteride\Dutasteride/20201203_Cefas_Test8_Run3/Plate 1/@16/F12_02.tif </t>
  </si>
  <si>
    <t xml:space="preserve">C:\Users\andre\Desktop\REACTIV CEFAS\Dutasteride\Dutasteride/20201203_Cefas_Test8_Run3/Plate 1/@16/F12_03.tif </t>
  </si>
  <si>
    <t xml:space="preserve"> 4304.349 </t>
  </si>
  <si>
    <t xml:space="preserve"> 35.1508 </t>
  </si>
  <si>
    <t xml:space="preserve">C:\Users\andre\Desktop\REACTIV CEFAS\Dutasteride\Dutasteride/20201203_Cefas_Test8_Run3/Plate 1/@16/G12_01.tif </t>
  </si>
  <si>
    <t xml:space="preserve"> 9625.3031 </t>
  </si>
  <si>
    <t xml:space="preserve"> 40.5461 </t>
  </si>
  <si>
    <t xml:space="preserve">C:\Users\andre\Desktop\REACTIV CEFAS\Dutasteride\Dutasteride/20201203_Cefas_Test8_Run3/Plate 1/@16/G12_02.tif </t>
  </si>
  <si>
    <t xml:space="preserve"> 41.3263 </t>
  </si>
  <si>
    <t xml:space="preserve">C:\Users\andre\Desktop\REACTIV CEFAS\Dutasteride\Dutasteride/20201203_Cefas_Test8_Run3/Plate 1/@16/G12_03.tif </t>
  </si>
  <si>
    <t xml:space="preserve"> 39.5243 </t>
  </si>
  <si>
    <t>C:\Users\andre\Desktop\REACTIV CEFAS\Dutasteride\Dutasteride/20201203_Cefas_Test8_Run3/Plate 1/@16/H12_01- exclu.tif</t>
  </si>
  <si>
    <t>C:\Users\andre\Desktop\REACTIV CEFAS\Dutasteride\Dutasteride/20201203_Cefas_Test8_Run3/Plate 1/@16/H12_02- exclu.tif</t>
  </si>
  <si>
    <t>C:\Users\andre\Desktop\REACTIV CEFAS\Dutasteride\Dutasteride/20201203_Cefas_Test8_Run3/Plate 1/@16/H12_03- exclu.tif</t>
  </si>
  <si>
    <t xml:space="preserve">C:\Users\andre\Desktop\REACTIV CEFAS\Dutasteride\Dutasteride/20201203_Cefas_Test8_Run3/Plate 1/@16/ </t>
  </si>
  <si>
    <t xml:space="preserve"> 26.1865 </t>
  </si>
  <si>
    <t xml:space="preserve"> 15.7368 </t>
  </si>
  <si>
    <t xml:space="preserve"> 108680.208 </t>
  </si>
  <si>
    <t xml:space="preserve"> 126908.679 </t>
  </si>
  <si>
    <t xml:space="preserve">C:\Users\andre\Desktop\REACTIV CEFAS\Dutasteride\Dutasteride/20201203_Cefas_Test8_Run3/Plate 1/@2/A2_01.tif </t>
  </si>
  <si>
    <t xml:space="preserve"> 8868.2568 </t>
  </si>
  <si>
    <t xml:space="preserve"> 43.5439 </t>
  </si>
  <si>
    <t xml:space="preserve">C:\Users\andre\Desktop\REACTIV CEFAS\Dutasteride\Dutasteride/20201203_Cefas_Test8_Run3/Plate 1/@2/A2_02.tif </t>
  </si>
  <si>
    <t xml:space="preserve"> 11117.7658 </t>
  </si>
  <si>
    <t xml:space="preserve"> 49.0953 </t>
  </si>
  <si>
    <t>C:\Users\andre\Desktop\REACTIV CEFAS\Dutasteride\Dutasteride/20201203_Cefas_Test8_Run3/Plate 1/@2/A2_03- exclu.tif</t>
  </si>
  <si>
    <t xml:space="preserve">C:\Users\andre\Desktop\REACTIV CEFAS\Dutasteride\Dutasteride/20201203_Cefas_Test8_Run3/Plate 1/@2/B2_01.tif </t>
  </si>
  <si>
    <t xml:space="preserve"> 39.9098 </t>
  </si>
  <si>
    <t>C:\Users\andre\Desktop\REACTIV CEFAS\Dutasteride\Dutasteride/20201203_Cefas_Test8_Run3/Plate 1/@2/B2_02- exclu.tif</t>
  </si>
  <si>
    <t>C:\Users\andre\Desktop\REACTIV CEFAS\Dutasteride\Dutasteride/20201203_Cefas_Test8_Run3/Plate 1/@2/B2_03- exclu.tif</t>
  </si>
  <si>
    <t xml:space="preserve">C:\Users\andre\Desktop\REACTIV CEFAS\Dutasteride\Dutasteride/20201203_Cefas_Test8_Run3/Plate 1/@2/C2_01.tif </t>
  </si>
  <si>
    <t xml:space="preserve">C:\Users\andre\Desktop\REACTIV CEFAS\Dutasteride\Dutasteride/20201203_Cefas_Test8_Run3/Plate 1/@2/C2_02.tif </t>
  </si>
  <si>
    <t xml:space="preserve"> 36.1447 </t>
  </si>
  <si>
    <t xml:space="preserve">C:\Users\andre\Desktop\REACTIV CEFAS\Dutasteride\Dutasteride/20201203_Cefas_Test8_Run3/Plate 1/@2/C2_03.tif </t>
  </si>
  <si>
    <t xml:space="preserve"> 33.2 </t>
  </si>
  <si>
    <t xml:space="preserve">C:\Users\andre\Desktop\REACTIV CEFAS\Dutasteride\Dutasteride/20201203_Cefas_Test8_Run3/Plate 1/@2/D2_01.tif </t>
  </si>
  <si>
    <t xml:space="preserve"> 11182.6555 </t>
  </si>
  <si>
    <t xml:space="preserve"> 38.1683 </t>
  </si>
  <si>
    <t xml:space="preserve">C:\Users\andre\Desktop\REACTIV CEFAS\Dutasteride\Dutasteride/20201203_Cefas_Test8_Run3/Plate 1/@2/D2_02.tif </t>
  </si>
  <si>
    <t xml:space="preserve"> 8435.6589 </t>
  </si>
  <si>
    <t xml:space="preserve"> 36.8846 </t>
  </si>
  <si>
    <t xml:space="preserve">C:\Users\andre\Desktop\REACTIV CEFAS\Dutasteride\Dutasteride/20201203_Cefas_Test8_Run3/Plate 1/@2/D2_03.tif </t>
  </si>
  <si>
    <t xml:space="preserve"> 8522.1785 </t>
  </si>
  <si>
    <t xml:space="preserve"> 35.9188 </t>
  </si>
  <si>
    <t>C:\Users\andre\Desktop\REACTIV CEFAS\Dutasteride\Dutasteride/20201203_Cefas_Test8_Run3/Plate 1/@2/E2_01- exclu.tif</t>
  </si>
  <si>
    <t>C:\Users\andre\Desktop\REACTIV CEFAS\Dutasteride\Dutasteride/20201203_Cefas_Test8_Run3/Plate 1/@2/E2_02- exclu.tif</t>
  </si>
  <si>
    <t>C:\Users\andre\Desktop\REACTIV CEFAS\Dutasteride\Dutasteride/20201203_Cefas_Test8_Run3/Plate 1/@2/E2_03- exclu.tif</t>
  </si>
  <si>
    <t xml:space="preserve">C:\Users\andre\Desktop\REACTIV CEFAS\Dutasteride\Dutasteride/20201203_Cefas_Test8_Run3/Plate 1/@2/F2_01.tif </t>
  </si>
  <si>
    <t xml:space="preserve"> 3979.9006 </t>
  </si>
  <si>
    <t xml:space="preserve"> 36.837 </t>
  </si>
  <si>
    <t xml:space="preserve">C:\Users\andre\Desktop\REACTIV CEFAS\Dutasteride\Dutasteride/20201203_Cefas_Test8_Run3/Plate 1/@2/F2_02.tif </t>
  </si>
  <si>
    <t xml:space="preserve"> 5602.1427 </t>
  </si>
  <si>
    <t xml:space="preserve"> 39.7838 </t>
  </si>
  <si>
    <t xml:space="preserve">C:\Users\andre\Desktop\REACTIV CEFAS\Dutasteride\Dutasteride/20201203_Cefas_Test8_Run3/Plate 1/@2/F2_03.tif </t>
  </si>
  <si>
    <t xml:space="preserve"> 36.5294 </t>
  </si>
  <si>
    <t xml:space="preserve">C:\Users\andre\Desktop\REACTIV CEFAS\Dutasteride\Dutasteride/20201203_Cefas_Test8_Run3/Plate 1/@2/G2_01.tif </t>
  </si>
  <si>
    <t xml:space="preserve"> 519.1175 </t>
  </si>
  <si>
    <t xml:space="preserve">C:\Users\andre\Desktop\REACTIV CEFAS\Dutasteride\Dutasteride/20201203_Cefas_Test8_Run3/Plate 1/@2/G2_02.tif </t>
  </si>
  <si>
    <t xml:space="preserve"> 64.8897 </t>
  </si>
  <si>
    <t xml:space="preserve"> 32.3333 </t>
  </si>
  <si>
    <t xml:space="preserve">C:\Users\andre\Desktop\REACTIV CEFAS\Dutasteride\Dutasteride/20201203_Cefas_Test8_Run3/Plate 1/@2/G2_03.tif </t>
  </si>
  <si>
    <t xml:space="preserve"> 38.0782 </t>
  </si>
  <si>
    <t xml:space="preserve">C:\Users\andre\Desktop\REACTIV CEFAS\Dutasteride\Dutasteride/20201203_Cefas_Test8_Run3/Plate 1/@2/H2_01.tif </t>
  </si>
  <si>
    <t xml:space="preserve"> 8673.5877 </t>
  </si>
  <si>
    <t xml:space="preserve"> 37.8928 </t>
  </si>
  <si>
    <t xml:space="preserve">C:\Users\andre\Desktop\REACTIV CEFAS\Dutasteride\Dutasteride/20201203_Cefas_Test8_Run3/Plate 1/@2/H2_02.tif </t>
  </si>
  <si>
    <t xml:space="preserve"> 3850.1212 </t>
  </si>
  <si>
    <t xml:space="preserve"> 37.7697 </t>
  </si>
  <si>
    <t xml:space="preserve">C:\Users\andre\Desktop\REACTIV CEFAS\Dutasteride\Dutasteride/20201203_Cefas_Test8_Run3/Plate 1/@2/H2_03.tif </t>
  </si>
  <si>
    <t xml:space="preserve"> 7765.1322 </t>
  </si>
  <si>
    <t xml:space="preserve"> 38.585 </t>
  </si>
  <si>
    <t xml:space="preserve">C:\Users\andre\Desktop\REACTIV CEFAS\Dutasteride\Dutasteride/20201203_Cefas_Test8_Run3/Plate 1/@2/ </t>
  </si>
  <si>
    <t xml:space="preserve"> 37.7109 </t>
  </si>
  <si>
    <t xml:space="preserve"> 13.863 </t>
  </si>
  <si>
    <t xml:space="preserve"> 332434.333 </t>
  </si>
  <si>
    <t xml:space="preserve"> 346843.6 </t>
  </si>
  <si>
    <t xml:space="preserve">C:\Users\andre\Desktop\REACTIV CEFAS\Dutasteride\Dutasteride/20201203_Cefas_Test8_Run3/Plate 1/@3/A3_01.tif </t>
  </si>
  <si>
    <t>C:\Users\andre\Desktop\REACTIV CEFAS\Dutasteride\Dutasteride/20201203_Cefas_Test8_Run3/Plate 1/@3/A3_02- exclu.tif</t>
  </si>
  <si>
    <t>C:\Users\andre\Desktop\REACTIV CEFAS\Dutasteride\Dutasteride/20201203_Cefas_Test8_Run3/Plate 1/@3/A3_03- exclu.tif</t>
  </si>
  <si>
    <t>C:\Users\andre\Desktop\REACTIV CEFAS\Dutasteride\Dutasteride/20201203_Cefas_Test8_Run3/Plate 1/@3/B3_01- exclu.tif</t>
  </si>
  <si>
    <t xml:space="preserve">C:\Users\andre\Desktop\REACTIV CEFAS\Dutasteride\Dutasteride/20201203_Cefas_Test8_Run3/Plate 1/@3/B3_02.tif </t>
  </si>
  <si>
    <t xml:space="preserve"> 34.8469 </t>
  </si>
  <si>
    <t xml:space="preserve">C:\Users\andre\Desktop\REACTIV CEFAS\Dutasteride\Dutasteride/20201203_Cefas_Test8_Run3/Plate 1/@3/B3_03.tif </t>
  </si>
  <si>
    <t xml:space="preserve">C:\Users\andre\Desktop\REACTIV CEFAS\Dutasteride\Dutasteride/20201203_Cefas_Test8_Run3/Plate 1/@3/C3_01.tif </t>
  </si>
  <si>
    <t xml:space="preserve"> 33.8941 </t>
  </si>
  <si>
    <t xml:space="preserve">C:\Users\andre\Desktop\REACTIV CEFAS\Dutasteride\Dutasteride/20201203_Cefas_Test8_Run3/Plate 1/@3/C3_02.tif </t>
  </si>
  <si>
    <t xml:space="preserve"> 32.2133 </t>
  </si>
  <si>
    <t xml:space="preserve">C:\Users\andre\Desktop\REACTIV CEFAS\Dutasteride\Dutasteride/20201203_Cefas_Test8_Run3/Plate 1/@3/C3_03.tif </t>
  </si>
  <si>
    <t xml:space="preserve"> 32.2113 </t>
  </si>
  <si>
    <t xml:space="preserve">C:\Users\andre\Desktop\REACTIV CEFAS\Dutasteride\Dutasteride/20201203_Cefas_Test8_Run3/Plate 1/@3/D3_01.tif </t>
  </si>
  <si>
    <t xml:space="preserve"> 6553.8581 </t>
  </si>
  <si>
    <t xml:space="preserve"> 39.9241 </t>
  </si>
  <si>
    <t xml:space="preserve">C:\Users\andre\Desktop\REACTIV CEFAS\Dutasteride\Dutasteride/20201203_Cefas_Test8_Run3/Plate 1/@3/D3_02.tif </t>
  </si>
  <si>
    <t xml:space="preserve"> 9841.6021 </t>
  </si>
  <si>
    <t xml:space="preserve"> 45.6527 </t>
  </si>
  <si>
    <t xml:space="preserve">C:\Users\andre\Desktop\REACTIV CEFAS\Dutasteride\Dutasteride/20201203_Cefas_Test8_Run3/Plate 1/@3/D3_03.tif </t>
  </si>
  <si>
    <t xml:space="preserve"> 10663.5381 </t>
  </si>
  <si>
    <t xml:space="preserve"> 44.1765 </t>
  </si>
  <si>
    <t xml:space="preserve">C:\Users\andre\Desktop\REACTIV CEFAS\Dutasteride\Dutasteride/20201203_Cefas_Test8_Run3/Plate 1/@3/E3_01.tif </t>
  </si>
  <si>
    <t xml:space="preserve"> 39.8876 </t>
  </si>
  <si>
    <t xml:space="preserve">C:\Users\andre\Desktop\REACTIV CEFAS\Dutasteride\Dutasteride/20201203_Cefas_Test8_Run3/Plate 1/@3/E3_02.tif </t>
  </si>
  <si>
    <t xml:space="preserve"> 5299.3242 </t>
  </si>
  <si>
    <t xml:space="preserve"> 40.6531 </t>
  </si>
  <si>
    <t xml:space="preserve">C:\Users\andre\Desktop\REACTIV CEFAS\Dutasteride\Dutasteride/20201203_Cefas_Test8_Run3/Plate 1/@3/E3_03.tif </t>
  </si>
  <si>
    <t xml:space="preserve">C:\Users\andre\Desktop\REACTIV CEFAS\Dutasteride\Dutasteride/20201203_Cefas_Test8_Run3/Plate 1/@3/F3_01.tif </t>
  </si>
  <si>
    <t xml:space="preserve"> 3374.2636 </t>
  </si>
  <si>
    <t xml:space="preserve"> 37.0256 </t>
  </si>
  <si>
    <t xml:space="preserve">C:\Users\andre\Desktop\REACTIV CEFAS\Dutasteride\Dutasteride/20201203_Cefas_Test8_Run3/Plate 1/@3/F3_02.tif </t>
  </si>
  <si>
    <t xml:space="preserve"> 34.8776 </t>
  </si>
  <si>
    <t xml:space="preserve">C:\Users\andre\Desktop\REACTIV CEFAS\Dutasteride\Dutasteride/20201203_Cefas_Test8_Run3/Plate 1/@3/F3_03.tif </t>
  </si>
  <si>
    <t xml:space="preserve"> 3612.1924 </t>
  </si>
  <si>
    <t xml:space="preserve"> 35.6587 </t>
  </si>
  <si>
    <t xml:space="preserve">C:\Users\andre\Desktop\REACTIV CEFAS\Dutasteride\Dutasteride/20201203_Cefas_Test8_Run3/Plate 1/@3/G3_01.tif </t>
  </si>
  <si>
    <t xml:space="preserve"> 32.88 </t>
  </si>
  <si>
    <t xml:space="preserve">C:\Users\andre\Desktop\REACTIV CEFAS\Dutasteride\Dutasteride/20201203_Cefas_Test8_Run3/Plate 1/@3/G3_02.tif </t>
  </si>
  <si>
    <t xml:space="preserve"> 22646.4997 </t>
  </si>
  <si>
    <t xml:space="preserve"> 33.8023 </t>
  </si>
  <si>
    <t xml:space="preserve">C:\Users\andre\Desktop\REACTIV CEFAS\Dutasteride\Dutasteride/20201203_Cefas_Test8_Run3/Plate 1/@3/G3_03.tif </t>
  </si>
  <si>
    <t xml:space="preserve"> 32.4238 </t>
  </si>
  <si>
    <t xml:space="preserve">C:\Users\andre\Desktop\REACTIV CEFAS\Dutasteride\Dutasteride/20201203_Cefas_Test8_Run3/Plate 1/@3/H3_01.tif </t>
  </si>
  <si>
    <t xml:space="preserve"> 7548.8332 </t>
  </si>
  <si>
    <t xml:space="preserve"> 37.2521 </t>
  </si>
  <si>
    <t xml:space="preserve">C:\Users\andre\Desktop\REACTIV CEFAS\Dutasteride\Dutasteride/20201203_Cefas_Test8_Run3/Plate 1/@3/H3_02.tif </t>
  </si>
  <si>
    <t xml:space="preserve"> 17974.4424 </t>
  </si>
  <si>
    <t xml:space="preserve"> 35.1023 </t>
  </si>
  <si>
    <t xml:space="preserve">C:\Users\andre\Desktop\REACTIV CEFAS\Dutasteride\Dutasteride/20201203_Cefas_Test8_Run3/Plate 1/@3/H3_03.tif </t>
  </si>
  <si>
    <t xml:space="preserve"> 9582.0433 </t>
  </si>
  <si>
    <t xml:space="preserve"> 34.7788 </t>
  </si>
  <si>
    <t xml:space="preserve">C:\Users\andre\Desktop\REACTIV CEFAS\Dutasteride\Dutasteride/20201203_Cefas_Test8_Run3/Plate 1/@3/ </t>
  </si>
  <si>
    <t xml:space="preserve"> 33.2496 </t>
  </si>
  <si>
    <t xml:space="preserve"> 10.9426 </t>
  </si>
  <si>
    <t xml:space="preserve"> 228032.208 </t>
  </si>
  <si>
    <t xml:space="preserve"> 214814.989 </t>
  </si>
  <si>
    <t xml:space="preserve">C:\Users\andre\Desktop\REACTIV CEFAS\Dutasteride\Dutasteride/20201203_Cefas_Test8_Run3/Plate 1/@4/A4_01.tif </t>
  </si>
  <si>
    <t xml:space="preserve"> 12653.4884 </t>
  </si>
  <si>
    <t xml:space="preserve"> 34.5641 </t>
  </si>
  <si>
    <t xml:space="preserve">C:\Users\andre\Desktop\REACTIV CEFAS\Dutasteride\Dutasteride/20201203_Cefas_Test8_Run3/Plate 1/@4/A4_02.tif </t>
  </si>
  <si>
    <t xml:space="preserve"> 12610.2286 </t>
  </si>
  <si>
    <t xml:space="preserve"> 34.1046 </t>
  </si>
  <si>
    <t xml:space="preserve">C:\Users\andre\Desktop\REACTIV CEFAS\Dutasteride\Dutasteride/20201203_Cefas_Test8_Run3/Plate 1/@4/A4_03.tif </t>
  </si>
  <si>
    <t xml:space="preserve"> 19553.4247 </t>
  </si>
  <si>
    <t xml:space="preserve"> 34.6195 </t>
  </si>
  <si>
    <t xml:space="preserve">C:\Users\andre\Desktop\REACTIV CEFAS\Dutasteride\Dutasteride/20201203_Cefas_Test8_Run3/Plate 1/@4/B4_01.tif </t>
  </si>
  <si>
    <t xml:space="preserve"> 33.5886 </t>
  </si>
  <si>
    <t xml:space="preserve">C:\Users\andre\Desktop\REACTIV CEFAS\Dutasteride\Dutasteride/20201203_Cefas_Test8_Run3/Plate 1/@4/B4_02.tif </t>
  </si>
  <si>
    <t xml:space="preserve"> 33.2323 </t>
  </si>
  <si>
    <t xml:space="preserve">C:\Users\andre\Desktop\REACTIV CEFAS\Dutasteride\Dutasteride/20201203_Cefas_Test8_Run3/Plate 1/@4/B4_03.tif </t>
  </si>
  <si>
    <t xml:space="preserve"> 33.233 </t>
  </si>
  <si>
    <t xml:space="preserve">C:\Users\andre\Desktop\REACTIV CEFAS\Dutasteride\Dutasteride/20201203_Cefas_Test8_Run3/Plate 1/@4/C4_01.tif </t>
  </si>
  <si>
    <t xml:space="preserve"> 11161.0256 </t>
  </si>
  <si>
    <t xml:space="preserve"> 34.7713 </t>
  </si>
  <si>
    <t xml:space="preserve">C:\Users\andre\Desktop\REACTIV CEFAS\Dutasteride\Dutasteride/20201203_Cefas_Test8_Run3/Plate 1/@4/C4_02.tif </t>
  </si>
  <si>
    <t xml:space="preserve">C:\Users\andre\Desktop\REACTIV CEFAS\Dutasteride\Dutasteride/20201203_Cefas_Test8_Run3/Plate 1/@4/C4_03.tif </t>
  </si>
  <si>
    <t xml:space="preserve"> 34.5 </t>
  </si>
  <si>
    <t xml:space="preserve">C:\Users\andre\Desktop\REACTIV CEFAS\Dutasteride\Dutasteride/20201203_Cefas_Test8_Run3/Plate 1/@4/D4_01.tif </t>
  </si>
  <si>
    <t xml:space="preserve"> 35.9749 </t>
  </si>
  <si>
    <t xml:space="preserve">C:\Users\andre\Desktop\REACTIV CEFAS\Dutasteride\Dutasteride/20201203_Cefas_Test8_Run3/Plate 1/@4/D4_02.tif </t>
  </si>
  <si>
    <t xml:space="preserve"> 33.6459 </t>
  </si>
  <si>
    <t xml:space="preserve">C:\Users\andre\Desktop\REACTIV CEFAS\Dutasteride\Dutasteride/20201203_Cefas_Test8_Run3/Plate 1/@4/D4_03.tif </t>
  </si>
  <si>
    <t xml:space="preserve"> 33.2918 </t>
  </si>
  <si>
    <t xml:space="preserve">C:\Users\andre\Desktop\REACTIV CEFAS\Dutasteride\Dutasteride/20201203_Cefas_Test8_Run3/Plate 1/@4/E4_01.tif </t>
  </si>
  <si>
    <t xml:space="preserve"> 8067.9507 </t>
  </si>
  <si>
    <t xml:space="preserve"> 37.9115 </t>
  </si>
  <si>
    <t xml:space="preserve">C:\Users\andre\Desktop\REACTIV CEFAS\Dutasteride\Dutasteride/20201203_Cefas_Test8_Run3/Plate 1/@4/E4_02.tif </t>
  </si>
  <si>
    <t xml:space="preserve"> 2595.5874 </t>
  </si>
  <si>
    <t xml:space="preserve"> 33.3417 </t>
  </si>
  <si>
    <t xml:space="preserve">C:\Users\andre\Desktop\REACTIV CEFAS\Dutasteride\Dutasteride/20201203_Cefas_Test8_Run3/Plate 1/@4/E4_03.tif </t>
  </si>
  <si>
    <t xml:space="preserve"> 3698.712 </t>
  </si>
  <si>
    <t xml:space="preserve"> 33.8655 </t>
  </si>
  <si>
    <t xml:space="preserve">C:\Users\andre\Desktop\REACTIV CEFAS\Dutasteride\Dutasteride/20201203_Cefas_Test8_Run3/Plate 1/@4/F4_01.tif </t>
  </si>
  <si>
    <t xml:space="preserve"> 48948.4515 </t>
  </si>
  <si>
    <t xml:space="preserve"> 37.0866 </t>
  </si>
  <si>
    <t xml:space="preserve">C:\Users\andre\Desktop\REACTIV CEFAS\Dutasteride\Dutasteride/20201203_Cefas_Test8_Run3/Plate 1/@4/F4_02.tif </t>
  </si>
  <si>
    <t xml:space="preserve"> 45292.9994 </t>
  </si>
  <si>
    <t xml:space="preserve"> 36.1662 </t>
  </si>
  <si>
    <t xml:space="preserve">C:\Users\andre\Desktop\REACTIV CEFAS\Dutasteride\Dutasteride/20201203_Cefas_Test8_Run3/Plate 1/@4/F4_03.tif </t>
  </si>
  <si>
    <t xml:space="preserve"> 37.1399 </t>
  </si>
  <si>
    <t xml:space="preserve">C:\Users\andre\Desktop\REACTIV CEFAS\Dutasteride\Dutasteride/20201203_Cefas_Test8_Run3/Plate 1/@4/G4_01.tif </t>
  </si>
  <si>
    <t xml:space="preserve"> 5883.3313 </t>
  </si>
  <si>
    <t xml:space="preserve"> 34.5625 </t>
  </si>
  <si>
    <t xml:space="preserve">C:\Users\andre\Desktop\REACTIV CEFAS\Dutasteride\Dutasteride/20201203_Cefas_Test8_Run3/Plate 1/@4/G4_02.tif </t>
  </si>
  <si>
    <t xml:space="preserve"> 31.4265 </t>
  </si>
  <si>
    <t xml:space="preserve">C:\Users\andre\Desktop\REACTIV CEFAS\Dutasteride\Dutasteride/20201203_Cefas_Test8_Run3/Plate 1/@4/G4_03.tif </t>
  </si>
  <si>
    <t xml:space="preserve"> 5623.7726 </t>
  </si>
  <si>
    <t xml:space="preserve"> 35.2154 </t>
  </si>
  <si>
    <t xml:space="preserve">C:\Users\andre\Desktop\REACTIV CEFAS\Dutasteride\Dutasteride/20201203_Cefas_Test8_Run3/Plate 1/@4/H4_01.tif </t>
  </si>
  <si>
    <t xml:space="preserve"> 10425.6092 </t>
  </si>
  <si>
    <t xml:space="preserve"> 33.8527 </t>
  </si>
  <si>
    <t xml:space="preserve">C:\Users\andre\Desktop\REACTIV CEFAS\Dutasteride\Dutasteride/20201203_Cefas_Test8_Run3/Plate 1/@4/H4_02.tif </t>
  </si>
  <si>
    <t xml:space="preserve"> 17217.3961 </t>
  </si>
  <si>
    <t xml:space="preserve"> 34.7776 </t>
  </si>
  <si>
    <t xml:space="preserve">C:\Users\andre\Desktop\REACTIV CEFAS\Dutasteride\Dutasteride/20201203_Cefas_Test8_Run3/Plate 1/@4/H4_03.tif </t>
  </si>
  <si>
    <t xml:space="preserve"> 10966.3566 </t>
  </si>
  <si>
    <t xml:space="preserve"> 33.5523 </t>
  </si>
  <si>
    <t xml:space="preserve">C:\Users\andre\Desktop\REACTIV CEFAS\Dutasteride\Dutasteride/20201203_Cefas_Test8_Run3/Plate 1/@4/ </t>
  </si>
  <si>
    <t xml:space="preserve"> 34.3718 </t>
  </si>
  <si>
    <t xml:space="preserve"> 1.6867 </t>
  </si>
  <si>
    <t xml:space="preserve"> 462161.458 </t>
  </si>
  <si>
    <t xml:space="preserve"> 527022.614 </t>
  </si>
  <si>
    <t xml:space="preserve">C:\Users\andre\Desktop\REACTIV CEFAS\Dutasteride\Dutasteride/20201203_Cefas_Test8_Run3/Plate 1/@5/A5_01.tif </t>
  </si>
  <si>
    <t xml:space="preserve"> 52192.9357 </t>
  </si>
  <si>
    <t xml:space="preserve"> 38.5446 </t>
  </si>
  <si>
    <t xml:space="preserve">C:\Users\andre\Desktop\REACTIV CEFAS\Dutasteride\Dutasteride/20201203_Cefas_Test8_Run3/Plate 1/@5/A5_02.tif </t>
  </si>
  <si>
    <t xml:space="preserve"> 40.7248 </t>
  </si>
  <si>
    <t xml:space="preserve">C:\Users\andre\Desktop\REACTIV CEFAS\Dutasteride\Dutasteride/20201203_Cefas_Test8_Run3/Plate 1/@5/A5_03.tif </t>
  </si>
  <si>
    <t xml:space="preserve"> 53836.8077 </t>
  </si>
  <si>
    <t xml:space="preserve"> 43.4166 </t>
  </si>
  <si>
    <t xml:space="preserve">C:\Users\andre\Desktop\REACTIV CEFAS\Dutasteride\Dutasteride/20201203_Cefas_Test8_Run3/Plate 1/@5/B5_01.tif </t>
  </si>
  <si>
    <t xml:space="preserve"> 13410.5347 </t>
  </si>
  <si>
    <t xml:space="preserve"> 33.5355 </t>
  </si>
  <si>
    <t xml:space="preserve">C:\Users\andre\Desktop\REACTIV CEFAS\Dutasteride\Dutasteride/20201203_Cefas_Test8_Run3/Plate 1/@5/B5_02.tif </t>
  </si>
  <si>
    <t xml:space="preserve"> 11550.3637 </t>
  </si>
  <si>
    <t xml:space="preserve"> 32.4888 </t>
  </si>
  <si>
    <t xml:space="preserve">C:\Users\andre\Desktop\REACTIV CEFAS\Dutasteride\Dutasteride/20201203_Cefas_Test8_Run3/Plate 1/@5/B5_03.tif </t>
  </si>
  <si>
    <t xml:space="preserve"> 13345.645 </t>
  </si>
  <si>
    <t xml:space="preserve"> 33.2998 </t>
  </si>
  <si>
    <t xml:space="preserve">C:\Users\andre\Desktop\REACTIV CEFAS\Dutasteride\Dutasteride/20201203_Cefas_Test8_Run3/Plate 1/@5/C5_01.tif </t>
  </si>
  <si>
    <t xml:space="preserve"> 38998.7 </t>
  </si>
  <si>
    <t xml:space="preserve"> 36.178 </t>
  </si>
  <si>
    <t xml:space="preserve">C:\Users\andre\Desktop\REACTIV CEFAS\Dutasteride\Dutasteride/20201203_Cefas_Test8_Run3/Plate 1/@5/C5_02.tif </t>
  </si>
  <si>
    <t xml:space="preserve"> 35170.2087 </t>
  </si>
  <si>
    <t xml:space="preserve"> 35.8659 </t>
  </si>
  <si>
    <t xml:space="preserve">C:\Users\andre\Desktop\REACTIV CEFAS\Dutasteride\Dutasteride/20201203_Cefas_Test8_Run3/Plate 1/@5/C5_03.tif </t>
  </si>
  <si>
    <t xml:space="preserve"> 43432.8284 </t>
  </si>
  <si>
    <t xml:space="preserve"> 38.3889 </t>
  </si>
  <si>
    <t xml:space="preserve">C:\Users\andre\Desktop\REACTIV CEFAS\Dutasteride\Dutasteride/20201203_Cefas_Test8_Run3/Plate 1/@5/D5_01.tif </t>
  </si>
  <si>
    <t xml:space="preserve"> 63656.7799 </t>
  </si>
  <si>
    <t xml:space="preserve"> 47.6184 </t>
  </si>
  <si>
    <t xml:space="preserve">C:\Users\andre\Desktop\REACTIV CEFAS\Dutasteride\Dutasteride/20201203_Cefas_Test8_Run3/Plate 1/@5/D5_02.tif </t>
  </si>
  <si>
    <t xml:space="preserve"> 70362.0472 </t>
  </si>
  <si>
    <t xml:space="preserve"> 46.7608 </t>
  </si>
  <si>
    <t xml:space="preserve">C:\Users\andre\Desktop\REACTIV CEFAS\Dutasteride\Dutasteride/20201203_Cefas_Test8_Run3/Plate 1/@5/D5_03.tif </t>
  </si>
  <si>
    <t xml:space="preserve"> 70491.8266 </t>
  </si>
  <si>
    <t xml:space="preserve"> 47.8487 </t>
  </si>
  <si>
    <t xml:space="preserve">C:\Users\andre\Desktop\REACTIV CEFAS\Dutasteride\Dutasteride/20201203_Cefas_Test8_Run3/Plate 1/@5/E5_01.tif </t>
  </si>
  <si>
    <t xml:space="preserve"> 29827.6247 </t>
  </si>
  <si>
    <t xml:space="preserve"> 35.5874 </t>
  </si>
  <si>
    <t xml:space="preserve">C:\Users\andre\Desktop\REACTIV CEFAS\Dutasteride\Dutasteride/20201203_Cefas_Test8_Run3/Plate 1/@5/E5_02.tif </t>
  </si>
  <si>
    <t xml:space="preserve"> 34283.383 </t>
  </si>
  <si>
    <t xml:space="preserve"> 37.3155 </t>
  </si>
  <si>
    <t xml:space="preserve">C:\Users\andre\Desktop\REACTIV CEFAS\Dutasteride\Dutasteride/20201203_Cefas_Test8_Run3/Plate 1/@5/E5_03.tif </t>
  </si>
  <si>
    <t xml:space="preserve"> 42351.3337 </t>
  </si>
  <si>
    <t xml:space="preserve"> 37.1103 </t>
  </si>
  <si>
    <t xml:space="preserve">C:\Users\andre\Desktop\REACTIV CEFAS\Dutasteride\Dutasteride/20201203_Cefas_Test8_Run3/Plate 1/@5/F5_01.tif </t>
  </si>
  <si>
    <t xml:space="preserve"> 42.1723 </t>
  </si>
  <si>
    <t xml:space="preserve">C:\Users\andre\Desktop\REACTIV CEFAS\Dutasteride\Dutasteride/20201203_Cefas_Test8_Run3/Plate 1/@5/F5_02.tif </t>
  </si>
  <si>
    <t xml:space="preserve"> 45660.7076 </t>
  </si>
  <si>
    <t xml:space="preserve"> 39.6774 </t>
  </si>
  <si>
    <t xml:space="preserve">C:\Users\andre\Desktop\REACTIV CEFAS\Dutasteride\Dutasteride/20201203_Cefas_Test8_Run3/Plate 1/@5/F5_03.tif </t>
  </si>
  <si>
    <t xml:space="preserve"> 46114.9353 </t>
  </si>
  <si>
    <t xml:space="preserve"> 38.6454 </t>
  </si>
  <si>
    <t xml:space="preserve">C:\Users\andre\Desktop\REACTIV CEFAS\Dutasteride\Dutasteride/20201203_Cefas_Test8_Run3/Plate 1/@5/G5_01.tif </t>
  </si>
  <si>
    <t xml:space="preserve"> 32.8684 </t>
  </si>
  <si>
    <t xml:space="preserve">C:\Users\andre\Desktop\REACTIV CEFAS\Dutasteride\Dutasteride/20201203_Cefas_Test8_Run3/Plate 1/@5/G5_02.tif </t>
  </si>
  <si>
    <t xml:space="preserve"> 11853.1823 </t>
  </si>
  <si>
    <t xml:space="preserve"> 33.1113 </t>
  </si>
  <si>
    <t xml:space="preserve">C:\Users\andre\Desktop\REACTIV CEFAS\Dutasteride\Dutasteride/20201203_Cefas_Test8_Run3/Plate 1/@5/G5_03.tif </t>
  </si>
  <si>
    <t xml:space="preserve"> 32.9016 </t>
  </si>
  <si>
    <t xml:space="preserve">C:\Users\andre\Desktop\REACTIV CEFAS\Dutasteride\Dutasteride/20201203_Cefas_Test8_Run3/Plate 1/@5/H5_01.tif </t>
  </si>
  <si>
    <t xml:space="preserve"> 32531.3615 </t>
  </si>
  <si>
    <t xml:space="preserve"> 39.1257 </t>
  </si>
  <si>
    <t xml:space="preserve">C:\Users\andre\Desktop\REACTIV CEFAS\Dutasteride\Dutasteride/20201203_Cefas_Test8_Run3/Plate 1/@5/H5_02.tif </t>
  </si>
  <si>
    <t xml:space="preserve"> 28075.6032 </t>
  </si>
  <si>
    <t xml:space="preserve"> 37.3259 </t>
  </si>
  <si>
    <t xml:space="preserve">C:\Users\andre\Desktop\REACTIV CEFAS\Dutasteride\Dutasteride/20201203_Cefas_Test8_Run3/Plate 1/@5/H5_03.tif </t>
  </si>
  <si>
    <t xml:space="preserve"> 28724.5001 </t>
  </si>
  <si>
    <t xml:space="preserve"> 38.4413 </t>
  </si>
  <si>
    <t xml:space="preserve">C:\Users\andre\Desktop\REACTIV CEFAS\Dutasteride\Dutasteride/20201203_Cefas_Test8_Run3/Plate 1/@5/ </t>
  </si>
  <si>
    <t xml:space="preserve"> 38.2897 </t>
  </si>
  <si>
    <t xml:space="preserve"> 4.6043 </t>
  </si>
  <si>
    <t xml:space="preserve"> 1480722.08 </t>
  </si>
  <si>
    <t xml:space="preserve"> 931316.692 </t>
  </si>
  <si>
    <t>C:\Users\andre\Desktop\REACTIV CEFAS\Dutasteride\Dutasteride/20201203_Cefas_Test8_Run3/Plate 1/@6/A6_01- exclu.tif</t>
  </si>
  <si>
    <t>C:\Users\andre\Desktop\REACTIV CEFAS\Dutasteride\Dutasteride/20201203_Cefas_Test8_Run3/Plate 1/@6/A6_02- exclu.tif</t>
  </si>
  <si>
    <t>C:\Users\andre\Desktop\REACTIV CEFAS\Dutasteride\Dutasteride/20201203_Cefas_Test8_Run3/Plate 1/@6/A6_03- exclu.tif</t>
  </si>
  <si>
    <t xml:space="preserve">C:\Users\andre\Desktop\REACTIV CEFAS\Dutasteride\Dutasteride/20201203_Cefas_Test8_Run3/Plate 1/@6/B6_01.tif </t>
  </si>
  <si>
    <t xml:space="preserve"> 49921.7968 </t>
  </si>
  <si>
    <t xml:space="preserve"> 43.8544 </t>
  </si>
  <si>
    <t xml:space="preserve">C:\Users\andre\Desktop\REACTIV CEFAS\Dutasteride\Dutasteride/20201203_Cefas_Test8_Run3/Plate 1/@6/B6_02.tif </t>
  </si>
  <si>
    <t xml:space="preserve"> 49078.2309 </t>
  </si>
  <si>
    <t xml:space="preserve"> 44.3795 </t>
  </si>
  <si>
    <t xml:space="preserve">C:\Users\andre\Desktop\REACTIV CEFAS\Dutasteride\Dutasteride/20201203_Cefas_Test8_Run3/Plate 1/@6/B6_03.tif </t>
  </si>
  <si>
    <t xml:space="preserve"> 48429.3341 </t>
  </si>
  <si>
    <t xml:space="preserve"> 41.7517 </t>
  </si>
  <si>
    <t xml:space="preserve">C:\Users\andre\Desktop\REACTIV CEFAS\Dutasteride\Dutasteride/20201203_Cefas_Test8_Run3/Plate 1/@6/C6_01.tif </t>
  </si>
  <si>
    <t xml:space="preserve"> 69085.8834 </t>
  </si>
  <si>
    <t xml:space="preserve"> 42.5914 </t>
  </si>
  <si>
    <t xml:space="preserve">C:\Users\andre\Desktop\REACTIV CEFAS\Dutasteride\Dutasteride/20201203_Cefas_Test8_Run3/Plate 1/@6/C6_02.tif </t>
  </si>
  <si>
    <t xml:space="preserve"> 50981.6616 </t>
  </si>
  <si>
    <t xml:space="preserve"> 41.1039 </t>
  </si>
  <si>
    <t xml:space="preserve">C:\Users\andre\Desktop\REACTIV CEFAS\Dutasteride\Dutasteride/20201203_Cefas_Test8_Run3/Plate 1/@6/C6_03.tif </t>
  </si>
  <si>
    <t xml:space="preserve"> 63678.4098 </t>
  </si>
  <si>
    <t xml:space="preserve"> 43.5428 </t>
  </si>
  <si>
    <t xml:space="preserve">C:\Users\andre\Desktop\REACTIV CEFAS\Dutasteride\Dutasteride/20201203_Cefas_Test8_Run3/Plate 1/@6/D6_01.tif </t>
  </si>
  <si>
    <t xml:space="preserve"> 46698.9425 </t>
  </si>
  <si>
    <t xml:space="preserve"> 41.1149 </t>
  </si>
  <si>
    <t xml:space="preserve">C:\Users\andre\Desktop\REACTIV CEFAS\Dutasteride\Dutasteride/20201203_Cefas_Test8_Run3/Plate 1/@6/D6_02.tif </t>
  </si>
  <si>
    <t xml:space="preserve"> 39.2247 </t>
  </si>
  <si>
    <t xml:space="preserve">C:\Users\andre\Desktop\REACTIV CEFAS\Dutasteride\Dutasteride/20201203_Cefas_Test8_Run3/Plate 1/@6/D6_03.tif </t>
  </si>
  <si>
    <t xml:space="preserve"> 40512.7926 </t>
  </si>
  <si>
    <t xml:space="preserve"> 37.8484 </t>
  </si>
  <si>
    <t xml:space="preserve">C:\Users\andre\Desktop\REACTIV CEFAS\Dutasteride\Dutasteride/20201203_Cefas_Test8_Run3/Plate 1/@6/E6_01.tif </t>
  </si>
  <si>
    <t xml:space="preserve"> 58443.9753 </t>
  </si>
  <si>
    <t xml:space="preserve"> 37.9915 </t>
  </si>
  <si>
    <t xml:space="preserve">C:\Users\andre\Desktop\REACTIV CEFAS\Dutasteride\Dutasteride/20201203_Cefas_Test8_Run3/Plate 1/@6/E6_02.tif </t>
  </si>
  <si>
    <t xml:space="preserve"> 68718.1752 </t>
  </si>
  <si>
    <t xml:space="preserve"> 40.7044 </t>
  </si>
  <si>
    <t xml:space="preserve">C:\Users\andre\Desktop\REACTIV CEFAS\Dutasteride\Dutasteride/20201203_Cefas_Test8_Run3/Plate 1/@6/E6_03.tif </t>
  </si>
  <si>
    <t xml:space="preserve"> 69280.5525 </t>
  </si>
  <si>
    <t xml:space="preserve"> 40.4889 </t>
  </si>
  <si>
    <t xml:space="preserve">C:\Users\andre\Desktop\REACTIV CEFAS\Dutasteride\Dutasteride/20201203_Cefas_Test8_Run3/Plate 1/@6/F6_01.tif </t>
  </si>
  <si>
    <t xml:space="preserve"> 48039.996 </t>
  </si>
  <si>
    <t xml:space="preserve"> 40.8685 </t>
  </si>
  <si>
    <t>C:\Users\andre\Desktop\REACTIV CEFAS\Dutasteride\Dutasteride/20201203_Cefas_Test8_Run3/Plate 1/@6/F6_02- exclu.tif</t>
  </si>
  <si>
    <t>C:\Users\andre\Desktop\REACTIV CEFAS\Dutasteride\Dutasteride/20201203_Cefas_Test8_Run3/Plate 1/@6/F6_03- exclu.tif</t>
  </si>
  <si>
    <t xml:space="preserve">C:\Users\andre\Desktop\REACTIV CEFAS\Dutasteride\Dutasteride/20201203_Cefas_Test8_Run3/Plate 1/@6/G6_01.tif </t>
  </si>
  <si>
    <t xml:space="preserve"> 43.8862 </t>
  </si>
  <si>
    <t xml:space="preserve">C:\Users\andre\Desktop\REACTIV CEFAS\Dutasteride\Dutasteride/20201203_Cefas_Test8_Run3/Plate 1/@6/G6_02.tif </t>
  </si>
  <si>
    <t xml:space="preserve"> 59287.5412 </t>
  </si>
  <si>
    <t xml:space="preserve"> 43.9146 </t>
  </si>
  <si>
    <t xml:space="preserve">C:\Users\andre\Desktop\REACTIV CEFAS\Dutasteride\Dutasteride/20201203_Cefas_Test8_Run3/Plate 1/@6/G6_03.tif </t>
  </si>
  <si>
    <t xml:space="preserve"> 64846.4241 </t>
  </si>
  <si>
    <t xml:space="preserve"> 45.1618 </t>
  </si>
  <si>
    <t xml:space="preserve">C:\Users\andre\Desktop\REACTIV CEFAS\Dutasteride\Dutasteride/20201203_Cefas_Test8_Run3/Plate 1/@6/H6_01.tif </t>
  </si>
  <si>
    <t xml:space="preserve"> 49.4517 </t>
  </si>
  <si>
    <t xml:space="preserve">C:\Users\andre\Desktop\REACTIV CEFAS\Dutasteride\Dutasteride/20201203_Cefas_Test8_Run3/Plate 1/@6/H6_02.tif </t>
  </si>
  <si>
    <t xml:space="preserve"> 70708.1255 </t>
  </si>
  <si>
    <t xml:space="preserve"> 52.1661 </t>
  </si>
  <si>
    <t xml:space="preserve">C:\Users\andre\Desktop\REACTIV CEFAS\Dutasteride\Dutasteride/20201203_Cefas_Test8_Run3/Plate 1/@6/H6_03.tif </t>
  </si>
  <si>
    <t xml:space="preserve"> 67636.6805 </t>
  </si>
  <si>
    <t xml:space="preserve"> 50.6936 </t>
  </si>
  <si>
    <t xml:space="preserve">C:\Users\andre\Desktop\REACTIV CEFAS\Dutasteride\Dutasteride/20201203_Cefas_Test8_Run3/Plate 1/@6/ </t>
  </si>
  <si>
    <t xml:space="preserve"> 36.9639 </t>
  </si>
  <si>
    <t xml:space="preserve"> 14.9929 </t>
  </si>
  <si>
    <t xml:space="preserve"> 1990627.17 </t>
  </si>
  <si>
    <t xml:space="preserve"> 1143424.6 </t>
  </si>
  <si>
    <t xml:space="preserve">C:\Users\andre\Desktop\REACTIV CEFAS\Dutasteride\Dutasteride/20201203_Cefas_Test8_Run3/Plate 1/@7/A7_01.tif </t>
  </si>
  <si>
    <t xml:space="preserve"> 48.2559 </t>
  </si>
  <si>
    <t xml:space="preserve">C:\Users\andre\Desktop\REACTIV CEFAS\Dutasteride\Dutasteride/20201203_Cefas_Test8_Run3/Plate 1/@7/A7_02.tif </t>
  </si>
  <si>
    <t xml:space="preserve"> 69778.0401 </t>
  </si>
  <si>
    <t xml:space="preserve"> 52.4709 </t>
  </si>
  <si>
    <t xml:space="preserve">C:\Users\andre\Desktop\REACTIV CEFAS\Dutasteride\Dutasteride/20201203_Cefas_Test8_Run3/Plate 1/@7/A7_03.tif </t>
  </si>
  <si>
    <t xml:space="preserve"> 64630.1252 </t>
  </si>
  <si>
    <t xml:space="preserve"> 51.2784 </t>
  </si>
  <si>
    <t xml:space="preserve">C:\Users\andre\Desktop\REACTIV CEFAS\Dutasteride\Dutasteride/20201203_Cefas_Test8_Run3/Plate 1/@7/B7_01.tif </t>
  </si>
  <si>
    <t xml:space="preserve"> 50.6977 </t>
  </si>
  <si>
    <t xml:space="preserve">C:\Users\andre\Desktop\REACTIV CEFAS\Dutasteride\Dutasteride/20201203_Cefas_Test8_Run3/Plate 1/@7/B7_02.tif </t>
  </si>
  <si>
    <t xml:space="preserve"> 72676.446 </t>
  </si>
  <si>
    <t xml:space="preserve"> 53.847 </t>
  </si>
  <si>
    <t xml:space="preserve">C:\Users\andre\Desktop\REACTIV CEFAS\Dutasteride\Dutasteride/20201203_Cefas_Test8_Run3/Plate 1/@7/B7_03.tif </t>
  </si>
  <si>
    <t xml:space="preserve"> 50.2821 </t>
  </si>
  <si>
    <t>C:\Users\andre\Desktop\REACTIV CEFAS\Dutasteride\Dutasteride/20201203_Cefas_Test8_Run3/Plate 1/@7/C7_01- exclu.tif</t>
  </si>
  <si>
    <t>C:\Users\andre\Desktop\REACTIV CEFAS\Dutasteride\Dutasteride/20201203_Cefas_Test8_Run3/Plate 1/@7/C7_02- exclu.tif</t>
  </si>
  <si>
    <t>C:\Users\andre\Desktop\REACTIV CEFAS\Dutasteride\Dutasteride/20201203_Cefas_Test8_Run3/Plate 1/@7/C7_03- exclu.tif</t>
  </si>
  <si>
    <t xml:space="preserve">C:\Users\andre\Desktop\REACTIV CEFAS\Dutasteride\Dutasteride/20201203_Cefas_Test8_Run3/Plate 1/@7/D7_01.tif </t>
  </si>
  <si>
    <t xml:space="preserve"> 103109.708 </t>
  </si>
  <si>
    <t xml:space="preserve"> 56.1091 </t>
  </si>
  <si>
    <t xml:space="preserve">C:\Users\andre\Desktop\REACTIV CEFAS\Dutasteride\Dutasteride/20201203_Cefas_Test8_Run3/Plate 1/@7/D7_02.tif </t>
  </si>
  <si>
    <t xml:space="preserve"> 95258.0559 </t>
  </si>
  <si>
    <t xml:space="preserve"> 52.2448 </t>
  </si>
  <si>
    <t xml:space="preserve">C:\Users\andre\Desktop\REACTIV CEFAS\Dutasteride\Dutasteride/20201203_Cefas_Test8_Run3/Plate 1/@7/D7_03.tif </t>
  </si>
  <si>
    <t xml:space="preserve"> 94003.5221 </t>
  </si>
  <si>
    <t xml:space="preserve"> 54.488 </t>
  </si>
  <si>
    <t xml:space="preserve">C:\Users\andre\Desktop\REACTIV CEFAS\Dutasteride\Dutasteride/20201203_Cefas_Test8_Run3/Plate 1/@7/E7_01.tif </t>
  </si>
  <si>
    <t xml:space="preserve"> 65452.0611 </t>
  </si>
  <si>
    <t xml:space="preserve"> 56.2445 </t>
  </si>
  <si>
    <t>C:\Users\andre\Desktop\REACTIV CEFAS\Dutasteride\Dutasteride/20201203_Cefas_Test8_Run3/Plate 1/@7/E7_02- exclu.tif</t>
  </si>
  <si>
    <t>C:\Users\andre\Desktop\REACTIV CEFAS\Dutasteride\Dutasteride/20201203_Cefas_Test8_Run3/Plate 1/@7/E7_03- exclu.tif</t>
  </si>
  <si>
    <t xml:space="preserve">C:\Users\andre\Desktop\REACTIV CEFAS\Dutasteride\Dutasteride/20201203_Cefas_Test8_Run3/Plate 1/@7/F7_01.tif </t>
  </si>
  <si>
    <t xml:space="preserve"> 96772.1486 </t>
  </si>
  <si>
    <t xml:space="preserve"> 53.5255 </t>
  </si>
  <si>
    <t xml:space="preserve">C:\Users\andre\Desktop\REACTIV CEFAS\Dutasteride\Dutasteride/20201203_Cefas_Test8_Run3/Plate 1/@7/F7_02.tif </t>
  </si>
  <si>
    <t xml:space="preserve"> 91537.7141 </t>
  </si>
  <si>
    <t xml:space="preserve"> 52.8774 </t>
  </si>
  <si>
    <t xml:space="preserve">C:\Users\andre\Desktop\REACTIV CEFAS\Dutasteride\Dutasteride/20201203_Cefas_Test8_Run3/Plate 1/@7/F7_03.tif </t>
  </si>
  <si>
    <t xml:space="preserve"> 95733.9136 </t>
  </si>
  <si>
    <t xml:space="preserve"> 57.8681 </t>
  </si>
  <si>
    <t xml:space="preserve">C:\Users\andre\Desktop\REACTIV CEFAS\Dutasteride\Dutasteride/20201203_Cefas_Test8_Run3/Plate 1/@7/G7_01.tif </t>
  </si>
  <si>
    <t xml:space="preserve"> 85676.0126 </t>
  </si>
  <si>
    <t xml:space="preserve"> 51.7251 </t>
  </si>
  <si>
    <t xml:space="preserve">C:\Users\andre\Desktop\REACTIV CEFAS\Dutasteride\Dutasteride/20201203_Cefas_Test8_Run3/Plate 1/@7/G7_02.tif </t>
  </si>
  <si>
    <t xml:space="preserve"> 83426.5036 </t>
  </si>
  <si>
    <t xml:space="preserve"> 53.8652 </t>
  </si>
  <si>
    <t xml:space="preserve">C:\Users\andre\Desktop\REACTIV CEFAS\Dutasteride\Dutasteride/20201203_Cefas_Test8_Run3/Plate 1/@7/G7_03.tif </t>
  </si>
  <si>
    <t xml:space="preserve"> 97507.565 </t>
  </si>
  <si>
    <t xml:space="preserve"> 53.7695 </t>
  </si>
  <si>
    <t xml:space="preserve">C:\Users\andre\Desktop\REACTIV CEFAS\Dutasteride\Dutasteride/20201203_Cefas_Test8_Run3/Plate 1/@7/H7_01.tif </t>
  </si>
  <si>
    <t xml:space="preserve"> 85762.5322 </t>
  </si>
  <si>
    <t xml:space="preserve"> 55.4207 </t>
  </si>
  <si>
    <t xml:space="preserve">C:\Users\andre\Desktop\REACTIV CEFAS\Dutasteride\Dutasteride/20201203_Cefas_Test8_Run3/Plate 1/@7/H7_02.tif </t>
  </si>
  <si>
    <t xml:space="preserve"> 88531.1587 </t>
  </si>
  <si>
    <t xml:space="preserve"> 55.0667 </t>
  </si>
  <si>
    <t xml:space="preserve">C:\Users\andre\Desktop\REACTIV CEFAS\Dutasteride\Dutasteride/20201203_Cefas_Test8_Run3/Plate 1/@7/H7_03.tif </t>
  </si>
  <si>
    <t xml:space="preserve"> 88898.8669 </t>
  </si>
  <si>
    <t xml:space="preserve"> 55.0056 </t>
  </si>
  <si>
    <t xml:space="preserve">C:\Users\andre\Desktop\REACTIV CEFAS\Dutasteride\Dutasteride/20201203_Cefas_Test8_Run3/Plate 1/@7/ </t>
  </si>
  <si>
    <t xml:space="preserve"> 53.4539 </t>
  </si>
  <si>
    <t xml:space="preserve"> 2.2937 </t>
  </si>
  <si>
    <t xml:space="preserve"> 4187836.92 </t>
  </si>
  <si>
    <t xml:space="preserve"> 909734.53 </t>
  </si>
  <si>
    <t xml:space="preserve">C:\Users\andre\Desktop\REACTIV CEFAS\Dutasteride\Dutasteride/20201203_Cefas_Test8_Run3/Plate 2/@10/A4_01.tif </t>
  </si>
  <si>
    <t xml:space="preserve"> 37.9666 </t>
  </si>
  <si>
    <t xml:space="preserve">C:\Users\andre\Desktop\REACTIV CEFAS\Dutasteride\Dutasteride/20201203_Cefas_Test8_Run3/Plate 2/@10/A4_02.tif </t>
  </si>
  <si>
    <t xml:space="preserve"> 7938.1713 </t>
  </si>
  <si>
    <t xml:space="preserve"> 37.2643 </t>
  </si>
  <si>
    <t xml:space="preserve">C:\Users\andre\Desktop\REACTIV CEFAS\Dutasteride\Dutasteride/20201203_Cefas_Test8_Run3/Plate 2/@10/A4_03.tif </t>
  </si>
  <si>
    <t xml:space="preserve"> 9322.4846 </t>
  </si>
  <si>
    <t xml:space="preserve"> 38.8817 </t>
  </si>
  <si>
    <t xml:space="preserve">C:\Users\andre\Desktop\REACTIV CEFAS\Dutasteride\Dutasteride/20201203_Cefas_Test8_Run3/Plate 2/@10/B4_01.tif </t>
  </si>
  <si>
    <t xml:space="preserve"> 34.6786 </t>
  </si>
  <si>
    <t xml:space="preserve">C:\Users\andre\Desktop\REACTIV CEFAS\Dutasteride\Dutasteride/20201203_Cefas_Test8_Run3/Plate 2/@10/B4_02.tif </t>
  </si>
  <si>
    <t xml:space="preserve"> 36.5756 </t>
  </si>
  <si>
    <t xml:space="preserve">C:\Users\andre\Desktop\REACTIV CEFAS\Dutasteride\Dutasteride/20201203_Cefas_Test8_Run3/Plate 2/@10/B4_03.tif </t>
  </si>
  <si>
    <t xml:space="preserve"> 34.7638 </t>
  </si>
  <si>
    <t xml:space="preserve">C:\Users\andre\Desktop\REACTIV CEFAS\Dutasteride\Dutasteride/20201203_Cefas_Test8_Run3/Plate 2/@10/C4_01.tif </t>
  </si>
  <si>
    <t xml:space="preserve"> 34.9138 </t>
  </si>
  <si>
    <t xml:space="preserve">C:\Users\andre\Desktop\REACTIV CEFAS\Dutasteride\Dutasteride/20201203_Cefas_Test8_Run3/Plate 2/@10/C4_02.tif </t>
  </si>
  <si>
    <t xml:space="preserve"> 37.4182 </t>
  </si>
  <si>
    <t xml:space="preserve">C:\Users\andre\Desktop\REACTIV CEFAS\Dutasteride\Dutasteride/20201203_Cefas_Test8_Run3/Plate 2/@10/C4_03.tif </t>
  </si>
  <si>
    <t xml:space="preserve"> 37.5808 </t>
  </si>
  <si>
    <t xml:space="preserve">C:\Users\andre\Desktop\REACTIV CEFAS\Dutasteride\Dutasteride/20201203_Cefas_Test8_Run3/Plate 2/@10/D4_01.tif </t>
  </si>
  <si>
    <t xml:space="preserve"> 31.561 </t>
  </si>
  <si>
    <t xml:space="preserve">C:\Users\andre\Desktop\REACTIV CEFAS\Dutasteride\Dutasteride/20201203_Cefas_Test8_Run3/Plate 2/@10/D4_02.tif </t>
  </si>
  <si>
    <t xml:space="preserve"> 36.7753 </t>
  </si>
  <si>
    <t xml:space="preserve">C:\Users\andre\Desktop\REACTIV CEFAS\Dutasteride\Dutasteride/20201203_Cefas_Test8_Run3/Plate 2/@10/D4_03.tif </t>
  </si>
  <si>
    <t xml:space="preserve"> 33.0536 </t>
  </si>
  <si>
    <t xml:space="preserve">C:\Users\andre\Desktop\REACTIV CEFAS\Dutasteride\Dutasteride/20201203_Cefas_Test8_Run3/Plate 2/@10/E4_01.tif </t>
  </si>
  <si>
    <t xml:space="preserve"> 34.4804 </t>
  </si>
  <si>
    <t xml:space="preserve">C:\Users\andre\Desktop\REACTIV CEFAS\Dutasteride\Dutasteride/20201203_Cefas_Test8_Run3/Plate 2/@10/E4_02.tif </t>
  </si>
  <si>
    <t xml:space="preserve"> 7462.3136 </t>
  </si>
  <si>
    <t xml:space="preserve"> 34.7768 </t>
  </si>
  <si>
    <t xml:space="preserve">C:\Users\andre\Desktop\REACTIV CEFAS\Dutasteride\Dutasteride/20201203_Cefas_Test8_Run3/Plate 2/@10/E4_03.tif </t>
  </si>
  <si>
    <t xml:space="preserve"> 31.2692 </t>
  </si>
  <si>
    <t xml:space="preserve">C:\Users\andre\Desktop\REACTIV CEFAS\Dutasteride\Dutasteride/20201203_Cefas_Test8_Run3/Plate 2/@10/F4_01.tif </t>
  </si>
  <si>
    <t xml:space="preserve"> 33.4167 </t>
  </si>
  <si>
    <t xml:space="preserve">C:\Users\andre\Desktop\REACTIV CEFAS\Dutasteride\Dutasteride/20201203_Cefas_Test8_Run3/Plate 2/@10/F4_02.tif </t>
  </si>
  <si>
    <t xml:space="preserve"> 32.7321 </t>
  </si>
  <si>
    <t xml:space="preserve">C:\Users\andre\Desktop\REACTIV CEFAS\Dutasteride\Dutasteride/20201203_Cefas_Test8_Run3/Plate 2/@10/F4_03.tif </t>
  </si>
  <si>
    <t xml:space="preserve">C:\Users\andre\Desktop\REACTIV CEFAS\Dutasteride\Dutasteride/20201203_Cefas_Test8_Run3/Plate 2/@10/G4_01.tif </t>
  </si>
  <si>
    <t xml:space="preserve"> 34.0301 </t>
  </si>
  <si>
    <t xml:space="preserve">C:\Users\andre\Desktop\REACTIV CEFAS\Dutasteride\Dutasteride/20201203_Cefas_Test8_Run3/Plate 2/@10/G4_02.tif </t>
  </si>
  <si>
    <t xml:space="preserve"> 35.8559 </t>
  </si>
  <si>
    <t xml:space="preserve">C:\Users\andre\Desktop\REACTIV CEFAS\Dutasteride\Dutasteride/20201203_Cefas_Test8_Run3/Plate 2/@10/G4_03.tif </t>
  </si>
  <si>
    <t xml:space="preserve"> 34.0069 </t>
  </si>
  <si>
    <t xml:space="preserve">C:\Users\andre\Desktop\REACTIV CEFAS\Dutasteride\Dutasteride/20201203_Cefas_Test8_Run3/Plate 2/@10/H4_01.tif </t>
  </si>
  <si>
    <t xml:space="preserve">C:\Users\andre\Desktop\REACTIV CEFAS\Dutasteride\Dutasteride/20201203_Cefas_Test8_Run3/Plate 2/@10/H4_02.tif </t>
  </si>
  <si>
    <t xml:space="preserve"> 5212.8046 </t>
  </si>
  <si>
    <t xml:space="preserve"> 39.5685 </t>
  </si>
  <si>
    <t xml:space="preserve">C:\Users\andre\Desktop\REACTIV CEFAS\Dutasteride\Dutasteride/20201203_Cefas_Test8_Run3/Plate 2/@10/H4_03.tif </t>
  </si>
  <si>
    <t xml:space="preserve"> 3590.5625 </t>
  </si>
  <si>
    <t xml:space="preserve"> 37.8554 </t>
  </si>
  <si>
    <t xml:space="preserve">C:\Users\andre\Desktop\REACTIV CEFAS\Dutasteride\Dutasteride/20201203_Cefas_Test8_Run3/Plate 2/@10/ </t>
  </si>
  <si>
    <t xml:space="preserve"> 35.349 </t>
  </si>
  <si>
    <t xml:space="preserve"> 2.3486 </t>
  </si>
  <si>
    <t xml:space="preserve"> 129631.583 </t>
  </si>
  <si>
    <t xml:space="preserve"> 97633.2765 </t>
  </si>
  <si>
    <t xml:space="preserve">C:\Users\andre\Desktop\REACTIV CEFAS\Dutasteride\Dutasteride/20201203_Cefas_Test8_Run3/Plate 2/@11/A5_01.tif </t>
  </si>
  <si>
    <t xml:space="preserve">C:\Users\andre\Desktop\REACTIV CEFAS\Dutasteride\Dutasteride/20201203_Cefas_Test8_Run3/Plate 2/@11/A5_02.tif </t>
  </si>
  <si>
    <t xml:space="preserve"> 34.6121 </t>
  </si>
  <si>
    <t xml:space="preserve">C:\Users\andre\Desktop\REACTIV CEFAS\Dutasteride\Dutasteride/20201203_Cefas_Test8_Run3/Plate 2/@11/A5_03.tif </t>
  </si>
  <si>
    <t xml:space="preserve"> 259.5587 </t>
  </si>
  <si>
    <t xml:space="preserve"> 30.75 </t>
  </si>
  <si>
    <t xml:space="preserve">C:\Users\andre\Desktop\REACTIV CEFAS\Dutasteride\Dutasteride/20201203_Cefas_Test8_Run3/Plate 2/@11/B5_01.tif </t>
  </si>
  <si>
    <t xml:space="preserve"> 32.2069 </t>
  </si>
  <si>
    <t xml:space="preserve">C:\Users\andre\Desktop\REACTIV CEFAS\Dutasteride\Dutasteride/20201203_Cefas_Test8_Run3/Plate 2/@11/B5_02.tif </t>
  </si>
  <si>
    <t xml:space="preserve"> 1016.605 </t>
  </si>
  <si>
    <t xml:space="preserve"> 32.5319 </t>
  </si>
  <si>
    <t xml:space="preserve">C:\Users\andre\Desktop\REACTIV CEFAS\Dutasteride\Dutasteride/20201203_Cefas_Test8_Run3/Plate 2/@11/B5_03.tif </t>
  </si>
  <si>
    <t xml:space="preserve"> 8457.2888 </t>
  </si>
  <si>
    <t xml:space="preserve"> 37.3913 </t>
  </si>
  <si>
    <t xml:space="preserve">C:\Users\andre\Desktop\REACTIV CEFAS\Dutasteride\Dutasteride/20201203_Cefas_Test8_Run3/Plate 2/@11/C5_01.tif </t>
  </si>
  <si>
    <t xml:space="preserve"> 4974.8758 </t>
  </si>
  <si>
    <t xml:space="preserve"> 37.2043 </t>
  </si>
  <si>
    <t xml:space="preserve">C:\Users\andre\Desktop\REACTIV CEFAS\Dutasteride\Dutasteride/20201203_Cefas_Test8_Run3/Plate 2/@11/C5_02.tif </t>
  </si>
  <si>
    <t xml:space="preserve"> 36.4273 </t>
  </si>
  <si>
    <t xml:space="preserve">C:\Users\andre\Desktop\REACTIV CEFAS\Dutasteride\Dutasteride/20201203_Cefas_Test8_Run3/Plate 2/@11/C5_03.tif </t>
  </si>
  <si>
    <t xml:space="preserve"> 33.4729 </t>
  </si>
  <si>
    <t xml:space="preserve">C:\Users\andre\Desktop\REACTIV CEFAS\Dutasteride\Dutasteride/20201203_Cefas_Test8_Run3/Plate 2/@11/D5_01.tif </t>
  </si>
  <si>
    <t xml:space="preserve"> 34.5258 </t>
  </si>
  <si>
    <t xml:space="preserve">C:\Users\andre\Desktop\REACTIV CEFAS\Dutasteride\Dutasteride/20201203_Cefas_Test8_Run3/Plate 2/@11/D5_02.tif </t>
  </si>
  <si>
    <t xml:space="preserve"> 3071.445 </t>
  </si>
  <si>
    <t xml:space="preserve"> 35.6761 </t>
  </si>
  <si>
    <t xml:space="preserve">C:\Users\andre\Desktop\REACTIV CEFAS\Dutasteride\Dutasteride/20201203_Cefas_Test8_Run3/Plate 2/@11/D5_03.tif </t>
  </si>
  <si>
    <t xml:space="preserve"> 31.85 </t>
  </si>
  <si>
    <t xml:space="preserve">C:\Users\andre\Desktop\REACTIV CEFAS\Dutasteride\Dutasteride/20201203_Cefas_Test8_Run3/Plate 2/@11/E5_01.tif </t>
  </si>
  <si>
    <t xml:space="preserve"> 38.2857 </t>
  </si>
  <si>
    <t xml:space="preserve">C:\Users\andre\Desktop\REACTIV CEFAS\Dutasteride\Dutasteride/20201203_Cefas_Test8_Run3/Plate 2/@11/E5_02.tif </t>
  </si>
  <si>
    <t xml:space="preserve"> 39.009 </t>
  </si>
  <si>
    <t xml:space="preserve">C:\Users\andre\Desktop\REACTIV CEFAS\Dutasteride\Dutasteride/20201203_Cefas_Test8_Run3/Plate 2/@11/E5_03.tif </t>
  </si>
  <si>
    <t xml:space="preserve"> 34.9266 </t>
  </si>
  <si>
    <t xml:space="preserve">C:\Users\andre\Desktop\REACTIV CEFAS\Dutasteride\Dutasteride/20201203_Cefas_Test8_Run3/Plate 2/@11/F5_01.tif </t>
  </si>
  <si>
    <t xml:space="preserve"> 36.5938 </t>
  </si>
  <si>
    <t xml:space="preserve">C:\Users\andre\Desktop\REACTIV CEFAS\Dutasteride\Dutasteride/20201203_Cefas_Test8_Run3/Plate 2/@11/F5_02.tif </t>
  </si>
  <si>
    <t xml:space="preserve"> 6337.5591 </t>
  </si>
  <si>
    <t xml:space="preserve"> 38.7304 </t>
  </si>
  <si>
    <t xml:space="preserve">C:\Users\andre\Desktop\REACTIV CEFAS\Dutasteride\Dutasteride/20201203_Cefas_Test8_Run3/Plate 2/@11/F5_03.tif </t>
  </si>
  <si>
    <t xml:space="preserve"> 38.8594 </t>
  </si>
  <si>
    <t>C:\Users\andre\Desktop\REACTIV CEFAS\Dutasteride\Dutasteride/20201203_Cefas_Test8_Run3/Plate 2/@11/G5_01- exclu.tif</t>
  </si>
  <si>
    <t>C:\Users\andre\Desktop\REACTIV CEFAS\Dutasteride\Dutasteride/20201203_Cefas_Test8_Run3/Plate 2/@11/G5_02- exclu.tif</t>
  </si>
  <si>
    <t>C:\Users\andre\Desktop\REACTIV CEFAS\Dutasteride\Dutasteride/20201203_Cefas_Test8_Run3/Plate 2/@11/G5_03- exclu.tif</t>
  </si>
  <si>
    <t xml:space="preserve">C:\Users\andre\Desktop\REACTIV CEFAS\Dutasteride\Dutasteride/20201203_Cefas_Test8_Run3/Plate 2/@11/H5_01.tif </t>
  </si>
  <si>
    <t xml:space="preserve"> 12350.6698 </t>
  </si>
  <si>
    <t xml:space="preserve"> 43.8144 </t>
  </si>
  <si>
    <t xml:space="preserve">C:\Users\andre\Desktop\REACTIV CEFAS\Dutasteride\Dutasteride/20201203_Cefas_Test8_Run3/Plate 2/@11/H5_02.tif </t>
  </si>
  <si>
    <t xml:space="preserve"> 11809.9225 </t>
  </si>
  <si>
    <t xml:space="preserve"> 41.152 </t>
  </si>
  <si>
    <t xml:space="preserve">C:\Users\andre\Desktop\REACTIV CEFAS\Dutasteride\Dutasteride/20201203_Cefas_Test8_Run3/Plate 2/@11/H5_03.tif </t>
  </si>
  <si>
    <t xml:space="preserve"> 10706.7978 </t>
  </si>
  <si>
    <t xml:space="preserve"> 41.1455 </t>
  </si>
  <si>
    <t xml:space="preserve">C:\Users\andre\Desktop\REACTIV CEFAS\Dutasteride\Dutasteride/20201203_Cefas_Test8_Run3/Plate 2/@11/ </t>
  </si>
  <si>
    <t xml:space="preserve"> 37.3176 </t>
  </si>
  <si>
    <t xml:space="preserve"> 4.3796 </t>
  </si>
  <si>
    <t xml:space="preserve"> 198587.583 </t>
  </si>
  <si>
    <t xml:space="preserve"> 164101.849 </t>
  </si>
  <si>
    <t xml:space="preserve">C:\Users\andre\Desktop\REACTIV CEFAS\Dutasteride\Dutasteride/20201203_Cefas_Test8_Run3/Plate 2/@12/A6_01.tif </t>
  </si>
  <si>
    <t xml:space="preserve"> 41.7542 </t>
  </si>
  <si>
    <t xml:space="preserve">C:\Users\andre\Desktop\REACTIV CEFAS\Dutasteride\Dutasteride/20201203_Cefas_Test8_Run3/Plate 2/@12/A6_02.tif </t>
  </si>
  <si>
    <t xml:space="preserve"> 6294.2993 </t>
  </si>
  <si>
    <t xml:space="preserve"> 35.7045 </t>
  </si>
  <si>
    <t xml:space="preserve">C:\Users\andre\Desktop\REACTIV CEFAS\Dutasteride\Dutasteride/20201203_Cefas_Test8_Run3/Plate 2/@12/A6_03.tif </t>
  </si>
  <si>
    <t xml:space="preserve"> 36.703 </t>
  </si>
  <si>
    <t xml:space="preserve">C:\Users\andre\Desktop\REACTIV CEFAS\Dutasteride\Dutasteride/20201203_Cefas_Test8_Run3/Plate 2/@12/B6_01.tif </t>
  </si>
  <si>
    <t xml:space="preserve"> 31.1667 </t>
  </si>
  <si>
    <t xml:space="preserve">C:\Users\andre\Desktop\REACTIV CEFAS\Dutasteride\Dutasteride/20201203_Cefas_Test8_Run3/Plate 2/@12/B6_02.tif </t>
  </si>
  <si>
    <t xml:space="preserve">C:\Users\andre\Desktop\REACTIV CEFAS\Dutasteride\Dutasteride/20201203_Cefas_Test8_Run3/Plate 2/@12/B6_03.tif </t>
  </si>
  <si>
    <t>C:\Users\andre\Desktop\REACTIV CEFAS\Dutasteride\Dutasteride/20201203_Cefas_Test8_Run3/Plate 2/@12/C6_01- exclu.tif</t>
  </si>
  <si>
    <t xml:space="preserve">C:\Users\andre\Desktop\REACTIV CEFAS\Dutasteride\Dutasteride/20201203_Cefas_Test8_Run3/Plate 2/@12/C6_02.tif </t>
  </si>
  <si>
    <t xml:space="preserve"> 31.45 </t>
  </si>
  <si>
    <t xml:space="preserve">C:\Users\andre\Desktop\REACTIV CEFAS\Dutasteride\Dutasteride/20201203_Cefas_Test8_Run3/Plate 2/@12/C6_03.tif </t>
  </si>
  <si>
    <t xml:space="preserve"> 31.8261 </t>
  </si>
  <si>
    <t xml:space="preserve">C:\Users\andre\Desktop\REACTIV CEFAS\Dutasteride\Dutasteride/20201203_Cefas_Test8_Run3/Plate 2/@12/D6_01.tif </t>
  </si>
  <si>
    <t xml:space="preserve"> 9949.7515 </t>
  </si>
  <si>
    <t xml:space="preserve"> 44.4391 </t>
  </si>
  <si>
    <t xml:space="preserve">C:\Users\andre\Desktop\REACTIV CEFAS\Dutasteride\Dutasteride/20201203_Cefas_Test8_Run3/Plate 2/@12/D6_02.tif </t>
  </si>
  <si>
    <t xml:space="preserve"> 39.1388 </t>
  </si>
  <si>
    <t>C:\Users\andre\Desktop\REACTIV CEFAS\Dutasteride\Dutasteride/20201203_Cefas_Test8_Run3/Plate 2/@12/D6_03- exclu.tif</t>
  </si>
  <si>
    <t>C:\Users\andre\Desktop\REACTIV CEFAS\Dutasteride\Dutasteride/20201203_Cefas_Test8_Run3/Plate 2/@12/E6_01- exclu.tif</t>
  </si>
  <si>
    <t xml:space="preserve">C:\Users\andre\Desktop\REACTIV CEFAS\Dutasteride\Dutasteride/20201203_Cefas_Test8_Run3/Plate 2/@12/E6_02.tif </t>
  </si>
  <si>
    <t xml:space="preserve"> 32.399 </t>
  </si>
  <si>
    <t xml:space="preserve">C:\Users\andre\Desktop\REACTIV CEFAS\Dutasteride\Dutasteride/20201203_Cefas_Test8_Run3/Plate 2/@12/E6_03.tif </t>
  </si>
  <si>
    <t xml:space="preserve"> 42.6636 </t>
  </si>
  <si>
    <t xml:space="preserve">C:\Users\andre\Desktop\REACTIV CEFAS\Dutasteride\Dutasteride/20201203_Cefas_Test8_Run3/Plate 2/@12/F6_01.tif </t>
  </si>
  <si>
    <t xml:space="preserve">C:\Users\andre\Desktop\REACTIV CEFAS\Dutasteride\Dutasteride/20201203_Cefas_Test8_Run3/Plate 2/@12/F6_02.tif </t>
  </si>
  <si>
    <t xml:space="preserve">C:\Users\andre\Desktop\REACTIV CEFAS\Dutasteride\Dutasteride/20201203_Cefas_Test8_Run3/Plate 2/@12/F6_03.tif </t>
  </si>
  <si>
    <t xml:space="preserve">C:\Users\andre\Desktop\REACTIV CEFAS\Dutasteride\Dutasteride/20201203_Cefas_Test8_Run3/Plate 2/@12/G6_01.tif </t>
  </si>
  <si>
    <t xml:space="preserve"> 38.5367 </t>
  </si>
  <si>
    <t xml:space="preserve">C:\Users\andre\Desktop\REACTIV CEFAS\Dutasteride\Dutasteride/20201203_Cefas_Test8_Run3/Plate 2/@12/G6_02.tif </t>
  </si>
  <si>
    <t xml:space="preserve"> 9279.2248 </t>
  </si>
  <si>
    <t xml:space="preserve"> 36.7413 </t>
  </si>
  <si>
    <t xml:space="preserve">C:\Users\andre\Desktop\REACTIV CEFAS\Dutasteride\Dutasteride/20201203_Cefas_Test8_Run3/Plate 2/@12/G6_03.tif </t>
  </si>
  <si>
    <t xml:space="preserve">C:\Users\andre\Desktop\REACTIV CEFAS\Dutasteride\Dutasteride/20201203_Cefas_Test8_Run3/Plate 2/@12/H6_01.tif </t>
  </si>
  <si>
    <t xml:space="preserve">C:\Users\andre\Desktop\REACTIV CEFAS\Dutasteride\Dutasteride/20201203_Cefas_Test8_Run3/Plate 2/@12/H6_02.tif </t>
  </si>
  <si>
    <t xml:space="preserve"> 30.8 </t>
  </si>
  <si>
    <t xml:space="preserve">C:\Users\andre\Desktop\REACTIV CEFAS\Dutasteride\Dutasteride/20201203_Cefas_Test8_Run3/Plate 2/@12/H6_03.tif </t>
  </si>
  <si>
    <t xml:space="preserve">C:\Users\andre\Desktop\REACTIV CEFAS\Dutasteride\Dutasteride/20201203_Cefas_Test8_Run3/Plate 2/@12/ </t>
  </si>
  <si>
    <t xml:space="preserve"> 23.5412 </t>
  </si>
  <si>
    <t xml:space="preserve"> 17.4453 </t>
  </si>
  <si>
    <t xml:space="preserve"> 126424.083 </t>
  </si>
  <si>
    <t xml:space="preserve"> 172522.022 </t>
  </si>
  <si>
    <t xml:space="preserve">C:\Users\andre\Desktop\REACTIV CEFAS\Dutasteride\Dutasteride/20201203_Cefas_Test8_Run3/Plate 2/@17/A8_01.tif </t>
  </si>
  <si>
    <t xml:space="preserve"> 18558.4496 </t>
  </si>
  <si>
    <t xml:space="preserve"> 37.0163 </t>
  </si>
  <si>
    <t xml:space="preserve">C:\Users\andre\Desktop\REACTIV CEFAS\Dutasteride\Dutasteride/20201203_Cefas_Test8_Run3/Plate 2/@17/A8_02.tif </t>
  </si>
  <si>
    <t xml:space="preserve"> 15573.5241 </t>
  </si>
  <si>
    <t xml:space="preserve"> 35.3778 </t>
  </si>
  <si>
    <t xml:space="preserve">C:\Users\andre\Desktop\REACTIV CEFAS\Dutasteride\Dutasteride/20201203_Cefas_Test8_Run3/Plate 2/@17/A8_03.tif </t>
  </si>
  <si>
    <t xml:space="preserve"> 19596.6845 </t>
  </si>
  <si>
    <t xml:space="preserve"> 36.3046 </t>
  </si>
  <si>
    <t>C:\Users\andre\Desktop\REACTIV CEFAS\Dutasteride\Dutasteride/20201203_Cefas_Test8_Run3/Plate 2/@17/B8_01- exclu.tif</t>
  </si>
  <si>
    <t>C:\Users\andre\Desktop\REACTIV CEFAS\Dutasteride\Dutasteride/20201203_Cefas_Test8_Run3/Plate 2/@17/B8_02- exclu.tif</t>
  </si>
  <si>
    <t>C:\Users\andre\Desktop\REACTIV CEFAS\Dutasteride\Dutasteride/20201203_Cefas_Test8_Run3/Plate 2/@17/B8_03- exclu.tif</t>
  </si>
  <si>
    <t xml:space="preserve">C:\Users\andre\Desktop\REACTIV CEFAS\Dutasteride\Dutasteride/20201203_Cefas_Test8_Run3/Plate 2/@17/C8_01.tif </t>
  </si>
  <si>
    <t xml:space="preserve"> 35429.7674 </t>
  </si>
  <si>
    <t xml:space="preserve"> 37.3266 </t>
  </si>
  <si>
    <t xml:space="preserve">C:\Users\andre\Desktop\REACTIV CEFAS\Dutasteride\Dutasteride/20201203_Cefas_Test8_Run3/Plate 2/@17/C8_02.tif </t>
  </si>
  <si>
    <t xml:space="preserve"> 38241.6537 </t>
  </si>
  <si>
    <t xml:space="preserve"> 38.1793 </t>
  </si>
  <si>
    <t xml:space="preserve">C:\Users\andre\Desktop\REACTIV CEFAS\Dutasteride\Dutasteride/20201203_Cefas_Test8_Run3/Plate 2/@17/C8_03.tif </t>
  </si>
  <si>
    <t xml:space="preserve"> 36792.4508 </t>
  </si>
  <si>
    <t xml:space="preserve"> 38.097 </t>
  </si>
  <si>
    <t xml:space="preserve">C:\Users\andre\Desktop\REACTIV CEFAS\Dutasteride\Dutasteride/20201203_Cefas_Test8_Run3/Plate 2/@17/D8_01.tif </t>
  </si>
  <si>
    <t xml:space="preserve"> 36100.2941 </t>
  </si>
  <si>
    <t xml:space="preserve"> 35.1456 </t>
  </si>
  <si>
    <t xml:space="preserve">C:\Users\andre\Desktop\REACTIV CEFAS\Dutasteride\Dutasteride/20201203_Cefas_Test8_Run3/Plate 2/@17/D8_02.tif </t>
  </si>
  <si>
    <t xml:space="preserve"> 40253.2339 </t>
  </si>
  <si>
    <t xml:space="preserve"> 36.2671 </t>
  </si>
  <si>
    <t xml:space="preserve">C:\Users\andre\Desktop\REACTIV CEFAS\Dutasteride\Dutasteride/20201203_Cefas_Test8_Run3/Plate 2/@17/D8_03.tif </t>
  </si>
  <si>
    <t xml:space="preserve"> 41788.9564 </t>
  </si>
  <si>
    <t xml:space="preserve"> 36.5228 </t>
  </si>
  <si>
    <t xml:space="preserve">C:\Users\andre\Desktop\REACTIV CEFAS\Dutasteride\Dutasteride/20201203_Cefas_Test8_Run3/Plate 2/@17/E8_01.tif </t>
  </si>
  <si>
    <t xml:space="preserve"> 18234.0012 </t>
  </si>
  <si>
    <t xml:space="preserve"> 33.0107 </t>
  </si>
  <si>
    <t xml:space="preserve">C:\Users\andre\Desktop\REACTIV CEFAS\Dutasteride\Dutasteride/20201203_Cefas_Test8_Run3/Plate 2/@17/E8_02.tif </t>
  </si>
  <si>
    <t xml:space="preserve"> 36814.0807 </t>
  </si>
  <si>
    <t xml:space="preserve"> 35.2509 </t>
  </si>
  <si>
    <t xml:space="preserve">C:\Users\andre\Desktop\REACTIV CEFAS\Dutasteride\Dutasteride/20201203_Cefas_Test8_Run3/Plate 2/@17/E8_03.tif </t>
  </si>
  <si>
    <t xml:space="preserve"> 28118.863 </t>
  </si>
  <si>
    <t xml:space="preserve"> 34.3154 </t>
  </si>
  <si>
    <t xml:space="preserve">C:\Users\andre\Desktop\REACTIV CEFAS\Dutasteride\Dutasteride/20201203_Cefas_Test8_Run3/Plate 2/@17/F8_01.tif </t>
  </si>
  <si>
    <t xml:space="preserve"> 17736.5136 </t>
  </si>
  <si>
    <t xml:space="preserve"> 36.7622 </t>
  </si>
  <si>
    <t xml:space="preserve">C:\Users\andre\Desktop\REACTIV CEFAS\Dutasteride\Dutasteride/20201203_Cefas_Test8_Run3/Plate 2/@17/F8_02.tif </t>
  </si>
  <si>
    <t xml:space="preserve"> 16308.9406 </t>
  </si>
  <si>
    <t xml:space="preserve"> 36.0942 </t>
  </si>
  <si>
    <t xml:space="preserve">C:\Users\andre\Desktop\REACTIV CEFAS\Dutasteride\Dutasteride/20201203_Cefas_Test8_Run3/Plate 2/@17/F8_03.tif </t>
  </si>
  <si>
    <t xml:space="preserve"> 17152.5064 </t>
  </si>
  <si>
    <t xml:space="preserve"> 35.5019 </t>
  </si>
  <si>
    <t xml:space="preserve">C:\Users\andre\Desktop\REACTIV CEFAS\Dutasteride\Dutasteride/20201203_Cefas_Test8_Run3/Plate 2/@17/G8_01.tif </t>
  </si>
  <si>
    <t xml:space="preserve"> 2011.5802 </t>
  </si>
  <si>
    <t xml:space="preserve"> 31.9462 </t>
  </si>
  <si>
    <t xml:space="preserve">C:\Users\andre\Desktop\REACTIV CEFAS\Dutasteride\Dutasteride/20201203_Cefas_Test8_Run3/Plate 2/@17/G8_02.tif </t>
  </si>
  <si>
    <t xml:space="preserve"> 37.7642 </t>
  </si>
  <si>
    <t xml:space="preserve">C:\Users\andre\Desktop\REACTIV CEFAS\Dutasteride\Dutasteride/20201203_Cefas_Test8_Run3/Plate 2/@17/G8_03.tif </t>
  </si>
  <si>
    <t xml:space="preserve"> 6705.2673 </t>
  </si>
  <si>
    <t xml:space="preserve"> 35.8323 </t>
  </si>
  <si>
    <t xml:space="preserve">C:\Users\andre\Desktop\REACTIV CEFAS\Dutasteride\Dutasteride/20201203_Cefas_Test8_Run3/Plate 2/@17/H8_01.tif </t>
  </si>
  <si>
    <t xml:space="preserve"> 40.3966 </t>
  </si>
  <si>
    <t xml:space="preserve">C:\Users\andre\Desktop\REACTIV CEFAS\Dutasteride\Dutasteride/20201203_Cefas_Test8_Run3/Plate 2/@17/H8_02.tif </t>
  </si>
  <si>
    <t xml:space="preserve"> 57449.0001 </t>
  </si>
  <si>
    <t xml:space="preserve"> 42.6589 </t>
  </si>
  <si>
    <t xml:space="preserve">C:\Users\andre\Desktop\REACTIV CEFAS\Dutasteride\Dutasteride/20201203_Cefas_Test8_Run3/Plate 2/@17/H8_03.tif </t>
  </si>
  <si>
    <t xml:space="preserve"> 59676.8793 </t>
  </si>
  <si>
    <t xml:space="preserve"> 41.9351 </t>
  </si>
  <si>
    <t xml:space="preserve">C:\Users\andre\Desktop\REACTIV CEFAS\Dutasteride\Dutasteride/20201203_Cefas_Test8_Run3/Plate 2/@17/ </t>
  </si>
  <si>
    <t xml:space="preserve"> 38.6065 </t>
  </si>
  <si>
    <t xml:space="preserve"> 5.6208 </t>
  </si>
  <si>
    <t xml:space="preserve"> 1053637.17 </t>
  </si>
  <si>
    <t xml:space="preserve"> 665295.225 </t>
  </si>
  <si>
    <t xml:space="preserve">C:\Users\andre\Desktop\REACTIV CEFAS\Dutasteride\Dutasteride/20201203_Cefas_Test8_Run3/Plate 2/@18/A9_01.tif </t>
  </si>
  <si>
    <t xml:space="preserve"> 22538.3502 </t>
  </si>
  <si>
    <t xml:space="preserve"> 35.3436 </t>
  </si>
  <si>
    <t xml:space="preserve">C:\Users\andre\Desktop\REACTIV CEFAS\Dutasteride\Dutasteride/20201203_Cefas_Test8_Run3/Plate 2/@18/A9_02.tif </t>
  </si>
  <si>
    <t xml:space="preserve"> 24398.5211 </t>
  </si>
  <si>
    <t xml:space="preserve"> 35.8236 </t>
  </si>
  <si>
    <t xml:space="preserve">C:\Users\andre\Desktop\REACTIV CEFAS\Dutasteride\Dutasteride/20201203_Cefas_Test8_Run3/Plate 2/@18/A9_03.tif </t>
  </si>
  <si>
    <t xml:space="preserve"> 12869.7873 </t>
  </si>
  <si>
    <t xml:space="preserve"> 33.5782 </t>
  </si>
  <si>
    <t xml:space="preserve">C:\Users\andre\Desktop\REACTIV CEFAS\Dutasteride\Dutasteride/20201203_Cefas_Test8_Run3/Plate 2/@18/B9_01.tif </t>
  </si>
  <si>
    <t xml:space="preserve"> 43151.6398 </t>
  </si>
  <si>
    <t xml:space="preserve"> 37.1138 </t>
  </si>
  <si>
    <t xml:space="preserve">C:\Users\andre\Desktop\REACTIV CEFAS\Dutasteride\Dutasteride/20201203_Cefas_Test8_Run3/Plate 2/@18/B9_02.tif </t>
  </si>
  <si>
    <t xml:space="preserve"> 44449.4335 </t>
  </si>
  <si>
    <t xml:space="preserve"> 36.1572 </t>
  </si>
  <si>
    <t xml:space="preserve">C:\Users\andre\Desktop\REACTIV CEFAS\Dutasteride\Dutasteride/20201203_Cefas_Test8_Run3/Plate 2/@18/B9_03.tif </t>
  </si>
  <si>
    <t xml:space="preserve"> 54182.886 </t>
  </si>
  <si>
    <t xml:space="preserve"> 38.2395 </t>
  </si>
  <si>
    <t xml:space="preserve">C:\Users\andre\Desktop\REACTIV CEFAS\Dutasteride\Dutasteride/20201203_Cefas_Test8_Run3/Plate 2/@18/C9_01.tif </t>
  </si>
  <si>
    <t xml:space="preserve"> 41269.839 </t>
  </si>
  <si>
    <t xml:space="preserve"> 37.4119 </t>
  </si>
  <si>
    <t xml:space="preserve">C:\Users\andre\Desktop\REACTIV CEFAS\Dutasteride\Dutasteride/20201203_Cefas_Test8_Run3/Plate 2/@18/C9_02.tif </t>
  </si>
  <si>
    <t xml:space="preserve"> 41702.4368 </t>
  </si>
  <si>
    <t xml:space="preserve"> 37.3978 </t>
  </si>
  <si>
    <t xml:space="preserve">C:\Users\andre\Desktop\REACTIV CEFAS\Dutasteride\Dutasteride/20201203_Cefas_Test8_Run3/Plate 2/@18/C9_03.tif </t>
  </si>
  <si>
    <t xml:space="preserve"> 40209.9741 </t>
  </si>
  <si>
    <t xml:space="preserve"> 38.2609 </t>
  </si>
  <si>
    <t xml:space="preserve">C:\Users\andre\Desktop\REACTIV CEFAS\Dutasteride\Dutasteride/20201203_Cefas_Test8_Run3/Plate 2/@18/D9_01.tif </t>
  </si>
  <si>
    <t xml:space="preserve"> 56973.1425 </t>
  </si>
  <si>
    <t xml:space="preserve"> 42.6568 </t>
  </si>
  <si>
    <t xml:space="preserve">C:\Users\andre\Desktop\REACTIV CEFAS\Dutasteride\Dutasteride/20201203_Cefas_Test8_Run3/Plate 2/@18/D9_02.tif </t>
  </si>
  <si>
    <t xml:space="preserve"> 60390.6658 </t>
  </si>
  <si>
    <t xml:space="preserve"> 42.8958 </t>
  </si>
  <si>
    <t xml:space="preserve">C:\Users\andre\Desktop\REACTIV CEFAS\Dutasteride\Dutasteride/20201203_Cefas_Test8_Run3/Plate 2/@18/D9_03.tif </t>
  </si>
  <si>
    <t xml:space="preserve"> 4563.9078 </t>
  </si>
  <si>
    <t xml:space="preserve"> 31.9573 </t>
  </si>
  <si>
    <t>C:\Users\andre\Desktop\REACTIV CEFAS\Dutasteride\Dutasteride/20201203_Cefas_Test8_Run3/Plate 2/@18/E9_01- exclu.tif</t>
  </si>
  <si>
    <t>C:\Users\andre\Desktop\REACTIV CEFAS\Dutasteride\Dutasteride/20201203_Cefas_Test8_Run3/Plate 2/@18/E9_02- exclu.tif</t>
  </si>
  <si>
    <t>C:\Users\andre\Desktop\REACTIV CEFAS\Dutasteride\Dutasteride/20201203_Cefas_Test8_Run3/Plate 2/@18/E9_03- exclu.tif</t>
  </si>
  <si>
    <t xml:space="preserve">C:\Users\andre\Desktop\REACTIV CEFAS\Dutasteride\Dutasteride/20201203_Cefas_Test8_Run3/Plate 2/@18/F9_01.tif </t>
  </si>
  <si>
    <t xml:space="preserve"> 33958.9346 </t>
  </si>
  <si>
    <t xml:space="preserve"> 34.8331 </t>
  </si>
  <si>
    <t xml:space="preserve">C:\Users\andre\Desktop\REACTIV CEFAS\Dutasteride\Dutasteride/20201203_Cefas_Test8_Run3/Plate 2/@18/F9_02.tif </t>
  </si>
  <si>
    <t xml:space="preserve"> 45812.1168 </t>
  </si>
  <si>
    <t xml:space="preserve"> 42.1553 </t>
  </si>
  <si>
    <t xml:space="preserve">C:\Users\andre\Desktop\REACTIV CEFAS\Dutasteride\Dutasteride/20201203_Cefas_Test8_Run3/Plate 2/@18/F9_03.tif </t>
  </si>
  <si>
    <t xml:space="preserve"> 46785.4621 </t>
  </si>
  <si>
    <t xml:space="preserve"> 40.7286 </t>
  </si>
  <si>
    <t xml:space="preserve">C:\Users\andre\Desktop\REACTIV CEFAS\Dutasteride\Dutasteride/20201203_Cefas_Test8_Run3/Plate 2/@18/G9_01.tif </t>
  </si>
  <si>
    <t xml:space="preserve"> 62942.9934 </t>
  </si>
  <si>
    <t xml:space="preserve"> 45.6474 </t>
  </si>
  <si>
    <t xml:space="preserve">C:\Users\andre\Desktop\REACTIV CEFAS\Dutasteride\Dutasteride/20201203_Cefas_Test8_Run3/Plate 2/@18/G9_02.tif </t>
  </si>
  <si>
    <t xml:space="preserve"> 68956.1041 </t>
  </si>
  <si>
    <t xml:space="preserve"> 48.3425 </t>
  </si>
  <si>
    <t xml:space="preserve">C:\Users\andre\Desktop\REACTIV CEFAS\Dutasteride\Dutasteride/20201203_Cefas_Test8_Run3/Plate 2/@18/G9_03.tif </t>
  </si>
  <si>
    <t xml:space="preserve"> 69496.8514 </t>
  </si>
  <si>
    <t xml:space="preserve"> 48.8406 </t>
  </si>
  <si>
    <t xml:space="preserve">C:\Users\andre\Desktop\REACTIV CEFAS\Dutasteride\Dutasteride/20201203_Cefas_Test8_Run3/Plate 2/@18/H9_01.tif </t>
  </si>
  <si>
    <t xml:space="preserve"> 40793.9813 </t>
  </si>
  <si>
    <t xml:space="preserve"> 41.2163 </t>
  </si>
  <si>
    <t xml:space="preserve">C:\Users\andre\Desktop\REACTIV CEFAS\Dutasteride\Dutasteride/20201203_Cefas_Test8_Run3/Plate 2/@18/H9_02.tif </t>
  </si>
  <si>
    <t xml:space="preserve"> 45574.188 </t>
  </si>
  <si>
    <t xml:space="preserve"> 38.5885 </t>
  </si>
  <si>
    <t xml:space="preserve">C:\Users\andre\Desktop\REACTIV CEFAS\Dutasteride\Dutasteride/20201203_Cefas_Test8_Run3/Plate 2/@18/H9_03.tif </t>
  </si>
  <si>
    <t xml:space="preserve"> 37419.7177 </t>
  </si>
  <si>
    <t xml:space="preserve"> 42.9509 </t>
  </si>
  <si>
    <t xml:space="preserve">C:\Users\andre\Desktop\REACTIV CEFAS\Dutasteride\Dutasteride/20201203_Cefas_Test8_Run3/Plate 2/@18/ </t>
  </si>
  <si>
    <t xml:space="preserve"> 39.8444 </t>
  </si>
  <si>
    <t xml:space="preserve"> 5.1202 </t>
  </si>
  <si>
    <t xml:space="preserve"> 1782678.21 </t>
  </si>
  <si>
    <t xml:space="preserve"> 930809.374 </t>
  </si>
  <si>
    <t xml:space="preserve">C:\Users\andre\Desktop\REACTIV CEFAS\Dutasteride\Dutasteride/20201203_Cefas_Test8_Run3/Plate 2/@19/A10_01.tif </t>
  </si>
  <si>
    <t xml:space="preserve"> 27729.5249 </t>
  </si>
  <si>
    <t xml:space="preserve"> 35.6771 </t>
  </si>
  <si>
    <t xml:space="preserve">C:\Users\andre\Desktop\REACTIV CEFAS\Dutasteride\Dutasteride/20201203_Cefas_Test8_Run3/Plate 2/@19/A10_02.tif </t>
  </si>
  <si>
    <t xml:space="preserve"> 40383.0133 </t>
  </si>
  <si>
    <t xml:space="preserve"> 36.5554 </t>
  </si>
  <si>
    <t xml:space="preserve">C:\Users\andre\Desktop\REACTIV CEFAS\Dutasteride\Dutasteride/20201203_Cefas_Test8_Run3/Plate 2/@19/A10_03.tif </t>
  </si>
  <si>
    <t xml:space="preserve"> 36.3062 </t>
  </si>
  <si>
    <t xml:space="preserve">C:\Users\andre\Desktop\REACTIV CEFAS\Dutasteride\Dutasteride/20201203_Cefas_Test8_Run3/Plate 2/@19/B10_01.tif </t>
  </si>
  <si>
    <t xml:space="preserve"> 52928.3522 </t>
  </si>
  <si>
    <t xml:space="preserve"> 43.964 </t>
  </si>
  <si>
    <t xml:space="preserve">C:\Users\andre\Desktop\REACTIV CEFAS\Dutasteride\Dutasteride/20201203_Cefas_Test8_Run3/Plate 2/@19/B10_02.tif </t>
  </si>
  <si>
    <t xml:space="preserve"> 49532.4587 </t>
  </si>
  <si>
    <t xml:space="preserve"> 43.4371 </t>
  </si>
  <si>
    <t xml:space="preserve">C:\Users\andre\Desktop\REACTIV CEFAS\Dutasteride\Dutasteride/20201203_Cefas_Test8_Run3/Plate 2/@19/B10_03.tif </t>
  </si>
  <si>
    <t xml:space="preserve"> 45.3893 </t>
  </si>
  <si>
    <t xml:space="preserve">C:\Users\andre\Desktop\REACTIV CEFAS\Dutasteride\Dutasteride/20201203_Cefas_Test8_Run3/Plate 2/@19/C10_01.tif </t>
  </si>
  <si>
    <t xml:space="preserve"> 63007.8831 </t>
  </si>
  <si>
    <t xml:space="preserve"> 42.6038 </t>
  </si>
  <si>
    <t xml:space="preserve">C:\Users\andre\Desktop\REACTIV CEFAS\Dutasteride\Dutasteride/20201203_Cefas_Test8_Run3/Plate 2/@19/C10_02.tif </t>
  </si>
  <si>
    <t xml:space="preserve"> 62337.3563 </t>
  </si>
  <si>
    <t xml:space="preserve"> 42.5888 </t>
  </si>
  <si>
    <t xml:space="preserve">C:\Users\andre\Desktop\REACTIV CEFAS\Dutasteride\Dutasteride/20201203_Cefas_Test8_Run3/Plate 2/@19/C10_03.tif </t>
  </si>
  <si>
    <t xml:space="preserve"> 65949.5487 </t>
  </si>
  <si>
    <t xml:space="preserve"> 44.0092 </t>
  </si>
  <si>
    <t xml:space="preserve">C:\Users\andre\Desktop\REACTIV CEFAS\Dutasteride\Dutasteride/20201203_Cefas_Test8_Run3/Plate 2/@19/D10_01.tif </t>
  </si>
  <si>
    <t xml:space="preserve"> 53707.0284 </t>
  </si>
  <si>
    <t xml:space="preserve"> 39.948 </t>
  </si>
  <si>
    <t xml:space="preserve">C:\Users\andre\Desktop\REACTIV CEFAS\Dutasteride\Dutasteride/20201203_Cefas_Test8_Run3/Plate 2/@19/D10_02.tif </t>
  </si>
  <si>
    <t xml:space="preserve"> 42199.9244 </t>
  </si>
  <si>
    <t xml:space="preserve"> 36.9231 </t>
  </si>
  <si>
    <t xml:space="preserve">C:\Users\andre\Desktop\REACTIV CEFAS\Dutasteride\Dutasteride/20201203_Cefas_Test8_Run3/Plate 2/@19/D10_03.tif </t>
  </si>
  <si>
    <t xml:space="preserve"> 53252.8006 </t>
  </si>
  <si>
    <t xml:space="preserve"> 39.4695 </t>
  </si>
  <si>
    <t xml:space="preserve">C:\Users\andre\Desktop\REACTIV CEFAS\Dutasteride\Dutasteride/20201203_Cefas_Test8_Run3/Plate 2/@19/E10_01.tif </t>
  </si>
  <si>
    <t xml:space="preserve"> 47218.06 </t>
  </si>
  <si>
    <t xml:space="preserve"> 39.6486 </t>
  </si>
  <si>
    <t xml:space="preserve">C:\Users\andre\Desktop\REACTIV CEFAS\Dutasteride\Dutasteride/20201203_Cefas_Test8_Run3/Plate 2/@19/E10_02.tif </t>
  </si>
  <si>
    <t xml:space="preserve"> 38068.6145 </t>
  </si>
  <si>
    <t xml:space="preserve"> 41.4983 </t>
  </si>
  <si>
    <t xml:space="preserve">C:\Users\andre\Desktop\REACTIV CEFAS\Dutasteride\Dutasteride/20201203_Cefas_Test8_Run3/Plate 2/@19/E10_03.tif </t>
  </si>
  <si>
    <t xml:space="preserve"> 43800.5366 </t>
  </si>
  <si>
    <t xml:space="preserve"> 38.2548 </t>
  </si>
  <si>
    <t xml:space="preserve">C:\Users\andre\Desktop\REACTIV CEFAS\Dutasteride\Dutasteride/20201203_Cefas_Test8_Run3/Plate 2/@19/F10_01.tif </t>
  </si>
  <si>
    <t xml:space="preserve"> 50851.8823 </t>
  </si>
  <si>
    <t xml:space="preserve"> 45.6763 </t>
  </si>
  <si>
    <t xml:space="preserve">C:\Users\andre\Desktop\REACTIV CEFAS\Dutasteride\Dutasteride/20201203_Cefas_Test8_Run3/Plate 2/@19/F10_02.tif </t>
  </si>
  <si>
    <t xml:space="preserve"> 51695.4482 </t>
  </si>
  <si>
    <t xml:space="preserve"> 46.9904 </t>
  </si>
  <si>
    <t xml:space="preserve">C:\Users\andre\Desktop\REACTIV CEFAS\Dutasteride\Dutasteride/20201203_Cefas_Test8_Run3/Plate 2/@19/F10_03.tif </t>
  </si>
  <si>
    <t xml:space="preserve"> 43065.1202 </t>
  </si>
  <si>
    <t xml:space="preserve"> 41.9106 </t>
  </si>
  <si>
    <t xml:space="preserve">C:\Users\andre\Desktop\REACTIV CEFAS\Dutasteride\Dutasteride/20201203_Cefas_Test8_Run3/Plate 2/@19/G10_01.tif </t>
  </si>
  <si>
    <t xml:space="preserve"> 59741.769 </t>
  </si>
  <si>
    <t xml:space="preserve"> 37.5945 </t>
  </si>
  <si>
    <t xml:space="preserve">C:\Users\andre\Desktop\REACTIV CEFAS\Dutasteride\Dutasteride/20201203_Cefas_Test8_Run3/Plate 2/@19/G10_02.tif </t>
  </si>
  <si>
    <t xml:space="preserve"> 55286.0107 </t>
  </si>
  <si>
    <t xml:space="preserve"> 37.9605 </t>
  </si>
  <si>
    <t xml:space="preserve">C:\Users\andre\Desktop\REACTIV CEFAS\Dutasteride\Dutasteride/20201203_Cefas_Test8_Run3/Plate 2/@19/G10_03.tif </t>
  </si>
  <si>
    <t xml:space="preserve"> 62813.214 </t>
  </si>
  <si>
    <t xml:space="preserve"> 39.918 </t>
  </si>
  <si>
    <t xml:space="preserve">C:\Users\andre\Desktop\REACTIV CEFAS\Dutasteride\Dutasteride/20201203_Cefas_Test8_Run3/Plate 2/@19/H10_01.tif </t>
  </si>
  <si>
    <t xml:space="preserve"> 48991.7113 </t>
  </si>
  <si>
    <t xml:space="preserve"> 40.3925 </t>
  </si>
  <si>
    <t xml:space="preserve">C:\Users\andre\Desktop\REACTIV CEFAS\Dutasteride\Dutasteride/20201203_Cefas_Test8_Run3/Plate 2/@19/H10_02.tif </t>
  </si>
  <si>
    <t xml:space="preserve"> 38804.031 </t>
  </si>
  <si>
    <t xml:space="preserve"> 38.1399 </t>
  </si>
  <si>
    <t xml:space="preserve">C:\Users\andre\Desktop\REACTIV CEFAS\Dutasteride\Dutasteride/20201203_Cefas_Test8_Run3/Plate 2/@19/H10_03.tif </t>
  </si>
  <si>
    <t xml:space="preserve"> 51370.9997 </t>
  </si>
  <si>
    <t xml:space="preserve"> 39.8657 </t>
  </si>
  <si>
    <t xml:space="preserve">C:\Users\andre\Desktop\REACTIV CEFAS\Dutasteride\Dutasteride/20201203_Cefas_Test8_Run3/Plate 2/@19/ </t>
  </si>
  <si>
    <t xml:space="preserve"> 40.6134 </t>
  </si>
  <si>
    <t xml:space="preserve"> 3.195 </t>
  </si>
  <si>
    <t xml:space="preserve"> 2037882.17 </t>
  </si>
  <si>
    <t xml:space="preserve"> 504934.14 </t>
  </si>
  <si>
    <t xml:space="preserve">C:\Users\andre\Desktop\REACTIV CEFAS\Dutasteride\Dutasteride/20201203_Cefas_Test8_Run3/Plate 2/@20/A11_01.tif </t>
  </si>
  <si>
    <t xml:space="preserve"> 35883.9952 </t>
  </si>
  <si>
    <t xml:space="preserve"> 44.2309 </t>
  </si>
  <si>
    <t xml:space="preserve">C:\Users\andre\Desktop\REACTIV CEFAS\Dutasteride\Dutasteride/20201203_Cefas_Test8_Run3/Plate 2/@20/A11_02.tif </t>
  </si>
  <si>
    <t xml:space="preserve"> 35213.4685 </t>
  </si>
  <si>
    <t xml:space="preserve"> 43.3624 </t>
  </si>
  <si>
    <t xml:space="preserve">C:\Users\andre\Desktop\REACTIV CEFAS\Dutasteride\Dutasteride/20201203_Cefas_Test8_Run3/Plate 2/@20/A11_03.tif </t>
  </si>
  <si>
    <t xml:space="preserve"> 35905.6251 </t>
  </si>
  <si>
    <t xml:space="preserve"> 43.8048 </t>
  </si>
  <si>
    <t xml:space="preserve">C:\Users\andre\Desktop\REACTIV CEFAS\Dutasteride\Dutasteride/20201203_Cefas_Test8_Run3/Plate 2/@20/B11_01.tif </t>
  </si>
  <si>
    <t xml:space="preserve"> 76721.2362 </t>
  </si>
  <si>
    <t xml:space="preserve"> 47.0443 </t>
  </si>
  <si>
    <t xml:space="preserve">C:\Users\andre\Desktop\REACTIV CEFAS\Dutasteride\Dutasteride/20201203_Cefas_Test8_Run3/Plate 2/@20/B11_02.tif </t>
  </si>
  <si>
    <t xml:space="preserve"> 80398.3183 </t>
  </si>
  <si>
    <t xml:space="preserve"> 49.8819 </t>
  </si>
  <si>
    <t xml:space="preserve">C:\Users\andre\Desktop\REACTIV CEFAS\Dutasteride\Dutasteride/20201203_Cefas_Test8_Run3/Plate 2/@20/B11_03.tif </t>
  </si>
  <si>
    <t xml:space="preserve"> 72589.9264 </t>
  </si>
  <si>
    <t xml:space="preserve"> 46.7896 </t>
  </si>
  <si>
    <t xml:space="preserve">C:\Users\andre\Desktop\REACTIV CEFAS\Dutasteride\Dutasteride/20201203_Cefas_Test8_Run3/Plate 2/@20/C11_01.tif </t>
  </si>
  <si>
    <t xml:space="preserve"> 23295.3965 </t>
  </si>
  <si>
    <t xml:space="preserve"> 34.7279 </t>
  </si>
  <si>
    <t xml:space="preserve">C:\Users\andre\Desktop\REACTIV CEFAS\Dutasteride\Dutasteride/20201203_Cefas_Test8_Run3/Plate 2/@20/C11_02.tif </t>
  </si>
  <si>
    <t xml:space="preserve"> 26885.959 </t>
  </si>
  <si>
    <t xml:space="preserve"> 37.6766 </t>
  </si>
  <si>
    <t xml:space="preserve">C:\Users\andre\Desktop\REACTIV CEFAS\Dutasteride\Dutasteride/20201203_Cefas_Test8_Run3/Plate 2/@20/C11_03.tif </t>
  </si>
  <si>
    <t xml:space="preserve"> 22733.0193 </t>
  </si>
  <si>
    <t xml:space="preserve"> 35.1836 </t>
  </si>
  <si>
    <t xml:space="preserve">C:\Users\andre\Desktop\REACTIV CEFAS\Dutasteride\Dutasteride/20201203_Cefas_Test8_Run3/Plate 2/@20/D11_01.tif </t>
  </si>
  <si>
    <t xml:space="preserve"> 63916.3386 </t>
  </si>
  <si>
    <t xml:space="preserve"> 41.9882 </t>
  </si>
  <si>
    <t xml:space="preserve">C:\Users\andre\Desktop\REACTIV CEFAS\Dutasteride\Dutasteride/20201203_Cefas_Test8_Run3/Plate 2/@20/D11_02.tif </t>
  </si>
  <si>
    <t xml:space="preserve"> 71335.3925 </t>
  </si>
  <si>
    <t xml:space="preserve"> 45.3441 </t>
  </si>
  <si>
    <t xml:space="preserve">C:\Users\andre\Desktop\REACTIV CEFAS\Dutasteride\Dutasteride/20201203_Cefas_Test8_Run3/Plate 2/@20/D11_03.tif </t>
  </si>
  <si>
    <t xml:space="preserve"> 69886.1895 </t>
  </si>
  <si>
    <t xml:space="preserve"> 47.71 </t>
  </si>
  <si>
    <t xml:space="preserve">C:\Users\andre\Desktop\REACTIV CEFAS\Dutasteride\Dutasteride/20201203_Cefas_Test8_Run3/Plate 2/@20/E11_01.tif </t>
  </si>
  <si>
    <t xml:space="preserve"> 44.8669 </t>
  </si>
  <si>
    <t xml:space="preserve">C:\Users\andre\Desktop\REACTIV CEFAS\Dutasteride\Dutasteride/20201203_Cefas_Test8_Run3/Plate 2/@20/E11_02.tif </t>
  </si>
  <si>
    <t xml:space="preserve"> 69150.7731 </t>
  </si>
  <si>
    <t xml:space="preserve"> 41.7676 </t>
  </si>
  <si>
    <t xml:space="preserve">C:\Users\andre\Desktop\REACTIV CEFAS\Dutasteride\Dutasteride/20201203_Cefas_Test8_Run3/Plate 2/@20/E11_03.tif </t>
  </si>
  <si>
    <t xml:space="preserve"> 41.5224 </t>
  </si>
  <si>
    <t xml:space="preserve">C:\Users\andre\Desktop\REACTIV CEFAS\Dutasteride\Dutasteride/20201203_Cefas_Test8_Run3/Plate 2/@20/F11_01.tif </t>
  </si>
  <si>
    <t xml:space="preserve"> 10577.0185 </t>
  </si>
  <si>
    <t xml:space="preserve"> 34.7362 </t>
  </si>
  <si>
    <t>C:\Users\andre\Desktop\REACTIV CEFAS\Dutasteride\Dutasteride/20201203_Cefas_Test8_Run3/Plate 2/@20/F11_02- exclu.tif</t>
  </si>
  <si>
    <t xml:space="preserve">C:\Users\andre\Desktop\REACTIV CEFAS\Dutasteride\Dutasteride/20201203_Cefas_Test8_Run3/Plate 2/@20/F11_03.tif </t>
  </si>
  <si>
    <t xml:space="preserve"> 31644.5358 </t>
  </si>
  <si>
    <t xml:space="preserve"> 37.0677 </t>
  </si>
  <si>
    <t xml:space="preserve">C:\Users\andre\Desktop\REACTIV CEFAS\Dutasteride\Dutasteride/20201203_Cefas_Test8_Run3/Plate 2/@20/G11_01.tif </t>
  </si>
  <si>
    <t xml:space="preserve"> 47629.028 </t>
  </si>
  <si>
    <t xml:space="preserve"> 44.6113 </t>
  </si>
  <si>
    <t xml:space="preserve">C:\Users\andre\Desktop\REACTIV CEFAS\Dutasteride\Dutasteride/20201203_Cefas_Test8_Run3/Plate 2/@20/G11_02.tif </t>
  </si>
  <si>
    <t xml:space="preserve"> 52322.7151 </t>
  </si>
  <si>
    <t xml:space="preserve"> 45.9243 </t>
  </si>
  <si>
    <t xml:space="preserve">C:\Users\andre\Desktop\REACTIV CEFAS\Dutasteride\Dutasteride/20201203_Cefas_Test8_Run3/Plate 2/@20/G11_03.tif </t>
  </si>
  <si>
    <t xml:space="preserve"> 49.4421 </t>
  </si>
  <si>
    <t xml:space="preserve">C:\Users\andre\Desktop\REACTIV CEFAS\Dutasteride\Dutasteride/20201203_Cefas_Test8_Run3/Plate 2/@20/H11_01.tif </t>
  </si>
  <si>
    <t xml:space="preserve"> 46.0558 </t>
  </si>
  <si>
    <t>C:\Users\andre\Desktop\REACTIV CEFAS\Dutasteride\Dutasteride/20201203_Cefas_Test8_Run3/Plate 2/@20/H11_02- exclu.tif</t>
  </si>
  <si>
    <t>C:\Users\andre\Desktop\REACTIV CEFAS\Dutasteride\Dutasteride/20201203_Cefas_Test8_Run3/Plate 2/@20/H11_03- exclu.tif</t>
  </si>
  <si>
    <t xml:space="preserve">C:\Users\andre\Desktop\REACTIV CEFAS\Dutasteride\Dutasteride/20201203_Cefas_Test8_Run3/Plate 2/@20/ </t>
  </si>
  <si>
    <t xml:space="preserve"> 42.8794 </t>
  </si>
  <si>
    <t xml:space="preserve"> 4.9002 </t>
  </si>
  <si>
    <t xml:space="preserve"> 2219120.83 </t>
  </si>
  <si>
    <t xml:space="preserve">C:\Users\andre\Desktop\REACTIV CEFAS\Dutasteride\Dutasteride/20201203_Cefas_Test8_Run3/Plate 2/@21/A12_01.tif </t>
  </si>
  <si>
    <t xml:space="preserve"> 11009.6164 </t>
  </si>
  <si>
    <t xml:space="preserve"> 33.2711 </t>
  </si>
  <si>
    <t xml:space="preserve">C:\Users\andre\Desktop\REACTIV CEFAS\Dutasteride\Dutasteride/20201203_Cefas_Test8_Run3/Plate 2/@21/A12_02.tif </t>
  </si>
  <si>
    <t xml:space="preserve"> 35.6244 </t>
  </si>
  <si>
    <t xml:space="preserve">C:\Users\andre\Desktop\REACTIV CEFAS\Dutasteride\Dutasteride/20201203_Cefas_Test8_Run3/Plate 2/@21/A12_03.tif </t>
  </si>
  <si>
    <t xml:space="preserve"> 32.7407 </t>
  </si>
  <si>
    <t xml:space="preserve">C:\Users\andre\Desktop\REACTIV CEFAS\Dutasteride\Dutasteride/20201203_Cefas_Test8_Run3/Plate 2/@21/B12_01.tif </t>
  </si>
  <si>
    <t xml:space="preserve"> 23317.0264 </t>
  </si>
  <si>
    <t xml:space="preserve"> 35.0492 </t>
  </si>
  <si>
    <t xml:space="preserve">C:\Users\andre\Desktop\REACTIV CEFAS\Dutasteride\Dutasteride/20201203_Cefas_Test8_Run3/Plate 2/@21/B12_02.tif </t>
  </si>
  <si>
    <t xml:space="preserve"> 35148.5788 </t>
  </si>
  <si>
    <t xml:space="preserve"> 36.6671 </t>
  </si>
  <si>
    <t xml:space="preserve">C:\Users\andre\Desktop\REACTIV CEFAS\Dutasteride\Dutasteride/20201203_Cefas_Test8_Run3/Plate 2/@21/B12_03.tif </t>
  </si>
  <si>
    <t xml:space="preserve"> 30130.4432 </t>
  </si>
  <si>
    <t xml:space="preserve"> 38.9397 </t>
  </si>
  <si>
    <t xml:space="preserve">C:\Users\andre\Desktop\REACTIV CEFAS\Dutasteride\Dutasteride/20201203_Cefas_Test8_Run3/Plate 2/@21/C12_01.tif </t>
  </si>
  <si>
    <t xml:space="preserve"> 85784.1621 </t>
  </si>
  <si>
    <t xml:space="preserve"> 46.2108 </t>
  </si>
  <si>
    <t xml:space="preserve">C:\Users\andre\Desktop\REACTIV CEFAS\Dutasteride\Dutasteride/20201203_Cefas_Test8_Run3/Plate 2/@21/C12_02.tif </t>
  </si>
  <si>
    <t xml:space="preserve"> 85740.9023 </t>
  </si>
  <si>
    <t xml:space="preserve"> 44.8739 </t>
  </si>
  <si>
    <t xml:space="preserve">C:\Users\andre\Desktop\REACTIV CEFAS\Dutasteride\Dutasteride/20201203_Cefas_Test8_Run3/Plate 2/@21/C12_03.tif </t>
  </si>
  <si>
    <t xml:space="preserve"> 88012.0412 </t>
  </si>
  <si>
    <t xml:space="preserve"> 44.3047 </t>
  </si>
  <si>
    <t xml:space="preserve">C:\Users\andre\Desktop\REACTIV CEFAS\Dutasteride\Dutasteride/20201203_Cefas_Test8_Run3/Plate 2/@21/D12_01.tif </t>
  </si>
  <si>
    <t xml:space="preserve"> 32.5132 </t>
  </si>
  <si>
    <t xml:space="preserve">C:\Users\andre\Desktop\REACTIV CEFAS\Dutasteride\Dutasteride/20201203_Cefas_Test8_Run3/Plate 2/@21/D12_02.tif </t>
  </si>
  <si>
    <t xml:space="preserve"> 2552.3276 </t>
  </si>
  <si>
    <t xml:space="preserve"> 31.5508 </t>
  </si>
  <si>
    <t xml:space="preserve">C:\Users\andre\Desktop\REACTIV CEFAS\Dutasteride\Dutasteride/20201203_Cefas_Test8_Run3/Plate 2/@21/D12_03.tif </t>
  </si>
  <si>
    <t xml:space="preserve"> 31.1 </t>
  </si>
  <si>
    <t>C:\Users\andre\Desktop\REACTIV CEFAS\Dutasteride\Dutasteride/20201203_Cefas_Test8_Run3/Plate 2/@21/E12_01- exclu.tif</t>
  </si>
  <si>
    <t xml:space="preserve">C:\Users\andre\Desktop\REACTIV CEFAS\Dutasteride\Dutasteride/20201203_Cefas_Test8_Run3/Plate 2/@21/E12_02.tif </t>
  </si>
  <si>
    <t xml:space="preserve"> 39582.7072 </t>
  </si>
  <si>
    <t xml:space="preserve"> 34.3246 </t>
  </si>
  <si>
    <t xml:space="preserve">C:\Users\andre\Desktop\REACTIV CEFAS\Dutasteride\Dutasteride/20201203_Cefas_Test8_Run3/Plate 2/@21/E12_03.tif </t>
  </si>
  <si>
    <t xml:space="preserve"> 30411.6318 </t>
  </si>
  <si>
    <t xml:space="preserve"> 33.4908 </t>
  </si>
  <si>
    <t xml:space="preserve">C:\Users\andre\Desktop\REACTIV CEFAS\Dutasteride\Dutasteride/20201203_Cefas_Test8_Run3/Plate 2/@21/F12_01.tif </t>
  </si>
  <si>
    <t xml:space="preserve"> 34.386 </t>
  </si>
  <si>
    <t xml:space="preserve">C:\Users\andre\Desktop\REACTIV CEFAS\Dutasteride\Dutasteride/20201203_Cefas_Test8_Run3/Plate 2/@21/F12_02.tif </t>
  </si>
  <si>
    <t xml:space="preserve"> 33.5455 </t>
  </si>
  <si>
    <t xml:space="preserve">C:\Users\andre\Desktop\REACTIV CEFAS\Dutasteride\Dutasteride/20201203_Cefas_Test8_Run3/Plate 2/@21/F12_03.tif </t>
  </si>
  <si>
    <t xml:space="preserve">C:\Users\andre\Desktop\REACTIV CEFAS\Dutasteride\Dutasteride/20201203_Cefas_Test8_Run3/Plate 2/@21/G12_01.tif </t>
  </si>
  <si>
    <t xml:space="preserve"> 38717.5114 </t>
  </si>
  <si>
    <t xml:space="preserve"> 41.0391 </t>
  </si>
  <si>
    <t xml:space="preserve">C:\Users\andre\Desktop\REACTIV CEFAS\Dutasteride\Dutasteride/20201203_Cefas_Test8_Run3/Plate 2/@21/G12_02.tif </t>
  </si>
  <si>
    <t xml:space="preserve"> 43649.1274 </t>
  </si>
  <si>
    <t xml:space="preserve"> 41.4916 </t>
  </si>
  <si>
    <t xml:space="preserve">C:\Users\andre\Desktop\REACTIV CEFAS\Dutasteride\Dutasteride/20201203_Cefas_Test8_Run3/Plate 2/@21/G12_03.tif </t>
  </si>
  <si>
    <t xml:space="preserve"> 40.3563 </t>
  </si>
  <si>
    <t xml:space="preserve">C:\Users\andre\Desktop\REACTIV CEFAS\Dutasteride\Dutasteride/20201203_Cefas_Test8_Run3/Plate 2/@21/H12_01.tif </t>
  </si>
  <si>
    <t xml:space="preserve"> 42.0873 </t>
  </si>
  <si>
    <t xml:space="preserve">C:\Users\andre\Desktop\REACTIV CEFAS\Dutasteride\Dutasteride/20201203_Cefas_Test8_Run3/Plate 2/@21/H12_02.tif </t>
  </si>
  <si>
    <t xml:space="preserve"> 38.3695 </t>
  </si>
  <si>
    <t xml:space="preserve">C:\Users\andre\Desktop\REACTIV CEFAS\Dutasteride\Dutasteride/20201203_Cefas_Test8_Run3/Plate 2/@21/H12_03.tif </t>
  </si>
  <si>
    <t xml:space="preserve"> 38.7356 </t>
  </si>
  <si>
    <t xml:space="preserve">C:\Users\andre\Desktop\REACTIV CEFAS\Dutasteride\Dutasteride/20201203_Cefas_Test8_Run3/Plate 2/@21/ </t>
  </si>
  <si>
    <t xml:space="preserve"> 35.6436 </t>
  </si>
  <si>
    <t xml:space="preserve"> 8.7799 </t>
  </si>
  <si>
    <t xml:space="preserve"> 1319190.08 </t>
  </si>
  <si>
    <t xml:space="preserve"> 1256809.52 </t>
  </si>
  <si>
    <t xml:space="preserve">C:\Users\andre\Desktop\REACTIV CEFAS\Dutasteride\Dutasteride/20201203_Cefas_Test8_Run3/Plate 2/@8/A2_01.tif </t>
  </si>
  <si>
    <t xml:space="preserve"> 33.9651 </t>
  </si>
  <si>
    <t xml:space="preserve">C:\Users\andre\Desktop\REACTIV CEFAS\Dutasteride\Dutasteride/20201203_Cefas_Test8_Run3/Plate 2/@8/A2_02.tif </t>
  </si>
  <si>
    <t xml:space="preserve"> 33.7257 </t>
  </si>
  <si>
    <t xml:space="preserve">C:\Users\andre\Desktop\REACTIV CEFAS\Dutasteride\Dutasteride/20201203_Cefas_Test8_Run3/Plate 2/@8/A2_03.tif </t>
  </si>
  <si>
    <t xml:space="preserve"> 33.4028 </t>
  </si>
  <si>
    <t xml:space="preserve">C:\Users\andre\Desktop\REACTIV CEFAS\Dutasteride\Dutasteride/20201203_Cefas_Test8_Run3/Plate 2/@8/B2_01.tif </t>
  </si>
  <si>
    <t xml:space="preserve"> 10360.7195 </t>
  </si>
  <si>
    <t xml:space="preserve"> 37.9353 </t>
  </si>
  <si>
    <t xml:space="preserve">C:\Users\andre\Desktop\REACTIV CEFAS\Dutasteride\Dutasteride/20201203_Cefas_Test8_Run3/Plate 2/@8/B2_02.tif </t>
  </si>
  <si>
    <t xml:space="preserve"> 41.2284 </t>
  </si>
  <si>
    <t xml:space="preserve">C:\Users\andre\Desktop\REACTIV CEFAS\Dutasteride\Dutasteride/20201203_Cefas_Test8_Run3/Plate 2/@8/B2_03.tif </t>
  </si>
  <si>
    <t xml:space="preserve"> 32.0667 </t>
  </si>
  <si>
    <t xml:space="preserve">C:\Users\andre\Desktop\REACTIV CEFAS\Dutasteride\Dutasteride/20201203_Cefas_Test8_Run3/Plate 2/@8/C2_01.tif </t>
  </si>
  <si>
    <t xml:space="preserve"> 32.5625 </t>
  </si>
  <si>
    <t xml:space="preserve">C:\Users\andre\Desktop\REACTIV CEFAS\Dutasteride\Dutasteride/20201203_Cefas_Test8_Run3/Plate 2/@8/C2_02.tif </t>
  </si>
  <si>
    <t xml:space="preserve"> 30.2857 </t>
  </si>
  <si>
    <t xml:space="preserve">C:\Users\andre\Desktop\REACTIV CEFAS\Dutasteride\Dutasteride/20201203_Cefas_Test8_Run3/Plate 2/@8/C2_03.tif </t>
  </si>
  <si>
    <t xml:space="preserve"> 32.5385 </t>
  </si>
  <si>
    <t xml:space="preserve">C:\Users\andre\Desktop\REACTIV CEFAS\Dutasteride\Dutasteride/20201203_Cefas_Test8_Run3/Plate 2/@8/D2_01.tif </t>
  </si>
  <si>
    <t xml:space="preserve"> 35.7986 </t>
  </si>
  <si>
    <t xml:space="preserve">C:\Users\andre\Desktop\REACTIV CEFAS\Dutasteride\Dutasteride/20201203_Cefas_Test8_Run3/Plate 2/@8/D2_02.tif </t>
  </si>
  <si>
    <t xml:space="preserve"> 14470.3995 </t>
  </si>
  <si>
    <t xml:space="preserve"> 39.8191 </t>
  </si>
  <si>
    <t>C:\Users\andre\Desktop\REACTIV CEFAS\Dutasteride\Dutasteride/20201203_Cefas_Test8_Run3/Plate 2/@8/D2_03- exclu.tif</t>
  </si>
  <si>
    <t xml:space="preserve">C:\Users\andre\Desktop\REACTIV CEFAS\Dutasteride\Dutasteride/20201203_Cefas_Test8_Run3/Plate 2/@8/E2_01.tif </t>
  </si>
  <si>
    <t xml:space="preserve">C:\Users\andre\Desktop\REACTIV CEFAS\Dutasteride\Dutasteride/20201203_Cefas_Test8_Run3/Plate 2/@8/E2_02.tif </t>
  </si>
  <si>
    <t xml:space="preserve"> 38.5445 </t>
  </si>
  <si>
    <t xml:space="preserve">C:\Users\andre\Desktop\REACTIV CEFAS\Dutasteride\Dutasteride/20201203_Cefas_Test8_Run3/Plate 2/@8/E2_03.tif </t>
  </si>
  <si>
    <t xml:space="preserve"> 36.5939 </t>
  </si>
  <si>
    <t xml:space="preserve">C:\Users\andre\Desktop\REACTIV CEFAS\Dutasteride\Dutasteride/20201203_Cefas_Test8_Run3/Plate 2/@8/F2_01.tif </t>
  </si>
  <si>
    <t xml:space="preserve"> 5104.6551 </t>
  </si>
  <si>
    <t xml:space="preserve"> 37.4788 </t>
  </si>
  <si>
    <t xml:space="preserve">C:\Users\andre\Desktop\REACTIV CEFAS\Dutasteride\Dutasteride/20201203_Cefas_Test8_Run3/Plate 2/@8/F2_02.tif </t>
  </si>
  <si>
    <t xml:space="preserve"> 46.3513 </t>
  </si>
  <si>
    <t xml:space="preserve">C:\Users\andre\Desktop\REACTIV CEFAS\Dutasteride\Dutasteride/20201203_Cefas_Test8_Run3/Plate 2/@8/F2_03.tif </t>
  </si>
  <si>
    <t xml:space="preserve"> 38.9078 </t>
  </si>
  <si>
    <t xml:space="preserve">C:\Users\andre\Desktop\REACTIV CEFAS\Dutasteride\Dutasteride/20201203_Cefas_Test8_Run3/Plate 2/@8/G2_01.tif </t>
  </si>
  <si>
    <t xml:space="preserve"> 9149.4454 </t>
  </si>
  <si>
    <t xml:space="preserve"> 44.5012 </t>
  </si>
  <si>
    <t xml:space="preserve">C:\Users\andre\Desktop\REACTIV CEFAS\Dutasteride\Dutasteride/20201203_Cefas_Test8_Run3/Plate 2/@8/G2_02.tif </t>
  </si>
  <si>
    <t xml:space="preserve"> 8046.3208 </t>
  </si>
  <si>
    <t xml:space="preserve"> 43.2339 </t>
  </si>
  <si>
    <t xml:space="preserve">C:\Users\andre\Desktop\REACTIV CEFAS\Dutasteride\Dutasteride/20201203_Cefas_Test8_Run3/Plate 2/@8/G2_03.tif </t>
  </si>
  <si>
    <t xml:space="preserve"> 11269.1751 </t>
  </si>
  <si>
    <t xml:space="preserve"> 46.4395 </t>
  </si>
  <si>
    <t xml:space="preserve">C:\Users\andre\Desktop\REACTIV CEFAS\Dutasteride\Dutasteride/20201203_Cefas_Test8_Run3/Plate 2/@8/H2_01.tif </t>
  </si>
  <si>
    <t xml:space="preserve"> 1665.5019 </t>
  </si>
  <si>
    <t xml:space="preserve"> 32.3117 </t>
  </si>
  <si>
    <t xml:space="preserve">C:\Users\andre\Desktop\REACTIV CEFAS\Dutasteride\Dutasteride/20201203_Cefas_Test8_Run3/Plate 2/@8/H2_02.tif </t>
  </si>
  <si>
    <t xml:space="preserve"> 32.1875 </t>
  </si>
  <si>
    <t xml:space="preserve">C:\Users\andre\Desktop\REACTIV CEFAS\Dutasteride\Dutasteride/20201203_Cefas_Test8_Run3/Plate 2/@8/H2_03.tif </t>
  </si>
  <si>
    <t xml:space="preserve"> 1297.7937 </t>
  </si>
  <si>
    <t xml:space="preserve"> 33.6 </t>
  </si>
  <si>
    <t xml:space="preserve">C:\Users\andre\Desktop\REACTIV CEFAS\Dutasteride\Dutasteride/20201203_Cefas_Test8_Run3/Plate 2/@8/ </t>
  </si>
  <si>
    <t xml:space="preserve"> 35.7683 </t>
  </si>
  <si>
    <t xml:space="preserve"> 9.0908 </t>
  </si>
  <si>
    <t xml:space="preserve"> 221678.5 </t>
  </si>
  <si>
    <t xml:space="preserve"> 193798.676 </t>
  </si>
  <si>
    <t xml:space="preserve">C:\Users\andre\Desktop\REACTIV CEFAS\Dutasteride\Dutasteride/20201203_Cefas_Test8_Run3/Plate 2/@9/A3_01.tif </t>
  </si>
  <si>
    <t xml:space="preserve"> 38.6865 </t>
  </si>
  <si>
    <t xml:space="preserve">C:\Users\andre\Desktop\REACTIV CEFAS\Dutasteride\Dutasteride/20201203_Cefas_Test8_Run3/Plate 2/@9/A3_02.tif </t>
  </si>
  <si>
    <t xml:space="preserve"> 40.1131 </t>
  </si>
  <si>
    <t>C:\Users\andre\Desktop\REACTIV CEFAS\Dutasteride\Dutasteride/20201203_Cefas_Test8_Run3/Plate 2/@9/A3_03- exclu.tif</t>
  </si>
  <si>
    <t xml:space="preserve">C:\Users\andre\Desktop\REACTIV CEFAS\Dutasteride\Dutasteride/20201203_Cefas_Test8_Run3/Plate 2/@9/B3_01.tif </t>
  </si>
  <si>
    <t xml:space="preserve"> 3893.381 </t>
  </si>
  <si>
    <t xml:space="preserve"> 32.5222 </t>
  </si>
  <si>
    <t>C:\Users\andre\Desktop\REACTIV CEFAS\Dutasteride\Dutasteride/20201203_Cefas_Test8_Run3/Plate 2/@9/B3_02- exclu.tif</t>
  </si>
  <si>
    <t>C:\Users\andre\Desktop\REACTIV CEFAS\Dutasteride\Dutasteride/20201203_Cefas_Test8_Run3/Plate 2/@9/B3_03- exclu.tif</t>
  </si>
  <si>
    <t xml:space="preserve">C:\Users\andre\Desktop\REACTIV CEFAS\Dutasteride\Dutasteride/20201203_Cefas_Test8_Run3/Plate 2/@9/C3_01.tif </t>
  </si>
  <si>
    <t xml:space="preserve"> 8024.6909 </t>
  </si>
  <si>
    <t xml:space="preserve"> 37.9865 </t>
  </si>
  <si>
    <t xml:space="preserve">C:\Users\andre\Desktop\REACTIV CEFAS\Dutasteride\Dutasteride/20201203_Cefas_Test8_Run3/Plate 2/@9/C3_02.tif </t>
  </si>
  <si>
    <t xml:space="preserve"> 8824.997 </t>
  </si>
  <si>
    <t xml:space="preserve"> 37.7721 </t>
  </si>
  <si>
    <t xml:space="preserve">C:\Users\andre\Desktop\REACTIV CEFAS\Dutasteride\Dutasteride/20201203_Cefas_Test8_Run3/Plate 2/@9/C3_03.tif </t>
  </si>
  <si>
    <t xml:space="preserve"> 8738.4774 </t>
  </si>
  <si>
    <t xml:space="preserve"> 35.7376 </t>
  </si>
  <si>
    <t xml:space="preserve">C:\Users\andre\Desktop\REACTIV CEFAS\Dutasteride\Dutasteride/20201203_Cefas_Test8_Run3/Plate 2/@9/D3_01.tif </t>
  </si>
  <si>
    <t xml:space="preserve">C:\Users\andre\Desktop\REACTIV CEFAS\Dutasteride\Dutasteride/20201203_Cefas_Test8_Run3/Plate 2/@9/D3_02.tif </t>
  </si>
  <si>
    <t xml:space="preserve"> 11507.1039 </t>
  </si>
  <si>
    <t xml:space="preserve"> 44.6353 </t>
  </si>
  <si>
    <t xml:space="preserve">C:\Users\andre\Desktop\REACTIV CEFAS\Dutasteride\Dutasteride/20201203_Cefas_Test8_Run3/Plate 2/@9/D3_03.tif </t>
  </si>
  <si>
    <t xml:space="preserve"> 8803.3671 </t>
  </si>
  <si>
    <t xml:space="preserve"> 41.2506 </t>
  </si>
  <si>
    <t xml:space="preserve">C:\Users\andre\Desktop\REACTIV CEFAS\Dutasteride\Dutasteride/20201203_Cefas_Test8_Run3/Plate 2/@9/E3_01.tif </t>
  </si>
  <si>
    <t xml:space="preserve"> 36.7264 </t>
  </si>
  <si>
    <t xml:space="preserve">C:\Users\andre\Desktop\REACTIV CEFAS\Dutasteride\Dutasteride/20201203_Cefas_Test8_Run3/Plate 2/@9/E3_02.tif </t>
  </si>
  <si>
    <t xml:space="preserve"> 36.8199 </t>
  </si>
  <si>
    <t xml:space="preserve">C:\Users\andre\Desktop\REACTIV CEFAS\Dutasteride\Dutasteride/20201203_Cefas_Test8_Run3/Plate 2/@9/E3_03.tif </t>
  </si>
  <si>
    <t xml:space="preserve"> 37.0774 </t>
  </si>
  <si>
    <t xml:space="preserve">C:\Users\andre\Desktop\REACTIV CEFAS\Dutasteride\Dutasteride/20201203_Cefas_Test8_Run3/Plate 2/@9/F3_01.tif </t>
  </si>
  <si>
    <t xml:space="preserve">C:\Users\andre\Desktop\REACTIV CEFAS\Dutasteride\Dutasteride/20201203_Cefas_Test8_Run3/Plate 2/@9/F3_02.tif </t>
  </si>
  <si>
    <t xml:space="preserve">C:\Users\andre\Desktop\REACTIV CEFAS\Dutasteride\Dutasteride/20201203_Cefas_Test8_Run3/Plate 2/@9/F3_03.tif </t>
  </si>
  <si>
    <t xml:space="preserve">C:\Users\andre\Desktop\REACTIV CEFAS\Dutasteride\Dutasteride/20201203_Cefas_Test8_Run3/Plate 2/@9/G3_01.tif </t>
  </si>
  <si>
    <t xml:space="preserve"> 35.0542 </t>
  </si>
  <si>
    <t xml:space="preserve">C:\Users\andre\Desktop\REACTIV CEFAS\Dutasteride\Dutasteride/20201203_Cefas_Test8_Run3/Plate 2/@9/G3_02.tif </t>
  </si>
  <si>
    <t xml:space="preserve"> 6099.6303 </t>
  </si>
  <si>
    <t xml:space="preserve"> 38.3121 </t>
  </si>
  <si>
    <t xml:space="preserve">C:\Users\andre\Desktop\REACTIV CEFAS\Dutasteride\Dutasteride/20201203_Cefas_Test8_Run3/Plate 2/@9/G3_03.tif </t>
  </si>
  <si>
    <t xml:space="preserve"> 37.4301 </t>
  </si>
  <si>
    <t xml:space="preserve">C:\Users\andre\Desktop\REACTIV CEFAS\Dutasteride\Dutasteride/20201203_Cefas_Test8_Run3/Plate 2/@9/H3_01.tif </t>
  </si>
  <si>
    <t xml:space="preserve">C:\Users\andre\Desktop\REACTIV CEFAS\Dutasteride\Dutasteride/20201203_Cefas_Test8_Run3/Plate 2/@9/H3_02.tif </t>
  </si>
  <si>
    <t xml:space="preserve"> 670.5267 </t>
  </si>
  <si>
    <t xml:space="preserve"> 31.7742 </t>
  </si>
  <si>
    <t xml:space="preserve">C:\Users\andre\Desktop\REACTIV CEFAS\Dutasteride\Dutasteride/20201203_Cefas_Test8_Run3/Plate 2/@9/H3_03.tif </t>
  </si>
  <si>
    <t xml:space="preserve"> 33.8056 </t>
  </si>
  <si>
    <t xml:space="preserve">C:\Users\andre\Desktop\REACTIV CEFAS\Dutasteride\Dutasteride/20201203_Cefas_Test8_Run3/Plate 2/@9/ </t>
  </si>
  <si>
    <t xml:space="preserve"> 31.344 </t>
  </si>
  <si>
    <t xml:space="preserve"> 14.7386 </t>
  </si>
  <si>
    <t xml:space="preserve"> 245669.5 </t>
  </si>
  <si>
    <t xml:space="preserve"> 239316.792 </t>
  </si>
  <si>
    <t>DUS-10µg/L</t>
  </si>
  <si>
    <t>Chemical</t>
  </si>
  <si>
    <t>DUS</t>
  </si>
  <si>
    <t>DUS-100µg/L</t>
  </si>
  <si>
    <t>DUS-250µg/L</t>
  </si>
  <si>
    <t>DUS-500µg/L</t>
  </si>
  <si>
    <t>DUS-1000µg/L</t>
  </si>
  <si>
    <t>ns</t>
  </si>
  <si>
    <t>&gt;0,99</t>
  </si>
  <si>
    <t>***</t>
  </si>
  <si>
    <t>&lt;0,001</t>
  </si>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</sst>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40">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7" borderId="16" xfId="0" applyFill="1" applyBorder="1" applyAlignment="1">
      <alignment horizontal="center"/>
    </xf>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164" fontId="0" fillId="7" borderId="3" xfId="0" applyNumberFormat="1" applyFill="1" applyBorder="1" applyAlignment="1">
      <alignment horizontal="center"/>
    </xf>
    <xf numFmtId="164" fontId="0" fillId="7" borderId="17"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0" fillId="2" borderId="0" xfId="0" applyNumberFormat="1" applyFill="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0" fontId="7" fillId="12" borderId="5"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164" fontId="7" fillId="12" borderId="5"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4">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rgb="FFFFFF00"/>
        </patternFill>
      </fill>
    </dxf>
    <dxf>
      <fill>
        <patternFill patternType="solid">
          <bgColor rgb="FFFFFF00"/>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0.xml"/><Relationship Id="rId18" Type="http://schemas.openxmlformats.org/officeDocument/2006/relationships/worksheet" Target="worksheets/sheet14.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6.xml"/><Relationship Id="rId12" Type="http://schemas.openxmlformats.org/officeDocument/2006/relationships/chartsheet" Target="chartsheets/sheet3.xml"/><Relationship Id="rId17" Type="http://schemas.openxmlformats.org/officeDocument/2006/relationships/worksheet" Target="worksheets/sheet13.xml"/><Relationship Id="rId25"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chartsheet" Target="chartsheets/sheet1.xml"/><Relationship Id="rId11" Type="http://schemas.openxmlformats.org/officeDocument/2006/relationships/worksheet" Target="worksheets/sheet9.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1.xml"/><Relationship Id="rId23" Type="http://schemas.openxmlformats.org/officeDocument/2006/relationships/pivotCacheDefinition" Target="pivotCache/pivotCacheDefinition2.xml"/><Relationship Id="rId28" Type="http://schemas.openxmlformats.org/officeDocument/2006/relationships/sharedStrings" Target="sharedStrings.xml"/><Relationship Id="rId10" Type="http://schemas.openxmlformats.org/officeDocument/2006/relationships/worksheet" Target="worksheets/sheet8.xml"/><Relationship Id="rId19" Type="http://schemas.openxmlformats.org/officeDocument/2006/relationships/worksheet" Target="worksheets/sheet15.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hartsheet" Target="chartsheets/sheet4.xml"/><Relationship Id="rId22" Type="http://schemas.openxmlformats.org/officeDocument/2006/relationships/pivotCacheDefinition" Target="pivotCache/pivotCacheDefinition1.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'R1'!$N$48:$AK$48</c:f>
                <c:numCache>
                  <c:formatCode>General</c:formatCode>
                  <c:ptCount val="24"/>
                  <c:pt idx="0">
                    <c:v>0</c:v>
                  </c:pt>
                  <c:pt idx="1">
                    <c:v>0.13366220102735191</c:v>
                  </c:pt>
                  <c:pt idx="2">
                    <c:v>0.20001354212138434</c:v>
                  </c:pt>
                  <c:pt idx="3">
                    <c:v>1.4438534133077505E-2</c:v>
                  </c:pt>
                  <c:pt idx="4">
                    <c:v>0.16549515318589741</c:v>
                  </c:pt>
                  <c:pt idx="5">
                    <c:v>0.29378629434496623</c:v>
                  </c:pt>
                  <c:pt idx="6">
                    <c:v>0.13227972997733567</c:v>
                  </c:pt>
                  <c:pt idx="7">
                    <c:v>0.31032872558714425</c:v>
                  </c:pt>
                  <c:pt idx="8">
                    <c:v>0.24479247495431244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plus>
            <c:minus>
              <c:numRef>
                <c:f>'R1'!$N$48:$AK$48</c:f>
                <c:numCache>
                  <c:formatCode>General</c:formatCode>
                  <c:ptCount val="24"/>
                  <c:pt idx="0">
                    <c:v>0</c:v>
                  </c:pt>
                  <c:pt idx="1">
                    <c:v>0.13366220102735191</c:v>
                  </c:pt>
                  <c:pt idx="2">
                    <c:v>0.20001354212138434</c:v>
                  </c:pt>
                  <c:pt idx="3">
                    <c:v>1.4438534133077505E-2</c:v>
                  </c:pt>
                  <c:pt idx="4">
                    <c:v>0.16549515318589741</c:v>
                  </c:pt>
                  <c:pt idx="5">
                    <c:v>0.29378629434496623</c:v>
                  </c:pt>
                  <c:pt idx="6">
                    <c:v>0.13227972997733567</c:v>
                  </c:pt>
                  <c:pt idx="7">
                    <c:v>0.31032872558714425</c:v>
                  </c:pt>
                  <c:pt idx="8">
                    <c:v>0.24479247495431244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'R1'!$B$52:$AK$52</c:f>
              <c:strCache>
                <c:ptCount val="36"/>
                <c:pt idx="0">
                  <c:v>Témoin solvant</c:v>
                </c:pt>
                <c:pt idx="1">
                  <c:v>EE2-33.8ng/L</c:v>
                </c:pt>
                <c:pt idx="2">
                  <c:v>EE2-50.6ng/L</c:v>
                </c:pt>
                <c:pt idx="3">
                  <c:v>EE2-76ng/L</c:v>
                </c:pt>
                <c:pt idx="4">
                  <c:v>EE2-114ng/L</c:v>
                </c:pt>
                <c:pt idx="5">
                  <c:v>EE2-170.9ng/L</c:v>
                </c:pt>
                <c:pt idx="6">
                  <c:v>EE2-488ng/L</c:v>
                </c:pt>
                <c:pt idx="7">
                  <c:v>DUS-10µg/L</c:v>
                </c:pt>
                <c:pt idx="8">
                  <c:v>DUS-100µg/L</c:v>
                </c:pt>
                <c:pt idx="9">
                  <c:v>DUS-250µg/L</c:v>
                </c:pt>
                <c:pt idx="10">
                  <c:v>DUS-500µg/L</c:v>
                </c:pt>
                <c:pt idx="11">
                  <c:v>DUS-1000µg/L</c:v>
                </c:pt>
                <c:pt idx="13">
                  <c:v>Testo -30µg/L</c:v>
                </c:pt>
                <c:pt idx="14">
                  <c:v>Testo 30µg/L + EE2 -64ng/L</c:v>
                </c:pt>
                <c:pt idx="15">
                  <c:v>Testo 30µg/L + FAD-10mg/L</c:v>
                </c:pt>
                <c:pt idx="16">
                  <c:v>DUS-10µg/L + Testostérone</c:v>
                </c:pt>
                <c:pt idx="17">
                  <c:v>DUS-100µg/L + Testostérone</c:v>
                </c:pt>
                <c:pt idx="18">
                  <c:v>DUS-250µg/L + Testostérone</c:v>
                </c:pt>
                <c:pt idx="19">
                  <c:v>DUS-500µg/L + Testostérone</c:v>
                </c:pt>
                <c:pt idx="20">
                  <c:v>DUS-1000µg/L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'R1'!$B$53:$AK$53</c:f>
              <c:numCache>
                <c:formatCode>0.0000</c:formatCode>
                <c:ptCount val="36"/>
                <c:pt idx="0">
                  <c:v>7.6675848253166937E-2</c:v>
                </c:pt>
                <c:pt idx="1">
                  <c:v>9.8393945143188208E-2</c:v>
                </c:pt>
                <c:pt idx="2">
                  <c:v>0.16751845425361739</c:v>
                </c:pt>
                <c:pt idx="3">
                  <c:v>0.31475276015862169</c:v>
                </c:pt>
                <c:pt idx="4">
                  <c:v>1.1509423352134527</c:v>
                </c:pt>
                <c:pt idx="5">
                  <c:v>1.7963518635179823</c:v>
                </c:pt>
                <c:pt idx="6">
                  <c:v>2.2282526120369388</c:v>
                </c:pt>
                <c:pt idx="7">
                  <c:v>0.11691255832324778</c:v>
                </c:pt>
                <c:pt idx="8">
                  <c:v>0.10509131196885592</c:v>
                </c:pt>
                <c:pt idx="9">
                  <c:v>0.14272072381420339</c:v>
                </c:pt>
                <c:pt idx="10">
                  <c:v>8.5071203039595603E-2</c:v>
                </c:pt>
                <c:pt idx="11">
                  <c:v>0.10062144832628871</c:v>
                </c:pt>
                <c:pt idx="13">
                  <c:v>1.0000000000000002</c:v>
                </c:pt>
                <c:pt idx="14">
                  <c:v>2.1101116787081371</c:v>
                </c:pt>
                <c:pt idx="15">
                  <c:v>7.2391818855594661E-2</c:v>
                </c:pt>
                <c:pt idx="16">
                  <c:v>0.78277479206106149</c:v>
                </c:pt>
                <c:pt idx="17">
                  <c:v>1.2663110261601562</c:v>
                </c:pt>
                <c:pt idx="18">
                  <c:v>1.437201500836004</c:v>
                </c:pt>
                <c:pt idx="19">
                  <c:v>0.87095176407273844</c:v>
                </c:pt>
                <c:pt idx="20">
                  <c:v>1.4622098929890632</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'R2'!$B$54:$X$54</c:f>
                <c:numCache>
                  <c:formatCode>General</c:formatCode>
                  <c:ptCount val="23"/>
                  <c:pt idx="0">
                    <c:v>3.4277954043025673E-2</c:v>
                  </c:pt>
                  <c:pt idx="1">
                    <c:v>6.7648670219763521E-2</c:v>
                  </c:pt>
                  <c:pt idx="2">
                    <c:v>4.5270197759403663E-2</c:v>
                  </c:pt>
                  <c:pt idx="3">
                    <c:v>0.25167651496978949</c:v>
                  </c:pt>
                  <c:pt idx="4">
                    <c:v>0.15579820353462792</c:v>
                  </c:pt>
                  <c:pt idx="5">
                    <c:v>0.24706222600268796</c:v>
                  </c:pt>
                  <c:pt idx="6">
                    <c:v>0.27390983926929147</c:v>
                  </c:pt>
                  <c:pt idx="7">
                    <c:v>2.9796399361503991E-2</c:v>
                  </c:pt>
                  <c:pt idx="8">
                    <c:v>3.04898392272938E-2</c:v>
                  </c:pt>
                  <c:pt idx="9">
                    <c:v>4.2435715319902832E-2</c:v>
                  </c:pt>
                  <c:pt idx="10">
                    <c:v>3.2421175918087686E-2</c:v>
                  </c:pt>
                  <c:pt idx="11">
                    <c:v>0.28185997212978803</c:v>
                  </c:pt>
                  <c:pt idx="13">
                    <c:v>0.17317009309945733</c:v>
                  </c:pt>
                  <c:pt idx="14">
                    <c:v>0.42700887765145767</c:v>
                  </c:pt>
                  <c:pt idx="15">
                    <c:v>4.8629271413561027E-2</c:v>
                  </c:pt>
                  <c:pt idx="16">
                    <c:v>0.30768771403913492</c:v>
                  </c:pt>
                  <c:pt idx="17">
                    <c:v>0.30379507396735855</c:v>
                  </c:pt>
                  <c:pt idx="18">
                    <c:v>0.41482450493761014</c:v>
                  </c:pt>
                  <c:pt idx="19">
                    <c:v>0.30700276485929245</c:v>
                  </c:pt>
                  <c:pt idx="20">
                    <c:v>0.23808593436088762</c:v>
                  </c:pt>
                  <c:pt idx="21">
                    <c:v>0</c:v>
                  </c:pt>
                  <c:pt idx="22">
                    <c:v>0</c:v>
                  </c:pt>
                </c:numCache>
              </c:numRef>
            </c:plus>
            <c:minus>
              <c:numRef>
                <c:f>'R1'!$N$48:$AK$48</c:f>
                <c:numCache>
                  <c:formatCode>General</c:formatCode>
                  <c:ptCount val="24"/>
                  <c:pt idx="0">
                    <c:v>0</c:v>
                  </c:pt>
                  <c:pt idx="1">
                    <c:v>0.13366220102735191</c:v>
                  </c:pt>
                  <c:pt idx="2">
                    <c:v>0.20001354212138434</c:v>
                  </c:pt>
                  <c:pt idx="3">
                    <c:v>1.4438534133077505E-2</c:v>
                  </c:pt>
                  <c:pt idx="4">
                    <c:v>0.16549515318589741</c:v>
                  </c:pt>
                  <c:pt idx="5">
                    <c:v>0.29378629434496623</c:v>
                  </c:pt>
                  <c:pt idx="6">
                    <c:v>0.13227972997733567</c:v>
                  </c:pt>
                  <c:pt idx="7">
                    <c:v>0.31032872558714425</c:v>
                  </c:pt>
                  <c:pt idx="8">
                    <c:v>0.24479247495431244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'R2'!$B$52:$AK$52</c:f>
              <c:strCache>
                <c:ptCount val="36"/>
                <c:pt idx="0">
                  <c:v>Témoin solvant</c:v>
                </c:pt>
                <c:pt idx="1">
                  <c:v>EE2-33.8ng/L</c:v>
                </c:pt>
                <c:pt idx="2">
                  <c:v>EE2-50.6ng/L</c:v>
                </c:pt>
                <c:pt idx="3">
                  <c:v>EE2-76ng/L</c:v>
                </c:pt>
                <c:pt idx="4">
                  <c:v>EE2-114ng/L</c:v>
                </c:pt>
                <c:pt idx="5">
                  <c:v>EE2-170.9ng/L</c:v>
                </c:pt>
                <c:pt idx="6">
                  <c:v>EE2-488ng/L</c:v>
                </c:pt>
                <c:pt idx="7">
                  <c:v>DUS-10µg/L</c:v>
                </c:pt>
                <c:pt idx="8">
                  <c:v>DUS-100µg/L</c:v>
                </c:pt>
                <c:pt idx="9">
                  <c:v>DUS-250µg/L</c:v>
                </c:pt>
                <c:pt idx="10">
                  <c:v>DUS-500µg/L</c:v>
                </c:pt>
                <c:pt idx="11">
                  <c:v>DUS-1000µg/L</c:v>
                </c:pt>
                <c:pt idx="13">
                  <c:v>Testo -30µg/L</c:v>
                </c:pt>
                <c:pt idx="14">
                  <c:v>Testo 30µg/L + EE2 -64ng/L</c:v>
                </c:pt>
                <c:pt idx="15">
                  <c:v>Testo 30µg/L + FAD-10mg/L</c:v>
                </c:pt>
                <c:pt idx="16">
                  <c:v>DUS-10µg/L + Testostérone</c:v>
                </c:pt>
                <c:pt idx="17">
                  <c:v>DUS-100µg/L + Testostérone</c:v>
                </c:pt>
                <c:pt idx="18">
                  <c:v>DUS-250µg/L + Testostérone</c:v>
                </c:pt>
                <c:pt idx="19">
                  <c:v>DUS-500µg/L + Testostérone</c:v>
                </c:pt>
                <c:pt idx="20">
                  <c:v>DUS-1000µg/L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'R2'!$B$53:$AK$53</c:f>
              <c:numCache>
                <c:formatCode>0.0000</c:formatCode>
                <c:ptCount val="36"/>
                <c:pt idx="0">
                  <c:v>0.12553653297990469</c:v>
                </c:pt>
                <c:pt idx="1">
                  <c:v>0.16391186394407531</c:v>
                </c:pt>
                <c:pt idx="2">
                  <c:v>0.11262554866886036</c:v>
                </c:pt>
                <c:pt idx="3">
                  <c:v>1.0654995900328403</c:v>
                </c:pt>
                <c:pt idx="4">
                  <c:v>1.4868828692807552</c:v>
                </c:pt>
                <c:pt idx="5">
                  <c:v>2.5974847688463529</c:v>
                </c:pt>
                <c:pt idx="6">
                  <c:v>3.7594601842014064</c:v>
                </c:pt>
                <c:pt idx="7">
                  <c:v>0.10157497028487149</c:v>
                </c:pt>
                <c:pt idx="8">
                  <c:v>0.12145481637697639</c:v>
                </c:pt>
                <c:pt idx="9">
                  <c:v>0.10561018701170119</c:v>
                </c:pt>
                <c:pt idx="10">
                  <c:v>8.5160568287887872E-2</c:v>
                </c:pt>
                <c:pt idx="11">
                  <c:v>0.36081112605892401</c:v>
                </c:pt>
                <c:pt idx="13">
                  <c:v>1</c:v>
                </c:pt>
                <c:pt idx="14">
                  <c:v>3.1020010053684497</c:v>
                </c:pt>
                <c:pt idx="15">
                  <c:v>0.14458884175903031</c:v>
                </c:pt>
                <c:pt idx="16">
                  <c:v>0.80206957355731778</c:v>
                </c:pt>
                <c:pt idx="17">
                  <c:v>1.9567061121530367</c:v>
                </c:pt>
                <c:pt idx="18">
                  <c:v>1.8969016098005855</c:v>
                </c:pt>
                <c:pt idx="19">
                  <c:v>2.3148682737698882</c:v>
                </c:pt>
                <c:pt idx="20">
                  <c:v>1.3169125220206515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'R3'!$B$54:$X$54</c:f>
                <c:numCache>
                  <c:formatCode>General</c:formatCode>
                  <c:ptCount val="23"/>
                  <c:pt idx="0">
                    <c:v>1.8368645847350887E-2</c:v>
                  </c:pt>
                  <c:pt idx="1">
                    <c:v>2.6868972182651139E-2</c:v>
                  </c:pt>
                  <c:pt idx="2">
                    <c:v>3.4077253894085009E-2</c:v>
                  </c:pt>
                  <c:pt idx="3">
                    <c:v>9.4270690684614841E-2</c:v>
                  </c:pt>
                  <c:pt idx="4">
                    <c:v>0.16839135678018669</c:v>
                  </c:pt>
                  <c:pt idx="5">
                    <c:v>0.11106482876520762</c:v>
                  </c:pt>
                  <c:pt idx="6">
                    <c:v>0.15219150894313377</c:v>
                  </c:pt>
                  <c:pt idx="7">
                    <c:v>2.7439497332307747E-2</c:v>
                  </c:pt>
                  <c:pt idx="8">
                    <c:v>2.0768935493408788E-2</c:v>
                  </c:pt>
                  <c:pt idx="9">
                    <c:v>1.4874292653328579E-2</c:v>
                  </c:pt>
                  <c:pt idx="10">
                    <c:v>2.7714233045634033E-2</c:v>
                  </c:pt>
                  <c:pt idx="11">
                    <c:v>2.8711122111187159E-2</c:v>
                  </c:pt>
                  <c:pt idx="13">
                    <c:v>0.13654382495340242</c:v>
                  </c:pt>
                  <c:pt idx="14">
                    <c:v>0.19011224382931713</c:v>
                  </c:pt>
                  <c:pt idx="15">
                    <c:v>1.9410019348010576E-2</c:v>
                  </c:pt>
                  <c:pt idx="16">
                    <c:v>0.13624387231881865</c:v>
                  </c:pt>
                  <c:pt idx="17">
                    <c:v>0.13770023404002943</c:v>
                  </c:pt>
                  <c:pt idx="18">
                    <c:v>8.322031302898035E-2</c:v>
                  </c:pt>
                  <c:pt idx="19">
                    <c:v>0.18883723002762906</c:v>
                  </c:pt>
                  <c:pt idx="20">
                    <c:v>0.22713055511931049</c:v>
                  </c:pt>
                  <c:pt idx="21">
                    <c:v>0</c:v>
                  </c:pt>
                  <c:pt idx="22">
                    <c:v>0</c:v>
                  </c:pt>
                </c:numCache>
              </c:numRef>
            </c:plus>
            <c:minus>
              <c:numRef>
                <c:f>'R1'!$N$48:$AK$48</c:f>
                <c:numCache>
                  <c:formatCode>General</c:formatCode>
                  <c:ptCount val="24"/>
                  <c:pt idx="0">
                    <c:v>0</c:v>
                  </c:pt>
                  <c:pt idx="1">
                    <c:v>0.13366220102735191</c:v>
                  </c:pt>
                  <c:pt idx="2">
                    <c:v>0.20001354212138434</c:v>
                  </c:pt>
                  <c:pt idx="3">
                    <c:v>1.4438534133077505E-2</c:v>
                  </c:pt>
                  <c:pt idx="4">
                    <c:v>0.16549515318589741</c:v>
                  </c:pt>
                  <c:pt idx="5">
                    <c:v>0.29378629434496623</c:v>
                  </c:pt>
                  <c:pt idx="6">
                    <c:v>0.13227972997733567</c:v>
                  </c:pt>
                  <c:pt idx="7">
                    <c:v>0.31032872558714425</c:v>
                  </c:pt>
                  <c:pt idx="8">
                    <c:v>0.24479247495431244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minus>
          </c:errBars>
          <c:cat>
            <c:strRef>
              <c:f>'R3'!$B$52:$AK$52</c:f>
              <c:strCache>
                <c:ptCount val="36"/>
                <c:pt idx="0">
                  <c:v>Témoin solvant</c:v>
                </c:pt>
                <c:pt idx="1">
                  <c:v>EE2-33.8ng/L</c:v>
                </c:pt>
                <c:pt idx="2">
                  <c:v>EE2-50.6ng/L</c:v>
                </c:pt>
                <c:pt idx="3">
                  <c:v>EE2-76ng/L</c:v>
                </c:pt>
                <c:pt idx="4">
                  <c:v>EE2-114ng/L</c:v>
                </c:pt>
                <c:pt idx="5">
                  <c:v>EE2-170.9ng/L</c:v>
                </c:pt>
                <c:pt idx="6">
                  <c:v>EE2-488ng/L</c:v>
                </c:pt>
                <c:pt idx="7">
                  <c:v>DUS-10µg/L</c:v>
                </c:pt>
                <c:pt idx="8">
                  <c:v>DUS-100µg/L</c:v>
                </c:pt>
                <c:pt idx="9">
                  <c:v>DUS-250µg/L</c:v>
                </c:pt>
                <c:pt idx="10">
                  <c:v>DUS-500µg/L</c:v>
                </c:pt>
                <c:pt idx="11">
                  <c:v>DUS-1000µg/L</c:v>
                </c:pt>
                <c:pt idx="13">
                  <c:v>Testo -30µg/L</c:v>
                </c:pt>
                <c:pt idx="14">
                  <c:v>Testo 30µg/L + EE2 -64ng/L</c:v>
                </c:pt>
                <c:pt idx="15">
                  <c:v>Testo 30µg/L + FAD-10mg/L</c:v>
                </c:pt>
                <c:pt idx="16">
                  <c:v>DUS-10µg/L + Testostérone</c:v>
                </c:pt>
                <c:pt idx="17">
                  <c:v>DUS-100µg/L + Testostérone</c:v>
                </c:pt>
                <c:pt idx="18">
                  <c:v>DUS-250µg/L + Testostérone</c:v>
                </c:pt>
                <c:pt idx="19">
                  <c:v>DUS-500µg/L + Testostérone</c:v>
                </c:pt>
                <c:pt idx="20">
                  <c:v>DUS-1000µg/L + Testostérone</c:v>
                </c:pt>
                <c:pt idx="21">
                  <c:v>0-00 + Testostérone</c:v>
                </c:pt>
                <c:pt idx="22">
                  <c:v>0-00 + Testostérone</c:v>
                </c:pt>
                <c:pt idx="23">
                  <c:v>0-00 + Testostérone</c:v>
                </c:pt>
                <c:pt idx="24">
                  <c:v>0-00 + Testostérone</c:v>
                </c:pt>
                <c:pt idx="25">
                  <c:v>0-00 + Testostérone</c:v>
                </c:pt>
                <c:pt idx="26">
                  <c:v>0-00 + Testostérone</c:v>
                </c:pt>
                <c:pt idx="27">
                  <c:v>0-00 + Testostérone</c:v>
                </c:pt>
                <c:pt idx="28">
                  <c:v>0-00 + Testostérone</c:v>
                </c:pt>
                <c:pt idx="29">
                  <c:v>0-00 + Testostérone</c:v>
                </c:pt>
                <c:pt idx="30">
                  <c:v>0-00 + Testostérone</c:v>
                </c:pt>
                <c:pt idx="31">
                  <c:v>0-00 + Testostérone</c:v>
                </c:pt>
                <c:pt idx="32">
                  <c:v>0-00 + Testostérone</c:v>
                </c:pt>
                <c:pt idx="33">
                  <c:v>0-00 + Testostérone</c:v>
                </c:pt>
                <c:pt idx="34">
                  <c:v>0-00 + Testostérone</c:v>
                </c:pt>
                <c:pt idx="35">
                  <c:v>0-00 + Testostérone</c:v>
                </c:pt>
              </c:strCache>
            </c:strRef>
          </c:cat>
          <c:val>
            <c:numRef>
              <c:f>'R3'!$B$53:$AK$53</c:f>
              <c:numCache>
                <c:formatCode>0.0000</c:formatCode>
                <c:ptCount val="36"/>
                <c:pt idx="0">
                  <c:v>9.4884034586449964E-2</c:v>
                </c:pt>
                <c:pt idx="1">
                  <c:v>0.11382600753343498</c:v>
                </c:pt>
                <c:pt idx="2">
                  <c:v>0.10396005536908262</c:v>
                </c:pt>
                <c:pt idx="3">
                  <c:v>0.22855800620573716</c:v>
                </c:pt>
                <c:pt idx="4">
                  <c:v>0.73227847326762419</c:v>
                </c:pt>
                <c:pt idx="5">
                  <c:v>1.2086216221284047</c:v>
                </c:pt>
                <c:pt idx="6">
                  <c:v>2.1658192095475717</c:v>
                </c:pt>
                <c:pt idx="7">
                  <c:v>0.10590000761099319</c:v>
                </c:pt>
                <c:pt idx="8">
                  <c:v>9.0647751157019632E-2</c:v>
                </c:pt>
                <c:pt idx="9">
                  <c:v>6.4108193562497667E-2</c:v>
                </c:pt>
                <c:pt idx="10">
                  <c:v>9.5947403244663193E-2</c:v>
                </c:pt>
                <c:pt idx="11">
                  <c:v>7.6291284452279479E-2</c:v>
                </c:pt>
                <c:pt idx="13">
                  <c:v>1.0000000000000002</c:v>
                </c:pt>
                <c:pt idx="14">
                  <c:v>1.5224639492162999</c:v>
                </c:pt>
                <c:pt idx="15">
                  <c:v>5.6783816582915377E-2</c:v>
                </c:pt>
                <c:pt idx="16">
                  <c:v>0.53963006211675557</c:v>
                </c:pt>
                <c:pt idx="17">
                  <c:v>0.8680354815166238</c:v>
                </c:pt>
                <c:pt idx="18">
                  <c:v>1.0078172389693776</c:v>
                </c:pt>
                <c:pt idx="19">
                  <c:v>1.1225359203464258</c:v>
                </c:pt>
                <c:pt idx="20">
                  <c:v>0.66284371779109807</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8D6B860E-AFAD-4964-A6F7-1DE7A6F7389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C55E7D0C-7FBB-41C9-8180-D17CB081DD7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8586664E-ED1B-4E7E-AD91-FE82648D99A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C058A4D2-282F-4603-8131-64398053030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042F95BD-89BC-4A89-9DF6-58FA563EAE1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B6B0B714-3A18-4C47-AC58-7D6B3EE56F4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13B5A947-B9E2-4DB7-9445-D0F895A5ED4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0BD33CB-58B0-42EF-8D03-8D78AFC1CBB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68526634-2C04-4B05-9EF6-522146869E9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A3FD32A9-B2D7-406D-A427-64C9BF8CE3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94028CFE-D5BF-4587-AB67-B308101A9F5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1F2F9F50-E0C1-4F77-A955-F116D398E2F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8344D129-3B4B-4A0D-B54A-8AE3001CD6D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0223E97B-A932-4E11-8E90-A7B18CB46E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3B7A6C0D-BBFC-49BE-A08F-7ACCDACA2C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D80329C3-117B-4CBC-9C43-B6ED1CCF16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A5DF6F76-2982-49E0-AB8B-2D1735A3961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BD58EA6A-9F9E-48D1-9C9B-14B1E8E685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3766C12B-4525-4ECC-ACB6-CEEEF9B8AF7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7F21A166-39C2-425B-92AE-DBE75F38010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1.4705781381676291E-2</c:v>
                  </c:pt>
                  <c:pt idx="1">
                    <c:v>2.4912413115884956E-2</c:v>
                  </c:pt>
                  <c:pt idx="2">
                    <c:v>3.6653108966603613E-2</c:v>
                  </c:pt>
                  <c:pt idx="3">
                    <c:v>0.10899418862673554</c:v>
                  </c:pt>
                  <c:pt idx="4">
                    <c:v>0.11257563584139196</c:v>
                  </c:pt>
                  <c:pt idx="5">
                    <c:v>0.16315012672282692</c:v>
                  </c:pt>
                  <c:pt idx="6">
                    <c:v>0.19538179364453775</c:v>
                  </c:pt>
                  <c:pt idx="7">
                    <c:v>1.4533009119324999E-2</c:v>
                  </c:pt>
                  <c:pt idx="8">
                    <c:v>1.4094596154947124E-2</c:v>
                  </c:pt>
                  <c:pt idx="9">
                    <c:v>1.777452775327441E-2</c:v>
                  </c:pt>
                  <c:pt idx="10">
                    <c:v>1.4647458419250062E-2</c:v>
                  </c:pt>
                  <c:pt idx="11">
                    <c:v>9.453270019469226E-2</c:v>
                  </c:pt>
                  <c:pt idx="13">
                    <c:v>8.3980857200370351E-2</c:v>
                  </c:pt>
                  <c:pt idx="14">
                    <c:v>0.2160653861223544</c:v>
                  </c:pt>
                  <c:pt idx="15">
                    <c:v>1.9570270340080829E-2</c:v>
                  </c:pt>
                  <c:pt idx="16">
                    <c:v>0.11947244121812256</c:v>
                  </c:pt>
                  <c:pt idx="17">
                    <c:v>0.17515109829743852</c:v>
                  </c:pt>
                  <c:pt idx="18">
                    <c:v>0.15106497868832655</c:v>
                  </c:pt>
                  <c:pt idx="19">
                    <c:v>0.2013100549296355</c:v>
                  </c:pt>
                  <c:pt idx="20">
                    <c:v>0.14939542099900052</c:v>
                  </c:pt>
                </c:numCache>
              </c:numRef>
            </c:plus>
            <c:minus>
              <c:numRef>
                <c:f>'pooled normalised values'!$B$76:$V$76</c:f>
                <c:numCache>
                  <c:formatCode>General</c:formatCode>
                  <c:ptCount val="21"/>
                  <c:pt idx="0">
                    <c:v>1.4705781381676291E-2</c:v>
                  </c:pt>
                  <c:pt idx="1">
                    <c:v>2.4912413115884956E-2</c:v>
                  </c:pt>
                  <c:pt idx="2">
                    <c:v>3.6653108966603613E-2</c:v>
                  </c:pt>
                  <c:pt idx="3">
                    <c:v>0.10899418862673554</c:v>
                  </c:pt>
                  <c:pt idx="4">
                    <c:v>0.11257563584139196</c:v>
                  </c:pt>
                  <c:pt idx="5">
                    <c:v>0.16315012672282692</c:v>
                  </c:pt>
                  <c:pt idx="6">
                    <c:v>0.19538179364453775</c:v>
                  </c:pt>
                  <c:pt idx="7">
                    <c:v>1.4533009119324999E-2</c:v>
                  </c:pt>
                  <c:pt idx="8">
                    <c:v>1.4094596154947124E-2</c:v>
                  </c:pt>
                  <c:pt idx="9">
                    <c:v>1.777452775327441E-2</c:v>
                  </c:pt>
                  <c:pt idx="10">
                    <c:v>1.4647458419250062E-2</c:v>
                  </c:pt>
                  <c:pt idx="11">
                    <c:v>9.453270019469226E-2</c:v>
                  </c:pt>
                  <c:pt idx="13">
                    <c:v>8.3980857200370351E-2</c:v>
                  </c:pt>
                  <c:pt idx="14">
                    <c:v>0.2160653861223544</c:v>
                  </c:pt>
                  <c:pt idx="15">
                    <c:v>1.9570270340080829E-2</c:v>
                  </c:pt>
                  <c:pt idx="16">
                    <c:v>0.11947244121812256</c:v>
                  </c:pt>
                  <c:pt idx="17">
                    <c:v>0.17515109829743852</c:v>
                  </c:pt>
                  <c:pt idx="18">
                    <c:v>0.15106497868832655</c:v>
                  </c:pt>
                  <c:pt idx="19">
                    <c:v>0.2013100549296355</c:v>
                  </c:pt>
                  <c:pt idx="20">
                    <c:v>0.14939542099900052</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DUS-10µg/L</c:v>
                </c:pt>
                <c:pt idx="8">
                  <c:v>DUS-100µg/L</c:v>
                </c:pt>
                <c:pt idx="9">
                  <c:v>DUS-250µg/L</c:v>
                </c:pt>
                <c:pt idx="10">
                  <c:v>DUS-500µg/L</c:v>
                </c:pt>
                <c:pt idx="11">
                  <c:v>DUS-1000µg/L</c:v>
                </c:pt>
                <c:pt idx="13">
                  <c:v>Testo -30µg/L</c:v>
                </c:pt>
                <c:pt idx="14">
                  <c:v>Testo 30µg/L + EE2 -64ng/L</c:v>
                </c:pt>
                <c:pt idx="15">
                  <c:v>Testo 30µg/L + FAD-10mg/L</c:v>
                </c:pt>
                <c:pt idx="16">
                  <c:v>DUS-10µg/L + Testostérone</c:v>
                </c:pt>
                <c:pt idx="17">
                  <c:v>DUS-100µg/L + Testostérone</c:v>
                </c:pt>
                <c:pt idx="18">
                  <c:v>DUS-250µg/L + Testostérone</c:v>
                </c:pt>
                <c:pt idx="19">
                  <c:v>DUS-500µg/L + Testostérone</c:v>
                </c:pt>
                <c:pt idx="20">
                  <c:v>DUS-1000µg/L + Testostérone</c:v>
                </c:pt>
              </c:strCache>
            </c:strRef>
          </c:cat>
          <c:val>
            <c:numRef>
              <c:f>'pooled normalised values'!$B$75:$V$75</c:f>
              <c:numCache>
                <c:formatCode>0.0000</c:formatCode>
                <c:ptCount val="21"/>
                <c:pt idx="0">
                  <c:v>9.8843588423777315E-2</c:v>
                </c:pt>
                <c:pt idx="1">
                  <c:v>0.12587950110574581</c:v>
                </c:pt>
                <c:pt idx="2">
                  <c:v>0.12762204355910212</c:v>
                </c:pt>
                <c:pt idx="3">
                  <c:v>0.48815834868690511</c:v>
                </c:pt>
                <c:pt idx="4">
                  <c:v>1.1233678925872772</c:v>
                </c:pt>
                <c:pt idx="5">
                  <c:v>1.9006678431952515</c:v>
                </c:pt>
                <c:pt idx="6">
                  <c:v>2.695589847842653</c:v>
                </c:pt>
                <c:pt idx="7">
                  <c:v>0.10841414432469688</c:v>
                </c:pt>
                <c:pt idx="8">
                  <c:v>0.10504766172373216</c:v>
                </c:pt>
                <c:pt idx="9">
                  <c:v>0.10408272383023984</c:v>
                </c:pt>
                <c:pt idx="10">
                  <c:v>8.8412434492717837E-2</c:v>
                </c:pt>
                <c:pt idx="11">
                  <c:v>0.17924128627916405</c:v>
                </c:pt>
                <c:pt idx="13">
                  <c:v>1.0000000000000002</c:v>
                </c:pt>
                <c:pt idx="14">
                  <c:v>2.2762673529185555</c:v>
                </c:pt>
                <c:pt idx="15">
                  <c:v>9.2753565260756843E-2</c:v>
                </c:pt>
                <c:pt idx="16">
                  <c:v>0.71154980846395488</c:v>
                </c:pt>
                <c:pt idx="17">
                  <c:v>1.3906397477709889</c:v>
                </c:pt>
                <c:pt idx="18">
                  <c:v>1.4277591820455284</c:v>
                </c:pt>
                <c:pt idx="19">
                  <c:v>1.4606911261495514</c:v>
                </c:pt>
                <c:pt idx="20">
                  <c:v>1.1473220442669376</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#NAME?</c:v>
                  </c:pt>
                  <c:pt idx="14">
                    <c:v>#NAME?</c:v>
                  </c:pt>
                  <c:pt idx="15">
                    <c:v>#NAME?</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DUS-10µg/L : 0%</c:v>
                  </c:pt>
                  <c:pt idx="1">
                    <c:v>DUS-100µg/L : 0%</c:v>
                  </c:pt>
                  <c:pt idx="2">
                    <c:v>DUS-250µg/L : 0%</c:v>
                  </c:pt>
                  <c:pt idx="3">
                    <c:v>DUS-500µg/L : 0%</c:v>
                  </c:pt>
                  <c:pt idx="4">
                    <c:v>DUS-1000µg/L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DUS-10µg/L : 0%</c:v>
                  </c:pt>
                  <c:pt idx="1">
                    <c:v>DUS-100µg/L : 0%</c:v>
                  </c:pt>
                  <c:pt idx="2">
                    <c:v>DUS-250µg/L : 0%</c:v>
                  </c:pt>
                  <c:pt idx="3">
                    <c:v>DUS-500µg/L : 0%</c:v>
                  </c:pt>
                  <c:pt idx="4">
                    <c:v>DUS-1000µg/L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DUS-10µg/L : 0%</c:v>
                  </c:pt>
                  <c:pt idx="1">
                    <c:v>DUS-100µg/L : 0%</c:v>
                  </c:pt>
                  <c:pt idx="2">
                    <c:v>DUS-250µg/L : 0%</c:v>
                  </c:pt>
                  <c:pt idx="3">
                    <c:v>DUS-500µg/L : 0%</c:v>
                  </c:pt>
                  <c:pt idx="4">
                    <c:v>DUS-1000µg/L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DUS-10µg/L : 0%</c:v>
                  </c:pt>
                  <c:pt idx="1">
                    <c:v>DUS-100µg/L : 0%</c:v>
                  </c:pt>
                  <c:pt idx="2">
                    <c:v>DUS-250µg/L : 0%</c:v>
                  </c:pt>
                  <c:pt idx="3">
                    <c:v>DUS-500µg/L : 0%</c:v>
                  </c:pt>
                  <c:pt idx="4">
                    <c:v>DUS-1000µg/L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DUS-100µg/L</c:v>
                </c:pt>
                <c:pt idx="2">
                  <c:v>DUS-250µg/L</c:v>
                </c:pt>
                <c:pt idx="3">
                  <c:v>DUS-500µg/L</c:v>
                </c:pt>
                <c:pt idx="4">
                  <c:v>DUS-1000µg/L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DUS-100µg/L</c:v>
                </c:pt>
                <c:pt idx="2">
                  <c:v>DUS-250µg/L</c:v>
                </c:pt>
                <c:pt idx="3">
                  <c:v>DUS-500µg/L</c:v>
                </c:pt>
                <c:pt idx="4">
                  <c:v>DUS-1000µg/L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DUS-100µg/L</c:v>
                </c:pt>
                <c:pt idx="2">
                  <c:v>DUS-250µg/L</c:v>
                </c:pt>
                <c:pt idx="3">
                  <c:v>DUS-500µg/L</c:v>
                </c:pt>
                <c:pt idx="4">
                  <c:v>DUS-1000µg/L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ABA9BFF5-B99C-47B8-BC3E-09EDDD63AFE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54BDA8DE-2B2F-4E80-99BE-BACB834D2CC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106F7B58-D3A2-412C-BC07-715CF3ADBAF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63345469-D554-4CD4-83EC-B6C070D125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C8A80A7C-641B-4D51-B4AB-3B636F5C83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A1E21918-B6E4-4DF3-839F-00DEE59FDB5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6BBC0639-BCD6-464F-A799-26108854C5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73B1CB47-9B0E-4EE2-944E-9F5347920A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CA96781C-227E-438C-B4AB-B6A28296728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7D9BD07F-C1FB-496F-B423-20F6D78846E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E0275CF9-EE5E-44C6-AD85-B5308DF3569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AC0A72EA-BC87-40F9-B9A4-B92D1C64D5D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EBAA2451-9A3D-4422-B1EA-2B2461D5FAA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94ADC17F-343F-4F37-BACD-3113AA5B0FF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1.4094596154947124E-2</c:v>
                  </c:pt>
                  <c:pt idx="2">
                    <c:v>1.777452775327441E-2</c:v>
                  </c:pt>
                  <c:pt idx="3">
                    <c:v>1.4647458419250062E-2</c:v>
                  </c:pt>
                  <c:pt idx="4">
                    <c:v>9.453270019469226E-2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1.4094596154947124E-2</c:v>
                  </c:pt>
                  <c:pt idx="2">
                    <c:v>1.777452775327441E-2</c:v>
                  </c:pt>
                  <c:pt idx="3">
                    <c:v>1.4647458419250062E-2</c:v>
                  </c:pt>
                  <c:pt idx="4">
                    <c:v>9.453270019469226E-2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DUS-100µg/L</c:v>
                </c:pt>
                <c:pt idx="2">
                  <c:v>DUS-250µg/L</c:v>
                </c:pt>
                <c:pt idx="3">
                  <c:v>DUS-500µg/L</c:v>
                </c:pt>
                <c:pt idx="4">
                  <c:v>DUS-1000µg/L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0.10504766172373216</c:v>
                </c:pt>
                <c:pt idx="2">
                  <c:v>0.10408272383023984</c:v>
                </c:pt>
                <c:pt idx="3">
                  <c:v>8.8412434492717837E-2</c:v>
                </c:pt>
                <c:pt idx="4">
                  <c:v>0.17924128627916405</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9.8843588423777315E-2</c:v>
                </c:pt>
                <c:pt idx="1">
                  <c:v>9.8843588423777315E-2</c:v>
                </c:pt>
                <c:pt idx="2">
                  <c:v>9.8843588423777315E-2</c:v>
                </c:pt>
                <c:pt idx="3">
                  <c:v>9.8843588423777315E-2</c:v>
                </c:pt>
                <c:pt idx="4">
                  <c:v>9.8843588423777315E-2</c:v>
                </c:pt>
                <c:pt idx="5">
                  <c:v>9.8843588423777315E-2</c:v>
                </c:pt>
                <c:pt idx="6">
                  <c:v>9.8843588423777315E-2</c:v>
                </c:pt>
                <c:pt idx="7">
                  <c:v>9.8843588423777315E-2</c:v>
                </c:pt>
                <c:pt idx="8">
                  <c:v>9.8843588423777315E-2</c:v>
                </c:pt>
                <c:pt idx="9">
                  <c:v>9.8843588423777315E-2</c:v>
                </c:pt>
                <c:pt idx="10">
                  <c:v>9.8843588423777315E-2</c:v>
                </c:pt>
                <c:pt idx="11">
                  <c:v>9.8843588423777315E-2</c:v>
                </c:pt>
                <c:pt idx="12">
                  <c:v>9.8843588423777315E-2</c:v>
                </c:pt>
                <c:pt idx="13">
                  <c:v>9.8843588423777315E-2</c:v>
                </c:pt>
                <c:pt idx="14">
                  <c:v>9.8843588423777315E-2</c:v>
                </c:pt>
                <c:pt idx="15">
                  <c:v>9.8843588423777315E-2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9.2753565260756843E-2</c:v>
                </c:pt>
                <c:pt idx="1">
                  <c:v>9.2753565260756843E-2</c:v>
                </c:pt>
                <c:pt idx="2">
                  <c:v>9.2753565260756843E-2</c:v>
                </c:pt>
                <c:pt idx="3">
                  <c:v>9.2753565260756843E-2</c:v>
                </c:pt>
                <c:pt idx="4">
                  <c:v>9.2753565260756843E-2</c:v>
                </c:pt>
                <c:pt idx="5">
                  <c:v>9.2753565260756843E-2</c:v>
                </c:pt>
                <c:pt idx="6">
                  <c:v>9.2753565260756843E-2</c:v>
                </c:pt>
                <c:pt idx="7">
                  <c:v>9.2753565260756843E-2</c:v>
                </c:pt>
                <c:pt idx="8">
                  <c:v>9.2753565260756843E-2</c:v>
                </c:pt>
                <c:pt idx="9">
                  <c:v>9.2753565260756843E-2</c:v>
                </c:pt>
                <c:pt idx="10">
                  <c:v>9.2753565260756843E-2</c:v>
                </c:pt>
                <c:pt idx="11">
                  <c:v>9.2753565260756843E-2</c:v>
                </c:pt>
                <c:pt idx="12">
                  <c:v>9.2753565260756843E-2</c:v>
                </c:pt>
                <c:pt idx="13">
                  <c:v>9.2753565260756843E-2</c:v>
                </c:pt>
                <c:pt idx="14">
                  <c:v>9.2753565260756843E-2</c:v>
                </c:pt>
                <c:pt idx="15">
                  <c:v>9.2753565260756843E-2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2.1835137876577986</c:v>
                </c:pt>
                <c:pt idx="1">
                  <c:v>2.1835137876577986</c:v>
                </c:pt>
                <c:pt idx="2">
                  <c:v>2.1835137876577986</c:v>
                </c:pt>
                <c:pt idx="3">
                  <c:v>2.1835137876577986</c:v>
                </c:pt>
                <c:pt idx="4">
                  <c:v>2.1835137876577986</c:v>
                </c:pt>
                <c:pt idx="5">
                  <c:v>2.1835137876577986</c:v>
                </c:pt>
                <c:pt idx="6">
                  <c:v>2.1835137876577986</c:v>
                </c:pt>
                <c:pt idx="7">
                  <c:v>2.1835137876577986</c:v>
                </c:pt>
                <c:pt idx="8">
                  <c:v>2.1835137876577986</c:v>
                </c:pt>
                <c:pt idx="9">
                  <c:v>2.1835137876577986</c:v>
                </c:pt>
                <c:pt idx="10">
                  <c:v>2.1835137876577986</c:v>
                </c:pt>
                <c:pt idx="11">
                  <c:v>2.1835137876577986</c:v>
                </c:pt>
                <c:pt idx="12">
                  <c:v>2.1835137876577986</c:v>
                </c:pt>
                <c:pt idx="13">
                  <c:v>2.1835137876577986</c:v>
                </c:pt>
                <c:pt idx="14">
                  <c:v>2.1835137876577986</c:v>
                </c:pt>
                <c:pt idx="15">
                  <c:v>2.1835137876577986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0.31648621234220142</c:v>
                </c:pt>
                <c:pt idx="1">
                  <c:v>0.31648621234220142</c:v>
                </c:pt>
                <c:pt idx="2">
                  <c:v>0.31648621234220142</c:v>
                </c:pt>
                <c:pt idx="3">
                  <c:v>0.31648621234220142</c:v>
                </c:pt>
                <c:pt idx="4">
                  <c:v>0.31648621234220142</c:v>
                </c:pt>
                <c:pt idx="5">
                  <c:v>0.31648621234220142</c:v>
                </c:pt>
                <c:pt idx="6">
                  <c:v>0.31648621234220142</c:v>
                </c:pt>
                <c:pt idx="7">
                  <c:v>0.31648621234220142</c:v>
                </c:pt>
                <c:pt idx="8">
                  <c:v>0.31648621234220142</c:v>
                </c:pt>
                <c:pt idx="9">
                  <c:v>0.31648621234220142</c:v>
                </c:pt>
                <c:pt idx="10">
                  <c:v>0.31648621234220142</c:v>
                </c:pt>
                <c:pt idx="11">
                  <c:v>0.31648621234220142</c:v>
                </c:pt>
                <c:pt idx="12">
                  <c:v>0.31648621234220142</c:v>
                </c:pt>
                <c:pt idx="13">
                  <c:v>0.31648621234220142</c:v>
                </c:pt>
                <c:pt idx="14">
                  <c:v>0.31648621234220142</c:v>
                </c:pt>
                <c:pt idx="15">
                  <c:v>0.31648621234220142</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A65A98B4-D00C-4B44-AC00-737C2C957D3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20EDA93E-BFC6-48D7-8213-03F0895CF8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B8E8C5D6-D166-461C-813A-58E6DA1245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7628A0A6-7452-453F-9F86-A00EA9597D5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76AFC207-9230-4CB4-B1FE-290CE14A70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68946E51-7110-4CE1-B68B-7AD1BE715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30678E73-7148-4438-8B00-0BBED3C7997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A3EB4BA2-3FD1-4206-ABDD-E3EB0A6BD3D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62CA09E3-41F3-4B05-BD77-CFDE951091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931048B8-BA1F-4357-AA72-3A2ABDF0514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CE3A62A1-0A88-47DD-A22D-074FEFF5F81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989682AB-F914-4009-B95C-D21A88A9525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89CA5BFD-7A81-40F4-BBAB-A9247AF5FB8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BA26B244-D0AF-4AF3-97E8-150FCBD3D0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0.11947244121812256</c:v>
                  </c:pt>
                  <c:pt idx="2">
                    <c:v>0.17515109829743852</c:v>
                  </c:pt>
                  <c:pt idx="3">
                    <c:v>0.15106497868832655</c:v>
                  </c:pt>
                  <c:pt idx="4">
                    <c:v>0.2013100549296355</c:v>
                  </c:pt>
                  <c:pt idx="5">
                    <c:v>0.14939542099900052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0.11947244121812256</c:v>
                  </c:pt>
                  <c:pt idx="2">
                    <c:v>0.17515109829743852</c:v>
                  </c:pt>
                  <c:pt idx="3">
                    <c:v>0.15106497868832655</c:v>
                  </c:pt>
                  <c:pt idx="4">
                    <c:v>0.2013100549296355</c:v>
                  </c:pt>
                  <c:pt idx="5">
                    <c:v>0.14939542099900052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0.71154980846395488</c:v>
                </c:pt>
                <c:pt idx="2">
                  <c:v>1.3906397477709889</c:v>
                </c:pt>
                <c:pt idx="3">
                  <c:v>1.4277591820455284</c:v>
                </c:pt>
                <c:pt idx="4">
                  <c:v>1.4606911261495514</c:v>
                </c:pt>
                <c:pt idx="5">
                  <c:v>1.1473220442669376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DUS-100µg/L</c:v>
                </c:pt>
                <c:pt idx="2">
                  <c:v>DUS-250µg/L</c:v>
                </c:pt>
                <c:pt idx="3">
                  <c:v>DUS-500µg/L</c:v>
                </c:pt>
                <c:pt idx="4">
                  <c:v>DUS-1000µg/L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DUS-100µg/L</c:v>
                </c:pt>
                <c:pt idx="2">
                  <c:v>DUS-250µg/L</c:v>
                </c:pt>
                <c:pt idx="3">
                  <c:v>DUS-500µg/L</c:v>
                </c:pt>
                <c:pt idx="4">
                  <c:v>DUS-1000µg/L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DUS-100µg/L</c:v>
                </c:pt>
                <c:pt idx="2">
                  <c:v>DUS-250µg/L</c:v>
                </c:pt>
                <c:pt idx="3">
                  <c:v>DUS-500µg/L</c:v>
                </c:pt>
                <c:pt idx="4">
                  <c:v>DUS-1000µg/L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58E79310-CF3D-4E35-93CF-C678740D782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85B8E821-E86F-43B7-8C4C-D64F59C96DC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33D326E4-9306-49D9-97FF-038CBCE1169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9F80B098-0794-4127-9A92-157DCC7D414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4CF23EDC-9A62-4B53-92F2-93BA019A47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5C1FC472-9483-41D5-8CD6-5521CB99D93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0AD17CA4-A12E-4B5B-AA70-B75A4F1EB63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DAF240AB-EA0E-4B3C-A614-3FF548A221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59DCB229-C966-4168-B741-BDBABBFB4E1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F06A1098-5B55-425C-9751-2EBF5DD2D52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52F2A994-1E85-4021-8BFE-6AAE80F0158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5F0D54D1-414A-4372-89DD-6F09474794A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C53A65F9-A003-4D5A-81D5-8B563B9B43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6FFA6A3B-9EA4-42BD-852F-0EC887C4CB2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1.4094596154947124E-2</c:v>
                  </c:pt>
                  <c:pt idx="2">
                    <c:v>1.777452775327441E-2</c:v>
                  </c:pt>
                  <c:pt idx="3">
                    <c:v>1.4647458419250062E-2</c:v>
                  </c:pt>
                  <c:pt idx="4">
                    <c:v>9.453270019469226E-2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1.4094596154947124E-2</c:v>
                  </c:pt>
                  <c:pt idx="2">
                    <c:v>1.777452775327441E-2</c:v>
                  </c:pt>
                  <c:pt idx="3">
                    <c:v>1.4647458419250062E-2</c:v>
                  </c:pt>
                  <c:pt idx="4">
                    <c:v>9.453270019469226E-2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DUS-100µg/L</c:v>
                </c:pt>
                <c:pt idx="2">
                  <c:v>DUS-250µg/L</c:v>
                </c:pt>
                <c:pt idx="3">
                  <c:v>DUS-500µg/L</c:v>
                </c:pt>
                <c:pt idx="4">
                  <c:v>DUS-1000µg/L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0.10504766172373216</c:v>
                </c:pt>
                <c:pt idx="2">
                  <c:v>0.10408272383023984</c:v>
                </c:pt>
                <c:pt idx="3">
                  <c:v>8.8412434492717837E-2</c:v>
                </c:pt>
                <c:pt idx="4">
                  <c:v>0.17924128627916405</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9.8843588423777315E-2</c:v>
                </c:pt>
                <c:pt idx="1">
                  <c:v>9.8843588423777315E-2</c:v>
                </c:pt>
                <c:pt idx="2">
                  <c:v>9.8843588423777315E-2</c:v>
                </c:pt>
                <c:pt idx="3">
                  <c:v>9.8843588423777315E-2</c:v>
                </c:pt>
                <c:pt idx="4">
                  <c:v>9.8843588423777315E-2</c:v>
                </c:pt>
                <c:pt idx="5">
                  <c:v>9.8843588423777315E-2</c:v>
                </c:pt>
                <c:pt idx="6">
                  <c:v>9.8843588423777315E-2</c:v>
                </c:pt>
                <c:pt idx="7">
                  <c:v>9.8843588423777315E-2</c:v>
                </c:pt>
                <c:pt idx="8">
                  <c:v>9.8843588423777315E-2</c:v>
                </c:pt>
                <c:pt idx="9">
                  <c:v>9.8843588423777315E-2</c:v>
                </c:pt>
                <c:pt idx="10">
                  <c:v>9.8843588423777315E-2</c:v>
                </c:pt>
                <c:pt idx="11">
                  <c:v>9.8843588423777315E-2</c:v>
                </c:pt>
                <c:pt idx="12">
                  <c:v>9.8843588423777315E-2</c:v>
                </c:pt>
                <c:pt idx="13">
                  <c:v>9.8843588423777315E-2</c:v>
                </c:pt>
                <c:pt idx="14">
                  <c:v>9.8843588423777315E-2</c:v>
                </c:pt>
                <c:pt idx="15">
                  <c:v>9.8843588423777315E-2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9.2753565260756843E-2</c:v>
                </c:pt>
                <c:pt idx="1">
                  <c:v>9.2753565260756843E-2</c:v>
                </c:pt>
                <c:pt idx="2">
                  <c:v>9.2753565260756843E-2</c:v>
                </c:pt>
                <c:pt idx="3">
                  <c:v>9.2753565260756843E-2</c:v>
                </c:pt>
                <c:pt idx="4">
                  <c:v>9.2753565260756843E-2</c:v>
                </c:pt>
                <c:pt idx="5">
                  <c:v>9.2753565260756843E-2</c:v>
                </c:pt>
                <c:pt idx="6">
                  <c:v>9.2753565260756843E-2</c:v>
                </c:pt>
                <c:pt idx="7">
                  <c:v>9.2753565260756843E-2</c:v>
                </c:pt>
                <c:pt idx="8">
                  <c:v>9.2753565260756843E-2</c:v>
                </c:pt>
                <c:pt idx="9">
                  <c:v>9.2753565260756843E-2</c:v>
                </c:pt>
                <c:pt idx="10">
                  <c:v>9.2753565260756843E-2</c:v>
                </c:pt>
                <c:pt idx="11">
                  <c:v>9.2753565260756843E-2</c:v>
                </c:pt>
                <c:pt idx="12">
                  <c:v>9.2753565260756843E-2</c:v>
                </c:pt>
                <c:pt idx="13">
                  <c:v>9.2753565260756843E-2</c:v>
                </c:pt>
                <c:pt idx="14">
                  <c:v>9.2753565260756843E-2</c:v>
                </c:pt>
                <c:pt idx="15">
                  <c:v>9.2753565260756843E-2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2.1835137876577986</c:v>
                </c:pt>
                <c:pt idx="1">
                  <c:v>2.1835137876577986</c:v>
                </c:pt>
                <c:pt idx="2">
                  <c:v>2.1835137876577986</c:v>
                </c:pt>
                <c:pt idx="3">
                  <c:v>2.1835137876577986</c:v>
                </c:pt>
                <c:pt idx="4">
                  <c:v>2.1835137876577986</c:v>
                </c:pt>
                <c:pt idx="5">
                  <c:v>2.1835137876577986</c:v>
                </c:pt>
                <c:pt idx="6">
                  <c:v>2.1835137876577986</c:v>
                </c:pt>
                <c:pt idx="7">
                  <c:v>2.1835137876577986</c:v>
                </c:pt>
                <c:pt idx="8">
                  <c:v>2.1835137876577986</c:v>
                </c:pt>
                <c:pt idx="9">
                  <c:v>2.1835137876577986</c:v>
                </c:pt>
                <c:pt idx="10">
                  <c:v>2.1835137876577986</c:v>
                </c:pt>
                <c:pt idx="11">
                  <c:v>2.1835137876577986</c:v>
                </c:pt>
                <c:pt idx="12">
                  <c:v>2.1835137876577986</c:v>
                </c:pt>
                <c:pt idx="13">
                  <c:v>2.1835137876577986</c:v>
                </c:pt>
                <c:pt idx="14">
                  <c:v>2.1835137876577986</c:v>
                </c:pt>
                <c:pt idx="15">
                  <c:v>2.1835137876577986</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0.31648621234220142</c:v>
                </c:pt>
                <c:pt idx="1">
                  <c:v>0.31648621234220142</c:v>
                </c:pt>
                <c:pt idx="2">
                  <c:v>0.31648621234220142</c:v>
                </c:pt>
                <c:pt idx="3">
                  <c:v>0.31648621234220142</c:v>
                </c:pt>
                <c:pt idx="4">
                  <c:v>0.31648621234220142</c:v>
                </c:pt>
                <c:pt idx="5">
                  <c:v>0.31648621234220142</c:v>
                </c:pt>
                <c:pt idx="6">
                  <c:v>0.31648621234220142</c:v>
                </c:pt>
                <c:pt idx="7">
                  <c:v>0.31648621234220142</c:v>
                </c:pt>
                <c:pt idx="8">
                  <c:v>0.31648621234220142</c:v>
                </c:pt>
                <c:pt idx="9">
                  <c:v>0.31648621234220142</c:v>
                </c:pt>
                <c:pt idx="10">
                  <c:v>0.31648621234220142</c:v>
                </c:pt>
                <c:pt idx="11">
                  <c:v>0.31648621234220142</c:v>
                </c:pt>
                <c:pt idx="12">
                  <c:v>0.31648621234220142</c:v>
                </c:pt>
                <c:pt idx="13">
                  <c:v>0.31648621234220142</c:v>
                </c:pt>
                <c:pt idx="14">
                  <c:v>0.31648621234220142</c:v>
                </c:pt>
                <c:pt idx="15">
                  <c:v>0.31648621234220142</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87A54CD1-662D-4BDC-A934-D990ACEB2BD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C1E1DF9A-D251-42C8-9E04-064E32000DD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3D7CF826-7DF8-409E-BE0B-F7F76900E1A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0A95D446-9717-40E0-870B-466B94B147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9A900770-C974-4B87-8B6B-85917520BA0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68AAC10F-DB46-4DB3-AEC7-4E77B49AEC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B4643E4C-E74D-4890-8EE7-3CC5F71AE2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1CD85ACF-B1AA-4BC3-864F-535E0670783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E01753A8-E364-47E7-BE45-3261B4DEA6C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023E3611-69F3-4781-8D2D-93C83C1A35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23FD6871-4952-4B75-A79C-B450719C9E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B5F9B77E-E4D0-43B4-9761-FBCD2B2C9C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C2CDE8AE-A6B8-4C75-9F95-9B32137BAC4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C1B0060B-0AF3-45AE-8BC1-C5F1A2739E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0.11947244121812256</c:v>
                  </c:pt>
                  <c:pt idx="2">
                    <c:v>0.17515109829743852</c:v>
                  </c:pt>
                  <c:pt idx="3">
                    <c:v>0.15106497868832655</c:v>
                  </c:pt>
                  <c:pt idx="4">
                    <c:v>0.2013100549296355</c:v>
                  </c:pt>
                  <c:pt idx="5">
                    <c:v>0.14939542099900052</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0.11947244121812256</c:v>
                  </c:pt>
                  <c:pt idx="2">
                    <c:v>0.17515109829743852</c:v>
                  </c:pt>
                  <c:pt idx="3">
                    <c:v>0.15106497868832655</c:v>
                  </c:pt>
                  <c:pt idx="4">
                    <c:v>0.2013100549296355</c:v>
                  </c:pt>
                  <c:pt idx="5">
                    <c:v>0.14939542099900052</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0.71154980846395488</c:v>
                </c:pt>
                <c:pt idx="2">
                  <c:v>1.3906397477709889</c:v>
                </c:pt>
                <c:pt idx="3">
                  <c:v>1.4277591820455284</c:v>
                </c:pt>
                <c:pt idx="4">
                  <c:v>1.4606911261495514</c:v>
                </c:pt>
                <c:pt idx="5">
                  <c:v>1.1473220442669376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DUS-10µg/L + Testostérone</c:v>
                </c:pt>
                <c:pt idx="2">
                  <c:v>DUS-100µg/L + Testostérone</c:v>
                </c:pt>
                <c:pt idx="3">
                  <c:v>DUS-250µg/L + Testostérone</c:v>
                </c:pt>
                <c:pt idx="4">
                  <c:v>DUS-500µg/L + Testostérone</c:v>
                </c:pt>
                <c:pt idx="5">
                  <c:v>DUS-1000µg/L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1.0000000000000002</c:v>
                </c:pt>
                <c:pt idx="1">
                  <c:v>1.0000000000000002</c:v>
                </c:pt>
                <c:pt idx="2">
                  <c:v>1.0000000000000002</c:v>
                </c:pt>
                <c:pt idx="3">
                  <c:v>1.0000000000000002</c:v>
                </c:pt>
                <c:pt idx="4">
                  <c:v>1.0000000000000002</c:v>
                </c:pt>
                <c:pt idx="5">
                  <c:v>1.0000000000000002</c:v>
                </c:pt>
                <c:pt idx="6">
                  <c:v>1.0000000000000002</c:v>
                </c:pt>
                <c:pt idx="7">
                  <c:v>1.0000000000000002</c:v>
                </c:pt>
                <c:pt idx="8">
                  <c:v>1.0000000000000002</c:v>
                </c:pt>
                <c:pt idx="9">
                  <c:v>1.0000000000000002</c:v>
                </c:pt>
                <c:pt idx="10">
                  <c:v>1.0000000000000002</c:v>
                </c:pt>
                <c:pt idx="11">
                  <c:v>1.0000000000000002</c:v>
                </c:pt>
                <c:pt idx="12">
                  <c:v>1.0000000000000002</c:v>
                </c:pt>
                <c:pt idx="13">
                  <c:v>1.0000000000000002</c:v>
                </c:pt>
                <c:pt idx="14">
                  <c:v>1.0000000000000002</c:v>
                </c:pt>
                <c:pt idx="15">
                  <c:v>1.0000000000000002</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DUS-100µg/L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DUS-100µg/L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DUS-100µg/L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2E6CCF73-888B-42C9-8C57-325D18C784E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E6E85FCB-3036-4651-8976-23797B7049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1.4094596154947124E-2</c:v>
                  </c:pt>
                </c:numCache>
              </c:numRef>
            </c:plus>
            <c:minus>
              <c:numRef>
                <c:f>'Graph format rapport CHG 1éch'!$E$4:$G$4</c:f>
                <c:numCache>
                  <c:formatCode>General</c:formatCode>
                  <c:ptCount val="3"/>
                  <c:pt idx="1">
                    <c:v>1.4094596154947124E-2</c:v>
                  </c:pt>
                </c:numCache>
              </c:numRef>
            </c:minus>
          </c:errBars>
          <c:cat>
            <c:strRef>
              <c:f>'Graph format rapport CHG 1éch'!$E$2:$G$2</c:f>
              <c:strCache>
                <c:ptCount val="2"/>
                <c:pt idx="1">
                  <c:v>DUS-100µg/L</c:v>
                </c:pt>
              </c:strCache>
            </c:strRef>
          </c:cat>
          <c:val>
            <c:numRef>
              <c:f>'Graph format rapport CHG 1éch'!$E$3:$G$3</c:f>
              <c:numCache>
                <c:formatCode>General</c:formatCode>
                <c:ptCount val="3"/>
                <c:pt idx="1">
                  <c:v>0.10504766172373216</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9.8843588423777315E-2</c:v>
                </c:pt>
                <c:pt idx="1">
                  <c:v>9.8843588423777315E-2</c:v>
                </c:pt>
                <c:pt idx="2">
                  <c:v>9.8843588423777315E-2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DUS-10µg/L + Testostérone</c:v>
                </c:pt>
              </c:strCache>
            </c:strRef>
          </c:cat>
          <c:val>
            <c:numRef>
              <c:f>'Graph format rapport CHG 1éch'!$H$8:$J$8</c:f>
              <c:numCache>
                <c:formatCode>General</c:formatCode>
                <c:ptCount val="3"/>
                <c:pt idx="0">
                  <c:v>9.2753565260756843E-2</c:v>
                </c:pt>
                <c:pt idx="1">
                  <c:v>9.2753565260756843E-2</c:v>
                </c:pt>
                <c:pt idx="2">
                  <c:v>9.2753565260756843E-2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DUS-10µg/L + Testostérone</c:v>
                </c:pt>
              </c:strCache>
            </c:strRef>
          </c:cat>
          <c:val>
            <c:numRef>
              <c:f>'Graph format rapport CHG 1éch'!$H$9:$J$9</c:f>
              <c:numCache>
                <c:formatCode>General</c:formatCode>
                <c:ptCount val="3"/>
                <c:pt idx="0">
                  <c:v>2.1835137876577986</c:v>
                </c:pt>
                <c:pt idx="1">
                  <c:v>2.1835137876577986</c:v>
                </c:pt>
                <c:pt idx="2">
                  <c:v>2.1835137876577986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DUS-10µg/L + Testostérone</c:v>
                </c:pt>
              </c:strCache>
            </c:strRef>
          </c:cat>
          <c:val>
            <c:numRef>
              <c:f>'Graph format rapport CHG 1éch'!$H$10:$J$10</c:f>
              <c:numCache>
                <c:formatCode>General</c:formatCode>
                <c:ptCount val="3"/>
                <c:pt idx="0">
                  <c:v>0.31648621234220142</c:v>
                </c:pt>
                <c:pt idx="1">
                  <c:v>0.31648621234220142</c:v>
                </c:pt>
                <c:pt idx="2">
                  <c:v>0.31648621234220142</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8DC946F9-29F2-4AA0-892B-58F89E23F0F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E00CF468-4015-41EF-9B4B-93AFBC6E159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0.11947244121812256</c:v>
                  </c:pt>
                </c:numCache>
              </c:numRef>
            </c:plus>
            <c:minus>
              <c:numRef>
                <c:f>'Graph format rapport CHG 1éch'!$H$4:$J$4</c:f>
                <c:numCache>
                  <c:formatCode>General</c:formatCode>
                  <c:ptCount val="3"/>
                  <c:pt idx="1">
                    <c:v>0.11947244121812256</c:v>
                  </c:pt>
                </c:numCache>
              </c:numRef>
            </c:minus>
          </c:errBars>
          <c:cat>
            <c:strRef>
              <c:f>'Graph format rapport CHG 1éch'!$H$2:$J$2</c:f>
              <c:strCache>
                <c:ptCount val="2"/>
                <c:pt idx="1">
                  <c:v>DUS-10µg/L + Testostérone</c:v>
                </c:pt>
              </c:strCache>
            </c:strRef>
          </c:cat>
          <c:val>
            <c:numRef>
              <c:f>'Graph format rapport CHG 1éch'!$H$3:$J$3</c:f>
              <c:numCache>
                <c:formatCode>General</c:formatCode>
                <c:ptCount val="3"/>
                <c:pt idx="1">
                  <c:v>0.71154980846395488</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DUS-10µg/L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DUS-100µg/L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DUS-100µg/L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DUS-100µg/L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B7BB2ECD-D582-4E0C-8130-08B65DF8F24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32774F40-76D4-4F10-96B3-51057193C2E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1.4094596154947124E-2</c:v>
                  </c:pt>
                </c:numCache>
              </c:numRef>
            </c:plus>
            <c:minus>
              <c:numRef>
                <c:f>'Graph format rapport CHG 1éch'!$E$4:$G$4</c:f>
                <c:numCache>
                  <c:formatCode>General</c:formatCode>
                  <c:ptCount val="3"/>
                  <c:pt idx="1">
                    <c:v>1.4094596154947124E-2</c:v>
                  </c:pt>
                </c:numCache>
              </c:numRef>
            </c:minus>
          </c:errBars>
          <c:cat>
            <c:strRef>
              <c:f>'Graph format rapport CHG 1éch'!$E$2:$G$2</c:f>
              <c:strCache>
                <c:ptCount val="2"/>
                <c:pt idx="1">
                  <c:v>DUS-100µg/L</c:v>
                </c:pt>
              </c:strCache>
            </c:strRef>
          </c:cat>
          <c:val>
            <c:numRef>
              <c:f>'Graph format rapport CHG 1éch'!$E$3:$G$3</c:f>
              <c:numCache>
                <c:formatCode>General</c:formatCode>
                <c:ptCount val="3"/>
                <c:pt idx="1">
                  <c:v>0.10504766172373216</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9.8843588423777315E-2</c:v>
                </c:pt>
                <c:pt idx="1">
                  <c:v>9.8843588423777315E-2</c:v>
                </c:pt>
                <c:pt idx="2">
                  <c:v>9.8843588423777315E-2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DUS-10µg/L + Testostérone</c:v>
                </c:pt>
              </c:strCache>
            </c:strRef>
          </c:cat>
          <c:val>
            <c:numRef>
              <c:f>'Graph format rapport CHG 1éch'!$H$8:$J$8</c:f>
              <c:numCache>
                <c:formatCode>General</c:formatCode>
                <c:ptCount val="3"/>
                <c:pt idx="0">
                  <c:v>9.2753565260756843E-2</c:v>
                </c:pt>
                <c:pt idx="1">
                  <c:v>9.2753565260756843E-2</c:v>
                </c:pt>
                <c:pt idx="2">
                  <c:v>9.2753565260756843E-2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DUS-10µg/L + Testostérone</c:v>
                </c:pt>
              </c:strCache>
            </c:strRef>
          </c:cat>
          <c:val>
            <c:numRef>
              <c:f>'Graph format rapport CHG 1éch'!$H$9:$J$9</c:f>
              <c:numCache>
                <c:formatCode>General</c:formatCode>
                <c:ptCount val="3"/>
                <c:pt idx="0">
                  <c:v>2.1835137876577986</c:v>
                </c:pt>
                <c:pt idx="1">
                  <c:v>2.1835137876577986</c:v>
                </c:pt>
                <c:pt idx="2">
                  <c:v>2.1835137876577986</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DUS-10µg/L + Testostérone</c:v>
                </c:pt>
              </c:strCache>
            </c:strRef>
          </c:cat>
          <c:val>
            <c:numRef>
              <c:f>'Graph format rapport CHG 1éch'!$H$10:$J$10</c:f>
              <c:numCache>
                <c:formatCode>General</c:formatCode>
                <c:ptCount val="3"/>
                <c:pt idx="0">
                  <c:v>0.31648621234220142</c:v>
                </c:pt>
                <c:pt idx="1">
                  <c:v>0.31648621234220142</c:v>
                </c:pt>
                <c:pt idx="2">
                  <c:v>0.31648621234220142</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0F055D32-3D2D-4088-8C12-39AC6B26159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A5C697EB-2EFD-4E7A-8716-8FD88DA8F1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0.11947244121812256</c:v>
                  </c:pt>
                </c:numCache>
              </c:numRef>
            </c:plus>
            <c:minus>
              <c:numRef>
                <c:f>'Graph format rapport CHG 1éch'!$H$4:$J$4</c:f>
                <c:numCache>
                  <c:formatCode>General</c:formatCode>
                  <c:ptCount val="3"/>
                  <c:pt idx="1">
                    <c:v>0.11947244121812256</c:v>
                  </c:pt>
                </c:numCache>
              </c:numRef>
            </c:minus>
          </c:errBars>
          <c:cat>
            <c:strRef>
              <c:f>'Graph format rapport CHG 1éch'!$H$2:$J$2</c:f>
              <c:strCache>
                <c:ptCount val="2"/>
                <c:pt idx="1">
                  <c:v>DUS-10µg/L + Testostérone</c:v>
                </c:pt>
              </c:strCache>
            </c:strRef>
          </c:cat>
          <c:val>
            <c:numRef>
              <c:f>'Graph format rapport CHG 1éch'!$H$3:$J$3</c:f>
              <c:numCache>
                <c:formatCode>General</c:formatCode>
                <c:ptCount val="3"/>
                <c:pt idx="1">
                  <c:v>0.71154980846395488</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DUS-10µg/L + Testostérone</c:v>
                </c:pt>
              </c:strCache>
            </c:strRef>
          </c:cat>
          <c:val>
            <c:numRef>
              <c:f>'Graph format rapport CHG 1éch'!$H$7:$J$7</c:f>
              <c:numCache>
                <c:formatCode>General</c:formatCode>
                <c:ptCount val="3"/>
                <c:pt idx="0">
                  <c:v>1.0000000000000002</c:v>
                </c:pt>
                <c:pt idx="1">
                  <c:v>1.0000000000000002</c:v>
                </c:pt>
                <c:pt idx="2">
                  <c:v>1.0000000000000002</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6"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6"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6"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62"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99677" cy="6073468"/>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501711574077" createdVersion="5" refreshedVersion="7" minRefreshableVersion="3" recordCount="1556" xr:uid="{00000000-000A-0000-FFFF-FFFF0C000000}">
  <cacheSource type="worksheet">
    <worksheetSource name="Tableau4"/>
  </cacheSource>
  <cacheFields count="10">
    <cacheField name="Nom groupe" numFmtId="0">
      <sharedItems containsBlank="1" count="23">
        <s v="1"/>
        <s v=""/>
        <s v="13"/>
        <s v="14"/>
        <s v="15"/>
        <s v="16"/>
        <s v="2"/>
        <s v="3"/>
        <s v="4"/>
        <s v="5"/>
        <s v="6"/>
        <s v="7"/>
        <s v="10"/>
        <s v="11"/>
        <s v="12"/>
        <s v="17"/>
        <s v="18"/>
        <s v="19"/>
        <s v="20"/>
        <s v="21"/>
        <s v="8"/>
        <s v="9"/>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5"/>
    </cacheField>
    <cacheField name=" " numFmtId="0">
      <sharedItems containsBlank="1" count="24">
        <m/>
        <s v=" "/>
        <s v=" SD mean fluo "/>
        <s v=" 14.2068 "/>
        <s v=" 4.1747 "/>
        <s v=" 3.6317 "/>
        <s v=" 3.8989 "/>
        <s v=" 7.7027 "/>
        <s v=" 2.9939 "/>
        <s v=" 11.4445 "/>
        <s v=" 7.8271 "/>
        <s v=" 2.3188 "/>
        <s v=" 11.013 "/>
        <s v=" 4.0711 "/>
        <s v=" 4.3817 "/>
        <s v=" 7.5913 "/>
        <s v=" 16.923 "/>
        <s v=" 4.1329 "/>
        <s v=" 8.5414 "/>
        <s v=" 3.1267 "/>
        <s v=" 6.7457 "/>
        <s v=" 4.1165 "/>
        <s v=" 7.9585 "/>
        <s v=" 3.7782 "/>
      </sharedItems>
    </cacheField>
    <cacheField name=" total fluorescence" numFmtId="0">
      <sharedItems containsBlank="1" containsMixedTypes="1" containsNumber="1" containsInteger="1" minValue="0" maxValue="5641877"/>
    </cacheField>
    <cacheField name="         " numFmtId="0">
      <sharedItems containsBlank="1"/>
    </cacheField>
    <cacheField name="nbre de larves" numFmtId="0">
      <sharedItems containsBlank="1" containsMixedTypes="1" containsNumber="1" containsInteger="1" minValue="18"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501711689816" createdVersion="5" refreshedVersion="7" minRefreshableVersion="3" recordCount="1530" xr:uid="{00000000-000A-0000-FFFF-FFFF10000000}">
  <cacheSource type="worksheet">
    <worksheetSource name="Tableau46"/>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5"/>
    </cacheField>
    <cacheField name=" " numFmtId="0">
      <sharedItems containsBlank="1" count="24">
        <s v=" "/>
        <m/>
        <s v=" SD mean fluo "/>
        <s v=" 12.1031 "/>
        <s v=" 4.0828 "/>
        <s v=" 10.8395 "/>
        <s v=" 5.131 "/>
        <s v=" 9.4692 "/>
        <s v=" 2.1354 "/>
        <s v=" 16.6686 "/>
        <s v=" 12.1722 "/>
        <s v=" 2.059 "/>
        <s v=" 2.9596 "/>
        <s v=" 4.2413 "/>
        <s v=" 14.6181 "/>
        <s v=" 15.0013 "/>
        <s v=" 18.5661 "/>
        <s v=" 4.1773 "/>
        <s v=" 5.6148 "/>
        <s v=" 5.4544 "/>
        <s v=" 6.7438 "/>
        <s v=" 9.3278 "/>
        <s v=" 10.7161 "/>
        <s v=" 2.0471 "/>
      </sharedItems>
    </cacheField>
    <cacheField name=" total fluorescence" numFmtId="0">
      <sharedItems containsBlank="1" containsMixedTypes="1" containsNumber="1" containsInteger="1" minValue="0" maxValue="6381360"/>
    </cacheField>
    <cacheField name="         " numFmtId="0">
      <sharedItems containsBlank="1"/>
    </cacheField>
    <cacheField name="nbre de larves" numFmtId="0">
      <sharedItems containsBlank="1" containsMixedTypes="1" containsNumber="1" containsInteger="1" minValue="17"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501712037039" createdVersion="5" refreshedVersion="7" minRefreshableVersion="3" recordCount="1710" xr:uid="{00000000-000A-0000-FFFF-FFFF14000000}">
  <cacheSource type="worksheet">
    <worksheetSource name="Tableau467"/>
  </cacheSource>
  <cacheFields count="10">
    <cacheField name="Nom groupe" numFmtId="0">
      <sharedItems count="22">
        <s v="1"/>
        <s v=""/>
        <s v="13"/>
        <s v="14"/>
        <s v="15"/>
        <s v="16"/>
        <s v="2"/>
        <s v="3"/>
        <s v="4"/>
        <s v="5"/>
        <s v="6"/>
        <s v="7"/>
        <s v="10"/>
        <s v="11"/>
        <s v="12"/>
        <s v="17"/>
        <s v="18"/>
        <s v="19"/>
        <s v="20"/>
        <s v="21"/>
        <s v="8"/>
        <s v="9"/>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0" maxValue="0"/>
    </cacheField>
    <cacheField name=" mean intensity " numFmtId="0">
      <sharedItems containsBlank="1" containsMixedTypes="1" containsNumber="1" containsInteger="1" minValue="0" maxValue="37"/>
    </cacheField>
    <cacheField name=" " numFmtId="0">
      <sharedItems containsBlank="1" count="24">
        <s v=" "/>
        <m/>
        <s v=" SD mean fluo "/>
        <s v=" 13.1971 "/>
        <s v=" 6.0636 "/>
        <s v=" 4.8004 "/>
        <s v=" 15.7769 "/>
        <s v=" 15.7368 "/>
        <s v=" 13.863 "/>
        <s v=" 10.9426 "/>
        <s v=" 1.6867 "/>
        <s v=" 4.6043 "/>
        <s v=" 14.9929 "/>
        <s v=" 2.2937 "/>
        <s v=" 2.3486 "/>
        <s v=" 4.3796 "/>
        <s v=" 17.4453 "/>
        <s v=" 5.6208 "/>
        <s v=" 5.1202 "/>
        <s v=" 3.195 "/>
        <s v=" 4.9002 "/>
        <s v=" 8.7799 "/>
        <s v=" 9.0908 "/>
        <s v=" 14.7386 "/>
      </sharedItems>
    </cacheField>
    <cacheField name=" total fluorescence" numFmtId="0">
      <sharedItems containsBlank="1" containsMixedTypes="1" containsNumber="1" containsInteger="1" minValue="0" maxValue="5785391"/>
    </cacheField>
    <cacheField name="         " numFmtId="0">
      <sharedItems containsBlank="1" containsMixedTypes="1" containsNumber="1" containsInteger="1" minValue="1062986" maxValue="1062986"/>
    </cacheField>
    <cacheField name="nbre de larves" numFmtId="0">
      <sharedItems containsBlank="1" containsMixedTypes="1" containsNumber="1" containsInteger="1" minValue="16"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487.501712500001" createdVersion="6" refreshedVersion="7"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C:\Users\andre\Desktop\REACTIV CEFAS\Dutasteride\Dutasteride/20201201_Cefas_Test8_Run1/Plate 1/@1/A10_01- exclu.tif"/>
    <m/>
    <m/>
    <x v="0"/>
    <m/>
    <m/>
    <m/>
    <m/>
  </r>
  <r>
    <x v="0"/>
    <x v="0"/>
    <s v="C:\Users\andre\Desktop\REACTIV CEFAS\Dutasteride\Dutasteride/20201201_Cefas_Test8_Run1/Plate 1/@1/A10_02- exclu.tif"/>
    <m/>
    <m/>
    <x v="0"/>
    <m/>
    <m/>
    <m/>
    <m/>
  </r>
  <r>
    <x v="0"/>
    <x v="0"/>
    <s v="C:\Users\andre\Desktop\REACTIV CEFAS\Dutasteride\Dutasteride/20201201_Cefas_Test8_Run1/Plate 1/@1/A10_03- exclu.tif"/>
    <m/>
    <m/>
    <x v="0"/>
    <m/>
    <m/>
    <m/>
    <m/>
  </r>
  <r>
    <x v="0"/>
    <x v="1"/>
    <s v="C:\Users\andre\Desktop\REACTIV CEFAS\Dutasteride\Dutasteride/20201201_Cefas_Test8_Run1/Plate 1/@1/B10_01- exclu.tif"/>
    <m/>
    <m/>
    <x v="0"/>
    <m/>
    <m/>
    <m/>
    <m/>
  </r>
  <r>
    <x v="0"/>
    <x v="1"/>
    <s v="C:\Users\andre\Desktop\REACTIV CEFAS\Dutasteride\Dutasteride/20201201_Cefas_Test8_Run1/Plate 1/@1/B10_02- exclu.tif"/>
    <m/>
    <m/>
    <x v="0"/>
    <m/>
    <m/>
    <m/>
    <m/>
  </r>
  <r>
    <x v="0"/>
    <x v="1"/>
    <s v="C:\Users\andre\Desktop\REACTIV CEFAS\Dutasteride\Dutasteride/20201201_Cefas_Test8_Run1/Plate 1/@1/B10_03.tif "/>
    <s v=" 7267.6446 "/>
    <s v=" 37.8036 "/>
    <x v="1"/>
    <n v="274743"/>
    <m/>
    <m/>
    <m/>
  </r>
  <r>
    <x v="0"/>
    <x v="2"/>
    <s v="C:\Users\andre\Desktop\REACTIV CEFAS\Dutasteride\Dutasteride/20201201_Cefas_Test8_Run1/Plate 1/@1/C10_01.tif "/>
    <s v=" 6986.456 "/>
    <s v=" 39.4241 "/>
    <x v="1"/>
    <n v="275435"/>
    <m/>
    <m/>
    <m/>
  </r>
  <r>
    <x v="0"/>
    <x v="2"/>
    <s v="C:\Users\andre\Desktop\REACTIV CEFAS\Dutasteride\Dutasteride/20201201_Cefas_Test8_Run1/Plate 1/@1/C10_02.tif "/>
    <s v=" 6186.1499 "/>
    <s v=" 39.8147 "/>
    <x v="1"/>
    <n v="246300"/>
    <m/>
    <m/>
    <m/>
  </r>
  <r>
    <x v="0"/>
    <x v="2"/>
    <s v="C:\Users\andre\Desktop\REACTIV CEFAS\Dutasteride\Dutasteride/20201201_Cefas_Test8_Run1/Plate 1/@1/C10_03.tif "/>
    <s v=" 5991.4808 "/>
    <s v=" 37.9639 "/>
    <x v="1"/>
    <n v="227460"/>
    <m/>
    <m/>
    <m/>
  </r>
  <r>
    <x v="0"/>
    <x v="3"/>
    <s v="C:\Users\andre\Desktop\REACTIV CEFAS\Dutasteride\Dutasteride/20201201_Cefas_Test8_Run1/Plate 1/@1/D10_01.tif "/>
    <s v=" 3655.4522 "/>
    <s v=" 34.5503 "/>
    <x v="1"/>
    <n v="126297"/>
    <m/>
    <m/>
    <m/>
  </r>
  <r>
    <x v="0"/>
    <x v="3"/>
    <s v="C:\Users\andre\Desktop\REACTIV CEFAS\Dutasteride\Dutasteride/20201201_Cefas_Test8_Run1/Plate 1/@1/D10_02.tif "/>
    <s v=" 7592.093 "/>
    <s v=" 32.9202 "/>
    <x v="1"/>
    <n v="249933"/>
    <m/>
    <m/>
    <m/>
  </r>
  <r>
    <x v="0"/>
    <x v="3"/>
    <s v="C:\Users\andre\Desktop\REACTIV CEFAS\Dutasteride\Dutasteride/20201201_Cefas_Test8_Run1/Plate 1/@1/D10_03.tif "/>
    <s v=" 1838.541 "/>
    <s v=" 33.2235 "/>
    <x v="1"/>
    <n v="61083"/>
    <m/>
    <m/>
    <m/>
  </r>
  <r>
    <x v="0"/>
    <x v="4"/>
    <s v="C:\Users\andre\Desktop\REACTIV CEFAS\Dutasteride\Dutasteride/20201201_Cefas_Test8_Run1/Plate 1/@1/E10_01.tif "/>
    <s v=" 1752.0215 "/>
    <s v=" 37.358 "/>
    <x v="1"/>
    <n v="65452"/>
    <m/>
    <m/>
    <m/>
  </r>
  <r>
    <x v="0"/>
    <x v="4"/>
    <s v="C:\Users\andre\Desktop\REACTIV CEFAS\Dutasteride\Dutasteride/20201201_Cefas_Test8_Run1/Plate 1/@1/E10_02.tif "/>
    <s v=" 194.6691 "/>
    <s v=" 31.4444 "/>
    <x v="1"/>
    <n v="6121"/>
    <m/>
    <m/>
    <m/>
  </r>
  <r>
    <x v="0"/>
    <x v="4"/>
    <s v="C:\Users\andre\Desktop\REACTIV CEFAS\Dutasteride\Dutasteride/20201201_Cefas_Test8_Run1/Plate 1/@1/E10_03.tif "/>
    <n v="0"/>
    <n v="0"/>
    <x v="1"/>
    <n v="0"/>
    <m/>
    <m/>
    <m/>
  </r>
  <r>
    <x v="0"/>
    <x v="5"/>
    <s v="C:\Users\andre\Desktop\REACTIV CEFAS\Dutasteride\Dutasteride/20201201_Cefas_Test8_Run1/Plate 1/@1/F10_01.tif "/>
    <s v=" 4412.4985 "/>
    <s v=" 35.7255 "/>
    <x v="1"/>
    <n v="157639"/>
    <m/>
    <m/>
    <m/>
  </r>
  <r>
    <x v="0"/>
    <x v="5"/>
    <s v="C:\Users\andre\Desktop\REACTIV CEFAS\Dutasteride\Dutasteride/20201201_Cefas_Test8_Run1/Plate 1/@1/F10_02.tif "/>
    <s v=" 800.3061 "/>
    <s v=" 32.2703 "/>
    <x v="1"/>
    <n v="25826"/>
    <m/>
    <m/>
    <m/>
  </r>
  <r>
    <x v="0"/>
    <x v="5"/>
    <s v="C:\Users\andre\Desktop\REACTIV CEFAS\Dutasteride\Dutasteride/20201201_Cefas_Test8_Run1/Plate 1/@1/F10_03.tif "/>
    <n v="0"/>
    <n v="0"/>
    <x v="1"/>
    <n v="0"/>
    <m/>
    <m/>
    <m/>
  </r>
  <r>
    <x v="0"/>
    <x v="6"/>
    <s v="C:\Users\andre\Desktop\REACTIV CEFAS\Dutasteride\Dutasteride/20201201_Cefas_Test8_Run1/Plate 1/@1/G10_01.tif "/>
    <n v="0"/>
    <n v="0"/>
    <x v="1"/>
    <n v="0"/>
    <m/>
    <m/>
    <m/>
  </r>
  <r>
    <x v="0"/>
    <x v="6"/>
    <s v="C:\Users\andre\Desktop\REACTIV CEFAS\Dutasteride\Dutasteride/20201201_Cefas_Test8_Run1/Plate 1/@1/G10_02.tif "/>
    <s v=" 21.6299 "/>
    <n v="31"/>
    <x v="1"/>
    <n v="671"/>
    <m/>
    <m/>
    <m/>
  </r>
  <r>
    <x v="0"/>
    <x v="6"/>
    <s v="C:\Users\andre\Desktop\REACTIV CEFAS\Dutasteride\Dutasteride/20201201_Cefas_Test8_Run1/Plate 1/@1/G10_03.tif "/>
    <s v=" 21.6299 "/>
    <n v="30"/>
    <x v="1"/>
    <n v="649"/>
    <m/>
    <m/>
    <m/>
  </r>
  <r>
    <x v="0"/>
    <x v="7"/>
    <s v="C:\Users\andre\Desktop\REACTIV CEFAS\Dutasteride\Dutasteride/20201201_Cefas_Test8_Run1/Plate 1/@1/H10_01.tif "/>
    <s v=" 562.3773 "/>
    <s v=" 31.4231 "/>
    <x v="1"/>
    <n v="17672"/>
    <m/>
    <m/>
    <m/>
  </r>
  <r>
    <x v="0"/>
    <x v="7"/>
    <s v="C:\Users\andre\Desktop\REACTIV CEFAS\Dutasteride\Dutasteride/20201201_Cefas_Test8_Run1/Plate 1/@1/H10_02.tif "/>
    <s v=" 6467.3385 "/>
    <s v=" 37.4582 "/>
    <x v="1"/>
    <n v="242255"/>
    <m/>
    <m/>
    <m/>
  </r>
  <r>
    <x v="0"/>
    <x v="7"/>
    <s v="C:\Users\andre\Desktop\REACTIV CEFAS\Dutasteride\Dutasteride/20201201_Cefas_Test8_Run1/Plate 1/@1/H10_03.tif "/>
    <s v=" 7786.7621 "/>
    <s v=" 39.6639 "/>
    <x v="1"/>
    <n v="308853"/>
    <m/>
    <m/>
    <m/>
  </r>
  <r>
    <x v="1"/>
    <x v="8"/>
    <s v=" "/>
    <m/>
    <m/>
    <x v="0"/>
    <m/>
    <m/>
    <m/>
    <m/>
  </r>
  <r>
    <x v="1"/>
    <x v="8"/>
    <s v="group "/>
    <s v=" "/>
    <s v=" mean of mean fluo "/>
    <x v="2"/>
    <s v=" mean of total fluo "/>
    <s v=" SD total fluo "/>
    <s v=" n fluorescent "/>
    <s v=" n total"/>
  </r>
  <r>
    <x v="0"/>
    <x v="9"/>
    <s v="C:\Users\andre\Desktop\REACTIV CEFAS\Dutasteride\Dutasteride/20201201_Cefas_Test8_Run1/Plate 1/@1/ "/>
    <s v=" "/>
    <s v=" 29.8795 "/>
    <x v="3"/>
    <s v=" 140170.792 "/>
    <s v=" 147850.892 "/>
    <n v="20"/>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
    <x v="0"/>
    <s v="C:\Users\andre\Desktop\REACTIV CEFAS\Dutasteride\Dutasteride/20201201_Cefas_Test8_Run1/Plate 1/@13/A8_01.tif "/>
    <s v=" 24312.0016 "/>
    <s v=" 35.6423 "/>
    <x v="1"/>
    <n v="866537"/>
    <m/>
    <m/>
    <m/>
  </r>
  <r>
    <x v="2"/>
    <x v="0"/>
    <s v="C:\Users\andre\Desktop\REACTIV CEFAS\Dutasteride\Dutasteride/20201201_Cefas_Test8_Run1/Plate 1/@13/A8_02.tif "/>
    <s v=" 15140.9262 "/>
    <s v=" 35.39 "/>
    <x v="1"/>
    <n v="535837"/>
    <m/>
    <m/>
    <m/>
  </r>
  <r>
    <x v="2"/>
    <x v="0"/>
    <s v="C:\Users\andre\Desktop\REACTIV CEFAS\Dutasteride\Dutasteride/20201201_Cefas_Test8_Run1/Plate 1/@13/A8_03.tif "/>
    <s v=" 21911.0833 "/>
    <s v=" 35.157 "/>
    <x v="1"/>
    <n v="770327"/>
    <m/>
    <m/>
    <m/>
  </r>
  <r>
    <x v="2"/>
    <x v="1"/>
    <s v="C:\Users\andre\Desktop\REACTIV CEFAS\Dutasteride\Dutasteride/20201201_Cefas_Test8_Run1/Plate 1/@13/B8_01.tif "/>
    <s v=" 47239.6899 "/>
    <s v=" 36.8214 "/>
    <x v="1"/>
    <n v="1739433"/>
    <m/>
    <m/>
    <m/>
  </r>
  <r>
    <x v="2"/>
    <x v="1"/>
    <s v="C:\Users\andre\Desktop\REACTIV CEFAS\Dutasteride\Dutasteride/20201201_Cefas_Test8_Run1/Plate 1/@13/B8_02.tif "/>
    <s v=" 60217.6266 "/>
    <s v=" 38.5862 "/>
    <x v="1"/>
    <n v="2323570"/>
    <m/>
    <m/>
    <m/>
  </r>
  <r>
    <x v="2"/>
    <x v="1"/>
    <s v="C:\Users\andre\Desktop\REACTIV CEFAS\Dutasteride\Dutasteride/20201201_Cefas_Test8_Run1/Plate 1/@13/B8_03.tif "/>
    <s v=" 51046.5513 "/>
    <s v=" 37.1699 "/>
    <x v="1"/>
    <n v="1897396"/>
    <m/>
    <m/>
    <m/>
  </r>
  <r>
    <x v="2"/>
    <x v="2"/>
    <s v="C:\Users\andre\Desktop\REACTIV CEFAS\Dutasteride\Dutasteride/20201201_Cefas_Test8_Run1/Plate 1/@13/C8_01.tif "/>
    <s v=" 69756.4102 "/>
    <s v=" 42.9181 "/>
    <x v="1"/>
    <n v="2993815"/>
    <m/>
    <m/>
    <m/>
  </r>
  <r>
    <x v="2"/>
    <x v="2"/>
    <s v="C:\Users\andre\Desktop\REACTIV CEFAS\Dutasteride\Dutasteride/20201201_Cefas_Test8_Run1/Plate 1/@13/C8_02.tif "/>
    <s v=" 74644.7664 "/>
    <s v=" 47.8621 "/>
    <x v="1"/>
    <n v="3572653"/>
    <m/>
    <m/>
    <m/>
  </r>
  <r>
    <x v="2"/>
    <x v="2"/>
    <s v="C:\Users\andre\Desktop\REACTIV CEFAS\Dutasteride\Dutasteride/20201201_Cefas_Test8_Run1/Plate 1/@13/C8_03.tif "/>
    <s v=" 74298.6881 "/>
    <s v=" 47.5345 "/>
    <x v="1"/>
    <n v="3531751"/>
    <m/>
    <m/>
    <m/>
  </r>
  <r>
    <x v="2"/>
    <x v="3"/>
    <s v="C:\Users\andre\Desktop\REACTIV CEFAS\Dutasteride\Dutasteride/20201201_Cefas_Test8_Run1/Plate 1/@13/D8_01.tif "/>
    <s v=" 50895.1421 "/>
    <s v=" 39.4717 "/>
    <x v="1"/>
    <n v="2008920"/>
    <m/>
    <m/>
    <m/>
  </r>
  <r>
    <x v="2"/>
    <x v="3"/>
    <s v="C:\Users\andre\Desktop\REACTIV CEFAS\Dutasteride\Dutasteride/20201201_Cefas_Test8_Run1/Plate 1/@13/D8_02.tif "/>
    <s v=" 42459.4832 "/>
    <s v=" 36.0683 "/>
    <x v="1"/>
    <n v="1531440"/>
    <m/>
    <m/>
    <m/>
  </r>
  <r>
    <x v="2"/>
    <x v="3"/>
    <s v="C:\Users\andre\Desktop\REACTIV CEFAS\Dutasteride\Dutasteride/20201201_Cefas_Test8_Run1/Plate 1/@13/D8_03.tif "/>
    <s v=" 41507.7678 "/>
    <s v=" 37.468 "/>
    <x v="1"/>
    <n v="1555211"/>
    <m/>
    <m/>
    <m/>
  </r>
  <r>
    <x v="2"/>
    <x v="4"/>
    <s v="C:\Users\andre\Desktop\REACTIV CEFAS\Dutasteride\Dutasteride/20201201_Cefas_Test8_Run1/Plate 1/@13/E8_01.tif "/>
    <s v=" 8132.8404 "/>
    <s v=" 33.8218 "/>
    <x v="1"/>
    <n v="275067"/>
    <m/>
    <m/>
    <m/>
  </r>
  <r>
    <x v="2"/>
    <x v="4"/>
    <s v="C:\Users\andre\Desktop\REACTIV CEFAS\Dutasteride\Dutasteride/20201201_Cefas_Test8_Run1/Plate 1/@13/E8_02.tif "/>
    <s v=" 5472.3633 "/>
    <s v=" 32.8735 "/>
    <x v="1"/>
    <n v="179896"/>
    <m/>
    <m/>
    <m/>
  </r>
  <r>
    <x v="2"/>
    <x v="4"/>
    <s v="C:\Users\andre\Desktop\REACTIV CEFAS\Dutasteride\Dutasteride/20201201_Cefas_Test8_Run1/Plate 1/@13/E8_03.tif "/>
    <s v=" 3828.4913 "/>
    <s v=" 32.1808 "/>
    <x v="1"/>
    <n v="123204"/>
    <m/>
    <m/>
    <m/>
  </r>
  <r>
    <x v="2"/>
    <x v="5"/>
    <s v="C:\Users\andre\Desktop\REACTIV CEFAS\Dutasteride\Dutasteride/20201201_Cefas_Test8_Run1/Plate 1/@13/F8_01.tif "/>
    <s v=" 37571.127 "/>
    <s v=" 39.4865 "/>
    <x v="1"/>
    <n v="1483551"/>
    <m/>
    <m/>
    <m/>
  </r>
  <r>
    <x v="2"/>
    <x v="5"/>
    <s v="C:\Users\andre\Desktop\REACTIV CEFAS\Dutasteride\Dutasteride/20201201_Cefas_Test8_Run1/Plate 1/@13/F8_02.tif "/>
    <s v=" 29503.1763 "/>
    <s v=" 38.5249 "/>
    <x v="1"/>
    <n v="1136608"/>
    <m/>
    <m/>
    <m/>
  </r>
  <r>
    <x v="2"/>
    <x v="5"/>
    <s v="C:\Users\andre\Desktop\REACTIV CEFAS\Dutasteride\Dutasteride/20201201_Cefas_Test8_Run1/Plate 1/@13/F8_03.tif "/>
    <s v=" 38003.7249 "/>
    <s v=" 39.7063 "/>
    <x v="1"/>
    <n v="1508988"/>
    <m/>
    <m/>
    <m/>
  </r>
  <r>
    <x v="2"/>
    <x v="6"/>
    <s v="C:\Users\andre\Desktop\REACTIV CEFAS\Dutasteride\Dutasteride/20201201_Cefas_Test8_Run1/Plate 1/@13/G8_01.tif "/>
    <s v=" 51630.5585 "/>
    <s v=" 36.4001 "/>
    <x v="1"/>
    <n v="1879357"/>
    <m/>
    <m/>
    <m/>
  </r>
  <r>
    <x v="2"/>
    <x v="6"/>
    <s v="C:\Users\andre\Desktop\REACTIV CEFAS\Dutasteride\Dutasteride/20201201_Cefas_Test8_Run1/Plate 1/@13/G8_02.tif "/>
    <s v=" 42632.5223 "/>
    <s v=" 36.1187 "/>
    <x v="1"/>
    <n v="1539832"/>
    <m/>
    <m/>
    <m/>
  </r>
  <r>
    <x v="2"/>
    <x v="6"/>
    <s v="C:\Users\andre\Desktop\REACTIV CEFAS\Dutasteride\Dutasteride/20201201_Cefas_Test8_Run1/Plate 1/@13/G8_03.tif "/>
    <s v=" 47499.2486 "/>
    <s v=" 36.51 "/>
    <x v="1"/>
    <n v="1734198"/>
    <m/>
    <m/>
    <m/>
  </r>
  <r>
    <x v="2"/>
    <x v="7"/>
    <s v="C:\Users\andre\Desktop\REACTIV CEFAS\Dutasteride\Dutasteride/20201201_Cefas_Test8_Run1/Plate 1/@13/H8_01- exclu.tif"/>
    <m/>
    <m/>
    <x v="0"/>
    <m/>
    <m/>
    <m/>
    <m/>
  </r>
  <r>
    <x v="2"/>
    <x v="7"/>
    <s v="C:\Users\andre\Desktop\REACTIV CEFAS\Dutasteride\Dutasteride/20201201_Cefas_Test8_Run1/Plate 1/@13/H8_02- exclu.tif"/>
    <m/>
    <m/>
    <x v="0"/>
    <m/>
    <m/>
    <m/>
    <m/>
  </r>
  <r>
    <x v="2"/>
    <x v="7"/>
    <s v="C:\Users\andre\Desktop\REACTIV CEFAS\Dutasteride\Dutasteride/20201201_Cefas_Test8_Run1/Plate 1/@13/H8_03- exclu.tif"/>
    <m/>
    <m/>
    <x v="0"/>
    <m/>
    <m/>
    <m/>
    <m/>
  </r>
  <r>
    <x v="1"/>
    <x v="8"/>
    <s v=" "/>
    <m/>
    <m/>
    <x v="0"/>
    <m/>
    <m/>
    <m/>
    <m/>
  </r>
  <r>
    <x v="1"/>
    <x v="8"/>
    <s v="group "/>
    <s v=" "/>
    <s v=" mean of mean fluo "/>
    <x v="2"/>
    <s v=" mean of total fluo "/>
    <s v=" SD total fluo "/>
    <s v=" n fluorescent "/>
    <s v=" n total"/>
  </r>
  <r>
    <x v="2"/>
    <x v="9"/>
    <s v="C:\Users\andre\Desktop\REACTIV CEFAS\Dutasteride\Dutasteride/20201201_Cefas_Test8_Run1/Plate 1/@13/ "/>
    <s v=" "/>
    <s v=" 37.2545 "/>
    <x v="4"/>
    <s v=" 1401409.88 "/>
    <s v=" 1029844.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3"/>
    <x v="0"/>
    <s v="C:\Users\andre\Desktop\REACTIV CEFAS\Dutasteride\Dutasteride/20201201_Cefas_Test8_Run1/Plate 1/@14/A9_01.tif "/>
    <s v=" 53620.5088 "/>
    <s v=" 45.5264 "/>
    <x v="1"/>
    <n v="2441150"/>
    <m/>
    <m/>
    <m/>
  </r>
  <r>
    <x v="3"/>
    <x v="0"/>
    <s v="C:\Users\andre\Desktop\REACTIV CEFAS\Dutasteride\Dutasteride/20201201_Cefas_Test8_Run1/Plate 1/@14/A9_02.tif "/>
    <s v=" 56345.8755 "/>
    <s v=" 47.2418 "/>
    <x v="1"/>
    <n v="2661883"/>
    <m/>
    <m/>
    <m/>
  </r>
  <r>
    <x v="3"/>
    <x v="0"/>
    <s v="C:\Users\andre\Desktop\REACTIV CEFAS\Dutasteride\Dutasteride/20201201_Cefas_Test8_Run1/Plate 1/@14/A9_03.tif "/>
    <s v=" 63224.182 "/>
    <s v=" 48.338 "/>
    <x v="1"/>
    <n v="3056131"/>
    <m/>
    <m/>
    <m/>
  </r>
  <r>
    <x v="3"/>
    <x v="1"/>
    <s v="C:\Users\andre\Desktop\REACTIV CEFAS\Dutasteride\Dutasteride/20201201_Cefas_Test8_Run1/Plate 1/@14/B9_01.tif "/>
    <s v=" 57838.3382 "/>
    <s v=" 40.2427 "/>
    <x v="1"/>
    <n v="2327571"/>
    <m/>
    <m/>
    <m/>
  </r>
  <r>
    <x v="3"/>
    <x v="1"/>
    <s v="C:\Users\andre\Desktop\REACTIV CEFAS\Dutasteride\Dutasteride/20201201_Cefas_Test8_Run1/Plate 1/@14/B9_02.tif "/>
    <s v=" 55350.9004 "/>
    <s v=" 41.4412 "/>
    <x v="1"/>
    <n v="2293807"/>
    <m/>
    <m/>
    <m/>
  </r>
  <r>
    <x v="3"/>
    <x v="1"/>
    <s v="C:\Users\andre\Desktop\REACTIV CEFAS\Dutasteride\Dutasteride/20201201_Cefas_Test8_Run1/Plate 1/@14/B9_03.tif "/>
    <s v=" 56735.2136 "/>
    <s v=" 40.9344 "/>
    <x v="1"/>
    <n v="2322423"/>
    <m/>
    <m/>
    <m/>
  </r>
  <r>
    <x v="3"/>
    <x v="2"/>
    <s v="C:\Users\andre\Desktop\REACTIV CEFAS\Dutasteride\Dutasteride/20201201_Cefas_Test8_Run1/Plate 1/@14/C9_01.tif "/>
    <s v=" 61126.0822 "/>
    <s v=" 45.4306 "/>
    <x v="1"/>
    <n v="2776997"/>
    <m/>
    <m/>
    <m/>
  </r>
  <r>
    <x v="3"/>
    <x v="2"/>
    <s v="C:\Users\andre\Desktop\REACTIV CEFAS\Dutasteride\Dutasteride/20201201_Cefas_Test8_Run1/Plate 1/@14/C9_02.tif "/>
    <s v=" 57232.7012 "/>
    <s v=" 44.8141 "/>
    <x v="1"/>
    <n v="2564830"/>
    <m/>
    <m/>
    <m/>
  </r>
  <r>
    <x v="3"/>
    <x v="2"/>
    <s v="C:\Users\andre\Desktop\REACTIV CEFAS\Dutasteride\Dutasteride/20201201_Cefas_Test8_Run1/Plate 1/@14/C9_03.tif "/>
    <s v=" 55199.4911 "/>
    <s v=" 42.2092 "/>
    <x v="1"/>
    <n v="2329929"/>
    <m/>
    <m/>
    <m/>
  </r>
  <r>
    <x v="3"/>
    <x v="3"/>
    <s v="C:\Users\andre\Desktop\REACTIV CEFAS\Dutasteride\Dutasteride/20201201_Cefas_Test8_Run1/Plate 1/@14/D9_01.tif "/>
    <s v=" 65408.8014 "/>
    <s v=" 44.8185 "/>
    <x v="1"/>
    <n v="2931521"/>
    <m/>
    <m/>
    <m/>
  </r>
  <r>
    <x v="3"/>
    <x v="3"/>
    <s v="C:\Users\andre\Desktop\REACTIV CEFAS\Dutasteride\Dutasteride/20201201_Cefas_Test8_Run1/Plate 1/@14/D9_02.tif "/>
    <s v=" 54853.4128 "/>
    <s v=" 42.1928 "/>
    <x v="1"/>
    <n v="2314420"/>
    <m/>
    <m/>
    <m/>
  </r>
  <r>
    <x v="3"/>
    <x v="3"/>
    <s v="C:\Users\andre\Desktop\REACTIV CEFAS\Dutasteride\Dutasteride/20201201_Cefas_Test8_Run1/Plate 1/@14/D9_03.tif "/>
    <s v=" 59720.1391 "/>
    <s v=" 44.2912 "/>
    <x v="1"/>
    <n v="2645077"/>
    <m/>
    <m/>
    <m/>
  </r>
  <r>
    <x v="3"/>
    <x v="4"/>
    <s v="C:\Users\andre\Desktop\REACTIV CEFAS\Dutasteride\Dutasteride/20201201_Cefas_Test8_Run1/Plate 1/@14/E9_01.tif "/>
    <s v=" 51500.7791 "/>
    <s v=" 46.0302 "/>
    <x v="1"/>
    <n v="2370593"/>
    <m/>
    <m/>
    <m/>
  </r>
  <r>
    <x v="3"/>
    <x v="4"/>
    <s v="C:\Users\andre\Desktop\REACTIV CEFAS\Dutasteride\Dutasteride/20201201_Cefas_Test8_Run1/Plate 1/@14/E9_02- exclu.tif"/>
    <m/>
    <m/>
    <x v="0"/>
    <m/>
    <m/>
    <m/>
    <m/>
  </r>
  <r>
    <x v="3"/>
    <x v="4"/>
    <s v="C:\Users\andre\Desktop\REACTIV CEFAS\Dutasteride\Dutasteride/20201201_Cefas_Test8_Run1/Plate 1/@14/E9_03.tif "/>
    <s v=" 43995.2057 "/>
    <s v=" 45.826 "/>
    <x v="1"/>
    <n v="2016122"/>
    <m/>
    <m/>
    <m/>
  </r>
  <r>
    <x v="3"/>
    <x v="5"/>
    <s v="C:\Users\andre\Desktop\REACTIV CEFAS\Dutasteride\Dutasteride/20201201_Cefas_Test8_Run1/Plate 1/@14/F9_01.tif "/>
    <s v=" 36987.1198 "/>
    <s v=" 42.5357 "/>
    <x v="1"/>
    <n v="1573272"/>
    <m/>
    <m/>
    <m/>
  </r>
  <r>
    <x v="3"/>
    <x v="5"/>
    <s v="C:\Users\andre\Desktop\REACTIV CEFAS\Dutasteride\Dutasteride/20201201_Cefas_Test8_Run1/Plate 1/@14/F9_02.tif "/>
    <s v=" 32012.2441 "/>
    <s v=" 43.7878 "/>
    <x v="1"/>
    <n v="1401747"/>
    <m/>
    <m/>
    <m/>
  </r>
  <r>
    <x v="3"/>
    <x v="5"/>
    <s v="C:\Users\andre\Desktop\REACTIV CEFAS\Dutasteride\Dutasteride/20201201_Cefas_Test8_Run1/Plate 1/@14/F9_03.tif "/>
    <s v=" 30108.8133 "/>
    <s v=" 42.1803 "/>
    <x v="1"/>
    <n v="1269999"/>
    <m/>
    <m/>
    <m/>
  </r>
  <r>
    <x v="3"/>
    <x v="6"/>
    <s v="C:\Users\andre\Desktop\REACTIV CEFAS\Dutasteride\Dutasteride/20201201_Cefas_Test8_Run1/Plate 1/@14/G9_01.tif "/>
    <s v=" 5818.4417 "/>
    <s v=" 37.8885 "/>
    <x v="1"/>
    <n v="220452"/>
    <m/>
    <m/>
    <m/>
  </r>
  <r>
    <x v="3"/>
    <x v="6"/>
    <s v="C:\Users\andre\Desktop\REACTIV CEFAS\Dutasteride\Dutasteride/20201201_Cefas_Test8_Run1/Plate 1/@14/G9_02.tif "/>
    <s v=" 10274.1999 "/>
    <s v=" 43.7263 "/>
    <x v="1"/>
    <n v="449253"/>
    <m/>
    <m/>
    <m/>
  </r>
  <r>
    <x v="3"/>
    <x v="6"/>
    <s v="C:\Users\andre\Desktop\REACTIV CEFAS\Dutasteride\Dutasteride/20201201_Cefas_Test8_Run1/Plate 1/@14/G9_03.tif "/>
    <s v=" 6488.9684 "/>
    <s v=" 40.9467 "/>
    <x v="1"/>
    <n v="265702"/>
    <m/>
    <m/>
    <m/>
  </r>
  <r>
    <x v="3"/>
    <x v="7"/>
    <s v="C:\Users\andre\Desktop\REACTIV CEFAS\Dutasteride\Dutasteride/20201201_Cefas_Test8_Run1/Plate 1/@14/H9_01.tif "/>
    <s v=" 31147.0483 "/>
    <s v=" 35.1354 "/>
    <x v="1"/>
    <n v="1094365"/>
    <m/>
    <m/>
    <m/>
  </r>
  <r>
    <x v="3"/>
    <x v="7"/>
    <s v="C:\Users\andre\Desktop\REACTIV CEFAS\Dutasteride\Dutasteride/20201201_Cefas_Test8_Run1/Plate 1/@14/H9_02.tif "/>
    <s v=" 35062.0592 "/>
    <s v=" 36.2918 "/>
    <x v="1"/>
    <n v="1272465"/>
    <m/>
    <m/>
    <m/>
  </r>
  <r>
    <x v="3"/>
    <x v="7"/>
    <s v="C:\Users\andre\Desktop\REACTIV CEFAS\Dutasteride\Dutasteride/20201201_Cefas_Test8_Run1/Plate 1/@14/H9_03.tif "/>
    <s v=" 36143.5539 "/>
    <s v=" 35.2328 "/>
    <x v="1"/>
    <n v="1273438"/>
    <m/>
    <m/>
    <m/>
  </r>
  <r>
    <x v="1"/>
    <x v="8"/>
    <s v=" "/>
    <m/>
    <m/>
    <x v="0"/>
    <m/>
    <m/>
    <m/>
    <m/>
  </r>
  <r>
    <x v="1"/>
    <x v="8"/>
    <s v="group "/>
    <s v=" "/>
    <s v=" mean of mean fluo "/>
    <x v="2"/>
    <s v=" mean of total fluo "/>
    <s v=" SD total fluo "/>
    <s v=" n fluorescent "/>
    <s v=" n total"/>
  </r>
  <r>
    <x v="3"/>
    <x v="9"/>
    <s v="C:\Users\andre\Desktop\REACTIV CEFAS\Dutasteride\Dutasteride/20201201_Cefas_Test8_Run1/Plate 1/@14/ "/>
    <s v=" "/>
    <s v=" 42.6169 "/>
    <x v="5"/>
    <s v=" 1901017.12 "/>
    <s v=" 832858.49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4"/>
    <x v="0"/>
    <s v="C:\Users\andre\Desktop\REACTIV CEFAS\Dutasteride\Dutasteride/20201201_Cefas_Test8_Run1/Plate 1/@15/A11_01.tif "/>
    <s v=" 79403.3432 "/>
    <s v=" 51.1351 "/>
    <x v="1"/>
    <n v="4060299"/>
    <m/>
    <m/>
    <m/>
  </r>
  <r>
    <x v="4"/>
    <x v="0"/>
    <s v="C:\Users\andre\Desktop\REACTIV CEFAS\Dutasteride\Dutasteride/20201201_Cefas_Test8_Run1/Plate 1/@15/A11_02.tif "/>
    <s v=" 73498.3819 "/>
    <s v=" 49.7969 "/>
    <x v="1"/>
    <n v="3659994"/>
    <m/>
    <m/>
    <m/>
  </r>
  <r>
    <x v="4"/>
    <x v="0"/>
    <s v="C:\Users\andre\Desktop\REACTIV CEFAS\Dutasteride\Dutasteride/20201201_Cefas_Test8_Run1/Plate 1/@15/A11_03.tif "/>
    <s v=" 75055.7344 "/>
    <s v=" 53.9562 "/>
    <x v="1"/>
    <n v="4049722"/>
    <m/>
    <m/>
    <m/>
  </r>
  <r>
    <x v="4"/>
    <x v="1"/>
    <s v="C:\Users\andre\Desktop\REACTIV CEFAS\Dutasteride\Dutasteride/20201201_Cefas_Test8_Run1/Plate 1/@15/B11_01.tif "/>
    <s v=" 72957.6346 "/>
    <s v=" 51.3694 "/>
    <x v="1"/>
    <n v="3747790"/>
    <m/>
    <m/>
    <m/>
  </r>
  <r>
    <x v="4"/>
    <x v="1"/>
    <s v="C:\Users\andre\Desktop\REACTIV CEFAS\Dutasteride\Dutasteride/20201201_Cefas_Test8_Run1/Plate 1/@15/B11_02.tif "/>
    <s v=" 79057.2649 "/>
    <s v=" 51.3666 "/>
    <x v="1"/>
    <n v="4060905"/>
    <m/>
    <m/>
    <m/>
  </r>
  <r>
    <x v="4"/>
    <x v="1"/>
    <s v="C:\Users\andre\Desktop\REACTIV CEFAS\Dutasteride\Dutasteride/20201201_Cefas_Test8_Run1/Plate 1/@15/B11_03.tif "/>
    <s v=" 75380.1828 "/>
    <s v=" 52.1392 "/>
    <x v="1"/>
    <n v="3930260"/>
    <m/>
    <m/>
    <m/>
  </r>
  <r>
    <x v="4"/>
    <x v="2"/>
    <s v="C:\Users\andre\Desktop\REACTIV CEFAS\Dutasteride\Dutasteride/20201201_Cefas_Test8_Run1/Plate 1/@15/C11_01.tif "/>
    <s v=" 87730.8526 "/>
    <s v=" 49.747 "/>
    <x v="1"/>
    <n v="4364350"/>
    <m/>
    <m/>
    <m/>
  </r>
  <r>
    <x v="4"/>
    <x v="2"/>
    <s v="C:\Users\andre\Desktop\REACTIV CEFAS\Dutasteride\Dutasteride/20201201_Cefas_Test8_Run1/Plate 1/@15/C11_02.tif "/>
    <s v=" 85849.0518 "/>
    <s v=" 48.5006 "/>
    <x v="1"/>
    <n v="4163733"/>
    <m/>
    <m/>
    <m/>
  </r>
  <r>
    <x v="4"/>
    <x v="2"/>
    <s v="C:\Users\andre\Desktop\REACTIV CEFAS\Dutasteride\Dutasteride/20201201_Cefas_Test8_Run1/Plate 1/@15/C11_03.tif "/>
    <s v=" 93484.4046 "/>
    <s v=" 52.6617 "/>
    <x v="1"/>
    <n v="4923051"/>
    <m/>
    <m/>
    <m/>
  </r>
  <r>
    <x v="4"/>
    <x v="3"/>
    <s v="C:\Users\andre\Desktop\REACTIV CEFAS\Dutasteride\Dutasteride/20201201_Cefas_Test8_Run1/Plate 1/@15/D11_01- exclu.tif"/>
    <m/>
    <m/>
    <x v="0"/>
    <m/>
    <m/>
    <m/>
    <m/>
  </r>
  <r>
    <x v="4"/>
    <x v="3"/>
    <s v="C:\Users\andre\Desktop\REACTIV CEFAS\Dutasteride\Dutasteride/20201201_Cefas_Test8_Run1/Plate 1/@15/D11_02.tif "/>
    <s v=" 53123.0212 "/>
    <s v=" 43.9951 "/>
    <x v="1"/>
    <n v="2337153"/>
    <m/>
    <m/>
    <m/>
  </r>
  <r>
    <x v="4"/>
    <x v="3"/>
    <s v="C:\Users\andre\Desktop\REACTIV CEFAS\Dutasteride\Dutasteride/20201201_Cefas_Test8_Run1/Plate 1/@15/D11_03.tif "/>
    <s v=" 50332.7648 "/>
    <s v=" 41.1771 "/>
    <x v="1"/>
    <n v="2072555"/>
    <m/>
    <m/>
    <m/>
  </r>
  <r>
    <x v="4"/>
    <x v="4"/>
    <s v="C:\Users\andre\Desktop\REACTIV CEFAS\Dutasteride\Dutasteride/20201201_Cefas_Test8_Run1/Plate 1/@15/E11_01.tif "/>
    <s v=" 86043.7208 "/>
    <s v=" 57.5178 "/>
    <x v="1"/>
    <n v="4949050"/>
    <m/>
    <m/>
    <m/>
  </r>
  <r>
    <x v="4"/>
    <x v="4"/>
    <s v="C:\Users\andre\Desktop\REACTIV CEFAS\Dutasteride\Dutasteride/20201201_Cefas_Test8_Run1/Plate 1/@15/E11_02.tif "/>
    <s v=" 80117.1297 "/>
    <s v=" 53.5359 "/>
    <x v="1"/>
    <n v="4289143"/>
    <m/>
    <m/>
    <m/>
  </r>
  <r>
    <x v="4"/>
    <x v="4"/>
    <s v="C:\Users\andre\Desktop\REACTIV CEFAS\Dutasteride\Dutasteride/20201201_Cefas_Test8_Run1/Plate 1/@15/E11_03.tif "/>
    <s v=" 83102.0552 "/>
    <s v=" 58.6065 "/>
    <x v="1"/>
    <n v="4870317"/>
    <m/>
    <m/>
    <m/>
  </r>
  <r>
    <x v="4"/>
    <x v="5"/>
    <s v="C:\Users\andre\Desktop\REACTIV CEFAS\Dutasteride\Dutasteride/20201201_Cefas_Test8_Run1/Plate 1/@15/F11_01.tif "/>
    <s v=" 66706.595 "/>
    <s v=" 47.4056 "/>
    <x v="1"/>
    <n v="3162269"/>
    <m/>
    <m/>
    <m/>
  </r>
  <r>
    <x v="4"/>
    <x v="5"/>
    <s v="C:\Users\andre\Desktop\REACTIV CEFAS\Dutasteride\Dutasteride/20201201_Cefas_Test8_Run1/Plate 1/@15/F11_02.tif "/>
    <s v=" 66230.7374 "/>
    <s v=" 50.87 "/>
    <x v="1"/>
    <n v="3369159"/>
    <m/>
    <m/>
    <m/>
  </r>
  <r>
    <x v="4"/>
    <x v="5"/>
    <s v="C:\Users\andre\Desktop\REACTIV CEFAS\Dutasteride\Dutasteride/20201201_Cefas_Test8_Run1/Plate 1/@15/F11_03- exclu.tif"/>
    <m/>
    <m/>
    <x v="0"/>
    <m/>
    <m/>
    <m/>
    <m/>
  </r>
  <r>
    <x v="4"/>
    <x v="6"/>
    <s v="C:\Users\andre\Desktop\REACTIV CEFAS\Dutasteride\Dutasteride/20201201_Cefas_Test8_Run1/Plate 1/@15/G11_01.tif "/>
    <s v=" 94219.821 "/>
    <s v=" 52.9431 "/>
    <x v="1"/>
    <n v="4988286"/>
    <m/>
    <m/>
    <m/>
  </r>
  <r>
    <x v="4"/>
    <x v="6"/>
    <s v="C:\Users\andre\Desktop\REACTIV CEFAS\Dutasteride\Dutasteride/20201201_Cefas_Test8_Run1/Plate 1/@15/G11_02.tif "/>
    <s v=" 85978.8311 "/>
    <s v=" 50.8503 "/>
    <x v="1"/>
    <n v="4372051"/>
    <m/>
    <m/>
    <m/>
  </r>
  <r>
    <x v="4"/>
    <x v="6"/>
    <s v="C:\Users\andre\Desktop\REACTIV CEFAS\Dutasteride\Dutasteride/20201201_Cefas_Test8_Run1/Plate 1/@15/G11_03.tif "/>
    <s v=" 92186.6109 "/>
    <s v=" 54.7189 "/>
    <x v="1"/>
    <n v="5044351"/>
    <m/>
    <m/>
    <m/>
  </r>
  <r>
    <x v="4"/>
    <x v="7"/>
    <s v="C:\Users\andre\Desktop\REACTIV CEFAS\Dutasteride\Dutasteride/20201201_Cefas_Test8_Run1/Plate 1/@15/H11_01.tif "/>
    <s v=" 44773.8819 "/>
    <s v=" 51.8604 "/>
    <x v="1"/>
    <n v="2321991"/>
    <m/>
    <m/>
    <m/>
  </r>
  <r>
    <x v="4"/>
    <x v="7"/>
    <s v="C:\Users\andre\Desktop\REACTIV CEFAS\Dutasteride\Dutasteride/20201201_Cefas_Test8_Run1/Plate 1/@15/H11_02.tif "/>
    <s v=" 51608.9286 "/>
    <s v=" 49.6551 "/>
    <x v="1"/>
    <n v="2562645"/>
    <m/>
    <m/>
    <m/>
  </r>
  <r>
    <x v="4"/>
    <x v="7"/>
    <s v="C:\Users\andre\Desktop\REACTIV CEFAS\Dutasteride\Dutasteride/20201201_Cefas_Test8_Run1/Plate 1/@15/H11_03.tif "/>
    <s v=" 50376.0246 "/>
    <s v=" 48.0854 "/>
    <x v="1"/>
    <n v="2422354"/>
    <m/>
    <m/>
    <m/>
  </r>
  <r>
    <x v="1"/>
    <x v="8"/>
    <s v=" "/>
    <m/>
    <m/>
    <x v="0"/>
    <m/>
    <m/>
    <m/>
    <m/>
  </r>
  <r>
    <x v="1"/>
    <x v="8"/>
    <s v="group "/>
    <s v=" "/>
    <s v=" mean of mean fluo "/>
    <x v="2"/>
    <s v=" mean of total fluo "/>
    <s v=" SD total fluo "/>
    <s v=" n fluorescent "/>
    <s v=" n total"/>
  </r>
  <r>
    <x v="4"/>
    <x v="9"/>
    <s v="C:\Users\andre\Desktop\REACTIV CEFAS\Dutasteride\Dutasteride/20201201_Cefas_Test8_Run1/Plate 1/@15/ "/>
    <s v=" "/>
    <s v=" 50.8315 "/>
    <x v="6"/>
    <s v=" 3690184.42 "/>
    <s v=" 1018859.5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5"/>
    <x v="0"/>
    <s v="C:\Users\andre\Desktop\REACTIV CEFAS\Dutasteride\Dutasteride/20201201_Cefas_Test8_Run1/Plate 1/@16/A12_01.tif "/>
    <s v=" 4217.8295 "/>
    <s v=" 35.1538 "/>
    <x v="1"/>
    <n v="148273"/>
    <m/>
    <m/>
    <m/>
  </r>
  <r>
    <x v="5"/>
    <x v="0"/>
    <s v="C:\Users\andre\Desktop\REACTIV CEFAS\Dutasteride\Dutasteride/20201201_Cefas_Test8_Run1/Plate 1/@16/A12_02.tif "/>
    <s v=" 757.0463 "/>
    <s v=" 31.5143 "/>
    <x v="1"/>
    <n v="23858"/>
    <m/>
    <m/>
    <m/>
  </r>
  <r>
    <x v="5"/>
    <x v="0"/>
    <s v="C:\Users\andre\Desktop\REACTIV CEFAS\Dutasteride\Dutasteride/20201201_Cefas_Test8_Run1/Plate 1/@16/A12_03.tif "/>
    <s v=" 216.2989 "/>
    <n v="32"/>
    <x v="1"/>
    <n v="6922"/>
    <m/>
    <m/>
    <m/>
  </r>
  <r>
    <x v="5"/>
    <x v="1"/>
    <s v="C:\Users\andre\Desktop\REACTIV CEFAS\Dutasteride\Dutasteride/20201201_Cefas_Test8_Run1/Plate 1/@16/B12_01.tif "/>
    <s v=" 2227.8791 "/>
    <s v=" 32.8641 "/>
    <x v="1"/>
    <n v="73217"/>
    <m/>
    <m/>
    <m/>
  </r>
  <r>
    <x v="5"/>
    <x v="1"/>
    <s v="C:\Users\andre\Desktop\REACTIV CEFAS\Dutasteride\Dutasteride/20201201_Cefas_Test8_Run1/Plate 1/@16/B12_02.tif "/>
    <s v=" 2898.4059 "/>
    <s v=" 36.1642 "/>
    <x v="1"/>
    <n v="104818"/>
    <m/>
    <m/>
    <m/>
  </r>
  <r>
    <x v="5"/>
    <x v="1"/>
    <s v="C:\Users\andre\Desktop\REACTIV CEFAS\Dutasteride\Dutasteride/20201201_Cefas_Test8_Run1/Plate 1/@16/B12_03.tif "/>
    <s v=" 3028.1852 "/>
    <s v=" 34.8214 "/>
    <x v="1"/>
    <n v="105446"/>
    <m/>
    <m/>
    <m/>
  </r>
  <r>
    <x v="5"/>
    <x v="2"/>
    <s v="C:\Users\andre\Desktop\REACTIV CEFAS\Dutasteride\Dutasteride/20201201_Cefas_Test8_Run1/Plate 1/@16/C12_01.tif "/>
    <s v=" 2920.0358 "/>
    <s v=" 33.7111 "/>
    <x v="1"/>
    <n v="98438"/>
    <m/>
    <m/>
    <m/>
  </r>
  <r>
    <x v="5"/>
    <x v="2"/>
    <s v="C:\Users\andre\Desktop\REACTIV CEFAS\Dutasteride\Dutasteride/20201201_Cefas_Test8_Run1/Plate 1/@16/C12_02- exclu.tif"/>
    <m/>
    <m/>
    <x v="0"/>
    <m/>
    <m/>
    <m/>
    <m/>
  </r>
  <r>
    <x v="5"/>
    <x v="2"/>
    <s v="C:\Users\andre\Desktop\REACTIV CEFAS\Dutasteride\Dutasteride/20201201_Cefas_Test8_Run1/Plate 1/@16/C12_03.tif "/>
    <s v=" 648.8968 "/>
    <s v=" 30.8333 "/>
    <x v="1"/>
    <n v="20008"/>
    <m/>
    <m/>
    <m/>
  </r>
  <r>
    <x v="5"/>
    <x v="3"/>
    <s v="C:\Users\andre\Desktop\REACTIV CEFAS\Dutasteride\Dutasteride/20201201_Cefas_Test8_Run1/Plate 1/@16/D12_01.tif "/>
    <s v=" 8630.328 "/>
    <s v=" 38.4511 "/>
    <x v="1"/>
    <n v="331846"/>
    <m/>
    <m/>
    <m/>
  </r>
  <r>
    <x v="5"/>
    <x v="3"/>
    <s v="C:\Users\andre\Desktop\REACTIV CEFAS\Dutasteride\Dutasteride/20201201_Cefas_Test8_Run1/Plate 1/@16/D12_02.tif "/>
    <s v=" 2725.3667 "/>
    <s v=" 33.7222 "/>
    <x v="1"/>
    <n v="91905"/>
    <m/>
    <m/>
    <m/>
  </r>
  <r>
    <x v="5"/>
    <x v="3"/>
    <s v="C:\Users\andre\Desktop\REACTIV CEFAS\Dutasteride\Dutasteride/20201201_Cefas_Test8_Run1/Plate 1/@16/D12_03.tif "/>
    <s v=" 3417.5234 "/>
    <s v=" 33.0253 "/>
    <x v="1"/>
    <n v="112865"/>
    <m/>
    <m/>
    <m/>
  </r>
  <r>
    <x v="5"/>
    <x v="4"/>
    <s v="C:\Users\andre\Desktop\REACTIV CEFAS\Dutasteride\Dutasteride/20201201_Cefas_Test8_Run1/Plate 1/@16/E12_01.tif "/>
    <s v=" 4347.6088 "/>
    <s v=" 35.1244 "/>
    <x v="1"/>
    <n v="152707"/>
    <m/>
    <m/>
    <m/>
  </r>
  <r>
    <x v="5"/>
    <x v="4"/>
    <s v="C:\Users\andre\Desktop\REACTIV CEFAS\Dutasteride\Dutasteride/20201201_Cefas_Test8_Run1/Plate 1/@16/E12_02- exclu.tif"/>
    <m/>
    <m/>
    <x v="0"/>
    <m/>
    <m/>
    <m/>
    <m/>
  </r>
  <r>
    <x v="5"/>
    <x v="4"/>
    <s v="C:\Users\andre\Desktop\REACTIV CEFAS\Dutasteride\Dutasteride/20201201_Cefas_Test8_Run1/Plate 1/@16/E12_03- exclu.tif"/>
    <m/>
    <m/>
    <x v="0"/>
    <m/>
    <m/>
    <m/>
    <m/>
  </r>
  <r>
    <x v="5"/>
    <x v="5"/>
    <s v="C:\Users\andre\Desktop\REACTIV CEFAS\Dutasteride\Dutasteride/20201201_Cefas_Test8_Run1/Plate 1/@16/F12_01.tif "/>
    <s v=" 10555.3886 "/>
    <s v=" 39.2766 "/>
    <x v="1"/>
    <n v="414580"/>
    <m/>
    <m/>
    <m/>
  </r>
  <r>
    <x v="5"/>
    <x v="5"/>
    <s v="C:\Users\andre\Desktop\REACTIV CEFAS\Dutasteride\Dutasteride/20201201_Cefas_Test8_Run1/Plate 1/@16/F12_02.tif "/>
    <s v=" 5840.0715 "/>
    <s v=" 37.4815 "/>
    <x v="1"/>
    <n v="218895"/>
    <m/>
    <m/>
    <m/>
  </r>
  <r>
    <x v="5"/>
    <x v="5"/>
    <s v="C:\Users\andre\Desktop\REACTIV CEFAS\Dutasteride\Dutasteride/20201201_Cefas_Test8_Run1/Plate 1/@16/F12_03.tif "/>
    <s v=" 4650.4273 "/>
    <s v=" 35.6186 "/>
    <x v="1"/>
    <n v="165642"/>
    <m/>
    <m/>
    <m/>
  </r>
  <r>
    <x v="5"/>
    <x v="6"/>
    <s v="C:\Users\andre\Desktop\REACTIV CEFAS\Dutasteride\Dutasteride/20201201_Cefas_Test8_Run1/Plate 1/@16/G12_01.tif "/>
    <s v=" 1795.2813 "/>
    <s v=" 31.0843 "/>
    <x v="1"/>
    <n v="55805"/>
    <m/>
    <m/>
    <m/>
  </r>
  <r>
    <x v="5"/>
    <x v="6"/>
    <s v="C:\Users\andre\Desktop\REACTIV CEFAS\Dutasteride\Dutasteride/20201201_Cefas_Test8_Run1/Plate 1/@16/G12_02.tif "/>
    <s v=" 951.7154 "/>
    <s v=" 32.6818 "/>
    <x v="1"/>
    <n v="31104"/>
    <m/>
    <m/>
    <m/>
  </r>
  <r>
    <x v="5"/>
    <x v="6"/>
    <s v="C:\Users\andre\Desktop\REACTIV CEFAS\Dutasteride\Dutasteride/20201201_Cefas_Test8_Run1/Plate 1/@16/G12_03.tif "/>
    <s v=" 3439.1532 "/>
    <s v=" 36.6164 "/>
    <x v="1"/>
    <n v="125929"/>
    <m/>
    <m/>
    <m/>
  </r>
  <r>
    <x v="5"/>
    <x v="7"/>
    <s v="C:\Users\andre\Desktop\REACTIV CEFAS\Dutasteride\Dutasteride/20201201_Cefas_Test8_Run1/Plate 1/@16/H12_01.tif "/>
    <s v=" 4390.8686 "/>
    <s v=" 35.1823 "/>
    <x v="1"/>
    <n v="154481"/>
    <m/>
    <m/>
    <m/>
  </r>
  <r>
    <x v="5"/>
    <x v="7"/>
    <s v="C:\Users\andre\Desktop\REACTIV CEFAS\Dutasteride\Dutasteride/20201201_Cefas_Test8_Run1/Plate 1/@16/H12_02.tif "/>
    <s v=" 2768.6265 "/>
    <s v=" 34.4375 "/>
    <x v="1"/>
    <n v="95345"/>
    <m/>
    <m/>
    <m/>
  </r>
  <r>
    <x v="5"/>
    <x v="7"/>
    <s v="C:\Users\andre\Desktop\REACTIV CEFAS\Dutasteride\Dutasteride/20201201_Cefas_Test8_Run1/Plate 1/@16/H12_03.tif "/>
    <s v=" 4369.2387 "/>
    <s v=" 37.3515 "/>
    <x v="1"/>
    <n v="163198"/>
    <m/>
    <m/>
    <m/>
  </r>
  <r>
    <x v="1"/>
    <x v="8"/>
    <s v=" "/>
    <m/>
    <m/>
    <x v="0"/>
    <m/>
    <m/>
    <m/>
    <m/>
  </r>
  <r>
    <x v="1"/>
    <x v="8"/>
    <s v="group "/>
    <s v=" "/>
    <s v=" mean of mean fluo "/>
    <x v="2"/>
    <s v=" mean of total fluo "/>
    <s v=" SD total fluo "/>
    <s v=" n fluorescent "/>
    <s v=" n total"/>
  </r>
  <r>
    <x v="5"/>
    <x v="9"/>
    <s v="C:\Users\andre\Desktop\REACTIV CEFAS\Dutasteride\Dutasteride/20201201_Cefas_Test8_Run1/Plate 1/@16/ "/>
    <s v=" "/>
    <s v=" 33.6831 "/>
    <x v="7"/>
    <s v=" 137755.5 "/>
    <s v=" 108930.994 "/>
    <n v="23"/>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6"/>
    <x v="0"/>
    <s v="C:\Users\andre\Desktop\REACTIV CEFAS\Dutasteride\Dutasteride/20201201_Cefas_Test8_Run1/Plate 1/@2/A2_01.tif "/>
    <s v=" 2314.3987 "/>
    <s v=" 36.0935 "/>
    <x v="1"/>
    <n v="83535"/>
    <m/>
    <m/>
    <m/>
  </r>
  <r>
    <x v="6"/>
    <x v="0"/>
    <s v="C:\Users\andre\Desktop\REACTIV CEFAS\Dutasteride\Dutasteride/20201201_Cefas_Test8_Run1/Plate 1/@2/A2_02.tif "/>
    <s v=" 3222.8543 "/>
    <s v=" 35.3826 "/>
    <x v="1"/>
    <n v="114033"/>
    <m/>
    <m/>
    <m/>
  </r>
  <r>
    <x v="6"/>
    <x v="0"/>
    <s v="C:\Users\andre\Desktop\REACTIV CEFAS\Dutasteride\Dutasteride/20201201_Cefas_Test8_Run1/Plate 1/@2/A2_03.tif "/>
    <s v=" 2422.5482 "/>
    <s v=" 35.5625 "/>
    <x v="1"/>
    <n v="86152"/>
    <m/>
    <m/>
    <m/>
  </r>
  <r>
    <x v="6"/>
    <x v="1"/>
    <s v="C:\Users\andre\Desktop\REACTIV CEFAS\Dutasteride\Dutasteride/20201201_Cefas_Test8_Run1/Plate 1/@2/B2_01.tif "/>
    <s v=" 6445.7086 "/>
    <s v=" 37.4262 "/>
    <x v="1"/>
    <n v="241238"/>
    <m/>
    <m/>
    <m/>
  </r>
  <r>
    <x v="6"/>
    <x v="1"/>
    <s v="C:\Users\andre\Desktop\REACTIV CEFAS\Dutasteride\Dutasteride/20201201_Cefas_Test8_Run1/Plate 1/@2/B2_02.tif "/>
    <s v=" 5018.1356 "/>
    <s v=" 35.8621 "/>
    <x v="1"/>
    <n v="179961"/>
    <m/>
    <m/>
    <m/>
  </r>
  <r>
    <x v="6"/>
    <x v="1"/>
    <s v="C:\Users\andre\Desktop\REACTIV CEFAS\Dutasteride\Dutasteride/20201201_Cefas_Test8_Run1/Plate 1/@2/B2_03.tif "/>
    <s v=" 6251.0395 "/>
    <s v=" 37.4187 "/>
    <x v="1"/>
    <n v="233906"/>
    <m/>
    <m/>
    <m/>
  </r>
  <r>
    <x v="6"/>
    <x v="2"/>
    <s v="C:\Users\andre\Desktop\REACTIV CEFAS\Dutasteride\Dutasteride/20201201_Cefas_Test8_Run1/Plate 1/@2/C2_01.tif "/>
    <s v=" 302.8185 "/>
    <s v=" 31.2857 "/>
    <x v="1"/>
    <n v="9474"/>
    <m/>
    <m/>
    <m/>
  </r>
  <r>
    <x v="6"/>
    <x v="2"/>
    <s v="C:\Users\andre\Desktop\REACTIV CEFAS\Dutasteride\Dutasteride/20201201_Cefas_Test8_Run1/Plate 1/@2/C2_02.tif "/>
    <s v=" 4174.5697 "/>
    <s v=" 37.2124 "/>
    <x v="1"/>
    <n v="155346"/>
    <m/>
    <m/>
    <m/>
  </r>
  <r>
    <x v="6"/>
    <x v="2"/>
    <s v="C:\Users\andre\Desktop\REACTIV CEFAS\Dutasteride\Dutasteride/20201201_Cefas_Test8_Run1/Plate 1/@2/C2_03.tif "/>
    <s v=" 6121.2602 "/>
    <s v=" 40.8198 "/>
    <x v="1"/>
    <n v="249869"/>
    <m/>
    <m/>
    <m/>
  </r>
  <r>
    <x v="6"/>
    <x v="3"/>
    <s v="C:\Users\andre\Desktop\REACTIV CEFAS\Dutasteride\Dutasteride/20201201_Cefas_Test8_Run1/Plate 1/@2/D2_01.tif "/>
    <s v=" 4261.0892 "/>
    <s v=" 33.0558 "/>
    <x v="1"/>
    <n v="140854"/>
    <m/>
    <m/>
    <m/>
  </r>
  <r>
    <x v="6"/>
    <x v="3"/>
    <s v="C:\Users\andre\Desktop\REACTIV CEFAS\Dutasteride\Dutasteride/20201201_Cefas_Test8_Run1/Plate 1/@2/D2_02.tif "/>
    <s v=" 4499.0181 "/>
    <s v=" 37.6875 "/>
    <x v="1"/>
    <n v="169557"/>
    <m/>
    <m/>
    <m/>
  </r>
  <r>
    <x v="6"/>
    <x v="3"/>
    <s v="C:\Users\andre\Desktop\REACTIV CEFAS\Dutasteride\Dutasteride/20201201_Cefas_Test8_Run1/Plate 1/@2/D2_03.tif "/>
    <s v=" 5147.9149 "/>
    <s v=" 39.7647 "/>
    <x v="1"/>
    <n v="204705"/>
    <m/>
    <m/>
    <m/>
  </r>
  <r>
    <x v="6"/>
    <x v="4"/>
    <s v="C:\Users\andre\Desktop\REACTIV CEFAS\Dutasteride\Dutasteride/20201201_Cefas_Test8_Run1/Plate 1/@2/E2_01.tif "/>
    <s v=" 6510.5983 "/>
    <s v=" 38.6279 "/>
    <x v="1"/>
    <n v="251491"/>
    <m/>
    <m/>
    <m/>
  </r>
  <r>
    <x v="6"/>
    <x v="4"/>
    <s v="C:\Users\andre\Desktop\REACTIV CEFAS\Dutasteride\Dutasteride/20201201_Cefas_Test8_Run1/Plate 1/@2/E2_02.tif "/>
    <s v=" 6078.0004 "/>
    <s v=" 41.8221 "/>
    <x v="1"/>
    <n v="254195"/>
    <m/>
    <m/>
    <m/>
  </r>
  <r>
    <x v="6"/>
    <x v="4"/>
    <s v="C:\Users\andre\Desktop\REACTIV CEFAS\Dutasteride\Dutasteride/20201201_Cefas_Test8_Run1/Plate 1/@2/E2_03.tif "/>
    <s v=" 6964.8261 "/>
    <s v=" 39.5031 "/>
    <x v="1"/>
    <n v="275132"/>
    <m/>
    <m/>
    <m/>
  </r>
  <r>
    <x v="6"/>
    <x v="5"/>
    <s v="C:\Users\andre\Desktop\REACTIV CEFAS\Dutasteride\Dutasteride/20201201_Cefas_Test8_Run1/Plate 1/@2/F2_01.tif "/>
    <s v=" 3309.3739 "/>
    <s v=" 37.719 "/>
    <x v="1"/>
    <n v="124826"/>
    <m/>
    <m/>
    <m/>
  </r>
  <r>
    <x v="6"/>
    <x v="5"/>
    <s v="C:\Users\andre\Desktop\REACTIV CEFAS\Dutasteride\Dutasteride/20201201_Cefas_Test8_Run1/Plate 1/@2/F2_02.tif "/>
    <s v=" 5320.9541 "/>
    <s v=" 41.9553 "/>
    <x v="1"/>
    <n v="223242"/>
    <m/>
    <m/>
    <m/>
  </r>
  <r>
    <x v="6"/>
    <x v="5"/>
    <s v="C:\Users\andre\Desktop\REACTIV CEFAS\Dutasteride\Dutasteride/20201201_Cefas_Test8_Run1/Plate 1/@2/F2_03.tif "/>
    <s v=" 7419.0539 "/>
    <s v=" 40.0671 "/>
    <x v="1"/>
    <n v="297260"/>
    <m/>
    <m/>
    <m/>
  </r>
  <r>
    <x v="6"/>
    <x v="6"/>
    <s v="C:\Users\andre\Desktop\REACTIV CEFAS\Dutasteride\Dutasteride/20201201_Cefas_Test8_Run1/Plate 1/@2/G2_01.tif "/>
    <s v=" 129.7794 "/>
    <s v=" 30.8333 "/>
    <x v="1"/>
    <n v="4002"/>
    <m/>
    <m/>
    <m/>
  </r>
  <r>
    <x v="6"/>
    <x v="6"/>
    <s v="C:\Users\andre\Desktop\REACTIV CEFAS\Dutasteride\Dutasteride/20201201_Cefas_Test8_Run1/Plate 1/@2/G2_02.tif "/>
    <s v=" 2768.6265 "/>
    <s v=" 35.3672 "/>
    <x v="1"/>
    <n v="97919"/>
    <m/>
    <m/>
    <m/>
  </r>
  <r>
    <x v="6"/>
    <x v="6"/>
    <s v="C:\Users\andre\Desktop\REACTIV CEFAS\Dutasteride\Dutasteride/20201201_Cefas_Test8_Run1/Plate 1/@2/G2_03.tif "/>
    <s v=" 3871.7511 "/>
    <s v=" 39.9777 "/>
    <x v="1"/>
    <n v="154784"/>
    <m/>
    <m/>
    <m/>
  </r>
  <r>
    <x v="6"/>
    <x v="7"/>
    <s v="C:\Users\andre\Desktop\REACTIV CEFAS\Dutasteride\Dutasteride/20201201_Cefas_Test8_Run1/Plate 1/@2/H2_01.tif "/>
    <s v=" 6402.4488 "/>
    <s v=" 34.5304 "/>
    <x v="1"/>
    <n v="221079"/>
    <m/>
    <m/>
    <m/>
  </r>
  <r>
    <x v="6"/>
    <x v="7"/>
    <s v="C:\Users\andre\Desktop\REACTIV CEFAS\Dutasteride\Dutasteride/20201201_Cefas_Test8_Run1/Plate 1/@2/H2_02.tif "/>
    <s v=" 4542.2779 "/>
    <s v=" 36.9857 "/>
    <x v="1"/>
    <n v="167999"/>
    <m/>
    <m/>
    <m/>
  </r>
  <r>
    <x v="6"/>
    <x v="7"/>
    <s v="C:\Users\andre\Desktop\REACTIV CEFAS\Dutasteride\Dutasteride/20201201_Cefas_Test8_Run1/Plate 1/@2/H2_03.tif "/>
    <s v=" 5493.9932 "/>
    <s v=" 39.7598 "/>
    <x v="1"/>
    <n v="218440"/>
    <m/>
    <m/>
    <m/>
  </r>
  <r>
    <x v="1"/>
    <x v="8"/>
    <s v=" "/>
    <m/>
    <m/>
    <x v="0"/>
    <m/>
    <m/>
    <m/>
    <m/>
  </r>
  <r>
    <x v="1"/>
    <x v="8"/>
    <s v="group "/>
    <s v=" "/>
    <s v=" mean of mean fluo "/>
    <x v="2"/>
    <s v=" mean of total fluo "/>
    <s v=" SD total fluo "/>
    <s v=" n fluorescent "/>
    <s v=" n total"/>
  </r>
  <r>
    <x v="6"/>
    <x v="9"/>
    <s v="C:\Users\andre\Desktop\REACTIV CEFAS\Dutasteride\Dutasteride/20201201_Cefas_Test8_Run1/Plate 1/@2/ "/>
    <s v=" "/>
    <s v=" 37.28 "/>
    <x v="8"/>
    <s v=" 173291.625 "/>
    <s v=" 79358.400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7"/>
    <x v="0"/>
    <s v="C:\Users\andre\Desktop\REACTIV CEFAS\Dutasteride\Dutasteride/20201201_Cefas_Test8_Run1/Plate 1/@3/A3_01.tif "/>
    <s v=" 6315.9292 "/>
    <s v=" 41.9555 "/>
    <x v="1"/>
    <n v="264988"/>
    <m/>
    <m/>
    <m/>
  </r>
  <r>
    <x v="7"/>
    <x v="0"/>
    <s v="C:\Users\andre\Desktop\REACTIV CEFAS\Dutasteride\Dutasteride/20201201_Cefas_Test8_Run1/Plate 1/@3/A3_02.tif "/>
    <s v=" 6835.0467 "/>
    <s v=" 43.3703 "/>
    <x v="1"/>
    <n v="296438"/>
    <m/>
    <m/>
    <m/>
  </r>
  <r>
    <x v="7"/>
    <x v="0"/>
    <s v="C:\Users\andre\Desktop\REACTIV CEFAS\Dutasteride\Dutasteride/20201201_Cefas_Test8_Run1/Plate 1/@3/A3_03.tif "/>
    <n v="0"/>
    <n v="0"/>
    <x v="1"/>
    <n v="0"/>
    <m/>
    <m/>
    <m/>
  </r>
  <r>
    <x v="7"/>
    <x v="1"/>
    <s v="C:\Users\andre\Desktop\REACTIV CEFAS\Dutasteride\Dutasteride/20201201_Cefas_Test8_Run1/Plate 1/@3/B3_01.tif "/>
    <s v=" 40556.0524 "/>
    <s v=" 36.832 "/>
    <x v="1"/>
    <n v="1493761"/>
    <m/>
    <m/>
    <m/>
  </r>
  <r>
    <x v="7"/>
    <x v="1"/>
    <s v="C:\Users\andre\Desktop\REACTIV CEFAS\Dutasteride\Dutasteride/20201201_Cefas_Test8_Run1/Plate 1/@3/B3_02.tif "/>
    <s v=" 33461.447 "/>
    <s v=" 34.9315 "/>
    <x v="1"/>
    <n v="1168858"/>
    <m/>
    <m/>
    <m/>
  </r>
  <r>
    <x v="7"/>
    <x v="1"/>
    <s v="C:\Users\andre\Desktop\REACTIV CEFAS\Dutasteride\Dutasteride/20201201_Cefas_Test8_Run1/Plate 1/@3/B3_03.tif "/>
    <s v=" 38479.5825 "/>
    <s v=" 35.6521 "/>
    <x v="1"/>
    <n v="1371876"/>
    <m/>
    <m/>
    <m/>
  </r>
  <r>
    <x v="7"/>
    <x v="2"/>
    <s v="C:\Users\andre\Desktop\REACTIV CEFAS\Dutasteride\Dutasteride/20201201_Cefas_Test8_Run1/Plate 1/@3/C3_01.tif "/>
    <s v=" 2855.1461 "/>
    <s v=" 35.1515 "/>
    <x v="1"/>
    <n v="100363"/>
    <m/>
    <m/>
    <m/>
  </r>
  <r>
    <x v="7"/>
    <x v="2"/>
    <s v="C:\Users\andre\Desktop\REACTIV CEFAS\Dutasteride\Dutasteride/20201201_Cefas_Test8_Run1/Plate 1/@3/C3_02.tif "/>
    <s v=" 2465.808 "/>
    <s v=" 34.6491 "/>
    <x v="1"/>
    <n v="85438"/>
    <m/>
    <m/>
    <m/>
  </r>
  <r>
    <x v="7"/>
    <x v="2"/>
    <s v="C:\Users\andre\Desktop\REACTIV CEFAS\Dutasteride\Dutasteride/20201201_Cefas_Test8_Run1/Plate 1/@3/C3_03.tif "/>
    <s v=" 1578.9823 "/>
    <s v=" 32.0959 "/>
    <x v="1"/>
    <n v="50679"/>
    <m/>
    <m/>
    <m/>
  </r>
  <r>
    <x v="7"/>
    <x v="3"/>
    <s v="C:\Users\andre\Desktop\REACTIV CEFAS\Dutasteride\Dutasteride/20201201_Cefas_Test8_Run1/Plate 1/@3/D3_01.tif "/>
    <s v=" 5515.6231 "/>
    <s v=" 40.0784 "/>
    <x v="1"/>
    <n v="221058"/>
    <m/>
    <m/>
    <m/>
  </r>
  <r>
    <x v="7"/>
    <x v="3"/>
    <s v="C:\Users\andre\Desktop\REACTIV CEFAS\Dutasteride\Dutasteride/20201201_Cefas_Test8_Run1/Plate 1/@3/D3_02.tif "/>
    <s v=" 6078.0004 "/>
    <s v=" 36.121 "/>
    <x v="1"/>
    <n v="219543"/>
    <m/>
    <m/>
    <m/>
  </r>
  <r>
    <x v="7"/>
    <x v="3"/>
    <s v="C:\Users\andre\Desktop\REACTIV CEFAS\Dutasteride\Dutasteride/20201201_Cefas_Test8_Run1/Plate 1/@3/D3_03.tif "/>
    <s v=" 3741.9718 "/>
    <s v=" 36.0173 "/>
    <x v="1"/>
    <n v="134776"/>
    <m/>
    <m/>
    <m/>
  </r>
  <r>
    <x v="7"/>
    <x v="4"/>
    <s v="C:\Users\andre\Desktop\REACTIV CEFAS\Dutasteride\Dutasteride/20201201_Cefas_Test8_Run1/Plate 1/@3/E3_01.tif "/>
    <n v="0"/>
    <n v="0"/>
    <x v="1"/>
    <n v="0"/>
    <m/>
    <m/>
    <m/>
  </r>
  <r>
    <x v="7"/>
    <x v="4"/>
    <s v="C:\Users\andre\Desktop\REACTIV CEFAS\Dutasteride\Dutasteride/20201201_Cefas_Test8_Run1/Plate 1/@3/E3_02.tif "/>
    <s v=" 1925.0606 "/>
    <s v=" 33.0899 "/>
    <x v="1"/>
    <n v="63700"/>
    <m/>
    <m/>
    <m/>
  </r>
  <r>
    <x v="7"/>
    <x v="4"/>
    <s v="C:\Users\andre\Desktop\REACTIV CEFAS\Dutasteride\Dutasteride/20201201_Cefas_Test8_Run1/Plate 1/@3/E3_03.tif "/>
    <s v=" 2941.6657 "/>
    <s v=" 36.4559 "/>
    <x v="1"/>
    <n v="107241"/>
    <m/>
    <m/>
    <m/>
  </r>
  <r>
    <x v="7"/>
    <x v="5"/>
    <s v="C:\Users\andre\Desktop\REACTIV CEFAS\Dutasteride\Dutasteride/20201201_Cefas_Test8_Run1/Plate 1/@3/F3_01- exclu.tif"/>
    <m/>
    <m/>
    <x v="0"/>
    <m/>
    <m/>
    <m/>
    <m/>
  </r>
  <r>
    <x v="7"/>
    <x v="5"/>
    <s v="C:\Users\andre\Desktop\REACTIV CEFAS\Dutasteride\Dutasteride/20201201_Cefas_Test8_Run1/Plate 1/@3/F3_02- exclu.tif"/>
    <m/>
    <m/>
    <x v="0"/>
    <m/>
    <m/>
    <m/>
    <m/>
  </r>
  <r>
    <x v="7"/>
    <x v="5"/>
    <s v="C:\Users\andre\Desktop\REACTIV CEFAS\Dutasteride\Dutasteride/20201201_Cefas_Test8_Run1/Plate 1/@3/F3_03- exclu.tif"/>
    <m/>
    <m/>
    <x v="0"/>
    <m/>
    <m/>
    <m/>
    <m/>
  </r>
  <r>
    <x v="7"/>
    <x v="6"/>
    <s v="C:\Users\andre\Desktop\REACTIV CEFAS\Dutasteride\Dutasteride/20201201_Cefas_Test8_Run1/Plate 1/@3/G3_01- exclu.tif"/>
    <m/>
    <m/>
    <x v="0"/>
    <m/>
    <m/>
    <m/>
    <m/>
  </r>
  <r>
    <x v="7"/>
    <x v="6"/>
    <s v="C:\Users\andre\Desktop\REACTIV CEFAS\Dutasteride\Dutasteride/20201201_Cefas_Test8_Run1/Plate 1/@3/G3_02.tif "/>
    <s v=" 4023.1604 "/>
    <s v=" 35.9194 "/>
    <x v="1"/>
    <n v="144509"/>
    <m/>
    <m/>
    <m/>
  </r>
  <r>
    <x v="7"/>
    <x v="6"/>
    <s v="C:\Users\andre\Desktop\REACTIV CEFAS\Dutasteride\Dutasteride/20201201_Cefas_Test8_Run1/Plate 1/@3/G3_03- exclu.tif"/>
    <m/>
    <m/>
    <x v="0"/>
    <m/>
    <m/>
    <m/>
    <m/>
  </r>
  <r>
    <x v="7"/>
    <x v="7"/>
    <s v="C:\Users\andre\Desktop\REACTIV CEFAS\Dutasteride\Dutasteride/20201201_Cefas_Test8_Run1/Plate 1/@3/H3_01.tif "/>
    <s v=" 2119.7297 "/>
    <s v=" 31.5204 "/>
    <x v="1"/>
    <n v="66815"/>
    <m/>
    <m/>
    <m/>
  </r>
  <r>
    <x v="7"/>
    <x v="7"/>
    <s v="C:\Users\andre\Desktop\REACTIV CEFAS\Dutasteride\Dutasteride/20201201_Cefas_Test8_Run1/Plate 1/@3/H3_02.tif "/>
    <s v=" 908.4556 "/>
    <s v=" 31.3571 "/>
    <x v="1"/>
    <n v="28487"/>
    <m/>
    <m/>
    <m/>
  </r>
  <r>
    <x v="7"/>
    <x v="7"/>
    <s v="C:\Users\andre\Desktop\REACTIV CEFAS\Dutasteride\Dutasteride/20201201_Cefas_Test8_Run1/Plate 1/@3/H3_03.tif "/>
    <s v=" 2638.8471 "/>
    <s v=" 33.4098 "/>
    <x v="1"/>
    <n v="88163"/>
    <m/>
    <m/>
    <m/>
  </r>
  <r>
    <x v="1"/>
    <x v="8"/>
    <s v=" "/>
    <m/>
    <m/>
    <x v="0"/>
    <m/>
    <m/>
    <m/>
    <m/>
  </r>
  <r>
    <x v="1"/>
    <x v="8"/>
    <s v="group "/>
    <s v=" "/>
    <s v=" mean of mean fluo "/>
    <x v="2"/>
    <s v=" mean of total fluo "/>
    <s v=" SD total fluo "/>
    <s v=" n fluorescent "/>
    <s v=" n total"/>
  </r>
  <r>
    <x v="7"/>
    <x v="9"/>
    <s v="C:\Users\andre\Desktop\REACTIV CEFAS\Dutasteride\Dutasteride/20201201_Cefas_Test8_Run1/Plate 1/@3/ "/>
    <s v=" "/>
    <s v=" 34.0583 "/>
    <x v="9"/>
    <s v=" 338262.75 "/>
    <s v=" 433708.039 "/>
    <n v="22"/>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8"/>
    <x v="0"/>
    <s v="C:\Users\andre\Desktop\REACTIV CEFAS\Dutasteride\Dutasteride/20201201_Cefas_Test8_Run1/Plate 1/@4/A4_01.tif "/>
    <s v=" 8305.8795 "/>
    <s v=" 38.7161 "/>
    <x v="1"/>
    <n v="321572"/>
    <m/>
    <m/>
    <m/>
  </r>
  <r>
    <x v="8"/>
    <x v="0"/>
    <s v="C:\Users\andre\Desktop\REACTIV CEFAS\Dutasteride\Dutasteride/20201201_Cefas_Test8_Run1/Plate 1/@4/A4_02- exclu.tif"/>
    <m/>
    <m/>
    <x v="0"/>
    <m/>
    <m/>
    <m/>
    <m/>
  </r>
  <r>
    <x v="8"/>
    <x v="0"/>
    <s v="C:\Users\andre\Desktop\REACTIV CEFAS\Dutasteride\Dutasteride/20201201_Cefas_Test8_Run1/Plate 1/@4/A4_03.tif "/>
    <s v=" 6618.7478 "/>
    <s v=" 36.0948 "/>
    <x v="1"/>
    <n v="238902"/>
    <m/>
    <m/>
    <m/>
  </r>
  <r>
    <x v="8"/>
    <x v="1"/>
    <s v="C:\Users\andre\Desktop\REACTIV CEFAS\Dutasteride\Dutasteride/20201201_Cefas_Test8_Run1/Plate 1/@4/B4_01.tif "/>
    <s v=" 6921.5663 "/>
    <s v=" 37.4438 "/>
    <x v="1"/>
    <n v="259169"/>
    <m/>
    <m/>
    <m/>
  </r>
  <r>
    <x v="8"/>
    <x v="1"/>
    <s v="C:\Users\andre\Desktop\REACTIV CEFAS\Dutasteride\Dutasteride/20201201_Cefas_Test8_Run1/Plate 1/@4/B4_02.tif "/>
    <s v=" 13864.7625 "/>
    <s v=" 42.6786 "/>
    <x v="1"/>
    <n v="591729"/>
    <m/>
    <m/>
    <m/>
  </r>
  <r>
    <x v="8"/>
    <x v="1"/>
    <s v="C:\Users\andre\Desktop\REACTIV CEFAS\Dutasteride\Dutasteride/20201201_Cefas_Test8_Run1/Plate 1/@4/B4_03.tif "/>
    <s v=" 8954.7764 "/>
    <s v=" 42.8237 "/>
    <x v="1"/>
    <n v="383476"/>
    <m/>
    <m/>
    <m/>
  </r>
  <r>
    <x v="8"/>
    <x v="2"/>
    <s v="C:\Users\andre\Desktop\REACTIV CEFAS\Dutasteride\Dutasteride/20201201_Cefas_Test8_Run1/Plate 1/@4/C4_01.tif "/>
    <s v=" 21997.6028 "/>
    <s v=" 32.8387 "/>
    <x v="1"/>
    <n v="722374"/>
    <m/>
    <m/>
    <m/>
  </r>
  <r>
    <x v="8"/>
    <x v="2"/>
    <s v="C:\Users\andre\Desktop\REACTIV CEFAS\Dutasteride\Dutasteride/20201201_Cefas_Test8_Run1/Plate 1/@4/C4_02.tif "/>
    <s v=" 29957.4041 "/>
    <s v=" 33.7292 "/>
    <x v="1"/>
    <n v="1010441"/>
    <m/>
    <m/>
    <m/>
  </r>
  <r>
    <x v="8"/>
    <x v="2"/>
    <s v="C:\Users\andre\Desktop\REACTIV CEFAS\Dutasteride\Dutasteride/20201201_Cefas_Test8_Run1/Plate 1/@4/C4_03.tif "/>
    <s v=" 37138.5291 "/>
    <s v=" 35.2935 "/>
    <x v="1"/>
    <n v="1310750"/>
    <m/>
    <m/>
    <m/>
  </r>
  <r>
    <x v="8"/>
    <x v="3"/>
    <s v="C:\Users\andre\Desktop\REACTIV CEFAS\Dutasteride\Dutasteride/20201201_Cefas_Test8_Run1/Plate 1/@4/D4_01.tif "/>
    <s v=" 18493.5599 "/>
    <s v=" 34.1825 "/>
    <x v="1"/>
    <n v="632155"/>
    <m/>
    <m/>
    <m/>
  </r>
  <r>
    <x v="8"/>
    <x v="3"/>
    <s v="C:\Users\andre\Desktop\REACTIV CEFAS\Dutasteride\Dutasteride/20201201_Cefas_Test8_Run1/Plate 1/@4/D4_02.tif "/>
    <s v=" 24722.9696 "/>
    <s v=" 33.7804 "/>
    <x v="1"/>
    <n v="835152"/>
    <m/>
    <m/>
    <m/>
  </r>
  <r>
    <x v="8"/>
    <x v="3"/>
    <s v="C:\Users\andre\Desktop\REACTIV CEFAS\Dutasteride\Dutasteride/20201201_Cefas_Test8_Run1/Plate 1/@4/D4_03.tif "/>
    <s v=" 19293.866 "/>
    <s v=" 32.3004 "/>
    <x v="1"/>
    <n v="623201"/>
    <m/>
    <m/>
    <m/>
  </r>
  <r>
    <x v="8"/>
    <x v="4"/>
    <s v="C:\Users\andre\Desktop\REACTIV CEFAS\Dutasteride\Dutasteride/20201201_Cefas_Test8_Run1/Plate 1/@4/E4_01.tif "/>
    <s v=" 27145.5178 "/>
    <s v=" 36.4135 "/>
    <x v="1"/>
    <n v="988465"/>
    <m/>
    <m/>
    <m/>
  </r>
  <r>
    <x v="8"/>
    <x v="4"/>
    <s v="C:\Users\andre\Desktop\REACTIV CEFAS\Dutasteride\Dutasteride/20201201_Cefas_Test8_Run1/Plate 1/@4/E4_02.tif "/>
    <s v=" 23446.8058 "/>
    <s v=" 35.8616 "/>
    <x v="1"/>
    <n v="840841"/>
    <m/>
    <m/>
    <m/>
  </r>
  <r>
    <x v="8"/>
    <x v="4"/>
    <s v="C:\Users\andre\Desktop\REACTIV CEFAS\Dutasteride\Dutasteride/20201201_Cefas_Test8_Run1/Plate 1/@4/E4_03.tif "/>
    <s v=" 16157.5313 "/>
    <s v=" 35.2383 "/>
    <x v="1"/>
    <n v="569364"/>
    <m/>
    <m/>
    <m/>
  </r>
  <r>
    <x v="8"/>
    <x v="5"/>
    <s v="C:\Users\andre\Desktop\REACTIV CEFAS\Dutasteride\Dutasteride/20201201_Cefas_Test8_Run1/Plate 1/@4/F4_01.tif "/>
    <s v=" 3006.5554 "/>
    <s v=" 31.7626 "/>
    <x v="1"/>
    <n v="95496"/>
    <m/>
    <m/>
    <m/>
  </r>
  <r>
    <x v="8"/>
    <x v="5"/>
    <s v="C:\Users\andre\Desktop\REACTIV CEFAS\Dutasteride\Dutasteride/20201201_Cefas_Test8_Run1/Plate 1/@4/F4_02.tif "/>
    <s v=" 7419.0539 "/>
    <s v=" 32.2624 "/>
    <x v="1"/>
    <n v="239356"/>
    <m/>
    <m/>
    <m/>
  </r>
  <r>
    <x v="8"/>
    <x v="5"/>
    <s v="C:\Users\andre\Desktop\REACTIV CEFAS\Dutasteride\Dutasteride/20201201_Cefas_Test8_Run1/Plate 1/@4/F4_03.tif "/>
    <s v=" 4758.5768 "/>
    <s v=" 32.4364 "/>
    <x v="1"/>
    <n v="154351"/>
    <m/>
    <m/>
    <m/>
  </r>
  <r>
    <x v="8"/>
    <x v="6"/>
    <s v="C:\Users\andre\Desktop\REACTIV CEFAS\Dutasteride\Dutasteride/20201201_Cefas_Test8_Run1/Plate 1/@4/G4_01.tif "/>
    <s v=" 24095.7026 "/>
    <s v=" 33.991 "/>
    <x v="1"/>
    <n v="819038"/>
    <m/>
    <m/>
    <m/>
  </r>
  <r>
    <x v="8"/>
    <x v="6"/>
    <s v="C:\Users\andre\Desktop\REACTIV CEFAS\Dutasteride\Dutasteride/20201201_Cefas_Test8_Run1/Plate 1/@4/G4_02.tif "/>
    <s v=" 35624.4365 "/>
    <s v=" 37.7747 "/>
    <x v="1"/>
    <n v="1345704"/>
    <m/>
    <m/>
    <m/>
  </r>
  <r>
    <x v="8"/>
    <x v="6"/>
    <s v="C:\Users\andre\Desktop\REACTIV CEFAS\Dutasteride\Dutasteride/20201201_Cefas_Test8_Run1/Plate 1/@4/G4_03.tif "/>
    <s v=" 23143.9873 "/>
    <s v=" 35.3486 "/>
    <x v="1"/>
    <n v="818108"/>
    <m/>
    <m/>
    <m/>
  </r>
  <r>
    <x v="8"/>
    <x v="7"/>
    <s v="C:\Users\andre\Desktop\REACTIV CEFAS\Dutasteride\Dutasteride/20201201_Cefas_Test8_Run1/Plate 1/@4/H4_01.tif "/>
    <s v=" 778.6762 "/>
    <s v=" 31.0833 "/>
    <x v="1"/>
    <n v="24204"/>
    <m/>
    <m/>
    <m/>
  </r>
  <r>
    <x v="8"/>
    <x v="7"/>
    <s v="C:\Users\andre\Desktop\REACTIV CEFAS\Dutasteride\Dutasteride/20201201_Cefas_Test8_Run1/Plate 1/@4/H4_02- exclu.tif"/>
    <m/>
    <m/>
    <x v="0"/>
    <m/>
    <m/>
    <m/>
    <m/>
  </r>
  <r>
    <x v="8"/>
    <x v="7"/>
    <s v="C:\Users\andre\Desktop\REACTIV CEFAS\Dutasteride\Dutasteride/20201201_Cefas_Test8_Run1/Plate 1/@4/H4_03.tif "/>
    <s v=" 4023.1604 "/>
    <s v=" 31.1613 "/>
    <x v="1"/>
    <n v="125367"/>
    <m/>
    <m/>
    <m/>
  </r>
  <r>
    <x v="1"/>
    <x v="8"/>
    <s v=" "/>
    <m/>
    <m/>
    <x v="0"/>
    <m/>
    <m/>
    <m/>
    <m/>
  </r>
  <r>
    <x v="1"/>
    <x v="8"/>
    <s v="group "/>
    <s v=" "/>
    <s v=" mean of mean fluo "/>
    <x v="2"/>
    <s v=" mean of total fluo "/>
    <s v=" SD total fluo "/>
    <s v=" n fluorescent "/>
    <s v=" n total"/>
  </r>
  <r>
    <x v="8"/>
    <x v="9"/>
    <s v="C:\Users\andre\Desktop\REACTIV CEFAS\Dutasteride\Dutasteride/20201201_Cefas_Test8_Run1/Plate 1/@4/ "/>
    <s v=" "/>
    <s v=" 33.5251 "/>
    <x v="10"/>
    <s v=" 544727.375 "/>
    <s v=" 397328.388 "/>
    <n v="23"/>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9"/>
    <x v="0"/>
    <s v="C:\Users\andre\Desktop\REACTIV CEFAS\Dutasteride\Dutasteride/20201201_Cefas_Test8_Run1/Plate 1/@5/A5_01.tif "/>
    <s v=" 23079.0976 "/>
    <s v=" 36.5492 "/>
    <x v="1"/>
    <n v="843523"/>
    <m/>
    <m/>
    <m/>
  </r>
  <r>
    <x v="9"/>
    <x v="0"/>
    <s v="C:\Users\andre\Desktop\REACTIV CEFAS\Dutasteride\Dutasteride/20201201_Cefas_Test8_Run1/Plate 1/@5/A5_02- exclu.tif"/>
    <m/>
    <m/>
    <x v="0"/>
    <m/>
    <m/>
    <m/>
    <m/>
  </r>
  <r>
    <x v="9"/>
    <x v="0"/>
    <s v="C:\Users\andre\Desktop\REACTIV CEFAS\Dutasteride\Dutasteride/20201201_Cefas_Test8_Run1/Plate 1/@5/A5_03.tif "/>
    <s v=" 23554.9553 "/>
    <s v=" 36.6538 "/>
    <x v="1"/>
    <n v="863379"/>
    <m/>
    <m/>
    <m/>
  </r>
  <r>
    <x v="9"/>
    <x v="1"/>
    <s v="C:\Users\andre\Desktop\REACTIV CEFAS\Dutasteride\Dutasteride/20201201_Cefas_Test8_Run1/Plate 1/@5/B5_01.tif "/>
    <s v=" 53555.6191 "/>
    <s v=" 38.2645 "/>
    <x v="1"/>
    <n v="2049281"/>
    <m/>
    <m/>
    <m/>
  </r>
  <r>
    <x v="9"/>
    <x v="1"/>
    <s v="C:\Users\andre\Desktop\REACTIV CEFAS\Dutasteride\Dutasteride/20201201_Cefas_Test8_Run1/Plate 1/@5/B5_02.tif "/>
    <s v=" 53490.7294 "/>
    <s v=" 37.4905 "/>
    <x v="1"/>
    <n v="2005394"/>
    <m/>
    <m/>
    <m/>
  </r>
  <r>
    <x v="9"/>
    <x v="1"/>
    <s v="C:\Users\andre\Desktop\REACTIV CEFAS\Dutasteride\Dutasteride/20201201_Cefas_Test8_Run1/Plate 1/@5/B5_03.tif "/>
    <s v=" 67982.7588 "/>
    <s v=" 40.2074 "/>
    <x v="1"/>
    <n v="2733413"/>
    <m/>
    <m/>
    <m/>
  </r>
  <r>
    <x v="9"/>
    <x v="2"/>
    <s v="C:\Users\andre\Desktop\REACTIV CEFAS\Dutasteride\Dutasteride/20201201_Cefas_Test8_Run1/Plate 1/@5/C5_01.tif "/>
    <s v=" 28508.2011 "/>
    <s v=" 37.717 "/>
    <x v="1"/>
    <n v="1075244"/>
    <m/>
    <m/>
    <m/>
  </r>
  <r>
    <x v="9"/>
    <x v="2"/>
    <s v="C:\Users\andre\Desktop\REACTIV CEFAS\Dutasteride\Dutasteride/20201201_Cefas_Test8_Run1/Plate 1/@5/C5_02.tif "/>
    <s v=" 19812.9835 "/>
    <s v=" 37.6299 "/>
    <x v="1"/>
    <n v="745561"/>
    <m/>
    <m/>
    <m/>
  </r>
  <r>
    <x v="9"/>
    <x v="2"/>
    <s v="C:\Users\andre\Desktop\REACTIV CEFAS\Dutasteride\Dutasteride/20201201_Cefas_Test8_Run1/Plate 1/@5/C5_03.tif "/>
    <s v=" 28767.7599 "/>
    <s v=" 40.9383 "/>
    <x v="1"/>
    <n v="1177705"/>
    <m/>
    <m/>
    <m/>
  </r>
  <r>
    <x v="9"/>
    <x v="3"/>
    <s v="C:\Users\andre\Desktop\REACTIV CEFAS\Dutasteride\Dutasteride/20201201_Cefas_Test8_Run1/Plate 1/@5/D5_01.tif "/>
    <s v=" 83988.8808 "/>
    <s v=" 43.6902 "/>
    <x v="1"/>
    <n v="3669490"/>
    <m/>
    <m/>
    <m/>
  </r>
  <r>
    <x v="9"/>
    <x v="3"/>
    <s v="C:\Users\andre\Desktop\REACTIV CEFAS\Dutasteride\Dutasteride/20201201_Cefas_Test8_Run1/Plate 1/@5/D5_02.tif "/>
    <s v=" 80246.9091 "/>
    <s v=" 42.4073 "/>
    <x v="1"/>
    <n v="3403053"/>
    <m/>
    <m/>
    <m/>
  </r>
  <r>
    <x v="9"/>
    <x v="3"/>
    <s v="C:\Users\andre\Desktop\REACTIV CEFAS\Dutasteride\Dutasteride/20201201_Cefas_Test8_Run1/Plate 1/@5/D5_03.tif "/>
    <s v=" 79122.1546 "/>
    <s v=" 43.193 "/>
    <x v="1"/>
    <n v="3417523"/>
    <m/>
    <m/>
    <m/>
  </r>
  <r>
    <x v="9"/>
    <x v="4"/>
    <s v="C:\Users\andre\Desktop\REACTIV CEFAS\Dutasteride\Dutasteride/20201201_Cefas_Test8_Run1/Plate 1/@5/E5_01.tif "/>
    <s v=" 43951.9459 "/>
    <s v=" 34.4405 "/>
    <x v="1"/>
    <n v="1513725"/>
    <m/>
    <m/>
    <m/>
  </r>
  <r>
    <x v="9"/>
    <x v="4"/>
    <s v="C:\Users\andre\Desktop\REACTIV CEFAS\Dutasteride\Dutasteride/20201201_Cefas_Test8_Run1/Plate 1/@5/E5_02- exclu.tif"/>
    <m/>
    <m/>
    <x v="0"/>
    <m/>
    <m/>
    <m/>
    <m/>
  </r>
  <r>
    <x v="9"/>
    <x v="4"/>
    <s v="C:\Users\andre\Desktop\REACTIV CEFAS\Dutasteride\Dutasteride/20201201_Cefas_Test8_Run1/Plate 1/@5/E5_03- exclu.tif"/>
    <m/>
    <m/>
    <x v="0"/>
    <m/>
    <m/>
    <m/>
    <m/>
  </r>
  <r>
    <x v="9"/>
    <x v="5"/>
    <s v="C:\Users\andre\Desktop\REACTIV CEFAS\Dutasteride\Dutasteride/20201201_Cefas_Test8_Run1/Plate 1/@5/F5_01.tif "/>
    <s v=" 50051.5762 "/>
    <s v=" 39.0372 "/>
    <x v="1"/>
    <n v="1953872"/>
    <m/>
    <m/>
    <m/>
  </r>
  <r>
    <x v="9"/>
    <x v="5"/>
    <s v="C:\Users\andre\Desktop\REACTIV CEFAS\Dutasteride\Dutasteride/20201201_Cefas_Test8_Run1/Plate 1/@5/F5_02.tif "/>
    <s v=" 44665.7324 "/>
    <s v=" 41.247 "/>
    <x v="1"/>
    <n v="1842326"/>
    <m/>
    <m/>
    <m/>
  </r>
  <r>
    <x v="9"/>
    <x v="5"/>
    <s v="C:\Users\andre\Desktop\REACTIV CEFAS\Dutasteride\Dutasteride/20201201_Cefas_Test8_Run1/Plate 1/@5/F5_03.tif "/>
    <s v=" 55545.5694 "/>
    <s v=" 41.4202 "/>
    <x v="1"/>
    <n v="2300707"/>
    <m/>
    <m/>
    <m/>
  </r>
  <r>
    <x v="9"/>
    <x v="6"/>
    <s v="C:\Users\andre\Desktop\REACTIV CEFAS\Dutasteride\Dutasteride/20201201_Cefas_Test8_Run1/Plate 1/@5/G5_01.tif "/>
    <s v=" 64651.755 "/>
    <s v=" 40.6591 "/>
    <x v="1"/>
    <n v="2628681"/>
    <m/>
    <m/>
    <m/>
  </r>
  <r>
    <x v="9"/>
    <x v="6"/>
    <s v="C:\Users\andre\Desktop\REACTIV CEFAS\Dutasteride\Dutasteride/20201201_Cefas_Test8_Run1/Plate 1/@5/G5_02.tif "/>
    <s v=" 54291.0355 "/>
    <s v=" 36.7112 "/>
    <x v="1"/>
    <n v="1993087"/>
    <m/>
    <m/>
    <m/>
  </r>
  <r>
    <x v="9"/>
    <x v="6"/>
    <s v="C:\Users\andre\Desktop\REACTIV CEFAS\Dutasteride\Dutasteride/20201201_Cefas_Test8_Run1/Plate 1/@5/G5_03.tif "/>
    <s v=" 61169.342 "/>
    <s v=" 40.8586 "/>
    <x v="1"/>
    <n v="2499291"/>
    <m/>
    <m/>
    <m/>
  </r>
  <r>
    <x v="9"/>
    <x v="7"/>
    <s v="C:\Users\andre\Desktop\REACTIV CEFAS\Dutasteride\Dutasteride/20201201_Cefas_Test8_Run1/Plate 1/@5/H5_01.tif "/>
    <s v=" 66014.4384 "/>
    <s v=" 40.7126 "/>
    <x v="1"/>
    <n v="2687623"/>
    <m/>
    <m/>
    <m/>
  </r>
  <r>
    <x v="9"/>
    <x v="7"/>
    <s v="C:\Users\andre\Desktop\REACTIV CEFAS\Dutasteride\Dutasteride/20201201_Cefas_Test8_Run1/Plate 1/@5/H5_02.tif "/>
    <s v=" 71616.5811 "/>
    <s v=" 41.396 "/>
    <x v="1"/>
    <n v="2964637"/>
    <m/>
    <m/>
    <m/>
  </r>
  <r>
    <x v="9"/>
    <x v="7"/>
    <s v="C:\Users\andre\Desktop\REACTIV CEFAS\Dutasteride\Dutasteride/20201201_Cefas_Test8_Run1/Plate 1/@5/H5_03.tif "/>
    <s v=" 58400.7155 "/>
    <s v=" 41.1056 "/>
    <x v="1"/>
    <n v="2400594"/>
    <m/>
    <m/>
    <m/>
  </r>
  <r>
    <x v="1"/>
    <x v="8"/>
    <s v=" "/>
    <m/>
    <m/>
    <x v="0"/>
    <m/>
    <m/>
    <m/>
    <m/>
  </r>
  <r>
    <x v="1"/>
    <x v="8"/>
    <s v="group "/>
    <s v=" "/>
    <s v=" mean of mean fluo "/>
    <x v="2"/>
    <s v=" mean of total fluo "/>
    <s v=" SD total fluo "/>
    <s v=" n fluorescent "/>
    <s v=" n total"/>
  </r>
  <r>
    <x v="9"/>
    <x v="9"/>
    <s v="C:\Users\andre\Desktop\REACTIV CEFAS\Dutasteride\Dutasteride/20201201_Cefas_Test8_Run1/Plate 1/@5/ "/>
    <s v=" "/>
    <s v=" 39.5958 "/>
    <x v="11"/>
    <s v=" 2007622.04 "/>
    <s v=" 883631.368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0"/>
    <x v="0"/>
    <s v="C:\Users\andre\Desktop\REACTIV CEFAS\Dutasteride\Dutasteride/20201201_Cefas_Test8_Run1/Plate 1/@6/A6_01.tif "/>
    <s v=" 57254.3311 "/>
    <s v=" 41.0363 "/>
    <x v="1"/>
    <n v="2349504"/>
    <m/>
    <m/>
    <m/>
  </r>
  <r>
    <x v="10"/>
    <x v="0"/>
    <s v="C:\Users\andre\Desktop\REACTIV CEFAS\Dutasteride\Dutasteride/20201201_Cefas_Test8_Run1/Plate 1/@6/A6_02- exclu.tif"/>
    <m/>
    <m/>
    <x v="0"/>
    <m/>
    <m/>
    <m/>
    <m/>
  </r>
  <r>
    <x v="10"/>
    <x v="0"/>
    <s v="C:\Users\andre\Desktop\REACTIV CEFAS\Dutasteride\Dutasteride/20201201_Cefas_Test8_Run1/Plate 1/@6/A6_03.tif "/>
    <s v=" 46980.1311 "/>
    <s v=" 40.6285 "/>
    <x v="1"/>
    <n v="1908730"/>
    <m/>
    <m/>
    <m/>
  </r>
  <r>
    <x v="10"/>
    <x v="1"/>
    <s v="C:\Users\andre\Desktop\REACTIV CEFAS\Dutasteride\Dutasteride/20201201_Cefas_Test8_Run1/Plate 1/@6/B6_01.tif "/>
    <s v=" 56454.025 "/>
    <s v=" 44.2326 "/>
    <x v="1"/>
    <n v="2497106"/>
    <m/>
    <m/>
    <m/>
  </r>
  <r>
    <x v="10"/>
    <x v="1"/>
    <s v="C:\Users\andre\Desktop\REACTIV CEFAS\Dutasteride\Dutasteride/20201201_Cefas_Test8_Run1/Plate 1/@6/B6_02.tif "/>
    <s v=" 50376.0246 "/>
    <s v=" 41.2941 "/>
    <x v="1"/>
    <n v="2080233"/>
    <m/>
    <m/>
    <m/>
  </r>
  <r>
    <x v="10"/>
    <x v="1"/>
    <s v="C:\Users\andre\Desktop\REACTIV CEFAS\Dutasteride\Dutasteride/20201201_Cefas_Test8_Run1/Plate 1/@6/B6_03.tif "/>
    <s v=" 64997.8334 "/>
    <s v=" 41.6912 "/>
    <x v="1"/>
    <n v="2709836"/>
    <m/>
    <m/>
    <m/>
  </r>
  <r>
    <x v="10"/>
    <x v="2"/>
    <s v="C:\Users\andre\Desktop\REACTIV CEFAS\Dutasteride\Dutasteride/20201201_Cefas_Test8_Run1/Plate 1/@6/C6_01.tif "/>
    <s v=" 69172.403 "/>
    <s v=" 52.2861 "/>
    <x v="1"/>
    <n v="3616756"/>
    <m/>
    <m/>
    <m/>
  </r>
  <r>
    <x v="10"/>
    <x v="2"/>
    <s v="C:\Users\andre\Desktop\REACTIV CEFAS\Dutasteride\Dutasteride/20201201_Cefas_Test8_Run1/Plate 1/@6/C6_02.tif "/>
    <s v=" 63245.8119 "/>
    <s v=" 53.6837 "/>
    <x v="1"/>
    <n v="3395266"/>
    <m/>
    <m/>
    <m/>
  </r>
  <r>
    <x v="10"/>
    <x v="2"/>
    <s v="C:\Users\andre\Desktop\REACTIV CEFAS\Dutasteride\Dutasteride/20201201_Cefas_Test8_Run1/Plate 1/@6/C6_03.tif "/>
    <s v=" 65105.9828 "/>
    <s v=" 50.813 "/>
    <x v="1"/>
    <n v="3308227"/>
    <m/>
    <m/>
    <m/>
  </r>
  <r>
    <x v="10"/>
    <x v="3"/>
    <s v="C:\Users\andre\Desktop\REACTIV CEFAS\Dutasteride\Dutasteride/20201201_Cefas_Test8_Run1/Plate 1/@6/D6_01.tif "/>
    <s v=" 77716.2114 "/>
    <s v=" 51.5853 "/>
    <x v="1"/>
    <n v="4009014"/>
    <m/>
    <m/>
    <m/>
  </r>
  <r>
    <x v="10"/>
    <x v="3"/>
    <s v="C:\Users\andre\Desktop\REACTIV CEFAS\Dutasteride\Dutasteride/20201201_Cefas_Test8_Run1/Plate 1/@6/D6_02.tif "/>
    <s v=" 77045.6847 "/>
    <s v=" 46.3857 "/>
    <x v="1"/>
    <n v="3573821"/>
    <m/>
    <m/>
    <m/>
  </r>
  <r>
    <x v="10"/>
    <x v="3"/>
    <s v="C:\Users\andre\Desktop\REACTIV CEFAS\Dutasteride\Dutasteride/20201201_Cefas_Test8_Run1/Plate 1/@6/D6_03.tif "/>
    <s v=" 60109.4772 "/>
    <s v=" 51.6463 "/>
    <x v="1"/>
    <n v="3104431"/>
    <m/>
    <m/>
    <m/>
  </r>
  <r>
    <x v="10"/>
    <x v="4"/>
    <s v="C:\Users\andre\Desktop\REACTIV CEFAS\Dutasteride\Dutasteride/20201201_Cefas_Test8_Run1/Plate 1/@6/E6_01.tif "/>
    <s v=" 55696.9787 "/>
    <s v=" 45.8804 "/>
    <x v="1"/>
    <n v="2555399"/>
    <m/>
    <m/>
    <m/>
  </r>
  <r>
    <x v="10"/>
    <x v="4"/>
    <s v="C:\Users\andre\Desktop\REACTIV CEFAS\Dutasteride\Dutasteride/20201201_Cefas_Test8_Run1/Plate 1/@6/E6_02.tif "/>
    <s v=" 52949.9821 "/>
    <s v=" 49.7177 "/>
    <x v="1"/>
    <n v="2632553"/>
    <m/>
    <m/>
    <m/>
  </r>
  <r>
    <x v="10"/>
    <x v="4"/>
    <s v="C:\Users\andre\Desktop\REACTIV CEFAS\Dutasteride\Dutasteride/20201201_Cefas_Test8_Run1/Plate 1/@6/E6_03.tif "/>
    <s v=" 64543.6056 "/>
    <s v=" 46.8271 "/>
    <x v="1"/>
    <n v="3022388"/>
    <m/>
    <m/>
    <m/>
  </r>
  <r>
    <x v="10"/>
    <x v="5"/>
    <s v="C:\Users\andre\Desktop\REACTIV CEFAS\Dutasteride\Dutasteride/20201201_Cefas_Test8_Run1/Plate 1/@6/F6_01.tif "/>
    <s v=" 84745.9272 "/>
    <s v=" 46.7483 "/>
    <x v="1"/>
    <n v="3961732"/>
    <m/>
    <m/>
    <m/>
  </r>
  <r>
    <x v="10"/>
    <x v="5"/>
    <s v="C:\Users\andre\Desktop\REACTIV CEFAS\Dutasteride\Dutasteride/20201201_Cefas_Test8_Run1/Plate 1/@6/F6_02.tif "/>
    <s v=" 86822.397 "/>
    <s v=" 49.0252 "/>
    <x v="1"/>
    <n v="4256482"/>
    <m/>
    <m/>
    <m/>
  </r>
  <r>
    <x v="10"/>
    <x v="5"/>
    <s v="C:\Users\andre\Desktop\REACTIV CEFAS\Dutasteride\Dutasteride/20201201_Cefas_Test8_Run1/Plate 1/@6/F6_03.tif "/>
    <s v=" 87536.1836 "/>
    <s v=" 46.8411 "/>
    <x v="1"/>
    <n v="4100293"/>
    <m/>
    <m/>
    <m/>
  </r>
  <r>
    <x v="10"/>
    <x v="6"/>
    <s v="C:\Users\andre\Desktop\REACTIV CEFAS\Dutasteride\Dutasteride/20201201_Cefas_Test8_Run1/Plate 1/@6/G6_01.tif "/>
    <s v=" 69064.2535 "/>
    <s v=" 46.5205 "/>
    <x v="1"/>
    <n v="3212905"/>
    <m/>
    <m/>
    <m/>
  </r>
  <r>
    <x v="10"/>
    <x v="6"/>
    <s v="C:\Users\andre\Desktop\REACTIV CEFAS\Dutasteride\Dutasteride/20201201_Cefas_Test8_Run1/Plate 1/@6/G6_02.tif "/>
    <s v=" 76418.4177 "/>
    <s v=" 50.7305 "/>
    <x v="1"/>
    <n v="3876748"/>
    <m/>
    <m/>
    <m/>
  </r>
  <r>
    <x v="10"/>
    <x v="6"/>
    <s v="C:\Users\andre\Desktop\REACTIV CEFAS\Dutasteride\Dutasteride/20201201_Cefas_Test8_Run1/Plate 1/@6/G6_03.tif "/>
    <s v=" 79835.9411 "/>
    <s v=" 51.8309 "/>
    <x v="1"/>
    <n v="4137972"/>
    <m/>
    <m/>
    <m/>
  </r>
  <r>
    <x v="10"/>
    <x v="7"/>
    <s v="C:\Users\andre\Desktop\REACTIV CEFAS\Dutasteride\Dutasteride/20201201_Cefas_Test8_Run1/Plate 1/@6/H6_01- exclu.tif"/>
    <m/>
    <m/>
    <x v="0"/>
    <m/>
    <m/>
    <m/>
    <m/>
  </r>
  <r>
    <x v="10"/>
    <x v="7"/>
    <s v="C:\Users\andre\Desktop\REACTIV CEFAS\Dutasteride\Dutasteride/20201201_Cefas_Test8_Run1/Plate 1/@6/H6_02- exclu.tif"/>
    <m/>
    <m/>
    <x v="0"/>
    <m/>
    <m/>
    <m/>
    <m/>
  </r>
  <r>
    <x v="10"/>
    <x v="7"/>
    <s v="C:\Users\andre\Desktop\REACTIV CEFAS\Dutasteride\Dutasteride/20201201_Cefas_Test8_Run1/Plate 1/@6/H6_03- exclu.tif"/>
    <m/>
    <m/>
    <x v="0"/>
    <m/>
    <m/>
    <m/>
    <m/>
  </r>
  <r>
    <x v="1"/>
    <x v="8"/>
    <s v=" "/>
    <m/>
    <m/>
    <x v="0"/>
    <m/>
    <m/>
    <m/>
    <m/>
  </r>
  <r>
    <x v="1"/>
    <x v="8"/>
    <s v="group "/>
    <s v=" "/>
    <s v=" mean of mean fluo "/>
    <x v="2"/>
    <s v=" mean of total fluo "/>
    <s v=" SD total fluo "/>
    <s v=" n fluorescent "/>
    <s v=" n total"/>
  </r>
  <r>
    <x v="10"/>
    <x v="9"/>
    <s v="C:\Users\andre\Desktop\REACTIV CEFAS\Dutasteride\Dutasteride/20201201_Cefas_Test8_Run1/Plate 1/@6/ "/>
    <s v=" "/>
    <s v=" 44.1984 "/>
    <x v="12"/>
    <s v=" 2787551.75 "/>
    <s v=" 1268150.55 "/>
    <n v="23"/>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1"/>
    <x v="0"/>
    <s v="C:\Users\andre\Desktop\REACTIV CEFAS\Dutasteride\Dutasteride/20201201_Cefas_Test8_Run1/Plate 1/@7/A7_01.tif "/>
    <s v=" 89893.8421 "/>
    <s v=" 50.4981 "/>
    <x v="1"/>
    <n v="4539466"/>
    <m/>
    <m/>
    <m/>
  </r>
  <r>
    <x v="11"/>
    <x v="0"/>
    <s v="C:\Users\andre\Desktop\REACTIV CEFAS\Dutasteride\Dutasteride/20201201_Cefas_Test8_Run1/Plate 1/@7/A7_02.tif "/>
    <s v=" 91472.8244 "/>
    <s v=" 51.5784 "/>
    <x v="1"/>
    <n v="4718021"/>
    <m/>
    <m/>
    <m/>
  </r>
  <r>
    <x v="11"/>
    <x v="0"/>
    <s v="C:\Users\andre\Desktop\REACTIV CEFAS\Dutasteride\Dutasteride/20201201_Cefas_Test8_Run1/Plate 1/@7/A7_03.tif "/>
    <s v=" 59568.7298 "/>
    <s v=" 54.6801 "/>
    <x v="1"/>
    <n v="3257224"/>
    <m/>
    <m/>
    <m/>
  </r>
  <r>
    <x v="11"/>
    <x v="1"/>
    <s v="C:\Users\andre\Desktop\REACTIV CEFAS\Dutasteride\Dutasteride/20201201_Cefas_Test8_Run1/Plate 1/@7/B7_01.tif "/>
    <s v=" 66641.7054 "/>
    <s v=" 49.9818 "/>
    <x v="1"/>
    <n v="3330874"/>
    <m/>
    <m/>
    <m/>
  </r>
  <r>
    <x v="11"/>
    <x v="1"/>
    <s v="C:\Users\andre\Desktop\REACTIV CEFAS\Dutasteride\Dutasteride/20201201_Cefas_Test8_Run1/Plate 1/@7/B7_02.tif "/>
    <s v=" 65798.1395 "/>
    <s v=" 50.9471 "/>
    <x v="1"/>
    <n v="3352223"/>
    <m/>
    <m/>
    <m/>
  </r>
  <r>
    <x v="11"/>
    <x v="1"/>
    <s v="C:\Users\andre\Desktop\REACTIV CEFAS\Dutasteride\Dutasteride/20201201_Cefas_Test8_Run1/Plate 1/@7/B7_03.tif "/>
    <s v=" 70578.3462 "/>
    <s v=" 54.19 "/>
    <x v="1"/>
    <n v="3824641"/>
    <m/>
    <m/>
    <m/>
  </r>
  <r>
    <x v="11"/>
    <x v="2"/>
    <s v="C:\Users\andre\Desktop\REACTIV CEFAS\Dutasteride\Dutasteride/20201201_Cefas_Test8_Run1/Plate 1/@7/C7_01.tif "/>
    <s v=" 68977.734 "/>
    <s v=" 53.8272 "/>
    <x v="1"/>
    <n v="3712880"/>
    <m/>
    <m/>
    <m/>
  </r>
  <r>
    <x v="11"/>
    <x v="2"/>
    <s v="C:\Users\andre\Desktop\REACTIV CEFAS\Dutasteride\Dutasteride/20201201_Cefas_Test8_Run1/Plate 1/@7/C7_02- exclu.tif"/>
    <m/>
    <m/>
    <x v="0"/>
    <m/>
    <m/>
    <m/>
    <m/>
  </r>
  <r>
    <x v="11"/>
    <x v="2"/>
    <s v="C:\Users\andre\Desktop\REACTIV CEFAS\Dutasteride\Dutasteride/20201201_Cefas_Test8_Run1/Plate 1/@7/C7_03.tif "/>
    <s v=" 71941.0295 "/>
    <s v=" 56.5658 "/>
    <x v="1"/>
    <n v="4069405"/>
    <m/>
    <m/>
    <m/>
  </r>
  <r>
    <x v="11"/>
    <x v="3"/>
    <s v="C:\Users\andre\Desktop\REACTIV CEFAS\Dutasteride\Dutasteride/20201201_Cefas_Test8_Run1/Plate 1/@7/D7_01.tif "/>
    <s v=" 71551.6914 "/>
    <s v=" 50.8458 "/>
    <x v="1"/>
    <n v="3638105"/>
    <m/>
    <m/>
    <m/>
  </r>
  <r>
    <x v="11"/>
    <x v="3"/>
    <s v="C:\Users\andre\Desktop\REACTIV CEFAS\Dutasteride\Dutasteride/20201201_Cefas_Test8_Run1/Plate 1/@7/D7_02.tif "/>
    <s v=" 72265.478 "/>
    <s v=" 52.8578 "/>
    <x v="1"/>
    <n v="3819796"/>
    <m/>
    <m/>
    <m/>
  </r>
  <r>
    <x v="11"/>
    <x v="3"/>
    <s v="C:\Users\andre\Desktop\REACTIV CEFAS\Dutasteride\Dutasteride/20201201_Cefas_Test8_Run1/Plate 1/@7/D7_03.tif "/>
    <s v=" 69691.5205 "/>
    <s v=" 54.7616 "/>
    <x v="1"/>
    <n v="3816422"/>
    <m/>
    <m/>
    <m/>
  </r>
  <r>
    <x v="11"/>
    <x v="4"/>
    <s v="C:\Users\andre\Desktop\REACTIV CEFAS\Dutasteride\Dutasteride/20201201_Cefas_Test8_Run1/Plate 1/@7/E7_01.tif "/>
    <s v=" 80766.0265 "/>
    <s v=" 60.7469 "/>
    <x v="1"/>
    <n v="4906287"/>
    <m/>
    <m/>
    <m/>
  </r>
  <r>
    <x v="11"/>
    <x v="4"/>
    <s v="C:\Users\andre\Desktop\REACTIV CEFAS\Dutasteride\Dutasteride/20201201_Cefas_Test8_Run1/Plate 1/@7/E7_02.tif "/>
    <s v=" 80852.5461 "/>
    <s v=" 63.0516 "/>
    <x v="1"/>
    <n v="5097885"/>
    <m/>
    <m/>
    <m/>
  </r>
  <r>
    <x v="11"/>
    <x v="4"/>
    <s v="C:\Users\andre\Desktop\REACTIV CEFAS\Dutasteride\Dutasteride/20201201_Cefas_Test8_Run1/Plate 1/@7/E7_03.tif "/>
    <s v=" 79684.5318 "/>
    <s v=" 61.256 "/>
    <x v="1"/>
    <n v="4881153"/>
    <m/>
    <m/>
    <m/>
  </r>
  <r>
    <x v="11"/>
    <x v="5"/>
    <s v="C:\Users\andre\Desktop\REACTIV CEFAS\Dutasteride\Dutasteride/20201201_Cefas_Test8_Run1/Plate 1/@7/F7_01.tif "/>
    <s v=" 88185.0804 "/>
    <s v=" 58.7508 "/>
    <x v="1"/>
    <n v="5180944"/>
    <m/>
    <m/>
    <m/>
  </r>
  <r>
    <x v="11"/>
    <x v="5"/>
    <s v="C:\Users\andre\Desktop\REACTIV CEFAS\Dutasteride\Dutasteride/20201201_Cefas_Test8_Run1/Plate 1/@7/F7_02.tif "/>
    <s v=" 81804.2615 "/>
    <s v=" 58.4109 "/>
    <x v="1"/>
    <n v="4778260"/>
    <m/>
    <m/>
    <m/>
  </r>
  <r>
    <x v="11"/>
    <x v="5"/>
    <s v="C:\Users\andre\Desktop\REACTIV CEFAS\Dutasteride\Dutasteride/20201201_Cefas_Test8_Run1/Plate 1/@7/F7_03.tif "/>
    <s v=" 85221.7848 "/>
    <s v=" 56.2566 "/>
    <x v="1"/>
    <n v="4794288"/>
    <m/>
    <m/>
    <m/>
  </r>
  <r>
    <x v="11"/>
    <x v="6"/>
    <s v="C:\Users\andre\Desktop\REACTIV CEFAS\Dutasteride\Dutasteride/20201201_Cefas_Test8_Run1/Plate 1/@7/G7_01.tif "/>
    <s v=" 71876.1399 "/>
    <s v=" 54.0674 "/>
    <x v="1"/>
    <n v="3886157"/>
    <m/>
    <m/>
    <m/>
  </r>
  <r>
    <x v="11"/>
    <x v="6"/>
    <s v="C:\Users\andre\Desktop\REACTIV CEFAS\Dutasteride\Dutasteride/20201201_Cefas_Test8_Run1/Plate 1/@7/G7_02.tif "/>
    <s v=" 77088.9445 "/>
    <s v=" 56.8123 "/>
    <x v="1"/>
    <n v="4379599"/>
    <m/>
    <m/>
    <m/>
  </r>
  <r>
    <x v="11"/>
    <x v="6"/>
    <s v="C:\Users\andre\Desktop\REACTIV CEFAS\Dutasteride\Dutasteride/20201201_Cefas_Test8_Run1/Plate 1/@7/G7_03.tif "/>
    <s v=" 75509.9621 "/>
    <s v=" 54.4658 "/>
    <x v="1"/>
    <n v="4112708"/>
    <m/>
    <m/>
    <m/>
  </r>
  <r>
    <x v="11"/>
    <x v="7"/>
    <s v="C:\Users\andre\Desktop\REACTIV CEFAS\Dutasteride\Dutasteride/20201201_Cefas_Test8_Run1/Plate 1/@7/H7_01.tif "/>
    <s v=" 40534.4225 "/>
    <s v=" 47.3991 "/>
    <x v="1"/>
    <n v="1921297"/>
    <m/>
    <m/>
    <m/>
  </r>
  <r>
    <x v="11"/>
    <x v="7"/>
    <s v="C:\Users\andre\Desktop\REACTIV CEFAS\Dutasteride\Dutasteride/20201201_Cefas_Test8_Run1/Plate 1/@7/H7_02.tif "/>
    <s v=" 40620.9421 "/>
    <s v=" 47.7077 "/>
    <x v="1"/>
    <n v="1937930"/>
    <m/>
    <m/>
    <m/>
  </r>
  <r>
    <x v="11"/>
    <x v="7"/>
    <s v="C:\Users\andre\Desktop\REACTIV CEFAS\Dutasteride\Dutasteride/20201201_Cefas_Test8_Run1/Plate 1/@7/H7_03.tif "/>
    <s v=" 44882.0314 "/>
    <s v=" 52.1137 "/>
    <x v="1"/>
    <n v="2338970"/>
    <m/>
    <m/>
    <m/>
  </r>
  <r>
    <x v="1"/>
    <x v="8"/>
    <s v=" "/>
    <m/>
    <m/>
    <x v="0"/>
    <m/>
    <m/>
    <m/>
    <m/>
  </r>
  <r>
    <x v="1"/>
    <x v="8"/>
    <s v="group "/>
    <s v=" "/>
    <s v=" mean of mean fluo "/>
    <x v="2"/>
    <s v=" mean of total fluo "/>
    <s v=" SD total fluo "/>
    <s v=" n fluorescent "/>
    <s v=" n total"/>
  </r>
  <r>
    <x v="11"/>
    <x v="9"/>
    <s v="C:\Users\andre\Desktop\REACTIV CEFAS\Dutasteride\Dutasteride/20201201_Cefas_Test8_Run1/Plate 1/@7/ "/>
    <s v=" "/>
    <s v=" 54.3885 "/>
    <x v="13"/>
    <s v=" 3901850.92 "/>
    <s v=" 924744.452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2"/>
    <x v="0"/>
    <s v="C:\Users\andre\Desktop\REACTIV CEFAS\Dutasteride\Dutasteride/20201201_Cefas_Test8_Run1/Plate 2/@10/A4_01.tif "/>
    <s v=" 4650.4273 "/>
    <s v=" 39.9953 "/>
    <x v="1"/>
    <n v="185995"/>
    <m/>
    <m/>
    <m/>
  </r>
  <r>
    <x v="12"/>
    <x v="0"/>
    <s v="C:\Users\andre\Desktop\REACTIV CEFAS\Dutasteride\Dutasteride/20201201_Cefas_Test8_Run1/Plate 2/@10/A4_02.tif "/>
    <s v=" 4866.7263 "/>
    <s v=" 36.5511 "/>
    <x v="1"/>
    <n v="177884"/>
    <m/>
    <m/>
    <m/>
  </r>
  <r>
    <x v="12"/>
    <x v="0"/>
    <s v="C:\Users\andre\Desktop\REACTIV CEFAS\Dutasteride\Dutasteride/20201201_Cefas_Test8_Run1/Plate 2/@10/A4_03.tif "/>
    <s v=" 12999.5667 "/>
    <s v=" 40.2546 "/>
    <x v="1"/>
    <n v="523292"/>
    <m/>
    <m/>
    <m/>
  </r>
  <r>
    <x v="12"/>
    <x v="1"/>
    <s v="C:\Users\andre\Desktop\REACTIV CEFAS\Dutasteride\Dutasteride/20201201_Cefas_Test8_Run1/Plate 2/@10/B4_01.tif "/>
    <s v=" 4239.4593 "/>
    <s v=" 35.8622 "/>
    <x v="1"/>
    <n v="152037"/>
    <m/>
    <m/>
    <m/>
  </r>
  <r>
    <x v="12"/>
    <x v="1"/>
    <s v="C:\Users\andre\Desktop\REACTIV CEFAS\Dutasteride\Dutasteride/20201201_Cefas_Test8_Run1/Plate 2/@10/B4_02.tif "/>
    <s v=" 1925.0606 "/>
    <s v=" 32.6742 "/>
    <x v="1"/>
    <n v="62900"/>
    <m/>
    <m/>
    <m/>
  </r>
  <r>
    <x v="12"/>
    <x v="1"/>
    <s v="C:\Users\andre\Desktop\REACTIV CEFAS\Dutasteride\Dutasteride/20201201_Cefas_Test8_Run1/Plate 2/@10/B4_03.tif "/>
    <s v=" 4477.3882 "/>
    <s v=" 34.2947 "/>
    <x v="1"/>
    <n v="153551"/>
    <m/>
    <m/>
    <m/>
  </r>
  <r>
    <x v="12"/>
    <x v="2"/>
    <s v="C:\Users\andre\Desktop\REACTIV CEFAS\Dutasteride\Dutasteride/20201201_Cefas_Test8_Run1/Plate 2/@10/C4_01.tif "/>
    <s v=" 12112.741 "/>
    <s v=" 47.9857 "/>
    <x v="1"/>
    <n v="581239"/>
    <m/>
    <m/>
    <m/>
  </r>
  <r>
    <x v="12"/>
    <x v="2"/>
    <s v="C:\Users\andre\Desktop\REACTIV CEFAS\Dutasteride\Dutasteride/20201201_Cefas_Test8_Run1/Plate 2/@10/C4_02.tif "/>
    <s v=" 10209.3103 "/>
    <s v=" 44.9958 "/>
    <x v="1"/>
    <n v="459376"/>
    <m/>
    <m/>
    <m/>
  </r>
  <r>
    <x v="12"/>
    <x v="2"/>
    <s v="C:\Users\andre\Desktop\REACTIV CEFAS\Dutasteride\Dutasteride/20201201_Cefas_Test8_Run1/Plate 2/@10/C4_03.tif "/>
    <s v=" 9971.3814 "/>
    <s v=" 42.2148 "/>
    <x v="1"/>
    <n v="420939"/>
    <m/>
    <m/>
    <m/>
  </r>
  <r>
    <x v="12"/>
    <x v="3"/>
    <s v="C:\Users\andre\Desktop\REACTIV CEFAS\Dutasteride\Dutasteride/20201201_Cefas_Test8_Run1/Plate 2/@10/D4_01.tif "/>
    <s v=" 8716.8475 "/>
    <s v=" 35.8139 "/>
    <x v="1"/>
    <n v="312184"/>
    <m/>
    <m/>
    <m/>
  </r>
  <r>
    <x v="12"/>
    <x v="3"/>
    <s v="C:\Users\andre\Desktop\REACTIV CEFAS\Dutasteride\Dutasteride/20201201_Cefas_Test8_Run1/Plate 2/@10/D4_02.tif "/>
    <s v=" 4239.4593 "/>
    <s v=" 38.1378 "/>
    <x v="1"/>
    <n v="161683"/>
    <m/>
    <m/>
    <m/>
  </r>
  <r>
    <x v="12"/>
    <x v="3"/>
    <s v="C:\Users\andre\Desktop\REACTIV CEFAS\Dutasteride\Dutasteride/20201201_Cefas_Test8_Run1/Plate 2/@10/D4_03.tif "/>
    <s v=" 1514.0926 "/>
    <s v=" 33.5286 "/>
    <x v="1"/>
    <n v="50765"/>
    <m/>
    <m/>
    <m/>
  </r>
  <r>
    <x v="12"/>
    <x v="4"/>
    <s v="C:\Users\andre\Desktop\REACTIV CEFAS\Dutasteride\Dutasteride/20201201_Cefas_Test8_Run1/Plate 2/@10/E4_01.tif "/>
    <s v=" 5537.253 "/>
    <s v=" 34.6797 "/>
    <x v="1"/>
    <n v="192030"/>
    <m/>
    <m/>
    <m/>
  </r>
  <r>
    <x v="12"/>
    <x v="4"/>
    <s v="C:\Users\andre\Desktop\REACTIV CEFAS\Dutasteride\Dutasteride/20201201_Cefas_Test8_Run1/Plate 2/@10/E4_02.tif "/>
    <s v=" 5385.8438 "/>
    <s v=" 39.3815 "/>
    <x v="1"/>
    <n v="212103"/>
    <m/>
    <m/>
    <m/>
  </r>
  <r>
    <x v="12"/>
    <x v="4"/>
    <s v="C:\Users\andre\Desktop\REACTIV CEFAS\Dutasteride\Dutasteride/20201201_Cefas_Test8_Run1/Plate 2/@10/E4_03.tif "/>
    <s v=" 5385.8438 "/>
    <s v=" 39.755 "/>
    <x v="1"/>
    <n v="214114"/>
    <m/>
    <m/>
    <m/>
  </r>
  <r>
    <x v="12"/>
    <x v="5"/>
    <s v="C:\Users\andre\Desktop\REACTIV CEFAS\Dutasteride\Dutasteride/20201201_Cefas_Test8_Run1/Plate 2/@10/F4_01.tif "/>
    <s v=" 4672.0572 "/>
    <s v=" 41.4676 "/>
    <x v="1"/>
    <n v="193739"/>
    <m/>
    <m/>
    <m/>
  </r>
  <r>
    <x v="12"/>
    <x v="5"/>
    <s v="C:\Users\andre\Desktop\REACTIV CEFAS\Dutasteride\Dutasteride/20201201_Cefas_Test8_Run1/Plate 2/@10/F4_02.tif "/>
    <s v=" 4845.0964 "/>
    <s v=" 40.7545 "/>
    <x v="1"/>
    <n v="197459"/>
    <m/>
    <m/>
    <m/>
  </r>
  <r>
    <x v="12"/>
    <x v="5"/>
    <s v="C:\Users\andre\Desktop\REACTIV CEFAS\Dutasteride\Dutasteride/20201201_Cefas_Test8_Run1/Plate 2/@10/F4_03.tif "/>
    <s v=" 4607.1676 "/>
    <s v=" 36.0986 "/>
    <x v="1"/>
    <n v="166312"/>
    <m/>
    <m/>
    <m/>
  </r>
  <r>
    <x v="12"/>
    <x v="6"/>
    <s v="C:\Users\andre\Desktop\REACTIV CEFAS\Dutasteride\Dutasteride/20201201_Cefas_Test8_Run1/Plate 2/@10/G4_01.tif "/>
    <s v=" 11723.4029 "/>
    <s v=" 46.2122 "/>
    <x v="1"/>
    <n v="541764"/>
    <m/>
    <m/>
    <m/>
  </r>
  <r>
    <x v="12"/>
    <x v="6"/>
    <s v="C:\Users\andre\Desktop\REACTIV CEFAS\Dutasteride\Dutasteride/20201201_Cefas_Test8_Run1/Plate 2/@10/G4_02.tif "/>
    <s v=" 12069.4812 "/>
    <s v=" 43.6649 "/>
    <x v="1"/>
    <n v="527012"/>
    <m/>
    <m/>
    <m/>
  </r>
  <r>
    <x v="12"/>
    <x v="6"/>
    <s v="C:\Users\andre\Desktop\REACTIV CEFAS\Dutasteride\Dutasteride/20201201_Cefas_Test8_Run1/Plate 2/@10/G4_03.tif "/>
    <s v=" 6856.6766 "/>
    <s v=" 37.1451 "/>
    <x v="1"/>
    <n v="254692"/>
    <m/>
    <m/>
    <m/>
  </r>
  <r>
    <x v="12"/>
    <x v="7"/>
    <s v="C:\Users\andre\Desktop\REACTIV CEFAS\Dutasteride\Dutasteride/20201201_Cefas_Test8_Run1/Plate 2/@10/H4_01.tif "/>
    <s v=" 1622.2421 "/>
    <s v=" 34.6267 "/>
    <x v="1"/>
    <n v="56173"/>
    <m/>
    <m/>
    <m/>
  </r>
  <r>
    <x v="12"/>
    <x v="7"/>
    <s v="C:\Users\andre\Desktop\REACTIV CEFAS\Dutasteride\Dutasteride/20201201_Cefas_Test8_Run1/Plate 2/@10/H4_02.tif "/>
    <s v=" 4845.0964 "/>
    <s v=" 31.9018 "/>
    <x v="1"/>
    <n v="154567"/>
    <m/>
    <m/>
    <m/>
  </r>
  <r>
    <x v="12"/>
    <x v="7"/>
    <s v="C:\Users\andre\Desktop\REACTIV CEFAS\Dutasteride\Dutasteride/20201201_Cefas_Test8_Run1/Plate 2/@10/H4_03.tif "/>
    <s v=" 2314.3987 "/>
    <s v=" 34.9252 "/>
    <x v="1"/>
    <n v="80831"/>
    <m/>
    <m/>
    <m/>
  </r>
  <r>
    <x v="1"/>
    <x v="8"/>
    <s v=" "/>
    <m/>
    <m/>
    <x v="0"/>
    <m/>
    <m/>
    <m/>
    <m/>
  </r>
  <r>
    <x v="1"/>
    <x v="8"/>
    <s v="group "/>
    <s v=" "/>
    <s v=" mean of mean fluo "/>
    <x v="2"/>
    <s v=" mean of total fluo "/>
    <s v=" SD total fluo "/>
    <s v=" n fluorescent "/>
    <s v=" n total"/>
  </r>
  <r>
    <x v="12"/>
    <x v="9"/>
    <s v="C:\Users\andre\Desktop\REACTIV CEFAS\Dutasteride\Dutasteride/20201201_Cefas_Test8_Run1/Plate 2/@10/ "/>
    <s v=" "/>
    <s v=" 38.4551 "/>
    <x v="14"/>
    <s v=" 251360.042 "/>
    <s v=" 165263.76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3"/>
    <x v="0"/>
    <s v="C:\Users\andre\Desktop\REACTIV CEFAS\Dutasteride\Dutasteride/20201201_Cefas_Test8_Run1/Plate 2/@11/A5_01.tif "/>
    <s v=" 886.8257 "/>
    <s v=" 33.4878 "/>
    <x v="1"/>
    <n v="29698"/>
    <m/>
    <m/>
    <m/>
  </r>
  <r>
    <x v="13"/>
    <x v="0"/>
    <s v="C:\Users\andre\Desktop\REACTIV CEFAS\Dutasteride\Dutasteride/20201201_Cefas_Test8_Run1/Plate 2/@11/A5_02.tif "/>
    <n v="0"/>
    <n v="0"/>
    <x v="1"/>
    <n v="0"/>
    <m/>
    <m/>
    <m/>
  </r>
  <r>
    <x v="13"/>
    <x v="0"/>
    <s v="C:\Users\andre\Desktop\REACTIV CEFAS\Dutasteride\Dutasteride/20201201_Cefas_Test8_Run1/Plate 2/@11/A5_03.tif "/>
    <s v=" 4888.3562 "/>
    <s v=" 36.4823 "/>
    <x v="1"/>
    <n v="178338"/>
    <m/>
    <m/>
    <m/>
  </r>
  <r>
    <x v="13"/>
    <x v="1"/>
    <s v="C:\Users\andre\Desktop\REACTIV CEFAS\Dutasteride\Dutasteride/20201201_Cefas_Test8_Run1/Plate 2/@11/B5_01.tif "/>
    <s v=" 9452.264 "/>
    <s v=" 37.6842 "/>
    <x v="1"/>
    <n v="356201"/>
    <m/>
    <m/>
    <m/>
  </r>
  <r>
    <x v="13"/>
    <x v="1"/>
    <s v="C:\Users\andre\Desktop\REACTIV CEFAS\Dutasteride\Dutasteride/20201201_Cefas_Test8_Run1/Plate 2/@11/B5_02.tif "/>
    <s v=" 43.2598 "/>
    <s v=" 31.5 "/>
    <x v="1"/>
    <n v="1363"/>
    <m/>
    <m/>
    <m/>
  </r>
  <r>
    <x v="13"/>
    <x v="1"/>
    <s v="C:\Users\andre\Desktop\REACTIV CEFAS\Dutasteride\Dutasteride/20201201_Cefas_Test8_Run1/Plate 2/@11/B5_03.tif "/>
    <s v=" 8716.8475 "/>
    <s v=" 37.5459 "/>
    <x v="1"/>
    <n v="327282"/>
    <m/>
    <m/>
    <m/>
  </r>
  <r>
    <x v="13"/>
    <x v="2"/>
    <s v="C:\Users\andre\Desktop\REACTIV CEFAS\Dutasteride\Dutasteride/20201201_Cefas_Test8_Run1/Plate 2/@11/C5_01.tif "/>
    <s v=" 86.5196 "/>
    <s v=" 30.25 "/>
    <x v="1"/>
    <n v="2617"/>
    <m/>
    <m/>
    <m/>
  </r>
  <r>
    <x v="13"/>
    <x v="2"/>
    <s v="C:\Users\andre\Desktop\REACTIV CEFAS\Dutasteride\Dutasteride/20201201_Cefas_Test8_Run1/Plate 2/@11/C5_02.tif "/>
    <s v=" 302.8185 "/>
    <s v=" 32.2143 "/>
    <x v="1"/>
    <n v="9755"/>
    <m/>
    <m/>
    <m/>
  </r>
  <r>
    <x v="13"/>
    <x v="2"/>
    <s v="C:\Users\andre\Desktop\REACTIV CEFAS\Dutasteride\Dutasteride/20201201_Cefas_Test8_Run1/Plate 2/@11/C5_03.tif "/>
    <s v=" 21.6299 "/>
    <n v="30"/>
    <x v="1"/>
    <n v="649"/>
    <m/>
    <m/>
    <m/>
  </r>
  <r>
    <x v="13"/>
    <x v="3"/>
    <s v="C:\Users\andre\Desktop\REACTIV CEFAS\Dutasteride\Dutasteride/20201201_Cefas_Test8_Run1/Plate 2/@11/D5_01.tif "/>
    <s v=" 8414.029 "/>
    <s v=" 35.7301 "/>
    <x v="1"/>
    <n v="300634"/>
    <m/>
    <m/>
    <m/>
  </r>
  <r>
    <x v="13"/>
    <x v="3"/>
    <s v="C:\Users\andre\Desktop\REACTIV CEFAS\Dutasteride\Dutasteride/20201201_Cefas_Test8_Run1/Plate 2/@11/D5_02.tif "/>
    <s v=" 8846.6269 "/>
    <s v=" 34.6601 "/>
    <x v="1"/>
    <n v="306625"/>
    <m/>
    <m/>
    <m/>
  </r>
  <r>
    <x v="13"/>
    <x v="3"/>
    <s v="C:\Users\andre\Desktop\REACTIV CEFAS\Dutasteride\Dutasteride/20201201_Cefas_Test8_Run1/Plate 2/@11/D5_03.tif "/>
    <s v=" 994.9752 "/>
    <s v=" 32.2391 "/>
    <x v="1"/>
    <n v="32077"/>
    <m/>
    <m/>
    <m/>
  </r>
  <r>
    <x v="13"/>
    <x v="4"/>
    <s v="C:\Users\andre\Desktop\REACTIV CEFAS\Dutasteride\Dutasteride/20201201_Cefas_Test8_Run1/Plate 2/@11/E5_01.tif "/>
    <s v=" 2444.1781 "/>
    <s v=" 34.5752 "/>
    <x v="1"/>
    <n v="84508"/>
    <m/>
    <m/>
    <m/>
  </r>
  <r>
    <x v="13"/>
    <x v="4"/>
    <s v="C:\Users\andre\Desktop\REACTIV CEFAS\Dutasteride\Dutasteride/20201201_Cefas_Test8_Run1/Plate 2/@11/E5_02.tif "/>
    <s v=" 6618.7478 "/>
    <s v=" 38.1503 "/>
    <x v="1"/>
    <n v="252507"/>
    <m/>
    <m/>
    <m/>
  </r>
  <r>
    <x v="13"/>
    <x v="4"/>
    <s v="C:\Users\andre\Desktop\REACTIV CEFAS\Dutasteride\Dutasteride/20201201_Cefas_Test8_Run1/Plate 2/@11/E5_03.tif "/>
    <s v=" 6359.189 "/>
    <s v=" 37.7653 "/>
    <x v="1"/>
    <n v="240157"/>
    <m/>
    <m/>
    <m/>
  </r>
  <r>
    <x v="13"/>
    <x v="5"/>
    <s v="C:\Users\andre\Desktop\REACTIV CEFAS\Dutasteride\Dutasteride/20201201_Cefas_Test8_Run1/Plate 2/@11/F5_01.tif "/>
    <s v=" 3006.5554 "/>
    <s v=" 36.6259 "/>
    <x v="1"/>
    <n v="110118"/>
    <m/>
    <m/>
    <m/>
  </r>
  <r>
    <x v="13"/>
    <x v="5"/>
    <s v="C:\Users\andre\Desktop\REACTIV CEFAS\Dutasteride\Dutasteride/20201201_Cefas_Test8_Run1/Plate 2/@11/F5_02.tif "/>
    <s v=" 1081.4947 "/>
    <s v=" 33.3 "/>
    <x v="1"/>
    <n v="36014"/>
    <m/>
    <m/>
    <m/>
  </r>
  <r>
    <x v="13"/>
    <x v="5"/>
    <s v="C:\Users\andre\Desktop\REACTIV CEFAS\Dutasteride\Dutasteride/20201201_Cefas_Test8_Run1/Plate 2/@11/F5_03.tif "/>
    <s v=" 2227.8791 "/>
    <s v=" 35.466 "/>
    <x v="1"/>
    <n v="79014"/>
    <m/>
    <m/>
    <m/>
  </r>
  <r>
    <x v="13"/>
    <x v="6"/>
    <s v="C:\Users\andre\Desktop\REACTIV CEFAS\Dutasteride\Dutasteride/20201201_Cefas_Test8_Run1/Plate 2/@11/G5_01.tif "/>
    <s v=" 3936.6408 "/>
    <s v=" 37.3077 "/>
    <x v="1"/>
    <n v="146867"/>
    <m/>
    <m/>
    <m/>
  </r>
  <r>
    <x v="13"/>
    <x v="6"/>
    <s v="C:\Users\andre\Desktop\REACTIV CEFAS\Dutasteride\Dutasteride/20201201_Cefas_Test8_Run1/Plate 2/@11/G5_02.tif "/>
    <s v=" 5039.7654 "/>
    <s v=" 37.7554 "/>
    <x v="1"/>
    <n v="190278"/>
    <m/>
    <m/>
    <m/>
  </r>
  <r>
    <x v="13"/>
    <x v="6"/>
    <s v="C:\Users\andre\Desktop\REACTIV CEFAS\Dutasteride\Dutasteride/20201201_Cefas_Test8_Run1/Plate 2/@11/G5_03.tif "/>
    <s v=" 8414.029 "/>
    <s v=" 38.7044 "/>
    <x v="1"/>
    <n v="325660"/>
    <m/>
    <m/>
    <m/>
  </r>
  <r>
    <x v="13"/>
    <x v="7"/>
    <s v="C:\Users\andre\Desktop\REACTIV CEFAS\Dutasteride\Dutasteride/20201201_Cefas_Test8_Run1/Plate 2/@11/H5_01.tif "/>
    <s v=" 6186.1499 "/>
    <s v=" 36.451 "/>
    <x v="1"/>
    <n v="225492"/>
    <m/>
    <m/>
    <m/>
  </r>
  <r>
    <x v="13"/>
    <x v="7"/>
    <s v="C:\Users\andre\Desktop\REACTIV CEFAS\Dutasteride\Dutasteride/20201201_Cefas_Test8_Run1/Plate 2/@11/H5_02.tif "/>
    <s v=" 10512.1288 "/>
    <s v=" 33.2428 "/>
    <x v="1"/>
    <n v="349453"/>
    <m/>
    <m/>
    <m/>
  </r>
  <r>
    <x v="13"/>
    <x v="7"/>
    <s v="C:\Users\andre\Desktop\REACTIV CEFAS\Dutasteride\Dutasteride/20201201_Cefas_Test8_Run1/Plate 2/@11/H5_03.tif "/>
    <s v=" 324.4484 "/>
    <s v=" 32.5333 "/>
    <x v="1"/>
    <n v="10555"/>
    <m/>
    <m/>
    <m/>
  </r>
  <r>
    <x v="1"/>
    <x v="8"/>
    <s v=" "/>
    <m/>
    <m/>
    <x v="0"/>
    <m/>
    <m/>
    <m/>
    <m/>
  </r>
  <r>
    <x v="1"/>
    <x v="8"/>
    <s v="group "/>
    <s v=" "/>
    <s v=" mean of mean fluo "/>
    <x v="2"/>
    <s v=" mean of total fluo "/>
    <s v=" SD total fluo "/>
    <s v=" n fluorescent "/>
    <s v=" n total"/>
  </r>
  <r>
    <x v="13"/>
    <x v="9"/>
    <s v="C:\Users\andre\Desktop\REACTIV CEFAS\Dutasteride\Dutasteride/20201201_Cefas_Test8_Run1/Plate 2/@11/ "/>
    <s v=" "/>
    <s v=" 33.4863 "/>
    <x v="15"/>
    <s v=" 149827.583 "/>
    <s v=" 131645.3 "/>
    <n v="23"/>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4"/>
    <x v="0"/>
    <s v="C:\Users\andre\Desktop\REACTIV CEFAS\Dutasteride\Dutasteride/20201201_Cefas_Test8_Run1/Plate 2/@12/A6_01.tif "/>
    <s v=" 6662.0075 "/>
    <s v=" 35.9286 "/>
    <x v="1"/>
    <n v="239356"/>
    <m/>
    <m/>
    <m/>
  </r>
  <r>
    <x v="14"/>
    <x v="0"/>
    <s v="C:\Users\andre\Desktop\REACTIV CEFAS\Dutasteride\Dutasteride/20201201_Cefas_Test8_Run1/Plate 2/@12/A6_02.tif "/>
    <s v=" 3677.0821 "/>
    <s v=" 35.0647 "/>
    <x v="1"/>
    <n v="128936"/>
    <m/>
    <m/>
    <m/>
  </r>
  <r>
    <x v="14"/>
    <x v="0"/>
    <s v="C:\Users\andre\Desktop\REACTIV CEFAS\Dutasteride\Dutasteride/20201201_Cefas_Test8_Run1/Plate 2/@12/A6_03.tif "/>
    <s v=" 5169.5448 "/>
    <s v=" 36.2971 "/>
    <x v="1"/>
    <n v="187639"/>
    <m/>
    <m/>
    <m/>
  </r>
  <r>
    <x v="14"/>
    <x v="1"/>
    <s v="C:\Users\andre\Desktop\REACTIV CEFAS\Dutasteride\Dutasteride/20201201_Cefas_Test8_Run1/Plate 2/@12/B6_01.tif "/>
    <s v=" 5645.4025 "/>
    <s v=" 41.318 "/>
    <x v="1"/>
    <n v="233257"/>
    <m/>
    <m/>
    <m/>
  </r>
  <r>
    <x v="14"/>
    <x v="1"/>
    <s v="C:\Users\andre\Desktop\REACTIV CEFAS\Dutasteride\Dutasteride/20201201_Cefas_Test8_Run1/Plate 2/@12/B6_02.tif "/>
    <s v=" 8998.0362 "/>
    <s v=" 32.5817 "/>
    <x v="1"/>
    <n v="293172"/>
    <m/>
    <m/>
    <m/>
  </r>
  <r>
    <x v="14"/>
    <x v="1"/>
    <s v="C:\Users\andre\Desktop\REACTIV CEFAS\Dutasteride\Dutasteride/20201201_Cefas_Test8_Run1/Plate 2/@12/B6_03.tif "/>
    <s v=" 21.6299 "/>
    <n v="30"/>
    <x v="1"/>
    <n v="649"/>
    <m/>
    <m/>
    <m/>
  </r>
  <r>
    <x v="14"/>
    <x v="2"/>
    <s v="C:\Users\andre\Desktop\REACTIV CEFAS\Dutasteride\Dutasteride/20201201_Cefas_Test8_Run1/Plate 2/@12/C6_01.tif "/>
    <n v="0"/>
    <n v="0"/>
    <x v="1"/>
    <n v="0"/>
    <m/>
    <m/>
    <m/>
  </r>
  <r>
    <x v="14"/>
    <x v="2"/>
    <s v="C:\Users\andre\Desktop\REACTIV CEFAS\Dutasteride\Dutasteride/20201201_Cefas_Test8_Run1/Plate 2/@12/C6_02- exclu.tif"/>
    <m/>
    <m/>
    <x v="0"/>
    <m/>
    <m/>
    <m/>
    <m/>
  </r>
  <r>
    <x v="14"/>
    <x v="2"/>
    <s v="C:\Users\andre\Desktop\REACTIV CEFAS\Dutasteride\Dutasteride/20201201_Cefas_Test8_Run1/Plate 2/@12/C6_03.tif "/>
    <n v="0"/>
    <n v="0"/>
    <x v="1"/>
    <n v="0"/>
    <m/>
    <m/>
    <m/>
  </r>
  <r>
    <x v="14"/>
    <x v="3"/>
    <s v="C:\Users\andre\Desktop\REACTIV CEFAS\Dutasteride\Dutasteride/20201201_Cefas_Test8_Run1/Plate 2/@12/D6_01.tif "/>
    <n v="0"/>
    <n v="0"/>
    <x v="1"/>
    <n v="0"/>
    <m/>
    <m/>
    <m/>
  </r>
  <r>
    <x v="14"/>
    <x v="3"/>
    <s v="C:\Users\andre\Desktop\REACTIV CEFAS\Dutasteride\Dutasteride/20201201_Cefas_Test8_Run1/Plate 2/@12/D6_02.tif "/>
    <s v=" 8587.0682 "/>
    <s v=" 41.5441 "/>
    <x v="1"/>
    <n v="356742"/>
    <m/>
    <m/>
    <m/>
  </r>
  <r>
    <x v="14"/>
    <x v="3"/>
    <s v="C:\Users\andre\Desktop\REACTIV CEFAS\Dutasteride\Dutasteride/20201201_Cefas_Test8_Run1/Plate 2/@12/D6_03.tif "/>
    <s v=" 9906.4917 "/>
    <s v=" 36.0611 "/>
    <x v="1"/>
    <n v="357239"/>
    <m/>
    <m/>
    <m/>
  </r>
  <r>
    <x v="14"/>
    <x v="4"/>
    <s v="C:\Users\andre\Desktop\REACTIV CEFAS\Dutasteride\Dutasteride/20201201_Cefas_Test8_Run1/Plate 2/@12/E6_01.tif "/>
    <s v=" 9214.3351 "/>
    <s v=" 39.7958 "/>
    <x v="1"/>
    <n v="366692"/>
    <m/>
    <m/>
    <m/>
  </r>
  <r>
    <x v="14"/>
    <x v="4"/>
    <s v="C:\Users\andre\Desktop\REACTIV CEFAS\Dutasteride\Dutasteride/20201201_Cefas_Test8_Run1/Plate 2/@12/E6_02.tif "/>
    <s v=" 7786.7621 "/>
    <s v=" 43.1361 "/>
    <x v="1"/>
    <n v="335891"/>
    <m/>
    <m/>
    <m/>
  </r>
  <r>
    <x v="14"/>
    <x v="4"/>
    <s v="C:\Users\andre\Desktop\REACTIV CEFAS\Dutasteride\Dutasteride/20201201_Cefas_Test8_Run1/Plate 2/@12/E6_03.tif "/>
    <s v=" 11398.9545 "/>
    <s v=" 43.2486 "/>
    <x v="1"/>
    <n v="492989"/>
    <m/>
    <m/>
    <m/>
  </r>
  <r>
    <x v="14"/>
    <x v="5"/>
    <s v="C:\Users\andre\Desktop\REACTIV CEFAS\Dutasteride\Dutasteride/20201201_Cefas_Test8_Run1/Plate 2/@12/F6_01.tif "/>
    <s v=" 11247.5452 "/>
    <s v=" 36.1654 "/>
    <x v="1"/>
    <n v="406772"/>
    <m/>
    <m/>
    <m/>
  </r>
  <r>
    <x v="14"/>
    <x v="5"/>
    <s v="C:\Users\andre\Desktop\REACTIV CEFAS\Dutasteride\Dutasteride/20201201_Cefas_Test8_Run1/Plate 2/@12/F6_02.tif "/>
    <s v=" 1276.1638 "/>
    <s v=" 34.8305 "/>
    <x v="1"/>
    <n v="44449"/>
    <m/>
    <m/>
    <m/>
  </r>
  <r>
    <x v="14"/>
    <x v="5"/>
    <s v="C:\Users\andre\Desktop\REACTIV CEFAS\Dutasteride\Dutasteride/20201201_Cefas_Test8_Run1/Plate 2/@12/F6_03.tif "/>
    <s v=" 475.8577 "/>
    <s v=" 30.9545 "/>
    <x v="1"/>
    <n v="14730"/>
    <m/>
    <m/>
    <m/>
  </r>
  <r>
    <x v="14"/>
    <x v="6"/>
    <s v="C:\Users\andre\Desktop\REACTIV CEFAS\Dutasteride\Dutasteride/20201201_Cefas_Test8_Run1/Plate 2/@12/G6_01.tif "/>
    <s v=" 21.6299 "/>
    <n v="31"/>
    <x v="1"/>
    <n v="671"/>
    <m/>
    <m/>
    <m/>
  </r>
  <r>
    <x v="14"/>
    <x v="6"/>
    <s v="C:\Users\andre\Desktop\REACTIV CEFAS\Dutasteride\Dutasteride/20201201_Cefas_Test8_Run1/Plate 2/@12/G6_02.tif "/>
    <n v="0"/>
    <n v="0"/>
    <x v="1"/>
    <n v="0"/>
    <m/>
    <m/>
    <m/>
  </r>
  <r>
    <x v="14"/>
    <x v="6"/>
    <s v="C:\Users\andre\Desktop\REACTIV CEFAS\Dutasteride\Dutasteride/20201201_Cefas_Test8_Run1/Plate 2/@12/G6_03.tif "/>
    <n v="0"/>
    <n v="0"/>
    <x v="1"/>
    <n v="0"/>
    <m/>
    <m/>
    <m/>
  </r>
  <r>
    <x v="14"/>
    <x v="7"/>
    <s v="C:\Users\andre\Desktop\REACTIV CEFAS\Dutasteride\Dutasteride/20201201_Cefas_Test8_Run1/Plate 2/@12/H6_01.tif "/>
    <s v=" 6618.7478 "/>
    <s v=" 41.3627 "/>
    <x v="1"/>
    <n v="273770"/>
    <m/>
    <m/>
    <m/>
  </r>
  <r>
    <x v="14"/>
    <x v="7"/>
    <s v="C:\Users\andre\Desktop\REACTIV CEFAS\Dutasteride\Dutasteride/20201201_Cefas_Test8_Run1/Plate 2/@12/H6_02.tif "/>
    <s v=" 6272.6694 "/>
    <s v=" 40.7793 "/>
    <x v="1"/>
    <n v="255795"/>
    <m/>
    <m/>
    <m/>
  </r>
  <r>
    <x v="14"/>
    <x v="7"/>
    <s v="C:\Users\andre\Desktop\REACTIV CEFAS\Dutasteride\Dutasteride/20201201_Cefas_Test8_Run1/Plate 2/@12/H6_03.tif "/>
    <s v=" 6402.4488 "/>
    <s v=" 41.2973 "/>
    <x v="1"/>
    <n v="264404"/>
    <m/>
    <m/>
    <m/>
  </r>
  <r>
    <x v="1"/>
    <x v="8"/>
    <s v=" "/>
    <m/>
    <m/>
    <x v="0"/>
    <m/>
    <m/>
    <m/>
    <m/>
  </r>
  <r>
    <x v="1"/>
    <x v="8"/>
    <s v="group "/>
    <s v=" "/>
    <s v=" mean of mean fluo "/>
    <x v="2"/>
    <s v=" mean of total fluo "/>
    <s v=" SD total fluo "/>
    <s v=" n fluorescent "/>
    <s v=" n total"/>
  </r>
  <r>
    <x v="14"/>
    <x v="9"/>
    <s v="C:\Users\andre\Desktop\REACTIV CEFAS\Dutasteride\Dutasteride/20201201_Cefas_Test8_Run1/Plate 2/@12/ "/>
    <s v=" "/>
    <s v=" 27.9736 "/>
    <x v="16"/>
    <s v=" 177214.708 "/>
    <s v=" 164041.041 "/>
    <n v="18"/>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5"/>
    <x v="0"/>
    <s v="C:\Users\andre\Desktop\REACTIV CEFAS\Dutasteride\Dutasteride/20201201_Cefas_Test8_Run1/Plate 2/@17/A8_01.tif "/>
    <s v=" 41637.5472 "/>
    <s v=" 35.9969 "/>
    <x v="1"/>
    <n v="1498822"/>
    <m/>
    <m/>
    <m/>
  </r>
  <r>
    <x v="15"/>
    <x v="0"/>
    <s v="C:\Users\andre\Desktop\REACTIV CEFAS\Dutasteride\Dutasteride/20201201_Cefas_Test8_Run1/Plate 2/@17/A8_02.tif "/>
    <s v=" 43303.049 "/>
    <s v=" 36.7178 "/>
    <x v="1"/>
    <n v="1589992"/>
    <m/>
    <m/>
    <m/>
  </r>
  <r>
    <x v="15"/>
    <x v="0"/>
    <s v="C:\Users\andre\Desktop\REACTIV CEFAS\Dutasteride\Dutasteride/20201201_Cefas_Test8_Run1/Plate 2/@17/A8_03.tif "/>
    <s v=" 32552.9914 "/>
    <s v=" 35.8093 "/>
    <x v="1"/>
    <n v="1165700"/>
    <m/>
    <m/>
    <m/>
  </r>
  <r>
    <x v="15"/>
    <x v="1"/>
    <s v="C:\Users\andre\Desktop\REACTIV CEFAS\Dutasteride\Dutasteride/20201201_Cefas_Test8_Run1/Plate 2/@17/B8_01.tif "/>
    <s v=" 17649.994 "/>
    <s v=" 36.1127 "/>
    <x v="1"/>
    <n v="637390"/>
    <m/>
    <m/>
    <m/>
  </r>
  <r>
    <x v="15"/>
    <x v="1"/>
    <s v="C:\Users\andre\Desktop\REACTIV CEFAS\Dutasteride\Dutasteride/20201201_Cefas_Test8_Run1/Plate 2/@17/B8_02.tif "/>
    <s v=" 16417.09 "/>
    <s v=" 34.6245 "/>
    <x v="1"/>
    <n v="568434"/>
    <m/>
    <m/>
    <m/>
  </r>
  <r>
    <x v="15"/>
    <x v="1"/>
    <s v="C:\Users\andre\Desktop\REACTIV CEFAS\Dutasteride\Dutasteride/20201201_Cefas_Test8_Run1/Plate 2/@17/B8_03.tif "/>
    <s v=" 19575.0546 "/>
    <s v=" 35.6641 "/>
    <x v="1"/>
    <n v="698126"/>
    <m/>
    <m/>
    <m/>
  </r>
  <r>
    <x v="15"/>
    <x v="2"/>
    <s v="C:\Users\andre\Desktop\REACTIV CEFAS\Dutasteride\Dutasteride/20201201_Cefas_Test8_Run1/Plate 2/@17/C8_01.tif "/>
    <s v=" 63245.8119 "/>
    <s v=" 48.5773 "/>
    <x v="1"/>
    <n v="3072310"/>
    <m/>
    <m/>
    <m/>
  </r>
  <r>
    <x v="15"/>
    <x v="2"/>
    <s v="C:\Users\andre\Desktop\REACTIV CEFAS\Dutasteride\Dutasteride/20201201_Cefas_Test8_Run1/Plate 2/@17/C8_02.tif "/>
    <s v=" 63505.3706 "/>
    <s v=" 46.6921 "/>
    <x v="1"/>
    <n v="2965199"/>
    <m/>
    <m/>
    <m/>
  </r>
  <r>
    <x v="15"/>
    <x v="2"/>
    <s v="C:\Users\andre\Desktop\REACTIV CEFAS\Dutasteride\Dutasteride/20201201_Cefas_Test8_Run1/Plate 2/@17/C8_03.tif "/>
    <s v=" 56540.5446 "/>
    <s v=" 45.7865 "/>
    <x v="1"/>
    <n v="2588796"/>
    <m/>
    <m/>
    <m/>
  </r>
  <r>
    <x v="15"/>
    <x v="3"/>
    <s v="C:\Users\andre\Desktop\REACTIV CEFAS\Dutasteride\Dutasteride/20201201_Cefas_Test8_Run1/Plate 2/@17/D8_01.tif "/>
    <s v=" 7029.7158 "/>
    <s v=" 35.4985 "/>
    <x v="1"/>
    <n v="249544"/>
    <m/>
    <m/>
    <m/>
  </r>
  <r>
    <x v="15"/>
    <x v="3"/>
    <s v="C:\Users\andre\Desktop\REACTIV CEFAS\Dutasteride\Dutasteride/20201201_Cefas_Test8_Run1/Plate 2/@17/D8_02.tif "/>
    <s v=" 12156.0008 "/>
    <s v=" 37.7687 "/>
    <x v="1"/>
    <n v="459116"/>
    <m/>
    <m/>
    <m/>
  </r>
  <r>
    <x v="15"/>
    <x v="3"/>
    <s v="C:\Users\andre\Desktop\REACTIV CEFAS\Dutasteride\Dutasteride/20201201_Cefas_Test8_Run1/Plate 2/@17/D8_03.tif "/>
    <s v=" 11485.474 "/>
    <s v=" 36.4162 "/>
    <x v="1"/>
    <n v="418257"/>
    <m/>
    <m/>
    <m/>
  </r>
  <r>
    <x v="15"/>
    <x v="4"/>
    <s v="C:\Users\andre\Desktop\REACTIV CEFAS\Dutasteride\Dutasteride/20201201_Cefas_Test8_Run1/Plate 2/@17/E8_01.tif "/>
    <s v=" 47607.3981 "/>
    <s v=" 40.0618 "/>
    <x v="1"/>
    <n v="1907238"/>
    <m/>
    <m/>
    <m/>
  </r>
  <r>
    <x v="15"/>
    <x v="4"/>
    <s v="C:\Users\andre\Desktop\REACTIV CEFAS\Dutasteride\Dutasteride/20201201_Cefas_Test8_Run1/Plate 2/@17/E8_02.tif "/>
    <s v=" 52474.1244 "/>
    <s v=" 41.9744 "/>
    <x v="1"/>
    <n v="2202572"/>
    <m/>
    <m/>
    <m/>
  </r>
  <r>
    <x v="15"/>
    <x v="4"/>
    <s v="C:\Users\andre\Desktop\REACTIV CEFAS\Dutasteride\Dutasteride/20201201_Cefas_Test8_Run1/Plate 2/@17/E8_03.tif "/>
    <s v=" 47672.2878 "/>
    <s v=" 41.2355 "/>
    <x v="1"/>
    <n v="1965790"/>
    <m/>
    <m/>
    <m/>
  </r>
  <r>
    <x v="15"/>
    <x v="5"/>
    <s v="C:\Users\andre\Desktop\REACTIV CEFAS\Dutasteride\Dutasteride/20201201_Cefas_Test8_Run1/Plate 2/@17/F8_01.tif "/>
    <s v=" 23901.0336 "/>
    <n v="35"/>
    <x v="1"/>
    <n v="836536"/>
    <m/>
    <m/>
    <m/>
  </r>
  <r>
    <x v="15"/>
    <x v="5"/>
    <s v="C:\Users\andre\Desktop\REACTIV CEFAS\Dutasteride\Dutasteride/20201201_Cefas_Test8_Run1/Plate 2/@17/F8_02.tif "/>
    <s v=" 29286.8773 "/>
    <s v=" 37.1211 "/>
    <x v="1"/>
    <n v="1087162"/>
    <m/>
    <m/>
    <m/>
  </r>
  <r>
    <x v="15"/>
    <x v="5"/>
    <s v="C:\Users\andre\Desktop\REACTIV CEFAS\Dutasteride\Dutasteride/20201201_Cefas_Test8_Run1/Plate 2/@17/F8_03.tif "/>
    <s v=" 31817.575 "/>
    <s v=" 37.5908 "/>
    <x v="1"/>
    <n v="1196047"/>
    <m/>
    <m/>
    <m/>
  </r>
  <r>
    <x v="15"/>
    <x v="6"/>
    <s v="C:\Users\andre\Desktop\REACTIV CEFAS\Dutasteride\Dutasteride/20201201_Cefas_Test8_Run1/Plate 2/@17/G8_01.tif "/>
    <s v=" 23143.9873 "/>
    <s v=" 33.2234 "/>
    <x v="1"/>
    <n v="768921"/>
    <m/>
    <m/>
    <m/>
  </r>
  <r>
    <x v="15"/>
    <x v="6"/>
    <s v="C:\Users\andre\Desktop\REACTIV CEFAS\Dutasteride\Dutasteride/20201201_Cefas_Test8_Run1/Plate 2/@17/G8_02.tif "/>
    <s v=" 20699.8092 "/>
    <s v=" 32.6719 "/>
    <x v="1"/>
    <n v="676302"/>
    <m/>
    <m/>
    <m/>
  </r>
  <r>
    <x v="15"/>
    <x v="6"/>
    <s v="C:\Users\andre\Desktop\REACTIV CEFAS\Dutasteride\Dutasteride/20201201_Cefas_Test8_Run1/Plate 2/@17/G8_03.tif "/>
    <s v=" 33742.6356 "/>
    <s v=" 34.7474 "/>
    <x v="1"/>
    <n v="1172470"/>
    <m/>
    <m/>
    <m/>
  </r>
  <r>
    <x v="15"/>
    <x v="7"/>
    <s v="C:\Users\andre\Desktop\REACTIV CEFAS\Dutasteride\Dutasteride/20201201_Cefas_Test8_Run1/Plate 2/@17/H8_01.tif "/>
    <s v=" 49316.1598 "/>
    <s v=" 36.5206 "/>
    <x v="1"/>
    <n v="1801056"/>
    <m/>
    <m/>
    <m/>
  </r>
  <r>
    <x v="15"/>
    <x v="7"/>
    <s v="C:\Users\andre\Desktop\REACTIV CEFAS\Dutasteride\Dutasteride/20201201_Cefas_Test8_Run1/Plate 2/@17/H8_02.tif "/>
    <s v=" 48148.1454 "/>
    <s v=" 37.6235 "/>
    <x v="1"/>
    <n v="1811504"/>
    <m/>
    <m/>
    <m/>
  </r>
  <r>
    <x v="15"/>
    <x v="7"/>
    <s v="C:\Users\andre\Desktop\REACTIV CEFAS\Dutasteride\Dutasteride/20201201_Cefas_Test8_Run1/Plate 2/@17/H8_03.tif "/>
    <s v=" 47023.3909 "/>
    <s v=" 37.2093 "/>
    <x v="1"/>
    <n v="1749707"/>
    <m/>
    <m/>
    <m/>
  </r>
  <r>
    <x v="1"/>
    <x v="8"/>
    <s v=" "/>
    <m/>
    <m/>
    <x v="0"/>
    <m/>
    <m/>
    <m/>
    <m/>
  </r>
  <r>
    <x v="1"/>
    <x v="8"/>
    <s v="group "/>
    <s v=" "/>
    <s v=" mean of mean fluo "/>
    <x v="2"/>
    <s v=" mean of total fluo "/>
    <s v=" SD total fluo "/>
    <s v=" n fluorescent "/>
    <s v=" n total"/>
  </r>
  <r>
    <x v="15"/>
    <x v="9"/>
    <s v="C:\Users\andre\Desktop\REACTIV CEFAS\Dutasteride\Dutasteride/20201201_Cefas_Test8_Run1/Plate 2/@17/ "/>
    <s v=" "/>
    <s v=" 37.9435 "/>
    <x v="17"/>
    <s v=" 1378624.62 "/>
    <s v=" 801969.443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6"/>
    <x v="0"/>
    <s v="C:\Users\andre\Desktop\REACTIV CEFAS\Dutasteride\Dutasteride/20201201_Cefas_Test8_Run1/Plate 2/@18/A9_01.tif "/>
    <s v=" 25717.9447 "/>
    <s v=" 35.3894 "/>
    <x v="1"/>
    <n v="910143"/>
    <m/>
    <m/>
    <m/>
  </r>
  <r>
    <x v="16"/>
    <x v="0"/>
    <s v="C:\Users\andre\Desktop\REACTIV CEFAS\Dutasteride\Dutasteride/20201201_Cefas_Test8_Run1/Plate 2/@18/A9_02.tif "/>
    <s v=" 10490.4989 "/>
    <s v=" 31.3278 "/>
    <x v="1"/>
    <n v="328645"/>
    <m/>
    <m/>
    <m/>
  </r>
  <r>
    <x v="16"/>
    <x v="0"/>
    <s v="C:\Users\andre\Desktop\REACTIV CEFAS\Dutasteride\Dutasteride/20201201_Cefas_Test8_Run1/Plate 2/@18/A9_03.tif "/>
    <s v=" 29849.2546 "/>
    <s v=" 36.0587 "/>
    <x v="1"/>
    <n v="1076325"/>
    <m/>
    <m/>
    <m/>
  </r>
  <r>
    <x v="16"/>
    <x v="1"/>
    <s v="C:\Users\andre\Desktop\REACTIV CEFAS\Dutasteride\Dutasteride/20201201_Cefas_Test8_Run1/Plate 2/@18/B9_01.tif "/>
    <s v=" 71854.51 "/>
    <s v=" 49.584 "/>
    <x v="1"/>
    <n v="3562833"/>
    <m/>
    <m/>
    <m/>
  </r>
  <r>
    <x v="16"/>
    <x v="1"/>
    <s v="C:\Users\andre\Desktop\REACTIV CEFAS\Dutasteride\Dutasteride/20201201_Cefas_Test8_Run1/Plate 2/@18/B9_02.tif "/>
    <s v=" 73000.8944 "/>
    <s v=" 48.7345 "/>
    <x v="1"/>
    <n v="3557663"/>
    <m/>
    <m/>
    <m/>
  </r>
  <r>
    <x v="16"/>
    <x v="1"/>
    <s v="C:\Users\andre\Desktop\REACTIV CEFAS\Dutasteride\Dutasteride/20201201_Cefas_Test8_Run1/Plate 2/@18/B9_03.tif "/>
    <s v=" 70751.3853 "/>
    <s v=" 47.3033 "/>
    <x v="1"/>
    <n v="3346772"/>
    <m/>
    <m/>
    <m/>
  </r>
  <r>
    <x v="16"/>
    <x v="2"/>
    <s v="C:\Users\andre\Desktop\REACTIV CEFAS\Dutasteride\Dutasteride/20201201_Cefas_Test8_Run1/Plate 2/@18/C9_01.tif "/>
    <s v=" 194.6691 "/>
    <s v=" 30.7778 "/>
    <x v="1"/>
    <n v="5991"/>
    <m/>
    <m/>
    <m/>
  </r>
  <r>
    <x v="16"/>
    <x v="2"/>
    <s v="C:\Users\andre\Desktop\REACTIV CEFAS\Dutasteride\Dutasteride/20201201_Cefas_Test8_Run1/Plate 2/@18/C9_02.tif "/>
    <s v=" 3352.6337 "/>
    <s v=" 33.0516 "/>
    <x v="1"/>
    <n v="110810"/>
    <m/>
    <m/>
    <m/>
  </r>
  <r>
    <x v="16"/>
    <x v="2"/>
    <s v="C:\Users\andre\Desktop\REACTIV CEFAS\Dutasteride\Dutasteride/20201201_Cefas_Test8_Run1/Plate 2/@18/C9_03.tif "/>
    <s v=" 1708.7617 "/>
    <s v=" 32.8987 "/>
    <x v="1"/>
    <n v="56216"/>
    <m/>
    <m/>
    <m/>
  </r>
  <r>
    <x v="16"/>
    <x v="3"/>
    <s v="C:\Users\andre\Desktop\REACTIV CEFAS\Dutasteride\Dutasteride/20201201_Cefas_Test8_Run1/Plate 2/@18/D9_01.tif "/>
    <s v=" 65689.99 "/>
    <s v=" 60.5479 "/>
    <x v="1"/>
    <n v="3977392"/>
    <m/>
    <m/>
    <m/>
  </r>
  <r>
    <x v="16"/>
    <x v="3"/>
    <s v="C:\Users\andre\Desktop\REACTIV CEFAS\Dutasteride\Dutasteride/20201201_Cefas_Test8_Run1/Plate 2/@18/D9_02.tif "/>
    <s v=" 62575.2852 "/>
    <s v=" 55.3405 "/>
    <x v="1"/>
    <n v="3462946"/>
    <m/>
    <m/>
    <m/>
  </r>
  <r>
    <x v="16"/>
    <x v="3"/>
    <s v="C:\Users\andre\Desktop\REACTIV CEFAS\Dutasteride\Dutasteride/20201201_Cefas_Test8_Run1/Plate 2/@18/D9_03.tif "/>
    <s v=" 61558.6801 "/>
    <s v=" 58.077 "/>
    <x v="1"/>
    <n v="3575140"/>
    <m/>
    <m/>
    <m/>
  </r>
  <r>
    <x v="16"/>
    <x v="4"/>
    <s v="C:\Users\andre\Desktop\REACTIV CEFAS\Dutasteride\Dutasteride/20201201_Cefas_Test8_Run1/Plate 2/@18/E9_01.tif "/>
    <s v=" 75985.8198 "/>
    <s v=" 46.6815 "/>
    <x v="1"/>
    <n v="3547130"/>
    <m/>
    <m/>
    <m/>
  </r>
  <r>
    <x v="16"/>
    <x v="4"/>
    <s v="C:\Users\andre\Desktop\REACTIV CEFAS\Dutasteride\Dutasteride/20201201_Cefas_Test8_Run1/Plate 2/@18/E9_02.tif "/>
    <s v=" 64132.6376 "/>
    <s v=" 41.7312 "/>
    <x v="1"/>
    <n v="2676332"/>
    <m/>
    <m/>
    <m/>
  </r>
  <r>
    <x v="16"/>
    <x v="4"/>
    <s v="C:\Users\andre\Desktop\REACTIV CEFAS\Dutasteride\Dutasteride/20201201_Cefas_Test8_Run1/Plate 2/@18/E9_03.tif "/>
    <s v=" 64111.0077 "/>
    <s v=" 45.196 "/>
    <x v="1"/>
    <n v="2897562"/>
    <m/>
    <m/>
    <m/>
  </r>
  <r>
    <x v="16"/>
    <x v="5"/>
    <s v="C:\Users\andre\Desktop\REACTIV CEFAS\Dutasteride\Dutasteride/20201201_Cefas_Test8_Run1/Plate 2/@18/F9_01.tif "/>
    <s v=" 55394.1601 "/>
    <s v=" 39.5365 "/>
    <x v="1"/>
    <n v="2190092"/>
    <m/>
    <m/>
    <m/>
  </r>
  <r>
    <x v="16"/>
    <x v="5"/>
    <s v="C:\Users\andre\Desktop\REACTIV CEFAS\Dutasteride\Dutasteride/20201201_Cefas_Test8_Run1/Plate 2/@18/F9_02.tif "/>
    <s v=" 48624.0031 "/>
    <s v=" 39.8577 "/>
    <x v="1"/>
    <n v="1938039"/>
    <m/>
    <m/>
    <m/>
  </r>
  <r>
    <x v="16"/>
    <x v="5"/>
    <s v="C:\Users\andre\Desktop\REACTIV CEFAS\Dutasteride\Dutasteride/20201201_Cefas_Test8_Run1/Plate 2/@18/F9_03.tif "/>
    <s v=" 54810.153 "/>
    <s v=" 39.7762 "/>
    <x v="1"/>
    <n v="2180142"/>
    <m/>
    <m/>
    <m/>
  </r>
  <r>
    <x v="16"/>
    <x v="6"/>
    <s v="C:\Users\andre\Desktop\REACTIV CEFAS\Dutasteride\Dutasteride/20201201_Cefas_Test8_Run1/Plate 2/@18/G9_01- exclu.tif"/>
    <m/>
    <m/>
    <x v="0"/>
    <m/>
    <m/>
    <m/>
    <m/>
  </r>
  <r>
    <x v="16"/>
    <x v="6"/>
    <s v="C:\Users\andre\Desktop\REACTIV CEFAS\Dutasteride\Dutasteride/20201201_Cefas_Test8_Run1/Plate 2/@18/G9_02- exclu.tif"/>
    <m/>
    <m/>
    <x v="0"/>
    <m/>
    <m/>
    <m/>
    <m/>
  </r>
  <r>
    <x v="16"/>
    <x v="6"/>
    <s v="C:\Users\andre\Desktop\REACTIV CEFAS\Dutasteride\Dutasteride/20201201_Cefas_Test8_Run1/Plate 2/@18/G9_03- exclu.tif"/>
    <m/>
    <m/>
    <x v="0"/>
    <m/>
    <m/>
    <m/>
    <m/>
  </r>
  <r>
    <x v="16"/>
    <x v="7"/>
    <s v="C:\Users\andre\Desktop\REACTIV CEFAS\Dutasteride\Dutasteride/20201201_Cefas_Test8_Run1/Plate 2/@18/H9_01.tif "/>
    <s v=" 50440.9143 "/>
    <s v=" 45.8023 "/>
    <x v="1"/>
    <n v="2310311"/>
    <m/>
    <m/>
    <m/>
  </r>
  <r>
    <x v="16"/>
    <x v="7"/>
    <s v="C:\Users\andre\Desktop\REACTIV CEFAS\Dutasteride\Dutasteride/20201201_Cefas_Test8_Run1/Plate 2/@18/H9_02.tif "/>
    <s v=" 55004.822 "/>
    <s v=" 45.6209 "/>
    <x v="1"/>
    <n v="2509371"/>
    <m/>
    <m/>
    <m/>
  </r>
  <r>
    <x v="16"/>
    <x v="7"/>
    <s v="C:\Users\andre\Desktop\REACTIV CEFAS\Dutasteride\Dutasteride/20201201_Cefas_Test8_Run1/Plate 2/@18/H9_03.tif "/>
    <s v=" 58746.7938 "/>
    <s v=" 44.5125 "/>
    <x v="1"/>
    <n v="2614968"/>
    <m/>
    <m/>
    <m/>
  </r>
  <r>
    <x v="1"/>
    <x v="8"/>
    <s v=" "/>
    <m/>
    <m/>
    <x v="0"/>
    <m/>
    <m/>
    <m/>
    <m/>
  </r>
  <r>
    <x v="1"/>
    <x v="8"/>
    <s v="group "/>
    <s v=" "/>
    <s v=" mean of mean fluo "/>
    <x v="2"/>
    <s v=" mean of total fluo "/>
    <s v=" SD total fluo "/>
    <s v=" n fluorescent "/>
    <s v=" n total"/>
  </r>
  <r>
    <x v="16"/>
    <x v="9"/>
    <s v="C:\Users\andre\Desktop\REACTIV CEFAS\Dutasteride\Dutasteride/20201201_Cefas_Test8_Run1/Plate 2/@18/ "/>
    <s v=" "/>
    <s v=" 44.409 "/>
    <x v="18"/>
    <s v=" 2170692.46 "/>
    <s v=" 1246542.44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7"/>
    <x v="0"/>
    <s v="C:\Users\andre\Desktop\REACTIV CEFAS\Dutasteride\Dutasteride/20201201_Cefas_Test8_Run1/Plate 2/@19/A10_01.tif "/>
    <s v=" 59568.7298 "/>
    <s v=" 48.2211 "/>
    <x v="1"/>
    <n v="2872472"/>
    <m/>
    <m/>
    <m/>
  </r>
  <r>
    <x v="17"/>
    <x v="0"/>
    <s v="C:\Users\andre\Desktop\REACTIV CEFAS\Dutasteride\Dutasteride/20201201_Cefas_Test8_Run1/Plate 2/@19/A10_02.tif "/>
    <s v=" 53533.9892 "/>
    <s v=" 43.1067 "/>
    <x v="1"/>
    <n v="2307672"/>
    <m/>
    <m/>
    <m/>
  </r>
  <r>
    <x v="17"/>
    <x v="0"/>
    <s v="C:\Users\andre\Desktop\REACTIV CEFAS\Dutasteride\Dutasteride/20201201_Cefas_Test8_Run1/Plate 2/@19/A10_03.tif "/>
    <s v=" 55588.8292 "/>
    <s v=" 44.0716 "/>
    <x v="1"/>
    <n v="2449888"/>
    <m/>
    <m/>
    <m/>
  </r>
  <r>
    <x v="17"/>
    <x v="1"/>
    <s v="C:\Users\andre\Desktop\REACTIV CEFAS\Dutasteride\Dutasteride/20201201_Cefas_Test8_Run1/Plate 2/@19/B10_01.tif "/>
    <s v=" 44016.8356 "/>
    <s v=" 40.7042 "/>
    <x v="1"/>
    <n v="1791669"/>
    <m/>
    <m/>
    <m/>
  </r>
  <r>
    <x v="17"/>
    <x v="1"/>
    <s v="C:\Users\andre\Desktop\REACTIV CEFAS\Dutasteride\Dutasteride/20201201_Cefas_Test8_Run1/Plate 2/@19/B10_02.tif "/>
    <s v=" 47045.0208 "/>
    <s v=" 41.2708 "/>
    <x v="1"/>
    <n v="1941586"/>
    <m/>
    <m/>
    <m/>
  </r>
  <r>
    <x v="17"/>
    <x v="1"/>
    <s v="C:\Users\andre\Desktop\REACTIV CEFAS\Dutasteride\Dutasteride/20201201_Cefas_Test8_Run1/Plate 2/@19/B10_03.tif "/>
    <s v=" 48645.633 "/>
    <s v=" 44.1592 "/>
    <x v="1"/>
    <n v="2148151"/>
    <m/>
    <m/>
    <m/>
  </r>
  <r>
    <x v="17"/>
    <x v="2"/>
    <s v="C:\Users\andre\Desktop\REACTIV CEFAS\Dutasteride\Dutasteride/20201201_Cefas_Test8_Run1/Plate 2/@19/C10_01.tif "/>
    <s v=" 67290.6022 "/>
    <s v=" 52.1475 "/>
    <x v="1"/>
    <n v="3509039"/>
    <m/>
    <m/>
    <m/>
  </r>
  <r>
    <x v="17"/>
    <x v="2"/>
    <s v="C:\Users\andre\Desktop\REACTIV CEFAS\Dutasteride\Dutasteride/20201201_Cefas_Test8_Run1/Plate 2/@19/C10_02.tif "/>
    <s v=" 65625.1003 "/>
    <s v=" 53.5 "/>
    <x v="1"/>
    <n v="3510943"/>
    <m/>
    <m/>
    <m/>
  </r>
  <r>
    <x v="17"/>
    <x v="2"/>
    <s v="C:\Users\andre\Desktop\REACTIV CEFAS\Dutasteride\Dutasteride/20201201_Cefas_Test8_Run1/Plate 2/@19/C10_03.tif "/>
    <s v=" 71876.1399 "/>
    <s v=" 50.9329 "/>
    <x v="1"/>
    <n v="3660860"/>
    <m/>
    <m/>
    <m/>
  </r>
  <r>
    <x v="17"/>
    <x v="3"/>
    <s v="C:\Users\andre\Desktop\REACTIV CEFAS\Dutasteride\Dutasteride/20201201_Cefas_Test8_Run1/Plate 2/@19/D10_01.tif "/>
    <s v=" 49099.8608 "/>
    <s v=" 47.0163 "/>
    <x v="1"/>
    <n v="2308494"/>
    <m/>
    <m/>
    <m/>
  </r>
  <r>
    <x v="17"/>
    <x v="3"/>
    <s v="C:\Users\andre\Desktop\REACTIV CEFAS\Dutasteride\Dutasteride/20201201_Cefas_Test8_Run1/Plate 2/@19/D10_02.tif "/>
    <s v=" 42221.5543 "/>
    <s v=" 44.2377 "/>
    <x v="1"/>
    <n v="1867785"/>
    <m/>
    <m/>
    <m/>
  </r>
  <r>
    <x v="17"/>
    <x v="3"/>
    <s v="C:\Users\andre\Desktop\REACTIV CEFAS\Dutasteride\Dutasteride/20201201_Cefas_Test8_Run1/Plate 2/@19/D10_03.tif "/>
    <s v=" 48169.7753 "/>
    <s v=" 46.2762 "/>
    <x v="1"/>
    <n v="2229112"/>
    <m/>
    <m/>
    <m/>
  </r>
  <r>
    <x v="17"/>
    <x v="4"/>
    <s v="C:\Users\andre\Desktop\REACTIV CEFAS\Dutasteride\Dutasteride/20201201_Cefas_Test8_Run1/Plate 2/@19/E10_01.tif "/>
    <s v=" 64759.9045 "/>
    <s v=" 46.9432 "/>
    <x v="1"/>
    <n v="3040038"/>
    <m/>
    <m/>
    <m/>
  </r>
  <r>
    <x v="17"/>
    <x v="4"/>
    <s v="C:\Users\andre\Desktop\REACTIV CEFAS\Dutasteride\Dutasteride/20201201_Cefas_Test8_Run1/Plate 2/@19/E10_02.tif "/>
    <s v=" 62315.7264 "/>
    <s v=" 45.0705 "/>
    <x v="1"/>
    <n v="2808599"/>
    <m/>
    <m/>
    <m/>
  </r>
  <r>
    <x v="17"/>
    <x v="4"/>
    <s v="C:\Users\andre\Desktop\REACTIV CEFAS\Dutasteride\Dutasteride/20201201_Cefas_Test8_Run1/Plate 2/@19/E10_03.tif "/>
    <s v=" 65257.3921 "/>
    <s v=" 46.6573 "/>
    <x v="1"/>
    <n v="3044732"/>
    <m/>
    <m/>
    <m/>
  </r>
  <r>
    <x v="17"/>
    <x v="5"/>
    <s v="C:\Users\andre\Desktop\REACTIV CEFAS\Dutasteride\Dutasteride/20201201_Cefas_Test8_Run1/Plate 2/@19/F10_01.tif "/>
    <s v=" 38544.4722 "/>
    <s v=" 46.5589 "/>
    <x v="1"/>
    <n v="1794589"/>
    <m/>
    <m/>
    <m/>
  </r>
  <r>
    <x v="17"/>
    <x v="5"/>
    <s v="C:\Users\andre\Desktop\REACTIV CEFAS\Dutasteride\Dutasteride/20201201_Cefas_Test8_Run1/Plate 2/@19/F10_02.tif "/>
    <s v=" 49662.2381 "/>
    <s v=" 43.7487 "/>
    <x v="1"/>
    <n v="2172658"/>
    <m/>
    <m/>
    <m/>
  </r>
  <r>
    <x v="17"/>
    <x v="5"/>
    <s v="C:\Users\andre\Desktop\REACTIV CEFAS\Dutasteride\Dutasteride/20201201_Cefas_Test8_Run1/Plate 2/@19/F10_03.tif "/>
    <s v=" 46980.1311 "/>
    <s v=" 44.2431 "/>
    <x v="1"/>
    <n v="2078546"/>
    <m/>
    <m/>
    <m/>
  </r>
  <r>
    <x v="17"/>
    <x v="6"/>
    <s v="C:\Users\andre\Desktop\REACTIV CEFAS\Dutasteride\Dutasteride/20201201_Cefas_Test8_Run1/Plate 2/@19/G10_01.tif "/>
    <s v=" 43627.4975 "/>
    <s v=" 48.3342 "/>
    <x v="1"/>
    <n v="2108698"/>
    <m/>
    <m/>
    <m/>
  </r>
  <r>
    <x v="17"/>
    <x v="6"/>
    <s v="C:\Users\andre\Desktop\REACTIV CEFAS\Dutasteride\Dutasteride/20201201_Cefas_Test8_Run1/Plate 2/@19/G10_02.tif "/>
    <s v=" 33634.4861 "/>
    <s v=" 48.0367 "/>
    <x v="1"/>
    <n v="1615688"/>
    <m/>
    <m/>
    <m/>
  </r>
  <r>
    <x v="17"/>
    <x v="6"/>
    <s v="C:\Users\andre\Desktop\REACTIV CEFAS\Dutasteride\Dutasteride/20201201_Cefas_Test8_Run1/Plate 2/@19/G10_03.tif "/>
    <s v=" 36641.0415 "/>
    <s v=" 46.7893 "/>
    <x v="1"/>
    <n v="1714407"/>
    <m/>
    <m/>
    <m/>
  </r>
  <r>
    <x v="17"/>
    <x v="7"/>
    <s v="C:\Users\andre\Desktop\REACTIV CEFAS\Dutasteride\Dutasteride/20201201_Cefas_Test8_Run1/Plate 2/@19/H10_01.tif "/>
    <s v=" 74363.5777 "/>
    <s v=" 49.5675 "/>
    <x v="1"/>
    <n v="3686015"/>
    <m/>
    <m/>
    <m/>
  </r>
  <r>
    <x v="17"/>
    <x v="7"/>
    <s v="C:\Users\andre\Desktop\REACTIV CEFAS\Dutasteride\Dutasteride/20201201_Cefas_Test8_Run1/Plate 2/@19/H10_02.tif "/>
    <s v=" 63527.0005 "/>
    <s v=" 46.095 "/>
    <x v="1"/>
    <n v="2928277"/>
    <m/>
    <m/>
    <m/>
  </r>
  <r>
    <x v="17"/>
    <x v="7"/>
    <s v="C:\Users\andre\Desktop\REACTIV CEFAS\Dutasteride\Dutasteride/20201201_Cefas_Test8_Run1/Plate 2/@19/H10_03.tif "/>
    <s v=" 66036.0683 "/>
    <s v=" 47.8366 "/>
    <x v="1"/>
    <n v="3158938"/>
    <m/>
    <m/>
    <m/>
  </r>
  <r>
    <x v="1"/>
    <x v="8"/>
    <s v=" "/>
    <m/>
    <m/>
    <x v="0"/>
    <m/>
    <m/>
    <m/>
    <m/>
  </r>
  <r>
    <x v="1"/>
    <x v="8"/>
    <s v="group "/>
    <s v=" "/>
    <s v=" mean of mean fluo "/>
    <x v="2"/>
    <s v=" mean of total fluo "/>
    <s v=" SD total fluo "/>
    <s v=" n fluorescent "/>
    <s v=" n total"/>
  </r>
  <r>
    <x v="17"/>
    <x v="9"/>
    <s v="C:\Users\andre\Desktop\REACTIV CEFAS\Dutasteride\Dutasteride/20201201_Cefas_Test8_Run1/Plate 2/@19/ "/>
    <s v=" "/>
    <s v=" 46.4802 "/>
    <x v="19"/>
    <s v=" 2531202.33 "/>
    <s v=" 660443.232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8"/>
    <x v="0"/>
    <s v="C:\Users\andre\Desktop\REACTIV CEFAS\Dutasteride\Dutasteride/20201201_Cefas_Test8_Run1/Plate 2/@20/A11_01.tif "/>
    <s v=" 54399.185 "/>
    <s v=" 35.0978 "/>
    <x v="1"/>
    <n v="1909292"/>
    <m/>
    <m/>
    <m/>
  </r>
  <r>
    <x v="18"/>
    <x v="0"/>
    <s v="C:\Users\andre\Desktop\REACTIV CEFAS\Dutasteride\Dutasteride/20201201_Cefas_Test8_Run1/Plate 2/@20/A11_02.tif "/>
    <s v=" 63137.6624 "/>
    <s v=" 44.3138 "/>
    <x v="1"/>
    <n v="2797870"/>
    <m/>
    <m/>
    <m/>
  </r>
  <r>
    <x v="18"/>
    <x v="0"/>
    <s v="C:\Users\andre\Desktop\REACTIV CEFAS\Dutasteride\Dutasteride/20201201_Cefas_Test8_Run1/Plate 2/@20/A11_03.tif "/>
    <s v=" 63072.7727 "/>
    <s v=" 45.5312 "/>
    <x v="1"/>
    <n v="2871779"/>
    <m/>
    <m/>
    <m/>
  </r>
  <r>
    <x v="18"/>
    <x v="1"/>
    <s v="C:\Users\andre\Desktop\REACTIV CEFAS\Dutasteride\Dutasteride/20201201_Cefas_Test8_Run1/Plate 2/@20/B11_01.tif "/>
    <s v=" 51068.1812 "/>
    <s v=" 43.546 "/>
    <x v="1"/>
    <n v="2223813"/>
    <m/>
    <m/>
    <m/>
  </r>
  <r>
    <x v="18"/>
    <x v="1"/>
    <s v="C:\Users\andre\Desktop\REACTIV CEFAS\Dutasteride\Dutasteride/20201201_Cefas_Test8_Run1/Plate 2/@20/B11_02.tif "/>
    <s v=" 48905.1918 "/>
    <s v=" 42.5904 "/>
    <x v="1"/>
    <n v="2082894"/>
    <m/>
    <m/>
    <m/>
  </r>
  <r>
    <x v="18"/>
    <x v="1"/>
    <s v="C:\Users\andre\Desktop\REACTIV CEFAS\Dutasteride\Dutasteride/20201201_Cefas_Test8_Run1/Plate 2/@20/B11_03.tif "/>
    <s v=" 55740.2385 "/>
    <s v=" 47.6768 "/>
    <x v="1"/>
    <n v="2657514"/>
    <m/>
    <m/>
    <m/>
  </r>
  <r>
    <x v="18"/>
    <x v="2"/>
    <s v="C:\Users\andre\Desktop\REACTIV CEFAS\Dutasteride\Dutasteride/20201201_Cefas_Test8_Run1/Plate 2/@20/C11_01.tif "/>
    <s v=" 70253.8978 "/>
    <s v=" 52.17 "/>
    <x v="1"/>
    <n v="3665142"/>
    <m/>
    <m/>
    <m/>
  </r>
  <r>
    <x v="18"/>
    <x v="2"/>
    <s v="C:\Users\andre\Desktop\REACTIV CEFAS\Dutasteride\Dutasteride/20201201_Cefas_Test8_Run1/Plate 2/@20/C11_02.tif "/>
    <s v=" 68523.5062 "/>
    <s v=" 52.6016 "/>
    <x v="1"/>
    <n v="3604449"/>
    <m/>
    <m/>
    <m/>
  </r>
  <r>
    <x v="18"/>
    <x v="2"/>
    <s v="C:\Users\andre\Desktop\REACTIV CEFAS\Dutasteride\Dutasteride/20201201_Cefas_Test8_Run1/Plate 2/@20/C11_03.tif "/>
    <s v=" 76375.1579 "/>
    <s v=" 52.9343 "/>
    <x v="1"/>
    <n v="4042865"/>
    <m/>
    <m/>
    <m/>
  </r>
  <r>
    <x v="18"/>
    <x v="3"/>
    <s v="C:\Users\andre\Desktop\REACTIV CEFAS\Dutasteride\Dutasteride/20201201_Cefas_Test8_Run1/Plate 2/@20/D11_01.tif "/>
    <s v=" 2465.808 "/>
    <s v=" 33.886 "/>
    <x v="1"/>
    <n v="83556"/>
    <m/>
    <m/>
    <m/>
  </r>
  <r>
    <x v="18"/>
    <x v="3"/>
    <s v="C:\Users\andre\Desktop\REACTIV CEFAS\Dutasteride\Dutasteride/20201201_Cefas_Test8_Run1/Plate 2/@20/D11_02.tif "/>
    <s v=" 1773.6514 "/>
    <s v=" 34.6463 "/>
    <x v="1"/>
    <n v="61451"/>
    <m/>
    <m/>
    <m/>
  </r>
  <r>
    <x v="18"/>
    <x v="3"/>
    <s v="C:\Users\andre\Desktop\REACTIV CEFAS\Dutasteride\Dutasteride/20201201_Cefas_Test8_Run1/Plate 2/@20/D11_03.tif "/>
    <s v=" 5796.8118 "/>
    <s v=" 35.3694 "/>
    <x v="1"/>
    <n v="205030"/>
    <m/>
    <m/>
    <m/>
  </r>
  <r>
    <x v="18"/>
    <x v="4"/>
    <s v="C:\Users\andre\Desktop\REACTIV CEFAS\Dutasteride\Dutasteride/20201201_Cefas_Test8_Run1/Plate 2/@20/E11_01.tif "/>
    <s v=" 54637.1138 "/>
    <s v=" 38.7126 "/>
    <x v="1"/>
    <n v="2115144"/>
    <m/>
    <m/>
    <m/>
  </r>
  <r>
    <x v="18"/>
    <x v="4"/>
    <s v="C:\Users\andre\Desktop\REACTIV CEFAS\Dutasteride\Dutasteride/20201201_Cefas_Test8_Run1/Plate 2/@20/E11_02.tif "/>
    <s v=" 36035.4045 "/>
    <s v=" 37.6038 "/>
    <x v="1"/>
    <n v="1355070"/>
    <m/>
    <m/>
    <m/>
  </r>
  <r>
    <x v="18"/>
    <x v="4"/>
    <s v="C:\Users\andre\Desktop\REACTIV CEFAS\Dutasteride\Dutasteride/20201201_Cefas_Test8_Run1/Plate 2/@20/E11_03.tif "/>
    <s v=" 42546.0027 "/>
    <s v=" 39.7245 "/>
    <x v="1"/>
    <n v="1690117"/>
    <m/>
    <m/>
    <m/>
  </r>
  <r>
    <x v="18"/>
    <x v="5"/>
    <s v="C:\Users\andre\Desktop\REACTIV CEFAS\Dutasteride\Dutasteride/20201201_Cefas_Test8_Run1/Plate 2/@20/F11_01.tif "/>
    <s v=" 1881.8008 "/>
    <s v=" 31.5747 "/>
    <x v="1"/>
    <n v="59417"/>
    <m/>
    <m/>
    <m/>
  </r>
  <r>
    <x v="18"/>
    <x v="5"/>
    <s v="C:\Users\andre\Desktop\REACTIV CEFAS\Dutasteride\Dutasteride/20201201_Cefas_Test8_Run1/Plate 2/@20/F11_02.tif "/>
    <s v=" 454.2278 "/>
    <s v=" 30.6667 "/>
    <x v="1"/>
    <n v="13930"/>
    <m/>
    <m/>
    <m/>
  </r>
  <r>
    <x v="18"/>
    <x v="5"/>
    <s v="C:\Users\andre\Desktop\REACTIV CEFAS\Dutasteride\Dutasteride/20201201_Cefas_Test8_Run1/Plate 2/@20/F11_03.tif "/>
    <s v=" 3136.3347 "/>
    <s v=" 31.0966 "/>
    <x v="1"/>
    <n v="97529"/>
    <m/>
    <m/>
    <m/>
  </r>
  <r>
    <x v="18"/>
    <x v="6"/>
    <s v="C:\Users\andre\Desktop\REACTIV CEFAS\Dutasteride\Dutasteride/20201201_Cefas_Test8_Run1/Plate 2/@20/G11_01- exclu.tif"/>
    <m/>
    <m/>
    <x v="0"/>
    <m/>
    <m/>
    <m/>
    <m/>
  </r>
  <r>
    <x v="18"/>
    <x v="6"/>
    <s v="C:\Users\andre\Desktop\REACTIV CEFAS\Dutasteride\Dutasteride/20201201_Cefas_Test8_Run1/Plate 2/@20/G11_02- exclu.tif"/>
    <m/>
    <m/>
    <x v="0"/>
    <m/>
    <m/>
    <m/>
    <m/>
  </r>
  <r>
    <x v="18"/>
    <x v="6"/>
    <s v="C:\Users\andre\Desktop\REACTIV CEFAS\Dutasteride\Dutasteride/20201201_Cefas_Test8_Run1/Plate 2/@20/G11_03- exclu.tif"/>
    <m/>
    <m/>
    <x v="0"/>
    <m/>
    <m/>
    <m/>
    <m/>
  </r>
  <r>
    <x v="18"/>
    <x v="7"/>
    <s v="C:\Users\andre\Desktop\REACTIV CEFAS\Dutasteride\Dutasteride/20201201_Cefas_Test8_Run1/Plate 2/@20/H11_01.tif "/>
    <s v=" 3504.0429 "/>
    <s v=" 35.0802 "/>
    <x v="1"/>
    <n v="122923"/>
    <m/>
    <m/>
    <m/>
  </r>
  <r>
    <x v="18"/>
    <x v="7"/>
    <s v="C:\Users\andre\Desktop\REACTIV CEFAS\Dutasteride\Dutasteride/20201201_Cefas_Test8_Run1/Plate 2/@20/H11_02.tif "/>
    <s v=" 3439.1532 "/>
    <s v=" 34.8931 "/>
    <x v="1"/>
    <n v="120003"/>
    <m/>
    <m/>
    <m/>
  </r>
  <r>
    <x v="18"/>
    <x v="7"/>
    <s v="C:\Users\andre\Desktop\REACTIV CEFAS\Dutasteride\Dutasteride/20201201_Cefas_Test8_Run1/Plate 2/@20/H11_03.tif "/>
    <s v=" 12761.6378 "/>
    <s v=" 33.8966 "/>
    <x v="1"/>
    <n v="432576"/>
    <m/>
    <m/>
    <m/>
  </r>
  <r>
    <x v="1"/>
    <x v="8"/>
    <s v=" "/>
    <m/>
    <m/>
    <x v="0"/>
    <m/>
    <m/>
    <m/>
    <m/>
  </r>
  <r>
    <x v="1"/>
    <x v="8"/>
    <s v="group "/>
    <s v=" "/>
    <s v=" mean of mean fluo "/>
    <x v="2"/>
    <s v=" mean of total fluo "/>
    <s v=" SD total fluo "/>
    <s v=" n fluorescent "/>
    <s v=" n total"/>
  </r>
  <r>
    <x v="18"/>
    <x v="9"/>
    <s v="C:\Users\andre\Desktop\REACTIV CEFAS\Dutasteride\Dutasteride/20201201_Cefas_Test8_Run1/Plate 2/@20/ "/>
    <s v=" "/>
    <s v=" 39.587 "/>
    <x v="20"/>
    <s v=" 1425586.71 "/>
    <s v=" 1332692.36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19"/>
    <x v="0"/>
    <s v="C:\Users\andre\Desktop\REACTIV CEFAS\Dutasteride\Dutasteride/20201201_Cefas_Test8_Run1/Plate 2/@21/A12_01.tif "/>
    <s v=" 62510.3955 "/>
    <s v=" 45.1315 "/>
    <x v="1"/>
    <n v="2821187"/>
    <m/>
    <m/>
    <m/>
  </r>
  <r>
    <x v="19"/>
    <x v="0"/>
    <s v="C:\Users\andre\Desktop\REACTIV CEFAS\Dutasteride\Dutasteride/20201201_Cefas_Test8_Run1/Plate 2/@21/A12_02.tif "/>
    <s v=" 61364.0111 "/>
    <s v=" 45.5217 "/>
    <x v="1"/>
    <n v="2793393"/>
    <m/>
    <m/>
    <m/>
  </r>
  <r>
    <x v="19"/>
    <x v="0"/>
    <s v="C:\Users\andre\Desktop\REACTIV CEFAS\Dutasteride\Dutasteride/20201201_Cefas_Test8_Run1/Plate 2/@21/A12_03.tif "/>
    <s v=" 60520.4452 "/>
    <s v=" 41.1762 "/>
    <x v="1"/>
    <n v="2492002"/>
    <m/>
    <m/>
    <m/>
  </r>
  <r>
    <x v="19"/>
    <x v="1"/>
    <s v="C:\Users\andre\Desktop\REACTIV CEFAS\Dutasteride\Dutasteride/20201201_Cefas_Test8_Run1/Plate 2/@21/B12_01.tif "/>
    <s v=" 93095.0665 "/>
    <s v=" 47.1083 "/>
    <x v="1"/>
    <n v="4385548"/>
    <m/>
    <m/>
    <m/>
  </r>
  <r>
    <x v="19"/>
    <x v="1"/>
    <s v="C:\Users\andre\Desktop\REACTIV CEFAS\Dutasteride\Dutasteride/20201201_Cefas_Test8_Run1/Plate 2/@21/B12_02.tif "/>
    <s v=" 107003.089 "/>
    <s v=" 52.7263 "/>
    <x v="1"/>
    <n v="5641877"/>
    <m/>
    <m/>
    <m/>
  </r>
  <r>
    <x v="19"/>
    <x v="1"/>
    <s v="C:\Users\andre\Desktop\REACTIV CEFAS\Dutasteride\Dutasteride/20201201_Cefas_Test8_Run1/Plate 2/@21/B12_03.tif "/>
    <s v=" 103044.818 "/>
    <s v=" 52.4931 "/>
    <x v="1"/>
    <n v="5409139"/>
    <m/>
    <m/>
    <m/>
  </r>
  <r>
    <x v="19"/>
    <x v="2"/>
    <s v="C:\Users\andre\Desktop\REACTIV CEFAS\Dutasteride\Dutasteride/20201201_Cefas_Test8_Run1/Plate 2/@21/C12_01.tif "/>
    <s v=" 60542.0751 "/>
    <s v=" 47.4427 "/>
    <x v="1"/>
    <n v="2872277"/>
    <m/>
    <m/>
    <m/>
  </r>
  <r>
    <x v="19"/>
    <x v="2"/>
    <s v="C:\Users\andre\Desktop\REACTIV CEFAS\Dutasteride\Dutasteride/20201201_Cefas_Test8_Run1/Plate 2/@21/C12_02.tif "/>
    <s v=" 69691.5205 "/>
    <s v=" 44.6307 "/>
    <x v="1"/>
    <n v="3110379"/>
    <m/>
    <m/>
    <m/>
  </r>
  <r>
    <x v="19"/>
    <x v="2"/>
    <s v="C:\Users\andre\Desktop\REACTIV CEFAS\Dutasteride\Dutasteride/20201201_Cefas_Test8_Run1/Plate 2/@21/C12_03.tif "/>
    <s v=" 67874.6093 "/>
    <s v=" 43.2259 "/>
    <x v="1"/>
    <n v="2933944"/>
    <m/>
    <m/>
    <m/>
  </r>
  <r>
    <x v="19"/>
    <x v="3"/>
    <s v="C:\Users\andre\Desktop\REACTIV CEFAS\Dutasteride\Dutasteride/20201201_Cefas_Test8_Run1/Plate 2/@21/D12_01.tif "/>
    <s v=" 47131.5404 "/>
    <s v=" 40.2666 "/>
    <x v="1"/>
    <n v="1897829"/>
    <m/>
    <m/>
    <m/>
  </r>
  <r>
    <x v="19"/>
    <x v="3"/>
    <s v="C:\Users\andre\Desktop\REACTIV CEFAS\Dutasteride\Dutasteride/20201201_Cefas_Test8_Run1/Plate 2/@21/D12_02.tif "/>
    <s v=" 46244.7147 "/>
    <s v=" 42.3835 "/>
    <x v="1"/>
    <n v="1960015"/>
    <m/>
    <m/>
    <m/>
  </r>
  <r>
    <x v="19"/>
    <x v="3"/>
    <s v="C:\Users\andre\Desktop\REACTIV CEFAS\Dutasteride\Dutasteride/20201201_Cefas_Test8_Run1/Plate 2/@21/D12_03.tif "/>
    <s v=" 30865.8596 "/>
    <s v=" 41.2894 "/>
    <x v="1"/>
    <n v="1274433"/>
    <m/>
    <m/>
    <m/>
  </r>
  <r>
    <x v="19"/>
    <x v="4"/>
    <s v="C:\Users\andre\Desktop\REACTIV CEFAS\Dutasteride\Dutasteride/20201201_Cefas_Test8_Run1/Plate 2/@21/E12_01.tif "/>
    <s v=" 45271.3695 "/>
    <s v=" 39.9632 "/>
    <x v="1"/>
    <n v="1809189"/>
    <m/>
    <m/>
    <m/>
  </r>
  <r>
    <x v="19"/>
    <x v="4"/>
    <s v="C:\Users\andre\Desktop\REACTIV CEFAS\Dutasteride\Dutasteride/20201201_Cefas_Test8_Run1/Plate 2/@21/E12_02.tif "/>
    <s v=" 35018.7994 "/>
    <s v=" 35.6133 "/>
    <x v="1"/>
    <n v="1247136"/>
    <m/>
    <m/>
    <m/>
  </r>
  <r>
    <x v="19"/>
    <x v="4"/>
    <s v="C:\Users\andre\Desktop\REACTIV CEFAS\Dutasteride\Dutasteride/20201201_Cefas_Test8_Run1/Plate 2/@21/E12_03.tif "/>
    <s v=" 40145.0844 "/>
    <s v=" 37.4871 "/>
    <x v="1"/>
    <n v="1504922"/>
    <m/>
    <m/>
    <m/>
  </r>
  <r>
    <x v="19"/>
    <x v="5"/>
    <s v="C:\Users\andre\Desktop\REACTIV CEFAS\Dutasteride\Dutasteride/20201201_Cefas_Test8_Run1/Plate 2/@21/F12_01.tif "/>
    <s v=" 63180.9222 "/>
    <s v=" 46.6464 "/>
    <x v="1"/>
    <n v="2947160"/>
    <m/>
    <m/>
    <m/>
  </r>
  <r>
    <x v="19"/>
    <x v="5"/>
    <s v="C:\Users\andre\Desktop\REACTIV CEFAS\Dutasteride\Dutasteride/20201201_Cefas_Test8_Run1/Plate 2/@21/F12_02.tif "/>
    <s v=" 66273.9971 "/>
    <s v=" 47.9967 "/>
    <x v="1"/>
    <n v="3180936"/>
    <m/>
    <m/>
    <m/>
  </r>
  <r>
    <x v="19"/>
    <x v="5"/>
    <s v="C:\Users\andre\Desktop\REACTIV CEFAS\Dutasteride\Dutasteride/20201201_Cefas_Test8_Run1/Plate 2/@21/F12_03.tif "/>
    <s v=" 69518.4813 "/>
    <s v=" 43.8292 "/>
    <x v="1"/>
    <n v="3046938"/>
    <m/>
    <m/>
    <m/>
  </r>
  <r>
    <x v="19"/>
    <x v="6"/>
    <s v="C:\Users\andre\Desktop\REACTIV CEFAS\Dutasteride\Dutasteride/20201201_Cefas_Test8_Run1/Plate 2/@21/G12_01.tif "/>
    <s v=" 47542.5084 "/>
    <s v=" 42.954 "/>
    <x v="1"/>
    <n v="2042143"/>
    <m/>
    <m/>
    <m/>
  </r>
  <r>
    <x v="19"/>
    <x v="6"/>
    <s v="C:\Users\andre\Desktop\REACTIV CEFAS\Dutasteride\Dutasteride/20201201_Cefas_Test8_Run1/Plate 2/@21/G12_02.tif "/>
    <s v=" 47282.9497 "/>
    <s v=" 41.9886 "/>
    <x v="1"/>
    <n v="1985343"/>
    <m/>
    <m/>
    <m/>
  </r>
  <r>
    <x v="19"/>
    <x v="6"/>
    <s v="C:\Users\andre\Desktop\REACTIV CEFAS\Dutasteride\Dutasteride/20201201_Cefas_Test8_Run1/Plate 2/@21/G12_03.tif "/>
    <s v=" 49662.2381 "/>
    <s v=" 41.5335 "/>
    <x v="1"/>
    <n v="2062648"/>
    <m/>
    <m/>
    <m/>
  </r>
  <r>
    <x v="19"/>
    <x v="7"/>
    <s v="C:\Users\andre\Desktop\REACTIV CEFAS\Dutasteride\Dutasteride/20201201_Cefas_Test8_Run1/Plate 2/@21/H12_01.tif "/>
    <s v=" 36576.1518 "/>
    <s v=" 41.291 "/>
    <x v="1"/>
    <n v="1510264"/>
    <m/>
    <m/>
    <m/>
  </r>
  <r>
    <x v="19"/>
    <x v="7"/>
    <s v="C:\Users\andre\Desktop\REACTIV CEFAS\Dutasteride\Dutasteride/20201201_Cefas_Test8_Run1/Plate 2/@21/H12_02.tif "/>
    <s v=" 34564.5716 "/>
    <s v=" 39.9512 "/>
    <x v="1"/>
    <n v="1380896"/>
    <m/>
    <m/>
    <m/>
  </r>
  <r>
    <x v="19"/>
    <x v="7"/>
    <s v="C:\Users\andre\Desktop\REACTIV CEFAS\Dutasteride\Dutasteride/20201201_Cefas_Test8_Run1/Plate 2/@21/H12_03.tif "/>
    <s v=" 34759.2407 "/>
    <s v=" 43.0485 "/>
    <x v="1"/>
    <n v="1496334"/>
    <m/>
    <m/>
    <m/>
  </r>
  <r>
    <x v="1"/>
    <x v="8"/>
    <s v=" "/>
    <m/>
    <m/>
    <x v="0"/>
    <m/>
    <m/>
    <m/>
    <m/>
  </r>
  <r>
    <x v="1"/>
    <x v="8"/>
    <s v="group "/>
    <s v=" "/>
    <s v=" mean of mean fluo "/>
    <x v="2"/>
    <s v=" mean of total fluo "/>
    <s v=" SD total fluo "/>
    <s v=" n fluorescent "/>
    <s v=" n total"/>
  </r>
  <r>
    <x v="19"/>
    <x v="9"/>
    <s v="C:\Users\andre\Desktop\REACTIV CEFAS\Dutasteride\Dutasteride/20201201_Cefas_Test8_Run1/Plate 2/@21/ "/>
    <s v=" "/>
    <s v=" 43.5708 "/>
    <x v="21"/>
    <s v=" 2575247.17 "/>
    <s v=" 1192436.07 "/>
    <n v="24"/>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0"/>
    <x v="0"/>
    <s v="C:\Users\andre\Desktop\REACTIV CEFAS\Dutasteride\Dutasteride/20201201_Cefas_Test8_Run1/Plate 2/@8/A2_01.tif "/>
    <s v=" 7008.0859 "/>
    <s v=" 38.8642 "/>
    <x v="1"/>
    <n v="272364"/>
    <m/>
    <m/>
    <m/>
  </r>
  <r>
    <x v="20"/>
    <x v="0"/>
    <s v="C:\Users\andre\Desktop\REACTIV CEFAS\Dutasteride\Dutasteride/20201201_Cefas_Test8_Run1/Plate 2/@8/A2_02- exclu.tif"/>
    <m/>
    <m/>
    <x v="0"/>
    <m/>
    <m/>
    <m/>
    <m/>
  </r>
  <r>
    <x v="20"/>
    <x v="0"/>
    <s v="C:\Users\andre\Desktop\REACTIV CEFAS\Dutasteride\Dutasteride/20201201_Cefas_Test8_Run1/Plate 2/@8/A2_03.tif "/>
    <s v=" 9430.6341 "/>
    <s v=" 38.8257 "/>
    <x v="1"/>
    <n v="366151"/>
    <m/>
    <m/>
    <m/>
  </r>
  <r>
    <x v="20"/>
    <x v="1"/>
    <s v="C:\Users\andre\Desktop\REACTIV CEFAS\Dutasteride\Dutasteride/20201201_Cefas_Test8_Run1/Plate 2/@8/B2_01.tif "/>
    <s v=" 5753.552 "/>
    <s v=" 38.9737 "/>
    <x v="1"/>
    <n v="224237"/>
    <m/>
    <m/>
    <m/>
  </r>
  <r>
    <x v="20"/>
    <x v="1"/>
    <s v="C:\Users\andre\Desktop\REACTIV CEFAS\Dutasteride\Dutasteride/20201201_Cefas_Test8_Run1/Plate 2/@8/B2_02.tif "/>
    <s v=" 12783.2677 "/>
    <s v=" 38.6497 "/>
    <x v="1"/>
    <n v="494070"/>
    <m/>
    <m/>
    <m/>
  </r>
  <r>
    <x v="20"/>
    <x v="1"/>
    <s v="C:\Users\andre\Desktop\REACTIV CEFAS\Dutasteride\Dutasteride/20201201_Cefas_Test8_Run1/Plate 2/@8/B2_03.tif "/>
    <s v=" 5580.5128 "/>
    <s v=" 38.314 "/>
    <x v="1"/>
    <n v="213812"/>
    <m/>
    <m/>
    <m/>
  </r>
  <r>
    <x v="20"/>
    <x v="2"/>
    <s v="C:\Users\andre\Desktop\REACTIV CEFAS\Dutasteride\Dutasteride/20201201_Cefas_Test8_Run1/Plate 2/@8/C2_01.tif "/>
    <s v=" 3331.0038 "/>
    <s v=" 33.7143 "/>
    <x v="1"/>
    <n v="112302"/>
    <m/>
    <m/>
    <m/>
  </r>
  <r>
    <x v="20"/>
    <x v="2"/>
    <s v="C:\Users\andre\Desktop\REACTIV CEFAS\Dutasteride\Dutasteride/20201201_Cefas_Test8_Run1/Plate 2/@8/C2_02.tif "/>
    <s v=" 3958.2707 "/>
    <s v=" 38.6284 "/>
    <x v="1"/>
    <n v="152902"/>
    <m/>
    <m/>
    <m/>
  </r>
  <r>
    <x v="20"/>
    <x v="2"/>
    <s v="C:\Users\andre\Desktop\REACTIV CEFAS\Dutasteride\Dutasteride/20201201_Cefas_Test8_Run1/Plate 2/@8/C2_03.tif "/>
    <s v=" 7527.2033 "/>
    <s v=" 37.2126 "/>
    <x v="1"/>
    <n v="280107"/>
    <m/>
    <m/>
    <m/>
  </r>
  <r>
    <x v="20"/>
    <x v="3"/>
    <s v="C:\Users\andre\Desktop\REACTIV CEFAS\Dutasteride\Dutasteride/20201201_Cefas_Test8_Run1/Plate 2/@8/D2_01.tif "/>
    <s v=" 2746.9966 "/>
    <s v=" 33.874 "/>
    <x v="1"/>
    <n v="93052"/>
    <m/>
    <m/>
    <m/>
  </r>
  <r>
    <x v="20"/>
    <x v="3"/>
    <s v="C:\Users\andre\Desktop\REACTIV CEFAS\Dutasteride\Dutasteride/20201201_Cefas_Test8_Run1/Plate 2/@8/D2_02.tif "/>
    <s v=" 6640.3777 "/>
    <s v=" 36.9349 "/>
    <x v="1"/>
    <n v="245261"/>
    <m/>
    <m/>
    <m/>
  </r>
  <r>
    <x v="20"/>
    <x v="3"/>
    <s v="C:\Users\andre\Desktop\REACTIV CEFAS\Dutasteride\Dutasteride/20201201_Cefas_Test8_Run1/Plate 2/@8/D2_03.tif "/>
    <s v=" 3201.2244 "/>
    <s v=" 33.1959 "/>
    <x v="1"/>
    <n v="106268"/>
    <m/>
    <m/>
    <m/>
  </r>
  <r>
    <x v="20"/>
    <x v="4"/>
    <s v="C:\Users\andre\Desktop\REACTIV CEFAS\Dutasteride\Dutasteride/20201201_Cefas_Test8_Run1/Plate 2/@8/E2_01.tif "/>
    <s v=" 151.4093 "/>
    <s v=" 31.8571 "/>
    <x v="1"/>
    <n v="4823"/>
    <m/>
    <m/>
    <m/>
  </r>
  <r>
    <x v="20"/>
    <x v="4"/>
    <s v="C:\Users\andre\Desktop\REACTIV CEFAS\Dutasteride\Dutasteride/20201201_Cefas_Test8_Run1/Plate 2/@8/E2_02.tif "/>
    <s v=" 4434.1284 "/>
    <s v=" 36.1366 "/>
    <x v="1"/>
    <n v="160234"/>
    <m/>
    <m/>
    <m/>
  </r>
  <r>
    <x v="20"/>
    <x v="4"/>
    <s v="C:\Users\andre\Desktop\REACTIV CEFAS\Dutasteride\Dutasteride/20201201_Cefas_Test8_Run1/Plate 2/@8/E2_03.tif "/>
    <s v=" 4412.4985 "/>
    <s v=" 37.5343 "/>
    <x v="1"/>
    <n v="165620"/>
    <m/>
    <m/>
    <m/>
  </r>
  <r>
    <x v="20"/>
    <x v="5"/>
    <s v="C:\Users\andre\Desktop\REACTIV CEFAS\Dutasteride\Dutasteride/20201201_Cefas_Test8_Run1/Plate 2/@8/F2_01.tif "/>
    <s v=" 951.7154 "/>
    <s v=" 32.9545 "/>
    <x v="1"/>
    <n v="31363"/>
    <m/>
    <m/>
    <m/>
  </r>
  <r>
    <x v="20"/>
    <x v="5"/>
    <s v="C:\Users\andre\Desktop\REACTIV CEFAS\Dutasteride\Dutasteride/20201201_Cefas_Test8_Run1/Plate 2/@8/F2_02.tif "/>
    <s v=" 540.7474 "/>
    <s v=" 32.32 "/>
    <x v="1"/>
    <n v="17477"/>
    <m/>
    <m/>
    <m/>
  </r>
  <r>
    <x v="20"/>
    <x v="5"/>
    <s v="C:\Users\andre\Desktop\REACTIV CEFAS\Dutasteride\Dutasteride/20201201_Cefas_Test8_Run1/Plate 2/@8/F2_03- exclu.tif"/>
    <m/>
    <m/>
    <x v="0"/>
    <m/>
    <m/>
    <m/>
    <m/>
  </r>
  <r>
    <x v="20"/>
    <x v="6"/>
    <s v="C:\Users\andre\Desktop\REACTIV CEFAS\Dutasteride\Dutasteride/20201201_Cefas_Test8_Run1/Plate 2/@8/G2_01.tif "/>
    <s v=" 5407.4737 "/>
    <s v=" 35.544 "/>
    <x v="1"/>
    <n v="192203"/>
    <m/>
    <m/>
    <m/>
  </r>
  <r>
    <x v="20"/>
    <x v="6"/>
    <s v="C:\Users\andre\Desktop\REACTIV CEFAS\Dutasteride\Dutasteride/20201201_Cefas_Test8_Run1/Plate 2/@8/G2_02.tif "/>
    <s v=" 9019.6661 "/>
    <s v=" 39.6499 "/>
    <x v="1"/>
    <n v="357629"/>
    <m/>
    <m/>
    <m/>
  </r>
  <r>
    <x v="20"/>
    <x v="6"/>
    <s v="C:\Users\andre\Desktop\REACTIV CEFAS\Dutasteride\Dutasteride/20201201_Cefas_Test8_Run1/Plate 2/@8/G2_03.tif "/>
    <s v=" 10382.3494 "/>
    <s v=" 36.7437 "/>
    <x v="1"/>
    <n v="381486"/>
    <m/>
    <m/>
    <m/>
  </r>
  <r>
    <x v="20"/>
    <x v="7"/>
    <s v="C:\Users\andre\Desktop\REACTIV CEFAS\Dutasteride\Dutasteride/20201201_Cefas_Test8_Run1/Plate 2/@8/H2_01.tif "/>
    <s v=" 4261.0892 "/>
    <s v=" 39.2995 "/>
    <x v="1"/>
    <n v="167459"/>
    <m/>
    <m/>
    <m/>
  </r>
  <r>
    <x v="20"/>
    <x v="7"/>
    <s v="C:\Users\andre\Desktop\REACTIV CEFAS\Dutasteride\Dutasteride/20201201_Cefas_Test8_Run1/Plate 2/@8/H2_02.tif "/>
    <s v=" 6229.4097 "/>
    <s v=" 37.3819 "/>
    <x v="1"/>
    <n v="232867"/>
    <m/>
    <m/>
    <m/>
  </r>
  <r>
    <x v="20"/>
    <x v="7"/>
    <s v="C:\Users\andre\Desktop\REACTIV CEFAS\Dutasteride\Dutasteride/20201201_Cefas_Test8_Run1/Plate 2/@8/H2_03.tif "/>
    <s v=" 7830.0219 "/>
    <s v=" 41.6851 "/>
    <x v="1"/>
    <n v="326395"/>
    <m/>
    <m/>
    <m/>
  </r>
  <r>
    <x v="1"/>
    <x v="8"/>
    <s v=" "/>
    <m/>
    <m/>
    <x v="0"/>
    <m/>
    <m/>
    <m/>
    <m/>
  </r>
  <r>
    <x v="1"/>
    <x v="8"/>
    <s v="group "/>
    <s v=" "/>
    <s v=" mean of mean fluo "/>
    <x v="2"/>
    <s v=" mean of total fluo "/>
    <s v=" SD total fluo "/>
    <s v=" n fluorescent "/>
    <s v=" n total"/>
  </r>
  <r>
    <x v="20"/>
    <x v="9"/>
    <s v="C:\Users\andre\Desktop\REACTIV CEFAS\Dutasteride\Dutasteride/20201201_Cefas_Test8_Run1/Plate 2/@8/ "/>
    <s v=" "/>
    <s v=" 34.9969 "/>
    <x v="22"/>
    <s v=" 192128.417 "/>
    <s v=" 133636.2 "/>
    <n v="23"/>
    <n v="24"/>
  </r>
  <r>
    <x v="1"/>
    <x v="8"/>
    <s v=" "/>
    <m/>
    <m/>
    <x v="0"/>
    <m/>
    <m/>
    <m/>
    <m/>
  </r>
  <r>
    <x v="1"/>
    <x v="8"/>
    <s v=" "/>
    <m/>
    <m/>
    <x v="0"/>
    <m/>
    <m/>
    <m/>
    <m/>
  </r>
  <r>
    <x v="1"/>
    <x v="8"/>
    <s v=" "/>
    <m/>
    <m/>
    <x v="0"/>
    <m/>
    <m/>
    <m/>
    <m/>
  </r>
  <r>
    <x v="1"/>
    <x v="8"/>
    <s v=" "/>
    <m/>
    <m/>
    <x v="0"/>
    <m/>
    <m/>
    <m/>
    <m/>
  </r>
  <r>
    <x v="1"/>
    <x v="8"/>
    <s v=" "/>
    <m/>
    <m/>
    <x v="0"/>
    <m/>
    <m/>
    <m/>
    <m/>
  </r>
  <r>
    <x v="1"/>
    <x v="8"/>
    <s v="file name "/>
    <s v=" total area "/>
    <s v=" mean intensity "/>
    <x v="1"/>
    <s v=" total fluorescence"/>
    <m/>
    <m/>
    <m/>
  </r>
  <r>
    <x v="21"/>
    <x v="0"/>
    <s v="C:\Users\andre\Desktop\REACTIV CEFAS\Dutasteride\Dutasteride/20201201_Cefas_Test8_Run1/Plate 2/@9/A3_01.tif "/>
    <s v=" 11139.3957 "/>
    <s v=" 41.7359 "/>
    <x v="1"/>
    <n v="464913"/>
    <m/>
    <m/>
    <m/>
  </r>
  <r>
    <x v="21"/>
    <x v="0"/>
    <s v="C:\Users\andre\Desktop\REACTIV CEFAS\Dutasteride\Dutasteride/20201201_Cefas_Test8_Run1/Plate 2/@9/A3_02.tif "/>
    <s v=" 11139.3957 "/>
    <s v=" 38.1728 "/>
    <x v="1"/>
    <n v="425222"/>
    <m/>
    <m/>
    <m/>
  </r>
  <r>
    <x v="21"/>
    <x v="0"/>
    <s v="C:\Users\andre\Desktop\REACTIV CEFAS\Dutasteride\Dutasteride/20201201_Cefas_Test8_Run1/Plate 2/@9/A3_03.tif "/>
    <s v=" 346.0783 "/>
    <s v=" 32.3125 "/>
    <x v="1"/>
    <n v="11183"/>
    <m/>
    <m/>
    <m/>
  </r>
  <r>
    <x v="21"/>
    <x v="1"/>
    <s v="C:\Users\andre\Desktop\REACTIV CEFAS\Dutasteride\Dutasteride/20201201_Cefas_Test8_Run1/Plate 2/@9/B3_01.tif "/>
    <s v=" 1838.541 "/>
    <s v=" 34.2588 "/>
    <x v="1"/>
    <n v="62986"/>
    <m/>
    <m/>
    <m/>
  </r>
  <r>
    <x v="21"/>
    <x v="1"/>
    <s v="C:\Users\andre\Desktop\REACTIV CEFAS\Dutasteride\Dutasteride/20201201_Cefas_Test8_Run1/Plate 2/@9/B3_02.tif "/>
    <s v=" 994.9752 "/>
    <s v=" 32.087 "/>
    <x v="1"/>
    <n v="31926"/>
    <m/>
    <m/>
    <m/>
  </r>
  <r>
    <x v="21"/>
    <x v="1"/>
    <s v="C:\Users\andre\Desktop\REACTIV CEFAS\Dutasteride\Dutasteride/20201201_Cefas_Test8_Run1/Plate 2/@9/B3_03.tif "/>
    <s v=" 1405.9432 "/>
    <s v=" 34.5692 "/>
    <x v="1"/>
    <n v="48602"/>
    <m/>
    <m/>
    <m/>
  </r>
  <r>
    <x v="21"/>
    <x v="2"/>
    <s v="C:\Users\andre\Desktop\REACTIV CEFAS\Dutasteride\Dutasteride/20201201_Cefas_Test8_Run1/Plate 2/@9/C3_01.tif "/>
    <s v=" 1600.6122 "/>
    <s v=" 34.1757 "/>
    <x v="1"/>
    <n v="54702"/>
    <m/>
    <m/>
    <m/>
  </r>
  <r>
    <x v="21"/>
    <x v="2"/>
    <s v="C:\Users\andre\Desktop\REACTIV CEFAS\Dutasteride\Dutasteride/20201201_Cefas_Test8_Run1/Plate 2/@9/C3_02.tif "/>
    <s v=" 6770.157 "/>
    <s v=" 38.2332 "/>
    <x v="1"/>
    <n v="258845"/>
    <m/>
    <m/>
    <m/>
  </r>
  <r>
    <x v="21"/>
    <x v="2"/>
    <s v="C:\Users\andre\Desktop\REACTIV CEFAS\Dutasteride\Dutasteride/20201201_Cefas_Test8_Run1/Plate 2/@9/C3_03.tif "/>
    <s v=" 8954.7764 "/>
    <s v=" 37.6836 "/>
    <x v="1"/>
    <n v="337448"/>
    <m/>
    <m/>
    <m/>
  </r>
  <r>
    <x v="21"/>
    <x v="3"/>
    <s v="C:\Users\andre\Desktop\REACTIV CEFAS\Dutasteride\Dutasteride/20201201_Cefas_Test8_Run1/Plate 2/@9/D3_01.tif "/>
    <s v=" 3028.1852 "/>
    <s v=" 33.2214 "/>
    <x v="1"/>
    <n v="100601"/>
    <m/>
    <m/>
    <m/>
  </r>
  <r>
    <x v="21"/>
    <x v="3"/>
    <s v="C:\Users\andre\Desktop\REACTIV CEFAS\Dutasteride\Dutasteride/20201201_Cefas_Test8_Run1/Plate 2/@9/D3_02.tif "/>
    <s v=" 7246.0147 "/>
    <s v=" 42.3104 "/>
    <x v="1"/>
    <n v="306582"/>
    <m/>
    <m/>
    <m/>
  </r>
  <r>
    <x v="21"/>
    <x v="3"/>
    <s v="C:\Users\andre\Desktop\REACTIV CEFAS\Dutasteride\Dutasteride/20201201_Cefas_Test8_Run1/Plate 2/@9/D3_03.tif "/>
    <s v=" 8565.4383 "/>
    <s v=" 39.4268 "/>
    <x v="1"/>
    <n v="337708"/>
    <m/>
    <m/>
    <m/>
  </r>
  <r>
    <x v="21"/>
    <x v="4"/>
    <s v="C:\Users\andre\Desktop\REACTIV CEFAS\Dutasteride\Dutasteride/20201201_Cefas_Test8_Run1/Plate 2/@9/E3_01.tif "/>
    <s v=" 2184.6194 "/>
    <s v=" 34.3069 "/>
    <x v="1"/>
    <n v="74948"/>
    <m/>
    <m/>
    <m/>
  </r>
  <r>
    <x v="21"/>
    <x v="4"/>
    <s v="C:\Users\andre\Desktop\REACTIV CEFAS\Dutasteride\Dutasteride/20201201_Cefas_Test8_Run1/Plate 2/@9/E3_02.tif "/>
    <s v=" 930.0855 "/>
    <s v=" 33.0465 "/>
    <x v="1"/>
    <n v="30736"/>
    <m/>
    <m/>
    <m/>
  </r>
  <r>
    <x v="21"/>
    <x v="4"/>
    <s v="C:\Users\andre\Desktop\REACTIV CEFAS\Dutasteride\Dutasteride/20201201_Cefas_Test8_Run1/Plate 2/@9/E3_03.tif "/>
    <s v=" 4217.8295 "/>
    <s v=" 36.5179 "/>
    <x v="1"/>
    <n v="154026"/>
    <m/>
    <m/>
    <m/>
  </r>
  <r>
    <x v="21"/>
    <x v="5"/>
    <s v="C:\Users\andre\Desktop\REACTIV CEFAS\Dutasteride\Dutasteride/20201201_Cefas_Test8_Run1/Plate 2/@9/F3_01.tif "/>
    <s v=" 21.6299 "/>
    <n v="30"/>
    <x v="1"/>
    <n v="649"/>
    <m/>
    <m/>
    <m/>
  </r>
  <r>
    <x v="21"/>
    <x v="5"/>
    <s v="C:\Users\andre\Desktop\REACTIV CEFAS\Dutasteride\Dutasteride/20201201_Cefas_Test8_Run1/Plate 2/@9/F3_02.tif "/>
    <s v=" 108.1495 "/>
    <s v=" 30.6 "/>
    <x v="1"/>
    <n v="3309"/>
    <m/>
    <m/>
    <m/>
  </r>
  <r>
    <x v="21"/>
    <x v="5"/>
    <s v="C:\Users\andre\Desktop\REACTIV CEFAS\Dutasteride\Dutasteride/20201201_Cefas_Test8_Run1/Plate 2/@9/F3_03.tif "/>
    <s v=" 648.8968 "/>
    <s v=" 32.6667 "/>
    <x v="1"/>
    <n v="21197"/>
    <m/>
    <m/>
    <m/>
  </r>
  <r>
    <x v="21"/>
    <x v="6"/>
    <s v="C:\Users\andre\Desktop\REACTIV CEFAS\Dutasteride\Dutasteride/20201201_Cefas_Test8_Run1/Plate 2/@9/G3_01.tif "/>
    <s v=" 8111.2105 "/>
    <s v=" 37.88 "/>
    <x v="1"/>
    <n v="307253"/>
    <m/>
    <m/>
    <m/>
  </r>
  <r>
    <x v="21"/>
    <x v="6"/>
    <s v="C:\Users\andre\Desktop\REACTIV CEFAS\Dutasteride\Dutasteride/20201201_Cefas_Test8_Run1/Plate 2/@9/G3_02.tif "/>
    <s v=" 9300.8547 "/>
    <s v=" 40.8581 "/>
    <x v="1"/>
    <n v="380016"/>
    <m/>
    <m/>
    <m/>
  </r>
  <r>
    <x v="21"/>
    <x v="6"/>
    <s v="C:\Users\andre\Desktop\REACTIV CEFAS\Dutasteride\Dutasteride/20201201_Cefas_Test8_Run1/Plate 2/@9/G3_03.tif "/>
    <s v=" 86.5196 "/>
    <s v=" 32.5 "/>
    <x v="1"/>
    <n v="2812"/>
    <m/>
    <m/>
    <m/>
  </r>
  <r>
    <x v="21"/>
    <x v="7"/>
    <s v="C:\Users\andre\Desktop\REACTIV CEFAS\Dutasteride\Dutasteride/20201201_Cefas_Test8_Run1/Plate 2/@9/H3_01.tif "/>
    <s v=" 6986.456 "/>
    <s v=" 39.9009 "/>
    <x v="1"/>
    <n v="278766"/>
    <m/>
    <m/>
    <m/>
  </r>
  <r>
    <x v="21"/>
    <x v="7"/>
    <s v="C:\Users\andre\Desktop\REACTIV CEFAS\Dutasteride\Dutasteride/20201201_Cefas_Test8_Run1/Plate 2/@9/H3_02.tif "/>
    <s v=" 8284.2496 "/>
    <s v=" 39.9582 "/>
    <x v="1"/>
    <n v="331024"/>
    <m/>
    <m/>
    <m/>
  </r>
  <r>
    <x v="21"/>
    <x v="7"/>
    <s v="C:\Users\andre\Desktop\REACTIV CEFAS\Dutasteride\Dutasteride/20201201_Cefas_Test8_Run1/Plate 2/@9/H3_03.tif "/>
    <s v=" 10079.5309 "/>
    <s v=" 41.3348 "/>
    <x v="1"/>
    <n v="416635"/>
    <m/>
    <m/>
    <m/>
  </r>
  <r>
    <x v="1"/>
    <x v="8"/>
    <s v=" "/>
    <m/>
    <m/>
    <x v="0"/>
    <m/>
    <m/>
    <m/>
    <m/>
  </r>
  <r>
    <x v="1"/>
    <x v="8"/>
    <s v="group "/>
    <s v=" "/>
    <s v=" mean of mean fluo "/>
    <x v="2"/>
    <s v=" mean of total fluo "/>
    <s v=" SD total fluo "/>
    <s v=" n fluorescent "/>
    <s v=" n total"/>
  </r>
  <r>
    <x v="21"/>
    <x v="9"/>
    <s v="C:\Users\andre\Desktop\REACTIV CEFAS\Dutasteride\Dutasteride/20201201_Cefas_Test8_Run1/Plate 2/@9/ "/>
    <s v=" "/>
    <s v=" 36.1566 "/>
    <x v="23"/>
    <s v=" 185087.042 "/>
    <s v=" 163484.555 "/>
    <n v="24"/>
    <n v="24"/>
  </r>
  <r>
    <x v="1"/>
    <x v="8"/>
    <s v=" "/>
    <m/>
    <m/>
    <x v="0"/>
    <m/>
    <m/>
    <m/>
    <m/>
  </r>
  <r>
    <x v="1"/>
    <x v="8"/>
    <s v=" "/>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r>
    <x v="1"/>
    <x v="8"/>
    <m/>
    <m/>
    <m/>
    <x v="0"/>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C:\Users\andre\Desktop\REACTIV CEFAS\Dutasteride\Dutasteride/20201202_Cefas_Test8_Run2/Plate 1/@1/A10_01.tif "/>
    <s v=" 973.3453 "/>
    <s v=" 32.9778 "/>
    <x v="0"/>
    <n v="32099"/>
    <m/>
    <m/>
    <m/>
  </r>
  <r>
    <x v="0"/>
    <x v="0"/>
    <s v="C:\Users\andre\Desktop\REACTIV CEFAS\Dutasteride\Dutasteride/20201202_Cefas_Test8_Run2/Plate 1/@1/A10_02.tif "/>
    <n v="0"/>
    <n v="0"/>
    <x v="0"/>
    <n v="0"/>
    <m/>
    <m/>
    <m/>
  </r>
  <r>
    <x v="0"/>
    <x v="0"/>
    <s v="C:\Users\andre\Desktop\REACTIV CEFAS\Dutasteride\Dutasteride/20201202_Cefas_Test8_Run2/Plate 1/@1/A10_03.tif "/>
    <s v=" 692.1566 "/>
    <s v=" 32.1562 "/>
    <x v="0"/>
    <n v="22257"/>
    <m/>
    <m/>
    <m/>
  </r>
  <r>
    <x v="0"/>
    <x v="1"/>
    <s v="C:\Users\andre\Desktop\REACTIV CEFAS\Dutasteride\Dutasteride/20201202_Cefas_Test8_Run2/Plate 1/@1/B10_01.tif "/>
    <s v=" 21.6299 "/>
    <n v="30"/>
    <x v="0"/>
    <n v="649"/>
    <m/>
    <m/>
    <m/>
  </r>
  <r>
    <x v="0"/>
    <x v="1"/>
    <s v="C:\Users\andre\Desktop\REACTIV CEFAS\Dutasteride\Dutasteride/20201202_Cefas_Test8_Run2/Plate 1/@1/B10_02.tif "/>
    <n v="0"/>
    <n v="0"/>
    <x v="0"/>
    <n v="0"/>
    <m/>
    <m/>
    <m/>
  </r>
  <r>
    <x v="0"/>
    <x v="1"/>
    <s v="C:\Users\andre\Desktop\REACTIV CEFAS\Dutasteride\Dutasteride/20201202_Cefas_Test8_Run2/Plate 1/@1/B10_03.tif "/>
    <s v=" 735.4164 "/>
    <s v=" 32.5588 "/>
    <x v="0"/>
    <n v="23944"/>
    <m/>
    <m/>
    <m/>
  </r>
  <r>
    <x v="0"/>
    <x v="2"/>
    <s v="C:\Users\andre\Desktop\REACTIV CEFAS\Dutasteride\Dutasteride/20201202_Cefas_Test8_Run2/Plate 1/@1/C10_01.tif "/>
    <s v=" 7419.0539 "/>
    <s v=" 38.7172 "/>
    <x v="0"/>
    <n v="287245"/>
    <m/>
    <m/>
    <m/>
  </r>
  <r>
    <x v="0"/>
    <x v="2"/>
    <s v="C:\Users\andre\Desktop\REACTIV CEFAS\Dutasteride\Dutasteride/20201202_Cefas_Test8_Run2/Plate 1/@1/C10_02.tif "/>
    <s v=" 7116.2353 "/>
    <s v=" 38.459 "/>
    <x v="0"/>
    <n v="273683"/>
    <m/>
    <m/>
    <m/>
  </r>
  <r>
    <x v="0"/>
    <x v="2"/>
    <s v="C:\Users\andre\Desktop\REACTIV CEFAS\Dutasteride\Dutasteride/20201202_Cefas_Test8_Run2/Plate 1/@1/C10_03.tif "/>
    <s v=" 7830.0219 "/>
    <s v=" 41.3785 "/>
    <x v="0"/>
    <n v="323994"/>
    <m/>
    <m/>
    <m/>
  </r>
  <r>
    <x v="0"/>
    <x v="3"/>
    <s v="C:\Users\andre\Desktop\REACTIV CEFAS\Dutasteride\Dutasteride/20201202_Cefas_Test8_Run2/Plate 1/@1/D10_01- exclu.tif"/>
    <m/>
    <m/>
    <x v="1"/>
    <m/>
    <m/>
    <m/>
    <m/>
  </r>
  <r>
    <x v="0"/>
    <x v="3"/>
    <s v="C:\Users\andre\Desktop\REACTIV CEFAS\Dutasteride\Dutasteride/20201202_Cefas_Test8_Run2/Plate 1/@1/D10_02- exclu.tif"/>
    <m/>
    <m/>
    <x v="1"/>
    <m/>
    <m/>
    <m/>
    <m/>
  </r>
  <r>
    <x v="0"/>
    <x v="3"/>
    <s v="C:\Users\andre\Desktop\REACTIV CEFAS\Dutasteride\Dutasteride/20201202_Cefas_Test8_Run2/Plate 1/@1/D10_03- exclu.tif"/>
    <m/>
    <m/>
    <x v="1"/>
    <m/>
    <m/>
    <m/>
    <m/>
  </r>
  <r>
    <x v="0"/>
    <x v="4"/>
    <s v="C:\Users\andre\Desktop\REACTIV CEFAS\Dutasteride\Dutasteride/20201202_Cefas_Test8_Run2/Plate 1/@1/E10_01.tif "/>
    <s v=" 9733.4526 "/>
    <s v=" 39.3111 "/>
    <x v="0"/>
    <n v="382633"/>
    <m/>
    <m/>
    <m/>
  </r>
  <r>
    <x v="0"/>
    <x v="4"/>
    <s v="C:\Users\andre\Desktop\REACTIV CEFAS\Dutasteride\Dutasteride/20201202_Cefas_Test8_Run2/Plate 1/@1/E10_02.tif "/>
    <s v=" 4196.1996 "/>
    <s v=" 37.0361 "/>
    <x v="0"/>
    <n v="155411"/>
    <m/>
    <m/>
    <m/>
  </r>
  <r>
    <x v="0"/>
    <x v="4"/>
    <s v="C:\Users\andre\Desktop\REACTIV CEFAS\Dutasteride\Dutasteride/20201202_Cefas_Test8_Run2/Plate 1/@1/E10_03.tif "/>
    <s v=" 4715.317 "/>
    <s v=" 37.4404 "/>
    <x v="0"/>
    <n v="176543"/>
    <m/>
    <m/>
    <m/>
  </r>
  <r>
    <x v="0"/>
    <x v="5"/>
    <s v="C:\Users\andre\Desktop\REACTIV CEFAS\Dutasteride\Dutasteride/20201202_Cefas_Test8_Run2/Plate 1/@1/F10_01.tif "/>
    <s v=" 7181.125 "/>
    <s v=" 34.3373 "/>
    <x v="0"/>
    <n v="246581"/>
    <m/>
    <m/>
    <m/>
  </r>
  <r>
    <x v="0"/>
    <x v="5"/>
    <s v="C:\Users\andre\Desktop\REACTIV CEFAS\Dutasteride\Dutasteride/20201202_Cefas_Test8_Run2/Plate 1/@1/F10_02.tif "/>
    <s v=" 5256.0644 "/>
    <s v=" 33.2305 "/>
    <x v="0"/>
    <n v="174661"/>
    <m/>
    <m/>
    <m/>
  </r>
  <r>
    <x v="0"/>
    <x v="5"/>
    <s v="C:\Users\andre\Desktop\REACTIV CEFAS\Dutasteride\Dutasteride/20201202_Cefas_Test8_Run2/Plate 1/@1/F10_03.tif "/>
    <s v=" 5234.4345 "/>
    <s v=" 32.6074 "/>
    <x v="0"/>
    <n v="170681"/>
    <m/>
    <m/>
    <m/>
  </r>
  <r>
    <x v="0"/>
    <x v="6"/>
    <s v="C:\Users\andre\Desktop\REACTIV CEFAS\Dutasteride\Dutasteride/20201202_Cefas_Test8_Run2/Plate 1/@1/G10_01- exclu.tif"/>
    <m/>
    <m/>
    <x v="1"/>
    <m/>
    <m/>
    <m/>
    <m/>
  </r>
  <r>
    <x v="0"/>
    <x v="6"/>
    <s v="C:\Users\andre\Desktop\REACTIV CEFAS\Dutasteride\Dutasteride/20201202_Cefas_Test8_Run2/Plate 1/@1/G10_02- exclu.tif"/>
    <m/>
    <m/>
    <x v="1"/>
    <m/>
    <m/>
    <m/>
    <m/>
  </r>
  <r>
    <x v="0"/>
    <x v="6"/>
    <s v="C:\Users\andre\Desktop\REACTIV CEFAS\Dutasteride\Dutasteride/20201202_Cefas_Test8_Run2/Plate 1/@1/G10_03.tif "/>
    <s v=" 4888.3562 "/>
    <s v=" 36.6549 "/>
    <x v="0"/>
    <n v="179182"/>
    <m/>
    <m/>
    <m/>
  </r>
  <r>
    <x v="0"/>
    <x v="7"/>
    <s v="C:\Users\andre\Desktop\REACTIV CEFAS\Dutasteride\Dutasteride/20201202_Cefas_Test8_Run2/Plate 1/@1/H10_01.tif "/>
    <s v=" 4196.1996 "/>
    <s v=" 34.5722 "/>
    <x v="0"/>
    <n v="145072"/>
    <m/>
    <m/>
    <m/>
  </r>
  <r>
    <x v="0"/>
    <x v="7"/>
    <s v="C:\Users\andre\Desktop\REACTIV CEFAS\Dutasteride\Dutasteride/20201202_Cefas_Test8_Run2/Plate 1/@1/H10_02.tif "/>
    <s v=" 129.7794 "/>
    <s v=" 30.8333 "/>
    <x v="0"/>
    <n v="4002"/>
    <m/>
    <m/>
    <m/>
  </r>
  <r>
    <x v="0"/>
    <x v="7"/>
    <s v="C:\Users\andre\Desktop\REACTIV CEFAS\Dutasteride\Dutasteride/20201202_Cefas_Test8_Run2/Plate 1/@1/H10_03.tif "/>
    <s v=" 5169.5448 "/>
    <s v=" 37.9665 "/>
    <x v="0"/>
    <n v="196270"/>
    <m/>
    <m/>
    <m/>
  </r>
  <r>
    <x v="1"/>
    <x v="8"/>
    <s v=" "/>
    <m/>
    <m/>
    <x v="1"/>
    <m/>
    <m/>
    <m/>
    <m/>
  </r>
  <r>
    <x v="1"/>
    <x v="8"/>
    <s v="group "/>
    <s v=" "/>
    <s v=" mean of mean fluo "/>
    <x v="2"/>
    <s v=" mean of total fluo "/>
    <s v=" SD total fluo "/>
    <s v=" n fluorescent "/>
    <s v=" n total"/>
  </r>
  <r>
    <x v="0"/>
    <x v="9"/>
    <s v="C:\Users\andre\Desktop\REACTIV CEFAS\Dutasteride\Dutasteride/20201202_Cefas_Test8_Run2/Plate 1/@1/ "/>
    <s v=" "/>
    <s v=" 34.8344 "/>
    <x v="3"/>
    <s v=" 241722.167 "/>
    <s v=" 223737.12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Dutasteride\Dutasteride/20201202_Cefas_Test8_Run2/Plate 1/@13/A8_01.tif "/>
    <s v=" 49381.0494 "/>
    <s v=" 42.7175 "/>
    <x v="0"/>
    <n v="2109434"/>
    <m/>
    <m/>
    <m/>
  </r>
  <r>
    <x v="2"/>
    <x v="0"/>
    <s v="C:\Users\andre\Desktop\REACTIV CEFAS\Dutasteride\Dutasteride/20201202_Cefas_Test8_Run2/Plate 1/@13/A8_02.tif "/>
    <s v=" 46828.7219 "/>
    <s v=" 43.0273 "/>
    <x v="0"/>
    <n v="2014911"/>
    <m/>
    <m/>
    <m/>
  </r>
  <r>
    <x v="2"/>
    <x v="0"/>
    <s v="C:\Users\andre\Desktop\REACTIV CEFAS\Dutasteride\Dutasteride/20201202_Cefas_Test8_Run2/Plate 1/@13/A8_03.tif "/>
    <s v=" 47239.6899 "/>
    <s v=" 42.7958 "/>
    <x v="0"/>
    <n v="2021660"/>
    <m/>
    <m/>
    <m/>
  </r>
  <r>
    <x v="2"/>
    <x v="1"/>
    <s v="C:\Users\andre\Desktop\REACTIV CEFAS\Dutasteride\Dutasteride/20201202_Cefas_Test8_Run2/Plate 1/@13/B8_01.tif "/>
    <s v=" 28097.2331 "/>
    <s v=" 36.0085 "/>
    <x v="0"/>
    <n v="1011738"/>
    <m/>
    <m/>
    <m/>
  </r>
  <r>
    <x v="2"/>
    <x v="1"/>
    <s v="C:\Users\andre\Desktop\REACTIV CEFAS\Dutasteride\Dutasteride/20201202_Cefas_Test8_Run2/Plate 1/@13/B8_02.tif "/>
    <s v=" 28594.7207 "/>
    <s v=" 36.7057 "/>
    <x v="0"/>
    <n v="1049591"/>
    <m/>
    <m/>
    <m/>
  </r>
  <r>
    <x v="2"/>
    <x v="1"/>
    <s v="C:\Users\andre\Desktop\REACTIV CEFAS\Dutasteride\Dutasteride/20201202_Cefas_Test8_Run2/Plate 1/@13/B8_03- exclu.tif"/>
    <m/>
    <m/>
    <x v="1"/>
    <m/>
    <m/>
    <m/>
    <m/>
  </r>
  <r>
    <x v="2"/>
    <x v="2"/>
    <s v="C:\Users\andre\Desktop\REACTIV CEFAS\Dutasteride\Dutasteride/20201202_Cefas_Test8_Run2/Plate 1/@13/C8_01.tif "/>
    <s v=" 43.2598 "/>
    <n v="35"/>
    <x v="0"/>
    <n v="1514"/>
    <m/>
    <m/>
    <m/>
  </r>
  <r>
    <x v="2"/>
    <x v="2"/>
    <s v="C:\Users\andre\Desktop\REACTIV CEFAS\Dutasteride\Dutasteride/20201202_Cefas_Test8_Run2/Plate 1/@13/C8_02.tif "/>
    <s v=" 108.1495 "/>
    <n v="33"/>
    <x v="0"/>
    <n v="3569"/>
    <m/>
    <m/>
    <m/>
  </r>
  <r>
    <x v="2"/>
    <x v="2"/>
    <s v="C:\Users\andre\Desktop\REACTIV CEFAS\Dutasteride\Dutasteride/20201202_Cefas_Test8_Run2/Plate 1/@13/C8_03.tif "/>
    <s v=" 2400.9183 "/>
    <s v=" 34.6847 "/>
    <x v="0"/>
    <n v="83275"/>
    <m/>
    <m/>
    <m/>
  </r>
  <r>
    <x v="2"/>
    <x v="3"/>
    <s v="C:\Users\andre\Desktop\REACTIV CEFAS\Dutasteride\Dutasteride/20201202_Cefas_Test8_Run2/Plate 1/@13/D8_01.tif "/>
    <s v=" 71465.1719 "/>
    <s v=" 43.8172 "/>
    <x v="0"/>
    <n v="3131403"/>
    <m/>
    <m/>
    <m/>
  </r>
  <r>
    <x v="2"/>
    <x v="3"/>
    <s v="C:\Users\andre\Desktop\REACTIV CEFAS\Dutasteride\Dutasteride/20201202_Cefas_Test8_Run2/Plate 1/@13/D8_02.tif "/>
    <s v=" 58746.7938 "/>
    <s v=" 40.4334 "/>
    <x v="0"/>
    <n v="2375330"/>
    <m/>
    <m/>
    <m/>
  </r>
  <r>
    <x v="2"/>
    <x v="3"/>
    <s v="C:\Users\andre\Desktop\REACTIV CEFAS\Dutasteride\Dutasteride/20201202_Cefas_Test8_Run2/Plate 1/@13/D8_03.tif "/>
    <s v=" 62921.3635 "/>
    <s v=" 45.3606 "/>
    <x v="0"/>
    <n v="2854151"/>
    <m/>
    <m/>
    <m/>
  </r>
  <r>
    <x v="2"/>
    <x v="4"/>
    <s v="C:\Users\andre\Desktop\REACTIV CEFAS\Dutasteride\Dutasteride/20201202_Cefas_Test8_Run2/Plate 1/@13/E8_01.tif "/>
    <s v=" 6856.6766 "/>
    <s v=" 33.3849 "/>
    <x v="0"/>
    <n v="228909"/>
    <m/>
    <m/>
    <m/>
  </r>
  <r>
    <x v="2"/>
    <x v="4"/>
    <s v="C:\Users\andre\Desktop\REACTIV CEFAS\Dutasteride\Dutasteride/20201202_Cefas_Test8_Run2/Plate 1/@13/E8_02.tif "/>
    <s v=" 12999.5667 "/>
    <s v=" 33.3677 "/>
    <x v="0"/>
    <n v="433766"/>
    <m/>
    <m/>
    <m/>
  </r>
  <r>
    <x v="2"/>
    <x v="4"/>
    <s v="C:\Users\andre\Desktop\REACTIV CEFAS\Dutasteride\Dutasteride/20201202_Cefas_Test8_Run2/Plate 1/@13/E8_03- exclu.tif"/>
    <m/>
    <m/>
    <x v="1"/>
    <m/>
    <m/>
    <m/>
    <m/>
  </r>
  <r>
    <x v="2"/>
    <x v="5"/>
    <s v="C:\Users\andre\Desktop\REACTIV CEFAS\Dutasteride\Dutasteride/20201202_Cefas_Test8_Run2/Plate 1/@13/F8_01.tif "/>
    <s v=" 6791.7869 "/>
    <s v=" 35.1115 "/>
    <x v="0"/>
    <n v="238470"/>
    <m/>
    <m/>
    <m/>
  </r>
  <r>
    <x v="2"/>
    <x v="5"/>
    <s v="C:\Users\andre\Desktop\REACTIV CEFAS\Dutasteride\Dutasteride/20201202_Cefas_Test8_Run2/Plate 1/@13/F8_02.tif "/>
    <s v=" 12804.8976 "/>
    <s v=" 35.6284 "/>
    <x v="0"/>
    <n v="456218"/>
    <m/>
    <m/>
    <m/>
  </r>
  <r>
    <x v="2"/>
    <x v="5"/>
    <s v="C:\Users\andre\Desktop\REACTIV CEFAS\Dutasteride\Dutasteride/20201202_Cefas_Test8_Run2/Plate 1/@13/F8_03.tif "/>
    <s v=" 12134.3709 "/>
    <s v=" 32.4367 "/>
    <x v="0"/>
    <n v="393599"/>
    <m/>
    <m/>
    <m/>
  </r>
  <r>
    <x v="2"/>
    <x v="6"/>
    <s v="C:\Users\andre\Desktop\REACTIV CEFAS\Dutasteride\Dutasteride/20201202_Cefas_Test8_Run2/Plate 1/@13/G8_01.tif "/>
    <s v=" 11961.3317 "/>
    <s v=" 31.6691 "/>
    <x v="0"/>
    <n v="378804"/>
    <m/>
    <m/>
    <m/>
  </r>
  <r>
    <x v="2"/>
    <x v="6"/>
    <s v="C:\Users\andre\Desktop\REACTIV CEFAS\Dutasteride\Dutasteride/20201202_Cefas_Test8_Run2/Plate 1/@13/G8_02- exclu.tif"/>
    <m/>
    <m/>
    <x v="1"/>
    <m/>
    <m/>
    <m/>
    <m/>
  </r>
  <r>
    <x v="2"/>
    <x v="6"/>
    <s v="C:\Users\andre\Desktop\REACTIV CEFAS\Dutasteride\Dutasteride/20201202_Cefas_Test8_Run2/Plate 1/@13/G8_03- exclu.tif"/>
    <m/>
    <m/>
    <x v="1"/>
    <m/>
    <m/>
    <m/>
    <m/>
  </r>
  <r>
    <x v="2"/>
    <x v="7"/>
    <s v="C:\Users\andre\Desktop\REACTIV CEFAS\Dutasteride\Dutasteride/20201202_Cefas_Test8_Run2/Plate 1/@13/H8_01.tif "/>
    <s v=" 45509.2983 "/>
    <s v=" 38.4178 "/>
    <x v="0"/>
    <n v="1748366"/>
    <m/>
    <m/>
    <m/>
  </r>
  <r>
    <x v="2"/>
    <x v="7"/>
    <s v="C:\Users\andre\Desktop\REACTIV CEFAS\Dutasteride\Dutasteride/20201202_Cefas_Test8_Run2/Plate 1/@13/H8_02.tif "/>
    <s v=" 40296.4937 "/>
    <s v=" 37.9549 "/>
    <x v="0"/>
    <n v="1529450"/>
    <m/>
    <m/>
    <m/>
  </r>
  <r>
    <x v="2"/>
    <x v="7"/>
    <s v="C:\Users\andre\Desktop\REACTIV CEFAS\Dutasteride\Dutasteride/20201202_Cefas_Test8_Run2/Plate 1/@13/H8_03.tif "/>
    <s v=" 44752.252 "/>
    <s v=" 38.9502 "/>
    <x v="0"/>
    <n v="1743110"/>
    <m/>
    <m/>
    <m/>
  </r>
  <r>
    <x v="1"/>
    <x v="8"/>
    <s v=" "/>
    <m/>
    <m/>
    <x v="1"/>
    <m/>
    <m/>
    <m/>
    <m/>
  </r>
  <r>
    <x v="1"/>
    <x v="8"/>
    <s v="group "/>
    <s v=" "/>
    <s v=" mean of mean fluo "/>
    <x v="2"/>
    <s v=" mean of total fluo "/>
    <s v=" SD total fluo "/>
    <s v=" n fluorescent "/>
    <s v=" n total"/>
  </r>
  <r>
    <x v="2"/>
    <x v="9"/>
    <s v="C:\Users\andre\Desktop\REACTIV CEFAS\Dutasteride\Dutasteride/20201202_Cefas_Test8_Run2/Plate 1/@13/ "/>
    <s v=" "/>
    <s v=" 37.6569 "/>
    <x v="4"/>
    <s v=" 1079453.42 "/>
    <s v=" 953487.59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Dutasteride\Dutasteride/20201202_Cefas_Test8_Run2/Plate 1/@14/A9_01.tif "/>
    <s v=" 40815.6112 "/>
    <s v=" 37.2353 "/>
    <x v="0"/>
    <n v="1519781"/>
    <m/>
    <m/>
    <m/>
  </r>
  <r>
    <x v="3"/>
    <x v="0"/>
    <s v="C:\Users\andre\Desktop\REACTIV CEFAS\Dutasteride\Dutasteride/20201202_Cefas_Test8_Run2/Plate 1/@14/A9_02.tif "/>
    <s v=" 54031.4768 "/>
    <s v=" 42.4992 "/>
    <x v="0"/>
    <n v="2296295"/>
    <m/>
    <m/>
    <m/>
  </r>
  <r>
    <x v="3"/>
    <x v="0"/>
    <s v="C:\Users\andre\Desktop\REACTIV CEFAS\Dutasteride\Dutasteride/20201202_Cefas_Test8_Run2/Plate 1/@14/A9_03.tif "/>
    <s v=" 51306.1101 "/>
    <s v=" 42.3187 "/>
    <x v="0"/>
    <n v="2171209"/>
    <m/>
    <m/>
    <m/>
  </r>
  <r>
    <x v="3"/>
    <x v="1"/>
    <s v="C:\Users\andre\Desktop\REACTIV CEFAS\Dutasteride\Dutasteride/20201202_Cefas_Test8_Run2/Plate 1/@14/B9_01.tif "/>
    <s v=" 50051.5762 "/>
    <s v=" 37.4166 "/>
    <x v="0"/>
    <n v="1872760"/>
    <m/>
    <m/>
    <m/>
  </r>
  <r>
    <x v="3"/>
    <x v="1"/>
    <s v="C:\Users\andre\Desktop\REACTIV CEFAS\Dutasteride\Dutasteride/20201202_Cefas_Test8_Run2/Plate 1/@14/B9_02.tif "/>
    <s v=" 38782.4011 "/>
    <s v=" 35.6665 "/>
    <x v="0"/>
    <n v="1383232"/>
    <m/>
    <m/>
    <m/>
  </r>
  <r>
    <x v="3"/>
    <x v="1"/>
    <s v="C:\Users\andre\Desktop\REACTIV CEFAS\Dutasteride\Dutasteride/20201202_Cefas_Test8_Run2/Plate 1/@14/B9_03.tif "/>
    <s v=" 32379.9523 "/>
    <s v=" 34.8437 "/>
    <x v="0"/>
    <n v="1128237"/>
    <m/>
    <m/>
    <m/>
  </r>
  <r>
    <x v="3"/>
    <x v="2"/>
    <s v="C:\Users\andre\Desktop\REACTIV CEFAS\Dutasteride\Dutasteride/20201202_Cefas_Test8_Run2/Plate 1/@14/C9_01.tif "/>
    <s v=" 30281.8525 "/>
    <s v=" 37.925 "/>
    <x v="0"/>
    <n v="1148439"/>
    <m/>
    <m/>
    <m/>
  </r>
  <r>
    <x v="3"/>
    <x v="2"/>
    <s v="C:\Users\andre\Desktop\REACTIV CEFAS\Dutasteride\Dutasteride/20201202_Cefas_Test8_Run2/Plate 1/@14/C9_02- exclu.tif"/>
    <m/>
    <m/>
    <x v="1"/>
    <m/>
    <m/>
    <m/>
    <m/>
  </r>
  <r>
    <x v="3"/>
    <x v="2"/>
    <s v="C:\Users\andre\Desktop\REACTIV CEFAS\Dutasteride\Dutasteride/20201202_Cefas_Test8_Run2/Plate 1/@14/C9_03- exclu.tif"/>
    <m/>
    <m/>
    <x v="1"/>
    <m/>
    <m/>
    <m/>
    <m/>
  </r>
  <r>
    <x v="3"/>
    <x v="3"/>
    <s v="C:\Users\andre\Desktop\REACTIV CEFAS\Dutasteride\Dutasteride/20201202_Cefas_Test8_Run2/Plate 1/@14/D9_01.tif "/>
    <s v=" 45249.7396 "/>
    <s v=" 34.9221 "/>
    <x v="0"/>
    <n v="1580215"/>
    <m/>
    <m/>
    <m/>
  </r>
  <r>
    <x v="3"/>
    <x v="3"/>
    <s v="C:\Users\andre\Desktop\REACTIV CEFAS\Dutasteride\Dutasteride/20201202_Cefas_Test8_Run2/Plate 1/@14/D9_02.tif "/>
    <s v=" 53123.0212 "/>
    <s v=" 38.658 "/>
    <x v="0"/>
    <n v="2053629"/>
    <m/>
    <m/>
    <m/>
  </r>
  <r>
    <x v="3"/>
    <x v="3"/>
    <s v="C:\Users\andre\Desktop\REACTIV CEFAS\Dutasteride\Dutasteride/20201202_Cefas_Test8_Run2/Plate 1/@14/D9_03.tif "/>
    <s v=" 41745.6966 "/>
    <s v=" 35.2922 "/>
    <x v="0"/>
    <n v="1473299"/>
    <m/>
    <m/>
    <m/>
  </r>
  <r>
    <x v="3"/>
    <x v="4"/>
    <s v="C:\Users\andre\Desktop\REACTIV CEFAS\Dutasteride\Dutasteride/20201202_Cefas_Test8_Run2/Plate 1/@14/E9_01.tif "/>
    <s v=" 14665.0686 "/>
    <s v=" 32.9484 "/>
    <x v="0"/>
    <n v="483190"/>
    <m/>
    <m/>
    <m/>
  </r>
  <r>
    <x v="3"/>
    <x v="4"/>
    <s v="C:\Users\andre\Desktop\REACTIV CEFAS\Dutasteride\Dutasteride/20201202_Cefas_Test8_Run2/Plate 1/@14/E9_02.tif "/>
    <s v=" 26669.6601 "/>
    <s v=" 34.4704 "/>
    <x v="0"/>
    <n v="919314"/>
    <m/>
    <m/>
    <m/>
  </r>
  <r>
    <x v="3"/>
    <x v="4"/>
    <s v="C:\Users\andre\Desktop\REACTIV CEFAS\Dutasteride\Dutasteride/20201202_Cefas_Test8_Run2/Plate 1/@14/E9_03.tif "/>
    <s v=" 19964.3927 "/>
    <s v=" 33.3608 "/>
    <x v="0"/>
    <n v="666028"/>
    <m/>
    <m/>
    <m/>
  </r>
  <r>
    <x v="3"/>
    <x v="5"/>
    <s v="C:\Users\andre\Desktop\REACTIV CEFAS\Dutasteride\Dutasteride/20201202_Cefas_Test8_Run2/Plate 1/@14/F9_01.tif "/>
    <s v=" 43281.4192 "/>
    <s v=" 40.1344 "/>
    <x v="0"/>
    <n v="1737075"/>
    <m/>
    <m/>
    <m/>
  </r>
  <r>
    <x v="3"/>
    <x v="5"/>
    <s v="C:\Users\andre\Desktop\REACTIV CEFAS\Dutasteride\Dutasteride/20201202_Cefas_Test8_Run2/Plate 1/@14/F9_02.tif "/>
    <s v=" 47672.2878 "/>
    <s v=" 41.4723 "/>
    <x v="0"/>
    <n v="1977081"/>
    <m/>
    <m/>
    <m/>
  </r>
  <r>
    <x v="3"/>
    <x v="5"/>
    <s v="C:\Users\andre\Desktop\REACTIV CEFAS\Dutasteride\Dutasteride/20201202_Cefas_Test8_Run2/Plate 1/@14/F9_03.tif "/>
    <s v=" 43216.5295 "/>
    <s v=" 37.7492 "/>
    <x v="0"/>
    <n v="1631392"/>
    <m/>
    <m/>
    <m/>
  </r>
  <r>
    <x v="3"/>
    <x v="6"/>
    <s v="C:\Users\andre\Desktop\REACTIV CEFAS\Dutasteride\Dutasteride/20201202_Cefas_Test8_Run2/Plate 1/@14/G9_01- exclu.tif"/>
    <m/>
    <m/>
    <x v="1"/>
    <m/>
    <m/>
    <m/>
    <m/>
  </r>
  <r>
    <x v="3"/>
    <x v="6"/>
    <s v="C:\Users\andre\Desktop\REACTIV CEFAS\Dutasteride\Dutasteride/20201202_Cefas_Test8_Run2/Plate 1/@14/G9_02.tif "/>
    <s v=" 9884.8618 "/>
    <s v=" 37.8512 "/>
    <x v="0"/>
    <n v="374154"/>
    <m/>
    <m/>
    <m/>
  </r>
  <r>
    <x v="3"/>
    <x v="6"/>
    <s v="C:\Users\andre\Desktop\REACTIV CEFAS\Dutasteride\Dutasteride/20201202_Cefas_Test8_Run2/Plate 1/@14/G9_03.tif "/>
    <s v=" 19380.3856 "/>
    <s v=" 34.3605 "/>
    <x v="0"/>
    <n v="665920"/>
    <m/>
    <m/>
    <m/>
  </r>
  <r>
    <x v="3"/>
    <x v="7"/>
    <s v="C:\Users\andre\Desktop\REACTIV CEFAS\Dutasteride\Dutasteride/20201202_Cefas_Test8_Run2/Plate 1/@14/H9_01- exclu.tif"/>
    <m/>
    <m/>
    <x v="1"/>
    <m/>
    <m/>
    <m/>
    <m/>
  </r>
  <r>
    <x v="3"/>
    <x v="7"/>
    <s v="C:\Users\andre\Desktop\REACTIV CEFAS\Dutasteride\Dutasteride/20201202_Cefas_Test8_Run2/Plate 1/@14/H9_02- exclu.tif"/>
    <m/>
    <m/>
    <x v="1"/>
    <m/>
    <m/>
    <m/>
    <m/>
  </r>
  <r>
    <x v="3"/>
    <x v="7"/>
    <s v="C:\Users\andre\Desktop\REACTIV CEFAS\Dutasteride\Dutasteride/20201202_Cefas_Test8_Run2/Plate 1/@14/H9_03- exclu.tif"/>
    <m/>
    <m/>
    <x v="1"/>
    <m/>
    <m/>
    <m/>
    <m/>
  </r>
  <r>
    <x v="1"/>
    <x v="8"/>
    <s v=" "/>
    <m/>
    <m/>
    <x v="1"/>
    <m/>
    <m/>
    <m/>
    <m/>
  </r>
  <r>
    <x v="1"/>
    <x v="8"/>
    <s v="group "/>
    <s v=" "/>
    <s v=" mean of mean fluo "/>
    <x v="2"/>
    <s v=" mean of total fluo "/>
    <s v=" SD total fluo "/>
    <s v=" n fluorescent "/>
    <s v=" n total"/>
  </r>
  <r>
    <x v="3"/>
    <x v="9"/>
    <s v="C:\Users\andre\Desktop\REACTIV CEFAS\Dutasteride\Dutasteride/20201202_Cefas_Test8_Run2/Plate 1/@14/ "/>
    <s v=" "/>
    <s v=" 34.107 "/>
    <x v="5"/>
    <s v=" 1184338.71 "/>
    <s v=" 693196.339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Dutasteride\Dutasteride/20201202_Cefas_Test8_Run2/Plate 1/@15/A11_01.tif "/>
    <s v=" 58054.6372 "/>
    <s v=" 47.8651 "/>
    <x v="0"/>
    <n v="2778793"/>
    <m/>
    <m/>
    <m/>
  </r>
  <r>
    <x v="4"/>
    <x v="0"/>
    <s v="C:\Users\andre\Desktop\REACTIV CEFAS\Dutasteride\Dutasteride/20201202_Cefas_Test8_Run2/Plate 1/@15/A11_02.tif "/>
    <s v=" 62964.6233 "/>
    <s v=" 46.3689 "/>
    <x v="0"/>
    <n v="2919603"/>
    <m/>
    <m/>
    <m/>
  </r>
  <r>
    <x v="4"/>
    <x v="0"/>
    <s v="C:\Users\andre\Desktop\REACTIV CEFAS\Dutasteride\Dutasteride/20201202_Cefas_Test8_Run2/Plate 1/@15/A11_03.tif "/>
    <s v=" 63591.8902 "/>
    <s v=" 48.1891 "/>
    <x v="0"/>
    <n v="3064437"/>
    <m/>
    <m/>
    <m/>
  </r>
  <r>
    <x v="4"/>
    <x v="1"/>
    <s v="C:\Users\andre\Desktop\REACTIV CEFAS\Dutasteride\Dutasteride/20201202_Cefas_Test8_Run2/Plate 1/@15/B11_01.tif "/>
    <s v=" 100838.569 "/>
    <s v=" 53.0547 "/>
    <x v="0"/>
    <n v="5349960"/>
    <m/>
    <m/>
    <m/>
  </r>
  <r>
    <x v="4"/>
    <x v="1"/>
    <s v="C:\Users\andre\Desktop\REACTIV CEFAS\Dutasteride\Dutasteride/20201202_Cefas_Test8_Run2/Plate 1/@15/B11_02.tif "/>
    <s v=" 110550.391 "/>
    <s v=" 57.7235 "/>
    <x v="0"/>
    <n v="6381360"/>
    <m/>
    <m/>
    <m/>
  </r>
  <r>
    <x v="4"/>
    <x v="1"/>
    <s v="C:\Users\andre\Desktop\REACTIV CEFAS\Dutasteride\Dutasteride/20201202_Cefas_Test8_Run2/Plate 1/@15/B11_03.tif "/>
    <s v=" 103347.637 "/>
    <s v=" 54.7323 "/>
    <x v="0"/>
    <n v="5656455"/>
    <m/>
    <m/>
    <m/>
  </r>
  <r>
    <x v="4"/>
    <x v="2"/>
    <s v="C:\Users\andre\Desktop\REACTIV CEFAS\Dutasteride\Dutasteride/20201202_Cefas_Test8_Run2/Plate 1/@15/C11_01.tif "/>
    <s v=" 73433.4923 "/>
    <s v=" 54.2695 "/>
    <x v="0"/>
    <n v="3985200"/>
    <m/>
    <m/>
    <m/>
  </r>
  <r>
    <x v="4"/>
    <x v="2"/>
    <s v="C:\Users\andre\Desktop\REACTIV CEFAS\Dutasteride\Dutasteride/20201202_Cefas_Test8_Run2/Plate 1/@15/C11_02.tif "/>
    <s v=" 76483.3074 "/>
    <s v=" 55.3657 "/>
    <x v="0"/>
    <n v="4234549"/>
    <m/>
    <m/>
    <m/>
  </r>
  <r>
    <x v="4"/>
    <x v="2"/>
    <s v="C:\Users\andre\Desktop\REACTIV CEFAS\Dutasteride\Dutasteride/20201202_Cefas_Test8_Run2/Plate 1/@15/C11_03.tif "/>
    <s v=" 76677.9765 "/>
    <s v=" 57.1772 "/>
    <x v="0"/>
    <n v="4384228"/>
    <m/>
    <m/>
    <m/>
  </r>
  <r>
    <x v="4"/>
    <x v="3"/>
    <s v="C:\Users\andre\Desktop\REACTIV CEFAS\Dutasteride\Dutasteride/20201202_Cefas_Test8_Run2/Plate 1/@15/D11_01.tif "/>
    <s v=" 42783.9316 "/>
    <s v=" 45.5308 "/>
    <x v="0"/>
    <n v="1947988"/>
    <m/>
    <m/>
    <m/>
  </r>
  <r>
    <x v="4"/>
    <x v="3"/>
    <s v="C:\Users\andre\Desktop\REACTIV CEFAS\Dutasteride\Dutasteride/20201202_Cefas_Test8_Run2/Plate 1/@15/D11_02.tif "/>
    <s v=" 44168.2448 "/>
    <s v=" 45.0147 "/>
    <x v="0"/>
    <n v="1988220"/>
    <m/>
    <m/>
    <m/>
  </r>
  <r>
    <x v="4"/>
    <x v="3"/>
    <s v="C:\Users\andre\Desktop\REACTIV CEFAS\Dutasteride\Dutasteride/20201202_Cefas_Test8_Run2/Plate 1/@15/D11_03.tif "/>
    <s v=" 44622.4726 "/>
    <s v=" 45.1949 "/>
    <x v="0"/>
    <n v="2016706"/>
    <m/>
    <m/>
    <m/>
  </r>
  <r>
    <x v="4"/>
    <x v="4"/>
    <s v="C:\Users\andre\Desktop\REACTIV CEFAS\Dutasteride\Dutasteride/20201202_Cefas_Test8_Run2/Plate 1/@15/E11_01.tif "/>
    <s v=" 40058.5649 "/>
    <s v=" 42.5918 "/>
    <x v="0"/>
    <n v="1706166"/>
    <m/>
    <m/>
    <m/>
  </r>
  <r>
    <x v="4"/>
    <x v="4"/>
    <s v="C:\Users\andre\Desktop\REACTIV CEFAS\Dutasteride\Dutasteride/20201202_Cefas_Test8_Run2/Plate 1/@15/E11_02.tif "/>
    <s v=" 39258.2588 "/>
    <s v=" 42.3989 "/>
    <x v="0"/>
    <n v="1664507"/>
    <m/>
    <m/>
    <m/>
  </r>
  <r>
    <x v="4"/>
    <x v="4"/>
    <s v="C:\Users\andre\Desktop\REACTIV CEFAS\Dutasteride\Dutasteride/20201202_Cefas_Test8_Run2/Plate 1/@15/E11_03.tif "/>
    <s v=" 39539.4474 "/>
    <s v=" 41.1931 "/>
    <x v="0"/>
    <n v="1628753"/>
    <m/>
    <m/>
    <m/>
  </r>
  <r>
    <x v="4"/>
    <x v="5"/>
    <s v="C:\Users\andre\Desktop\REACTIV CEFAS\Dutasteride\Dutasteride/20201202_Cefas_Test8_Run2/Plate 1/@15/F11_01.tif "/>
    <s v=" 85027.1158 "/>
    <s v=" 56.8148 "/>
    <x v="0"/>
    <n v="4830799"/>
    <m/>
    <m/>
    <m/>
  </r>
  <r>
    <x v="4"/>
    <x v="5"/>
    <s v="C:\Users\andre\Desktop\REACTIV CEFAS\Dutasteride\Dutasteride/20201202_Cefas_Test8_Run2/Plate 1/@15/F11_02.tif "/>
    <s v=" 88271.6 "/>
    <s v=" 55.5624 "/>
    <x v="0"/>
    <n v="4904579"/>
    <m/>
    <m/>
    <m/>
  </r>
  <r>
    <x v="4"/>
    <x v="5"/>
    <s v="C:\Users\andre\Desktop\REACTIV CEFAS\Dutasteride\Dutasteride/20201202_Cefas_Test8_Run2/Plate 1/@15/F11_03.tif "/>
    <s v=" 89828.9524 "/>
    <s v=" 55.9042 "/>
    <x v="0"/>
    <n v="5021813"/>
    <m/>
    <m/>
    <m/>
  </r>
  <r>
    <x v="4"/>
    <x v="6"/>
    <s v="C:\Users\andre\Desktop\REACTIV CEFAS\Dutasteride\Dutasteride/20201202_Cefas_Test8_Run2/Plate 1/@15/G11_01.tif "/>
    <s v=" 89850.5823 "/>
    <s v=" 49.0207 "/>
    <x v="0"/>
    <n v="4404539"/>
    <m/>
    <m/>
    <m/>
  </r>
  <r>
    <x v="4"/>
    <x v="6"/>
    <s v="C:\Users\andre\Desktop\REACTIV CEFAS\Dutasteride\Dutasteride/20201202_Cefas_Test8_Run2/Plate 1/@15/G11_02.tif "/>
    <s v=" 87817.3722 "/>
    <s v=" 53.6456 "/>
    <x v="0"/>
    <n v="4711013"/>
    <m/>
    <m/>
    <m/>
  </r>
  <r>
    <x v="4"/>
    <x v="6"/>
    <s v="C:\Users\andre\Desktop\REACTIV CEFAS\Dutasteride\Dutasteride/20201202_Cefas_Test8_Run2/Plate 1/@15/G11_03.tif "/>
    <s v=" 87709.2227 "/>
    <s v=" 52.9285 "/>
    <x v="0"/>
    <n v="4642316"/>
    <m/>
    <m/>
    <m/>
  </r>
  <r>
    <x v="4"/>
    <x v="7"/>
    <s v="C:\Users\andre\Desktop\REACTIV CEFAS\Dutasteride\Dutasteride/20201202_Cefas_Test8_Run2/Plate 1/@15/H11_01.tif "/>
    <s v=" 70729.7554 "/>
    <s v=" 48.7682 "/>
    <x v="0"/>
    <n v="3449363"/>
    <m/>
    <m/>
    <m/>
  </r>
  <r>
    <x v="4"/>
    <x v="7"/>
    <s v="C:\Users\andre\Desktop\REACTIV CEFAS\Dutasteride\Dutasteride/20201202_Cefas_Test8_Run2/Plate 1/@15/H11_02.tif "/>
    <s v=" 71032.574 "/>
    <s v=" 49.3681 "/>
    <x v="0"/>
    <n v="3506747"/>
    <m/>
    <m/>
    <m/>
  </r>
  <r>
    <x v="4"/>
    <x v="7"/>
    <s v="C:\Users\andre\Desktop\REACTIV CEFAS\Dutasteride\Dutasteride/20201202_Cefas_Test8_Run2/Plate 1/@15/H11_03.tif "/>
    <s v=" 74320.3179 "/>
    <s v=" 52.0731 "/>
    <x v="0"/>
    <n v="3870086"/>
    <m/>
    <m/>
    <m/>
  </r>
  <r>
    <x v="1"/>
    <x v="8"/>
    <s v=" "/>
    <m/>
    <m/>
    <x v="1"/>
    <m/>
    <m/>
    <m/>
    <m/>
  </r>
  <r>
    <x v="1"/>
    <x v="8"/>
    <s v="group "/>
    <s v=" "/>
    <s v=" mean of mean fluo "/>
    <x v="2"/>
    <s v=" mean of total fluo "/>
    <s v=" SD total fluo "/>
    <s v=" n fluorescent "/>
    <s v=" n total"/>
  </r>
  <r>
    <x v="4"/>
    <x v="9"/>
    <s v="C:\Users\andre\Desktop\REACTIV CEFAS\Dutasteride\Dutasteride/20201202_Cefas_Test8_Run2/Plate 1/@15/ "/>
    <s v=" "/>
    <s v=" 50.4482 "/>
    <x v="6"/>
    <s v=" 3710340.83 "/>
    <s v=" 1393906.1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Dutasteride\Dutasteride/20201202_Cefas_Test8_Run2/Plate 1/@16/A12_01.tif "/>
    <s v=" 5840.0715 "/>
    <s v=" 34.2037 "/>
    <x v="0"/>
    <n v="199752"/>
    <m/>
    <m/>
    <m/>
  </r>
  <r>
    <x v="5"/>
    <x v="0"/>
    <s v="C:\Users\andre\Desktop\REACTIV CEFAS\Dutasteride\Dutasteride/20201202_Cefas_Test8_Run2/Plate 1/@16/A12_02.tif "/>
    <s v=" 1860.1709 "/>
    <s v=" 33.0581 "/>
    <x v="0"/>
    <n v="61494"/>
    <m/>
    <m/>
    <m/>
  </r>
  <r>
    <x v="5"/>
    <x v="0"/>
    <s v="C:\Users\andre\Desktop\REACTIV CEFAS\Dutasteride\Dutasteride/20201202_Cefas_Test8_Run2/Plate 1/@16/A12_03.tif "/>
    <s v=" 3568.9326 "/>
    <s v=" 34.8848 "/>
    <x v="0"/>
    <n v="124502"/>
    <m/>
    <m/>
    <m/>
  </r>
  <r>
    <x v="5"/>
    <x v="1"/>
    <s v="C:\Users\andre\Desktop\REACTIV CEFAS\Dutasteride\Dutasteride/20201202_Cefas_Test8_Run2/Plate 1/@16/B12_01.tif "/>
    <s v=" 12718.378 "/>
    <s v=" 39.2432 "/>
    <x v="0"/>
    <n v="499110"/>
    <m/>
    <m/>
    <m/>
  </r>
  <r>
    <x v="5"/>
    <x v="1"/>
    <s v="C:\Users\andre\Desktop\REACTIV CEFAS\Dutasteride\Dutasteride/20201202_Cefas_Test8_Run2/Plate 1/@16/B12_02.tif "/>
    <s v=" 10057.901 "/>
    <s v=" 36.5312 "/>
    <x v="0"/>
    <n v="367427"/>
    <m/>
    <m/>
    <m/>
  </r>
  <r>
    <x v="5"/>
    <x v="1"/>
    <s v="C:\Users\andre\Desktop\REACTIV CEFAS\Dutasteride\Dutasteride/20201202_Cefas_Test8_Run2/Plate 1/@16/B12_03.tif "/>
    <s v=" 9884.8618 "/>
    <s v=" 38.2691 "/>
    <x v="0"/>
    <n v="378285"/>
    <m/>
    <m/>
    <m/>
  </r>
  <r>
    <x v="5"/>
    <x v="2"/>
    <s v="C:\Users\andre\Desktop\REACTIV CEFAS\Dutasteride\Dutasteride/20201202_Cefas_Test8_Run2/Plate 1/@16/C12_01.tif "/>
    <s v=" 2098.0998 "/>
    <s v=" 31.7423 "/>
    <x v="0"/>
    <n v="66598"/>
    <m/>
    <m/>
    <m/>
  </r>
  <r>
    <x v="5"/>
    <x v="2"/>
    <s v="C:\Users\andre\Desktop\REACTIV CEFAS\Dutasteride\Dutasteride/20201202_Cefas_Test8_Run2/Plate 1/@16/C12_02.tif "/>
    <s v=" 5407.4737 "/>
    <s v=" 35.956 "/>
    <x v="0"/>
    <n v="194431"/>
    <m/>
    <m/>
    <m/>
  </r>
  <r>
    <x v="5"/>
    <x v="2"/>
    <s v="C:\Users\andre\Desktop\REACTIV CEFAS\Dutasteride\Dutasteride/20201202_Cefas_Test8_Run2/Plate 1/@16/C12_03.tif "/>
    <s v=" 1146.3844 "/>
    <s v=" 31.8679 "/>
    <x v="0"/>
    <n v="36533"/>
    <m/>
    <m/>
    <m/>
  </r>
  <r>
    <x v="5"/>
    <x v="3"/>
    <s v="C:\Users\andre\Desktop\REACTIV CEFAS\Dutasteride\Dutasteride/20201202_Cefas_Test8_Run2/Plate 1/@16/D12_01- exclu.tif"/>
    <m/>
    <m/>
    <x v="1"/>
    <m/>
    <m/>
    <m/>
    <m/>
  </r>
  <r>
    <x v="5"/>
    <x v="3"/>
    <s v="C:\Users\andre\Desktop\REACTIV CEFAS\Dutasteride\Dutasteride/20201202_Cefas_Test8_Run2/Plate 1/@16/D12_02- exclu.tif"/>
    <m/>
    <m/>
    <x v="1"/>
    <m/>
    <m/>
    <m/>
    <m/>
  </r>
  <r>
    <x v="5"/>
    <x v="3"/>
    <s v="C:\Users\andre\Desktop\REACTIV CEFAS\Dutasteride\Dutasteride/20201202_Cefas_Test8_Run2/Plate 1/@16/D12_03.tif "/>
    <s v=" 10187.6804 "/>
    <s v=" 42.0594 "/>
    <x v="0"/>
    <n v="428488"/>
    <m/>
    <m/>
    <m/>
  </r>
  <r>
    <x v="5"/>
    <x v="4"/>
    <s v="C:\Users\andre\Desktop\REACTIV CEFAS\Dutasteride\Dutasteride/20201202_Cefas_Test8_Run2/Plate 1/@16/E12_01.tif "/>
    <s v=" 410.968 "/>
    <s v=" 31.4211 "/>
    <x v="0"/>
    <n v="12913"/>
    <m/>
    <m/>
    <m/>
  </r>
  <r>
    <x v="5"/>
    <x v="4"/>
    <s v="C:\Users\andre\Desktop\REACTIV CEFAS\Dutasteride\Dutasteride/20201202_Cefas_Test8_Run2/Plate 1/@16/E12_02.tif "/>
    <s v=" 4845.0964 "/>
    <s v=" 38.0759 "/>
    <x v="0"/>
    <n v="184481"/>
    <m/>
    <m/>
    <m/>
  </r>
  <r>
    <x v="5"/>
    <x v="4"/>
    <s v="C:\Users\andre\Desktop\REACTIV CEFAS\Dutasteride\Dutasteride/20201202_Cefas_Test8_Run2/Plate 1/@16/E12_03.tif "/>
    <s v=" 2920.0358 "/>
    <s v=" 37.0667 "/>
    <x v="0"/>
    <n v="108236"/>
    <m/>
    <m/>
    <m/>
  </r>
  <r>
    <x v="5"/>
    <x v="5"/>
    <s v="C:\Users\andre\Desktop\REACTIV CEFAS\Dutasteride\Dutasteride/20201202_Cefas_Test8_Run2/Plate 1/@16/F12_01.tif "/>
    <s v=" 3677.0821 "/>
    <s v=" 33.7235 "/>
    <x v="0"/>
    <n v="124004"/>
    <m/>
    <m/>
    <m/>
  </r>
  <r>
    <x v="5"/>
    <x v="5"/>
    <s v="C:\Users\andre\Desktop\REACTIV CEFAS\Dutasteride\Dutasteride/20201202_Cefas_Test8_Run2/Plate 1/@16/F12_02.tif "/>
    <s v=" 7289.2745 "/>
    <s v=" 40.6202 "/>
    <x v="0"/>
    <n v="296092"/>
    <m/>
    <m/>
    <m/>
  </r>
  <r>
    <x v="5"/>
    <x v="5"/>
    <s v="C:\Users\andre\Desktop\REACTIV CEFAS\Dutasteride\Dutasteride/20201202_Cefas_Test8_Run2/Plate 1/@16/F12_03.tif "/>
    <s v=" 4044.7903 "/>
    <s v=" 36.8235 "/>
    <x v="0"/>
    <n v="148943"/>
    <m/>
    <m/>
    <m/>
  </r>
  <r>
    <x v="5"/>
    <x v="6"/>
    <s v="C:\Users\andre\Desktop\REACTIV CEFAS\Dutasteride\Dutasteride/20201202_Cefas_Test8_Run2/Plate 1/@16/G12_01.tif "/>
    <s v=" 151.4093 "/>
    <s v=" 31.7143 "/>
    <x v="0"/>
    <n v="4802"/>
    <m/>
    <m/>
    <m/>
  </r>
  <r>
    <x v="5"/>
    <x v="6"/>
    <s v="C:\Users\andre\Desktop\REACTIV CEFAS\Dutasteride\Dutasteride/20201202_Cefas_Test8_Run2/Plate 1/@16/G12_02.tif "/>
    <s v=" 43.2598 "/>
    <s v=" 30.5 "/>
    <x v="0"/>
    <n v="1319"/>
    <m/>
    <m/>
    <m/>
  </r>
  <r>
    <x v="5"/>
    <x v="6"/>
    <s v="C:\Users\andre\Desktop\REACTIV CEFAS\Dutasteride\Dutasteride/20201202_Cefas_Test8_Run2/Plate 1/@16/G12_03.tif "/>
    <s v=" 497.4876 "/>
    <s v=" 31.5217 "/>
    <x v="0"/>
    <n v="15682"/>
    <m/>
    <m/>
    <m/>
  </r>
  <r>
    <x v="5"/>
    <x v="7"/>
    <s v="C:\Users\andre\Desktop\REACTIV CEFAS\Dutasteride\Dutasteride/20201202_Cefas_Test8_Run2/Plate 1/@16/H12_01.tif "/>
    <s v=" 1103.1246 "/>
    <s v=" 34.4118 "/>
    <x v="0"/>
    <n v="37960"/>
    <m/>
    <m/>
    <m/>
  </r>
  <r>
    <x v="5"/>
    <x v="7"/>
    <s v="C:\Users\andre\Desktop\REACTIV CEFAS\Dutasteride\Dutasteride/20201202_Cefas_Test8_Run2/Plate 1/@16/H12_02.tif "/>
    <s v=" 86.5196 "/>
    <s v=" 30.5 "/>
    <x v="0"/>
    <n v="2639"/>
    <m/>
    <m/>
    <m/>
  </r>
  <r>
    <x v="5"/>
    <x v="7"/>
    <s v="C:\Users\andre\Desktop\REACTIV CEFAS\Dutasteride\Dutasteride/20201202_Cefas_Test8_Run2/Plate 1/@16/H12_03.tif "/>
    <n v="0"/>
    <n v="0"/>
    <x v="0"/>
    <n v="0"/>
    <m/>
    <m/>
    <m/>
  </r>
  <r>
    <x v="1"/>
    <x v="8"/>
    <s v=" "/>
    <m/>
    <m/>
    <x v="1"/>
    <m/>
    <m/>
    <m/>
    <m/>
  </r>
  <r>
    <x v="1"/>
    <x v="8"/>
    <s v="group "/>
    <s v=" "/>
    <s v=" mean of mean fluo "/>
    <x v="2"/>
    <s v=" mean of total fluo "/>
    <s v=" SD total fluo "/>
    <s v=" n fluorescent "/>
    <s v=" n total"/>
  </r>
  <r>
    <x v="5"/>
    <x v="9"/>
    <s v="C:\Users\andre\Desktop\REACTIV CEFAS\Dutasteride\Dutasteride/20201202_Cefas_Test8_Run2/Plate 1/@16/ "/>
    <s v=" "/>
    <s v=" 34.9354 "/>
    <x v="7"/>
    <s v=" 213086.875 "/>
    <s v=" 259945.568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Dutasteride\Dutasteride/20201202_Cefas_Test8_Run2/Plate 1/@2/A2_01.tif "/>
    <s v=" 3504.0429 "/>
    <s v=" 33.8457 "/>
    <x v="0"/>
    <n v="118597"/>
    <m/>
    <m/>
    <m/>
  </r>
  <r>
    <x v="6"/>
    <x v="0"/>
    <s v="C:\Users\andre\Desktop\REACTIV CEFAS\Dutasteride\Dutasteride/20201202_Cefas_Test8_Run2/Plate 1/@2/A2_02.tif "/>
    <s v=" 3114.7048 "/>
    <s v=" 33.9236 "/>
    <x v="0"/>
    <n v="105662"/>
    <m/>
    <m/>
    <m/>
  </r>
  <r>
    <x v="6"/>
    <x v="0"/>
    <s v="C:\Users\andre\Desktop\REACTIV CEFAS\Dutasteride\Dutasteride/20201202_Cefas_Test8_Run2/Plate 1/@2/A2_03.tif "/>
    <s v=" 1773.6514 "/>
    <s v=" 33.3537 "/>
    <x v="0"/>
    <n v="59158"/>
    <m/>
    <m/>
    <m/>
  </r>
  <r>
    <x v="6"/>
    <x v="1"/>
    <s v="C:\Users\andre\Desktop\REACTIV CEFAS\Dutasteride\Dutasteride/20201202_Cefas_Test8_Run2/Plate 1/@2/B2_01.tif "/>
    <s v=" 2811.8863 "/>
    <s v=" 34.4308 "/>
    <x v="0"/>
    <n v="96815"/>
    <m/>
    <m/>
    <m/>
  </r>
  <r>
    <x v="6"/>
    <x v="1"/>
    <s v="C:\Users\andre\Desktop\REACTIV CEFAS\Dutasteride\Dutasteride/20201202_Cefas_Test8_Run2/Plate 1/@2/B2_02.tif "/>
    <s v=" 21.6299 "/>
    <n v="30"/>
    <x v="0"/>
    <n v="649"/>
    <m/>
    <m/>
    <m/>
  </r>
  <r>
    <x v="6"/>
    <x v="1"/>
    <s v="C:\Users\andre\Desktop\REACTIV CEFAS\Dutasteride\Dutasteride/20201202_Cefas_Test8_Run2/Plate 1/@2/B2_03.tif "/>
    <s v=" 7354.1642 "/>
    <s v=" 38.0853 "/>
    <x v="0"/>
    <n v="280086"/>
    <m/>
    <m/>
    <m/>
  </r>
  <r>
    <x v="6"/>
    <x v="2"/>
    <s v="C:\Users\andre\Desktop\REACTIV CEFAS\Dutasteride\Dutasteride/20201202_Cefas_Test8_Run2/Plate 1/@2/C2_01.tif "/>
    <s v=" 27707.895 "/>
    <s v=" 34.2045 "/>
    <x v="0"/>
    <n v="947735"/>
    <m/>
    <m/>
    <m/>
  </r>
  <r>
    <x v="6"/>
    <x v="2"/>
    <s v="C:\Users\andre\Desktop\REACTIV CEFAS\Dutasteride\Dutasteride/20201202_Cefas_Test8_Run2/Plate 1/@2/C2_02.tif "/>
    <s v=" 17758.1435 "/>
    <s v=" 33.7942 "/>
    <x v="0"/>
    <n v="600121"/>
    <m/>
    <m/>
    <m/>
  </r>
  <r>
    <x v="6"/>
    <x v="2"/>
    <s v="C:\Users\andre\Desktop\REACTIV CEFAS\Dutasteride\Dutasteride/20201202_Cefas_Test8_Run2/Plate 1/@2/C2_03.tif "/>
    <s v=" 20937.738 "/>
    <s v=" 34.3089 "/>
    <x v="0"/>
    <n v="718350"/>
    <m/>
    <m/>
    <m/>
  </r>
  <r>
    <x v="6"/>
    <x v="3"/>
    <s v="C:\Users\andre\Desktop\REACTIV CEFAS\Dutasteride\Dutasteride/20201202_Cefas_Test8_Run2/Plate 1/@2/D2_01.tif "/>
    <s v=" 865.1958 "/>
    <s v=" 31.95 "/>
    <x v="0"/>
    <n v="27643"/>
    <m/>
    <m/>
    <m/>
  </r>
  <r>
    <x v="6"/>
    <x v="3"/>
    <s v="C:\Users\andre\Desktop\REACTIV CEFAS\Dutasteride\Dutasteride/20201202_Cefas_Test8_Run2/Plate 1/@2/D2_02.tif "/>
    <s v=" 4715.317 "/>
    <s v=" 34.6835 "/>
    <x v="0"/>
    <n v="163544"/>
    <m/>
    <m/>
    <m/>
  </r>
  <r>
    <x v="6"/>
    <x v="3"/>
    <s v="C:\Users\andre\Desktop\REACTIV CEFAS\Dutasteride\Dutasteride/20201202_Cefas_Test8_Run2/Plate 1/@2/D2_03.tif "/>
    <s v=" 1319.4236 "/>
    <s v=" 32.4918 "/>
    <x v="0"/>
    <n v="42870"/>
    <m/>
    <m/>
    <m/>
  </r>
  <r>
    <x v="6"/>
    <x v="4"/>
    <s v="C:\Users\andre\Desktop\REACTIV CEFAS\Dutasteride\Dutasteride/20201202_Cefas_Test8_Run2/Plate 1/@2/E2_01.tif "/>
    <s v=" 4023.1604 "/>
    <s v=" 34.6344 "/>
    <x v="0"/>
    <n v="139340"/>
    <m/>
    <m/>
    <m/>
  </r>
  <r>
    <x v="6"/>
    <x v="4"/>
    <s v="C:\Users\andre\Desktop\REACTIV CEFAS\Dutasteride\Dutasteride/20201202_Cefas_Test8_Run2/Plate 1/@2/E2_02.tif "/>
    <s v=" 3049.8151 "/>
    <s v=" 36.305 "/>
    <x v="0"/>
    <n v="110723"/>
    <m/>
    <m/>
    <m/>
  </r>
  <r>
    <x v="6"/>
    <x v="4"/>
    <s v="C:\Users\andre\Desktop\REACTIV CEFAS\Dutasteride\Dutasteride/20201202_Cefas_Test8_Run2/Plate 1/@2/E2_03.tif "/>
    <s v=" 2876.776 "/>
    <s v=" 35.7293 "/>
    <x v="0"/>
    <n v="102785"/>
    <m/>
    <m/>
    <m/>
  </r>
  <r>
    <x v="6"/>
    <x v="5"/>
    <s v="C:\Users\andre\Desktop\REACTIV CEFAS\Dutasteride\Dutasteride/20201202_Cefas_Test8_Run2/Plate 1/@2/F2_01.tif "/>
    <s v=" 2876.776 "/>
    <s v=" 33.3308 "/>
    <x v="0"/>
    <n v="95885"/>
    <m/>
    <m/>
    <m/>
  </r>
  <r>
    <x v="6"/>
    <x v="5"/>
    <s v="C:\Users\andre\Desktop\REACTIV CEFAS\Dutasteride\Dutasteride/20201202_Cefas_Test8_Run2/Plate 1/@2/F2_02.tif "/>
    <s v=" 3222.8543 "/>
    <s v=" 32.9195 "/>
    <x v="0"/>
    <n v="106095"/>
    <m/>
    <m/>
    <m/>
  </r>
  <r>
    <x v="6"/>
    <x v="5"/>
    <s v="C:\Users\andre\Desktop\REACTIV CEFAS\Dutasteride\Dutasteride/20201202_Cefas_Test8_Run2/Plate 1/@2/F2_03.tif "/>
    <s v=" 1470.8328 "/>
    <s v=" 32.7353 "/>
    <x v="0"/>
    <n v="48148"/>
    <m/>
    <m/>
    <m/>
  </r>
  <r>
    <x v="6"/>
    <x v="6"/>
    <s v="C:\Users\andre\Desktop\REACTIV CEFAS\Dutasteride\Dutasteride/20201202_Cefas_Test8_Run2/Plate 1/@2/G2_01.tif "/>
    <s v=" 7289.2745 "/>
    <s v=" 38.9525 "/>
    <x v="0"/>
    <n v="283936"/>
    <m/>
    <m/>
    <m/>
  </r>
  <r>
    <x v="6"/>
    <x v="6"/>
    <s v="C:\Users\andre\Desktop\REACTIV CEFAS\Dutasteride\Dutasteride/20201202_Cefas_Test8_Run2/Plate 1/@2/G2_02.tif "/>
    <s v=" 5775.1819 "/>
    <s v=" 34.8165 "/>
    <x v="0"/>
    <n v="201072"/>
    <m/>
    <m/>
    <m/>
  </r>
  <r>
    <x v="6"/>
    <x v="6"/>
    <s v="C:\Users\andre\Desktop\REACTIV CEFAS\Dutasteride\Dutasteride/20201202_Cefas_Test8_Run2/Plate 1/@2/G2_03.tif "/>
    <s v=" 2746.9966 "/>
    <s v=" 34.7087 "/>
    <x v="0"/>
    <n v="95345"/>
    <m/>
    <m/>
    <m/>
  </r>
  <r>
    <x v="6"/>
    <x v="7"/>
    <s v="C:\Users\andre\Desktop\REACTIV CEFAS\Dutasteride\Dutasteride/20201202_Cefas_Test8_Run2/Plate 1/@2/H2_01.tif "/>
    <s v=" 5234.4345 "/>
    <s v=" 37.4463 "/>
    <x v="0"/>
    <n v="196010"/>
    <m/>
    <m/>
    <m/>
  </r>
  <r>
    <x v="6"/>
    <x v="7"/>
    <s v="C:\Users\andre\Desktop\REACTIV CEFAS\Dutasteride\Dutasteride/20201202_Cefas_Test8_Run2/Plate 1/@2/H2_02.tif "/>
    <s v=" 3287.744 "/>
    <s v=" 37.9276 "/>
    <x v="0"/>
    <n v="124696"/>
    <m/>
    <m/>
    <m/>
  </r>
  <r>
    <x v="6"/>
    <x v="7"/>
    <s v="C:\Users\andre\Desktop\REACTIV CEFAS\Dutasteride\Dutasteride/20201202_Cefas_Test8_Run2/Plate 1/@2/H2_03.tif "/>
    <s v=" 1254.5339 "/>
    <s v=" 31.9655 "/>
    <x v="0"/>
    <n v="40102"/>
    <m/>
    <m/>
    <m/>
  </r>
  <r>
    <x v="1"/>
    <x v="8"/>
    <s v=" "/>
    <m/>
    <m/>
    <x v="1"/>
    <m/>
    <m/>
    <m/>
    <m/>
  </r>
  <r>
    <x v="1"/>
    <x v="8"/>
    <s v="group "/>
    <s v=" "/>
    <s v=" mean of mean fluo "/>
    <x v="2"/>
    <s v=" mean of total fluo "/>
    <s v=" SD total fluo "/>
    <s v=" n fluorescent "/>
    <s v=" n total"/>
  </r>
  <r>
    <x v="6"/>
    <x v="9"/>
    <s v="C:\Users\andre\Desktop\REACTIV CEFAS\Dutasteride\Dutasteride/20201202_Cefas_Test8_Run2/Plate 1/@2/ "/>
    <s v=" "/>
    <s v=" 34.4393 "/>
    <x v="8"/>
    <s v=" 196056.958 "/>
    <s v=" 232984.33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Dutasteride\Dutasteride/20201202_Cefas_Test8_Run2/Plate 1/@3/A3_01- exclu.tif"/>
    <m/>
    <m/>
    <x v="1"/>
    <m/>
    <m/>
    <m/>
    <m/>
  </r>
  <r>
    <x v="7"/>
    <x v="0"/>
    <s v="C:\Users\andre\Desktop\REACTIV CEFAS\Dutasteride\Dutasteride/20201202_Cefas_Test8_Run2/Plate 1/@3/A3_02- exclu.tif"/>
    <m/>
    <m/>
    <x v="1"/>
    <m/>
    <m/>
    <m/>
    <m/>
  </r>
  <r>
    <x v="7"/>
    <x v="0"/>
    <s v="C:\Users\andre\Desktop\REACTIV CEFAS\Dutasteride\Dutasteride/20201202_Cefas_Test8_Run2/Plate 1/@3/A3_03- exclu.tif"/>
    <m/>
    <m/>
    <x v="1"/>
    <m/>
    <m/>
    <m/>
    <m/>
  </r>
  <r>
    <x v="7"/>
    <x v="1"/>
    <s v="C:\Users\andre\Desktop\REACTIV CEFAS\Dutasteride\Dutasteride/20201202_Cefas_Test8_Run2/Plate 1/@3/B3_01.tif "/>
    <s v=" 1427.573 "/>
    <s v=" 33.0303 "/>
    <x v="0"/>
    <n v="47153"/>
    <m/>
    <m/>
    <m/>
  </r>
  <r>
    <x v="7"/>
    <x v="1"/>
    <s v="C:\Users\andre\Desktop\REACTIV CEFAS\Dutasteride\Dutasteride/20201202_Cefas_Test8_Run2/Plate 1/@3/B3_02.tif "/>
    <s v=" 2746.9966 "/>
    <s v=" 33.5354 "/>
    <x v="0"/>
    <n v="92122"/>
    <m/>
    <m/>
    <m/>
  </r>
  <r>
    <x v="7"/>
    <x v="1"/>
    <s v="C:\Users\andre\Desktop\REACTIV CEFAS\Dutasteride\Dutasteride/20201202_Cefas_Test8_Run2/Plate 1/@3/B3_03.tif "/>
    <s v=" 4066.4202 "/>
    <s v=" 36.1915 "/>
    <x v="0"/>
    <n v="147170"/>
    <m/>
    <m/>
    <m/>
  </r>
  <r>
    <x v="7"/>
    <x v="2"/>
    <s v="C:\Users\andre\Desktop\REACTIV CEFAS\Dutasteride\Dutasteride/20201202_Cefas_Test8_Run2/Plate 1/@3/C3_01.tif "/>
    <s v=" 1384.3133 "/>
    <s v=" 33.3125 "/>
    <x v="0"/>
    <n v="46115"/>
    <m/>
    <m/>
    <m/>
  </r>
  <r>
    <x v="7"/>
    <x v="2"/>
    <s v="C:\Users\andre\Desktop\REACTIV CEFAS\Dutasteride\Dutasteride/20201202_Cefas_Test8_Run2/Plate 1/@3/C3_02.tif "/>
    <n v="0"/>
    <n v="0"/>
    <x v="0"/>
    <n v="0"/>
    <m/>
    <m/>
    <m/>
  </r>
  <r>
    <x v="7"/>
    <x v="2"/>
    <s v="C:\Users\andre\Desktop\REACTIV CEFAS\Dutasteride\Dutasteride/20201202_Cefas_Test8_Run2/Plate 1/@3/C3_03.tif "/>
    <s v=" 4217.8295 "/>
    <s v=" 36.5077 "/>
    <x v="0"/>
    <n v="153983"/>
    <m/>
    <m/>
    <m/>
  </r>
  <r>
    <x v="7"/>
    <x v="3"/>
    <s v="C:\Users\andre\Desktop\REACTIV CEFAS\Dutasteride\Dutasteride/20201202_Cefas_Test8_Run2/Plate 1/@3/D3_01.tif "/>
    <s v=" 7246.0147 "/>
    <s v=" 32.9403 "/>
    <x v="0"/>
    <n v="238686"/>
    <m/>
    <m/>
    <m/>
  </r>
  <r>
    <x v="7"/>
    <x v="3"/>
    <s v="C:\Users\andre\Desktop\REACTIV CEFAS\Dutasteride\Dutasteride/20201202_Cefas_Test8_Run2/Plate 1/@3/D3_02.tif "/>
    <s v=" 15249.0757 "/>
    <s v=" 32.0241 "/>
    <x v="0"/>
    <n v="488338"/>
    <m/>
    <m/>
    <m/>
  </r>
  <r>
    <x v="7"/>
    <x v="3"/>
    <s v="C:\Users\andre\Desktop\REACTIV CEFAS\Dutasteride\Dutasteride/20201202_Cefas_Test8_Run2/Plate 1/@3/D3_03.tif "/>
    <s v=" 11420.5844 "/>
    <s v=" 34.8693 "/>
    <x v="0"/>
    <n v="398228"/>
    <m/>
    <m/>
    <m/>
  </r>
  <r>
    <x v="7"/>
    <x v="4"/>
    <s v="C:\Users\andre\Desktop\REACTIV CEFAS\Dutasteride\Dutasteride/20201202_Cefas_Test8_Run2/Plate 1/@3/E3_01- exclu.tif"/>
    <m/>
    <m/>
    <x v="1"/>
    <m/>
    <m/>
    <m/>
    <m/>
  </r>
  <r>
    <x v="7"/>
    <x v="4"/>
    <s v="C:\Users\andre\Desktop\REACTIV CEFAS\Dutasteride\Dutasteride/20201202_Cefas_Test8_Run2/Plate 1/@3/E3_02- exclu.tif"/>
    <m/>
    <m/>
    <x v="1"/>
    <m/>
    <m/>
    <m/>
    <m/>
  </r>
  <r>
    <x v="7"/>
    <x v="4"/>
    <s v="C:\Users\andre\Desktop\REACTIV CEFAS\Dutasteride\Dutasteride/20201202_Cefas_Test8_Run2/Plate 1/@3/E3_03- exclu.tif"/>
    <m/>
    <m/>
    <x v="1"/>
    <m/>
    <m/>
    <m/>
    <m/>
  </r>
  <r>
    <x v="7"/>
    <x v="5"/>
    <s v="C:\Users\andre\Desktop\REACTIV CEFAS\Dutasteride\Dutasteride/20201202_Cefas_Test8_Run2/Plate 1/@3/F3_01.tif "/>
    <s v=" 951.7154 "/>
    <s v=" 31.8864 "/>
    <x v="0"/>
    <n v="30347"/>
    <m/>
    <m/>
    <m/>
  </r>
  <r>
    <x v="7"/>
    <x v="5"/>
    <s v="C:\Users\andre\Desktop\REACTIV CEFAS\Dutasteride\Dutasteride/20201202_Cefas_Test8_Run2/Plate 1/@3/F3_02.tif "/>
    <s v=" 194.6691 "/>
    <n v="31"/>
    <x v="0"/>
    <n v="6035"/>
    <m/>
    <m/>
    <m/>
  </r>
  <r>
    <x v="7"/>
    <x v="5"/>
    <s v="C:\Users\andre\Desktop\REACTIV CEFAS\Dutasteride\Dutasteride/20201202_Cefas_Test8_Run2/Plate 1/@3/F3_03.tif "/>
    <s v=" 886.8257 "/>
    <s v=" 31.4146 "/>
    <x v="0"/>
    <n v="27859"/>
    <m/>
    <m/>
    <m/>
  </r>
  <r>
    <x v="7"/>
    <x v="6"/>
    <s v="C:\Users\andre\Desktop\REACTIV CEFAS\Dutasteride\Dutasteride/20201202_Cefas_Test8_Run2/Plate 1/@3/G3_01.tif "/>
    <n v="0"/>
    <n v="0"/>
    <x v="0"/>
    <n v="0"/>
    <m/>
    <m/>
    <m/>
  </r>
  <r>
    <x v="7"/>
    <x v="6"/>
    <s v="C:\Users\andre\Desktop\REACTIV CEFAS\Dutasteride\Dutasteride/20201202_Cefas_Test8_Run2/Plate 1/@3/G3_02.tif "/>
    <s v=" 10036.2711 "/>
    <s v=" 39.6379 "/>
    <x v="0"/>
    <n v="397817"/>
    <m/>
    <m/>
    <m/>
  </r>
  <r>
    <x v="7"/>
    <x v="6"/>
    <s v="C:\Users\andre\Desktop\REACTIV CEFAS\Dutasteride\Dutasteride/20201202_Cefas_Test8_Run2/Plate 1/@3/G3_03- exclu.tif"/>
    <m/>
    <m/>
    <x v="1"/>
    <m/>
    <m/>
    <m/>
    <m/>
  </r>
  <r>
    <x v="7"/>
    <x v="7"/>
    <s v="C:\Users\andre\Desktop\REACTIV CEFAS\Dutasteride\Dutasteride/20201202_Cefas_Test8_Run2/Plate 1/@3/H3_01.tif "/>
    <s v=" 2638.8471 "/>
    <s v=" 31.1967 "/>
    <x v="0"/>
    <n v="82323"/>
    <m/>
    <m/>
    <m/>
  </r>
  <r>
    <x v="7"/>
    <x v="7"/>
    <s v="C:\Users\andre\Desktop\REACTIV CEFAS\Dutasteride\Dutasteride/20201202_Cefas_Test8_Run2/Plate 1/@3/H3_02- exclu.tif"/>
    <m/>
    <m/>
    <x v="1"/>
    <m/>
    <m/>
    <m/>
    <m/>
  </r>
  <r>
    <x v="7"/>
    <x v="7"/>
    <s v="C:\Users\andre\Desktop\REACTIV CEFAS\Dutasteride\Dutasteride/20201202_Cefas_Test8_Run2/Plate 1/@3/H3_03.tif "/>
    <s v=" 605.637 "/>
    <s v=" 31.4643 "/>
    <x v="0"/>
    <n v="19056"/>
    <m/>
    <m/>
    <m/>
  </r>
  <r>
    <x v="1"/>
    <x v="8"/>
    <s v=" "/>
    <m/>
    <m/>
    <x v="1"/>
    <m/>
    <m/>
    <m/>
    <m/>
  </r>
  <r>
    <x v="1"/>
    <x v="8"/>
    <s v="group "/>
    <s v=" "/>
    <s v=" mean of mean fluo "/>
    <x v="2"/>
    <s v=" mean of total fluo "/>
    <s v=" SD total fluo "/>
    <s v=" n fluorescent "/>
    <s v=" n total"/>
  </r>
  <r>
    <x v="7"/>
    <x v="9"/>
    <s v="C:\Users\andre\Desktop\REACTIV CEFAS\Dutasteride\Dutasteride/20201202_Cefas_Test8_Run2/Plate 1/@3/ "/>
    <s v=" "/>
    <s v=" 27.0137 "/>
    <x v="9"/>
    <s v=" 167286.5 "/>
    <s v=" 194947.832 "/>
    <n v="18"/>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Dutasteride\Dutasteride/20201202_Cefas_Test8_Run2/Plate 1/@4/A4_01.tif "/>
    <s v=" 11074.506 "/>
    <s v=" 38.916 "/>
    <x v="0"/>
    <n v="430976"/>
    <m/>
    <m/>
    <m/>
  </r>
  <r>
    <x v="8"/>
    <x v="0"/>
    <s v="C:\Users\andre\Desktop\REACTIV CEFAS\Dutasteride\Dutasteride/20201202_Cefas_Test8_Run2/Plate 1/@4/A4_02.tif "/>
    <s v=" 4066.4202 "/>
    <s v=" 32.2713 "/>
    <x v="0"/>
    <n v="131229"/>
    <m/>
    <m/>
    <m/>
  </r>
  <r>
    <x v="8"/>
    <x v="0"/>
    <s v="C:\Users\andre\Desktop\REACTIV CEFAS\Dutasteride\Dutasteride/20201202_Cefas_Test8_Run2/Plate 1/@4/A4_03.tif "/>
    <s v=" 7354.1642 "/>
    <s v=" 36.8706 "/>
    <x v="0"/>
    <n v="271152"/>
    <m/>
    <m/>
    <m/>
  </r>
  <r>
    <x v="8"/>
    <x v="1"/>
    <s v="C:\Users\andre\Desktop\REACTIV CEFAS\Dutasteride\Dutasteride/20201202_Cefas_Test8_Run2/Plate 1/@4/B4_01.tif "/>
    <s v=" 64089.3778 "/>
    <s v=" 38.5251 "/>
    <x v="0"/>
    <n v="2469052"/>
    <m/>
    <m/>
    <m/>
  </r>
  <r>
    <x v="8"/>
    <x v="1"/>
    <s v="C:\Users\andre\Desktop\REACTIV CEFAS\Dutasteride\Dutasteride/20201202_Cefas_Test8_Run2/Plate 1/@4/B4_02- exclu.tif"/>
    <m/>
    <m/>
    <x v="1"/>
    <m/>
    <m/>
    <m/>
    <m/>
  </r>
  <r>
    <x v="8"/>
    <x v="1"/>
    <s v="C:\Users\andre\Desktop\REACTIV CEFAS\Dutasteride\Dutasteride/20201202_Cefas_Test8_Run2/Plate 1/@4/B4_03.tif "/>
    <s v=" 50051.5762 "/>
    <s v=" 36.7334 "/>
    <x v="0"/>
    <n v="1838563"/>
    <m/>
    <m/>
    <m/>
  </r>
  <r>
    <x v="8"/>
    <x v="2"/>
    <s v="C:\Users\andre\Desktop\REACTIV CEFAS\Dutasteride\Dutasteride/20201202_Cefas_Test8_Run2/Plate 1/@4/C4_01.tif "/>
    <s v=" 37852.3156 "/>
    <s v=" 34.012 "/>
    <x v="0"/>
    <n v="1287433"/>
    <m/>
    <m/>
    <m/>
  </r>
  <r>
    <x v="8"/>
    <x v="2"/>
    <s v="C:\Users\andre\Desktop\REACTIV CEFAS\Dutasteride\Dutasteride/20201202_Cefas_Test8_Run2/Plate 1/@4/C4_02.tif "/>
    <s v=" 54053.1067 "/>
    <s v=" 37.1072 "/>
    <x v="0"/>
    <n v="2005762"/>
    <m/>
    <m/>
    <m/>
  </r>
  <r>
    <x v="8"/>
    <x v="2"/>
    <s v="C:\Users\andre\Desktop\REACTIV CEFAS\Dutasteride\Dutasteride/20201202_Cefas_Test8_Run2/Plate 1/@4/C4_03.tif "/>
    <s v=" 44514.3231 "/>
    <s v=" 35.3134 "/>
    <x v="0"/>
    <n v="1571953"/>
    <m/>
    <m/>
    <m/>
  </r>
  <r>
    <x v="8"/>
    <x v="3"/>
    <s v="C:\Users\andre\Desktop\REACTIV CEFAS\Dutasteride\Dutasteride/20201202_Cefas_Test8_Run2/Plate 1/@4/D4_01.tif "/>
    <s v=" 43173.2697 "/>
    <s v=" 39.3086 "/>
    <x v="0"/>
    <n v="1697082"/>
    <m/>
    <m/>
    <m/>
  </r>
  <r>
    <x v="8"/>
    <x v="3"/>
    <s v="C:\Users\andre\Desktop\REACTIV CEFAS\Dutasteride\Dutasteride/20201202_Cefas_Test8_Run2/Plate 1/@4/D4_02.tif "/>
    <s v=" 36554.5219 "/>
    <s v=" 35.8373 "/>
    <x v="0"/>
    <n v="1310015"/>
    <m/>
    <m/>
    <m/>
  </r>
  <r>
    <x v="8"/>
    <x v="3"/>
    <s v="C:\Users\andre\Desktop\REACTIV CEFAS\Dutasteride\Dutasteride/20201202_Cefas_Test8_Run2/Plate 1/@4/D4_03.tif "/>
    <s v=" 31904.0946 "/>
    <s v=" 34.8563 "/>
    <x v="0"/>
    <n v="1112058"/>
    <m/>
    <m/>
    <m/>
  </r>
  <r>
    <x v="8"/>
    <x v="4"/>
    <s v="C:\Users\andre\Desktop\REACTIV CEFAS\Dutasteride\Dutasteride/20201202_Cefas_Test8_Run2/Plate 1/@4/E4_01- exclu.tif"/>
    <m/>
    <m/>
    <x v="1"/>
    <m/>
    <m/>
    <m/>
    <m/>
  </r>
  <r>
    <x v="8"/>
    <x v="4"/>
    <s v="C:\Users\andre\Desktop\REACTIV CEFAS\Dutasteride\Dutasteride/20201202_Cefas_Test8_Run2/Plate 1/@4/E4_02- exclu.tif"/>
    <m/>
    <m/>
    <x v="1"/>
    <m/>
    <m/>
    <m/>
    <m/>
  </r>
  <r>
    <x v="8"/>
    <x v="4"/>
    <s v="C:\Users\andre\Desktop\REACTIV CEFAS\Dutasteride\Dutasteride/20201202_Cefas_Test8_Run2/Plate 1/@4/E4_03- exclu.tif"/>
    <m/>
    <m/>
    <x v="1"/>
    <m/>
    <m/>
    <m/>
    <m/>
  </r>
  <r>
    <x v="8"/>
    <x v="5"/>
    <s v="C:\Users\andre\Desktop\REACTIV CEFAS\Dutasteride\Dutasteride/20201202_Cefas_Test8_Run2/Plate 1/@4/F4_01.tif "/>
    <s v=" 50808.6225 "/>
    <s v=" 35.5539 "/>
    <x v="0"/>
    <n v="1806442"/>
    <m/>
    <m/>
    <m/>
  </r>
  <r>
    <x v="8"/>
    <x v="5"/>
    <s v="C:\Users\andre\Desktop\REACTIV CEFAS\Dutasteride\Dutasteride/20201202_Cefas_Test8_Run2/Plate 1/@4/F4_02.tif "/>
    <s v=" 48861.932 "/>
    <s v=" 35.7242 "/>
    <x v="0"/>
    <n v="1745554"/>
    <m/>
    <m/>
    <m/>
  </r>
  <r>
    <x v="8"/>
    <x v="5"/>
    <s v="C:\Users\andre\Desktop\REACTIV CEFAS\Dutasteride\Dutasteride/20201202_Cefas_Test8_Run2/Plate 1/@4/F4_03.tif "/>
    <s v=" 46958.5012 "/>
    <s v=" 34.8669 "/>
    <x v="0"/>
    <n v="1637297"/>
    <m/>
    <m/>
    <m/>
  </r>
  <r>
    <x v="8"/>
    <x v="6"/>
    <s v="C:\Users\andre\Desktop\REACTIV CEFAS\Dutasteride\Dutasteride/20201202_Cefas_Test8_Run2/Plate 1/@4/G4_01.tif "/>
    <s v=" 10317.4597 "/>
    <s v=" 34.2872 "/>
    <x v="0"/>
    <n v="353757"/>
    <m/>
    <m/>
    <m/>
  </r>
  <r>
    <x v="8"/>
    <x v="6"/>
    <s v="C:\Users\andre\Desktop\REACTIV CEFAS\Dutasteride\Dutasteride/20201202_Cefas_Test8_Run2/Plate 1/@4/G4_02.tif "/>
    <s v=" 17001.0972 "/>
    <s v=" 35.6018 "/>
    <x v="0"/>
    <n v="605269"/>
    <m/>
    <m/>
    <m/>
  </r>
  <r>
    <x v="8"/>
    <x v="6"/>
    <s v="C:\Users\andre\Desktop\REACTIV CEFAS\Dutasteride\Dutasteride/20201202_Cefas_Test8_Run2/Plate 1/@4/G4_03.tif "/>
    <s v=" 14556.9191 "/>
    <s v=" 35.2288 "/>
    <x v="0"/>
    <n v="512823"/>
    <m/>
    <m/>
    <m/>
  </r>
  <r>
    <x v="8"/>
    <x v="7"/>
    <s v="C:\Users\andre\Desktop\REACTIV CEFAS\Dutasteride\Dutasteride/20201202_Cefas_Test8_Run2/Plate 1/@4/H4_01- exclu.tif"/>
    <m/>
    <m/>
    <x v="1"/>
    <m/>
    <m/>
    <m/>
    <m/>
  </r>
  <r>
    <x v="8"/>
    <x v="7"/>
    <s v="C:\Users\andre\Desktop\REACTIV CEFAS\Dutasteride\Dutasteride/20201202_Cefas_Test8_Run2/Plate 1/@4/H4_02- exclu.tif"/>
    <m/>
    <m/>
    <x v="1"/>
    <m/>
    <m/>
    <m/>
    <m/>
  </r>
  <r>
    <x v="8"/>
    <x v="7"/>
    <s v="C:\Users\andre\Desktop\REACTIV CEFAS\Dutasteride\Dutasteride/20201202_Cefas_Test8_Run2/Plate 1/@4/H4_03- exclu.tif"/>
    <m/>
    <m/>
    <x v="1"/>
    <m/>
    <m/>
    <m/>
    <m/>
  </r>
  <r>
    <x v="1"/>
    <x v="8"/>
    <s v=" "/>
    <m/>
    <m/>
    <x v="1"/>
    <m/>
    <m/>
    <m/>
    <m/>
  </r>
  <r>
    <x v="1"/>
    <x v="8"/>
    <s v="group "/>
    <s v=" "/>
    <s v=" mean of mean fluo "/>
    <x v="2"/>
    <s v=" mean of total fluo "/>
    <s v=" SD total fluo "/>
    <s v=" n fluorescent "/>
    <s v=" n total"/>
  </r>
  <r>
    <x v="8"/>
    <x v="9"/>
    <s v="C:\Users\andre\Desktop\REACTIV CEFAS\Dutasteride\Dutasteride/20201202_Cefas_Test8_Run2/Plate 1/@4/ "/>
    <s v=" "/>
    <s v=" 31.0104 "/>
    <x v="10"/>
    <s v=" 934927.083 "/>
    <s v=" 807607.877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Dutasteride\Dutasteride/20201202_Cefas_Test8_Run2/Plate 1/@5/A5_01.tif "/>
    <s v=" 39561.0773 "/>
    <s v=" 36.9371 "/>
    <x v="0"/>
    <n v="1461272"/>
    <m/>
    <m/>
    <m/>
  </r>
  <r>
    <x v="9"/>
    <x v="0"/>
    <s v="C:\Users\andre\Desktop\REACTIV CEFAS\Dutasteride\Dutasteride/20201202_Cefas_Test8_Run2/Plate 1/@5/A5_02.tif "/>
    <s v=" 42264.8141 "/>
    <s v=" 37.0942 "/>
    <x v="0"/>
    <n v="1567778"/>
    <m/>
    <m/>
    <m/>
  </r>
  <r>
    <x v="9"/>
    <x v="0"/>
    <s v="C:\Users\andre\Desktop\REACTIV CEFAS\Dutasteride\Dutasteride/20201202_Cefas_Test8_Run2/Plate 1/@5/A5_03.tif "/>
    <s v=" 34456.4221 "/>
    <s v=" 34.5016 "/>
    <x v="0"/>
    <n v="1188801"/>
    <m/>
    <m/>
    <m/>
  </r>
  <r>
    <x v="9"/>
    <x v="1"/>
    <s v="C:\Users\andre\Desktop\REACTIV CEFAS\Dutasteride\Dutasteride/20201202_Cefas_Test8_Run2/Plate 1/@5/B5_01.tif "/>
    <s v=" 61558.6801 "/>
    <s v=" 40.4874 "/>
    <x v="0"/>
    <n v="2492348"/>
    <m/>
    <m/>
    <m/>
  </r>
  <r>
    <x v="9"/>
    <x v="1"/>
    <s v="C:\Users\andre\Desktop\REACTIV CEFAS\Dutasteride\Dutasteride/20201202_Cefas_Test8_Run2/Plate 1/@5/B5_02.tif "/>
    <s v=" 63094.4026 "/>
    <s v=" 40.2873 "/>
    <x v="0"/>
    <n v="2541902"/>
    <m/>
    <m/>
    <m/>
  </r>
  <r>
    <x v="9"/>
    <x v="1"/>
    <s v="C:\Users\andre\Desktop\REACTIV CEFAS\Dutasteride\Dutasteride/20201202_Cefas_Test8_Run2/Plate 1/@5/B5_03.tif "/>
    <s v=" 49575.7185 "/>
    <s v=" 37.6976 "/>
    <x v="0"/>
    <n v="1868888"/>
    <m/>
    <m/>
    <m/>
  </r>
  <r>
    <x v="9"/>
    <x v="2"/>
    <s v="C:\Users\andre\Desktop\REACTIV CEFAS\Dutasteride\Dutasteride/20201202_Cefas_Test8_Run2/Plate 1/@5/C5_01.tif "/>
    <s v=" 44773.8819 "/>
    <s v=" 40.5493 "/>
    <x v="0"/>
    <n v="1815548"/>
    <m/>
    <m/>
    <m/>
  </r>
  <r>
    <x v="9"/>
    <x v="2"/>
    <s v="C:\Users\andre\Desktop\REACTIV CEFAS\Dutasteride\Dutasteride/20201202_Cefas_Test8_Run2/Plate 1/@5/C5_02.tif "/>
    <s v=" 45422.7787 "/>
    <s v=" 38.7295 "/>
    <x v="0"/>
    <n v="1759203"/>
    <m/>
    <m/>
    <m/>
  </r>
  <r>
    <x v="9"/>
    <x v="2"/>
    <s v="C:\Users\andre\Desktop\REACTIV CEFAS\Dutasteride\Dutasteride/20201202_Cefas_Test8_Run2/Plate 1/@5/C5_03.tif "/>
    <s v=" 47304.5796 "/>
    <s v=" 40.7124 "/>
    <x v="0"/>
    <n v="1925883"/>
    <m/>
    <m/>
    <m/>
  </r>
  <r>
    <x v="9"/>
    <x v="3"/>
    <s v="C:\Users\andre\Desktop\REACTIV CEFAS\Dutasteride\Dutasteride/20201202_Cefas_Test8_Run2/Plate 1/@5/D5_01.tif "/>
    <s v=" 51544.0389 "/>
    <s v=" 39.7499 "/>
    <x v="0"/>
    <n v="2048870"/>
    <m/>
    <m/>
    <m/>
  </r>
  <r>
    <x v="9"/>
    <x v="3"/>
    <s v="C:\Users\andre\Desktop\REACTIV CEFAS\Dutasteride\Dutasteride/20201202_Cefas_Test8_Run2/Plate 1/@5/D5_02.tif "/>
    <s v=" 50570.6936 "/>
    <s v=" 39.2258 "/>
    <x v="0"/>
    <n v="1983678"/>
    <m/>
    <m/>
    <m/>
  </r>
  <r>
    <x v="9"/>
    <x v="3"/>
    <s v="C:\Users\andre\Desktop\REACTIV CEFAS\Dutasteride\Dutasteride/20201202_Cefas_Test8_Run2/Plate 1/@5/D5_03.tif "/>
    <s v=" 47542.5084 "/>
    <s v=" 37.0273 "/>
    <x v="0"/>
    <n v="1760371"/>
    <m/>
    <m/>
    <m/>
  </r>
  <r>
    <x v="9"/>
    <x v="4"/>
    <s v="C:\Users\andre\Desktop\REACTIV CEFAS\Dutasteride\Dutasteride/20201202_Cefas_Test8_Run2/Plate 1/@5/E5_01.tif "/>
    <s v=" 44644.1025 "/>
    <s v=" 41.6928 "/>
    <x v="0"/>
    <n v="1861339"/>
    <m/>
    <m/>
    <m/>
  </r>
  <r>
    <x v="9"/>
    <x v="4"/>
    <s v="C:\Users\andre\Desktop\REACTIV CEFAS\Dutasteride\Dutasteride/20201202_Cefas_Test8_Run2/Plate 1/@5/E5_02.tif "/>
    <s v=" 42567.6326 "/>
    <s v=" 39.5767 "/>
    <x v="0"/>
    <n v="1684688"/>
    <m/>
    <m/>
    <m/>
  </r>
  <r>
    <x v="9"/>
    <x v="4"/>
    <s v="C:\Users\andre\Desktop\REACTIV CEFAS\Dutasteride\Dutasteride/20201202_Cefas_Test8_Run2/Plate 1/@5/E5_03.tif "/>
    <s v=" 38522.8423 "/>
    <s v=" 39.0898 "/>
    <x v="0"/>
    <n v="1505852"/>
    <m/>
    <m/>
    <m/>
  </r>
  <r>
    <x v="9"/>
    <x v="5"/>
    <s v="C:\Users\andre\Desktop\REACTIV CEFAS\Dutasteride\Dutasteride/20201202_Cefas_Test8_Run2/Plate 1/@5/F5_01.tif "/>
    <s v=" 63397.2212 "/>
    <s v=" 40.4674 "/>
    <x v="0"/>
    <n v="2565522"/>
    <m/>
    <m/>
    <m/>
  </r>
  <r>
    <x v="9"/>
    <x v="5"/>
    <s v="C:\Users\andre\Desktop\REACTIV CEFAS\Dutasteride\Dutasteride/20201202_Cefas_Test8_Run2/Plate 1/@5/F5_02.tif "/>
    <s v=" 48299.5547 "/>
    <s v=" 38.1026 "/>
    <x v="0"/>
    <n v="1840336"/>
    <m/>
    <m/>
    <m/>
  </r>
  <r>
    <x v="9"/>
    <x v="5"/>
    <s v="C:\Users\andre\Desktop\REACTIV CEFAS\Dutasteride\Dutasteride/20201202_Cefas_Test8_Run2/Plate 1/@5/F5_03.tif "/>
    <s v=" 56043.057 "/>
    <s v=" 40.6538 "/>
    <x v="0"/>
    <n v="2278363"/>
    <m/>
    <m/>
    <m/>
  </r>
  <r>
    <x v="9"/>
    <x v="6"/>
    <s v="C:\Users\andre\Desktop\REACTIV CEFAS\Dutasteride\Dutasteride/20201202_Cefas_Test8_Run2/Plate 1/@5/G5_01.tif "/>
    <s v=" 54312.6654 "/>
    <s v=" 38.233 "/>
    <x v="0"/>
    <n v="2076535"/>
    <m/>
    <m/>
    <m/>
  </r>
  <r>
    <x v="9"/>
    <x v="6"/>
    <s v="C:\Users\andre\Desktop\REACTIV CEFAS\Dutasteride\Dutasteride/20201202_Cefas_Test8_Run2/Plate 1/@5/G5_02.tif "/>
    <s v=" 52625.5336 "/>
    <s v=" 37.7493 "/>
    <x v="0"/>
    <n v="1986576"/>
    <m/>
    <m/>
    <m/>
  </r>
  <r>
    <x v="9"/>
    <x v="6"/>
    <s v="C:\Users\andre\Desktop\REACTIV CEFAS\Dutasteride\Dutasteride/20201202_Cefas_Test8_Run2/Plate 1/@5/G5_03.tif "/>
    <s v=" 57189.4414 "/>
    <s v=" 41.4107 "/>
    <x v="0"/>
    <n v="2368257"/>
    <m/>
    <m/>
    <m/>
  </r>
  <r>
    <x v="9"/>
    <x v="7"/>
    <s v="C:\Users\andre\Desktop\REACTIV CEFAS\Dutasteride\Dutasteride/20201202_Cefas_Test8_Run2/Plate 1/@5/H5_01.tif "/>
    <s v=" 15076.0366 "/>
    <s v=" 34.0416 "/>
    <x v="0"/>
    <n v="513213"/>
    <m/>
    <m/>
    <m/>
  </r>
  <r>
    <x v="9"/>
    <x v="7"/>
    <s v="C:\Users\andre\Desktop\REACTIV CEFAS\Dutasteride\Dutasteride/20201202_Cefas_Test8_Run2/Plate 1/@5/H5_02.tif "/>
    <s v=" 22062.4925 "/>
    <s v=" 37.1657 "/>
    <x v="0"/>
    <n v="819968"/>
    <m/>
    <m/>
    <m/>
  </r>
  <r>
    <x v="9"/>
    <x v="7"/>
    <s v="C:\Users\andre\Desktop\REACTIV CEFAS\Dutasteride\Dutasteride/20201202_Cefas_Test8_Run2/Plate 1/@5/H5_03.tif "/>
    <s v=" 21218.9266 "/>
    <s v=" 36.208 "/>
    <x v="0"/>
    <n v="768294"/>
    <m/>
    <m/>
    <m/>
  </r>
  <r>
    <x v="1"/>
    <x v="8"/>
    <s v=" "/>
    <m/>
    <m/>
    <x v="1"/>
    <m/>
    <m/>
    <m/>
    <m/>
  </r>
  <r>
    <x v="1"/>
    <x v="8"/>
    <s v="group "/>
    <s v=" "/>
    <s v=" mean of mean fluo "/>
    <x v="2"/>
    <s v=" mean of total fluo "/>
    <s v=" SD total fluo "/>
    <s v=" n fluorescent "/>
    <s v=" n total"/>
  </r>
  <r>
    <x v="9"/>
    <x v="9"/>
    <s v="C:\Users\andre\Desktop\REACTIV CEFAS\Dutasteride\Dutasteride/20201202_Cefas_Test8_Run2/Plate 1/@5/ "/>
    <s v=" "/>
    <s v=" 38.6413 "/>
    <x v="11"/>
    <s v=" 1778478.54 "/>
    <s v=" 540353.4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Dutasteride\Dutasteride/20201202_Cefas_Test8_Run2/Plate 1/@6/A6_01.tif "/>
    <s v=" 58292.566 "/>
    <s v=" 49.0059 "/>
    <x v="0"/>
    <n v="2856682"/>
    <m/>
    <m/>
    <m/>
  </r>
  <r>
    <x v="10"/>
    <x v="0"/>
    <s v="C:\Users\andre\Desktop\REACTIV CEFAS\Dutasteride\Dutasteride/20201202_Cefas_Test8_Run2/Plate 1/@6/A6_02.tif "/>
    <s v=" 66706.595 "/>
    <s v=" 49.332 "/>
    <x v="0"/>
    <n v="3290772"/>
    <m/>
    <m/>
    <m/>
  </r>
  <r>
    <x v="10"/>
    <x v="0"/>
    <s v="C:\Users\andre\Desktop\REACTIV CEFAS\Dutasteride\Dutasteride/20201202_Cefas_Test8_Run2/Plate 1/@6/A6_03.tif "/>
    <s v=" 74601.5066 "/>
    <s v=" 47.8449 "/>
    <x v="0"/>
    <n v="3569300"/>
    <m/>
    <m/>
    <m/>
  </r>
  <r>
    <x v="10"/>
    <x v="1"/>
    <s v="C:\Users\andre\Desktop\REACTIV CEFAS\Dutasteride\Dutasteride/20201202_Cefas_Test8_Run2/Plate 1/@6/B6_01.tif "/>
    <s v=" 35343.2478 "/>
    <s v=" 37.7289 "/>
    <x v="0"/>
    <n v="1333461"/>
    <m/>
    <m/>
    <m/>
  </r>
  <r>
    <x v="10"/>
    <x v="1"/>
    <s v="C:\Users\andre\Desktop\REACTIV CEFAS\Dutasteride\Dutasteride/20201202_Cefas_Test8_Run2/Plate 1/@6/B6_02.tif "/>
    <s v=" 33007.2192 "/>
    <s v=" 43.8172 "/>
    <x v="0"/>
    <n v="1446283"/>
    <m/>
    <m/>
    <m/>
  </r>
  <r>
    <x v="10"/>
    <x v="1"/>
    <s v="C:\Users\andre\Desktop\REACTIV CEFAS\Dutasteride\Dutasteride/20201202_Cefas_Test8_Run2/Plate 1/@6/B6_03.tif "/>
    <s v=" 37722.5362 "/>
    <s v=" 42.3039 "/>
    <x v="0"/>
    <n v="1595810"/>
    <m/>
    <m/>
    <m/>
  </r>
  <r>
    <x v="10"/>
    <x v="2"/>
    <s v="C:\Users\andre\Desktop\REACTIV CEFAS\Dutasteride\Dutasteride/20201202_Cefas_Test8_Run2/Plate 1/@6/C6_01.tif "/>
    <s v=" 87363.1444 "/>
    <s v=" 46.5454 "/>
    <x v="0"/>
    <n v="4066355"/>
    <m/>
    <m/>
    <m/>
  </r>
  <r>
    <x v="10"/>
    <x v="2"/>
    <s v="C:\Users\andre\Desktop\REACTIV CEFAS\Dutasteride\Dutasteride/20201202_Cefas_Test8_Run2/Plate 1/@6/C6_02.tif "/>
    <s v=" 90239.9204 "/>
    <s v=" 44.5916 "/>
    <x v="0"/>
    <n v="4023939"/>
    <m/>
    <m/>
    <m/>
  </r>
  <r>
    <x v="10"/>
    <x v="2"/>
    <s v="C:\Users\andre\Desktop\REACTIV CEFAS\Dutasteride\Dutasteride/20201202_Cefas_Test8_Run2/Plate 1/@6/C6_03.tif "/>
    <s v=" 78538.1474 "/>
    <s v=" 43.4693 "/>
    <x v="0"/>
    <n v="3413998"/>
    <m/>
    <m/>
    <m/>
  </r>
  <r>
    <x v="10"/>
    <x v="3"/>
    <s v="C:\Users\andre\Desktop\REACTIV CEFAS\Dutasteride\Dutasteride/20201202_Cefas_Test8_Run2/Plate 1/@6/D6_01.tif "/>
    <s v=" 76375.1579 "/>
    <s v=" 48.9351 "/>
    <x v="0"/>
    <n v="3737429"/>
    <m/>
    <m/>
    <m/>
  </r>
  <r>
    <x v="10"/>
    <x v="3"/>
    <s v="C:\Users\andre\Desktop\REACTIV CEFAS\Dutasteride\Dutasteride/20201202_Cefas_Test8_Run2/Plate 1/@6/D6_02.tif "/>
    <s v=" 74233.7984 "/>
    <s v=" 49.9677 "/>
    <x v="0"/>
    <n v="3709289"/>
    <m/>
    <m/>
    <m/>
  </r>
  <r>
    <x v="10"/>
    <x v="3"/>
    <s v="C:\Users\andre\Desktop\REACTIV CEFAS\Dutasteride\Dutasteride/20201202_Cefas_Test8_Run2/Plate 1/@6/D6_03.tif "/>
    <s v=" 75639.7415 "/>
    <s v=" 49.5685 "/>
    <x v="0"/>
    <n v="3749348"/>
    <m/>
    <m/>
    <m/>
  </r>
  <r>
    <x v="10"/>
    <x v="4"/>
    <s v="C:\Users\andre\Desktop\REACTIV CEFAS\Dutasteride\Dutasteride/20201202_Cefas_Test8_Run2/Plate 1/@6/E6_01.tif "/>
    <s v=" 75596.4817 "/>
    <s v=" 48.0472 "/>
    <x v="0"/>
    <n v="3632200"/>
    <m/>
    <m/>
    <m/>
  </r>
  <r>
    <x v="10"/>
    <x v="4"/>
    <s v="C:\Users\andre\Desktop\REACTIV CEFAS\Dutasteride\Dutasteride/20201202_Cefas_Test8_Run2/Plate 1/@6/E6_02.tif "/>
    <s v=" 73195.5634 "/>
    <s v=" 46.781 "/>
    <x v="0"/>
    <n v="3424164"/>
    <m/>
    <m/>
    <m/>
  </r>
  <r>
    <x v="10"/>
    <x v="4"/>
    <s v="C:\Users\andre\Desktop\REACTIV CEFAS\Dutasteride\Dutasteride/20201202_Cefas_Test8_Run2/Plate 1/@6/E6_03.tif "/>
    <s v=" 79662.9019 "/>
    <s v=" 48.6891 "/>
    <x v="0"/>
    <n v="3878716"/>
    <m/>
    <m/>
    <m/>
  </r>
  <r>
    <x v="10"/>
    <x v="5"/>
    <s v="C:\Users\andre\Desktop\REACTIV CEFAS\Dutasteride\Dutasteride/20201202_Cefas_Test8_Run2/Plate 1/@6/F6_01.tif "/>
    <s v=" 71140.7234 "/>
    <s v=" 48.2299 "/>
    <x v="0"/>
    <n v="3431107"/>
    <m/>
    <m/>
    <m/>
  </r>
  <r>
    <x v="10"/>
    <x v="5"/>
    <s v="C:\Users\andre\Desktop\REACTIV CEFAS\Dutasteride\Dutasteride/20201202_Cefas_Test8_Run2/Plate 1/@6/F6_02.tif "/>
    <s v=" 64413.8262 "/>
    <s v=" 47.8556 "/>
    <x v="0"/>
    <n v="3082563"/>
    <m/>
    <m/>
    <m/>
  </r>
  <r>
    <x v="10"/>
    <x v="5"/>
    <s v="C:\Users\andre\Desktop\REACTIV CEFAS\Dutasteride\Dutasteride/20201202_Cefas_Test8_Run2/Plate 1/@6/F6_03.tif "/>
    <s v=" 71789.6203 "/>
    <s v=" 46.1392 "/>
    <x v="0"/>
    <n v="3312316"/>
    <m/>
    <m/>
    <m/>
  </r>
  <r>
    <x v="10"/>
    <x v="6"/>
    <s v="C:\Users\andre\Desktop\REACTIV CEFAS\Dutasteride\Dutasteride/20201202_Cefas_Test8_Run2/Plate 1/@6/G6_01.tif "/>
    <s v=" 84724.2973 "/>
    <s v=" 42.8478 "/>
    <x v="0"/>
    <n v="3630253"/>
    <m/>
    <m/>
    <m/>
  </r>
  <r>
    <x v="10"/>
    <x v="6"/>
    <s v="C:\Users\andre\Desktop\REACTIV CEFAS\Dutasteride\Dutasteride/20201202_Cefas_Test8_Run2/Plate 1/@6/G6_02.tif "/>
    <s v=" 83404.8737 "/>
    <s v=" 44.5309 "/>
    <x v="0"/>
    <n v="3714091"/>
    <m/>
    <m/>
    <m/>
  </r>
  <r>
    <x v="10"/>
    <x v="6"/>
    <s v="C:\Users\andre\Desktop\REACTIV CEFAS\Dutasteride\Dutasteride/20201202_Cefas_Test8_Run2/Plate 1/@6/G6_03.tif "/>
    <s v=" 70729.7554 "/>
    <s v=" 42.7327 "/>
    <x v="0"/>
    <n v="3022475"/>
    <m/>
    <m/>
    <m/>
  </r>
  <r>
    <x v="10"/>
    <x v="7"/>
    <s v="C:\Users\andre\Desktop\REACTIV CEFAS\Dutasteride\Dutasteride/20201202_Cefas_Test8_Run2/Plate 1/@6/H6_01.tif "/>
    <s v=" 51349.3698 "/>
    <s v=" 44.5998 "/>
    <x v="0"/>
    <n v="2290173"/>
    <m/>
    <m/>
    <m/>
  </r>
  <r>
    <x v="10"/>
    <x v="7"/>
    <s v="C:\Users\andre\Desktop\REACTIV CEFAS\Dutasteride\Dutasteride/20201202_Cefas_Test8_Run2/Plate 1/@6/H6_02.tif "/>
    <s v=" 46439.3838 "/>
    <s v=" 46.1053 "/>
    <x v="0"/>
    <n v="2141100"/>
    <m/>
    <m/>
    <m/>
  </r>
  <r>
    <x v="10"/>
    <x v="7"/>
    <s v="C:\Users\andre\Desktop\REACTIV CEFAS\Dutasteride\Dutasteride/20201202_Cefas_Test8_Run2/Plate 1/@6/H6_03.tif "/>
    <s v=" 48537.4835 "/>
    <s v=" 45.6012 "/>
    <x v="0"/>
    <n v="2213365"/>
    <m/>
    <m/>
    <m/>
  </r>
  <r>
    <x v="1"/>
    <x v="8"/>
    <s v=" "/>
    <m/>
    <m/>
    <x v="1"/>
    <m/>
    <m/>
    <m/>
    <m/>
  </r>
  <r>
    <x v="1"/>
    <x v="8"/>
    <s v="group "/>
    <s v=" "/>
    <s v=" mean of mean fluo "/>
    <x v="2"/>
    <s v=" mean of total fluo "/>
    <s v=" SD total fluo "/>
    <s v=" n fluorescent "/>
    <s v=" n total"/>
  </r>
  <r>
    <x v="10"/>
    <x v="9"/>
    <s v="C:\Users\andre\Desktop\REACTIV CEFAS\Dutasteride\Dutasteride/20201202_Cefas_Test8_Run2/Plate 1/@6/ "/>
    <s v=" "/>
    <s v=" 46.0529 "/>
    <x v="12"/>
    <s v=" 3106882.88 "/>
    <s v=" 826029.8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Dutasteride\Dutasteride/20201202_Cefas_Test8_Run2/Plate 1/@7/A7_01.tif "/>
    <s v=" 46742.2023 "/>
    <s v=" 58.5021 "/>
    <x v="0"/>
    <n v="2734516"/>
    <m/>
    <m/>
    <m/>
  </r>
  <r>
    <x v="11"/>
    <x v="0"/>
    <s v="C:\Users\andre\Desktop\REACTIV CEFAS\Dutasteride\Dutasteride/20201202_Cefas_Test8_Run2/Plate 1/@7/A7_02.tif "/>
    <s v=" 54269.4056 "/>
    <s v=" 60.5727 "/>
    <x v="0"/>
    <n v="3287246"/>
    <m/>
    <m/>
    <m/>
  </r>
  <r>
    <x v="11"/>
    <x v="0"/>
    <s v="C:\Users\andre\Desktop\REACTIV CEFAS\Dutasteride\Dutasteride/20201202_Cefas_Test8_Run2/Plate 1/@7/A7_03.tif "/>
    <s v=" 60909.7833 "/>
    <s v=" 55.0202 "/>
    <x v="0"/>
    <n v="3351271"/>
    <m/>
    <m/>
    <m/>
  </r>
  <r>
    <x v="11"/>
    <x v="1"/>
    <s v="C:\Users\andre\Desktop\REACTIV CEFAS\Dutasteride\Dutasteride/20201202_Cefas_Test8_Run2/Plate 1/@7/B7_01.tif "/>
    <s v=" 53231.1707 "/>
    <s v=" 60.3243 "/>
    <x v="0"/>
    <n v="3211131"/>
    <m/>
    <m/>
    <m/>
  </r>
  <r>
    <x v="11"/>
    <x v="1"/>
    <s v="C:\Users\andre\Desktop\REACTIV CEFAS\Dutasteride\Dutasteride/20201202_Cefas_Test8_Run2/Plate 1/@7/B7_02- exclu.tif"/>
    <m/>
    <m/>
    <x v="1"/>
    <m/>
    <m/>
    <m/>
    <m/>
  </r>
  <r>
    <x v="11"/>
    <x v="1"/>
    <s v="C:\Users\andre\Desktop\REACTIV CEFAS\Dutasteride\Dutasteride/20201202_Cefas_Test8_Run2/Plate 1/@7/B7_03.tif "/>
    <s v=" 86606.0981 "/>
    <s v=" 62.0649 "/>
    <x v="0"/>
    <n v="5375202"/>
    <m/>
    <m/>
    <m/>
  </r>
  <r>
    <x v="11"/>
    <x v="2"/>
    <s v="C:\Users\andre\Desktop\REACTIV CEFAS\Dutasteride\Dutasteride/20201202_Cefas_Test8_Run2/Plate 1/@7/C7_01.tif "/>
    <s v=" 84270.0695 "/>
    <s v=" 61.0898 "/>
    <x v="0"/>
    <n v="5148045"/>
    <m/>
    <m/>
    <m/>
  </r>
  <r>
    <x v="11"/>
    <x v="2"/>
    <s v="C:\Users\andre\Desktop\REACTIV CEFAS\Dutasteride\Dutasteride/20201202_Cefas_Test8_Run2/Plate 1/@7/C7_02.tif "/>
    <s v=" 84897.3364 "/>
    <s v=" 56.3699 "/>
    <x v="0"/>
    <n v="4785657"/>
    <m/>
    <m/>
    <m/>
  </r>
  <r>
    <x v="11"/>
    <x v="2"/>
    <s v="C:\Users\andre\Desktop\REACTIV CEFAS\Dutasteride\Dutasteride/20201202_Cefas_Test8_Run2/Plate 1/@7/C7_03.tif "/>
    <s v=" 81804.2615 "/>
    <s v=" 64.2644 "/>
    <x v="0"/>
    <n v="5257103"/>
    <m/>
    <m/>
    <m/>
  </r>
  <r>
    <x v="11"/>
    <x v="3"/>
    <s v="C:\Users\andre\Desktop\REACTIV CEFAS\Dutasteride\Dutasteride/20201202_Cefas_Test8_Run2/Plate 1/@7/D7_01.tif "/>
    <s v=" 86260.0198 "/>
    <s v=" 62.3608 "/>
    <x v="0"/>
    <n v="5379247"/>
    <m/>
    <m/>
    <m/>
  </r>
  <r>
    <x v="11"/>
    <x v="3"/>
    <s v="C:\Users\andre\Desktop\REACTIV CEFAS\Dutasteride\Dutasteride/20201202_Cefas_Test8_Run2/Plate 1/@7/D7_02.tif "/>
    <s v=" 82712.7171 "/>
    <s v=" 57.5544 "/>
    <x v="0"/>
    <n v="4760480"/>
    <m/>
    <m/>
    <m/>
  </r>
  <r>
    <x v="11"/>
    <x v="3"/>
    <s v="C:\Users\andre\Desktop\REACTIV CEFAS\Dutasteride\Dutasteride/20201202_Cefas_Test8_Run2/Plate 1/@7/D7_03.tif "/>
    <s v=" 86389.7991 "/>
    <s v=" 61.4394 "/>
    <x v="0"/>
    <n v="5307738"/>
    <m/>
    <m/>
    <m/>
  </r>
  <r>
    <x v="11"/>
    <x v="4"/>
    <s v="C:\Users\andre\Desktop\REACTIV CEFAS\Dutasteride\Dutasteride/20201202_Cefas_Test8_Run2/Plate 1/@7/E7_01.tif "/>
    <s v=" 58487.2351 "/>
    <s v=" 56.2703 "/>
    <x v="0"/>
    <n v="3291097"/>
    <m/>
    <m/>
    <m/>
  </r>
  <r>
    <x v="11"/>
    <x v="4"/>
    <s v="C:\Users\andre\Desktop\REACTIV CEFAS\Dutasteride\Dutasteride/20201202_Cefas_Test8_Run2/Plate 1/@7/E7_02.tif "/>
    <s v=" 68328.8371 "/>
    <s v=" 56.2858 "/>
    <x v="0"/>
    <n v="3845947"/>
    <m/>
    <m/>
    <m/>
  </r>
  <r>
    <x v="11"/>
    <x v="4"/>
    <s v="C:\Users\andre\Desktop\REACTIV CEFAS\Dutasteride\Dutasteride/20201202_Cefas_Test8_Run2/Plate 1/@7/E7_03.tif "/>
    <s v=" 63353.9614 "/>
    <s v=" 54.5002 "/>
    <x v="0"/>
    <n v="3452802"/>
    <m/>
    <m/>
    <m/>
  </r>
  <r>
    <x v="11"/>
    <x v="5"/>
    <s v="C:\Users\andre\Desktop\REACTIV CEFAS\Dutasteride\Dutasteride/20201202_Cefas_Test8_Run2/Plate 1/@7/F7_01.tif "/>
    <s v=" 95236.4261 "/>
    <s v=" 54.4708 "/>
    <x v="0"/>
    <n v="5187606"/>
    <m/>
    <m/>
    <m/>
  </r>
  <r>
    <x v="11"/>
    <x v="5"/>
    <s v="C:\Users\andre\Desktop\REACTIV CEFAS\Dutasteride\Dutasteride/20201202_Cefas_Test8_Run2/Plate 1/@7/F7_02.tif "/>
    <s v=" 98394.3907 "/>
    <s v=" 52.6098 "/>
    <x v="0"/>
    <n v="5176510"/>
    <m/>
    <m/>
    <m/>
  </r>
  <r>
    <x v="11"/>
    <x v="5"/>
    <s v="C:\Users\andre\Desktop\REACTIV CEFAS\Dutasteride\Dutasteride/20201202_Cefas_Test8_Run2/Plate 1/@7/F7_03.tif "/>
    <s v=" 98632.3195 "/>
    <s v=" 55.2838 "/>
    <x v="0"/>
    <n v="5452767"/>
    <m/>
    <m/>
    <m/>
  </r>
  <r>
    <x v="11"/>
    <x v="6"/>
    <s v="C:\Users\andre\Desktop\REACTIV CEFAS\Dutasteride\Dutasteride/20201202_Cefas_Test8_Run2/Plate 1/@7/G7_01.tif "/>
    <s v=" 75618.1116 "/>
    <s v=" 60.3132 "/>
    <x v="0"/>
    <n v="4560771"/>
    <m/>
    <m/>
    <m/>
  </r>
  <r>
    <x v="11"/>
    <x v="6"/>
    <s v="C:\Users\andre\Desktop\REACTIV CEFAS\Dutasteride\Dutasteride/20201202_Cefas_Test8_Run2/Plate 1/@7/G7_02.tif "/>
    <s v=" 93808.853 "/>
    <s v=" 62.8836 "/>
    <x v="0"/>
    <n v="5899035"/>
    <m/>
    <m/>
    <m/>
  </r>
  <r>
    <x v="11"/>
    <x v="6"/>
    <s v="C:\Users\andre\Desktop\REACTIV CEFAS\Dutasteride\Dutasteride/20201202_Cefas_Test8_Run2/Plate 1/@7/G7_03.tif "/>
    <s v=" 73044.1542 "/>
    <s v=" 63.9902 "/>
    <x v="0"/>
    <n v="4674112"/>
    <m/>
    <m/>
    <m/>
  </r>
  <r>
    <x v="11"/>
    <x v="7"/>
    <s v="C:\Users\andre\Desktop\REACTIV CEFAS\Dutasteride\Dutasteride/20201202_Cefas_Test8_Run2/Plate 1/@7/H7_01- exclu.tif"/>
    <m/>
    <m/>
    <x v="1"/>
    <m/>
    <m/>
    <m/>
    <m/>
  </r>
  <r>
    <x v="11"/>
    <x v="7"/>
    <s v="C:\Users\andre\Desktop\REACTIV CEFAS\Dutasteride\Dutasteride/20201202_Cefas_Test8_Run2/Plate 1/@7/H7_02- exclu.tif"/>
    <m/>
    <m/>
    <x v="1"/>
    <m/>
    <m/>
    <m/>
    <m/>
  </r>
  <r>
    <x v="11"/>
    <x v="7"/>
    <s v="C:\Users\andre\Desktop\REACTIV CEFAS\Dutasteride\Dutasteride/20201202_Cefas_Test8_Run2/Plate 1/@7/H7_03- exclu.tif"/>
    <m/>
    <m/>
    <x v="1"/>
    <m/>
    <m/>
    <m/>
    <m/>
  </r>
  <r>
    <x v="1"/>
    <x v="8"/>
    <s v=" "/>
    <m/>
    <m/>
    <x v="1"/>
    <m/>
    <m/>
    <m/>
    <m/>
  </r>
  <r>
    <x v="1"/>
    <x v="8"/>
    <s v="group "/>
    <s v=" "/>
    <s v=" mean of mean fluo "/>
    <x v="2"/>
    <s v=" mean of total fluo "/>
    <s v=" SD total fluo "/>
    <s v=" n fluorescent "/>
    <s v=" n total"/>
  </r>
  <r>
    <x v="11"/>
    <x v="9"/>
    <s v="C:\Users\andre\Desktop\REACTIV CEFAS\Dutasteride\Dutasteride/20201202_Cefas_Test8_Run2/Plate 1/@7/ "/>
    <s v=" "/>
    <s v=" 57.7064 "/>
    <x v="13"/>
    <s v=" 4398670.79 "/>
    <s v=" 1107118.2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Dutasteride\Dutasteride/20201202_Cefas_Test8_Run2/Plate 2/@10/A4_01.tif "/>
    <n v="0"/>
    <n v="0"/>
    <x v="0"/>
    <n v="0"/>
    <m/>
    <m/>
    <m/>
  </r>
  <r>
    <x v="12"/>
    <x v="0"/>
    <s v="C:\Users\andre\Desktop\REACTIV CEFAS\Dutasteride\Dutasteride/20201202_Cefas_Test8_Run2/Plate 2/@10/A4_02- exclu.tif"/>
    <m/>
    <m/>
    <x v="1"/>
    <m/>
    <m/>
    <m/>
    <m/>
  </r>
  <r>
    <x v="12"/>
    <x v="0"/>
    <s v="C:\Users\andre\Desktop\REACTIV CEFAS\Dutasteride\Dutasteride/20201202_Cefas_Test8_Run2/Plate 2/@10/A4_03.tif "/>
    <n v="0"/>
    <n v="0"/>
    <x v="0"/>
    <n v="0"/>
    <m/>
    <m/>
    <m/>
  </r>
  <r>
    <x v="12"/>
    <x v="1"/>
    <s v="C:\Users\andre\Desktop\REACTIV CEFAS\Dutasteride\Dutasteride/20201202_Cefas_Test8_Run2/Plate 2/@10/B4_01.tif "/>
    <s v=" 5537.253 "/>
    <s v=" 36.2656 "/>
    <x v="0"/>
    <n v="200812"/>
    <m/>
    <m/>
    <m/>
  </r>
  <r>
    <x v="12"/>
    <x v="1"/>
    <s v="C:\Users\andre\Desktop\REACTIV CEFAS\Dutasteride\Dutasteride/20201202_Cefas_Test8_Run2/Plate 2/@10/B4_02.tif "/>
    <s v=" 7873.2816 "/>
    <s v=" 38.6758 "/>
    <x v="0"/>
    <n v="304506"/>
    <m/>
    <m/>
    <m/>
  </r>
  <r>
    <x v="12"/>
    <x v="1"/>
    <s v="C:\Users\andre\Desktop\REACTIV CEFAS\Dutasteride\Dutasteride/20201202_Cefas_Test8_Run2/Plate 2/@10/B4_03.tif "/>
    <s v=" 86.5196 "/>
    <s v=" 31.5 "/>
    <x v="0"/>
    <n v="2725"/>
    <m/>
    <m/>
    <m/>
  </r>
  <r>
    <x v="12"/>
    <x v="2"/>
    <s v="C:\Users\andre\Desktop\REACTIV CEFAS\Dutasteride\Dutasteride/20201202_Cefas_Test8_Run2/Plate 2/@10/C4_01.tif "/>
    <s v=" 2855.1461 "/>
    <s v=" 36.4773 "/>
    <x v="0"/>
    <n v="104148"/>
    <m/>
    <m/>
    <m/>
  </r>
  <r>
    <x v="12"/>
    <x v="2"/>
    <s v="C:\Users\andre\Desktop\REACTIV CEFAS\Dutasteride\Dutasteride/20201202_Cefas_Test8_Run2/Plate 2/@10/C4_02.tif "/>
    <s v=" 1535.7225 "/>
    <s v=" 33.2535 "/>
    <x v="0"/>
    <n v="51068"/>
    <m/>
    <m/>
    <m/>
  </r>
  <r>
    <x v="12"/>
    <x v="2"/>
    <s v="C:\Users\andre\Desktop\REACTIV CEFAS\Dutasteride\Dutasteride/20201202_Cefas_Test8_Run2/Plate 2/@10/C4_03.tif "/>
    <s v=" 1146.3844 "/>
    <s v=" 32.8302 "/>
    <x v="0"/>
    <n v="37636"/>
    <m/>
    <m/>
    <m/>
  </r>
  <r>
    <x v="12"/>
    <x v="3"/>
    <s v="C:\Users\andre\Desktop\REACTIV CEFAS\Dutasteride\Dutasteride/20201202_Cefas_Test8_Run2/Plate 2/@10/D4_01- exclu.tif"/>
    <m/>
    <m/>
    <x v="1"/>
    <m/>
    <m/>
    <m/>
    <m/>
  </r>
  <r>
    <x v="12"/>
    <x v="3"/>
    <s v="C:\Users\andre\Desktop\REACTIV CEFAS\Dutasteride\Dutasteride/20201202_Cefas_Test8_Run2/Plate 2/@10/D4_02- exclu.tif"/>
    <m/>
    <m/>
    <x v="1"/>
    <m/>
    <m/>
    <m/>
    <m/>
  </r>
  <r>
    <x v="12"/>
    <x v="3"/>
    <s v="C:\Users\andre\Desktop\REACTIV CEFAS\Dutasteride\Dutasteride/20201202_Cefas_Test8_Run2/Plate 2/@10/D4_03- exclu.tif"/>
    <m/>
    <m/>
    <x v="1"/>
    <m/>
    <m/>
    <m/>
    <m/>
  </r>
  <r>
    <x v="12"/>
    <x v="4"/>
    <s v="C:\Users\andre\Desktop\REACTIV CEFAS\Dutasteride\Dutasteride/20201202_Cefas_Test8_Run2/Plate 2/@10/E4_01.tif "/>
    <s v=" 194.6691 "/>
    <s v=" 30.8889 "/>
    <x v="0"/>
    <n v="6013"/>
    <m/>
    <m/>
    <m/>
  </r>
  <r>
    <x v="12"/>
    <x v="4"/>
    <s v="C:\Users\andre\Desktop\REACTIV CEFAS\Dutasteride\Dutasteride/20201202_Cefas_Test8_Run2/Plate 2/@10/E4_02.tif "/>
    <n v="0"/>
    <n v="0"/>
    <x v="0"/>
    <n v="0"/>
    <m/>
    <m/>
    <m/>
  </r>
  <r>
    <x v="12"/>
    <x v="4"/>
    <s v="C:\Users\andre\Desktop\REACTIV CEFAS\Dutasteride\Dutasteride/20201202_Cefas_Test8_Run2/Plate 2/@10/E4_03.tif "/>
    <s v=" 367.7082 "/>
    <s v=" 32.7647 "/>
    <x v="0"/>
    <n v="12048"/>
    <m/>
    <m/>
    <m/>
  </r>
  <r>
    <x v="12"/>
    <x v="5"/>
    <s v="C:\Users\andre\Desktop\REACTIV CEFAS\Dutasteride\Dutasteride/20201202_Cefas_Test8_Run2/Plate 2/@10/F4_01.tif "/>
    <s v=" 1211.2741 "/>
    <s v=" 32.5893 "/>
    <x v="0"/>
    <n v="39475"/>
    <m/>
    <m/>
    <m/>
  </r>
  <r>
    <x v="12"/>
    <x v="5"/>
    <s v="C:\Users\andre\Desktop\REACTIV CEFAS\Dutasteride\Dutasteride/20201202_Cefas_Test8_Run2/Plate 2/@10/F4_02.tif "/>
    <s v=" 1254.5339 "/>
    <s v=" 31.2759 "/>
    <x v="0"/>
    <n v="39237"/>
    <m/>
    <m/>
    <m/>
  </r>
  <r>
    <x v="12"/>
    <x v="5"/>
    <s v="C:\Users\andre\Desktop\REACTIV CEFAS\Dutasteride\Dutasteride/20201202_Cefas_Test8_Run2/Plate 2/@10/F4_03.tif "/>
    <s v=" 930.0855 "/>
    <s v=" 31.3256 "/>
    <x v="0"/>
    <n v="29135"/>
    <m/>
    <m/>
    <m/>
  </r>
  <r>
    <x v="12"/>
    <x v="6"/>
    <s v="C:\Users\andre\Desktop\REACTIV CEFAS\Dutasteride\Dutasteride/20201202_Cefas_Test8_Run2/Plate 2/@10/G4_01.tif "/>
    <s v=" 5039.7654 "/>
    <s v=" 38.4206 "/>
    <x v="0"/>
    <n v="193631"/>
    <m/>
    <m/>
    <m/>
  </r>
  <r>
    <x v="12"/>
    <x v="6"/>
    <s v="C:\Users\andre\Desktop\REACTIV CEFAS\Dutasteride\Dutasteride/20201202_Cefas_Test8_Run2/Plate 2/@10/G4_02.tif "/>
    <s v=" 10879.837 "/>
    <s v=" 45.0119 "/>
    <x v="0"/>
    <n v="489722"/>
    <m/>
    <m/>
    <m/>
  </r>
  <r>
    <x v="12"/>
    <x v="6"/>
    <s v="C:\Users\andre\Desktop\REACTIV CEFAS\Dutasteride\Dutasteride/20201202_Cefas_Test8_Run2/Plate 2/@10/G4_03.tif "/>
    <s v=" 4628.7975 "/>
    <s v=" 38.9579 "/>
    <x v="0"/>
    <n v="180328"/>
    <m/>
    <m/>
    <m/>
  </r>
  <r>
    <x v="12"/>
    <x v="7"/>
    <s v="C:\Users\andre\Desktop\REACTIV CEFAS\Dutasteride\Dutasteride/20201202_Cefas_Test8_Run2/Plate 2/@10/H4_01.tif "/>
    <s v=" 9863.232 "/>
    <s v=" 44.0351 "/>
    <x v="0"/>
    <n v="434328"/>
    <m/>
    <m/>
    <m/>
  </r>
  <r>
    <x v="12"/>
    <x v="7"/>
    <s v="C:\Users\andre\Desktop\REACTIV CEFAS\Dutasteride\Dutasteride/20201202_Cefas_Test8_Run2/Plate 2/@10/H4_02.tif "/>
    <s v=" 5342.584 "/>
    <s v=" 34.2915 "/>
    <x v="0"/>
    <n v="183205"/>
    <m/>
    <m/>
    <m/>
  </r>
  <r>
    <x v="12"/>
    <x v="7"/>
    <s v="C:\Users\andre\Desktop\REACTIV CEFAS\Dutasteride\Dutasteride/20201202_Cefas_Test8_Run2/Plate 2/@10/H4_03.tif "/>
    <s v=" 8695.2176 "/>
    <s v=" 39.6468 "/>
    <x v="0"/>
    <n v="344737"/>
    <m/>
    <m/>
    <m/>
  </r>
  <r>
    <x v="1"/>
    <x v="8"/>
    <s v=" "/>
    <m/>
    <m/>
    <x v="1"/>
    <m/>
    <m/>
    <m/>
    <m/>
  </r>
  <r>
    <x v="1"/>
    <x v="8"/>
    <s v="group "/>
    <s v=" "/>
    <s v=" mean of mean fluo "/>
    <x v="2"/>
    <s v=" mean of total fluo "/>
    <s v=" SD total fluo "/>
    <s v=" n fluorescent "/>
    <s v=" n total"/>
  </r>
  <r>
    <x v="12"/>
    <x v="9"/>
    <s v="C:\Users\andre\Desktop\REACTIV CEFAS\Dutasteride\Dutasteride/20201202_Cefas_Test8_Run2/Plate 2/@10/ "/>
    <s v=" "/>
    <s v=" 30.5981 "/>
    <x v="14"/>
    <s v=" 165931.875 "/>
    <s v=" 181413.275 "/>
    <n v="20"/>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Dutasteride\Dutasteride/20201202_Cefas_Test8_Run2/Plate 2/@11/A5_01.tif "/>
    <s v=" 1860.1709 "/>
    <s v=" 33.6628 "/>
    <x v="0"/>
    <n v="62619"/>
    <m/>
    <m/>
    <m/>
  </r>
  <r>
    <x v="13"/>
    <x v="0"/>
    <s v="C:\Users\andre\Desktop\REACTIV CEFAS\Dutasteride\Dutasteride/20201202_Cefas_Test8_Run2/Plate 2/@11/A5_02.tif "/>
    <s v=" 2509.0678 "/>
    <s v=" 33.4569 "/>
    <x v="0"/>
    <n v="83946"/>
    <m/>
    <m/>
    <m/>
  </r>
  <r>
    <x v="13"/>
    <x v="0"/>
    <s v="C:\Users\andre\Desktop\REACTIV CEFAS\Dutasteride\Dutasteride/20201202_Cefas_Test8_Run2/Plate 2/@11/A5_03.tif "/>
    <s v=" 2984.9255 "/>
    <s v=" 34.8551 "/>
    <x v="0"/>
    <n v="104040"/>
    <m/>
    <m/>
    <m/>
  </r>
  <r>
    <x v="13"/>
    <x v="1"/>
    <s v="C:\Users\andre\Desktop\REACTIV CEFAS\Dutasteride\Dutasteride/20201202_Cefas_Test8_Run2/Plate 2/@11/B5_01- exclu.tif"/>
    <m/>
    <m/>
    <x v="1"/>
    <m/>
    <m/>
    <m/>
    <m/>
  </r>
  <r>
    <x v="13"/>
    <x v="1"/>
    <s v="C:\Users\andre\Desktop\REACTIV CEFAS\Dutasteride\Dutasteride/20201202_Cefas_Test8_Run2/Plate 2/@11/B5_02.tif "/>
    <s v=" 4477.3882 "/>
    <s v=" 37.4783 "/>
    <x v="0"/>
    <n v="167805"/>
    <m/>
    <m/>
    <m/>
  </r>
  <r>
    <x v="13"/>
    <x v="1"/>
    <s v="C:\Users\andre\Desktop\REACTIV CEFAS\Dutasteride\Dutasteride/20201202_Cefas_Test8_Run2/Plate 2/@11/B5_03.tif "/>
    <s v=" 3677.0821 "/>
    <s v=" 38.5471 "/>
    <x v="0"/>
    <n v="141741"/>
    <m/>
    <m/>
    <m/>
  </r>
  <r>
    <x v="13"/>
    <x v="2"/>
    <s v="C:\Users\andre\Desktop\REACTIV CEFAS\Dutasteride\Dutasteride/20201202_Cefas_Test8_Run2/Plate 2/@11/C5_01.tif "/>
    <s v=" 3547.3027 "/>
    <s v=" 35.2439 "/>
    <x v="0"/>
    <n v="125021"/>
    <m/>
    <m/>
    <m/>
  </r>
  <r>
    <x v="13"/>
    <x v="2"/>
    <s v="C:\Users\andre\Desktop\REACTIV CEFAS\Dutasteride\Dutasteride/20201202_Cefas_Test8_Run2/Plate 2/@11/C5_02.tif "/>
    <s v=" 3525.6728 "/>
    <s v=" 35.0675 "/>
    <x v="0"/>
    <n v="123636"/>
    <m/>
    <m/>
    <m/>
  </r>
  <r>
    <x v="13"/>
    <x v="2"/>
    <s v="C:\Users\andre\Desktop\REACTIV CEFAS\Dutasteride\Dutasteride/20201202_Cefas_Test8_Run2/Plate 2/@11/C5_03.tif "/>
    <s v=" 3785.2316 "/>
    <s v=" 35.6114 "/>
    <x v="0"/>
    <n v="134798"/>
    <m/>
    <m/>
    <m/>
  </r>
  <r>
    <x v="13"/>
    <x v="3"/>
    <s v="C:\Users\andre\Desktop\REACTIV CEFAS\Dutasteride\Dutasteride/20201202_Cefas_Test8_Run2/Plate 2/@11/D5_01.tif "/>
    <s v=" 281.1886 "/>
    <s v=" 31.9231 "/>
    <x v="0"/>
    <n v="8976"/>
    <m/>
    <m/>
    <m/>
  </r>
  <r>
    <x v="13"/>
    <x v="3"/>
    <s v="C:\Users\andre\Desktop\REACTIV CEFAS\Dutasteride\Dutasteride/20201202_Cefas_Test8_Run2/Plate 2/@11/D5_02.tif "/>
    <s v=" 1059.8648 "/>
    <s v=" 32.0612 "/>
    <x v="0"/>
    <n v="33981"/>
    <m/>
    <m/>
    <m/>
  </r>
  <r>
    <x v="13"/>
    <x v="3"/>
    <s v="C:\Users\andre\Desktop\REACTIV CEFAS\Dutasteride\Dutasteride/20201202_Cefas_Test8_Run2/Plate 2/@11/D5_03.tif "/>
    <s v=" 605.637 "/>
    <n v="31"/>
    <x v="0"/>
    <n v="18775"/>
    <m/>
    <m/>
    <m/>
  </r>
  <r>
    <x v="13"/>
    <x v="4"/>
    <s v="C:\Users\andre\Desktop\REACTIV CEFAS\Dutasteride\Dutasteride/20201202_Cefas_Test8_Run2/Plate 2/@11/E5_01.tif "/>
    <s v=" 8154.4703 "/>
    <s v=" 41.8992 "/>
    <x v="0"/>
    <n v="341666"/>
    <m/>
    <m/>
    <m/>
  </r>
  <r>
    <x v="13"/>
    <x v="4"/>
    <s v="C:\Users\andre\Desktop\REACTIV CEFAS\Dutasteride\Dutasteride/20201202_Cefas_Test8_Run2/Plate 2/@11/E5_02- exclu.tif"/>
    <m/>
    <m/>
    <x v="1"/>
    <m/>
    <m/>
    <m/>
    <m/>
  </r>
  <r>
    <x v="13"/>
    <x v="4"/>
    <s v="C:\Users\andre\Desktop\REACTIV CEFAS\Dutasteride\Dutasteride/20201202_Cefas_Test8_Run2/Plate 2/@11/E5_03- exclu.tif"/>
    <m/>
    <m/>
    <x v="1"/>
    <m/>
    <m/>
    <m/>
    <m/>
  </r>
  <r>
    <x v="13"/>
    <x v="5"/>
    <s v="C:\Users\andre\Desktop\REACTIV CEFAS\Dutasteride\Dutasteride/20201202_Cefas_Test8_Run2/Plate 2/@11/F5_01.tif "/>
    <s v=" 1211.2741 "/>
    <s v=" 32.6429 "/>
    <x v="0"/>
    <n v="39539"/>
    <m/>
    <m/>
    <m/>
  </r>
  <r>
    <x v="13"/>
    <x v="5"/>
    <s v="C:\Users\andre\Desktop\REACTIV CEFAS\Dutasteride\Dutasteride/20201202_Cefas_Test8_Run2/Plate 2/@11/F5_02.tif "/>
    <s v=" 1038.2349 "/>
    <s v=" 32.8542 "/>
    <x v="0"/>
    <n v="34110"/>
    <m/>
    <m/>
    <m/>
  </r>
  <r>
    <x v="13"/>
    <x v="5"/>
    <s v="C:\Users\andre\Desktop\REACTIV CEFAS\Dutasteride\Dutasteride/20201202_Cefas_Test8_Run2/Plate 2/@11/F5_03.tif "/>
    <s v=" 1405.9432 "/>
    <s v=" 32.6308 "/>
    <x v="0"/>
    <n v="45877"/>
    <m/>
    <m/>
    <m/>
  </r>
  <r>
    <x v="13"/>
    <x v="6"/>
    <s v="C:\Users\andre\Desktop\REACTIV CEFAS\Dutasteride\Dutasteride/20201202_Cefas_Test8_Run2/Plate 2/@11/G5_01.tif "/>
    <n v="0"/>
    <n v="0"/>
    <x v="0"/>
    <n v="0"/>
    <m/>
    <m/>
    <m/>
  </r>
  <r>
    <x v="13"/>
    <x v="6"/>
    <s v="C:\Users\andre\Desktop\REACTIV CEFAS\Dutasteride\Dutasteride/20201202_Cefas_Test8_Run2/Plate 2/@11/G5_02.tif "/>
    <s v=" 1384.3133 "/>
    <s v=" 34.1562 "/>
    <x v="0"/>
    <n v="47283"/>
    <m/>
    <m/>
    <m/>
  </r>
  <r>
    <x v="13"/>
    <x v="6"/>
    <s v="C:\Users\andre\Desktop\REACTIV CEFAS\Dutasteride\Dutasteride/20201202_Cefas_Test8_Run2/Plate 2/@11/G5_03.tif "/>
    <n v="0"/>
    <n v="0"/>
    <x v="0"/>
    <n v="0"/>
    <m/>
    <m/>
    <m/>
  </r>
  <r>
    <x v="13"/>
    <x v="7"/>
    <s v="C:\Users\andre\Desktop\REACTIV CEFAS\Dutasteride\Dutasteride/20201202_Cefas_Test8_Run2/Plate 2/@11/H5_01- exclu.tif"/>
    <m/>
    <m/>
    <x v="1"/>
    <m/>
    <m/>
    <m/>
    <m/>
  </r>
  <r>
    <x v="13"/>
    <x v="7"/>
    <s v="C:\Users\andre\Desktop\REACTIV CEFAS\Dutasteride\Dutasteride/20201202_Cefas_Test8_Run2/Plate 2/@11/H5_02.tif "/>
    <n v="0"/>
    <n v="0"/>
    <x v="0"/>
    <n v="0"/>
    <m/>
    <m/>
    <m/>
  </r>
  <r>
    <x v="13"/>
    <x v="7"/>
    <s v="C:\Users\andre\Desktop\REACTIV CEFAS\Dutasteride\Dutasteride/20201202_Cefas_Test8_Run2/Plate 2/@11/H5_03.tif "/>
    <s v=" 1881.8008 "/>
    <s v=" 32.8621 "/>
    <x v="0"/>
    <n v="61840"/>
    <m/>
    <m/>
    <m/>
  </r>
  <r>
    <x v="1"/>
    <x v="8"/>
    <s v=" "/>
    <m/>
    <m/>
    <x v="1"/>
    <m/>
    <m/>
    <m/>
    <m/>
  </r>
  <r>
    <x v="1"/>
    <x v="8"/>
    <s v="group "/>
    <s v=" "/>
    <s v=" mean of mean fluo "/>
    <x v="2"/>
    <s v=" mean of total fluo "/>
    <s v=" SD total fluo "/>
    <s v=" n fluorescent "/>
    <s v=" n total"/>
  </r>
  <r>
    <x v="13"/>
    <x v="9"/>
    <s v="C:\Users\andre\Desktop\REACTIV CEFAS\Dutasteride\Dutasteride/20201202_Cefas_Test8_Run2/Plate 2/@11/ "/>
    <s v=" "/>
    <s v=" 27.9495 "/>
    <x v="15"/>
    <s v=" 95620.4167 "/>
    <s v=" 126832.391 "/>
    <n v="19"/>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Dutasteride\Dutasteride/20201202_Cefas_Test8_Run2/Plate 2/@12/A6_01.tif "/>
    <n v="0"/>
    <n v="0"/>
    <x v="0"/>
    <n v="0"/>
    <m/>
    <m/>
    <m/>
  </r>
  <r>
    <x v="14"/>
    <x v="0"/>
    <s v="C:\Users\andre\Desktop\REACTIV CEFAS\Dutasteride\Dutasteride/20201202_Cefas_Test8_Run2/Plate 2/@12/A6_02.tif "/>
    <n v="0"/>
    <n v="0"/>
    <x v="0"/>
    <n v="0"/>
    <m/>
    <m/>
    <m/>
  </r>
  <r>
    <x v="14"/>
    <x v="0"/>
    <s v="C:\Users\andre\Desktop\REACTIV CEFAS\Dutasteride\Dutasteride/20201202_Cefas_Test8_Run2/Plate 2/@12/A6_03.tif "/>
    <n v="0"/>
    <n v="0"/>
    <x v="0"/>
    <n v="0"/>
    <m/>
    <m/>
    <m/>
  </r>
  <r>
    <x v="14"/>
    <x v="1"/>
    <s v="C:\Users\andre\Desktop\REACTIV CEFAS\Dutasteride\Dutasteride/20201202_Cefas_Test8_Run2/Plate 2/@12/B6_01.tif "/>
    <s v=" 4152.9398 "/>
    <s v=" 32.9844 "/>
    <x v="0"/>
    <n v="136982"/>
    <m/>
    <m/>
    <m/>
  </r>
  <r>
    <x v="14"/>
    <x v="1"/>
    <s v="C:\Users\andre\Desktop\REACTIV CEFAS\Dutasteride\Dutasteride/20201202_Cefas_Test8_Run2/Plate 2/@12/B6_02.tif "/>
    <s v=" 5277.6943 "/>
    <s v=" 35.3648 "/>
    <x v="0"/>
    <n v="186644"/>
    <m/>
    <m/>
    <m/>
  </r>
  <r>
    <x v="14"/>
    <x v="1"/>
    <s v="C:\Users\andre\Desktop\REACTIV CEFAS\Dutasteride\Dutasteride/20201202_Cefas_Test8_Run2/Plate 2/@12/B6_03.tif "/>
    <s v=" 4736.9469 "/>
    <s v=" 33.9315 "/>
    <x v="0"/>
    <n v="160732"/>
    <m/>
    <m/>
    <m/>
  </r>
  <r>
    <x v="14"/>
    <x v="2"/>
    <s v="C:\Users\andre\Desktop\REACTIV CEFAS\Dutasteride\Dutasteride/20201202_Cefas_Test8_Run2/Plate 2/@12/C6_01.tif "/>
    <s v=" 3201.2244 "/>
    <s v=" 33.4324 "/>
    <x v="0"/>
    <n v="107025"/>
    <m/>
    <m/>
    <m/>
  </r>
  <r>
    <x v="14"/>
    <x v="2"/>
    <s v="C:\Users\andre\Desktop\REACTIV CEFAS\Dutasteride\Dutasteride/20201202_Cefas_Test8_Run2/Plate 2/@12/C6_02.tif "/>
    <s v=" 3547.3027 "/>
    <s v=" 32.8537 "/>
    <x v="0"/>
    <n v="116542"/>
    <m/>
    <m/>
    <m/>
  </r>
  <r>
    <x v="14"/>
    <x v="2"/>
    <s v="C:\Users\andre\Desktop\REACTIV CEFAS\Dutasteride\Dutasteride/20201202_Cefas_Test8_Run2/Plate 2/@12/C6_03.tif "/>
    <s v=" 6034.7406 "/>
    <s v=" 38.4014 "/>
    <x v="0"/>
    <n v="231743"/>
    <m/>
    <m/>
    <m/>
  </r>
  <r>
    <x v="14"/>
    <x v="3"/>
    <s v="C:\Users\andre\Desktop\REACTIV CEFAS\Dutasteride\Dutasteride/20201202_Cefas_Test8_Run2/Plate 2/@12/D6_01.tif "/>
    <s v=" 1168.0143 "/>
    <s v=" 32.8889 "/>
    <x v="0"/>
    <n v="38415"/>
    <m/>
    <m/>
    <m/>
  </r>
  <r>
    <x v="14"/>
    <x v="3"/>
    <s v="C:\Users\andre\Desktop\REACTIV CEFAS\Dutasteride\Dutasteride/20201202_Cefas_Test8_Run2/Plate 2/@12/D6_02.tif "/>
    <s v=" 281.1886 "/>
    <s v=" 32.3846 "/>
    <x v="0"/>
    <n v="9106"/>
    <m/>
    <m/>
    <m/>
  </r>
  <r>
    <x v="14"/>
    <x v="3"/>
    <s v="C:\Users\andre\Desktop\REACTIV CEFAS\Dutasteride\Dutasteride/20201202_Cefas_Test8_Run2/Plate 2/@12/D6_03.tif "/>
    <s v=" 5429.1036 "/>
    <s v=" 35.9163 "/>
    <x v="0"/>
    <n v="194994"/>
    <m/>
    <m/>
    <m/>
  </r>
  <r>
    <x v="14"/>
    <x v="4"/>
    <s v="C:\Users\andre\Desktop\REACTIV CEFAS\Dutasteride\Dutasteride/20201202_Cefas_Test8_Run2/Plate 2/@12/E6_01.tif "/>
    <s v=" 7743.5023 "/>
    <s v=" 42.0084 "/>
    <x v="0"/>
    <n v="325292"/>
    <m/>
    <m/>
    <m/>
  </r>
  <r>
    <x v="14"/>
    <x v="4"/>
    <s v="C:\Users\andre\Desktop\REACTIV CEFAS\Dutasteride\Dutasteride/20201202_Cefas_Test8_Run2/Plate 2/@12/E6_02.tif "/>
    <s v=" 6315.9292 "/>
    <s v=" 39.7774 "/>
    <x v="0"/>
    <n v="251231"/>
    <m/>
    <m/>
    <m/>
  </r>
  <r>
    <x v="14"/>
    <x v="4"/>
    <s v="C:\Users\andre\Desktop\REACTIV CEFAS\Dutasteride\Dutasteride/20201202_Cefas_Test8_Run2/Plate 2/@12/E6_03.tif "/>
    <s v=" 4715.317 "/>
    <s v=" 31.3761 "/>
    <x v="0"/>
    <n v="147948"/>
    <m/>
    <m/>
    <m/>
  </r>
  <r>
    <x v="14"/>
    <x v="5"/>
    <s v="C:\Users\andre\Desktop\REACTIV CEFAS\Dutasteride\Dutasteride/20201202_Cefas_Test8_Run2/Plate 2/@12/F6_01.tif "/>
    <s v=" 2162.9895 "/>
    <s v=" 32.32 "/>
    <x v="0"/>
    <n v="69908"/>
    <m/>
    <m/>
    <m/>
  </r>
  <r>
    <x v="14"/>
    <x v="5"/>
    <s v="C:\Users\andre\Desktop\REACTIV CEFAS\Dutasteride\Dutasteride/20201202_Cefas_Test8_Run2/Plate 2/@12/F6_02- exclu.tif"/>
    <m/>
    <m/>
    <x v="1"/>
    <m/>
    <m/>
    <m/>
    <m/>
  </r>
  <r>
    <x v="14"/>
    <x v="5"/>
    <s v="C:\Users\andre\Desktop\REACTIV CEFAS\Dutasteride\Dutasteride/20201202_Cefas_Test8_Run2/Plate 2/@12/F6_03.tif "/>
    <n v="0"/>
    <n v="0"/>
    <x v="0"/>
    <n v="0"/>
    <m/>
    <m/>
    <m/>
  </r>
  <r>
    <x v="14"/>
    <x v="6"/>
    <s v="C:\Users\andre\Desktop\REACTIV CEFAS\Dutasteride\Dutasteride/20201202_Cefas_Test8_Run2/Plate 2/@12/G6_01.tif "/>
    <n v="0"/>
    <n v="0"/>
    <x v="0"/>
    <n v="0"/>
    <m/>
    <m/>
    <m/>
  </r>
  <r>
    <x v="14"/>
    <x v="6"/>
    <s v="C:\Users\andre\Desktop\REACTIV CEFAS\Dutasteride\Dutasteride/20201202_Cefas_Test8_Run2/Plate 2/@12/G6_02.tif "/>
    <n v="0"/>
    <n v="0"/>
    <x v="0"/>
    <n v="0"/>
    <m/>
    <m/>
    <m/>
  </r>
  <r>
    <x v="14"/>
    <x v="6"/>
    <s v="C:\Users\andre\Desktop\REACTIV CEFAS\Dutasteride\Dutasteride/20201202_Cefas_Test8_Run2/Plate 2/@12/G6_03.tif "/>
    <n v="0"/>
    <n v="0"/>
    <x v="0"/>
    <n v="0"/>
    <m/>
    <m/>
    <m/>
  </r>
  <r>
    <x v="14"/>
    <x v="7"/>
    <s v="C:\Users\andre\Desktop\REACTIV CEFAS\Dutasteride\Dutasteride/20201202_Cefas_Test8_Run2/Plate 2/@12/H6_01.tif "/>
    <s v=" 51133.0709 "/>
    <s v=" 54.4082 "/>
    <x v="0"/>
    <n v="2782059"/>
    <m/>
    <m/>
    <m/>
  </r>
  <r>
    <x v="14"/>
    <x v="7"/>
    <s v="C:\Users\andre\Desktop\REACTIV CEFAS\Dutasteride\Dutasteride/20201202_Cefas_Test8_Run2/Plate 2/@12/H6_02- exclu.tif"/>
    <m/>
    <m/>
    <x v="1"/>
    <m/>
    <m/>
    <m/>
    <m/>
  </r>
  <r>
    <x v="14"/>
    <x v="7"/>
    <s v="C:\Users\andre\Desktop\REACTIV CEFAS\Dutasteride\Dutasteride/20201202_Cefas_Test8_Run2/Plate 2/@12/H6_03- exclu.tif"/>
    <m/>
    <m/>
    <x v="1"/>
    <m/>
    <m/>
    <m/>
    <m/>
  </r>
  <r>
    <x v="1"/>
    <x v="8"/>
    <s v=" "/>
    <m/>
    <m/>
    <x v="1"/>
    <m/>
    <m/>
    <m/>
    <m/>
  </r>
  <r>
    <x v="1"/>
    <x v="8"/>
    <s v="group "/>
    <s v=" "/>
    <s v=" mean of mean fluo "/>
    <x v="2"/>
    <s v=" mean of total fluo "/>
    <s v=" SD total fluo "/>
    <s v=" n fluorescent "/>
    <s v=" n total"/>
  </r>
  <r>
    <x v="14"/>
    <x v="9"/>
    <s v="C:\Users\andre\Desktop\REACTIV CEFAS\Dutasteride\Dutasteride/20201202_Cefas_Test8_Run2/Plate 2/@12/ "/>
    <s v=" "/>
    <s v=" 26.8286 "/>
    <x v="16"/>
    <s v=" 446039.958 "/>
    <s v=" 951090.53 "/>
    <n v="17"/>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Dutasteride\Dutasteride/20201202_Cefas_Test8_Run2/Plate 2/@17/A8_01.tif "/>
    <s v=" 21435.2256 "/>
    <s v=" 36.5732 "/>
    <x v="0"/>
    <n v="783954"/>
    <m/>
    <m/>
    <m/>
  </r>
  <r>
    <x v="15"/>
    <x v="0"/>
    <s v="C:\Users\andre\Desktop\REACTIV CEFAS\Dutasteride\Dutasteride/20201202_Cefas_Test8_Run2/Plate 2/@17/A8_02.tif "/>
    <s v=" 16135.9014 "/>
    <s v=" 34.6609 "/>
    <x v="0"/>
    <n v="559284"/>
    <m/>
    <m/>
    <m/>
  </r>
  <r>
    <x v="15"/>
    <x v="0"/>
    <s v="C:\Users\andre\Desktop\REACTIV CEFAS\Dutasteride\Dutasteride/20201202_Cefas_Test8_Run2/Plate 2/@17/A8_03.tif "/>
    <s v=" 15487.0046 "/>
    <s v=" 33.3254 "/>
    <x v="0"/>
    <n v="516111"/>
    <m/>
    <m/>
    <m/>
  </r>
  <r>
    <x v="15"/>
    <x v="1"/>
    <s v="C:\Users\andre\Desktop\REACTIV CEFAS\Dutasteride\Dutasteride/20201202_Cefas_Test8_Run2/Plate 2/@17/B8_01.tif "/>
    <s v=" 6856.6766 "/>
    <s v=" 33.5268 "/>
    <x v="0"/>
    <n v="229883"/>
    <m/>
    <m/>
    <m/>
  </r>
  <r>
    <x v="15"/>
    <x v="1"/>
    <s v="C:\Users\andre\Desktop\REACTIV CEFAS\Dutasteride\Dutasteride/20201202_Cefas_Test8_Run2/Plate 2/@17/B8_02.tif "/>
    <s v=" 8089.5806 "/>
    <s v=" 33.6551 "/>
    <x v="0"/>
    <n v="272255"/>
    <m/>
    <m/>
    <m/>
  </r>
  <r>
    <x v="15"/>
    <x v="1"/>
    <s v="C:\Users\andre\Desktop\REACTIV CEFAS\Dutasteride\Dutasteride/20201202_Cefas_Test8_Run2/Plate 2/@17/B8_03.tif "/>
    <s v=" 6835.0467 "/>
    <s v=" 32.8038 "/>
    <x v="0"/>
    <n v="224215"/>
    <m/>
    <m/>
    <m/>
  </r>
  <r>
    <x v="15"/>
    <x v="2"/>
    <s v="C:\Users\andre\Desktop\REACTIV CEFAS\Dutasteride\Dutasteride/20201202_Cefas_Test8_Run2/Plate 2/@17/C8_01.tif "/>
    <s v=" 15097.6665 "/>
    <s v=" 33.8281 "/>
    <x v="0"/>
    <n v="510725"/>
    <m/>
    <m/>
    <m/>
  </r>
  <r>
    <x v="15"/>
    <x v="2"/>
    <s v="C:\Users\andre\Desktop\REACTIV CEFAS\Dutasteride\Dutasteride/20201202_Cefas_Test8_Run2/Plate 2/@17/C8_02.tif "/>
    <s v=" 20526.77 "/>
    <s v=" 35.176 "/>
    <x v="0"/>
    <n v="722049"/>
    <m/>
    <m/>
    <m/>
  </r>
  <r>
    <x v="15"/>
    <x v="2"/>
    <s v="C:\Users\andre\Desktop\REACTIV CEFAS\Dutasteride\Dutasteride/20201202_Cefas_Test8_Run2/Plate 2/@17/C8_03.tif "/>
    <s v=" 6986.456 "/>
    <s v=" 34.2663 "/>
    <x v="0"/>
    <n v="239400"/>
    <m/>
    <m/>
    <m/>
  </r>
  <r>
    <x v="15"/>
    <x v="3"/>
    <s v="C:\Users\andre\Desktop\REACTIV CEFAS\Dutasteride\Dutasteride/20201202_Cefas_Test8_Run2/Plate 2/@17/D8_01- exclu.tif"/>
    <m/>
    <m/>
    <x v="1"/>
    <m/>
    <m/>
    <m/>
    <m/>
  </r>
  <r>
    <x v="15"/>
    <x v="3"/>
    <s v="C:\Users\andre\Desktop\REACTIV CEFAS\Dutasteride\Dutasteride/20201202_Cefas_Test8_Run2/Plate 2/@17/D8_02- exclu.tif"/>
    <m/>
    <m/>
    <x v="1"/>
    <m/>
    <m/>
    <m/>
    <m/>
  </r>
  <r>
    <x v="15"/>
    <x v="3"/>
    <s v="C:\Users\andre\Desktop\REACTIV CEFAS\Dutasteride\Dutasteride/20201202_Cefas_Test8_Run2/Plate 2/@17/D8_03- exclu.tif"/>
    <m/>
    <m/>
    <x v="1"/>
    <m/>
    <m/>
    <m/>
    <m/>
  </r>
  <r>
    <x v="15"/>
    <x v="4"/>
    <s v="C:\Users\andre\Desktop\REACTIV CEFAS\Dutasteride\Dutasteride/20201202_Cefas_Test8_Run2/Plate 2/@17/E8_01.tif "/>
    <s v=" 59547.0999 "/>
    <s v=" 41.3618 "/>
    <x v="0"/>
    <n v="2462974"/>
    <m/>
    <m/>
    <m/>
  </r>
  <r>
    <x v="15"/>
    <x v="4"/>
    <s v="C:\Users\andre\Desktop\REACTIV CEFAS\Dutasteride\Dutasteride/20201202_Cefas_Test8_Run2/Plate 2/@17/E8_02.tif "/>
    <s v=" 61104.4523 "/>
    <s v=" 42.4478 "/>
    <x v="0"/>
    <n v="2593749"/>
    <m/>
    <m/>
    <m/>
  </r>
  <r>
    <x v="15"/>
    <x v="4"/>
    <s v="C:\Users\andre\Desktop\REACTIV CEFAS\Dutasteride\Dutasteride/20201202_Cefas_Test8_Run2/Plate 2/@17/E8_03.tif "/>
    <s v=" 62380.6161 "/>
    <s v=" 47.9605 "/>
    <x v="0"/>
    <n v="2991804"/>
    <m/>
    <m/>
    <m/>
  </r>
  <r>
    <x v="15"/>
    <x v="5"/>
    <s v="C:\Users\andre\Desktop\REACTIV CEFAS\Dutasteride\Dutasteride/20201202_Cefas_Test8_Run2/Plate 2/@17/F8_01.tif "/>
    <s v=" 46396.124 "/>
    <s v=" 37.6294 "/>
    <x v="0"/>
    <n v="1745857"/>
    <m/>
    <m/>
    <m/>
  </r>
  <r>
    <x v="15"/>
    <x v="5"/>
    <s v="C:\Users\andre\Desktop\REACTIV CEFAS\Dutasteride\Dutasteride/20201202_Cefas_Test8_Run2/Plate 2/@17/F8_02.tif "/>
    <s v=" 58530.4949 "/>
    <s v=" 39.6112 "/>
    <x v="0"/>
    <n v="2318465"/>
    <m/>
    <m/>
    <m/>
  </r>
  <r>
    <x v="15"/>
    <x v="5"/>
    <s v="C:\Users\andre\Desktop\REACTIV CEFAS\Dutasteride\Dutasteride/20201202_Cefas_Test8_Run2/Plate 2/@17/F8_03.tif "/>
    <s v=" 50051.5762 "/>
    <s v=" 38.1962 "/>
    <x v="0"/>
    <n v="1911780"/>
    <m/>
    <m/>
    <m/>
  </r>
  <r>
    <x v="15"/>
    <x v="6"/>
    <s v="C:\Users\andre\Desktop\REACTIV CEFAS\Dutasteride\Dutasteride/20201202_Cefas_Test8_Run2/Plate 2/@17/G8_01- exclu.tif"/>
    <m/>
    <m/>
    <x v="1"/>
    <m/>
    <m/>
    <m/>
    <m/>
  </r>
  <r>
    <x v="15"/>
    <x v="6"/>
    <s v="C:\Users\andre\Desktop\REACTIV CEFAS\Dutasteride\Dutasteride/20201202_Cefas_Test8_Run2/Plate 2/@17/G8_02- exclu.tif"/>
    <m/>
    <m/>
    <x v="1"/>
    <m/>
    <m/>
    <m/>
    <m/>
  </r>
  <r>
    <x v="15"/>
    <x v="6"/>
    <s v="C:\Users\andre\Desktop\REACTIV CEFAS\Dutasteride\Dutasteride/20201202_Cefas_Test8_Run2/Plate 2/@17/G8_03.tif "/>
    <s v=" 15097.6665 "/>
    <s v=" 32.7507 "/>
    <x v="0"/>
    <n v="494459"/>
    <m/>
    <m/>
    <m/>
  </r>
  <r>
    <x v="15"/>
    <x v="7"/>
    <s v="C:\Users\andre\Desktop\REACTIV CEFAS\Dutasteride\Dutasteride/20201202_Cefas_Test8_Run2/Plate 2/@17/H8_01.tif "/>
    <s v=" 8219.36 "/>
    <s v=" 41.5474 "/>
    <x v="0"/>
    <n v="341493"/>
    <m/>
    <m/>
    <m/>
  </r>
  <r>
    <x v="15"/>
    <x v="7"/>
    <s v="C:\Users\andre\Desktop\REACTIV CEFAS\Dutasteride\Dutasteride/20201202_Cefas_Test8_Run2/Plate 2/@17/H8_02.tif "/>
    <s v=" 1189.6442 "/>
    <s v=" 31.6 "/>
    <x v="0"/>
    <n v="37593"/>
    <m/>
    <m/>
    <m/>
  </r>
  <r>
    <x v="15"/>
    <x v="7"/>
    <s v="C:\Users\andre\Desktop\REACTIV CEFAS\Dutasteride\Dutasteride/20201202_Cefas_Test8_Run2/Plate 2/@17/H8_03.tif "/>
    <s v=" 4996.5057 "/>
    <s v=" 40.368 "/>
    <x v="0"/>
    <n v="201699"/>
    <m/>
    <m/>
    <m/>
  </r>
  <r>
    <x v="1"/>
    <x v="8"/>
    <s v=" "/>
    <m/>
    <m/>
    <x v="1"/>
    <m/>
    <m/>
    <m/>
    <m/>
  </r>
  <r>
    <x v="1"/>
    <x v="8"/>
    <s v="group "/>
    <s v=" "/>
    <s v=" mean of mean fluo "/>
    <x v="2"/>
    <s v=" mean of total fluo "/>
    <s v=" SD total fluo "/>
    <s v=" n fluorescent "/>
    <s v=" n total"/>
  </r>
  <r>
    <x v="15"/>
    <x v="9"/>
    <s v="C:\Users\andre\Desktop\REACTIV CEFAS\Dutasteride\Dutasteride/20201202_Cefas_Test8_Run2/Plate 2/@17/ "/>
    <s v=" "/>
    <s v=" 36.2119 "/>
    <x v="17"/>
    <s v=" 894560.167 "/>
    <s v=" 927876.70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Dutasteride\Dutasteride/20201202_Cefas_Test8_Run2/Plate 2/@18/A9_01.tif "/>
    <s v=" 48753.7825 "/>
    <s v=" 38.6943 "/>
    <x v="0"/>
    <n v="1886495"/>
    <m/>
    <m/>
    <m/>
  </r>
  <r>
    <x v="16"/>
    <x v="0"/>
    <s v="C:\Users\andre\Desktop\REACTIV CEFAS\Dutasteride\Dutasteride/20201202_Cefas_Test8_Run2/Plate 2/@18/A9_02.tif "/>
    <s v=" 50505.804 "/>
    <s v=" 39.6989 "/>
    <x v="0"/>
    <n v="2005026"/>
    <m/>
    <m/>
    <m/>
  </r>
  <r>
    <x v="16"/>
    <x v="0"/>
    <s v="C:\Users\andre\Desktop\REACTIV CEFAS\Dutasteride\Dutasteride/20201202_Cefas_Test8_Run2/Plate 2/@18/A9_03.tif "/>
    <s v=" 42070.1451 "/>
    <s v=" 38.3918 "/>
    <x v="0"/>
    <n v="1615147"/>
    <m/>
    <m/>
    <m/>
  </r>
  <r>
    <x v="16"/>
    <x v="1"/>
    <s v="C:\Users\andre\Desktop\REACTIV CEFAS\Dutasteride\Dutasteride/20201202_Cefas_Test8_Run2/Plate 2/@18/B9_01.tif "/>
    <s v=" 15789.8231 "/>
    <s v=" 32.6877 "/>
    <x v="0"/>
    <n v="516133"/>
    <m/>
    <m/>
    <m/>
  </r>
  <r>
    <x v="16"/>
    <x v="1"/>
    <s v="C:\Users\andre\Desktop\REACTIV CEFAS\Dutasteride\Dutasteride/20201202_Cefas_Test8_Run2/Plate 2/@18/B9_02.tif "/>
    <s v=" 20007.6525 "/>
    <s v=" 33.2735 "/>
    <x v="0"/>
    <n v="665725"/>
    <m/>
    <m/>
    <m/>
  </r>
  <r>
    <x v="16"/>
    <x v="1"/>
    <s v="C:\Users\andre\Desktop\REACTIV CEFAS\Dutasteride\Dutasteride/20201202_Cefas_Test8_Run2/Plate 2/@18/B9_03.tif "/>
    <s v=" 32315.0626 "/>
    <s v=" 35.1961 "/>
    <x v="0"/>
    <n v="1137365"/>
    <m/>
    <m/>
    <m/>
  </r>
  <r>
    <x v="16"/>
    <x v="2"/>
    <s v="C:\Users\andre\Desktop\REACTIV CEFAS\Dutasteride\Dutasteride/20201202_Cefas_Test8_Run2/Plate 2/@18/C9_01.tif "/>
    <s v=" 67961.1289 "/>
    <s v=" 44.0016 "/>
    <x v="0"/>
    <n v="2990398"/>
    <m/>
    <m/>
    <m/>
  </r>
  <r>
    <x v="16"/>
    <x v="2"/>
    <s v="C:\Users\andre\Desktop\REACTIV CEFAS\Dutasteride\Dutasteride/20201202_Cefas_Test8_Run2/Plate 2/@18/C9_02.tif "/>
    <s v=" 69431.9618 "/>
    <s v=" 44.766 "/>
    <x v="0"/>
    <n v="3108194"/>
    <m/>
    <m/>
    <m/>
  </r>
  <r>
    <x v="16"/>
    <x v="2"/>
    <s v="C:\Users\andre\Desktop\REACTIV CEFAS\Dutasteride\Dutasteride/20201202_Cefas_Test8_Run2/Plate 2/@18/C9_03.tif "/>
    <s v=" 61255.8616 "/>
    <s v=" 47.0667 "/>
    <x v="0"/>
    <n v="2883114"/>
    <m/>
    <m/>
    <m/>
  </r>
  <r>
    <x v="16"/>
    <x v="3"/>
    <s v="C:\Users\andre\Desktop\REACTIV CEFAS\Dutasteride\Dutasteride/20201202_Cefas_Test8_Run2/Plate 2/@18/D9_01.tif "/>
    <s v=" 62229.2068 "/>
    <s v=" 44.4032 "/>
    <x v="0"/>
    <n v="2763176"/>
    <m/>
    <m/>
    <m/>
  </r>
  <r>
    <x v="16"/>
    <x v="3"/>
    <s v="C:\Users\andre\Desktop\REACTIV CEFAS\Dutasteride\Dutasteride/20201202_Cefas_Test8_Run2/Plate 2/@18/D9_02.tif "/>
    <s v=" 66598.4456 "/>
    <s v=" 49.4144 "/>
    <x v="0"/>
    <n v="3290924"/>
    <m/>
    <m/>
    <m/>
  </r>
  <r>
    <x v="16"/>
    <x v="3"/>
    <s v="C:\Users\andre\Desktop\REACTIV CEFAS\Dutasteride\Dutasteride/20201202_Cefas_Test8_Run2/Plate 2/@18/D9_03.tif "/>
    <s v=" 63375.5913 "/>
    <s v=" 47.9372 "/>
    <x v="0"/>
    <n v="3038048"/>
    <m/>
    <m/>
    <m/>
  </r>
  <r>
    <x v="16"/>
    <x v="4"/>
    <s v="C:\Users\andre\Desktop\REACTIV CEFAS\Dutasteride\Dutasteride/20201202_Cefas_Test8_Run2/Plate 2/@18/E9_01.tif "/>
    <s v=" 60780.0039 "/>
    <s v=" 46.1473 "/>
    <x v="0"/>
    <n v="2804835"/>
    <m/>
    <m/>
    <m/>
  </r>
  <r>
    <x v="16"/>
    <x v="4"/>
    <s v="C:\Users\andre\Desktop\REACTIV CEFAS\Dutasteride\Dutasteride/20201202_Cefas_Test8_Run2/Plate 2/@18/E9_02.tif "/>
    <s v=" 50181.3555 "/>
    <s v=" 49.0069 "/>
    <x v="0"/>
    <n v="2459232"/>
    <m/>
    <m/>
    <m/>
  </r>
  <r>
    <x v="16"/>
    <x v="4"/>
    <s v="C:\Users\andre\Desktop\REACTIV CEFAS\Dutasteride\Dutasteride/20201202_Cefas_Test8_Run2/Plate 2/@18/E9_03.tif "/>
    <s v=" 59179.3917 "/>
    <s v=" 47.2383 "/>
    <x v="0"/>
    <n v="2795534"/>
    <m/>
    <m/>
    <m/>
  </r>
  <r>
    <x v="16"/>
    <x v="5"/>
    <s v="C:\Users\andre\Desktop\REACTIV CEFAS\Dutasteride\Dutasteride/20201202_Cefas_Test8_Run2/Plate 2/@18/F9_01.tif "/>
    <s v=" 75985.8198 "/>
    <s v=" 48.7225 "/>
    <x v="0"/>
    <n v="3702216"/>
    <m/>
    <m/>
    <m/>
  </r>
  <r>
    <x v="16"/>
    <x v="5"/>
    <s v="C:\Users\andre\Desktop\REACTIV CEFAS\Dutasteride\Dutasteride/20201202_Cefas_Test8_Run2/Plate 2/@18/F9_02.tif "/>
    <s v=" 69864.5597 "/>
    <s v=" 45.5954 "/>
    <x v="0"/>
    <n v="3185499"/>
    <m/>
    <m/>
    <m/>
  </r>
  <r>
    <x v="16"/>
    <x v="5"/>
    <s v="C:\Users\andre\Desktop\REACTIV CEFAS\Dutasteride\Dutasteride/20201202_Cefas_Test8_Run2/Plate 2/@18/F9_03.tif "/>
    <s v=" 74839.4354 "/>
    <s v=" 48.4185 "/>
    <x v="0"/>
    <n v="3623613"/>
    <m/>
    <m/>
    <m/>
  </r>
  <r>
    <x v="16"/>
    <x v="6"/>
    <s v="C:\Users\andre\Desktop\REACTIV CEFAS\Dutasteride\Dutasteride/20201202_Cefas_Test8_Run2/Plate 2/@18/G9_01.tif "/>
    <s v=" 64500.3458 "/>
    <s v=" 49.3273 "/>
    <x v="0"/>
    <n v="3181628"/>
    <m/>
    <m/>
    <m/>
  </r>
  <r>
    <x v="16"/>
    <x v="6"/>
    <s v="C:\Users\andre\Desktop\REACTIV CEFAS\Dutasteride\Dutasteride/20201202_Cefas_Test8_Run2/Plate 2/@18/G9_02.tif "/>
    <s v=" 61666.8296 "/>
    <s v=" 48.9327 "/>
    <x v="0"/>
    <n v="3017522"/>
    <m/>
    <m/>
    <m/>
  </r>
  <r>
    <x v="16"/>
    <x v="6"/>
    <s v="C:\Users\andre\Desktop\REACTIV CEFAS\Dutasteride\Dutasteride/20201202_Cefas_Test8_Run2/Plate 2/@18/G9_03.tif "/>
    <s v=" 56237.726 "/>
    <s v=" 47.1508 "/>
    <x v="0"/>
    <n v="2651652"/>
    <m/>
    <m/>
    <m/>
  </r>
  <r>
    <x v="16"/>
    <x v="7"/>
    <s v="C:\Users\andre\Desktop\REACTIV CEFAS\Dutasteride\Dutasteride/20201202_Cefas_Test8_Run2/Plate 2/@18/H9_01.tif "/>
    <s v=" 27037.3683 "/>
    <s v=" 38.2544 "/>
    <x v="0"/>
    <n v="1034298"/>
    <m/>
    <m/>
    <m/>
  </r>
  <r>
    <x v="16"/>
    <x v="7"/>
    <s v="C:\Users\andre\Desktop\REACTIV CEFAS\Dutasteride\Dutasteride/20201202_Cefas_Test8_Run2/Plate 2/@18/H9_02.tif "/>
    <s v=" 22451.8306 "/>
    <s v=" 38.5308 "/>
    <x v="0"/>
    <n v="865088"/>
    <m/>
    <m/>
    <m/>
  </r>
  <r>
    <x v="16"/>
    <x v="7"/>
    <s v="C:\Users\andre\Desktop\REACTIV CEFAS\Dutasteride\Dutasteride/20201202_Cefas_Test8_Run2/Plate 2/@18/H9_03- exclu.tif"/>
    <m/>
    <m/>
    <x v="1"/>
    <m/>
    <m/>
    <m/>
    <m/>
  </r>
  <r>
    <x v="1"/>
    <x v="8"/>
    <s v=" "/>
    <m/>
    <m/>
    <x v="1"/>
    <m/>
    <m/>
    <m/>
    <m/>
  </r>
  <r>
    <x v="1"/>
    <x v="8"/>
    <s v="group "/>
    <s v=" "/>
    <s v=" mean of mean fluo "/>
    <x v="2"/>
    <s v=" mean of total fluo "/>
    <s v=" SD total fluo "/>
    <s v=" n fluorescent "/>
    <s v=" n total"/>
  </r>
  <r>
    <x v="16"/>
    <x v="9"/>
    <s v="C:\Users\andre\Desktop\REACTIV CEFAS\Dutasteride\Dutasteride/20201202_Cefas_Test8_Run2/Plate 2/@18/ "/>
    <s v=" "/>
    <s v=" 43.2592 "/>
    <x v="18"/>
    <s v=" 2330574.29 "/>
    <s v=" 1016044.3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Dutasteride\Dutasteride/20201202_Cefas_Test8_Run2/Plate 2/@19/A10_01.tif "/>
    <s v=" 61385.641 "/>
    <s v=" 37.5821 "/>
    <x v="0"/>
    <n v="2307001"/>
    <m/>
    <m/>
    <m/>
  </r>
  <r>
    <x v="17"/>
    <x v="0"/>
    <s v="C:\Users\andre\Desktop\REACTIV CEFAS\Dutasteride\Dutasteride/20201202_Cefas_Test8_Run2/Plate 2/@19/A10_02.tif "/>
    <s v=" 67398.7517 "/>
    <s v=" 37.7224 "/>
    <x v="0"/>
    <n v="2542443"/>
    <m/>
    <m/>
    <m/>
  </r>
  <r>
    <x v="17"/>
    <x v="0"/>
    <s v="C:\Users\andre\Desktop\REACTIV CEFAS\Dutasteride\Dutasteride/20201202_Cefas_Test8_Run2/Plate 2/@19/A10_03.tif "/>
    <s v=" 68653.2856 "/>
    <s v=" 40.3129 "/>
    <x v="0"/>
    <n v="2767610"/>
    <m/>
    <m/>
    <m/>
  </r>
  <r>
    <x v="17"/>
    <x v="1"/>
    <s v="C:\Users\andre\Desktop\REACTIV CEFAS\Dutasteride\Dutasteride/20201202_Cefas_Test8_Run2/Plate 2/@19/B10_01.tif "/>
    <s v=" 8889.8867 "/>
    <s v=" 34.4063 "/>
    <x v="0"/>
    <n v="305868"/>
    <m/>
    <m/>
    <m/>
  </r>
  <r>
    <x v="17"/>
    <x v="1"/>
    <s v="C:\Users\andre\Desktop\REACTIV CEFAS\Dutasteride\Dutasteride/20201202_Cefas_Test8_Run2/Plate 2/@19/B10_02.tif "/>
    <s v=" 7159.4951 "/>
    <s v=" 35.8943 "/>
    <x v="0"/>
    <n v="256985"/>
    <m/>
    <m/>
    <m/>
  </r>
  <r>
    <x v="17"/>
    <x v="1"/>
    <s v="C:\Users\andre\Desktop\REACTIV CEFAS\Dutasteride\Dutasteride/20201202_Cefas_Test8_Run2/Plate 2/@19/B10_03.tif "/>
    <s v=" 3482.413 "/>
    <s v=" 32.4596 "/>
    <x v="0"/>
    <n v="113038"/>
    <m/>
    <m/>
    <m/>
  </r>
  <r>
    <x v="17"/>
    <x v="2"/>
    <s v="C:\Users\andre\Desktop\REACTIV CEFAS\Dutasteride\Dutasteride/20201202_Cefas_Test8_Run2/Plate 2/@19/C10_01- exclu.tif"/>
    <m/>
    <m/>
    <x v="1"/>
    <m/>
    <m/>
    <m/>
    <m/>
  </r>
  <r>
    <x v="17"/>
    <x v="2"/>
    <s v="C:\Users\andre\Desktop\REACTIV CEFAS\Dutasteride\Dutasteride/20201202_Cefas_Test8_Run2/Plate 2/@19/C10_02- exclu.tif"/>
    <m/>
    <m/>
    <x v="1"/>
    <m/>
    <m/>
    <m/>
    <m/>
  </r>
  <r>
    <x v="17"/>
    <x v="2"/>
    <s v="C:\Users\andre\Desktop\REACTIV CEFAS\Dutasteride\Dutasteride/20201202_Cefas_Test8_Run2/Plate 2/@19/C10_03- exclu.tif"/>
    <m/>
    <m/>
    <x v="1"/>
    <m/>
    <m/>
    <m/>
    <m/>
  </r>
  <r>
    <x v="17"/>
    <x v="3"/>
    <s v="C:\Users\andre\Desktop\REACTIV CEFAS\Dutasteride\Dutasteride/20201202_Cefas_Test8_Run2/Plate 2/@19/D10_01.tif "/>
    <s v=" 70686.4956 "/>
    <s v=" 47.5101 "/>
    <x v="0"/>
    <n v="3358322"/>
    <m/>
    <m/>
    <m/>
  </r>
  <r>
    <x v="17"/>
    <x v="3"/>
    <s v="C:\Users\andre\Desktop\REACTIV CEFAS\Dutasteride\Dutasteride/20201202_Cefas_Test8_Run2/Plate 2/@19/D10_02.tif "/>
    <s v=" 66209.1075 "/>
    <s v=" 46.0817 "/>
    <x v="0"/>
    <n v="3051026"/>
    <m/>
    <m/>
    <m/>
  </r>
  <r>
    <x v="17"/>
    <x v="3"/>
    <s v="C:\Users\andre\Desktop\REACTIV CEFAS\Dutasteride\Dutasteride/20201202_Cefas_Test8_Run2/Plate 2/@19/D10_03.tif "/>
    <s v=" 69734.7803 "/>
    <s v=" 47.5174 "/>
    <x v="0"/>
    <n v="3313613"/>
    <m/>
    <m/>
    <m/>
  </r>
  <r>
    <x v="17"/>
    <x v="4"/>
    <s v="C:\Users\andre\Desktop\REACTIV CEFAS\Dutasteride\Dutasteride/20201202_Cefas_Test8_Run2/Plate 2/@19/E10_01.tif "/>
    <s v=" 72762.9655 "/>
    <s v=" 46.9218 "/>
    <x v="0"/>
    <n v="3414171"/>
    <m/>
    <m/>
    <m/>
  </r>
  <r>
    <x v="17"/>
    <x v="4"/>
    <s v="C:\Users\andre\Desktop\REACTIV CEFAS\Dutasteride\Dutasteride/20201202_Cefas_Test8_Run2/Plate 2/@19/E10_02.tif "/>
    <s v=" 64262.4169 "/>
    <s v=" 47.2757 "/>
    <x v="0"/>
    <n v="3038048"/>
    <m/>
    <m/>
    <m/>
  </r>
  <r>
    <x v="17"/>
    <x v="4"/>
    <s v="C:\Users\andre\Desktop\REACTIV CEFAS\Dutasteride\Dutasteride/20201202_Cefas_Test8_Run2/Plate 2/@19/E10_03.tif "/>
    <s v=" 77197.0939 "/>
    <s v=" 48.4716 "/>
    <x v="0"/>
    <n v="3741864"/>
    <m/>
    <m/>
    <m/>
  </r>
  <r>
    <x v="17"/>
    <x v="5"/>
    <s v="C:\Users\andre\Desktop\REACTIV CEFAS\Dutasteride\Dutasteride/20201202_Cefas_Test8_Run2/Plate 2/@19/F10_01.tif "/>
    <s v=" 68242.3176 "/>
    <s v=" 48.6269 "/>
    <x v="0"/>
    <n v="3318415"/>
    <m/>
    <m/>
    <m/>
  </r>
  <r>
    <x v="17"/>
    <x v="5"/>
    <s v="C:\Users\andre\Desktop\REACTIV CEFAS\Dutasteride\Dutasteride/20201202_Cefas_Test8_Run2/Plate 2/@19/F10_02.tif "/>
    <s v=" 68631.6557 "/>
    <s v=" 48.5194 "/>
    <x v="0"/>
    <n v="3329966"/>
    <m/>
    <m/>
    <m/>
  </r>
  <r>
    <x v="17"/>
    <x v="5"/>
    <s v="C:\Users\andre\Desktop\REACTIV CEFAS\Dutasteride\Dutasteride/20201202_Cefas_Test8_Run2/Plate 2/@19/F10_03.tif "/>
    <s v=" 70470.1967 "/>
    <s v=" 49.6839 "/>
    <x v="0"/>
    <n v="3501231"/>
    <m/>
    <m/>
    <m/>
  </r>
  <r>
    <x v="17"/>
    <x v="6"/>
    <s v="C:\Users\andre\Desktop\REACTIV CEFAS\Dutasteride\Dutasteride/20201202_Cefas_Test8_Run2/Plate 2/@19/G10_01.tif "/>
    <s v=" 22127.3822 "/>
    <s v=" 37.1105 "/>
    <x v="0"/>
    <n v="821157"/>
    <m/>
    <m/>
    <m/>
  </r>
  <r>
    <x v="17"/>
    <x v="6"/>
    <s v="C:\Users\andre\Desktop\REACTIV CEFAS\Dutasteride\Dutasteride/20201202_Cefas_Test8_Run2/Plate 2/@19/G10_02.tif "/>
    <s v=" 15746.5633 "/>
    <s v=" 34.4629 "/>
    <x v="0"/>
    <n v="542672"/>
    <m/>
    <m/>
    <m/>
  </r>
  <r>
    <x v="17"/>
    <x v="6"/>
    <s v="C:\Users\andre\Desktop\REACTIV CEFAS\Dutasteride\Dutasteride/20201202_Cefas_Test8_Run2/Plate 2/@19/G10_03.tif "/>
    <s v=" 17282.2858 "/>
    <s v=" 35.03 "/>
    <x v="0"/>
    <n v="605399"/>
    <m/>
    <m/>
    <m/>
  </r>
  <r>
    <x v="17"/>
    <x v="7"/>
    <s v="C:\Users\andre\Desktop\REACTIV CEFAS\Dutasteride\Dutasteride/20201202_Cefas_Test8_Run2/Plate 2/@19/H10_01.tif "/>
    <s v=" 58465.6052 "/>
    <s v=" 42.5575 "/>
    <x v="0"/>
    <n v="2488152"/>
    <m/>
    <m/>
    <m/>
  </r>
  <r>
    <x v="17"/>
    <x v="7"/>
    <s v="C:\Users\andre\Desktop\REACTIV CEFAS\Dutasteride\Dutasteride/20201202_Cefas_Test8_Run2/Plate 2/@19/H10_02.tif "/>
    <s v=" 60152.737 "/>
    <s v=" 42.6872 "/>
    <x v="0"/>
    <n v="2567750"/>
    <m/>
    <m/>
    <m/>
  </r>
  <r>
    <x v="17"/>
    <x v="7"/>
    <s v="C:\Users\andre\Desktop\REACTIV CEFAS\Dutasteride\Dutasteride/20201202_Cefas_Test8_Run2/Plate 2/@19/H10_03.tif "/>
    <s v=" 54161.2562 "/>
    <s v=" 41.77 "/>
    <x v="0"/>
    <n v="2262314"/>
    <m/>
    <m/>
    <m/>
  </r>
  <r>
    <x v="1"/>
    <x v="8"/>
    <s v=" "/>
    <m/>
    <m/>
    <x v="1"/>
    <m/>
    <m/>
    <m/>
    <m/>
  </r>
  <r>
    <x v="1"/>
    <x v="8"/>
    <s v="group "/>
    <s v=" "/>
    <s v=" mean of mean fluo "/>
    <x v="2"/>
    <s v=" mean of total fluo "/>
    <s v=" SD total fluo "/>
    <s v=" n fluorescent "/>
    <s v=" n total"/>
  </r>
  <r>
    <x v="17"/>
    <x v="9"/>
    <s v="C:\Users\andre\Desktop\REACTIV CEFAS\Dutasteride\Dutasteride/20201202_Cefas_Test8_Run2/Plate 2/@19/ "/>
    <s v=" "/>
    <s v=" 41.7795 "/>
    <x v="19"/>
    <s v=" 2031714.92 "/>
    <s v=" 1335399.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Dutasteride\Dutasteride/20201202_Cefas_Test8_Run2/Plate 2/@20/A11_01.tif "/>
    <s v=" 75769.5209 "/>
    <s v=" 43.6771 "/>
    <x v="0"/>
    <n v="3309396"/>
    <m/>
    <m/>
    <m/>
  </r>
  <r>
    <x v="18"/>
    <x v="0"/>
    <s v="C:\Users\andre\Desktop\REACTIV CEFAS\Dutasteride\Dutasteride/20201202_Cefas_Test8_Run2/Plate 2/@20/A11_02.tif "/>
    <s v=" 83859.1015 "/>
    <s v=" 47.5308 "/>
    <x v="0"/>
    <n v="3985892"/>
    <m/>
    <m/>
    <m/>
  </r>
  <r>
    <x v="18"/>
    <x v="0"/>
    <s v="C:\Users\andre\Desktop\REACTIV CEFAS\Dutasteride\Dutasteride/20201202_Cefas_Test8_Run2/Plate 2/@20/A11_03.tif "/>
    <s v=" 74233.7984 "/>
    <s v=" 43.6259 "/>
    <x v="0"/>
    <n v="3238514"/>
    <m/>
    <m/>
    <m/>
  </r>
  <r>
    <x v="18"/>
    <x v="1"/>
    <s v="C:\Users\andre\Desktop\REACTIV CEFAS\Dutasteride\Dutasteride/20201202_Cefas_Test8_Run2/Plate 2/@20/B11_01.tif "/>
    <s v=" 42329.7038 "/>
    <s v=" 42.8523 "/>
    <x v="0"/>
    <n v="1813926"/>
    <m/>
    <m/>
    <m/>
  </r>
  <r>
    <x v="18"/>
    <x v="1"/>
    <s v="C:\Users\andre\Desktop\REACTIV CEFAS\Dutasteride\Dutasteride/20201202_Cefas_Test8_Run2/Plate 2/@20/B11_02.tif "/>
    <s v=" 37960.4651 "/>
    <s v=" 40.2735 "/>
    <x v="0"/>
    <n v="1528801"/>
    <m/>
    <m/>
    <m/>
  </r>
  <r>
    <x v="18"/>
    <x v="1"/>
    <s v="C:\Users\andre\Desktop\REACTIV CEFAS\Dutasteride\Dutasteride/20201202_Cefas_Test8_Run2/Plate 2/@20/B11_03.tif "/>
    <s v=" 45055.0705 "/>
    <s v=" 43.8886 "/>
    <x v="0"/>
    <n v="1977405"/>
    <m/>
    <m/>
    <m/>
  </r>
  <r>
    <x v="18"/>
    <x v="2"/>
    <s v="C:\Users\andre\Desktop\REACTIV CEFAS\Dutasteride\Dutasteride/20201202_Cefas_Test8_Run2/Plate 2/@20/C11_01.tif "/>
    <s v=" 44060.0954 "/>
    <s v=" 37.7815 "/>
    <x v="0"/>
    <n v="1664658"/>
    <m/>
    <m/>
    <m/>
  </r>
  <r>
    <x v="18"/>
    <x v="2"/>
    <s v="C:\Users\andre\Desktop\REACTIV CEFAS\Dutasteride\Dutasteride/20201202_Cefas_Test8_Run2/Plate 2/@20/C11_02.tif "/>
    <s v=" 47282.9497 "/>
    <s v=" 40.3742 "/>
    <x v="0"/>
    <n v="1909011"/>
    <m/>
    <m/>
    <m/>
  </r>
  <r>
    <x v="18"/>
    <x v="2"/>
    <s v="C:\Users\andre\Desktop\REACTIV CEFAS\Dutasteride\Dutasteride/20201202_Cefas_Test8_Run2/Plate 2/@20/C11_03.tif "/>
    <s v=" 38890.5505 "/>
    <s v=" 37.1468 "/>
    <x v="0"/>
    <n v="1444661"/>
    <m/>
    <m/>
    <m/>
  </r>
  <r>
    <x v="18"/>
    <x v="3"/>
    <s v="C:\Users\andre\Desktop\REACTIV CEFAS\Dutasteride\Dutasteride/20201202_Cefas_Test8_Run2/Plate 2/@20/D11_01.tif "/>
    <s v=" 76375.1579 "/>
    <s v=" 52.4625 "/>
    <x v="0"/>
    <n v="4006830"/>
    <m/>
    <m/>
    <m/>
  </r>
  <r>
    <x v="18"/>
    <x v="3"/>
    <s v="C:\Users\andre\Desktop\REACTIV CEFAS\Dutasteride\Dutasteride/20201202_Cefas_Test8_Run2/Plate 2/@20/D11_02.tif "/>
    <s v=" 76894.2754 "/>
    <s v=" 55.2911 "/>
    <x v="0"/>
    <n v="4251572"/>
    <m/>
    <m/>
    <m/>
  </r>
  <r>
    <x v="18"/>
    <x v="3"/>
    <s v="C:\Users\andre\Desktop\REACTIV CEFAS\Dutasteride\Dutasteride/20201202_Cefas_Test8_Run2/Plate 2/@20/D11_03.tif "/>
    <s v=" 74688.0262 "/>
    <s v=" 49.7782 "/>
    <x v="0"/>
    <n v="3717833"/>
    <m/>
    <m/>
    <m/>
  </r>
  <r>
    <x v="18"/>
    <x v="4"/>
    <s v="C:\Users\andre\Desktop\REACTIV CEFAS\Dutasteride\Dutasteride/20201202_Cefas_Test8_Run2/Plate 2/@20/E11_01.tif "/>
    <s v=" 73606.5314 "/>
    <s v=" 48.8933 "/>
    <x v="0"/>
    <n v="3598868"/>
    <m/>
    <m/>
    <m/>
  </r>
  <r>
    <x v="18"/>
    <x v="4"/>
    <s v="C:\Users\andre\Desktop\REACTIV CEFAS\Dutasteride\Dutasteride/20201202_Cefas_Test8_Run2/Plate 2/@20/E11_02.tif "/>
    <s v=" 71205.6131 "/>
    <s v=" 51.4371 "/>
    <x v="0"/>
    <n v="3662612"/>
    <m/>
    <m/>
    <m/>
  </r>
  <r>
    <x v="18"/>
    <x v="4"/>
    <s v="C:\Users\andre\Desktop\REACTIV CEFAS\Dutasteride\Dutasteride/20201202_Cefas_Test8_Run2/Plate 2/@20/E11_03.tif "/>
    <s v=" 67896.2392 "/>
    <s v=" 47.4543 "/>
    <x v="0"/>
    <n v="3221967"/>
    <m/>
    <m/>
    <m/>
  </r>
  <r>
    <x v="18"/>
    <x v="5"/>
    <s v="C:\Users\andre\Desktop\REACTIV CEFAS\Dutasteride\Dutasteride/20201202_Cefas_Test8_Run2/Plate 2/@20/F11_01.tif "/>
    <s v=" 55978.1673 "/>
    <s v=" 38.9455 "/>
    <x v="0"/>
    <n v="2180099"/>
    <m/>
    <m/>
    <m/>
  </r>
  <r>
    <x v="18"/>
    <x v="5"/>
    <s v="C:\Users\andre\Desktop\REACTIV CEFAS\Dutasteride\Dutasteride/20201202_Cefas_Test8_Run2/Plate 2/@20/F11_02.tif "/>
    <s v=" 60239.2565 "/>
    <s v=" 40.4456 "/>
    <x v="0"/>
    <n v="2436413"/>
    <m/>
    <m/>
    <m/>
  </r>
  <r>
    <x v="18"/>
    <x v="5"/>
    <s v="C:\Users\andre\Desktop\REACTIV CEFAS\Dutasteride\Dutasteride/20201202_Cefas_Test8_Run2/Plate 2/@20/F11_03.tif "/>
    <s v=" 57773.4486 "/>
    <s v=" 38.7319 "/>
    <x v="0"/>
    <n v="2237677"/>
    <m/>
    <m/>
    <m/>
  </r>
  <r>
    <x v="18"/>
    <x v="6"/>
    <s v="C:\Users\andre\Desktop\REACTIV CEFAS\Dutasteride\Dutasteride/20201202_Cefas_Test8_Run2/Plate 2/@20/G11_01.tif "/>
    <s v=" 71746.3605 "/>
    <s v=" 57.4052 "/>
    <x v="0"/>
    <n v="4118613"/>
    <m/>
    <m/>
    <m/>
  </r>
  <r>
    <x v="18"/>
    <x v="6"/>
    <s v="C:\Users\andre\Desktop\REACTIV CEFAS\Dutasteride\Dutasteride/20201202_Cefas_Test8_Run2/Plate 2/@20/G11_02.tif "/>
    <s v=" 63721.6696 "/>
    <s v=" 56.7889 "/>
    <x v="0"/>
    <n v="3618681"/>
    <m/>
    <m/>
    <m/>
  </r>
  <r>
    <x v="18"/>
    <x v="6"/>
    <s v="C:\Users\andre\Desktop\REACTIV CEFAS\Dutasteride\Dutasteride/20201202_Cefas_Test8_Run2/Plate 2/@20/G11_03.tif "/>
    <s v=" 69172.403 "/>
    <s v=" 54.6329 "/>
    <x v="0"/>
    <n v="3779089"/>
    <m/>
    <m/>
    <m/>
  </r>
  <r>
    <x v="18"/>
    <x v="7"/>
    <s v="C:\Users\andre\Desktop\REACTIV CEFAS\Dutasteride\Dutasteride/20201202_Cefas_Test8_Run2/Plate 2/@20/H11_01.tif "/>
    <s v=" 43411.1985 "/>
    <s v=" 39.1565 "/>
    <x v="0"/>
    <n v="1699829"/>
    <m/>
    <m/>
    <m/>
  </r>
  <r>
    <x v="18"/>
    <x v="7"/>
    <s v="C:\Users\andre\Desktop\REACTIV CEFAS\Dutasteride\Dutasteride/20201202_Cefas_Test8_Run2/Plate 2/@20/H11_02.tif "/>
    <s v=" 42978.6006 "/>
    <s v=" 38.4605 "/>
    <x v="0"/>
    <n v="1652978"/>
    <m/>
    <m/>
    <m/>
  </r>
  <r>
    <x v="18"/>
    <x v="7"/>
    <s v="C:\Users\andre\Desktop\REACTIV CEFAS\Dutasteride\Dutasteride/20201202_Cefas_Test8_Run2/Plate 2/@20/H11_03.tif "/>
    <s v=" 37938.8352 "/>
    <s v=" 36.8193 "/>
    <x v="0"/>
    <n v="1396880"/>
    <m/>
    <m/>
    <m/>
  </r>
  <r>
    <x v="1"/>
    <x v="8"/>
    <s v=" "/>
    <m/>
    <m/>
    <x v="1"/>
    <m/>
    <m/>
    <m/>
    <m/>
  </r>
  <r>
    <x v="1"/>
    <x v="8"/>
    <s v="group "/>
    <s v=" "/>
    <s v=" mean of mean fluo "/>
    <x v="2"/>
    <s v=" mean of total fluo "/>
    <s v=" SD total fluo "/>
    <s v=" n fluorescent "/>
    <s v=" n total"/>
  </r>
  <r>
    <x v="18"/>
    <x v="9"/>
    <s v="C:\Users\andre\Desktop\REACTIV CEFAS\Dutasteride\Dutasteride/20201202_Cefas_Test8_Run2/Plate 2/@20/ "/>
    <s v=" "/>
    <s v=" 45.1606 "/>
    <x v="20"/>
    <s v=" 2768841.88 "/>
    <s v=" 1014694.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Dutasteride\Dutasteride/20201202_Cefas_Test8_Run2/Plate 2/@21/A12_01.tif "/>
    <s v=" 38003.7249 "/>
    <s v=" 36.1508 "/>
    <x v="0"/>
    <n v="1373866"/>
    <m/>
    <m/>
    <m/>
  </r>
  <r>
    <x v="19"/>
    <x v="0"/>
    <s v="C:\Users\andre\Desktop\REACTIV CEFAS\Dutasteride\Dutasteride/20201202_Cefas_Test8_Run2/Plate 2/@21/A12_02.tif "/>
    <s v=" 36424.7426 "/>
    <s v=" 36.6366 "/>
    <x v="0"/>
    <n v="1334478"/>
    <m/>
    <m/>
    <m/>
  </r>
  <r>
    <x v="19"/>
    <x v="0"/>
    <s v="C:\Users\andre\Desktop\REACTIV CEFAS\Dutasteride\Dutasteride/20201202_Cefas_Test8_Run2/Plate 2/@21/A12_03.tif "/>
    <s v=" 40837.2411 "/>
    <s v=" 36.8565 "/>
    <x v="0"/>
    <n v="1505116"/>
    <m/>
    <m/>
    <m/>
  </r>
  <r>
    <x v="19"/>
    <x v="1"/>
    <s v="C:\Users\andre\Desktop\REACTIV CEFAS\Dutasteride\Dutasteride/20201202_Cefas_Test8_Run2/Plate 2/@21/B12_01.tif "/>
    <s v=" 52993.2418 "/>
    <s v=" 44.391 "/>
    <x v="0"/>
    <n v="2352424"/>
    <m/>
    <m/>
    <m/>
  </r>
  <r>
    <x v="19"/>
    <x v="1"/>
    <s v="C:\Users\andre\Desktop\REACTIV CEFAS\Dutasteride\Dutasteride/20201202_Cefas_Test8_Run2/Plate 2/@21/B12_02.tif "/>
    <s v=" 51349.3698 "/>
    <s v=" 41.9284 "/>
    <x v="0"/>
    <n v="2152996"/>
    <m/>
    <m/>
    <m/>
  </r>
  <r>
    <x v="19"/>
    <x v="1"/>
    <s v="C:\Users\andre\Desktop\REACTIV CEFAS\Dutasteride\Dutasteride/20201202_Cefas_Test8_Run2/Plate 2/@21/B12_03.tif "/>
    <s v=" 49835.2772 "/>
    <s v=" 45.421 "/>
    <x v="0"/>
    <n v="2263568"/>
    <m/>
    <m/>
    <m/>
  </r>
  <r>
    <x v="19"/>
    <x v="2"/>
    <s v="C:\Users\andre\Desktop\REACTIV CEFAS\Dutasteride\Dutasteride/20201202_Cefas_Test8_Run2/Plate 2/@21/C12_01.tif "/>
    <s v=" 216.2989 "/>
    <s v=" 32.2 "/>
    <x v="0"/>
    <n v="6965"/>
    <m/>
    <m/>
    <m/>
  </r>
  <r>
    <x v="19"/>
    <x v="2"/>
    <s v="C:\Users\andre\Desktop\REACTIV CEFAS\Dutasteride\Dutasteride/20201202_Cefas_Test8_Run2/Plate 2/@21/C12_02.tif "/>
    <s v=" 1081.4947 "/>
    <s v=" 31.96 "/>
    <x v="0"/>
    <n v="34565"/>
    <m/>
    <m/>
    <m/>
  </r>
  <r>
    <x v="19"/>
    <x v="2"/>
    <s v="C:\Users\andre\Desktop\REACTIV CEFAS\Dutasteride\Dutasteride/20201202_Cefas_Test8_Run2/Plate 2/@21/C12_03.tif "/>
    <n v="0"/>
    <n v="0"/>
    <x v="0"/>
    <n v="0"/>
    <m/>
    <m/>
    <m/>
  </r>
  <r>
    <x v="19"/>
    <x v="3"/>
    <s v="C:\Users\andre\Desktop\REACTIV CEFAS\Dutasteride\Dutasteride/20201202_Cefas_Test8_Run2/Plate 2/@21/D12_01.tif "/>
    <s v=" 37289.9383 "/>
    <s v=" 34.1172 "/>
    <x v="0"/>
    <n v="1272227"/>
    <m/>
    <m/>
    <m/>
  </r>
  <r>
    <x v="19"/>
    <x v="3"/>
    <s v="C:\Users\andre\Desktop\REACTIV CEFAS\Dutasteride\Dutasteride/20201202_Cefas_Test8_Run2/Plate 2/@21/D12_02.tif "/>
    <s v=" 19293.866 "/>
    <s v=" 33.4103 "/>
    <x v="0"/>
    <n v="644614"/>
    <m/>
    <m/>
    <m/>
  </r>
  <r>
    <x v="19"/>
    <x v="3"/>
    <s v="C:\Users\andre\Desktop\REACTIV CEFAS\Dutasteride\Dutasteride/20201202_Cefas_Test8_Run2/Plate 2/@21/D12_03.tif "/>
    <s v=" 38479.5825 "/>
    <s v=" 33.9213 "/>
    <x v="0"/>
    <n v="1305278"/>
    <m/>
    <m/>
    <m/>
  </r>
  <r>
    <x v="19"/>
    <x v="4"/>
    <s v="C:\Users\andre\Desktop\REACTIV CEFAS\Dutasteride\Dutasteride/20201202_Cefas_Test8_Run2/Plate 2/@21/E12_01.tif "/>
    <s v=" 37354.828 "/>
    <s v=" 39.8715 "/>
    <x v="0"/>
    <n v="1489391"/>
    <m/>
    <m/>
    <m/>
  </r>
  <r>
    <x v="19"/>
    <x v="4"/>
    <s v="C:\Users\andre\Desktop\REACTIV CEFAS\Dutasteride\Dutasteride/20201202_Cefas_Test8_Run2/Plate 2/@21/E12_02.tif "/>
    <s v=" 37506.2373 "/>
    <s v=" 41.1557 "/>
    <x v="0"/>
    <n v="1543596"/>
    <m/>
    <m/>
    <m/>
  </r>
  <r>
    <x v="19"/>
    <x v="4"/>
    <s v="C:\Users\andre\Desktop\REACTIV CEFAS\Dutasteride\Dutasteride/20201202_Cefas_Test8_Run2/Plate 2/@21/E12_03.tif "/>
    <s v=" 35602.8066 "/>
    <s v=" 40.0468 "/>
    <x v="0"/>
    <n v="1425778"/>
    <m/>
    <m/>
    <m/>
  </r>
  <r>
    <x v="19"/>
    <x v="5"/>
    <s v="C:\Users\andre\Desktop\REACTIV CEFAS\Dutasteride\Dutasteride/20201202_Cefas_Test8_Run2/Plate 2/@21/F12_01.tif "/>
    <s v=" 46850.3518 "/>
    <s v=" 38.4871 "/>
    <x v="0"/>
    <n v="1803133"/>
    <m/>
    <m/>
    <m/>
  </r>
  <r>
    <x v="19"/>
    <x v="5"/>
    <s v="C:\Users\andre\Desktop\REACTIV CEFAS\Dutasteride\Dutasteride/20201202_Cefas_Test8_Run2/Plate 2/@21/F12_02.tif "/>
    <s v=" 47737.1774 "/>
    <s v=" 40.1921 "/>
    <x v="0"/>
    <n v="1918658"/>
    <m/>
    <m/>
    <m/>
  </r>
  <r>
    <x v="19"/>
    <x v="5"/>
    <s v="C:\Users\andre\Desktop\REACTIV CEFAS\Dutasteride\Dutasteride/20201202_Cefas_Test8_Run2/Plate 2/@21/F12_03.tif "/>
    <s v=" 50202.9854 "/>
    <s v=" 40.8772 "/>
    <x v="0"/>
    <n v="2052158"/>
    <m/>
    <m/>
    <m/>
  </r>
  <r>
    <x v="19"/>
    <x v="6"/>
    <s v="C:\Users\andre\Desktop\REACTIV CEFAS\Dutasteride\Dutasteride/20201202_Cefas_Test8_Run2/Plate 2/@21/G12_01.tif "/>
    <s v=" 42848.8213 "/>
    <s v=" 39.7143 "/>
    <x v="0"/>
    <n v="1701710"/>
    <m/>
    <m/>
    <m/>
  </r>
  <r>
    <x v="19"/>
    <x v="6"/>
    <s v="C:\Users\andre\Desktop\REACTIV CEFAS\Dutasteride\Dutasteride/20201202_Cefas_Test8_Run2/Plate 2/@21/G12_02.tif "/>
    <s v=" 43951.9459 "/>
    <s v=" 41.0837 "/>
    <x v="0"/>
    <n v="1805707"/>
    <m/>
    <m/>
    <m/>
  </r>
  <r>
    <x v="19"/>
    <x v="6"/>
    <s v="C:\Users\andre\Desktop\REACTIV CEFAS\Dutasteride\Dutasteride/20201202_Cefas_Test8_Run2/Plate 2/@21/G12_03.tif "/>
    <s v=" 44168.2448 "/>
    <s v=" 41.2316 "/>
    <x v="0"/>
    <n v="1821129"/>
    <m/>
    <m/>
    <m/>
  </r>
  <r>
    <x v="19"/>
    <x v="7"/>
    <s v="C:\Users\andre\Desktop\REACTIV CEFAS\Dutasteride\Dutasteride/20201202_Cefas_Test8_Run2/Plate 2/@21/H12_01.tif "/>
    <s v=" 54961.5623 "/>
    <s v=" 50.5309 "/>
    <x v="0"/>
    <n v="2777257"/>
    <m/>
    <m/>
    <m/>
  </r>
  <r>
    <x v="19"/>
    <x v="7"/>
    <s v="C:\Users\andre\Desktop\REACTIV CEFAS\Dutasteride\Dutasteride/20201202_Cefas_Test8_Run2/Plate 2/@21/H12_02- exclu.tif"/>
    <m/>
    <m/>
    <x v="1"/>
    <m/>
    <m/>
    <m/>
    <m/>
  </r>
  <r>
    <x v="19"/>
    <x v="7"/>
    <s v="C:\Users\andre\Desktop\REACTIV CEFAS\Dutasteride\Dutasteride/20201202_Cefas_Test8_Run2/Plate 2/@21/H12_03.tif "/>
    <s v=" 54745.2633 "/>
    <s v=" 46.6519 "/>
    <x v="0"/>
    <n v="2553971"/>
    <m/>
    <m/>
    <m/>
  </r>
  <r>
    <x v="1"/>
    <x v="8"/>
    <s v=" "/>
    <m/>
    <m/>
    <x v="1"/>
    <m/>
    <m/>
    <m/>
    <m/>
  </r>
  <r>
    <x v="1"/>
    <x v="8"/>
    <s v="group "/>
    <s v=" "/>
    <s v=" mean of mean fluo "/>
    <x v="2"/>
    <s v=" mean of total fluo "/>
    <s v=" SD total fluo "/>
    <s v=" n fluorescent "/>
    <s v=" n total"/>
  </r>
  <r>
    <x v="19"/>
    <x v="9"/>
    <s v="C:\Users\andre\Desktop\REACTIV CEFAS\Dutasteride\Dutasteride/20201202_Cefas_Test8_Run2/Plate 2/@21/ "/>
    <s v=" "/>
    <s v=" 37.9324 "/>
    <x v="21"/>
    <s v=" 1562605.75 "/>
    <s v=" 764396.763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Dutasteride\Dutasteride/20201202_Cefas_Test8_Run2/Plate 2/@8/A2_01- exclu.tif"/>
    <m/>
    <m/>
    <x v="1"/>
    <m/>
    <m/>
    <m/>
    <m/>
  </r>
  <r>
    <x v="20"/>
    <x v="0"/>
    <s v="C:\Users\andre\Desktop\REACTIV CEFAS\Dutasteride\Dutasteride/20201202_Cefas_Test8_Run2/Plate 2/@8/A2_02- exclu.tif"/>
    <m/>
    <m/>
    <x v="1"/>
    <m/>
    <m/>
    <m/>
    <m/>
  </r>
  <r>
    <x v="20"/>
    <x v="0"/>
    <s v="C:\Users\andre\Desktop\REACTIV CEFAS\Dutasteride\Dutasteride/20201202_Cefas_Test8_Run2/Plate 2/@8/A2_03- exclu.tif"/>
    <m/>
    <m/>
    <x v="1"/>
    <m/>
    <m/>
    <m/>
    <m/>
  </r>
  <r>
    <x v="20"/>
    <x v="1"/>
    <s v="C:\Users\andre\Desktop\REACTIV CEFAS\Dutasteride\Dutasteride/20201202_Cefas_Test8_Run2/Plate 2/@8/B2_01.tif "/>
    <s v=" 21.6299 "/>
    <n v="30"/>
    <x v="0"/>
    <n v="649"/>
    <m/>
    <m/>
    <m/>
  </r>
  <r>
    <x v="20"/>
    <x v="1"/>
    <s v="C:\Users\andre\Desktop\REACTIV CEFAS\Dutasteride\Dutasteride/20201202_Cefas_Test8_Run2/Plate 2/@8/B2_02.tif "/>
    <n v="0"/>
    <n v="0"/>
    <x v="0"/>
    <n v="0"/>
    <m/>
    <m/>
    <m/>
  </r>
  <r>
    <x v="20"/>
    <x v="1"/>
    <s v="C:\Users\andre\Desktop\REACTIV CEFAS\Dutasteride\Dutasteride/20201202_Cefas_Test8_Run2/Plate 2/@8/B2_03.tif "/>
    <n v="0"/>
    <n v="0"/>
    <x v="0"/>
    <n v="0"/>
    <m/>
    <m/>
    <m/>
  </r>
  <r>
    <x v="20"/>
    <x v="2"/>
    <s v="C:\Users\andre\Desktop\REACTIV CEFAS\Dutasteride\Dutasteride/20201202_Cefas_Test8_Run2/Plate 2/@8/C2_01.tif "/>
    <s v=" 8478.9187 "/>
    <s v=" 43.5663 "/>
    <x v="0"/>
    <n v="369395"/>
    <m/>
    <m/>
    <m/>
  </r>
  <r>
    <x v="20"/>
    <x v="2"/>
    <s v="C:\Users\andre\Desktop\REACTIV CEFAS\Dutasteride\Dutasteride/20201202_Cefas_Test8_Run2/Plate 2/@8/C2_02.tif "/>
    <s v=" 367.7082 "/>
    <s v=" 33.1765 "/>
    <x v="0"/>
    <n v="12199"/>
    <m/>
    <m/>
    <m/>
  </r>
  <r>
    <x v="20"/>
    <x v="2"/>
    <s v="C:\Users\andre\Desktop\REACTIV CEFAS\Dutasteride\Dutasteride/20201202_Cefas_Test8_Run2/Plate 2/@8/C2_03.tif "/>
    <s v=" 9776.7124 "/>
    <s v=" 38.208 "/>
    <x v="0"/>
    <n v="373548"/>
    <m/>
    <m/>
    <m/>
  </r>
  <r>
    <x v="20"/>
    <x v="3"/>
    <s v="C:\Users\andre\Desktop\REACTIV CEFAS\Dutasteride\Dutasteride/20201202_Cefas_Test8_Run2/Plate 2/@8/D2_01.tif "/>
    <s v=" 951.7154 "/>
    <s v=" 32.6364 "/>
    <x v="0"/>
    <n v="31061"/>
    <m/>
    <m/>
    <m/>
  </r>
  <r>
    <x v="20"/>
    <x v="3"/>
    <s v="C:\Users\andre\Desktop\REACTIV CEFAS\Dutasteride\Dutasteride/20201202_Cefas_Test8_Run2/Plate 2/@8/D2_02.tif "/>
    <s v=" 973.3453 "/>
    <s v=" 32.6 "/>
    <x v="0"/>
    <n v="31731"/>
    <m/>
    <m/>
    <m/>
  </r>
  <r>
    <x v="20"/>
    <x v="3"/>
    <s v="C:\Users\andre\Desktop\REACTIV CEFAS\Dutasteride\Dutasteride/20201202_Cefas_Test8_Run2/Plate 2/@8/D2_03.tif "/>
    <s v=" 3763.6017 "/>
    <s v=" 33.6379 "/>
    <x v="0"/>
    <n v="126600"/>
    <m/>
    <m/>
    <m/>
  </r>
  <r>
    <x v="20"/>
    <x v="4"/>
    <s v="C:\Users\andre\Desktop\REACTIV CEFAS\Dutasteride\Dutasteride/20201202_Cefas_Test8_Run2/Plate 2/@8/E2_01.tif "/>
    <s v=" 43.2598 "/>
    <s v=" 31.5 "/>
    <x v="0"/>
    <n v="1363"/>
    <m/>
    <m/>
    <m/>
  </r>
  <r>
    <x v="20"/>
    <x v="4"/>
    <s v="C:\Users\andre\Desktop\REACTIV CEFAS\Dutasteride\Dutasteride/20201202_Cefas_Test8_Run2/Plate 2/@8/E2_02.tif "/>
    <s v=" 194.6691 "/>
    <s v=" 31.1111 "/>
    <x v="0"/>
    <n v="6056"/>
    <m/>
    <m/>
    <m/>
  </r>
  <r>
    <x v="20"/>
    <x v="4"/>
    <s v="C:\Users\andre\Desktop\REACTIV CEFAS\Dutasteride\Dutasteride/20201202_Cefas_Test8_Run2/Plate 2/@8/E2_03.tif "/>
    <s v=" 2206.2493 "/>
    <s v=" 33.6176 "/>
    <x v="0"/>
    <n v="74169"/>
    <m/>
    <m/>
    <m/>
  </r>
  <r>
    <x v="20"/>
    <x v="5"/>
    <s v="C:\Users\andre\Desktop\REACTIV CEFAS\Dutasteride\Dutasteride/20201202_Cefas_Test8_Run2/Plate 2/@8/F2_01.tif "/>
    <s v=" 2098.0998 "/>
    <s v=" 32.0206 "/>
    <x v="0"/>
    <n v="67182"/>
    <m/>
    <m/>
    <m/>
  </r>
  <r>
    <x v="20"/>
    <x v="5"/>
    <s v="C:\Users\andre\Desktop\REACTIV CEFAS\Dutasteride\Dutasteride/20201202_Cefas_Test8_Run2/Plate 2/@8/F2_02.tif "/>
    <s v=" 10879.837 "/>
    <s v=" 36.829 "/>
    <x v="0"/>
    <n v="400694"/>
    <m/>
    <m/>
    <m/>
  </r>
  <r>
    <x v="20"/>
    <x v="5"/>
    <s v="C:\Users\andre\Desktop\REACTIV CEFAS\Dutasteride\Dutasteride/20201202_Cefas_Test8_Run2/Plate 2/@8/F2_03.tif "/>
    <s v=" 108.1495 "/>
    <s v=" 31.8 "/>
    <x v="0"/>
    <n v="3439"/>
    <m/>
    <m/>
    <m/>
  </r>
  <r>
    <x v="20"/>
    <x v="6"/>
    <s v="C:\Users\andre\Desktop\REACTIV CEFAS\Dutasteride\Dutasteride/20201202_Cefas_Test8_Run2/Plate 2/@8/G2_01.tif "/>
    <s v=" 4931.616 "/>
    <s v=" 35.4342 "/>
    <x v="0"/>
    <n v="174748"/>
    <m/>
    <m/>
    <m/>
  </r>
  <r>
    <x v="20"/>
    <x v="6"/>
    <s v="C:\Users\andre\Desktop\REACTIV CEFAS\Dutasteride\Dutasteride/20201202_Cefas_Test8_Run2/Plate 2/@8/G2_02.tif "/>
    <s v=" 2530.6977 "/>
    <s v=" 35.5299 "/>
    <x v="0"/>
    <n v="89915"/>
    <m/>
    <m/>
    <m/>
  </r>
  <r>
    <x v="20"/>
    <x v="6"/>
    <s v="C:\Users\andre\Desktop\REACTIV CEFAS\Dutasteride\Dutasteride/20201202_Cefas_Test8_Run2/Plate 2/@8/G2_03.tif "/>
    <s v=" 4369.2387 "/>
    <s v=" 36.8218 "/>
    <x v="0"/>
    <n v="160883"/>
    <m/>
    <m/>
    <m/>
  </r>
  <r>
    <x v="20"/>
    <x v="7"/>
    <s v="C:\Users\andre\Desktop\REACTIV CEFAS\Dutasteride\Dutasteride/20201202_Cefas_Test8_Run2/Plate 2/@8/H2_01.tif "/>
    <s v=" 4650.4273 "/>
    <s v=" 37.6512 "/>
    <x v="0"/>
    <n v="175094"/>
    <m/>
    <m/>
    <m/>
  </r>
  <r>
    <x v="20"/>
    <x v="7"/>
    <s v="C:\Users\andre\Desktop\REACTIV CEFAS\Dutasteride\Dutasteride/20201202_Cefas_Test8_Run2/Plate 2/@8/H2_02.tif "/>
    <s v=" 6488.9684 "/>
    <s v=" 39.2667 "/>
    <x v="0"/>
    <n v="254800"/>
    <m/>
    <m/>
    <m/>
  </r>
  <r>
    <x v="20"/>
    <x v="7"/>
    <s v="C:\Users\andre\Desktop\REACTIV CEFAS\Dutasteride\Dutasteride/20201202_Cefas_Test8_Run2/Plate 2/@8/H2_03.tif "/>
    <s v=" 4953.2459 "/>
    <s v=" 39.9476 "/>
    <x v="0"/>
    <n v="197870"/>
    <m/>
    <m/>
    <m/>
  </r>
  <r>
    <x v="1"/>
    <x v="8"/>
    <s v=" "/>
    <m/>
    <m/>
    <x v="1"/>
    <m/>
    <m/>
    <m/>
    <m/>
  </r>
  <r>
    <x v="1"/>
    <x v="8"/>
    <s v="group "/>
    <s v=" "/>
    <s v=" mean of mean fluo "/>
    <x v="2"/>
    <s v=" mean of total fluo "/>
    <s v=" SD total fluo "/>
    <s v=" n fluorescent "/>
    <s v=" n total"/>
  </r>
  <r>
    <x v="20"/>
    <x v="9"/>
    <s v="C:\Users\andre\Desktop\REACTIV CEFAS\Dutasteride\Dutasteride/20201202_Cefas_Test8_Run2/Plate 2/@8/ "/>
    <s v=" "/>
    <s v=" 32.7491 "/>
    <x v="22"/>
    <s v=" 135321.083 "/>
    <s v=" 141967.761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Dutasteride\Dutasteride/20201202_Cefas_Test8_Run2/Plate 2/@9/A3_01.tif "/>
    <s v=" 8370.7692 "/>
    <s v=" 34.7829 "/>
    <x v="0"/>
    <n v="291160"/>
    <m/>
    <m/>
    <m/>
  </r>
  <r>
    <x v="21"/>
    <x v="0"/>
    <s v="C:\Users\andre\Desktop\REACTIV CEFAS\Dutasteride\Dutasteride/20201202_Cefas_Test8_Run2/Plate 2/@9/A3_02.tif "/>
    <s v=" 2271.1389 "/>
    <s v=" 32.5524 "/>
    <x v="0"/>
    <n v="73931"/>
    <m/>
    <m/>
    <m/>
  </r>
  <r>
    <x v="21"/>
    <x v="0"/>
    <s v="C:\Users\andre\Desktop\REACTIV CEFAS\Dutasteride\Dutasteride/20201202_Cefas_Test8_Run2/Plate 2/@9/A3_03.tif "/>
    <s v=" 10901.4669 "/>
    <s v=" 35.9901 "/>
    <x v="0"/>
    <n v="392345"/>
    <m/>
    <m/>
    <m/>
  </r>
  <r>
    <x v="21"/>
    <x v="1"/>
    <s v="C:\Users\andre\Desktop\REACTIV CEFAS\Dutasteride\Dutasteride/20201202_Cefas_Test8_Run2/Plate 2/@9/B3_01.tif "/>
    <s v=" 10036.2711 "/>
    <s v=" 37.5862 "/>
    <x v="0"/>
    <n v="377225"/>
    <m/>
    <m/>
    <m/>
  </r>
  <r>
    <x v="21"/>
    <x v="1"/>
    <s v="C:\Users\andre\Desktop\REACTIV CEFAS\Dutasteride\Dutasteride/20201202_Cefas_Test8_Run2/Plate 2/@9/B3_02.tif "/>
    <s v=" 6121.2602 "/>
    <s v=" 34.8481 "/>
    <x v="0"/>
    <n v="213314"/>
    <m/>
    <m/>
    <m/>
  </r>
  <r>
    <x v="21"/>
    <x v="1"/>
    <s v="C:\Users\andre\Desktop\REACTIV CEFAS\Dutasteride\Dutasteride/20201202_Cefas_Test8_Run2/Plate 2/@9/B3_03.tif "/>
    <s v=" 5558.8829 "/>
    <s v=" 35.6576 "/>
    <x v="0"/>
    <n v="198216"/>
    <m/>
    <m/>
    <m/>
  </r>
  <r>
    <x v="21"/>
    <x v="2"/>
    <s v="C:\Users\andre\Desktop\REACTIV CEFAS\Dutasteride\Dutasteride/20201202_Cefas_Test8_Run2/Plate 2/@9/C3_01.tif "/>
    <s v=" 151.4093 "/>
    <s v=" 30.8571 "/>
    <x v="0"/>
    <n v="4672"/>
    <m/>
    <m/>
    <m/>
  </r>
  <r>
    <x v="21"/>
    <x v="2"/>
    <s v="C:\Users\andre\Desktop\REACTIV CEFAS\Dutasteride\Dutasteride/20201202_Cefas_Test8_Run2/Plate 2/@9/C3_02.tif "/>
    <s v=" 324.4484 "/>
    <s v=" 31.9333 "/>
    <x v="0"/>
    <n v="10361"/>
    <m/>
    <m/>
    <m/>
  </r>
  <r>
    <x v="21"/>
    <x v="2"/>
    <s v="C:\Users\andre\Desktop\REACTIV CEFAS\Dutasteride\Dutasteride/20201202_Cefas_Test8_Run2/Plate 2/@9/C3_03.tif "/>
    <s v=" 4390.8686 "/>
    <s v=" 36.2808 "/>
    <x v="0"/>
    <n v="159304"/>
    <m/>
    <m/>
    <m/>
  </r>
  <r>
    <x v="21"/>
    <x v="3"/>
    <s v="C:\Users\andre\Desktop\REACTIV CEFAS\Dutasteride\Dutasteride/20201202_Cefas_Test8_Run2/Plate 2/@9/D3_01.tif "/>
    <s v=" 432.5979 "/>
    <s v=" 31.75 "/>
    <x v="0"/>
    <n v="13735"/>
    <m/>
    <m/>
    <m/>
  </r>
  <r>
    <x v="21"/>
    <x v="3"/>
    <s v="C:\Users\andre\Desktop\REACTIV CEFAS\Dutasteride\Dutasteride/20201202_Cefas_Test8_Run2/Plate 2/@9/D3_02.tif "/>
    <s v=" 129.7794 "/>
    <s v=" 31.6667 "/>
    <x v="0"/>
    <n v="4110"/>
    <m/>
    <m/>
    <m/>
  </r>
  <r>
    <x v="21"/>
    <x v="3"/>
    <s v="C:\Users\andre\Desktop\REACTIV CEFAS\Dutasteride\Dutasteride/20201202_Cefas_Test8_Run2/Plate 2/@9/D3_03.tif "/>
    <s v=" 324.4484 "/>
    <s v=" 32.7333 "/>
    <x v="0"/>
    <n v="10620"/>
    <m/>
    <m/>
    <m/>
  </r>
  <r>
    <x v="21"/>
    <x v="4"/>
    <s v="C:\Users\andre\Desktop\REACTIV CEFAS\Dutasteride\Dutasteride/20201202_Cefas_Test8_Run2/Plate 2/@9/E3_01.tif "/>
    <s v=" 3049.8151 "/>
    <s v=" 35.0284 "/>
    <x v="0"/>
    <n v="106830"/>
    <m/>
    <m/>
    <m/>
  </r>
  <r>
    <x v="21"/>
    <x v="4"/>
    <s v="C:\Users\andre\Desktop\REACTIV CEFAS\Dutasteride\Dutasteride/20201202_Cefas_Test8_Run2/Plate 2/@9/E3_02.tif "/>
    <s v=" 3266.1141 "/>
    <s v=" 34.0397 "/>
    <x v="0"/>
    <n v="111178"/>
    <m/>
    <m/>
    <m/>
  </r>
  <r>
    <x v="21"/>
    <x v="4"/>
    <s v="C:\Users\andre\Desktop\REACTIV CEFAS\Dutasteride\Dutasteride/20201202_Cefas_Test8_Run2/Plate 2/@9/E3_03.tif "/>
    <s v=" 4217.8295 "/>
    <s v=" 35.8923 "/>
    <x v="0"/>
    <n v="151388"/>
    <m/>
    <m/>
    <m/>
  </r>
  <r>
    <x v="21"/>
    <x v="5"/>
    <s v="C:\Users\andre\Desktop\REACTIV CEFAS\Dutasteride\Dutasteride/20201202_Cefas_Test8_Run2/Plate 2/@9/F3_01.tif "/>
    <s v=" 3287.744 "/>
    <s v=" 35.0658 "/>
    <x v="0"/>
    <n v="115287"/>
    <m/>
    <m/>
    <m/>
  </r>
  <r>
    <x v="21"/>
    <x v="5"/>
    <s v="C:\Users\andre\Desktop\REACTIV CEFAS\Dutasteride\Dutasteride/20201202_Cefas_Test8_Run2/Plate 2/@9/F3_02.tif "/>
    <s v=" 627.2669 "/>
    <s v=" 31.3793 "/>
    <x v="0"/>
    <n v="19683"/>
    <m/>
    <m/>
    <m/>
  </r>
  <r>
    <x v="21"/>
    <x v="5"/>
    <s v="C:\Users\andre\Desktop\REACTIV CEFAS\Dutasteride\Dutasteride/20201202_Cefas_Test8_Run2/Plate 2/@9/F3_03.tif "/>
    <s v=" 5688.6623 "/>
    <s v=" 35.2433 "/>
    <x v="0"/>
    <n v="200487"/>
    <m/>
    <m/>
    <m/>
  </r>
  <r>
    <x v="21"/>
    <x v="6"/>
    <s v="C:\Users\andre\Desktop\REACTIV CEFAS\Dutasteride\Dutasteride/20201202_Cefas_Test8_Run2/Plate 2/@9/G3_01.tif "/>
    <s v=" 4736.9469 "/>
    <s v=" 32.9041 "/>
    <x v="0"/>
    <n v="155865"/>
    <m/>
    <m/>
    <m/>
  </r>
  <r>
    <x v="21"/>
    <x v="6"/>
    <s v="C:\Users\andre\Desktop\REACTIV CEFAS\Dutasteride\Dutasteride/20201202_Cefas_Test8_Run2/Plate 2/@9/G3_02.tif "/>
    <s v=" 6899.9364 "/>
    <s v=" 38.5298 "/>
    <x v="0"/>
    <n v="265853"/>
    <m/>
    <m/>
    <m/>
  </r>
  <r>
    <x v="21"/>
    <x v="6"/>
    <s v="C:\Users\andre\Desktop\REACTIV CEFAS\Dutasteride\Dutasteride/20201202_Cefas_Test8_Run2/Plate 2/@9/G3_03.tif "/>
    <s v=" 4953.2459 "/>
    <s v=" 35.3668 "/>
    <x v="0"/>
    <n v="175181"/>
    <m/>
    <m/>
    <m/>
  </r>
  <r>
    <x v="21"/>
    <x v="7"/>
    <s v="C:\Users\andre\Desktop\REACTIV CEFAS\Dutasteride\Dutasteride/20201202_Cefas_Test8_Run2/Plate 2/@9/H3_01- exclu.tif"/>
    <m/>
    <m/>
    <x v="1"/>
    <m/>
    <m/>
    <m/>
    <m/>
  </r>
  <r>
    <x v="21"/>
    <x v="7"/>
    <s v="C:\Users\andre\Desktop\REACTIV CEFAS\Dutasteride\Dutasteride/20201202_Cefas_Test8_Run2/Plate 2/@9/H3_02- exclu.tif"/>
    <m/>
    <m/>
    <x v="1"/>
    <m/>
    <m/>
    <m/>
    <m/>
  </r>
  <r>
    <x v="21"/>
    <x v="7"/>
    <s v="C:\Users\andre\Desktop\REACTIV CEFAS\Dutasteride\Dutasteride/20201202_Cefas_Test8_Run2/Plate 2/@9/H3_03- exclu.tif"/>
    <m/>
    <m/>
    <x v="1"/>
    <m/>
    <m/>
    <m/>
    <m/>
  </r>
  <r>
    <x v="1"/>
    <x v="8"/>
    <s v=" "/>
    <m/>
    <m/>
    <x v="1"/>
    <m/>
    <m/>
    <m/>
    <m/>
  </r>
  <r>
    <x v="1"/>
    <x v="8"/>
    <s v="group "/>
    <s v=" "/>
    <s v=" mean of mean fluo "/>
    <x v="2"/>
    <s v=" mean of total fluo "/>
    <s v=" SD total fluo "/>
    <s v=" n fluorescent "/>
    <s v=" n total"/>
  </r>
  <r>
    <x v="21"/>
    <x v="9"/>
    <s v="C:\Users\andre\Desktop\REACTIV CEFAS\Dutasteride\Dutasteride/20201202_Cefas_Test8_Run2/Plate 2/@9/ "/>
    <s v=" "/>
    <s v=" 34.477 "/>
    <x v="23"/>
    <s v=" 145468.208 "/>
    <s v=" 110403.136 "/>
    <n v="24"/>
    <n v="24"/>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C:\Users\andre\Desktop\REACTIV CEFAS\Dutasteride\Dutasteride/20201203_Cefas_Test8_Run3/Plate 1/@1/A10_01.tif "/>
    <s v=" 1643.872 "/>
    <s v=" 34.1316 "/>
    <x v="0"/>
    <n v="56108"/>
    <m/>
    <m/>
    <m/>
  </r>
  <r>
    <x v="0"/>
    <x v="0"/>
    <s v="C:\Users\andre\Desktop\REACTIV CEFAS\Dutasteride\Dutasteride/20201203_Cefas_Test8_Run3/Plate 1/@1/A10_02.tif "/>
    <s v=" 6662.0075 "/>
    <s v=" 36.3149 "/>
    <x v="0"/>
    <n v="241930"/>
    <m/>
    <m/>
    <m/>
  </r>
  <r>
    <x v="0"/>
    <x v="0"/>
    <s v="C:\Users\andre\Desktop\REACTIV CEFAS\Dutasteride\Dutasteride/20201203_Cefas_Test8_Run3/Plate 1/@1/A10_03.tif "/>
    <s v=" 7894.9115 "/>
    <s v=" 39.0521 "/>
    <x v="0"/>
    <n v="308313"/>
    <m/>
    <m/>
    <m/>
  </r>
  <r>
    <x v="0"/>
    <x v="1"/>
    <s v="C:\Users\andre\Desktop\REACTIV CEFAS\Dutasteride\Dutasteride/20201203_Cefas_Test8_Run3/Plate 1/@1/B10_01.tif "/>
    <s v=" 21.6299 "/>
    <n v="30"/>
    <x v="0"/>
    <n v="649"/>
    <m/>
    <m/>
    <m/>
  </r>
  <r>
    <x v="0"/>
    <x v="1"/>
    <s v="C:\Users\andre\Desktop\REACTIV CEFAS\Dutasteride\Dutasteride/20201203_Cefas_Test8_Run3/Plate 1/@1/B10_02- exclu.tif"/>
    <m/>
    <m/>
    <x v="1"/>
    <m/>
    <m/>
    <m/>
    <m/>
  </r>
  <r>
    <x v="0"/>
    <x v="1"/>
    <s v="C:\Users\andre\Desktop\REACTIV CEFAS\Dutasteride\Dutasteride/20201203_Cefas_Test8_Run3/Plate 1/@1/B10_03.tif "/>
    <s v=" 1557.3524 "/>
    <s v=" 32.3472 "/>
    <x v="0"/>
    <n v="50376"/>
    <m/>
    <m/>
    <m/>
  </r>
  <r>
    <x v="0"/>
    <x v="2"/>
    <s v="C:\Users\andre\Desktop\REACTIV CEFAS\Dutasteride\Dutasteride/20201203_Cefas_Test8_Run3/Plate 1/@1/C10_01.tif "/>
    <s v=" 8608.6981 "/>
    <s v=" 39.2839 "/>
    <x v="0"/>
    <n v="338183"/>
    <m/>
    <m/>
    <m/>
  </r>
  <r>
    <x v="0"/>
    <x v="2"/>
    <s v="C:\Users\andre\Desktop\REACTIV CEFAS\Dutasteride\Dutasteride/20201203_Cefas_Test8_Run3/Plate 1/@1/C10_02.tif "/>
    <s v=" 2963.2956 "/>
    <s v=" 38.3577 "/>
    <x v="0"/>
    <n v="113665"/>
    <m/>
    <m/>
    <m/>
  </r>
  <r>
    <x v="0"/>
    <x v="2"/>
    <s v="C:\Users\andre\Desktop\REACTIV CEFAS\Dutasteride\Dutasteride/20201203_Cefas_Test8_Run3/Plate 1/@1/C10_03.tif "/>
    <s v=" 13302.3852 "/>
    <s v=" 39.4276 "/>
    <x v="0"/>
    <n v="524482"/>
    <m/>
    <m/>
    <m/>
  </r>
  <r>
    <x v="0"/>
    <x v="3"/>
    <s v="C:\Users\andre\Desktop\REACTIV CEFAS\Dutasteride\Dutasteride/20201203_Cefas_Test8_Run3/Plate 1/@1/D10_01- exclu.tif"/>
    <m/>
    <m/>
    <x v="1"/>
    <m/>
    <m/>
    <m/>
    <m/>
  </r>
  <r>
    <x v="0"/>
    <x v="3"/>
    <s v="C:\Users\andre\Desktop\REACTIV CEFAS\Dutasteride\Dutasteride/20201203_Cefas_Test8_Run3/Plate 1/@1/D10_02.tif "/>
    <s v=" 2703.7368 "/>
    <s v=" 36.56 "/>
    <x v="0"/>
    <n v="98849"/>
    <m/>
    <m/>
    <m/>
  </r>
  <r>
    <x v="0"/>
    <x v="3"/>
    <s v="C:\Users\andre\Desktop\REACTIV CEFAS\Dutasteride\Dutasteride/20201203_Cefas_Test8_Run3/Plate 1/@1/D10_03.tif "/>
    <s v=" 9084.5557 "/>
    <s v=" 43.5976 "/>
    <x v="0"/>
    <n v="396065"/>
    <m/>
    <m/>
    <m/>
  </r>
  <r>
    <x v="0"/>
    <x v="4"/>
    <s v="C:\Users\andre\Desktop\REACTIV CEFAS\Dutasteride\Dutasteride/20201203_Cefas_Test8_Run3/Plate 1/@1/E10_01.tif "/>
    <s v=" 5385.8438 "/>
    <s v=" 34.0602 "/>
    <x v="0"/>
    <n v="183443"/>
    <m/>
    <m/>
    <m/>
  </r>
  <r>
    <x v="0"/>
    <x v="4"/>
    <s v="C:\Users\andre\Desktop\REACTIV CEFAS\Dutasteride\Dutasteride/20201203_Cefas_Test8_Run3/Plate 1/@1/E10_02.tif "/>
    <s v=" 6164.52 "/>
    <s v=" 33.6035 "/>
    <x v="0"/>
    <n v="207150"/>
    <m/>
    <m/>
    <m/>
  </r>
  <r>
    <x v="0"/>
    <x v="4"/>
    <s v="C:\Users\andre\Desktop\REACTIV CEFAS\Dutasteride\Dutasteride/20201203_Cefas_Test8_Run3/Plate 1/@1/E10_03.tif "/>
    <s v=" 7440.6838 "/>
    <s v=" 33.1134 "/>
    <x v="0"/>
    <n v="246386"/>
    <m/>
    <m/>
    <m/>
  </r>
  <r>
    <x v="0"/>
    <x v="5"/>
    <s v="C:\Users\andre\Desktop\REACTIV CEFAS\Dutasteride\Dutasteride/20201203_Cefas_Test8_Run3/Plate 1/@1/F10_01.tif "/>
    <s v=" 1989.9503 "/>
    <s v=" 36.4022 "/>
    <x v="0"/>
    <n v="72439"/>
    <m/>
    <m/>
    <m/>
  </r>
  <r>
    <x v="0"/>
    <x v="5"/>
    <s v="C:\Users\andre\Desktop\REACTIV CEFAS\Dutasteride\Dutasteride/20201203_Cefas_Test8_Run3/Plate 1/@1/F10_02.tif "/>
    <s v=" 2184.6194 "/>
    <s v=" 30.6139 "/>
    <x v="0"/>
    <n v="66880"/>
    <m/>
    <m/>
    <m/>
  </r>
  <r>
    <x v="0"/>
    <x v="5"/>
    <s v="C:\Users\andre\Desktop\REACTIV CEFAS\Dutasteride\Dutasteride/20201203_Cefas_Test8_Run3/Plate 1/@1/F10_03.tif "/>
    <s v=" 410.968 "/>
    <s v=" 30.8421 "/>
    <x v="0"/>
    <n v="12675"/>
    <m/>
    <m/>
    <m/>
  </r>
  <r>
    <x v="0"/>
    <x v="6"/>
    <s v="C:\Users\andre\Desktop\REACTIV CEFAS\Dutasteride\Dutasteride/20201203_Cefas_Test8_Run3/Plate 1/@1/G10_01.tif "/>
    <n v="0"/>
    <n v="0"/>
    <x v="0"/>
    <n v="0"/>
    <m/>
    <m/>
    <m/>
  </r>
  <r>
    <x v="0"/>
    <x v="6"/>
    <s v="C:\Users\andre\Desktop\REACTIV CEFAS\Dutasteride\Dutasteride/20201203_Cefas_Test8_Run3/Plate 1/@1/G10_02.tif "/>
    <s v=" 7072.9755 "/>
    <s v=" 38.8043 "/>
    <x v="0"/>
    <n v="274462"/>
    <m/>
    <m/>
    <m/>
  </r>
  <r>
    <x v="0"/>
    <x v="6"/>
    <s v="C:\Users\andre\Desktop\REACTIV CEFAS\Dutasteride\Dutasteride/20201203_Cefas_Test8_Run3/Plate 1/@1/G10_03.tif "/>
    <s v=" 7570.4631 "/>
    <s v=" 38.6686 "/>
    <x v="0"/>
    <n v="292739"/>
    <m/>
    <m/>
    <m/>
  </r>
  <r>
    <x v="0"/>
    <x v="7"/>
    <s v="C:\Users\andre\Desktop\REACTIV CEFAS\Dutasteride\Dutasteride/20201203_Cefas_Test8_Run3/Plate 1/@1/H10_01.tif "/>
    <n v="0"/>
    <n v="0"/>
    <x v="0"/>
    <n v="0"/>
    <m/>
    <m/>
    <m/>
  </r>
  <r>
    <x v="0"/>
    <x v="7"/>
    <s v="C:\Users\andre\Desktop\REACTIV CEFAS\Dutasteride\Dutasteride/20201203_Cefas_Test8_Run3/Plate 1/@1/H10_02.tif "/>
    <s v=" 10274.1999 "/>
    <s v=" 46.0211 "/>
    <x v="0"/>
    <n v="472829"/>
    <m/>
    <m/>
    <m/>
  </r>
  <r>
    <x v="0"/>
    <x v="7"/>
    <s v="C:\Users\andre\Desktop\REACTIV CEFAS\Dutasteride\Dutasteride/20201203_Cefas_Test8_Run3/Plate 1/@1/H10_03.tif "/>
    <s v=" 7916.5414 "/>
    <s v=" 47.2568 "/>
    <x v="0"/>
    <n v="374111"/>
    <m/>
    <m/>
    <m/>
  </r>
  <r>
    <x v="1"/>
    <x v="8"/>
    <s v=" "/>
    <m/>
    <m/>
    <x v="1"/>
    <m/>
    <m/>
    <m/>
    <m/>
  </r>
  <r>
    <x v="1"/>
    <x v="8"/>
    <s v="group "/>
    <s v=" "/>
    <s v=" mean of mean fluo "/>
    <x v="2"/>
    <s v=" mean of total fluo "/>
    <s v=" SD total fluo "/>
    <s v=" n fluorescent "/>
    <s v=" n total"/>
  </r>
  <r>
    <x v="0"/>
    <x v="9"/>
    <s v="C:\Users\andre\Desktop\REACTIV CEFAS\Dutasteride\Dutasteride/20201203_Cefas_Test8_Run3/Plate 1/@1/ "/>
    <s v=" "/>
    <s v=" 32.1702 "/>
    <x v="3"/>
    <s v=" 180731.333 "/>
    <s v=" 163665.138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C:\Users\andre\Desktop\REACTIV CEFAS\Dutasteride\Dutasteride/20201203_Cefas_Test8_Run3/Plate 1/@13/A8_01- exclu.tif"/>
    <m/>
    <m/>
    <x v="1"/>
    <m/>
    <m/>
    <m/>
    <m/>
  </r>
  <r>
    <x v="2"/>
    <x v="0"/>
    <s v="C:\Users\andre\Desktop\REACTIV CEFAS\Dutasteride\Dutasteride/20201203_Cefas_Test8_Run3/Plate 1/@13/A8_02- exclu.tif"/>
    <m/>
    <m/>
    <x v="1"/>
    <m/>
    <m/>
    <m/>
    <m/>
  </r>
  <r>
    <x v="2"/>
    <x v="0"/>
    <s v="C:\Users\andre\Desktop\REACTIV CEFAS\Dutasteride\Dutasteride/20201203_Cefas_Test8_Run3/Plate 1/@13/A8_03.tif "/>
    <s v=" 15811.453 "/>
    <s v=" 33.1737 "/>
    <x v="0"/>
    <n v="524525"/>
    <m/>
    <m/>
    <m/>
  </r>
  <r>
    <x v="2"/>
    <x v="1"/>
    <s v="C:\Users\andre\Desktop\REACTIV CEFAS\Dutasteride\Dutasteride/20201203_Cefas_Test8_Run3/Plate 1/@13/B8_01.tif "/>
    <s v=" 72460.147 "/>
    <s v=" 50.7788 "/>
    <x v="0"/>
    <n v="3679440"/>
    <m/>
    <m/>
    <m/>
  </r>
  <r>
    <x v="2"/>
    <x v="1"/>
    <s v="C:\Users\andre\Desktop\REACTIV CEFAS\Dutasteride\Dutasteride/20201203_Cefas_Test8_Run3/Plate 1/@13/B8_02.tif "/>
    <s v=" 64197.5273 "/>
    <s v=" 48.597 "/>
    <x v="0"/>
    <n v="3119809"/>
    <m/>
    <m/>
    <m/>
  </r>
  <r>
    <x v="2"/>
    <x v="1"/>
    <s v="C:\Users\andre\Desktop\REACTIV CEFAS\Dutasteride\Dutasteride/20201203_Cefas_Test8_Run3/Plate 1/@13/B8_03.tif "/>
    <s v=" 60909.7833 "/>
    <s v=" 50.8775 "/>
    <x v="0"/>
    <n v="3098937"/>
    <m/>
    <m/>
    <m/>
  </r>
  <r>
    <x v="2"/>
    <x v="2"/>
    <s v="C:\Users\andre\Desktop\REACTIV CEFAS\Dutasteride\Dutasteride/20201203_Cefas_Test8_Run3/Plate 1/@13/C8_01.tif "/>
    <s v=" 51046.5513 "/>
    <s v=" 47.7466 "/>
    <x v="0"/>
    <n v="2437300"/>
    <m/>
    <m/>
    <m/>
  </r>
  <r>
    <x v="2"/>
    <x v="2"/>
    <s v="C:\Users\andre\Desktop\REACTIV CEFAS\Dutasteride\Dutasteride/20201203_Cefas_Test8_Run3/Plate 1/@13/C8_02.tif "/>
    <s v=" 68069.2784 "/>
    <s v=" 44.2854 "/>
    <x v="0"/>
    <n v="3014472"/>
    <m/>
    <m/>
    <m/>
  </r>
  <r>
    <x v="2"/>
    <x v="2"/>
    <s v="C:\Users\andre\Desktop\REACTIV CEFAS\Dutasteride\Dutasteride/20201203_Cefas_Test8_Run3/Plate 1/@13/C8_03.tif "/>
    <s v=" 74341.9478 "/>
    <s v=" 42.7221 "/>
    <x v="0"/>
    <n v="3176047"/>
    <m/>
    <m/>
    <m/>
  </r>
  <r>
    <x v="2"/>
    <x v="3"/>
    <s v="C:\Users\andre\Desktop\REACTIV CEFAS\Dutasteride\Dutasteride/20201203_Cefas_Test8_Run3/Plate 1/@13/D8_01.tif "/>
    <s v=" 33807.5253 "/>
    <s v=" 37.1843 "/>
    <x v="0"/>
    <n v="1257108"/>
    <m/>
    <m/>
    <m/>
  </r>
  <r>
    <x v="2"/>
    <x v="3"/>
    <s v="C:\Users\andre\Desktop\REACTIV CEFAS\Dutasteride\Dutasteride/20201203_Cefas_Test8_Run3/Plate 1/@13/D8_02.tif "/>
    <s v=" 30390.002 "/>
    <s v=" 35.5922 "/>
    <x v="0"/>
    <n v="1081646"/>
    <m/>
    <m/>
    <m/>
  </r>
  <r>
    <x v="2"/>
    <x v="3"/>
    <s v="C:\Users\andre\Desktop\REACTIV CEFAS\Dutasteride\Dutasteride/20201203_Cefas_Test8_Run3/Plate 1/@13/D8_03.tif "/>
    <s v=" 32250.1729 "/>
    <s v=" 35.4299 "/>
    <x v="0"/>
    <n v="1142621"/>
    <m/>
    <m/>
    <m/>
  </r>
  <r>
    <x v="2"/>
    <x v="4"/>
    <s v="C:\Users\andre\Desktop\REACTIV CEFAS\Dutasteride\Dutasteride/20201203_Cefas_Test8_Run3/Plate 1/@13/E8_01.tif "/>
    <s v=" 57730.1888 "/>
    <s v=" 38.1135 "/>
    <x v="0"/>
    <n v="2200301"/>
    <m/>
    <m/>
    <m/>
  </r>
  <r>
    <x v="2"/>
    <x v="4"/>
    <s v="C:\Users\andre\Desktop\REACTIV CEFAS\Dutasteride\Dutasteride/20201203_Cefas_Test8_Run3/Plate 1/@13/E8_02.tif "/>
    <s v=" 60455.5555 "/>
    <s v=" 40.771 "/>
    <x v="0"/>
    <n v="2464835"/>
    <m/>
    <m/>
    <m/>
  </r>
  <r>
    <x v="2"/>
    <x v="4"/>
    <s v="C:\Users\andre\Desktop\REACTIV CEFAS\Dutasteride\Dutasteride/20201203_Cefas_Test8_Run3/Plate 1/@13/E8_03.tif "/>
    <s v=" 58206.0464 "/>
    <s v=" 37.5151 "/>
    <x v="0"/>
    <n v="2183603"/>
    <m/>
    <m/>
    <m/>
  </r>
  <r>
    <x v="2"/>
    <x v="5"/>
    <s v="C:\Users\andre\Desktop\REACTIV CEFAS\Dutasteride\Dutasteride/20201203_Cefas_Test8_Run3/Plate 1/@13/F8_01.tif "/>
    <s v=" 1341.0535 "/>
    <s v=" 33.4355 "/>
    <x v="0"/>
    <n v="44839"/>
    <m/>
    <m/>
    <m/>
  </r>
  <r>
    <x v="2"/>
    <x v="5"/>
    <s v="C:\Users\andre\Desktop\REACTIV CEFAS\Dutasteride\Dutasteride/20201203_Cefas_Test8_Run3/Plate 1/@13/F8_02.tif "/>
    <s v=" 1600.6122 "/>
    <s v=" 31.7027 "/>
    <x v="0"/>
    <n v="50744"/>
    <m/>
    <m/>
    <m/>
  </r>
  <r>
    <x v="2"/>
    <x v="5"/>
    <s v="C:\Users\andre\Desktop\REACTIV CEFAS\Dutasteride\Dutasteride/20201203_Cefas_Test8_Run3/Plate 1/@13/F8_03.tif "/>
    <s v=" 194.6691 "/>
    <s v=" 31.1111 "/>
    <x v="0"/>
    <n v="6056"/>
    <m/>
    <m/>
    <m/>
  </r>
  <r>
    <x v="2"/>
    <x v="6"/>
    <s v="C:\Users\andre\Desktop\REACTIV CEFAS\Dutasteride\Dutasteride/20201203_Cefas_Test8_Run3/Plate 1/@13/G8_01.tif "/>
    <s v=" 73736.3108 "/>
    <s v=" 41.9607 "/>
    <x v="0"/>
    <n v="3094027"/>
    <m/>
    <m/>
    <m/>
  </r>
  <r>
    <x v="2"/>
    <x v="6"/>
    <s v="C:\Users\andre\Desktop\REACTIV CEFAS\Dutasteride\Dutasteride/20201203_Cefas_Test8_Run3/Plate 1/@13/G8_02.tif "/>
    <s v=" 75055.7344 "/>
    <s v=" 44.0905 "/>
    <x v="0"/>
    <n v="3309244"/>
    <m/>
    <m/>
    <m/>
  </r>
  <r>
    <x v="2"/>
    <x v="6"/>
    <s v="C:\Users\andre\Desktop\REACTIV CEFAS\Dutasteride\Dutasteride/20201203_Cefas_Test8_Run3/Plate 1/@13/G8_03.tif "/>
    <s v=" 85438.0838 "/>
    <s v=" 49.0529 "/>
    <x v="0"/>
    <n v="4190987"/>
    <m/>
    <m/>
    <m/>
  </r>
  <r>
    <x v="2"/>
    <x v="7"/>
    <s v="C:\Users\andre\Desktop\REACTIV CEFAS\Dutasteride\Dutasteride/20201203_Cefas_Test8_Run3/Plate 1/@13/H8_01.tif "/>
    <s v=" 62012.9079 "/>
    <s v=" 41.4077 "/>
    <x v="0"/>
    <n v="2567815"/>
    <m/>
    <m/>
    <m/>
  </r>
  <r>
    <x v="2"/>
    <x v="7"/>
    <s v="C:\Users\andre\Desktop\REACTIV CEFAS\Dutasteride\Dutasteride/20201203_Cefas_Test8_Run3/Plate 1/@13/H8_02.tif "/>
    <s v=" 47520.8785 "/>
    <s v=" 38.7633 "/>
    <x v="0"/>
    <n v="1842067"/>
    <m/>
    <m/>
    <m/>
  </r>
  <r>
    <x v="2"/>
    <x v="7"/>
    <s v="C:\Users\andre\Desktop\REACTIV CEFAS\Dutasteride\Dutasteride/20201203_Cefas_Test8_Run3/Plate 1/@13/H8_03.tif "/>
    <s v=" 61277.4915 "/>
    <s v=" 41.15 "/>
    <x v="0"/>
    <n v="2521570"/>
    <m/>
    <m/>
    <m/>
  </r>
  <r>
    <x v="1"/>
    <x v="8"/>
    <s v=" "/>
    <m/>
    <m/>
    <x v="1"/>
    <m/>
    <m/>
    <m/>
    <m/>
  </r>
  <r>
    <x v="1"/>
    <x v="8"/>
    <s v="group "/>
    <s v=" "/>
    <s v=" mean of mean fluo "/>
    <x v="2"/>
    <s v=" mean of total fluo "/>
    <s v=" SD total fluo "/>
    <s v=" n fluorescent "/>
    <s v=" n total"/>
  </r>
  <r>
    <x v="2"/>
    <x v="9"/>
    <s v="C:\Users\andre\Desktop\REACTIV CEFAS\Dutasteride\Dutasteride/20201203_Cefas_Test8_Run3/Plate 1/@13/ "/>
    <s v=" "/>
    <s v=" 40.4829 "/>
    <x v="4"/>
    <s v=" 2004108.08 "/>
    <s v=" 1264555.1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C:\Users\andre\Desktop\REACTIV CEFAS\Dutasteride\Dutasteride/20201203_Cefas_Test8_Run3/Plate 1/@14/A9_01.tif "/>
    <s v=" 48861.932 "/>
    <s v=" 42.1961 "/>
    <x v="0"/>
    <n v="2061783"/>
    <m/>
    <m/>
    <m/>
  </r>
  <r>
    <x v="3"/>
    <x v="0"/>
    <s v="C:\Users\andre\Desktop\REACTIV CEFAS\Dutasteride\Dutasteride/20201203_Cefas_Test8_Run3/Plate 1/@14/A9_02.tif "/>
    <s v=" 39561.0773 "/>
    <s v=" 41.3554 "/>
    <x v="0"/>
    <n v="1636064"/>
    <m/>
    <m/>
    <m/>
  </r>
  <r>
    <x v="3"/>
    <x v="0"/>
    <s v="C:\Users\andre\Desktop\REACTIV CEFAS\Dutasteride\Dutasteride/20201203_Cefas_Test8_Run3/Plate 1/@14/A9_03.tif "/>
    <s v=" 42827.1914 "/>
    <s v=" 37.9515 "/>
    <x v="0"/>
    <n v="1625357"/>
    <m/>
    <m/>
    <m/>
  </r>
  <r>
    <x v="3"/>
    <x v="1"/>
    <s v="C:\Users\andre\Desktop\REACTIV CEFAS\Dutasteride\Dutasteride/20201203_Cefas_Test8_Run3/Plate 1/@14/B9_01.tif "/>
    <s v=" 69691.5205 "/>
    <s v=" 45.2048 "/>
    <x v="0"/>
    <n v="3150394"/>
    <m/>
    <m/>
    <m/>
  </r>
  <r>
    <x v="3"/>
    <x v="1"/>
    <s v="C:\Users\andre\Desktop\REACTIV CEFAS\Dutasteride\Dutasteride/20201203_Cefas_Test8_Run3/Plate 1/@14/B9_02.tif "/>
    <s v=" 73346.9727 "/>
    <s v=" 43.2365 "/>
    <x v="0"/>
    <n v="3171267"/>
    <m/>
    <m/>
    <m/>
  </r>
  <r>
    <x v="3"/>
    <x v="1"/>
    <s v="C:\Users\andre\Desktop\REACTIV CEFAS\Dutasteride\Dutasteride/20201203_Cefas_Test8_Run3/Plate 1/@14/B9_03.tif "/>
    <s v=" 75336.923 "/>
    <s v=" 47.4574 "/>
    <x v="0"/>
    <n v="3575292"/>
    <m/>
    <m/>
    <m/>
  </r>
  <r>
    <x v="3"/>
    <x v="2"/>
    <s v="C:\Users\andre\Desktop\REACTIV CEFAS\Dutasteride\Dutasteride/20201203_Cefas_Test8_Run3/Plate 1/@14/C9_01- exclu.tif"/>
    <m/>
    <m/>
    <x v="1"/>
    <m/>
    <m/>
    <m/>
    <m/>
  </r>
  <r>
    <x v="3"/>
    <x v="2"/>
    <s v="C:\Users\andre\Desktop\REACTIV CEFAS\Dutasteride\Dutasteride/20201203_Cefas_Test8_Run3/Plate 1/@14/C9_02- exclu.tif"/>
    <m/>
    <m/>
    <x v="1"/>
    <m/>
    <m/>
    <m/>
    <m/>
  </r>
  <r>
    <x v="3"/>
    <x v="2"/>
    <s v="C:\Users\andre\Desktop\REACTIV CEFAS\Dutasteride\Dutasteride/20201203_Cefas_Test8_Run3/Plate 1/@14/C9_03- exclu.tif"/>
    <m/>
    <m/>
    <x v="1"/>
    <m/>
    <m/>
    <m/>
    <m/>
  </r>
  <r>
    <x v="3"/>
    <x v="3"/>
    <s v="C:\Users\andre\Desktop\REACTIV CEFAS\Dutasteride\Dutasteride/20201203_Cefas_Test8_Run3/Plate 1/@14/D9_01.tif "/>
    <s v=" 61190.9719 "/>
    <s v=" 38.2683 "/>
    <x v="0"/>
    <n v="2341674"/>
    <m/>
    <m/>
    <m/>
  </r>
  <r>
    <x v="3"/>
    <x v="3"/>
    <s v="C:\Users\andre\Desktop\REACTIV CEFAS\Dutasteride\Dutasteride/20201203_Cefas_Test8_Run3/Plate 1/@14/D9_02.tif "/>
    <s v=" 50722.1029 "/>
    <s v=" 38.7416 "/>
    <x v="0"/>
    <n v="1965054"/>
    <m/>
    <m/>
    <m/>
  </r>
  <r>
    <x v="3"/>
    <x v="3"/>
    <s v="C:\Users\andre\Desktop\REACTIV CEFAS\Dutasteride\Dutasteride/20201203_Cefas_Test8_Run3/Plate 1/@14/D9_03.tif "/>
    <s v=" 54247.7757 "/>
    <s v=" 38.8477 "/>
    <x v="0"/>
    <n v="2107401"/>
    <m/>
    <m/>
    <m/>
  </r>
  <r>
    <x v="3"/>
    <x v="4"/>
    <s v="C:\Users\andre\Desktop\REACTIV CEFAS\Dutasteride\Dutasteride/20201203_Cefas_Test8_Run3/Plate 1/@14/E9_01.tif "/>
    <s v=" 59525.47 "/>
    <s v=" 38.8612 "/>
    <x v="0"/>
    <n v="2313231"/>
    <m/>
    <m/>
    <m/>
  </r>
  <r>
    <x v="3"/>
    <x v="4"/>
    <s v="C:\Users\andre\Desktop\REACTIV CEFAS\Dutasteride\Dutasteride/20201203_Cefas_Test8_Run3/Plate 1/@14/E9_02.tif "/>
    <s v=" 67139.1929 "/>
    <s v=" 43.2072 "/>
    <x v="0"/>
    <n v="2900893"/>
    <m/>
    <m/>
    <m/>
  </r>
  <r>
    <x v="3"/>
    <x v="4"/>
    <s v="C:\Users\andre\Desktop\REACTIV CEFAS\Dutasteride\Dutasteride/20201203_Cefas_Test8_Run3/Plate 1/@14/E9_03.tif "/>
    <s v=" 55783.4982 "/>
    <s v=" 39.071 "/>
    <x v="0"/>
    <n v="2179515"/>
    <m/>
    <m/>
    <m/>
  </r>
  <r>
    <x v="3"/>
    <x v="5"/>
    <s v="C:\Users\andre\Desktop\REACTIV CEFAS\Dutasteride\Dutasteride/20201203_Cefas_Test8_Run3/Plate 1/@14/F9_01.tif "/>
    <s v=" 59958.0679 "/>
    <s v=" 39.825 "/>
    <x v="0"/>
    <n v="2387832"/>
    <m/>
    <m/>
    <m/>
  </r>
  <r>
    <x v="3"/>
    <x v="5"/>
    <s v="C:\Users\andre\Desktop\REACTIV CEFAS\Dutasteride\Dutasteride/20201203_Cefas_Test8_Run3/Plate 1/@14/F9_02.tif "/>
    <s v=" 54983.1921 "/>
    <s v=" 40.9603 "/>
    <x v="0"/>
    <n v="2252126"/>
    <m/>
    <m/>
    <m/>
  </r>
  <r>
    <x v="3"/>
    <x v="5"/>
    <s v="C:\Users\andre\Desktop\REACTIV CEFAS\Dutasteride\Dutasteride/20201203_Cefas_Test8_Run3/Plate 1/@14/F9_03.tif "/>
    <s v=" 59633.6195 "/>
    <s v=" 41.1821 "/>
    <x v="0"/>
    <n v="2455837"/>
    <m/>
    <m/>
    <m/>
  </r>
  <r>
    <x v="3"/>
    <x v="6"/>
    <s v="C:\Users\andre\Desktop\REACTIV CEFAS\Dutasteride\Dutasteride/20201203_Cefas_Test8_Run3/Plate 1/@14/G9_01.tif "/>
    <s v=" 18082.5919 "/>
    <s v=" 32.4318 "/>
    <x v="0"/>
    <n v="586451"/>
    <m/>
    <m/>
    <m/>
  </r>
  <r>
    <x v="3"/>
    <x v="6"/>
    <s v="C:\Users\andre\Desktop\REACTIV CEFAS\Dutasteride\Dutasteride/20201203_Cefas_Test8_Run3/Plate 1/@14/G9_02.tif "/>
    <s v=" 13518.6841 "/>
    <s v=" 31.9152 "/>
    <x v="0"/>
    <n v="431452"/>
    <m/>
    <m/>
    <m/>
  </r>
  <r>
    <x v="3"/>
    <x v="6"/>
    <s v="C:\Users\andre\Desktop\REACTIV CEFAS\Dutasteride\Dutasteride/20201203_Cefas_Test8_Run3/Plate 1/@14/G9_03.tif "/>
    <s v=" 19185.7165 "/>
    <s v=" 32.6618 "/>
    <x v="0"/>
    <n v="626640"/>
    <m/>
    <m/>
    <m/>
  </r>
  <r>
    <x v="3"/>
    <x v="7"/>
    <s v="C:\Users\andre\Desktop\REACTIV CEFAS\Dutasteride\Dutasteride/20201203_Cefas_Test8_Run3/Plate 1/@14/H9_01.tif "/>
    <s v=" 41572.6575 "/>
    <s v=" 42.7503 "/>
    <x v="0"/>
    <n v="1777242"/>
    <m/>
    <m/>
    <m/>
  </r>
  <r>
    <x v="3"/>
    <x v="7"/>
    <s v="C:\Users\andre\Desktop\REACTIV CEFAS\Dutasteride\Dutasteride/20201203_Cefas_Test8_Run3/Plate 1/@14/H9_02.tif "/>
    <s v=" 42437.8533 "/>
    <s v=" 39.3078 "/>
    <x v="0"/>
    <n v="1668141"/>
    <m/>
    <m/>
    <m/>
  </r>
  <r>
    <x v="3"/>
    <x v="7"/>
    <s v="C:\Users\andre\Desktop\REACTIV CEFAS\Dutasteride\Dutasteride/20201203_Cefas_Test8_Run3/Plate 1/@14/H9_03- exclu.tif"/>
    <m/>
    <m/>
    <x v="1"/>
    <m/>
    <m/>
    <m/>
    <m/>
  </r>
  <r>
    <x v="1"/>
    <x v="8"/>
    <s v=" "/>
    <m/>
    <m/>
    <x v="1"/>
    <m/>
    <m/>
    <m/>
    <m/>
  </r>
  <r>
    <x v="1"/>
    <x v="8"/>
    <s v="group "/>
    <s v=" "/>
    <s v=" mean of mean fluo "/>
    <x v="2"/>
    <s v=" mean of total fluo "/>
    <s v=" SD total fluo "/>
    <s v=" n fluorescent "/>
    <s v=" n total"/>
  </r>
  <r>
    <x v="3"/>
    <x v="9"/>
    <s v="C:\Users\andre\Desktop\REACTIV CEFAS\Dutasteride\Dutasteride/20201203_Cefas_Test8_Run3/Plate 1/@14/ "/>
    <s v=" "/>
    <s v=" 38.7894 "/>
    <x v="5"/>
    <n v="1809475"/>
    <s v=" 1033538.5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C:\Users\andre\Desktop\REACTIV CEFAS\Dutasteride\Dutasteride/20201203_Cefas_Test8_Run3/Plate 1/@15/A11_01.tif "/>
    <s v=" 73044.1542 "/>
    <s v=" 47.2926 "/>
    <x v="0"/>
    <n v="3454446"/>
    <m/>
    <m/>
    <m/>
  </r>
  <r>
    <x v="4"/>
    <x v="0"/>
    <s v="C:\Users\andre\Desktop\REACTIV CEFAS\Dutasteride\Dutasteride/20201203_Cefas_Test8_Run3/Plate 1/@15/A11_02.tif "/>
    <s v=" 68090.9083 "/>
    <s v=" 45.0753 "/>
    <x v="0"/>
    <n v="3069217"/>
    <m/>
    <m/>
    <m/>
  </r>
  <r>
    <x v="4"/>
    <x v="0"/>
    <s v="C:\Users\andre\Desktop\REACTIV CEFAS\Dutasteride\Dutasteride/20201203_Cefas_Test8_Run3/Plate 1/@15/A11_03.tif "/>
    <s v=" 67442.0115 "/>
    <s v=" 47.4885 "/>
    <x v="0"/>
    <n v="3202717"/>
    <m/>
    <m/>
    <m/>
  </r>
  <r>
    <x v="4"/>
    <x v="1"/>
    <s v="C:\Users\andre\Desktop\REACTIV CEFAS\Dutasteride\Dutasteride/20201203_Cefas_Test8_Run3/Plate 1/@15/B11_01.tif "/>
    <s v=" 73390.2325 "/>
    <s v=" 40.5385 "/>
    <x v="0"/>
    <n v="2975127"/>
    <m/>
    <m/>
    <m/>
  </r>
  <r>
    <x v="4"/>
    <x v="1"/>
    <s v="C:\Users\andre\Desktop\REACTIV CEFAS\Dutasteride\Dutasteride/20201203_Cefas_Test8_Run3/Plate 1/@15/B11_02.tif "/>
    <s v=" 73952.6097 "/>
    <s v=" 40.4899 "/>
    <x v="0"/>
    <n v="2994334"/>
    <m/>
    <m/>
    <m/>
  </r>
  <r>
    <x v="4"/>
    <x v="1"/>
    <s v="C:\Users\andre\Desktop\REACTIV CEFAS\Dutasteride\Dutasteride/20201203_Cefas_Test8_Run3/Plate 1/@15/B11_03.tif "/>
    <s v=" 78105.5495 "/>
    <s v=" 45.2088 "/>
    <x v="0"/>
    <n v="3531059"/>
    <m/>
    <m/>
    <m/>
  </r>
  <r>
    <x v="4"/>
    <x v="2"/>
    <s v="C:\Users\andre\Desktop\REACTIV CEFAS\Dutasteride\Dutasteride/20201203_Cefas_Test8_Run3/Plate 1/@15/C11_01.tif "/>
    <s v=" 67831.3496 "/>
    <s v=" 45.8029 "/>
    <x v="0"/>
    <n v="3106875"/>
    <m/>
    <m/>
    <m/>
  </r>
  <r>
    <x v="4"/>
    <x v="2"/>
    <s v="C:\Users\andre\Desktop\REACTIV CEFAS\Dutasteride\Dutasteride/20201203_Cefas_Test8_Run3/Plate 1/@15/C11_02.tif "/>
    <s v=" 60433.9256 "/>
    <s v=" 46.8096 "/>
    <x v="0"/>
    <n v="2828887"/>
    <m/>
    <m/>
    <m/>
  </r>
  <r>
    <x v="4"/>
    <x v="2"/>
    <s v="C:\Users\andre\Desktop\REACTIV CEFAS\Dutasteride\Dutasteride/20201203_Cefas_Test8_Run3/Plate 1/@15/C11_03.tif "/>
    <s v=" 69626.6308 "/>
    <s v=" 45.1066 "/>
    <x v="0"/>
    <n v="3140617"/>
    <m/>
    <m/>
    <m/>
  </r>
  <r>
    <x v="4"/>
    <x v="3"/>
    <s v="C:\Users\andre\Desktop\REACTIV CEFAS\Dutasteride\Dutasteride/20201203_Cefas_Test8_Run3/Plate 1/@15/D11_01.tif "/>
    <s v=" 54658.7437 "/>
    <s v=" 48.4044 "/>
    <x v="0"/>
    <n v="2645725"/>
    <m/>
    <m/>
    <m/>
  </r>
  <r>
    <x v="4"/>
    <x v="3"/>
    <s v="C:\Users\andre\Desktop\REACTIV CEFAS\Dutasteride\Dutasteride/20201203_Cefas_Test8_Run3/Plate 1/@15/D11_02.tif "/>
    <s v=" 58249.3062 "/>
    <s v=" 45.8147 "/>
    <x v="0"/>
    <n v="2668675"/>
    <m/>
    <m/>
    <m/>
  </r>
  <r>
    <x v="4"/>
    <x v="3"/>
    <s v="C:\Users\andre\Desktop\REACTIV CEFAS\Dutasteride\Dutasteride/20201203_Cefas_Test8_Run3/Plate 1/@15/D11_03.tif "/>
    <s v=" 62726.6944 "/>
    <s v=" 48.1848 "/>
    <x v="0"/>
    <n v="3022475"/>
    <m/>
    <m/>
    <m/>
  </r>
  <r>
    <x v="4"/>
    <x v="4"/>
    <s v="C:\Users\andre\Desktop\REACTIV CEFAS\Dutasteride\Dutasteride/20201203_Cefas_Test8_Run3/Plate 1/@15/E11_01.tif "/>
    <s v=" 70318.7874 "/>
    <s v=" 45.7032 "/>
    <x v="0"/>
    <n v="3213791"/>
    <m/>
    <m/>
    <m/>
  </r>
  <r>
    <x v="4"/>
    <x v="4"/>
    <s v="C:\Users\andre\Desktop\REACTIV CEFAS\Dutasteride\Dutasteride/20201203_Cefas_Test8_Run3/Plate 1/@15/E11_02.tif "/>
    <s v=" 74385.2076 "/>
    <s v=" 50.8587 "/>
    <x v="0"/>
    <n v="3783133"/>
    <m/>
    <m/>
    <m/>
  </r>
  <r>
    <x v="4"/>
    <x v="4"/>
    <s v="C:\Users\andre\Desktop\REACTIV CEFAS\Dutasteride\Dutasteride/20201203_Cefas_Test8_Run3/Plate 1/@15/E11_03.tif "/>
    <s v=" 69215.6628 "/>
    <s v=" 46.4684 "/>
    <x v="0"/>
    <n v="3216344"/>
    <m/>
    <m/>
    <m/>
  </r>
  <r>
    <x v="4"/>
    <x v="5"/>
    <s v="C:\Users\andre\Desktop\REACTIV CEFAS\Dutasteride\Dutasteride/20201203_Cefas_Test8_Run3/Plate 1/@15/F11_01.tif "/>
    <s v=" 95322.9456 "/>
    <s v=" 49.4329 "/>
    <x v="0"/>
    <n v="4712094"/>
    <m/>
    <m/>
    <m/>
  </r>
  <r>
    <x v="4"/>
    <x v="5"/>
    <s v="C:\Users\andre\Desktop\REACTIV CEFAS\Dutasteride\Dutasteride/20201203_Cefas_Test8_Run3/Plate 1/@15/F11_02.tif "/>
    <s v=" 95604.1343 "/>
    <s v=" 49.8353 "/>
    <x v="0"/>
    <n v="4764460"/>
    <m/>
    <m/>
    <m/>
  </r>
  <r>
    <x v="4"/>
    <x v="5"/>
    <s v="C:\Users\andre\Desktop\REACTIV CEFAS\Dutasteride\Dutasteride/20201203_Cefas_Test8_Run3/Plate 1/@15/F11_03.tif "/>
    <s v=" 96923.5578 "/>
    <s v=" 47.4084 "/>
    <x v="0"/>
    <n v="4594990"/>
    <m/>
    <m/>
    <m/>
  </r>
  <r>
    <x v="4"/>
    <x v="6"/>
    <s v="C:\Users\andre\Desktop\REACTIV CEFAS\Dutasteride\Dutasteride/20201203_Cefas_Test8_Run3/Plate 1/@15/G11_01- exclu.tif"/>
    <m/>
    <m/>
    <x v="1"/>
    <m/>
    <m/>
    <m/>
    <m/>
  </r>
  <r>
    <x v="4"/>
    <x v="6"/>
    <s v="C:\Users\andre\Desktop\REACTIV CEFAS\Dutasteride\Dutasteride/20201203_Cefas_Test8_Run3/Plate 1/@15/G11_02- exclu.tif"/>
    <m/>
    <m/>
    <x v="1"/>
    <m/>
    <m/>
    <m/>
    <m/>
  </r>
  <r>
    <x v="4"/>
    <x v="6"/>
    <s v="C:\Users\andre\Desktop\REACTIV CEFAS\Dutasteride\Dutasteride/20201203_Cefas_Test8_Run3/Plate 1/@15/G11_03- exclu.tif"/>
    <m/>
    <m/>
    <x v="1"/>
    <m/>
    <m/>
    <m/>
    <m/>
  </r>
  <r>
    <x v="4"/>
    <x v="7"/>
    <s v="C:\Users\andre\Desktop\REACTIV CEFAS\Dutasteride\Dutasteride/20201203_Cefas_Test8_Run3/Plate 1/@15/H11_01.tif "/>
    <s v=" 35710.956 "/>
    <s v=" 36.2362 "/>
    <x v="0"/>
    <n v="1294030"/>
    <m/>
    <m/>
    <m/>
  </r>
  <r>
    <x v="4"/>
    <x v="7"/>
    <s v="C:\Users\andre\Desktop\REACTIV CEFAS\Dutasteride\Dutasteride/20201203_Cefas_Test8_Run3/Plate 1/@15/H11_02.tif "/>
    <s v=" 41529.3977 "/>
    <s v=" 36.3109 "/>
    <x v="0"/>
    <n v="1507971"/>
    <m/>
    <m/>
    <m/>
  </r>
  <r>
    <x v="4"/>
    <x v="7"/>
    <s v="C:\Users\andre\Desktop\REACTIV CEFAS\Dutasteride\Dutasteride/20201203_Cefas_Test8_Run3/Plate 1/@15/H11_03.tif "/>
    <s v=" 27188.7775 "/>
    <s v=" 33.922 "/>
    <x v="0"/>
    <n v="922299"/>
    <m/>
    <m/>
    <m/>
  </r>
  <r>
    <x v="1"/>
    <x v="8"/>
    <s v=" "/>
    <m/>
    <m/>
    <x v="1"/>
    <m/>
    <m/>
    <m/>
    <m/>
  </r>
  <r>
    <x v="1"/>
    <x v="8"/>
    <s v="group "/>
    <s v=" "/>
    <s v=" mean of mean fluo "/>
    <x v="2"/>
    <s v=" mean of total fluo "/>
    <s v=" SD total fluo "/>
    <s v=" n fluorescent "/>
    <s v=" n total"/>
  </r>
  <r>
    <x v="4"/>
    <x v="9"/>
    <s v="C:\Users\andre\Desktop\REACTIV CEFAS\Dutasteride\Dutasteride/20201203_Cefas_Test8_Run3/Plate 1/@15/ "/>
    <s v=" "/>
    <s v=" 39.2664 "/>
    <x v="6"/>
    <s v=" 2693719.42 "/>
    <s v=" 1388268.76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C:\Users\andre\Desktop\REACTIV CEFAS\Dutasteride\Dutasteride/20201203_Cefas_Test8_Run3/Plate 1/@16/A12_01.tif "/>
    <n v="0"/>
    <n v="0"/>
    <x v="0"/>
    <n v="0"/>
    <m/>
    <m/>
    <m/>
  </r>
  <r>
    <x v="5"/>
    <x v="0"/>
    <s v="C:\Users\andre\Desktop\REACTIV CEFAS\Dutasteride\Dutasteride/20201203_Cefas_Test8_Run3/Plate 1/@16/A12_02.tif "/>
    <s v=" 237.9288 "/>
    <s v=" 31.6364 "/>
    <x v="0"/>
    <n v="7527"/>
    <m/>
    <m/>
    <m/>
  </r>
  <r>
    <x v="5"/>
    <x v="0"/>
    <s v="C:\Users\andre\Desktop\REACTIV CEFAS\Dutasteride\Dutasteride/20201203_Cefas_Test8_Run3/Plate 1/@16/A12_03.tif "/>
    <s v=" 1254.5339 "/>
    <s v=" 31.7586 "/>
    <x v="0"/>
    <n v="39842"/>
    <m/>
    <m/>
    <m/>
  </r>
  <r>
    <x v="5"/>
    <x v="1"/>
    <s v="C:\Users\andre\Desktop\REACTIV CEFAS\Dutasteride\Dutasteride/20201203_Cefas_Test8_Run3/Plate 1/@16/B12_01.tif "/>
    <s v=" 4477.3882 "/>
    <s v=" 34.2222 "/>
    <x v="0"/>
    <n v="153226"/>
    <m/>
    <m/>
    <m/>
  </r>
  <r>
    <x v="5"/>
    <x v="1"/>
    <s v="C:\Users\andre\Desktop\REACTIV CEFAS\Dutasteride\Dutasteride/20201203_Cefas_Test8_Run3/Plate 1/@16/B12_02.tif "/>
    <s v=" 1514.0926 "/>
    <s v=" 32.1857 "/>
    <x v="0"/>
    <n v="48732"/>
    <m/>
    <m/>
    <m/>
  </r>
  <r>
    <x v="5"/>
    <x v="1"/>
    <s v="C:\Users\andre\Desktop\REACTIV CEFAS\Dutasteride\Dutasteride/20201203_Cefas_Test8_Run3/Plate 1/@16/B12_03.tif "/>
    <s v=" 2357.6585 "/>
    <s v=" 32.1284 "/>
    <x v="0"/>
    <n v="75748"/>
    <m/>
    <m/>
    <m/>
  </r>
  <r>
    <x v="5"/>
    <x v="2"/>
    <s v="C:\Users\andre\Desktop\REACTIV CEFAS\Dutasteride\Dutasteride/20201203_Cefas_Test8_Run3/Plate 1/@16/C12_01.tif "/>
    <s v=" 6986.456 "/>
    <s v=" 41.7059 "/>
    <x v="0"/>
    <n v="291376"/>
    <m/>
    <m/>
    <m/>
  </r>
  <r>
    <x v="5"/>
    <x v="2"/>
    <s v="C:\Users\andre\Desktop\REACTIV CEFAS\Dutasteride\Dutasteride/20201203_Cefas_Test8_Run3/Plate 1/@16/C12_02- exclu.tif"/>
    <m/>
    <m/>
    <x v="1"/>
    <m/>
    <m/>
    <m/>
    <m/>
  </r>
  <r>
    <x v="5"/>
    <x v="2"/>
    <s v="C:\Users\andre\Desktop\REACTIV CEFAS\Dutasteride\Dutasteride/20201203_Cefas_Test8_Run3/Plate 1/@16/C12_03.tif "/>
    <n v="0"/>
    <n v="0"/>
    <x v="0"/>
    <n v="0"/>
    <m/>
    <m/>
    <m/>
  </r>
  <r>
    <x v="5"/>
    <x v="3"/>
    <s v="C:\Users\andre\Desktop\REACTIV CEFAS\Dutasteride\Dutasteride/20201203_Cefas_Test8_Run3/Plate 1/@16/D12_01.tif "/>
    <n v="0"/>
    <n v="0"/>
    <x v="0"/>
    <n v="0"/>
    <m/>
    <m/>
    <m/>
  </r>
  <r>
    <x v="5"/>
    <x v="3"/>
    <s v="C:\Users\andre\Desktop\REACTIV CEFAS\Dutasteride\Dutasteride/20201203_Cefas_Test8_Run3/Plate 1/@16/D12_02.tif "/>
    <s v=" 3720.3419 "/>
    <s v=" 37.1628 "/>
    <x v="0"/>
    <n v="138258"/>
    <m/>
    <m/>
    <m/>
  </r>
  <r>
    <x v="5"/>
    <x v="3"/>
    <s v="C:\Users\andre\Desktop\REACTIV CEFAS\Dutasteride\Dutasteride/20201203_Cefas_Test8_Run3/Plate 1/@16/D12_03.tif "/>
    <s v=" 1189.6442 "/>
    <s v=" 33.1636 "/>
    <x v="0"/>
    <n v="39453"/>
    <m/>
    <m/>
    <m/>
  </r>
  <r>
    <x v="5"/>
    <x v="4"/>
    <s v="C:\Users\andre\Desktop\REACTIV CEFAS\Dutasteride\Dutasteride/20201203_Cefas_Test8_Run3/Plate 1/@16/E12_01.tif "/>
    <s v=" 3006.5554 "/>
    <s v=" 33.7194 "/>
    <x v="0"/>
    <n v="101379"/>
    <m/>
    <m/>
    <m/>
  </r>
  <r>
    <x v="5"/>
    <x v="4"/>
    <s v="C:\Users\andre\Desktop\REACTIV CEFAS\Dutasteride\Dutasteride/20201203_Cefas_Test8_Run3/Plate 1/@16/E12_02.tif "/>
    <s v=" 1643.872 "/>
    <s v=" 33.3421 "/>
    <x v="0"/>
    <n v="54810"/>
    <m/>
    <m/>
    <m/>
  </r>
  <r>
    <x v="5"/>
    <x v="4"/>
    <s v="C:\Users\andre\Desktop\REACTIV CEFAS\Dutasteride\Dutasteride/20201203_Cefas_Test8_Run3/Plate 1/@16/E12_03.tif "/>
    <s v=" 1860.1709 "/>
    <s v=" 31.9535 "/>
    <x v="0"/>
    <n v="59439"/>
    <m/>
    <m/>
    <m/>
  </r>
  <r>
    <x v="5"/>
    <x v="5"/>
    <s v="C:\Users\andre\Desktop\REACTIV CEFAS\Dutasteride\Dutasteride/20201203_Cefas_Test8_Run3/Plate 1/@16/F12_01.tif "/>
    <s v=" 2682.1069 "/>
    <s v=" 33.9435 "/>
    <x v="0"/>
    <n v="91040"/>
    <m/>
    <m/>
    <m/>
  </r>
  <r>
    <x v="5"/>
    <x v="5"/>
    <s v="C:\Users\andre\Desktop\REACTIV CEFAS\Dutasteride\Dutasteride/20201203_Cefas_Test8_Run3/Plate 1/@16/F12_02.tif "/>
    <s v=" 432.5979 "/>
    <s v=" 32.6 "/>
    <x v="0"/>
    <n v="14103"/>
    <m/>
    <m/>
    <m/>
  </r>
  <r>
    <x v="5"/>
    <x v="5"/>
    <s v="C:\Users\andre\Desktop\REACTIV CEFAS\Dutasteride\Dutasteride/20201203_Cefas_Test8_Run3/Plate 1/@16/F12_03.tif "/>
    <s v=" 4304.349 "/>
    <s v=" 35.1508 "/>
    <x v="0"/>
    <n v="151301"/>
    <m/>
    <m/>
    <m/>
  </r>
  <r>
    <x v="5"/>
    <x v="6"/>
    <s v="C:\Users\andre\Desktop\REACTIV CEFAS\Dutasteride\Dutasteride/20201203_Cefas_Test8_Run3/Plate 1/@16/G12_01.tif "/>
    <s v=" 9625.3031 "/>
    <s v=" 40.5461 "/>
    <x v="0"/>
    <n v="390268"/>
    <m/>
    <m/>
    <m/>
  </r>
  <r>
    <x v="5"/>
    <x v="6"/>
    <s v="C:\Users\andre\Desktop\REACTIV CEFAS\Dutasteride\Dutasteride/20201203_Cefas_Test8_Run3/Plate 1/@16/G12_02.tif "/>
    <s v=" 9214.3351 "/>
    <s v=" 41.3263 "/>
    <x v="0"/>
    <n v="380794"/>
    <m/>
    <m/>
    <m/>
  </r>
  <r>
    <x v="5"/>
    <x v="6"/>
    <s v="C:\Users\andre\Desktop\REACTIV CEFAS\Dutasteride\Dutasteride/20201203_Cefas_Test8_Run3/Plate 1/@16/G12_03.tif "/>
    <s v=" 5775.1819 "/>
    <s v=" 39.5243 "/>
    <x v="0"/>
    <n v="228260"/>
    <m/>
    <m/>
    <m/>
  </r>
  <r>
    <x v="5"/>
    <x v="7"/>
    <s v="C:\Users\andre\Desktop\REACTIV CEFAS\Dutasteride\Dutasteride/20201203_Cefas_Test8_Run3/Plate 1/@16/H12_01- exclu.tif"/>
    <m/>
    <m/>
    <x v="1"/>
    <m/>
    <m/>
    <m/>
    <m/>
  </r>
  <r>
    <x v="5"/>
    <x v="7"/>
    <s v="C:\Users\andre\Desktop\REACTIV CEFAS\Dutasteride\Dutasteride/20201203_Cefas_Test8_Run3/Plate 1/@16/H12_02- exclu.tif"/>
    <m/>
    <m/>
    <x v="1"/>
    <m/>
    <m/>
    <m/>
    <m/>
  </r>
  <r>
    <x v="5"/>
    <x v="7"/>
    <s v="C:\Users\andre\Desktop\REACTIV CEFAS\Dutasteride\Dutasteride/20201203_Cefas_Test8_Run3/Plate 1/@16/H12_03- exclu.tif"/>
    <m/>
    <m/>
    <x v="1"/>
    <m/>
    <m/>
    <m/>
    <m/>
  </r>
  <r>
    <x v="1"/>
    <x v="8"/>
    <s v=" "/>
    <m/>
    <m/>
    <x v="1"/>
    <m/>
    <m/>
    <m/>
    <m/>
  </r>
  <r>
    <x v="1"/>
    <x v="8"/>
    <s v="group "/>
    <s v=" "/>
    <s v=" mean of mean fluo "/>
    <x v="2"/>
    <s v=" mean of total fluo "/>
    <s v=" SD total fluo "/>
    <s v=" n fluorescent "/>
    <s v=" n total"/>
  </r>
  <r>
    <x v="5"/>
    <x v="9"/>
    <s v="C:\Users\andre\Desktop\REACTIV CEFAS\Dutasteride\Dutasteride/20201203_Cefas_Test8_Run3/Plate 1/@16/ "/>
    <s v=" "/>
    <s v=" 26.1865 "/>
    <x v="7"/>
    <s v=" 108680.208 "/>
    <s v=" 126908.679 "/>
    <n v="18"/>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C:\Users\andre\Desktop\REACTIV CEFAS\Dutasteride\Dutasteride/20201203_Cefas_Test8_Run3/Plate 1/@2/A2_01.tif "/>
    <s v=" 8868.2568 "/>
    <s v=" 43.5439 "/>
    <x v="0"/>
    <n v="386159"/>
    <m/>
    <m/>
    <m/>
  </r>
  <r>
    <x v="6"/>
    <x v="0"/>
    <s v="C:\Users\andre\Desktop\REACTIV CEFAS\Dutasteride\Dutasteride/20201203_Cefas_Test8_Run3/Plate 1/@2/A2_02.tif "/>
    <s v=" 11117.7658 "/>
    <s v=" 49.0953 "/>
    <x v="0"/>
    <n v="545830"/>
    <m/>
    <m/>
    <m/>
  </r>
  <r>
    <x v="6"/>
    <x v="0"/>
    <s v="C:\Users\andre\Desktop\REACTIV CEFAS\Dutasteride\Dutasteride/20201203_Cefas_Test8_Run3/Plate 1/@2/A2_03- exclu.tif"/>
    <m/>
    <m/>
    <x v="1"/>
    <m/>
    <m/>
    <m/>
    <m/>
  </r>
  <r>
    <x v="6"/>
    <x v="1"/>
    <s v="C:\Users\andre\Desktop\REACTIV CEFAS\Dutasteride\Dutasteride/20201203_Cefas_Test8_Run3/Plate 1/@2/B2_01.tif "/>
    <s v=" 5753.552 "/>
    <s v=" 39.9098 "/>
    <x v="0"/>
    <n v="229623"/>
    <m/>
    <m/>
    <m/>
  </r>
  <r>
    <x v="6"/>
    <x v="1"/>
    <s v="C:\Users\andre\Desktop\REACTIV CEFAS\Dutasteride\Dutasteride/20201203_Cefas_Test8_Run3/Plate 1/@2/B2_02- exclu.tif"/>
    <m/>
    <m/>
    <x v="1"/>
    <m/>
    <m/>
    <m/>
    <m/>
  </r>
  <r>
    <x v="6"/>
    <x v="1"/>
    <s v="C:\Users\andre\Desktop\REACTIV CEFAS\Dutasteride\Dutasteride/20201203_Cefas_Test8_Run3/Plate 1/@2/B2_03- exclu.tif"/>
    <m/>
    <m/>
    <x v="1"/>
    <m/>
    <m/>
    <m/>
    <m/>
  </r>
  <r>
    <x v="6"/>
    <x v="2"/>
    <s v="C:\Users\andre\Desktop\REACTIV CEFAS\Dutasteride\Dutasteride/20201203_Cefas_Test8_Run3/Plate 1/@2/C2_01.tif "/>
    <n v="0"/>
    <n v="0"/>
    <x v="0"/>
    <n v="0"/>
    <m/>
    <m/>
    <m/>
  </r>
  <r>
    <x v="6"/>
    <x v="2"/>
    <s v="C:\Users\andre\Desktop\REACTIV CEFAS\Dutasteride\Dutasteride/20201203_Cefas_Test8_Run3/Plate 1/@2/C2_02.tif "/>
    <s v=" 3287.744 "/>
    <s v=" 36.1447 "/>
    <x v="0"/>
    <n v="118835"/>
    <m/>
    <m/>
    <m/>
  </r>
  <r>
    <x v="6"/>
    <x v="2"/>
    <s v="C:\Users\andre\Desktop\REACTIV CEFAS\Dutasteride\Dutasteride/20201203_Cefas_Test8_Run3/Plate 1/@2/C2_03.tif "/>
    <s v=" 540.7474 "/>
    <s v=" 33.2 "/>
    <x v="0"/>
    <n v="17953"/>
    <m/>
    <m/>
    <m/>
  </r>
  <r>
    <x v="6"/>
    <x v="3"/>
    <s v="C:\Users\andre\Desktop\REACTIV CEFAS\Dutasteride\Dutasteride/20201203_Cefas_Test8_Run3/Plate 1/@2/D2_01.tif "/>
    <s v=" 11182.6555 "/>
    <s v=" 38.1683 "/>
    <x v="0"/>
    <n v="426823"/>
    <m/>
    <m/>
    <m/>
  </r>
  <r>
    <x v="6"/>
    <x v="3"/>
    <s v="C:\Users\andre\Desktop\REACTIV CEFAS\Dutasteride\Dutasteride/20201203_Cefas_Test8_Run3/Plate 1/@2/D2_02.tif "/>
    <s v=" 8435.6589 "/>
    <s v=" 36.8846 "/>
    <x v="0"/>
    <n v="311146"/>
    <m/>
    <m/>
    <m/>
  </r>
  <r>
    <x v="6"/>
    <x v="3"/>
    <s v="C:\Users\andre\Desktop\REACTIV CEFAS\Dutasteride\Dutasteride/20201203_Cefas_Test8_Run3/Plate 1/@2/D2_03.tif "/>
    <s v=" 8522.1785 "/>
    <s v=" 35.9188 "/>
    <x v="0"/>
    <n v="306106"/>
    <m/>
    <m/>
    <m/>
  </r>
  <r>
    <x v="6"/>
    <x v="4"/>
    <s v="C:\Users\andre\Desktop\REACTIV CEFAS\Dutasteride\Dutasteride/20201203_Cefas_Test8_Run3/Plate 1/@2/E2_01- exclu.tif"/>
    <m/>
    <m/>
    <x v="1"/>
    <m/>
    <m/>
    <m/>
    <m/>
  </r>
  <r>
    <x v="6"/>
    <x v="4"/>
    <s v="C:\Users\andre\Desktop\REACTIV CEFAS\Dutasteride\Dutasteride/20201203_Cefas_Test8_Run3/Plate 1/@2/E2_02- exclu.tif"/>
    <m/>
    <m/>
    <x v="1"/>
    <m/>
    <m/>
    <m/>
    <m/>
  </r>
  <r>
    <x v="6"/>
    <x v="4"/>
    <s v="C:\Users\andre\Desktop\REACTIV CEFAS\Dutasteride\Dutasteride/20201203_Cefas_Test8_Run3/Plate 1/@2/E2_03- exclu.tif"/>
    <m/>
    <m/>
    <x v="1"/>
    <m/>
    <m/>
    <m/>
    <m/>
  </r>
  <r>
    <x v="6"/>
    <x v="5"/>
    <s v="C:\Users\andre\Desktop\REACTIV CEFAS\Dutasteride\Dutasteride/20201203_Cefas_Test8_Run3/Plate 1/@2/F2_01.tif "/>
    <s v=" 3979.9006 "/>
    <s v=" 36.837 "/>
    <x v="0"/>
    <n v="146607"/>
    <m/>
    <m/>
    <m/>
  </r>
  <r>
    <x v="6"/>
    <x v="5"/>
    <s v="C:\Users\andre\Desktop\REACTIV CEFAS\Dutasteride\Dutasteride/20201203_Cefas_Test8_Run3/Plate 1/@2/F2_02.tif "/>
    <s v=" 5602.1427 "/>
    <s v=" 39.7838 "/>
    <x v="0"/>
    <n v="222874"/>
    <m/>
    <m/>
    <m/>
  </r>
  <r>
    <x v="6"/>
    <x v="5"/>
    <s v="C:\Users\andre\Desktop\REACTIV CEFAS\Dutasteride\Dutasteride/20201203_Cefas_Test8_Run3/Plate 1/@2/F2_03.tif "/>
    <s v=" 1838.541 "/>
    <s v=" 36.5294 "/>
    <x v="0"/>
    <n v="67161"/>
    <m/>
    <m/>
    <m/>
  </r>
  <r>
    <x v="6"/>
    <x v="6"/>
    <s v="C:\Users\andre\Desktop\REACTIV CEFAS\Dutasteride\Dutasteride/20201203_Cefas_Test8_Run3/Plate 1/@2/G2_01.tif "/>
    <s v=" 519.1175 "/>
    <s v=" 31.6667 "/>
    <x v="0"/>
    <n v="16439"/>
    <m/>
    <m/>
    <m/>
  </r>
  <r>
    <x v="6"/>
    <x v="6"/>
    <s v="C:\Users\andre\Desktop\REACTIV CEFAS\Dutasteride\Dutasteride/20201203_Cefas_Test8_Run3/Plate 1/@2/G2_02.tif "/>
    <s v=" 64.8897 "/>
    <s v=" 32.3333 "/>
    <x v="0"/>
    <n v="2098"/>
    <m/>
    <m/>
    <m/>
  </r>
  <r>
    <x v="6"/>
    <x v="6"/>
    <s v="C:\Users\andre\Desktop\REACTIV CEFAS\Dutasteride\Dutasteride/20201203_Cefas_Test8_Run3/Plate 1/@2/G2_03.tif "/>
    <s v=" 8846.6269 "/>
    <s v=" 38.0782 "/>
    <x v="0"/>
    <n v="336864"/>
    <m/>
    <m/>
    <m/>
  </r>
  <r>
    <x v="6"/>
    <x v="7"/>
    <s v="C:\Users\andre\Desktop\REACTIV CEFAS\Dutasteride\Dutasteride/20201203_Cefas_Test8_Run3/Plate 1/@2/H2_01.tif "/>
    <s v=" 8673.5877 "/>
    <s v=" 37.8928 "/>
    <x v="0"/>
    <n v="328666"/>
    <m/>
    <m/>
    <m/>
  </r>
  <r>
    <x v="6"/>
    <x v="7"/>
    <s v="C:\Users\andre\Desktop\REACTIV CEFAS\Dutasteride\Dutasteride/20201203_Cefas_Test8_Run3/Plate 1/@2/H2_02.tif "/>
    <s v=" 3850.1212 "/>
    <s v=" 37.7697 "/>
    <x v="0"/>
    <n v="145418"/>
    <m/>
    <m/>
    <m/>
  </r>
  <r>
    <x v="6"/>
    <x v="7"/>
    <s v="C:\Users\andre\Desktop\REACTIV CEFAS\Dutasteride\Dutasteride/20201203_Cefas_Test8_Run3/Plate 1/@2/H2_03.tif "/>
    <s v=" 7765.1322 "/>
    <s v=" 38.585 "/>
    <x v="0"/>
    <n v="299617"/>
    <m/>
    <m/>
    <m/>
  </r>
  <r>
    <x v="1"/>
    <x v="8"/>
    <s v=" "/>
    <m/>
    <m/>
    <x v="1"/>
    <m/>
    <m/>
    <m/>
    <m/>
  </r>
  <r>
    <x v="1"/>
    <x v="8"/>
    <s v="group "/>
    <s v=" "/>
    <s v=" mean of mean fluo "/>
    <x v="2"/>
    <s v=" mean of total fluo "/>
    <s v=" SD total fluo "/>
    <s v=" n fluorescent "/>
    <s v=" n total"/>
  </r>
  <r>
    <x v="6"/>
    <x v="9"/>
    <s v="C:\Users\andre\Desktop\REACTIV CEFAS\Dutasteride\Dutasteride/20201203_Cefas_Test8_Run3/Plate 1/@2/ "/>
    <s v=" "/>
    <s v=" 37.7109 "/>
    <x v="8"/>
    <s v=" 332434.333 "/>
    <s v=" 346843.6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C:\Users\andre\Desktop\REACTIV CEFAS\Dutasteride\Dutasteride/20201203_Cefas_Test8_Run3/Plate 1/@3/A3_01.tif "/>
    <s v=" 108.1495 "/>
    <s v=" 31.8 "/>
    <x v="0"/>
    <n v="3439"/>
    <m/>
    <m/>
    <m/>
  </r>
  <r>
    <x v="7"/>
    <x v="0"/>
    <s v="C:\Users\andre\Desktop\REACTIV CEFAS\Dutasteride\Dutasteride/20201203_Cefas_Test8_Run3/Plate 1/@3/A3_02- exclu.tif"/>
    <m/>
    <m/>
    <x v="1"/>
    <m/>
    <m/>
    <m/>
    <m/>
  </r>
  <r>
    <x v="7"/>
    <x v="0"/>
    <s v="C:\Users\andre\Desktop\REACTIV CEFAS\Dutasteride\Dutasteride/20201203_Cefas_Test8_Run3/Plate 1/@3/A3_03- exclu.tif"/>
    <m/>
    <m/>
    <x v="1"/>
    <m/>
    <m/>
    <m/>
    <m/>
  </r>
  <r>
    <x v="7"/>
    <x v="1"/>
    <s v="C:\Users\andre\Desktop\REACTIV CEFAS\Dutasteride\Dutasteride/20201203_Cefas_Test8_Run3/Plate 1/@3/B3_01- exclu.tif"/>
    <m/>
    <m/>
    <x v="1"/>
    <m/>
    <m/>
    <m/>
    <m/>
  </r>
  <r>
    <x v="7"/>
    <x v="1"/>
    <s v="C:\Users\andre\Desktop\REACTIV CEFAS\Dutasteride\Dutasteride/20201203_Cefas_Test8_Run3/Plate 1/@3/B3_02.tif "/>
    <s v=" 2119.7297 "/>
    <s v=" 34.8469 "/>
    <x v="0"/>
    <n v="73866"/>
    <m/>
    <m/>
    <m/>
  </r>
  <r>
    <x v="7"/>
    <x v="1"/>
    <s v="C:\Users\andre\Desktop\REACTIV CEFAS\Dutasteride\Dutasteride/20201203_Cefas_Test8_Run3/Plate 1/@3/B3_03.tif "/>
    <n v="0"/>
    <n v="0"/>
    <x v="0"/>
    <n v="0"/>
    <m/>
    <m/>
    <m/>
  </r>
  <r>
    <x v="7"/>
    <x v="2"/>
    <s v="C:\Users\andre\Desktop\REACTIV CEFAS\Dutasteride\Dutasteride/20201203_Cefas_Test8_Run3/Plate 1/@3/C3_01.tif "/>
    <s v=" 3677.0821 "/>
    <s v=" 33.8941 "/>
    <x v="0"/>
    <n v="124631"/>
    <m/>
    <m/>
    <m/>
  </r>
  <r>
    <x v="7"/>
    <x v="2"/>
    <s v="C:\Users\andre\Desktop\REACTIV CEFAS\Dutasteride\Dutasteride/20201203_Cefas_Test8_Run3/Plate 1/@3/C3_02.tif "/>
    <s v=" 1622.2421 "/>
    <s v=" 32.2133 "/>
    <x v="0"/>
    <n v="52258"/>
    <m/>
    <m/>
    <m/>
  </r>
  <r>
    <x v="7"/>
    <x v="2"/>
    <s v="C:\Users\andre\Desktop\REACTIV CEFAS\Dutasteride\Dutasteride/20201203_Cefas_Test8_Run3/Plate 1/@3/C3_03.tif "/>
    <s v=" 1535.7225 "/>
    <s v=" 32.2113 "/>
    <x v="0"/>
    <n v="49468"/>
    <m/>
    <m/>
    <m/>
  </r>
  <r>
    <x v="7"/>
    <x v="3"/>
    <s v="C:\Users\andre\Desktop\REACTIV CEFAS\Dutasteride\Dutasteride/20201203_Cefas_Test8_Run3/Plate 1/@3/D3_01.tif "/>
    <s v=" 6553.8581 "/>
    <s v=" 39.9241 "/>
    <x v="0"/>
    <n v="261657"/>
    <m/>
    <m/>
    <m/>
  </r>
  <r>
    <x v="7"/>
    <x v="3"/>
    <s v="C:\Users\andre\Desktop\REACTIV CEFAS\Dutasteride\Dutasteride/20201203_Cefas_Test8_Run3/Plate 1/@3/D3_02.tif "/>
    <s v=" 9841.6021 "/>
    <s v=" 45.6527 "/>
    <x v="0"/>
    <n v="449296"/>
    <m/>
    <m/>
    <m/>
  </r>
  <r>
    <x v="7"/>
    <x v="3"/>
    <s v="C:\Users\andre\Desktop\REACTIV CEFAS\Dutasteride\Dutasteride/20201203_Cefas_Test8_Run3/Plate 1/@3/D3_03.tif "/>
    <s v=" 10663.5381 "/>
    <s v=" 44.1765 "/>
    <x v="0"/>
    <n v="471077"/>
    <m/>
    <m/>
    <m/>
  </r>
  <r>
    <x v="7"/>
    <x v="4"/>
    <s v="C:\Users\andre\Desktop\REACTIV CEFAS\Dutasteride\Dutasteride/20201203_Cefas_Test8_Run3/Plate 1/@3/E3_01.tif "/>
    <s v=" 5580.5128 "/>
    <s v=" 39.8876 "/>
    <x v="0"/>
    <n v="222593"/>
    <m/>
    <m/>
    <m/>
  </r>
  <r>
    <x v="7"/>
    <x v="4"/>
    <s v="C:\Users\andre\Desktop\REACTIV CEFAS\Dutasteride\Dutasteride/20201203_Cefas_Test8_Run3/Plate 1/@3/E3_02.tif "/>
    <s v=" 5299.3242 "/>
    <s v=" 40.6531 "/>
    <x v="0"/>
    <n v="215434"/>
    <m/>
    <m/>
    <m/>
  </r>
  <r>
    <x v="7"/>
    <x v="4"/>
    <s v="C:\Users\andre\Desktop\REACTIV CEFAS\Dutasteride\Dutasteride/20201203_Cefas_Test8_Run3/Plate 1/@3/E3_03.tif "/>
    <n v="0"/>
    <n v="0"/>
    <x v="0"/>
    <n v="0"/>
    <m/>
    <m/>
    <m/>
  </r>
  <r>
    <x v="7"/>
    <x v="5"/>
    <s v="C:\Users\andre\Desktop\REACTIV CEFAS\Dutasteride\Dutasteride/20201203_Cefas_Test8_Run3/Plate 1/@3/F3_01.tif "/>
    <s v=" 3374.2636 "/>
    <s v=" 37.0256 "/>
    <x v="0"/>
    <n v="124934"/>
    <m/>
    <m/>
    <m/>
  </r>
  <r>
    <x v="7"/>
    <x v="5"/>
    <s v="C:\Users\andre\Desktop\REACTIV CEFAS\Dutasteride\Dutasteride/20201203_Cefas_Test8_Run3/Plate 1/@3/F3_02.tif "/>
    <s v=" 2119.7297 "/>
    <s v=" 34.8776 "/>
    <x v="0"/>
    <n v="73931"/>
    <m/>
    <m/>
    <m/>
  </r>
  <r>
    <x v="7"/>
    <x v="5"/>
    <s v="C:\Users\andre\Desktop\REACTIV CEFAS\Dutasteride\Dutasteride/20201203_Cefas_Test8_Run3/Plate 1/@3/F3_03.tif "/>
    <s v=" 3612.1924 "/>
    <s v=" 35.6587 "/>
    <x v="0"/>
    <n v="128806"/>
    <m/>
    <m/>
    <m/>
  </r>
  <r>
    <x v="7"/>
    <x v="6"/>
    <s v="C:\Users\andre\Desktop\REACTIV CEFAS\Dutasteride\Dutasteride/20201203_Cefas_Test8_Run3/Plate 1/@3/G3_01.tif "/>
    <s v=" 13518.6841 "/>
    <s v=" 32.88 "/>
    <x v="0"/>
    <n v="444494"/>
    <m/>
    <m/>
    <m/>
  </r>
  <r>
    <x v="7"/>
    <x v="6"/>
    <s v="C:\Users\andre\Desktop\REACTIV CEFAS\Dutasteride\Dutasteride/20201203_Cefas_Test8_Run3/Plate 1/@3/G3_02.tif "/>
    <s v=" 22646.4997 "/>
    <s v=" 33.8023 "/>
    <x v="0"/>
    <n v="765504"/>
    <m/>
    <m/>
    <m/>
  </r>
  <r>
    <x v="7"/>
    <x v="6"/>
    <s v="C:\Users\andre\Desktop\REACTIV CEFAS\Dutasteride\Dutasteride/20201203_Cefas_Test8_Run3/Plate 1/@3/G3_03.tif "/>
    <s v=" 9084.5557 "/>
    <s v=" 32.4238 "/>
    <x v="0"/>
    <n v="294556"/>
    <m/>
    <m/>
    <m/>
  </r>
  <r>
    <x v="7"/>
    <x v="7"/>
    <s v="C:\Users\andre\Desktop\REACTIV CEFAS\Dutasteride\Dutasteride/20201203_Cefas_Test8_Run3/Plate 1/@3/H3_01.tif "/>
    <s v=" 7548.8332 "/>
    <s v=" 37.2521 "/>
    <x v="0"/>
    <n v="281210"/>
    <m/>
    <m/>
    <m/>
  </r>
  <r>
    <x v="7"/>
    <x v="7"/>
    <s v="C:\Users\andre\Desktop\REACTIV CEFAS\Dutasteride\Dutasteride/20201203_Cefas_Test8_Run3/Plate 1/@3/H3_02.tif "/>
    <s v=" 17974.4424 "/>
    <s v=" 35.1023 "/>
    <x v="0"/>
    <n v="630944"/>
    <m/>
    <m/>
    <m/>
  </r>
  <r>
    <x v="7"/>
    <x v="7"/>
    <s v="C:\Users\andre\Desktop\REACTIV CEFAS\Dutasteride\Dutasteride/20201203_Cefas_Test8_Run3/Plate 1/@3/H3_03.tif "/>
    <s v=" 9582.0433 "/>
    <s v=" 34.7788 "/>
    <x v="0"/>
    <n v="333252"/>
    <m/>
    <m/>
    <m/>
  </r>
  <r>
    <x v="1"/>
    <x v="8"/>
    <s v=" "/>
    <m/>
    <m/>
    <x v="1"/>
    <m/>
    <m/>
    <m/>
    <m/>
  </r>
  <r>
    <x v="1"/>
    <x v="8"/>
    <s v="group "/>
    <s v=" "/>
    <s v=" mean of mean fluo "/>
    <x v="2"/>
    <s v=" mean of total fluo "/>
    <s v=" SD total fluo "/>
    <s v=" n fluorescent "/>
    <s v=" n total"/>
  </r>
  <r>
    <x v="7"/>
    <x v="9"/>
    <s v="C:\Users\andre\Desktop\REACTIV CEFAS\Dutasteride\Dutasteride/20201203_Cefas_Test8_Run3/Plate 1/@3/ "/>
    <s v=" "/>
    <s v=" 33.2496 "/>
    <x v="9"/>
    <s v=" 228032.208 "/>
    <s v=" 214814.989 "/>
    <n v="22"/>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C:\Users\andre\Desktop\REACTIV CEFAS\Dutasteride\Dutasteride/20201203_Cefas_Test8_Run3/Plate 1/@4/A4_01.tif "/>
    <s v=" 12653.4884 "/>
    <s v=" 34.5641 "/>
    <x v="0"/>
    <n v="437356"/>
    <m/>
    <m/>
    <m/>
  </r>
  <r>
    <x v="8"/>
    <x v="0"/>
    <s v="C:\Users\andre\Desktop\REACTIV CEFAS\Dutasteride\Dutasteride/20201203_Cefas_Test8_Run3/Plate 1/@4/A4_02.tif "/>
    <s v=" 12610.2286 "/>
    <s v=" 34.1046 "/>
    <x v="0"/>
    <n v="430067"/>
    <m/>
    <m/>
    <m/>
  </r>
  <r>
    <x v="8"/>
    <x v="0"/>
    <s v="C:\Users\andre\Desktop\REACTIV CEFAS\Dutasteride\Dutasteride/20201203_Cefas_Test8_Run3/Plate 1/@4/A4_03.tif "/>
    <s v=" 19553.4247 "/>
    <s v=" 34.6195 "/>
    <x v="0"/>
    <n v="676929"/>
    <m/>
    <m/>
    <m/>
  </r>
  <r>
    <x v="8"/>
    <x v="1"/>
    <s v="C:\Users\andre\Desktop\REACTIV CEFAS\Dutasteride\Dutasteride/20201203_Cefas_Test8_Run3/Plate 1/@4/B4_01.tif "/>
    <s v=" 3785.2316 "/>
    <s v=" 33.5886 "/>
    <x v="0"/>
    <n v="127141"/>
    <m/>
    <m/>
    <m/>
  </r>
  <r>
    <x v="8"/>
    <x v="1"/>
    <s v="C:\Users\andre\Desktop\REACTIV CEFAS\Dutasteride\Dutasteride/20201203_Cefas_Test8_Run3/Plate 1/@4/B4_02.tif "/>
    <s v=" 3352.6337 "/>
    <s v=" 33.2323 "/>
    <x v="0"/>
    <n v="111416"/>
    <m/>
    <m/>
    <m/>
  </r>
  <r>
    <x v="8"/>
    <x v="1"/>
    <s v="C:\Users\andre\Desktop\REACTIV CEFAS\Dutasteride\Dutasteride/20201203_Cefas_Test8_Run3/Plate 1/@4/B4_03.tif "/>
    <s v=" 11139.3957 "/>
    <s v=" 33.233 "/>
    <x v="0"/>
    <n v="370196"/>
    <m/>
    <m/>
    <m/>
  </r>
  <r>
    <x v="8"/>
    <x v="2"/>
    <s v="C:\Users\andre\Desktop\REACTIV CEFAS\Dutasteride\Dutasteride/20201203_Cefas_Test8_Run3/Plate 1/@4/C4_01.tif "/>
    <s v=" 11161.0256 "/>
    <s v=" 34.7713 "/>
    <x v="0"/>
    <n v="388084"/>
    <m/>
    <m/>
    <m/>
  </r>
  <r>
    <x v="8"/>
    <x v="2"/>
    <s v="C:\Users\andre\Desktop\REACTIV CEFAS\Dutasteride\Dutasteride/20201203_Cefas_Test8_Run3/Plate 1/@4/C4_02.tif "/>
    <s v=" 86.5196 "/>
    <s v=" 30.5 "/>
    <x v="0"/>
    <n v="2639"/>
    <m/>
    <m/>
    <m/>
  </r>
  <r>
    <x v="8"/>
    <x v="2"/>
    <s v="C:\Users\andre\Desktop\REACTIV CEFAS\Dutasteride\Dutasteride/20201203_Cefas_Test8_Run3/Plate 1/@4/C4_03.tif "/>
    <s v=" 11161.0256 "/>
    <s v=" 34.5 "/>
    <x v="0"/>
    <n v="385055"/>
    <m/>
    <m/>
    <m/>
  </r>
  <r>
    <x v="8"/>
    <x v="3"/>
    <s v="C:\Users\andre\Desktop\REACTIV CEFAS\Dutasteride\Dutasteride/20201203_Cefas_Test8_Run3/Plate 1/@4/D4_01.tif "/>
    <s v=" 5169.5448 "/>
    <s v=" 35.9749 "/>
    <x v="0"/>
    <n v="185974"/>
    <m/>
    <m/>
    <m/>
  </r>
  <r>
    <x v="8"/>
    <x v="3"/>
    <s v="C:\Users\andre\Desktop\REACTIV CEFAS\Dutasteride\Dutasteride/20201203_Cefas_Test8_Run3/Plate 1/@4/D4_02.tif "/>
    <s v=" 5558.8829 "/>
    <s v=" 33.6459 "/>
    <x v="0"/>
    <n v="187034"/>
    <m/>
    <m/>
    <m/>
  </r>
  <r>
    <x v="8"/>
    <x v="3"/>
    <s v="C:\Users\andre\Desktop\REACTIV CEFAS\Dutasteride\Dutasteride/20201203_Cefas_Test8_Run3/Plate 1/@4/D4_03.tif "/>
    <s v=" 7116.2353 "/>
    <s v=" 33.2918 "/>
    <x v="0"/>
    <n v="236912"/>
    <m/>
    <m/>
    <m/>
  </r>
  <r>
    <x v="8"/>
    <x v="4"/>
    <s v="C:\Users\andre\Desktop\REACTIV CEFAS\Dutasteride\Dutasteride/20201203_Cefas_Test8_Run3/Plate 1/@4/E4_01.tif "/>
    <s v=" 8067.9507 "/>
    <s v=" 37.9115 "/>
    <x v="0"/>
    <n v="305868"/>
    <m/>
    <m/>
    <m/>
  </r>
  <r>
    <x v="8"/>
    <x v="4"/>
    <s v="C:\Users\andre\Desktop\REACTIV CEFAS\Dutasteride\Dutasteride/20201203_Cefas_Test8_Run3/Plate 1/@4/E4_02.tif "/>
    <s v=" 2595.5874 "/>
    <s v=" 33.3417 "/>
    <x v="0"/>
    <n v="86541"/>
    <m/>
    <m/>
    <m/>
  </r>
  <r>
    <x v="8"/>
    <x v="4"/>
    <s v="C:\Users\andre\Desktop\REACTIV CEFAS\Dutasteride\Dutasteride/20201203_Cefas_Test8_Run3/Plate 1/@4/E4_03.tif "/>
    <s v=" 3698.712 "/>
    <s v=" 33.8655 "/>
    <x v="0"/>
    <n v="125259"/>
    <m/>
    <m/>
    <m/>
  </r>
  <r>
    <x v="8"/>
    <x v="5"/>
    <s v="C:\Users\andre\Desktop\REACTIV CEFAS\Dutasteride\Dutasteride/20201203_Cefas_Test8_Run3/Plate 1/@4/F4_01.tif "/>
    <s v=" 48948.4515 "/>
    <s v=" 37.0866 "/>
    <x v="0"/>
    <n v="1815332"/>
    <m/>
    <m/>
    <m/>
  </r>
  <r>
    <x v="8"/>
    <x v="5"/>
    <s v="C:\Users\andre\Desktop\REACTIV CEFAS\Dutasteride\Dutasteride/20201203_Cefas_Test8_Run3/Plate 1/@4/F4_02.tif "/>
    <s v=" 45292.9994 "/>
    <s v=" 36.1662 "/>
    <x v="0"/>
    <n v="1638075"/>
    <m/>
    <m/>
    <m/>
  </r>
  <r>
    <x v="8"/>
    <x v="5"/>
    <s v="C:\Users\andre\Desktop\REACTIV CEFAS\Dutasteride\Dutasteride/20201203_Cefas_Test8_Run3/Plate 1/@4/F4_03.tif "/>
    <s v=" 48861.932 "/>
    <s v=" 37.1399 "/>
    <x v="0"/>
    <n v="1814727"/>
    <m/>
    <m/>
    <m/>
  </r>
  <r>
    <x v="8"/>
    <x v="6"/>
    <s v="C:\Users\andre\Desktop\REACTIV CEFAS\Dutasteride\Dutasteride/20201203_Cefas_Test8_Run3/Plate 1/@4/G4_01.tif "/>
    <s v=" 5883.3313 "/>
    <s v=" 34.5625 "/>
    <x v="0"/>
    <n v="203343"/>
    <m/>
    <m/>
    <m/>
  </r>
  <r>
    <x v="8"/>
    <x v="6"/>
    <s v="C:\Users\andre\Desktop\REACTIV CEFAS\Dutasteride\Dutasteride/20201203_Cefas_Test8_Run3/Plate 1/@4/G4_02.tif "/>
    <s v=" 1470.8328 "/>
    <s v=" 31.4265 "/>
    <x v="0"/>
    <n v="46223"/>
    <m/>
    <m/>
    <m/>
  </r>
  <r>
    <x v="8"/>
    <x v="6"/>
    <s v="C:\Users\andre\Desktop\REACTIV CEFAS\Dutasteride\Dutasteride/20201203_Cefas_Test8_Run3/Plate 1/@4/G4_03.tif "/>
    <s v=" 5623.7726 "/>
    <s v=" 35.2154 "/>
    <x v="0"/>
    <n v="198043"/>
    <m/>
    <m/>
    <m/>
  </r>
  <r>
    <x v="8"/>
    <x v="7"/>
    <s v="C:\Users\andre\Desktop\REACTIV CEFAS\Dutasteride\Dutasteride/20201203_Cefas_Test8_Run3/Plate 1/@4/H4_01.tif "/>
    <s v=" 10425.6092 "/>
    <s v=" 33.8527 "/>
    <x v="0"/>
    <n v="352935"/>
    <m/>
    <m/>
    <m/>
  </r>
  <r>
    <x v="8"/>
    <x v="7"/>
    <s v="C:\Users\andre\Desktop\REACTIV CEFAS\Dutasteride\Dutasteride/20201203_Cefas_Test8_Run3/Plate 1/@4/H4_02.tif "/>
    <s v=" 17217.3961 "/>
    <s v=" 34.7776 "/>
    <x v="0"/>
    <n v="598780"/>
    <m/>
    <m/>
    <m/>
  </r>
  <r>
    <x v="8"/>
    <x v="7"/>
    <s v="C:\Users\andre\Desktop\REACTIV CEFAS\Dutasteride\Dutasteride/20201203_Cefas_Test8_Run3/Plate 1/@4/H4_03.tif "/>
    <s v=" 10966.3566 "/>
    <s v=" 33.5523 "/>
    <x v="0"/>
    <n v="367946"/>
    <m/>
    <m/>
    <m/>
  </r>
  <r>
    <x v="1"/>
    <x v="8"/>
    <s v=" "/>
    <m/>
    <m/>
    <x v="1"/>
    <m/>
    <m/>
    <m/>
    <m/>
  </r>
  <r>
    <x v="1"/>
    <x v="8"/>
    <s v="group "/>
    <s v=" "/>
    <s v=" mean of mean fluo "/>
    <x v="2"/>
    <s v=" mean of total fluo "/>
    <s v=" SD total fluo "/>
    <s v=" n fluorescent "/>
    <s v=" n total"/>
  </r>
  <r>
    <x v="8"/>
    <x v="9"/>
    <s v="C:\Users\andre\Desktop\REACTIV CEFAS\Dutasteride\Dutasteride/20201203_Cefas_Test8_Run3/Plate 1/@4/ "/>
    <s v=" "/>
    <s v=" 34.3718 "/>
    <x v="10"/>
    <s v=" 462161.458 "/>
    <s v=" 527022.61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C:\Users\andre\Desktop\REACTIV CEFAS\Dutasteride\Dutasteride/20201203_Cefas_Test8_Run3/Plate 1/@5/A5_01.tif "/>
    <s v=" 52192.9357 "/>
    <s v=" 38.5446 "/>
    <x v="0"/>
    <n v="2011753"/>
    <m/>
    <m/>
    <m/>
  </r>
  <r>
    <x v="9"/>
    <x v="0"/>
    <s v="C:\Users\andre\Desktop\REACTIV CEFAS\Dutasteride\Dutasteride/20201203_Cefas_Test8_Run3/Plate 1/@5/A5_02.tif "/>
    <s v=" 51630.5585 "/>
    <s v=" 40.7248 "/>
    <x v="0"/>
    <n v="2102642"/>
    <m/>
    <m/>
    <m/>
  </r>
  <r>
    <x v="9"/>
    <x v="0"/>
    <s v="C:\Users\andre\Desktop\REACTIV CEFAS\Dutasteride\Dutasteride/20201203_Cefas_Test8_Run3/Plate 1/@5/A5_03.tif "/>
    <s v=" 53836.8077 "/>
    <s v=" 43.4166 "/>
    <x v="0"/>
    <n v="2337413"/>
    <m/>
    <m/>
    <m/>
  </r>
  <r>
    <x v="9"/>
    <x v="1"/>
    <s v="C:\Users\andre\Desktop\REACTIV CEFAS\Dutasteride\Dutasteride/20201203_Cefas_Test8_Run3/Plate 1/@5/B5_01.tif "/>
    <s v=" 13410.5347 "/>
    <s v=" 33.5355 "/>
    <x v="0"/>
    <n v="449729"/>
    <m/>
    <m/>
    <m/>
  </r>
  <r>
    <x v="9"/>
    <x v="1"/>
    <s v="C:\Users\andre\Desktop\REACTIV CEFAS\Dutasteride\Dutasteride/20201203_Cefas_Test8_Run3/Plate 1/@5/B5_02.tif "/>
    <s v=" 11550.3637 "/>
    <s v=" 32.4888 "/>
    <x v="0"/>
    <n v="375257"/>
    <m/>
    <m/>
    <m/>
  </r>
  <r>
    <x v="9"/>
    <x v="1"/>
    <s v="C:\Users\andre\Desktop\REACTIV CEFAS\Dutasteride\Dutasteride/20201203_Cefas_Test8_Run3/Plate 1/@5/B5_03.tif "/>
    <s v=" 13345.645 "/>
    <s v=" 33.2998 "/>
    <x v="0"/>
    <n v="444408"/>
    <m/>
    <m/>
    <m/>
  </r>
  <r>
    <x v="9"/>
    <x v="2"/>
    <s v="C:\Users\andre\Desktop\REACTIV CEFAS\Dutasteride\Dutasteride/20201203_Cefas_Test8_Run3/Plate 1/@5/C5_01.tif "/>
    <s v=" 38998.7 "/>
    <s v=" 36.178 "/>
    <x v="0"/>
    <n v="1410896"/>
    <m/>
    <m/>
    <m/>
  </r>
  <r>
    <x v="9"/>
    <x v="2"/>
    <s v="C:\Users\andre\Desktop\REACTIV CEFAS\Dutasteride\Dutasteride/20201203_Cefas_Test8_Run3/Plate 1/@5/C5_02.tif "/>
    <s v=" 35170.2087 "/>
    <s v=" 35.8659 "/>
    <x v="0"/>
    <n v="1261412"/>
    <m/>
    <m/>
    <m/>
  </r>
  <r>
    <x v="9"/>
    <x v="2"/>
    <s v="C:\Users\andre\Desktop\REACTIV CEFAS\Dutasteride\Dutasteride/20201203_Cefas_Test8_Run3/Plate 1/@5/C5_03.tif "/>
    <s v=" 43432.8284 "/>
    <s v=" 38.3889 "/>
    <x v="0"/>
    <n v="1667340"/>
    <m/>
    <m/>
    <m/>
  </r>
  <r>
    <x v="9"/>
    <x v="3"/>
    <s v="C:\Users\andre\Desktop\REACTIV CEFAS\Dutasteride\Dutasteride/20201203_Cefas_Test8_Run3/Plate 1/@5/D5_01.tif "/>
    <s v=" 63656.7799 "/>
    <s v=" 47.6184 "/>
    <x v="0"/>
    <n v="3031235"/>
    <m/>
    <m/>
    <m/>
  </r>
  <r>
    <x v="9"/>
    <x v="3"/>
    <s v="C:\Users\andre\Desktop\REACTIV CEFAS\Dutasteride\Dutasteride/20201203_Cefas_Test8_Run3/Plate 1/@5/D5_02.tif "/>
    <s v=" 70362.0472 "/>
    <s v=" 46.7608 "/>
    <x v="0"/>
    <n v="3290188"/>
    <m/>
    <m/>
    <m/>
  </r>
  <r>
    <x v="9"/>
    <x v="3"/>
    <s v="C:\Users\andre\Desktop\REACTIV CEFAS\Dutasteride\Dutasteride/20201203_Cefas_Test8_Run3/Plate 1/@5/D5_03.tif "/>
    <s v=" 70491.8266 "/>
    <s v=" 47.8487 "/>
    <x v="0"/>
    <n v="3372944"/>
    <m/>
    <m/>
    <m/>
  </r>
  <r>
    <x v="9"/>
    <x v="4"/>
    <s v="C:\Users\andre\Desktop\REACTIV CEFAS\Dutasteride\Dutasteride/20201203_Cefas_Test8_Run3/Plate 1/@5/E5_01.tif "/>
    <s v=" 29827.6247 "/>
    <s v=" 35.5874 "/>
    <x v="0"/>
    <n v="1061487"/>
    <m/>
    <m/>
    <m/>
  </r>
  <r>
    <x v="9"/>
    <x v="4"/>
    <s v="C:\Users\andre\Desktop\REACTIV CEFAS\Dutasteride\Dutasteride/20201203_Cefas_Test8_Run3/Plate 1/@5/E5_02.tif "/>
    <s v=" 34283.383 "/>
    <s v=" 37.3155 "/>
    <x v="0"/>
    <n v="1279300"/>
    <m/>
    <m/>
    <m/>
  </r>
  <r>
    <x v="9"/>
    <x v="4"/>
    <s v="C:\Users\andre\Desktop\REACTIV CEFAS\Dutasteride\Dutasteride/20201203_Cefas_Test8_Run3/Plate 1/@5/E5_03.tif "/>
    <s v=" 42351.3337 "/>
    <s v=" 37.1103 "/>
    <x v="0"/>
    <n v="1571671"/>
    <m/>
    <m/>
    <m/>
  </r>
  <r>
    <x v="9"/>
    <x v="5"/>
    <s v="C:\Users\andre\Desktop\REACTIV CEFAS\Dutasteride\Dutasteride/20201203_Cefas_Test8_Run3/Plate 1/@5/F5_01.tif "/>
    <s v=" 50332.7648 "/>
    <s v=" 42.1723 "/>
    <x v="0"/>
    <n v="2122650"/>
    <m/>
    <m/>
    <m/>
  </r>
  <r>
    <x v="9"/>
    <x v="5"/>
    <s v="C:\Users\andre\Desktop\REACTIV CEFAS\Dutasteride\Dutasteride/20201203_Cefas_Test8_Run3/Plate 1/@5/F5_02.tif "/>
    <s v=" 45660.7076 "/>
    <s v=" 39.6774 "/>
    <x v="0"/>
    <n v="1811698"/>
    <m/>
    <m/>
    <m/>
  </r>
  <r>
    <x v="9"/>
    <x v="5"/>
    <s v="C:\Users\andre\Desktop\REACTIV CEFAS\Dutasteride\Dutasteride/20201203_Cefas_Test8_Run3/Plate 1/@5/F5_03.tif "/>
    <s v=" 46114.9353 "/>
    <s v=" 38.6454 "/>
    <x v="0"/>
    <n v="1782130"/>
    <m/>
    <m/>
    <m/>
  </r>
  <r>
    <x v="9"/>
    <x v="6"/>
    <s v="C:\Users\andre\Desktop\REACTIV CEFAS\Dutasteride\Dutasteride/20201203_Cefas_Test8_Run3/Plate 1/@5/G5_01.tif "/>
    <s v=" 4931.616 "/>
    <s v=" 32.8684 "/>
    <x v="0"/>
    <n v="162094"/>
    <m/>
    <m/>
    <m/>
  </r>
  <r>
    <x v="9"/>
    <x v="6"/>
    <s v="C:\Users\andre\Desktop\REACTIV CEFAS\Dutasteride\Dutasteride/20201203_Cefas_Test8_Run3/Plate 1/@5/G5_02.tif "/>
    <s v=" 11853.1823 "/>
    <s v=" 33.1113 "/>
    <x v="0"/>
    <n v="392474"/>
    <m/>
    <m/>
    <m/>
  </r>
  <r>
    <x v="9"/>
    <x v="6"/>
    <s v="C:\Users\andre\Desktop\REACTIV CEFAS\Dutasteride\Dutasteride/20201203_Cefas_Test8_Run3/Plate 1/@5/G5_03.tif "/>
    <s v=" 5277.6943 "/>
    <s v=" 32.9016 "/>
    <x v="0"/>
    <n v="173645"/>
    <m/>
    <m/>
    <m/>
  </r>
  <r>
    <x v="9"/>
    <x v="7"/>
    <s v="C:\Users\andre\Desktop\REACTIV CEFAS\Dutasteride\Dutasteride/20201203_Cefas_Test8_Run3/Plate 1/@5/H5_01.tif "/>
    <s v=" 32531.3615 "/>
    <s v=" 39.1257 "/>
    <x v="0"/>
    <n v="1272811"/>
    <m/>
    <m/>
    <m/>
  </r>
  <r>
    <x v="9"/>
    <x v="7"/>
    <s v="C:\Users\andre\Desktop\REACTIV CEFAS\Dutasteride\Dutasteride/20201203_Cefas_Test8_Run3/Plate 1/@5/H5_02.tif "/>
    <s v=" 28075.6032 "/>
    <s v=" 37.3259 "/>
    <x v="0"/>
    <n v="1047947"/>
    <m/>
    <m/>
    <m/>
  </r>
  <r>
    <x v="9"/>
    <x v="7"/>
    <s v="C:\Users\andre\Desktop\REACTIV CEFAS\Dutasteride\Dutasteride/20201203_Cefas_Test8_Run3/Plate 1/@5/H5_03.tif "/>
    <s v=" 28724.5001 "/>
    <s v=" 38.4413 "/>
    <x v="0"/>
    <n v="1104206"/>
    <m/>
    <m/>
    <m/>
  </r>
  <r>
    <x v="1"/>
    <x v="8"/>
    <s v=" "/>
    <m/>
    <m/>
    <x v="1"/>
    <m/>
    <m/>
    <m/>
    <m/>
  </r>
  <r>
    <x v="1"/>
    <x v="8"/>
    <s v="group "/>
    <s v=" "/>
    <s v=" mean of mean fluo "/>
    <x v="2"/>
    <s v=" mean of total fluo "/>
    <s v=" SD total fluo "/>
    <s v=" n fluorescent "/>
    <s v=" n total"/>
  </r>
  <r>
    <x v="9"/>
    <x v="9"/>
    <s v="C:\Users\andre\Desktop\REACTIV CEFAS\Dutasteride\Dutasteride/20201203_Cefas_Test8_Run3/Plate 1/@5/ "/>
    <s v=" "/>
    <s v=" 38.2897 "/>
    <x v="11"/>
    <s v=" 1480722.08 "/>
    <s v=" 931316.6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C:\Users\andre\Desktop\REACTIV CEFAS\Dutasteride\Dutasteride/20201203_Cefas_Test8_Run3/Plate 1/@6/A6_01- exclu.tif"/>
    <m/>
    <m/>
    <x v="1"/>
    <m/>
    <m/>
    <m/>
    <m/>
  </r>
  <r>
    <x v="10"/>
    <x v="0"/>
    <s v="C:\Users\andre\Desktop\REACTIV CEFAS\Dutasteride\Dutasteride/20201203_Cefas_Test8_Run3/Plate 1/@6/A6_02- exclu.tif"/>
    <m/>
    <m/>
    <x v="1"/>
    <m/>
    <m/>
    <m/>
    <m/>
  </r>
  <r>
    <x v="10"/>
    <x v="0"/>
    <s v="C:\Users\andre\Desktop\REACTIV CEFAS\Dutasteride\Dutasteride/20201203_Cefas_Test8_Run3/Plate 1/@6/A6_03- exclu.tif"/>
    <m/>
    <m/>
    <x v="1"/>
    <m/>
    <m/>
    <m/>
    <m/>
  </r>
  <r>
    <x v="10"/>
    <x v="1"/>
    <s v="C:\Users\andre\Desktop\REACTIV CEFAS\Dutasteride\Dutasteride/20201203_Cefas_Test8_Run3/Plate 1/@6/B6_01.tif "/>
    <s v=" 49921.7968 "/>
    <s v=" 43.8544 "/>
    <x v="0"/>
    <n v="2189291"/>
    <m/>
    <m/>
    <m/>
  </r>
  <r>
    <x v="10"/>
    <x v="1"/>
    <s v="C:\Users\andre\Desktop\REACTIV CEFAS\Dutasteride\Dutasteride/20201203_Cefas_Test8_Run3/Plate 1/@6/B6_02.tif "/>
    <s v=" 49078.2309 "/>
    <s v=" 44.3795 "/>
    <x v="0"/>
    <n v="2178065"/>
    <m/>
    <m/>
    <m/>
  </r>
  <r>
    <x v="10"/>
    <x v="1"/>
    <s v="C:\Users\andre\Desktop\REACTIV CEFAS\Dutasteride\Dutasteride/20201203_Cefas_Test8_Run3/Plate 1/@6/B6_03.tif "/>
    <s v=" 48429.3341 "/>
    <s v=" 41.7517 "/>
    <x v="0"/>
    <n v="2022006"/>
    <m/>
    <m/>
    <m/>
  </r>
  <r>
    <x v="10"/>
    <x v="2"/>
    <s v="C:\Users\andre\Desktop\REACTIV CEFAS\Dutasteride\Dutasteride/20201203_Cefas_Test8_Run3/Plate 1/@6/C6_01.tif "/>
    <s v=" 69085.8834 "/>
    <s v=" 42.5914 "/>
    <x v="0"/>
    <n v="2942466"/>
    <m/>
    <m/>
    <m/>
  </r>
  <r>
    <x v="10"/>
    <x v="2"/>
    <s v="C:\Users\andre\Desktop\REACTIV CEFAS\Dutasteride\Dutasteride/20201203_Cefas_Test8_Run3/Plate 1/@6/C6_02.tif "/>
    <s v=" 50981.6616 "/>
    <s v=" 41.1039 "/>
    <x v="0"/>
    <n v="2095547"/>
    <m/>
    <m/>
    <m/>
  </r>
  <r>
    <x v="10"/>
    <x v="2"/>
    <s v="C:\Users\andre\Desktop\REACTIV CEFAS\Dutasteride\Dutasteride/20201203_Cefas_Test8_Run3/Plate 1/@6/C6_03.tif "/>
    <s v=" 63678.4098 "/>
    <s v=" 43.5428 "/>
    <x v="0"/>
    <n v="2772736"/>
    <m/>
    <m/>
    <m/>
  </r>
  <r>
    <x v="10"/>
    <x v="3"/>
    <s v="C:\Users\andre\Desktop\REACTIV CEFAS\Dutasteride\Dutasteride/20201203_Cefas_Test8_Run3/Plate 1/@6/D6_01.tif "/>
    <s v=" 46698.9425 "/>
    <s v=" 41.1149 "/>
    <x v="0"/>
    <n v="1920021"/>
    <m/>
    <m/>
    <m/>
  </r>
  <r>
    <x v="10"/>
    <x v="3"/>
    <s v="C:\Users\andre\Desktop\REACTIV CEFAS\Dutasteride\Dutasteride/20201203_Cefas_Test8_Run3/Plate 1/@6/D6_02.tif "/>
    <s v=" 40145.0844 "/>
    <s v=" 39.2247 "/>
    <x v="0"/>
    <n v="1574678"/>
    <m/>
    <m/>
    <m/>
  </r>
  <r>
    <x v="10"/>
    <x v="3"/>
    <s v="C:\Users\andre\Desktop\REACTIV CEFAS\Dutasteride\Dutasteride/20201203_Cefas_Test8_Run3/Plate 1/@6/D6_03.tif "/>
    <s v=" 40512.7926 "/>
    <s v=" 37.8484 "/>
    <x v="0"/>
    <n v="1533343"/>
    <m/>
    <m/>
    <m/>
  </r>
  <r>
    <x v="10"/>
    <x v="4"/>
    <s v="C:\Users\andre\Desktop\REACTIV CEFAS\Dutasteride\Dutasteride/20201203_Cefas_Test8_Run3/Plate 1/@6/E6_01.tif "/>
    <s v=" 58443.9753 "/>
    <s v=" 37.9915 "/>
    <x v="0"/>
    <n v="2220374"/>
    <m/>
    <m/>
    <m/>
  </r>
  <r>
    <x v="10"/>
    <x v="4"/>
    <s v="C:\Users\andre\Desktop\REACTIV CEFAS\Dutasteride\Dutasteride/20201203_Cefas_Test8_Run3/Plate 1/@6/E6_02.tif "/>
    <s v=" 68718.1752 "/>
    <s v=" 40.7044 "/>
    <x v="0"/>
    <n v="2797135"/>
    <m/>
    <m/>
    <m/>
  </r>
  <r>
    <x v="10"/>
    <x v="4"/>
    <s v="C:\Users\andre\Desktop\REACTIV CEFAS\Dutasteride\Dutasteride/20201203_Cefas_Test8_Run3/Plate 1/@6/E6_03.tif "/>
    <s v=" 69280.5525 "/>
    <s v=" 40.4889 "/>
    <x v="0"/>
    <n v="2805095"/>
    <m/>
    <m/>
    <m/>
  </r>
  <r>
    <x v="10"/>
    <x v="5"/>
    <s v="C:\Users\andre\Desktop\REACTIV CEFAS\Dutasteride\Dutasteride/20201203_Cefas_Test8_Run3/Plate 1/@6/F6_01.tif "/>
    <s v=" 48039.996 "/>
    <s v=" 40.8685 "/>
    <x v="0"/>
    <n v="1963324"/>
    <m/>
    <m/>
    <m/>
  </r>
  <r>
    <x v="10"/>
    <x v="5"/>
    <s v="C:\Users\andre\Desktop\REACTIV CEFAS\Dutasteride\Dutasteride/20201203_Cefas_Test8_Run3/Plate 1/@6/F6_02- exclu.tif"/>
    <m/>
    <m/>
    <x v="1"/>
    <m/>
    <m/>
    <m/>
    <m/>
  </r>
  <r>
    <x v="10"/>
    <x v="5"/>
    <s v="C:\Users\andre\Desktop\REACTIV CEFAS\Dutasteride\Dutasteride/20201203_Cefas_Test8_Run3/Plate 1/@6/F6_03- exclu.tif"/>
    <m/>
    <m/>
    <x v="1"/>
    <m/>
    <m/>
    <m/>
    <m/>
  </r>
  <r>
    <x v="10"/>
    <x v="6"/>
    <s v="C:\Users\andre\Desktop\REACTIV CEFAS\Dutasteride\Dutasteride/20201203_Cefas_Test8_Run3/Plate 1/@6/G6_01.tif "/>
    <s v=" 53620.5088 "/>
    <s v=" 43.8862 "/>
    <x v="0"/>
    <n v="2353203"/>
    <m/>
    <m/>
    <m/>
  </r>
  <r>
    <x v="10"/>
    <x v="6"/>
    <s v="C:\Users\andre\Desktop\REACTIV CEFAS\Dutasteride\Dutasteride/20201203_Cefas_Test8_Run3/Plate 1/@6/G6_02.tif "/>
    <s v=" 59287.5412 "/>
    <s v=" 43.9146 "/>
    <x v="0"/>
    <n v="2603590"/>
    <m/>
    <m/>
    <m/>
  </r>
  <r>
    <x v="10"/>
    <x v="6"/>
    <s v="C:\Users\andre\Desktop\REACTIV CEFAS\Dutasteride\Dutasteride/20201203_Cefas_Test8_Run3/Plate 1/@6/G6_03.tif "/>
    <s v=" 64846.4241 "/>
    <s v=" 45.1618 "/>
    <x v="0"/>
    <n v="2928580"/>
    <m/>
    <m/>
    <m/>
  </r>
  <r>
    <x v="10"/>
    <x v="7"/>
    <s v="C:\Users\andre\Desktop\REACTIV CEFAS\Dutasteride\Dutasteride/20201203_Cefas_Test8_Run3/Plate 1/@6/H6_01.tif "/>
    <s v=" 68328.8371 "/>
    <s v=" 49.4517 "/>
    <x v="0"/>
    <n v="3378979"/>
    <m/>
    <m/>
    <m/>
  </r>
  <r>
    <x v="10"/>
    <x v="7"/>
    <s v="C:\Users\andre\Desktop\REACTIV CEFAS\Dutasteride\Dutasteride/20201203_Cefas_Test8_Run3/Plate 1/@6/H6_02.tif "/>
    <s v=" 70708.1255 "/>
    <s v=" 52.1661 "/>
    <x v="0"/>
    <n v="3688568"/>
    <m/>
    <m/>
    <m/>
  </r>
  <r>
    <x v="10"/>
    <x v="7"/>
    <s v="C:\Users\andre\Desktop\REACTIV CEFAS\Dutasteride\Dutasteride/20201203_Cefas_Test8_Run3/Plate 1/@6/H6_03.tif "/>
    <s v=" 67636.6805 "/>
    <s v=" 50.6936 "/>
    <x v="0"/>
    <n v="3428749"/>
    <m/>
    <m/>
    <m/>
  </r>
  <r>
    <x v="1"/>
    <x v="8"/>
    <s v=" "/>
    <m/>
    <m/>
    <x v="1"/>
    <m/>
    <m/>
    <m/>
    <m/>
  </r>
  <r>
    <x v="1"/>
    <x v="8"/>
    <s v="group "/>
    <s v=" "/>
    <s v=" mean of mean fluo "/>
    <x v="2"/>
    <s v=" mean of total fluo "/>
    <s v=" SD total fluo "/>
    <s v=" n fluorescent "/>
    <s v=" n total"/>
  </r>
  <r>
    <x v="10"/>
    <x v="9"/>
    <s v="C:\Users\andre\Desktop\REACTIV CEFAS\Dutasteride\Dutasteride/20201203_Cefas_Test8_Run3/Plate 1/@6/ "/>
    <s v=" "/>
    <s v=" 36.9639 "/>
    <x v="12"/>
    <s v=" 1990627.17 "/>
    <s v=" 1143424.6 "/>
    <n v="21"/>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C:\Users\andre\Desktop\REACTIV CEFAS\Dutasteride\Dutasteride/20201203_Cefas_Test8_Run3/Plate 1/@7/A7_01.tif "/>
    <s v=" 69215.6628 "/>
    <s v=" 48.2559 "/>
    <x v="0"/>
    <n v="3340067"/>
    <m/>
    <m/>
    <m/>
  </r>
  <r>
    <x v="11"/>
    <x v="0"/>
    <s v="C:\Users\andre\Desktop\REACTIV CEFAS\Dutasteride\Dutasteride/20201203_Cefas_Test8_Run3/Plate 1/@7/A7_02.tif "/>
    <s v=" 69778.0401 "/>
    <s v=" 52.4709 "/>
    <x v="0"/>
    <n v="3661314"/>
    <m/>
    <m/>
    <m/>
  </r>
  <r>
    <x v="11"/>
    <x v="0"/>
    <s v="C:\Users\andre\Desktop\REACTIV CEFAS\Dutasteride\Dutasteride/20201203_Cefas_Test8_Run3/Plate 1/@7/A7_03.tif "/>
    <s v=" 64630.1252 "/>
    <s v=" 51.2784 "/>
    <x v="0"/>
    <n v="3314132"/>
    <m/>
    <m/>
    <m/>
  </r>
  <r>
    <x v="11"/>
    <x v="1"/>
    <s v="C:\Users\andre\Desktop\REACTIV CEFAS\Dutasteride\Dutasteride/20201203_Cefas_Test8_Run3/Plate 1/@7/B7_01.tif "/>
    <s v=" 63397.2212 "/>
    <s v=" 50.6977 "/>
    <x v="0"/>
    <n v="3214094"/>
    <m/>
    <m/>
    <m/>
  </r>
  <r>
    <x v="11"/>
    <x v="1"/>
    <s v="C:\Users\andre\Desktop\REACTIV CEFAS\Dutasteride\Dutasteride/20201203_Cefas_Test8_Run3/Plate 1/@7/B7_02.tif "/>
    <s v=" 72676.446 "/>
    <s v=" 53.847 "/>
    <x v="0"/>
    <n v="3913410"/>
    <m/>
    <m/>
    <m/>
  </r>
  <r>
    <x v="11"/>
    <x v="1"/>
    <s v="C:\Users\andre\Desktop\REACTIV CEFAS\Dutasteride\Dutasteride/20201203_Cefas_Test8_Run3/Plate 1/@7/B7_03.tif "/>
    <s v=" 66641.7054 "/>
    <s v=" 50.2821 "/>
    <x v="0"/>
    <n v="3350882"/>
    <m/>
    <m/>
    <m/>
  </r>
  <r>
    <x v="11"/>
    <x v="2"/>
    <s v="C:\Users\andre\Desktop\REACTIV CEFAS\Dutasteride\Dutasteride/20201203_Cefas_Test8_Run3/Plate 1/@7/C7_01- exclu.tif"/>
    <m/>
    <m/>
    <x v="1"/>
    <m/>
    <m/>
    <m/>
    <m/>
  </r>
  <r>
    <x v="11"/>
    <x v="2"/>
    <s v="C:\Users\andre\Desktop\REACTIV CEFAS\Dutasteride\Dutasteride/20201203_Cefas_Test8_Run3/Plate 1/@7/C7_02- exclu.tif"/>
    <m/>
    <m/>
    <x v="1"/>
    <m/>
    <m/>
    <m/>
    <m/>
  </r>
  <r>
    <x v="11"/>
    <x v="2"/>
    <s v="C:\Users\andre\Desktop\REACTIV CEFAS\Dutasteride\Dutasteride/20201203_Cefas_Test8_Run3/Plate 1/@7/C7_03- exclu.tif"/>
    <m/>
    <m/>
    <x v="1"/>
    <m/>
    <m/>
    <m/>
    <m/>
  </r>
  <r>
    <x v="11"/>
    <x v="3"/>
    <s v="C:\Users\andre\Desktop\REACTIV CEFAS\Dutasteride\Dutasteride/20201203_Cefas_Test8_Run3/Plate 1/@7/D7_01.tif "/>
    <s v=" 103109.708 "/>
    <s v=" 56.1091 "/>
    <x v="0"/>
    <n v="5785391"/>
    <m/>
    <m/>
    <m/>
  </r>
  <r>
    <x v="11"/>
    <x v="3"/>
    <s v="C:\Users\andre\Desktop\REACTIV CEFAS\Dutasteride\Dutasteride/20201203_Cefas_Test8_Run3/Plate 1/@7/D7_02.tif "/>
    <s v=" 95258.0559 "/>
    <s v=" 52.2448 "/>
    <x v="0"/>
    <n v="4976736"/>
    <m/>
    <m/>
    <m/>
  </r>
  <r>
    <x v="11"/>
    <x v="3"/>
    <s v="C:\Users\andre\Desktop\REACTIV CEFAS\Dutasteride\Dutasteride/20201203_Cefas_Test8_Run3/Plate 1/@7/D7_03.tif "/>
    <s v=" 94003.5221 "/>
    <s v=" 54.488 "/>
    <x v="0"/>
    <n v="5122067"/>
    <m/>
    <m/>
    <m/>
  </r>
  <r>
    <x v="11"/>
    <x v="4"/>
    <s v="C:\Users\andre\Desktop\REACTIV CEFAS\Dutasteride\Dutasteride/20201203_Cefas_Test8_Run3/Plate 1/@7/E7_01.tif "/>
    <s v=" 65452.0611 "/>
    <s v=" 56.2445 "/>
    <x v="0"/>
    <n v="3681322"/>
    <m/>
    <m/>
    <m/>
  </r>
  <r>
    <x v="11"/>
    <x v="4"/>
    <s v="C:\Users\andre\Desktop\REACTIV CEFAS\Dutasteride\Dutasteride/20201203_Cefas_Test8_Run3/Plate 1/@7/E7_02- exclu.tif"/>
    <m/>
    <m/>
    <x v="1"/>
    <m/>
    <m/>
    <m/>
    <m/>
  </r>
  <r>
    <x v="11"/>
    <x v="4"/>
    <s v="C:\Users\andre\Desktop\REACTIV CEFAS\Dutasteride\Dutasteride/20201203_Cefas_Test8_Run3/Plate 1/@7/E7_03- exclu.tif"/>
    <m/>
    <m/>
    <x v="1"/>
    <m/>
    <m/>
    <m/>
    <m/>
  </r>
  <r>
    <x v="11"/>
    <x v="5"/>
    <s v="C:\Users\andre\Desktop\REACTIV CEFAS\Dutasteride\Dutasteride/20201203_Cefas_Test8_Run3/Plate 1/@7/F7_01.tif "/>
    <s v=" 96772.1486 "/>
    <s v=" 53.5255 "/>
    <x v="0"/>
    <n v="5179776"/>
    <m/>
    <m/>
    <m/>
  </r>
  <r>
    <x v="11"/>
    <x v="5"/>
    <s v="C:\Users\andre\Desktop\REACTIV CEFAS\Dutasteride\Dutasteride/20201203_Cefas_Test8_Run3/Plate 1/@7/F7_02.tif "/>
    <s v=" 91537.7141 "/>
    <s v=" 52.8774 "/>
    <x v="0"/>
    <n v="4840273"/>
    <m/>
    <m/>
    <m/>
  </r>
  <r>
    <x v="11"/>
    <x v="5"/>
    <s v="C:\Users\andre\Desktop\REACTIV CEFAS\Dutasteride\Dutasteride/20201203_Cefas_Test8_Run3/Plate 1/@7/F7_03.tif "/>
    <s v=" 95733.9136 "/>
    <s v=" 57.8681 "/>
    <x v="0"/>
    <n v="5539935"/>
    <m/>
    <m/>
    <m/>
  </r>
  <r>
    <x v="11"/>
    <x v="6"/>
    <s v="C:\Users\andre\Desktop\REACTIV CEFAS\Dutasteride\Dutasteride/20201203_Cefas_Test8_Run3/Plate 1/@7/G7_01.tif "/>
    <s v=" 85676.0126 "/>
    <s v=" 51.7251 "/>
    <x v="0"/>
    <n v="4431598"/>
    <m/>
    <m/>
    <m/>
  </r>
  <r>
    <x v="11"/>
    <x v="6"/>
    <s v="C:\Users\andre\Desktop\REACTIV CEFAS\Dutasteride\Dutasteride/20201203_Cefas_Test8_Run3/Plate 1/@7/G7_02.tif "/>
    <s v=" 83426.5036 "/>
    <s v=" 53.8652 "/>
    <x v="0"/>
    <n v="4493784"/>
    <m/>
    <m/>
    <m/>
  </r>
  <r>
    <x v="11"/>
    <x v="6"/>
    <s v="C:\Users\andre\Desktop\REACTIV CEFAS\Dutasteride\Dutasteride/20201203_Cefas_Test8_Run3/Plate 1/@7/G7_03.tif "/>
    <s v=" 97507.565 "/>
    <s v=" 53.7695 "/>
    <x v="0"/>
    <n v="5242935"/>
    <m/>
    <m/>
    <m/>
  </r>
  <r>
    <x v="11"/>
    <x v="7"/>
    <s v="C:\Users\andre\Desktop\REACTIV CEFAS\Dutasteride\Dutasteride/20201203_Cefas_Test8_Run3/Plate 1/@7/H7_01.tif "/>
    <s v=" 85762.5322 "/>
    <s v=" 55.4207 "/>
    <x v="0"/>
    <n v="4753018"/>
    <m/>
    <m/>
    <m/>
  </r>
  <r>
    <x v="11"/>
    <x v="7"/>
    <s v="C:\Users\andre\Desktop\REACTIV CEFAS\Dutasteride\Dutasteride/20201203_Cefas_Test8_Run3/Plate 1/@7/H7_02.tif "/>
    <s v=" 88531.1587 "/>
    <s v=" 55.0667 "/>
    <x v="0"/>
    <n v="4875119"/>
    <m/>
    <m/>
    <m/>
  </r>
  <r>
    <x v="11"/>
    <x v="7"/>
    <s v="C:\Users\andre\Desktop\REACTIV CEFAS\Dutasteride\Dutasteride/20201203_Cefas_Test8_Run3/Plate 1/@7/H7_03.tif "/>
    <s v=" 88898.8669 "/>
    <s v=" 55.0056 "/>
    <x v="0"/>
    <n v="4889935"/>
    <m/>
    <m/>
    <m/>
  </r>
  <r>
    <x v="1"/>
    <x v="8"/>
    <s v=" "/>
    <m/>
    <m/>
    <x v="1"/>
    <m/>
    <m/>
    <m/>
    <m/>
  </r>
  <r>
    <x v="1"/>
    <x v="8"/>
    <s v="group "/>
    <s v=" "/>
    <s v=" mean of mean fluo "/>
    <x v="2"/>
    <s v=" mean of total fluo "/>
    <s v=" SD total fluo "/>
    <s v=" n fluorescent "/>
    <s v=" n total"/>
  </r>
  <r>
    <x v="11"/>
    <x v="9"/>
    <s v="C:\Users\andre\Desktop\REACTIV CEFAS\Dutasteride\Dutasteride/20201203_Cefas_Test8_Run3/Plate 1/@7/ "/>
    <s v=" "/>
    <s v=" 53.4539 "/>
    <x v="13"/>
    <s v=" 4187836.92 "/>
    <s v=" 909734.5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C:\Users\andre\Desktop\REACTIV CEFAS\Dutasteride\Dutasteride/20201203_Cefas_Test8_Run3/Plate 2/@10/A4_01.tif "/>
    <s v=" 6467.3385 "/>
    <s v=" 37.9666 "/>
    <x v="0"/>
    <n v="245543"/>
    <m/>
    <m/>
    <m/>
  </r>
  <r>
    <x v="12"/>
    <x v="0"/>
    <s v="C:\Users\andre\Desktop\REACTIV CEFAS\Dutasteride\Dutasteride/20201203_Cefas_Test8_Run3/Plate 2/@10/A4_02.tif "/>
    <s v=" 7938.1713 "/>
    <s v=" 37.2643 "/>
    <x v="0"/>
    <n v="295810"/>
    <m/>
    <m/>
    <m/>
  </r>
  <r>
    <x v="12"/>
    <x v="0"/>
    <s v="C:\Users\andre\Desktop\REACTIV CEFAS\Dutasteride\Dutasteride/20201203_Cefas_Test8_Run3/Plate 2/@10/A4_03.tif "/>
    <s v=" 9322.4846 "/>
    <s v=" 38.8817 "/>
    <x v="0"/>
    <n v="362474"/>
    <m/>
    <m/>
    <m/>
  </r>
  <r>
    <x v="12"/>
    <x v="1"/>
    <s v="C:\Users\andre\Desktop\REACTIV CEFAS\Dutasteride\Dutasteride/20201203_Cefas_Test8_Run3/Plate 2/@10/B4_01.tif "/>
    <s v=" 605.637 "/>
    <s v=" 34.6786 "/>
    <x v="0"/>
    <n v="21003"/>
    <m/>
    <m/>
    <m/>
  </r>
  <r>
    <x v="12"/>
    <x v="1"/>
    <s v="C:\Users\andre\Desktop\REACTIV CEFAS\Dutasteride\Dutasteride/20201203_Cefas_Test8_Run3/Plate 2/@10/B4_02.tif "/>
    <s v=" 3720.3419 "/>
    <s v=" 36.5756 "/>
    <x v="0"/>
    <n v="136074"/>
    <m/>
    <m/>
    <m/>
  </r>
  <r>
    <x v="12"/>
    <x v="1"/>
    <s v="C:\Users\andre\Desktop\REACTIV CEFAS\Dutasteride\Dutasteride/20201203_Cefas_Test8_Run3/Plate 2/@10/B4_03.tif "/>
    <s v=" 2746.9966 "/>
    <s v=" 34.7638 "/>
    <x v="0"/>
    <n v="95496"/>
    <m/>
    <m/>
    <m/>
  </r>
  <r>
    <x v="12"/>
    <x v="2"/>
    <s v="C:\Users\andre\Desktop\REACTIV CEFAS\Dutasteride\Dutasteride/20201203_Cefas_Test8_Run3/Plate 2/@10/C4_01.tif "/>
    <s v=" 2509.0678 "/>
    <s v=" 34.9138 "/>
    <x v="0"/>
    <n v="87601"/>
    <m/>
    <m/>
    <m/>
  </r>
  <r>
    <x v="12"/>
    <x v="2"/>
    <s v="C:\Users\andre\Desktop\REACTIV CEFAS\Dutasteride\Dutasteride/20201203_Cefas_Test8_Run3/Plate 2/@10/C4_02.tif "/>
    <s v=" 3568.9326 "/>
    <s v=" 37.4182 "/>
    <x v="0"/>
    <n v="133543"/>
    <m/>
    <m/>
    <m/>
  </r>
  <r>
    <x v="12"/>
    <x v="2"/>
    <s v="C:\Users\andre\Desktop\REACTIV CEFAS\Dutasteride\Dutasteride/20201203_Cefas_Test8_Run3/Plate 2/@10/C4_03.tif "/>
    <s v=" 5623.7726 "/>
    <s v=" 37.5808 "/>
    <x v="0"/>
    <n v="211346"/>
    <m/>
    <m/>
    <m/>
  </r>
  <r>
    <x v="12"/>
    <x v="3"/>
    <s v="C:\Users\andre\Desktop\REACTIV CEFAS\Dutasteride\Dutasteride/20201203_Cefas_Test8_Run3/Plate 2/@10/D4_01.tif "/>
    <s v=" 886.8257 "/>
    <s v=" 31.561 "/>
    <x v="0"/>
    <n v="27989"/>
    <m/>
    <m/>
    <m/>
  </r>
  <r>
    <x v="12"/>
    <x v="3"/>
    <s v="C:\Users\andre\Desktop\REACTIV CEFAS\Dutasteride\Dutasteride/20201203_Cefas_Test8_Run3/Plate 2/@10/D4_02.tif "/>
    <s v=" 3850.1212 "/>
    <s v=" 36.7753 "/>
    <x v="0"/>
    <n v="141589"/>
    <m/>
    <m/>
    <m/>
  </r>
  <r>
    <x v="12"/>
    <x v="3"/>
    <s v="C:\Users\andre\Desktop\REACTIV CEFAS\Dutasteride\Dutasteride/20201203_Cefas_Test8_Run3/Plate 2/@10/D4_03.tif "/>
    <s v=" 1211.2741 "/>
    <s v=" 33.0536 "/>
    <x v="0"/>
    <n v="40037"/>
    <m/>
    <m/>
    <m/>
  </r>
  <r>
    <x v="12"/>
    <x v="4"/>
    <s v="C:\Users\andre\Desktop\REACTIV CEFAS\Dutasteride\Dutasteride/20201203_Cefas_Test8_Run3/Plate 2/@10/E4_01.tif "/>
    <s v=" 2206.2493 "/>
    <s v=" 34.4804 "/>
    <x v="0"/>
    <n v="76072"/>
    <m/>
    <m/>
    <m/>
  </r>
  <r>
    <x v="12"/>
    <x v="4"/>
    <s v="C:\Users\andre\Desktop\REACTIV CEFAS\Dutasteride\Dutasteride/20201203_Cefas_Test8_Run3/Plate 2/@10/E4_02.tif "/>
    <s v=" 7462.3136 "/>
    <s v=" 34.7768 "/>
    <x v="0"/>
    <n v="259515"/>
    <m/>
    <m/>
    <m/>
  </r>
  <r>
    <x v="12"/>
    <x v="4"/>
    <s v="C:\Users\andre\Desktop\REACTIV CEFAS\Dutasteride\Dutasteride/20201203_Cefas_Test8_Run3/Plate 2/@10/E4_03.tif "/>
    <s v=" 562.3773 "/>
    <s v=" 31.2692 "/>
    <x v="0"/>
    <n v="17585"/>
    <m/>
    <m/>
    <m/>
  </r>
  <r>
    <x v="12"/>
    <x v="5"/>
    <s v="C:\Users\andre\Desktop\REACTIV CEFAS\Dutasteride\Dutasteride/20201203_Cefas_Test8_Run3/Plate 2/@10/F4_01.tif "/>
    <s v=" 1038.2349 "/>
    <s v=" 33.4167 "/>
    <x v="0"/>
    <n v="34694"/>
    <m/>
    <m/>
    <m/>
  </r>
  <r>
    <x v="12"/>
    <x v="5"/>
    <s v="C:\Users\andre\Desktop\REACTIV CEFAS\Dutasteride\Dutasteride/20201203_Cefas_Test8_Run3/Plate 2/@10/F4_02.tif "/>
    <s v=" 1211.2741 "/>
    <s v=" 32.7321 "/>
    <x v="0"/>
    <n v="39648"/>
    <m/>
    <m/>
    <m/>
  </r>
  <r>
    <x v="12"/>
    <x v="5"/>
    <s v="C:\Users\andre\Desktop\REACTIV CEFAS\Dutasteride\Dutasteride/20201203_Cefas_Test8_Run3/Plate 2/@10/F4_03.tif "/>
    <s v=" 432.5979 "/>
    <s v=" 31.95 "/>
    <x v="0"/>
    <n v="13822"/>
    <m/>
    <m/>
    <m/>
  </r>
  <r>
    <x v="12"/>
    <x v="6"/>
    <s v="C:\Users\andre\Desktop\REACTIV CEFAS\Dutasteride\Dutasteride/20201203_Cefas_Test8_Run3/Plate 2/@10/G4_01.tif "/>
    <s v=" 2876.776 "/>
    <s v=" 34.0301 "/>
    <x v="0"/>
    <n v="97897"/>
    <m/>
    <m/>
    <m/>
  </r>
  <r>
    <x v="12"/>
    <x v="6"/>
    <s v="C:\Users\andre\Desktop\REACTIV CEFAS\Dutasteride\Dutasteride/20201203_Cefas_Test8_Run3/Plate 2/@10/G4_02.tif "/>
    <s v=" 2400.9183 "/>
    <s v=" 35.8559 "/>
    <x v="0"/>
    <n v="86087"/>
    <m/>
    <m/>
    <m/>
  </r>
  <r>
    <x v="12"/>
    <x v="6"/>
    <s v="C:\Users\andre\Desktop\REACTIV CEFAS\Dutasteride\Dutasteride/20201203_Cefas_Test8_Run3/Plate 2/@10/G4_03.tif "/>
    <s v=" 3136.3347 "/>
    <s v=" 34.0069 "/>
    <x v="0"/>
    <n v="106657"/>
    <m/>
    <m/>
    <m/>
  </r>
  <r>
    <x v="12"/>
    <x v="7"/>
    <s v="C:\Users\andre\Desktop\REACTIV CEFAS\Dutasteride\Dutasteride/20201203_Cefas_Test8_Run3/Plate 2/@10/H4_01.tif "/>
    <s v=" 6445.7086 "/>
    <n v="37"/>
    <x v="0"/>
    <n v="238491"/>
    <m/>
    <m/>
    <m/>
  </r>
  <r>
    <x v="12"/>
    <x v="7"/>
    <s v="C:\Users\andre\Desktop\REACTIV CEFAS\Dutasteride\Dutasteride/20201203_Cefas_Test8_Run3/Plate 2/@10/H4_02.tif "/>
    <s v=" 5212.8046 "/>
    <s v=" 39.5685 "/>
    <x v="0"/>
    <n v="206263"/>
    <m/>
    <m/>
    <m/>
  </r>
  <r>
    <x v="12"/>
    <x v="7"/>
    <s v="C:\Users\andre\Desktop\REACTIV CEFAS\Dutasteride\Dutasteride/20201203_Cefas_Test8_Run3/Plate 2/@10/H4_03.tif "/>
    <s v=" 3590.5625 "/>
    <s v=" 37.8554 "/>
    <x v="0"/>
    <n v="135922"/>
    <m/>
    <m/>
    <m/>
  </r>
  <r>
    <x v="1"/>
    <x v="8"/>
    <s v=" "/>
    <m/>
    <m/>
    <x v="1"/>
    <m/>
    <m/>
    <m/>
    <m/>
  </r>
  <r>
    <x v="1"/>
    <x v="8"/>
    <s v="group "/>
    <s v=" "/>
    <s v=" mean of mean fluo "/>
    <x v="2"/>
    <s v=" mean of total fluo "/>
    <s v=" SD total fluo "/>
    <s v=" n fluorescent "/>
    <s v=" n total"/>
  </r>
  <r>
    <x v="12"/>
    <x v="9"/>
    <s v="C:\Users\andre\Desktop\REACTIV CEFAS\Dutasteride\Dutasteride/20201203_Cefas_Test8_Run3/Plate 2/@10/ "/>
    <s v=" "/>
    <s v=" 35.349 "/>
    <x v="14"/>
    <s v=" 129631.583 "/>
    <s v=" 97633.276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C:\Users\andre\Desktop\REACTIV CEFAS\Dutasteride\Dutasteride/20201203_Cefas_Test8_Run3/Plate 2/@11/A5_01.tif "/>
    <s v=" 475.8577 "/>
    <n v="32"/>
    <x v="0"/>
    <n v="15227"/>
    <m/>
    <m/>
    <m/>
  </r>
  <r>
    <x v="13"/>
    <x v="0"/>
    <s v="C:\Users\andre\Desktop\REACTIV CEFAS\Dutasteride\Dutasteride/20201203_Cefas_Test8_Run3/Plate 2/@11/A5_02.tif "/>
    <s v=" 3568.9326 "/>
    <s v=" 34.6121 "/>
    <x v="0"/>
    <n v="123528"/>
    <m/>
    <m/>
    <m/>
  </r>
  <r>
    <x v="13"/>
    <x v="0"/>
    <s v="C:\Users\andre\Desktop\REACTIV CEFAS\Dutasteride\Dutasteride/20201203_Cefas_Test8_Run3/Plate 2/@11/A5_03.tif "/>
    <s v=" 259.5587 "/>
    <s v=" 30.75 "/>
    <x v="0"/>
    <n v="7981"/>
    <m/>
    <m/>
    <m/>
  </r>
  <r>
    <x v="13"/>
    <x v="1"/>
    <s v="C:\Users\andre\Desktop\REACTIV CEFAS\Dutasteride\Dutasteride/20201203_Cefas_Test8_Run3/Plate 2/@11/B5_01.tif "/>
    <s v=" 627.2669 "/>
    <s v=" 32.2069 "/>
    <x v="0"/>
    <n v="20202"/>
    <m/>
    <m/>
    <m/>
  </r>
  <r>
    <x v="13"/>
    <x v="1"/>
    <s v="C:\Users\andre\Desktop\REACTIV CEFAS\Dutasteride\Dutasteride/20201203_Cefas_Test8_Run3/Plate 2/@11/B5_02.tif "/>
    <s v=" 1016.605 "/>
    <s v=" 32.5319 "/>
    <x v="0"/>
    <n v="33072"/>
    <m/>
    <m/>
    <m/>
  </r>
  <r>
    <x v="13"/>
    <x v="1"/>
    <s v="C:\Users\andre\Desktop\REACTIV CEFAS\Dutasteride\Dutasteride/20201203_Cefas_Test8_Run3/Plate 2/@11/B5_03.tif "/>
    <s v=" 8457.2888 "/>
    <s v=" 37.3913 "/>
    <x v="0"/>
    <n v="316229"/>
    <m/>
    <m/>
    <m/>
  </r>
  <r>
    <x v="13"/>
    <x v="2"/>
    <s v="C:\Users\andre\Desktop\REACTIV CEFAS\Dutasteride\Dutasteride/20201203_Cefas_Test8_Run3/Plate 2/@11/C5_01.tif "/>
    <s v=" 4974.8758 "/>
    <s v=" 37.2043 "/>
    <x v="0"/>
    <n v="185087"/>
    <m/>
    <m/>
    <m/>
  </r>
  <r>
    <x v="13"/>
    <x v="2"/>
    <s v="C:\Users\andre\Desktop\REACTIV CEFAS\Dutasteride\Dutasteride/20201203_Cefas_Test8_Run3/Plate 2/@11/C5_02.tif "/>
    <s v=" 4758.5768 "/>
    <s v=" 36.4273 "/>
    <x v="0"/>
    <n v="173342"/>
    <m/>
    <m/>
    <m/>
  </r>
  <r>
    <x v="13"/>
    <x v="2"/>
    <s v="C:\Users\andre\Desktop\REACTIV CEFAS\Dutasteride\Dutasteride/20201203_Cefas_Test8_Run3/Plate 2/@11/C5_03.tif "/>
    <s v=" 5580.5128 "/>
    <s v=" 33.4729 "/>
    <x v="0"/>
    <n v="186796"/>
    <m/>
    <m/>
    <m/>
  </r>
  <r>
    <x v="13"/>
    <x v="3"/>
    <s v="C:\Users\andre\Desktop\REACTIV CEFAS\Dutasteride\Dutasteride/20201203_Cefas_Test8_Run3/Plate 2/@11/D5_01.tif "/>
    <s v=" 2098.0998 "/>
    <s v=" 34.5258 "/>
    <x v="0"/>
    <n v="72439"/>
    <m/>
    <m/>
    <m/>
  </r>
  <r>
    <x v="13"/>
    <x v="3"/>
    <s v="C:\Users\andre\Desktop\REACTIV CEFAS\Dutasteride\Dutasteride/20201203_Cefas_Test8_Run3/Plate 2/@11/D5_02.tif "/>
    <s v=" 3071.445 "/>
    <s v=" 35.6761 "/>
    <x v="0"/>
    <n v="109577"/>
    <m/>
    <m/>
    <m/>
  </r>
  <r>
    <x v="13"/>
    <x v="3"/>
    <s v="C:\Users\andre\Desktop\REACTIV CEFAS\Dutasteride\Dutasteride/20201203_Cefas_Test8_Run3/Plate 2/@11/D5_03.tif "/>
    <s v=" 432.5979 "/>
    <s v=" 31.85 "/>
    <x v="0"/>
    <n v="13778"/>
    <m/>
    <m/>
    <m/>
  </r>
  <r>
    <x v="13"/>
    <x v="4"/>
    <s v="C:\Users\andre\Desktop\REACTIV CEFAS\Dutasteride\Dutasteride/20201203_Cefas_Test8_Run3/Plate 2/@11/E5_01.tif "/>
    <s v=" 7116.2353 "/>
    <s v=" 38.2857 "/>
    <x v="0"/>
    <n v="272450"/>
    <m/>
    <m/>
    <m/>
  </r>
  <r>
    <x v="13"/>
    <x v="4"/>
    <s v="C:\Users\andre\Desktop\REACTIV CEFAS\Dutasteride\Dutasteride/20201203_Cefas_Test8_Run3/Plate 2/@11/E5_02.tif "/>
    <s v=" 7246.0147 "/>
    <s v=" 39.009 "/>
    <x v="0"/>
    <n v="282659"/>
    <m/>
    <m/>
    <m/>
  </r>
  <r>
    <x v="13"/>
    <x v="4"/>
    <s v="C:\Users\andre\Desktop\REACTIV CEFAS\Dutasteride\Dutasteride/20201203_Cefas_Test8_Run3/Plate 2/@11/E5_03.tif "/>
    <s v=" 3828.4913 "/>
    <s v=" 34.9266 "/>
    <x v="0"/>
    <n v="133716"/>
    <m/>
    <m/>
    <m/>
  </r>
  <r>
    <x v="13"/>
    <x v="5"/>
    <s v="C:\Users\andre\Desktop\REACTIV CEFAS\Dutasteride\Dutasteride/20201203_Cefas_Test8_Run3/Plate 2/@11/F5_01.tif "/>
    <s v=" 4152.9398 "/>
    <s v=" 36.5938 "/>
    <x v="0"/>
    <n v="151972"/>
    <m/>
    <m/>
    <m/>
  </r>
  <r>
    <x v="13"/>
    <x v="5"/>
    <s v="C:\Users\andre\Desktop\REACTIV CEFAS\Dutasteride\Dutasteride/20201203_Cefas_Test8_Run3/Plate 2/@11/F5_02.tif "/>
    <s v=" 6337.5591 "/>
    <s v=" 38.7304 "/>
    <x v="0"/>
    <n v="245456"/>
    <m/>
    <m/>
    <m/>
  </r>
  <r>
    <x v="13"/>
    <x v="5"/>
    <s v="C:\Users\andre\Desktop\REACTIV CEFAS\Dutasteride\Dutasteride/20201203_Cefas_Test8_Run3/Plate 2/@11/F5_03.tif "/>
    <s v=" 6770.157 "/>
    <s v=" 38.8594 "/>
    <x v="0"/>
    <n v="263084"/>
    <m/>
    <m/>
    <m/>
  </r>
  <r>
    <x v="13"/>
    <x v="6"/>
    <s v="C:\Users\andre\Desktop\REACTIV CEFAS\Dutasteride\Dutasteride/20201203_Cefas_Test8_Run3/Plate 2/@11/G5_01- exclu.tif"/>
    <m/>
    <m/>
    <x v="1"/>
    <m/>
    <m/>
    <m/>
    <m/>
  </r>
  <r>
    <x v="13"/>
    <x v="6"/>
    <s v="C:\Users\andre\Desktop\REACTIV CEFAS\Dutasteride\Dutasteride/20201203_Cefas_Test8_Run3/Plate 2/@11/G5_02- exclu.tif"/>
    <m/>
    <m/>
    <x v="1"/>
    <m/>
    <m/>
    <m/>
    <m/>
  </r>
  <r>
    <x v="13"/>
    <x v="6"/>
    <s v="C:\Users\andre\Desktop\REACTIV CEFAS\Dutasteride\Dutasteride/20201203_Cefas_Test8_Run3/Plate 2/@11/G5_03- exclu.tif"/>
    <m/>
    <m/>
    <x v="1"/>
    <m/>
    <m/>
    <m/>
    <m/>
  </r>
  <r>
    <x v="13"/>
    <x v="7"/>
    <s v="C:\Users\andre\Desktop\REACTIV CEFAS\Dutasteride\Dutasteride/20201203_Cefas_Test8_Run3/Plate 2/@11/H5_01.tif "/>
    <s v=" 12350.6698 "/>
    <s v=" 43.8144 "/>
    <x v="0"/>
    <n v="541137"/>
    <m/>
    <m/>
    <m/>
  </r>
  <r>
    <x v="13"/>
    <x v="7"/>
    <s v="C:\Users\andre\Desktop\REACTIV CEFAS\Dutasteride\Dutasteride/20201203_Cefas_Test8_Run3/Plate 2/@11/H5_02.tif "/>
    <s v=" 11809.9225 "/>
    <s v=" 41.152 "/>
    <x v="0"/>
    <n v="486002"/>
    <m/>
    <m/>
    <m/>
  </r>
  <r>
    <x v="13"/>
    <x v="7"/>
    <s v="C:\Users\andre\Desktop\REACTIV CEFAS\Dutasteride\Dutasteride/20201203_Cefas_Test8_Run3/Plate 2/@11/H5_03.tif "/>
    <s v=" 10706.7978 "/>
    <s v=" 41.1455 "/>
    <x v="0"/>
    <n v="440536"/>
    <m/>
    <m/>
    <m/>
  </r>
  <r>
    <x v="1"/>
    <x v="8"/>
    <s v=" "/>
    <m/>
    <m/>
    <x v="1"/>
    <m/>
    <m/>
    <m/>
    <m/>
  </r>
  <r>
    <x v="1"/>
    <x v="8"/>
    <s v="group "/>
    <s v=" "/>
    <s v=" mean of mean fluo "/>
    <x v="2"/>
    <s v=" mean of total fluo "/>
    <s v=" SD total fluo "/>
    <s v=" n fluorescent "/>
    <s v=" n total"/>
  </r>
  <r>
    <x v="13"/>
    <x v="9"/>
    <s v="C:\Users\andre\Desktop\REACTIV CEFAS\Dutasteride\Dutasteride/20201203_Cefas_Test8_Run3/Plate 2/@11/ "/>
    <s v=" "/>
    <s v=" 37.3176 "/>
    <x v="15"/>
    <s v=" 198587.583 "/>
    <s v=" 164101.84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C:\Users\andre\Desktop\REACTIV CEFAS\Dutasteride\Dutasteride/20201203_Cefas_Test8_Run3/Plate 2/@12/A6_01.tif "/>
    <s v=" 7743.5023 "/>
    <s v=" 41.7542 "/>
    <x v="0"/>
    <n v="323324"/>
    <m/>
    <m/>
    <m/>
  </r>
  <r>
    <x v="14"/>
    <x v="0"/>
    <s v="C:\Users\andre\Desktop\REACTIV CEFAS\Dutasteride\Dutasteride/20201203_Cefas_Test8_Run3/Plate 2/@12/A6_02.tif "/>
    <s v=" 6294.2993 "/>
    <s v=" 35.7045 "/>
    <x v="0"/>
    <n v="224735"/>
    <m/>
    <m/>
    <m/>
  </r>
  <r>
    <x v="14"/>
    <x v="0"/>
    <s v="C:\Users\andre\Desktop\REACTIV CEFAS\Dutasteride\Dutasteride/20201203_Cefas_Test8_Run3/Plate 2/@12/A6_03.tif "/>
    <s v=" 9322.4846 "/>
    <s v=" 36.703 "/>
    <x v="0"/>
    <n v="342163"/>
    <m/>
    <m/>
    <m/>
  </r>
  <r>
    <x v="14"/>
    <x v="1"/>
    <s v="C:\Users\andre\Desktop\REACTIV CEFAS\Dutasteride\Dutasteride/20201203_Cefas_Test8_Run3/Plate 2/@12/B6_01.tif "/>
    <s v=" 129.7794 "/>
    <s v=" 31.1667 "/>
    <x v="0"/>
    <n v="4045"/>
    <m/>
    <m/>
    <m/>
  </r>
  <r>
    <x v="14"/>
    <x v="1"/>
    <s v="C:\Users\andre\Desktop\REACTIV CEFAS\Dutasteride\Dutasteride/20201203_Cefas_Test8_Run3/Plate 2/@12/B6_02.tif "/>
    <s v=" 21.6299 "/>
    <n v="31"/>
    <x v="0"/>
    <n v="671"/>
    <m/>
    <m/>
    <m/>
  </r>
  <r>
    <x v="14"/>
    <x v="1"/>
    <s v="C:\Users\andre\Desktop\REACTIV CEFAS\Dutasteride\Dutasteride/20201203_Cefas_Test8_Run3/Plate 2/@12/B6_03.tif "/>
    <n v="0"/>
    <n v="0"/>
    <x v="0"/>
    <n v="0"/>
    <m/>
    <m/>
    <m/>
  </r>
  <r>
    <x v="14"/>
    <x v="2"/>
    <s v="C:\Users\andre\Desktop\REACTIV CEFAS\Dutasteride\Dutasteride/20201203_Cefas_Test8_Run3/Plate 2/@12/C6_01- exclu.tif"/>
    <m/>
    <m/>
    <x v="1"/>
    <m/>
    <m/>
    <m/>
    <m/>
  </r>
  <r>
    <x v="14"/>
    <x v="2"/>
    <s v="C:\Users\andre\Desktop\REACTIV CEFAS\Dutasteride\Dutasteride/20201203_Cefas_Test8_Run3/Plate 2/@12/C6_02.tif "/>
    <s v=" 432.5979 "/>
    <s v=" 31.45 "/>
    <x v="0"/>
    <n v="13605"/>
    <m/>
    <m/>
    <m/>
  </r>
  <r>
    <x v="14"/>
    <x v="2"/>
    <s v="C:\Users\andre\Desktop\REACTIV CEFAS\Dutasteride\Dutasteride/20201203_Cefas_Test8_Run3/Plate 2/@12/C6_03.tif "/>
    <s v=" 497.4876 "/>
    <s v=" 31.8261 "/>
    <x v="0"/>
    <n v="15833"/>
    <m/>
    <m/>
    <m/>
  </r>
  <r>
    <x v="14"/>
    <x v="3"/>
    <s v="C:\Users\andre\Desktop\REACTIV CEFAS\Dutasteride\Dutasteride/20201203_Cefas_Test8_Run3/Plate 2/@12/D6_01.tif "/>
    <s v=" 9949.7515 "/>
    <s v=" 44.4391 "/>
    <x v="0"/>
    <n v="442158"/>
    <m/>
    <m/>
    <m/>
  </r>
  <r>
    <x v="14"/>
    <x v="3"/>
    <s v="C:\Users\andre\Desktop\REACTIV CEFAS\Dutasteride\Dutasteride/20201203_Cefas_Test8_Run3/Plate 2/@12/D6_02.tif "/>
    <s v=" 8414.029 "/>
    <s v=" 39.1388 "/>
    <x v="0"/>
    <n v="329315"/>
    <m/>
    <m/>
    <m/>
  </r>
  <r>
    <x v="14"/>
    <x v="3"/>
    <s v="C:\Users\andre\Desktop\REACTIV CEFAS\Dutasteride\Dutasteride/20201203_Cefas_Test8_Run3/Plate 2/@12/D6_03- exclu.tif"/>
    <m/>
    <m/>
    <x v="1"/>
    <m/>
    <m/>
    <m/>
    <m/>
  </r>
  <r>
    <x v="14"/>
    <x v="4"/>
    <s v="C:\Users\andre\Desktop\REACTIV CEFAS\Dutasteride\Dutasteride/20201203_Cefas_Test8_Run3/Plate 2/@12/E6_01- exclu.tif"/>
    <m/>
    <m/>
    <x v="1"/>
    <m/>
    <m/>
    <m/>
    <m/>
  </r>
  <r>
    <x v="14"/>
    <x v="4"/>
    <s v="C:\Users\andre\Desktop\REACTIV CEFAS\Dutasteride\Dutasteride/20201203_Cefas_Test8_Run3/Plate 2/@12/E6_02.tif "/>
    <s v=" 4499.0181 "/>
    <s v=" 32.399 "/>
    <x v="0"/>
    <n v="145764"/>
    <m/>
    <m/>
    <m/>
  </r>
  <r>
    <x v="14"/>
    <x v="4"/>
    <s v="C:\Users\andre\Desktop\REACTIV CEFAS\Dutasteride\Dutasteride/20201203_Cefas_Test8_Run3/Plate 2/@12/E6_03.tif "/>
    <s v=" 9322.4846 "/>
    <s v=" 42.6636 "/>
    <x v="0"/>
    <n v="397731"/>
    <m/>
    <m/>
    <m/>
  </r>
  <r>
    <x v="14"/>
    <x v="5"/>
    <s v="C:\Users\andre\Desktop\REACTIV CEFAS\Dutasteride\Dutasteride/20201203_Cefas_Test8_Run3/Plate 2/@12/F6_01.tif "/>
    <s v=" 21.6299 "/>
    <n v="30"/>
    <x v="0"/>
    <n v="649"/>
    <m/>
    <m/>
    <m/>
  </r>
  <r>
    <x v="14"/>
    <x v="5"/>
    <s v="C:\Users\andre\Desktop\REACTIV CEFAS\Dutasteride\Dutasteride/20201203_Cefas_Test8_Run3/Plate 2/@12/F6_02.tif "/>
    <n v="0"/>
    <n v="0"/>
    <x v="0"/>
    <n v="0"/>
    <m/>
    <m/>
    <m/>
  </r>
  <r>
    <x v="14"/>
    <x v="5"/>
    <s v="C:\Users\andre\Desktop\REACTIV CEFAS\Dutasteride\Dutasteride/20201203_Cefas_Test8_Run3/Plate 2/@12/F6_03.tif "/>
    <n v="0"/>
    <n v="0"/>
    <x v="0"/>
    <n v="0"/>
    <m/>
    <m/>
    <m/>
  </r>
  <r>
    <x v="14"/>
    <x v="6"/>
    <s v="C:\Users\andre\Desktop\REACTIV CEFAS\Dutasteride\Dutasteride/20201203_Cefas_Test8_Run3/Plate 2/@12/G6_01.tif "/>
    <s v=" 11485.474 "/>
    <s v=" 38.5367 "/>
    <x v="0"/>
    <n v="442613"/>
    <m/>
    <m/>
    <m/>
  </r>
  <r>
    <x v="14"/>
    <x v="6"/>
    <s v="C:\Users\andre\Desktop\REACTIV CEFAS\Dutasteride\Dutasteride/20201203_Cefas_Test8_Run3/Plate 2/@12/G6_02.tif "/>
    <s v=" 9279.2248 "/>
    <s v=" 36.7413 "/>
    <x v="0"/>
    <n v="340930"/>
    <m/>
    <m/>
    <m/>
  </r>
  <r>
    <x v="14"/>
    <x v="6"/>
    <s v="C:\Users\andre\Desktop\REACTIV CEFAS\Dutasteride\Dutasteride/20201203_Cefas_Test8_Run3/Plate 2/@12/G6_03.tif "/>
    <n v="0"/>
    <n v="0"/>
    <x v="0"/>
    <n v="0"/>
    <m/>
    <m/>
    <m/>
  </r>
  <r>
    <x v="14"/>
    <x v="7"/>
    <s v="C:\Users\andre\Desktop\REACTIV CEFAS\Dutasteride\Dutasteride/20201203_Cefas_Test8_Run3/Plate 2/@12/H6_01.tif "/>
    <n v="0"/>
    <n v="0"/>
    <x v="0"/>
    <n v="0"/>
    <m/>
    <m/>
    <m/>
  </r>
  <r>
    <x v="14"/>
    <x v="7"/>
    <s v="C:\Users\andre\Desktop\REACTIV CEFAS\Dutasteride\Dutasteride/20201203_Cefas_Test8_Run3/Plate 2/@12/H6_02.tif "/>
    <s v=" 216.2989 "/>
    <s v=" 30.8 "/>
    <x v="0"/>
    <n v="6662"/>
    <m/>
    <m/>
    <m/>
  </r>
  <r>
    <x v="14"/>
    <x v="7"/>
    <s v="C:\Users\andre\Desktop\REACTIV CEFAS\Dutasteride\Dutasteride/20201203_Cefas_Test8_Run3/Plate 2/@12/H6_03.tif "/>
    <n v="0"/>
    <n v="0"/>
    <x v="0"/>
    <n v="0"/>
    <m/>
    <m/>
    <m/>
  </r>
  <r>
    <x v="1"/>
    <x v="8"/>
    <s v=" "/>
    <m/>
    <m/>
    <x v="1"/>
    <m/>
    <m/>
    <m/>
    <m/>
  </r>
  <r>
    <x v="1"/>
    <x v="8"/>
    <s v="group "/>
    <s v=" "/>
    <s v=" mean of mean fluo "/>
    <x v="2"/>
    <s v=" mean of total fluo "/>
    <s v=" SD total fluo "/>
    <s v=" n fluorescent "/>
    <s v=" n total"/>
  </r>
  <r>
    <x v="14"/>
    <x v="9"/>
    <s v="C:\Users\andre\Desktop\REACTIV CEFAS\Dutasteride\Dutasteride/20201203_Cefas_Test8_Run3/Plate 2/@12/ "/>
    <s v=" "/>
    <s v=" 23.5412 "/>
    <x v="16"/>
    <s v=" 126424.083 "/>
    <s v=" 172522.022 "/>
    <n v="16"/>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C:\Users\andre\Desktop\REACTIV CEFAS\Dutasteride\Dutasteride/20201203_Cefas_Test8_Run3/Plate 2/@17/A8_01.tif "/>
    <s v=" 18558.4496 "/>
    <s v=" 37.0163 "/>
    <x v="0"/>
    <n v="686965"/>
    <m/>
    <m/>
    <m/>
  </r>
  <r>
    <x v="15"/>
    <x v="0"/>
    <s v="C:\Users\andre\Desktop\REACTIV CEFAS\Dutasteride\Dutasteride/20201203_Cefas_Test8_Run3/Plate 2/@17/A8_02.tif "/>
    <s v=" 15573.5241 "/>
    <s v=" 35.3778 "/>
    <x v="0"/>
    <n v="550957"/>
    <m/>
    <m/>
    <m/>
  </r>
  <r>
    <x v="15"/>
    <x v="0"/>
    <s v="C:\Users\andre\Desktop\REACTIV CEFAS\Dutasteride\Dutasteride/20201203_Cefas_Test8_Run3/Plate 2/@17/A8_03.tif "/>
    <s v=" 19596.6845 "/>
    <s v=" 36.3046 "/>
    <x v="0"/>
    <n v="711450"/>
    <m/>
    <m/>
    <m/>
  </r>
  <r>
    <x v="15"/>
    <x v="1"/>
    <s v="C:\Users\andre\Desktop\REACTIV CEFAS\Dutasteride\Dutasteride/20201203_Cefas_Test8_Run3/Plate 2/@17/B8_01- exclu.tif"/>
    <m/>
    <m/>
    <x v="1"/>
    <m/>
    <m/>
    <m/>
    <m/>
  </r>
  <r>
    <x v="15"/>
    <x v="1"/>
    <s v="C:\Users\andre\Desktop\REACTIV CEFAS\Dutasteride\Dutasteride/20201203_Cefas_Test8_Run3/Plate 2/@17/B8_02- exclu.tif"/>
    <m/>
    <m/>
    <x v="1"/>
    <m/>
    <m/>
    <m/>
    <m/>
  </r>
  <r>
    <x v="15"/>
    <x v="1"/>
    <s v="C:\Users\andre\Desktop\REACTIV CEFAS\Dutasteride\Dutasteride/20201203_Cefas_Test8_Run3/Plate 2/@17/B8_03- exclu.tif"/>
    <m/>
    <m/>
    <x v="1"/>
    <m/>
    <m/>
    <m/>
    <m/>
  </r>
  <r>
    <x v="15"/>
    <x v="2"/>
    <s v="C:\Users\andre\Desktop\REACTIV CEFAS\Dutasteride\Dutasteride/20201203_Cefas_Test8_Run3/Plate 2/@17/C8_01.tif "/>
    <s v=" 35429.7674 "/>
    <s v=" 37.3266 "/>
    <x v="0"/>
    <n v="1322473"/>
    <m/>
    <m/>
    <m/>
  </r>
  <r>
    <x v="15"/>
    <x v="2"/>
    <s v="C:\Users\andre\Desktop\REACTIV CEFAS\Dutasteride\Dutasteride/20201203_Cefas_Test8_Run3/Plate 2/@17/C8_02.tif "/>
    <s v=" 38241.6537 "/>
    <s v=" 38.1793 "/>
    <x v="0"/>
    <n v="1460040"/>
    <m/>
    <m/>
    <m/>
  </r>
  <r>
    <x v="15"/>
    <x v="2"/>
    <s v="C:\Users\andre\Desktop\REACTIV CEFAS\Dutasteride\Dutasteride/20201203_Cefas_Test8_Run3/Plate 2/@17/C8_03.tif "/>
    <s v=" 36792.4508 "/>
    <s v=" 38.097 "/>
    <x v="0"/>
    <n v="1401682"/>
    <m/>
    <m/>
    <m/>
  </r>
  <r>
    <x v="15"/>
    <x v="3"/>
    <s v="C:\Users\andre\Desktop\REACTIV CEFAS\Dutasteride\Dutasteride/20201203_Cefas_Test8_Run3/Plate 2/@17/D8_01.tif "/>
    <s v=" 36100.2941 "/>
    <s v=" 35.1456 "/>
    <x v="0"/>
    <n v="1268766"/>
    <m/>
    <m/>
    <m/>
  </r>
  <r>
    <x v="15"/>
    <x v="3"/>
    <s v="C:\Users\andre\Desktop\REACTIV CEFAS\Dutasteride\Dutasteride/20201203_Cefas_Test8_Run3/Plate 2/@17/D8_02.tif "/>
    <s v=" 40253.2339 "/>
    <s v=" 36.2671 "/>
    <x v="0"/>
    <n v="1459866"/>
    <m/>
    <m/>
    <m/>
  </r>
  <r>
    <x v="15"/>
    <x v="3"/>
    <s v="C:\Users\andre\Desktop\REACTIV CEFAS\Dutasteride\Dutasteride/20201203_Cefas_Test8_Run3/Plate 2/@17/D8_03.tif "/>
    <s v=" 41788.9564 "/>
    <s v=" 36.5228 "/>
    <x v="0"/>
    <n v="1526249"/>
    <m/>
    <m/>
    <m/>
  </r>
  <r>
    <x v="15"/>
    <x v="4"/>
    <s v="C:\Users\andre\Desktop\REACTIV CEFAS\Dutasteride\Dutasteride/20201203_Cefas_Test8_Run3/Plate 2/@17/E8_01.tif "/>
    <s v=" 18234.0012 "/>
    <s v=" 33.0107 "/>
    <x v="0"/>
    <n v="601917"/>
    <m/>
    <m/>
    <m/>
  </r>
  <r>
    <x v="15"/>
    <x v="4"/>
    <s v="C:\Users\andre\Desktop\REACTIV CEFAS\Dutasteride\Dutasteride/20201203_Cefas_Test8_Run3/Plate 2/@17/E8_02.tif "/>
    <s v=" 36814.0807 "/>
    <s v=" 35.2509 "/>
    <x v="0"/>
    <n v="1297729"/>
    <m/>
    <m/>
    <m/>
  </r>
  <r>
    <x v="15"/>
    <x v="4"/>
    <s v="C:\Users\andre\Desktop\REACTIV CEFAS\Dutasteride\Dutasteride/20201203_Cefas_Test8_Run3/Plate 2/@17/E8_03.tif "/>
    <s v=" 28118.863 "/>
    <s v=" 34.3154 "/>
    <x v="0"/>
    <n v="964910"/>
    <m/>
    <m/>
    <m/>
  </r>
  <r>
    <x v="15"/>
    <x v="5"/>
    <s v="C:\Users\andre\Desktop\REACTIV CEFAS\Dutasteride\Dutasteride/20201203_Cefas_Test8_Run3/Plate 2/@17/F8_01.tif "/>
    <s v=" 17736.5136 "/>
    <s v=" 36.7622 "/>
    <x v="0"/>
    <n v="652033"/>
    <m/>
    <m/>
    <m/>
  </r>
  <r>
    <x v="15"/>
    <x v="5"/>
    <s v="C:\Users\andre\Desktop\REACTIV CEFAS\Dutasteride\Dutasteride/20201203_Cefas_Test8_Run3/Plate 2/@17/F8_02.tif "/>
    <s v=" 16308.9406 "/>
    <s v=" 36.0942 "/>
    <x v="0"/>
    <n v="588658"/>
    <m/>
    <m/>
    <m/>
  </r>
  <r>
    <x v="15"/>
    <x v="5"/>
    <s v="C:\Users\andre\Desktop\REACTIV CEFAS\Dutasteride\Dutasteride/20201203_Cefas_Test8_Run3/Plate 2/@17/F8_03.tif "/>
    <s v=" 17152.5064 "/>
    <s v=" 35.5019 "/>
    <x v="0"/>
    <n v="608946"/>
    <m/>
    <m/>
    <m/>
  </r>
  <r>
    <x v="15"/>
    <x v="6"/>
    <s v="C:\Users\andre\Desktop\REACTIV CEFAS\Dutasteride\Dutasteride/20201203_Cefas_Test8_Run3/Plate 2/@17/G8_01.tif "/>
    <s v=" 2011.5802 "/>
    <s v=" 31.9462 "/>
    <x v="0"/>
    <n v="64262"/>
    <m/>
    <m/>
    <m/>
  </r>
  <r>
    <x v="15"/>
    <x v="6"/>
    <s v="C:\Users\andre\Desktop\REACTIV CEFAS\Dutasteride\Dutasteride/20201203_Cefas_Test8_Run3/Plate 2/@17/G8_02.tif "/>
    <s v=" 7246.0147 "/>
    <s v=" 37.7642 "/>
    <x v="0"/>
    <n v="273640"/>
    <m/>
    <m/>
    <m/>
  </r>
  <r>
    <x v="15"/>
    <x v="6"/>
    <s v="C:\Users\andre\Desktop\REACTIV CEFAS\Dutasteride\Dutasteride/20201203_Cefas_Test8_Run3/Plate 2/@17/G8_03.tif "/>
    <s v=" 6705.2673 "/>
    <s v=" 35.8323 "/>
    <x v="0"/>
    <n v="240265"/>
    <m/>
    <m/>
    <m/>
  </r>
  <r>
    <x v="15"/>
    <x v="7"/>
    <s v="C:\Users\andre\Desktop\REACTIV CEFAS\Dutasteride\Dutasteride/20201203_Cefas_Test8_Run3/Plate 2/@17/H8_01.tif "/>
    <s v=" 56454.025 "/>
    <s v=" 40.3966 "/>
    <x v="0"/>
    <n v="2280548"/>
    <m/>
    <m/>
    <m/>
  </r>
  <r>
    <x v="15"/>
    <x v="7"/>
    <s v="C:\Users\andre\Desktop\REACTIV CEFAS\Dutasteride\Dutasteride/20201203_Cefas_Test8_Run3/Plate 2/@17/H8_02.tif "/>
    <s v=" 57449.0001 "/>
    <s v=" 42.6589 "/>
    <x v="0"/>
    <n v="2450710"/>
    <m/>
    <m/>
    <m/>
  </r>
  <r>
    <x v="15"/>
    <x v="7"/>
    <s v="C:\Users\andre\Desktop\REACTIV CEFAS\Dutasteride\Dutasteride/20201203_Cefas_Test8_Run3/Plate 2/@17/H8_03.tif "/>
    <s v=" 59676.8793 "/>
    <s v=" 41.9351 "/>
    <x v="0"/>
    <n v="2502557"/>
    <m/>
    <m/>
    <m/>
  </r>
  <r>
    <x v="1"/>
    <x v="8"/>
    <s v=" "/>
    <m/>
    <m/>
    <x v="1"/>
    <m/>
    <m/>
    <m/>
    <m/>
  </r>
  <r>
    <x v="1"/>
    <x v="8"/>
    <s v="group "/>
    <s v=" "/>
    <s v=" mean of mean fluo "/>
    <x v="2"/>
    <s v=" mean of total fluo "/>
    <s v=" SD total fluo "/>
    <s v=" n fluorescent "/>
    <s v=" n total"/>
  </r>
  <r>
    <x v="15"/>
    <x v="9"/>
    <s v="C:\Users\andre\Desktop\REACTIV CEFAS\Dutasteride\Dutasteride/20201203_Cefas_Test8_Run3/Plate 2/@17/ "/>
    <s v=" "/>
    <s v=" 38.6065 "/>
    <x v="17"/>
    <s v=" 1053637.17 "/>
    <s v=" 665295.22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C:\Users\andre\Desktop\REACTIV CEFAS\Dutasteride\Dutasteride/20201203_Cefas_Test8_Run3/Plate 2/@18/A9_01.tif "/>
    <s v=" 22538.3502 "/>
    <s v=" 35.3436 "/>
    <x v="0"/>
    <n v="796586"/>
    <m/>
    <m/>
    <m/>
  </r>
  <r>
    <x v="16"/>
    <x v="0"/>
    <s v="C:\Users\andre\Desktop\REACTIV CEFAS\Dutasteride\Dutasteride/20201203_Cefas_Test8_Run3/Plate 2/@18/A9_02.tif "/>
    <s v=" 24398.5211 "/>
    <s v=" 35.8236 "/>
    <x v="0"/>
    <n v="874042"/>
    <m/>
    <m/>
    <m/>
  </r>
  <r>
    <x v="16"/>
    <x v="0"/>
    <s v="C:\Users\andre\Desktop\REACTIV CEFAS\Dutasteride\Dutasteride/20201203_Cefas_Test8_Run3/Plate 2/@18/A9_03.tif "/>
    <s v=" 12869.7873 "/>
    <s v=" 33.5782 "/>
    <x v="0"/>
    <n v="432144"/>
    <m/>
    <m/>
    <m/>
  </r>
  <r>
    <x v="16"/>
    <x v="1"/>
    <s v="C:\Users\andre\Desktop\REACTIV CEFAS\Dutasteride\Dutasteride/20201203_Cefas_Test8_Run3/Plate 2/@18/B9_01.tif "/>
    <s v=" 43151.6398 "/>
    <s v=" 37.1138 "/>
    <x v="0"/>
    <n v="1601521"/>
    <m/>
    <m/>
    <m/>
  </r>
  <r>
    <x v="16"/>
    <x v="1"/>
    <s v="C:\Users\andre\Desktop\REACTIV CEFAS\Dutasteride\Dutasteride/20201203_Cefas_Test8_Run3/Plate 2/@18/B9_02.tif "/>
    <s v=" 44449.4335 "/>
    <s v=" 36.1572 "/>
    <x v="0"/>
    <n v="1607166"/>
    <m/>
    <m/>
    <m/>
  </r>
  <r>
    <x v="16"/>
    <x v="1"/>
    <s v="C:\Users\andre\Desktop\REACTIV CEFAS\Dutasteride\Dutasteride/20201203_Cefas_Test8_Run3/Plate 2/@18/B9_03.tif "/>
    <s v=" 54182.886 "/>
    <s v=" 38.2395 "/>
    <x v="0"/>
    <n v="2071928"/>
    <m/>
    <m/>
    <m/>
  </r>
  <r>
    <x v="16"/>
    <x v="2"/>
    <s v="C:\Users\andre\Desktop\REACTIV CEFAS\Dutasteride\Dutasteride/20201203_Cefas_Test8_Run3/Plate 2/@18/C9_01.tif "/>
    <s v=" 41269.839 "/>
    <s v=" 37.4119 "/>
    <x v="0"/>
    <n v="1543985"/>
    <m/>
    <m/>
    <m/>
  </r>
  <r>
    <x v="16"/>
    <x v="2"/>
    <s v="C:\Users\andre\Desktop\REACTIV CEFAS\Dutasteride\Dutasteride/20201203_Cefas_Test8_Run3/Plate 2/@18/C9_02.tif "/>
    <s v=" 41702.4368 "/>
    <s v=" 37.3978 "/>
    <x v="0"/>
    <n v="1559580"/>
    <m/>
    <m/>
    <m/>
  </r>
  <r>
    <x v="16"/>
    <x v="2"/>
    <s v="C:\Users\andre\Desktop\REACTIV CEFAS\Dutasteride\Dutasteride/20201203_Cefas_Test8_Run3/Plate 2/@18/C9_03.tif "/>
    <s v=" 40209.9741 "/>
    <s v=" 38.2609 "/>
    <x v="0"/>
    <n v="1538470"/>
    <m/>
    <m/>
    <m/>
  </r>
  <r>
    <x v="16"/>
    <x v="3"/>
    <s v="C:\Users\andre\Desktop\REACTIV CEFAS\Dutasteride\Dutasteride/20201203_Cefas_Test8_Run3/Plate 2/@18/D9_01.tif "/>
    <s v=" 56973.1425 "/>
    <s v=" 42.6568 "/>
    <x v="0"/>
    <n v="2430292"/>
    <m/>
    <m/>
    <m/>
  </r>
  <r>
    <x v="16"/>
    <x v="3"/>
    <s v="C:\Users\andre\Desktop\REACTIV CEFAS\Dutasteride\Dutasteride/20201203_Cefas_Test8_Run3/Plate 2/@18/D9_02.tif "/>
    <s v=" 60390.6658 "/>
    <s v=" 42.8958 "/>
    <x v="0"/>
    <n v="2590504"/>
    <m/>
    <m/>
    <m/>
  </r>
  <r>
    <x v="16"/>
    <x v="3"/>
    <s v="C:\Users\andre\Desktop\REACTIV CEFAS\Dutasteride\Dutasteride/20201203_Cefas_Test8_Run3/Plate 2/@18/D9_03.tif "/>
    <s v=" 4563.9078 "/>
    <s v=" 31.9573 "/>
    <x v="0"/>
    <n v="145850"/>
    <m/>
    <m/>
    <m/>
  </r>
  <r>
    <x v="16"/>
    <x v="4"/>
    <s v="C:\Users\andre\Desktop\REACTIV CEFAS\Dutasteride\Dutasteride/20201203_Cefas_Test8_Run3/Plate 2/@18/E9_01- exclu.tif"/>
    <m/>
    <m/>
    <x v="1"/>
    <m/>
    <m/>
    <m/>
    <m/>
  </r>
  <r>
    <x v="16"/>
    <x v="4"/>
    <s v="C:\Users\andre\Desktop\REACTIV CEFAS\Dutasteride\Dutasteride/20201203_Cefas_Test8_Run3/Plate 2/@18/E9_02- exclu.tif"/>
    <m/>
    <m/>
    <x v="1"/>
    <m/>
    <m/>
    <m/>
    <m/>
  </r>
  <r>
    <x v="16"/>
    <x v="4"/>
    <s v="C:\Users\andre\Desktop\REACTIV CEFAS\Dutasteride\Dutasteride/20201203_Cefas_Test8_Run3/Plate 2/@18/E9_03- exclu.tif"/>
    <m/>
    <m/>
    <x v="1"/>
    <m/>
    <m/>
    <m/>
    <m/>
  </r>
  <r>
    <x v="16"/>
    <x v="5"/>
    <s v="C:\Users\andre\Desktop\REACTIV CEFAS\Dutasteride\Dutasteride/20201203_Cefas_Test8_Run3/Plate 2/@18/F9_01.tif "/>
    <s v=" 33958.9346 "/>
    <s v=" 34.8331 "/>
    <x v="0"/>
    <n v="1182896"/>
    <m/>
    <m/>
    <m/>
  </r>
  <r>
    <x v="16"/>
    <x v="5"/>
    <s v="C:\Users\andre\Desktop\REACTIV CEFAS\Dutasteride\Dutasteride/20201203_Cefas_Test8_Run3/Plate 2/@18/F9_02.tif "/>
    <s v=" 45812.1168 "/>
    <s v=" 42.1553 "/>
    <x v="0"/>
    <n v="1931225"/>
    <m/>
    <m/>
    <m/>
  </r>
  <r>
    <x v="16"/>
    <x v="5"/>
    <s v="C:\Users\andre\Desktop\REACTIV CEFAS\Dutasteride\Dutasteride/20201203_Cefas_Test8_Run3/Plate 2/@18/F9_03.tif "/>
    <s v=" 46785.4621 "/>
    <s v=" 40.7286 "/>
    <x v="0"/>
    <n v="1905507"/>
    <m/>
    <m/>
    <m/>
  </r>
  <r>
    <x v="16"/>
    <x v="6"/>
    <s v="C:\Users\andre\Desktop\REACTIV CEFAS\Dutasteride\Dutasteride/20201203_Cefas_Test8_Run3/Plate 2/@18/G9_01.tif "/>
    <s v=" 62942.9934 "/>
    <s v=" 45.6474 "/>
    <x v="0"/>
    <n v="2873185"/>
    <m/>
    <m/>
    <m/>
  </r>
  <r>
    <x v="16"/>
    <x v="6"/>
    <s v="C:\Users\andre\Desktop\REACTIV CEFAS\Dutasteride\Dutasteride/20201203_Cefas_Test8_Run3/Plate 2/@18/G9_02.tif "/>
    <s v=" 68956.1041 "/>
    <s v=" 48.3425 "/>
    <x v="0"/>
    <n v="3333513"/>
    <m/>
    <m/>
    <m/>
  </r>
  <r>
    <x v="16"/>
    <x v="6"/>
    <s v="C:\Users\andre\Desktop\REACTIV CEFAS\Dutasteride\Dutasteride/20201203_Cefas_Test8_Run3/Plate 2/@18/G9_03.tif "/>
    <s v=" 69496.8514 "/>
    <s v=" 48.8406 "/>
    <x v="0"/>
    <n v="3394271"/>
    <m/>
    <m/>
    <m/>
  </r>
  <r>
    <x v="16"/>
    <x v="7"/>
    <s v="C:\Users\andre\Desktop\REACTIV CEFAS\Dutasteride\Dutasteride/20201203_Cefas_Test8_Run3/Plate 2/@18/H9_01.tif "/>
    <s v=" 40793.9813 "/>
    <s v=" 41.2163 "/>
    <x v="0"/>
    <n v="1681378"/>
    <m/>
    <m/>
    <m/>
  </r>
  <r>
    <x v="16"/>
    <x v="7"/>
    <s v="C:\Users\andre\Desktop\REACTIV CEFAS\Dutasteride\Dutasteride/20201203_Cefas_Test8_Run3/Plate 2/@18/H9_02.tif "/>
    <s v=" 45574.188 "/>
    <s v=" 38.5885 "/>
    <x v="0"/>
    <n v="1758640"/>
    <m/>
    <m/>
    <m/>
  </r>
  <r>
    <x v="16"/>
    <x v="7"/>
    <s v="C:\Users\andre\Desktop\REACTIV CEFAS\Dutasteride\Dutasteride/20201203_Cefas_Test8_Run3/Plate 2/@18/H9_03.tif "/>
    <s v=" 37419.7177 "/>
    <s v=" 42.9509 "/>
    <x v="0"/>
    <n v="1607209"/>
    <m/>
    <m/>
    <m/>
  </r>
  <r>
    <x v="1"/>
    <x v="8"/>
    <s v=" "/>
    <m/>
    <m/>
    <x v="1"/>
    <m/>
    <m/>
    <m/>
    <m/>
  </r>
  <r>
    <x v="1"/>
    <x v="8"/>
    <s v="group "/>
    <s v=" "/>
    <s v=" mean of mean fluo "/>
    <x v="2"/>
    <s v=" mean of total fluo "/>
    <s v=" SD total fluo "/>
    <s v=" n fluorescent "/>
    <s v=" n total"/>
  </r>
  <r>
    <x v="16"/>
    <x v="9"/>
    <s v="C:\Users\andre\Desktop\REACTIV CEFAS\Dutasteride\Dutasteride/20201203_Cefas_Test8_Run3/Plate 2/@18/ "/>
    <s v=" "/>
    <s v=" 39.8444 "/>
    <x v="18"/>
    <s v=" 1782678.21 "/>
    <s v=" 930809.37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C:\Users\andre\Desktop\REACTIV CEFAS\Dutasteride\Dutasteride/20201203_Cefas_Test8_Run3/Plate 2/@19/A10_01.tif "/>
    <s v=" 27729.5249 "/>
    <s v=" 35.6771 "/>
    <x v="0"/>
    <n v="989308"/>
    <m/>
    <m/>
    <m/>
  </r>
  <r>
    <x v="17"/>
    <x v="0"/>
    <s v="C:\Users\andre\Desktop\REACTIV CEFAS\Dutasteride\Dutasteride/20201203_Cefas_Test8_Run3/Plate 2/@19/A10_02.tif "/>
    <s v=" 40383.0133 "/>
    <s v=" 36.5554 "/>
    <x v="0"/>
    <n v="1476219"/>
    <m/>
    <m/>
    <m/>
  </r>
  <r>
    <x v="17"/>
    <x v="0"/>
    <s v="C:\Users\andre\Desktop\REACTIV CEFAS\Dutasteride\Dutasteride/20201203_Cefas_Test8_Run3/Plate 2/@19/A10_03.tif "/>
    <s v=" 31147.0483 "/>
    <s v=" 36.3062 "/>
    <x v="0"/>
    <n v="1130833"/>
    <m/>
    <m/>
    <m/>
  </r>
  <r>
    <x v="17"/>
    <x v="1"/>
    <s v="C:\Users\andre\Desktop\REACTIV CEFAS\Dutasteride\Dutasteride/20201203_Cefas_Test8_Run3/Plate 2/@19/B10_01.tif "/>
    <s v=" 52928.3522 "/>
    <s v=" 43.964 "/>
    <x v="0"/>
    <n v="2326944"/>
    <m/>
    <m/>
    <m/>
  </r>
  <r>
    <x v="17"/>
    <x v="1"/>
    <s v="C:\Users\andre\Desktop\REACTIV CEFAS\Dutasteride\Dutasteride/20201203_Cefas_Test8_Run3/Plate 2/@19/B10_02.tif "/>
    <s v=" 49532.4587 "/>
    <s v=" 43.4371 "/>
    <x v="0"/>
    <n v="2151547"/>
    <m/>
    <m/>
    <m/>
  </r>
  <r>
    <x v="17"/>
    <x v="1"/>
    <s v="C:\Users\andre\Desktop\REACTIV CEFAS\Dutasteride\Dutasteride/20201203_Cefas_Test8_Run3/Plate 2/@19/B10_03.tif "/>
    <s v=" 60455.5555 "/>
    <s v=" 45.3893 "/>
    <x v="0"/>
    <n v="2744033"/>
    <m/>
    <m/>
    <m/>
  </r>
  <r>
    <x v="17"/>
    <x v="2"/>
    <s v="C:\Users\andre\Desktop\REACTIV CEFAS\Dutasteride\Dutasteride/20201203_Cefas_Test8_Run3/Plate 2/@19/C10_01.tif "/>
    <s v=" 63007.8831 "/>
    <s v=" 42.6038 "/>
    <x v="0"/>
    <n v="2684378"/>
    <m/>
    <m/>
    <m/>
  </r>
  <r>
    <x v="17"/>
    <x v="2"/>
    <s v="C:\Users\andre\Desktop\REACTIV CEFAS\Dutasteride\Dutasteride/20201203_Cefas_Test8_Run3/Plate 2/@19/C10_02.tif "/>
    <s v=" 62337.3563 "/>
    <s v=" 42.5888 "/>
    <x v="0"/>
    <n v="2654875"/>
    <m/>
    <m/>
    <m/>
  </r>
  <r>
    <x v="17"/>
    <x v="2"/>
    <s v="C:\Users\andre\Desktop\REACTIV CEFAS\Dutasteride\Dutasteride/20201203_Cefas_Test8_Run3/Plate 2/@19/C10_03.tif "/>
    <s v=" 65949.5487 "/>
    <s v=" 44.0092 "/>
    <x v="0"/>
    <n v="2902386"/>
    <m/>
    <m/>
    <m/>
  </r>
  <r>
    <x v="17"/>
    <x v="3"/>
    <s v="C:\Users\andre\Desktop\REACTIV CEFAS\Dutasteride\Dutasteride/20201203_Cefas_Test8_Run3/Plate 2/@19/D10_01.tif "/>
    <s v=" 53707.0284 "/>
    <s v=" 39.948 "/>
    <x v="0"/>
    <n v="2145491"/>
    <m/>
    <m/>
    <m/>
  </r>
  <r>
    <x v="17"/>
    <x v="3"/>
    <s v="C:\Users\andre\Desktop\REACTIV CEFAS\Dutasteride\Dutasteride/20201203_Cefas_Test8_Run3/Plate 2/@19/D10_02.tif "/>
    <s v=" 42199.9244 "/>
    <s v=" 36.9231 "/>
    <x v="0"/>
    <n v="1558153"/>
    <m/>
    <m/>
    <m/>
  </r>
  <r>
    <x v="17"/>
    <x v="3"/>
    <s v="C:\Users\andre\Desktop\REACTIV CEFAS\Dutasteride\Dutasteride/20201203_Cefas_Test8_Run3/Plate 2/@19/D10_03.tif "/>
    <s v=" 53252.8006 "/>
    <s v=" 39.4695 "/>
    <x v="0"/>
    <n v="2101863"/>
    <m/>
    <m/>
    <m/>
  </r>
  <r>
    <x v="17"/>
    <x v="4"/>
    <s v="C:\Users\andre\Desktop\REACTIV CEFAS\Dutasteride\Dutasteride/20201203_Cefas_Test8_Run3/Plate 2/@19/E10_01.tif "/>
    <s v=" 47218.06 "/>
    <s v=" 39.6486 "/>
    <x v="0"/>
    <n v="1872132"/>
    <m/>
    <m/>
    <m/>
  </r>
  <r>
    <x v="17"/>
    <x v="4"/>
    <s v="C:\Users\andre\Desktop\REACTIV CEFAS\Dutasteride\Dutasteride/20201203_Cefas_Test8_Run3/Plate 2/@19/E10_02.tif "/>
    <s v=" 38068.6145 "/>
    <s v=" 41.4983 "/>
    <x v="0"/>
    <n v="1579783"/>
    <m/>
    <m/>
    <m/>
  </r>
  <r>
    <x v="17"/>
    <x v="4"/>
    <s v="C:\Users\andre\Desktop\REACTIV CEFAS\Dutasteride\Dutasteride/20201203_Cefas_Test8_Run3/Plate 2/@19/E10_03.tif "/>
    <s v=" 43800.5366 "/>
    <s v=" 38.2548 "/>
    <x v="0"/>
    <n v="1675581"/>
    <m/>
    <m/>
    <m/>
  </r>
  <r>
    <x v="17"/>
    <x v="5"/>
    <s v="C:\Users\andre\Desktop\REACTIV CEFAS\Dutasteride\Dutasteride/20201203_Cefas_Test8_Run3/Plate 2/@19/F10_01.tif "/>
    <s v=" 50851.8823 "/>
    <s v=" 45.6763 "/>
    <x v="0"/>
    <n v="2322726"/>
    <m/>
    <m/>
    <m/>
  </r>
  <r>
    <x v="17"/>
    <x v="5"/>
    <s v="C:\Users\andre\Desktop\REACTIV CEFAS\Dutasteride\Dutasteride/20201203_Cefas_Test8_Run3/Plate 2/@19/F10_02.tif "/>
    <s v=" 51695.4482 "/>
    <s v=" 46.9904 "/>
    <x v="0"/>
    <n v="2429189"/>
    <m/>
    <m/>
    <m/>
  </r>
  <r>
    <x v="17"/>
    <x v="5"/>
    <s v="C:\Users\andre\Desktop\REACTIV CEFAS\Dutasteride\Dutasteride/20201203_Cefas_Test8_Run3/Plate 2/@19/F10_03.tif "/>
    <s v=" 43065.1202 "/>
    <s v=" 41.9106 "/>
    <x v="0"/>
    <n v="1804885"/>
    <m/>
    <m/>
    <m/>
  </r>
  <r>
    <x v="17"/>
    <x v="6"/>
    <s v="C:\Users\andre\Desktop\REACTIV CEFAS\Dutasteride\Dutasteride/20201203_Cefas_Test8_Run3/Plate 2/@19/G10_01.tif "/>
    <s v=" 59741.769 "/>
    <s v=" 37.5945 "/>
    <x v="0"/>
    <n v="2245962"/>
    <m/>
    <m/>
    <m/>
  </r>
  <r>
    <x v="17"/>
    <x v="6"/>
    <s v="C:\Users\andre\Desktop\REACTIV CEFAS\Dutasteride\Dutasteride/20201203_Cefas_Test8_Run3/Plate 2/@19/G10_02.tif "/>
    <s v=" 55286.0107 "/>
    <s v=" 37.9605 "/>
    <x v="0"/>
    <n v="2098684"/>
    <m/>
    <m/>
    <m/>
  </r>
  <r>
    <x v="17"/>
    <x v="6"/>
    <s v="C:\Users\andre\Desktop\REACTIV CEFAS\Dutasteride\Dutasteride/20201203_Cefas_Test8_Run3/Plate 2/@19/G10_03.tif "/>
    <s v=" 62813.214 "/>
    <s v=" 39.918 "/>
    <x v="0"/>
    <n v="2507381"/>
    <m/>
    <m/>
    <m/>
  </r>
  <r>
    <x v="17"/>
    <x v="7"/>
    <s v="C:\Users\andre\Desktop\REACTIV CEFAS\Dutasteride\Dutasteride/20201203_Cefas_Test8_Run3/Plate 2/@19/H10_01.tif "/>
    <s v=" 48991.7113 "/>
    <s v=" 40.3925 "/>
    <x v="0"/>
    <n v="1978897"/>
    <m/>
    <m/>
    <m/>
  </r>
  <r>
    <x v="17"/>
    <x v="7"/>
    <s v="C:\Users\andre\Desktop\REACTIV CEFAS\Dutasteride\Dutasteride/20201203_Cefas_Test8_Run3/Plate 2/@19/H10_02.tif "/>
    <s v=" 38804.031 "/>
    <s v=" 38.1399 "/>
    <x v="0"/>
    <n v="1479982"/>
    <m/>
    <m/>
    <m/>
  </r>
  <r>
    <x v="17"/>
    <x v="7"/>
    <s v="C:\Users\andre\Desktop\REACTIV CEFAS\Dutasteride\Dutasteride/20201203_Cefas_Test8_Run3/Plate 2/@19/H10_03.tif "/>
    <s v=" 51370.9997 "/>
    <s v=" 39.8657 "/>
    <x v="0"/>
    <n v="2047940"/>
    <m/>
    <m/>
    <m/>
  </r>
  <r>
    <x v="1"/>
    <x v="8"/>
    <s v=" "/>
    <m/>
    <m/>
    <x v="1"/>
    <m/>
    <m/>
    <m/>
    <m/>
  </r>
  <r>
    <x v="1"/>
    <x v="8"/>
    <s v="group "/>
    <s v=" "/>
    <s v=" mean of mean fluo "/>
    <x v="2"/>
    <s v=" mean of total fluo "/>
    <s v=" SD total fluo "/>
    <s v=" n fluorescent "/>
    <s v=" n total"/>
  </r>
  <r>
    <x v="17"/>
    <x v="9"/>
    <s v="C:\Users\andre\Desktop\REACTIV CEFAS\Dutasteride\Dutasteride/20201203_Cefas_Test8_Run3/Plate 2/@19/ "/>
    <s v=" "/>
    <s v=" 40.6134 "/>
    <x v="19"/>
    <s v=" 2037882.17 "/>
    <s v=" 504934.1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C:\Users\andre\Desktop\REACTIV CEFAS\Dutasteride\Dutasteride/20201203_Cefas_Test8_Run3/Plate 2/@20/A11_01.tif "/>
    <s v=" 35883.9952 "/>
    <s v=" 44.2309 "/>
    <x v="0"/>
    <n v="1587180"/>
    <m/>
    <m/>
    <m/>
  </r>
  <r>
    <x v="18"/>
    <x v="0"/>
    <s v="C:\Users\andre\Desktop\REACTIV CEFAS\Dutasteride\Dutasteride/20201203_Cefas_Test8_Run3/Plate 2/@20/A11_02.tif "/>
    <s v=" 35213.4685 "/>
    <s v=" 43.3624 "/>
    <x v="0"/>
    <n v="1526941"/>
    <m/>
    <m/>
    <m/>
  </r>
  <r>
    <x v="18"/>
    <x v="0"/>
    <s v="C:\Users\andre\Desktop\REACTIV CEFAS\Dutasteride\Dutasteride/20201203_Cefas_Test8_Run3/Plate 2/@20/A11_03.tif "/>
    <s v=" 35905.6251 "/>
    <s v=" 43.8048 "/>
    <x v="0"/>
    <n v="1572839"/>
    <m/>
    <m/>
    <m/>
  </r>
  <r>
    <x v="18"/>
    <x v="1"/>
    <s v="C:\Users\andre\Desktop\REACTIV CEFAS\Dutasteride\Dutasteride/20201203_Cefas_Test8_Run3/Plate 2/@20/B11_01.tif "/>
    <s v=" 76721.2362 "/>
    <s v=" 47.0443 "/>
    <x v="0"/>
    <n v="3609294"/>
    <m/>
    <m/>
    <m/>
  </r>
  <r>
    <x v="18"/>
    <x v="1"/>
    <s v="C:\Users\andre\Desktop\REACTIV CEFAS\Dutasteride\Dutasteride/20201203_Cefas_Test8_Run3/Plate 2/@20/B11_02.tif "/>
    <s v=" 80398.3183 "/>
    <s v=" 49.8819 "/>
    <x v="0"/>
    <n v="4010420"/>
    <m/>
    <m/>
    <m/>
  </r>
  <r>
    <x v="18"/>
    <x v="1"/>
    <s v="C:\Users\andre\Desktop\REACTIV CEFAS\Dutasteride\Dutasteride/20201203_Cefas_Test8_Run3/Plate 2/@20/B11_03.tif "/>
    <s v=" 72589.9264 "/>
    <s v=" 46.7896 "/>
    <x v="0"/>
    <n v="3396456"/>
    <m/>
    <m/>
    <m/>
  </r>
  <r>
    <x v="18"/>
    <x v="2"/>
    <s v="C:\Users\andre\Desktop\REACTIV CEFAS\Dutasteride\Dutasteride/20201203_Cefas_Test8_Run3/Plate 2/@20/C11_01.tif "/>
    <s v=" 23295.3965 "/>
    <s v=" 34.7279 "/>
    <x v="0"/>
    <n v="809001"/>
    <m/>
    <m/>
    <m/>
  </r>
  <r>
    <x v="18"/>
    <x v="2"/>
    <s v="C:\Users\andre\Desktop\REACTIV CEFAS\Dutasteride\Dutasteride/20201203_Cefas_Test8_Run3/Plate 2/@20/C11_02.tif "/>
    <s v=" 26885.959 "/>
    <s v=" 37.6766 "/>
    <x v="0"/>
    <n v="1012971"/>
    <m/>
    <m/>
    <m/>
  </r>
  <r>
    <x v="18"/>
    <x v="2"/>
    <s v="C:\Users\andre\Desktop\REACTIV CEFAS\Dutasteride\Dutasteride/20201203_Cefas_Test8_Run3/Plate 2/@20/C11_03.tif "/>
    <s v=" 22733.0193 "/>
    <s v=" 35.1836 "/>
    <x v="0"/>
    <n v="799830"/>
    <m/>
    <m/>
    <m/>
  </r>
  <r>
    <x v="18"/>
    <x v="3"/>
    <s v="C:\Users\andre\Desktop\REACTIV CEFAS\Dutasteride\Dutasteride/20201203_Cefas_Test8_Run3/Plate 2/@20/D11_01.tif "/>
    <s v=" 63916.3386 "/>
    <s v=" 41.9882 "/>
    <x v="0"/>
    <n v="2683729"/>
    <m/>
    <m/>
    <m/>
  </r>
  <r>
    <x v="18"/>
    <x v="3"/>
    <s v="C:\Users\andre\Desktop\REACTIV CEFAS\Dutasteride\Dutasteride/20201203_Cefas_Test8_Run3/Plate 2/@20/D11_02.tif "/>
    <s v=" 71335.3925 "/>
    <s v=" 45.3441 "/>
    <x v="0"/>
    <n v="3234643"/>
    <m/>
    <m/>
    <m/>
  </r>
  <r>
    <x v="18"/>
    <x v="3"/>
    <s v="C:\Users\andre\Desktop\REACTIV CEFAS\Dutasteride\Dutasteride/20201203_Cefas_Test8_Run3/Plate 2/@20/D11_03.tif "/>
    <s v=" 69886.1895 "/>
    <s v=" 47.71 "/>
    <x v="0"/>
    <n v="3334270"/>
    <m/>
    <m/>
    <m/>
  </r>
  <r>
    <x v="18"/>
    <x v="4"/>
    <s v="C:\Users\andre\Desktop\REACTIV CEFAS\Dutasteride\Dutasteride/20201203_Cefas_Test8_Run3/Plate 2/@20/E11_01.tif "/>
    <s v=" 73952.6097 "/>
    <s v=" 44.8669 "/>
    <x v="0"/>
    <n v="3318026"/>
    <m/>
    <m/>
    <m/>
  </r>
  <r>
    <x v="18"/>
    <x v="4"/>
    <s v="C:\Users\andre\Desktop\REACTIV CEFAS\Dutasteride\Dutasteride/20201203_Cefas_Test8_Run3/Plate 2/@20/E11_02.tif "/>
    <s v=" 69150.7731 "/>
    <s v=" 41.7676 "/>
    <x v="0"/>
    <n v="2888261"/>
    <m/>
    <m/>
    <m/>
  </r>
  <r>
    <x v="18"/>
    <x v="4"/>
    <s v="C:\Users\andre\Desktop\REACTIV CEFAS\Dutasteride\Dutasteride/20201203_Cefas_Test8_Run3/Plate 2/@20/E11_03.tif "/>
    <s v=" 69150.7731 "/>
    <s v=" 41.5224 "/>
    <x v="0"/>
    <n v="2871304"/>
    <m/>
    <m/>
    <m/>
  </r>
  <r>
    <x v="18"/>
    <x v="5"/>
    <s v="C:\Users\andre\Desktop\REACTIV CEFAS\Dutasteride\Dutasteride/20201203_Cefas_Test8_Run3/Plate 2/@20/F11_01.tif "/>
    <s v=" 10577.0185 "/>
    <s v=" 34.7362 "/>
    <x v="0"/>
    <n v="367405"/>
    <m/>
    <m/>
    <m/>
  </r>
  <r>
    <x v="18"/>
    <x v="5"/>
    <s v="C:\Users\andre\Desktop\REACTIV CEFAS\Dutasteride\Dutasteride/20201203_Cefas_Test8_Run3/Plate 2/@20/F11_02- exclu.tif"/>
    <m/>
    <m/>
    <x v="1"/>
    <m/>
    <m/>
    <m/>
    <m/>
  </r>
  <r>
    <x v="18"/>
    <x v="5"/>
    <s v="C:\Users\andre\Desktop\REACTIV CEFAS\Dutasteride\Dutasteride/20201203_Cefas_Test8_Run3/Plate 2/@20/F11_03.tif "/>
    <s v=" 31644.5358 "/>
    <s v=" 37.0677 "/>
    <x v="0"/>
    <n v="1172989"/>
    <m/>
    <m/>
    <m/>
  </r>
  <r>
    <x v="18"/>
    <x v="6"/>
    <s v="C:\Users\andre\Desktop\REACTIV CEFAS\Dutasteride\Dutasteride/20201203_Cefas_Test8_Run3/Plate 2/@20/G11_01.tif "/>
    <s v=" 47629.028 "/>
    <s v=" 44.6113 "/>
    <x v="0"/>
    <n v="2124791"/>
    <m/>
    <m/>
    <m/>
  </r>
  <r>
    <x v="18"/>
    <x v="6"/>
    <s v="C:\Users\andre\Desktop\REACTIV CEFAS\Dutasteride\Dutasteride/20201203_Cefas_Test8_Run3/Plate 2/@20/G11_02.tif "/>
    <s v=" 52322.7151 "/>
    <s v=" 45.9243 "/>
    <x v="0"/>
    <n v="2402887"/>
    <m/>
    <m/>
    <m/>
  </r>
  <r>
    <x v="18"/>
    <x v="6"/>
    <s v="C:\Users\andre\Desktop\REACTIV CEFAS\Dutasteride\Dutasteride/20201203_Cefas_Test8_Run3/Plate 2/@20/G11_03.tif "/>
    <s v=" 54161.2562 "/>
    <s v=" 49.4421 "/>
    <x v="0"/>
    <n v="2677846"/>
    <m/>
    <m/>
    <m/>
  </r>
  <r>
    <x v="18"/>
    <x v="7"/>
    <s v="C:\Users\andre\Desktop\REACTIV CEFAS\Dutasteride\Dutasteride/20201203_Cefas_Test8_Run3/Plate 2/@20/H11_01.tif "/>
    <s v=" 60109.4772 "/>
    <s v=" 46.0558 "/>
    <x v="0"/>
    <n v="2768389"/>
    <m/>
    <m/>
    <m/>
  </r>
  <r>
    <x v="18"/>
    <x v="7"/>
    <s v="C:\Users\andre\Desktop\REACTIV CEFAS\Dutasteride\Dutasteride/20201203_Cefas_Test8_Run3/Plate 2/@20/H11_02- exclu.tif"/>
    <m/>
    <m/>
    <x v="1"/>
    <m/>
    <m/>
    <m/>
    <m/>
  </r>
  <r>
    <x v="18"/>
    <x v="7"/>
    <s v="C:\Users\andre\Desktop\REACTIV CEFAS\Dutasteride\Dutasteride/20201203_Cefas_Test8_Run3/Plate 2/@20/H11_03- exclu.tif"/>
    <m/>
    <m/>
    <x v="1"/>
    <m/>
    <m/>
    <m/>
    <m/>
  </r>
  <r>
    <x v="1"/>
    <x v="8"/>
    <s v=" "/>
    <m/>
    <m/>
    <x v="1"/>
    <m/>
    <m/>
    <m/>
    <m/>
  </r>
  <r>
    <x v="1"/>
    <x v="8"/>
    <s v="group "/>
    <s v=" "/>
    <s v=" mean of mean fluo "/>
    <x v="2"/>
    <s v=" mean of total fluo "/>
    <s v=" SD total fluo "/>
    <s v=" n fluorescent "/>
    <s v=" n total"/>
  </r>
  <r>
    <x v="18"/>
    <x v="9"/>
    <s v="C:\Users\andre\Desktop\REACTIV CEFAS\Dutasteride\Dutasteride/20201203_Cefas_Test8_Run3/Plate 2/@20/ "/>
    <s v=" "/>
    <s v=" 42.8794 "/>
    <x v="20"/>
    <s v=" 2219120.83 "/>
    <n v="1062986"/>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C:\Users\andre\Desktop\REACTIV CEFAS\Dutasteride\Dutasteride/20201203_Cefas_Test8_Run3/Plate 2/@21/A12_01.tif "/>
    <s v=" 11009.6164 "/>
    <s v=" 33.2711 "/>
    <x v="0"/>
    <n v="366302"/>
    <m/>
    <m/>
    <m/>
  </r>
  <r>
    <x v="19"/>
    <x v="0"/>
    <s v="C:\Users\andre\Desktop\REACTIV CEFAS\Dutasteride\Dutasteride/20201203_Cefas_Test8_Run3/Plate 2/@21/A12_02.tif "/>
    <s v=" 17736.5136 "/>
    <s v=" 35.6244 "/>
    <x v="0"/>
    <n v="631852"/>
    <m/>
    <m/>
    <m/>
  </r>
  <r>
    <x v="19"/>
    <x v="0"/>
    <s v="C:\Users\andre\Desktop\REACTIV CEFAS\Dutasteride\Dutasteride/20201203_Cefas_Test8_Run3/Plate 2/@21/A12_03.tif "/>
    <s v=" 7592.093 "/>
    <s v=" 32.7407 "/>
    <x v="0"/>
    <n v="248571"/>
    <m/>
    <m/>
    <m/>
  </r>
  <r>
    <x v="19"/>
    <x v="1"/>
    <s v="C:\Users\andre\Desktop\REACTIV CEFAS\Dutasteride\Dutasteride/20201203_Cefas_Test8_Run3/Plate 2/@21/B12_01.tif "/>
    <s v=" 23317.0264 "/>
    <s v=" 35.0492 "/>
    <x v="0"/>
    <n v="817242"/>
    <m/>
    <m/>
    <m/>
  </r>
  <r>
    <x v="19"/>
    <x v="1"/>
    <s v="C:\Users\andre\Desktop\REACTIV CEFAS\Dutasteride\Dutasteride/20201203_Cefas_Test8_Run3/Plate 2/@21/B12_02.tif "/>
    <s v=" 35148.5788 "/>
    <s v=" 36.6671 "/>
    <x v="0"/>
    <n v="1288796"/>
    <m/>
    <m/>
    <m/>
  </r>
  <r>
    <x v="19"/>
    <x v="1"/>
    <s v="C:\Users\andre\Desktop\REACTIV CEFAS\Dutasteride\Dutasteride/20201203_Cefas_Test8_Run3/Plate 2/@21/B12_03.tif "/>
    <s v=" 30130.4432 "/>
    <s v=" 38.9397 "/>
    <x v="0"/>
    <n v="1173270"/>
    <m/>
    <m/>
    <m/>
  </r>
  <r>
    <x v="19"/>
    <x v="2"/>
    <s v="C:\Users\andre\Desktop\REACTIV CEFAS\Dutasteride\Dutasteride/20201203_Cefas_Test8_Run3/Plate 2/@21/C12_01.tif "/>
    <s v=" 85784.1621 "/>
    <s v=" 46.2108 "/>
    <x v="0"/>
    <n v="3964154"/>
    <m/>
    <m/>
    <m/>
  </r>
  <r>
    <x v="19"/>
    <x v="2"/>
    <s v="C:\Users\andre\Desktop\REACTIV CEFAS\Dutasteride\Dutasteride/20201203_Cefas_Test8_Run3/Plate 2/@21/C12_02.tif "/>
    <s v=" 85740.9023 "/>
    <s v=" 44.8739 "/>
    <x v="0"/>
    <n v="3847526"/>
    <m/>
    <m/>
    <m/>
  </r>
  <r>
    <x v="19"/>
    <x v="2"/>
    <s v="C:\Users\andre\Desktop\REACTIV CEFAS\Dutasteride\Dutasteride/20201203_Cefas_Test8_Run3/Plate 2/@21/C12_03.tif "/>
    <s v=" 88012.0412 "/>
    <s v=" 44.3047 "/>
    <x v="0"/>
    <n v="3899351"/>
    <m/>
    <m/>
    <m/>
  </r>
  <r>
    <x v="19"/>
    <x v="3"/>
    <s v="C:\Users\andre\Desktop\REACTIV CEFAS\Dutasteride\Dutasteride/20201203_Cefas_Test8_Run3/Plate 2/@21/D12_01.tif "/>
    <s v=" 3287.744 "/>
    <s v=" 32.5132 "/>
    <x v="0"/>
    <n v="106895"/>
    <m/>
    <m/>
    <m/>
  </r>
  <r>
    <x v="19"/>
    <x v="3"/>
    <s v="C:\Users\andre\Desktop\REACTIV CEFAS\Dutasteride\Dutasteride/20201203_Cefas_Test8_Run3/Plate 2/@21/D12_02.tif "/>
    <s v=" 2552.3276 "/>
    <s v=" 31.5508 "/>
    <x v="0"/>
    <n v="80528"/>
    <m/>
    <m/>
    <m/>
  </r>
  <r>
    <x v="19"/>
    <x v="3"/>
    <s v="C:\Users\andre\Desktop\REACTIV CEFAS\Dutasteride\Dutasteride/20201203_Cefas_Test8_Run3/Plate 2/@21/D12_03.tif "/>
    <s v=" 1081.4947 "/>
    <s v=" 31.1 "/>
    <x v="0"/>
    <n v="33634"/>
    <m/>
    <m/>
    <m/>
  </r>
  <r>
    <x v="19"/>
    <x v="4"/>
    <s v="C:\Users\andre\Desktop\REACTIV CEFAS\Dutasteride\Dutasteride/20201203_Cefas_Test8_Run3/Plate 2/@21/E12_01- exclu.tif"/>
    <m/>
    <m/>
    <x v="1"/>
    <m/>
    <m/>
    <m/>
    <m/>
  </r>
  <r>
    <x v="19"/>
    <x v="4"/>
    <s v="C:\Users\andre\Desktop\REACTIV CEFAS\Dutasteride\Dutasteride/20201203_Cefas_Test8_Run3/Plate 2/@21/E12_02.tif "/>
    <s v=" 39582.7072 "/>
    <s v=" 34.3246 "/>
    <x v="0"/>
    <n v="1358660"/>
    <m/>
    <m/>
    <m/>
  </r>
  <r>
    <x v="19"/>
    <x v="4"/>
    <s v="C:\Users\andre\Desktop\REACTIV CEFAS\Dutasteride\Dutasteride/20201203_Cefas_Test8_Run3/Plate 2/@21/E12_03.tif "/>
    <s v=" 30411.6318 "/>
    <s v=" 33.4908 "/>
    <x v="0"/>
    <n v="1018508"/>
    <m/>
    <m/>
    <m/>
  </r>
  <r>
    <x v="19"/>
    <x v="5"/>
    <s v="C:\Users\andre\Desktop\REACTIV CEFAS\Dutasteride\Dutasteride/20201203_Cefas_Test8_Run3/Plate 2/@21/F12_01.tif "/>
    <s v=" 3698.712 "/>
    <s v=" 34.386 "/>
    <x v="0"/>
    <n v="127184"/>
    <m/>
    <m/>
    <m/>
  </r>
  <r>
    <x v="19"/>
    <x v="5"/>
    <s v="C:\Users\andre\Desktop\REACTIV CEFAS\Dutasteride\Dutasteride/20201203_Cefas_Test8_Run3/Plate 2/@21/F12_02.tif "/>
    <s v=" 475.8577 "/>
    <s v=" 33.5455 "/>
    <x v="0"/>
    <n v="15963"/>
    <m/>
    <m/>
    <m/>
  </r>
  <r>
    <x v="19"/>
    <x v="5"/>
    <s v="C:\Users\andre\Desktop\REACTIV CEFAS\Dutasteride\Dutasteride/20201203_Cefas_Test8_Run3/Plate 2/@21/F12_03.tif "/>
    <n v="0"/>
    <n v="0"/>
    <x v="0"/>
    <n v="0"/>
    <m/>
    <m/>
    <m/>
  </r>
  <r>
    <x v="19"/>
    <x v="6"/>
    <s v="C:\Users\andre\Desktop\REACTIV CEFAS\Dutasteride\Dutasteride/20201203_Cefas_Test8_Run3/Plate 2/@21/G12_01.tif "/>
    <s v=" 38717.5114 "/>
    <s v=" 41.0391 "/>
    <x v="0"/>
    <n v="1588932"/>
    <m/>
    <m/>
    <m/>
  </r>
  <r>
    <x v="19"/>
    <x v="6"/>
    <s v="C:\Users\andre\Desktop\REACTIV CEFAS\Dutasteride\Dutasteride/20201203_Cefas_Test8_Run3/Plate 2/@21/G12_02.tif "/>
    <s v=" 43649.1274 "/>
    <s v=" 41.4916 "/>
    <x v="0"/>
    <n v="1811071"/>
    <m/>
    <m/>
    <m/>
  </r>
  <r>
    <x v="19"/>
    <x v="6"/>
    <s v="C:\Users\andre\Desktop\REACTIV CEFAS\Dutasteride\Dutasteride/20201203_Cefas_Test8_Run3/Plate 2/@21/G12_03.tif "/>
    <s v=" 43649.1274 "/>
    <s v=" 40.3563 "/>
    <x v="0"/>
    <n v="1761517"/>
    <m/>
    <m/>
    <m/>
  </r>
  <r>
    <x v="19"/>
    <x v="7"/>
    <s v="C:\Users\andre\Desktop\REACTIV CEFAS\Dutasteride\Dutasteride/20201203_Cefas_Test8_Run3/Plate 2/@21/H12_01.tif "/>
    <s v=" 60455.5555 "/>
    <s v=" 42.0873 "/>
    <x v="0"/>
    <n v="2544411"/>
    <m/>
    <m/>
    <m/>
  </r>
  <r>
    <x v="19"/>
    <x v="7"/>
    <s v="C:\Users\andre\Desktop\REACTIV CEFAS\Dutasteride\Dutasteride/20201203_Cefas_Test8_Run3/Plate 2/@21/H12_02.tif "/>
    <s v=" 50570.6936 "/>
    <s v=" 38.3695 "/>
    <x v="0"/>
    <n v="1940375"/>
    <m/>
    <m/>
    <m/>
  </r>
  <r>
    <x v="19"/>
    <x v="7"/>
    <s v="C:\Users\andre\Desktop\REACTIV CEFAS\Dutasteride\Dutasteride/20201203_Cefas_Test8_Run3/Plate 2/@21/H12_03.tif "/>
    <s v=" 60780.0039 "/>
    <s v=" 38.7356 "/>
    <x v="0"/>
    <n v="2354349"/>
    <m/>
    <m/>
    <m/>
  </r>
  <r>
    <x v="1"/>
    <x v="8"/>
    <s v=" "/>
    <m/>
    <m/>
    <x v="1"/>
    <m/>
    <m/>
    <m/>
    <m/>
  </r>
  <r>
    <x v="1"/>
    <x v="8"/>
    <s v="group "/>
    <s v=" "/>
    <s v=" mean of mean fluo "/>
    <x v="2"/>
    <s v=" mean of total fluo "/>
    <s v=" SD total fluo "/>
    <s v=" n fluorescent "/>
    <s v=" n total"/>
  </r>
  <r>
    <x v="19"/>
    <x v="9"/>
    <s v="C:\Users\andre\Desktop\REACTIV CEFAS\Dutasteride\Dutasteride/20201203_Cefas_Test8_Run3/Plate 2/@21/ "/>
    <s v=" "/>
    <s v=" 35.6436 "/>
    <x v="21"/>
    <s v=" 1319190.08 "/>
    <s v=" 1256809.52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C:\Users\andre\Desktop\REACTIV CEFAS\Dutasteride\Dutasteride/20201203_Cefas_Test8_Run3/Plate 2/@8/A2_01.tif "/>
    <s v=" 5580.5128 "/>
    <s v=" 33.9651 "/>
    <x v="0"/>
    <n v="189543"/>
    <m/>
    <m/>
    <m/>
  </r>
  <r>
    <x v="20"/>
    <x v="0"/>
    <s v="C:\Users\andre\Desktop\REACTIV CEFAS\Dutasteride\Dutasteride/20201203_Cefas_Test8_Run3/Plate 2/@8/A2_02.tif "/>
    <s v=" 2444.1781 "/>
    <s v=" 33.7257 "/>
    <x v="0"/>
    <n v="82432"/>
    <m/>
    <m/>
    <m/>
  </r>
  <r>
    <x v="20"/>
    <x v="0"/>
    <s v="C:\Users\andre\Desktop\REACTIV CEFAS\Dutasteride\Dutasteride/20201203_Cefas_Test8_Run3/Plate 2/@8/A2_03.tif "/>
    <s v=" 3114.7048 "/>
    <s v=" 33.4028 "/>
    <x v="0"/>
    <n v="104040"/>
    <m/>
    <m/>
    <m/>
  </r>
  <r>
    <x v="20"/>
    <x v="1"/>
    <s v="C:\Users\andre\Desktop\REACTIV CEFAS\Dutasteride\Dutasteride/20201203_Cefas_Test8_Run3/Plate 2/@8/B2_01.tif "/>
    <s v=" 10360.7195 "/>
    <s v=" 37.9353 "/>
    <x v="0"/>
    <n v="393037"/>
    <m/>
    <m/>
    <m/>
  </r>
  <r>
    <x v="20"/>
    <x v="1"/>
    <s v="C:\Users\andre\Desktop\REACTIV CEFAS\Dutasteride\Dutasteride/20201203_Cefas_Test8_Run3/Plate 2/@8/B2_02.tif "/>
    <s v=" 9279.2248 "/>
    <s v=" 41.2284 "/>
    <x v="0"/>
    <n v="382568"/>
    <m/>
    <m/>
    <m/>
  </r>
  <r>
    <x v="20"/>
    <x v="1"/>
    <s v="C:\Users\andre\Desktop\REACTIV CEFAS\Dutasteride\Dutasteride/20201203_Cefas_Test8_Run3/Plate 2/@8/B2_03.tif "/>
    <s v=" 648.8968 "/>
    <s v=" 32.0667 "/>
    <x v="0"/>
    <n v="20808"/>
    <m/>
    <m/>
    <m/>
  </r>
  <r>
    <x v="20"/>
    <x v="2"/>
    <s v="C:\Users\andre\Desktop\REACTIV CEFAS\Dutasteride\Dutasteride/20201203_Cefas_Test8_Run3/Plate 2/@8/C2_01.tif "/>
    <s v=" 692.1566 "/>
    <s v=" 32.5625 "/>
    <x v="0"/>
    <n v="22538"/>
    <m/>
    <m/>
    <m/>
  </r>
  <r>
    <x v="20"/>
    <x v="2"/>
    <s v="C:\Users\andre\Desktop\REACTIV CEFAS\Dutasteride\Dutasteride/20201203_Cefas_Test8_Run3/Plate 2/@8/C2_02.tif "/>
    <s v=" 151.4093 "/>
    <s v=" 30.2857 "/>
    <x v="0"/>
    <n v="4586"/>
    <m/>
    <m/>
    <m/>
  </r>
  <r>
    <x v="20"/>
    <x v="2"/>
    <s v="C:\Users\andre\Desktop\REACTIV CEFAS\Dutasteride\Dutasteride/20201203_Cefas_Test8_Run3/Plate 2/@8/C2_03.tif "/>
    <s v=" 1405.9432 "/>
    <s v=" 32.5385 "/>
    <x v="0"/>
    <n v="45747"/>
    <m/>
    <m/>
    <m/>
  </r>
  <r>
    <x v="20"/>
    <x v="3"/>
    <s v="C:\Users\andre\Desktop\REACTIV CEFAS\Dutasteride\Dutasteride/20201203_Cefas_Test8_Run3/Plate 2/@8/D2_01.tif "/>
    <s v=" 6337.5591 "/>
    <s v=" 35.7986 "/>
    <x v="0"/>
    <n v="226876"/>
    <m/>
    <m/>
    <m/>
  </r>
  <r>
    <x v="20"/>
    <x v="3"/>
    <s v="C:\Users\andre\Desktop\REACTIV CEFAS\Dutasteride\Dutasteride/20201203_Cefas_Test8_Run3/Plate 2/@8/D2_02.tif "/>
    <s v=" 14470.3995 "/>
    <s v=" 39.8191 "/>
    <x v="0"/>
    <n v="576199"/>
    <m/>
    <m/>
    <m/>
  </r>
  <r>
    <x v="20"/>
    <x v="3"/>
    <s v="C:\Users\andre\Desktop\REACTIV CEFAS\Dutasteride\Dutasteride/20201203_Cefas_Test8_Run3/Plate 2/@8/D2_03- exclu.tif"/>
    <m/>
    <m/>
    <x v="1"/>
    <m/>
    <m/>
    <m/>
    <m/>
  </r>
  <r>
    <x v="20"/>
    <x v="4"/>
    <s v="C:\Users\andre\Desktop\REACTIV CEFAS\Dutasteride\Dutasteride/20201203_Cefas_Test8_Run3/Plate 2/@8/E2_01.tif "/>
    <n v="0"/>
    <n v="0"/>
    <x v="0"/>
    <n v="0"/>
    <m/>
    <m/>
    <m/>
  </r>
  <r>
    <x v="20"/>
    <x v="4"/>
    <s v="C:\Users\andre\Desktop\REACTIV CEFAS\Dutasteride\Dutasteride/20201203_Cefas_Test8_Run3/Plate 2/@8/E2_02.tif "/>
    <s v=" 6315.9292 "/>
    <s v=" 38.5445 "/>
    <x v="0"/>
    <n v="243444"/>
    <m/>
    <m/>
    <m/>
  </r>
  <r>
    <x v="20"/>
    <x v="4"/>
    <s v="C:\Users\andre\Desktop\REACTIV CEFAS\Dutasteride\Dutasteride/20201203_Cefas_Test8_Run3/Plate 2/@8/E2_03.tif "/>
    <s v=" 4261.0892 "/>
    <s v=" 36.5939 "/>
    <x v="0"/>
    <n v="155930"/>
    <m/>
    <m/>
    <m/>
  </r>
  <r>
    <x v="20"/>
    <x v="5"/>
    <s v="C:\Users\andre\Desktop\REACTIV CEFAS\Dutasteride\Dutasteride/20201203_Cefas_Test8_Run3/Plate 2/@8/F2_01.tif "/>
    <s v=" 5104.6551 "/>
    <s v=" 37.4788 "/>
    <x v="0"/>
    <n v="191316"/>
    <m/>
    <m/>
    <m/>
  </r>
  <r>
    <x v="20"/>
    <x v="5"/>
    <s v="C:\Users\andre\Desktop\REACTIV CEFAS\Dutasteride\Dutasteride/20201203_Cefas_Test8_Run3/Plate 2/@8/F2_02.tif "/>
    <s v=" 10036.2711 "/>
    <s v=" 46.3513 "/>
    <x v="0"/>
    <n v="465194"/>
    <m/>
    <m/>
    <m/>
  </r>
  <r>
    <x v="20"/>
    <x v="5"/>
    <s v="C:\Users\andre\Desktop\REACTIV CEFAS\Dutasteride\Dutasteride/20201203_Cefas_Test8_Run3/Plate 2/@8/F2_03.tif "/>
    <s v=" 6337.5591 "/>
    <s v=" 38.9078 "/>
    <x v="0"/>
    <n v="246581"/>
    <m/>
    <m/>
    <m/>
  </r>
  <r>
    <x v="20"/>
    <x v="6"/>
    <s v="C:\Users\andre\Desktop\REACTIV CEFAS\Dutasteride\Dutasteride/20201203_Cefas_Test8_Run3/Plate 2/@8/G2_01.tif "/>
    <s v=" 9149.4454 "/>
    <s v=" 44.5012 "/>
    <x v="0"/>
    <n v="407161"/>
    <m/>
    <m/>
    <m/>
  </r>
  <r>
    <x v="20"/>
    <x v="6"/>
    <s v="C:\Users\andre\Desktop\REACTIV CEFAS\Dutasteride\Dutasteride/20201203_Cefas_Test8_Run3/Plate 2/@8/G2_02.tif "/>
    <s v=" 8046.3208 "/>
    <s v=" 43.2339 "/>
    <x v="0"/>
    <n v="347874"/>
    <m/>
    <m/>
    <m/>
  </r>
  <r>
    <x v="20"/>
    <x v="6"/>
    <s v="C:\Users\andre\Desktop\REACTIV CEFAS\Dutasteride\Dutasteride/20201203_Cefas_Test8_Run3/Plate 2/@8/G2_03.tif "/>
    <s v=" 11269.1751 "/>
    <s v=" 46.4395 "/>
    <x v="0"/>
    <n v="523335"/>
    <m/>
    <m/>
    <m/>
  </r>
  <r>
    <x v="20"/>
    <x v="7"/>
    <s v="C:\Users\andre\Desktop\REACTIV CEFAS\Dutasteride\Dutasteride/20201203_Cefas_Test8_Run3/Plate 2/@8/H2_01.tif "/>
    <s v=" 1665.5019 "/>
    <s v=" 32.3117 "/>
    <x v="0"/>
    <n v="53815"/>
    <m/>
    <m/>
    <m/>
  </r>
  <r>
    <x v="20"/>
    <x v="7"/>
    <s v="C:\Users\andre\Desktop\REACTIV CEFAS\Dutasteride\Dutasteride/20201203_Cefas_Test8_Run3/Plate 2/@8/H2_02.tif "/>
    <s v=" 346.0783 "/>
    <s v=" 32.1875 "/>
    <x v="0"/>
    <n v="11139"/>
    <m/>
    <m/>
    <m/>
  </r>
  <r>
    <x v="20"/>
    <x v="7"/>
    <s v="C:\Users\andre\Desktop\REACTIV CEFAS\Dutasteride\Dutasteride/20201203_Cefas_Test8_Run3/Plate 2/@8/H2_03.tif "/>
    <s v=" 1297.7937 "/>
    <s v=" 33.6 "/>
    <x v="0"/>
    <n v="43606"/>
    <m/>
    <m/>
    <m/>
  </r>
  <r>
    <x v="1"/>
    <x v="8"/>
    <s v=" "/>
    <m/>
    <m/>
    <x v="1"/>
    <m/>
    <m/>
    <m/>
    <m/>
  </r>
  <r>
    <x v="1"/>
    <x v="8"/>
    <s v="group "/>
    <s v=" "/>
    <s v=" mean of mean fluo "/>
    <x v="2"/>
    <s v=" mean of total fluo "/>
    <s v=" SD total fluo "/>
    <s v=" n fluorescent "/>
    <s v=" n total"/>
  </r>
  <r>
    <x v="20"/>
    <x v="9"/>
    <s v="C:\Users\andre\Desktop\REACTIV CEFAS\Dutasteride\Dutasteride/20201203_Cefas_Test8_Run3/Plate 2/@8/ "/>
    <s v=" "/>
    <s v=" 35.7683 "/>
    <x v="22"/>
    <s v=" 221678.5 "/>
    <s v=" 193798.676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C:\Users\andre\Desktop\REACTIV CEFAS\Dutasteride\Dutasteride/20201203_Cefas_Test8_Run3/Plate 2/@9/A3_01.tif "/>
    <s v=" 6899.9364 "/>
    <s v=" 38.6865 "/>
    <x v="0"/>
    <n v="266935"/>
    <m/>
    <m/>
    <m/>
  </r>
  <r>
    <x v="21"/>
    <x v="0"/>
    <s v="C:\Users\andre\Desktop\REACTIV CEFAS\Dutasteride\Dutasteride/20201203_Cefas_Test8_Run3/Plate 2/@9/A3_02.tif "/>
    <s v=" 7267.6446 "/>
    <s v=" 40.1131 "/>
    <x v="0"/>
    <n v="291528"/>
    <m/>
    <m/>
    <m/>
  </r>
  <r>
    <x v="21"/>
    <x v="0"/>
    <s v="C:\Users\andre\Desktop\REACTIV CEFAS\Dutasteride\Dutasteride/20201203_Cefas_Test8_Run3/Plate 2/@9/A3_03- exclu.tif"/>
    <m/>
    <m/>
    <x v="1"/>
    <m/>
    <m/>
    <m/>
    <m/>
  </r>
  <r>
    <x v="21"/>
    <x v="1"/>
    <s v="C:\Users\andre\Desktop\REACTIV CEFAS\Dutasteride\Dutasteride/20201203_Cefas_Test8_Run3/Plate 2/@9/B3_01.tif "/>
    <s v=" 3893.381 "/>
    <s v=" 32.5222 "/>
    <x v="0"/>
    <n v="126621"/>
    <m/>
    <m/>
    <m/>
  </r>
  <r>
    <x v="21"/>
    <x v="1"/>
    <s v="C:\Users\andre\Desktop\REACTIV CEFAS\Dutasteride\Dutasteride/20201203_Cefas_Test8_Run3/Plate 2/@9/B3_02- exclu.tif"/>
    <m/>
    <m/>
    <x v="1"/>
    <m/>
    <m/>
    <m/>
    <m/>
  </r>
  <r>
    <x v="21"/>
    <x v="1"/>
    <s v="C:\Users\andre\Desktop\REACTIV CEFAS\Dutasteride\Dutasteride/20201203_Cefas_Test8_Run3/Plate 2/@9/B3_03- exclu.tif"/>
    <m/>
    <m/>
    <x v="1"/>
    <m/>
    <m/>
    <m/>
    <m/>
  </r>
  <r>
    <x v="21"/>
    <x v="2"/>
    <s v="C:\Users\andre\Desktop\REACTIV CEFAS\Dutasteride\Dutasteride/20201203_Cefas_Test8_Run3/Plate 2/@9/C3_01.tif "/>
    <s v=" 8024.6909 "/>
    <s v=" 37.9865 "/>
    <x v="0"/>
    <n v="304830"/>
    <m/>
    <m/>
    <m/>
  </r>
  <r>
    <x v="21"/>
    <x v="2"/>
    <s v="C:\Users\andre\Desktop\REACTIV CEFAS\Dutasteride\Dutasteride/20201203_Cefas_Test8_Run3/Plate 2/@9/C3_02.tif "/>
    <s v=" 8824.997 "/>
    <s v=" 37.7721 "/>
    <x v="0"/>
    <n v="333338"/>
    <m/>
    <m/>
    <m/>
  </r>
  <r>
    <x v="21"/>
    <x v="2"/>
    <s v="C:\Users\andre\Desktop\REACTIV CEFAS\Dutasteride\Dutasteride/20201203_Cefas_Test8_Run3/Plate 2/@9/C3_03.tif "/>
    <s v=" 8738.4774 "/>
    <s v=" 35.7376 "/>
    <x v="0"/>
    <n v="312292"/>
    <m/>
    <m/>
    <m/>
  </r>
  <r>
    <x v="21"/>
    <x v="3"/>
    <s v="C:\Users\andre\Desktop\REACTIV CEFAS\Dutasteride\Dutasteride/20201203_Cefas_Test8_Run3/Plate 2/@9/D3_01.tif "/>
    <s v=" 86.5196 "/>
    <s v=" 30.5 "/>
    <x v="0"/>
    <n v="2639"/>
    <m/>
    <m/>
    <m/>
  </r>
  <r>
    <x v="21"/>
    <x v="3"/>
    <s v="C:\Users\andre\Desktop\REACTIV CEFAS\Dutasteride\Dutasteride/20201203_Cefas_Test8_Run3/Plate 2/@9/D3_02.tif "/>
    <s v=" 11507.1039 "/>
    <s v=" 44.6353 "/>
    <x v="0"/>
    <n v="513623"/>
    <m/>
    <m/>
    <m/>
  </r>
  <r>
    <x v="21"/>
    <x v="3"/>
    <s v="C:\Users\andre\Desktop\REACTIV CEFAS\Dutasteride\Dutasteride/20201203_Cefas_Test8_Run3/Plate 2/@9/D3_03.tif "/>
    <s v=" 8803.3671 "/>
    <s v=" 41.2506 "/>
    <x v="0"/>
    <n v="363144"/>
    <m/>
    <m/>
    <m/>
  </r>
  <r>
    <x v="21"/>
    <x v="4"/>
    <s v="C:\Users\andre\Desktop\REACTIV CEFAS\Dutasteride\Dutasteride/20201203_Cefas_Test8_Run3/Plate 2/@9/E3_01.tif "/>
    <s v=" 7116.2353 "/>
    <s v=" 36.7264 "/>
    <x v="0"/>
    <n v="261354"/>
    <m/>
    <m/>
    <m/>
  </r>
  <r>
    <x v="21"/>
    <x v="4"/>
    <s v="C:\Users\andre\Desktop\REACTIV CEFAS\Dutasteride\Dutasteride/20201203_Cefas_Test8_Run3/Plate 2/@9/E3_02.tif "/>
    <s v=" 4563.9078 "/>
    <s v=" 36.8199 "/>
    <x v="0"/>
    <n v="168043"/>
    <m/>
    <m/>
    <m/>
  </r>
  <r>
    <x v="21"/>
    <x v="4"/>
    <s v="C:\Users\andre\Desktop\REACTIV CEFAS\Dutasteride\Dutasteride/20201203_Cefas_Test8_Run3/Plate 2/@9/E3_03.tif "/>
    <s v=" 7548.8332 "/>
    <s v=" 37.0774 "/>
    <x v="0"/>
    <n v="279891"/>
    <m/>
    <m/>
    <m/>
  </r>
  <r>
    <x v="21"/>
    <x v="5"/>
    <s v="C:\Users\andre\Desktop\REACTIV CEFAS\Dutasteride\Dutasteride/20201203_Cefas_Test8_Run3/Plate 2/@9/F3_01.tif "/>
    <n v="0"/>
    <n v="0"/>
    <x v="0"/>
    <n v="0"/>
    <m/>
    <m/>
    <m/>
  </r>
  <r>
    <x v="21"/>
    <x v="5"/>
    <s v="C:\Users\andre\Desktop\REACTIV CEFAS\Dutasteride\Dutasteride/20201203_Cefas_Test8_Run3/Plate 2/@9/F3_02.tif "/>
    <n v="0"/>
    <n v="0"/>
    <x v="0"/>
    <n v="0"/>
    <m/>
    <m/>
    <m/>
  </r>
  <r>
    <x v="21"/>
    <x v="5"/>
    <s v="C:\Users\andre\Desktop\REACTIV CEFAS\Dutasteride\Dutasteride/20201203_Cefas_Test8_Run3/Plate 2/@9/F3_03.tif "/>
    <n v="0"/>
    <n v="0"/>
    <x v="0"/>
    <n v="0"/>
    <m/>
    <m/>
    <m/>
  </r>
  <r>
    <x v="21"/>
    <x v="6"/>
    <s v="C:\Users\andre\Desktop\REACTIV CEFAS\Dutasteride\Dutasteride/20201203_Cefas_Test8_Run3/Plate 2/@9/G3_01.tif "/>
    <s v=" 3590.5625 "/>
    <s v=" 35.0542 "/>
    <x v="0"/>
    <n v="125864"/>
    <m/>
    <m/>
    <m/>
  </r>
  <r>
    <x v="21"/>
    <x v="6"/>
    <s v="C:\Users\andre\Desktop\REACTIV CEFAS\Dutasteride\Dutasteride/20201203_Cefas_Test8_Run3/Plate 2/@9/G3_02.tif "/>
    <s v=" 6099.6303 "/>
    <s v=" 38.3121 "/>
    <x v="0"/>
    <n v="233689"/>
    <m/>
    <m/>
    <m/>
  </r>
  <r>
    <x v="21"/>
    <x v="6"/>
    <s v="C:\Users\andre\Desktop\REACTIV CEFAS\Dutasteride\Dutasteride/20201203_Cefas_Test8_Run3/Plate 2/@9/G3_03.tif "/>
    <s v=" 4174.5697 "/>
    <s v=" 37.4301 "/>
    <x v="0"/>
    <n v="156254"/>
    <m/>
    <m/>
    <m/>
  </r>
  <r>
    <x v="21"/>
    <x v="7"/>
    <s v="C:\Users\andre\Desktop\REACTIV CEFAS\Dutasteride\Dutasteride/20201203_Cefas_Test8_Run3/Plate 2/@9/H3_01.tif "/>
    <n v="0"/>
    <n v="0"/>
    <x v="0"/>
    <n v="0"/>
    <m/>
    <m/>
    <m/>
  </r>
  <r>
    <x v="21"/>
    <x v="7"/>
    <s v="C:\Users\andre\Desktop\REACTIV CEFAS\Dutasteride\Dutasteride/20201203_Cefas_Test8_Run3/Plate 2/@9/H3_02.tif "/>
    <s v=" 670.5267 "/>
    <s v=" 31.7742 "/>
    <x v="0"/>
    <n v="21305"/>
    <m/>
    <m/>
    <m/>
  </r>
  <r>
    <x v="21"/>
    <x v="7"/>
    <s v="C:\Users\andre\Desktop\REACTIV CEFAS\Dutasteride\Dutasteride/20201203_Cefas_Test8_Run3/Plate 2/@9/H3_03.tif "/>
    <s v=" 3114.7048 "/>
    <s v=" 33.8056 "/>
    <x v="0"/>
    <n v="105294"/>
    <m/>
    <m/>
    <m/>
  </r>
  <r>
    <x v="1"/>
    <x v="8"/>
    <s v=" "/>
    <m/>
    <m/>
    <x v="1"/>
    <m/>
    <m/>
    <m/>
    <m/>
  </r>
  <r>
    <x v="1"/>
    <x v="8"/>
    <s v="group "/>
    <s v=" "/>
    <s v=" mean of mean fluo "/>
    <x v="2"/>
    <s v=" mean of total fluo "/>
    <s v=" SD total fluo "/>
    <s v=" n fluorescent "/>
    <s v=" n total"/>
  </r>
  <r>
    <x v="21"/>
    <x v="9"/>
    <s v="C:\Users\andre\Desktop\REACTIV CEFAS\Dutasteride\Dutasteride/20201203_Cefas_Test8_Run3/Plate 2/@9/ "/>
    <s v=" "/>
    <s v=" 31.344 "/>
    <x v="23"/>
    <s v=" 245669.5 "/>
    <s v=" 239316.792 "/>
    <n v="20"/>
    <n v="24"/>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formats count="2">
    <format dxfId="34">
      <pivotArea outline="0" collapsedLevelsAreSubtotals="1" fieldPosition="0">
        <references count="1">
          <reference field="0" count="1" selected="0">
            <x v="2"/>
          </reference>
        </references>
      </pivotArea>
    </format>
    <format dxfId="33">
      <pivotArea outline="0" collapsedLevelsAreSubtotals="1" fieldPosition="0">
        <references count="1">
          <reference field="0" count="4" selected="0">
            <x v="3"/>
            <x v="4"/>
            <x v="5"/>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3" dataDxfId="42" tableBorderDxfId="41">
  <autoFilter ref="A6:F58" xr:uid="{00000000-0009-0000-0100-000001000000}"/>
  <tableColumns count="6">
    <tableColumn id="4" xr3:uid="{00000000-0010-0000-0000-000004000000}" name="Nom sur le graphique" dataDxfId="40">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9">
      <calculatedColumnFormula>A2</calculatedColumnFormula>
    </tableColumn>
    <tableColumn id="2" xr3:uid="{00000000-0010-0000-0000-000002000000}" name="Concentration" dataDxfId="38">
      <calculatedColumnFormula>B2</calculatedColumnFormula>
    </tableColumn>
    <tableColumn id="10" xr3:uid="{00000000-0010-0000-0000-00000A000000}" name="Unité" dataDxfId="37"/>
    <tableColumn id="3" xr3:uid="{00000000-0010-0000-0000-000003000000}" name="Nom de l'échantillon donné par le client" dataDxfId="36">
      <calculatedColumnFormula>C2</calculatedColumnFormula>
    </tableColumn>
    <tableColumn id="9" xr3:uid="{00000000-0010-0000-0000-000009000000}" name="Dopage (+Testostérone / + EE2, ….)" dataDxfId="35"/>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5003218-3802-4515-9800-6B35A9E3BB08}" name="Tableau8" displayName="Tableau8" ref="A1:J4" totalsRowShown="0">
  <autoFilter ref="A1:J4" xr:uid="{75003218-3802-4515-9800-6B35A9E3BB08}"/>
  <tableColumns count="10">
    <tableColumn id="1" xr3:uid="{914AEDFF-2145-45FB-8B91-6C640C52D794}" name="Nom groupe"/>
    <tableColumn id="2" xr3:uid="{1FA170E7-42FB-4AEA-AA3E-DCDD803492BD}" name="N° de valeur"/>
    <tableColumn id="3" xr3:uid="{3382FE0F-307C-4EAD-AF05-C501CC3949B7}" name="file name"/>
    <tableColumn id="4" xr3:uid="{93323342-A10F-483F-A440-1DF729361E29}" name=" total area "/>
    <tableColumn id="5" xr3:uid="{D914C66E-F63B-4F86-B99A-83C499ACCF75}" name=" mean intensity "/>
    <tableColumn id="6" xr3:uid="{38CD5FF1-C5C7-4C58-82BD-266E33C728A6}" name=" "/>
    <tableColumn id="7" xr3:uid="{6C42B12F-EEB2-492A-834B-E52FD114D492}" name=" total fluorescence"/>
    <tableColumn id="8" xr3:uid="{4C164F60-6C14-4CCA-BB32-B114884365F9}" name="         "/>
    <tableColumn id="9" xr3:uid="{837C85DA-C3D7-42F2-9629-49FDE903A97D}" name="nbre de larves"/>
    <tableColumn id="10" xr3:uid="{9FD2192B-F705-4FD8-AA4F-F21EC3856F68}" name="Colonne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2">
      <calculatedColumnFormula>IFERROR(LEFT(RIGHT(C2,LEN(C2)-SEARCH("@",C2)),SEARCH("/",RIGHT(C2,LEN(C2)-SEARCH("@",C2)-1))),"")</calculatedColumnFormula>
    </tableColumn>
    <tableColumn id="2" xr3:uid="{00000000-0010-0000-0200-000002000000}" name="N° de valeur" dataDxfId="31">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01B48310-4E97-4151-B17D-36EC921820AD}"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30">
      <calculatedColumnFormula>IFERROR(LEFT(RIGHT(C2,LEN(C2)-SEARCH("@",C2)),SEARCH("/",RIGHT(C2,LEN(C2)-SEARCH("@",C2)-1))),"")</calculatedColumnFormula>
    </tableColumn>
    <tableColumn id="2" xr3:uid="{00000000-0010-0000-0300-000002000000}" name="N° de valeur" dataDxfId="29">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AE244035-CD9C-4417-8377-2A33DC06FD55}"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8">
      <calculatedColumnFormula>IFERROR(LEFT(RIGHT(C2,LEN(C2)-SEARCH("@",C2)),SEARCH("/",RIGHT(C2,LEN(C2)-SEARCH("@",C2)-1))),"")</calculatedColumnFormula>
    </tableColumn>
    <tableColumn id="2" xr3:uid="{00000000-0010-0000-0400-000002000000}" name="N° de valeur" dataDxfId="27">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FBEE3F85-61E2-4045-9EB7-19BDBB229A91}" name="Colonne1"/>
  </tableColumns>
  <tableStyleInfo name="TableStyleLight16"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6" dataDxfId="25" tableBorderDxfId="24">
  <autoFilter ref="A1:G2" xr:uid="{00000000-0009-0000-0100-000002000000}"/>
  <tableColumns count="7">
    <tableColumn id="1" xr3:uid="{00000000-0010-0000-0500-000001000000}" name="Description" dataDxfId="23"/>
    <tableColumn id="2" xr3:uid="{00000000-0010-0000-0500-000002000000}" name="Problème" dataDxfId="22"/>
    <tableColumn id="3" xr3:uid="{00000000-0010-0000-0500-000003000000}" name="EqH RAPPORT" dataDxfId="21"/>
    <tableColumn id="4" xr3:uid="{00000000-0010-0000-0500-000004000000}" name="% atteinte du seuil RAPPORT" dataDxfId="20"/>
    <tableColumn id="5" xr3:uid="{00000000-0010-0000-0500-000005000000}" name="Valeur échelle sur graphique RAPPORT" dataDxfId="19"/>
    <tableColumn id="6" xr3:uid="{00000000-0010-0000-0500-000006000000}" name="EqH BASE DE DONNEES" dataDxfId="18"/>
    <tableColumn id="7" xr3:uid="{00000000-0010-0000-0500-000007000000}" name="% BASE DE DONNEES" dataDxfId="17"/>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6">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15">
      <calculatedColumnFormula>U6</calculatedColumnFormula>
    </tableColumn>
    <tableColumn id="3" xr3:uid="{00000000-0010-0000-0600-000003000000}" name="CHG-protocole"/>
    <tableColumn id="4" xr3:uid="{00000000-0010-0000-0600-000004000000}" name="CHG-dilution" dataDxfId="14">
      <calculatedColumnFormula>CONCATENATE(VLOOKUP(Tableau3[[#This Row],[Nom ND]],liste_groupe[],3,FALSE),VLOOKUP(Tableau3[[#This Row],[Nom ND]],liste_groupe[],4,FALSE))</calculatedColumnFormula>
    </tableColumn>
    <tableColumn id="5" xr3:uid="{00000000-0010-0000-0600-000005000000}" name="CHG-induction ND" dataDxfId="13">
      <calculatedColumnFormula>HLOOKUP(Tableau3[[#This Row],[Nom ND]],'pooled normalised values'!$B$74:$V$83,4,FALSE)</calculatedColumnFormula>
    </tableColumn>
    <tableColumn id="6" xr3:uid="{00000000-0010-0000-0600-000006000000}" name="CHG-test ND" dataDxfId="12">
      <calculatedColumnFormula>HLOOKUP(Tableau3[[#This Row],[Nom ND]],'pooled normalised values'!$B$74:$V$83,8,FALSE)</calculatedColumnFormula>
    </tableColumn>
    <tableColumn id="8" xr3:uid="{00000000-0010-0000-0600-000008000000}" name="CHG-EQH ND" dataDxfId="11">
      <calculatedColumnFormula>VLOOKUP(Tableau3[[#This Row],[Nom ND]],'summary results'!$A$6:$N$26,9,FALSE)</calculatedColumnFormula>
    </tableColumn>
    <tableColumn id="9" xr3:uid="{00000000-0010-0000-0600-000009000000}" name="CHG-% atteinte du seuil ND" dataDxfId="10">
      <calculatedColumnFormula>VLOOKUP(Tableau3[[#This Row],[Nom ND]],'summary results'!$A$6:$N$26,11,FALSE)</calculatedColumnFormula>
    </tableColumn>
    <tableColumn id="10" xr3:uid="{00000000-0010-0000-0600-00000A000000}" name="CHG-induction D" dataDxfId="9">
      <calculatedColumnFormula>HLOOKUP(Tableau3[[#This Row],[Nom D]],'pooled normalised values'!$B$74:$V$83,4,FALSE)</calculatedColumnFormula>
    </tableColumn>
    <tableColumn id="11" xr3:uid="{00000000-0010-0000-0600-00000B000000}" name="CHG-test D" dataDxfId="8">
      <calculatedColumnFormula>HLOOKUP(Tableau3[[#This Row],[Nom D]],'pooled normalised values'!$B$74:$V$83,8,FALSE)</calculatedColumnFormula>
    </tableColumn>
    <tableColumn id="13" xr3:uid="{00000000-0010-0000-0600-00000D000000}" name="CHG-EQH D" dataDxfId="7">
      <calculatedColumnFormula>VLOOKUP(Tableau3[[#This Row],[Nom D]],'summary results'!$A$29:$N$51,9,FALSE)</calculatedColumnFormula>
    </tableColumn>
    <tableColumn id="14" xr3:uid="{00000000-0010-0000-0600-00000E000000}" name="CHG-% atteinte seuil D" dataDxfId="6">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7.bin"/><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10.bin"/><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zoomScale="55" zoomScaleNormal="55" workbookViewId="0">
      <selection activeCell="A15" sqref="A15:E19"/>
    </sheetView>
  </sheetViews>
  <sheetFormatPr defaultColWidth="11.42578125"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62"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200" t="s">
        <v>36</v>
      </c>
      <c r="B1" s="201"/>
      <c r="C1" s="201"/>
      <c r="D1" s="201"/>
      <c r="E1" s="201"/>
      <c r="F1" s="201"/>
      <c r="G1" s="201"/>
      <c r="H1" s="201"/>
      <c r="I1" s="202"/>
    </row>
    <row r="2" spans="1:9" ht="21" x14ac:dyDescent="0.35">
      <c r="A2" s="191" t="s">
        <v>17</v>
      </c>
      <c r="B2" s="42" t="s">
        <v>115</v>
      </c>
      <c r="C2" s="203"/>
      <c r="D2" s="204"/>
      <c r="E2" s="42" t="s">
        <v>21</v>
      </c>
      <c r="F2" s="215"/>
      <c r="G2" s="216"/>
      <c r="H2" s="216"/>
      <c r="I2" s="217"/>
    </row>
    <row r="3" spans="1:9" ht="21" x14ac:dyDescent="0.35">
      <c r="A3" s="192" t="s">
        <v>18</v>
      </c>
      <c r="B3" s="43" t="s">
        <v>115</v>
      </c>
      <c r="C3" s="205"/>
      <c r="D3" s="206"/>
      <c r="E3" s="43" t="s">
        <v>21</v>
      </c>
      <c r="F3" s="212"/>
      <c r="G3" s="213"/>
      <c r="H3" s="213"/>
      <c r="I3" s="214"/>
    </row>
    <row r="4" spans="1:9" ht="21.75" thickBot="1" x14ac:dyDescent="0.4">
      <c r="A4" s="193" t="s">
        <v>22</v>
      </c>
      <c r="B4" s="181" t="s">
        <v>115</v>
      </c>
      <c r="C4" s="207"/>
      <c r="D4" s="208"/>
      <c r="E4" s="181" t="s">
        <v>21</v>
      </c>
      <c r="F4" s="209"/>
      <c r="G4" s="210"/>
      <c r="H4" s="210"/>
      <c r="I4" s="211"/>
    </row>
    <row r="5" spans="1:9" s="1" customFormat="1" ht="65.25" customHeight="1" thickBot="1" x14ac:dyDescent="0.3">
      <c r="A5" s="200" t="s">
        <v>37</v>
      </c>
      <c r="B5" s="201"/>
      <c r="C5" s="201"/>
      <c r="D5" s="201"/>
      <c r="E5" s="201"/>
      <c r="F5" s="201"/>
      <c r="G5" s="201"/>
      <c r="H5" s="201"/>
      <c r="I5" s="202"/>
    </row>
    <row r="6" spans="1:9" s="110" customFormat="1" ht="39" customHeight="1" x14ac:dyDescent="0.35">
      <c r="A6" s="76" t="s">
        <v>35</v>
      </c>
      <c r="B6" s="101" t="s">
        <v>7</v>
      </c>
      <c r="C6" s="65" t="s">
        <v>19</v>
      </c>
      <c r="D6" s="65" t="s">
        <v>75</v>
      </c>
      <c r="E6" s="159" t="s">
        <v>51</v>
      </c>
      <c r="F6" s="109" t="s">
        <v>78</v>
      </c>
    </row>
    <row r="7" spans="1:9" s="168" customFormat="1" ht="39" customHeight="1" x14ac:dyDescent="0.35">
      <c r="A7" s="1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4" t="s">
        <v>123</v>
      </c>
      <c r="C7" s="165"/>
      <c r="D7" s="166"/>
      <c r="E7" s="167" t="s">
        <v>125</v>
      </c>
      <c r="F7" s="111"/>
    </row>
    <row r="8" spans="1:9" s="168" customFormat="1" ht="39" customHeight="1" x14ac:dyDescent="0.35">
      <c r="A8" s="1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64" t="s">
        <v>123</v>
      </c>
      <c r="C8" s="165">
        <v>22.5</v>
      </c>
      <c r="D8" s="166" t="s">
        <v>124</v>
      </c>
      <c r="E8" s="167" t="s">
        <v>126</v>
      </c>
      <c r="F8" s="111"/>
    </row>
    <row r="9" spans="1:9" s="168" customFormat="1" ht="39" customHeight="1" x14ac:dyDescent="0.35">
      <c r="A9" s="1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64" t="s">
        <v>123</v>
      </c>
      <c r="C9" s="165">
        <v>33.799999999999997</v>
      </c>
      <c r="D9" s="166" t="s">
        <v>124</v>
      </c>
      <c r="E9" s="167" t="s">
        <v>126</v>
      </c>
      <c r="F9" s="111"/>
    </row>
    <row r="10" spans="1:9" s="168" customFormat="1" ht="39" customHeight="1" x14ac:dyDescent="0.35">
      <c r="A10" s="1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64" t="s">
        <v>123</v>
      </c>
      <c r="C10" s="165">
        <v>50.6</v>
      </c>
      <c r="D10" s="166" t="s">
        <v>124</v>
      </c>
      <c r="E10" s="167" t="s">
        <v>126</v>
      </c>
      <c r="F10" s="111"/>
    </row>
    <row r="11" spans="1:9" s="168" customFormat="1" ht="39" customHeight="1" x14ac:dyDescent="0.35">
      <c r="A11" s="1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64" t="s">
        <v>123</v>
      </c>
      <c r="C11" s="165">
        <v>76</v>
      </c>
      <c r="D11" s="166" t="s">
        <v>124</v>
      </c>
      <c r="E11" s="167" t="s">
        <v>126</v>
      </c>
      <c r="F11" s="111"/>
    </row>
    <row r="12" spans="1:9" s="168" customFormat="1" ht="39" customHeight="1" x14ac:dyDescent="0.35">
      <c r="A12" s="1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64" t="s">
        <v>123</v>
      </c>
      <c r="C12" s="165">
        <v>114</v>
      </c>
      <c r="D12" s="166" t="s">
        <v>124</v>
      </c>
      <c r="E12" s="167" t="s">
        <v>126</v>
      </c>
      <c r="F12" s="111"/>
    </row>
    <row r="13" spans="1:9" s="168" customFormat="1" ht="39" customHeight="1" x14ac:dyDescent="0.35">
      <c r="A13" s="1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64" t="s">
        <v>123</v>
      </c>
      <c r="C13" s="165">
        <v>170.9</v>
      </c>
      <c r="D13" s="166" t="s">
        <v>124</v>
      </c>
      <c r="E13" s="167" t="s">
        <v>126</v>
      </c>
      <c r="F13" s="111"/>
    </row>
    <row r="14" spans="1:9" s="168" customFormat="1" ht="39" customHeight="1" x14ac:dyDescent="0.35">
      <c r="A14" s="16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64" t="s">
        <v>123</v>
      </c>
      <c r="C14" s="165">
        <v>488</v>
      </c>
      <c r="D14" s="166" t="s">
        <v>124</v>
      </c>
      <c r="E14" s="167" t="s">
        <v>126</v>
      </c>
      <c r="F14" s="111"/>
    </row>
    <row r="15" spans="1:9" s="168" customFormat="1" ht="39" customHeight="1" x14ac:dyDescent="0.35">
      <c r="A15" s="163" t="s">
        <v>4294</v>
      </c>
      <c r="B15" s="164" t="s">
        <v>4295</v>
      </c>
      <c r="C15" s="165">
        <v>10</v>
      </c>
      <c r="D15" s="166" t="s">
        <v>127</v>
      </c>
      <c r="E15" s="167" t="s">
        <v>4296</v>
      </c>
      <c r="F15" s="111"/>
    </row>
    <row r="16" spans="1:9" s="112" customFormat="1" ht="39" customHeight="1" x14ac:dyDescent="0.25">
      <c r="A16" s="66" t="s">
        <v>4297</v>
      </c>
      <c r="B16" s="40" t="s">
        <v>4295</v>
      </c>
      <c r="C16" s="106">
        <v>100</v>
      </c>
      <c r="D16" s="106" t="s">
        <v>127</v>
      </c>
      <c r="E16" s="40" t="s">
        <v>4296</v>
      </c>
      <c r="F16" s="111"/>
    </row>
    <row r="17" spans="1:6" s="112" customFormat="1" ht="39" customHeight="1" x14ac:dyDescent="0.25">
      <c r="A17" s="66" t="s">
        <v>4298</v>
      </c>
      <c r="B17" s="102" t="s">
        <v>4295</v>
      </c>
      <c r="C17" s="106">
        <v>250</v>
      </c>
      <c r="D17" s="106" t="s">
        <v>127</v>
      </c>
      <c r="E17" s="102" t="s">
        <v>4296</v>
      </c>
      <c r="F17" s="111"/>
    </row>
    <row r="18" spans="1:6" s="112" customFormat="1" ht="39" customHeight="1" x14ac:dyDescent="0.25">
      <c r="A18" s="66" t="s">
        <v>4299</v>
      </c>
      <c r="B18" s="40" t="s">
        <v>4295</v>
      </c>
      <c r="C18" s="106">
        <v>500</v>
      </c>
      <c r="D18" s="106" t="s">
        <v>127</v>
      </c>
      <c r="E18" s="40" t="s">
        <v>4296</v>
      </c>
      <c r="F18" s="111"/>
    </row>
    <row r="19" spans="1:6" s="112" customFormat="1" ht="39" customHeight="1" x14ac:dyDescent="0.25">
      <c r="A19" s="66" t="s">
        <v>4300</v>
      </c>
      <c r="B19" s="102" t="s">
        <v>4295</v>
      </c>
      <c r="C19" s="106">
        <v>1000</v>
      </c>
      <c r="D19" s="106" t="s">
        <v>127</v>
      </c>
      <c r="E19" s="102" t="s">
        <v>4296</v>
      </c>
      <c r="F19" s="111"/>
    </row>
    <row r="20" spans="1:6" s="112" customFormat="1" ht="39" customHeight="1" x14ac:dyDescent="0.25">
      <c r="A20"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6"/>
      <c r="D20" s="106"/>
      <c r="E20" s="40"/>
      <c r="F20" s="111"/>
    </row>
    <row r="21" spans="1:6" s="112" customFormat="1" ht="39" customHeight="1" x14ac:dyDescent="0.25">
      <c r="A21"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2"/>
      <c r="C21" s="106"/>
      <c r="D21" s="106"/>
      <c r="E21" s="102"/>
      <c r="F21" s="111"/>
    </row>
    <row r="22" spans="1:6" s="112" customFormat="1" ht="39" customHeight="1" x14ac:dyDescent="0.25">
      <c r="A22"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6"/>
      <c r="D22" s="106"/>
      <c r="E22" s="40"/>
      <c r="F22" s="111"/>
    </row>
    <row r="23" spans="1:6" s="112" customFormat="1" ht="39" customHeight="1" x14ac:dyDescent="0.25">
      <c r="A23"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2"/>
      <c r="C23" s="106"/>
      <c r="D23" s="106"/>
      <c r="E23" s="102"/>
      <c r="F23" s="111"/>
    </row>
    <row r="24" spans="1:6" s="112" customFormat="1" ht="39" customHeight="1" x14ac:dyDescent="0.25">
      <c r="A24"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6"/>
      <c r="D24" s="106"/>
      <c r="E24" s="40"/>
      <c r="F24" s="111"/>
    </row>
    <row r="25" spans="1:6" s="112" customFormat="1" ht="39" customHeight="1" x14ac:dyDescent="0.25">
      <c r="A25"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2"/>
      <c r="C25" s="106"/>
      <c r="D25" s="106"/>
      <c r="E25" s="102"/>
      <c r="F25" s="111"/>
    </row>
    <row r="26" spans="1:6" s="112" customFormat="1" ht="39" customHeight="1" x14ac:dyDescent="0.25">
      <c r="A26"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6"/>
      <c r="D26" s="106"/>
      <c r="E26" s="40"/>
      <c r="F26" s="111"/>
    </row>
    <row r="27" spans="1:6" s="112" customFormat="1" ht="39" customHeight="1" x14ac:dyDescent="0.25">
      <c r="A27"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2"/>
      <c r="C27" s="106"/>
      <c r="D27" s="106"/>
      <c r="E27" s="102"/>
      <c r="F27" s="111"/>
    </row>
    <row r="28" spans="1:6" s="112" customFormat="1" ht="39" customHeight="1" x14ac:dyDescent="0.25">
      <c r="A28"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6"/>
      <c r="D28" s="106"/>
      <c r="E28" s="40"/>
      <c r="F28" s="111"/>
    </row>
    <row r="29" spans="1:6" s="112" customFormat="1" ht="39" customHeight="1" x14ac:dyDescent="0.25">
      <c r="A29"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2"/>
      <c r="C29" s="106"/>
      <c r="D29" s="106"/>
      <c r="E29" s="102"/>
      <c r="F29" s="111"/>
    </row>
    <row r="30" spans="1:6" s="112" customFormat="1" ht="39" customHeight="1" x14ac:dyDescent="0.25">
      <c r="A30"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6"/>
      <c r="D30" s="115"/>
      <c r="E30" s="40"/>
      <c r="F30" s="111"/>
    </row>
    <row r="31" spans="1:6" s="112" customFormat="1" ht="39" customHeight="1" x14ac:dyDescent="0.25">
      <c r="A31"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2"/>
      <c r="C31" s="106"/>
      <c r="D31" s="115"/>
      <c r="E31" s="102"/>
      <c r="F31" s="111"/>
    </row>
    <row r="32" spans="1:6" s="112" customFormat="1" ht="39" customHeight="1" x14ac:dyDescent="0.25">
      <c r="A32"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6"/>
      <c r="D32" s="115"/>
      <c r="E32" s="40"/>
      <c r="F32" s="111"/>
    </row>
    <row r="33" spans="1:6" s="112" customFormat="1" ht="39" customHeight="1" x14ac:dyDescent="0.25">
      <c r="A33"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2"/>
      <c r="C33" s="106"/>
      <c r="D33" s="115"/>
      <c r="E33" s="102"/>
      <c r="F33" s="111"/>
    </row>
    <row r="34" spans="1:6" s="112" customFormat="1" ht="39" customHeight="1" x14ac:dyDescent="0.25">
      <c r="A34" s="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6"/>
      <c r="D34" s="115"/>
      <c r="E34" s="40"/>
      <c r="F34" s="111"/>
    </row>
    <row r="35" spans="1:6" s="112" customFormat="1" ht="39" customHeight="1" thickBot="1" x14ac:dyDescent="0.3">
      <c r="A3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9"/>
      <c r="C35" s="170"/>
      <c r="D35" s="116"/>
      <c r="E35" s="169"/>
      <c r="F35" s="111"/>
    </row>
    <row r="36" spans="1:6" s="112" customFormat="1" ht="39" customHeight="1" x14ac:dyDescent="0.25">
      <c r="A36"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3" t="s">
        <v>123</v>
      </c>
      <c r="C36" s="107">
        <v>30</v>
      </c>
      <c r="D36" s="117" t="s">
        <v>127</v>
      </c>
      <c r="E36" s="160" t="s">
        <v>20</v>
      </c>
      <c r="F36" s="172"/>
    </row>
    <row r="37" spans="1:6" s="112" customFormat="1" ht="39" customHeight="1" x14ac:dyDescent="0.25">
      <c r="A37"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4" t="s">
        <v>123</v>
      </c>
      <c r="C37" s="108">
        <v>64</v>
      </c>
      <c r="D37" s="118" t="s">
        <v>124</v>
      </c>
      <c r="E37" s="161" t="s">
        <v>128</v>
      </c>
      <c r="F37" s="174"/>
    </row>
    <row r="38" spans="1:6" s="112" customFormat="1" ht="39" customHeight="1" thickBot="1" x14ac:dyDescent="0.3">
      <c r="A38" s="1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8" s="176" t="s">
        <v>123</v>
      </c>
      <c r="C38" s="177">
        <v>10</v>
      </c>
      <c r="D38" s="178" t="s">
        <v>129</v>
      </c>
      <c r="E38" s="179" t="s">
        <v>130</v>
      </c>
      <c r="F38" s="180"/>
    </row>
    <row r="39" spans="1:6" s="112" customFormat="1" ht="39" customHeight="1" x14ac:dyDescent="0.25">
      <c r="A39" s="5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DUS-10µg/L + Testostérone</v>
      </c>
      <c r="B39" s="194" t="str">
        <f>B15</f>
        <v>Chemical</v>
      </c>
      <c r="C39" s="194">
        <f t="shared" ref="C39:E39" si="0">C15</f>
        <v>10</v>
      </c>
      <c r="D39" s="194" t="str">
        <f t="shared" si="0"/>
        <v>µg/L</v>
      </c>
      <c r="E39" s="194" t="str">
        <f t="shared" si="0"/>
        <v>DUS</v>
      </c>
      <c r="F39" s="113" t="s">
        <v>50</v>
      </c>
    </row>
    <row r="40" spans="1:6" s="112" customFormat="1" ht="39" customHeight="1" x14ac:dyDescent="0.2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DUS-100µg/L + Testostérone</v>
      </c>
      <c r="B40" s="196" t="str">
        <f t="shared" ref="B40:E40" si="1">B16</f>
        <v>Chemical</v>
      </c>
      <c r="C40" s="196">
        <f t="shared" si="1"/>
        <v>100</v>
      </c>
      <c r="D40" s="196" t="str">
        <f t="shared" si="1"/>
        <v>µg/L</v>
      </c>
      <c r="E40" s="196" t="str">
        <f t="shared" si="1"/>
        <v>DUS</v>
      </c>
      <c r="F40" s="114" t="s">
        <v>50</v>
      </c>
    </row>
    <row r="41" spans="1:6" s="112" customFormat="1" ht="39" customHeight="1" x14ac:dyDescent="0.2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DUS-250µg/L + Testostérone</v>
      </c>
      <c r="B41" s="196" t="str">
        <f t="shared" ref="B41:E41" si="2">B17</f>
        <v>Chemical</v>
      </c>
      <c r="C41" s="196">
        <f t="shared" si="2"/>
        <v>250</v>
      </c>
      <c r="D41" s="196" t="str">
        <f t="shared" si="2"/>
        <v>µg/L</v>
      </c>
      <c r="E41" s="196" t="str">
        <f t="shared" si="2"/>
        <v>DUS</v>
      </c>
      <c r="F41" s="114" t="s">
        <v>50</v>
      </c>
    </row>
    <row r="42" spans="1:6" s="112" customFormat="1" ht="39" customHeight="1" x14ac:dyDescent="0.2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DUS-500µg/L + Testostérone</v>
      </c>
      <c r="B42" s="196" t="str">
        <f t="shared" ref="B42:E42" si="3">B18</f>
        <v>Chemical</v>
      </c>
      <c r="C42" s="196">
        <f t="shared" si="3"/>
        <v>500</v>
      </c>
      <c r="D42" s="196" t="str">
        <f t="shared" si="3"/>
        <v>µg/L</v>
      </c>
      <c r="E42" s="196" t="str">
        <f t="shared" si="3"/>
        <v>DUS</v>
      </c>
      <c r="F42" s="114" t="s">
        <v>50</v>
      </c>
    </row>
    <row r="43" spans="1:6" s="112" customFormat="1" ht="39" customHeight="1" x14ac:dyDescent="0.2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DUS-1000µg/L + Testostérone</v>
      </c>
      <c r="B43" s="196" t="str">
        <f t="shared" ref="B43:E43" si="4">B19</f>
        <v>Chemical</v>
      </c>
      <c r="C43" s="196">
        <f t="shared" si="4"/>
        <v>1000</v>
      </c>
      <c r="D43" s="196" t="str">
        <f t="shared" si="4"/>
        <v>µg/L</v>
      </c>
      <c r="E43" s="196" t="str">
        <f t="shared" si="4"/>
        <v>DUS</v>
      </c>
      <c r="F43" s="114" t="s">
        <v>50</v>
      </c>
    </row>
    <row r="44" spans="1:6" s="112" customFormat="1" ht="39" customHeight="1" x14ac:dyDescent="0.2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6">
        <f t="shared" ref="B44:E44" si="5">B20</f>
        <v>0</v>
      </c>
      <c r="C44" s="196">
        <f t="shared" si="5"/>
        <v>0</v>
      </c>
      <c r="D44" s="196">
        <f t="shared" si="5"/>
        <v>0</v>
      </c>
      <c r="E44" s="196">
        <f t="shared" si="5"/>
        <v>0</v>
      </c>
      <c r="F44" s="114" t="s">
        <v>50</v>
      </c>
    </row>
    <row r="45" spans="1:6" s="112" customFormat="1" ht="39" customHeight="1" x14ac:dyDescent="0.2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6">
        <f t="shared" ref="B45:E45" si="6">B21</f>
        <v>0</v>
      </c>
      <c r="C45" s="196">
        <f t="shared" si="6"/>
        <v>0</v>
      </c>
      <c r="D45" s="196">
        <f t="shared" si="6"/>
        <v>0</v>
      </c>
      <c r="E45" s="196">
        <f t="shared" si="6"/>
        <v>0</v>
      </c>
      <c r="F45" s="114" t="s">
        <v>50</v>
      </c>
    </row>
    <row r="46" spans="1:6" s="112" customFormat="1" ht="39" customHeight="1" x14ac:dyDescent="0.2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6">
        <f t="shared" ref="B46:E46" si="7">B22</f>
        <v>0</v>
      </c>
      <c r="C46" s="196">
        <f t="shared" si="7"/>
        <v>0</v>
      </c>
      <c r="D46" s="196">
        <f t="shared" si="7"/>
        <v>0</v>
      </c>
      <c r="E46" s="196">
        <f t="shared" si="7"/>
        <v>0</v>
      </c>
      <c r="F46" s="114" t="s">
        <v>50</v>
      </c>
    </row>
    <row r="47" spans="1:6" s="112" customFormat="1" ht="39" customHeight="1" x14ac:dyDescent="0.2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6">
        <f t="shared" ref="B47:E47" si="8">B23</f>
        <v>0</v>
      </c>
      <c r="C47" s="196">
        <f t="shared" si="8"/>
        <v>0</v>
      </c>
      <c r="D47" s="196">
        <f t="shared" si="8"/>
        <v>0</v>
      </c>
      <c r="E47" s="196">
        <f t="shared" si="8"/>
        <v>0</v>
      </c>
      <c r="F47" s="114" t="s">
        <v>50</v>
      </c>
    </row>
    <row r="48" spans="1:6" s="112" customFormat="1" ht="39" customHeight="1" x14ac:dyDescent="0.2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6">
        <f t="shared" ref="B48:E48" si="9">B24</f>
        <v>0</v>
      </c>
      <c r="C48" s="196">
        <f t="shared" si="9"/>
        <v>0</v>
      </c>
      <c r="D48" s="196">
        <f t="shared" si="9"/>
        <v>0</v>
      </c>
      <c r="E48" s="196">
        <f t="shared" si="9"/>
        <v>0</v>
      </c>
      <c r="F48" s="114" t="s">
        <v>50</v>
      </c>
    </row>
    <row r="49" spans="1:6" s="112" customFormat="1" ht="39" customHeight="1" x14ac:dyDescent="0.2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6">
        <f t="shared" ref="B49:E49" si="10">B25</f>
        <v>0</v>
      </c>
      <c r="C49" s="196">
        <f t="shared" si="10"/>
        <v>0</v>
      </c>
      <c r="D49" s="196">
        <f t="shared" si="10"/>
        <v>0</v>
      </c>
      <c r="E49" s="196">
        <f t="shared" si="10"/>
        <v>0</v>
      </c>
      <c r="F49" s="114" t="s">
        <v>50</v>
      </c>
    </row>
    <row r="50" spans="1:6" s="112" customFormat="1" ht="39" customHeight="1" x14ac:dyDescent="0.2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6">
        <f t="shared" ref="B50:E50" si="11">B26</f>
        <v>0</v>
      </c>
      <c r="C50" s="196">
        <f t="shared" si="11"/>
        <v>0</v>
      </c>
      <c r="D50" s="196">
        <f t="shared" si="11"/>
        <v>0</v>
      </c>
      <c r="E50" s="196">
        <f t="shared" si="11"/>
        <v>0</v>
      </c>
      <c r="F50" s="114" t="s">
        <v>50</v>
      </c>
    </row>
    <row r="51" spans="1:6" s="112" customFormat="1" ht="39" customHeight="1" x14ac:dyDescent="0.2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6">
        <f t="shared" ref="B51:E51" si="12">B27</f>
        <v>0</v>
      </c>
      <c r="C51" s="196">
        <f t="shared" si="12"/>
        <v>0</v>
      </c>
      <c r="D51" s="196">
        <f t="shared" si="12"/>
        <v>0</v>
      </c>
      <c r="E51" s="196">
        <f t="shared" si="12"/>
        <v>0</v>
      </c>
      <c r="F51" s="114" t="s">
        <v>50</v>
      </c>
    </row>
    <row r="52" spans="1:6" s="112" customFormat="1" ht="39" customHeight="1" x14ac:dyDescent="0.2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6">
        <f t="shared" ref="B52:E52" si="13">B28</f>
        <v>0</v>
      </c>
      <c r="C52" s="196">
        <f t="shared" si="13"/>
        <v>0</v>
      </c>
      <c r="D52" s="196">
        <f t="shared" si="13"/>
        <v>0</v>
      </c>
      <c r="E52" s="196">
        <f t="shared" si="13"/>
        <v>0</v>
      </c>
      <c r="F52" s="114" t="s">
        <v>50</v>
      </c>
    </row>
    <row r="53" spans="1:6" s="112" customFormat="1" ht="39" customHeight="1" x14ac:dyDescent="0.2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6">
        <f t="shared" ref="B53:E53" si="14">B29</f>
        <v>0</v>
      </c>
      <c r="C53" s="196">
        <f t="shared" si="14"/>
        <v>0</v>
      </c>
      <c r="D53" s="196">
        <f t="shared" si="14"/>
        <v>0</v>
      </c>
      <c r="E53" s="196">
        <f t="shared" si="14"/>
        <v>0</v>
      </c>
      <c r="F53" s="114" t="s">
        <v>50</v>
      </c>
    </row>
    <row r="54" spans="1:6" s="112" customFormat="1" ht="39" customHeight="1" x14ac:dyDescent="0.2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6">
        <f t="shared" ref="B54:E54" si="15">B30</f>
        <v>0</v>
      </c>
      <c r="C54" s="196">
        <f t="shared" si="15"/>
        <v>0</v>
      </c>
      <c r="D54" s="196">
        <f t="shared" si="15"/>
        <v>0</v>
      </c>
      <c r="E54" s="196">
        <f t="shared" si="15"/>
        <v>0</v>
      </c>
      <c r="F54" s="114" t="s">
        <v>50</v>
      </c>
    </row>
    <row r="55" spans="1:6" s="112" customFormat="1" ht="39" customHeight="1" x14ac:dyDescent="0.2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6">
        <f t="shared" ref="B55:E55" si="16">B31</f>
        <v>0</v>
      </c>
      <c r="C55" s="196">
        <f t="shared" si="16"/>
        <v>0</v>
      </c>
      <c r="D55" s="196">
        <f t="shared" si="16"/>
        <v>0</v>
      </c>
      <c r="E55" s="196">
        <f t="shared" si="16"/>
        <v>0</v>
      </c>
      <c r="F55" s="114" t="s">
        <v>50</v>
      </c>
    </row>
    <row r="56" spans="1:6" s="112" customFormat="1" ht="39" customHeight="1" x14ac:dyDescent="0.2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6">
        <f t="shared" ref="B56:E56" si="17">B32</f>
        <v>0</v>
      </c>
      <c r="C56" s="196">
        <f t="shared" si="17"/>
        <v>0</v>
      </c>
      <c r="D56" s="196">
        <f t="shared" si="17"/>
        <v>0</v>
      </c>
      <c r="E56" s="196">
        <f t="shared" si="17"/>
        <v>0</v>
      </c>
      <c r="F56" s="114" t="s">
        <v>50</v>
      </c>
    </row>
    <row r="57" spans="1:6" s="112" customFormat="1" ht="39" customHeight="1" x14ac:dyDescent="0.25">
      <c r="A5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6">
        <f t="shared" ref="B57:E57" si="18">B33</f>
        <v>0</v>
      </c>
      <c r="C57" s="196">
        <f t="shared" si="18"/>
        <v>0</v>
      </c>
      <c r="D57" s="196">
        <f t="shared" si="18"/>
        <v>0</v>
      </c>
      <c r="E57" s="196">
        <f t="shared" si="18"/>
        <v>0</v>
      </c>
      <c r="F57" s="114" t="s">
        <v>50</v>
      </c>
    </row>
    <row r="58" spans="1:6" s="112" customFormat="1" ht="39" customHeight="1" x14ac:dyDescent="0.25">
      <c r="A58"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95">
        <f t="shared" ref="B58:E58" si="19">B34</f>
        <v>0</v>
      </c>
      <c r="C58" s="195">
        <f t="shared" si="19"/>
        <v>0</v>
      </c>
      <c r="D58" s="195">
        <f t="shared" si="19"/>
        <v>0</v>
      </c>
      <c r="E58" s="195">
        <f t="shared" si="19"/>
        <v>0</v>
      </c>
      <c r="F58" s="114" t="s">
        <v>50</v>
      </c>
    </row>
  </sheetData>
  <protectedRanges>
    <protectedRange sqref="C16:D38 A16:A52"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42578125"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153</v>
      </c>
      <c r="B2" t="s">
        <v>164</v>
      </c>
      <c r="C2" t="s">
        <v>144</v>
      </c>
      <c r="D2" t="s">
        <v>147</v>
      </c>
      <c r="E2" t="s">
        <v>148</v>
      </c>
      <c r="F2" t="s">
        <v>112</v>
      </c>
      <c r="G2">
        <v>360268</v>
      </c>
    </row>
    <row r="3" spans="1:9" x14ac:dyDescent="0.25">
      <c r="A3" t="s">
        <v>153</v>
      </c>
      <c r="B3" t="s">
        <v>164</v>
      </c>
      <c r="C3" t="s">
        <v>145</v>
      </c>
      <c r="D3" t="s">
        <v>149</v>
      </c>
      <c r="E3" t="s">
        <v>150</v>
      </c>
      <c r="F3" t="s">
        <v>112</v>
      </c>
      <c r="G3">
        <v>372315</v>
      </c>
    </row>
    <row r="4" spans="1:9" x14ac:dyDescent="0.25">
      <c r="A4" t="s">
        <v>153</v>
      </c>
      <c r="B4" t="s">
        <v>164</v>
      </c>
      <c r="C4" t="s">
        <v>146</v>
      </c>
      <c r="D4" t="s">
        <v>151</v>
      </c>
      <c r="E4" t="s">
        <v>152</v>
      </c>
      <c r="F4" t="s">
        <v>112</v>
      </c>
      <c r="G4">
        <v>237626</v>
      </c>
    </row>
    <row r="5" spans="1:9" x14ac:dyDescent="0.25">
      <c r="A5" t="s">
        <v>153</v>
      </c>
      <c r="B5" t="s">
        <v>164</v>
      </c>
      <c r="C5" t="s">
        <v>161</v>
      </c>
      <c r="D5" t="s">
        <v>162</v>
      </c>
      <c r="E5" t="s">
        <v>163</v>
      </c>
      <c r="F5" t="s">
        <v>112</v>
      </c>
      <c r="G5">
        <v>1439015</v>
      </c>
    </row>
    <row r="6" spans="1:9" x14ac:dyDescent="0.25">
      <c r="A6" t="s">
        <v>153</v>
      </c>
      <c r="B6" t="s">
        <v>164</v>
      </c>
      <c r="C6" t="s">
        <v>158</v>
      </c>
      <c r="D6" t="s">
        <v>159</v>
      </c>
      <c r="E6" t="s">
        <v>160</v>
      </c>
      <c r="F6" t="s">
        <v>112</v>
      </c>
      <c r="G6">
        <v>1433586</v>
      </c>
    </row>
    <row r="7" spans="1:9" x14ac:dyDescent="0.25">
      <c r="A7" t="s">
        <v>153</v>
      </c>
      <c r="B7" t="s">
        <v>164</v>
      </c>
      <c r="C7" t="s">
        <v>155</v>
      </c>
      <c r="D7" t="s">
        <v>156</v>
      </c>
      <c r="E7" t="s">
        <v>157</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8382-6AC6-4966-AF16-8EEF7D370FA1}">
  <dimension ref="A1:J4"/>
  <sheetViews>
    <sheetView workbookViewId="0">
      <selection sqref="A1:J4"/>
    </sheetView>
  </sheetViews>
  <sheetFormatPr defaultColWidth="11.42578125" defaultRowHeight="15" x14ac:dyDescent="0.25"/>
  <cols>
    <col min="1" max="1" width="13.140625" customWidth="1"/>
    <col min="2" max="2" width="13" customWidth="1"/>
    <col min="4" max="4" width="11.85546875" customWidth="1"/>
    <col min="5" max="5" width="16.140625" customWidth="1"/>
    <col min="7" max="7" width="18.28515625" customWidth="1"/>
    <col min="9" max="9" width="14.5703125" customWidth="1"/>
  </cols>
  <sheetData>
    <row r="1" spans="1:10" x14ac:dyDescent="0.25">
      <c r="A1" t="s">
        <v>107</v>
      </c>
      <c r="B1" t="s">
        <v>108</v>
      </c>
      <c r="C1" t="s">
        <v>109</v>
      </c>
      <c r="D1" t="s">
        <v>110</v>
      </c>
      <c r="E1" t="s">
        <v>111</v>
      </c>
      <c r="F1" t="s">
        <v>112</v>
      </c>
      <c r="G1" t="s">
        <v>113</v>
      </c>
      <c r="H1" t="s">
        <v>117</v>
      </c>
      <c r="I1" t="s">
        <v>118</v>
      </c>
      <c r="J1" t="s">
        <v>1636</v>
      </c>
    </row>
    <row r="2" spans="1:10" x14ac:dyDescent="0.25">
      <c r="A2" t="s">
        <v>1638</v>
      </c>
      <c r="B2" t="s">
        <v>164</v>
      </c>
      <c r="C2" t="s">
        <v>238</v>
      </c>
      <c r="D2" t="s">
        <v>239</v>
      </c>
      <c r="E2" t="s">
        <v>240</v>
      </c>
      <c r="F2" t="s">
        <v>112</v>
      </c>
      <c r="G2">
        <v>770327</v>
      </c>
    </row>
    <row r="3" spans="1:10" x14ac:dyDescent="0.25">
      <c r="A3" t="s">
        <v>1638</v>
      </c>
      <c r="B3" t="s">
        <v>164</v>
      </c>
      <c r="C3" t="s">
        <v>235</v>
      </c>
      <c r="D3" t="s">
        <v>236</v>
      </c>
      <c r="E3" t="s">
        <v>237</v>
      </c>
      <c r="F3" t="s">
        <v>112</v>
      </c>
      <c r="G3">
        <v>535837</v>
      </c>
    </row>
    <row r="4" spans="1:10" x14ac:dyDescent="0.25">
      <c r="A4" t="s">
        <v>1638</v>
      </c>
      <c r="B4" t="s">
        <v>164</v>
      </c>
      <c r="C4" t="s">
        <v>232</v>
      </c>
      <c r="D4" t="s">
        <v>233</v>
      </c>
      <c r="E4" t="s">
        <v>234</v>
      </c>
      <c r="F4" t="s">
        <v>112</v>
      </c>
      <c r="G4">
        <v>866537</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Q1" zoomScale="70" zoomScaleNormal="70" workbookViewId="0">
      <selection activeCell="Z5" sqref="Z5:AD12"/>
    </sheetView>
  </sheetViews>
  <sheetFormatPr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5.42578125" style="1" customWidth="1"/>
    <col min="12" max="12" width="15.425781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J1" s="1" t="s">
        <v>1636</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166</v>
      </c>
      <c r="K2" s="158" t="s">
        <v>120</v>
      </c>
      <c r="L2" s="158"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167</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168</v>
      </c>
      <c r="K4" s="119" t="s">
        <v>100</v>
      </c>
      <c r="L4" s="1" t="s">
        <v>1637</v>
      </c>
      <c r="M4" s="1" t="s">
        <v>1638</v>
      </c>
      <c r="N4" s="1" t="s">
        <v>1639</v>
      </c>
      <c r="O4" s="1" t="s">
        <v>1640</v>
      </c>
      <c r="P4" s="1" t="s">
        <v>1641</v>
      </c>
      <c r="Q4" s="1" t="s">
        <v>1642</v>
      </c>
      <c r="R4" s="1" t="s">
        <v>1643</v>
      </c>
      <c r="S4" s="1" t="s">
        <v>1644</v>
      </c>
      <c r="T4" s="1" t="s">
        <v>1645</v>
      </c>
      <c r="U4" s="1" t="s">
        <v>1646</v>
      </c>
      <c r="V4" s="1" t="s">
        <v>1647</v>
      </c>
      <c r="W4" s="1" t="s">
        <v>1648</v>
      </c>
      <c r="X4" s="1" t="s">
        <v>1649</v>
      </c>
      <c r="Y4" s="1" t="s">
        <v>1650</v>
      </c>
      <c r="Z4" s="1" t="s">
        <v>1651</v>
      </c>
      <c r="AA4" s="1" t="s">
        <v>1652</v>
      </c>
      <c r="AB4" s="1" t="s">
        <v>1653</v>
      </c>
      <c r="AC4" s="1" t="s">
        <v>1654</v>
      </c>
      <c r="AD4" s="1" t="s">
        <v>1655</v>
      </c>
      <c r="AE4" s="1" t="s">
        <v>1656</v>
      </c>
      <c r="AF4" s="1" t="s">
        <v>1657</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169</v>
      </c>
      <c r="K5" s="146" t="s">
        <v>164</v>
      </c>
      <c r="L5" s="199"/>
      <c r="M5" s="199">
        <v>724233.66666666663</v>
      </c>
      <c r="N5" s="199">
        <v>2719721.3333333335</v>
      </c>
      <c r="O5" s="199">
        <v>3923338.3333333335</v>
      </c>
      <c r="P5" s="199">
        <v>59684.333333333336</v>
      </c>
      <c r="Q5" s="44">
        <v>94573.333333333328</v>
      </c>
      <c r="R5" s="44">
        <v>187142</v>
      </c>
      <c r="S5" s="44">
        <v>280237</v>
      </c>
      <c r="T5" s="44">
        <v>853451</v>
      </c>
      <c r="U5" s="44">
        <v>2129117</v>
      </c>
      <c r="V5" s="44">
        <v>4171570.3333333335</v>
      </c>
      <c r="W5" s="44">
        <v>295723.66666666669</v>
      </c>
      <c r="X5" s="44">
        <v>69345.333333333328</v>
      </c>
      <c r="Y5" s="44">
        <v>185310.33333333334</v>
      </c>
      <c r="Z5" s="44">
        <v>1418171.3333333333</v>
      </c>
      <c r="AA5" s="44">
        <v>771704.33333333337</v>
      </c>
      <c r="AB5" s="44">
        <v>2543344</v>
      </c>
      <c r="AC5" s="44">
        <v>2526313.6666666665</v>
      </c>
      <c r="AD5" s="44">
        <v>2702194</v>
      </c>
      <c r="AE5" s="44">
        <v>319257.5</v>
      </c>
      <c r="AF5" s="44">
        <v>300439.33333333331</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170</v>
      </c>
      <c r="K6" s="146" t="s">
        <v>1658</v>
      </c>
      <c r="L6" s="199">
        <v>274743</v>
      </c>
      <c r="M6" s="199">
        <v>1986799.6666666667</v>
      </c>
      <c r="N6" s="199">
        <v>2314600.3333333335</v>
      </c>
      <c r="O6" s="199">
        <v>3912985</v>
      </c>
      <c r="P6" s="199">
        <v>94493.666666666672</v>
      </c>
      <c r="Q6" s="44">
        <v>218368.33333333334</v>
      </c>
      <c r="R6" s="44">
        <v>1344831.6666666667</v>
      </c>
      <c r="S6" s="44">
        <v>411458</v>
      </c>
      <c r="T6" s="44">
        <v>2262696</v>
      </c>
      <c r="U6" s="44">
        <v>2429058.3333333335</v>
      </c>
      <c r="V6" s="44">
        <v>3502579.3333333335</v>
      </c>
      <c r="W6" s="44">
        <v>122829.33333333333</v>
      </c>
      <c r="X6" s="44">
        <v>228282</v>
      </c>
      <c r="Y6" s="44">
        <v>175692.66666666666</v>
      </c>
      <c r="Z6" s="44">
        <v>634650</v>
      </c>
      <c r="AA6" s="44">
        <v>3489089.3333333335</v>
      </c>
      <c r="AB6" s="44">
        <v>1960468.6666666667</v>
      </c>
      <c r="AC6" s="44">
        <v>2321407</v>
      </c>
      <c r="AD6" s="44">
        <v>5145521.333333333</v>
      </c>
      <c r="AE6" s="44">
        <v>310706.33333333331</v>
      </c>
      <c r="AF6" s="44">
        <v>47838</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171</v>
      </c>
      <c r="D7" s="1" t="s">
        <v>172</v>
      </c>
      <c r="E7" s="1" t="s">
        <v>173</v>
      </c>
      <c r="F7" s="1" t="s">
        <v>112</v>
      </c>
      <c r="G7" s="1">
        <v>274743</v>
      </c>
      <c r="K7" s="146" t="s">
        <v>1659</v>
      </c>
      <c r="L7" s="199">
        <v>249731.66666666666</v>
      </c>
      <c r="M7" s="199">
        <v>3366073</v>
      </c>
      <c r="N7" s="199">
        <v>2557252</v>
      </c>
      <c r="O7" s="199">
        <v>4483711.333333333</v>
      </c>
      <c r="P7" s="199">
        <v>59223</v>
      </c>
      <c r="Q7" s="44">
        <v>138229.66666666666</v>
      </c>
      <c r="R7" s="44">
        <v>78826.666666666672</v>
      </c>
      <c r="S7" s="44">
        <v>1014521.6666666666</v>
      </c>
      <c r="T7" s="44">
        <v>999503.33333333337</v>
      </c>
      <c r="U7" s="44">
        <v>3440083</v>
      </c>
      <c r="V7" s="44">
        <v>3891142.5</v>
      </c>
      <c r="W7" s="44">
        <v>487184.66666666669</v>
      </c>
      <c r="X7" s="44">
        <v>4340.333333333333</v>
      </c>
      <c r="Y7" s="44">
        <v>0</v>
      </c>
      <c r="Z7" s="44">
        <v>2875435</v>
      </c>
      <c r="AA7" s="44">
        <v>57672.333333333336</v>
      </c>
      <c r="AB7" s="44">
        <v>3560280.6666666665</v>
      </c>
      <c r="AC7" s="44">
        <v>3770818.6666666665</v>
      </c>
      <c r="AD7" s="44">
        <v>2972200</v>
      </c>
      <c r="AE7" s="44">
        <v>181770.33333333334</v>
      </c>
      <c r="AF7" s="44">
        <v>216998.33333333334</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174</v>
      </c>
      <c r="D8" s="1" t="s">
        <v>175</v>
      </c>
      <c r="E8" s="1" t="s">
        <v>176</v>
      </c>
      <c r="F8" s="1" t="s">
        <v>112</v>
      </c>
      <c r="G8" s="1">
        <v>275435</v>
      </c>
      <c r="K8" s="146" t="s">
        <v>1660</v>
      </c>
      <c r="L8" s="199">
        <v>145771</v>
      </c>
      <c r="M8" s="199">
        <v>1698523.6666666667</v>
      </c>
      <c r="N8" s="199">
        <v>2630339.3333333335</v>
      </c>
      <c r="O8" s="199">
        <v>2204854</v>
      </c>
      <c r="P8" s="199">
        <v>178872</v>
      </c>
      <c r="Q8" s="44">
        <v>171705.33333333334</v>
      </c>
      <c r="R8" s="44">
        <v>191792.33333333334</v>
      </c>
      <c r="S8" s="44">
        <v>696836</v>
      </c>
      <c r="T8" s="44">
        <v>3496688.6666666665</v>
      </c>
      <c r="U8" s="44">
        <v>3562422</v>
      </c>
      <c r="V8" s="44">
        <v>3758107.6666666665</v>
      </c>
      <c r="W8" s="44">
        <v>174877.33333333334</v>
      </c>
      <c r="X8" s="44">
        <v>213112</v>
      </c>
      <c r="Y8" s="44">
        <v>237993.66666666666</v>
      </c>
      <c r="Z8" s="44">
        <v>375639</v>
      </c>
      <c r="AA8" s="44">
        <v>3671826</v>
      </c>
      <c r="AB8" s="44">
        <v>2135130.3333333335</v>
      </c>
      <c r="AC8" s="44">
        <v>116679</v>
      </c>
      <c r="AD8" s="44">
        <v>1710759</v>
      </c>
      <c r="AE8" s="44">
        <v>148193.66666666666</v>
      </c>
      <c r="AF8" s="44">
        <v>248297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177</v>
      </c>
      <c r="D9" s="1" t="s">
        <v>178</v>
      </c>
      <c r="E9" s="1" t="s">
        <v>179</v>
      </c>
      <c r="F9" s="1" t="s">
        <v>112</v>
      </c>
      <c r="G9" s="1">
        <v>246300</v>
      </c>
      <c r="K9" s="146" t="s">
        <v>1661</v>
      </c>
      <c r="L9" s="199">
        <v>23857.666666666668</v>
      </c>
      <c r="M9" s="199">
        <v>192722.33333333334</v>
      </c>
      <c r="N9" s="199">
        <v>2193357.5</v>
      </c>
      <c r="O9" s="199">
        <v>4702836.666666667</v>
      </c>
      <c r="P9" s="199">
        <v>152707</v>
      </c>
      <c r="Q9" s="44">
        <v>260272.66666666666</v>
      </c>
      <c r="R9" s="44">
        <v>56980.333333333336</v>
      </c>
      <c r="S9" s="44">
        <v>799556.66666666663</v>
      </c>
      <c r="T9" s="44">
        <v>1513725</v>
      </c>
      <c r="U9" s="44">
        <v>2736780</v>
      </c>
      <c r="V9" s="44">
        <v>4961775</v>
      </c>
      <c r="W9" s="44">
        <v>206082.33333333334</v>
      </c>
      <c r="X9" s="44">
        <v>192390.66666666666</v>
      </c>
      <c r="Y9" s="44">
        <v>398524</v>
      </c>
      <c r="Z9" s="44">
        <v>2025200</v>
      </c>
      <c r="AA9" s="44">
        <v>3040341.3333333335</v>
      </c>
      <c r="AB9" s="44">
        <v>2964456.3333333335</v>
      </c>
      <c r="AC9" s="44">
        <v>1720110.3333333333</v>
      </c>
      <c r="AD9" s="44">
        <v>1520415.6666666667</v>
      </c>
      <c r="AE9" s="44">
        <v>110225.66666666667</v>
      </c>
      <c r="AF9" s="44">
        <v>86570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180</v>
      </c>
      <c r="D10" s="1" t="s">
        <v>181</v>
      </c>
      <c r="E10" s="1" t="s">
        <v>182</v>
      </c>
      <c r="F10" s="1" t="s">
        <v>112</v>
      </c>
      <c r="G10" s="1">
        <v>227460</v>
      </c>
      <c r="K10" s="146" t="s">
        <v>1662</v>
      </c>
      <c r="L10" s="199">
        <v>61155</v>
      </c>
      <c r="M10" s="199">
        <v>1376382.3333333333</v>
      </c>
      <c r="N10" s="199">
        <v>1415006</v>
      </c>
      <c r="O10" s="199">
        <v>3265714</v>
      </c>
      <c r="P10" s="199">
        <v>266372.33333333331</v>
      </c>
      <c r="Q10" s="44">
        <v>215109.33333333334</v>
      </c>
      <c r="R10" s="44"/>
      <c r="S10" s="44">
        <v>163067.66666666666</v>
      </c>
      <c r="T10" s="44">
        <v>2032301.6666666667</v>
      </c>
      <c r="U10" s="44">
        <v>4106169</v>
      </c>
      <c r="V10" s="44">
        <v>4917830.666666667</v>
      </c>
      <c r="W10" s="44">
        <v>185836.66666666666</v>
      </c>
      <c r="X10" s="44">
        <v>75048.666666666672</v>
      </c>
      <c r="Y10" s="44">
        <v>155317</v>
      </c>
      <c r="Z10" s="44">
        <v>1039915</v>
      </c>
      <c r="AA10" s="44">
        <v>2102757.6666666665</v>
      </c>
      <c r="AB10" s="44">
        <v>2015264.3333333333</v>
      </c>
      <c r="AC10" s="44">
        <v>56958.666666666664</v>
      </c>
      <c r="AD10" s="44">
        <v>3058344.6666666665</v>
      </c>
      <c r="AE10" s="44">
        <v>24420</v>
      </c>
      <c r="AF10" s="44">
        <v>8385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183</v>
      </c>
      <c r="D11" s="1" t="s">
        <v>184</v>
      </c>
      <c r="E11" s="1" t="s">
        <v>185</v>
      </c>
      <c r="F11" s="1" t="s">
        <v>112</v>
      </c>
      <c r="G11" s="1">
        <v>126297</v>
      </c>
      <c r="K11" s="146" t="s">
        <v>1663</v>
      </c>
      <c r="L11" s="199">
        <v>440</v>
      </c>
      <c r="M11" s="199">
        <v>1717795.6666666667</v>
      </c>
      <c r="N11" s="199">
        <v>311802.33333333331</v>
      </c>
      <c r="O11" s="199">
        <v>4801562.666666667</v>
      </c>
      <c r="P11" s="199">
        <v>70946</v>
      </c>
      <c r="Q11" s="44">
        <v>85568.333333333328</v>
      </c>
      <c r="R11" s="44">
        <v>144509</v>
      </c>
      <c r="S11" s="44">
        <v>994283.33333333337</v>
      </c>
      <c r="T11" s="44">
        <v>2373686.3333333335</v>
      </c>
      <c r="U11" s="44">
        <v>3742541.6666666665</v>
      </c>
      <c r="V11" s="44">
        <v>4126154.6666666665</v>
      </c>
      <c r="W11" s="44">
        <v>441156</v>
      </c>
      <c r="X11" s="44">
        <v>220935</v>
      </c>
      <c r="Y11" s="44">
        <v>223.66666666666666</v>
      </c>
      <c r="Z11" s="44">
        <v>872564.33333333337</v>
      </c>
      <c r="AA11" s="44"/>
      <c r="AB11" s="44">
        <v>1812931</v>
      </c>
      <c r="AC11" s="44"/>
      <c r="AD11" s="44">
        <v>2030044.6666666667</v>
      </c>
      <c r="AE11" s="44">
        <v>310439.33333333331</v>
      </c>
      <c r="AF11" s="44">
        <v>230027</v>
      </c>
      <c r="AG11"/>
    </row>
    <row r="12" spans="1:144" x14ac:dyDescent="0.25">
      <c r="A12" s="1" t="str">
        <f t="shared" si="0"/>
        <v>1</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186</v>
      </c>
      <c r="D12" s="1" t="s">
        <v>187</v>
      </c>
      <c r="E12" s="1" t="s">
        <v>188</v>
      </c>
      <c r="F12" s="1" t="s">
        <v>112</v>
      </c>
      <c r="G12" s="1">
        <v>249933</v>
      </c>
      <c r="K12" s="146" t="s">
        <v>1664</v>
      </c>
      <c r="L12" s="199">
        <v>189593.33333333334</v>
      </c>
      <c r="M12" s="199"/>
      <c r="N12" s="199">
        <v>1213422.6666666667</v>
      </c>
      <c r="O12" s="199">
        <v>2435663.3333333335</v>
      </c>
      <c r="P12" s="199">
        <v>137674.66666666666</v>
      </c>
      <c r="Q12" s="44">
        <v>202506</v>
      </c>
      <c r="R12" s="44">
        <v>61155</v>
      </c>
      <c r="S12" s="44">
        <v>74785.5</v>
      </c>
      <c r="T12" s="44">
        <v>2684284.6666666665</v>
      </c>
      <c r="U12" s="44"/>
      <c r="V12" s="44">
        <v>2066065.6666666667</v>
      </c>
      <c r="W12" s="44">
        <v>97190.333333333328</v>
      </c>
      <c r="X12" s="44">
        <v>195166.66666666666</v>
      </c>
      <c r="Y12" s="44">
        <v>264656.33333333331</v>
      </c>
      <c r="Z12" s="44">
        <v>1787422.3333333333</v>
      </c>
      <c r="AA12" s="44">
        <v>2478216.6666666665</v>
      </c>
      <c r="AB12" s="44">
        <v>3257743.3333333335</v>
      </c>
      <c r="AC12" s="44">
        <v>225167.33333333334</v>
      </c>
      <c r="AD12" s="44">
        <v>1462498</v>
      </c>
      <c r="AE12" s="44">
        <v>242240.33333333334</v>
      </c>
      <c r="AF12" s="44">
        <v>342141.66666666669</v>
      </c>
      <c r="AG12"/>
    </row>
    <row r="13" spans="1:144" x14ac:dyDescent="0.25">
      <c r="A13" s="1" t="str">
        <f t="shared" si="0"/>
        <v>1</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189</v>
      </c>
      <c r="D13" s="1" t="s">
        <v>190</v>
      </c>
      <c r="E13" s="1" t="s">
        <v>191</v>
      </c>
      <c r="F13" s="1" t="s">
        <v>112</v>
      </c>
      <c r="G13" s="1">
        <v>61083</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192</v>
      </c>
      <c r="D14" s="1" t="s">
        <v>193</v>
      </c>
      <c r="E14" s="1" t="s">
        <v>194</v>
      </c>
      <c r="F14" s="1" t="s">
        <v>112</v>
      </c>
      <c r="G14" s="1">
        <v>65452</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195</v>
      </c>
      <c r="D15" s="1" t="s">
        <v>196</v>
      </c>
      <c r="E15" s="1" t="s">
        <v>197</v>
      </c>
      <c r="F15" s="1" t="s">
        <v>112</v>
      </c>
      <c r="G15" s="1">
        <v>6121</v>
      </c>
    </row>
    <row r="16" spans="1:144" x14ac:dyDescent="0.25">
      <c r="A16" s="1" t="str">
        <f t="shared" si="0"/>
        <v>1</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198</v>
      </c>
      <c r="D16" s="1">
        <v>0</v>
      </c>
      <c r="E16" s="1">
        <v>0</v>
      </c>
      <c r="F16" s="1" t="s">
        <v>112</v>
      </c>
      <c r="G16" s="1">
        <v>0</v>
      </c>
      <c r="M16"/>
      <c r="N16"/>
      <c r="O16"/>
      <c r="P16"/>
      <c r="Q16"/>
      <c r="R16"/>
      <c r="S16"/>
      <c r="T16"/>
      <c r="U16"/>
      <c r="V16"/>
      <c r="W16"/>
      <c r="X16"/>
      <c r="Y16"/>
      <c r="Z16"/>
      <c r="AA16"/>
      <c r="AB16"/>
      <c r="AC16"/>
      <c r="AD16"/>
      <c r="AE16"/>
      <c r="AF16"/>
      <c r="AG16"/>
      <c r="AH16"/>
    </row>
    <row r="17" spans="1:34" x14ac:dyDescent="0.25">
      <c r="A17" s="1" t="str">
        <f t="shared" si="0"/>
        <v>1</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199</v>
      </c>
      <c r="D17" s="1" t="s">
        <v>200</v>
      </c>
      <c r="E17" s="1" t="s">
        <v>201</v>
      </c>
      <c r="F17" s="1" t="s">
        <v>112</v>
      </c>
      <c r="G17" s="1">
        <v>157639</v>
      </c>
      <c r="M17"/>
      <c r="N17"/>
      <c r="O17"/>
      <c r="P17"/>
      <c r="Q17"/>
      <c r="R17"/>
      <c r="S17"/>
      <c r="T17"/>
      <c r="U17"/>
      <c r="V17"/>
      <c r="W17"/>
      <c r="X17"/>
      <c r="Y17"/>
      <c r="Z17"/>
      <c r="AA17"/>
      <c r="AB17"/>
      <c r="AC17"/>
      <c r="AD17"/>
      <c r="AE17"/>
      <c r="AF17"/>
      <c r="AG17"/>
      <c r="AH17"/>
    </row>
    <row r="18" spans="1:34" x14ac:dyDescent="0.25">
      <c r="A18" s="1" t="str">
        <f t="shared" si="0"/>
        <v>1</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202</v>
      </c>
      <c r="D18" s="1" t="s">
        <v>203</v>
      </c>
      <c r="E18" s="1" t="s">
        <v>204</v>
      </c>
      <c r="F18" s="1" t="s">
        <v>112</v>
      </c>
      <c r="G18" s="1">
        <v>25826</v>
      </c>
      <c r="M18"/>
      <c r="N18"/>
      <c r="O18"/>
      <c r="P18"/>
      <c r="Q18"/>
      <c r="R18"/>
      <c r="S18"/>
      <c r="T18"/>
      <c r="U18"/>
      <c r="V18"/>
      <c r="W18"/>
      <c r="X18"/>
      <c r="Y18"/>
      <c r="Z18"/>
      <c r="AA18"/>
      <c r="AB18"/>
      <c r="AC18"/>
      <c r="AD18"/>
      <c r="AE18"/>
      <c r="AF18"/>
      <c r="AG18"/>
      <c r="AH18"/>
    </row>
    <row r="19" spans="1:34" x14ac:dyDescent="0.25">
      <c r="A19" s="1" t="str">
        <f t="shared" si="0"/>
        <v>1</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205</v>
      </c>
      <c r="D19" s="1">
        <v>0</v>
      </c>
      <c r="E19" s="1">
        <v>0</v>
      </c>
      <c r="F19" s="1" t="s">
        <v>112</v>
      </c>
      <c r="G19" s="1">
        <v>0</v>
      </c>
      <c r="K19"/>
      <c r="L19"/>
      <c r="M19"/>
      <c r="N19"/>
      <c r="O19"/>
      <c r="P19"/>
      <c r="Q19"/>
      <c r="R19"/>
      <c r="S19"/>
      <c r="T19"/>
      <c r="U19"/>
      <c r="V19"/>
      <c r="W19"/>
      <c r="X19"/>
      <c r="Y19"/>
      <c r="Z19"/>
      <c r="AA19"/>
      <c r="AB19"/>
      <c r="AC19"/>
      <c r="AD19"/>
      <c r="AE19"/>
      <c r="AF19"/>
      <c r="AG19"/>
      <c r="AH19"/>
    </row>
    <row r="20" spans="1:34" x14ac:dyDescent="0.25">
      <c r="A20" s="1" t="str">
        <f t="shared" si="0"/>
        <v>1</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206</v>
      </c>
      <c r="D20" s="1">
        <v>0</v>
      </c>
      <c r="E20" s="1">
        <v>0</v>
      </c>
      <c r="F20" s="1" t="s">
        <v>112</v>
      </c>
      <c r="G20" s="1">
        <v>0</v>
      </c>
      <c r="K20"/>
      <c r="L20"/>
      <c r="M20"/>
      <c r="N20"/>
      <c r="O20"/>
      <c r="P20"/>
      <c r="Q20"/>
      <c r="R20"/>
      <c r="S20"/>
      <c r="T20"/>
      <c r="U20"/>
      <c r="V20"/>
      <c r="W20"/>
      <c r="X20"/>
      <c r="Y20"/>
      <c r="Z20"/>
      <c r="AA20"/>
      <c r="AB20"/>
      <c r="AC20"/>
      <c r="AD20"/>
      <c r="AE20"/>
      <c r="AF20"/>
      <c r="AG20"/>
      <c r="AH20"/>
    </row>
    <row r="21" spans="1:34" x14ac:dyDescent="0.25">
      <c r="A21" s="1" t="str">
        <f t="shared" si="0"/>
        <v>1</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207</v>
      </c>
      <c r="D21" s="1" t="s">
        <v>208</v>
      </c>
      <c r="E21" s="1">
        <v>31</v>
      </c>
      <c r="F21" s="1" t="s">
        <v>112</v>
      </c>
      <c r="G21" s="1">
        <v>671</v>
      </c>
      <c r="K21"/>
      <c r="L21"/>
      <c r="M21"/>
      <c r="N21"/>
      <c r="O21"/>
      <c r="P21"/>
      <c r="Q21"/>
      <c r="R21"/>
      <c r="S21"/>
      <c r="T21"/>
      <c r="U21"/>
      <c r="V21"/>
      <c r="W21"/>
      <c r="X21"/>
      <c r="Y21"/>
      <c r="Z21"/>
      <c r="AA21"/>
      <c r="AB21"/>
      <c r="AC21"/>
      <c r="AD21"/>
      <c r="AE21"/>
      <c r="AF21"/>
      <c r="AG21"/>
      <c r="AH21"/>
    </row>
    <row r="22" spans="1:34" x14ac:dyDescent="0.25">
      <c r="A22" s="1" t="str">
        <f t="shared" si="0"/>
        <v>1</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209</v>
      </c>
      <c r="D22" s="1" t="s">
        <v>208</v>
      </c>
      <c r="E22" s="1">
        <v>30</v>
      </c>
      <c r="F22" s="1" t="s">
        <v>112</v>
      </c>
      <c r="G22" s="1">
        <v>649</v>
      </c>
      <c r="K22"/>
      <c r="L22"/>
      <c r="M22"/>
      <c r="N22"/>
      <c r="O22"/>
      <c r="P22"/>
      <c r="Q22"/>
      <c r="R22"/>
      <c r="S22"/>
      <c r="T22"/>
      <c r="U22"/>
      <c r="V22"/>
      <c r="W22"/>
      <c r="X22"/>
      <c r="Y22"/>
      <c r="Z22"/>
      <c r="AA22"/>
      <c r="AB22"/>
      <c r="AC22"/>
      <c r="AD22"/>
      <c r="AE22"/>
      <c r="AF22"/>
      <c r="AG22"/>
      <c r="AH22"/>
    </row>
    <row r="23" spans="1:34" x14ac:dyDescent="0.25">
      <c r="A23" s="1" t="str">
        <f t="shared" si="0"/>
        <v>1</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210</v>
      </c>
      <c r="D23" s="1" t="s">
        <v>211</v>
      </c>
      <c r="E23" s="1" t="s">
        <v>212</v>
      </c>
      <c r="F23" s="1" t="s">
        <v>112</v>
      </c>
      <c r="G23" s="1">
        <v>17672</v>
      </c>
      <c r="K23"/>
      <c r="L23"/>
      <c r="M23"/>
      <c r="N23"/>
      <c r="O23"/>
      <c r="P23"/>
      <c r="Q23"/>
      <c r="R23"/>
      <c r="S23"/>
      <c r="T23"/>
      <c r="U23"/>
      <c r="V23"/>
      <c r="W23"/>
      <c r="X23"/>
      <c r="Y23"/>
      <c r="Z23"/>
      <c r="AA23"/>
      <c r="AB23"/>
      <c r="AC23"/>
      <c r="AD23"/>
      <c r="AE23"/>
      <c r="AF23"/>
      <c r="AG23"/>
      <c r="AH23"/>
    </row>
    <row r="24" spans="1:34" x14ac:dyDescent="0.25">
      <c r="A24" s="1" t="str">
        <f t="shared" si="0"/>
        <v>1</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213</v>
      </c>
      <c r="D24" s="1" t="s">
        <v>214</v>
      </c>
      <c r="E24" s="1" t="s">
        <v>215</v>
      </c>
      <c r="F24" s="1" t="s">
        <v>112</v>
      </c>
      <c r="G24" s="1">
        <v>242255</v>
      </c>
      <c r="K24"/>
      <c r="L24"/>
      <c r="M24"/>
      <c r="N24"/>
      <c r="O24"/>
      <c r="P24"/>
      <c r="Q24"/>
      <c r="R24"/>
      <c r="S24"/>
      <c r="T24"/>
      <c r="U24"/>
      <c r="V24"/>
      <c r="W24"/>
      <c r="X24"/>
      <c r="Y24"/>
      <c r="Z24"/>
      <c r="AA24"/>
      <c r="AB24"/>
      <c r="AC24"/>
      <c r="AD24"/>
      <c r="AE24"/>
      <c r="AF24"/>
      <c r="AG24"/>
      <c r="AH24"/>
    </row>
    <row r="25" spans="1:34" x14ac:dyDescent="0.25">
      <c r="A25" s="1" t="str">
        <f t="shared" si="0"/>
        <v>1</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216</v>
      </c>
      <c r="D25" s="1" t="s">
        <v>217</v>
      </c>
      <c r="E25" s="1" t="s">
        <v>218</v>
      </c>
      <c r="F25" s="1" t="s">
        <v>112</v>
      </c>
      <c r="G25" s="1">
        <v>308853</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219</v>
      </c>
      <c r="D27" s="1" t="s">
        <v>112</v>
      </c>
      <c r="E27" s="1" t="s">
        <v>220</v>
      </c>
      <c r="F27" s="1" t="s">
        <v>221</v>
      </c>
      <c r="G27" s="1" t="s">
        <v>222</v>
      </c>
      <c r="H27" s="1" t="s">
        <v>223</v>
      </c>
      <c r="I27" s="1" t="s">
        <v>224</v>
      </c>
      <c r="J27" s="1" t="s">
        <v>225</v>
      </c>
      <c r="K27"/>
      <c r="L27"/>
      <c r="M27"/>
      <c r="N27"/>
      <c r="O27"/>
      <c r="P27"/>
      <c r="Q27"/>
      <c r="R27"/>
      <c r="S27"/>
      <c r="T27"/>
      <c r="U27"/>
      <c r="V27"/>
      <c r="W27"/>
      <c r="X27"/>
      <c r="Y27"/>
      <c r="Z27"/>
      <c r="AA27"/>
      <c r="AB27"/>
      <c r="AC27"/>
      <c r="AD27"/>
      <c r="AE27"/>
      <c r="AF27"/>
      <c r="AG27"/>
      <c r="AH27"/>
    </row>
    <row r="28" spans="1:34" x14ac:dyDescent="0.25">
      <c r="A28" s="1" t="str">
        <f t="shared" si="0"/>
        <v>1</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226</v>
      </c>
      <c r="D28" s="1" t="s">
        <v>112</v>
      </c>
      <c r="E28" s="1" t="s">
        <v>227</v>
      </c>
      <c r="F28" s="1" t="s">
        <v>228</v>
      </c>
      <c r="G28" s="1" t="s">
        <v>229</v>
      </c>
      <c r="H28" s="1" t="s">
        <v>230</v>
      </c>
      <c r="I28" s="1">
        <v>20</v>
      </c>
      <c r="J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231</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13</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232</v>
      </c>
      <c r="D35" s="1" t="s">
        <v>233</v>
      </c>
      <c r="E35" s="1" t="s">
        <v>234</v>
      </c>
      <c r="F35" s="1" t="s">
        <v>112</v>
      </c>
      <c r="G35" s="1">
        <v>866537</v>
      </c>
      <c r="K35"/>
      <c r="L35"/>
      <c r="M35"/>
      <c r="N35"/>
      <c r="O35"/>
      <c r="P35"/>
      <c r="Q35"/>
      <c r="R35"/>
      <c r="S35"/>
      <c r="T35"/>
      <c r="U35"/>
      <c r="V35"/>
      <c r="W35"/>
      <c r="X35"/>
      <c r="Y35"/>
      <c r="Z35"/>
      <c r="AA35"/>
      <c r="AB35"/>
      <c r="AC35"/>
      <c r="AD35"/>
      <c r="AE35"/>
      <c r="AF35"/>
      <c r="AG35"/>
      <c r="AH35"/>
    </row>
    <row r="36" spans="1:34" x14ac:dyDescent="0.25">
      <c r="A36" s="1" t="str">
        <f t="shared" si="0"/>
        <v>13</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235</v>
      </c>
      <c r="D36" s="1" t="s">
        <v>236</v>
      </c>
      <c r="E36" s="1" t="s">
        <v>237</v>
      </c>
      <c r="F36" s="1" t="s">
        <v>112</v>
      </c>
      <c r="G36" s="1">
        <v>535837</v>
      </c>
      <c r="K36"/>
      <c r="L36"/>
      <c r="M36"/>
      <c r="N36"/>
      <c r="O36"/>
      <c r="P36"/>
      <c r="Q36"/>
      <c r="R36"/>
      <c r="S36"/>
      <c r="T36"/>
      <c r="U36"/>
      <c r="V36"/>
      <c r="W36"/>
      <c r="X36"/>
      <c r="Y36"/>
      <c r="Z36"/>
      <c r="AA36"/>
      <c r="AB36"/>
      <c r="AC36"/>
      <c r="AD36"/>
      <c r="AE36"/>
      <c r="AF36"/>
      <c r="AG36"/>
      <c r="AH36"/>
    </row>
    <row r="37" spans="1:34" x14ac:dyDescent="0.25">
      <c r="A37" s="1" t="str">
        <f t="shared" si="0"/>
        <v>13</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238</v>
      </c>
      <c r="D37" s="1" t="s">
        <v>239</v>
      </c>
      <c r="E37" s="1" t="s">
        <v>240</v>
      </c>
      <c r="F37" s="1" t="s">
        <v>112</v>
      </c>
      <c r="G37" s="1">
        <v>770327</v>
      </c>
      <c r="K37"/>
      <c r="L37"/>
      <c r="M37"/>
      <c r="N37"/>
      <c r="O37"/>
      <c r="P37"/>
      <c r="Q37"/>
      <c r="R37"/>
      <c r="S37"/>
      <c r="T37"/>
      <c r="U37"/>
      <c r="V37"/>
      <c r="W37"/>
      <c r="X37"/>
      <c r="Y37"/>
      <c r="Z37"/>
      <c r="AA37"/>
      <c r="AB37"/>
      <c r="AC37"/>
      <c r="AD37"/>
      <c r="AE37"/>
      <c r="AF37"/>
      <c r="AG37"/>
      <c r="AH37"/>
    </row>
    <row r="38" spans="1:34" x14ac:dyDescent="0.25">
      <c r="A38" s="1" t="str">
        <f t="shared" si="0"/>
        <v>13</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241</v>
      </c>
      <c r="D38" s="1" t="s">
        <v>242</v>
      </c>
      <c r="E38" s="1" t="s">
        <v>243</v>
      </c>
      <c r="F38" s="1" t="s">
        <v>112</v>
      </c>
      <c r="G38" s="1">
        <v>1739433</v>
      </c>
      <c r="K38"/>
      <c r="L38"/>
      <c r="M38"/>
      <c r="N38"/>
      <c r="O38"/>
      <c r="P38"/>
      <c r="Q38"/>
      <c r="R38"/>
      <c r="S38"/>
      <c r="T38"/>
      <c r="U38"/>
      <c r="V38"/>
      <c r="W38"/>
      <c r="X38"/>
      <c r="Y38"/>
      <c r="Z38"/>
      <c r="AA38"/>
      <c r="AB38"/>
      <c r="AC38"/>
      <c r="AD38"/>
      <c r="AE38"/>
      <c r="AF38"/>
      <c r="AG38"/>
      <c r="AH38"/>
    </row>
    <row r="39" spans="1:34" x14ac:dyDescent="0.25">
      <c r="A39" s="1" t="str">
        <f t="shared" si="0"/>
        <v>13</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244</v>
      </c>
      <c r="D39" s="1" t="s">
        <v>245</v>
      </c>
      <c r="E39" s="1" t="s">
        <v>246</v>
      </c>
      <c r="F39" s="1" t="s">
        <v>112</v>
      </c>
      <c r="G39" s="1">
        <v>2323570</v>
      </c>
    </row>
    <row r="40" spans="1:34" x14ac:dyDescent="0.25">
      <c r="A40" s="1" t="str">
        <f t="shared" si="0"/>
        <v>13</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247</v>
      </c>
      <c r="D40" s="1" t="s">
        <v>248</v>
      </c>
      <c r="E40" s="1" t="s">
        <v>249</v>
      </c>
      <c r="F40" s="1" t="s">
        <v>112</v>
      </c>
      <c r="G40" s="1">
        <v>1897396</v>
      </c>
    </row>
    <row r="41" spans="1:34" x14ac:dyDescent="0.25">
      <c r="A41" s="1" t="str">
        <f t="shared" si="0"/>
        <v>13</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250</v>
      </c>
      <c r="D41" s="1" t="s">
        <v>251</v>
      </c>
      <c r="E41" s="1" t="s">
        <v>252</v>
      </c>
      <c r="F41" s="1" t="s">
        <v>112</v>
      </c>
      <c r="G41" s="1">
        <v>2993815</v>
      </c>
    </row>
    <row r="42" spans="1:34" x14ac:dyDescent="0.25">
      <c r="A42" s="1" t="str">
        <f t="shared" si="0"/>
        <v>13</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253</v>
      </c>
      <c r="D42" s="1" t="s">
        <v>254</v>
      </c>
      <c r="E42" s="1" t="s">
        <v>255</v>
      </c>
      <c r="F42" s="1" t="s">
        <v>112</v>
      </c>
      <c r="G42" s="1">
        <v>3572653</v>
      </c>
    </row>
    <row r="43" spans="1:34" x14ac:dyDescent="0.25">
      <c r="A43" s="1" t="str">
        <f t="shared" si="0"/>
        <v>13</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256</v>
      </c>
      <c r="D43" s="1" t="s">
        <v>257</v>
      </c>
      <c r="E43" s="1" t="s">
        <v>258</v>
      </c>
      <c r="F43" s="1" t="s">
        <v>112</v>
      </c>
      <c r="G43" s="1">
        <v>3531751</v>
      </c>
    </row>
    <row r="44" spans="1:34" x14ac:dyDescent="0.25">
      <c r="A44" s="1" t="str">
        <f t="shared" si="0"/>
        <v>13</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259</v>
      </c>
      <c r="D44" s="1" t="s">
        <v>260</v>
      </c>
      <c r="E44" s="1" t="s">
        <v>261</v>
      </c>
      <c r="F44" s="1" t="s">
        <v>112</v>
      </c>
      <c r="G44" s="1">
        <v>2008920</v>
      </c>
    </row>
    <row r="45" spans="1:34" x14ac:dyDescent="0.25">
      <c r="A45" s="1" t="str">
        <f t="shared" si="0"/>
        <v>13</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262</v>
      </c>
      <c r="D45" s="1" t="s">
        <v>263</v>
      </c>
      <c r="E45" s="1" t="s">
        <v>264</v>
      </c>
      <c r="F45" s="1" t="s">
        <v>112</v>
      </c>
      <c r="G45" s="1">
        <v>1531440</v>
      </c>
    </row>
    <row r="46" spans="1:34" x14ac:dyDescent="0.25">
      <c r="A46" s="1" t="str">
        <f t="shared" si="0"/>
        <v>13</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265</v>
      </c>
      <c r="D46" s="1" t="s">
        <v>266</v>
      </c>
      <c r="E46" s="1" t="s">
        <v>267</v>
      </c>
      <c r="F46" s="1" t="s">
        <v>112</v>
      </c>
      <c r="G46" s="1">
        <v>1555211</v>
      </c>
    </row>
    <row r="47" spans="1:34" x14ac:dyDescent="0.25">
      <c r="A47" s="1" t="str">
        <f t="shared" si="0"/>
        <v>13</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268</v>
      </c>
      <c r="D47" s="1" t="s">
        <v>269</v>
      </c>
      <c r="E47" s="1" t="s">
        <v>270</v>
      </c>
      <c r="F47" s="1" t="s">
        <v>112</v>
      </c>
      <c r="G47" s="1">
        <v>275067</v>
      </c>
    </row>
    <row r="48" spans="1:34" x14ac:dyDescent="0.25">
      <c r="A48" s="1" t="str">
        <f t="shared" si="0"/>
        <v>13</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271</v>
      </c>
      <c r="D48" s="1" t="s">
        <v>272</v>
      </c>
      <c r="E48" s="1" t="s">
        <v>273</v>
      </c>
      <c r="F48" s="1" t="s">
        <v>112</v>
      </c>
      <c r="G48" s="1">
        <v>179896</v>
      </c>
    </row>
    <row r="49" spans="1:10" x14ac:dyDescent="0.25">
      <c r="A49" s="1" t="str">
        <f t="shared" si="0"/>
        <v>13</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274</v>
      </c>
      <c r="D49" s="1" t="s">
        <v>275</v>
      </c>
      <c r="E49" s="1" t="s">
        <v>276</v>
      </c>
      <c r="F49" s="1" t="s">
        <v>112</v>
      </c>
      <c r="G49" s="1">
        <v>123204</v>
      </c>
    </row>
    <row r="50" spans="1:10" x14ac:dyDescent="0.25">
      <c r="A50" s="1" t="str">
        <f t="shared" si="0"/>
        <v>13</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277</v>
      </c>
      <c r="D50" s="1" t="s">
        <v>278</v>
      </c>
      <c r="E50" s="1" t="s">
        <v>279</v>
      </c>
      <c r="F50" s="1" t="s">
        <v>112</v>
      </c>
      <c r="G50" s="1">
        <v>1483551</v>
      </c>
    </row>
    <row r="51" spans="1:10" x14ac:dyDescent="0.25">
      <c r="A51" s="1" t="str">
        <f t="shared" si="0"/>
        <v>13</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280</v>
      </c>
      <c r="D51" s="1" t="s">
        <v>281</v>
      </c>
      <c r="E51" s="1" t="s">
        <v>282</v>
      </c>
      <c r="F51" s="1" t="s">
        <v>112</v>
      </c>
      <c r="G51" s="1">
        <v>1136608</v>
      </c>
    </row>
    <row r="52" spans="1:10" x14ac:dyDescent="0.25">
      <c r="A52" s="1" t="str">
        <f t="shared" si="0"/>
        <v>13</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283</v>
      </c>
      <c r="D52" s="1" t="s">
        <v>284</v>
      </c>
      <c r="E52" s="1" t="s">
        <v>285</v>
      </c>
      <c r="F52" s="1" t="s">
        <v>112</v>
      </c>
      <c r="G52" s="1">
        <v>1508988</v>
      </c>
    </row>
    <row r="53" spans="1:10" x14ac:dyDescent="0.25">
      <c r="A53" s="1" t="str">
        <f t="shared" si="0"/>
        <v>13</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286</v>
      </c>
      <c r="D53" s="1" t="s">
        <v>287</v>
      </c>
      <c r="E53" s="1" t="s">
        <v>288</v>
      </c>
      <c r="F53" s="1" t="s">
        <v>112</v>
      </c>
      <c r="G53" s="1">
        <v>1879357</v>
      </c>
    </row>
    <row r="54" spans="1:10" x14ac:dyDescent="0.25">
      <c r="A54" s="1" t="str">
        <f t="shared" si="0"/>
        <v>13</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289</v>
      </c>
      <c r="D54" s="1" t="s">
        <v>290</v>
      </c>
      <c r="E54" s="1" t="s">
        <v>291</v>
      </c>
      <c r="F54" s="1" t="s">
        <v>112</v>
      </c>
      <c r="G54" s="1">
        <v>1539832</v>
      </c>
    </row>
    <row r="55" spans="1:10" x14ac:dyDescent="0.25">
      <c r="A55" s="1" t="str">
        <f t="shared" si="0"/>
        <v>13</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292</v>
      </c>
      <c r="D55" s="1" t="s">
        <v>293</v>
      </c>
      <c r="E55" s="1" t="s">
        <v>294</v>
      </c>
      <c r="F55" s="1" t="s">
        <v>112</v>
      </c>
      <c r="G55" s="1">
        <v>1734198</v>
      </c>
    </row>
    <row r="56" spans="1:10" x14ac:dyDescent="0.25">
      <c r="A56" s="1" t="str">
        <f t="shared" si="0"/>
        <v>13</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295</v>
      </c>
    </row>
    <row r="57" spans="1:10" x14ac:dyDescent="0.25">
      <c r="A57" s="1" t="str">
        <f t="shared" si="0"/>
        <v>13</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296</v>
      </c>
    </row>
    <row r="58" spans="1:10" x14ac:dyDescent="0.25">
      <c r="A58" s="1" t="str">
        <f t="shared" si="0"/>
        <v>13</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297</v>
      </c>
    </row>
    <row r="59" spans="1:10"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219</v>
      </c>
      <c r="D60" s="1" t="s">
        <v>112</v>
      </c>
      <c r="E60" s="1" t="s">
        <v>220</v>
      </c>
      <c r="F60" s="1" t="s">
        <v>221</v>
      </c>
      <c r="G60" s="1" t="s">
        <v>222</v>
      </c>
      <c r="H60" s="1" t="s">
        <v>223</v>
      </c>
      <c r="I60" s="1" t="s">
        <v>224</v>
      </c>
      <c r="J60" s="1" t="s">
        <v>225</v>
      </c>
    </row>
    <row r="61" spans="1:10" x14ac:dyDescent="0.25">
      <c r="A61" s="1" t="str">
        <f t="shared" si="0"/>
        <v>13</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298</v>
      </c>
      <c r="D61" s="1" t="s">
        <v>112</v>
      </c>
      <c r="E61" s="1" t="s">
        <v>299</v>
      </c>
      <c r="F61" s="1" t="s">
        <v>300</v>
      </c>
      <c r="G61" s="1" t="s">
        <v>301</v>
      </c>
      <c r="H61" s="1" t="s">
        <v>302</v>
      </c>
      <c r="I61" s="1">
        <v>24</v>
      </c>
      <c r="J61" s="1">
        <v>24</v>
      </c>
    </row>
    <row r="62" spans="1:10"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231</v>
      </c>
      <c r="D67" s="1" t="s">
        <v>110</v>
      </c>
      <c r="E67" s="1" t="s">
        <v>111</v>
      </c>
      <c r="F67" s="1" t="s">
        <v>112</v>
      </c>
      <c r="G67" s="1" t="s">
        <v>113</v>
      </c>
    </row>
    <row r="68" spans="1:7" x14ac:dyDescent="0.25">
      <c r="A68" s="1" t="str">
        <f t="shared" si="1"/>
        <v>14</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303</v>
      </c>
      <c r="D68" s="1" t="s">
        <v>304</v>
      </c>
      <c r="E68" s="1" t="s">
        <v>305</v>
      </c>
      <c r="F68" s="1" t="s">
        <v>112</v>
      </c>
      <c r="G68" s="1">
        <v>2441150</v>
      </c>
    </row>
    <row r="69" spans="1:7" x14ac:dyDescent="0.25">
      <c r="A69" s="1" t="str">
        <f t="shared" si="1"/>
        <v>14</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306</v>
      </c>
      <c r="D69" s="1" t="s">
        <v>307</v>
      </c>
      <c r="E69" s="1" t="s">
        <v>308</v>
      </c>
      <c r="F69" s="1" t="s">
        <v>112</v>
      </c>
      <c r="G69" s="1">
        <v>2661883</v>
      </c>
    </row>
    <row r="70" spans="1:7" x14ac:dyDescent="0.25">
      <c r="A70" s="1" t="str">
        <f t="shared" si="1"/>
        <v>14</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309</v>
      </c>
      <c r="D70" s="1" t="s">
        <v>310</v>
      </c>
      <c r="E70" s="1" t="s">
        <v>311</v>
      </c>
      <c r="F70" s="1" t="s">
        <v>112</v>
      </c>
      <c r="G70" s="1">
        <v>3056131</v>
      </c>
    </row>
    <row r="71" spans="1:7" x14ac:dyDescent="0.25">
      <c r="A71" s="1" t="str">
        <f t="shared" si="1"/>
        <v>14</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312</v>
      </c>
      <c r="D71" s="1" t="s">
        <v>313</v>
      </c>
      <c r="E71" s="1" t="s">
        <v>314</v>
      </c>
      <c r="F71" s="1" t="s">
        <v>112</v>
      </c>
      <c r="G71" s="1">
        <v>2327571</v>
      </c>
    </row>
    <row r="72" spans="1:7" x14ac:dyDescent="0.25">
      <c r="A72" s="1" t="str">
        <f t="shared" si="1"/>
        <v>14</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315</v>
      </c>
      <c r="D72" s="1" t="s">
        <v>316</v>
      </c>
      <c r="E72" s="1" t="s">
        <v>317</v>
      </c>
      <c r="F72" s="1" t="s">
        <v>112</v>
      </c>
      <c r="G72" s="1">
        <v>2293807</v>
      </c>
    </row>
    <row r="73" spans="1:7" x14ac:dyDescent="0.25">
      <c r="A73" s="1" t="str">
        <f t="shared" si="1"/>
        <v>14</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318</v>
      </c>
      <c r="D73" s="1" t="s">
        <v>319</v>
      </c>
      <c r="E73" s="1" t="s">
        <v>320</v>
      </c>
      <c r="F73" s="1" t="s">
        <v>112</v>
      </c>
      <c r="G73" s="1">
        <v>2322423</v>
      </c>
    </row>
    <row r="74" spans="1:7" x14ac:dyDescent="0.25">
      <c r="A74" s="1" t="str">
        <f t="shared" si="1"/>
        <v>14</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321</v>
      </c>
      <c r="D74" s="1" t="s">
        <v>322</v>
      </c>
      <c r="E74" s="1" t="s">
        <v>323</v>
      </c>
      <c r="F74" s="1" t="s">
        <v>112</v>
      </c>
      <c r="G74" s="1">
        <v>2776997</v>
      </c>
    </row>
    <row r="75" spans="1:7" x14ac:dyDescent="0.25">
      <c r="A75" s="1" t="str">
        <f t="shared" si="1"/>
        <v>14</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324</v>
      </c>
      <c r="D75" s="1" t="s">
        <v>325</v>
      </c>
      <c r="E75" s="1" t="s">
        <v>326</v>
      </c>
      <c r="F75" s="1" t="s">
        <v>112</v>
      </c>
      <c r="G75" s="1">
        <v>2564830</v>
      </c>
    </row>
    <row r="76" spans="1:7" x14ac:dyDescent="0.25">
      <c r="A76" s="1" t="str">
        <f t="shared" si="1"/>
        <v>14</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327</v>
      </c>
      <c r="D76" s="1" t="s">
        <v>328</v>
      </c>
      <c r="E76" s="1" t="s">
        <v>329</v>
      </c>
      <c r="F76" s="1" t="s">
        <v>112</v>
      </c>
      <c r="G76" s="1">
        <v>2329929</v>
      </c>
    </row>
    <row r="77" spans="1:7" x14ac:dyDescent="0.25">
      <c r="A77" s="1" t="str">
        <f t="shared" si="1"/>
        <v>14</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330</v>
      </c>
      <c r="D77" s="1" t="s">
        <v>331</v>
      </c>
      <c r="E77" s="1" t="s">
        <v>332</v>
      </c>
      <c r="F77" s="1" t="s">
        <v>112</v>
      </c>
      <c r="G77" s="1">
        <v>2931521</v>
      </c>
    </row>
    <row r="78" spans="1:7" x14ac:dyDescent="0.25">
      <c r="A78" s="1" t="str">
        <f t="shared" si="1"/>
        <v>14</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333</v>
      </c>
      <c r="D78" s="1" t="s">
        <v>334</v>
      </c>
      <c r="E78" s="1" t="s">
        <v>335</v>
      </c>
      <c r="F78" s="1" t="s">
        <v>112</v>
      </c>
      <c r="G78" s="1">
        <v>2314420</v>
      </c>
    </row>
    <row r="79" spans="1:7" x14ac:dyDescent="0.25">
      <c r="A79" s="1" t="str">
        <f t="shared" si="1"/>
        <v>14</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336</v>
      </c>
      <c r="D79" s="1" t="s">
        <v>337</v>
      </c>
      <c r="E79" s="1" t="s">
        <v>338</v>
      </c>
      <c r="F79" s="1" t="s">
        <v>112</v>
      </c>
      <c r="G79" s="1">
        <v>2645077</v>
      </c>
    </row>
    <row r="80" spans="1:7" x14ac:dyDescent="0.25">
      <c r="A80" s="1" t="str">
        <f t="shared" si="1"/>
        <v>14</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339</v>
      </c>
      <c r="D80" s="1" t="s">
        <v>340</v>
      </c>
      <c r="E80" s="1" t="s">
        <v>341</v>
      </c>
      <c r="F80" s="1" t="s">
        <v>112</v>
      </c>
      <c r="G80" s="1">
        <v>2370593</v>
      </c>
    </row>
    <row r="81" spans="1:10" x14ac:dyDescent="0.25">
      <c r="A81" s="1" t="str">
        <f t="shared" si="1"/>
        <v>14</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342</v>
      </c>
    </row>
    <row r="82" spans="1:10" x14ac:dyDescent="0.25">
      <c r="A82" s="1" t="str">
        <f t="shared" si="1"/>
        <v>14</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343</v>
      </c>
      <c r="D82" s="1" t="s">
        <v>344</v>
      </c>
      <c r="E82" s="1" t="s">
        <v>345</v>
      </c>
      <c r="F82" s="1" t="s">
        <v>112</v>
      </c>
      <c r="G82" s="1">
        <v>2016122</v>
      </c>
    </row>
    <row r="83" spans="1:10" x14ac:dyDescent="0.25">
      <c r="A83" s="1" t="str">
        <f t="shared" si="1"/>
        <v>14</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346</v>
      </c>
      <c r="D83" s="1" t="s">
        <v>347</v>
      </c>
      <c r="E83" s="1" t="s">
        <v>348</v>
      </c>
      <c r="F83" s="1" t="s">
        <v>112</v>
      </c>
      <c r="G83" s="1">
        <v>1573272</v>
      </c>
    </row>
    <row r="84" spans="1:10" x14ac:dyDescent="0.25">
      <c r="A84" s="1" t="str">
        <f t="shared" si="1"/>
        <v>14</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349</v>
      </c>
      <c r="D84" s="1" t="s">
        <v>350</v>
      </c>
      <c r="E84" s="1" t="s">
        <v>351</v>
      </c>
      <c r="F84" s="1" t="s">
        <v>112</v>
      </c>
      <c r="G84" s="1">
        <v>1401747</v>
      </c>
    </row>
    <row r="85" spans="1:10" x14ac:dyDescent="0.25">
      <c r="A85" s="1" t="str">
        <f t="shared" si="1"/>
        <v>14</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352</v>
      </c>
      <c r="D85" s="1" t="s">
        <v>353</v>
      </c>
      <c r="E85" s="1" t="s">
        <v>354</v>
      </c>
      <c r="F85" s="1" t="s">
        <v>112</v>
      </c>
      <c r="G85" s="1">
        <v>1269999</v>
      </c>
    </row>
    <row r="86" spans="1:10" x14ac:dyDescent="0.25">
      <c r="A86" s="1" t="str">
        <f t="shared" si="1"/>
        <v>14</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355</v>
      </c>
      <c r="D86" s="1" t="s">
        <v>356</v>
      </c>
      <c r="E86" s="1" t="s">
        <v>357</v>
      </c>
      <c r="F86" s="1" t="s">
        <v>112</v>
      </c>
      <c r="G86" s="1">
        <v>220452</v>
      </c>
    </row>
    <row r="87" spans="1:10" x14ac:dyDescent="0.25">
      <c r="A87" s="1" t="str">
        <f t="shared" si="1"/>
        <v>14</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358</v>
      </c>
      <c r="D87" s="1" t="s">
        <v>359</v>
      </c>
      <c r="E87" s="1" t="s">
        <v>360</v>
      </c>
      <c r="F87" s="1" t="s">
        <v>112</v>
      </c>
      <c r="G87" s="1">
        <v>449253</v>
      </c>
    </row>
    <row r="88" spans="1:10" x14ac:dyDescent="0.25">
      <c r="A88" s="1" t="str">
        <f t="shared" si="1"/>
        <v>14</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361</v>
      </c>
      <c r="D88" s="1" t="s">
        <v>362</v>
      </c>
      <c r="E88" s="1" t="s">
        <v>363</v>
      </c>
      <c r="F88" s="1" t="s">
        <v>112</v>
      </c>
      <c r="G88" s="1">
        <v>265702</v>
      </c>
    </row>
    <row r="89" spans="1:10" x14ac:dyDescent="0.25">
      <c r="A89" s="1" t="str">
        <f t="shared" si="1"/>
        <v>14</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364</v>
      </c>
      <c r="D89" s="1" t="s">
        <v>365</v>
      </c>
      <c r="E89" s="1" t="s">
        <v>366</v>
      </c>
      <c r="F89" s="1" t="s">
        <v>112</v>
      </c>
      <c r="G89" s="1">
        <v>1094365</v>
      </c>
    </row>
    <row r="90" spans="1:10" x14ac:dyDescent="0.25">
      <c r="A90" s="1" t="str">
        <f t="shared" si="1"/>
        <v>14</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367</v>
      </c>
      <c r="D90" s="1" t="s">
        <v>368</v>
      </c>
      <c r="E90" s="1" t="s">
        <v>369</v>
      </c>
      <c r="F90" s="1" t="s">
        <v>112</v>
      </c>
      <c r="G90" s="1">
        <v>1272465</v>
      </c>
    </row>
    <row r="91" spans="1:10" x14ac:dyDescent="0.25">
      <c r="A91" s="1" t="str">
        <f t="shared" si="1"/>
        <v>14</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370</v>
      </c>
      <c r="D91" s="1" t="s">
        <v>371</v>
      </c>
      <c r="E91" s="1" t="s">
        <v>372</v>
      </c>
      <c r="F91" s="1" t="s">
        <v>112</v>
      </c>
      <c r="G91" s="1">
        <v>1273438</v>
      </c>
    </row>
    <row r="92" spans="1:10"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219</v>
      </c>
      <c r="D93" s="1" t="s">
        <v>112</v>
      </c>
      <c r="E93" s="1" t="s">
        <v>220</v>
      </c>
      <c r="F93" s="1" t="s">
        <v>221</v>
      </c>
      <c r="G93" s="1" t="s">
        <v>222</v>
      </c>
      <c r="H93" s="1" t="s">
        <v>223</v>
      </c>
      <c r="I93" s="1" t="s">
        <v>224</v>
      </c>
      <c r="J93" s="1" t="s">
        <v>225</v>
      </c>
    </row>
    <row r="94" spans="1:10" x14ac:dyDescent="0.25">
      <c r="A94" s="1" t="str">
        <f t="shared" si="1"/>
        <v>14</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373</v>
      </c>
      <c r="D94" s="1" t="s">
        <v>112</v>
      </c>
      <c r="E94" s="1" t="s">
        <v>374</v>
      </c>
      <c r="F94" s="1" t="s">
        <v>375</v>
      </c>
      <c r="G94" s="1" t="s">
        <v>376</v>
      </c>
      <c r="H94" s="1" t="s">
        <v>377</v>
      </c>
      <c r="I94" s="1">
        <v>24</v>
      </c>
      <c r="J94" s="1">
        <v>24</v>
      </c>
    </row>
    <row r="95" spans="1:10"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231</v>
      </c>
      <c r="D100" s="1" t="s">
        <v>110</v>
      </c>
      <c r="E100" s="1" t="s">
        <v>111</v>
      </c>
      <c r="F100" s="1" t="s">
        <v>112</v>
      </c>
      <c r="G100" s="1" t="s">
        <v>113</v>
      </c>
    </row>
    <row r="101" spans="1:7" x14ac:dyDescent="0.25">
      <c r="A101" s="1" t="str">
        <f t="shared" si="1"/>
        <v>15</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378</v>
      </c>
      <c r="D101" s="1" t="s">
        <v>379</v>
      </c>
      <c r="E101" s="1" t="s">
        <v>380</v>
      </c>
      <c r="F101" s="1" t="s">
        <v>112</v>
      </c>
      <c r="G101" s="1">
        <v>4060299</v>
      </c>
    </row>
    <row r="102" spans="1:7" x14ac:dyDescent="0.25">
      <c r="A102" s="1" t="str">
        <f t="shared" si="1"/>
        <v>15</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381</v>
      </c>
      <c r="D102" s="1" t="s">
        <v>382</v>
      </c>
      <c r="E102" s="1" t="s">
        <v>383</v>
      </c>
      <c r="F102" s="1" t="s">
        <v>112</v>
      </c>
      <c r="G102" s="1">
        <v>3659994</v>
      </c>
    </row>
    <row r="103" spans="1:7" x14ac:dyDescent="0.25">
      <c r="A103" s="1" t="str">
        <f t="shared" si="1"/>
        <v>15</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384</v>
      </c>
      <c r="D103" s="1" t="s">
        <v>385</v>
      </c>
      <c r="E103" s="1" t="s">
        <v>386</v>
      </c>
      <c r="F103" s="1" t="s">
        <v>112</v>
      </c>
      <c r="G103" s="1">
        <v>4049722</v>
      </c>
    </row>
    <row r="104" spans="1:7" x14ac:dyDescent="0.25">
      <c r="A104" s="1" t="str">
        <f t="shared" si="1"/>
        <v>15</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387</v>
      </c>
      <c r="D104" s="1" t="s">
        <v>388</v>
      </c>
      <c r="E104" s="1" t="s">
        <v>389</v>
      </c>
      <c r="F104" s="1" t="s">
        <v>112</v>
      </c>
      <c r="G104" s="1">
        <v>3747790</v>
      </c>
    </row>
    <row r="105" spans="1:7" x14ac:dyDescent="0.25">
      <c r="A105" s="1" t="str">
        <f t="shared" si="1"/>
        <v>15</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390</v>
      </c>
      <c r="D105" s="1" t="s">
        <v>391</v>
      </c>
      <c r="E105" s="1" t="s">
        <v>392</v>
      </c>
      <c r="F105" s="1" t="s">
        <v>112</v>
      </c>
      <c r="G105" s="1">
        <v>4060905</v>
      </c>
    </row>
    <row r="106" spans="1:7" x14ac:dyDescent="0.25">
      <c r="A106" s="1" t="str">
        <f t="shared" si="1"/>
        <v>15</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393</v>
      </c>
      <c r="D106" s="1" t="s">
        <v>394</v>
      </c>
      <c r="E106" s="1" t="s">
        <v>395</v>
      </c>
      <c r="F106" s="1" t="s">
        <v>112</v>
      </c>
      <c r="G106" s="1">
        <v>3930260</v>
      </c>
    </row>
    <row r="107" spans="1:7" x14ac:dyDescent="0.25">
      <c r="A107" s="1" t="str">
        <f t="shared" si="1"/>
        <v>15</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396</v>
      </c>
      <c r="D107" s="1" t="s">
        <v>397</v>
      </c>
      <c r="E107" s="1" t="s">
        <v>398</v>
      </c>
      <c r="F107" s="1" t="s">
        <v>112</v>
      </c>
      <c r="G107" s="1">
        <v>4364350</v>
      </c>
    </row>
    <row r="108" spans="1:7" x14ac:dyDescent="0.25">
      <c r="A108" s="1" t="str">
        <f t="shared" si="1"/>
        <v>15</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399</v>
      </c>
      <c r="D108" s="1" t="s">
        <v>400</v>
      </c>
      <c r="E108" s="1" t="s">
        <v>401</v>
      </c>
      <c r="F108" s="1" t="s">
        <v>112</v>
      </c>
      <c r="G108" s="1">
        <v>4163733</v>
      </c>
    </row>
    <row r="109" spans="1:7" x14ac:dyDescent="0.25">
      <c r="A109" s="1" t="str">
        <f t="shared" si="1"/>
        <v>15</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402</v>
      </c>
      <c r="D109" s="1" t="s">
        <v>403</v>
      </c>
      <c r="E109" s="1" t="s">
        <v>404</v>
      </c>
      <c r="F109" s="1" t="s">
        <v>112</v>
      </c>
      <c r="G109" s="1">
        <v>4923051</v>
      </c>
    </row>
    <row r="110" spans="1:7" x14ac:dyDescent="0.25">
      <c r="A110" s="1" t="str">
        <f t="shared" si="1"/>
        <v>15</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405</v>
      </c>
    </row>
    <row r="111" spans="1:7" x14ac:dyDescent="0.25">
      <c r="A111" s="1" t="str">
        <f t="shared" si="1"/>
        <v>15</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406</v>
      </c>
      <c r="D111" s="1" t="s">
        <v>407</v>
      </c>
      <c r="E111" s="1" t="s">
        <v>408</v>
      </c>
      <c r="F111" s="1" t="s">
        <v>112</v>
      </c>
      <c r="G111" s="1">
        <v>2337153</v>
      </c>
    </row>
    <row r="112" spans="1:7" x14ac:dyDescent="0.25">
      <c r="A112" s="1" t="str">
        <f t="shared" si="1"/>
        <v>15</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409</v>
      </c>
      <c r="D112" s="1" t="s">
        <v>410</v>
      </c>
      <c r="E112" s="1" t="s">
        <v>411</v>
      </c>
      <c r="F112" s="1" t="s">
        <v>112</v>
      </c>
      <c r="G112" s="1">
        <v>2072555</v>
      </c>
    </row>
    <row r="113" spans="1:10" x14ac:dyDescent="0.25">
      <c r="A113" s="1" t="str">
        <f t="shared" si="1"/>
        <v>15</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412</v>
      </c>
      <c r="D113" s="1" t="s">
        <v>413</v>
      </c>
      <c r="E113" s="1" t="s">
        <v>414</v>
      </c>
      <c r="F113" s="1" t="s">
        <v>112</v>
      </c>
      <c r="G113" s="1">
        <v>4949050</v>
      </c>
    </row>
    <row r="114" spans="1:10" x14ac:dyDescent="0.25">
      <c r="A114" s="1" t="str">
        <f t="shared" si="1"/>
        <v>15</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415</v>
      </c>
      <c r="D114" s="1" t="s">
        <v>416</v>
      </c>
      <c r="E114" s="1" t="s">
        <v>417</v>
      </c>
      <c r="F114" s="1" t="s">
        <v>112</v>
      </c>
      <c r="G114" s="1">
        <v>4289143</v>
      </c>
    </row>
    <row r="115" spans="1:10" x14ac:dyDescent="0.25">
      <c r="A115" s="1" t="str">
        <f t="shared" si="1"/>
        <v>15</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418</v>
      </c>
      <c r="D115" s="1" t="s">
        <v>419</v>
      </c>
      <c r="E115" s="1" t="s">
        <v>420</v>
      </c>
      <c r="F115" s="1" t="s">
        <v>112</v>
      </c>
      <c r="G115" s="1">
        <v>4870317</v>
      </c>
    </row>
    <row r="116" spans="1:10" x14ac:dyDescent="0.25">
      <c r="A116" s="1" t="str">
        <f t="shared" si="1"/>
        <v>15</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421</v>
      </c>
      <c r="D116" s="1" t="s">
        <v>422</v>
      </c>
      <c r="E116" s="1" t="s">
        <v>423</v>
      </c>
      <c r="F116" s="1" t="s">
        <v>112</v>
      </c>
      <c r="G116" s="1">
        <v>3162269</v>
      </c>
    </row>
    <row r="117" spans="1:10" x14ac:dyDescent="0.25">
      <c r="A117" s="1" t="str">
        <f t="shared" si="1"/>
        <v>15</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424</v>
      </c>
      <c r="D117" s="1" t="s">
        <v>425</v>
      </c>
      <c r="E117" s="1" t="s">
        <v>426</v>
      </c>
      <c r="F117" s="1" t="s">
        <v>112</v>
      </c>
      <c r="G117" s="1">
        <v>3369159</v>
      </c>
    </row>
    <row r="118" spans="1:10" x14ac:dyDescent="0.25">
      <c r="A118" s="1" t="str">
        <f t="shared" si="1"/>
        <v>15</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427</v>
      </c>
    </row>
    <row r="119" spans="1:10" x14ac:dyDescent="0.25">
      <c r="A119" s="1" t="str">
        <f t="shared" si="1"/>
        <v>15</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428</v>
      </c>
      <c r="D119" s="1" t="s">
        <v>429</v>
      </c>
      <c r="E119" s="1" t="s">
        <v>430</v>
      </c>
      <c r="F119" s="1" t="s">
        <v>112</v>
      </c>
      <c r="G119" s="1">
        <v>4988286</v>
      </c>
    </row>
    <row r="120" spans="1:10" x14ac:dyDescent="0.25">
      <c r="A120" s="1" t="str">
        <f t="shared" si="1"/>
        <v>15</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431</v>
      </c>
      <c r="D120" s="1" t="s">
        <v>432</v>
      </c>
      <c r="E120" s="1" t="s">
        <v>433</v>
      </c>
      <c r="F120" s="1" t="s">
        <v>112</v>
      </c>
      <c r="G120" s="1">
        <v>4372051</v>
      </c>
    </row>
    <row r="121" spans="1:10" x14ac:dyDescent="0.25">
      <c r="A121" s="1" t="str">
        <f t="shared" si="1"/>
        <v>15</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434</v>
      </c>
      <c r="D121" s="1" t="s">
        <v>435</v>
      </c>
      <c r="E121" s="1" t="s">
        <v>436</v>
      </c>
      <c r="F121" s="1" t="s">
        <v>112</v>
      </c>
      <c r="G121" s="1">
        <v>5044351</v>
      </c>
    </row>
    <row r="122" spans="1:10" x14ac:dyDescent="0.25">
      <c r="A122" s="1" t="str">
        <f t="shared" si="1"/>
        <v>15</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437</v>
      </c>
      <c r="D122" s="1" t="s">
        <v>438</v>
      </c>
      <c r="E122" s="1" t="s">
        <v>439</v>
      </c>
      <c r="F122" s="1" t="s">
        <v>112</v>
      </c>
      <c r="G122" s="1">
        <v>2321991</v>
      </c>
    </row>
    <row r="123" spans="1:10" x14ac:dyDescent="0.25">
      <c r="A123" s="1" t="str">
        <f t="shared" si="1"/>
        <v>15</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440</v>
      </c>
      <c r="D123" s="1" t="s">
        <v>441</v>
      </c>
      <c r="E123" s="1" t="s">
        <v>442</v>
      </c>
      <c r="F123" s="1" t="s">
        <v>112</v>
      </c>
      <c r="G123" s="1">
        <v>2562645</v>
      </c>
    </row>
    <row r="124" spans="1:10" x14ac:dyDescent="0.25">
      <c r="A124" s="1" t="str">
        <f t="shared" si="1"/>
        <v>15</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443</v>
      </c>
      <c r="D124" s="1" t="s">
        <v>444</v>
      </c>
      <c r="E124" s="1" t="s">
        <v>445</v>
      </c>
      <c r="F124" s="1" t="s">
        <v>112</v>
      </c>
      <c r="G124" s="1">
        <v>2422354</v>
      </c>
    </row>
    <row r="125" spans="1:10"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219</v>
      </c>
      <c r="D126" s="1" t="s">
        <v>112</v>
      </c>
      <c r="E126" s="1" t="s">
        <v>220</v>
      </c>
      <c r="F126" s="1" t="s">
        <v>221</v>
      </c>
      <c r="G126" s="1" t="s">
        <v>222</v>
      </c>
      <c r="H126" s="1" t="s">
        <v>223</v>
      </c>
      <c r="I126" s="1" t="s">
        <v>224</v>
      </c>
      <c r="J126" s="1" t="s">
        <v>225</v>
      </c>
    </row>
    <row r="127" spans="1:10" x14ac:dyDescent="0.25">
      <c r="A127" s="1" t="str">
        <f t="shared" si="1"/>
        <v>15</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446</v>
      </c>
      <c r="D127" s="1" t="s">
        <v>112</v>
      </c>
      <c r="E127" s="1" t="s">
        <v>447</v>
      </c>
      <c r="F127" s="1" t="s">
        <v>448</v>
      </c>
      <c r="G127" s="1" t="s">
        <v>449</v>
      </c>
      <c r="H127" s="1" t="s">
        <v>450</v>
      </c>
      <c r="I127" s="1">
        <v>24</v>
      </c>
      <c r="J127" s="1">
        <v>24</v>
      </c>
    </row>
    <row r="128" spans="1:10"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231</v>
      </c>
      <c r="D133" s="1" t="s">
        <v>110</v>
      </c>
      <c r="E133" s="1" t="s">
        <v>111</v>
      </c>
      <c r="F133" s="1" t="s">
        <v>112</v>
      </c>
      <c r="G133" s="1" t="s">
        <v>113</v>
      </c>
    </row>
    <row r="134" spans="1:7" x14ac:dyDescent="0.25">
      <c r="A134" s="1" t="str">
        <f t="shared" si="2"/>
        <v>16</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451</v>
      </c>
      <c r="D134" s="1" t="s">
        <v>452</v>
      </c>
      <c r="E134" s="1" t="s">
        <v>453</v>
      </c>
      <c r="F134" s="1" t="s">
        <v>112</v>
      </c>
      <c r="G134" s="1">
        <v>148273</v>
      </c>
    </row>
    <row r="135" spans="1:7" x14ac:dyDescent="0.25">
      <c r="A135" s="1" t="str">
        <f t="shared" si="2"/>
        <v>16</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454</v>
      </c>
      <c r="D135" s="1" t="s">
        <v>455</v>
      </c>
      <c r="E135" s="1" t="s">
        <v>456</v>
      </c>
      <c r="F135" s="1" t="s">
        <v>112</v>
      </c>
      <c r="G135" s="1">
        <v>23858</v>
      </c>
    </row>
    <row r="136" spans="1:7" x14ac:dyDescent="0.25">
      <c r="A136" s="1" t="str">
        <f t="shared" si="2"/>
        <v>16</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457</v>
      </c>
      <c r="D136" s="1" t="s">
        <v>458</v>
      </c>
      <c r="E136" s="1">
        <v>32</v>
      </c>
      <c r="F136" s="1" t="s">
        <v>112</v>
      </c>
      <c r="G136" s="1">
        <v>6922</v>
      </c>
    </row>
    <row r="137" spans="1:7" x14ac:dyDescent="0.25">
      <c r="A137" s="1" t="str">
        <f t="shared" si="2"/>
        <v>16</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459</v>
      </c>
      <c r="D137" s="1" t="s">
        <v>460</v>
      </c>
      <c r="E137" s="1" t="s">
        <v>461</v>
      </c>
      <c r="F137" s="1" t="s">
        <v>112</v>
      </c>
      <c r="G137" s="1">
        <v>73217</v>
      </c>
    </row>
    <row r="138" spans="1:7" x14ac:dyDescent="0.25">
      <c r="A138" s="1" t="str">
        <f t="shared" si="2"/>
        <v>16</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462</v>
      </c>
      <c r="D138" s="1" t="s">
        <v>463</v>
      </c>
      <c r="E138" s="1" t="s">
        <v>464</v>
      </c>
      <c r="F138" s="1" t="s">
        <v>112</v>
      </c>
      <c r="G138" s="1">
        <v>104818</v>
      </c>
    </row>
    <row r="139" spans="1:7" x14ac:dyDescent="0.25">
      <c r="A139" s="1" t="str">
        <f t="shared" si="2"/>
        <v>16</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465</v>
      </c>
      <c r="D139" s="1" t="s">
        <v>466</v>
      </c>
      <c r="E139" s="1" t="s">
        <v>467</v>
      </c>
      <c r="F139" s="1" t="s">
        <v>112</v>
      </c>
      <c r="G139" s="1">
        <v>105446</v>
      </c>
    </row>
    <row r="140" spans="1:7" x14ac:dyDescent="0.25">
      <c r="A140" s="1" t="str">
        <f t="shared" si="2"/>
        <v>16</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468</v>
      </c>
      <c r="D140" s="1" t="s">
        <v>469</v>
      </c>
      <c r="E140" s="1" t="s">
        <v>470</v>
      </c>
      <c r="F140" s="1" t="s">
        <v>112</v>
      </c>
      <c r="G140" s="1">
        <v>98438</v>
      </c>
    </row>
    <row r="141" spans="1:7" x14ac:dyDescent="0.25">
      <c r="A141" s="1" t="str">
        <f t="shared" si="2"/>
        <v>16</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471</v>
      </c>
    </row>
    <row r="142" spans="1:7" x14ac:dyDescent="0.25">
      <c r="A142" s="1" t="str">
        <f t="shared" si="2"/>
        <v>16</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472</v>
      </c>
      <c r="D142" s="1" t="s">
        <v>473</v>
      </c>
      <c r="E142" s="1" t="s">
        <v>474</v>
      </c>
      <c r="F142" s="1" t="s">
        <v>112</v>
      </c>
      <c r="G142" s="1">
        <v>20008</v>
      </c>
    </row>
    <row r="143" spans="1:7" x14ac:dyDescent="0.25">
      <c r="A143" s="1" t="str">
        <f t="shared" si="2"/>
        <v>16</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475</v>
      </c>
      <c r="D143" s="1" t="s">
        <v>476</v>
      </c>
      <c r="E143" s="1" t="s">
        <v>477</v>
      </c>
      <c r="F143" s="1" t="s">
        <v>112</v>
      </c>
      <c r="G143" s="1">
        <v>331846</v>
      </c>
    </row>
    <row r="144" spans="1:7" x14ac:dyDescent="0.25">
      <c r="A144" s="1" t="str">
        <f t="shared" si="2"/>
        <v>16</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478</v>
      </c>
      <c r="D144" s="1" t="s">
        <v>479</v>
      </c>
      <c r="E144" s="1" t="s">
        <v>480</v>
      </c>
      <c r="F144" s="1" t="s">
        <v>112</v>
      </c>
      <c r="G144" s="1">
        <v>91905</v>
      </c>
    </row>
    <row r="145" spans="1:10" x14ac:dyDescent="0.25">
      <c r="A145" s="1" t="str">
        <f t="shared" si="2"/>
        <v>16</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481</v>
      </c>
      <c r="D145" s="1" t="s">
        <v>482</v>
      </c>
      <c r="E145" s="1" t="s">
        <v>483</v>
      </c>
      <c r="F145" s="1" t="s">
        <v>112</v>
      </c>
      <c r="G145" s="1">
        <v>112865</v>
      </c>
    </row>
    <row r="146" spans="1:10" x14ac:dyDescent="0.25">
      <c r="A146" s="1" t="str">
        <f t="shared" si="2"/>
        <v>16</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484</v>
      </c>
      <c r="D146" s="1" t="s">
        <v>485</v>
      </c>
      <c r="E146" s="1" t="s">
        <v>486</v>
      </c>
      <c r="F146" s="1" t="s">
        <v>112</v>
      </c>
      <c r="G146" s="1">
        <v>152707</v>
      </c>
    </row>
    <row r="147" spans="1:10" x14ac:dyDescent="0.25">
      <c r="A147" s="1" t="str">
        <f t="shared" si="2"/>
        <v>16</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487</v>
      </c>
    </row>
    <row r="148" spans="1:10" x14ac:dyDescent="0.25">
      <c r="A148" s="1" t="str">
        <f t="shared" si="2"/>
        <v>16</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488</v>
      </c>
    </row>
    <row r="149" spans="1:10" x14ac:dyDescent="0.25">
      <c r="A149" s="1" t="str">
        <f t="shared" si="2"/>
        <v>16</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489</v>
      </c>
      <c r="D149" s="1" t="s">
        <v>490</v>
      </c>
      <c r="E149" s="1" t="s">
        <v>491</v>
      </c>
      <c r="F149" s="1" t="s">
        <v>112</v>
      </c>
      <c r="G149" s="1">
        <v>414580</v>
      </c>
    </row>
    <row r="150" spans="1:10" x14ac:dyDescent="0.25">
      <c r="A150" s="1" t="str">
        <f t="shared" si="2"/>
        <v>16</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492</v>
      </c>
      <c r="D150" s="1" t="s">
        <v>493</v>
      </c>
      <c r="E150" s="1" t="s">
        <v>494</v>
      </c>
      <c r="F150" s="1" t="s">
        <v>112</v>
      </c>
      <c r="G150" s="1">
        <v>218895</v>
      </c>
    </row>
    <row r="151" spans="1:10" x14ac:dyDescent="0.25">
      <c r="A151" s="1" t="str">
        <f t="shared" si="2"/>
        <v>16</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495</v>
      </c>
      <c r="D151" s="1" t="s">
        <v>496</v>
      </c>
      <c r="E151" s="1" t="s">
        <v>497</v>
      </c>
      <c r="F151" s="1" t="s">
        <v>112</v>
      </c>
      <c r="G151" s="1">
        <v>165642</v>
      </c>
    </row>
    <row r="152" spans="1:10" x14ac:dyDescent="0.25">
      <c r="A152" s="1" t="str">
        <f t="shared" si="2"/>
        <v>16</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498</v>
      </c>
      <c r="D152" s="1" t="s">
        <v>499</v>
      </c>
      <c r="E152" s="1" t="s">
        <v>500</v>
      </c>
      <c r="F152" s="1" t="s">
        <v>112</v>
      </c>
      <c r="G152" s="1">
        <v>55805</v>
      </c>
    </row>
    <row r="153" spans="1:10" x14ac:dyDescent="0.25">
      <c r="A153" s="1" t="str">
        <f t="shared" si="2"/>
        <v>16</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501</v>
      </c>
      <c r="D153" s="1" t="s">
        <v>502</v>
      </c>
      <c r="E153" s="1" t="s">
        <v>503</v>
      </c>
      <c r="F153" s="1" t="s">
        <v>112</v>
      </c>
      <c r="G153" s="1">
        <v>31104</v>
      </c>
    </row>
    <row r="154" spans="1:10" x14ac:dyDescent="0.25">
      <c r="A154" s="1" t="str">
        <f t="shared" si="2"/>
        <v>16</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504</v>
      </c>
      <c r="D154" s="1" t="s">
        <v>505</v>
      </c>
      <c r="E154" s="1" t="s">
        <v>506</v>
      </c>
      <c r="F154" s="1" t="s">
        <v>112</v>
      </c>
      <c r="G154" s="1">
        <v>125929</v>
      </c>
    </row>
    <row r="155" spans="1:10" x14ac:dyDescent="0.25">
      <c r="A155" s="1" t="str">
        <f t="shared" si="2"/>
        <v>16</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507</v>
      </c>
      <c r="D155" s="1" t="s">
        <v>508</v>
      </c>
      <c r="E155" s="1" t="s">
        <v>509</v>
      </c>
      <c r="F155" s="1" t="s">
        <v>112</v>
      </c>
      <c r="G155" s="1">
        <v>154481</v>
      </c>
    </row>
    <row r="156" spans="1:10" x14ac:dyDescent="0.25">
      <c r="A156" s="1" t="str">
        <f t="shared" si="2"/>
        <v>16</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510</v>
      </c>
      <c r="D156" s="1" t="s">
        <v>511</v>
      </c>
      <c r="E156" s="1" t="s">
        <v>512</v>
      </c>
      <c r="F156" s="1" t="s">
        <v>112</v>
      </c>
      <c r="G156" s="1">
        <v>95345</v>
      </c>
    </row>
    <row r="157" spans="1:10" x14ac:dyDescent="0.25">
      <c r="A157" s="1" t="str">
        <f t="shared" si="2"/>
        <v>16</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513</v>
      </c>
      <c r="D157" s="1" t="s">
        <v>514</v>
      </c>
      <c r="E157" s="1" t="s">
        <v>515</v>
      </c>
      <c r="F157" s="1" t="s">
        <v>112</v>
      </c>
      <c r="G157" s="1">
        <v>163198</v>
      </c>
    </row>
    <row r="158" spans="1:10"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219</v>
      </c>
      <c r="D159" s="1" t="s">
        <v>112</v>
      </c>
      <c r="E159" s="1" t="s">
        <v>220</v>
      </c>
      <c r="F159" s="1" t="s">
        <v>221</v>
      </c>
      <c r="G159" s="1" t="s">
        <v>222</v>
      </c>
      <c r="H159" s="1" t="s">
        <v>223</v>
      </c>
      <c r="I159" s="1" t="s">
        <v>224</v>
      </c>
      <c r="J159" s="1" t="s">
        <v>225</v>
      </c>
    </row>
    <row r="160" spans="1:10" x14ac:dyDescent="0.25">
      <c r="A160" s="1" t="str">
        <f t="shared" si="2"/>
        <v>16</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516</v>
      </c>
      <c r="D160" s="1" t="s">
        <v>112</v>
      </c>
      <c r="E160" s="1" t="s">
        <v>517</v>
      </c>
      <c r="F160" s="1" t="s">
        <v>518</v>
      </c>
      <c r="G160" s="1" t="s">
        <v>519</v>
      </c>
      <c r="H160" s="1" t="s">
        <v>520</v>
      </c>
      <c r="I160" s="1">
        <v>23</v>
      </c>
      <c r="J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231</v>
      </c>
      <c r="D166" s="1" t="s">
        <v>110</v>
      </c>
      <c r="E166" s="1" t="s">
        <v>111</v>
      </c>
      <c r="F166" s="1" t="s">
        <v>112</v>
      </c>
      <c r="G166" s="1" t="s">
        <v>113</v>
      </c>
    </row>
    <row r="167" spans="1:7" x14ac:dyDescent="0.25">
      <c r="A167" s="1" t="str">
        <f t="shared" si="2"/>
        <v>2</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521</v>
      </c>
      <c r="D167" s="1" t="s">
        <v>522</v>
      </c>
      <c r="E167" s="1" t="s">
        <v>523</v>
      </c>
      <c r="F167" s="1" t="s">
        <v>112</v>
      </c>
      <c r="G167" s="1">
        <v>83535</v>
      </c>
    </row>
    <row r="168" spans="1:7" x14ac:dyDescent="0.25">
      <c r="A168" s="1" t="str">
        <f t="shared" si="2"/>
        <v>2</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524</v>
      </c>
      <c r="D168" s="1" t="s">
        <v>525</v>
      </c>
      <c r="E168" s="1" t="s">
        <v>526</v>
      </c>
      <c r="F168" s="1" t="s">
        <v>112</v>
      </c>
      <c r="G168" s="1">
        <v>114033</v>
      </c>
    </row>
    <row r="169" spans="1:7" x14ac:dyDescent="0.25">
      <c r="A169" s="1" t="str">
        <f t="shared" si="2"/>
        <v>2</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527</v>
      </c>
      <c r="D169" s="1" t="s">
        <v>528</v>
      </c>
      <c r="E169" s="1" t="s">
        <v>529</v>
      </c>
      <c r="F169" s="1" t="s">
        <v>112</v>
      </c>
      <c r="G169" s="1">
        <v>86152</v>
      </c>
    </row>
    <row r="170" spans="1:7" x14ac:dyDescent="0.25">
      <c r="A170" s="1" t="str">
        <f t="shared" si="2"/>
        <v>2</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530</v>
      </c>
      <c r="D170" s="1" t="s">
        <v>531</v>
      </c>
      <c r="E170" s="1" t="s">
        <v>532</v>
      </c>
      <c r="F170" s="1" t="s">
        <v>112</v>
      </c>
      <c r="G170" s="1">
        <v>241238</v>
      </c>
    </row>
    <row r="171" spans="1:7" x14ac:dyDescent="0.25">
      <c r="A171" s="1" t="str">
        <f t="shared" si="2"/>
        <v>2</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533</v>
      </c>
      <c r="D171" s="1" t="s">
        <v>534</v>
      </c>
      <c r="E171" s="1" t="s">
        <v>535</v>
      </c>
      <c r="F171" s="1" t="s">
        <v>112</v>
      </c>
      <c r="G171" s="1">
        <v>179961</v>
      </c>
    </row>
    <row r="172" spans="1:7" x14ac:dyDescent="0.25">
      <c r="A172" s="1" t="str">
        <f t="shared" si="2"/>
        <v>2</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536</v>
      </c>
      <c r="D172" s="1" t="s">
        <v>537</v>
      </c>
      <c r="E172" s="1" t="s">
        <v>538</v>
      </c>
      <c r="F172" s="1" t="s">
        <v>112</v>
      </c>
      <c r="G172" s="1">
        <v>233906</v>
      </c>
    </row>
    <row r="173" spans="1:7" x14ac:dyDescent="0.25">
      <c r="A173" s="1" t="str">
        <f t="shared" si="2"/>
        <v>2</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539</v>
      </c>
      <c r="D173" s="1" t="s">
        <v>540</v>
      </c>
      <c r="E173" s="1" t="s">
        <v>541</v>
      </c>
      <c r="F173" s="1" t="s">
        <v>112</v>
      </c>
      <c r="G173" s="1">
        <v>9474</v>
      </c>
    </row>
    <row r="174" spans="1:7" x14ac:dyDescent="0.25">
      <c r="A174" s="1" t="str">
        <f t="shared" si="2"/>
        <v>2</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542</v>
      </c>
      <c r="D174" s="1" t="s">
        <v>543</v>
      </c>
      <c r="E174" s="1" t="s">
        <v>544</v>
      </c>
      <c r="F174" s="1" t="s">
        <v>112</v>
      </c>
      <c r="G174" s="1">
        <v>155346</v>
      </c>
    </row>
    <row r="175" spans="1:7" x14ac:dyDescent="0.25">
      <c r="A175" s="1" t="str">
        <f t="shared" si="2"/>
        <v>2</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545</v>
      </c>
      <c r="D175" s="1" t="s">
        <v>546</v>
      </c>
      <c r="E175" s="1" t="s">
        <v>547</v>
      </c>
      <c r="F175" s="1" t="s">
        <v>112</v>
      </c>
      <c r="G175" s="1">
        <v>249869</v>
      </c>
    </row>
    <row r="176" spans="1:7" x14ac:dyDescent="0.25">
      <c r="A176" s="1" t="str">
        <f t="shared" si="2"/>
        <v>2</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548</v>
      </c>
      <c r="D176" s="1" t="s">
        <v>549</v>
      </c>
      <c r="E176" s="1" t="s">
        <v>550</v>
      </c>
      <c r="F176" s="1" t="s">
        <v>112</v>
      </c>
      <c r="G176" s="1">
        <v>140854</v>
      </c>
    </row>
    <row r="177" spans="1:10" x14ac:dyDescent="0.25">
      <c r="A177" s="1" t="str">
        <f t="shared" si="2"/>
        <v>2</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551</v>
      </c>
      <c r="D177" s="1" t="s">
        <v>552</v>
      </c>
      <c r="E177" s="1" t="s">
        <v>553</v>
      </c>
      <c r="F177" s="1" t="s">
        <v>112</v>
      </c>
      <c r="G177" s="1">
        <v>169557</v>
      </c>
    </row>
    <row r="178" spans="1:10" x14ac:dyDescent="0.25">
      <c r="A178" s="1" t="str">
        <f t="shared" si="2"/>
        <v>2</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554</v>
      </c>
      <c r="D178" s="1" t="s">
        <v>555</v>
      </c>
      <c r="E178" s="1" t="s">
        <v>556</v>
      </c>
      <c r="F178" s="1" t="s">
        <v>112</v>
      </c>
      <c r="G178" s="1">
        <v>204705</v>
      </c>
    </row>
    <row r="179" spans="1:10" x14ac:dyDescent="0.25">
      <c r="A179" s="1" t="str">
        <f t="shared" si="2"/>
        <v>2</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557</v>
      </c>
      <c r="D179" s="1" t="s">
        <v>558</v>
      </c>
      <c r="E179" s="1" t="s">
        <v>559</v>
      </c>
      <c r="F179" s="1" t="s">
        <v>112</v>
      </c>
      <c r="G179" s="1">
        <v>251491</v>
      </c>
    </row>
    <row r="180" spans="1:10" x14ac:dyDescent="0.25">
      <c r="A180" s="1" t="str">
        <f t="shared" si="2"/>
        <v>2</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560</v>
      </c>
      <c r="D180" s="1" t="s">
        <v>561</v>
      </c>
      <c r="E180" s="1" t="s">
        <v>562</v>
      </c>
      <c r="F180" s="1" t="s">
        <v>112</v>
      </c>
      <c r="G180" s="1">
        <v>254195</v>
      </c>
    </row>
    <row r="181" spans="1:10" x14ac:dyDescent="0.25">
      <c r="A181" s="1" t="str">
        <f t="shared" si="2"/>
        <v>2</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563</v>
      </c>
      <c r="D181" s="1" t="s">
        <v>564</v>
      </c>
      <c r="E181" s="1" t="s">
        <v>565</v>
      </c>
      <c r="F181" s="1" t="s">
        <v>112</v>
      </c>
      <c r="G181" s="1">
        <v>275132</v>
      </c>
    </row>
    <row r="182" spans="1:10" x14ac:dyDescent="0.25">
      <c r="A182" s="1" t="str">
        <f t="shared" si="2"/>
        <v>2</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566</v>
      </c>
      <c r="D182" s="1" t="s">
        <v>567</v>
      </c>
      <c r="E182" s="1" t="s">
        <v>568</v>
      </c>
      <c r="F182" s="1" t="s">
        <v>112</v>
      </c>
      <c r="G182" s="1">
        <v>124826</v>
      </c>
    </row>
    <row r="183" spans="1:10" x14ac:dyDescent="0.25">
      <c r="A183" s="1" t="str">
        <f t="shared" si="2"/>
        <v>2</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569</v>
      </c>
      <c r="D183" s="1" t="s">
        <v>570</v>
      </c>
      <c r="E183" s="1" t="s">
        <v>571</v>
      </c>
      <c r="F183" s="1" t="s">
        <v>112</v>
      </c>
      <c r="G183" s="1">
        <v>223242</v>
      </c>
    </row>
    <row r="184" spans="1:10" x14ac:dyDescent="0.25">
      <c r="A184" s="1" t="str">
        <f t="shared" si="2"/>
        <v>2</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572</v>
      </c>
      <c r="D184" s="1" t="s">
        <v>573</v>
      </c>
      <c r="E184" s="1" t="s">
        <v>574</v>
      </c>
      <c r="F184" s="1" t="s">
        <v>112</v>
      </c>
      <c r="G184" s="1">
        <v>297260</v>
      </c>
    </row>
    <row r="185" spans="1:10" x14ac:dyDescent="0.25">
      <c r="A185" s="1" t="str">
        <f t="shared" si="2"/>
        <v>2</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575</v>
      </c>
      <c r="D185" s="1" t="s">
        <v>576</v>
      </c>
      <c r="E185" s="1" t="s">
        <v>474</v>
      </c>
      <c r="F185" s="1" t="s">
        <v>112</v>
      </c>
      <c r="G185" s="1">
        <v>4002</v>
      </c>
    </row>
    <row r="186" spans="1:10" x14ac:dyDescent="0.25">
      <c r="A186" s="1" t="str">
        <f t="shared" si="2"/>
        <v>2</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577</v>
      </c>
      <c r="D186" s="1" t="s">
        <v>511</v>
      </c>
      <c r="E186" s="1" t="s">
        <v>578</v>
      </c>
      <c r="F186" s="1" t="s">
        <v>112</v>
      </c>
      <c r="G186" s="1">
        <v>97919</v>
      </c>
    </row>
    <row r="187" spans="1:10" x14ac:dyDescent="0.25">
      <c r="A187" s="1" t="str">
        <f t="shared" si="2"/>
        <v>2</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579</v>
      </c>
      <c r="D187" s="1" t="s">
        <v>580</v>
      </c>
      <c r="E187" s="1" t="s">
        <v>581</v>
      </c>
      <c r="F187" s="1" t="s">
        <v>112</v>
      </c>
      <c r="G187" s="1">
        <v>154784</v>
      </c>
    </row>
    <row r="188" spans="1:10" x14ac:dyDescent="0.25">
      <c r="A188" s="1" t="str">
        <f t="shared" si="2"/>
        <v>2</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582</v>
      </c>
      <c r="D188" s="1" t="s">
        <v>583</v>
      </c>
      <c r="E188" s="1" t="s">
        <v>584</v>
      </c>
      <c r="F188" s="1" t="s">
        <v>112</v>
      </c>
      <c r="G188" s="1">
        <v>221079</v>
      </c>
    </row>
    <row r="189" spans="1:10" x14ac:dyDescent="0.25">
      <c r="A189" s="1" t="str">
        <f t="shared" si="2"/>
        <v>2</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585</v>
      </c>
      <c r="D189" s="1" t="s">
        <v>586</v>
      </c>
      <c r="E189" s="1" t="s">
        <v>587</v>
      </c>
      <c r="F189" s="1" t="s">
        <v>112</v>
      </c>
      <c r="G189" s="1">
        <v>167999</v>
      </c>
    </row>
    <row r="190" spans="1:10" x14ac:dyDescent="0.25">
      <c r="A190" s="1" t="str">
        <f t="shared" si="2"/>
        <v>2</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588</v>
      </c>
      <c r="D190" s="1" t="s">
        <v>589</v>
      </c>
      <c r="E190" s="1" t="s">
        <v>590</v>
      </c>
      <c r="F190" s="1" t="s">
        <v>112</v>
      </c>
      <c r="G190" s="1">
        <v>218440</v>
      </c>
    </row>
    <row r="191" spans="1:10"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219</v>
      </c>
      <c r="D192" s="1" t="s">
        <v>112</v>
      </c>
      <c r="E192" s="1" t="s">
        <v>220</v>
      </c>
      <c r="F192" s="1" t="s">
        <v>221</v>
      </c>
      <c r="G192" s="1" t="s">
        <v>222</v>
      </c>
      <c r="H192" s="1" t="s">
        <v>223</v>
      </c>
      <c r="I192" s="1" t="s">
        <v>224</v>
      </c>
      <c r="J192" s="1" t="s">
        <v>225</v>
      </c>
    </row>
    <row r="193" spans="1:10" x14ac:dyDescent="0.25">
      <c r="A193" s="1" t="str">
        <f t="shared" si="2"/>
        <v>2</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591</v>
      </c>
      <c r="D193" s="1" t="s">
        <v>112</v>
      </c>
      <c r="E193" s="1" t="s">
        <v>592</v>
      </c>
      <c r="F193" s="1" t="s">
        <v>593</v>
      </c>
      <c r="G193" s="1" t="s">
        <v>594</v>
      </c>
      <c r="H193" s="1" t="s">
        <v>595</v>
      </c>
      <c r="I193" s="1">
        <v>24</v>
      </c>
      <c r="J193" s="1">
        <v>24</v>
      </c>
    </row>
    <row r="194" spans="1:10"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231</v>
      </c>
      <c r="D199" s="1" t="s">
        <v>110</v>
      </c>
      <c r="E199" s="1" t="s">
        <v>111</v>
      </c>
      <c r="F199" s="1" t="s">
        <v>112</v>
      </c>
      <c r="G199" s="1" t="s">
        <v>113</v>
      </c>
    </row>
    <row r="200" spans="1:10" x14ac:dyDescent="0.25">
      <c r="A200" s="1" t="str">
        <f t="shared" si="3"/>
        <v>3</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596</v>
      </c>
      <c r="D200" s="1" t="s">
        <v>597</v>
      </c>
      <c r="E200" s="1" t="s">
        <v>598</v>
      </c>
      <c r="F200" s="1" t="s">
        <v>112</v>
      </c>
      <c r="G200" s="1">
        <v>264988</v>
      </c>
    </row>
    <row r="201" spans="1:10" x14ac:dyDescent="0.25">
      <c r="A201" s="1" t="str">
        <f t="shared" si="3"/>
        <v>3</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599</v>
      </c>
      <c r="D201" s="1" t="s">
        <v>600</v>
      </c>
      <c r="E201" s="1" t="s">
        <v>601</v>
      </c>
      <c r="F201" s="1" t="s">
        <v>112</v>
      </c>
      <c r="G201" s="1">
        <v>296438</v>
      </c>
    </row>
    <row r="202" spans="1:10" x14ac:dyDescent="0.25">
      <c r="A202" s="1" t="str">
        <f t="shared" si="3"/>
        <v>3</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602</v>
      </c>
      <c r="D202" s="1">
        <v>0</v>
      </c>
      <c r="E202" s="1">
        <v>0</v>
      </c>
      <c r="F202" s="1" t="s">
        <v>112</v>
      </c>
      <c r="G202" s="1">
        <v>0</v>
      </c>
    </row>
    <row r="203" spans="1:10" x14ac:dyDescent="0.25">
      <c r="A203" s="1" t="str">
        <f t="shared" si="3"/>
        <v>3</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603</v>
      </c>
      <c r="D203" s="1" t="s">
        <v>604</v>
      </c>
      <c r="E203" s="1" t="s">
        <v>605</v>
      </c>
      <c r="F203" s="1" t="s">
        <v>112</v>
      </c>
      <c r="G203" s="1">
        <v>1493761</v>
      </c>
    </row>
    <row r="204" spans="1:10" x14ac:dyDescent="0.25">
      <c r="A204" s="1" t="str">
        <f t="shared" si="3"/>
        <v>3</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606</v>
      </c>
      <c r="D204" s="1" t="s">
        <v>607</v>
      </c>
      <c r="E204" s="1" t="s">
        <v>608</v>
      </c>
      <c r="F204" s="1" t="s">
        <v>112</v>
      </c>
      <c r="G204" s="1">
        <v>1168858</v>
      </c>
    </row>
    <row r="205" spans="1:10" x14ac:dyDescent="0.25">
      <c r="A205" s="1" t="str">
        <f t="shared" si="3"/>
        <v>3</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609</v>
      </c>
      <c r="D205" s="1" t="s">
        <v>610</v>
      </c>
      <c r="E205" s="1" t="s">
        <v>611</v>
      </c>
      <c r="F205" s="1" t="s">
        <v>112</v>
      </c>
      <c r="G205" s="1">
        <v>1371876</v>
      </c>
    </row>
    <row r="206" spans="1:10" x14ac:dyDescent="0.25">
      <c r="A206" s="1" t="str">
        <f t="shared" si="3"/>
        <v>3</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612</v>
      </c>
      <c r="D206" s="1" t="s">
        <v>613</v>
      </c>
      <c r="E206" s="1" t="s">
        <v>614</v>
      </c>
      <c r="F206" s="1" t="s">
        <v>112</v>
      </c>
      <c r="G206" s="1">
        <v>100363</v>
      </c>
    </row>
    <row r="207" spans="1:10" x14ac:dyDescent="0.25">
      <c r="A207" s="1" t="str">
        <f t="shared" si="3"/>
        <v>3</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615</v>
      </c>
      <c r="D207" s="1" t="s">
        <v>616</v>
      </c>
      <c r="E207" s="1" t="s">
        <v>617</v>
      </c>
      <c r="F207" s="1" t="s">
        <v>112</v>
      </c>
      <c r="G207" s="1">
        <v>85438</v>
      </c>
    </row>
    <row r="208" spans="1:10" x14ac:dyDescent="0.25">
      <c r="A208" s="1" t="str">
        <f t="shared" si="3"/>
        <v>3</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618</v>
      </c>
      <c r="D208" s="1" t="s">
        <v>619</v>
      </c>
      <c r="E208" s="1" t="s">
        <v>620</v>
      </c>
      <c r="F208" s="1" t="s">
        <v>112</v>
      </c>
      <c r="G208" s="1">
        <v>50679</v>
      </c>
    </row>
    <row r="209" spans="1:7" x14ac:dyDescent="0.25">
      <c r="A209" s="1" t="str">
        <f t="shared" si="3"/>
        <v>3</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621</v>
      </c>
      <c r="D209" s="1" t="s">
        <v>622</v>
      </c>
      <c r="E209" s="1" t="s">
        <v>623</v>
      </c>
      <c r="F209" s="1" t="s">
        <v>112</v>
      </c>
      <c r="G209" s="1">
        <v>221058</v>
      </c>
    </row>
    <row r="210" spans="1:7" x14ac:dyDescent="0.25">
      <c r="A210" s="1" t="str">
        <f t="shared" si="3"/>
        <v>3</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624</v>
      </c>
      <c r="D210" s="1" t="s">
        <v>561</v>
      </c>
      <c r="E210" s="1" t="s">
        <v>625</v>
      </c>
      <c r="F210" s="1" t="s">
        <v>112</v>
      </c>
      <c r="G210" s="1">
        <v>219543</v>
      </c>
    </row>
    <row r="211" spans="1:7" x14ac:dyDescent="0.25">
      <c r="A211" s="1" t="str">
        <f t="shared" si="3"/>
        <v>3</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626</v>
      </c>
      <c r="D211" s="1" t="s">
        <v>627</v>
      </c>
      <c r="E211" s="1" t="s">
        <v>628</v>
      </c>
      <c r="F211" s="1" t="s">
        <v>112</v>
      </c>
      <c r="G211" s="1">
        <v>134776</v>
      </c>
    </row>
    <row r="212" spans="1:7" x14ac:dyDescent="0.25">
      <c r="A212" s="1" t="str">
        <f t="shared" si="3"/>
        <v>3</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629</v>
      </c>
      <c r="D212" s="1">
        <v>0</v>
      </c>
      <c r="E212" s="1">
        <v>0</v>
      </c>
      <c r="F212" s="1" t="s">
        <v>112</v>
      </c>
      <c r="G212" s="1">
        <v>0</v>
      </c>
    </row>
    <row r="213" spans="1:7" x14ac:dyDescent="0.25">
      <c r="A213" s="1" t="str">
        <f t="shared" si="3"/>
        <v>3</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630</v>
      </c>
      <c r="D213" s="1" t="s">
        <v>631</v>
      </c>
      <c r="E213" s="1" t="s">
        <v>632</v>
      </c>
      <c r="F213" s="1" t="s">
        <v>112</v>
      </c>
      <c r="G213" s="1">
        <v>63700</v>
      </c>
    </row>
    <row r="214" spans="1:7" x14ac:dyDescent="0.25">
      <c r="A214" s="1" t="str">
        <f t="shared" si="3"/>
        <v>3</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633</v>
      </c>
      <c r="D214" s="1" t="s">
        <v>634</v>
      </c>
      <c r="E214" s="1" t="s">
        <v>635</v>
      </c>
      <c r="F214" s="1" t="s">
        <v>112</v>
      </c>
      <c r="G214" s="1">
        <v>107241</v>
      </c>
    </row>
    <row r="215" spans="1:7" x14ac:dyDescent="0.25">
      <c r="A215" s="1" t="str">
        <f t="shared" si="3"/>
        <v>3</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636</v>
      </c>
    </row>
    <row r="216" spans="1:7" x14ac:dyDescent="0.25">
      <c r="A216" s="1" t="str">
        <f t="shared" si="3"/>
        <v>3</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637</v>
      </c>
    </row>
    <row r="217" spans="1:7" x14ac:dyDescent="0.25">
      <c r="A217" s="1" t="str">
        <f t="shared" si="3"/>
        <v>3</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638</v>
      </c>
    </row>
    <row r="218" spans="1:7" x14ac:dyDescent="0.25">
      <c r="A218" s="1" t="str">
        <f t="shared" si="3"/>
        <v>3</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639</v>
      </c>
    </row>
    <row r="219" spans="1:7" x14ac:dyDescent="0.25">
      <c r="A219" s="1" t="str">
        <f t="shared" si="3"/>
        <v>3</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640</v>
      </c>
      <c r="D219" s="1" t="s">
        <v>641</v>
      </c>
      <c r="E219" s="1" t="s">
        <v>642</v>
      </c>
      <c r="F219" s="1" t="s">
        <v>112</v>
      </c>
      <c r="G219" s="1">
        <v>144509</v>
      </c>
    </row>
    <row r="220" spans="1:7" x14ac:dyDescent="0.25">
      <c r="A220" s="1" t="str">
        <f t="shared" si="3"/>
        <v>3</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643</v>
      </c>
    </row>
    <row r="221" spans="1:7" x14ac:dyDescent="0.25">
      <c r="A221" s="1" t="str">
        <f t="shared" si="3"/>
        <v>3</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644</v>
      </c>
      <c r="D221" s="1" t="s">
        <v>645</v>
      </c>
      <c r="E221" s="1" t="s">
        <v>646</v>
      </c>
      <c r="F221" s="1" t="s">
        <v>112</v>
      </c>
      <c r="G221" s="1">
        <v>66815</v>
      </c>
    </row>
    <row r="222" spans="1:7" x14ac:dyDescent="0.25">
      <c r="A222" s="1" t="str">
        <f t="shared" si="3"/>
        <v>3</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647</v>
      </c>
      <c r="D222" s="1" t="s">
        <v>648</v>
      </c>
      <c r="E222" s="1" t="s">
        <v>649</v>
      </c>
      <c r="F222" s="1" t="s">
        <v>112</v>
      </c>
      <c r="G222" s="1">
        <v>28487</v>
      </c>
    </row>
    <row r="223" spans="1:7" x14ac:dyDescent="0.25">
      <c r="A223" s="1" t="str">
        <f t="shared" si="3"/>
        <v>3</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650</v>
      </c>
      <c r="D223" s="1" t="s">
        <v>651</v>
      </c>
      <c r="E223" s="1" t="s">
        <v>652</v>
      </c>
      <c r="F223" s="1" t="s">
        <v>112</v>
      </c>
      <c r="G223" s="1">
        <v>88163</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219</v>
      </c>
      <c r="D225" s="1" t="s">
        <v>112</v>
      </c>
      <c r="E225" s="1" t="s">
        <v>220</v>
      </c>
      <c r="F225" s="1" t="s">
        <v>221</v>
      </c>
      <c r="G225" s="1" t="s">
        <v>222</v>
      </c>
      <c r="H225" s="1" t="s">
        <v>223</v>
      </c>
      <c r="I225" s="1" t="s">
        <v>224</v>
      </c>
      <c r="J225" s="1" t="s">
        <v>225</v>
      </c>
    </row>
    <row r="226" spans="1:10" x14ac:dyDescent="0.25">
      <c r="A226" s="1" t="str">
        <f t="shared" si="3"/>
        <v>3</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653</v>
      </c>
      <c r="D226" s="1" t="s">
        <v>112</v>
      </c>
      <c r="E226" s="1" t="s">
        <v>654</v>
      </c>
      <c r="F226" s="1" t="s">
        <v>655</v>
      </c>
      <c r="G226" s="1" t="s">
        <v>656</v>
      </c>
      <c r="H226" s="1" t="s">
        <v>657</v>
      </c>
      <c r="I226" s="1">
        <v>22</v>
      </c>
      <c r="J226" s="1">
        <v>24</v>
      </c>
    </row>
    <row r="227" spans="1:10"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231</v>
      </c>
      <c r="D232" s="1" t="s">
        <v>110</v>
      </c>
      <c r="E232" s="1" t="s">
        <v>111</v>
      </c>
      <c r="F232" s="1" t="s">
        <v>112</v>
      </c>
      <c r="G232" s="1" t="s">
        <v>113</v>
      </c>
    </row>
    <row r="233" spans="1:10" x14ac:dyDescent="0.25">
      <c r="A233" s="1" t="str">
        <f t="shared" si="3"/>
        <v>4</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658</v>
      </c>
      <c r="D233" s="1" t="s">
        <v>659</v>
      </c>
      <c r="E233" s="1" t="s">
        <v>660</v>
      </c>
      <c r="F233" s="1" t="s">
        <v>112</v>
      </c>
      <c r="G233" s="1">
        <v>321572</v>
      </c>
    </row>
    <row r="234" spans="1:10" x14ac:dyDescent="0.25">
      <c r="A234" s="1" t="str">
        <f t="shared" si="3"/>
        <v>4</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661</v>
      </c>
    </row>
    <row r="235" spans="1:10" x14ac:dyDescent="0.25">
      <c r="A235" s="1" t="str">
        <f t="shared" si="3"/>
        <v>4</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662</v>
      </c>
      <c r="D235" s="1" t="s">
        <v>663</v>
      </c>
      <c r="E235" s="1" t="s">
        <v>664</v>
      </c>
      <c r="F235" s="1" t="s">
        <v>112</v>
      </c>
      <c r="G235" s="1">
        <v>238902</v>
      </c>
    </row>
    <row r="236" spans="1:10" x14ac:dyDescent="0.25">
      <c r="A236" s="1" t="str">
        <f t="shared" si="3"/>
        <v>4</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665</v>
      </c>
      <c r="D236" s="1" t="s">
        <v>666</v>
      </c>
      <c r="E236" s="1" t="s">
        <v>667</v>
      </c>
      <c r="F236" s="1" t="s">
        <v>112</v>
      </c>
      <c r="G236" s="1">
        <v>259169</v>
      </c>
    </row>
    <row r="237" spans="1:10" x14ac:dyDescent="0.25">
      <c r="A237" s="1" t="str">
        <f t="shared" si="3"/>
        <v>4</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668</v>
      </c>
      <c r="D237" s="1" t="s">
        <v>669</v>
      </c>
      <c r="E237" s="1" t="s">
        <v>670</v>
      </c>
      <c r="F237" s="1" t="s">
        <v>112</v>
      </c>
      <c r="G237" s="1">
        <v>591729</v>
      </c>
    </row>
    <row r="238" spans="1:10" x14ac:dyDescent="0.25">
      <c r="A238" s="1" t="str">
        <f t="shared" si="3"/>
        <v>4</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671</v>
      </c>
      <c r="D238" s="1" t="s">
        <v>672</v>
      </c>
      <c r="E238" s="1" t="s">
        <v>673</v>
      </c>
      <c r="F238" s="1" t="s">
        <v>112</v>
      </c>
      <c r="G238" s="1">
        <v>383476</v>
      </c>
    </row>
    <row r="239" spans="1:10" x14ac:dyDescent="0.25">
      <c r="A239" s="1" t="str">
        <f t="shared" si="3"/>
        <v>4</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674</v>
      </c>
      <c r="D239" s="1" t="s">
        <v>675</v>
      </c>
      <c r="E239" s="1" t="s">
        <v>676</v>
      </c>
      <c r="F239" s="1" t="s">
        <v>112</v>
      </c>
      <c r="G239" s="1">
        <v>722374</v>
      </c>
    </row>
    <row r="240" spans="1:10" x14ac:dyDescent="0.25">
      <c r="A240" s="1" t="str">
        <f t="shared" si="3"/>
        <v>4</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677</v>
      </c>
      <c r="D240" s="1" t="s">
        <v>678</v>
      </c>
      <c r="E240" s="1" t="s">
        <v>679</v>
      </c>
      <c r="F240" s="1" t="s">
        <v>112</v>
      </c>
      <c r="G240" s="1">
        <v>1010441</v>
      </c>
    </row>
    <row r="241" spans="1:7" x14ac:dyDescent="0.25">
      <c r="A241" s="1" t="str">
        <f t="shared" si="3"/>
        <v>4</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680</v>
      </c>
      <c r="D241" s="1" t="s">
        <v>681</v>
      </c>
      <c r="E241" s="1" t="s">
        <v>682</v>
      </c>
      <c r="F241" s="1" t="s">
        <v>112</v>
      </c>
      <c r="G241" s="1">
        <v>1310750</v>
      </c>
    </row>
    <row r="242" spans="1:7" x14ac:dyDescent="0.25">
      <c r="A242" s="1" t="str">
        <f t="shared" si="3"/>
        <v>4</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683</v>
      </c>
      <c r="D242" s="1" t="s">
        <v>684</v>
      </c>
      <c r="E242" s="1" t="s">
        <v>685</v>
      </c>
      <c r="F242" s="1" t="s">
        <v>112</v>
      </c>
      <c r="G242" s="1">
        <v>632155</v>
      </c>
    </row>
    <row r="243" spans="1:7" x14ac:dyDescent="0.25">
      <c r="A243" s="1" t="str">
        <f t="shared" si="3"/>
        <v>4</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686</v>
      </c>
      <c r="D243" s="1" t="s">
        <v>687</v>
      </c>
      <c r="E243" s="1" t="s">
        <v>688</v>
      </c>
      <c r="F243" s="1" t="s">
        <v>112</v>
      </c>
      <c r="G243" s="1">
        <v>835152</v>
      </c>
    </row>
    <row r="244" spans="1:7" x14ac:dyDescent="0.25">
      <c r="A244" s="1" t="str">
        <f t="shared" si="3"/>
        <v>4</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689</v>
      </c>
      <c r="D244" s="1" t="s">
        <v>690</v>
      </c>
      <c r="E244" s="1" t="s">
        <v>691</v>
      </c>
      <c r="F244" s="1" t="s">
        <v>112</v>
      </c>
      <c r="G244" s="1">
        <v>623201</v>
      </c>
    </row>
    <row r="245" spans="1:7" x14ac:dyDescent="0.25">
      <c r="A245" s="1" t="str">
        <f t="shared" si="3"/>
        <v>4</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692</v>
      </c>
      <c r="D245" s="1" t="s">
        <v>693</v>
      </c>
      <c r="E245" s="1" t="s">
        <v>694</v>
      </c>
      <c r="F245" s="1" t="s">
        <v>112</v>
      </c>
      <c r="G245" s="1">
        <v>988465</v>
      </c>
    </row>
    <row r="246" spans="1:7" x14ac:dyDescent="0.25">
      <c r="A246" s="1" t="str">
        <f t="shared" si="3"/>
        <v>4</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695</v>
      </c>
      <c r="D246" s="1" t="s">
        <v>696</v>
      </c>
      <c r="E246" s="1" t="s">
        <v>697</v>
      </c>
      <c r="F246" s="1" t="s">
        <v>112</v>
      </c>
      <c r="G246" s="1">
        <v>840841</v>
      </c>
    </row>
    <row r="247" spans="1:7" x14ac:dyDescent="0.25">
      <c r="A247" s="1" t="str">
        <f t="shared" si="3"/>
        <v>4</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698</v>
      </c>
      <c r="D247" s="1" t="s">
        <v>699</v>
      </c>
      <c r="E247" s="1" t="s">
        <v>700</v>
      </c>
      <c r="F247" s="1" t="s">
        <v>112</v>
      </c>
      <c r="G247" s="1">
        <v>569364</v>
      </c>
    </row>
    <row r="248" spans="1:7" x14ac:dyDescent="0.25">
      <c r="A248" s="1" t="str">
        <f t="shared" si="3"/>
        <v>4</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701</v>
      </c>
      <c r="D248" s="1" t="s">
        <v>702</v>
      </c>
      <c r="E248" s="1" t="s">
        <v>703</v>
      </c>
      <c r="F248" s="1" t="s">
        <v>112</v>
      </c>
      <c r="G248" s="1">
        <v>95496</v>
      </c>
    </row>
    <row r="249" spans="1:7" x14ac:dyDescent="0.25">
      <c r="A249" s="1" t="str">
        <f t="shared" si="3"/>
        <v>4</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704</v>
      </c>
      <c r="D249" s="1" t="s">
        <v>573</v>
      </c>
      <c r="E249" s="1" t="s">
        <v>705</v>
      </c>
      <c r="F249" s="1" t="s">
        <v>112</v>
      </c>
      <c r="G249" s="1">
        <v>239356</v>
      </c>
    </row>
    <row r="250" spans="1:7" x14ac:dyDescent="0.25">
      <c r="A250" s="1" t="str">
        <f t="shared" si="3"/>
        <v>4</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706</v>
      </c>
      <c r="D250" s="1" t="s">
        <v>707</v>
      </c>
      <c r="E250" s="1" t="s">
        <v>708</v>
      </c>
      <c r="F250" s="1" t="s">
        <v>112</v>
      </c>
      <c r="G250" s="1">
        <v>154351</v>
      </c>
    </row>
    <row r="251" spans="1:7" x14ac:dyDescent="0.25">
      <c r="A251" s="1" t="str">
        <f t="shared" si="3"/>
        <v>4</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709</v>
      </c>
      <c r="D251" s="1" t="s">
        <v>710</v>
      </c>
      <c r="E251" s="1" t="s">
        <v>711</v>
      </c>
      <c r="F251" s="1" t="s">
        <v>112</v>
      </c>
      <c r="G251" s="1">
        <v>819038</v>
      </c>
    </row>
    <row r="252" spans="1:7" x14ac:dyDescent="0.25">
      <c r="A252" s="1" t="str">
        <f t="shared" si="3"/>
        <v>4</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712</v>
      </c>
      <c r="D252" s="1" t="s">
        <v>713</v>
      </c>
      <c r="E252" s="1" t="s">
        <v>714</v>
      </c>
      <c r="F252" s="1" t="s">
        <v>112</v>
      </c>
      <c r="G252" s="1">
        <v>1345704</v>
      </c>
    </row>
    <row r="253" spans="1:7" x14ac:dyDescent="0.25">
      <c r="A253" s="1" t="str">
        <f t="shared" si="3"/>
        <v>4</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715</v>
      </c>
      <c r="D253" s="1" t="s">
        <v>716</v>
      </c>
      <c r="E253" s="1" t="s">
        <v>717</v>
      </c>
      <c r="F253" s="1" t="s">
        <v>112</v>
      </c>
      <c r="G253" s="1">
        <v>818108</v>
      </c>
    </row>
    <row r="254" spans="1:7" x14ac:dyDescent="0.25">
      <c r="A254" s="1" t="str">
        <f t="shared" si="3"/>
        <v>4</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718</v>
      </c>
      <c r="D254" s="1" t="s">
        <v>719</v>
      </c>
      <c r="E254" s="1" t="s">
        <v>720</v>
      </c>
      <c r="F254" s="1" t="s">
        <v>112</v>
      </c>
      <c r="G254" s="1">
        <v>24204</v>
      </c>
    </row>
    <row r="255" spans="1:7" x14ac:dyDescent="0.25">
      <c r="A255" s="1" t="str">
        <f t="shared" si="3"/>
        <v>4</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721</v>
      </c>
    </row>
    <row r="256" spans="1:7" x14ac:dyDescent="0.25">
      <c r="A256" s="1" t="str">
        <f t="shared" si="3"/>
        <v>4</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722</v>
      </c>
      <c r="D256" s="1" t="s">
        <v>641</v>
      </c>
      <c r="E256" s="1" t="s">
        <v>723</v>
      </c>
      <c r="F256" s="1" t="s">
        <v>112</v>
      </c>
      <c r="G256" s="1">
        <v>125367</v>
      </c>
    </row>
    <row r="257" spans="1:10"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219</v>
      </c>
      <c r="D258" s="1" t="s">
        <v>112</v>
      </c>
      <c r="E258" s="1" t="s">
        <v>220</v>
      </c>
      <c r="F258" s="1" t="s">
        <v>221</v>
      </c>
      <c r="G258" s="1" t="s">
        <v>222</v>
      </c>
      <c r="H258" s="1" t="s">
        <v>223</v>
      </c>
      <c r="I258" s="1" t="s">
        <v>224</v>
      </c>
      <c r="J258" s="1" t="s">
        <v>225</v>
      </c>
    </row>
    <row r="259" spans="1:10" x14ac:dyDescent="0.25">
      <c r="A259" s="1" t="str">
        <f t="shared" si="4"/>
        <v>4</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724</v>
      </c>
      <c r="D259" s="1" t="s">
        <v>112</v>
      </c>
      <c r="E259" s="1" t="s">
        <v>725</v>
      </c>
      <c r="F259" s="1" t="s">
        <v>726</v>
      </c>
      <c r="G259" s="1" t="s">
        <v>727</v>
      </c>
      <c r="H259" s="1" t="s">
        <v>728</v>
      </c>
      <c r="I259" s="1">
        <v>23</v>
      </c>
      <c r="J259" s="1">
        <v>24</v>
      </c>
    </row>
    <row r="260" spans="1:10"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231</v>
      </c>
      <c r="D265" s="1" t="s">
        <v>110</v>
      </c>
      <c r="E265" s="1" t="s">
        <v>111</v>
      </c>
      <c r="F265" s="1" t="s">
        <v>112</v>
      </c>
      <c r="G265" s="1" t="s">
        <v>113</v>
      </c>
    </row>
    <row r="266" spans="1:10" x14ac:dyDescent="0.25">
      <c r="A266" s="1" t="str">
        <f t="shared" si="4"/>
        <v>5</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729</v>
      </c>
      <c r="D266" s="1" t="s">
        <v>730</v>
      </c>
      <c r="E266" s="1" t="s">
        <v>731</v>
      </c>
      <c r="F266" s="1" t="s">
        <v>112</v>
      </c>
      <c r="G266" s="1">
        <v>843523</v>
      </c>
    </row>
    <row r="267" spans="1:10" x14ac:dyDescent="0.25">
      <c r="A267" s="1" t="str">
        <f t="shared" si="4"/>
        <v>5</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732</v>
      </c>
    </row>
    <row r="268" spans="1:10" x14ac:dyDescent="0.25">
      <c r="A268" s="1" t="str">
        <f t="shared" si="4"/>
        <v>5</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733</v>
      </c>
      <c r="D268" s="1" t="s">
        <v>734</v>
      </c>
      <c r="E268" s="1" t="s">
        <v>735</v>
      </c>
      <c r="F268" s="1" t="s">
        <v>112</v>
      </c>
      <c r="G268" s="1">
        <v>863379</v>
      </c>
    </row>
    <row r="269" spans="1:10" x14ac:dyDescent="0.25">
      <c r="A269" s="1" t="str">
        <f t="shared" si="4"/>
        <v>5</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736</v>
      </c>
      <c r="D269" s="1" t="s">
        <v>737</v>
      </c>
      <c r="E269" s="1" t="s">
        <v>738</v>
      </c>
      <c r="F269" s="1" t="s">
        <v>112</v>
      </c>
      <c r="G269" s="1">
        <v>2049281</v>
      </c>
    </row>
    <row r="270" spans="1:10" x14ac:dyDescent="0.25">
      <c r="A270" s="1" t="str">
        <f t="shared" si="4"/>
        <v>5</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739</v>
      </c>
      <c r="D270" s="1" t="s">
        <v>740</v>
      </c>
      <c r="E270" s="1" t="s">
        <v>741</v>
      </c>
      <c r="F270" s="1" t="s">
        <v>112</v>
      </c>
      <c r="G270" s="1">
        <v>2005394</v>
      </c>
    </row>
    <row r="271" spans="1:10" x14ac:dyDescent="0.25">
      <c r="A271" s="1" t="str">
        <f t="shared" si="4"/>
        <v>5</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742</v>
      </c>
      <c r="D271" s="1" t="s">
        <v>743</v>
      </c>
      <c r="E271" s="1" t="s">
        <v>744</v>
      </c>
      <c r="F271" s="1" t="s">
        <v>112</v>
      </c>
      <c r="G271" s="1">
        <v>2733413</v>
      </c>
    </row>
    <row r="272" spans="1:10" x14ac:dyDescent="0.25">
      <c r="A272" s="1" t="str">
        <f t="shared" si="4"/>
        <v>5</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745</v>
      </c>
      <c r="D272" s="1" t="s">
        <v>746</v>
      </c>
      <c r="E272" s="1" t="s">
        <v>747</v>
      </c>
      <c r="F272" s="1" t="s">
        <v>112</v>
      </c>
      <c r="G272" s="1">
        <v>1075244</v>
      </c>
    </row>
    <row r="273" spans="1:7" x14ac:dyDescent="0.25">
      <c r="A273" s="1" t="str">
        <f t="shared" si="4"/>
        <v>5</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748</v>
      </c>
      <c r="D273" s="1" t="s">
        <v>749</v>
      </c>
      <c r="E273" s="1" t="s">
        <v>750</v>
      </c>
      <c r="F273" s="1" t="s">
        <v>112</v>
      </c>
      <c r="G273" s="1">
        <v>745561</v>
      </c>
    </row>
    <row r="274" spans="1:7" x14ac:dyDescent="0.25">
      <c r="A274" s="1" t="str">
        <f t="shared" si="4"/>
        <v>5</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751</v>
      </c>
      <c r="D274" s="1" t="s">
        <v>752</v>
      </c>
      <c r="E274" s="1" t="s">
        <v>753</v>
      </c>
      <c r="F274" s="1" t="s">
        <v>112</v>
      </c>
      <c r="G274" s="1">
        <v>1177705</v>
      </c>
    </row>
    <row r="275" spans="1:7" x14ac:dyDescent="0.25">
      <c r="A275" s="1" t="str">
        <f t="shared" si="4"/>
        <v>5</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754</v>
      </c>
      <c r="D275" s="1" t="s">
        <v>755</v>
      </c>
      <c r="E275" s="1" t="s">
        <v>756</v>
      </c>
      <c r="F275" s="1" t="s">
        <v>112</v>
      </c>
      <c r="G275" s="1">
        <v>3669490</v>
      </c>
    </row>
    <row r="276" spans="1:7" x14ac:dyDescent="0.25">
      <c r="A276" s="1" t="str">
        <f t="shared" si="4"/>
        <v>5</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757</v>
      </c>
      <c r="D276" s="1" t="s">
        <v>758</v>
      </c>
      <c r="E276" s="1" t="s">
        <v>759</v>
      </c>
      <c r="F276" s="1" t="s">
        <v>112</v>
      </c>
      <c r="G276" s="1">
        <v>3403053</v>
      </c>
    </row>
    <row r="277" spans="1:7" x14ac:dyDescent="0.25">
      <c r="A277" s="1" t="str">
        <f t="shared" si="4"/>
        <v>5</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760</v>
      </c>
      <c r="D277" s="1" t="s">
        <v>761</v>
      </c>
      <c r="E277" s="1" t="s">
        <v>762</v>
      </c>
      <c r="F277" s="1" t="s">
        <v>112</v>
      </c>
      <c r="G277" s="1">
        <v>3417523</v>
      </c>
    </row>
    <row r="278" spans="1:7" x14ac:dyDescent="0.25">
      <c r="A278" s="1" t="str">
        <f t="shared" si="4"/>
        <v>5</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763</v>
      </c>
      <c r="D278" s="1" t="s">
        <v>764</v>
      </c>
      <c r="E278" s="1" t="s">
        <v>765</v>
      </c>
      <c r="F278" s="1" t="s">
        <v>112</v>
      </c>
      <c r="G278" s="1">
        <v>1513725</v>
      </c>
    </row>
    <row r="279" spans="1:7" x14ac:dyDescent="0.25">
      <c r="A279" s="1" t="str">
        <f t="shared" si="4"/>
        <v>5</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766</v>
      </c>
    </row>
    <row r="280" spans="1:7" x14ac:dyDescent="0.25">
      <c r="A280" s="1" t="str">
        <f t="shared" si="4"/>
        <v>5</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767</v>
      </c>
    </row>
    <row r="281" spans="1:7" x14ac:dyDescent="0.25">
      <c r="A281" s="1" t="str">
        <f t="shared" si="4"/>
        <v>5</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768</v>
      </c>
      <c r="D281" s="1" t="s">
        <v>769</v>
      </c>
      <c r="E281" s="1" t="s">
        <v>770</v>
      </c>
      <c r="F281" s="1" t="s">
        <v>112</v>
      </c>
      <c r="G281" s="1">
        <v>1953872</v>
      </c>
    </row>
    <row r="282" spans="1:7" x14ac:dyDescent="0.25">
      <c r="A282" s="1" t="str">
        <f t="shared" si="4"/>
        <v>5</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771</v>
      </c>
      <c r="D282" s="1" t="s">
        <v>772</v>
      </c>
      <c r="E282" s="1" t="s">
        <v>773</v>
      </c>
      <c r="F282" s="1" t="s">
        <v>112</v>
      </c>
      <c r="G282" s="1">
        <v>1842326</v>
      </c>
    </row>
    <row r="283" spans="1:7" x14ac:dyDescent="0.25">
      <c r="A283" s="1" t="str">
        <f t="shared" si="4"/>
        <v>5</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774</v>
      </c>
      <c r="D283" s="1" t="s">
        <v>775</v>
      </c>
      <c r="E283" s="1" t="s">
        <v>776</v>
      </c>
      <c r="F283" s="1" t="s">
        <v>112</v>
      </c>
      <c r="G283" s="1">
        <v>2300707</v>
      </c>
    </row>
    <row r="284" spans="1:7" x14ac:dyDescent="0.25">
      <c r="A284" s="1" t="str">
        <f t="shared" si="4"/>
        <v>5</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777</v>
      </c>
      <c r="D284" s="1" t="s">
        <v>778</v>
      </c>
      <c r="E284" s="1" t="s">
        <v>779</v>
      </c>
      <c r="F284" s="1" t="s">
        <v>112</v>
      </c>
      <c r="G284" s="1">
        <v>2628681</v>
      </c>
    </row>
    <row r="285" spans="1:7" x14ac:dyDescent="0.25">
      <c r="A285" s="1" t="str">
        <f t="shared" si="4"/>
        <v>5</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780</v>
      </c>
      <c r="D285" s="1" t="s">
        <v>781</v>
      </c>
      <c r="E285" s="1" t="s">
        <v>782</v>
      </c>
      <c r="F285" s="1" t="s">
        <v>112</v>
      </c>
      <c r="G285" s="1">
        <v>1993087</v>
      </c>
    </row>
    <row r="286" spans="1:7" x14ac:dyDescent="0.25">
      <c r="A286" s="1" t="str">
        <f t="shared" si="4"/>
        <v>5</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783</v>
      </c>
      <c r="D286" s="1" t="s">
        <v>784</v>
      </c>
      <c r="E286" s="1" t="s">
        <v>785</v>
      </c>
      <c r="F286" s="1" t="s">
        <v>112</v>
      </c>
      <c r="G286" s="1">
        <v>2499291</v>
      </c>
    </row>
    <row r="287" spans="1:7" x14ac:dyDescent="0.25">
      <c r="A287" s="1" t="str">
        <f t="shared" si="4"/>
        <v>5</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786</v>
      </c>
      <c r="D287" s="1" t="s">
        <v>787</v>
      </c>
      <c r="E287" s="1" t="s">
        <v>788</v>
      </c>
      <c r="F287" s="1" t="s">
        <v>112</v>
      </c>
      <c r="G287" s="1">
        <v>2687623</v>
      </c>
    </row>
    <row r="288" spans="1:7" x14ac:dyDescent="0.25">
      <c r="A288" s="1" t="str">
        <f t="shared" si="4"/>
        <v>5</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789</v>
      </c>
      <c r="D288" s="1" t="s">
        <v>790</v>
      </c>
      <c r="E288" s="1" t="s">
        <v>791</v>
      </c>
      <c r="F288" s="1" t="s">
        <v>112</v>
      </c>
      <c r="G288" s="1">
        <v>2964637</v>
      </c>
    </row>
    <row r="289" spans="1:10" x14ac:dyDescent="0.25">
      <c r="A289" s="1" t="str">
        <f t="shared" si="4"/>
        <v>5</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792</v>
      </c>
      <c r="D289" s="1" t="s">
        <v>793</v>
      </c>
      <c r="E289" s="1" t="s">
        <v>794</v>
      </c>
      <c r="F289" s="1" t="s">
        <v>112</v>
      </c>
      <c r="G289" s="1">
        <v>2400594</v>
      </c>
    </row>
    <row r="290" spans="1:10"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219</v>
      </c>
      <c r="D291" s="1" t="s">
        <v>112</v>
      </c>
      <c r="E291" s="1" t="s">
        <v>220</v>
      </c>
      <c r="F291" s="1" t="s">
        <v>221</v>
      </c>
      <c r="G291" s="1" t="s">
        <v>222</v>
      </c>
      <c r="H291" s="1" t="s">
        <v>223</v>
      </c>
      <c r="I291" s="1" t="s">
        <v>224</v>
      </c>
      <c r="J291" s="1" t="s">
        <v>225</v>
      </c>
    </row>
    <row r="292" spans="1:10" x14ac:dyDescent="0.25">
      <c r="A292" s="1" t="str">
        <f t="shared" si="4"/>
        <v>5</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795</v>
      </c>
      <c r="D292" s="1" t="s">
        <v>112</v>
      </c>
      <c r="E292" s="1" t="s">
        <v>796</v>
      </c>
      <c r="F292" s="1" t="s">
        <v>797</v>
      </c>
      <c r="G292" s="1" t="s">
        <v>798</v>
      </c>
      <c r="H292" s="1" t="s">
        <v>799</v>
      </c>
      <c r="I292" s="1">
        <v>24</v>
      </c>
      <c r="J292" s="1">
        <v>24</v>
      </c>
    </row>
    <row r="293" spans="1:10"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231</v>
      </c>
      <c r="D298" s="1" t="s">
        <v>110</v>
      </c>
      <c r="E298" s="1" t="s">
        <v>111</v>
      </c>
      <c r="F298" s="1" t="s">
        <v>112</v>
      </c>
      <c r="G298" s="1" t="s">
        <v>113</v>
      </c>
    </row>
    <row r="299" spans="1:10" x14ac:dyDescent="0.25">
      <c r="A299" s="1" t="str">
        <f t="shared" si="4"/>
        <v>6</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800</v>
      </c>
      <c r="D299" s="1" t="s">
        <v>801</v>
      </c>
      <c r="E299" s="1" t="s">
        <v>802</v>
      </c>
      <c r="F299" s="1" t="s">
        <v>112</v>
      </c>
      <c r="G299" s="1">
        <v>2349504</v>
      </c>
    </row>
    <row r="300" spans="1:10" x14ac:dyDescent="0.25">
      <c r="A300" s="1" t="str">
        <f t="shared" si="4"/>
        <v>6</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803</v>
      </c>
    </row>
    <row r="301" spans="1:10" x14ac:dyDescent="0.25">
      <c r="A301" s="1" t="str">
        <f t="shared" si="4"/>
        <v>6</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804</v>
      </c>
      <c r="D301" s="1" t="s">
        <v>805</v>
      </c>
      <c r="E301" s="1" t="s">
        <v>806</v>
      </c>
      <c r="F301" s="1" t="s">
        <v>112</v>
      </c>
      <c r="G301" s="1">
        <v>1908730</v>
      </c>
    </row>
    <row r="302" spans="1:10" x14ac:dyDescent="0.25">
      <c r="A302" s="1" t="str">
        <f t="shared" si="4"/>
        <v>6</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807</v>
      </c>
      <c r="D302" s="1" t="s">
        <v>808</v>
      </c>
      <c r="E302" s="1" t="s">
        <v>809</v>
      </c>
      <c r="F302" s="1" t="s">
        <v>112</v>
      </c>
      <c r="G302" s="1">
        <v>2497106</v>
      </c>
    </row>
    <row r="303" spans="1:10" x14ac:dyDescent="0.25">
      <c r="A303" s="1" t="str">
        <f t="shared" si="4"/>
        <v>6</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810</v>
      </c>
      <c r="D303" s="1" t="s">
        <v>444</v>
      </c>
      <c r="E303" s="1" t="s">
        <v>811</v>
      </c>
      <c r="F303" s="1" t="s">
        <v>112</v>
      </c>
      <c r="G303" s="1">
        <v>2080233</v>
      </c>
    </row>
    <row r="304" spans="1:10" x14ac:dyDescent="0.25">
      <c r="A304" s="1" t="str">
        <f t="shared" si="4"/>
        <v>6</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812</v>
      </c>
      <c r="D304" s="1" t="s">
        <v>813</v>
      </c>
      <c r="E304" s="1" t="s">
        <v>814</v>
      </c>
      <c r="F304" s="1" t="s">
        <v>112</v>
      </c>
      <c r="G304" s="1">
        <v>2709836</v>
      </c>
    </row>
    <row r="305" spans="1:7" x14ac:dyDescent="0.25">
      <c r="A305" s="1" t="str">
        <f t="shared" si="4"/>
        <v>6</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815</v>
      </c>
      <c r="D305" s="1" t="s">
        <v>816</v>
      </c>
      <c r="E305" s="1" t="s">
        <v>817</v>
      </c>
      <c r="F305" s="1" t="s">
        <v>112</v>
      </c>
      <c r="G305" s="1">
        <v>3616756</v>
      </c>
    </row>
    <row r="306" spans="1:7" x14ac:dyDescent="0.25">
      <c r="A306" s="1" t="str">
        <f t="shared" si="4"/>
        <v>6</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818</v>
      </c>
      <c r="D306" s="1" t="s">
        <v>819</v>
      </c>
      <c r="E306" s="1" t="s">
        <v>820</v>
      </c>
      <c r="F306" s="1" t="s">
        <v>112</v>
      </c>
      <c r="G306" s="1">
        <v>3395266</v>
      </c>
    </row>
    <row r="307" spans="1:7" x14ac:dyDescent="0.25">
      <c r="A307" s="1" t="str">
        <f t="shared" si="4"/>
        <v>6</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821</v>
      </c>
      <c r="D307" s="1" t="s">
        <v>822</v>
      </c>
      <c r="E307" s="1" t="s">
        <v>823</v>
      </c>
      <c r="F307" s="1" t="s">
        <v>112</v>
      </c>
      <c r="G307" s="1">
        <v>3308227</v>
      </c>
    </row>
    <row r="308" spans="1:7" x14ac:dyDescent="0.25">
      <c r="A308" s="1" t="str">
        <f t="shared" si="4"/>
        <v>6</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824</v>
      </c>
      <c r="D308" s="1" t="s">
        <v>825</v>
      </c>
      <c r="E308" s="1" t="s">
        <v>826</v>
      </c>
      <c r="F308" s="1" t="s">
        <v>112</v>
      </c>
      <c r="G308" s="1">
        <v>4009014</v>
      </c>
    </row>
    <row r="309" spans="1:7" x14ac:dyDescent="0.25">
      <c r="A309" s="1" t="str">
        <f t="shared" si="4"/>
        <v>6</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827</v>
      </c>
      <c r="D309" s="1" t="s">
        <v>828</v>
      </c>
      <c r="E309" s="1" t="s">
        <v>829</v>
      </c>
      <c r="F309" s="1" t="s">
        <v>112</v>
      </c>
      <c r="G309" s="1">
        <v>3573821</v>
      </c>
    </row>
    <row r="310" spans="1:7" x14ac:dyDescent="0.25">
      <c r="A310" s="1" t="str">
        <f t="shared" si="4"/>
        <v>6</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830</v>
      </c>
      <c r="D310" s="1" t="s">
        <v>831</v>
      </c>
      <c r="E310" s="1" t="s">
        <v>832</v>
      </c>
      <c r="F310" s="1" t="s">
        <v>112</v>
      </c>
      <c r="G310" s="1">
        <v>3104431</v>
      </c>
    </row>
    <row r="311" spans="1:7" x14ac:dyDescent="0.25">
      <c r="A311" s="1" t="str">
        <f t="shared" si="4"/>
        <v>6</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833</v>
      </c>
      <c r="D311" s="1" t="s">
        <v>834</v>
      </c>
      <c r="E311" s="1" t="s">
        <v>835</v>
      </c>
      <c r="F311" s="1" t="s">
        <v>112</v>
      </c>
      <c r="G311" s="1">
        <v>2555399</v>
      </c>
    </row>
    <row r="312" spans="1:7" x14ac:dyDescent="0.25">
      <c r="A312" s="1" t="str">
        <f t="shared" si="4"/>
        <v>6</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836</v>
      </c>
      <c r="D312" s="1" t="s">
        <v>837</v>
      </c>
      <c r="E312" s="1" t="s">
        <v>838</v>
      </c>
      <c r="F312" s="1" t="s">
        <v>112</v>
      </c>
      <c r="G312" s="1">
        <v>2632553</v>
      </c>
    </row>
    <row r="313" spans="1:7" x14ac:dyDescent="0.25">
      <c r="A313" s="1" t="str">
        <f t="shared" si="4"/>
        <v>6</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839</v>
      </c>
      <c r="D313" s="1" t="s">
        <v>840</v>
      </c>
      <c r="E313" s="1" t="s">
        <v>841</v>
      </c>
      <c r="F313" s="1" t="s">
        <v>112</v>
      </c>
      <c r="G313" s="1">
        <v>3022388</v>
      </c>
    </row>
    <row r="314" spans="1:7" x14ac:dyDescent="0.25">
      <c r="A314" s="1" t="str">
        <f t="shared" si="4"/>
        <v>6</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842</v>
      </c>
      <c r="D314" s="1" t="s">
        <v>843</v>
      </c>
      <c r="E314" s="1" t="s">
        <v>844</v>
      </c>
      <c r="F314" s="1" t="s">
        <v>112</v>
      </c>
      <c r="G314" s="1">
        <v>3961732</v>
      </c>
    </row>
    <row r="315" spans="1:7" x14ac:dyDescent="0.25">
      <c r="A315" s="1" t="str">
        <f t="shared" si="4"/>
        <v>6</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845</v>
      </c>
      <c r="D315" s="1" t="s">
        <v>846</v>
      </c>
      <c r="E315" s="1" t="s">
        <v>847</v>
      </c>
      <c r="F315" s="1" t="s">
        <v>112</v>
      </c>
      <c r="G315" s="1">
        <v>4256482</v>
      </c>
    </row>
    <row r="316" spans="1:7" x14ac:dyDescent="0.25">
      <c r="A316" s="1" t="str">
        <f t="shared" si="4"/>
        <v>6</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848</v>
      </c>
      <c r="D316" s="1" t="s">
        <v>849</v>
      </c>
      <c r="E316" s="1" t="s">
        <v>850</v>
      </c>
      <c r="F316" s="1" t="s">
        <v>112</v>
      </c>
      <c r="G316" s="1">
        <v>4100293</v>
      </c>
    </row>
    <row r="317" spans="1:7" x14ac:dyDescent="0.25">
      <c r="A317" s="1" t="str">
        <f t="shared" si="4"/>
        <v>6</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851</v>
      </c>
      <c r="D317" s="1" t="s">
        <v>852</v>
      </c>
      <c r="E317" s="1" t="s">
        <v>853</v>
      </c>
      <c r="F317" s="1" t="s">
        <v>112</v>
      </c>
      <c r="G317" s="1">
        <v>3212905</v>
      </c>
    </row>
    <row r="318" spans="1:7" x14ac:dyDescent="0.25">
      <c r="A318" s="1" t="str">
        <f t="shared" si="4"/>
        <v>6</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854</v>
      </c>
      <c r="D318" s="1" t="s">
        <v>855</v>
      </c>
      <c r="E318" s="1" t="s">
        <v>856</v>
      </c>
      <c r="F318" s="1" t="s">
        <v>112</v>
      </c>
      <c r="G318" s="1">
        <v>3876748</v>
      </c>
    </row>
    <row r="319" spans="1:7" x14ac:dyDescent="0.25">
      <c r="A319" s="1" t="str">
        <f t="shared" si="4"/>
        <v>6</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857</v>
      </c>
      <c r="D319" s="1" t="s">
        <v>858</v>
      </c>
      <c r="E319" s="1" t="s">
        <v>859</v>
      </c>
      <c r="F319" s="1" t="s">
        <v>112</v>
      </c>
      <c r="G319" s="1">
        <v>4137972</v>
      </c>
    </row>
    <row r="320" spans="1:7" x14ac:dyDescent="0.25">
      <c r="A320" s="1" t="str">
        <f t="shared" si="4"/>
        <v>6</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860</v>
      </c>
    </row>
    <row r="321" spans="1:10" x14ac:dyDescent="0.25">
      <c r="A321" s="1" t="str">
        <f t="shared" si="4"/>
        <v>6</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861</v>
      </c>
    </row>
    <row r="322" spans="1:10" x14ac:dyDescent="0.25">
      <c r="A322" s="1" t="str">
        <f t="shared" ref="A322:A385" si="5">IFERROR(LEFT(RIGHT(C322,LEN(C322)-SEARCH("@",C322)),SEARCH("/",RIGHT(C322,LEN(C322)-SEARCH("@",C322)-1))),"")</f>
        <v>6</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862</v>
      </c>
    </row>
    <row r="323" spans="1:10"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219</v>
      </c>
      <c r="D324" s="1" t="s">
        <v>112</v>
      </c>
      <c r="E324" s="1" t="s">
        <v>220</v>
      </c>
      <c r="F324" s="1" t="s">
        <v>221</v>
      </c>
      <c r="G324" s="1" t="s">
        <v>222</v>
      </c>
      <c r="H324" s="1" t="s">
        <v>223</v>
      </c>
      <c r="I324" s="1" t="s">
        <v>224</v>
      </c>
      <c r="J324" s="1" t="s">
        <v>225</v>
      </c>
    </row>
    <row r="325" spans="1:10" x14ac:dyDescent="0.25">
      <c r="A325" s="1" t="str">
        <f t="shared" si="5"/>
        <v>6</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863</v>
      </c>
      <c r="D325" s="1" t="s">
        <v>112</v>
      </c>
      <c r="E325" s="1" t="s">
        <v>864</v>
      </c>
      <c r="F325" s="1" t="s">
        <v>865</v>
      </c>
      <c r="G325" s="1" t="s">
        <v>866</v>
      </c>
      <c r="H325" s="1" t="s">
        <v>867</v>
      </c>
      <c r="I325" s="1">
        <v>23</v>
      </c>
      <c r="J325" s="1">
        <v>24</v>
      </c>
    </row>
    <row r="326" spans="1:10"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231</v>
      </c>
      <c r="D331" s="1" t="s">
        <v>110</v>
      </c>
      <c r="E331" s="1" t="s">
        <v>111</v>
      </c>
      <c r="F331" s="1" t="s">
        <v>112</v>
      </c>
      <c r="G331" s="1" t="s">
        <v>113</v>
      </c>
    </row>
    <row r="332" spans="1:10" x14ac:dyDescent="0.25">
      <c r="A332" s="1" t="str">
        <f t="shared" si="5"/>
        <v>7</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868</v>
      </c>
      <c r="D332" s="1" t="s">
        <v>869</v>
      </c>
      <c r="E332" s="1" t="s">
        <v>870</v>
      </c>
      <c r="F332" s="1" t="s">
        <v>112</v>
      </c>
      <c r="G332" s="1">
        <v>4539466</v>
      </c>
    </row>
    <row r="333" spans="1:10" x14ac:dyDescent="0.25">
      <c r="A333" s="1" t="str">
        <f t="shared" si="5"/>
        <v>7</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871</v>
      </c>
      <c r="D333" s="1" t="s">
        <v>872</v>
      </c>
      <c r="E333" s="1" t="s">
        <v>873</v>
      </c>
      <c r="F333" s="1" t="s">
        <v>112</v>
      </c>
      <c r="G333" s="1">
        <v>4718021</v>
      </c>
    </row>
    <row r="334" spans="1:10" x14ac:dyDescent="0.25">
      <c r="A334" s="1" t="str">
        <f t="shared" si="5"/>
        <v>7</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874</v>
      </c>
      <c r="D334" s="1" t="s">
        <v>875</v>
      </c>
      <c r="E334" s="1" t="s">
        <v>876</v>
      </c>
      <c r="F334" s="1" t="s">
        <v>112</v>
      </c>
      <c r="G334" s="1">
        <v>3257224</v>
      </c>
    </row>
    <row r="335" spans="1:10" x14ac:dyDescent="0.25">
      <c r="A335" s="1" t="str">
        <f t="shared" si="5"/>
        <v>7</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877</v>
      </c>
      <c r="D335" s="1" t="s">
        <v>878</v>
      </c>
      <c r="E335" s="1" t="s">
        <v>879</v>
      </c>
      <c r="F335" s="1" t="s">
        <v>112</v>
      </c>
      <c r="G335" s="1">
        <v>3330874</v>
      </c>
    </row>
    <row r="336" spans="1:10" x14ac:dyDescent="0.25">
      <c r="A336" s="1" t="str">
        <f t="shared" si="5"/>
        <v>7</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880</v>
      </c>
      <c r="D336" s="1" t="s">
        <v>881</v>
      </c>
      <c r="E336" s="1" t="s">
        <v>882</v>
      </c>
      <c r="F336" s="1" t="s">
        <v>112</v>
      </c>
      <c r="G336" s="1">
        <v>3352223</v>
      </c>
    </row>
    <row r="337" spans="1:7" x14ac:dyDescent="0.25">
      <c r="A337" s="1" t="str">
        <f t="shared" si="5"/>
        <v>7</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883</v>
      </c>
      <c r="D337" s="1" t="s">
        <v>884</v>
      </c>
      <c r="E337" s="1" t="s">
        <v>885</v>
      </c>
      <c r="F337" s="1" t="s">
        <v>112</v>
      </c>
      <c r="G337" s="1">
        <v>3824641</v>
      </c>
    </row>
    <row r="338" spans="1:7" x14ac:dyDescent="0.25">
      <c r="A338" s="1" t="str">
        <f t="shared" si="5"/>
        <v>7</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886</v>
      </c>
      <c r="D338" s="1" t="s">
        <v>887</v>
      </c>
      <c r="E338" s="1" t="s">
        <v>888</v>
      </c>
      <c r="F338" s="1" t="s">
        <v>112</v>
      </c>
      <c r="G338" s="1">
        <v>3712880</v>
      </c>
    </row>
    <row r="339" spans="1:7" x14ac:dyDescent="0.25">
      <c r="A339" s="1" t="str">
        <f t="shared" si="5"/>
        <v>7</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889</v>
      </c>
    </row>
    <row r="340" spans="1:7" x14ac:dyDescent="0.25">
      <c r="A340" s="1" t="str">
        <f t="shared" si="5"/>
        <v>7</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890</v>
      </c>
      <c r="D340" s="1" t="s">
        <v>891</v>
      </c>
      <c r="E340" s="1" t="s">
        <v>892</v>
      </c>
      <c r="F340" s="1" t="s">
        <v>112</v>
      </c>
      <c r="G340" s="1">
        <v>4069405</v>
      </c>
    </row>
    <row r="341" spans="1:7" x14ac:dyDescent="0.25">
      <c r="A341" s="1" t="str">
        <f t="shared" si="5"/>
        <v>7</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893</v>
      </c>
      <c r="D341" s="1" t="s">
        <v>894</v>
      </c>
      <c r="E341" s="1" t="s">
        <v>895</v>
      </c>
      <c r="F341" s="1" t="s">
        <v>112</v>
      </c>
      <c r="G341" s="1">
        <v>3638105</v>
      </c>
    </row>
    <row r="342" spans="1:7" x14ac:dyDescent="0.25">
      <c r="A342" s="1" t="str">
        <f t="shared" si="5"/>
        <v>7</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896</v>
      </c>
      <c r="D342" s="1" t="s">
        <v>897</v>
      </c>
      <c r="E342" s="1" t="s">
        <v>898</v>
      </c>
      <c r="F342" s="1" t="s">
        <v>112</v>
      </c>
      <c r="G342" s="1">
        <v>3819796</v>
      </c>
    </row>
    <row r="343" spans="1:7" x14ac:dyDescent="0.25">
      <c r="A343" s="1" t="str">
        <f t="shared" si="5"/>
        <v>7</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899</v>
      </c>
      <c r="D343" s="1" t="s">
        <v>900</v>
      </c>
      <c r="E343" s="1" t="s">
        <v>901</v>
      </c>
      <c r="F343" s="1" t="s">
        <v>112</v>
      </c>
      <c r="G343" s="1">
        <v>3816422</v>
      </c>
    </row>
    <row r="344" spans="1:7" x14ac:dyDescent="0.25">
      <c r="A344" s="1" t="str">
        <f t="shared" si="5"/>
        <v>7</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902</v>
      </c>
      <c r="D344" s="1" t="s">
        <v>903</v>
      </c>
      <c r="E344" s="1" t="s">
        <v>904</v>
      </c>
      <c r="F344" s="1" t="s">
        <v>112</v>
      </c>
      <c r="G344" s="1">
        <v>4906287</v>
      </c>
    </row>
    <row r="345" spans="1:7" x14ac:dyDescent="0.25">
      <c r="A345" s="1" t="str">
        <f t="shared" si="5"/>
        <v>7</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905</v>
      </c>
      <c r="D345" s="1" t="s">
        <v>906</v>
      </c>
      <c r="E345" s="1" t="s">
        <v>907</v>
      </c>
      <c r="F345" s="1" t="s">
        <v>112</v>
      </c>
      <c r="G345" s="1">
        <v>5097885</v>
      </c>
    </row>
    <row r="346" spans="1:7" x14ac:dyDescent="0.25">
      <c r="A346" s="1" t="str">
        <f t="shared" si="5"/>
        <v>7</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908</v>
      </c>
      <c r="D346" s="1" t="s">
        <v>909</v>
      </c>
      <c r="E346" s="1" t="s">
        <v>910</v>
      </c>
      <c r="F346" s="1" t="s">
        <v>112</v>
      </c>
      <c r="G346" s="1">
        <v>4881153</v>
      </c>
    </row>
    <row r="347" spans="1:7" x14ac:dyDescent="0.25">
      <c r="A347" s="1" t="str">
        <f t="shared" si="5"/>
        <v>7</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911</v>
      </c>
      <c r="D347" s="1" t="s">
        <v>912</v>
      </c>
      <c r="E347" s="1" t="s">
        <v>913</v>
      </c>
      <c r="F347" s="1" t="s">
        <v>112</v>
      </c>
      <c r="G347" s="1">
        <v>5180944</v>
      </c>
    </row>
    <row r="348" spans="1:7" x14ac:dyDescent="0.25">
      <c r="A348" s="1" t="str">
        <f t="shared" si="5"/>
        <v>7</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914</v>
      </c>
      <c r="D348" s="1" t="s">
        <v>915</v>
      </c>
      <c r="E348" s="1" t="s">
        <v>916</v>
      </c>
      <c r="F348" s="1" t="s">
        <v>112</v>
      </c>
      <c r="G348" s="1">
        <v>4778260</v>
      </c>
    </row>
    <row r="349" spans="1:7" x14ac:dyDescent="0.25">
      <c r="A349" s="1" t="str">
        <f t="shared" si="5"/>
        <v>7</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917</v>
      </c>
      <c r="D349" s="1" t="s">
        <v>918</v>
      </c>
      <c r="E349" s="1" t="s">
        <v>919</v>
      </c>
      <c r="F349" s="1" t="s">
        <v>112</v>
      </c>
      <c r="G349" s="1">
        <v>4794288</v>
      </c>
    </row>
    <row r="350" spans="1:7" x14ac:dyDescent="0.25">
      <c r="A350" s="1" t="str">
        <f t="shared" si="5"/>
        <v>7</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920</v>
      </c>
      <c r="D350" s="1" t="s">
        <v>921</v>
      </c>
      <c r="E350" s="1" t="s">
        <v>922</v>
      </c>
      <c r="F350" s="1" t="s">
        <v>112</v>
      </c>
      <c r="G350" s="1">
        <v>3886157</v>
      </c>
    </row>
    <row r="351" spans="1:7" x14ac:dyDescent="0.25">
      <c r="A351" s="1" t="str">
        <f t="shared" si="5"/>
        <v>7</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923</v>
      </c>
      <c r="D351" s="1" t="s">
        <v>924</v>
      </c>
      <c r="E351" s="1" t="s">
        <v>925</v>
      </c>
      <c r="F351" s="1" t="s">
        <v>112</v>
      </c>
      <c r="G351" s="1">
        <v>4379599</v>
      </c>
    </row>
    <row r="352" spans="1:7" x14ac:dyDescent="0.25">
      <c r="A352" s="1" t="str">
        <f t="shared" si="5"/>
        <v>7</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926</v>
      </c>
      <c r="D352" s="1" t="s">
        <v>927</v>
      </c>
      <c r="E352" s="1" t="s">
        <v>928</v>
      </c>
      <c r="F352" s="1" t="s">
        <v>112</v>
      </c>
      <c r="G352" s="1">
        <v>4112708</v>
      </c>
    </row>
    <row r="353" spans="1:10" x14ac:dyDescent="0.25">
      <c r="A353" s="1" t="str">
        <f t="shared" si="5"/>
        <v>7</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929</v>
      </c>
      <c r="D353" s="1" t="s">
        <v>930</v>
      </c>
      <c r="E353" s="1" t="s">
        <v>931</v>
      </c>
      <c r="F353" s="1" t="s">
        <v>112</v>
      </c>
      <c r="G353" s="1">
        <v>1921297</v>
      </c>
    </row>
    <row r="354" spans="1:10" x14ac:dyDescent="0.25">
      <c r="A354" s="1" t="str">
        <f t="shared" si="5"/>
        <v>7</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932</v>
      </c>
      <c r="D354" s="1" t="s">
        <v>933</v>
      </c>
      <c r="E354" s="1" t="s">
        <v>934</v>
      </c>
      <c r="F354" s="1" t="s">
        <v>112</v>
      </c>
      <c r="G354" s="1">
        <v>1937930</v>
      </c>
    </row>
    <row r="355" spans="1:10" x14ac:dyDescent="0.25">
      <c r="A355" s="1" t="str">
        <f t="shared" si="5"/>
        <v>7</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935</v>
      </c>
      <c r="D355" s="1" t="s">
        <v>936</v>
      </c>
      <c r="E355" s="1" t="s">
        <v>937</v>
      </c>
      <c r="F355" s="1" t="s">
        <v>112</v>
      </c>
      <c r="G355" s="1">
        <v>2338970</v>
      </c>
    </row>
    <row r="356" spans="1:10"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219</v>
      </c>
      <c r="D357" s="1" t="s">
        <v>112</v>
      </c>
      <c r="E357" s="1" t="s">
        <v>220</v>
      </c>
      <c r="F357" s="1" t="s">
        <v>221</v>
      </c>
      <c r="G357" s="1" t="s">
        <v>222</v>
      </c>
      <c r="H357" s="1" t="s">
        <v>223</v>
      </c>
      <c r="I357" s="1" t="s">
        <v>224</v>
      </c>
      <c r="J357" s="1" t="s">
        <v>225</v>
      </c>
    </row>
    <row r="358" spans="1:10" x14ac:dyDescent="0.25">
      <c r="A358" s="1" t="str">
        <f t="shared" si="5"/>
        <v>7</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938</v>
      </c>
      <c r="D358" s="1" t="s">
        <v>112</v>
      </c>
      <c r="E358" s="1" t="s">
        <v>939</v>
      </c>
      <c r="F358" s="1" t="s">
        <v>940</v>
      </c>
      <c r="G358" s="1" t="s">
        <v>941</v>
      </c>
      <c r="H358" s="1" t="s">
        <v>942</v>
      </c>
      <c r="I358" s="1">
        <v>24</v>
      </c>
      <c r="J358" s="1">
        <v>24</v>
      </c>
    </row>
    <row r="359" spans="1:10"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231</v>
      </c>
      <c r="D364" s="1" t="s">
        <v>110</v>
      </c>
      <c r="E364" s="1" t="s">
        <v>111</v>
      </c>
      <c r="F364" s="1" t="s">
        <v>112</v>
      </c>
      <c r="G364" s="1" t="s">
        <v>113</v>
      </c>
    </row>
    <row r="365" spans="1:10" x14ac:dyDescent="0.25">
      <c r="A365" s="1" t="str">
        <f t="shared" si="5"/>
        <v>10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943</v>
      </c>
      <c r="D365" s="1" t="s">
        <v>496</v>
      </c>
      <c r="E365" s="1" t="s">
        <v>944</v>
      </c>
      <c r="F365" s="1" t="s">
        <v>112</v>
      </c>
      <c r="G365" s="1">
        <v>185995</v>
      </c>
    </row>
    <row r="366" spans="1:10" x14ac:dyDescent="0.25">
      <c r="A366" s="1" t="str">
        <f t="shared" si="5"/>
        <v>10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945</v>
      </c>
      <c r="D366" s="1" t="s">
        <v>946</v>
      </c>
      <c r="E366" s="1" t="s">
        <v>947</v>
      </c>
      <c r="F366" s="1" t="s">
        <v>112</v>
      </c>
      <c r="G366" s="1">
        <v>177884</v>
      </c>
    </row>
    <row r="367" spans="1:10" x14ac:dyDescent="0.25">
      <c r="A367" s="1" t="str">
        <f t="shared" si="5"/>
        <v>10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948</v>
      </c>
      <c r="D367" s="1" t="s">
        <v>949</v>
      </c>
      <c r="E367" s="1" t="s">
        <v>950</v>
      </c>
      <c r="F367" s="1" t="s">
        <v>112</v>
      </c>
      <c r="G367" s="1">
        <v>523292</v>
      </c>
    </row>
    <row r="368" spans="1:10" x14ac:dyDescent="0.25">
      <c r="A368" s="1" t="str">
        <f t="shared" si="5"/>
        <v>10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951</v>
      </c>
      <c r="D368" s="1" t="s">
        <v>952</v>
      </c>
      <c r="E368" s="1" t="s">
        <v>953</v>
      </c>
      <c r="F368" s="1" t="s">
        <v>112</v>
      </c>
      <c r="G368" s="1">
        <v>152037</v>
      </c>
    </row>
    <row r="369" spans="1:7" x14ac:dyDescent="0.25">
      <c r="A369" s="1" t="str">
        <f t="shared" si="5"/>
        <v>10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954</v>
      </c>
      <c r="D369" s="1" t="s">
        <v>631</v>
      </c>
      <c r="E369" s="1" t="s">
        <v>955</v>
      </c>
      <c r="F369" s="1" t="s">
        <v>112</v>
      </c>
      <c r="G369" s="1">
        <v>62900</v>
      </c>
    </row>
    <row r="370" spans="1:7" x14ac:dyDescent="0.25">
      <c r="A370" s="1" t="str">
        <f t="shared" si="5"/>
        <v>10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956</v>
      </c>
      <c r="D370" s="1" t="s">
        <v>957</v>
      </c>
      <c r="E370" s="1" t="s">
        <v>958</v>
      </c>
      <c r="F370" s="1" t="s">
        <v>112</v>
      </c>
      <c r="G370" s="1">
        <v>153551</v>
      </c>
    </row>
    <row r="371" spans="1:7" x14ac:dyDescent="0.25">
      <c r="A371" s="1" t="str">
        <f t="shared" si="5"/>
        <v>10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959</v>
      </c>
      <c r="D371" s="1" t="s">
        <v>960</v>
      </c>
      <c r="E371" s="1" t="s">
        <v>961</v>
      </c>
      <c r="F371" s="1" t="s">
        <v>112</v>
      </c>
      <c r="G371" s="1">
        <v>581239</v>
      </c>
    </row>
    <row r="372" spans="1:7" x14ac:dyDescent="0.25">
      <c r="A372" s="1" t="str">
        <f t="shared" si="5"/>
        <v>10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962</v>
      </c>
      <c r="D372" s="1" t="s">
        <v>963</v>
      </c>
      <c r="E372" s="1" t="s">
        <v>964</v>
      </c>
      <c r="F372" s="1" t="s">
        <v>112</v>
      </c>
      <c r="G372" s="1">
        <v>459376</v>
      </c>
    </row>
    <row r="373" spans="1:7" x14ac:dyDescent="0.25">
      <c r="A373" s="1" t="str">
        <f t="shared" si="5"/>
        <v>10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965</v>
      </c>
      <c r="D373" s="1" t="s">
        <v>966</v>
      </c>
      <c r="E373" s="1" t="s">
        <v>967</v>
      </c>
      <c r="F373" s="1" t="s">
        <v>112</v>
      </c>
      <c r="G373" s="1">
        <v>420939</v>
      </c>
    </row>
    <row r="374" spans="1:7" x14ac:dyDescent="0.25">
      <c r="A374" s="1" t="str">
        <f t="shared" si="5"/>
        <v>10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968</v>
      </c>
      <c r="D374" s="1" t="s">
        <v>969</v>
      </c>
      <c r="E374" s="1" t="s">
        <v>970</v>
      </c>
      <c r="F374" s="1" t="s">
        <v>112</v>
      </c>
      <c r="G374" s="1">
        <v>312184</v>
      </c>
    </row>
    <row r="375" spans="1:7" x14ac:dyDescent="0.25">
      <c r="A375" s="1" t="str">
        <f t="shared" si="5"/>
        <v>10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971</v>
      </c>
      <c r="D375" s="1" t="s">
        <v>952</v>
      </c>
      <c r="E375" s="1" t="s">
        <v>972</v>
      </c>
      <c r="F375" s="1" t="s">
        <v>112</v>
      </c>
      <c r="G375" s="1">
        <v>161683</v>
      </c>
    </row>
    <row r="376" spans="1:7" x14ac:dyDescent="0.25">
      <c r="A376" s="1" t="str">
        <f t="shared" si="5"/>
        <v>10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973</v>
      </c>
      <c r="D376" s="1" t="s">
        <v>974</v>
      </c>
      <c r="E376" s="1" t="s">
        <v>975</v>
      </c>
      <c r="F376" s="1" t="s">
        <v>112</v>
      </c>
      <c r="G376" s="1">
        <v>50765</v>
      </c>
    </row>
    <row r="377" spans="1:7" x14ac:dyDescent="0.25">
      <c r="A377" s="1" t="str">
        <f t="shared" si="5"/>
        <v>10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976</v>
      </c>
      <c r="D377" s="1" t="s">
        <v>977</v>
      </c>
      <c r="E377" s="1" t="s">
        <v>978</v>
      </c>
      <c r="F377" s="1" t="s">
        <v>112</v>
      </c>
      <c r="G377" s="1">
        <v>192030</v>
      </c>
    </row>
    <row r="378" spans="1:7" x14ac:dyDescent="0.25">
      <c r="A378" s="1" t="str">
        <f t="shared" si="5"/>
        <v>10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979</v>
      </c>
      <c r="D378" s="1" t="s">
        <v>980</v>
      </c>
      <c r="E378" s="1" t="s">
        <v>981</v>
      </c>
      <c r="F378" s="1" t="s">
        <v>112</v>
      </c>
      <c r="G378" s="1">
        <v>212103</v>
      </c>
    </row>
    <row r="379" spans="1:7" x14ac:dyDescent="0.25">
      <c r="A379" s="1" t="str">
        <f t="shared" si="5"/>
        <v>10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982</v>
      </c>
      <c r="D379" s="1" t="s">
        <v>980</v>
      </c>
      <c r="E379" s="1" t="s">
        <v>983</v>
      </c>
      <c r="F379" s="1" t="s">
        <v>112</v>
      </c>
      <c r="G379" s="1">
        <v>214114</v>
      </c>
    </row>
    <row r="380" spans="1:7" x14ac:dyDescent="0.25">
      <c r="A380" s="1" t="str">
        <f t="shared" si="5"/>
        <v>10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984</v>
      </c>
      <c r="D380" s="1" t="s">
        <v>985</v>
      </c>
      <c r="E380" s="1" t="s">
        <v>986</v>
      </c>
      <c r="F380" s="1" t="s">
        <v>112</v>
      </c>
      <c r="G380" s="1">
        <v>193739</v>
      </c>
    </row>
    <row r="381" spans="1:7" x14ac:dyDescent="0.25">
      <c r="A381" s="1" t="str">
        <f t="shared" si="5"/>
        <v>10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987</v>
      </c>
      <c r="D381" s="1" t="s">
        <v>988</v>
      </c>
      <c r="E381" s="1" t="s">
        <v>989</v>
      </c>
      <c r="F381" s="1" t="s">
        <v>112</v>
      </c>
      <c r="G381" s="1">
        <v>197459</v>
      </c>
    </row>
    <row r="382" spans="1:7" x14ac:dyDescent="0.25">
      <c r="A382" s="1" t="str">
        <f t="shared" si="5"/>
        <v>10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990</v>
      </c>
      <c r="D382" s="1" t="s">
        <v>991</v>
      </c>
      <c r="E382" s="1" t="s">
        <v>992</v>
      </c>
      <c r="F382" s="1" t="s">
        <v>112</v>
      </c>
      <c r="G382" s="1">
        <v>166312</v>
      </c>
    </row>
    <row r="383" spans="1:7" x14ac:dyDescent="0.25">
      <c r="A383" s="1" t="str">
        <f t="shared" si="5"/>
        <v>10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993</v>
      </c>
      <c r="D383" s="1" t="s">
        <v>994</v>
      </c>
      <c r="E383" s="1" t="s">
        <v>995</v>
      </c>
      <c r="F383" s="1" t="s">
        <v>112</v>
      </c>
      <c r="G383" s="1">
        <v>541764</v>
      </c>
    </row>
    <row r="384" spans="1:7" x14ac:dyDescent="0.25">
      <c r="A384" s="1" t="str">
        <f t="shared" si="5"/>
        <v>10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996</v>
      </c>
      <c r="D384" s="1" t="s">
        <v>997</v>
      </c>
      <c r="E384" s="1" t="s">
        <v>998</v>
      </c>
      <c r="F384" s="1" t="s">
        <v>112</v>
      </c>
      <c r="G384" s="1">
        <v>527012</v>
      </c>
    </row>
    <row r="385" spans="1:10" x14ac:dyDescent="0.25">
      <c r="A385" s="1" t="str">
        <f t="shared" si="5"/>
        <v>10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999</v>
      </c>
      <c r="D385" s="1" t="s">
        <v>1000</v>
      </c>
      <c r="E385" s="1" t="s">
        <v>1001</v>
      </c>
      <c r="F385" s="1" t="s">
        <v>112</v>
      </c>
      <c r="G385" s="1">
        <v>254692</v>
      </c>
    </row>
    <row r="386" spans="1:10" x14ac:dyDescent="0.25">
      <c r="A386" s="1" t="str">
        <f t="shared" ref="A386:A449" si="6">IFERROR(LEFT(RIGHT(C386,LEN(C386)-SEARCH("@",C386)),SEARCH("/",RIGHT(C386,LEN(C386)-SEARCH("@",C386)-1))),"")</f>
        <v>10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1002</v>
      </c>
      <c r="D386" s="1" t="s">
        <v>1003</v>
      </c>
      <c r="E386" s="1" t="s">
        <v>1004</v>
      </c>
      <c r="F386" s="1" t="s">
        <v>112</v>
      </c>
      <c r="G386" s="1">
        <v>56173</v>
      </c>
    </row>
    <row r="387" spans="1:10" x14ac:dyDescent="0.25">
      <c r="A387" s="1" t="str">
        <f t="shared" si="6"/>
        <v>10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1005</v>
      </c>
      <c r="D387" s="1" t="s">
        <v>988</v>
      </c>
      <c r="E387" s="1" t="s">
        <v>1006</v>
      </c>
      <c r="F387" s="1" t="s">
        <v>112</v>
      </c>
      <c r="G387" s="1">
        <v>154567</v>
      </c>
    </row>
    <row r="388" spans="1:10" x14ac:dyDescent="0.25">
      <c r="A388" s="1" t="str">
        <f t="shared" si="6"/>
        <v>10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1007</v>
      </c>
      <c r="D388" s="1" t="s">
        <v>522</v>
      </c>
      <c r="E388" s="1" t="s">
        <v>1008</v>
      </c>
      <c r="F388" s="1" t="s">
        <v>112</v>
      </c>
      <c r="G388" s="1">
        <v>80831</v>
      </c>
    </row>
    <row r="389" spans="1:10"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219</v>
      </c>
      <c r="D390" s="1" t="s">
        <v>112</v>
      </c>
      <c r="E390" s="1" t="s">
        <v>220</v>
      </c>
      <c r="F390" s="1" t="s">
        <v>221</v>
      </c>
      <c r="G390" s="1" t="s">
        <v>222</v>
      </c>
      <c r="H390" s="1" t="s">
        <v>223</v>
      </c>
      <c r="I390" s="1" t="s">
        <v>224</v>
      </c>
      <c r="J390" s="1" t="s">
        <v>225</v>
      </c>
    </row>
    <row r="391" spans="1:10" x14ac:dyDescent="0.25">
      <c r="A391" s="1" t="str">
        <f t="shared" si="6"/>
        <v>10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1009</v>
      </c>
      <c r="D391" s="1" t="s">
        <v>112</v>
      </c>
      <c r="E391" s="1" t="s">
        <v>1010</v>
      </c>
      <c r="F391" s="1" t="s">
        <v>1011</v>
      </c>
      <c r="G391" s="1" t="s">
        <v>1012</v>
      </c>
      <c r="H391" s="1" t="s">
        <v>1013</v>
      </c>
      <c r="I391" s="1">
        <v>24</v>
      </c>
      <c r="J391" s="1">
        <v>24</v>
      </c>
    </row>
    <row r="392" spans="1:10"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231</v>
      </c>
      <c r="D397" s="1" t="s">
        <v>110</v>
      </c>
      <c r="E397" s="1" t="s">
        <v>111</v>
      </c>
      <c r="F397" s="1" t="s">
        <v>112</v>
      </c>
      <c r="G397" s="1" t="s">
        <v>113</v>
      </c>
    </row>
    <row r="398" spans="1:10" x14ac:dyDescent="0.25">
      <c r="A398" s="1" t="str">
        <f t="shared" si="6"/>
        <v>11</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1014</v>
      </c>
      <c r="D398" s="1" t="s">
        <v>1015</v>
      </c>
      <c r="E398" s="1" t="s">
        <v>1016</v>
      </c>
      <c r="F398" s="1" t="s">
        <v>112</v>
      </c>
      <c r="G398" s="1">
        <v>29698</v>
      </c>
    </row>
    <row r="399" spans="1:10" x14ac:dyDescent="0.25">
      <c r="A399" s="1" t="str">
        <f t="shared" si="6"/>
        <v>11</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1017</v>
      </c>
      <c r="D399" s="1">
        <v>0</v>
      </c>
      <c r="E399" s="1">
        <v>0</v>
      </c>
      <c r="F399" s="1" t="s">
        <v>112</v>
      </c>
      <c r="G399" s="1">
        <v>0</v>
      </c>
    </row>
    <row r="400" spans="1:10" x14ac:dyDescent="0.25">
      <c r="A400" s="1" t="str">
        <f t="shared" si="6"/>
        <v>11</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1018</v>
      </c>
      <c r="D400" s="1" t="s">
        <v>1019</v>
      </c>
      <c r="E400" s="1" t="s">
        <v>1020</v>
      </c>
      <c r="F400" s="1" t="s">
        <v>112</v>
      </c>
      <c r="G400" s="1">
        <v>178338</v>
      </c>
    </row>
    <row r="401" spans="1:7" x14ac:dyDescent="0.25">
      <c r="A401" s="1" t="str">
        <f t="shared" si="6"/>
        <v>11</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1021</v>
      </c>
      <c r="D401" s="1" t="s">
        <v>1022</v>
      </c>
      <c r="E401" s="1" t="s">
        <v>1023</v>
      </c>
      <c r="F401" s="1" t="s">
        <v>112</v>
      </c>
      <c r="G401" s="1">
        <v>356201</v>
      </c>
    </row>
    <row r="402" spans="1:7" x14ac:dyDescent="0.25">
      <c r="A402" s="1" t="str">
        <f t="shared" si="6"/>
        <v>11</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1024</v>
      </c>
      <c r="D402" s="1" t="s">
        <v>1025</v>
      </c>
      <c r="E402" s="1" t="s">
        <v>1026</v>
      </c>
      <c r="F402" s="1" t="s">
        <v>112</v>
      </c>
      <c r="G402" s="1">
        <v>1363</v>
      </c>
    </row>
    <row r="403" spans="1:7" x14ac:dyDescent="0.25">
      <c r="A403" s="1" t="str">
        <f t="shared" si="6"/>
        <v>11</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1027</v>
      </c>
      <c r="D403" s="1" t="s">
        <v>969</v>
      </c>
      <c r="E403" s="1" t="s">
        <v>1028</v>
      </c>
      <c r="F403" s="1" t="s">
        <v>112</v>
      </c>
      <c r="G403" s="1">
        <v>327282</v>
      </c>
    </row>
    <row r="404" spans="1:7" x14ac:dyDescent="0.25">
      <c r="A404" s="1" t="str">
        <f t="shared" si="6"/>
        <v>11</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1029</v>
      </c>
      <c r="D404" s="1" t="s">
        <v>1030</v>
      </c>
      <c r="E404" s="1" t="s">
        <v>1031</v>
      </c>
      <c r="F404" s="1" t="s">
        <v>112</v>
      </c>
      <c r="G404" s="1">
        <v>2617</v>
      </c>
    </row>
    <row r="405" spans="1:7" x14ac:dyDescent="0.25">
      <c r="A405" s="1" t="str">
        <f t="shared" si="6"/>
        <v>11</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1032</v>
      </c>
      <c r="D405" s="1" t="s">
        <v>540</v>
      </c>
      <c r="E405" s="1" t="s">
        <v>1033</v>
      </c>
      <c r="F405" s="1" t="s">
        <v>112</v>
      </c>
      <c r="G405" s="1">
        <v>9755</v>
      </c>
    </row>
    <row r="406" spans="1:7" x14ac:dyDescent="0.25">
      <c r="A406" s="1" t="str">
        <f t="shared" si="6"/>
        <v>11</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1034</v>
      </c>
      <c r="D406" s="1" t="s">
        <v>208</v>
      </c>
      <c r="E406" s="1">
        <v>30</v>
      </c>
      <c r="F406" s="1" t="s">
        <v>112</v>
      </c>
      <c r="G406" s="1">
        <v>649</v>
      </c>
    </row>
    <row r="407" spans="1:7" x14ac:dyDescent="0.25">
      <c r="A407" s="1" t="str">
        <f t="shared" si="6"/>
        <v>11</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1035</v>
      </c>
      <c r="D407" s="1" t="s">
        <v>1036</v>
      </c>
      <c r="E407" s="1" t="s">
        <v>1037</v>
      </c>
      <c r="F407" s="1" t="s">
        <v>112</v>
      </c>
      <c r="G407" s="1">
        <v>300634</v>
      </c>
    </row>
    <row r="408" spans="1:7" x14ac:dyDescent="0.25">
      <c r="A408" s="1" t="str">
        <f t="shared" si="6"/>
        <v>11</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1038</v>
      </c>
      <c r="D408" s="1" t="s">
        <v>1039</v>
      </c>
      <c r="E408" s="1" t="s">
        <v>1040</v>
      </c>
      <c r="F408" s="1" t="s">
        <v>112</v>
      </c>
      <c r="G408" s="1">
        <v>306625</v>
      </c>
    </row>
    <row r="409" spans="1:7" x14ac:dyDescent="0.25">
      <c r="A409" s="1" t="str">
        <f t="shared" si="6"/>
        <v>11</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1041</v>
      </c>
      <c r="D409" s="1" t="s">
        <v>1042</v>
      </c>
      <c r="E409" s="1" t="s">
        <v>1043</v>
      </c>
      <c r="F409" s="1" t="s">
        <v>112</v>
      </c>
      <c r="G409" s="1">
        <v>32077</v>
      </c>
    </row>
    <row r="410" spans="1:7" x14ac:dyDescent="0.25">
      <c r="A410" s="1" t="str">
        <f t="shared" si="6"/>
        <v>11</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1044</v>
      </c>
      <c r="D410" s="1" t="s">
        <v>1045</v>
      </c>
      <c r="E410" s="1" t="s">
        <v>1046</v>
      </c>
      <c r="F410" s="1" t="s">
        <v>112</v>
      </c>
      <c r="G410" s="1">
        <v>84508</v>
      </c>
    </row>
    <row r="411" spans="1:7" x14ac:dyDescent="0.25">
      <c r="A411" s="1" t="str">
        <f t="shared" si="6"/>
        <v>11</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1047</v>
      </c>
      <c r="D411" s="1" t="s">
        <v>663</v>
      </c>
      <c r="E411" s="1" t="s">
        <v>1048</v>
      </c>
      <c r="F411" s="1" t="s">
        <v>112</v>
      </c>
      <c r="G411" s="1">
        <v>252507</v>
      </c>
    </row>
    <row r="412" spans="1:7" x14ac:dyDescent="0.25">
      <c r="A412" s="1" t="str">
        <f t="shared" si="6"/>
        <v>11</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1049</v>
      </c>
      <c r="D412" s="1" t="s">
        <v>1050</v>
      </c>
      <c r="E412" s="1" t="s">
        <v>1051</v>
      </c>
      <c r="F412" s="1" t="s">
        <v>112</v>
      </c>
      <c r="G412" s="1">
        <v>240157</v>
      </c>
    </row>
    <row r="413" spans="1:7" x14ac:dyDescent="0.25">
      <c r="A413" s="1" t="str">
        <f t="shared" si="6"/>
        <v>11</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1052</v>
      </c>
      <c r="D413" s="1" t="s">
        <v>702</v>
      </c>
      <c r="E413" s="1" t="s">
        <v>1053</v>
      </c>
      <c r="F413" s="1" t="s">
        <v>112</v>
      </c>
      <c r="G413" s="1">
        <v>110118</v>
      </c>
    </row>
    <row r="414" spans="1:7" x14ac:dyDescent="0.25">
      <c r="A414" s="1" t="str">
        <f t="shared" si="6"/>
        <v>11</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1054</v>
      </c>
      <c r="D414" s="1" t="s">
        <v>1055</v>
      </c>
      <c r="E414" s="1" t="s">
        <v>1056</v>
      </c>
      <c r="F414" s="1" t="s">
        <v>112</v>
      </c>
      <c r="G414" s="1">
        <v>36014</v>
      </c>
    </row>
    <row r="415" spans="1:7" x14ac:dyDescent="0.25">
      <c r="A415" s="1" t="str">
        <f t="shared" si="6"/>
        <v>11</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1057</v>
      </c>
      <c r="D415" s="1" t="s">
        <v>460</v>
      </c>
      <c r="E415" s="1" t="s">
        <v>1058</v>
      </c>
      <c r="F415" s="1" t="s">
        <v>112</v>
      </c>
      <c r="G415" s="1">
        <v>79014</v>
      </c>
    </row>
    <row r="416" spans="1:7" x14ac:dyDescent="0.25">
      <c r="A416" s="1" t="str">
        <f t="shared" si="6"/>
        <v>11</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1059</v>
      </c>
      <c r="D416" s="1" t="s">
        <v>1060</v>
      </c>
      <c r="E416" s="1" t="s">
        <v>1061</v>
      </c>
      <c r="F416" s="1" t="s">
        <v>112</v>
      </c>
      <c r="G416" s="1">
        <v>146867</v>
      </c>
    </row>
    <row r="417" spans="1:10" x14ac:dyDescent="0.25">
      <c r="A417" s="1" t="str">
        <f t="shared" si="6"/>
        <v>11</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1062</v>
      </c>
      <c r="D417" s="1" t="s">
        <v>1063</v>
      </c>
      <c r="E417" s="1" t="s">
        <v>1064</v>
      </c>
      <c r="F417" s="1" t="s">
        <v>112</v>
      </c>
      <c r="G417" s="1">
        <v>190278</v>
      </c>
    </row>
    <row r="418" spans="1:10" x14ac:dyDescent="0.25">
      <c r="A418" s="1" t="str">
        <f t="shared" si="6"/>
        <v>11</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1065</v>
      </c>
      <c r="D418" s="1" t="s">
        <v>1036</v>
      </c>
      <c r="E418" s="1" t="s">
        <v>1066</v>
      </c>
      <c r="F418" s="1" t="s">
        <v>112</v>
      </c>
      <c r="G418" s="1">
        <v>325660</v>
      </c>
    </row>
    <row r="419" spans="1:10" x14ac:dyDescent="0.25">
      <c r="A419" s="1" t="str">
        <f t="shared" si="6"/>
        <v>11</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1067</v>
      </c>
      <c r="D419" s="1" t="s">
        <v>178</v>
      </c>
      <c r="E419" s="1" t="s">
        <v>1068</v>
      </c>
      <c r="F419" s="1" t="s">
        <v>112</v>
      </c>
      <c r="G419" s="1">
        <v>225492</v>
      </c>
    </row>
    <row r="420" spans="1:10" x14ac:dyDescent="0.25">
      <c r="A420" s="1" t="str">
        <f t="shared" si="6"/>
        <v>11</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1069</v>
      </c>
      <c r="D420" s="1" t="s">
        <v>1070</v>
      </c>
      <c r="E420" s="1" t="s">
        <v>1071</v>
      </c>
      <c r="F420" s="1" t="s">
        <v>112</v>
      </c>
      <c r="G420" s="1">
        <v>349453</v>
      </c>
    </row>
    <row r="421" spans="1:10" x14ac:dyDescent="0.25">
      <c r="A421" s="1" t="str">
        <f t="shared" si="6"/>
        <v>11</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1072</v>
      </c>
      <c r="D421" s="1" t="s">
        <v>1073</v>
      </c>
      <c r="E421" s="1" t="s">
        <v>1074</v>
      </c>
      <c r="F421" s="1" t="s">
        <v>112</v>
      </c>
      <c r="G421" s="1">
        <v>10555</v>
      </c>
    </row>
    <row r="422" spans="1:10"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219</v>
      </c>
      <c r="D423" s="1" t="s">
        <v>112</v>
      </c>
      <c r="E423" s="1" t="s">
        <v>220</v>
      </c>
      <c r="F423" s="1" t="s">
        <v>221</v>
      </c>
      <c r="G423" s="1" t="s">
        <v>222</v>
      </c>
      <c r="H423" s="1" t="s">
        <v>223</v>
      </c>
      <c r="I423" s="1" t="s">
        <v>224</v>
      </c>
      <c r="J423" s="1" t="s">
        <v>225</v>
      </c>
    </row>
    <row r="424" spans="1:10" x14ac:dyDescent="0.25">
      <c r="A424" s="1" t="str">
        <f t="shared" si="6"/>
        <v>11</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1075</v>
      </c>
      <c r="D424" s="1" t="s">
        <v>112</v>
      </c>
      <c r="E424" s="1" t="s">
        <v>1076</v>
      </c>
      <c r="F424" s="1" t="s">
        <v>1077</v>
      </c>
      <c r="G424" s="1" t="s">
        <v>1078</v>
      </c>
      <c r="H424" s="1" t="s">
        <v>1079</v>
      </c>
      <c r="I424" s="1">
        <v>23</v>
      </c>
      <c r="J424" s="1">
        <v>24</v>
      </c>
    </row>
    <row r="425" spans="1:10"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231</v>
      </c>
      <c r="D430" s="1" t="s">
        <v>110</v>
      </c>
      <c r="E430" s="1" t="s">
        <v>111</v>
      </c>
      <c r="F430" s="1" t="s">
        <v>112</v>
      </c>
      <c r="G430" s="1" t="s">
        <v>113</v>
      </c>
    </row>
    <row r="431" spans="1:10" x14ac:dyDescent="0.25">
      <c r="A431" s="1" t="str">
        <f t="shared" si="6"/>
        <v>12</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1080</v>
      </c>
      <c r="D431" s="1" t="s">
        <v>1081</v>
      </c>
      <c r="E431" s="1" t="s">
        <v>1082</v>
      </c>
      <c r="F431" s="1" t="s">
        <v>112</v>
      </c>
      <c r="G431" s="1">
        <v>239356</v>
      </c>
    </row>
    <row r="432" spans="1:10" x14ac:dyDescent="0.25">
      <c r="A432" s="1" t="str">
        <f t="shared" si="6"/>
        <v>12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1083</v>
      </c>
      <c r="D432" s="1" t="s">
        <v>1084</v>
      </c>
      <c r="E432" s="1" t="s">
        <v>1085</v>
      </c>
      <c r="F432" s="1" t="s">
        <v>112</v>
      </c>
      <c r="G432" s="1">
        <v>128936</v>
      </c>
    </row>
    <row r="433" spans="1:7" x14ac:dyDescent="0.25">
      <c r="A433" s="1" t="str">
        <f t="shared" si="6"/>
        <v>12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1086</v>
      </c>
      <c r="D433" s="1" t="s">
        <v>1087</v>
      </c>
      <c r="E433" s="1" t="s">
        <v>1088</v>
      </c>
      <c r="F433" s="1" t="s">
        <v>112</v>
      </c>
      <c r="G433" s="1">
        <v>187639</v>
      </c>
    </row>
    <row r="434" spans="1:7" x14ac:dyDescent="0.25">
      <c r="A434" s="1" t="str">
        <f t="shared" si="6"/>
        <v>12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1089</v>
      </c>
      <c r="D434" s="1" t="s">
        <v>1090</v>
      </c>
      <c r="E434" s="1" t="s">
        <v>1091</v>
      </c>
      <c r="F434" s="1" t="s">
        <v>112</v>
      </c>
      <c r="G434" s="1">
        <v>233257</v>
      </c>
    </row>
    <row r="435" spans="1:7" x14ac:dyDescent="0.25">
      <c r="A435" s="1" t="str">
        <f t="shared" si="6"/>
        <v>12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1092</v>
      </c>
      <c r="D435" s="1" t="s">
        <v>1093</v>
      </c>
      <c r="E435" s="1" t="s">
        <v>1094</v>
      </c>
      <c r="F435" s="1" t="s">
        <v>112</v>
      </c>
      <c r="G435" s="1">
        <v>293172</v>
      </c>
    </row>
    <row r="436" spans="1:7" x14ac:dyDescent="0.25">
      <c r="A436" s="1" t="str">
        <f t="shared" si="6"/>
        <v>12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1095</v>
      </c>
      <c r="D436" s="1" t="s">
        <v>208</v>
      </c>
      <c r="E436" s="1">
        <v>30</v>
      </c>
      <c r="F436" s="1" t="s">
        <v>112</v>
      </c>
      <c r="G436" s="1">
        <v>649</v>
      </c>
    </row>
    <row r="437" spans="1:7" x14ac:dyDescent="0.25">
      <c r="A437" s="1" t="str">
        <f t="shared" si="6"/>
        <v>12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1096</v>
      </c>
      <c r="D437" s="1">
        <v>0</v>
      </c>
      <c r="E437" s="1">
        <v>0</v>
      </c>
      <c r="F437" s="1" t="s">
        <v>112</v>
      </c>
      <c r="G437" s="1">
        <v>0</v>
      </c>
    </row>
    <row r="438" spans="1:7" x14ac:dyDescent="0.25">
      <c r="A438" s="1" t="str">
        <f t="shared" si="6"/>
        <v>12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1097</v>
      </c>
    </row>
    <row r="439" spans="1:7" x14ac:dyDescent="0.25">
      <c r="A439" s="1" t="str">
        <f t="shared" si="6"/>
        <v>12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1098</v>
      </c>
      <c r="D439" s="1">
        <v>0</v>
      </c>
      <c r="E439" s="1">
        <v>0</v>
      </c>
      <c r="F439" s="1" t="s">
        <v>112</v>
      </c>
      <c r="G439" s="1">
        <v>0</v>
      </c>
    </row>
    <row r="440" spans="1:7" x14ac:dyDescent="0.25">
      <c r="A440" s="1" t="str">
        <f t="shared" si="6"/>
        <v>12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1099</v>
      </c>
      <c r="D440" s="1">
        <v>0</v>
      </c>
      <c r="E440" s="1">
        <v>0</v>
      </c>
      <c r="F440" s="1" t="s">
        <v>112</v>
      </c>
      <c r="G440" s="1">
        <v>0</v>
      </c>
    </row>
    <row r="441" spans="1:7" x14ac:dyDescent="0.25">
      <c r="A441" s="1" t="str">
        <f t="shared" si="6"/>
        <v>12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1100</v>
      </c>
      <c r="D441" s="1" t="s">
        <v>1101</v>
      </c>
      <c r="E441" s="1" t="s">
        <v>1102</v>
      </c>
      <c r="F441" s="1" t="s">
        <v>112</v>
      </c>
      <c r="G441" s="1">
        <v>356742</v>
      </c>
    </row>
    <row r="442" spans="1:7" x14ac:dyDescent="0.25">
      <c r="A442" s="1" t="str">
        <f t="shared" si="6"/>
        <v>12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1103</v>
      </c>
      <c r="D442" s="1" t="s">
        <v>1104</v>
      </c>
      <c r="E442" s="1" t="s">
        <v>1105</v>
      </c>
      <c r="F442" s="1" t="s">
        <v>112</v>
      </c>
      <c r="G442" s="1">
        <v>357239</v>
      </c>
    </row>
    <row r="443" spans="1:7" x14ac:dyDescent="0.25">
      <c r="A443" s="1" t="str">
        <f t="shared" si="6"/>
        <v>12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1106</v>
      </c>
      <c r="D443" s="1" t="s">
        <v>1107</v>
      </c>
      <c r="E443" s="1" t="s">
        <v>1108</v>
      </c>
      <c r="F443" s="1" t="s">
        <v>112</v>
      </c>
      <c r="G443" s="1">
        <v>366692</v>
      </c>
    </row>
    <row r="444" spans="1:7" x14ac:dyDescent="0.25">
      <c r="A444" s="1" t="str">
        <f t="shared" si="6"/>
        <v>12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1109</v>
      </c>
      <c r="D444" s="1" t="s">
        <v>217</v>
      </c>
      <c r="E444" s="1" t="s">
        <v>1110</v>
      </c>
      <c r="F444" s="1" t="s">
        <v>112</v>
      </c>
      <c r="G444" s="1">
        <v>335891</v>
      </c>
    </row>
    <row r="445" spans="1:7" x14ac:dyDescent="0.25">
      <c r="A445" s="1" t="str">
        <f t="shared" si="6"/>
        <v>12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1111</v>
      </c>
      <c r="D445" s="1" t="s">
        <v>1112</v>
      </c>
      <c r="E445" s="1" t="s">
        <v>1113</v>
      </c>
      <c r="F445" s="1" t="s">
        <v>112</v>
      </c>
      <c r="G445" s="1">
        <v>492989</v>
      </c>
    </row>
    <row r="446" spans="1:7" x14ac:dyDescent="0.25">
      <c r="A446" s="1" t="str">
        <f t="shared" si="6"/>
        <v>12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1114</v>
      </c>
      <c r="D446" s="1" t="s">
        <v>1115</v>
      </c>
      <c r="E446" s="1" t="s">
        <v>1116</v>
      </c>
      <c r="F446" s="1" t="s">
        <v>112</v>
      </c>
      <c r="G446" s="1">
        <v>406772</v>
      </c>
    </row>
    <row r="447" spans="1:7" x14ac:dyDescent="0.25">
      <c r="A447" s="1" t="str">
        <f t="shared" si="6"/>
        <v>12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1117</v>
      </c>
      <c r="D447" s="1" t="s">
        <v>1118</v>
      </c>
      <c r="E447" s="1" t="s">
        <v>1119</v>
      </c>
      <c r="F447" s="1" t="s">
        <v>112</v>
      </c>
      <c r="G447" s="1">
        <v>44449</v>
      </c>
    </row>
    <row r="448" spans="1:7" x14ac:dyDescent="0.25">
      <c r="A448" s="1" t="str">
        <f t="shared" si="6"/>
        <v>12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1120</v>
      </c>
      <c r="D448" s="1" t="s">
        <v>1121</v>
      </c>
      <c r="E448" s="1" t="s">
        <v>1122</v>
      </c>
      <c r="F448" s="1" t="s">
        <v>112</v>
      </c>
      <c r="G448" s="1">
        <v>14730</v>
      </c>
    </row>
    <row r="449" spans="1:10" x14ac:dyDescent="0.25">
      <c r="A449" s="1" t="str">
        <f t="shared" si="6"/>
        <v>12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1123</v>
      </c>
      <c r="D449" s="1" t="s">
        <v>208</v>
      </c>
      <c r="E449" s="1">
        <v>31</v>
      </c>
      <c r="F449" s="1" t="s">
        <v>112</v>
      </c>
      <c r="G449" s="1">
        <v>671</v>
      </c>
    </row>
    <row r="450" spans="1:10" x14ac:dyDescent="0.25">
      <c r="A450" s="1" t="str">
        <f t="shared" ref="A450:A513" si="7">IFERROR(LEFT(RIGHT(C450,LEN(C450)-SEARCH("@",C450)),SEARCH("/",RIGHT(C450,LEN(C450)-SEARCH("@",C450)-1))),"")</f>
        <v>12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1124</v>
      </c>
      <c r="D450" s="1">
        <v>0</v>
      </c>
      <c r="E450" s="1">
        <v>0</v>
      </c>
      <c r="F450" s="1" t="s">
        <v>112</v>
      </c>
      <c r="G450" s="1">
        <v>0</v>
      </c>
    </row>
    <row r="451" spans="1:10" x14ac:dyDescent="0.25">
      <c r="A451" s="1" t="str">
        <f t="shared" si="7"/>
        <v>12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1125</v>
      </c>
      <c r="D451" s="1">
        <v>0</v>
      </c>
      <c r="E451" s="1">
        <v>0</v>
      </c>
      <c r="F451" s="1" t="s">
        <v>112</v>
      </c>
      <c r="G451" s="1">
        <v>0</v>
      </c>
    </row>
    <row r="452" spans="1:10" x14ac:dyDescent="0.25">
      <c r="A452" s="1" t="str">
        <f t="shared" si="7"/>
        <v>12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1126</v>
      </c>
      <c r="D452" s="1" t="s">
        <v>663</v>
      </c>
      <c r="E452" s="1" t="s">
        <v>1127</v>
      </c>
      <c r="F452" s="1" t="s">
        <v>112</v>
      </c>
      <c r="G452" s="1">
        <v>273770</v>
      </c>
    </row>
    <row r="453" spans="1:10" x14ac:dyDescent="0.25">
      <c r="A453" s="1" t="str">
        <f t="shared" si="7"/>
        <v>12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1128</v>
      </c>
      <c r="D453" s="1" t="s">
        <v>1129</v>
      </c>
      <c r="E453" s="1" t="s">
        <v>1130</v>
      </c>
      <c r="F453" s="1" t="s">
        <v>112</v>
      </c>
      <c r="G453" s="1">
        <v>255795</v>
      </c>
    </row>
    <row r="454" spans="1:10" x14ac:dyDescent="0.25">
      <c r="A454" s="1" t="str">
        <f t="shared" si="7"/>
        <v>12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1131</v>
      </c>
      <c r="D454" s="1" t="s">
        <v>583</v>
      </c>
      <c r="E454" s="1" t="s">
        <v>1132</v>
      </c>
      <c r="F454" s="1" t="s">
        <v>112</v>
      </c>
      <c r="G454" s="1">
        <v>264404</v>
      </c>
    </row>
    <row r="455" spans="1:10"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219</v>
      </c>
      <c r="D456" s="1" t="s">
        <v>112</v>
      </c>
      <c r="E456" s="1" t="s">
        <v>220</v>
      </c>
      <c r="F456" s="1" t="s">
        <v>221</v>
      </c>
      <c r="G456" s="1" t="s">
        <v>222</v>
      </c>
      <c r="H456" s="1" t="s">
        <v>223</v>
      </c>
      <c r="I456" s="1" t="s">
        <v>224</v>
      </c>
      <c r="J456" s="1" t="s">
        <v>225</v>
      </c>
    </row>
    <row r="457" spans="1:10" x14ac:dyDescent="0.25">
      <c r="A457" s="1" t="str">
        <f t="shared" si="7"/>
        <v>12</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1133</v>
      </c>
      <c r="D457" s="1" t="s">
        <v>112</v>
      </c>
      <c r="E457" s="1" t="s">
        <v>1134</v>
      </c>
      <c r="F457" s="1" t="s">
        <v>1135</v>
      </c>
      <c r="G457" s="1" t="s">
        <v>1136</v>
      </c>
      <c r="H457" s="1" t="s">
        <v>1137</v>
      </c>
      <c r="I457" s="1">
        <v>18</v>
      </c>
      <c r="J457" s="1">
        <v>24</v>
      </c>
    </row>
    <row r="458" spans="1:10"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231</v>
      </c>
      <c r="D463" s="1" t="s">
        <v>110</v>
      </c>
      <c r="E463" s="1" t="s">
        <v>111</v>
      </c>
      <c r="F463" s="1" t="s">
        <v>112</v>
      </c>
      <c r="G463" s="1" t="s">
        <v>113</v>
      </c>
    </row>
    <row r="464" spans="1:10" x14ac:dyDescent="0.25">
      <c r="A464" s="1" t="str">
        <f t="shared" si="7"/>
        <v>17</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1138</v>
      </c>
      <c r="D464" s="1" t="s">
        <v>1139</v>
      </c>
      <c r="E464" s="1" t="s">
        <v>1140</v>
      </c>
      <c r="F464" s="1" t="s">
        <v>112</v>
      </c>
      <c r="G464" s="1">
        <v>1498822</v>
      </c>
    </row>
    <row r="465" spans="1:7" x14ac:dyDescent="0.25">
      <c r="A465" s="1" t="str">
        <f t="shared" si="7"/>
        <v>17</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1141</v>
      </c>
      <c r="D465" s="1" t="s">
        <v>1142</v>
      </c>
      <c r="E465" s="1" t="s">
        <v>1143</v>
      </c>
      <c r="F465" s="1" t="s">
        <v>112</v>
      </c>
      <c r="G465" s="1">
        <v>1589992</v>
      </c>
    </row>
    <row r="466" spans="1:7" x14ac:dyDescent="0.25">
      <c r="A466" s="1" t="str">
        <f t="shared" si="7"/>
        <v>17</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1144</v>
      </c>
      <c r="D466" s="1" t="s">
        <v>1145</v>
      </c>
      <c r="E466" s="1" t="s">
        <v>1146</v>
      </c>
      <c r="F466" s="1" t="s">
        <v>112</v>
      </c>
      <c r="G466" s="1">
        <v>1165700</v>
      </c>
    </row>
    <row r="467" spans="1:7" x14ac:dyDescent="0.25">
      <c r="A467" s="1" t="str">
        <f t="shared" si="7"/>
        <v>17</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1147</v>
      </c>
      <c r="D467" s="1" t="s">
        <v>1148</v>
      </c>
      <c r="E467" s="1" t="s">
        <v>1149</v>
      </c>
      <c r="F467" s="1" t="s">
        <v>112</v>
      </c>
      <c r="G467" s="1">
        <v>637390</v>
      </c>
    </row>
    <row r="468" spans="1:7" x14ac:dyDescent="0.25">
      <c r="A468" s="1" t="str">
        <f t="shared" si="7"/>
        <v>17</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1150</v>
      </c>
      <c r="D468" s="1" t="s">
        <v>1151</v>
      </c>
      <c r="E468" s="1" t="s">
        <v>1152</v>
      </c>
      <c r="F468" s="1" t="s">
        <v>112</v>
      </c>
      <c r="G468" s="1">
        <v>568434</v>
      </c>
    </row>
    <row r="469" spans="1:7" x14ac:dyDescent="0.25">
      <c r="A469" s="1" t="str">
        <f t="shared" si="7"/>
        <v>17</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1153</v>
      </c>
      <c r="D469" s="1" t="s">
        <v>1154</v>
      </c>
      <c r="E469" s="1" t="s">
        <v>1155</v>
      </c>
      <c r="F469" s="1" t="s">
        <v>112</v>
      </c>
      <c r="G469" s="1">
        <v>698126</v>
      </c>
    </row>
    <row r="470" spans="1:7" x14ac:dyDescent="0.25">
      <c r="A470" s="1" t="str">
        <f t="shared" si="7"/>
        <v>17</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1156</v>
      </c>
      <c r="D470" s="1" t="s">
        <v>819</v>
      </c>
      <c r="E470" s="1" t="s">
        <v>1157</v>
      </c>
      <c r="F470" s="1" t="s">
        <v>112</v>
      </c>
      <c r="G470" s="1">
        <v>3072310</v>
      </c>
    </row>
    <row r="471" spans="1:7" x14ac:dyDescent="0.25">
      <c r="A471" s="1" t="str">
        <f t="shared" si="7"/>
        <v>17</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1158</v>
      </c>
      <c r="D471" s="1" t="s">
        <v>1159</v>
      </c>
      <c r="E471" s="1" t="s">
        <v>1160</v>
      </c>
      <c r="F471" s="1" t="s">
        <v>112</v>
      </c>
      <c r="G471" s="1">
        <v>2965199</v>
      </c>
    </row>
    <row r="472" spans="1:7" x14ac:dyDescent="0.25">
      <c r="A472" s="1" t="str">
        <f t="shared" si="7"/>
        <v>17</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1161</v>
      </c>
      <c r="D472" s="1" t="s">
        <v>1162</v>
      </c>
      <c r="E472" s="1" t="s">
        <v>1163</v>
      </c>
      <c r="F472" s="1" t="s">
        <v>112</v>
      </c>
      <c r="G472" s="1">
        <v>2588796</v>
      </c>
    </row>
    <row r="473" spans="1:7" x14ac:dyDescent="0.25">
      <c r="A473" s="1" t="str">
        <f t="shared" si="7"/>
        <v>17</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1164</v>
      </c>
      <c r="D473" s="1" t="s">
        <v>1165</v>
      </c>
      <c r="E473" s="1" t="s">
        <v>1166</v>
      </c>
      <c r="F473" s="1" t="s">
        <v>112</v>
      </c>
      <c r="G473" s="1">
        <v>249544</v>
      </c>
    </row>
    <row r="474" spans="1:7" x14ac:dyDescent="0.25">
      <c r="A474" s="1" t="str">
        <f t="shared" si="7"/>
        <v>17</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1167</v>
      </c>
      <c r="D474" s="1" t="s">
        <v>1168</v>
      </c>
      <c r="E474" s="1" t="s">
        <v>1169</v>
      </c>
      <c r="F474" s="1" t="s">
        <v>112</v>
      </c>
      <c r="G474" s="1">
        <v>459116</v>
      </c>
    </row>
    <row r="475" spans="1:7" x14ac:dyDescent="0.25">
      <c r="A475" s="1" t="str">
        <f t="shared" si="7"/>
        <v>17</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1170</v>
      </c>
      <c r="D475" s="1" t="s">
        <v>1171</v>
      </c>
      <c r="E475" s="1" t="s">
        <v>1172</v>
      </c>
      <c r="F475" s="1" t="s">
        <v>112</v>
      </c>
      <c r="G475" s="1">
        <v>418257</v>
      </c>
    </row>
    <row r="476" spans="1:7" x14ac:dyDescent="0.25">
      <c r="A476" s="1" t="str">
        <f t="shared" si="7"/>
        <v>17</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1173</v>
      </c>
      <c r="D476" s="1" t="s">
        <v>1174</v>
      </c>
      <c r="E476" s="1" t="s">
        <v>1175</v>
      </c>
      <c r="F476" s="1" t="s">
        <v>112</v>
      </c>
      <c r="G476" s="1">
        <v>1907238</v>
      </c>
    </row>
    <row r="477" spans="1:7" x14ac:dyDescent="0.25">
      <c r="A477" s="1" t="str">
        <f t="shared" si="7"/>
        <v>17</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1176</v>
      </c>
      <c r="D477" s="1" t="s">
        <v>1177</v>
      </c>
      <c r="E477" s="1" t="s">
        <v>1178</v>
      </c>
      <c r="F477" s="1" t="s">
        <v>112</v>
      </c>
      <c r="G477" s="1">
        <v>2202572</v>
      </c>
    </row>
    <row r="478" spans="1:7" x14ac:dyDescent="0.25">
      <c r="A478" s="1" t="str">
        <f t="shared" si="7"/>
        <v>17</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1179</v>
      </c>
      <c r="D478" s="1" t="s">
        <v>1180</v>
      </c>
      <c r="E478" s="1" t="s">
        <v>1181</v>
      </c>
      <c r="F478" s="1" t="s">
        <v>112</v>
      </c>
      <c r="G478" s="1">
        <v>1965790</v>
      </c>
    </row>
    <row r="479" spans="1:7" x14ac:dyDescent="0.25">
      <c r="A479" s="1" t="str">
        <f t="shared" si="7"/>
        <v>17</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1182</v>
      </c>
      <c r="D479" s="1" t="s">
        <v>1183</v>
      </c>
      <c r="E479" s="1">
        <v>35</v>
      </c>
      <c r="F479" s="1" t="s">
        <v>112</v>
      </c>
      <c r="G479" s="1">
        <v>836536</v>
      </c>
    </row>
    <row r="480" spans="1:7" x14ac:dyDescent="0.25">
      <c r="A480" s="1" t="str">
        <f t="shared" si="7"/>
        <v>17</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1184</v>
      </c>
      <c r="D480" s="1" t="s">
        <v>1185</v>
      </c>
      <c r="E480" s="1" t="s">
        <v>1186</v>
      </c>
      <c r="F480" s="1" t="s">
        <v>112</v>
      </c>
      <c r="G480" s="1">
        <v>1087162</v>
      </c>
    </row>
    <row r="481" spans="1:10" x14ac:dyDescent="0.25">
      <c r="A481" s="1" t="str">
        <f t="shared" si="7"/>
        <v>17</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1187</v>
      </c>
      <c r="D481" s="1" t="s">
        <v>1188</v>
      </c>
      <c r="E481" s="1" t="s">
        <v>1189</v>
      </c>
      <c r="F481" s="1" t="s">
        <v>112</v>
      </c>
      <c r="G481" s="1">
        <v>1196047</v>
      </c>
    </row>
    <row r="482" spans="1:10" x14ac:dyDescent="0.25">
      <c r="A482" s="1" t="str">
        <f t="shared" si="7"/>
        <v>17</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1190</v>
      </c>
      <c r="D482" s="1" t="s">
        <v>716</v>
      </c>
      <c r="E482" s="1" t="s">
        <v>1191</v>
      </c>
      <c r="F482" s="1" t="s">
        <v>112</v>
      </c>
      <c r="G482" s="1">
        <v>768921</v>
      </c>
    </row>
    <row r="483" spans="1:10" x14ac:dyDescent="0.25">
      <c r="A483" s="1" t="str">
        <f t="shared" si="7"/>
        <v>17</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1192</v>
      </c>
      <c r="D483" s="1" t="s">
        <v>1193</v>
      </c>
      <c r="E483" s="1" t="s">
        <v>1194</v>
      </c>
      <c r="F483" s="1" t="s">
        <v>112</v>
      </c>
      <c r="G483" s="1">
        <v>676302</v>
      </c>
    </row>
    <row r="484" spans="1:10" x14ac:dyDescent="0.25">
      <c r="A484" s="1" t="str">
        <f t="shared" si="7"/>
        <v>17</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1195</v>
      </c>
      <c r="D484" s="1" t="s">
        <v>1196</v>
      </c>
      <c r="E484" s="1" t="s">
        <v>1197</v>
      </c>
      <c r="F484" s="1" t="s">
        <v>112</v>
      </c>
      <c r="G484" s="1">
        <v>1172470</v>
      </c>
    </row>
    <row r="485" spans="1:10" x14ac:dyDescent="0.25">
      <c r="A485" s="1" t="str">
        <f t="shared" si="7"/>
        <v>17</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1198</v>
      </c>
      <c r="D485" s="1" t="s">
        <v>1199</v>
      </c>
      <c r="E485" s="1" t="s">
        <v>1200</v>
      </c>
      <c r="F485" s="1" t="s">
        <v>112</v>
      </c>
      <c r="G485" s="1">
        <v>1801056</v>
      </c>
    </row>
    <row r="486" spans="1:10" x14ac:dyDescent="0.25">
      <c r="A486" s="1" t="str">
        <f t="shared" si="7"/>
        <v>17</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1201</v>
      </c>
      <c r="D486" s="1" t="s">
        <v>1202</v>
      </c>
      <c r="E486" s="1" t="s">
        <v>1203</v>
      </c>
      <c r="F486" s="1" t="s">
        <v>112</v>
      </c>
      <c r="G486" s="1">
        <v>1811504</v>
      </c>
    </row>
    <row r="487" spans="1:10" x14ac:dyDescent="0.25">
      <c r="A487" s="1" t="str">
        <f t="shared" si="7"/>
        <v>17</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1204</v>
      </c>
      <c r="D487" s="1" t="s">
        <v>1205</v>
      </c>
      <c r="E487" s="1" t="s">
        <v>1206</v>
      </c>
      <c r="F487" s="1" t="s">
        <v>112</v>
      </c>
      <c r="G487" s="1">
        <v>1749707</v>
      </c>
    </row>
    <row r="488" spans="1:10"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219</v>
      </c>
      <c r="D489" s="1" t="s">
        <v>112</v>
      </c>
      <c r="E489" s="1" t="s">
        <v>220</v>
      </c>
      <c r="F489" s="1" t="s">
        <v>221</v>
      </c>
      <c r="G489" s="1" t="s">
        <v>222</v>
      </c>
      <c r="H489" s="1" t="s">
        <v>223</v>
      </c>
      <c r="I489" s="1" t="s">
        <v>224</v>
      </c>
      <c r="J489" s="1" t="s">
        <v>225</v>
      </c>
    </row>
    <row r="490" spans="1:10" x14ac:dyDescent="0.25">
      <c r="A490" s="1" t="str">
        <f t="shared" si="7"/>
        <v>17</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1207</v>
      </c>
      <c r="D490" s="1" t="s">
        <v>112</v>
      </c>
      <c r="E490" s="1" t="s">
        <v>1208</v>
      </c>
      <c r="F490" s="1" t="s">
        <v>1209</v>
      </c>
      <c r="G490" s="1" t="s">
        <v>1210</v>
      </c>
      <c r="H490" s="1" t="s">
        <v>1211</v>
      </c>
      <c r="I490" s="1">
        <v>24</v>
      </c>
      <c r="J490" s="1">
        <v>24</v>
      </c>
    </row>
    <row r="491" spans="1:10"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231</v>
      </c>
      <c r="D496" s="1" t="s">
        <v>110</v>
      </c>
      <c r="E496" s="1" t="s">
        <v>111</v>
      </c>
      <c r="F496" s="1" t="s">
        <v>112</v>
      </c>
      <c r="G496" s="1" t="s">
        <v>113</v>
      </c>
    </row>
    <row r="497" spans="1:7" x14ac:dyDescent="0.25">
      <c r="A497" s="1" t="str">
        <f t="shared" si="7"/>
        <v>18</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1212</v>
      </c>
      <c r="D497" s="1" t="s">
        <v>1213</v>
      </c>
      <c r="E497" s="1" t="s">
        <v>1214</v>
      </c>
      <c r="F497" s="1" t="s">
        <v>112</v>
      </c>
      <c r="G497" s="1">
        <v>910143</v>
      </c>
    </row>
    <row r="498" spans="1:7" x14ac:dyDescent="0.25">
      <c r="A498" s="1" t="str">
        <f t="shared" si="7"/>
        <v>18</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1215</v>
      </c>
      <c r="D498" s="1" t="s">
        <v>1216</v>
      </c>
      <c r="E498" s="1" t="s">
        <v>1217</v>
      </c>
      <c r="F498" s="1" t="s">
        <v>112</v>
      </c>
      <c r="G498" s="1">
        <v>328645</v>
      </c>
    </row>
    <row r="499" spans="1:7" x14ac:dyDescent="0.25">
      <c r="A499" s="1" t="str">
        <f t="shared" si="7"/>
        <v>18</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1218</v>
      </c>
      <c r="D499" s="1" t="s">
        <v>1219</v>
      </c>
      <c r="E499" s="1" t="s">
        <v>1220</v>
      </c>
      <c r="F499" s="1" t="s">
        <v>112</v>
      </c>
      <c r="G499" s="1">
        <v>1076325</v>
      </c>
    </row>
    <row r="500" spans="1:7" x14ac:dyDescent="0.25">
      <c r="A500" s="1" t="str">
        <f t="shared" si="7"/>
        <v>18</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1221</v>
      </c>
      <c r="D500" s="1" t="s">
        <v>1222</v>
      </c>
      <c r="E500" s="1" t="s">
        <v>1223</v>
      </c>
      <c r="F500" s="1" t="s">
        <v>112</v>
      </c>
      <c r="G500" s="1">
        <v>3562833</v>
      </c>
    </row>
    <row r="501" spans="1:7" x14ac:dyDescent="0.25">
      <c r="A501" s="1" t="str">
        <f t="shared" si="7"/>
        <v>18</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1224</v>
      </c>
      <c r="D501" s="1" t="s">
        <v>1225</v>
      </c>
      <c r="E501" s="1" t="s">
        <v>1226</v>
      </c>
      <c r="F501" s="1" t="s">
        <v>112</v>
      </c>
      <c r="G501" s="1">
        <v>3557663</v>
      </c>
    </row>
    <row r="502" spans="1:7" x14ac:dyDescent="0.25">
      <c r="A502" s="1" t="str">
        <f t="shared" si="7"/>
        <v>18</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1227</v>
      </c>
      <c r="D502" s="1" t="s">
        <v>1228</v>
      </c>
      <c r="E502" s="1" t="s">
        <v>1229</v>
      </c>
      <c r="F502" s="1" t="s">
        <v>112</v>
      </c>
      <c r="G502" s="1">
        <v>3346772</v>
      </c>
    </row>
    <row r="503" spans="1:7" x14ac:dyDescent="0.25">
      <c r="A503" s="1" t="str">
        <f t="shared" si="7"/>
        <v>18</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1230</v>
      </c>
      <c r="D503" s="1" t="s">
        <v>196</v>
      </c>
      <c r="E503" s="1" t="s">
        <v>1231</v>
      </c>
      <c r="F503" s="1" t="s">
        <v>112</v>
      </c>
      <c r="G503" s="1">
        <v>5991</v>
      </c>
    </row>
    <row r="504" spans="1:7" x14ac:dyDescent="0.25">
      <c r="A504" s="1" t="str">
        <f t="shared" si="7"/>
        <v>18</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1232</v>
      </c>
      <c r="D504" s="1" t="s">
        <v>1233</v>
      </c>
      <c r="E504" s="1" t="s">
        <v>1234</v>
      </c>
      <c r="F504" s="1" t="s">
        <v>112</v>
      </c>
      <c r="G504" s="1">
        <v>110810</v>
      </c>
    </row>
    <row r="505" spans="1:7" x14ac:dyDescent="0.25">
      <c r="A505" s="1" t="str">
        <f t="shared" si="7"/>
        <v>18</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1235</v>
      </c>
      <c r="D505" s="1" t="s">
        <v>1236</v>
      </c>
      <c r="E505" s="1" t="s">
        <v>1237</v>
      </c>
      <c r="F505" s="1" t="s">
        <v>112</v>
      </c>
      <c r="G505" s="1">
        <v>56216</v>
      </c>
    </row>
    <row r="506" spans="1:7" x14ac:dyDescent="0.25">
      <c r="A506" s="1" t="str">
        <f t="shared" si="7"/>
        <v>18</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1238</v>
      </c>
      <c r="D506" s="1" t="s">
        <v>1239</v>
      </c>
      <c r="E506" s="1" t="s">
        <v>1240</v>
      </c>
      <c r="F506" s="1" t="s">
        <v>112</v>
      </c>
      <c r="G506" s="1">
        <v>3977392</v>
      </c>
    </row>
    <row r="507" spans="1:7" x14ac:dyDescent="0.25">
      <c r="A507" s="1" t="str">
        <f t="shared" si="7"/>
        <v>18</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1241</v>
      </c>
      <c r="D507" s="1" t="s">
        <v>1242</v>
      </c>
      <c r="E507" s="1" t="s">
        <v>1243</v>
      </c>
      <c r="F507" s="1" t="s">
        <v>112</v>
      </c>
      <c r="G507" s="1">
        <v>3462946</v>
      </c>
    </row>
    <row r="508" spans="1:7" x14ac:dyDescent="0.25">
      <c r="A508" s="1" t="str">
        <f t="shared" si="7"/>
        <v>18</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1244</v>
      </c>
      <c r="D508" s="1" t="s">
        <v>1245</v>
      </c>
      <c r="E508" s="1" t="s">
        <v>1246</v>
      </c>
      <c r="F508" s="1" t="s">
        <v>112</v>
      </c>
      <c r="G508" s="1">
        <v>3575140</v>
      </c>
    </row>
    <row r="509" spans="1:7" x14ac:dyDescent="0.25">
      <c r="A509" s="1" t="str">
        <f t="shared" si="7"/>
        <v>18</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1247</v>
      </c>
      <c r="D509" s="1" t="s">
        <v>1248</v>
      </c>
      <c r="E509" s="1" t="s">
        <v>1249</v>
      </c>
      <c r="F509" s="1" t="s">
        <v>112</v>
      </c>
      <c r="G509" s="1">
        <v>3547130</v>
      </c>
    </row>
    <row r="510" spans="1:7" x14ac:dyDescent="0.25">
      <c r="A510" s="1" t="str">
        <f t="shared" si="7"/>
        <v>18</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1250</v>
      </c>
      <c r="D510" s="1" t="s">
        <v>1251</v>
      </c>
      <c r="E510" s="1" t="s">
        <v>1252</v>
      </c>
      <c r="F510" s="1" t="s">
        <v>112</v>
      </c>
      <c r="G510" s="1">
        <v>2676332</v>
      </c>
    </row>
    <row r="511" spans="1:7" x14ac:dyDescent="0.25">
      <c r="A511" s="1" t="str">
        <f t="shared" si="7"/>
        <v>18</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1253</v>
      </c>
      <c r="D511" s="1" t="s">
        <v>1254</v>
      </c>
      <c r="E511" s="1" t="s">
        <v>1255</v>
      </c>
      <c r="F511" s="1" t="s">
        <v>112</v>
      </c>
      <c r="G511" s="1">
        <v>2897562</v>
      </c>
    </row>
    <row r="512" spans="1:7" x14ac:dyDescent="0.25">
      <c r="A512" s="1" t="str">
        <f t="shared" si="7"/>
        <v>18</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1256</v>
      </c>
      <c r="D512" s="1" t="s">
        <v>1257</v>
      </c>
      <c r="E512" s="1" t="s">
        <v>1258</v>
      </c>
      <c r="F512" s="1" t="s">
        <v>112</v>
      </c>
      <c r="G512" s="1">
        <v>2190092</v>
      </c>
    </row>
    <row r="513" spans="1:10" x14ac:dyDescent="0.25">
      <c r="A513" s="1" t="str">
        <f t="shared" si="7"/>
        <v>18</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1259</v>
      </c>
      <c r="D513" s="1" t="s">
        <v>1260</v>
      </c>
      <c r="E513" s="1" t="s">
        <v>1261</v>
      </c>
      <c r="F513" s="1" t="s">
        <v>112</v>
      </c>
      <c r="G513" s="1">
        <v>1938039</v>
      </c>
    </row>
    <row r="514" spans="1:10" x14ac:dyDescent="0.25">
      <c r="A514" s="1" t="str">
        <f t="shared" ref="A514:A577" si="8">IFERROR(LEFT(RIGHT(C514,LEN(C514)-SEARCH("@",C514)),SEARCH("/",RIGHT(C514,LEN(C514)-SEARCH("@",C514)-1))),"")</f>
        <v>18</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1262</v>
      </c>
      <c r="D514" s="1" t="s">
        <v>1263</v>
      </c>
      <c r="E514" s="1" t="s">
        <v>1264</v>
      </c>
      <c r="F514" s="1" t="s">
        <v>112</v>
      </c>
      <c r="G514" s="1">
        <v>2180142</v>
      </c>
    </row>
    <row r="515" spans="1:10" x14ac:dyDescent="0.25">
      <c r="A515" s="1" t="str">
        <f t="shared" si="8"/>
        <v>18</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1265</v>
      </c>
    </row>
    <row r="516" spans="1:10" x14ac:dyDescent="0.25">
      <c r="A516" s="1" t="str">
        <f t="shared" si="8"/>
        <v>18</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1266</v>
      </c>
    </row>
    <row r="517" spans="1:10" x14ac:dyDescent="0.25">
      <c r="A517" s="1" t="str">
        <f t="shared" si="8"/>
        <v>18</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1267</v>
      </c>
    </row>
    <row r="518" spans="1:10" x14ac:dyDescent="0.25">
      <c r="A518" s="1" t="str">
        <f t="shared" si="8"/>
        <v>18</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1268</v>
      </c>
      <c r="D518" s="1" t="s">
        <v>1269</v>
      </c>
      <c r="E518" s="1" t="s">
        <v>1270</v>
      </c>
      <c r="F518" s="1" t="s">
        <v>112</v>
      </c>
      <c r="G518" s="1">
        <v>2310311</v>
      </c>
    </row>
    <row r="519" spans="1:10" x14ac:dyDescent="0.25">
      <c r="A519" s="1" t="str">
        <f t="shared" si="8"/>
        <v>18</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1271</v>
      </c>
      <c r="D519" s="1" t="s">
        <v>1272</v>
      </c>
      <c r="E519" s="1" t="s">
        <v>1273</v>
      </c>
      <c r="F519" s="1" t="s">
        <v>112</v>
      </c>
      <c r="G519" s="1">
        <v>2509371</v>
      </c>
    </row>
    <row r="520" spans="1:10" x14ac:dyDescent="0.25">
      <c r="A520" s="1" t="str">
        <f t="shared" si="8"/>
        <v>18</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1274</v>
      </c>
      <c r="D520" s="1" t="s">
        <v>1275</v>
      </c>
      <c r="E520" s="1" t="s">
        <v>1276</v>
      </c>
      <c r="F520" s="1" t="s">
        <v>112</v>
      </c>
      <c r="G520" s="1">
        <v>2614968</v>
      </c>
    </row>
    <row r="521" spans="1:10"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219</v>
      </c>
      <c r="D522" s="1" t="s">
        <v>112</v>
      </c>
      <c r="E522" s="1" t="s">
        <v>220</v>
      </c>
      <c r="F522" s="1" t="s">
        <v>221</v>
      </c>
      <c r="G522" s="1" t="s">
        <v>222</v>
      </c>
      <c r="H522" s="1" t="s">
        <v>223</v>
      </c>
      <c r="I522" s="1" t="s">
        <v>224</v>
      </c>
      <c r="J522" s="1" t="s">
        <v>225</v>
      </c>
    </row>
    <row r="523" spans="1:10" x14ac:dyDescent="0.25">
      <c r="A523" s="1" t="str">
        <f t="shared" si="8"/>
        <v>18</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1277</v>
      </c>
      <c r="D523" s="1" t="s">
        <v>112</v>
      </c>
      <c r="E523" s="1" t="s">
        <v>1278</v>
      </c>
      <c r="F523" s="1" t="s">
        <v>1279</v>
      </c>
      <c r="G523" s="1" t="s">
        <v>1280</v>
      </c>
      <c r="H523" s="1" t="s">
        <v>1281</v>
      </c>
      <c r="I523" s="1">
        <v>24</v>
      </c>
      <c r="J523" s="1">
        <v>24</v>
      </c>
    </row>
    <row r="524" spans="1:10"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231</v>
      </c>
      <c r="D529" s="1" t="s">
        <v>110</v>
      </c>
      <c r="E529" s="1" t="s">
        <v>111</v>
      </c>
      <c r="F529" s="1" t="s">
        <v>112</v>
      </c>
      <c r="G529" s="1" t="s">
        <v>113</v>
      </c>
    </row>
    <row r="530" spans="1:7" x14ac:dyDescent="0.25">
      <c r="A530" s="1" t="str">
        <f t="shared" si="8"/>
        <v>19</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1282</v>
      </c>
      <c r="D530" s="1" t="s">
        <v>875</v>
      </c>
      <c r="E530" s="1" t="s">
        <v>1283</v>
      </c>
      <c r="F530" s="1" t="s">
        <v>112</v>
      </c>
      <c r="G530" s="1">
        <v>2872472</v>
      </c>
    </row>
    <row r="531" spans="1:7" x14ac:dyDescent="0.25">
      <c r="A531" s="1" t="str">
        <f t="shared" si="8"/>
        <v>19</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1284</v>
      </c>
      <c r="D531" s="1" t="s">
        <v>1285</v>
      </c>
      <c r="E531" s="1" t="s">
        <v>1286</v>
      </c>
      <c r="F531" s="1" t="s">
        <v>112</v>
      </c>
      <c r="G531" s="1">
        <v>2307672</v>
      </c>
    </row>
    <row r="532" spans="1:7" x14ac:dyDescent="0.25">
      <c r="A532" s="1" t="str">
        <f t="shared" si="8"/>
        <v>19</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1287</v>
      </c>
      <c r="D532" s="1" t="s">
        <v>1288</v>
      </c>
      <c r="E532" s="1" t="s">
        <v>1289</v>
      </c>
      <c r="F532" s="1" t="s">
        <v>112</v>
      </c>
      <c r="G532" s="1">
        <v>2449888</v>
      </c>
    </row>
    <row r="533" spans="1:7" x14ac:dyDescent="0.25">
      <c r="A533" s="1" t="str">
        <f t="shared" si="8"/>
        <v>19</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1290</v>
      </c>
      <c r="D533" s="1" t="s">
        <v>1291</v>
      </c>
      <c r="E533" s="1" t="s">
        <v>1292</v>
      </c>
      <c r="F533" s="1" t="s">
        <v>112</v>
      </c>
      <c r="G533" s="1">
        <v>1791669</v>
      </c>
    </row>
    <row r="534" spans="1:7" x14ac:dyDescent="0.25">
      <c r="A534" s="1" t="str">
        <f t="shared" si="8"/>
        <v>19</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1293</v>
      </c>
      <c r="D534" s="1" t="s">
        <v>1294</v>
      </c>
      <c r="E534" s="1" t="s">
        <v>1295</v>
      </c>
      <c r="F534" s="1" t="s">
        <v>112</v>
      </c>
      <c r="G534" s="1">
        <v>1941586</v>
      </c>
    </row>
    <row r="535" spans="1:7" x14ac:dyDescent="0.25">
      <c r="A535" s="1" t="str">
        <f t="shared" si="8"/>
        <v>19</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1296</v>
      </c>
      <c r="D535" s="1" t="s">
        <v>1297</v>
      </c>
      <c r="E535" s="1" t="s">
        <v>1298</v>
      </c>
      <c r="F535" s="1" t="s">
        <v>112</v>
      </c>
      <c r="G535" s="1">
        <v>2148151</v>
      </c>
    </row>
    <row r="536" spans="1:7" x14ac:dyDescent="0.25">
      <c r="A536" s="1" t="str">
        <f t="shared" si="8"/>
        <v>19</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1299</v>
      </c>
      <c r="D536" s="1" t="s">
        <v>1300</v>
      </c>
      <c r="E536" s="1" t="s">
        <v>1301</v>
      </c>
      <c r="F536" s="1" t="s">
        <v>112</v>
      </c>
      <c r="G536" s="1">
        <v>3509039</v>
      </c>
    </row>
    <row r="537" spans="1:7" x14ac:dyDescent="0.25">
      <c r="A537" s="1" t="str">
        <f t="shared" si="8"/>
        <v>19</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1302</v>
      </c>
      <c r="D537" s="1" t="s">
        <v>1303</v>
      </c>
      <c r="E537" s="1" t="s">
        <v>1304</v>
      </c>
      <c r="F537" s="1" t="s">
        <v>112</v>
      </c>
      <c r="G537" s="1">
        <v>3510943</v>
      </c>
    </row>
    <row r="538" spans="1:7" x14ac:dyDescent="0.25">
      <c r="A538" s="1" t="str">
        <f t="shared" si="8"/>
        <v>19</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1305</v>
      </c>
      <c r="D538" s="1" t="s">
        <v>921</v>
      </c>
      <c r="E538" s="1" t="s">
        <v>1306</v>
      </c>
      <c r="F538" s="1" t="s">
        <v>112</v>
      </c>
      <c r="G538" s="1">
        <v>3660860</v>
      </c>
    </row>
    <row r="539" spans="1:7" x14ac:dyDescent="0.25">
      <c r="A539" s="1" t="str">
        <f t="shared" si="8"/>
        <v>19</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1307</v>
      </c>
      <c r="D539" s="1" t="s">
        <v>1308</v>
      </c>
      <c r="E539" s="1" t="s">
        <v>1309</v>
      </c>
      <c r="F539" s="1" t="s">
        <v>112</v>
      </c>
      <c r="G539" s="1">
        <v>2308494</v>
      </c>
    </row>
    <row r="540" spans="1:7" x14ac:dyDescent="0.25">
      <c r="A540" s="1" t="str">
        <f t="shared" si="8"/>
        <v>19</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1310</v>
      </c>
      <c r="D540" s="1" t="s">
        <v>1311</v>
      </c>
      <c r="E540" s="1" t="s">
        <v>1312</v>
      </c>
      <c r="F540" s="1" t="s">
        <v>112</v>
      </c>
      <c r="G540" s="1">
        <v>1867785</v>
      </c>
    </row>
    <row r="541" spans="1:7" x14ac:dyDescent="0.25">
      <c r="A541" s="1" t="str">
        <f t="shared" si="8"/>
        <v>19</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1313</v>
      </c>
      <c r="D541" s="1" t="s">
        <v>1314</v>
      </c>
      <c r="E541" s="1" t="s">
        <v>1315</v>
      </c>
      <c r="F541" s="1" t="s">
        <v>112</v>
      </c>
      <c r="G541" s="1">
        <v>2229112</v>
      </c>
    </row>
    <row r="542" spans="1:7" x14ac:dyDescent="0.25">
      <c r="A542" s="1" t="str">
        <f t="shared" si="8"/>
        <v>19</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1316</v>
      </c>
      <c r="D542" s="1" t="s">
        <v>1317</v>
      </c>
      <c r="E542" s="1" t="s">
        <v>1318</v>
      </c>
      <c r="F542" s="1" t="s">
        <v>112</v>
      </c>
      <c r="G542" s="1">
        <v>3040038</v>
      </c>
    </row>
    <row r="543" spans="1:7" x14ac:dyDescent="0.25">
      <c r="A543" s="1" t="str">
        <f t="shared" si="8"/>
        <v>19</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1319</v>
      </c>
      <c r="D543" s="1" t="s">
        <v>1320</v>
      </c>
      <c r="E543" s="1" t="s">
        <v>1321</v>
      </c>
      <c r="F543" s="1" t="s">
        <v>112</v>
      </c>
      <c r="G543" s="1">
        <v>2808599</v>
      </c>
    </row>
    <row r="544" spans="1:7" x14ac:dyDescent="0.25">
      <c r="A544" s="1" t="str">
        <f t="shared" si="8"/>
        <v>19</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1322</v>
      </c>
      <c r="D544" s="1" t="s">
        <v>1323</v>
      </c>
      <c r="E544" s="1" t="s">
        <v>1324</v>
      </c>
      <c r="F544" s="1" t="s">
        <v>112</v>
      </c>
      <c r="G544" s="1">
        <v>3044732</v>
      </c>
    </row>
    <row r="545" spans="1:10" x14ac:dyDescent="0.25">
      <c r="A545" s="1" t="str">
        <f t="shared" si="8"/>
        <v>19</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1325</v>
      </c>
      <c r="D545" s="1" t="s">
        <v>1326</v>
      </c>
      <c r="E545" s="1" t="s">
        <v>1327</v>
      </c>
      <c r="F545" s="1" t="s">
        <v>112</v>
      </c>
      <c r="G545" s="1">
        <v>1794589</v>
      </c>
    </row>
    <row r="546" spans="1:10" x14ac:dyDescent="0.25">
      <c r="A546" s="1" t="str">
        <f t="shared" si="8"/>
        <v>19</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1328</v>
      </c>
      <c r="D546" s="1" t="s">
        <v>1329</v>
      </c>
      <c r="E546" s="1" t="s">
        <v>1330</v>
      </c>
      <c r="F546" s="1" t="s">
        <v>112</v>
      </c>
      <c r="G546" s="1">
        <v>2172658</v>
      </c>
    </row>
    <row r="547" spans="1:10" x14ac:dyDescent="0.25">
      <c r="A547" s="1" t="str">
        <f t="shared" si="8"/>
        <v>19</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1331</v>
      </c>
      <c r="D547" s="1" t="s">
        <v>805</v>
      </c>
      <c r="E547" s="1" t="s">
        <v>1332</v>
      </c>
      <c r="F547" s="1" t="s">
        <v>112</v>
      </c>
      <c r="G547" s="1">
        <v>2078546</v>
      </c>
    </row>
    <row r="548" spans="1:10" x14ac:dyDescent="0.25">
      <c r="A548" s="1" t="str">
        <f t="shared" si="8"/>
        <v>19</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1333</v>
      </c>
      <c r="D548" s="1" t="s">
        <v>1334</v>
      </c>
      <c r="E548" s="1" t="s">
        <v>1335</v>
      </c>
      <c r="F548" s="1" t="s">
        <v>112</v>
      </c>
      <c r="G548" s="1">
        <v>2108698</v>
      </c>
    </row>
    <row r="549" spans="1:10" x14ac:dyDescent="0.25">
      <c r="A549" s="1" t="str">
        <f t="shared" si="8"/>
        <v>19</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1336</v>
      </c>
      <c r="D549" s="1" t="s">
        <v>1337</v>
      </c>
      <c r="E549" s="1" t="s">
        <v>1338</v>
      </c>
      <c r="F549" s="1" t="s">
        <v>112</v>
      </c>
      <c r="G549" s="1">
        <v>1615688</v>
      </c>
    </row>
    <row r="550" spans="1:10" x14ac:dyDescent="0.25">
      <c r="A550" s="1" t="str">
        <f t="shared" si="8"/>
        <v>19</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1339</v>
      </c>
      <c r="D550" s="1" t="s">
        <v>1340</v>
      </c>
      <c r="E550" s="1" t="s">
        <v>1341</v>
      </c>
      <c r="F550" s="1" t="s">
        <v>112</v>
      </c>
      <c r="G550" s="1">
        <v>1714407</v>
      </c>
    </row>
    <row r="551" spans="1:10" x14ac:dyDescent="0.25">
      <c r="A551" s="1" t="str">
        <f t="shared" si="8"/>
        <v>19</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1342</v>
      </c>
      <c r="D551" s="1" t="s">
        <v>1343</v>
      </c>
      <c r="E551" s="1" t="s">
        <v>1344</v>
      </c>
      <c r="F551" s="1" t="s">
        <v>112</v>
      </c>
      <c r="G551" s="1">
        <v>3686015</v>
      </c>
    </row>
    <row r="552" spans="1:10" x14ac:dyDescent="0.25">
      <c r="A552" s="1" t="str">
        <f t="shared" si="8"/>
        <v>19</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1345</v>
      </c>
      <c r="D552" s="1" t="s">
        <v>1346</v>
      </c>
      <c r="E552" s="1" t="s">
        <v>1347</v>
      </c>
      <c r="F552" s="1" t="s">
        <v>112</v>
      </c>
      <c r="G552" s="1">
        <v>2928277</v>
      </c>
    </row>
    <row r="553" spans="1:10" x14ac:dyDescent="0.25">
      <c r="A553" s="1" t="str">
        <f t="shared" si="8"/>
        <v>19</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1348</v>
      </c>
      <c r="D553" s="1" t="s">
        <v>1349</v>
      </c>
      <c r="E553" s="1" t="s">
        <v>1350</v>
      </c>
      <c r="F553" s="1" t="s">
        <v>112</v>
      </c>
      <c r="G553" s="1">
        <v>3158938</v>
      </c>
    </row>
    <row r="554" spans="1:10"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219</v>
      </c>
      <c r="D555" s="1" t="s">
        <v>112</v>
      </c>
      <c r="E555" s="1" t="s">
        <v>220</v>
      </c>
      <c r="F555" s="1" t="s">
        <v>221</v>
      </c>
      <c r="G555" s="1" t="s">
        <v>222</v>
      </c>
      <c r="H555" s="1" t="s">
        <v>223</v>
      </c>
      <c r="I555" s="1" t="s">
        <v>224</v>
      </c>
      <c r="J555" s="1" t="s">
        <v>225</v>
      </c>
    </row>
    <row r="556" spans="1:10" x14ac:dyDescent="0.25">
      <c r="A556" s="1" t="str">
        <f t="shared" si="8"/>
        <v>19</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1351</v>
      </c>
      <c r="D556" s="1" t="s">
        <v>112</v>
      </c>
      <c r="E556" s="1" t="s">
        <v>1352</v>
      </c>
      <c r="F556" s="1" t="s">
        <v>1353</v>
      </c>
      <c r="G556" s="1" t="s">
        <v>1354</v>
      </c>
      <c r="H556" s="1" t="s">
        <v>1355</v>
      </c>
      <c r="I556" s="1">
        <v>24</v>
      </c>
      <c r="J556" s="1">
        <v>24</v>
      </c>
    </row>
    <row r="557" spans="1:10"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231</v>
      </c>
      <c r="D562" s="1" t="s">
        <v>110</v>
      </c>
      <c r="E562" s="1" t="s">
        <v>111</v>
      </c>
      <c r="F562" s="1" t="s">
        <v>112</v>
      </c>
      <c r="G562" s="1" t="s">
        <v>113</v>
      </c>
    </row>
    <row r="563" spans="1:7" x14ac:dyDescent="0.25">
      <c r="A563" s="1" t="str">
        <f t="shared" si="8"/>
        <v>20</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1356</v>
      </c>
      <c r="D563" s="1" t="s">
        <v>1357</v>
      </c>
      <c r="E563" s="1" t="s">
        <v>1358</v>
      </c>
      <c r="F563" s="1" t="s">
        <v>112</v>
      </c>
      <c r="G563" s="1">
        <v>1909292</v>
      </c>
    </row>
    <row r="564" spans="1:7" x14ac:dyDescent="0.25">
      <c r="A564" s="1" t="str">
        <f t="shared" si="8"/>
        <v>20</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1359</v>
      </c>
      <c r="D564" s="1" t="s">
        <v>1360</v>
      </c>
      <c r="E564" s="1" t="s">
        <v>1361</v>
      </c>
      <c r="F564" s="1" t="s">
        <v>112</v>
      </c>
      <c r="G564" s="1">
        <v>2797870</v>
      </c>
    </row>
    <row r="565" spans="1:7" x14ac:dyDescent="0.25">
      <c r="A565" s="1" t="str">
        <f t="shared" si="8"/>
        <v>20</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1362</v>
      </c>
      <c r="D565" s="1" t="s">
        <v>1363</v>
      </c>
      <c r="E565" s="1" t="s">
        <v>1364</v>
      </c>
      <c r="F565" s="1" t="s">
        <v>112</v>
      </c>
      <c r="G565" s="1">
        <v>2871779</v>
      </c>
    </row>
    <row r="566" spans="1:7" x14ac:dyDescent="0.25">
      <c r="A566" s="1" t="str">
        <f t="shared" si="8"/>
        <v>20</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1365</v>
      </c>
      <c r="D566" s="1" t="s">
        <v>1366</v>
      </c>
      <c r="E566" s="1" t="s">
        <v>1367</v>
      </c>
      <c r="F566" s="1" t="s">
        <v>112</v>
      </c>
      <c r="G566" s="1">
        <v>2223813</v>
      </c>
    </row>
    <row r="567" spans="1:7" x14ac:dyDescent="0.25">
      <c r="A567" s="1" t="str">
        <f t="shared" si="8"/>
        <v>20</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1368</v>
      </c>
      <c r="D567" s="1" t="s">
        <v>1369</v>
      </c>
      <c r="E567" s="1" t="s">
        <v>1370</v>
      </c>
      <c r="F567" s="1" t="s">
        <v>112</v>
      </c>
      <c r="G567" s="1">
        <v>2082894</v>
      </c>
    </row>
    <row r="568" spans="1:7" x14ac:dyDescent="0.25">
      <c r="A568" s="1" t="str">
        <f t="shared" si="8"/>
        <v>20</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1371</v>
      </c>
      <c r="D568" s="1" t="s">
        <v>1372</v>
      </c>
      <c r="E568" s="1" t="s">
        <v>1373</v>
      </c>
      <c r="F568" s="1" t="s">
        <v>112</v>
      </c>
      <c r="G568" s="1">
        <v>2657514</v>
      </c>
    </row>
    <row r="569" spans="1:7" x14ac:dyDescent="0.25">
      <c r="A569" s="1" t="str">
        <f t="shared" si="8"/>
        <v>20</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1374</v>
      </c>
      <c r="D569" s="1" t="s">
        <v>1375</v>
      </c>
      <c r="E569" s="1" t="s">
        <v>1376</v>
      </c>
      <c r="F569" s="1" t="s">
        <v>112</v>
      </c>
      <c r="G569" s="1">
        <v>3665142</v>
      </c>
    </row>
    <row r="570" spans="1:7" x14ac:dyDescent="0.25">
      <c r="A570" s="1" t="str">
        <f t="shared" si="8"/>
        <v>20</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1377</v>
      </c>
      <c r="D570" s="1" t="s">
        <v>1378</v>
      </c>
      <c r="E570" s="1" t="s">
        <v>1379</v>
      </c>
      <c r="F570" s="1" t="s">
        <v>112</v>
      </c>
      <c r="G570" s="1">
        <v>3604449</v>
      </c>
    </row>
    <row r="571" spans="1:7" x14ac:dyDescent="0.25">
      <c r="A571" s="1" t="str">
        <f t="shared" si="8"/>
        <v>20</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1380</v>
      </c>
      <c r="D571" s="1" t="s">
        <v>1381</v>
      </c>
      <c r="E571" s="1" t="s">
        <v>1382</v>
      </c>
      <c r="F571" s="1" t="s">
        <v>112</v>
      </c>
      <c r="G571" s="1">
        <v>4042865</v>
      </c>
    </row>
    <row r="572" spans="1:7" x14ac:dyDescent="0.25">
      <c r="A572" s="1" t="str">
        <f t="shared" si="8"/>
        <v>20</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1383</v>
      </c>
      <c r="D572" s="1" t="s">
        <v>616</v>
      </c>
      <c r="E572" s="1" t="s">
        <v>1384</v>
      </c>
      <c r="F572" s="1" t="s">
        <v>112</v>
      </c>
      <c r="G572" s="1">
        <v>83556</v>
      </c>
    </row>
    <row r="573" spans="1:7" x14ac:dyDescent="0.25">
      <c r="A573" s="1" t="str">
        <f t="shared" si="8"/>
        <v>20</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1385</v>
      </c>
      <c r="D573" s="1" t="s">
        <v>1386</v>
      </c>
      <c r="E573" s="1" t="s">
        <v>1387</v>
      </c>
      <c r="F573" s="1" t="s">
        <v>112</v>
      </c>
      <c r="G573" s="1">
        <v>61451</v>
      </c>
    </row>
    <row r="574" spans="1:7" x14ac:dyDescent="0.25">
      <c r="A574" s="1" t="str">
        <f t="shared" si="8"/>
        <v>20</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1388</v>
      </c>
      <c r="D574" s="1" t="s">
        <v>1389</v>
      </c>
      <c r="E574" s="1" t="s">
        <v>1390</v>
      </c>
      <c r="F574" s="1" t="s">
        <v>112</v>
      </c>
      <c r="G574" s="1">
        <v>205030</v>
      </c>
    </row>
    <row r="575" spans="1:7" x14ac:dyDescent="0.25">
      <c r="A575" s="1" t="str">
        <f t="shared" si="8"/>
        <v>20</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1391</v>
      </c>
      <c r="D575" s="1" t="s">
        <v>1392</v>
      </c>
      <c r="E575" s="1" t="s">
        <v>1393</v>
      </c>
      <c r="F575" s="1" t="s">
        <v>112</v>
      </c>
      <c r="G575" s="1">
        <v>2115144</v>
      </c>
    </row>
    <row r="576" spans="1:7" x14ac:dyDescent="0.25">
      <c r="A576" s="1" t="str">
        <f t="shared" si="8"/>
        <v>20</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1394</v>
      </c>
      <c r="D576" s="1" t="s">
        <v>1395</v>
      </c>
      <c r="E576" s="1" t="s">
        <v>1396</v>
      </c>
      <c r="F576" s="1" t="s">
        <v>112</v>
      </c>
      <c r="G576" s="1">
        <v>1355070</v>
      </c>
    </row>
    <row r="577" spans="1:10" x14ac:dyDescent="0.25">
      <c r="A577" s="1" t="str">
        <f t="shared" si="8"/>
        <v>20</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1397</v>
      </c>
      <c r="D577" s="1" t="s">
        <v>1398</v>
      </c>
      <c r="E577" s="1" t="s">
        <v>1399</v>
      </c>
      <c r="F577" s="1" t="s">
        <v>112</v>
      </c>
      <c r="G577" s="1">
        <v>1690117</v>
      </c>
    </row>
    <row r="578" spans="1:10" x14ac:dyDescent="0.25">
      <c r="A578" s="1" t="str">
        <f t="shared" ref="A578:A641" si="9">IFERROR(LEFT(RIGHT(C578,LEN(C578)-SEARCH("@",C578)),SEARCH("/",RIGHT(C578,LEN(C578)-SEARCH("@",C578)-1))),"")</f>
        <v>20</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1400</v>
      </c>
      <c r="D578" s="1" t="s">
        <v>1401</v>
      </c>
      <c r="E578" s="1" t="s">
        <v>1402</v>
      </c>
      <c r="F578" s="1" t="s">
        <v>112</v>
      </c>
      <c r="G578" s="1">
        <v>59417</v>
      </c>
    </row>
    <row r="579" spans="1:10" x14ac:dyDescent="0.25">
      <c r="A579" s="1" t="str">
        <f t="shared" si="9"/>
        <v>20</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1403</v>
      </c>
      <c r="D579" s="1" t="s">
        <v>1404</v>
      </c>
      <c r="E579" s="1" t="s">
        <v>1405</v>
      </c>
      <c r="F579" s="1" t="s">
        <v>112</v>
      </c>
      <c r="G579" s="1">
        <v>13930</v>
      </c>
    </row>
    <row r="580" spans="1:10" x14ac:dyDescent="0.25">
      <c r="A580" s="1" t="str">
        <f t="shared" si="9"/>
        <v>20</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1406</v>
      </c>
      <c r="D580" s="1" t="s">
        <v>1407</v>
      </c>
      <c r="E580" s="1" t="s">
        <v>1408</v>
      </c>
      <c r="F580" s="1" t="s">
        <v>112</v>
      </c>
      <c r="G580" s="1">
        <v>97529</v>
      </c>
    </row>
    <row r="581" spans="1:10" x14ac:dyDescent="0.25">
      <c r="A581" s="1" t="str">
        <f t="shared" si="9"/>
        <v>20</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1409</v>
      </c>
    </row>
    <row r="582" spans="1:10" x14ac:dyDescent="0.25">
      <c r="A582" s="1" t="str">
        <f t="shared" si="9"/>
        <v>20</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1410</v>
      </c>
    </row>
    <row r="583" spans="1:10" x14ac:dyDescent="0.25">
      <c r="A583" s="1" t="str">
        <f t="shared" si="9"/>
        <v>20</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1411</v>
      </c>
    </row>
    <row r="584" spans="1:10" x14ac:dyDescent="0.25">
      <c r="A584" s="1" t="str">
        <f t="shared" si="9"/>
        <v>20</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1412</v>
      </c>
      <c r="D584" s="1" t="s">
        <v>1413</v>
      </c>
      <c r="E584" s="1" t="s">
        <v>1414</v>
      </c>
      <c r="F584" s="1" t="s">
        <v>112</v>
      </c>
      <c r="G584" s="1">
        <v>122923</v>
      </c>
    </row>
    <row r="585" spans="1:10" x14ac:dyDescent="0.25">
      <c r="A585" s="1" t="str">
        <f t="shared" si="9"/>
        <v>20</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1415</v>
      </c>
      <c r="D585" s="1" t="s">
        <v>505</v>
      </c>
      <c r="E585" s="1" t="s">
        <v>1416</v>
      </c>
      <c r="F585" s="1" t="s">
        <v>112</v>
      </c>
      <c r="G585" s="1">
        <v>120003</v>
      </c>
    </row>
    <row r="586" spans="1:10" x14ac:dyDescent="0.25">
      <c r="A586" s="1" t="str">
        <f t="shared" si="9"/>
        <v>20</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1417</v>
      </c>
      <c r="D586" s="1" t="s">
        <v>1418</v>
      </c>
      <c r="E586" s="1" t="s">
        <v>1419</v>
      </c>
      <c r="F586" s="1" t="s">
        <v>112</v>
      </c>
      <c r="G586" s="1">
        <v>432576</v>
      </c>
    </row>
    <row r="587" spans="1:10"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219</v>
      </c>
      <c r="D588" s="1" t="s">
        <v>112</v>
      </c>
      <c r="E588" s="1" t="s">
        <v>220</v>
      </c>
      <c r="F588" s="1" t="s">
        <v>221</v>
      </c>
      <c r="G588" s="1" t="s">
        <v>222</v>
      </c>
      <c r="H588" s="1" t="s">
        <v>223</v>
      </c>
      <c r="I588" s="1" t="s">
        <v>224</v>
      </c>
      <c r="J588" s="1" t="s">
        <v>225</v>
      </c>
    </row>
    <row r="589" spans="1:10" x14ac:dyDescent="0.25">
      <c r="A589" s="1" t="str">
        <f t="shared" si="9"/>
        <v>20</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1420</v>
      </c>
      <c r="D589" s="1" t="s">
        <v>112</v>
      </c>
      <c r="E589" s="1" t="s">
        <v>1421</v>
      </c>
      <c r="F589" s="1" t="s">
        <v>1422</v>
      </c>
      <c r="G589" s="1" t="s">
        <v>1423</v>
      </c>
      <c r="H589" s="1" t="s">
        <v>1424</v>
      </c>
      <c r="I589" s="1">
        <v>24</v>
      </c>
      <c r="J589" s="1">
        <v>24</v>
      </c>
    </row>
    <row r="590" spans="1:10"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231</v>
      </c>
      <c r="D595" s="1" t="s">
        <v>110</v>
      </c>
      <c r="E595" s="1" t="s">
        <v>111</v>
      </c>
      <c r="F595" s="1" t="s">
        <v>112</v>
      </c>
      <c r="G595" s="1" t="s">
        <v>113</v>
      </c>
    </row>
    <row r="596" spans="1:7" x14ac:dyDescent="0.25">
      <c r="A596" s="1" t="str">
        <f t="shared" si="9"/>
        <v>21</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1425</v>
      </c>
      <c r="D596" s="1" t="s">
        <v>1426</v>
      </c>
      <c r="E596" s="1" t="s">
        <v>1427</v>
      </c>
      <c r="F596" s="1" t="s">
        <v>112</v>
      </c>
      <c r="G596" s="1">
        <v>2821187</v>
      </c>
    </row>
    <row r="597" spans="1:7" x14ac:dyDescent="0.25">
      <c r="A597" s="1" t="str">
        <f t="shared" si="9"/>
        <v>21</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1428</v>
      </c>
      <c r="D597" s="1" t="s">
        <v>1429</v>
      </c>
      <c r="E597" s="1" t="s">
        <v>1430</v>
      </c>
      <c r="F597" s="1" t="s">
        <v>112</v>
      </c>
      <c r="G597" s="1">
        <v>2793393</v>
      </c>
    </row>
    <row r="598" spans="1:7" x14ac:dyDescent="0.25">
      <c r="A598" s="1" t="str">
        <f t="shared" si="9"/>
        <v>21</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1431</v>
      </c>
      <c r="D598" s="1" t="s">
        <v>1432</v>
      </c>
      <c r="E598" s="1" t="s">
        <v>1433</v>
      </c>
      <c r="F598" s="1" t="s">
        <v>112</v>
      </c>
      <c r="G598" s="1">
        <v>2492002</v>
      </c>
    </row>
    <row r="599" spans="1:7" x14ac:dyDescent="0.25">
      <c r="A599" s="1" t="str">
        <f t="shared" si="9"/>
        <v>21</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1434</v>
      </c>
      <c r="D599" s="1" t="s">
        <v>1435</v>
      </c>
      <c r="E599" s="1" t="s">
        <v>1436</v>
      </c>
      <c r="F599" s="1" t="s">
        <v>112</v>
      </c>
      <c r="G599" s="1">
        <v>4385548</v>
      </c>
    </row>
    <row r="600" spans="1:7" x14ac:dyDescent="0.25">
      <c r="A600" s="1" t="str">
        <f t="shared" si="9"/>
        <v>21</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1437</v>
      </c>
      <c r="D600" s="1" t="s">
        <v>1438</v>
      </c>
      <c r="E600" s="1" t="s">
        <v>1439</v>
      </c>
      <c r="F600" s="1" t="s">
        <v>112</v>
      </c>
      <c r="G600" s="1">
        <v>5641877</v>
      </c>
    </row>
    <row r="601" spans="1:7" x14ac:dyDescent="0.25">
      <c r="A601" s="1" t="str">
        <f t="shared" si="9"/>
        <v>21</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1440</v>
      </c>
      <c r="D601" s="1" t="s">
        <v>1441</v>
      </c>
      <c r="E601" s="1" t="s">
        <v>1442</v>
      </c>
      <c r="F601" s="1" t="s">
        <v>112</v>
      </c>
      <c r="G601" s="1">
        <v>5409139</v>
      </c>
    </row>
    <row r="602" spans="1:7" x14ac:dyDescent="0.25">
      <c r="A602" s="1" t="str">
        <f t="shared" si="9"/>
        <v>21</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1443</v>
      </c>
      <c r="D602" s="1" t="s">
        <v>1444</v>
      </c>
      <c r="E602" s="1" t="s">
        <v>1445</v>
      </c>
      <c r="F602" s="1" t="s">
        <v>112</v>
      </c>
      <c r="G602" s="1">
        <v>2872277</v>
      </c>
    </row>
    <row r="603" spans="1:7" x14ac:dyDescent="0.25">
      <c r="A603" s="1" t="str">
        <f t="shared" si="9"/>
        <v>21</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1446</v>
      </c>
      <c r="D603" s="1" t="s">
        <v>900</v>
      </c>
      <c r="E603" s="1" t="s">
        <v>1447</v>
      </c>
      <c r="F603" s="1" t="s">
        <v>112</v>
      </c>
      <c r="G603" s="1">
        <v>3110379</v>
      </c>
    </row>
    <row r="604" spans="1:7" x14ac:dyDescent="0.25">
      <c r="A604" s="1" t="str">
        <f t="shared" si="9"/>
        <v>21</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1448</v>
      </c>
      <c r="D604" s="1" t="s">
        <v>1449</v>
      </c>
      <c r="E604" s="1" t="s">
        <v>1450</v>
      </c>
      <c r="F604" s="1" t="s">
        <v>112</v>
      </c>
      <c r="G604" s="1">
        <v>2933944</v>
      </c>
    </row>
    <row r="605" spans="1:7" x14ac:dyDescent="0.25">
      <c r="A605" s="1" t="str">
        <f t="shared" si="9"/>
        <v>21</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1451</v>
      </c>
      <c r="D605" s="1" t="s">
        <v>1452</v>
      </c>
      <c r="E605" s="1" t="s">
        <v>1453</v>
      </c>
      <c r="F605" s="1" t="s">
        <v>112</v>
      </c>
      <c r="G605" s="1">
        <v>1897829</v>
      </c>
    </row>
    <row r="606" spans="1:7" x14ac:dyDescent="0.25">
      <c r="A606" s="1" t="str">
        <f t="shared" si="9"/>
        <v>21</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1454</v>
      </c>
      <c r="D606" s="1" t="s">
        <v>1455</v>
      </c>
      <c r="E606" s="1" t="s">
        <v>1456</v>
      </c>
      <c r="F606" s="1" t="s">
        <v>112</v>
      </c>
      <c r="G606" s="1">
        <v>1960015</v>
      </c>
    </row>
    <row r="607" spans="1:7" x14ac:dyDescent="0.25">
      <c r="A607" s="1" t="str">
        <f t="shared" si="9"/>
        <v>21</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1457</v>
      </c>
      <c r="D607" s="1" t="s">
        <v>1458</v>
      </c>
      <c r="E607" s="1" t="s">
        <v>1459</v>
      </c>
      <c r="F607" s="1" t="s">
        <v>112</v>
      </c>
      <c r="G607" s="1">
        <v>1274433</v>
      </c>
    </row>
    <row r="608" spans="1:7" x14ac:dyDescent="0.25">
      <c r="A608" s="1" t="str">
        <f t="shared" si="9"/>
        <v>21</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1460</v>
      </c>
      <c r="D608" s="1" t="s">
        <v>1461</v>
      </c>
      <c r="E608" s="1" t="s">
        <v>1462</v>
      </c>
      <c r="F608" s="1" t="s">
        <v>112</v>
      </c>
      <c r="G608" s="1">
        <v>1809189</v>
      </c>
    </row>
    <row r="609" spans="1:10" x14ac:dyDescent="0.25">
      <c r="A609" s="1" t="str">
        <f t="shared" si="9"/>
        <v>21</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1463</v>
      </c>
      <c r="D609" s="1" t="s">
        <v>1464</v>
      </c>
      <c r="E609" s="1" t="s">
        <v>1465</v>
      </c>
      <c r="F609" s="1" t="s">
        <v>112</v>
      </c>
      <c r="G609" s="1">
        <v>1247136</v>
      </c>
    </row>
    <row r="610" spans="1:10" x14ac:dyDescent="0.25">
      <c r="A610" s="1" t="str">
        <f t="shared" si="9"/>
        <v>21</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1466</v>
      </c>
      <c r="D610" s="1" t="s">
        <v>1467</v>
      </c>
      <c r="E610" s="1" t="s">
        <v>1468</v>
      </c>
      <c r="F610" s="1" t="s">
        <v>112</v>
      </c>
      <c r="G610" s="1">
        <v>1504922</v>
      </c>
    </row>
    <row r="611" spans="1:10" x14ac:dyDescent="0.25">
      <c r="A611" s="1" t="str">
        <f t="shared" si="9"/>
        <v>21</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1469</v>
      </c>
      <c r="D611" s="1" t="s">
        <v>1470</v>
      </c>
      <c r="E611" s="1" t="s">
        <v>1471</v>
      </c>
      <c r="F611" s="1" t="s">
        <v>112</v>
      </c>
      <c r="G611" s="1">
        <v>2947160</v>
      </c>
    </row>
    <row r="612" spans="1:10" x14ac:dyDescent="0.25">
      <c r="A612" s="1" t="str">
        <f t="shared" si="9"/>
        <v>21</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1472</v>
      </c>
      <c r="D612" s="1" t="s">
        <v>1473</v>
      </c>
      <c r="E612" s="1" t="s">
        <v>1474</v>
      </c>
      <c r="F612" s="1" t="s">
        <v>112</v>
      </c>
      <c r="G612" s="1">
        <v>3180936</v>
      </c>
    </row>
    <row r="613" spans="1:10" x14ac:dyDescent="0.25">
      <c r="A613" s="1" t="str">
        <f t="shared" si="9"/>
        <v>21</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1475</v>
      </c>
      <c r="D613" s="1" t="s">
        <v>1476</v>
      </c>
      <c r="E613" s="1" t="s">
        <v>1477</v>
      </c>
      <c r="F613" s="1" t="s">
        <v>112</v>
      </c>
      <c r="G613" s="1">
        <v>3046938</v>
      </c>
    </row>
    <row r="614" spans="1:10" x14ac:dyDescent="0.25">
      <c r="A614" s="1" t="str">
        <f t="shared" si="9"/>
        <v>21</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1478</v>
      </c>
      <c r="D614" s="1" t="s">
        <v>1479</v>
      </c>
      <c r="E614" s="1" t="s">
        <v>1480</v>
      </c>
      <c r="F614" s="1" t="s">
        <v>112</v>
      </c>
      <c r="G614" s="1">
        <v>2042143</v>
      </c>
    </row>
    <row r="615" spans="1:10" x14ac:dyDescent="0.25">
      <c r="A615" s="1" t="str">
        <f t="shared" si="9"/>
        <v>21</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1481</v>
      </c>
      <c r="D615" s="1" t="s">
        <v>1482</v>
      </c>
      <c r="E615" s="1" t="s">
        <v>1483</v>
      </c>
      <c r="F615" s="1" t="s">
        <v>112</v>
      </c>
      <c r="G615" s="1">
        <v>1985343</v>
      </c>
    </row>
    <row r="616" spans="1:10" x14ac:dyDescent="0.25">
      <c r="A616" s="1" t="str">
        <f t="shared" si="9"/>
        <v>21</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1484</v>
      </c>
      <c r="D616" s="1" t="s">
        <v>1329</v>
      </c>
      <c r="E616" s="1" t="s">
        <v>1485</v>
      </c>
      <c r="F616" s="1" t="s">
        <v>112</v>
      </c>
      <c r="G616" s="1">
        <v>2062648</v>
      </c>
    </row>
    <row r="617" spans="1:10" x14ac:dyDescent="0.25">
      <c r="A617" s="1" t="str">
        <f t="shared" si="9"/>
        <v>21</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1486</v>
      </c>
      <c r="D617" s="1" t="s">
        <v>1487</v>
      </c>
      <c r="E617" s="1" t="s">
        <v>1488</v>
      </c>
      <c r="F617" s="1" t="s">
        <v>112</v>
      </c>
      <c r="G617" s="1">
        <v>1510264</v>
      </c>
    </row>
    <row r="618" spans="1:10" x14ac:dyDescent="0.25">
      <c r="A618" s="1" t="str">
        <f t="shared" si="9"/>
        <v>21</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1489</v>
      </c>
      <c r="D618" s="1" t="s">
        <v>1490</v>
      </c>
      <c r="E618" s="1" t="s">
        <v>1491</v>
      </c>
      <c r="F618" s="1" t="s">
        <v>112</v>
      </c>
      <c r="G618" s="1">
        <v>1380896</v>
      </c>
    </row>
    <row r="619" spans="1:10" x14ac:dyDescent="0.25">
      <c r="A619" s="1" t="str">
        <f t="shared" si="9"/>
        <v>21</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1492</v>
      </c>
      <c r="D619" s="1" t="s">
        <v>1493</v>
      </c>
      <c r="E619" s="1" t="s">
        <v>1494</v>
      </c>
      <c r="F619" s="1" t="s">
        <v>112</v>
      </c>
      <c r="G619" s="1">
        <v>1496334</v>
      </c>
    </row>
    <row r="620" spans="1:10"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219</v>
      </c>
      <c r="D621" s="1" t="s">
        <v>112</v>
      </c>
      <c r="E621" s="1" t="s">
        <v>220</v>
      </c>
      <c r="F621" s="1" t="s">
        <v>221</v>
      </c>
      <c r="G621" s="1" t="s">
        <v>222</v>
      </c>
      <c r="H621" s="1" t="s">
        <v>223</v>
      </c>
      <c r="I621" s="1" t="s">
        <v>224</v>
      </c>
      <c r="J621" s="1" t="s">
        <v>225</v>
      </c>
    </row>
    <row r="622" spans="1:10" x14ac:dyDescent="0.25">
      <c r="A622" s="1" t="str">
        <f t="shared" si="9"/>
        <v>21</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1495</v>
      </c>
      <c r="D622" s="1" t="s">
        <v>112</v>
      </c>
      <c r="E622" s="1" t="s">
        <v>1496</v>
      </c>
      <c r="F622" s="1" t="s">
        <v>1497</v>
      </c>
      <c r="G622" s="1" t="s">
        <v>1498</v>
      </c>
      <c r="H622" s="1" t="s">
        <v>1499</v>
      </c>
      <c r="I622" s="1">
        <v>24</v>
      </c>
      <c r="J622" s="1">
        <v>24</v>
      </c>
    </row>
    <row r="623" spans="1:10"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231</v>
      </c>
      <c r="D628" s="1" t="s">
        <v>110</v>
      </c>
      <c r="E628" s="1" t="s">
        <v>111</v>
      </c>
      <c r="F628" s="1" t="s">
        <v>112</v>
      </c>
      <c r="G628" s="1" t="s">
        <v>113</v>
      </c>
    </row>
    <row r="629" spans="1:7" x14ac:dyDescent="0.25">
      <c r="A629" s="1" t="str">
        <f t="shared" si="9"/>
        <v>8</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1500</v>
      </c>
      <c r="D629" s="1" t="s">
        <v>1501</v>
      </c>
      <c r="E629" s="1" t="s">
        <v>1502</v>
      </c>
      <c r="F629" s="1" t="s">
        <v>112</v>
      </c>
      <c r="G629" s="1">
        <v>272364</v>
      </c>
    </row>
    <row r="630" spans="1:7" x14ac:dyDescent="0.25">
      <c r="A630" s="1" t="str">
        <f t="shared" si="9"/>
        <v>8</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1503</v>
      </c>
    </row>
    <row r="631" spans="1:7" x14ac:dyDescent="0.25">
      <c r="A631" s="1" t="str">
        <f t="shared" si="9"/>
        <v>8</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1504</v>
      </c>
      <c r="D631" s="1" t="s">
        <v>1505</v>
      </c>
      <c r="E631" s="1" t="s">
        <v>1506</v>
      </c>
      <c r="F631" s="1" t="s">
        <v>112</v>
      </c>
      <c r="G631" s="1">
        <v>366151</v>
      </c>
    </row>
    <row r="632" spans="1:7" x14ac:dyDescent="0.25">
      <c r="A632" s="1" t="str">
        <f t="shared" si="9"/>
        <v>8</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1507</v>
      </c>
      <c r="D632" s="1" t="s">
        <v>1508</v>
      </c>
      <c r="E632" s="1" t="s">
        <v>1509</v>
      </c>
      <c r="F632" s="1" t="s">
        <v>112</v>
      </c>
      <c r="G632" s="1">
        <v>224237</v>
      </c>
    </row>
    <row r="633" spans="1:7" x14ac:dyDescent="0.25">
      <c r="A633" s="1" t="str">
        <f t="shared" si="9"/>
        <v>8</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1510</v>
      </c>
      <c r="D633" s="1" t="s">
        <v>1511</v>
      </c>
      <c r="E633" s="1" t="s">
        <v>1512</v>
      </c>
      <c r="F633" s="1" t="s">
        <v>112</v>
      </c>
      <c r="G633" s="1">
        <v>494070</v>
      </c>
    </row>
    <row r="634" spans="1:7" x14ac:dyDescent="0.25">
      <c r="A634" s="1" t="str">
        <f t="shared" si="9"/>
        <v>8</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1513</v>
      </c>
      <c r="D634" s="1" t="s">
        <v>1514</v>
      </c>
      <c r="E634" s="1" t="s">
        <v>1515</v>
      </c>
      <c r="F634" s="1" t="s">
        <v>112</v>
      </c>
      <c r="G634" s="1">
        <v>213812</v>
      </c>
    </row>
    <row r="635" spans="1:7" x14ac:dyDescent="0.25">
      <c r="A635" s="1" t="str">
        <f t="shared" si="9"/>
        <v>8</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1516</v>
      </c>
      <c r="D635" s="1" t="s">
        <v>1517</v>
      </c>
      <c r="E635" s="1" t="s">
        <v>1518</v>
      </c>
      <c r="F635" s="1" t="s">
        <v>112</v>
      </c>
      <c r="G635" s="1">
        <v>112302</v>
      </c>
    </row>
    <row r="636" spans="1:7" x14ac:dyDescent="0.25">
      <c r="A636" s="1" t="str">
        <f t="shared" si="9"/>
        <v>8</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1519</v>
      </c>
      <c r="D636" s="1" t="s">
        <v>1520</v>
      </c>
      <c r="E636" s="1" t="s">
        <v>1521</v>
      </c>
      <c r="F636" s="1" t="s">
        <v>112</v>
      </c>
      <c r="G636" s="1">
        <v>152902</v>
      </c>
    </row>
    <row r="637" spans="1:7" x14ac:dyDescent="0.25">
      <c r="A637" s="1" t="str">
        <f t="shared" si="9"/>
        <v>8</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1522</v>
      </c>
      <c r="D637" s="1" t="s">
        <v>1523</v>
      </c>
      <c r="E637" s="1" t="s">
        <v>1524</v>
      </c>
      <c r="F637" s="1" t="s">
        <v>112</v>
      </c>
      <c r="G637" s="1">
        <v>280107</v>
      </c>
    </row>
    <row r="638" spans="1:7" x14ac:dyDescent="0.25">
      <c r="A638" s="1" t="str">
        <f t="shared" si="9"/>
        <v>8</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1525</v>
      </c>
      <c r="D638" s="1" t="s">
        <v>1526</v>
      </c>
      <c r="E638" s="1" t="s">
        <v>1527</v>
      </c>
      <c r="F638" s="1" t="s">
        <v>112</v>
      </c>
      <c r="G638" s="1">
        <v>93052</v>
      </c>
    </row>
    <row r="639" spans="1:7" x14ac:dyDescent="0.25">
      <c r="A639" s="1" t="str">
        <f t="shared" si="9"/>
        <v>8</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1528</v>
      </c>
      <c r="D639" s="1" t="s">
        <v>1529</v>
      </c>
      <c r="E639" s="1" t="s">
        <v>1530</v>
      </c>
      <c r="F639" s="1" t="s">
        <v>112</v>
      </c>
      <c r="G639" s="1">
        <v>245261</v>
      </c>
    </row>
    <row r="640" spans="1:7" x14ac:dyDescent="0.25">
      <c r="A640" s="1" t="str">
        <f t="shared" si="9"/>
        <v>8</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1531</v>
      </c>
      <c r="D640" s="1" t="s">
        <v>1532</v>
      </c>
      <c r="E640" s="1" t="s">
        <v>1533</v>
      </c>
      <c r="F640" s="1" t="s">
        <v>112</v>
      </c>
      <c r="G640" s="1">
        <v>106268</v>
      </c>
    </row>
    <row r="641" spans="1:10" x14ac:dyDescent="0.25">
      <c r="A641" s="1" t="str">
        <f t="shared" si="9"/>
        <v>8</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1534</v>
      </c>
      <c r="D641" s="1" t="s">
        <v>1535</v>
      </c>
      <c r="E641" s="1" t="s">
        <v>1536</v>
      </c>
      <c r="F641" s="1" t="s">
        <v>112</v>
      </c>
      <c r="G641" s="1">
        <v>4823</v>
      </c>
    </row>
    <row r="642" spans="1:10" x14ac:dyDescent="0.25">
      <c r="A642" s="1" t="str">
        <f t="shared" ref="A642:A705" si="10">IFERROR(LEFT(RIGHT(C642,LEN(C642)-SEARCH("@",C642)),SEARCH("/",RIGHT(C642,LEN(C642)-SEARCH("@",C642)-1))),"")</f>
        <v>8</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1537</v>
      </c>
      <c r="D642" s="1" t="s">
        <v>1538</v>
      </c>
      <c r="E642" s="1" t="s">
        <v>1539</v>
      </c>
      <c r="F642" s="1" t="s">
        <v>112</v>
      </c>
      <c r="G642" s="1">
        <v>160234</v>
      </c>
    </row>
    <row r="643" spans="1:10" x14ac:dyDescent="0.25">
      <c r="A643" s="1" t="str">
        <f t="shared" si="10"/>
        <v>8</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1540</v>
      </c>
      <c r="D643" s="1" t="s">
        <v>200</v>
      </c>
      <c r="E643" s="1" t="s">
        <v>1541</v>
      </c>
      <c r="F643" s="1" t="s">
        <v>112</v>
      </c>
      <c r="G643" s="1">
        <v>165620</v>
      </c>
    </row>
    <row r="644" spans="1:10" x14ac:dyDescent="0.25">
      <c r="A644" s="1" t="str">
        <f t="shared" si="10"/>
        <v>8</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1542</v>
      </c>
      <c r="D644" s="1" t="s">
        <v>502</v>
      </c>
      <c r="E644" s="1" t="s">
        <v>1543</v>
      </c>
      <c r="F644" s="1" t="s">
        <v>112</v>
      </c>
      <c r="G644" s="1">
        <v>31363</v>
      </c>
    </row>
    <row r="645" spans="1:10" x14ac:dyDescent="0.25">
      <c r="A645" s="1" t="str">
        <f t="shared" si="10"/>
        <v>8</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1544</v>
      </c>
      <c r="D645" s="1" t="s">
        <v>1545</v>
      </c>
      <c r="E645" s="1" t="s">
        <v>1546</v>
      </c>
      <c r="F645" s="1" t="s">
        <v>112</v>
      </c>
      <c r="G645" s="1">
        <v>17477</v>
      </c>
    </row>
    <row r="646" spans="1:10" x14ac:dyDescent="0.25">
      <c r="A646" s="1" t="str">
        <f t="shared" si="10"/>
        <v>8</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1547</v>
      </c>
    </row>
    <row r="647" spans="1:10" x14ac:dyDescent="0.25">
      <c r="A647" s="1" t="str">
        <f t="shared" si="10"/>
        <v>8</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1548</v>
      </c>
      <c r="D647" s="1" t="s">
        <v>1549</v>
      </c>
      <c r="E647" s="1" t="s">
        <v>1550</v>
      </c>
      <c r="F647" s="1" t="s">
        <v>112</v>
      </c>
      <c r="G647" s="1">
        <v>192203</v>
      </c>
    </row>
    <row r="648" spans="1:10" x14ac:dyDescent="0.25">
      <c r="A648" s="1" t="str">
        <f t="shared" si="10"/>
        <v>8</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1551</v>
      </c>
      <c r="D648" s="1" t="s">
        <v>1552</v>
      </c>
      <c r="E648" s="1" t="s">
        <v>1553</v>
      </c>
      <c r="F648" s="1" t="s">
        <v>112</v>
      </c>
      <c r="G648" s="1">
        <v>357629</v>
      </c>
    </row>
    <row r="649" spans="1:10" x14ac:dyDescent="0.25">
      <c r="A649" s="1" t="str">
        <f t="shared" si="10"/>
        <v>8</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1554</v>
      </c>
      <c r="D649" s="1" t="s">
        <v>1555</v>
      </c>
      <c r="E649" s="1" t="s">
        <v>1556</v>
      </c>
      <c r="F649" s="1" t="s">
        <v>112</v>
      </c>
      <c r="G649" s="1">
        <v>381486</v>
      </c>
    </row>
    <row r="650" spans="1:10" x14ac:dyDescent="0.25">
      <c r="A650" s="1" t="str">
        <f t="shared" si="10"/>
        <v>8</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1557</v>
      </c>
      <c r="D650" s="1" t="s">
        <v>549</v>
      </c>
      <c r="E650" s="1" t="s">
        <v>1558</v>
      </c>
      <c r="F650" s="1" t="s">
        <v>112</v>
      </c>
      <c r="G650" s="1">
        <v>167459</v>
      </c>
    </row>
    <row r="651" spans="1:10" x14ac:dyDescent="0.25">
      <c r="A651" s="1" t="str">
        <f t="shared" si="10"/>
        <v>8</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1559</v>
      </c>
      <c r="D651" s="1" t="s">
        <v>1560</v>
      </c>
      <c r="E651" s="1" t="s">
        <v>1561</v>
      </c>
      <c r="F651" s="1" t="s">
        <v>112</v>
      </c>
      <c r="G651" s="1">
        <v>232867</v>
      </c>
    </row>
    <row r="652" spans="1:10" x14ac:dyDescent="0.25">
      <c r="A652" s="1" t="str">
        <f t="shared" si="10"/>
        <v>8</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1562</v>
      </c>
      <c r="D652" s="1" t="s">
        <v>1563</v>
      </c>
      <c r="E652" s="1" t="s">
        <v>1564</v>
      </c>
      <c r="F652" s="1" t="s">
        <v>112</v>
      </c>
      <c r="G652" s="1">
        <v>326395</v>
      </c>
    </row>
    <row r="653" spans="1:10"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219</v>
      </c>
      <c r="D654" s="1" t="s">
        <v>112</v>
      </c>
      <c r="E654" s="1" t="s">
        <v>220</v>
      </c>
      <c r="F654" s="1" t="s">
        <v>221</v>
      </c>
      <c r="G654" s="1" t="s">
        <v>222</v>
      </c>
      <c r="H654" s="1" t="s">
        <v>223</v>
      </c>
      <c r="I654" s="1" t="s">
        <v>224</v>
      </c>
      <c r="J654" s="1" t="s">
        <v>225</v>
      </c>
    </row>
    <row r="655" spans="1:10" x14ac:dyDescent="0.25">
      <c r="A655" s="1" t="str">
        <f t="shared" si="10"/>
        <v>8</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1565</v>
      </c>
      <c r="D655" s="1" t="s">
        <v>112</v>
      </c>
      <c r="E655" s="1" t="s">
        <v>1566</v>
      </c>
      <c r="F655" s="1" t="s">
        <v>1567</v>
      </c>
      <c r="G655" s="1" t="s">
        <v>1568</v>
      </c>
      <c r="H655" s="1" t="s">
        <v>1569</v>
      </c>
      <c r="I655" s="1">
        <v>23</v>
      </c>
      <c r="J655" s="1">
        <v>24</v>
      </c>
    </row>
    <row r="656" spans="1:10"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231</v>
      </c>
      <c r="D661" s="1" t="s">
        <v>110</v>
      </c>
      <c r="E661" s="1" t="s">
        <v>111</v>
      </c>
      <c r="F661" s="1" t="s">
        <v>112</v>
      </c>
      <c r="G661" s="1" t="s">
        <v>113</v>
      </c>
    </row>
    <row r="662" spans="1:7" x14ac:dyDescent="0.25">
      <c r="A662" s="1" t="str">
        <f t="shared" si="10"/>
        <v>9</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1570</v>
      </c>
      <c r="D662" s="1" t="s">
        <v>1571</v>
      </c>
      <c r="E662" s="1" t="s">
        <v>1572</v>
      </c>
      <c r="F662" s="1" t="s">
        <v>112</v>
      </c>
      <c r="G662" s="1">
        <v>464913</v>
      </c>
    </row>
    <row r="663" spans="1:7" x14ac:dyDescent="0.25">
      <c r="A663" s="1" t="str">
        <f t="shared" si="10"/>
        <v>9</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1573</v>
      </c>
      <c r="D663" s="1" t="s">
        <v>1571</v>
      </c>
      <c r="E663" s="1" t="s">
        <v>1574</v>
      </c>
      <c r="F663" s="1" t="s">
        <v>112</v>
      </c>
      <c r="G663" s="1">
        <v>425222</v>
      </c>
    </row>
    <row r="664" spans="1:7" x14ac:dyDescent="0.25">
      <c r="A664" s="1" t="str">
        <f t="shared" si="10"/>
        <v>9</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1575</v>
      </c>
      <c r="D664" s="1" t="s">
        <v>1576</v>
      </c>
      <c r="E664" s="1" t="s">
        <v>1577</v>
      </c>
      <c r="F664" s="1" t="s">
        <v>112</v>
      </c>
      <c r="G664" s="1">
        <v>11183</v>
      </c>
    </row>
    <row r="665" spans="1:7" x14ac:dyDescent="0.25">
      <c r="A665" s="1" t="str">
        <f t="shared" si="10"/>
        <v>9</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1578</v>
      </c>
      <c r="D665" s="1" t="s">
        <v>190</v>
      </c>
      <c r="E665" s="1" t="s">
        <v>1579</v>
      </c>
      <c r="F665" s="1" t="s">
        <v>112</v>
      </c>
      <c r="G665" s="1">
        <v>62986</v>
      </c>
    </row>
    <row r="666" spans="1:7" x14ac:dyDescent="0.25">
      <c r="A666" s="1" t="str">
        <f t="shared" si="10"/>
        <v>9</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1580</v>
      </c>
      <c r="D666" s="1" t="s">
        <v>1042</v>
      </c>
      <c r="E666" s="1" t="s">
        <v>1581</v>
      </c>
      <c r="F666" s="1" t="s">
        <v>112</v>
      </c>
      <c r="G666" s="1">
        <v>31926</v>
      </c>
    </row>
    <row r="667" spans="1:7" x14ac:dyDescent="0.25">
      <c r="A667" s="1" t="str">
        <f t="shared" si="10"/>
        <v>9</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1582</v>
      </c>
      <c r="D667" s="1" t="s">
        <v>1583</v>
      </c>
      <c r="E667" s="1" t="s">
        <v>1584</v>
      </c>
      <c r="F667" s="1" t="s">
        <v>112</v>
      </c>
      <c r="G667" s="1">
        <v>48602</v>
      </c>
    </row>
    <row r="668" spans="1:7" x14ac:dyDescent="0.25">
      <c r="A668" s="1" t="str">
        <f t="shared" si="10"/>
        <v>9</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1585</v>
      </c>
      <c r="D668" s="1" t="s">
        <v>1586</v>
      </c>
      <c r="E668" s="1" t="s">
        <v>1587</v>
      </c>
      <c r="F668" s="1" t="s">
        <v>112</v>
      </c>
      <c r="G668" s="1">
        <v>54702</v>
      </c>
    </row>
    <row r="669" spans="1:7" x14ac:dyDescent="0.25">
      <c r="A669" s="1" t="str">
        <f t="shared" si="10"/>
        <v>9</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1588</v>
      </c>
      <c r="D669" s="1" t="s">
        <v>1589</v>
      </c>
      <c r="E669" s="1" t="s">
        <v>1590</v>
      </c>
      <c r="F669" s="1" t="s">
        <v>112</v>
      </c>
      <c r="G669" s="1">
        <v>258845</v>
      </c>
    </row>
    <row r="670" spans="1:7" x14ac:dyDescent="0.25">
      <c r="A670" s="1" t="str">
        <f t="shared" si="10"/>
        <v>9</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1591</v>
      </c>
      <c r="D670" s="1" t="s">
        <v>672</v>
      </c>
      <c r="E670" s="1" t="s">
        <v>1592</v>
      </c>
      <c r="F670" s="1" t="s">
        <v>112</v>
      </c>
      <c r="G670" s="1">
        <v>337448</v>
      </c>
    </row>
    <row r="671" spans="1:7" x14ac:dyDescent="0.25">
      <c r="A671" s="1" t="str">
        <f t="shared" si="10"/>
        <v>9</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1593</v>
      </c>
      <c r="D671" s="1" t="s">
        <v>466</v>
      </c>
      <c r="E671" s="1" t="s">
        <v>1594</v>
      </c>
      <c r="F671" s="1" t="s">
        <v>112</v>
      </c>
      <c r="G671" s="1">
        <v>100601</v>
      </c>
    </row>
    <row r="672" spans="1:7" x14ac:dyDescent="0.25">
      <c r="A672" s="1" t="str">
        <f t="shared" si="10"/>
        <v>9</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1595</v>
      </c>
      <c r="D672" s="1" t="s">
        <v>1596</v>
      </c>
      <c r="E672" s="1" t="s">
        <v>1597</v>
      </c>
      <c r="F672" s="1" t="s">
        <v>112</v>
      </c>
      <c r="G672" s="1">
        <v>306582</v>
      </c>
    </row>
    <row r="673" spans="1:10" x14ac:dyDescent="0.25">
      <c r="A673" s="1" t="str">
        <f t="shared" si="10"/>
        <v>9</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1598</v>
      </c>
      <c r="D673" s="1" t="s">
        <v>1599</v>
      </c>
      <c r="E673" s="1" t="s">
        <v>1600</v>
      </c>
      <c r="F673" s="1" t="s">
        <v>112</v>
      </c>
      <c r="G673" s="1">
        <v>337708</v>
      </c>
    </row>
    <row r="674" spans="1:10" x14ac:dyDescent="0.25">
      <c r="A674" s="1" t="str">
        <f t="shared" si="10"/>
        <v>9</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1601</v>
      </c>
      <c r="D674" s="1" t="s">
        <v>1602</v>
      </c>
      <c r="E674" s="1" t="s">
        <v>1603</v>
      </c>
      <c r="F674" s="1" t="s">
        <v>112</v>
      </c>
      <c r="G674" s="1">
        <v>74948</v>
      </c>
    </row>
    <row r="675" spans="1:10" x14ac:dyDescent="0.25">
      <c r="A675" s="1" t="str">
        <f t="shared" si="10"/>
        <v>9</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1604</v>
      </c>
      <c r="D675" s="1" t="s">
        <v>1605</v>
      </c>
      <c r="E675" s="1" t="s">
        <v>1606</v>
      </c>
      <c r="F675" s="1" t="s">
        <v>112</v>
      </c>
      <c r="G675" s="1">
        <v>30736</v>
      </c>
    </row>
    <row r="676" spans="1:10" x14ac:dyDescent="0.25">
      <c r="A676" s="1" t="str">
        <f t="shared" si="10"/>
        <v>9</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1607</v>
      </c>
      <c r="D676" s="1" t="s">
        <v>452</v>
      </c>
      <c r="E676" s="1" t="s">
        <v>1608</v>
      </c>
      <c r="F676" s="1" t="s">
        <v>112</v>
      </c>
      <c r="G676" s="1">
        <v>154026</v>
      </c>
    </row>
    <row r="677" spans="1:10" x14ac:dyDescent="0.25">
      <c r="A677" s="1" t="str">
        <f t="shared" si="10"/>
        <v>9</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1609</v>
      </c>
      <c r="D677" s="1" t="s">
        <v>208</v>
      </c>
      <c r="E677" s="1">
        <v>30</v>
      </c>
      <c r="F677" s="1" t="s">
        <v>112</v>
      </c>
      <c r="G677" s="1">
        <v>649</v>
      </c>
    </row>
    <row r="678" spans="1:10" x14ac:dyDescent="0.25">
      <c r="A678" s="1" t="str">
        <f t="shared" si="10"/>
        <v>9</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1610</v>
      </c>
      <c r="D678" s="1" t="s">
        <v>1611</v>
      </c>
      <c r="E678" s="1" t="s">
        <v>1612</v>
      </c>
      <c r="F678" s="1" t="s">
        <v>112</v>
      </c>
      <c r="G678" s="1">
        <v>3309</v>
      </c>
    </row>
    <row r="679" spans="1:10" x14ac:dyDescent="0.25">
      <c r="A679" s="1" t="str">
        <f t="shared" si="10"/>
        <v>9</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1613</v>
      </c>
      <c r="D679" s="1" t="s">
        <v>473</v>
      </c>
      <c r="E679" s="1" t="s">
        <v>1614</v>
      </c>
      <c r="F679" s="1" t="s">
        <v>112</v>
      </c>
      <c r="G679" s="1">
        <v>21197</v>
      </c>
    </row>
    <row r="680" spans="1:10" x14ac:dyDescent="0.25">
      <c r="A680" s="1" t="str">
        <f t="shared" si="10"/>
        <v>9</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1615</v>
      </c>
      <c r="D680" s="1" t="s">
        <v>1616</v>
      </c>
      <c r="E680" s="1" t="s">
        <v>1617</v>
      </c>
      <c r="F680" s="1" t="s">
        <v>112</v>
      </c>
      <c r="G680" s="1">
        <v>307253</v>
      </c>
    </row>
    <row r="681" spans="1:10" x14ac:dyDescent="0.25">
      <c r="A681" s="1" t="str">
        <f t="shared" si="10"/>
        <v>9</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1618</v>
      </c>
      <c r="D681" s="1" t="s">
        <v>1619</v>
      </c>
      <c r="E681" s="1" t="s">
        <v>1620</v>
      </c>
      <c r="F681" s="1" t="s">
        <v>112</v>
      </c>
      <c r="G681" s="1">
        <v>380016</v>
      </c>
    </row>
    <row r="682" spans="1:10" x14ac:dyDescent="0.25">
      <c r="A682" s="1" t="str">
        <f t="shared" si="10"/>
        <v>9</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1621</v>
      </c>
      <c r="D682" s="1" t="s">
        <v>1030</v>
      </c>
      <c r="E682" s="1" t="s">
        <v>1622</v>
      </c>
      <c r="F682" s="1" t="s">
        <v>112</v>
      </c>
      <c r="G682" s="1">
        <v>2812</v>
      </c>
    </row>
    <row r="683" spans="1:10" x14ac:dyDescent="0.25">
      <c r="A683" s="1" t="str">
        <f t="shared" si="10"/>
        <v>9</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1623</v>
      </c>
      <c r="D683" s="1" t="s">
        <v>175</v>
      </c>
      <c r="E683" s="1" t="s">
        <v>1624</v>
      </c>
      <c r="F683" s="1" t="s">
        <v>112</v>
      </c>
      <c r="G683" s="1">
        <v>278766</v>
      </c>
    </row>
    <row r="684" spans="1:10" x14ac:dyDescent="0.25">
      <c r="A684" s="1" t="str">
        <f t="shared" si="10"/>
        <v>9</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1625</v>
      </c>
      <c r="D684" s="1" t="s">
        <v>1626</v>
      </c>
      <c r="E684" s="1" t="s">
        <v>1627</v>
      </c>
      <c r="F684" s="1" t="s">
        <v>112</v>
      </c>
      <c r="G684" s="1">
        <v>331024</v>
      </c>
    </row>
    <row r="685" spans="1:10" x14ac:dyDescent="0.25">
      <c r="A685" s="1" t="str">
        <f t="shared" si="10"/>
        <v>9</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1628</v>
      </c>
      <c r="D685" s="1" t="s">
        <v>1629</v>
      </c>
      <c r="E685" s="1" t="s">
        <v>1630</v>
      </c>
      <c r="F685" s="1" t="s">
        <v>112</v>
      </c>
      <c r="G685" s="1">
        <v>416635</v>
      </c>
    </row>
    <row r="686" spans="1:10"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219</v>
      </c>
      <c r="D687" s="1" t="s">
        <v>112</v>
      </c>
      <c r="E687" s="1" t="s">
        <v>220</v>
      </c>
      <c r="F687" s="1" t="s">
        <v>221</v>
      </c>
      <c r="G687" s="1" t="s">
        <v>222</v>
      </c>
      <c r="H687" s="1" t="s">
        <v>223</v>
      </c>
      <c r="I687" s="1" t="s">
        <v>224</v>
      </c>
      <c r="J687" s="1" t="s">
        <v>225</v>
      </c>
    </row>
    <row r="688" spans="1:10" x14ac:dyDescent="0.25">
      <c r="A688" s="1" t="str">
        <f t="shared" si="10"/>
        <v>9</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1631</v>
      </c>
      <c r="D688" s="1" t="s">
        <v>112</v>
      </c>
      <c r="E688" s="1" t="s">
        <v>1632</v>
      </c>
      <c r="F688" s="1" t="s">
        <v>1633</v>
      </c>
      <c r="G688" s="1" t="s">
        <v>1634</v>
      </c>
      <c r="H688" s="1" t="s">
        <v>1635</v>
      </c>
      <c r="I688" s="1">
        <v>24</v>
      </c>
      <c r="J688" s="1">
        <v>24</v>
      </c>
    </row>
    <row r="689" spans="1:3"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3"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3"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2" spans="1:3"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3" spans="1:3"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4" spans="1:3"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5" spans="1:3"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6" spans="1:3"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7" spans="1:3"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3"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3"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3"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3"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3"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3"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3"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5" priority="1" operator="containsText" text="ERREUR">
      <formula>NOT(ISERROR(SEARCH("ERREUR",A1)))</formula>
    </cfRule>
    <cfRule type="containsText" dxfId="4"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74"/>
  <sheetViews>
    <sheetView showGridLines="0" zoomScale="85" zoomScaleNormal="85" zoomScaleSheetLayoutView="40" zoomScalePageLayoutView="30" workbookViewId="0">
      <pane xSplit="1" topLeftCell="C1" activePane="topRight" state="frozen"/>
      <selection pane="topRight" activeCell="N16" sqref="N16"/>
    </sheetView>
  </sheetViews>
  <sheetFormatPr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36" width="25.85546875" style="1" customWidth="1"/>
    <col min="37" max="37" width="25.85546875" bestFit="1" customWidth="1"/>
  </cols>
  <sheetData>
    <row r="1" spans="1:37" s="1" customFormat="1" ht="27" thickBot="1" x14ac:dyDescent="0.45">
      <c r="A1" s="218" t="s">
        <v>40</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20"/>
    </row>
    <row r="2" spans="1:37" ht="15.75" thickBot="1" x14ac:dyDescent="0.3">
      <c r="A2"/>
      <c r="B2"/>
      <c r="C2"/>
      <c r="D2"/>
      <c r="E2"/>
      <c r="F2"/>
      <c r="G2"/>
      <c r="H2"/>
      <c r="I2"/>
      <c r="J2"/>
      <c r="K2"/>
      <c r="L2"/>
      <c r="M2"/>
      <c r="S2"/>
      <c r="T2"/>
      <c r="U2"/>
      <c r="V2"/>
      <c r="W2"/>
      <c r="X2"/>
      <c r="Y2"/>
      <c r="Z2"/>
      <c r="AA2"/>
      <c r="AB2"/>
      <c r="AC2"/>
      <c r="AD2"/>
    </row>
    <row r="3" spans="1:37" ht="15.75" thickBot="1" x14ac:dyDescent="0.3">
      <c r="A3" s="52" t="s">
        <v>17</v>
      </c>
      <c r="B3" s="228" t="s">
        <v>6</v>
      </c>
      <c r="C3" s="229"/>
      <c r="D3" s="229"/>
      <c r="E3" s="229"/>
      <c r="F3" s="229"/>
      <c r="G3" s="229"/>
      <c r="H3" s="229"/>
      <c r="I3" s="229"/>
      <c r="J3" s="229"/>
      <c r="K3" s="229"/>
      <c r="L3" s="229"/>
      <c r="M3" s="229"/>
      <c r="O3" s="228" t="s">
        <v>3</v>
      </c>
      <c r="P3" s="229"/>
      <c r="Q3" s="229"/>
      <c r="R3" s="229"/>
      <c r="S3" s="229"/>
      <c r="T3" s="229"/>
      <c r="U3" s="229"/>
      <c r="V3" s="229"/>
      <c r="W3" s="229"/>
      <c r="X3" s="229"/>
      <c r="Y3" s="229"/>
      <c r="Z3" s="229"/>
      <c r="AA3" s="229"/>
      <c r="AB3" s="229"/>
      <c r="AC3" s="229"/>
      <c r="AD3" s="229"/>
      <c r="AE3" s="229"/>
      <c r="AF3" s="229"/>
      <c r="AG3" s="229"/>
      <c r="AH3" s="229"/>
      <c r="AI3" s="229"/>
      <c r="AJ3" s="229"/>
      <c r="AK3" s="230"/>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DUS-10µg/L</v>
      </c>
      <c r="J4" s="35" t="str">
        <f>'Page de garde'!A16</f>
        <v>DUS-100µg/L</v>
      </c>
      <c r="K4" s="35" t="str">
        <f>'Page de garde'!A17</f>
        <v>DUS-250µg/L</v>
      </c>
      <c r="L4" s="35" t="str">
        <f>'Page de garde'!A18</f>
        <v>DUS-500µg/L</v>
      </c>
      <c r="M4" s="35" t="str">
        <f>'Page de garde'!A19</f>
        <v>DUS-1000µg/L</v>
      </c>
      <c r="N4" s="3"/>
      <c r="O4" s="36" t="str">
        <f>'Page de garde'!A36</f>
        <v>Testo -30µg/L</v>
      </c>
      <c r="P4" s="36" t="str">
        <f>'Page de garde'!A37</f>
        <v>Testo 30µg/L + EE2 -64ng/L</v>
      </c>
      <c r="Q4" s="36" t="str">
        <f>'Page de garde'!A38</f>
        <v>Testo 30µg/L + FAD-10mg/L</v>
      </c>
      <c r="R4" s="36" t="str">
        <f>'Page de garde'!A39</f>
        <v>DUS-10µg/L + Testostérone</v>
      </c>
      <c r="S4" s="36" t="str">
        <f>'Page de garde'!A40</f>
        <v>DUS-100µg/L + Testostérone</v>
      </c>
      <c r="T4" s="36" t="str">
        <f>'Page de garde'!A41</f>
        <v>DUS-250µg/L + Testostérone</v>
      </c>
      <c r="U4" s="36" t="str">
        <f>'Page de garde'!A42</f>
        <v>DUS-500µg/L + Testostérone</v>
      </c>
      <c r="V4" s="36" t="str">
        <f>'Page de garde'!A43</f>
        <v>DUS-1000µg/L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24" t="s">
        <v>33</v>
      </c>
      <c r="B5" s="198"/>
      <c r="C5" s="198">
        <v>94573.333333333328</v>
      </c>
      <c r="D5" s="198">
        <v>187142</v>
      </c>
      <c r="E5" s="198">
        <v>280237</v>
      </c>
      <c r="F5" s="198">
        <v>853451</v>
      </c>
      <c r="G5" s="198">
        <v>2129117</v>
      </c>
      <c r="H5" s="198">
        <v>4171570.3333333335</v>
      </c>
      <c r="I5" s="198">
        <v>319257.5</v>
      </c>
      <c r="J5" s="198">
        <v>300439.33333333331</v>
      </c>
      <c r="K5" s="198">
        <v>295723.66666666669</v>
      </c>
      <c r="L5" s="198">
        <v>69345.333333333328</v>
      </c>
      <c r="M5" s="198">
        <v>185310.33333333334</v>
      </c>
      <c r="N5" s="3"/>
      <c r="O5" s="198">
        <v>724233.66666666663</v>
      </c>
      <c r="P5" s="198">
        <v>3923338.3333333335</v>
      </c>
      <c r="Q5" s="198">
        <v>59684.333333333336</v>
      </c>
      <c r="R5" s="4">
        <v>1418171.3333333333</v>
      </c>
      <c r="S5" s="32">
        <v>771704.33333333337</v>
      </c>
      <c r="T5" s="32">
        <v>2543344</v>
      </c>
      <c r="U5" s="32">
        <v>2526313.6666666665</v>
      </c>
      <c r="V5" s="32">
        <v>2702194</v>
      </c>
      <c r="W5" s="32"/>
      <c r="X5" s="32"/>
      <c r="Y5" s="32"/>
      <c r="Z5" s="32"/>
      <c r="AA5" s="32"/>
      <c r="AB5" s="32"/>
      <c r="AC5" s="32"/>
      <c r="AD5" s="32"/>
      <c r="AE5" s="4"/>
      <c r="AF5" s="32"/>
      <c r="AG5" s="32"/>
      <c r="AH5" s="32"/>
      <c r="AI5" s="32"/>
      <c r="AJ5" s="32"/>
      <c r="AK5" s="32"/>
    </row>
    <row r="6" spans="1:37" x14ac:dyDescent="0.25">
      <c r="A6" s="225"/>
      <c r="B6" s="198">
        <v>274743</v>
      </c>
      <c r="C6" s="198">
        <v>218368.33333333334</v>
      </c>
      <c r="D6" s="198">
        <v>1344831.6666666667</v>
      </c>
      <c r="E6" s="198">
        <v>411458</v>
      </c>
      <c r="F6" s="198">
        <v>2262696</v>
      </c>
      <c r="G6" s="198">
        <v>2429058.3333333335</v>
      </c>
      <c r="H6" s="198">
        <v>3502579.3333333335</v>
      </c>
      <c r="I6" s="198">
        <v>310706.33333333331</v>
      </c>
      <c r="J6" s="198">
        <v>47838</v>
      </c>
      <c r="K6" s="198">
        <v>122829.33333333333</v>
      </c>
      <c r="L6" s="198">
        <v>228282</v>
      </c>
      <c r="M6" s="198">
        <v>175692.66666666666</v>
      </c>
      <c r="N6" s="3"/>
      <c r="O6" s="198">
        <v>1986799.6666666667</v>
      </c>
      <c r="P6" s="198">
        <v>3912985</v>
      </c>
      <c r="Q6" s="198">
        <v>94493.666666666672</v>
      </c>
      <c r="R6" s="4">
        <v>634650</v>
      </c>
      <c r="S6" s="32">
        <v>3489089.3333333335</v>
      </c>
      <c r="T6" s="32">
        <v>1960468.6666666667</v>
      </c>
      <c r="U6" s="32">
        <v>2321407</v>
      </c>
      <c r="V6" s="32">
        <v>5145521.333333333</v>
      </c>
      <c r="W6" s="32"/>
      <c r="X6" s="32"/>
      <c r="Y6" s="32"/>
      <c r="Z6" s="32"/>
      <c r="AA6" s="32"/>
      <c r="AB6" s="32"/>
      <c r="AC6" s="32"/>
      <c r="AD6" s="32"/>
      <c r="AE6" s="4"/>
      <c r="AF6" s="32"/>
      <c r="AG6" s="32"/>
      <c r="AH6" s="32"/>
      <c r="AI6" s="32"/>
      <c r="AJ6" s="32"/>
      <c r="AK6" s="32"/>
    </row>
    <row r="7" spans="1:37" x14ac:dyDescent="0.25">
      <c r="A7" s="225"/>
      <c r="B7" s="198">
        <v>249731.66666666666</v>
      </c>
      <c r="C7" s="198">
        <v>138229.66666666666</v>
      </c>
      <c r="D7" s="198">
        <v>78826.666666666672</v>
      </c>
      <c r="E7" s="198">
        <v>1014521.6666666666</v>
      </c>
      <c r="F7" s="198">
        <v>999503.33333333337</v>
      </c>
      <c r="G7" s="198">
        <v>3440083</v>
      </c>
      <c r="H7" s="198">
        <v>3891142.5</v>
      </c>
      <c r="I7" s="198">
        <v>181770.33333333334</v>
      </c>
      <c r="J7" s="198">
        <v>216998.33333333334</v>
      </c>
      <c r="K7" s="198">
        <v>487184.66666666669</v>
      </c>
      <c r="L7" s="198">
        <v>4340.333333333333</v>
      </c>
      <c r="M7" s="198">
        <v>0</v>
      </c>
      <c r="N7" s="3"/>
      <c r="O7" s="198">
        <v>3366073</v>
      </c>
      <c r="P7" s="198">
        <v>4483711.333333333</v>
      </c>
      <c r="Q7" s="198">
        <v>59223</v>
      </c>
      <c r="R7" s="4">
        <v>2875435</v>
      </c>
      <c r="S7" s="32">
        <v>57672.333333333336</v>
      </c>
      <c r="T7" s="32">
        <v>3560280.6666666665</v>
      </c>
      <c r="U7" s="32">
        <v>3770818.6666666665</v>
      </c>
      <c r="V7" s="32">
        <v>2972200</v>
      </c>
      <c r="W7" s="32"/>
      <c r="X7" s="32"/>
      <c r="Y7" s="32"/>
      <c r="Z7" s="32"/>
      <c r="AA7" s="32"/>
      <c r="AB7" s="32"/>
      <c r="AC7" s="32"/>
      <c r="AD7" s="32"/>
      <c r="AE7" s="4"/>
      <c r="AF7" s="32"/>
      <c r="AG7" s="32"/>
      <c r="AH7" s="32"/>
      <c r="AI7" s="32"/>
      <c r="AJ7" s="32"/>
      <c r="AK7" s="32"/>
    </row>
    <row r="8" spans="1:37" x14ac:dyDescent="0.25">
      <c r="A8" s="225"/>
      <c r="B8" s="198">
        <v>145771</v>
      </c>
      <c r="C8" s="198">
        <v>171705.33333333334</v>
      </c>
      <c r="D8" s="198">
        <v>191792.33333333334</v>
      </c>
      <c r="E8" s="198">
        <v>696836</v>
      </c>
      <c r="F8" s="198">
        <v>3496688.6666666665</v>
      </c>
      <c r="G8" s="198">
        <v>3562422</v>
      </c>
      <c r="H8" s="198">
        <v>3758107.6666666665</v>
      </c>
      <c r="I8" s="198">
        <v>148193.66666666666</v>
      </c>
      <c r="J8" s="198">
        <v>248297</v>
      </c>
      <c r="K8" s="198">
        <v>174877.33333333334</v>
      </c>
      <c r="L8" s="198">
        <v>213112</v>
      </c>
      <c r="M8" s="198">
        <v>237993.66666666666</v>
      </c>
      <c r="N8" s="3"/>
      <c r="O8" s="198">
        <v>1698523.6666666667</v>
      </c>
      <c r="P8" s="198">
        <v>2204854</v>
      </c>
      <c r="Q8" s="198">
        <v>178872</v>
      </c>
      <c r="R8" s="4">
        <v>375639</v>
      </c>
      <c r="S8" s="32">
        <v>3671826</v>
      </c>
      <c r="T8" s="32">
        <v>2135130.3333333335</v>
      </c>
      <c r="U8" s="32">
        <v>116679</v>
      </c>
      <c r="V8" s="32">
        <v>1710759</v>
      </c>
      <c r="W8" s="32"/>
      <c r="X8" s="32"/>
      <c r="Y8" s="32"/>
      <c r="Z8" s="32"/>
      <c r="AA8" s="32"/>
      <c r="AB8" s="32"/>
      <c r="AC8" s="32"/>
      <c r="AD8" s="32"/>
      <c r="AE8" s="4"/>
      <c r="AF8" s="32"/>
      <c r="AG8" s="32"/>
      <c r="AH8" s="32"/>
      <c r="AI8" s="32"/>
      <c r="AJ8" s="32"/>
      <c r="AK8" s="32"/>
    </row>
    <row r="9" spans="1:37" x14ac:dyDescent="0.25">
      <c r="A9" s="225"/>
      <c r="B9" s="198">
        <v>23857.666666666668</v>
      </c>
      <c r="C9" s="198">
        <v>260272.66666666666</v>
      </c>
      <c r="D9" s="198">
        <v>56980.333333333336</v>
      </c>
      <c r="E9" s="198">
        <v>799556.66666666663</v>
      </c>
      <c r="F9" s="198">
        <v>1513725</v>
      </c>
      <c r="G9" s="198">
        <v>2736780</v>
      </c>
      <c r="H9" s="198">
        <v>4961775</v>
      </c>
      <c r="I9" s="198">
        <v>110225.66666666667</v>
      </c>
      <c r="J9" s="198">
        <v>86570</v>
      </c>
      <c r="K9" s="198">
        <v>206082.33333333334</v>
      </c>
      <c r="L9" s="198">
        <v>192390.66666666666</v>
      </c>
      <c r="M9" s="198">
        <v>398524</v>
      </c>
      <c r="N9" s="3"/>
      <c r="O9" s="198">
        <v>192722.33333333334</v>
      </c>
      <c r="P9" s="198">
        <v>4702836.666666667</v>
      </c>
      <c r="Q9" s="198">
        <v>152707</v>
      </c>
      <c r="R9" s="4">
        <v>2025200</v>
      </c>
      <c r="S9" s="32">
        <v>3040341.3333333335</v>
      </c>
      <c r="T9" s="32">
        <v>2964456.3333333335</v>
      </c>
      <c r="U9" s="32">
        <v>1720110.3333333333</v>
      </c>
      <c r="V9" s="32">
        <v>1520415.6666666667</v>
      </c>
      <c r="W9" s="32"/>
      <c r="X9" s="32"/>
      <c r="Y9" s="32"/>
      <c r="Z9" s="32"/>
      <c r="AA9" s="32"/>
      <c r="AB9" s="32"/>
      <c r="AC9" s="32"/>
      <c r="AD9" s="32"/>
      <c r="AE9" s="4"/>
      <c r="AF9" s="32"/>
      <c r="AG9" s="32"/>
      <c r="AH9" s="32"/>
      <c r="AI9" s="32"/>
      <c r="AJ9" s="32"/>
      <c r="AK9" s="32"/>
    </row>
    <row r="10" spans="1:37" x14ac:dyDescent="0.25">
      <c r="A10" s="225"/>
      <c r="B10" s="198">
        <v>61155</v>
      </c>
      <c r="C10" s="198">
        <v>215109.33333333334</v>
      </c>
      <c r="D10" s="198"/>
      <c r="E10" s="198">
        <v>163067.66666666666</v>
      </c>
      <c r="F10" s="198">
        <v>2032301.6666666667</v>
      </c>
      <c r="G10" s="198">
        <v>4106169</v>
      </c>
      <c r="H10" s="198">
        <v>4917830.666666667</v>
      </c>
      <c r="I10" s="198">
        <v>24420</v>
      </c>
      <c r="J10" s="198">
        <v>8385</v>
      </c>
      <c r="K10" s="198">
        <v>185836.66666666666</v>
      </c>
      <c r="L10" s="198">
        <v>75048.666666666672</v>
      </c>
      <c r="M10" s="198">
        <v>155317</v>
      </c>
      <c r="N10" s="3"/>
      <c r="O10" s="198">
        <v>1376382.3333333333</v>
      </c>
      <c r="P10" s="198">
        <v>3265714</v>
      </c>
      <c r="Q10" s="198">
        <v>266372.33333333331</v>
      </c>
      <c r="R10" s="4">
        <v>1039915</v>
      </c>
      <c r="S10" s="32">
        <v>2102757.6666666665</v>
      </c>
      <c r="T10" s="32">
        <v>2015264.3333333333</v>
      </c>
      <c r="U10" s="32">
        <v>56958.666666666664</v>
      </c>
      <c r="V10" s="32">
        <v>3058344.6666666665</v>
      </c>
      <c r="W10" s="32"/>
      <c r="X10" s="32"/>
      <c r="Y10" s="32"/>
      <c r="Z10" s="32"/>
      <c r="AA10" s="32"/>
      <c r="AB10" s="32"/>
      <c r="AC10" s="32"/>
      <c r="AD10" s="32"/>
      <c r="AE10" s="4"/>
      <c r="AF10" s="32"/>
      <c r="AG10" s="32"/>
      <c r="AH10" s="32"/>
      <c r="AI10" s="32"/>
      <c r="AJ10" s="32"/>
      <c r="AK10" s="32"/>
    </row>
    <row r="11" spans="1:37" x14ac:dyDescent="0.25">
      <c r="A11" s="225"/>
      <c r="B11" s="198">
        <v>440</v>
      </c>
      <c r="C11" s="198">
        <v>85568.333333333328</v>
      </c>
      <c r="D11" s="198">
        <v>144509</v>
      </c>
      <c r="E11" s="198">
        <v>994283.33333333337</v>
      </c>
      <c r="F11" s="198">
        <v>2373686.3333333335</v>
      </c>
      <c r="G11" s="198">
        <v>3742541.6666666665</v>
      </c>
      <c r="H11" s="198">
        <v>4126154.6666666665</v>
      </c>
      <c r="I11" s="198">
        <v>310439.33333333331</v>
      </c>
      <c r="J11" s="198">
        <v>230027</v>
      </c>
      <c r="K11" s="198">
        <v>441156</v>
      </c>
      <c r="L11" s="198">
        <v>220935</v>
      </c>
      <c r="M11" s="198">
        <v>223.66666666666666</v>
      </c>
      <c r="N11" s="3"/>
      <c r="O11" s="198">
        <v>1717795.6666666667</v>
      </c>
      <c r="P11" s="198">
        <v>4801562.666666667</v>
      </c>
      <c r="Q11" s="198">
        <v>70946</v>
      </c>
      <c r="R11" s="4">
        <v>872564.33333333337</v>
      </c>
      <c r="S11" s="32"/>
      <c r="T11" s="32">
        <v>1812931</v>
      </c>
      <c r="U11" s="32"/>
      <c r="V11" s="32">
        <v>2030044.6666666667</v>
      </c>
      <c r="W11" s="32"/>
      <c r="X11" s="32"/>
      <c r="Y11" s="32"/>
      <c r="Z11" s="32"/>
      <c r="AA11" s="32"/>
      <c r="AB11" s="32"/>
      <c r="AC11" s="32"/>
      <c r="AD11" s="32"/>
      <c r="AE11" s="4"/>
      <c r="AF11" s="32"/>
      <c r="AG11" s="32"/>
      <c r="AH11" s="32"/>
      <c r="AI11" s="32"/>
      <c r="AJ11" s="32"/>
      <c r="AK11" s="32"/>
    </row>
    <row r="12" spans="1:37" x14ac:dyDescent="0.25">
      <c r="A12" s="225"/>
      <c r="B12" s="198">
        <v>189593.33333333334</v>
      </c>
      <c r="C12" s="198">
        <v>202506</v>
      </c>
      <c r="D12" s="198">
        <v>61155</v>
      </c>
      <c r="E12" s="198">
        <v>74785.5</v>
      </c>
      <c r="F12" s="198">
        <v>2684284.6666666665</v>
      </c>
      <c r="G12" s="198"/>
      <c r="H12" s="198">
        <v>2066065.6666666667</v>
      </c>
      <c r="I12" s="198">
        <v>242240.33333333334</v>
      </c>
      <c r="J12" s="198">
        <v>342141.66666666669</v>
      </c>
      <c r="K12" s="198">
        <v>97190.333333333328</v>
      </c>
      <c r="L12" s="198">
        <v>195166.66666666666</v>
      </c>
      <c r="M12" s="198">
        <v>264656.33333333331</v>
      </c>
      <c r="N12" s="3"/>
      <c r="O12" s="198"/>
      <c r="P12" s="198">
        <v>2435663.3333333335</v>
      </c>
      <c r="Q12" s="198">
        <v>137674.66666666666</v>
      </c>
      <c r="R12" s="4">
        <v>1787422.3333333333</v>
      </c>
      <c r="S12" s="32">
        <v>2478216.6666666665</v>
      </c>
      <c r="T12" s="32">
        <v>3257743.3333333335</v>
      </c>
      <c r="U12" s="32">
        <v>225167.33333333334</v>
      </c>
      <c r="V12" s="32">
        <v>1462498</v>
      </c>
      <c r="W12" s="32"/>
      <c r="X12" s="32"/>
      <c r="Y12" s="32"/>
      <c r="Z12" s="32"/>
      <c r="AA12" s="32"/>
      <c r="AB12" s="32"/>
      <c r="AC12" s="32"/>
      <c r="AD12" s="32"/>
      <c r="AE12" s="4"/>
      <c r="AF12" s="32"/>
      <c r="AG12" s="32"/>
      <c r="AH12" s="32"/>
      <c r="AI12" s="32"/>
      <c r="AJ12" s="32"/>
      <c r="AK12" s="32"/>
    </row>
    <row r="13" spans="1:37" ht="16.5" x14ac:dyDescent="0.25">
      <c r="A13" s="225"/>
      <c r="B13" s="14"/>
      <c r="C13" s="13"/>
      <c r="D13" s="16"/>
      <c r="E13" s="16"/>
      <c r="F13" s="16"/>
      <c r="G13" s="16"/>
      <c r="H13" s="16"/>
      <c r="I13" s="32"/>
      <c r="J13" s="16"/>
      <c r="K13" s="13"/>
      <c r="L13" s="13"/>
      <c r="M13" s="13"/>
      <c r="N13" s="3"/>
      <c r="O13" s="198">
        <v>2719721.3333333335</v>
      </c>
      <c r="P13" s="13"/>
      <c r="Q13" s="13"/>
      <c r="R13" s="4"/>
      <c r="S13" s="32"/>
      <c r="T13" s="32"/>
      <c r="U13" s="32"/>
      <c r="V13" s="32"/>
      <c r="W13" s="32"/>
      <c r="X13" s="32"/>
      <c r="Y13" s="32"/>
      <c r="Z13" s="32"/>
      <c r="AA13" s="32"/>
      <c r="AB13" s="32"/>
      <c r="AC13" s="32"/>
      <c r="AD13" s="32"/>
      <c r="AE13" s="4"/>
      <c r="AF13" s="32"/>
      <c r="AG13" s="32"/>
      <c r="AH13" s="32"/>
      <c r="AI13" s="32"/>
      <c r="AJ13" s="32"/>
      <c r="AK13" s="32"/>
    </row>
    <row r="14" spans="1:37" ht="16.5" x14ac:dyDescent="0.25">
      <c r="A14" s="225"/>
      <c r="B14" s="14"/>
      <c r="C14" s="16"/>
      <c r="D14" s="16"/>
      <c r="E14" s="16"/>
      <c r="F14" s="16"/>
      <c r="G14" s="16"/>
      <c r="H14" s="16"/>
      <c r="I14" s="32"/>
      <c r="J14" s="16"/>
      <c r="K14" s="13"/>
      <c r="L14" s="13"/>
      <c r="M14" s="13"/>
      <c r="N14" s="3"/>
      <c r="O14" s="198">
        <v>2314600.3333333335</v>
      </c>
      <c r="P14" s="13"/>
      <c r="Q14" s="13"/>
      <c r="R14" s="4"/>
      <c r="S14" s="32"/>
      <c r="T14" s="32"/>
      <c r="U14" s="32"/>
      <c r="V14" s="32"/>
      <c r="W14" s="32"/>
      <c r="X14" s="32"/>
      <c r="Y14" s="32"/>
      <c r="Z14" s="32"/>
      <c r="AA14" s="32"/>
      <c r="AB14" s="32"/>
      <c r="AC14" s="32"/>
      <c r="AD14" s="32"/>
      <c r="AE14" s="4"/>
      <c r="AF14" s="32"/>
      <c r="AG14" s="32"/>
      <c r="AH14" s="32"/>
      <c r="AI14" s="32"/>
      <c r="AJ14" s="32"/>
      <c r="AK14" s="32"/>
    </row>
    <row r="15" spans="1:37" ht="16.5" x14ac:dyDescent="0.25">
      <c r="A15" s="225"/>
      <c r="B15" s="14"/>
      <c r="C15" s="16"/>
      <c r="D15" s="16"/>
      <c r="E15" s="16"/>
      <c r="F15" s="16"/>
      <c r="G15" s="16"/>
      <c r="H15" s="16"/>
      <c r="I15" s="32"/>
      <c r="J15" s="16"/>
      <c r="K15" s="13"/>
      <c r="L15" s="13"/>
      <c r="M15" s="13"/>
      <c r="N15" s="3"/>
      <c r="O15" s="198">
        <v>2557252</v>
      </c>
      <c r="P15" s="13"/>
      <c r="Q15" s="13"/>
      <c r="R15" s="4"/>
      <c r="S15" s="32"/>
      <c r="T15" s="32"/>
      <c r="U15" s="32"/>
      <c r="V15" s="32"/>
      <c r="W15" s="32"/>
      <c r="X15" s="32"/>
      <c r="Y15" s="32"/>
      <c r="Z15" s="32"/>
      <c r="AA15" s="32"/>
      <c r="AB15" s="32"/>
      <c r="AC15" s="32"/>
      <c r="AD15" s="32"/>
      <c r="AE15" s="4"/>
      <c r="AF15" s="32"/>
      <c r="AG15" s="32"/>
      <c r="AH15" s="32"/>
      <c r="AI15" s="32"/>
      <c r="AJ15" s="32"/>
      <c r="AK15" s="32"/>
    </row>
    <row r="16" spans="1:37" ht="16.5" x14ac:dyDescent="0.25">
      <c r="A16" s="225"/>
      <c r="B16" s="14"/>
      <c r="C16" s="16"/>
      <c r="D16" s="16"/>
      <c r="E16" s="16"/>
      <c r="F16" s="16"/>
      <c r="G16" s="16"/>
      <c r="H16" s="16"/>
      <c r="I16" s="32"/>
      <c r="J16" s="16"/>
      <c r="K16" s="13"/>
      <c r="L16" s="13"/>
      <c r="M16" s="13"/>
      <c r="N16" s="3"/>
      <c r="O16" s="198">
        <v>2630339.3333333335</v>
      </c>
      <c r="P16" s="13"/>
      <c r="Q16" s="13"/>
      <c r="R16" s="4"/>
      <c r="S16" s="32"/>
      <c r="T16" s="32"/>
      <c r="U16" s="32"/>
      <c r="V16" s="32"/>
      <c r="W16" s="32"/>
      <c r="X16" s="32"/>
      <c r="Y16" s="32"/>
      <c r="Z16" s="32"/>
      <c r="AA16" s="32"/>
      <c r="AB16" s="32"/>
      <c r="AC16" s="32"/>
      <c r="AD16" s="32"/>
      <c r="AE16" s="4"/>
      <c r="AF16" s="32"/>
      <c r="AG16" s="32"/>
      <c r="AH16" s="32"/>
      <c r="AI16" s="32"/>
      <c r="AJ16" s="32"/>
      <c r="AK16" s="32"/>
    </row>
    <row r="17" spans="1:37" s="1" customFormat="1" ht="16.5" x14ac:dyDescent="0.25">
      <c r="A17" s="225"/>
      <c r="B17" s="14"/>
      <c r="C17" s="32"/>
      <c r="D17" s="32"/>
      <c r="E17" s="32"/>
      <c r="F17" s="32"/>
      <c r="G17" s="32"/>
      <c r="H17" s="32"/>
      <c r="I17" s="32"/>
      <c r="J17" s="32"/>
      <c r="K17" s="13"/>
      <c r="L17" s="13"/>
      <c r="M17" s="13"/>
      <c r="N17" s="3"/>
      <c r="O17" s="198">
        <v>2193357.5</v>
      </c>
      <c r="P17" s="13"/>
      <c r="Q17" s="13"/>
      <c r="R17" s="32"/>
      <c r="S17" s="32"/>
      <c r="T17" s="32"/>
      <c r="U17" s="32"/>
      <c r="V17" s="32"/>
      <c r="W17" s="32"/>
      <c r="X17" s="32"/>
      <c r="Y17" s="32"/>
      <c r="Z17" s="32"/>
      <c r="AA17" s="32"/>
      <c r="AB17" s="32"/>
      <c r="AC17" s="32"/>
      <c r="AD17" s="32"/>
      <c r="AE17" s="32"/>
      <c r="AF17" s="32"/>
      <c r="AG17" s="32"/>
      <c r="AH17" s="32"/>
      <c r="AI17" s="32"/>
      <c r="AJ17" s="32"/>
      <c r="AK17" s="32"/>
    </row>
    <row r="18" spans="1:37" s="1" customFormat="1" ht="16.5" x14ac:dyDescent="0.25">
      <c r="A18" s="225"/>
      <c r="B18" s="14"/>
      <c r="C18" s="32"/>
      <c r="D18" s="32"/>
      <c r="E18" s="32"/>
      <c r="F18" s="32"/>
      <c r="G18" s="32"/>
      <c r="H18" s="32"/>
      <c r="I18" s="32"/>
      <c r="J18" s="32"/>
      <c r="K18" s="13"/>
      <c r="L18" s="13"/>
      <c r="M18" s="13"/>
      <c r="N18" s="3"/>
      <c r="O18" s="198">
        <v>1415006</v>
      </c>
      <c r="P18" s="13"/>
      <c r="Q18" s="13"/>
      <c r="R18" s="32"/>
      <c r="S18" s="32"/>
      <c r="T18" s="32"/>
      <c r="U18" s="32"/>
      <c r="V18" s="32"/>
      <c r="W18" s="32"/>
      <c r="X18" s="32"/>
      <c r="Y18" s="32"/>
      <c r="Z18" s="32"/>
      <c r="AA18" s="32"/>
      <c r="AB18" s="32"/>
      <c r="AC18" s="32"/>
      <c r="AD18" s="32"/>
      <c r="AE18" s="32"/>
      <c r="AF18" s="32"/>
      <c r="AG18" s="32"/>
      <c r="AH18" s="32"/>
      <c r="AI18" s="32"/>
      <c r="AJ18" s="32"/>
      <c r="AK18" s="32"/>
    </row>
    <row r="19" spans="1:37" s="1" customFormat="1" ht="16.5" x14ac:dyDescent="0.25">
      <c r="A19" s="225"/>
      <c r="B19" s="14"/>
      <c r="C19" s="32"/>
      <c r="D19" s="32"/>
      <c r="E19" s="32"/>
      <c r="F19" s="32"/>
      <c r="G19" s="32"/>
      <c r="H19" s="32"/>
      <c r="I19" s="32"/>
      <c r="J19" s="32"/>
      <c r="K19" s="13"/>
      <c r="L19" s="13"/>
      <c r="M19" s="13"/>
      <c r="N19" s="3"/>
      <c r="O19" s="198">
        <v>311802.33333333331</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25"/>
      <c r="B20" s="14"/>
      <c r="C20" s="16"/>
      <c r="D20" s="16"/>
      <c r="E20" s="16"/>
      <c r="F20" s="16"/>
      <c r="G20" s="16"/>
      <c r="H20" s="16"/>
      <c r="I20" s="32"/>
      <c r="J20" s="16"/>
      <c r="K20" s="13"/>
      <c r="L20" s="13"/>
      <c r="M20" s="13"/>
      <c r="N20" s="3"/>
      <c r="O20" s="198">
        <v>1213422.6666666667</v>
      </c>
      <c r="P20" s="13"/>
      <c r="Q20" s="13"/>
      <c r="R20" s="4"/>
      <c r="S20" s="32"/>
      <c r="T20" s="32"/>
      <c r="U20" s="32"/>
      <c r="V20" s="32"/>
      <c r="W20" s="32"/>
      <c r="X20" s="32"/>
      <c r="Y20" s="32"/>
      <c r="Z20" s="32"/>
      <c r="AA20" s="32"/>
      <c r="AB20" s="32"/>
      <c r="AC20" s="32"/>
      <c r="AD20" s="32"/>
      <c r="AE20" s="4"/>
      <c r="AF20" s="32"/>
      <c r="AG20" s="32"/>
      <c r="AH20" s="32"/>
      <c r="AI20" s="32"/>
      <c r="AJ20" s="32"/>
      <c r="AK20" s="32"/>
    </row>
    <row r="21" spans="1:37" s="1" customFormat="1" ht="16.5" x14ac:dyDescent="0.25">
      <c r="A21" s="67"/>
      <c r="B21" s="68"/>
      <c r="C21" s="7"/>
      <c r="D21" s="7"/>
      <c r="E21" s="7"/>
      <c r="F21" s="7"/>
      <c r="G21" s="7"/>
      <c r="H21" s="7"/>
      <c r="I21" s="7"/>
      <c r="J21" s="7"/>
      <c r="K21" s="33"/>
      <c r="L21" s="33"/>
      <c r="M21" s="33"/>
      <c r="N21" s="3"/>
      <c r="O21" s="7"/>
      <c r="P21" s="33"/>
      <c r="Q21" s="33"/>
      <c r="R21" s="7"/>
      <c r="S21" s="7"/>
      <c r="T21" s="7"/>
      <c r="U21" s="7"/>
      <c r="V21" s="7"/>
      <c r="W21" s="7"/>
      <c r="X21" s="7"/>
      <c r="Y21" s="7"/>
      <c r="Z21" s="7"/>
      <c r="AA21" s="7"/>
      <c r="AB21" s="7"/>
      <c r="AC21" s="7"/>
      <c r="AD21" s="7"/>
      <c r="AE21" s="7"/>
      <c r="AF21" s="7"/>
      <c r="AG21" s="7"/>
      <c r="AH21" s="7"/>
      <c r="AI21" s="7"/>
      <c r="AJ21" s="7"/>
      <c r="AK21" s="7"/>
    </row>
    <row r="22" spans="1:37" s="70" customFormat="1" x14ac:dyDescent="0.25">
      <c r="A22" s="69" t="str">
        <f t="shared" ref="A22:M22" si="0">A4</f>
        <v>Noms des groupes</v>
      </c>
      <c r="B22" s="69" t="str">
        <f t="shared" si="0"/>
        <v>Témoin solvant</v>
      </c>
      <c r="C22" s="69" t="str">
        <f t="shared" si="0"/>
        <v>EE2-33.8ng/L</v>
      </c>
      <c r="D22" s="69" t="str">
        <f t="shared" si="0"/>
        <v>EE2-50.6ng/L</v>
      </c>
      <c r="E22" s="69" t="str">
        <f t="shared" si="0"/>
        <v>EE2-76ng/L</v>
      </c>
      <c r="F22" s="69" t="str">
        <f t="shared" si="0"/>
        <v>EE2-114ng/L</v>
      </c>
      <c r="G22" s="69" t="str">
        <f t="shared" si="0"/>
        <v>EE2-170.9ng/L</v>
      </c>
      <c r="H22" s="69" t="str">
        <f t="shared" si="0"/>
        <v>EE2-488ng/L</v>
      </c>
      <c r="I22" s="69" t="str">
        <f t="shared" si="0"/>
        <v>DUS-10µg/L</v>
      </c>
      <c r="J22" s="69" t="str">
        <f t="shared" si="0"/>
        <v>DUS-100µg/L</v>
      </c>
      <c r="K22" s="69" t="str">
        <f t="shared" si="0"/>
        <v>DUS-250µg/L</v>
      </c>
      <c r="L22" s="69" t="str">
        <f t="shared" si="0"/>
        <v>DUS-500µg/L</v>
      </c>
      <c r="M22" s="69" t="str">
        <f t="shared" si="0"/>
        <v>DUS-1000µg/L</v>
      </c>
      <c r="N22" s="69" t="s">
        <v>47</v>
      </c>
      <c r="O22" s="69" t="str">
        <f t="shared" ref="O22:AE22" si="1">O4</f>
        <v>Testo -30µg/L</v>
      </c>
      <c r="P22" s="69" t="str">
        <f t="shared" si="1"/>
        <v>Testo 30µg/L + EE2 -64ng/L</v>
      </c>
      <c r="Q22" s="69" t="str">
        <f t="shared" si="1"/>
        <v>Testo 30µg/L + FAD-10mg/L</v>
      </c>
      <c r="R22" s="69" t="str">
        <f t="shared" si="1"/>
        <v>DUS-10µg/L + Testostérone</v>
      </c>
      <c r="S22" s="69" t="str">
        <f t="shared" si="1"/>
        <v>DUS-100µg/L + Testostérone</v>
      </c>
      <c r="T22" s="69" t="str">
        <f t="shared" si="1"/>
        <v>DUS-250µg/L + Testostérone</v>
      </c>
      <c r="U22" s="69" t="str">
        <f t="shared" si="1"/>
        <v>DUS-500µg/L + Testostérone</v>
      </c>
      <c r="V22" s="69" t="str">
        <f t="shared" si="1"/>
        <v>DUS-1000µg/L + Testostérone</v>
      </c>
      <c r="W22" s="69" t="str">
        <f t="shared" si="1"/>
        <v>0-00 + Testostérone</v>
      </c>
      <c r="X22" s="69" t="str">
        <f t="shared" si="1"/>
        <v>0-00 + Testostérone</v>
      </c>
      <c r="Y22" s="69" t="str">
        <f t="shared" si="1"/>
        <v>0-00 + Testostérone</v>
      </c>
      <c r="Z22" s="69" t="str">
        <f t="shared" si="1"/>
        <v>0-00 + Testostérone</v>
      </c>
      <c r="AA22" s="69" t="str">
        <f t="shared" si="1"/>
        <v>0-00 + Testostérone</v>
      </c>
      <c r="AB22" s="69" t="str">
        <f t="shared" si="1"/>
        <v>0-00 + Testostérone</v>
      </c>
      <c r="AC22" s="69" t="str">
        <f t="shared" si="1"/>
        <v>0-00 + Testostérone</v>
      </c>
      <c r="AD22" s="69" t="str">
        <f t="shared" si="1"/>
        <v>0-00 + Testostérone</v>
      </c>
      <c r="AE22" s="69" t="str">
        <f t="shared" si="1"/>
        <v>0-00 + Testostérone</v>
      </c>
      <c r="AF22" s="69" t="str">
        <f t="shared" ref="AF22:AK22" si="2">AF4</f>
        <v>0-00 + Testostérone</v>
      </c>
      <c r="AG22" s="69" t="str">
        <f t="shared" si="2"/>
        <v>0-00 + Testostérone</v>
      </c>
      <c r="AH22" s="69" t="str">
        <f t="shared" si="2"/>
        <v>0-00 + Testostérone</v>
      </c>
      <c r="AI22" s="69" t="str">
        <f t="shared" si="2"/>
        <v>0-00 + Testostérone</v>
      </c>
      <c r="AJ22" s="69" t="str">
        <f t="shared" si="2"/>
        <v>0-00 + Testostérone</v>
      </c>
      <c r="AK22" s="69" t="str">
        <f t="shared" si="2"/>
        <v>0-00 + Testostérone</v>
      </c>
    </row>
    <row r="23" spans="1:37" x14ac:dyDescent="0.25">
      <c r="A23" s="5" t="s">
        <v>0</v>
      </c>
      <c r="B23" s="5">
        <f t="shared" ref="B23:M23" si="3">AVERAGE(B5:B20)</f>
        <v>135041.66666666666</v>
      </c>
      <c r="C23" s="5">
        <f t="shared" si="3"/>
        <v>173291.625</v>
      </c>
      <c r="D23" s="5">
        <f t="shared" si="3"/>
        <v>295033.85714285716</v>
      </c>
      <c r="E23" s="5">
        <f t="shared" si="3"/>
        <v>554343.22916666663</v>
      </c>
      <c r="F23" s="5">
        <f t="shared" si="3"/>
        <v>2027042.0833333333</v>
      </c>
      <c r="G23" s="5">
        <f t="shared" si="3"/>
        <v>3163738.714285715</v>
      </c>
      <c r="H23" s="5">
        <f t="shared" si="3"/>
        <v>3924403.2291666674</v>
      </c>
      <c r="I23" s="5">
        <f t="shared" si="3"/>
        <v>205906.64583333331</v>
      </c>
      <c r="J23" s="5">
        <f t="shared" si="3"/>
        <v>185087.04166666666</v>
      </c>
      <c r="K23" s="5">
        <f t="shared" si="3"/>
        <v>251360.04166666666</v>
      </c>
      <c r="L23" s="5">
        <f t="shared" si="3"/>
        <v>149827.58333333331</v>
      </c>
      <c r="M23" s="5">
        <f t="shared" si="3"/>
        <v>177214.70833333331</v>
      </c>
      <c r="N23" s="5" t="s">
        <v>0</v>
      </c>
      <c r="O23" s="5">
        <f t="shared" ref="O23:AE23" si="4">AVERAGE(O5:O20)</f>
        <v>1761202.1222222222</v>
      </c>
      <c r="P23" s="5">
        <f t="shared" si="4"/>
        <v>3716333.166666667</v>
      </c>
      <c r="Q23" s="5">
        <f t="shared" si="4"/>
        <v>127496.62499999999</v>
      </c>
      <c r="R23" s="5">
        <f t="shared" si="4"/>
        <v>1378624.625</v>
      </c>
      <c r="S23" s="5">
        <f t="shared" si="4"/>
        <v>2230229.6666666665</v>
      </c>
      <c r="T23" s="5">
        <f t="shared" si="4"/>
        <v>2531202.3333333335</v>
      </c>
      <c r="U23" s="5">
        <f t="shared" si="4"/>
        <v>1533922.0952380951</v>
      </c>
      <c r="V23" s="5">
        <f t="shared" si="4"/>
        <v>2575247.1666666665</v>
      </c>
      <c r="W23" s="5" t="e">
        <f t="shared" si="4"/>
        <v>#DIV/0!</v>
      </c>
      <c r="X23" s="5" t="e">
        <f t="shared" si="4"/>
        <v>#DIV/0!</v>
      </c>
      <c r="Y23" s="5" t="e">
        <f t="shared" si="4"/>
        <v>#DIV/0!</v>
      </c>
      <c r="Z23" s="5" t="e">
        <f t="shared" si="4"/>
        <v>#DIV/0!</v>
      </c>
      <c r="AA23" s="5" t="e">
        <f t="shared" si="4"/>
        <v>#DIV/0!</v>
      </c>
      <c r="AB23" s="5" t="e">
        <f t="shared" si="4"/>
        <v>#DIV/0!</v>
      </c>
      <c r="AC23" s="5" t="e">
        <f t="shared" si="4"/>
        <v>#DIV/0!</v>
      </c>
      <c r="AD23" s="5" t="e">
        <f t="shared" si="4"/>
        <v>#DIV/0!</v>
      </c>
      <c r="AE23" s="5" t="e">
        <f t="shared" si="4"/>
        <v>#DIV/0!</v>
      </c>
      <c r="AF23" s="5" t="e">
        <f t="shared" ref="AF23:AK23" si="5">AVERAGE(AF5:AF20)</f>
        <v>#DIV/0!</v>
      </c>
      <c r="AG23" s="5" t="e">
        <f t="shared" si="5"/>
        <v>#DIV/0!</v>
      </c>
      <c r="AH23" s="5" t="e">
        <f t="shared" si="5"/>
        <v>#DIV/0!</v>
      </c>
      <c r="AI23" s="5" t="e">
        <f t="shared" si="5"/>
        <v>#DIV/0!</v>
      </c>
      <c r="AJ23" s="5" t="e">
        <f t="shared" si="5"/>
        <v>#DIV/0!</v>
      </c>
      <c r="AK23" s="5" t="e">
        <f t="shared" si="5"/>
        <v>#DIV/0!</v>
      </c>
    </row>
    <row r="24" spans="1:37" x14ac:dyDescent="0.25">
      <c r="A24" s="3" t="s">
        <v>1</v>
      </c>
      <c r="B24" s="3">
        <f t="shared" ref="B24:M24" si="6">STDEV(B5:B20)</f>
        <v>109316.04914311193</v>
      </c>
      <c r="C24" s="3">
        <f t="shared" si="6"/>
        <v>62476.983496384833</v>
      </c>
      <c r="D24" s="3">
        <f t="shared" si="6"/>
        <v>466395.21649299783</v>
      </c>
      <c r="E24" s="3">
        <f t="shared" si="6"/>
        <v>371169.56160986365</v>
      </c>
      <c r="F24" s="3">
        <f t="shared" si="6"/>
        <v>883515.53488146525</v>
      </c>
      <c r="G24" s="3">
        <f t="shared" si="6"/>
        <v>736092.53553291084</v>
      </c>
      <c r="H24" s="3">
        <f t="shared" si="6"/>
        <v>912214.56356976624</v>
      </c>
      <c r="I24" s="3">
        <f t="shared" si="6"/>
        <v>108288.11580966142</v>
      </c>
      <c r="J24" s="3">
        <f t="shared" si="6"/>
        <v>122341.59094012112</v>
      </c>
      <c r="K24" s="3">
        <f t="shared" si="6"/>
        <v>144462.21500485568</v>
      </c>
      <c r="L24" s="3">
        <f t="shared" si="6"/>
        <v>86453.410234453288</v>
      </c>
      <c r="M24" s="3">
        <f t="shared" si="6"/>
        <v>132878.12310635584</v>
      </c>
      <c r="N24" s="3" t="s">
        <v>1</v>
      </c>
      <c r="O24" s="3">
        <f t="shared" ref="O24:AE24" si="7">STDEV(O5:O20)</f>
        <v>911724.10671782889</v>
      </c>
      <c r="P24" s="3">
        <f t="shared" si="7"/>
        <v>996353.83008561947</v>
      </c>
      <c r="Q24" s="3">
        <f t="shared" si="7"/>
        <v>71924.573865019775</v>
      </c>
      <c r="R24" s="3">
        <f t="shared" si="7"/>
        <v>824402.82787105476</v>
      </c>
      <c r="S24" s="3">
        <f t="shared" si="7"/>
        <v>1368956.8253879924</v>
      </c>
      <c r="T24" s="3">
        <f t="shared" si="7"/>
        <v>658942.46063411178</v>
      </c>
      <c r="U24" s="3">
        <f t="shared" si="7"/>
        <v>1446039.6389616572</v>
      </c>
      <c r="V24" s="3">
        <f t="shared" si="7"/>
        <v>1219417.0325169766</v>
      </c>
      <c r="W24" s="3" t="e">
        <f t="shared" si="7"/>
        <v>#DIV/0!</v>
      </c>
      <c r="X24" s="3" t="e">
        <f t="shared" si="7"/>
        <v>#DIV/0!</v>
      </c>
      <c r="Y24" s="3" t="e">
        <f t="shared" si="7"/>
        <v>#DIV/0!</v>
      </c>
      <c r="Z24" s="3" t="e">
        <f t="shared" si="7"/>
        <v>#DIV/0!</v>
      </c>
      <c r="AA24" s="3" t="e">
        <f t="shared" si="7"/>
        <v>#DIV/0!</v>
      </c>
      <c r="AB24" s="3" t="e">
        <f t="shared" si="7"/>
        <v>#DIV/0!</v>
      </c>
      <c r="AC24" s="3" t="e">
        <f t="shared" si="7"/>
        <v>#DIV/0!</v>
      </c>
      <c r="AD24" s="3" t="e">
        <f t="shared" si="7"/>
        <v>#DIV/0!</v>
      </c>
      <c r="AE24" s="3" t="e">
        <f t="shared" si="7"/>
        <v>#DIV/0!</v>
      </c>
      <c r="AF24" s="3" t="e">
        <f t="shared" ref="AF24:AK24" si="8">STDEV(AF5:AF20)</f>
        <v>#DIV/0!</v>
      </c>
      <c r="AG24" s="3" t="e">
        <f t="shared" si="8"/>
        <v>#DIV/0!</v>
      </c>
      <c r="AH24" s="3" t="e">
        <f t="shared" si="8"/>
        <v>#DIV/0!</v>
      </c>
      <c r="AI24" s="3" t="e">
        <f t="shared" si="8"/>
        <v>#DIV/0!</v>
      </c>
      <c r="AJ24" s="3" t="e">
        <f t="shared" si="8"/>
        <v>#DIV/0!</v>
      </c>
      <c r="AK24" s="3" t="e">
        <f t="shared" si="8"/>
        <v>#DIV/0!</v>
      </c>
    </row>
    <row r="25" spans="1:37" ht="15.75" thickBot="1" x14ac:dyDescent="0.3"/>
    <row r="26" spans="1:37" ht="15.75" thickBot="1" x14ac:dyDescent="0.3">
      <c r="B26" s="228" t="s">
        <v>6</v>
      </c>
      <c r="C26" s="229"/>
      <c r="D26" s="229"/>
      <c r="E26" s="229"/>
      <c r="F26" s="229"/>
      <c r="G26" s="229"/>
      <c r="H26" s="229"/>
      <c r="I26" s="229"/>
      <c r="J26" s="229"/>
      <c r="K26" s="229"/>
      <c r="L26" s="229"/>
      <c r="M26" s="229"/>
      <c r="N26" s="1"/>
      <c r="O26" s="228" t="s">
        <v>3</v>
      </c>
      <c r="P26" s="229"/>
      <c r="Q26" s="229"/>
      <c r="R26" s="229"/>
      <c r="S26" s="229"/>
      <c r="T26" s="229"/>
      <c r="U26" s="229"/>
      <c r="V26" s="229"/>
      <c r="W26" s="229"/>
      <c r="X26" s="229"/>
      <c r="Y26" s="229"/>
      <c r="Z26" s="229"/>
      <c r="AA26" s="229"/>
      <c r="AB26" s="229"/>
      <c r="AC26" s="229"/>
      <c r="AD26" s="229"/>
      <c r="AE26" s="229"/>
      <c r="AF26" s="229"/>
      <c r="AG26" s="229"/>
      <c r="AH26" s="229"/>
      <c r="AI26" s="229"/>
      <c r="AJ26" s="229"/>
      <c r="AK26" s="230"/>
    </row>
    <row r="27" spans="1:37" s="1" customFormat="1" x14ac:dyDescent="0.25">
      <c r="A27" s="34" t="s">
        <v>41</v>
      </c>
      <c r="B27" s="35" t="str">
        <f t="shared" ref="B27:M27" si="9">B4</f>
        <v>Témoin solvant</v>
      </c>
      <c r="C27" s="35" t="str">
        <f t="shared" si="9"/>
        <v>EE2-33.8ng/L</v>
      </c>
      <c r="D27" s="35" t="str">
        <f t="shared" si="9"/>
        <v>EE2-50.6ng/L</v>
      </c>
      <c r="E27" s="35" t="str">
        <f t="shared" si="9"/>
        <v>EE2-76ng/L</v>
      </c>
      <c r="F27" s="35" t="str">
        <f t="shared" si="9"/>
        <v>EE2-114ng/L</v>
      </c>
      <c r="G27" s="35" t="str">
        <f t="shared" si="9"/>
        <v>EE2-170.9ng/L</v>
      </c>
      <c r="H27" s="35" t="str">
        <f t="shared" si="9"/>
        <v>EE2-488ng/L</v>
      </c>
      <c r="I27" s="35" t="str">
        <f t="shared" si="9"/>
        <v>DUS-10µg/L</v>
      </c>
      <c r="J27" s="35" t="str">
        <f t="shared" si="9"/>
        <v>DUS-100µg/L</v>
      </c>
      <c r="K27" s="35" t="str">
        <f t="shared" si="9"/>
        <v>DUS-250µg/L</v>
      </c>
      <c r="L27" s="35" t="str">
        <f t="shared" si="9"/>
        <v>DUS-500µg/L</v>
      </c>
      <c r="M27" s="35" t="str">
        <f t="shared" si="9"/>
        <v>DUS-1000µg/L</v>
      </c>
      <c r="N27" s="3"/>
      <c r="O27" s="36" t="str">
        <f t="shared" ref="O27:AD27" si="10">O4</f>
        <v>Testo -30µg/L</v>
      </c>
      <c r="P27" s="36" t="str">
        <f t="shared" si="10"/>
        <v>Testo 30µg/L + EE2 -64ng/L</v>
      </c>
      <c r="Q27" s="36" t="str">
        <f t="shared" si="10"/>
        <v>Testo 30µg/L + FAD-10mg/L</v>
      </c>
      <c r="R27" s="36" t="str">
        <f t="shared" si="10"/>
        <v>DUS-10µg/L + Testostérone</v>
      </c>
      <c r="S27" s="36" t="str">
        <f t="shared" si="10"/>
        <v>DUS-100µg/L + Testostérone</v>
      </c>
      <c r="T27" s="36" t="str">
        <f t="shared" si="10"/>
        <v>DUS-250µg/L + Testostérone</v>
      </c>
      <c r="U27" s="36" t="str">
        <f t="shared" si="10"/>
        <v>DUS-500µg/L + Testostérone</v>
      </c>
      <c r="V27" s="36" t="str">
        <f t="shared" si="10"/>
        <v>DUS-1000µg/L + Testostérone</v>
      </c>
      <c r="W27" s="36" t="str">
        <f t="shared" si="10"/>
        <v>0-00 + Testostérone</v>
      </c>
      <c r="X27" s="36" t="str">
        <f t="shared" si="10"/>
        <v>0-00 + Testostérone</v>
      </c>
      <c r="Y27" s="36" t="str">
        <f t="shared" si="10"/>
        <v>0-00 + Testostérone</v>
      </c>
      <c r="Z27" s="36" t="str">
        <f t="shared" si="10"/>
        <v>0-00 + Testostérone</v>
      </c>
      <c r="AA27" s="36" t="str">
        <f t="shared" si="10"/>
        <v>0-00 + Testostérone</v>
      </c>
      <c r="AB27" s="36" t="str">
        <f t="shared" si="10"/>
        <v>0-00 + Testostérone</v>
      </c>
      <c r="AC27" s="36" t="str">
        <f t="shared" si="10"/>
        <v>0-00 + Testostérone</v>
      </c>
      <c r="AD27" s="36" t="str">
        <f t="shared" si="10"/>
        <v>0-00 + Testostérone</v>
      </c>
      <c r="AE27" s="36" t="str">
        <f t="shared" ref="AE27:AK27" si="11">AE4</f>
        <v>0-00 + Testostérone</v>
      </c>
      <c r="AF27" s="36" t="str">
        <f t="shared" si="11"/>
        <v>0-00 + Testostérone</v>
      </c>
      <c r="AG27" s="36" t="str">
        <f t="shared" si="11"/>
        <v>0-00 + Testostérone</v>
      </c>
      <c r="AH27" s="36" t="str">
        <f t="shared" si="11"/>
        <v>0-00 + Testostérone</v>
      </c>
      <c r="AI27" s="36" t="str">
        <f t="shared" si="11"/>
        <v>0-00 + Testostérone</v>
      </c>
      <c r="AJ27" s="36" t="str">
        <f t="shared" si="11"/>
        <v>0-00 + Testostérone</v>
      </c>
      <c r="AK27" s="36" t="str">
        <f t="shared" si="11"/>
        <v>0-00 + Testostérone</v>
      </c>
    </row>
    <row r="28" spans="1:37" x14ac:dyDescent="0.25">
      <c r="A28" s="226" t="s">
        <v>34</v>
      </c>
      <c r="B28" s="11" t="str">
        <f>IF(B5="","",(B5/$O$23))</f>
        <v/>
      </c>
      <c r="C28" s="11">
        <f>IF(C5="","",(C5/$O$23))</f>
        <v>5.3698171345605727E-2</v>
      </c>
      <c r="D28" s="11">
        <f>IF(D5="","",(D5/$O$23))</f>
        <v>0.10625810498335699</v>
      </c>
      <c r="E28" s="11">
        <f>IF(E5="","",(E5/$O$23))</f>
        <v>0.15911688753043685</v>
      </c>
      <c r="F28" s="11">
        <f>IF(F5="","",(F5/$O$23))</f>
        <v>0.48458435816733281</v>
      </c>
      <c r="G28" s="11">
        <f>IF(G5="","",(G5/$O$23))</f>
        <v>1.2088998605756596</v>
      </c>
      <c r="H28" s="11">
        <f>IF(H5="","",(H5/$O$23))</f>
        <v>2.3685926110909943</v>
      </c>
      <c r="I28" s="11">
        <f>IF(I5="","",(I5/$O$23))</f>
        <v>0.18127249335651052</v>
      </c>
      <c r="J28" s="11">
        <f>IF(J5="","",(J5/$O$23))</f>
        <v>0.17058765120851072</v>
      </c>
      <c r="K28" s="11">
        <f>IF(K5="","",(K5/$O$23))</f>
        <v>0.16791012396324681</v>
      </c>
      <c r="L28" s="11">
        <f>IF(L5="","",(L5/$O$23))</f>
        <v>3.9373864281878022E-2</v>
      </c>
      <c r="M28" s="11">
        <f>IF(M5="","",(M5/$O$23))</f>
        <v>0.10521809563772008</v>
      </c>
      <c r="N28" s="6"/>
      <c r="O28" s="11">
        <f t="shared" ref="O28:AK28" si="12">IF(O5="","",(O5/$O$23))</f>
        <v>0.41121553144215744</v>
      </c>
      <c r="P28" s="11">
        <f t="shared" si="12"/>
        <v>2.2276479705708079</v>
      </c>
      <c r="Q28" s="11">
        <f t="shared" si="12"/>
        <v>3.3888406435727984E-2</v>
      </c>
      <c r="R28" s="11">
        <f t="shared" si="12"/>
        <v>0.80522917582221354</v>
      </c>
      <c r="S28" s="11">
        <f t="shared" si="12"/>
        <v>0.43816909121119174</v>
      </c>
      <c r="T28" s="11">
        <f t="shared" si="12"/>
        <v>1.4440954663346073</v>
      </c>
      <c r="U28" s="11">
        <f t="shared" si="12"/>
        <v>1.4344257452285225</v>
      </c>
      <c r="V28" s="11">
        <f t="shared" si="12"/>
        <v>1.5342895434343833</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227"/>
      <c r="B29" s="11">
        <f>IF(B6="","",(B6/$O$23))</f>
        <v>0.15599742728752738</v>
      </c>
      <c r="C29" s="11">
        <f>IF(C6="","",(C6/$O$23))</f>
        <v>0.1239882297312951</v>
      </c>
      <c r="D29" s="11">
        <f>IF(D6="","",(D6/$O$23))</f>
        <v>0.76358735303464542</v>
      </c>
      <c r="E29" s="11">
        <f>IF(E6="","",(E6/$O$23))</f>
        <v>0.23362338416946543</v>
      </c>
      <c r="F29" s="11">
        <f>IF(F6="","",(F6/$O$23))</f>
        <v>1.2847452154696537</v>
      </c>
      <c r="G29" s="11">
        <f>IF(G6="","",(G6/$O$23))</f>
        <v>1.3792047503715441</v>
      </c>
      <c r="H29" s="11">
        <f>IF(H6="","",(H6/$O$23))</f>
        <v>1.9887435343956454</v>
      </c>
      <c r="I29" s="11">
        <f>IF(I6="","",(I6/$O$23))</f>
        <v>0.1764171922194229</v>
      </c>
      <c r="J29" s="11">
        <f>IF(J6="","",(J6/$O$23))</f>
        <v>2.716212943216291E-2</v>
      </c>
      <c r="K29" s="11">
        <f>IF(K6="","",(K6/$O$23))</f>
        <v>6.9741758645141566E-2</v>
      </c>
      <c r="L29" s="11">
        <f>IF(L6="","",(L6/$O$23))</f>
        <v>0.12961715019509623</v>
      </c>
      <c r="M29" s="11">
        <f>IF(M6="","",(M6/$O$23))</f>
        <v>9.9757242198291185E-2</v>
      </c>
      <c r="N29" s="6"/>
      <c r="O29" s="11">
        <f t="shared" ref="O29:AK29" si="13">IF(O6="","",(O6/$O$23))</f>
        <v>1.1280929324340092</v>
      </c>
      <c r="P29" s="11">
        <f t="shared" si="13"/>
        <v>2.2217694100111207</v>
      </c>
      <c r="Q29" s="11">
        <f t="shared" si="13"/>
        <v>5.3652937090172208E-2</v>
      </c>
      <c r="R29" s="11">
        <f t="shared" si="13"/>
        <v>0.36035046289816025</v>
      </c>
      <c r="S29" s="11">
        <f t="shared" si="13"/>
        <v>1.9810839933186799</v>
      </c>
      <c r="T29" s="11">
        <f t="shared" si="13"/>
        <v>1.1131423485868943</v>
      </c>
      <c r="U29" s="11">
        <f t="shared" si="13"/>
        <v>1.3180809690774908</v>
      </c>
      <c r="V29" s="11">
        <f t="shared" si="13"/>
        <v>2.9215961464098723</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227"/>
      <c r="B30" s="11">
        <f>IF(B7="","",(B7/$O$23))</f>
        <v>0.1417961422574055</v>
      </c>
      <c r="C30" s="11">
        <f>IF(C7="","",(C7/$O$23))</f>
        <v>7.8485975529176272E-2</v>
      </c>
      <c r="D30" s="11">
        <f>IF(D7="","",(D7/$O$23))</f>
        <v>4.4757308472468789E-2</v>
      </c>
      <c r="E30" s="11">
        <f>IF(E7="","",(E7/$O$23))</f>
        <v>0.57603931647923479</v>
      </c>
      <c r="F30" s="11">
        <f>IF(F7="","",(F7/$O$23))</f>
        <v>0.56751199690368059</v>
      </c>
      <c r="G30" s="11">
        <f>IF(G7="","",(G7/$O$23))</f>
        <v>1.9532584912283808</v>
      </c>
      <c r="H30" s="11">
        <f>IF(H7="","",(H7/$O$23))</f>
        <v>2.2093673695386506</v>
      </c>
      <c r="I30" s="11">
        <f>IF(I7="","",(I7/$O$23))</f>
        <v>0.10320810487326804</v>
      </c>
      <c r="J30" s="11">
        <f>IF(J7="","",(J7/$O$23))</f>
        <v>0.12321035194957212</v>
      </c>
      <c r="K30" s="11">
        <f>IF(K7="","",(K7/$O$23))</f>
        <v>0.27662053123803554</v>
      </c>
      <c r="L30" s="11">
        <f>IF(L7="","",(L7/$O$23))</f>
        <v>2.4644152301252368E-3</v>
      </c>
      <c r="M30" s="11">
        <f>IF(M7="","",(M7/$O$23))</f>
        <v>0</v>
      </c>
      <c r="N30" s="6"/>
      <c r="O30" s="11">
        <f t="shared" ref="O30:AK30" si="14">IF(O7="","",(O7/$O$23))</f>
        <v>1.9112360571953031</v>
      </c>
      <c r="P30" s="11">
        <f t="shared" si="14"/>
        <v>2.5458243984375546</v>
      </c>
      <c r="Q30" s="11">
        <f t="shared" si="14"/>
        <v>3.3626464136481127E-2</v>
      </c>
      <c r="R30" s="11">
        <f t="shared" si="14"/>
        <v>1.6326547440062578</v>
      </c>
      <c r="S30" s="11">
        <f t="shared" si="14"/>
        <v>3.2746004905197613E-2</v>
      </c>
      <c r="T30" s="11">
        <f t="shared" si="14"/>
        <v>2.0215060053268794</v>
      </c>
      <c r="U30" s="11">
        <f t="shared" si="14"/>
        <v>2.1410482187636601</v>
      </c>
      <c r="V30" s="11">
        <f t="shared" si="14"/>
        <v>1.6875973305379532</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227"/>
      <c r="B31" s="11">
        <f>IF(B8="","",(B8/$O$23))</f>
        <v>8.2767899357327215E-2</v>
      </c>
      <c r="C31" s="11">
        <f>IF(C8="","",(C8/$O$23))</f>
        <v>9.7493258250609907E-2</v>
      </c>
      <c r="D31" s="11">
        <f>IF(D8="","",(D8/$O$23))</f>
        <v>0.10889853635387209</v>
      </c>
      <c r="E31" s="11">
        <f>IF(E8="","",(E8/$O$23))</f>
        <v>0.39565930066036781</v>
      </c>
      <c r="F31" s="11">
        <f>IF(F8="","",(F8/$O$23))</f>
        <v>1.9853988491989036</v>
      </c>
      <c r="G31" s="11">
        <f>IF(G8="","",(G8/$O$23))</f>
        <v>2.0227218415482389</v>
      </c>
      <c r="H31" s="11">
        <f>IF(H8="","",(H8/$O$23))</f>
        <v>2.1338309892136742</v>
      </c>
      <c r="I31" s="11">
        <f>IF(I8="","",(I8/$O$23))</f>
        <v>8.4143474957707382E-2</v>
      </c>
      <c r="J31" s="11">
        <f>IF(J8="","",(J8/$O$23))</f>
        <v>0.14098154713026786</v>
      </c>
      <c r="K31" s="11">
        <f>IF(K8="","",(K8/$O$23))</f>
        <v>9.9294300822599144E-2</v>
      </c>
      <c r="L31" s="11">
        <f>IF(L8="","",(L8/$O$23))</f>
        <v>0.12100371519601785</v>
      </c>
      <c r="M31" s="11">
        <f>IF(M8="","",(M8/$O$23))</f>
        <v>0.13513137627064334</v>
      </c>
      <c r="N31" s="6"/>
      <c r="O31" s="11">
        <f t="shared" ref="O31:AK31" si="15">IF(O8="","",(O8/$O$23))</f>
        <v>0.96441154892746217</v>
      </c>
      <c r="P31" s="11">
        <f t="shared" si="15"/>
        <v>1.2519028748489094</v>
      </c>
      <c r="Q31" s="11">
        <f t="shared" si="15"/>
        <v>0.10156244859295631</v>
      </c>
      <c r="R31" s="11">
        <f t="shared" si="15"/>
        <v>0.21328557083841806</v>
      </c>
      <c r="S31" s="11">
        <f t="shared" si="15"/>
        <v>2.0848407764618297</v>
      </c>
      <c r="T31" s="11">
        <f t="shared" si="15"/>
        <v>1.2123141951698888</v>
      </c>
      <c r="U31" s="11">
        <f t="shared" si="15"/>
        <v>6.6249636272739998E-2</v>
      </c>
      <c r="V31" s="11">
        <f t="shared" si="15"/>
        <v>0.97135869779751638</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227"/>
      <c r="B32" s="11">
        <f>IF(B9="","",(B9/$O$23))</f>
        <v>1.3546240017337655E-2</v>
      </c>
      <c r="C32" s="11">
        <f>IF(C9="","",(C9/$O$23))</f>
        <v>0.14778125882466225</v>
      </c>
      <c r="D32" s="11">
        <f>IF(D9="","",(D9/$O$23))</f>
        <v>3.2353091456327331E-2</v>
      </c>
      <c r="E32" s="11">
        <f>IF(E9="","",(E9/$O$23))</f>
        <v>0.45398347899888658</v>
      </c>
      <c r="F32" s="11">
        <f>IF(F9="","",(F9/$O$23))</f>
        <v>0.85948397455371883</v>
      </c>
      <c r="G32" s="11">
        <f>IF(G9="","",(G9/$O$23))</f>
        <v>1.55392726676188</v>
      </c>
      <c r="H32" s="11">
        <f>IF(H9="","",(H9/$O$23))</f>
        <v>2.8172660805901191</v>
      </c>
      <c r="I32" s="11">
        <f>IF(I9="","",(I9/$O$23))</f>
        <v>6.2585472317957372E-2</v>
      </c>
      <c r="J32" s="11">
        <f>IF(J9="","",(J9/$O$23))</f>
        <v>4.9153926688873764E-2</v>
      </c>
      <c r="K32" s="11">
        <f>IF(K9="","",(K9/$O$23))</f>
        <v>0.11701231263184375</v>
      </c>
      <c r="L32" s="11">
        <f>IF(L9="","",(L9/$O$23))</f>
        <v>0.10923826643129124</v>
      </c>
      <c r="M32" s="11">
        <f>IF(M9="","",(M9/$O$23))</f>
        <v>0.22627953655719912</v>
      </c>
      <c r="N32" s="6"/>
      <c r="O32" s="11">
        <f t="shared" ref="O32:AK32" si="16">IF(O9="","",(O9/$O$23))</f>
        <v>0.1094265847750417</v>
      </c>
      <c r="P32" s="11">
        <f t="shared" si="16"/>
        <v>2.670242448227802</v>
      </c>
      <c r="Q32" s="11">
        <f t="shared" si="16"/>
        <v>8.6706118550050199E-2</v>
      </c>
      <c r="R32" s="11">
        <f t="shared" si="16"/>
        <v>1.1498964113469694</v>
      </c>
      <c r="S32" s="11">
        <f t="shared" si="16"/>
        <v>1.7262875708423171</v>
      </c>
      <c r="T32" s="11">
        <f t="shared" si="16"/>
        <v>1.6832005230568812</v>
      </c>
      <c r="U32" s="11">
        <f t="shared" si="16"/>
        <v>0.97666832876794363</v>
      </c>
      <c r="V32" s="11">
        <f t="shared" si="16"/>
        <v>0.86328289495146671</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227"/>
      <c r="B33" s="11">
        <f>IF(B10="","",(B10/$O$23))</f>
        <v>3.4723442146910879E-2</v>
      </c>
      <c r="C33" s="11">
        <f>IF(C10="","",(C10/$O$23))</f>
        <v>0.12213778908119645</v>
      </c>
      <c r="D33" s="11" t="str">
        <f>IF(D10="","",(D10/$O$23))</f>
        <v/>
      </c>
      <c r="E33" s="11">
        <f>IF(E10="","",(E10/$O$23))</f>
        <v>9.2588842932413498E-2</v>
      </c>
      <c r="F33" s="11">
        <f>IF(F10="","",(F10/$O$23))</f>
        <v>1.1539286950792342</v>
      </c>
      <c r="G33" s="11">
        <f>IF(G10="","",(G10/$O$23))</f>
        <v>2.3314581263500762</v>
      </c>
      <c r="H33" s="11">
        <f>IF(H10="","",(H10/$O$23))</f>
        <v>2.7923147517341866</v>
      </c>
      <c r="I33" s="11">
        <f>IF(I10="","",(I10/$O$23))</f>
        <v>1.3865529510711532E-2</v>
      </c>
      <c r="J33" s="11">
        <f>IF(J10="","",(J10/$O$23))</f>
        <v>4.7609527005452986E-3</v>
      </c>
      <c r="K33" s="11">
        <f>IF(K10="","",(K10/$O$23))</f>
        <v>0.10551694454704867</v>
      </c>
      <c r="L33" s="11">
        <f>IF(L10="","",(L10/$O$23))</f>
        <v>4.261218273571743E-2</v>
      </c>
      <c r="M33" s="11">
        <f>IF(M10="","",(M10/$O$23))</f>
        <v>8.8188060893332643E-2</v>
      </c>
      <c r="N33" s="6"/>
      <c r="O33" s="11">
        <f t="shared" ref="O33:AK33" si="17">IF(O10="","",(O10/$O$23))</f>
        <v>0.78150163230365799</v>
      </c>
      <c r="P33" s="11">
        <f t="shared" si="17"/>
        <v>1.8542528190230876</v>
      </c>
      <c r="Q33" s="11">
        <f t="shared" si="17"/>
        <v>0.15124461296766675</v>
      </c>
      <c r="R33" s="11">
        <f t="shared" si="17"/>
        <v>0.59045749881783716</v>
      </c>
      <c r="S33" s="11">
        <f t="shared" si="17"/>
        <v>1.1939331892318423</v>
      </c>
      <c r="T33" s="11">
        <f t="shared" si="17"/>
        <v>1.1442549994151405</v>
      </c>
      <c r="U33" s="11">
        <f t="shared" si="17"/>
        <v>3.2340789252966747E-2</v>
      </c>
      <c r="V33" s="11">
        <f t="shared" si="17"/>
        <v>1.7365097555116253</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227"/>
      <c r="B34" s="11">
        <f>IF(B11="","",(B11/$O$23))</f>
        <v>2.4982936055336095E-4</v>
      </c>
      <c r="C34" s="11">
        <f>IF(C11="","",(C11/$O$23))</f>
        <v>4.8585186364280691E-2</v>
      </c>
      <c r="D34" s="11">
        <f>IF(D11="","",(D11/$O$23))</f>
        <v>8.2051343327740084E-2</v>
      </c>
      <c r="E34" s="11">
        <f>IF(E11="","",(E11/$O$23))</f>
        <v>0.56454811221711565</v>
      </c>
      <c r="F34" s="11">
        <f>IF(F11="","",(F11/$O$23))</f>
        <v>1.3477648609339061</v>
      </c>
      <c r="G34" s="11">
        <f>IF(G11="","",(G11/$O$23))</f>
        <v>2.1249927077900979</v>
      </c>
      <c r="H34" s="11">
        <f>IF(H11="","",(H11/$O$23))</f>
        <v>2.342805867994544</v>
      </c>
      <c r="I34" s="11">
        <f>IF(I11="","",(I11/$O$23))</f>
        <v>0.17626559122108712</v>
      </c>
      <c r="J34" s="11">
        <f>IF(J11="","",(J11/$O$23))</f>
        <v>0.13060795072729081</v>
      </c>
      <c r="K34" s="11">
        <f>IF(K11="","",(K11/$O$23))</f>
        <v>0.25048573041881478</v>
      </c>
      <c r="L34" s="11">
        <f>IF(L11="","",(L11/$O$23))</f>
        <v>0.12544556766785636</v>
      </c>
      <c r="M34" s="11">
        <f>IF(M11="","",(M11/$O$23))</f>
        <v>1.2699659161462514E-4</v>
      </c>
      <c r="N34" s="6"/>
      <c r="O34" s="11">
        <f t="shared" ref="O34:AK34" si="18">IF(O11="","",(O11/$O$23))</f>
        <v>0.97535407491969939</v>
      </c>
      <c r="P34" s="11">
        <f t="shared" si="18"/>
        <v>2.7262984787959637</v>
      </c>
      <c r="Q34" s="11">
        <f t="shared" si="18"/>
        <v>4.0282713213224422E-2</v>
      </c>
      <c r="R34" s="11">
        <f t="shared" si="18"/>
        <v>0.49543679417803721</v>
      </c>
      <c r="S34" s="11" t="str">
        <f t="shared" si="18"/>
        <v/>
      </c>
      <c r="T34" s="11">
        <f t="shared" si="18"/>
        <v>1.0293713464940117</v>
      </c>
      <c r="U34" s="11" t="str">
        <f t="shared" si="18"/>
        <v/>
      </c>
      <c r="V34" s="11">
        <f t="shared" si="18"/>
        <v>1.1526471840183956</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227"/>
      <c r="B35" s="11">
        <f>IF(B12="","",(B12/$O$23))</f>
        <v>0.10764995734510655</v>
      </c>
      <c r="C35" s="11">
        <f>IF(C12="","",(C12/$O$23))</f>
        <v>0.11498169201867935</v>
      </c>
      <c r="D35" s="11">
        <f>IF(D12="","",(D12/$O$23))</f>
        <v>3.4723442146910879E-2</v>
      </c>
      <c r="E35" s="11">
        <f>IF(E12="","",(E12/$O$23))</f>
        <v>4.2462758281053122E-2</v>
      </c>
      <c r="F35" s="11">
        <f>IF(F12="","",(F12/$O$23))</f>
        <v>1.5241207314011931</v>
      </c>
      <c r="G35" s="11" t="str">
        <f>IF(G12="","",(G12/$O$23))</f>
        <v/>
      </c>
      <c r="H35" s="11">
        <f>IF(H12="","",(H12/$O$23))</f>
        <v>1.173099691737697</v>
      </c>
      <c r="I35" s="11">
        <f>IF(I12="","",(I12/$O$23))</f>
        <v>0.13754260812931743</v>
      </c>
      <c r="J35" s="11">
        <f>IF(J12="","",(J12/$O$23))</f>
        <v>0.19426598591362387</v>
      </c>
      <c r="K35" s="11">
        <f>IF(K12="","",(K12/$O$23))</f>
        <v>5.5184088246896967E-2</v>
      </c>
      <c r="L35" s="11">
        <f>IF(L12="","",(L12/$O$23))</f>
        <v>0.11081446257878244</v>
      </c>
      <c r="M35" s="11">
        <f>IF(M12="","",(M12/$O$23))</f>
        <v>0.15027027846150864</v>
      </c>
      <c r="N35" s="6"/>
      <c r="O35" s="11" t="str">
        <f t="shared" ref="O35:AK35" si="19">IF(O12="","",(O12/$O$23))</f>
        <v/>
      </c>
      <c r="P35" s="11">
        <f t="shared" si="19"/>
        <v>1.3829550297498507</v>
      </c>
      <c r="Q35" s="11">
        <f t="shared" si="19"/>
        <v>7.8170849858478289E-2</v>
      </c>
      <c r="R35" s="11">
        <f t="shared" si="19"/>
        <v>1.0148876785805978</v>
      </c>
      <c r="S35" s="11">
        <f t="shared" si="19"/>
        <v>1.4071165571500339</v>
      </c>
      <c r="T35" s="11">
        <f t="shared" si="19"/>
        <v>1.8497271223037302</v>
      </c>
      <c r="U35" s="11">
        <f t="shared" si="19"/>
        <v>0.12784866114584578</v>
      </c>
      <c r="V35" s="11">
        <f t="shared" si="19"/>
        <v>0.83039759125129375</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s="1" customFormat="1" x14ac:dyDescent="0.25">
      <c r="A36" s="227"/>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ref="O36:AK36" si="20">IF(O13="","",(O13/$O$23))</f>
        <v>1.5442414581590931</v>
      </c>
      <c r="P36" s="11" t="str">
        <f t="shared" si="20"/>
        <v/>
      </c>
      <c r="Q36" s="11" t="str">
        <f t="shared" si="20"/>
        <v/>
      </c>
      <c r="R36" s="11" t="str">
        <f t="shared" si="20"/>
        <v/>
      </c>
      <c r="S36" s="11" t="str">
        <f t="shared" si="20"/>
        <v/>
      </c>
      <c r="T36" s="11" t="str">
        <f t="shared" si="20"/>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s="1" customFormat="1" x14ac:dyDescent="0.25">
      <c r="A37" s="227"/>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ref="O37:AK37" si="21">IF(O14="","",(O14/$O$23))</f>
        <v>1.3142161845755973</v>
      </c>
      <c r="P37" s="11" t="str">
        <f t="shared" si="21"/>
        <v/>
      </c>
      <c r="Q37" s="11" t="str">
        <f t="shared" si="21"/>
        <v/>
      </c>
      <c r="R37" s="11" t="str">
        <f t="shared" si="21"/>
        <v/>
      </c>
      <c r="S37" s="11" t="str">
        <f t="shared" si="21"/>
        <v/>
      </c>
      <c r="T37" s="11" t="str">
        <f t="shared" si="21"/>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s="1" customFormat="1" x14ac:dyDescent="0.25">
      <c r="A38" s="227"/>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R38" si="22">IF(O15="","",(O15/$O$23))</f>
        <v>1.4519923453040986</v>
      </c>
      <c r="P38" s="11" t="str">
        <f t="shared" si="22"/>
        <v/>
      </c>
      <c r="Q38" s="11" t="str">
        <f t="shared" si="22"/>
        <v/>
      </c>
      <c r="R38" s="11" t="str">
        <f t="shared" si="22"/>
        <v/>
      </c>
      <c r="S38" s="11" t="str">
        <f t="shared" ref="S38:AK38" si="23">IF(S15="","",(S15/$O$23))</f>
        <v/>
      </c>
      <c r="T38" s="11" t="str">
        <f t="shared" si="23"/>
        <v/>
      </c>
      <c r="U38" s="11" t="str">
        <f t="shared" si="23"/>
        <v/>
      </c>
      <c r="V38" s="11" t="str">
        <f t="shared" si="23"/>
        <v/>
      </c>
      <c r="W38" s="11" t="str">
        <f t="shared" si="23"/>
        <v/>
      </c>
      <c r="X38" s="11" t="str">
        <f t="shared" si="23"/>
        <v/>
      </c>
      <c r="Y38" s="11" t="str">
        <f t="shared" si="23"/>
        <v/>
      </c>
      <c r="Z38" s="11" t="str">
        <f t="shared" si="23"/>
        <v/>
      </c>
      <c r="AA38" s="11" t="str">
        <f t="shared" si="23"/>
        <v/>
      </c>
      <c r="AB38" s="11" t="str">
        <f t="shared" si="23"/>
        <v/>
      </c>
      <c r="AC38" s="11" t="str">
        <f t="shared" si="23"/>
        <v/>
      </c>
      <c r="AD38" s="11" t="str">
        <f t="shared" si="23"/>
        <v/>
      </c>
      <c r="AE38" s="11" t="str">
        <f t="shared" si="23"/>
        <v/>
      </c>
      <c r="AF38" s="11" t="str">
        <f t="shared" si="23"/>
        <v/>
      </c>
      <c r="AG38" s="11" t="str">
        <f t="shared" si="23"/>
        <v/>
      </c>
      <c r="AH38" s="11" t="str">
        <f t="shared" si="23"/>
        <v/>
      </c>
      <c r="AI38" s="11" t="str">
        <f t="shared" si="23"/>
        <v/>
      </c>
      <c r="AJ38" s="11" t="str">
        <f t="shared" si="23"/>
        <v/>
      </c>
      <c r="AK38" s="11" t="str">
        <f t="shared" si="23"/>
        <v/>
      </c>
    </row>
    <row r="39" spans="1:37" s="1" customFormat="1" x14ac:dyDescent="0.25">
      <c r="A39" s="227"/>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R39" si="24">IF(O16="","",(O16/$O$23))</f>
        <v>1.4934908947386827</v>
      </c>
      <c r="P39" s="11" t="str">
        <f t="shared" si="24"/>
        <v/>
      </c>
      <c r="Q39" s="11" t="str">
        <f t="shared" si="24"/>
        <v/>
      </c>
      <c r="R39" s="11" t="str">
        <f t="shared" si="24"/>
        <v/>
      </c>
      <c r="S39" s="11" t="str">
        <f t="shared" ref="S39:AK39" si="25">IF(S16="","",(S16/$O$23))</f>
        <v/>
      </c>
      <c r="T39" s="11" t="str">
        <f t="shared" si="25"/>
        <v/>
      </c>
      <c r="U39" s="11" t="str">
        <f t="shared" si="25"/>
        <v/>
      </c>
      <c r="V39" s="11" t="str">
        <f t="shared" si="25"/>
        <v/>
      </c>
      <c r="W39" s="11" t="str">
        <f t="shared" si="25"/>
        <v/>
      </c>
      <c r="X39" s="11" t="str">
        <f t="shared" si="25"/>
        <v/>
      </c>
      <c r="Y39" s="11" t="str">
        <f t="shared" si="25"/>
        <v/>
      </c>
      <c r="Z39" s="11" t="str">
        <f t="shared" si="25"/>
        <v/>
      </c>
      <c r="AA39" s="11" t="str">
        <f t="shared" si="25"/>
        <v/>
      </c>
      <c r="AB39" s="11" t="str">
        <f t="shared" si="25"/>
        <v/>
      </c>
      <c r="AC39" s="11" t="str">
        <f t="shared" si="25"/>
        <v/>
      </c>
      <c r="AD39" s="11" t="str">
        <f t="shared" si="25"/>
        <v/>
      </c>
      <c r="AE39" s="11" t="str">
        <f t="shared" si="25"/>
        <v/>
      </c>
      <c r="AF39" s="11" t="str">
        <f t="shared" si="25"/>
        <v/>
      </c>
      <c r="AG39" s="11" t="str">
        <f t="shared" si="25"/>
        <v/>
      </c>
      <c r="AH39" s="11" t="str">
        <f t="shared" si="25"/>
        <v/>
      </c>
      <c r="AI39" s="11" t="str">
        <f t="shared" si="25"/>
        <v/>
      </c>
      <c r="AJ39" s="11" t="str">
        <f t="shared" si="25"/>
        <v/>
      </c>
      <c r="AK39" s="11" t="str">
        <f t="shared" si="25"/>
        <v/>
      </c>
    </row>
    <row r="40" spans="1:37" s="1" customFormat="1" x14ac:dyDescent="0.25">
      <c r="A40" s="227"/>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R40" si="26">IF(O17="","",(O17/$O$23))</f>
        <v>1.2453752311134509</v>
      </c>
      <c r="P40" s="11" t="str">
        <f t="shared" si="26"/>
        <v/>
      </c>
      <c r="Q40" s="11" t="str">
        <f t="shared" si="26"/>
        <v/>
      </c>
      <c r="R40" s="11" t="str">
        <f t="shared" si="26"/>
        <v/>
      </c>
      <c r="S40" s="11" t="str">
        <f t="shared" ref="S40:AK40" si="27">IF(S17="","",(S17/$O$23))</f>
        <v/>
      </c>
      <c r="T40" s="11" t="str">
        <f t="shared" si="27"/>
        <v/>
      </c>
      <c r="U40" s="11" t="str">
        <f t="shared" si="27"/>
        <v/>
      </c>
      <c r="V40" s="11" t="str">
        <f t="shared" si="27"/>
        <v/>
      </c>
      <c r="W40" s="11" t="str">
        <f t="shared" si="27"/>
        <v/>
      </c>
      <c r="X40" s="11" t="str">
        <f t="shared" si="27"/>
        <v/>
      </c>
      <c r="Y40" s="11" t="str">
        <f t="shared" si="27"/>
        <v/>
      </c>
      <c r="Z40" s="11" t="str">
        <f t="shared" si="27"/>
        <v/>
      </c>
      <c r="AA40" s="11" t="str">
        <f t="shared" si="27"/>
        <v/>
      </c>
      <c r="AB40" s="11" t="str">
        <f t="shared" si="27"/>
        <v/>
      </c>
      <c r="AC40" s="11" t="str">
        <f t="shared" si="27"/>
        <v/>
      </c>
      <c r="AD40" s="11" t="str">
        <f t="shared" si="27"/>
        <v/>
      </c>
      <c r="AE40" s="11" t="str">
        <f t="shared" si="27"/>
        <v/>
      </c>
      <c r="AF40" s="11" t="str">
        <f t="shared" si="27"/>
        <v/>
      </c>
      <c r="AG40" s="11" t="str">
        <f t="shared" si="27"/>
        <v/>
      </c>
      <c r="AH40" s="11" t="str">
        <f t="shared" si="27"/>
        <v/>
      </c>
      <c r="AI40" s="11" t="str">
        <f t="shared" si="27"/>
        <v/>
      </c>
      <c r="AJ40" s="11" t="str">
        <f t="shared" si="27"/>
        <v/>
      </c>
      <c r="AK40" s="11" t="str">
        <f t="shared" si="27"/>
        <v/>
      </c>
    </row>
    <row r="41" spans="1:37" s="1" customFormat="1" x14ac:dyDescent="0.25">
      <c r="A41" s="227"/>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R41" si="28">IF(O18="","",(O18/$O$23))</f>
        <v>0.80343191854356599</v>
      </c>
      <c r="P41" s="11" t="str">
        <f t="shared" si="28"/>
        <v/>
      </c>
      <c r="Q41" s="11" t="str">
        <f t="shared" si="28"/>
        <v/>
      </c>
      <c r="R41" s="11" t="str">
        <f t="shared" si="28"/>
        <v/>
      </c>
      <c r="S41" s="11" t="str">
        <f t="shared" ref="S41:AK41" si="29">IF(S18="","",(S18/$O$23))</f>
        <v/>
      </c>
      <c r="T41" s="11" t="str">
        <f t="shared" si="29"/>
        <v/>
      </c>
      <c r="U41" s="11" t="str">
        <f t="shared" si="29"/>
        <v/>
      </c>
      <c r="V41" s="11" t="str">
        <f t="shared" si="29"/>
        <v/>
      </c>
      <c r="W41" s="11" t="str">
        <f t="shared" si="29"/>
        <v/>
      </c>
      <c r="X41" s="11" t="str">
        <f t="shared" si="29"/>
        <v/>
      </c>
      <c r="Y41" s="11" t="str">
        <f t="shared" si="29"/>
        <v/>
      </c>
      <c r="Z41" s="11" t="str">
        <f t="shared" si="29"/>
        <v/>
      </c>
      <c r="AA41" s="11" t="str">
        <f t="shared" si="29"/>
        <v/>
      </c>
      <c r="AB41" s="11" t="str">
        <f t="shared" si="29"/>
        <v/>
      </c>
      <c r="AC41" s="11" t="str">
        <f t="shared" si="29"/>
        <v/>
      </c>
      <c r="AD41" s="11" t="str">
        <f t="shared" si="29"/>
        <v/>
      </c>
      <c r="AE41" s="11" t="str">
        <f t="shared" si="29"/>
        <v/>
      </c>
      <c r="AF41" s="11" t="str">
        <f t="shared" si="29"/>
        <v/>
      </c>
      <c r="AG41" s="11" t="str">
        <f t="shared" si="29"/>
        <v/>
      </c>
      <c r="AH41" s="11" t="str">
        <f t="shared" si="29"/>
        <v/>
      </c>
      <c r="AI41" s="11" t="str">
        <f t="shared" si="29"/>
        <v/>
      </c>
      <c r="AJ41" s="11" t="str">
        <f t="shared" si="29"/>
        <v/>
      </c>
      <c r="AK41" s="11" t="str">
        <f t="shared" si="29"/>
        <v/>
      </c>
    </row>
    <row r="42" spans="1:37" s="1" customFormat="1" x14ac:dyDescent="0.25">
      <c r="A42" s="227"/>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R42" si="30">IF(O19="","",(O19/$O$23))</f>
        <v>0.17703949444480127</v>
      </c>
      <c r="P42" s="11" t="str">
        <f t="shared" si="30"/>
        <v/>
      </c>
      <c r="Q42" s="11" t="str">
        <f t="shared" si="30"/>
        <v/>
      </c>
      <c r="R42" s="11" t="str">
        <f t="shared" si="30"/>
        <v/>
      </c>
      <c r="S42" s="11" t="str">
        <f t="shared" ref="S42:AK42" si="31">IF(S19="","",(S19/$O$23))</f>
        <v/>
      </c>
      <c r="T42" s="11" t="str">
        <f t="shared" si="31"/>
        <v/>
      </c>
      <c r="U42" s="11" t="str">
        <f t="shared" si="31"/>
        <v/>
      </c>
      <c r="V42" s="11" t="str">
        <f t="shared" si="31"/>
        <v/>
      </c>
      <c r="W42" s="11" t="str">
        <f t="shared" si="31"/>
        <v/>
      </c>
      <c r="X42" s="11" t="str">
        <f t="shared" si="31"/>
        <v/>
      </c>
      <c r="Y42" s="11" t="str">
        <f t="shared" si="31"/>
        <v/>
      </c>
      <c r="Z42" s="11" t="str">
        <f t="shared" si="31"/>
        <v/>
      </c>
      <c r="AA42" s="11" t="str">
        <f t="shared" si="31"/>
        <v/>
      </c>
      <c r="AB42" s="11" t="str">
        <f t="shared" si="31"/>
        <v/>
      </c>
      <c r="AC42" s="11" t="str">
        <f t="shared" si="31"/>
        <v/>
      </c>
      <c r="AD42" s="11" t="str">
        <f t="shared" si="31"/>
        <v/>
      </c>
      <c r="AE42" s="11" t="str">
        <f t="shared" si="31"/>
        <v/>
      </c>
      <c r="AF42" s="11" t="str">
        <f t="shared" si="31"/>
        <v/>
      </c>
      <c r="AG42" s="11" t="str">
        <f t="shared" si="31"/>
        <v/>
      </c>
      <c r="AH42" s="11" t="str">
        <f t="shared" si="31"/>
        <v/>
      </c>
      <c r="AI42" s="11" t="str">
        <f t="shared" si="31"/>
        <v/>
      </c>
      <c r="AJ42" s="11" t="str">
        <f t="shared" si="31"/>
        <v/>
      </c>
      <c r="AK42" s="11" t="str">
        <f t="shared" si="31"/>
        <v/>
      </c>
    </row>
    <row r="43" spans="1:37" s="1" customFormat="1" x14ac:dyDescent="0.25">
      <c r="A43" s="227"/>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ref="O43:R43" si="32">IF(O20="","",(O20/$O$23))</f>
        <v>0.68897411112338047</v>
      </c>
      <c r="P43" s="11" t="str">
        <f t="shared" si="32"/>
        <v/>
      </c>
      <c r="Q43" s="11" t="str">
        <f t="shared" si="32"/>
        <v/>
      </c>
      <c r="R43" s="11" t="str">
        <f t="shared" si="32"/>
        <v/>
      </c>
      <c r="S43" s="11" t="str">
        <f t="shared" ref="S43:AK43" si="33">IF(S20="","",(S20/$O$23))</f>
        <v/>
      </c>
      <c r="T43" s="11" t="str">
        <f t="shared" si="33"/>
        <v/>
      </c>
      <c r="U43" s="11" t="str">
        <f t="shared" si="33"/>
        <v/>
      </c>
      <c r="V43" s="11" t="str">
        <f t="shared" si="33"/>
        <v/>
      </c>
      <c r="W43" s="11" t="str">
        <f t="shared" si="33"/>
        <v/>
      </c>
      <c r="X43" s="11" t="str">
        <f t="shared" si="33"/>
        <v/>
      </c>
      <c r="Y43" s="11" t="str">
        <f t="shared" si="33"/>
        <v/>
      </c>
      <c r="Z43" s="11" t="str">
        <f t="shared" si="33"/>
        <v/>
      </c>
      <c r="AA43" s="11" t="str">
        <f t="shared" si="33"/>
        <v/>
      </c>
      <c r="AB43" s="11" t="str">
        <f t="shared" si="33"/>
        <v/>
      </c>
      <c r="AC43" s="11" t="str">
        <f t="shared" si="33"/>
        <v/>
      </c>
      <c r="AD43" s="11" t="str">
        <f t="shared" si="33"/>
        <v/>
      </c>
      <c r="AE43" s="11" t="str">
        <f t="shared" si="33"/>
        <v/>
      </c>
      <c r="AF43" s="11" t="str">
        <f t="shared" si="33"/>
        <v/>
      </c>
      <c r="AG43" s="11" t="str">
        <f t="shared" si="33"/>
        <v/>
      </c>
      <c r="AH43" s="11" t="str">
        <f t="shared" si="33"/>
        <v/>
      </c>
      <c r="AI43" s="11" t="str">
        <f t="shared" si="33"/>
        <v/>
      </c>
      <c r="AJ43" s="11" t="str">
        <f t="shared" si="33"/>
        <v/>
      </c>
      <c r="AK43" s="11" t="str">
        <f t="shared" si="33"/>
        <v/>
      </c>
    </row>
    <row r="44" spans="1:37" x14ac:dyDescent="0.25">
      <c r="A44" s="7"/>
      <c r="B44" s="3"/>
      <c r="C44" s="3"/>
      <c r="D44" s="3"/>
      <c r="E44" s="3"/>
      <c r="F44" s="3"/>
      <c r="G44" s="3"/>
      <c r="H44" s="3"/>
      <c r="I44" s="3"/>
      <c r="J44" s="3"/>
      <c r="N44" s="7"/>
      <c r="O44" s="3"/>
      <c r="P44" s="3"/>
      <c r="Q44" s="3"/>
      <c r="R44" s="3"/>
      <c r="S44" s="3"/>
      <c r="T44" s="3"/>
      <c r="U44" s="3"/>
      <c r="V44" s="3"/>
      <c r="W44" s="3"/>
      <c r="X44" s="3"/>
      <c r="Y44" s="3"/>
      <c r="Z44" s="3"/>
      <c r="AA44" s="3"/>
      <c r="AB44" s="3"/>
      <c r="AC44" s="3"/>
      <c r="AD44" s="3"/>
      <c r="AE44" s="3"/>
      <c r="AF44" s="3"/>
      <c r="AG44" s="3"/>
      <c r="AH44" s="3"/>
      <c r="AI44" s="3"/>
      <c r="AJ44" s="3"/>
      <c r="AK44" s="3"/>
    </row>
    <row r="45" spans="1:37" s="70" customFormat="1" x14ac:dyDescent="0.25">
      <c r="A45" s="71" t="str">
        <f t="shared" ref="A45:M45" si="34">A4</f>
        <v>Noms des groupes</v>
      </c>
      <c r="B45" s="71" t="str">
        <f t="shared" si="34"/>
        <v>Témoin solvant</v>
      </c>
      <c r="C45" s="71" t="str">
        <f t="shared" si="34"/>
        <v>EE2-33.8ng/L</v>
      </c>
      <c r="D45" s="71" t="str">
        <f t="shared" si="34"/>
        <v>EE2-50.6ng/L</v>
      </c>
      <c r="E45" s="71" t="str">
        <f t="shared" si="34"/>
        <v>EE2-76ng/L</v>
      </c>
      <c r="F45" s="71" t="str">
        <f t="shared" si="34"/>
        <v>EE2-114ng/L</v>
      </c>
      <c r="G45" s="71" t="str">
        <f t="shared" si="34"/>
        <v>EE2-170.9ng/L</v>
      </c>
      <c r="H45" s="71" t="str">
        <f t="shared" si="34"/>
        <v>EE2-488ng/L</v>
      </c>
      <c r="I45" s="71" t="str">
        <f t="shared" si="34"/>
        <v>DUS-10µg/L</v>
      </c>
      <c r="J45" s="71" t="str">
        <f t="shared" si="34"/>
        <v>DUS-100µg/L</v>
      </c>
      <c r="K45" s="71" t="str">
        <f t="shared" si="34"/>
        <v>DUS-250µg/L</v>
      </c>
      <c r="L45" s="71" t="str">
        <f t="shared" si="34"/>
        <v>DUS-500µg/L</v>
      </c>
      <c r="M45" s="71" t="str">
        <f t="shared" si="34"/>
        <v>DUS-1000µg/L</v>
      </c>
      <c r="N45" s="71" t="str">
        <f>N22</f>
        <v>Nom des groupes</v>
      </c>
      <c r="O45" s="71" t="str">
        <f t="shared" ref="O45:AD45" si="35">O4</f>
        <v>Testo -30µg/L</v>
      </c>
      <c r="P45" s="71" t="str">
        <f t="shared" si="35"/>
        <v>Testo 30µg/L + EE2 -64ng/L</v>
      </c>
      <c r="Q45" s="71" t="str">
        <f t="shared" si="35"/>
        <v>Testo 30µg/L + FAD-10mg/L</v>
      </c>
      <c r="R45" s="71" t="str">
        <f t="shared" si="35"/>
        <v>DUS-10µg/L + Testostérone</v>
      </c>
      <c r="S45" s="71" t="str">
        <f t="shared" si="35"/>
        <v>DUS-100µg/L + Testostérone</v>
      </c>
      <c r="T45" s="71" t="str">
        <f t="shared" si="35"/>
        <v>DUS-250µg/L + Testostérone</v>
      </c>
      <c r="U45" s="71" t="str">
        <f t="shared" si="35"/>
        <v>DUS-500µg/L + Testostérone</v>
      </c>
      <c r="V45" s="71" t="str">
        <f t="shared" si="35"/>
        <v>DUS-1000µg/L + Testostérone</v>
      </c>
      <c r="W45" s="71" t="str">
        <f t="shared" si="35"/>
        <v>0-00 + Testostérone</v>
      </c>
      <c r="X45" s="71" t="str">
        <f t="shared" si="35"/>
        <v>0-00 + Testostérone</v>
      </c>
      <c r="Y45" s="71" t="str">
        <f t="shared" si="35"/>
        <v>0-00 + Testostérone</v>
      </c>
      <c r="Z45" s="71" t="str">
        <f t="shared" si="35"/>
        <v>0-00 + Testostérone</v>
      </c>
      <c r="AA45" s="71" t="str">
        <f t="shared" si="35"/>
        <v>0-00 + Testostérone</v>
      </c>
      <c r="AB45" s="71" t="str">
        <f t="shared" si="35"/>
        <v>0-00 + Testostérone</v>
      </c>
      <c r="AC45" s="71" t="str">
        <f t="shared" si="35"/>
        <v>0-00 + Testostérone</v>
      </c>
      <c r="AD45" s="71" t="str">
        <f t="shared" si="35"/>
        <v>0-00 + Testostérone</v>
      </c>
      <c r="AE45" s="71" t="str">
        <f t="shared" ref="AE45:AK45" si="36">AE4</f>
        <v>0-00 + Testostérone</v>
      </c>
      <c r="AF45" s="71" t="str">
        <f t="shared" si="36"/>
        <v>0-00 + Testostérone</v>
      </c>
      <c r="AG45" s="71" t="str">
        <f t="shared" si="36"/>
        <v>0-00 + Testostérone</v>
      </c>
      <c r="AH45" s="71" t="str">
        <f t="shared" si="36"/>
        <v>0-00 + Testostérone</v>
      </c>
      <c r="AI45" s="71" t="str">
        <f t="shared" si="36"/>
        <v>0-00 + Testostérone</v>
      </c>
      <c r="AJ45" s="71" t="str">
        <f t="shared" si="36"/>
        <v>0-00 + Testostérone</v>
      </c>
      <c r="AK45" s="71" t="str">
        <f t="shared" si="36"/>
        <v>0-00 + Testostérone</v>
      </c>
    </row>
    <row r="46" spans="1:37" x14ac:dyDescent="0.25">
      <c r="A46" s="8" t="s">
        <v>0</v>
      </c>
      <c r="B46" s="10">
        <f t="shared" ref="B46:H46" si="37">AVERAGE(B28:B43)</f>
        <v>7.6675848253166937E-2</v>
      </c>
      <c r="C46" s="10">
        <f t="shared" si="37"/>
        <v>9.8393945143188208E-2</v>
      </c>
      <c r="D46" s="10">
        <f t="shared" si="37"/>
        <v>0.16751845425361739</v>
      </c>
      <c r="E46" s="10">
        <f t="shared" si="37"/>
        <v>0.31475276015862169</v>
      </c>
      <c r="F46" s="10">
        <f t="shared" si="37"/>
        <v>1.1509423352134527</v>
      </c>
      <c r="G46" s="10">
        <f t="shared" si="37"/>
        <v>1.7963518635179823</v>
      </c>
      <c r="H46" s="10">
        <f t="shared" si="37"/>
        <v>2.2282526120369388</v>
      </c>
      <c r="I46" s="10">
        <f>AVERAGE(I28:I43)</f>
        <v>0.11691255832324778</v>
      </c>
      <c r="J46" s="9">
        <f>AVERAGE(J28:J43)</f>
        <v>0.10509131196885592</v>
      </c>
      <c r="K46" s="9">
        <f>AVERAGE(K28:K43)</f>
        <v>0.14272072381420339</v>
      </c>
      <c r="L46" s="9">
        <f t="shared" ref="L46:M46" si="38">AVERAGE(L28:L43)</f>
        <v>8.5071203039595603E-2</v>
      </c>
      <c r="M46" s="9">
        <f t="shared" si="38"/>
        <v>0.10062144832628871</v>
      </c>
      <c r="N46" s="8" t="s">
        <v>0</v>
      </c>
      <c r="O46" s="10">
        <f>AVERAGE(O28:O43)</f>
        <v>1.0000000000000002</v>
      </c>
      <c r="P46" s="10">
        <f>AVERAGE(P28:P43)</f>
        <v>2.1101116787081371</v>
      </c>
      <c r="Q46" s="10">
        <f>AVERAGE(Q28:Q43)</f>
        <v>7.2391818855594661E-2</v>
      </c>
      <c r="R46" s="10">
        <f>AVERAGE(R28:R43)</f>
        <v>0.78277479206106149</v>
      </c>
      <c r="S46" s="10">
        <f t="shared" ref="S46:AD46" si="39">AVERAGE(S28:S43)</f>
        <v>1.2663110261601562</v>
      </c>
      <c r="T46" s="10">
        <f t="shared" si="39"/>
        <v>1.437201500836004</v>
      </c>
      <c r="U46" s="10">
        <f t="shared" si="39"/>
        <v>0.87095176407273844</v>
      </c>
      <c r="V46" s="10">
        <f t="shared" si="39"/>
        <v>1.4622098929890632</v>
      </c>
      <c r="W46" s="10" t="e">
        <f t="shared" si="39"/>
        <v>#DIV/0!</v>
      </c>
      <c r="X46" s="10" t="e">
        <f t="shared" si="39"/>
        <v>#DIV/0!</v>
      </c>
      <c r="Y46" s="10" t="e">
        <f t="shared" si="39"/>
        <v>#DIV/0!</v>
      </c>
      <c r="Z46" s="10" t="e">
        <f t="shared" si="39"/>
        <v>#DIV/0!</v>
      </c>
      <c r="AA46" s="10" t="e">
        <f t="shared" si="39"/>
        <v>#DIV/0!</v>
      </c>
      <c r="AB46" s="10" t="e">
        <f t="shared" si="39"/>
        <v>#DIV/0!</v>
      </c>
      <c r="AC46" s="10" t="e">
        <f t="shared" si="39"/>
        <v>#DIV/0!</v>
      </c>
      <c r="AD46" s="10" t="e">
        <f t="shared" si="39"/>
        <v>#DIV/0!</v>
      </c>
      <c r="AE46" s="10" t="e">
        <f t="shared" ref="AE46:AK46" si="40">AVERAGE(AE28:AE43)</f>
        <v>#DIV/0!</v>
      </c>
      <c r="AF46" s="10" t="e">
        <f t="shared" si="40"/>
        <v>#DIV/0!</v>
      </c>
      <c r="AG46" s="10" t="e">
        <f t="shared" si="40"/>
        <v>#DIV/0!</v>
      </c>
      <c r="AH46" s="10" t="e">
        <f t="shared" si="40"/>
        <v>#DIV/0!</v>
      </c>
      <c r="AI46" s="10" t="e">
        <f t="shared" si="40"/>
        <v>#DIV/0!</v>
      </c>
      <c r="AJ46" s="10" t="e">
        <f t="shared" si="40"/>
        <v>#DIV/0!</v>
      </c>
      <c r="AK46" s="10" t="e">
        <f t="shared" si="40"/>
        <v>#DIV/0!</v>
      </c>
    </row>
    <row r="47" spans="1:37" x14ac:dyDescent="0.25">
      <c r="A47" s="8" t="s">
        <v>1</v>
      </c>
      <c r="B47" s="8">
        <f t="shared" ref="B47:K47" si="41">STDEV(B28:B43)</f>
        <v>6.2068996944644163E-2</v>
      </c>
      <c r="C47" s="8">
        <f t="shared" si="41"/>
        <v>3.5474056445919819E-2</v>
      </c>
      <c r="D47" s="8">
        <f t="shared" si="41"/>
        <v>0.26481640613998175</v>
      </c>
      <c r="E47" s="8">
        <f t="shared" si="41"/>
        <v>0.21074785053150796</v>
      </c>
      <c r="F47" s="8">
        <f t="shared" si="41"/>
        <v>0.5016548207236301</v>
      </c>
      <c r="G47" s="8">
        <f t="shared" si="41"/>
        <v>0.41794892604611428</v>
      </c>
      <c r="H47" s="8">
        <f t="shared" si="41"/>
        <v>0.51794995705477131</v>
      </c>
      <c r="I47" s="8">
        <f>STDEV(I28:I43)</f>
        <v>6.1485342564218219E-2</v>
      </c>
      <c r="J47" s="8">
        <f t="shared" si="41"/>
        <v>6.9464821440116634E-2</v>
      </c>
      <c r="K47" s="8">
        <f t="shared" si="41"/>
        <v>8.2024779088148217E-2</v>
      </c>
      <c r="L47" s="8">
        <f t="shared" ref="L47:M47" si="42">STDEV(L28:L43)</f>
        <v>4.908772771938829E-2</v>
      </c>
      <c r="M47" s="8">
        <f t="shared" si="42"/>
        <v>7.5447401198162845E-2</v>
      </c>
      <c r="N47" s="8" t="s">
        <v>1</v>
      </c>
      <c r="O47" s="8">
        <f>STDEV(O28:O43)</f>
        <v>0.51767147859636187</v>
      </c>
      <c r="P47" s="8">
        <f>STDEV(P28:P43)</f>
        <v>0.5657237278526881</v>
      </c>
      <c r="Q47" s="8">
        <f>STDEV(Q28:Q43)</f>
        <v>4.0838341583570137E-2</v>
      </c>
      <c r="R47" s="8">
        <f>STDEV(R28:R43)</f>
        <v>0.46809098028501817</v>
      </c>
      <c r="S47" s="8">
        <f t="shared" ref="S47:AD47" si="43">STDEV(S28:S43)</f>
        <v>0.77728547343600218</v>
      </c>
      <c r="T47" s="8">
        <f t="shared" si="43"/>
        <v>0.37414357632199796</v>
      </c>
      <c r="U47" s="8">
        <f t="shared" si="43"/>
        <v>0.8210526325831905</v>
      </c>
      <c r="V47" s="8">
        <f t="shared" si="43"/>
        <v>0.69237767609452971</v>
      </c>
      <c r="W47" s="8" t="e">
        <f t="shared" si="43"/>
        <v>#DIV/0!</v>
      </c>
      <c r="X47" s="8" t="e">
        <f t="shared" si="43"/>
        <v>#DIV/0!</v>
      </c>
      <c r="Y47" s="8" t="e">
        <f t="shared" si="43"/>
        <v>#DIV/0!</v>
      </c>
      <c r="Z47" s="8" t="e">
        <f t="shared" si="43"/>
        <v>#DIV/0!</v>
      </c>
      <c r="AA47" s="8" t="e">
        <f t="shared" si="43"/>
        <v>#DIV/0!</v>
      </c>
      <c r="AB47" s="8" t="e">
        <f t="shared" si="43"/>
        <v>#DIV/0!</v>
      </c>
      <c r="AC47" s="8" t="e">
        <f t="shared" si="43"/>
        <v>#DIV/0!</v>
      </c>
      <c r="AD47" s="8" t="e">
        <f t="shared" si="43"/>
        <v>#DIV/0!</v>
      </c>
      <c r="AE47" s="8" t="e">
        <f t="shared" ref="AE47:AK47" si="44">STDEV(AE28:AE43)</f>
        <v>#DIV/0!</v>
      </c>
      <c r="AF47" s="8" t="e">
        <f t="shared" si="44"/>
        <v>#DIV/0!</v>
      </c>
      <c r="AG47" s="8" t="e">
        <f t="shared" si="44"/>
        <v>#DIV/0!</v>
      </c>
      <c r="AH47" s="8" t="e">
        <f t="shared" si="44"/>
        <v>#DIV/0!</v>
      </c>
      <c r="AI47" s="8" t="e">
        <f t="shared" si="44"/>
        <v>#DIV/0!</v>
      </c>
      <c r="AJ47" s="8" t="e">
        <f t="shared" si="44"/>
        <v>#DIV/0!</v>
      </c>
      <c r="AK47" s="8" t="e">
        <f t="shared" si="44"/>
        <v>#DIV/0!</v>
      </c>
    </row>
    <row r="48" spans="1:37" x14ac:dyDescent="0.25">
      <c r="A48" s="8" t="s">
        <v>2</v>
      </c>
      <c r="B48" s="8">
        <f t="shared" ref="B48:K48" si="45" xml:space="preserve"> B47/SQRT(COUNT(B28:B43))</f>
        <v>2.3459875720393764E-2</v>
      </c>
      <c r="C48" s="8">
        <f t="shared" si="45"/>
        <v>1.254197293455213E-2</v>
      </c>
      <c r="D48" s="8">
        <f t="shared" si="45"/>
        <v>0.10009119339089569</v>
      </c>
      <c r="E48" s="8">
        <f t="shared" si="45"/>
        <v>7.4510617115659109E-2</v>
      </c>
      <c r="F48" s="8">
        <f t="shared" si="45"/>
        <v>0.1773617627743003</v>
      </c>
      <c r="G48" s="8">
        <f t="shared" si="45"/>
        <v>0.15796984557779206</v>
      </c>
      <c r="H48" s="8">
        <f t="shared" si="45"/>
        <v>0.18312296347435492</v>
      </c>
      <c r="I48" s="8">
        <f xml:space="preserve"> I47/SQRT(COUNT(I28:I43))</f>
        <v>2.1738351335368285E-2</v>
      </c>
      <c r="J48" s="8">
        <f t="shared" si="45"/>
        <v>2.4559523147109571E-2</v>
      </c>
      <c r="K48" s="8">
        <f t="shared" si="45"/>
        <v>2.9000138759279058E-2</v>
      </c>
      <c r="L48" s="8">
        <f t="shared" ref="L48:M48" si="46" xml:space="preserve"> L47/SQRT(COUNT(L28:L43))</f>
        <v>1.7355132571709158E-2</v>
      </c>
      <c r="M48" s="8">
        <f t="shared" si="46"/>
        <v>2.6674684505061497E-2</v>
      </c>
      <c r="N48" s="8" t="s">
        <v>2</v>
      </c>
      <c r="O48" s="8">
        <f xml:space="preserve"> O47/SQRT(COUNT(O28:O43))</f>
        <v>0.13366220102735191</v>
      </c>
      <c r="P48" s="8">
        <f xml:space="preserve"> P47/SQRT(COUNT(P28:P43))</f>
        <v>0.20001354212138434</v>
      </c>
      <c r="Q48" s="8">
        <f xml:space="preserve"> Q47/SQRT(COUNT(Q28:Q43))</f>
        <v>1.4438534133077505E-2</v>
      </c>
      <c r="R48" s="8">
        <f xml:space="preserve"> R47/SQRT(COUNT(R28:R43))</f>
        <v>0.16549515318589741</v>
      </c>
      <c r="S48" s="8">
        <f t="shared" ref="S48:AD48" si="47" xml:space="preserve"> S47/SQRT(COUNT(S28:S43))</f>
        <v>0.29378629434496623</v>
      </c>
      <c r="T48" s="8">
        <f t="shared" si="47"/>
        <v>0.13227972997733567</v>
      </c>
      <c r="U48" s="8">
        <f t="shared" si="47"/>
        <v>0.31032872558714425</v>
      </c>
      <c r="V48" s="8">
        <f t="shared" si="47"/>
        <v>0.24479247495431244</v>
      </c>
      <c r="W48" s="8" t="e">
        <f t="shared" si="47"/>
        <v>#DIV/0!</v>
      </c>
      <c r="X48" s="8" t="e">
        <f t="shared" si="47"/>
        <v>#DIV/0!</v>
      </c>
      <c r="Y48" s="8" t="e">
        <f t="shared" si="47"/>
        <v>#DIV/0!</v>
      </c>
      <c r="Z48" s="8" t="e">
        <f t="shared" si="47"/>
        <v>#DIV/0!</v>
      </c>
      <c r="AA48" s="8" t="e">
        <f t="shared" si="47"/>
        <v>#DIV/0!</v>
      </c>
      <c r="AB48" s="8" t="e">
        <f t="shared" si="47"/>
        <v>#DIV/0!</v>
      </c>
      <c r="AC48" s="8" t="e">
        <f t="shared" si="47"/>
        <v>#DIV/0!</v>
      </c>
      <c r="AD48" s="8" t="e">
        <f t="shared" si="47"/>
        <v>#DIV/0!</v>
      </c>
      <c r="AE48" s="8" t="e">
        <f t="shared" ref="AE48:AK48" si="48" xml:space="preserve"> AE47/SQRT(COUNT(AE28:AE43))</f>
        <v>#DIV/0!</v>
      </c>
      <c r="AF48" s="8" t="e">
        <f t="shared" si="48"/>
        <v>#DIV/0!</v>
      </c>
      <c r="AG48" s="8" t="e">
        <f t="shared" si="48"/>
        <v>#DIV/0!</v>
      </c>
      <c r="AH48" s="8" t="e">
        <f t="shared" si="48"/>
        <v>#DIV/0!</v>
      </c>
      <c r="AI48" s="8" t="e">
        <f t="shared" si="48"/>
        <v>#DIV/0!</v>
      </c>
      <c r="AJ48" s="8" t="e">
        <f t="shared" si="48"/>
        <v>#DIV/0!</v>
      </c>
      <c r="AK48" s="8" t="e">
        <f t="shared" si="48"/>
        <v>#DIV/0!</v>
      </c>
    </row>
    <row r="49" spans="1:37" s="1" customFormat="1"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1" t="s">
        <v>38</v>
      </c>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3"/>
    </row>
    <row r="51" spans="1:37" ht="15.75" thickBot="1" x14ac:dyDescent="0.3">
      <c r="A51"/>
      <c r="B51"/>
      <c r="C51"/>
      <c r="D51"/>
      <c r="E51"/>
      <c r="F51"/>
      <c r="G51"/>
      <c r="H51"/>
      <c r="I51"/>
      <c r="J51"/>
      <c r="K51"/>
      <c r="L51"/>
      <c r="M51"/>
      <c r="S51"/>
      <c r="T51"/>
      <c r="U51"/>
      <c r="V51"/>
      <c r="W51"/>
      <c r="X51"/>
      <c r="Y51"/>
      <c r="Z51"/>
      <c r="AA51"/>
      <c r="AB51"/>
      <c r="AC51"/>
      <c r="AD51"/>
    </row>
    <row r="52" spans="1:37" x14ac:dyDescent="0.25">
      <c r="A52" s="45" t="str">
        <f t="shared" ref="A52:H52" si="49">A27</f>
        <v>Noms des groupes</v>
      </c>
      <c r="B52" s="46" t="str">
        <f t="shared" si="49"/>
        <v>Témoin solvant</v>
      </c>
      <c r="C52" s="46" t="str">
        <f t="shared" si="49"/>
        <v>EE2-33.8ng/L</v>
      </c>
      <c r="D52" s="46" t="str">
        <f t="shared" si="49"/>
        <v>EE2-50.6ng/L</v>
      </c>
      <c r="E52" s="46" t="str">
        <f t="shared" si="49"/>
        <v>EE2-76ng/L</v>
      </c>
      <c r="F52" s="46" t="str">
        <f t="shared" si="49"/>
        <v>EE2-114ng/L</v>
      </c>
      <c r="G52" s="46" t="str">
        <f t="shared" si="49"/>
        <v>EE2-170.9ng/L</v>
      </c>
      <c r="H52" s="46" t="str">
        <f t="shared" si="49"/>
        <v>EE2-488ng/L</v>
      </c>
      <c r="I52" s="46" t="str">
        <f>I4</f>
        <v>DUS-10µg/L</v>
      </c>
      <c r="J52" s="46" t="str">
        <f>J4</f>
        <v>DUS-100µg/L</v>
      </c>
      <c r="K52" s="46" t="str">
        <f>K27</f>
        <v>DUS-250µg/L</v>
      </c>
      <c r="L52" s="46" t="str">
        <f t="shared" ref="L52:M52" si="50">L27</f>
        <v>DUS-500µg/L</v>
      </c>
      <c r="M52" s="46" t="str">
        <f t="shared" si="50"/>
        <v>DUS-1000µg/L</v>
      </c>
      <c r="N52" s="47"/>
      <c r="O52" s="46" t="str">
        <f>O27</f>
        <v>Testo -30µg/L</v>
      </c>
      <c r="P52" s="46" t="str">
        <f>P27</f>
        <v>Testo 30µg/L + EE2 -64ng/L</v>
      </c>
      <c r="Q52" s="46" t="str">
        <f>Q27</f>
        <v>Testo 30µg/L + FAD-10mg/L</v>
      </c>
      <c r="R52" s="46" t="str">
        <f>R27</f>
        <v>DUS-10µg/L + Testostérone</v>
      </c>
      <c r="S52" s="46" t="str">
        <f t="shared" ref="S52:AD52" si="51">S27</f>
        <v>DUS-100µg/L + Testostérone</v>
      </c>
      <c r="T52" s="46" t="str">
        <f t="shared" si="51"/>
        <v>DUS-250µg/L + Testostérone</v>
      </c>
      <c r="U52" s="46" t="str">
        <f t="shared" si="51"/>
        <v>DUS-500µg/L + Testostérone</v>
      </c>
      <c r="V52" s="46" t="str">
        <f t="shared" si="51"/>
        <v>DUS-1000µg/L + Testostérone</v>
      </c>
      <c r="W52" s="46" t="str">
        <f t="shared" si="51"/>
        <v>0-00 + Testostérone</v>
      </c>
      <c r="X52" s="46" t="str">
        <f t="shared" si="51"/>
        <v>0-00 + Testostérone</v>
      </c>
      <c r="Y52" s="46" t="str">
        <f t="shared" si="51"/>
        <v>0-00 + Testostérone</v>
      </c>
      <c r="Z52" s="46" t="str">
        <f t="shared" si="51"/>
        <v>0-00 + Testostérone</v>
      </c>
      <c r="AA52" s="46" t="str">
        <f t="shared" si="51"/>
        <v>0-00 + Testostérone</v>
      </c>
      <c r="AB52" s="46" t="str">
        <f t="shared" si="51"/>
        <v>0-00 + Testostérone</v>
      </c>
      <c r="AC52" s="46" t="str">
        <f t="shared" si="51"/>
        <v>0-00 + Testostérone</v>
      </c>
      <c r="AD52" s="46" t="str">
        <f t="shared" si="51"/>
        <v>0-00 + Testostérone</v>
      </c>
      <c r="AE52" s="46" t="str">
        <f t="shared" ref="AE52:AK52" si="52">AE27</f>
        <v>0-00 + Testostérone</v>
      </c>
      <c r="AF52" s="46" t="str">
        <f t="shared" si="52"/>
        <v>0-00 + Testostérone</v>
      </c>
      <c r="AG52" s="46" t="str">
        <f t="shared" si="52"/>
        <v>0-00 + Testostérone</v>
      </c>
      <c r="AH52" s="46" t="str">
        <f t="shared" si="52"/>
        <v>0-00 + Testostérone</v>
      </c>
      <c r="AI52" s="46" t="str">
        <f t="shared" si="52"/>
        <v>0-00 + Testostérone</v>
      </c>
      <c r="AJ52" s="46" t="str">
        <f t="shared" si="52"/>
        <v>0-00 + Testostérone</v>
      </c>
      <c r="AK52" s="48" t="str">
        <f t="shared" si="52"/>
        <v>0-00 + Testostérone</v>
      </c>
    </row>
    <row r="53" spans="1:37" s="3" customFormat="1" x14ac:dyDescent="0.25">
      <c r="A53" s="62" t="s">
        <v>32</v>
      </c>
      <c r="B53" s="142">
        <f t="shared" ref="B53:M53" si="53">B46</f>
        <v>7.6675848253166937E-2</v>
      </c>
      <c r="C53" s="142">
        <f t="shared" si="53"/>
        <v>9.8393945143188208E-2</v>
      </c>
      <c r="D53" s="142">
        <f t="shared" si="53"/>
        <v>0.16751845425361739</v>
      </c>
      <c r="E53" s="142">
        <f t="shared" si="53"/>
        <v>0.31475276015862169</v>
      </c>
      <c r="F53" s="142">
        <f t="shared" si="53"/>
        <v>1.1509423352134527</v>
      </c>
      <c r="G53" s="142">
        <f t="shared" si="53"/>
        <v>1.7963518635179823</v>
      </c>
      <c r="H53" s="142">
        <f t="shared" si="53"/>
        <v>2.2282526120369388</v>
      </c>
      <c r="I53" s="142">
        <f t="shared" si="53"/>
        <v>0.11691255832324778</v>
      </c>
      <c r="J53" s="142">
        <f t="shared" si="53"/>
        <v>0.10509131196885592</v>
      </c>
      <c r="K53" s="142">
        <f t="shared" si="53"/>
        <v>0.14272072381420339</v>
      </c>
      <c r="L53" s="142">
        <f t="shared" si="53"/>
        <v>8.5071203039595603E-2</v>
      </c>
      <c r="M53" s="142">
        <f t="shared" si="53"/>
        <v>0.10062144832628871</v>
      </c>
      <c r="N53" s="142"/>
      <c r="O53" s="142">
        <f t="shared" ref="O53:AK53" si="54">O46</f>
        <v>1.0000000000000002</v>
      </c>
      <c r="P53" s="142">
        <f t="shared" si="54"/>
        <v>2.1101116787081371</v>
      </c>
      <c r="Q53" s="142">
        <f t="shared" si="54"/>
        <v>7.2391818855594661E-2</v>
      </c>
      <c r="R53" s="142">
        <f t="shared" si="54"/>
        <v>0.78277479206106149</v>
      </c>
      <c r="S53" s="142">
        <f t="shared" si="54"/>
        <v>1.2663110261601562</v>
      </c>
      <c r="T53" s="142">
        <f t="shared" si="54"/>
        <v>1.437201500836004</v>
      </c>
      <c r="U53" s="142">
        <f t="shared" si="54"/>
        <v>0.87095176407273844</v>
      </c>
      <c r="V53" s="142">
        <f t="shared" si="54"/>
        <v>1.4622098929890632</v>
      </c>
      <c r="W53" s="142" t="e">
        <f t="shared" si="54"/>
        <v>#DIV/0!</v>
      </c>
      <c r="X53" s="142" t="e">
        <f t="shared" si="54"/>
        <v>#DIV/0!</v>
      </c>
      <c r="Y53" s="142" t="e">
        <f t="shared" si="54"/>
        <v>#DIV/0!</v>
      </c>
      <c r="Z53" s="142" t="e">
        <f t="shared" si="54"/>
        <v>#DIV/0!</v>
      </c>
      <c r="AA53" s="142" t="e">
        <f t="shared" si="54"/>
        <v>#DIV/0!</v>
      </c>
      <c r="AB53" s="142" t="e">
        <f t="shared" si="54"/>
        <v>#DIV/0!</v>
      </c>
      <c r="AC53" s="142" t="e">
        <f t="shared" si="54"/>
        <v>#DIV/0!</v>
      </c>
      <c r="AD53" s="142" t="e">
        <f t="shared" si="54"/>
        <v>#DIV/0!</v>
      </c>
      <c r="AE53" s="142" t="e">
        <f t="shared" si="54"/>
        <v>#DIV/0!</v>
      </c>
      <c r="AF53" s="142" t="e">
        <f t="shared" si="54"/>
        <v>#DIV/0!</v>
      </c>
      <c r="AG53" s="142" t="e">
        <f t="shared" si="54"/>
        <v>#DIV/0!</v>
      </c>
      <c r="AH53" s="142" t="e">
        <f t="shared" si="54"/>
        <v>#DIV/0!</v>
      </c>
      <c r="AI53" s="142" t="e">
        <f t="shared" si="54"/>
        <v>#DIV/0!</v>
      </c>
      <c r="AJ53" s="142" t="e">
        <f t="shared" si="54"/>
        <v>#DIV/0!</v>
      </c>
      <c r="AK53" s="142" t="e">
        <f t="shared" si="54"/>
        <v>#DIV/0!</v>
      </c>
    </row>
    <row r="54" spans="1:37" s="3" customFormat="1" x14ac:dyDescent="0.25">
      <c r="A54" s="62" t="s">
        <v>2</v>
      </c>
      <c r="B54" s="142">
        <f t="shared" ref="B54:M54" si="55">B48</f>
        <v>2.3459875720393764E-2</v>
      </c>
      <c r="C54" s="142">
        <f t="shared" si="55"/>
        <v>1.254197293455213E-2</v>
      </c>
      <c r="D54" s="142">
        <f t="shared" si="55"/>
        <v>0.10009119339089569</v>
      </c>
      <c r="E54" s="142">
        <f t="shared" si="55"/>
        <v>7.4510617115659109E-2</v>
      </c>
      <c r="F54" s="142">
        <f t="shared" si="55"/>
        <v>0.1773617627743003</v>
      </c>
      <c r="G54" s="142">
        <f t="shared" si="55"/>
        <v>0.15796984557779206</v>
      </c>
      <c r="H54" s="142">
        <f t="shared" si="55"/>
        <v>0.18312296347435492</v>
      </c>
      <c r="I54" s="142">
        <f t="shared" si="55"/>
        <v>2.1738351335368285E-2</v>
      </c>
      <c r="J54" s="142">
        <f t="shared" si="55"/>
        <v>2.4559523147109571E-2</v>
      </c>
      <c r="K54" s="142">
        <f t="shared" si="55"/>
        <v>2.9000138759279058E-2</v>
      </c>
      <c r="L54" s="142">
        <f t="shared" si="55"/>
        <v>1.7355132571709158E-2</v>
      </c>
      <c r="M54" s="142">
        <f t="shared" si="55"/>
        <v>2.6674684505061497E-2</v>
      </c>
      <c r="N54" s="142"/>
      <c r="O54" s="142">
        <f t="shared" ref="O54:AK54" si="56">O48</f>
        <v>0.13366220102735191</v>
      </c>
      <c r="P54" s="142">
        <f t="shared" si="56"/>
        <v>0.20001354212138434</v>
      </c>
      <c r="Q54" s="142">
        <f t="shared" si="56"/>
        <v>1.4438534133077505E-2</v>
      </c>
      <c r="R54" s="142">
        <f t="shared" si="56"/>
        <v>0.16549515318589741</v>
      </c>
      <c r="S54" s="142">
        <f t="shared" si="56"/>
        <v>0.29378629434496623</v>
      </c>
      <c r="T54" s="142">
        <f t="shared" si="56"/>
        <v>0.13227972997733567</v>
      </c>
      <c r="U54" s="142">
        <f t="shared" si="56"/>
        <v>0.31032872558714425</v>
      </c>
      <c r="V54" s="142">
        <f t="shared" si="56"/>
        <v>0.24479247495431244</v>
      </c>
      <c r="W54" s="142" t="e">
        <f t="shared" si="56"/>
        <v>#DIV/0!</v>
      </c>
      <c r="X54" s="142" t="e">
        <f t="shared" si="56"/>
        <v>#DIV/0!</v>
      </c>
      <c r="Y54" s="142" t="e">
        <f t="shared" si="56"/>
        <v>#DIV/0!</v>
      </c>
      <c r="Z54" s="142" t="e">
        <f t="shared" si="56"/>
        <v>#DIV/0!</v>
      </c>
      <c r="AA54" s="142" t="e">
        <f t="shared" si="56"/>
        <v>#DIV/0!</v>
      </c>
      <c r="AB54" s="142" t="e">
        <f t="shared" si="56"/>
        <v>#DIV/0!</v>
      </c>
      <c r="AC54" s="142" t="e">
        <f t="shared" si="56"/>
        <v>#DIV/0!</v>
      </c>
      <c r="AD54" s="142" t="e">
        <f t="shared" si="56"/>
        <v>#DIV/0!</v>
      </c>
      <c r="AE54" s="142" t="e">
        <f t="shared" si="56"/>
        <v>#DIV/0!</v>
      </c>
      <c r="AF54" s="142" t="e">
        <f t="shared" si="56"/>
        <v>#DIV/0!</v>
      </c>
      <c r="AG54" s="142" t="e">
        <f t="shared" si="56"/>
        <v>#DIV/0!</v>
      </c>
      <c r="AH54" s="142" t="e">
        <f t="shared" si="56"/>
        <v>#DIV/0!</v>
      </c>
      <c r="AI54" s="142" t="e">
        <f t="shared" si="56"/>
        <v>#DIV/0!</v>
      </c>
      <c r="AJ54" s="142" t="e">
        <f t="shared" si="56"/>
        <v>#DIV/0!</v>
      </c>
      <c r="AK54" s="142" t="e">
        <f t="shared" si="56"/>
        <v>#DIV/0!</v>
      </c>
    </row>
    <row r="55" spans="1:37" s="3" customFormat="1" x14ac:dyDescent="0.25">
      <c r="A55" s="62" t="s">
        <v>79</v>
      </c>
      <c r="B55" s="142">
        <f t="shared" ref="B55:M55" si="57">(B53*100/$B$53)-100</f>
        <v>0</v>
      </c>
      <c r="C55" s="142">
        <f t="shared" si="57"/>
        <v>28.324560320888594</v>
      </c>
      <c r="D55" s="142">
        <f t="shared" si="57"/>
        <v>118.4761669678671</v>
      </c>
      <c r="E55" s="142">
        <f t="shared" si="57"/>
        <v>310.49791730947231</v>
      </c>
      <c r="F55" s="142">
        <f t="shared" si="57"/>
        <v>1401.0493674791728</v>
      </c>
      <c r="G55" s="142">
        <f t="shared" si="57"/>
        <v>2242.787076299202</v>
      </c>
      <c r="H55" s="142">
        <f t="shared" si="57"/>
        <v>2806.068420240666</v>
      </c>
      <c r="I55" s="142">
        <f t="shared" si="57"/>
        <v>52.476380746683105</v>
      </c>
      <c r="J55" s="142">
        <f t="shared" si="57"/>
        <v>37.059210120333233</v>
      </c>
      <c r="K55" s="142">
        <f t="shared" si="57"/>
        <v>86.135174328910807</v>
      </c>
      <c r="L55" s="142">
        <f t="shared" si="57"/>
        <v>10.949151496451705</v>
      </c>
      <c r="M55" s="142">
        <f t="shared" si="57"/>
        <v>31.229651342178329</v>
      </c>
      <c r="N55" s="142"/>
      <c r="O55" s="142">
        <f>(O53*100/$O$53)-100</f>
        <v>0</v>
      </c>
      <c r="P55" s="142">
        <f t="shared" ref="P55:AK55" si="58">(P53*100/$O$53)-100</f>
        <v>111.01116787081367</v>
      </c>
      <c r="Q55" s="142">
        <f t="shared" si="58"/>
        <v>-92.760818114440539</v>
      </c>
      <c r="R55" s="142">
        <f t="shared" si="58"/>
        <v>-21.722520793893864</v>
      </c>
      <c r="S55" s="142">
        <f t="shared" si="58"/>
        <v>26.631102616015596</v>
      </c>
      <c r="T55" s="142">
        <f t="shared" si="58"/>
        <v>43.720150083600373</v>
      </c>
      <c r="U55" s="142">
        <f t="shared" si="58"/>
        <v>-12.904823592726174</v>
      </c>
      <c r="V55" s="142">
        <f t="shared" si="58"/>
        <v>46.220989298906289</v>
      </c>
      <c r="W55" s="142" t="e">
        <f t="shared" si="58"/>
        <v>#DIV/0!</v>
      </c>
      <c r="X55" s="142" t="e">
        <f t="shared" si="58"/>
        <v>#DIV/0!</v>
      </c>
      <c r="Y55" s="142" t="e">
        <f t="shared" si="58"/>
        <v>#DIV/0!</v>
      </c>
      <c r="Z55" s="142" t="e">
        <f t="shared" si="58"/>
        <v>#DIV/0!</v>
      </c>
      <c r="AA55" s="142" t="e">
        <f t="shared" si="58"/>
        <v>#DIV/0!</v>
      </c>
      <c r="AB55" s="142" t="e">
        <f t="shared" si="58"/>
        <v>#DIV/0!</v>
      </c>
      <c r="AC55" s="142" t="e">
        <f t="shared" si="58"/>
        <v>#DIV/0!</v>
      </c>
      <c r="AD55" s="142" t="e">
        <f t="shared" si="58"/>
        <v>#DIV/0!</v>
      </c>
      <c r="AE55" s="142" t="e">
        <f t="shared" si="58"/>
        <v>#DIV/0!</v>
      </c>
      <c r="AF55" s="142" t="e">
        <f t="shared" si="58"/>
        <v>#DIV/0!</v>
      </c>
      <c r="AG55" s="142" t="e">
        <f t="shared" si="58"/>
        <v>#DIV/0!</v>
      </c>
      <c r="AH55" s="142" t="e">
        <f t="shared" si="58"/>
        <v>#DIV/0!</v>
      </c>
      <c r="AI55" s="142" t="e">
        <f t="shared" si="58"/>
        <v>#DIV/0!</v>
      </c>
      <c r="AJ55" s="142" t="e">
        <f t="shared" si="58"/>
        <v>#DIV/0!</v>
      </c>
      <c r="AK55" s="142" t="e">
        <f t="shared" si="58"/>
        <v>#DIV/0!</v>
      </c>
    </row>
    <row r="56" spans="1:37" s="3" customFormat="1" x14ac:dyDescent="0.25">
      <c r="A56" s="62" t="s">
        <v>81</v>
      </c>
      <c r="B56" s="142" t="e">
        <f ca="1">[1]!SWTEST(B28:B43)</f>
        <v>#NAME?</v>
      </c>
      <c r="C56" s="142" t="e">
        <f ca="1">[1]!SWTEST(C28:C43)</f>
        <v>#NAME?</v>
      </c>
      <c r="D56" s="142" t="e">
        <f ca="1">[1]!SWTEST(D28:D43)</f>
        <v>#NAME?</v>
      </c>
      <c r="E56" s="142" t="e">
        <f ca="1">[1]!SWTEST(E28:E43)</f>
        <v>#NAME?</v>
      </c>
      <c r="F56" s="142" t="e">
        <f ca="1">[1]!SWTEST(F28:F43)</f>
        <v>#NAME?</v>
      </c>
      <c r="G56" s="142" t="e">
        <f ca="1">[1]!SWTEST(G28:G43)</f>
        <v>#NAME?</v>
      </c>
      <c r="H56" s="142" t="e">
        <f ca="1">[1]!SWTEST(H28:H43)</f>
        <v>#NAME?</v>
      </c>
      <c r="I56" s="142" t="e">
        <f ca="1">[1]!SWTEST(I28:I43)</f>
        <v>#NAME?</v>
      </c>
      <c r="J56" s="142" t="e">
        <f ca="1">[1]!SWTEST(J28:J43)</f>
        <v>#NAME?</v>
      </c>
      <c r="K56" s="142" t="e">
        <f ca="1">[1]!SWTEST(K28:K43)</f>
        <v>#NAME?</v>
      </c>
      <c r="L56" s="142" t="e">
        <f ca="1">[1]!SWTEST(L28:L43)</f>
        <v>#NAME?</v>
      </c>
      <c r="M56" s="142" t="e">
        <f ca="1">[1]!SWTEST(M28:M43)</f>
        <v>#NAME?</v>
      </c>
      <c r="N56" s="142"/>
      <c r="O56" s="142" t="e">
        <f ca="1">[1]!SWTEST(O28:O43)</f>
        <v>#NAME?</v>
      </c>
      <c r="P56" s="142" t="e">
        <f ca="1">[1]!SWTEST(P28:P43)</f>
        <v>#NAME?</v>
      </c>
      <c r="Q56" s="142" t="e">
        <f ca="1">[1]!SWTEST(Q28:Q43)</f>
        <v>#NAME?</v>
      </c>
      <c r="R56" s="142" t="e">
        <f ca="1">[1]!SWTEST(R28:R43)</f>
        <v>#NAME?</v>
      </c>
      <c r="S56" s="142" t="e">
        <f ca="1">[1]!SWTEST(S28:S43)</f>
        <v>#NAME?</v>
      </c>
      <c r="T56" s="142" t="e">
        <f ca="1">[1]!SWTEST(T28:T43)</f>
        <v>#NAME?</v>
      </c>
      <c r="U56" s="142" t="e">
        <f ca="1">[1]!SWTEST(U28:U43)</f>
        <v>#NAME?</v>
      </c>
      <c r="V56" s="142" t="e">
        <f ca="1">[1]!SWTEST(V28:V43)</f>
        <v>#NAME?</v>
      </c>
      <c r="W56" s="142" t="e">
        <f ca="1">[1]!SWTEST(W28:W43)</f>
        <v>#NAME?</v>
      </c>
      <c r="X56" s="142" t="e">
        <f ca="1">[1]!SWTEST(X28:X43)</f>
        <v>#NAME?</v>
      </c>
      <c r="Y56" s="142" t="e">
        <f ca="1">[1]!SWTEST(Y28:Y43)</f>
        <v>#NAME?</v>
      </c>
      <c r="Z56" s="142" t="e">
        <f ca="1">[1]!SWTEST(Z28:Z43)</f>
        <v>#NAME?</v>
      </c>
      <c r="AA56" s="142" t="e">
        <f ca="1">[1]!SWTEST(AA28:AA43)</f>
        <v>#NAME?</v>
      </c>
      <c r="AB56" s="142" t="e">
        <f ca="1">[1]!SWTEST(AB28:AB43)</f>
        <v>#NAME?</v>
      </c>
      <c r="AC56" s="142" t="e">
        <f ca="1">[1]!SWTEST(AC28:AC43)</f>
        <v>#NAME?</v>
      </c>
      <c r="AD56" s="142" t="e">
        <f ca="1">[1]!SWTEST(AD28:AD43)</f>
        <v>#NAME?</v>
      </c>
      <c r="AE56" s="142" t="e">
        <f ca="1">[1]!SWTEST(AE28:AE43)</f>
        <v>#NAME?</v>
      </c>
      <c r="AF56" s="142" t="e">
        <f ca="1">[1]!SWTEST(AF28:AF43)</f>
        <v>#NAME?</v>
      </c>
      <c r="AG56" s="142" t="e">
        <f ca="1">[1]!SWTEST(AG28:AG43)</f>
        <v>#NAME?</v>
      </c>
      <c r="AH56" s="142" t="e">
        <f ca="1">[1]!SWTEST(AH28:AH43)</f>
        <v>#NAME?</v>
      </c>
      <c r="AI56" s="142" t="e">
        <f ca="1">[1]!SWTEST(AI28:AI43)</f>
        <v>#NAME?</v>
      </c>
      <c r="AJ56" s="142" t="e">
        <f ca="1">[1]!SWTEST(AJ28:AJ43)</f>
        <v>#NAME?</v>
      </c>
      <c r="AK56" s="142" t="e">
        <f ca="1">[1]!SWTEST(AK28:AK43)</f>
        <v>#NAME?</v>
      </c>
    </row>
    <row r="57" spans="1:37" s="3" customFormat="1" x14ac:dyDescent="0.25">
      <c r="A57" s="62" t="s">
        <v>85</v>
      </c>
      <c r="B57" s="142" t="e">
        <f t="shared" ref="B57:M57" ca="1" si="59">IF(B56&gt;0.05,"Oui","Non")</f>
        <v>#NAME?</v>
      </c>
      <c r="C57" s="142" t="e">
        <f t="shared" ca="1" si="59"/>
        <v>#NAME?</v>
      </c>
      <c r="D57" s="142" t="e">
        <f t="shared" ca="1" si="59"/>
        <v>#NAME?</v>
      </c>
      <c r="E57" s="142" t="e">
        <f t="shared" ca="1" si="59"/>
        <v>#NAME?</v>
      </c>
      <c r="F57" s="142" t="e">
        <f t="shared" ca="1" si="59"/>
        <v>#NAME?</v>
      </c>
      <c r="G57" s="142" t="e">
        <f t="shared" ca="1" si="59"/>
        <v>#NAME?</v>
      </c>
      <c r="H57" s="142" t="e">
        <f t="shared" ca="1" si="59"/>
        <v>#NAME?</v>
      </c>
      <c r="I57" s="142" t="e">
        <f t="shared" ca="1" si="59"/>
        <v>#NAME?</v>
      </c>
      <c r="J57" s="142" t="e">
        <f t="shared" ca="1" si="59"/>
        <v>#NAME?</v>
      </c>
      <c r="K57" s="142" t="e">
        <f t="shared" ca="1" si="59"/>
        <v>#NAME?</v>
      </c>
      <c r="L57" s="142" t="e">
        <f t="shared" ca="1" si="59"/>
        <v>#NAME?</v>
      </c>
      <c r="M57" s="142" t="e">
        <f t="shared" ca="1" si="59"/>
        <v>#NAME?</v>
      </c>
      <c r="N57" s="142"/>
      <c r="O57" s="142" t="e">
        <f t="shared" ref="O57:AK57" ca="1" si="60">IF(O56&gt;0.05,"Oui","Non")</f>
        <v>#NAME?</v>
      </c>
      <c r="P57" s="142" t="e">
        <f t="shared" ca="1" si="60"/>
        <v>#NAME?</v>
      </c>
      <c r="Q57" s="142" t="e">
        <f t="shared" ca="1" si="60"/>
        <v>#NAME?</v>
      </c>
      <c r="R57" s="142" t="e">
        <f t="shared" ca="1" si="60"/>
        <v>#NAME?</v>
      </c>
      <c r="S57" s="142" t="e">
        <f t="shared" ca="1" si="60"/>
        <v>#NAME?</v>
      </c>
      <c r="T57" s="142" t="e">
        <f t="shared" ca="1" si="60"/>
        <v>#NAME?</v>
      </c>
      <c r="U57" s="142" t="e">
        <f t="shared" ca="1" si="60"/>
        <v>#NAME?</v>
      </c>
      <c r="V57" s="142" t="e">
        <f t="shared" ca="1" si="60"/>
        <v>#NAME?</v>
      </c>
      <c r="W57" s="142" t="e">
        <f t="shared" ca="1" si="60"/>
        <v>#NAME?</v>
      </c>
      <c r="X57" s="142" t="e">
        <f t="shared" ca="1" si="60"/>
        <v>#NAME?</v>
      </c>
      <c r="Y57" s="142" t="e">
        <f t="shared" ca="1" si="60"/>
        <v>#NAME?</v>
      </c>
      <c r="Z57" s="142" t="e">
        <f t="shared" ca="1" si="60"/>
        <v>#NAME?</v>
      </c>
      <c r="AA57" s="142" t="e">
        <f t="shared" ca="1" si="60"/>
        <v>#NAME?</v>
      </c>
      <c r="AB57" s="142" t="e">
        <f t="shared" ca="1" si="60"/>
        <v>#NAME?</v>
      </c>
      <c r="AC57" s="142" t="e">
        <f t="shared" ca="1" si="60"/>
        <v>#NAME?</v>
      </c>
      <c r="AD57" s="142" t="e">
        <f t="shared" ca="1" si="60"/>
        <v>#NAME?</v>
      </c>
      <c r="AE57" s="142" t="e">
        <f t="shared" ca="1" si="60"/>
        <v>#NAME?</v>
      </c>
      <c r="AF57" s="142" t="e">
        <f t="shared" ca="1" si="60"/>
        <v>#NAME?</v>
      </c>
      <c r="AG57" s="142" t="e">
        <f t="shared" ca="1" si="60"/>
        <v>#NAME?</v>
      </c>
      <c r="AH57" s="142" t="e">
        <f t="shared" ca="1" si="60"/>
        <v>#NAME?</v>
      </c>
      <c r="AI57" s="142" t="e">
        <f t="shared" ca="1" si="60"/>
        <v>#NAME?</v>
      </c>
      <c r="AJ57" s="142" t="e">
        <f t="shared" ca="1" si="60"/>
        <v>#NAME?</v>
      </c>
      <c r="AK57" s="142" t="e">
        <f t="shared" ca="1" si="60"/>
        <v>#NAME?</v>
      </c>
    </row>
    <row r="58" spans="1:37" s="3" customFormat="1" x14ac:dyDescent="0.25">
      <c r="A58" s="62"/>
      <c r="B58" s="142"/>
      <c r="C58" s="142"/>
      <c r="D58" s="142"/>
      <c r="E58" s="142"/>
      <c r="F58" s="142"/>
      <c r="G58" s="142"/>
      <c r="H58" s="142"/>
      <c r="I58" s="142"/>
      <c r="J58" s="142"/>
      <c r="K58" s="142"/>
      <c r="L58" s="142"/>
      <c r="M58" s="142"/>
      <c r="N58" s="149"/>
      <c r="O58" s="150"/>
      <c r="P58" s="142"/>
      <c r="Q58" s="142"/>
      <c r="R58" s="142"/>
      <c r="S58" s="142"/>
      <c r="T58" s="142"/>
      <c r="U58" s="142"/>
      <c r="V58" s="142"/>
      <c r="W58" s="142"/>
      <c r="X58" s="142"/>
      <c r="Y58" s="142"/>
      <c r="Z58" s="142"/>
      <c r="AA58" s="142"/>
      <c r="AB58" s="142"/>
      <c r="AC58" s="142"/>
      <c r="AD58" s="142"/>
      <c r="AE58" s="151"/>
      <c r="AF58" s="151"/>
      <c r="AG58" s="151"/>
      <c r="AH58" s="151"/>
      <c r="AI58" s="151"/>
      <c r="AJ58" s="151"/>
      <c r="AK58" s="152"/>
    </row>
    <row r="59" spans="1:37" s="3" customFormat="1" x14ac:dyDescent="0.25">
      <c r="A59" s="62" t="s">
        <v>82</v>
      </c>
      <c r="B59" s="153"/>
      <c r="C59" s="153" t="e">
        <f t="shared" ref="C59:M59" ca="1" si="61">IF($B57="Non",IF(C$57="Non","Mann Withney",IF(C$57="Oui","Mann Withney","")),IF($B$57="Oui",IF(C$57="Oui","T-Test Welch",IF(C$57="Non","Mann Withney",""))))</f>
        <v>#NAME?</v>
      </c>
      <c r="D59" s="153" t="e">
        <f t="shared" ca="1" si="61"/>
        <v>#NAME?</v>
      </c>
      <c r="E59" s="153" t="e">
        <f t="shared" ca="1" si="61"/>
        <v>#NAME?</v>
      </c>
      <c r="F59" s="153" t="e">
        <f t="shared" ca="1" si="61"/>
        <v>#NAME?</v>
      </c>
      <c r="G59" s="153" t="e">
        <f t="shared" ca="1" si="61"/>
        <v>#NAME?</v>
      </c>
      <c r="H59" s="153" t="e">
        <f t="shared" ca="1" si="61"/>
        <v>#NAME?</v>
      </c>
      <c r="I59" s="153" t="e">
        <f t="shared" ca="1" si="61"/>
        <v>#NAME?</v>
      </c>
      <c r="J59" s="153" t="e">
        <f t="shared" ca="1" si="61"/>
        <v>#NAME?</v>
      </c>
      <c r="K59" s="153" t="e">
        <f t="shared" ca="1" si="61"/>
        <v>#NAME?</v>
      </c>
      <c r="L59" s="153" t="e">
        <f t="shared" ca="1" si="61"/>
        <v>#NAME?</v>
      </c>
      <c r="M59" s="153" t="e">
        <f t="shared" ca="1" si="61"/>
        <v>#NAME?</v>
      </c>
      <c r="N59" s="153"/>
      <c r="O59" s="153" t="e">
        <f ca="1">IF($B57="Non",IF(O$57="Non","Mann Withney",IF(O$57="Oui","Mann Withney","")),IF($B$57="Oui",IF(O$57="Oui","T-Test Welch",IF(O$57="Non","Mann Withney",""))))</f>
        <v>#NAME?</v>
      </c>
      <c r="P59" s="153" t="e">
        <f ca="1">IF($O57="Non",IF(P$57="Non","Mann Withney",IF(P$57="Oui","Mann Withney","")),IF($O$57="Oui",IF(P$57="Oui","T-Test Welch",IF(P$57="Non","Mann Withney",""))))</f>
        <v>#NAME?</v>
      </c>
      <c r="Q59" s="153" t="e">
        <f t="shared" ref="Q59:AK59" ca="1" si="62">IF($O57="Non",IF(Q$57="Non","Mann Withney",IF(Q$57="Oui","Mann Withney","")),IF($O$57="Oui",IF(Q$57="Oui","T-Test Welch",IF(Q$57="Non","Mann Withney",""))))</f>
        <v>#NAME?</v>
      </c>
      <c r="R59" s="153" t="e">
        <f t="shared" ca="1" si="62"/>
        <v>#NAME?</v>
      </c>
      <c r="S59" s="153" t="e">
        <f t="shared" ca="1" si="62"/>
        <v>#NAME?</v>
      </c>
      <c r="T59" s="153" t="e">
        <f t="shared" ca="1" si="62"/>
        <v>#NAME?</v>
      </c>
      <c r="U59" s="153" t="e">
        <f t="shared" ca="1" si="62"/>
        <v>#NAME?</v>
      </c>
      <c r="V59" s="153" t="e">
        <f t="shared" ca="1" si="62"/>
        <v>#NAME?</v>
      </c>
      <c r="W59" s="153" t="e">
        <f t="shared" ca="1" si="62"/>
        <v>#NAME?</v>
      </c>
      <c r="X59" s="153" t="e">
        <f t="shared" ca="1" si="62"/>
        <v>#NAME?</v>
      </c>
      <c r="Y59" s="153" t="e">
        <f t="shared" ca="1" si="62"/>
        <v>#NAME?</v>
      </c>
      <c r="Z59" s="153" t="e">
        <f t="shared" ca="1" si="62"/>
        <v>#NAME?</v>
      </c>
      <c r="AA59" s="153" t="e">
        <f t="shared" ca="1" si="62"/>
        <v>#NAME?</v>
      </c>
      <c r="AB59" s="153" t="e">
        <f t="shared" ca="1" si="62"/>
        <v>#NAME?</v>
      </c>
      <c r="AC59" s="153" t="e">
        <f t="shared" ca="1" si="62"/>
        <v>#NAME?</v>
      </c>
      <c r="AD59" s="153" t="e">
        <f t="shared" ca="1" si="62"/>
        <v>#NAME?</v>
      </c>
      <c r="AE59" s="153" t="e">
        <f t="shared" ca="1" si="62"/>
        <v>#NAME?</v>
      </c>
      <c r="AF59" s="153" t="e">
        <f t="shared" ca="1" si="62"/>
        <v>#NAME?</v>
      </c>
      <c r="AG59" s="153" t="e">
        <f t="shared" ca="1" si="62"/>
        <v>#NAME?</v>
      </c>
      <c r="AH59" s="153" t="e">
        <f t="shared" ca="1" si="62"/>
        <v>#NAME?</v>
      </c>
      <c r="AI59" s="153" t="e">
        <f t="shared" ca="1" si="62"/>
        <v>#NAME?</v>
      </c>
      <c r="AJ59" s="153" t="e">
        <f t="shared" ca="1" si="62"/>
        <v>#NAME?</v>
      </c>
      <c r="AK59" s="153" t="e">
        <f t="shared" ca="1" si="62"/>
        <v>#NAME?</v>
      </c>
    </row>
    <row r="60" spans="1:37" s="3" customFormat="1" x14ac:dyDescent="0.25">
      <c r="A60" s="62" t="s">
        <v>83</v>
      </c>
      <c r="B60" s="154"/>
      <c r="C60" s="154" t="e">
        <f ca="1">IF(C59="Mann Withney",[1]!MTEST($B28:$B43,C28:C43,2), IF(C59="T-Test Welch",_xlfn.T.TEST($B28:$B43,C28:C43,2,3),""))</f>
        <v>#NAME?</v>
      </c>
      <c r="D60" s="154" t="e">
        <f ca="1">IF(D59="Mann Withney",[1]!MTEST($B28:$B43,D28:D43,2), IF(D59="T-Test Welch",_xlfn.T.TEST($B28:$B43,D28:D43,2,3),""))</f>
        <v>#NAME?</v>
      </c>
      <c r="E60" s="154" t="e">
        <f ca="1">IF(E59="Mann Withney",[1]!MTEST($B28:$B43,E28:E43,2), IF(E59="T-Test Welch",_xlfn.T.TEST($B28:$B43,E28:E43,2,3),""))</f>
        <v>#NAME?</v>
      </c>
      <c r="F60" s="154" t="e">
        <f ca="1">IF(F59="Mann Withney",[1]!MTEST($B28:$B43,F28:F43,2), IF(F59="T-Test Welch",_xlfn.T.TEST($B28:$B43,F28:F43,2,3),""))</f>
        <v>#NAME?</v>
      </c>
      <c r="G60" s="154" t="e">
        <f ca="1">IF(G59="Mann Withney",[1]!MTEST($B28:$B43,G28:G43,2), IF(G59="T-Test Welch",_xlfn.T.TEST($B28:$B43,G28:G43,2,3),""))</f>
        <v>#NAME?</v>
      </c>
      <c r="H60" s="154" t="e">
        <f ca="1">IF(H59="Mann Withney",[1]!MTEST($B28:$B43,H28:H43,2), IF(H59="T-Test Welch",_xlfn.T.TEST($B28:$B43,H28:H43,2,3),""))</f>
        <v>#NAME?</v>
      </c>
      <c r="I60" s="154" t="e">
        <f ca="1">IF(I59="Mann Withney",[1]!MTEST($B28:$B43,I28:I43,2), IF(I59="T-Test Welch",_xlfn.T.TEST($B28:$B43,I28:I43,2,3),""))</f>
        <v>#NAME?</v>
      </c>
      <c r="J60" s="154" t="e">
        <f ca="1">IF(J59="Mann Withney",[1]!MTEST($B28:$B43,J28:J43,2), IF(J59="T-Test Welch",_xlfn.T.TEST($B28:$B43,J28:J43,2,3),""))</f>
        <v>#NAME?</v>
      </c>
      <c r="K60" s="154" t="e">
        <f ca="1">IF(K59="Mann Withney",[1]!MTEST($B28:$B43,K28:K43,2), IF(K59="T-Test Welch",_xlfn.T.TEST($B28:$B43,K28:K43,2,3),""))</f>
        <v>#NAME?</v>
      </c>
      <c r="L60" s="154" t="e">
        <f ca="1">IF(L59="Mann Withney",[1]!MTEST($B28:$B43,L28:L43,2), IF(L59="T-Test Welch",_xlfn.T.TEST($B28:$B43,L28:L43,2,3),""))</f>
        <v>#NAME?</v>
      </c>
      <c r="M60" s="154" t="e">
        <f ca="1">IF(M59="Mann Withney",[1]!MTEST($B28:$B43,M28:M43,2), IF(M59="T-Test Welch",_xlfn.T.TEST($B28:$B43,M28:M43,2,3),""))</f>
        <v>#NAME?</v>
      </c>
      <c r="N60" s="154"/>
      <c r="O60" s="154" t="e">
        <f ca="1">IF(O59="Mann Withney",[1]!MTEST($B28:$B43,O28:O43,2), IF(O59="T-Test Welch",_xlfn.T.TEST($B28:$B43,O28:O43,2,3),""))</f>
        <v>#NAME?</v>
      </c>
      <c r="P60" s="154" t="e">
        <f ca="1">IF(P59="Mann Withney",[1]!MTEST($O28:$O43,P28:P43,2), IF(P59="T-Test Welch",_xlfn.T.TEST($O28:$O43,P28:P43,2,3),""))</f>
        <v>#NAME?</v>
      </c>
      <c r="Q60" s="154" t="e">
        <f ca="1">IF(Q59="Mann Withney",[1]!MTEST($O28:$O43,Q28:Q43,2), IF(Q59="T-Test Welch",_xlfn.T.TEST($O28:$O43,Q28:Q43,2,3),""))</f>
        <v>#NAME?</v>
      </c>
      <c r="R60" s="154" t="e">
        <f ca="1">IF(R59="Mann Withney",[1]!MTEST($O28:$O43,R28:R43,2), IF(R59="T-Test Welch",_xlfn.T.TEST($O28:$O43,R28:R43,2,3),""))</f>
        <v>#NAME?</v>
      </c>
      <c r="S60" s="154" t="e">
        <f ca="1">IF(S59="Mann Withney",[1]!MTEST($O28:$O43,S28:S43,2), IF(S59="T-Test Welch",_xlfn.T.TEST($O28:$O43,S28:S43,2,3),""))</f>
        <v>#NAME?</v>
      </c>
      <c r="T60" s="154" t="e">
        <f ca="1">IF(T59="Mann Withney",[1]!MTEST($O28:$O43,T28:T43,2), IF(T59="T-Test Welch",_xlfn.T.TEST($O28:$O43,T28:T43,2,3),""))</f>
        <v>#NAME?</v>
      </c>
      <c r="U60" s="154" t="e">
        <f ca="1">IF(U59="Mann Withney",[1]!MTEST($O28:$O43,U28:U43,2), IF(U59="T-Test Welch",_xlfn.T.TEST($O28:$O43,U28:U43,2,3),""))</f>
        <v>#NAME?</v>
      </c>
      <c r="V60" s="154" t="e">
        <f ca="1">IF(V59="Mann Withney",[1]!MTEST($O28:$O43,V28:V43,2), IF(V59="T-Test Welch",_xlfn.T.TEST($O28:$O43,V28:V43,2,3),""))</f>
        <v>#NAME?</v>
      </c>
      <c r="W60" s="154" t="e">
        <f ca="1">IF(W59="Mann Withney",[1]!MTEST($O28:$O43,W28:W43,2), IF(W59="T-Test Welch",_xlfn.T.TEST($O28:$O43,W28:W43,2,3),""))</f>
        <v>#NAME?</v>
      </c>
      <c r="X60" s="154" t="e">
        <f ca="1">IF(X59="Mann Withney",[1]!MTEST($O28:$O43,X28:X43,2), IF(X59="T-Test Welch",_xlfn.T.TEST($O28:$O43,X28:X43,2,3),""))</f>
        <v>#NAME?</v>
      </c>
      <c r="Y60" s="154" t="e">
        <f ca="1">IF(Y59="Mann Withney",[1]!MTEST($O28:$O43,Y28:Y43,2), IF(Y59="T-Test Welch",_xlfn.T.TEST($O28:$O43,Y28:Y43,2,3),""))</f>
        <v>#NAME?</v>
      </c>
      <c r="Z60" s="154" t="e">
        <f ca="1">IF(Z59="Mann Withney",[1]!MTEST($O28:$O43,Z28:Z43,2), IF(Z59="T-Test Welch",_xlfn.T.TEST($O28:$O43,Z28:Z43,2,3),""))</f>
        <v>#NAME?</v>
      </c>
      <c r="AA60" s="154" t="e">
        <f ca="1">IF(AA59="Mann Withney",[1]!MTEST($O28:$O43,AA28:AA43,2), IF(AA59="T-Test Welch",_xlfn.T.TEST($O28:$O43,AA28:AA43,2,3),""))</f>
        <v>#NAME?</v>
      </c>
      <c r="AB60" s="154" t="e">
        <f ca="1">IF(AB59="Mann Withney",[1]!MTEST($O28:$O43,AB28:AB43,2), IF(AB59="T-Test Welch",_xlfn.T.TEST($O28:$O43,AB28:AB43,2,3),""))</f>
        <v>#NAME?</v>
      </c>
      <c r="AC60" s="154" t="e">
        <f ca="1">IF(AC59="Mann Withney",[1]!MTEST($O28:$O43,AC28:AC43,2), IF(AC59="T-Test Welch",_xlfn.T.TEST($O28:$O43,AC28:AC43,2,3),""))</f>
        <v>#NAME?</v>
      </c>
      <c r="AD60" s="154" t="e">
        <f ca="1">IF(AD59="Mann Withney",[1]!MTEST($O28:$O43,AD28:AD43,2), IF(AD59="T-Test Welch",_xlfn.T.TEST($O28:$O43,AD28:AD43,2,3),""))</f>
        <v>#NAME?</v>
      </c>
      <c r="AE60" s="154" t="e">
        <f ca="1">IF(AE59="Mann Withney",[1]!MTEST($O28:$O43,AE28:AE43,2), IF(AE59="T-Test Welch",_xlfn.T.TEST($O28:$O43,AE28:AE43,2,3),""))</f>
        <v>#NAME?</v>
      </c>
      <c r="AF60" s="154" t="e">
        <f ca="1">IF(AF59="Mann Withney",[1]!MTEST($O28:$O43,AF28:AF43,2), IF(AF59="T-Test Welch",_xlfn.T.TEST($O28:$O43,AF28:AF43,2,3),""))</f>
        <v>#NAME?</v>
      </c>
      <c r="AG60" s="154" t="e">
        <f ca="1">IF(AG59="Mann Withney",[1]!MTEST($O28:$O43,AG28:AG43,2), IF(AG59="T-Test Welch",_xlfn.T.TEST($O28:$O43,AG28:AG43,2,3),""))</f>
        <v>#NAME?</v>
      </c>
      <c r="AH60" s="154" t="e">
        <f ca="1">IF(AH59="Mann Withney",[1]!MTEST($O28:$O43,AH28:AH43,2), IF(AH59="T-Test Welch",_xlfn.T.TEST($O28:$O43,AH28:AH43,2,3),""))</f>
        <v>#NAME?</v>
      </c>
      <c r="AI60" s="154" t="e">
        <f ca="1">IF(AI59="Mann Withney",[1]!MTEST($O28:$O43,AI28:AI43,2), IF(AI59="T-Test Welch",_xlfn.T.TEST($O28:$O43,AI28:AI43,2,3),""))</f>
        <v>#NAME?</v>
      </c>
      <c r="AJ60" s="154" t="e">
        <f ca="1">IF(AJ59="Mann Withney",[1]!MTEST($O28:$O43,AJ28:AJ43,2), IF(AJ59="T-Test Welch",_xlfn.T.TEST($O28:$O43,AJ28:AJ43,2,3),""))</f>
        <v>#NAME?</v>
      </c>
      <c r="AK60" s="154" t="e">
        <f ca="1">IF(AK59="Mann Withney",[1]!MTEST($O28:$O43,AK28:AK43,2), IF(AK59="T-Test Welch",_xlfn.T.TEST($O28:$O43,AK28:AK43,2,3),""))</f>
        <v>#NAME?</v>
      </c>
    </row>
    <row r="61" spans="1:37" s="3" customFormat="1" ht="15.75" thickBot="1" x14ac:dyDescent="0.3">
      <c r="A61" s="63" t="s">
        <v>84</v>
      </c>
      <c r="B61" s="143"/>
      <c r="C61" s="143" t="e">
        <f t="shared" ref="C61:M61" ca="1" si="63">IF(C60&gt;0.05,"NS",IF(C60&gt;0.01,"*",IF(C60&gt;0.001,"**","***")))</f>
        <v>#NAME?</v>
      </c>
      <c r="D61" s="143" t="e">
        <f t="shared" ca="1" si="63"/>
        <v>#NAME?</v>
      </c>
      <c r="E61" s="143" t="e">
        <f t="shared" ca="1" si="63"/>
        <v>#NAME?</v>
      </c>
      <c r="F61" s="143" t="e">
        <f t="shared" ca="1" si="63"/>
        <v>#NAME?</v>
      </c>
      <c r="G61" s="143" t="e">
        <f t="shared" ca="1" si="63"/>
        <v>#NAME?</v>
      </c>
      <c r="H61" s="143" t="e">
        <f t="shared" ca="1" si="63"/>
        <v>#NAME?</v>
      </c>
      <c r="I61" s="143" t="e">
        <f t="shared" ca="1" si="63"/>
        <v>#NAME?</v>
      </c>
      <c r="J61" s="143" t="e">
        <f t="shared" ca="1" si="63"/>
        <v>#NAME?</v>
      </c>
      <c r="K61" s="143" t="e">
        <f t="shared" ca="1" si="63"/>
        <v>#NAME?</v>
      </c>
      <c r="L61" s="143" t="e">
        <f t="shared" ca="1" si="63"/>
        <v>#NAME?</v>
      </c>
      <c r="M61" s="143" t="e">
        <f t="shared" ca="1" si="63"/>
        <v>#NAME?</v>
      </c>
      <c r="N61" s="143"/>
      <c r="O61" s="143" t="e">
        <f ca="1">IF(O60&gt;0.05,"NS",IF(O60&gt;0.01,"*",IF(O60&gt;0.001,"**","***")))</f>
        <v>#NAME?</v>
      </c>
      <c r="P61" s="143" t="e">
        <f ca="1">IF(P60&gt;0.05,"NS",IF(P60&gt;0.01,"*",IF(P60&gt;0.001,"**","***")))</f>
        <v>#NAME?</v>
      </c>
      <c r="Q61" s="143" t="e">
        <f t="shared" ref="Q61" ca="1" si="64">IF(Q60&gt;0.05,"NS",IF(Q60&gt;0.01,"*",IF(Q60&gt;0.001,"**","***")))</f>
        <v>#NAME?</v>
      </c>
      <c r="R61" s="143" t="e">
        <f t="shared" ref="R61" ca="1" si="65">IF(R60&gt;0.05,"NS",IF(R60&gt;0.01,"*",IF(R60&gt;0.001,"**","***")))</f>
        <v>#NAME?</v>
      </c>
      <c r="S61" s="143" t="e">
        <f t="shared" ref="S61" ca="1" si="66">IF(S60&gt;0.05,"NS",IF(S60&gt;0.01,"*",IF(S60&gt;0.001,"**","***")))</f>
        <v>#NAME?</v>
      </c>
      <c r="T61" s="143" t="e">
        <f t="shared" ref="T61" ca="1" si="67">IF(T60&gt;0.05,"NS",IF(T60&gt;0.01,"*",IF(T60&gt;0.001,"**","***")))</f>
        <v>#NAME?</v>
      </c>
      <c r="U61" s="143" t="e">
        <f t="shared" ref="U61" ca="1" si="68">IF(U60&gt;0.05,"NS",IF(U60&gt;0.01,"*",IF(U60&gt;0.001,"**","***")))</f>
        <v>#NAME?</v>
      </c>
      <c r="V61" s="143" t="e">
        <f t="shared" ref="V61" ca="1" si="69">IF(V60&gt;0.05,"NS",IF(V60&gt;0.01,"*",IF(V60&gt;0.001,"**","***")))</f>
        <v>#NAME?</v>
      </c>
      <c r="W61" s="143" t="e">
        <f t="shared" ref="W61" ca="1" si="70">IF(W60&gt;0.05,"NS",IF(W60&gt;0.01,"*",IF(W60&gt;0.001,"**","***")))</f>
        <v>#NAME?</v>
      </c>
      <c r="X61" s="143" t="e">
        <f t="shared" ref="X61" ca="1" si="71">IF(X60&gt;0.05,"NS",IF(X60&gt;0.01,"*",IF(X60&gt;0.001,"**","***")))</f>
        <v>#NAME?</v>
      </c>
      <c r="Y61" s="143" t="e">
        <f t="shared" ref="Y61" ca="1" si="72">IF(Y60&gt;0.05,"NS",IF(Y60&gt;0.01,"*",IF(Y60&gt;0.001,"**","***")))</f>
        <v>#NAME?</v>
      </c>
      <c r="Z61" s="143" t="e">
        <f t="shared" ref="Z61" ca="1" si="73">IF(Z60&gt;0.05,"NS",IF(Z60&gt;0.01,"*",IF(Z60&gt;0.001,"**","***")))</f>
        <v>#NAME?</v>
      </c>
      <c r="AA61" s="143" t="e">
        <f t="shared" ref="AA61" ca="1" si="74">IF(AA60&gt;0.05,"NS",IF(AA60&gt;0.01,"*",IF(AA60&gt;0.001,"**","***")))</f>
        <v>#NAME?</v>
      </c>
      <c r="AB61" s="143" t="e">
        <f t="shared" ref="AB61" ca="1" si="75">IF(AB60&gt;0.05,"NS",IF(AB60&gt;0.01,"*",IF(AB60&gt;0.001,"**","***")))</f>
        <v>#NAME?</v>
      </c>
      <c r="AC61" s="143" t="e">
        <f t="shared" ref="AC61" ca="1" si="76">IF(AC60&gt;0.05,"NS",IF(AC60&gt;0.01,"*",IF(AC60&gt;0.001,"**","***")))</f>
        <v>#NAME?</v>
      </c>
      <c r="AD61" s="143" t="e">
        <f t="shared" ref="AD61" ca="1" si="77">IF(AD60&gt;0.05,"NS",IF(AD60&gt;0.01,"*",IF(AD60&gt;0.001,"**","***")))</f>
        <v>#NAME?</v>
      </c>
      <c r="AE61" s="143" t="e">
        <f t="shared" ref="AE61" ca="1" si="78">IF(AE60&gt;0.05,"NS",IF(AE60&gt;0.01,"*",IF(AE60&gt;0.001,"**","***")))</f>
        <v>#NAME?</v>
      </c>
      <c r="AF61" s="143" t="e">
        <f t="shared" ref="AF61" ca="1" si="79">IF(AF60&gt;0.05,"NS",IF(AF60&gt;0.01,"*",IF(AF60&gt;0.001,"**","***")))</f>
        <v>#NAME?</v>
      </c>
      <c r="AG61" s="143" t="e">
        <f t="shared" ref="AG61" ca="1" si="80">IF(AG60&gt;0.05,"NS",IF(AG60&gt;0.01,"*",IF(AG60&gt;0.001,"**","***")))</f>
        <v>#NAME?</v>
      </c>
      <c r="AH61" s="143" t="e">
        <f t="shared" ref="AH61" ca="1" si="81">IF(AH60&gt;0.05,"NS",IF(AH60&gt;0.01,"*",IF(AH60&gt;0.001,"**","***")))</f>
        <v>#NAME?</v>
      </c>
      <c r="AI61" s="143" t="e">
        <f t="shared" ref="AI61" ca="1" si="82">IF(AI60&gt;0.05,"NS",IF(AI60&gt;0.01,"*",IF(AI60&gt;0.001,"**","***")))</f>
        <v>#NAME?</v>
      </c>
      <c r="AJ61" s="143" t="e">
        <f t="shared" ref="AJ61" ca="1" si="83">IF(AJ60&gt;0.05,"NS",IF(AJ60&gt;0.01,"*",IF(AJ60&gt;0.001,"**","***")))</f>
        <v>#NAME?</v>
      </c>
      <c r="AK61" s="143" t="e">
        <f t="shared" ref="AK61" ca="1" si="84">IF(AK60&gt;0.05,"NS",IF(AK60&gt;0.01,"*",IF(AK60&gt;0.001,"**","***")))</f>
        <v>#NAME?</v>
      </c>
    </row>
    <row r="63" spans="1:37" x14ac:dyDescent="0.25">
      <c r="A63" s="2" t="s">
        <v>39</v>
      </c>
    </row>
    <row r="64" spans="1:37" x14ac:dyDescent="0.25">
      <c r="A64" s="1" t="s">
        <v>23</v>
      </c>
      <c r="B64" s="1">
        <f>B46+(3*B47)</f>
        <v>0.26288283908709942</v>
      </c>
    </row>
    <row r="65" spans="1:37" x14ac:dyDescent="0.25">
      <c r="A65" s="1" t="s">
        <v>24</v>
      </c>
      <c r="B65" s="1">
        <f>B46+(10*B47)</f>
        <v>0.69736581769960859</v>
      </c>
    </row>
    <row r="66" spans="1:37" ht="15.75" thickBot="1" x14ac:dyDescent="0.3"/>
    <row r="67" spans="1:37" s="1" customFormat="1" ht="27" thickBot="1" x14ac:dyDescent="0.45">
      <c r="A67" s="221" t="s">
        <v>52</v>
      </c>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3"/>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1" name="Plage1"/>
    <protectedRange sqref="B51:J51" name="Plage2_1"/>
    <protectedRange sqref="O5:O21 J5:J12 B13:J21" name="Plage1_1"/>
    <protectedRange sqref="B5:I12" name="Plage1_1_1"/>
  </protectedRanges>
  <mergeCells count="9">
    <mergeCell ref="A1:AK1"/>
    <mergeCell ref="A67:AK67"/>
    <mergeCell ref="A50:AK50"/>
    <mergeCell ref="A5:A20"/>
    <mergeCell ref="A28:A43"/>
    <mergeCell ref="B3:M3"/>
    <mergeCell ref="B26:M26"/>
    <mergeCell ref="O26:AK26"/>
    <mergeCell ref="O3:AK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J1" zoomScale="80" zoomScaleNormal="80" workbookViewId="0">
      <selection activeCell="Z5" sqref="Z5:AD12"/>
    </sheetView>
  </sheetViews>
  <sheetFormatPr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1636</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1665</v>
      </c>
      <c r="D2" s="1" t="s">
        <v>1666</v>
      </c>
      <c r="E2" s="1" t="s">
        <v>1667</v>
      </c>
      <c r="F2" s="1" t="s">
        <v>112</v>
      </c>
      <c r="G2" s="1">
        <v>32099</v>
      </c>
      <c r="K2" s="158" t="s">
        <v>120</v>
      </c>
      <c r="L2" s="158"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1668</v>
      </c>
      <c r="D3" s="1">
        <v>0</v>
      </c>
      <c r="E3" s="1">
        <v>0</v>
      </c>
      <c r="F3" s="1" t="s">
        <v>112</v>
      </c>
      <c r="G3" s="1">
        <v>0</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1669</v>
      </c>
      <c r="D4" s="1" t="s">
        <v>1670</v>
      </c>
      <c r="E4" s="1" t="s">
        <v>1671</v>
      </c>
      <c r="F4" s="1" t="s">
        <v>112</v>
      </c>
      <c r="G4" s="1">
        <v>22257</v>
      </c>
      <c r="K4" s="119" t="s">
        <v>100</v>
      </c>
      <c r="L4" s="1" t="s">
        <v>1637</v>
      </c>
      <c r="M4" s="1" t="s">
        <v>1638</v>
      </c>
      <c r="N4" s="1" t="s">
        <v>1639</v>
      </c>
      <c r="O4" s="1" t="s">
        <v>1640</v>
      </c>
      <c r="P4" s="1" t="s">
        <v>1641</v>
      </c>
      <c r="Q4" s="1" t="s">
        <v>1642</v>
      </c>
      <c r="R4" s="1" t="s">
        <v>1643</v>
      </c>
      <c r="S4" s="1" t="s">
        <v>1644</v>
      </c>
      <c r="T4" s="1" t="s">
        <v>1645</v>
      </c>
      <c r="U4" s="1" t="s">
        <v>1646</v>
      </c>
      <c r="V4" s="1" t="s">
        <v>1647</v>
      </c>
      <c r="W4" s="1" t="s">
        <v>1648</v>
      </c>
      <c r="X4" s="1" t="s">
        <v>1649</v>
      </c>
      <c r="Y4" s="1" t="s">
        <v>1650</v>
      </c>
      <c r="Z4" s="1" t="s">
        <v>1651</v>
      </c>
      <c r="AA4" s="1" t="s">
        <v>1652</v>
      </c>
      <c r="AB4" s="1" t="s">
        <v>1653</v>
      </c>
      <c r="AC4" s="1" t="s">
        <v>1654</v>
      </c>
      <c r="AD4" s="1" t="s">
        <v>1655</v>
      </c>
      <c r="AE4" s="1" t="s">
        <v>1656</v>
      </c>
      <c r="AF4" s="1" t="s">
        <v>1657</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1672</v>
      </c>
      <c r="D5" s="1" t="s">
        <v>208</v>
      </c>
      <c r="E5" s="1">
        <v>30</v>
      </c>
      <c r="F5" s="1" t="s">
        <v>112</v>
      </c>
      <c r="G5" s="1">
        <v>649</v>
      </c>
      <c r="K5" s="146" t="s">
        <v>164</v>
      </c>
      <c r="L5" s="44">
        <v>18118.666666666668</v>
      </c>
      <c r="M5" s="44">
        <v>2048668.3333333333</v>
      </c>
      <c r="N5" s="44">
        <v>1995761.6666666667</v>
      </c>
      <c r="O5" s="44">
        <v>2920944.3333333335</v>
      </c>
      <c r="P5" s="44">
        <v>128582.66666666667</v>
      </c>
      <c r="Q5" s="44">
        <v>94472.333333333328</v>
      </c>
      <c r="R5" s="44"/>
      <c r="S5" s="44">
        <v>277785.66666666669</v>
      </c>
      <c r="T5" s="44">
        <v>1405950.3333333333</v>
      </c>
      <c r="U5" s="44">
        <v>3238918</v>
      </c>
      <c r="V5" s="44">
        <v>3124344.3333333335</v>
      </c>
      <c r="W5" s="44">
        <v>0</v>
      </c>
      <c r="X5" s="44">
        <v>83535</v>
      </c>
      <c r="Y5" s="44">
        <v>0</v>
      </c>
      <c r="Z5" s="44">
        <v>619783</v>
      </c>
      <c r="AA5" s="44">
        <v>1835556</v>
      </c>
      <c r="AB5" s="44">
        <v>2539018</v>
      </c>
      <c r="AC5" s="44">
        <v>3511267.3333333335</v>
      </c>
      <c r="AD5" s="44">
        <v>1404486.6666666667</v>
      </c>
      <c r="AE5" s="44"/>
      <c r="AF5" s="44">
        <v>252478.66666666666</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1673</v>
      </c>
      <c r="D6" s="1">
        <v>0</v>
      </c>
      <c r="E6" s="1">
        <v>0</v>
      </c>
      <c r="F6" s="1" t="s">
        <v>112</v>
      </c>
      <c r="G6" s="1">
        <v>0</v>
      </c>
      <c r="K6" s="146" t="s">
        <v>1658</v>
      </c>
      <c r="L6" s="44">
        <v>8197.6666666666661</v>
      </c>
      <c r="M6" s="44">
        <v>1030664.5</v>
      </c>
      <c r="N6" s="44">
        <v>1461409.6666666667</v>
      </c>
      <c r="O6" s="44">
        <v>5795925</v>
      </c>
      <c r="P6" s="44">
        <v>414940.66666666669</v>
      </c>
      <c r="Q6" s="44">
        <v>125850</v>
      </c>
      <c r="R6" s="44">
        <v>95481.666666666672</v>
      </c>
      <c r="S6" s="44">
        <v>2153807.5</v>
      </c>
      <c r="T6" s="44">
        <v>2301046</v>
      </c>
      <c r="U6" s="44">
        <v>1458518</v>
      </c>
      <c r="V6" s="44">
        <v>4293166.5</v>
      </c>
      <c r="W6" s="44">
        <v>169347.66666666666</v>
      </c>
      <c r="X6" s="44">
        <v>154773</v>
      </c>
      <c r="Y6" s="44">
        <v>161452.66666666666</v>
      </c>
      <c r="Z6" s="44">
        <v>242117.66666666666</v>
      </c>
      <c r="AA6" s="44">
        <v>773074.33333333337</v>
      </c>
      <c r="AB6" s="44">
        <v>225297</v>
      </c>
      <c r="AC6" s="44">
        <v>1773377.3333333333</v>
      </c>
      <c r="AD6" s="44">
        <v>2256329.3333333335</v>
      </c>
      <c r="AE6" s="44">
        <v>216.33333333333334</v>
      </c>
      <c r="AF6" s="44">
        <v>262918.33333333331</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1674</v>
      </c>
      <c r="D7" s="1" t="s">
        <v>1675</v>
      </c>
      <c r="E7" s="1" t="s">
        <v>1676</v>
      </c>
      <c r="F7" s="1" t="s">
        <v>112</v>
      </c>
      <c r="G7" s="1">
        <v>23944</v>
      </c>
      <c r="K7" s="146" t="s">
        <v>1659</v>
      </c>
      <c r="L7" s="44">
        <v>294974</v>
      </c>
      <c r="M7" s="44">
        <v>29452.666666666668</v>
      </c>
      <c r="N7" s="44">
        <v>1148439</v>
      </c>
      <c r="O7" s="44">
        <v>4201325.666666667</v>
      </c>
      <c r="P7" s="44">
        <v>99187.333333333328</v>
      </c>
      <c r="Q7" s="44">
        <v>755402</v>
      </c>
      <c r="R7" s="44">
        <v>66699.333333333328</v>
      </c>
      <c r="S7" s="44">
        <v>1621716</v>
      </c>
      <c r="T7" s="44">
        <v>1833544.6666666667</v>
      </c>
      <c r="U7" s="44">
        <v>3834764</v>
      </c>
      <c r="V7" s="44">
        <v>5063601.666666667</v>
      </c>
      <c r="W7" s="44">
        <v>64284</v>
      </c>
      <c r="X7" s="44">
        <v>127818.33333333333</v>
      </c>
      <c r="Y7" s="44">
        <v>151770</v>
      </c>
      <c r="Z7" s="44">
        <v>490724.66666666669</v>
      </c>
      <c r="AA7" s="44">
        <v>2993902</v>
      </c>
      <c r="AB7" s="44"/>
      <c r="AC7" s="44">
        <v>1672776.6666666667</v>
      </c>
      <c r="AD7" s="44">
        <v>13843.333333333334</v>
      </c>
      <c r="AE7" s="44">
        <v>251714</v>
      </c>
      <c r="AF7" s="44">
        <v>58112.333333333336</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1677</v>
      </c>
      <c r="D8" s="1" t="s">
        <v>573</v>
      </c>
      <c r="E8" s="1" t="s">
        <v>1678</v>
      </c>
      <c r="F8" s="1" t="s">
        <v>112</v>
      </c>
      <c r="G8" s="1">
        <v>287245</v>
      </c>
      <c r="K8" s="146" t="s">
        <v>1660</v>
      </c>
      <c r="L8" s="44"/>
      <c r="M8" s="44">
        <v>2786961.3333333335</v>
      </c>
      <c r="N8" s="44">
        <v>1702381</v>
      </c>
      <c r="O8" s="44">
        <v>1984304.6666666667</v>
      </c>
      <c r="P8" s="44">
        <v>428488</v>
      </c>
      <c r="Q8" s="44">
        <v>78019</v>
      </c>
      <c r="R8" s="44">
        <v>375084</v>
      </c>
      <c r="S8" s="44">
        <v>1373051.6666666667</v>
      </c>
      <c r="T8" s="44">
        <v>1930973</v>
      </c>
      <c r="U8" s="44">
        <v>3732022</v>
      </c>
      <c r="V8" s="44">
        <v>5149155</v>
      </c>
      <c r="W8" s="44"/>
      <c r="X8" s="44">
        <v>20577.333333333332</v>
      </c>
      <c r="Y8" s="44">
        <v>80838.333333333328</v>
      </c>
      <c r="Z8" s="44"/>
      <c r="AA8" s="44">
        <v>3030716</v>
      </c>
      <c r="AB8" s="44">
        <v>3240987</v>
      </c>
      <c r="AC8" s="44">
        <v>3992078.3333333335</v>
      </c>
      <c r="AD8" s="44">
        <v>1074039.6666666667</v>
      </c>
      <c r="AE8" s="44">
        <v>63130.666666666664</v>
      </c>
      <c r="AF8" s="44">
        <v>9488.3333333333339</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1679</v>
      </c>
      <c r="D9" s="1" t="s">
        <v>1680</v>
      </c>
      <c r="E9" s="1" t="s">
        <v>1681</v>
      </c>
      <c r="F9" s="1" t="s">
        <v>112</v>
      </c>
      <c r="G9" s="1">
        <v>273683</v>
      </c>
      <c r="K9" s="146" t="s">
        <v>1661</v>
      </c>
      <c r="L9" s="44">
        <v>238195.66666666666</v>
      </c>
      <c r="M9" s="44">
        <v>331337.5</v>
      </c>
      <c r="N9" s="44">
        <v>689510.66666666663</v>
      </c>
      <c r="O9" s="44">
        <v>1666475.3333333333</v>
      </c>
      <c r="P9" s="44">
        <v>101876.66666666667</v>
      </c>
      <c r="Q9" s="44">
        <v>117616</v>
      </c>
      <c r="R9" s="44"/>
      <c r="S9" s="44"/>
      <c r="T9" s="44">
        <v>1683959.6666666667</v>
      </c>
      <c r="U9" s="44">
        <v>3645026.6666666665</v>
      </c>
      <c r="V9" s="44">
        <v>3529948.6666666665</v>
      </c>
      <c r="W9" s="44">
        <v>6020.333333333333</v>
      </c>
      <c r="X9" s="44">
        <v>341666</v>
      </c>
      <c r="Y9" s="44">
        <v>241490.33333333334</v>
      </c>
      <c r="Z9" s="44">
        <v>2682842.3333333335</v>
      </c>
      <c r="AA9" s="44">
        <v>2686533.6666666665</v>
      </c>
      <c r="AB9" s="44">
        <v>3398027.6666666665</v>
      </c>
      <c r="AC9" s="44">
        <v>3494482.3333333335</v>
      </c>
      <c r="AD9" s="44">
        <v>1486255</v>
      </c>
      <c r="AE9" s="44">
        <v>27196</v>
      </c>
      <c r="AF9" s="44">
        <v>123132</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1682</v>
      </c>
      <c r="D10" s="1" t="s">
        <v>1563</v>
      </c>
      <c r="E10" s="1" t="s">
        <v>1683</v>
      </c>
      <c r="F10" s="1" t="s">
        <v>112</v>
      </c>
      <c r="G10" s="1">
        <v>323994</v>
      </c>
      <c r="K10" s="146" t="s">
        <v>1662</v>
      </c>
      <c r="L10" s="44">
        <v>197307.66666666666</v>
      </c>
      <c r="M10" s="44">
        <v>362762.33333333331</v>
      </c>
      <c r="N10" s="44">
        <v>1781849.3333333333</v>
      </c>
      <c r="O10" s="44">
        <v>4919063.666666667</v>
      </c>
      <c r="P10" s="44">
        <v>189679.66666666666</v>
      </c>
      <c r="Q10" s="44">
        <v>83376</v>
      </c>
      <c r="R10" s="44">
        <v>21413.666666666668</v>
      </c>
      <c r="S10" s="44">
        <v>1729764.3333333333</v>
      </c>
      <c r="T10" s="44">
        <v>2228073.6666666665</v>
      </c>
      <c r="U10" s="44">
        <v>3275328.6666666665</v>
      </c>
      <c r="V10" s="44">
        <v>5272294.333333333</v>
      </c>
      <c r="W10" s="44">
        <v>35949</v>
      </c>
      <c r="X10" s="44">
        <v>39842</v>
      </c>
      <c r="Y10" s="44">
        <v>34954</v>
      </c>
      <c r="Z10" s="44">
        <v>1992034</v>
      </c>
      <c r="AA10" s="44">
        <v>3503776</v>
      </c>
      <c r="AB10" s="44">
        <v>3383204</v>
      </c>
      <c r="AC10" s="44">
        <v>2284729.6666666665</v>
      </c>
      <c r="AD10" s="44">
        <v>1924649.6666666667</v>
      </c>
      <c r="AE10" s="44">
        <v>157105</v>
      </c>
      <c r="AF10" s="44">
        <v>111819</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1684</v>
      </c>
      <c r="K11" s="146" t="s">
        <v>1663</v>
      </c>
      <c r="L11" s="44">
        <v>179182</v>
      </c>
      <c r="M11" s="44">
        <v>378804</v>
      </c>
      <c r="N11" s="44">
        <v>520037</v>
      </c>
      <c r="O11" s="44">
        <v>4585956</v>
      </c>
      <c r="P11" s="44">
        <v>7267.666666666667</v>
      </c>
      <c r="Q11" s="44">
        <v>193451</v>
      </c>
      <c r="R11" s="44">
        <v>198908.5</v>
      </c>
      <c r="S11" s="44">
        <v>490616.33333333331</v>
      </c>
      <c r="T11" s="44">
        <v>2143789.3333333335</v>
      </c>
      <c r="U11" s="44">
        <v>3455606.3333333335</v>
      </c>
      <c r="V11" s="44">
        <v>5044639.333333333</v>
      </c>
      <c r="W11" s="44">
        <v>287893.66666666669</v>
      </c>
      <c r="X11" s="44">
        <v>15761</v>
      </c>
      <c r="Y11" s="44">
        <v>0</v>
      </c>
      <c r="Z11" s="44">
        <v>494459</v>
      </c>
      <c r="AA11" s="44">
        <v>2950267.3333333335</v>
      </c>
      <c r="AB11" s="44">
        <v>656409.33333333337</v>
      </c>
      <c r="AC11" s="44">
        <v>3838794.3333333335</v>
      </c>
      <c r="AD11" s="44">
        <v>1776182</v>
      </c>
      <c r="AE11" s="44">
        <v>141848.66666666666</v>
      </c>
      <c r="AF11" s="44">
        <v>198966.33333333334</v>
      </c>
      <c r="AG11"/>
    </row>
    <row r="12" spans="1:144" x14ac:dyDescent="0.25">
      <c r="A12" s="1" t="str">
        <f t="shared" si="0"/>
        <v>1</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1685</v>
      </c>
      <c r="K12" s="146" t="s">
        <v>1664</v>
      </c>
      <c r="L12" s="44">
        <v>115114.66666666667</v>
      </c>
      <c r="M12" s="44">
        <v>1673642</v>
      </c>
      <c r="N12" s="44"/>
      <c r="O12" s="44">
        <v>3608732</v>
      </c>
      <c r="P12" s="44">
        <v>13533</v>
      </c>
      <c r="Q12" s="44">
        <v>120269.33333333333</v>
      </c>
      <c r="R12" s="44">
        <v>50689.5</v>
      </c>
      <c r="S12" s="44"/>
      <c r="T12" s="44">
        <v>700491.66666666663</v>
      </c>
      <c r="U12" s="44">
        <v>2214879.3333333335</v>
      </c>
      <c r="V12" s="44"/>
      <c r="W12" s="44">
        <v>320756.66666666669</v>
      </c>
      <c r="X12" s="44">
        <v>30920</v>
      </c>
      <c r="Y12" s="44">
        <v>2782059</v>
      </c>
      <c r="Z12" s="44">
        <v>193595</v>
      </c>
      <c r="AA12" s="44">
        <v>949693</v>
      </c>
      <c r="AB12" s="44">
        <v>2439405.3333333335</v>
      </c>
      <c r="AC12" s="44">
        <v>1583229</v>
      </c>
      <c r="AD12" s="44">
        <v>2665614</v>
      </c>
      <c r="AE12" s="44">
        <v>209254.66666666666</v>
      </c>
      <c r="AF12" s="44"/>
      <c r="AG12"/>
    </row>
    <row r="13" spans="1:144" x14ac:dyDescent="0.25">
      <c r="A13" s="1" t="str">
        <f t="shared" si="0"/>
        <v>1</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1686</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1687</v>
      </c>
      <c r="D14" s="1" t="s">
        <v>1688</v>
      </c>
      <c r="E14" s="1" t="s">
        <v>1689</v>
      </c>
      <c r="F14" s="1" t="s">
        <v>112</v>
      </c>
      <c r="G14" s="1">
        <v>382633</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1690</v>
      </c>
      <c r="D15" s="1" t="s">
        <v>1691</v>
      </c>
      <c r="E15" s="1" t="s">
        <v>1692</v>
      </c>
      <c r="F15" s="1" t="s">
        <v>112</v>
      </c>
      <c r="G15" s="1">
        <v>155411</v>
      </c>
    </row>
    <row r="16" spans="1:144" x14ac:dyDescent="0.25">
      <c r="A16" s="1" t="str">
        <f t="shared" si="0"/>
        <v>1</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1693</v>
      </c>
      <c r="D16" s="1" t="s">
        <v>1694</v>
      </c>
      <c r="E16" s="1" t="s">
        <v>1695</v>
      </c>
      <c r="F16" s="1" t="s">
        <v>112</v>
      </c>
      <c r="G16" s="1">
        <v>176543</v>
      </c>
    </row>
    <row r="17" spans="1:10" x14ac:dyDescent="0.25">
      <c r="A17" s="1" t="str">
        <f t="shared" si="0"/>
        <v>1</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1696</v>
      </c>
      <c r="D17" s="1" t="s">
        <v>1697</v>
      </c>
      <c r="E17" s="1" t="s">
        <v>1698</v>
      </c>
      <c r="F17" s="1" t="s">
        <v>112</v>
      </c>
      <c r="G17" s="1">
        <v>246581</v>
      </c>
    </row>
    <row r="18" spans="1:10" x14ac:dyDescent="0.25">
      <c r="A18" s="1" t="str">
        <f t="shared" si="0"/>
        <v>1</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1699</v>
      </c>
      <c r="D18" s="1" t="s">
        <v>1700</v>
      </c>
      <c r="E18" s="1" t="s">
        <v>1701</v>
      </c>
      <c r="F18" s="1" t="s">
        <v>112</v>
      </c>
      <c r="G18" s="1">
        <v>174661</v>
      </c>
    </row>
    <row r="19" spans="1:10" x14ac:dyDescent="0.25">
      <c r="A19" s="1" t="str">
        <f t="shared" si="0"/>
        <v>1</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1702</v>
      </c>
      <c r="D19" s="1" t="s">
        <v>149</v>
      </c>
      <c r="E19" s="1" t="s">
        <v>1703</v>
      </c>
      <c r="F19" s="1" t="s">
        <v>112</v>
      </c>
      <c r="G19" s="1">
        <v>170681</v>
      </c>
    </row>
    <row r="20" spans="1:10" x14ac:dyDescent="0.25">
      <c r="A20" s="1" t="str">
        <f t="shared" si="0"/>
        <v>1</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1704</v>
      </c>
    </row>
    <row r="21" spans="1:10" x14ac:dyDescent="0.25">
      <c r="A21" s="1" t="str">
        <f t="shared" si="0"/>
        <v>1</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1705</v>
      </c>
    </row>
    <row r="22" spans="1:10" x14ac:dyDescent="0.25">
      <c r="A22" s="1" t="str">
        <f t="shared" si="0"/>
        <v>1</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1706</v>
      </c>
      <c r="D22" s="1" t="s">
        <v>1019</v>
      </c>
      <c r="E22" s="1" t="s">
        <v>1707</v>
      </c>
      <c r="F22" s="1" t="s">
        <v>112</v>
      </c>
      <c r="G22" s="1">
        <v>179182</v>
      </c>
    </row>
    <row r="23" spans="1:10" x14ac:dyDescent="0.25">
      <c r="A23" s="1" t="str">
        <f t="shared" si="0"/>
        <v>1</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1708</v>
      </c>
      <c r="D23" s="1" t="s">
        <v>1691</v>
      </c>
      <c r="E23" s="1" t="s">
        <v>1709</v>
      </c>
      <c r="F23" s="1" t="s">
        <v>112</v>
      </c>
      <c r="G23" s="1">
        <v>145072</v>
      </c>
    </row>
    <row r="24" spans="1:10" x14ac:dyDescent="0.25">
      <c r="A24" s="1" t="str">
        <f t="shared" si="0"/>
        <v>1</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1710</v>
      </c>
      <c r="D24" s="1" t="s">
        <v>576</v>
      </c>
      <c r="E24" s="1" t="s">
        <v>474</v>
      </c>
      <c r="F24" s="1" t="s">
        <v>112</v>
      </c>
      <c r="G24" s="1">
        <v>4002</v>
      </c>
    </row>
    <row r="25" spans="1:10" x14ac:dyDescent="0.25">
      <c r="A25" s="1" t="str">
        <f t="shared" si="0"/>
        <v>1</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1711</v>
      </c>
      <c r="D25" s="1" t="s">
        <v>1087</v>
      </c>
      <c r="E25" s="1" t="s">
        <v>1712</v>
      </c>
      <c r="F25" s="1" t="s">
        <v>112</v>
      </c>
      <c r="G25" s="1">
        <v>196270</v>
      </c>
    </row>
    <row r="26" spans="1:10"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10"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219</v>
      </c>
      <c r="D27" s="1" t="s">
        <v>112</v>
      </c>
      <c r="E27" s="1" t="s">
        <v>220</v>
      </c>
      <c r="F27" s="1" t="s">
        <v>221</v>
      </c>
      <c r="G27" s="1" t="s">
        <v>222</v>
      </c>
      <c r="H27" s="1" t="s">
        <v>223</v>
      </c>
      <c r="I27" s="1" t="s">
        <v>224</v>
      </c>
      <c r="J27" s="1" t="s">
        <v>225</v>
      </c>
    </row>
    <row r="28" spans="1:10" x14ac:dyDescent="0.25">
      <c r="A28" s="1" t="str">
        <f t="shared" si="0"/>
        <v>1</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1713</v>
      </c>
      <c r="D28" s="1" t="s">
        <v>112</v>
      </c>
      <c r="E28" s="1" t="s">
        <v>1714</v>
      </c>
      <c r="F28" s="1" t="s">
        <v>1715</v>
      </c>
      <c r="G28" s="1" t="s">
        <v>1716</v>
      </c>
      <c r="H28" s="1" t="s">
        <v>1717</v>
      </c>
      <c r="I28" s="1">
        <v>22</v>
      </c>
      <c r="J28" s="1">
        <v>24</v>
      </c>
    </row>
    <row r="29" spans="1:10"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10"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10"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10"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231</v>
      </c>
      <c r="D34" s="1" t="s">
        <v>110</v>
      </c>
      <c r="E34" s="1" t="s">
        <v>111</v>
      </c>
      <c r="F34" s="1" t="s">
        <v>112</v>
      </c>
      <c r="G34" s="1" t="s">
        <v>113</v>
      </c>
    </row>
    <row r="35" spans="1:7" x14ac:dyDescent="0.25">
      <c r="A35" s="1" t="str">
        <f t="shared" si="0"/>
        <v>13</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1718</v>
      </c>
      <c r="D35" s="1" t="s">
        <v>1719</v>
      </c>
      <c r="E35" s="1" t="s">
        <v>1720</v>
      </c>
      <c r="F35" s="1" t="s">
        <v>112</v>
      </c>
      <c r="G35" s="1">
        <v>2109434</v>
      </c>
    </row>
    <row r="36" spans="1:7" x14ac:dyDescent="0.25">
      <c r="A36" s="1" t="str">
        <f t="shared" si="0"/>
        <v>13</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1721</v>
      </c>
      <c r="D36" s="1" t="s">
        <v>1722</v>
      </c>
      <c r="E36" s="1" t="s">
        <v>1723</v>
      </c>
      <c r="F36" s="1" t="s">
        <v>112</v>
      </c>
      <c r="G36" s="1">
        <v>2014911</v>
      </c>
    </row>
    <row r="37" spans="1:7" x14ac:dyDescent="0.25">
      <c r="A37" s="1" t="str">
        <f t="shared" si="0"/>
        <v>13</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1724</v>
      </c>
      <c r="D37" s="1" t="s">
        <v>242</v>
      </c>
      <c r="E37" s="1" t="s">
        <v>1725</v>
      </c>
      <c r="F37" s="1" t="s">
        <v>112</v>
      </c>
      <c r="G37" s="1">
        <v>2021660</v>
      </c>
    </row>
    <row r="38" spans="1:7" x14ac:dyDescent="0.25">
      <c r="A38" s="1" t="str">
        <f t="shared" si="0"/>
        <v>13</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1726</v>
      </c>
      <c r="D38" s="1" t="s">
        <v>1727</v>
      </c>
      <c r="E38" s="1" t="s">
        <v>1728</v>
      </c>
      <c r="F38" s="1" t="s">
        <v>112</v>
      </c>
      <c r="G38" s="1">
        <v>1011738</v>
      </c>
    </row>
    <row r="39" spans="1:7" x14ac:dyDescent="0.25">
      <c r="A39" s="1" t="str">
        <f t="shared" si="0"/>
        <v>13</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1729</v>
      </c>
      <c r="D39" s="1" t="s">
        <v>1730</v>
      </c>
      <c r="E39" s="1" t="s">
        <v>1731</v>
      </c>
      <c r="F39" s="1" t="s">
        <v>112</v>
      </c>
      <c r="G39" s="1">
        <v>1049591</v>
      </c>
    </row>
    <row r="40" spans="1:7" x14ac:dyDescent="0.25">
      <c r="A40" s="1" t="str">
        <f t="shared" si="0"/>
        <v>13</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1732</v>
      </c>
    </row>
    <row r="41" spans="1:7" x14ac:dyDescent="0.25">
      <c r="A41" s="1" t="str">
        <f t="shared" si="0"/>
        <v>13</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1733</v>
      </c>
      <c r="D41" s="1" t="s">
        <v>1025</v>
      </c>
      <c r="E41" s="1">
        <v>35</v>
      </c>
      <c r="F41" s="1" t="s">
        <v>112</v>
      </c>
      <c r="G41" s="1">
        <v>1514</v>
      </c>
    </row>
    <row r="42" spans="1:7" x14ac:dyDescent="0.25">
      <c r="A42" s="1" t="str">
        <f t="shared" si="0"/>
        <v>13</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1734</v>
      </c>
      <c r="D42" s="1" t="s">
        <v>1611</v>
      </c>
      <c r="E42" s="1">
        <v>33</v>
      </c>
      <c r="F42" s="1" t="s">
        <v>112</v>
      </c>
      <c r="G42" s="1">
        <v>3569</v>
      </c>
    </row>
    <row r="43" spans="1:7" x14ac:dyDescent="0.25">
      <c r="A43" s="1" t="str">
        <f t="shared" si="0"/>
        <v>13</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1735</v>
      </c>
      <c r="D43" s="1" t="s">
        <v>1736</v>
      </c>
      <c r="E43" s="1" t="s">
        <v>1737</v>
      </c>
      <c r="F43" s="1" t="s">
        <v>112</v>
      </c>
      <c r="G43" s="1">
        <v>83275</v>
      </c>
    </row>
    <row r="44" spans="1:7" x14ac:dyDescent="0.25">
      <c r="A44" s="1" t="str">
        <f t="shared" si="0"/>
        <v>13</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1738</v>
      </c>
      <c r="D44" s="1" t="s">
        <v>1739</v>
      </c>
      <c r="E44" s="1" t="s">
        <v>1740</v>
      </c>
      <c r="F44" s="1" t="s">
        <v>112</v>
      </c>
      <c r="G44" s="1">
        <v>3131403</v>
      </c>
    </row>
    <row r="45" spans="1:7" x14ac:dyDescent="0.25">
      <c r="A45" s="1" t="str">
        <f t="shared" si="0"/>
        <v>13</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1741</v>
      </c>
      <c r="D45" s="1" t="s">
        <v>1275</v>
      </c>
      <c r="E45" s="1" t="s">
        <v>1742</v>
      </c>
      <c r="F45" s="1" t="s">
        <v>112</v>
      </c>
      <c r="G45" s="1">
        <v>2375330</v>
      </c>
    </row>
    <row r="46" spans="1:7" x14ac:dyDescent="0.25">
      <c r="A46" s="1" t="str">
        <f t="shared" si="0"/>
        <v>13</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1743</v>
      </c>
      <c r="D46" s="1" t="s">
        <v>1744</v>
      </c>
      <c r="E46" s="1" t="s">
        <v>1745</v>
      </c>
      <c r="F46" s="1" t="s">
        <v>112</v>
      </c>
      <c r="G46" s="1">
        <v>2854151</v>
      </c>
    </row>
    <row r="47" spans="1:7" x14ac:dyDescent="0.25">
      <c r="A47" s="1" t="str">
        <f t="shared" si="0"/>
        <v>13</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1746</v>
      </c>
      <c r="D47" s="1" t="s">
        <v>1000</v>
      </c>
      <c r="E47" s="1" t="s">
        <v>1747</v>
      </c>
      <c r="F47" s="1" t="s">
        <v>112</v>
      </c>
      <c r="G47" s="1">
        <v>228909</v>
      </c>
    </row>
    <row r="48" spans="1:7" x14ac:dyDescent="0.25">
      <c r="A48" s="1" t="str">
        <f t="shared" si="0"/>
        <v>13</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1748</v>
      </c>
      <c r="D48" s="1" t="s">
        <v>949</v>
      </c>
      <c r="E48" s="1" t="s">
        <v>1749</v>
      </c>
      <c r="F48" s="1" t="s">
        <v>112</v>
      </c>
      <c r="G48" s="1">
        <v>433766</v>
      </c>
    </row>
    <row r="49" spans="1:10" x14ac:dyDescent="0.25">
      <c r="A49" s="1" t="str">
        <f t="shared" si="0"/>
        <v>13</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1750</v>
      </c>
    </row>
    <row r="50" spans="1:10" x14ac:dyDescent="0.25">
      <c r="A50" s="1" t="str">
        <f t="shared" si="0"/>
        <v>13</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1751</v>
      </c>
      <c r="D50" s="1" t="s">
        <v>1752</v>
      </c>
      <c r="E50" s="1" t="s">
        <v>1753</v>
      </c>
      <c r="F50" s="1" t="s">
        <v>112</v>
      </c>
      <c r="G50" s="1">
        <v>238470</v>
      </c>
    </row>
    <row r="51" spans="1:10" x14ac:dyDescent="0.25">
      <c r="A51" s="1" t="str">
        <f t="shared" si="0"/>
        <v>13</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1754</v>
      </c>
      <c r="D51" s="1" t="s">
        <v>1755</v>
      </c>
      <c r="E51" s="1" t="s">
        <v>1756</v>
      </c>
      <c r="F51" s="1" t="s">
        <v>112</v>
      </c>
      <c r="G51" s="1">
        <v>456218</v>
      </c>
    </row>
    <row r="52" spans="1:10" x14ac:dyDescent="0.25">
      <c r="A52" s="1" t="str">
        <f t="shared" si="0"/>
        <v>13</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1757</v>
      </c>
      <c r="D52" s="1" t="s">
        <v>1758</v>
      </c>
      <c r="E52" s="1" t="s">
        <v>1759</v>
      </c>
      <c r="F52" s="1" t="s">
        <v>112</v>
      </c>
      <c r="G52" s="1">
        <v>393599</v>
      </c>
    </row>
    <row r="53" spans="1:10" x14ac:dyDescent="0.25">
      <c r="A53" s="1" t="str">
        <f t="shared" si="0"/>
        <v>13</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1760</v>
      </c>
      <c r="D53" s="1" t="s">
        <v>1761</v>
      </c>
      <c r="E53" s="1" t="s">
        <v>1762</v>
      </c>
      <c r="F53" s="1" t="s">
        <v>112</v>
      </c>
      <c r="G53" s="1">
        <v>378804</v>
      </c>
    </row>
    <row r="54" spans="1:10" x14ac:dyDescent="0.25">
      <c r="A54" s="1" t="str">
        <f t="shared" si="0"/>
        <v>13</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1763</v>
      </c>
    </row>
    <row r="55" spans="1:10" x14ac:dyDescent="0.25">
      <c r="A55" s="1" t="str">
        <f t="shared" si="0"/>
        <v>13</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1764</v>
      </c>
    </row>
    <row r="56" spans="1:10" x14ac:dyDescent="0.25">
      <c r="A56" s="1" t="str">
        <f t="shared" si="0"/>
        <v>13</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1765</v>
      </c>
      <c r="D56" s="1" t="s">
        <v>1766</v>
      </c>
      <c r="E56" s="1" t="s">
        <v>1767</v>
      </c>
      <c r="F56" s="1" t="s">
        <v>112</v>
      </c>
      <c r="G56" s="1">
        <v>1748366</v>
      </c>
    </row>
    <row r="57" spans="1:10" x14ac:dyDescent="0.25">
      <c r="A57" s="1" t="str">
        <f t="shared" si="0"/>
        <v>13</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1768</v>
      </c>
      <c r="D57" s="1" t="s">
        <v>1769</v>
      </c>
      <c r="E57" s="1" t="s">
        <v>1770</v>
      </c>
      <c r="F57" s="1" t="s">
        <v>112</v>
      </c>
      <c r="G57" s="1">
        <v>1529450</v>
      </c>
    </row>
    <row r="58" spans="1:10" x14ac:dyDescent="0.25">
      <c r="A58" s="1" t="str">
        <f t="shared" si="0"/>
        <v>13</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1771</v>
      </c>
      <c r="D58" s="1" t="s">
        <v>1772</v>
      </c>
      <c r="E58" s="1" t="s">
        <v>1773</v>
      </c>
      <c r="F58" s="1" t="s">
        <v>112</v>
      </c>
      <c r="G58" s="1">
        <v>1743110</v>
      </c>
    </row>
    <row r="59" spans="1:10"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10"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219</v>
      </c>
      <c r="D60" s="1" t="s">
        <v>112</v>
      </c>
      <c r="E60" s="1" t="s">
        <v>220</v>
      </c>
      <c r="F60" s="1" t="s">
        <v>221</v>
      </c>
      <c r="G60" s="1" t="s">
        <v>222</v>
      </c>
      <c r="H60" s="1" t="s">
        <v>223</v>
      </c>
      <c r="I60" s="1" t="s">
        <v>224</v>
      </c>
      <c r="J60" s="1" t="s">
        <v>225</v>
      </c>
    </row>
    <row r="61" spans="1:10" x14ac:dyDescent="0.25">
      <c r="A61" s="1" t="str">
        <f t="shared" si="0"/>
        <v>13</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1774</v>
      </c>
      <c r="D61" s="1" t="s">
        <v>112</v>
      </c>
      <c r="E61" s="1" t="s">
        <v>1775</v>
      </c>
      <c r="F61" s="1" t="s">
        <v>1776</v>
      </c>
      <c r="G61" s="1" t="s">
        <v>1777</v>
      </c>
      <c r="H61" s="1" t="s">
        <v>1778</v>
      </c>
      <c r="I61" s="1">
        <v>24</v>
      </c>
      <c r="J61" s="1">
        <v>24</v>
      </c>
    </row>
    <row r="62" spans="1:10"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10"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10"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231</v>
      </c>
      <c r="D67" s="1" t="s">
        <v>110</v>
      </c>
      <c r="E67" s="1" t="s">
        <v>111</v>
      </c>
      <c r="F67" s="1" t="s">
        <v>112</v>
      </c>
      <c r="G67" s="1" t="s">
        <v>113</v>
      </c>
    </row>
    <row r="68" spans="1:7" x14ac:dyDescent="0.25">
      <c r="A68" s="1" t="str">
        <f t="shared" si="1"/>
        <v>14</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1779</v>
      </c>
      <c r="D68" s="1" t="s">
        <v>1780</v>
      </c>
      <c r="E68" s="1" t="s">
        <v>1781</v>
      </c>
      <c r="F68" s="1" t="s">
        <v>112</v>
      </c>
      <c r="G68" s="1">
        <v>1519781</v>
      </c>
    </row>
    <row r="69" spans="1:7" x14ac:dyDescent="0.25">
      <c r="A69" s="1" t="str">
        <f t="shared" si="1"/>
        <v>14</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1782</v>
      </c>
      <c r="D69" s="1" t="s">
        <v>1783</v>
      </c>
      <c r="E69" s="1" t="s">
        <v>1784</v>
      </c>
      <c r="F69" s="1" t="s">
        <v>112</v>
      </c>
      <c r="G69" s="1">
        <v>2296295</v>
      </c>
    </row>
    <row r="70" spans="1:7" x14ac:dyDescent="0.25">
      <c r="A70" s="1" t="str">
        <f t="shared" si="1"/>
        <v>14</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1785</v>
      </c>
      <c r="D70" s="1" t="s">
        <v>1786</v>
      </c>
      <c r="E70" s="1" t="s">
        <v>1787</v>
      </c>
      <c r="F70" s="1" t="s">
        <v>112</v>
      </c>
      <c r="G70" s="1">
        <v>2171209</v>
      </c>
    </row>
    <row r="71" spans="1:7" x14ac:dyDescent="0.25">
      <c r="A71" s="1" t="str">
        <f t="shared" si="1"/>
        <v>14</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1788</v>
      </c>
      <c r="D71" s="1" t="s">
        <v>769</v>
      </c>
      <c r="E71" s="1" t="s">
        <v>1789</v>
      </c>
      <c r="F71" s="1" t="s">
        <v>112</v>
      </c>
      <c r="G71" s="1">
        <v>1872760</v>
      </c>
    </row>
    <row r="72" spans="1:7" x14ac:dyDescent="0.25">
      <c r="A72" s="1" t="str">
        <f t="shared" si="1"/>
        <v>14</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1790</v>
      </c>
      <c r="D72" s="1" t="s">
        <v>1791</v>
      </c>
      <c r="E72" s="1" t="s">
        <v>1792</v>
      </c>
      <c r="F72" s="1" t="s">
        <v>112</v>
      </c>
      <c r="G72" s="1">
        <v>1383232</v>
      </c>
    </row>
    <row r="73" spans="1:7" x14ac:dyDescent="0.25">
      <c r="A73" s="1" t="str">
        <f t="shared" si="1"/>
        <v>14</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1793</v>
      </c>
      <c r="D73" s="1" t="s">
        <v>1794</v>
      </c>
      <c r="E73" s="1" t="s">
        <v>1795</v>
      </c>
      <c r="F73" s="1" t="s">
        <v>112</v>
      </c>
      <c r="G73" s="1">
        <v>1128237</v>
      </c>
    </row>
    <row r="74" spans="1:7" x14ac:dyDescent="0.25">
      <c r="A74" s="1" t="str">
        <f t="shared" si="1"/>
        <v>14</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1796</v>
      </c>
      <c r="D74" s="1" t="s">
        <v>1797</v>
      </c>
      <c r="E74" s="1" t="s">
        <v>1798</v>
      </c>
      <c r="F74" s="1" t="s">
        <v>112</v>
      </c>
      <c r="G74" s="1">
        <v>1148439</v>
      </c>
    </row>
    <row r="75" spans="1:7" x14ac:dyDescent="0.25">
      <c r="A75" s="1" t="str">
        <f t="shared" si="1"/>
        <v>14</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1799</v>
      </c>
    </row>
    <row r="76" spans="1:7" x14ac:dyDescent="0.25">
      <c r="A76" s="1" t="str">
        <f t="shared" si="1"/>
        <v>14</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1800</v>
      </c>
    </row>
    <row r="77" spans="1:7" x14ac:dyDescent="0.25">
      <c r="A77" s="1" t="str">
        <f t="shared" si="1"/>
        <v>14</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1801</v>
      </c>
      <c r="D77" s="1" t="s">
        <v>1802</v>
      </c>
      <c r="E77" s="1" t="s">
        <v>1803</v>
      </c>
      <c r="F77" s="1" t="s">
        <v>112</v>
      </c>
      <c r="G77" s="1">
        <v>1580215</v>
      </c>
    </row>
    <row r="78" spans="1:7" x14ac:dyDescent="0.25">
      <c r="A78" s="1" t="str">
        <f t="shared" si="1"/>
        <v>14</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1804</v>
      </c>
      <c r="D78" s="1" t="s">
        <v>407</v>
      </c>
      <c r="E78" s="1" t="s">
        <v>1805</v>
      </c>
      <c r="F78" s="1" t="s">
        <v>112</v>
      </c>
      <c r="G78" s="1">
        <v>2053629</v>
      </c>
    </row>
    <row r="79" spans="1:7" x14ac:dyDescent="0.25">
      <c r="A79" s="1" t="str">
        <f t="shared" si="1"/>
        <v>14</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1806</v>
      </c>
      <c r="D79" s="1" t="s">
        <v>1807</v>
      </c>
      <c r="E79" s="1" t="s">
        <v>1808</v>
      </c>
      <c r="F79" s="1" t="s">
        <v>112</v>
      </c>
      <c r="G79" s="1">
        <v>1473299</v>
      </c>
    </row>
    <row r="80" spans="1:7" x14ac:dyDescent="0.25">
      <c r="A80" s="1" t="str">
        <f t="shared" si="1"/>
        <v>14</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1809</v>
      </c>
      <c r="D80" s="1" t="s">
        <v>1810</v>
      </c>
      <c r="E80" s="1" t="s">
        <v>1811</v>
      </c>
      <c r="F80" s="1" t="s">
        <v>112</v>
      </c>
      <c r="G80" s="1">
        <v>483190</v>
      </c>
    </row>
    <row r="81" spans="1:10" x14ac:dyDescent="0.25">
      <c r="A81" s="1" t="str">
        <f t="shared" si="1"/>
        <v>14</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1812</v>
      </c>
      <c r="D81" s="1" t="s">
        <v>1813</v>
      </c>
      <c r="E81" s="1" t="s">
        <v>1814</v>
      </c>
      <c r="F81" s="1" t="s">
        <v>112</v>
      </c>
      <c r="G81" s="1">
        <v>919314</v>
      </c>
    </row>
    <row r="82" spans="1:10" x14ac:dyDescent="0.25">
      <c r="A82" s="1" t="str">
        <f t="shared" si="1"/>
        <v>14</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1815</v>
      </c>
      <c r="D82" s="1" t="s">
        <v>1816</v>
      </c>
      <c r="E82" s="1" t="s">
        <v>1817</v>
      </c>
      <c r="F82" s="1" t="s">
        <v>112</v>
      </c>
      <c r="G82" s="1">
        <v>666028</v>
      </c>
    </row>
    <row r="83" spans="1:10" x14ac:dyDescent="0.25">
      <c r="A83" s="1" t="str">
        <f t="shared" si="1"/>
        <v>14</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1818</v>
      </c>
      <c r="D83" s="1" t="s">
        <v>1819</v>
      </c>
      <c r="E83" s="1" t="s">
        <v>1820</v>
      </c>
      <c r="F83" s="1" t="s">
        <v>112</v>
      </c>
      <c r="G83" s="1">
        <v>1737075</v>
      </c>
    </row>
    <row r="84" spans="1:10" x14ac:dyDescent="0.25">
      <c r="A84" s="1" t="str">
        <f t="shared" si="1"/>
        <v>14</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1821</v>
      </c>
      <c r="D84" s="1" t="s">
        <v>1180</v>
      </c>
      <c r="E84" s="1" t="s">
        <v>1822</v>
      </c>
      <c r="F84" s="1" t="s">
        <v>112</v>
      </c>
      <c r="G84" s="1">
        <v>1977081</v>
      </c>
    </row>
    <row r="85" spans="1:10" x14ac:dyDescent="0.25">
      <c r="A85" s="1" t="str">
        <f t="shared" si="1"/>
        <v>14</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1823</v>
      </c>
      <c r="D85" s="1" t="s">
        <v>1824</v>
      </c>
      <c r="E85" s="1" t="s">
        <v>1825</v>
      </c>
      <c r="F85" s="1" t="s">
        <v>112</v>
      </c>
      <c r="G85" s="1">
        <v>1631392</v>
      </c>
    </row>
    <row r="86" spans="1:10" x14ac:dyDescent="0.25">
      <c r="A86" s="1" t="str">
        <f t="shared" si="1"/>
        <v>14</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1826</v>
      </c>
    </row>
    <row r="87" spans="1:10" x14ac:dyDescent="0.25">
      <c r="A87" s="1" t="str">
        <f t="shared" si="1"/>
        <v>14</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1827</v>
      </c>
      <c r="D87" s="1" t="s">
        <v>1828</v>
      </c>
      <c r="E87" s="1" t="s">
        <v>1829</v>
      </c>
      <c r="F87" s="1" t="s">
        <v>112</v>
      </c>
      <c r="G87" s="1">
        <v>374154</v>
      </c>
    </row>
    <row r="88" spans="1:10" x14ac:dyDescent="0.25">
      <c r="A88" s="1" t="str">
        <f t="shared" si="1"/>
        <v>14</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1830</v>
      </c>
      <c r="D88" s="1" t="s">
        <v>1831</v>
      </c>
      <c r="E88" s="1" t="s">
        <v>1832</v>
      </c>
      <c r="F88" s="1" t="s">
        <v>112</v>
      </c>
      <c r="G88" s="1">
        <v>665920</v>
      </c>
    </row>
    <row r="89" spans="1:10" x14ac:dyDescent="0.25">
      <c r="A89" s="1" t="str">
        <f t="shared" si="1"/>
        <v>14</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1833</v>
      </c>
    </row>
    <row r="90" spans="1:10" x14ac:dyDescent="0.25">
      <c r="A90" s="1" t="str">
        <f t="shared" si="1"/>
        <v>14</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1834</v>
      </c>
    </row>
    <row r="91" spans="1:10" x14ac:dyDescent="0.25">
      <c r="A91" s="1" t="str">
        <f t="shared" si="1"/>
        <v>14</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1835</v>
      </c>
    </row>
    <row r="92" spans="1:10"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10"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219</v>
      </c>
      <c r="D93" s="1" t="s">
        <v>112</v>
      </c>
      <c r="E93" s="1" t="s">
        <v>220</v>
      </c>
      <c r="F93" s="1" t="s">
        <v>221</v>
      </c>
      <c r="G93" s="1" t="s">
        <v>222</v>
      </c>
      <c r="H93" s="1" t="s">
        <v>223</v>
      </c>
      <c r="I93" s="1" t="s">
        <v>224</v>
      </c>
      <c r="J93" s="1" t="s">
        <v>225</v>
      </c>
    </row>
    <row r="94" spans="1:10" x14ac:dyDescent="0.25">
      <c r="A94" s="1" t="str">
        <f t="shared" si="1"/>
        <v>14</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1836</v>
      </c>
      <c r="D94" s="1" t="s">
        <v>112</v>
      </c>
      <c r="E94" s="1" t="s">
        <v>1837</v>
      </c>
      <c r="F94" s="1" t="s">
        <v>1838</v>
      </c>
      <c r="G94" s="1" t="s">
        <v>1839</v>
      </c>
      <c r="H94" s="1" t="s">
        <v>1840</v>
      </c>
      <c r="I94" s="1">
        <v>22</v>
      </c>
      <c r="J94" s="1">
        <v>24</v>
      </c>
    </row>
    <row r="95" spans="1:10"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10"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231</v>
      </c>
      <c r="D100" s="1" t="s">
        <v>110</v>
      </c>
      <c r="E100" s="1" t="s">
        <v>111</v>
      </c>
      <c r="F100" s="1" t="s">
        <v>112</v>
      </c>
      <c r="G100" s="1" t="s">
        <v>113</v>
      </c>
    </row>
    <row r="101" spans="1:7" x14ac:dyDescent="0.25">
      <c r="A101" s="1" t="str">
        <f t="shared" si="1"/>
        <v>15</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1841</v>
      </c>
      <c r="D101" s="1" t="s">
        <v>1842</v>
      </c>
      <c r="E101" s="1" t="s">
        <v>1843</v>
      </c>
      <c r="F101" s="1" t="s">
        <v>112</v>
      </c>
      <c r="G101" s="1">
        <v>2778793</v>
      </c>
    </row>
    <row r="102" spans="1:7" x14ac:dyDescent="0.25">
      <c r="A102" s="1" t="str">
        <f t="shared" si="1"/>
        <v>15</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1844</v>
      </c>
      <c r="D102" s="1" t="s">
        <v>1845</v>
      </c>
      <c r="E102" s="1" t="s">
        <v>1846</v>
      </c>
      <c r="F102" s="1" t="s">
        <v>112</v>
      </c>
      <c r="G102" s="1">
        <v>2919603</v>
      </c>
    </row>
    <row r="103" spans="1:7" x14ac:dyDescent="0.25">
      <c r="A103" s="1" t="str">
        <f t="shared" si="1"/>
        <v>15</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1847</v>
      </c>
      <c r="D103" s="1" t="s">
        <v>1848</v>
      </c>
      <c r="E103" s="1" t="s">
        <v>1849</v>
      </c>
      <c r="F103" s="1" t="s">
        <v>112</v>
      </c>
      <c r="G103" s="1">
        <v>3064437</v>
      </c>
    </row>
    <row r="104" spans="1:7" x14ac:dyDescent="0.25">
      <c r="A104" s="1" t="str">
        <f t="shared" si="1"/>
        <v>15</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1850</v>
      </c>
      <c r="D104" s="1" t="s">
        <v>1851</v>
      </c>
      <c r="E104" s="1" t="s">
        <v>1852</v>
      </c>
      <c r="F104" s="1" t="s">
        <v>112</v>
      </c>
      <c r="G104" s="1">
        <v>5349960</v>
      </c>
    </row>
    <row r="105" spans="1:7" x14ac:dyDescent="0.25">
      <c r="A105" s="1" t="str">
        <f t="shared" si="1"/>
        <v>15</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1853</v>
      </c>
      <c r="D105" s="1" t="s">
        <v>1854</v>
      </c>
      <c r="E105" s="1" t="s">
        <v>1855</v>
      </c>
      <c r="F105" s="1" t="s">
        <v>112</v>
      </c>
      <c r="G105" s="1">
        <v>6381360</v>
      </c>
    </row>
    <row r="106" spans="1:7" x14ac:dyDescent="0.25">
      <c r="A106" s="1" t="str">
        <f t="shared" si="1"/>
        <v>15</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1856</v>
      </c>
      <c r="D106" s="1" t="s">
        <v>1857</v>
      </c>
      <c r="E106" s="1" t="s">
        <v>1858</v>
      </c>
      <c r="F106" s="1" t="s">
        <v>112</v>
      </c>
      <c r="G106" s="1">
        <v>5656455</v>
      </c>
    </row>
    <row r="107" spans="1:7" x14ac:dyDescent="0.25">
      <c r="A107" s="1" t="str">
        <f t="shared" si="1"/>
        <v>15</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1859</v>
      </c>
      <c r="D107" s="1" t="s">
        <v>1860</v>
      </c>
      <c r="E107" s="1" t="s">
        <v>1861</v>
      </c>
      <c r="F107" s="1" t="s">
        <v>112</v>
      </c>
      <c r="G107" s="1">
        <v>3985200</v>
      </c>
    </row>
    <row r="108" spans="1:7" x14ac:dyDescent="0.25">
      <c r="A108" s="1" t="str">
        <f t="shared" si="1"/>
        <v>15</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1862</v>
      </c>
      <c r="D108" s="1" t="s">
        <v>1863</v>
      </c>
      <c r="E108" s="1" t="s">
        <v>1864</v>
      </c>
      <c r="F108" s="1" t="s">
        <v>112</v>
      </c>
      <c r="G108" s="1">
        <v>4234549</v>
      </c>
    </row>
    <row r="109" spans="1:7" x14ac:dyDescent="0.25">
      <c r="A109" s="1" t="str">
        <f t="shared" si="1"/>
        <v>15</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1865</v>
      </c>
      <c r="D109" s="1" t="s">
        <v>1866</v>
      </c>
      <c r="E109" s="1" t="s">
        <v>1867</v>
      </c>
      <c r="F109" s="1" t="s">
        <v>112</v>
      </c>
      <c r="G109" s="1">
        <v>4384228</v>
      </c>
    </row>
    <row r="110" spans="1:7" x14ac:dyDescent="0.25">
      <c r="A110" s="1" t="str">
        <f t="shared" si="1"/>
        <v>15</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1868</v>
      </c>
      <c r="D110" s="1" t="s">
        <v>1869</v>
      </c>
      <c r="E110" s="1" t="s">
        <v>1870</v>
      </c>
      <c r="F110" s="1" t="s">
        <v>112</v>
      </c>
      <c r="G110" s="1">
        <v>1947988</v>
      </c>
    </row>
    <row r="111" spans="1:7" x14ac:dyDescent="0.25">
      <c r="A111" s="1" t="str">
        <f t="shared" si="1"/>
        <v>15</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1871</v>
      </c>
      <c r="D111" s="1" t="s">
        <v>1872</v>
      </c>
      <c r="E111" s="1" t="s">
        <v>1873</v>
      </c>
      <c r="F111" s="1" t="s">
        <v>112</v>
      </c>
      <c r="G111" s="1">
        <v>1988220</v>
      </c>
    </row>
    <row r="112" spans="1:7" x14ac:dyDescent="0.25">
      <c r="A112" s="1" t="str">
        <f t="shared" si="1"/>
        <v>15</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1874</v>
      </c>
      <c r="D112" s="1" t="s">
        <v>1875</v>
      </c>
      <c r="E112" s="1" t="s">
        <v>1876</v>
      </c>
      <c r="F112" s="1" t="s">
        <v>112</v>
      </c>
      <c r="G112" s="1">
        <v>2016706</v>
      </c>
    </row>
    <row r="113" spans="1:10" x14ac:dyDescent="0.25">
      <c r="A113" s="1" t="str">
        <f t="shared" si="1"/>
        <v>15</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1877</v>
      </c>
      <c r="D113" s="1" t="s">
        <v>1878</v>
      </c>
      <c r="E113" s="1" t="s">
        <v>1879</v>
      </c>
      <c r="F113" s="1" t="s">
        <v>112</v>
      </c>
      <c r="G113" s="1">
        <v>1706166</v>
      </c>
    </row>
    <row r="114" spans="1:10" x14ac:dyDescent="0.25">
      <c r="A114" s="1" t="str">
        <f t="shared" si="1"/>
        <v>15</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1880</v>
      </c>
      <c r="D114" s="1" t="s">
        <v>1881</v>
      </c>
      <c r="E114" s="1" t="s">
        <v>1882</v>
      </c>
      <c r="F114" s="1" t="s">
        <v>112</v>
      </c>
      <c r="G114" s="1">
        <v>1664507</v>
      </c>
    </row>
    <row r="115" spans="1:10" x14ac:dyDescent="0.25">
      <c r="A115" s="1" t="str">
        <f t="shared" si="1"/>
        <v>15</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1883</v>
      </c>
      <c r="D115" s="1" t="s">
        <v>1884</v>
      </c>
      <c r="E115" s="1" t="s">
        <v>1885</v>
      </c>
      <c r="F115" s="1" t="s">
        <v>112</v>
      </c>
      <c r="G115" s="1">
        <v>1628753</v>
      </c>
    </row>
    <row r="116" spans="1:10" x14ac:dyDescent="0.25">
      <c r="A116" s="1" t="str">
        <f t="shared" si="1"/>
        <v>15</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1886</v>
      </c>
      <c r="D116" s="1" t="s">
        <v>1887</v>
      </c>
      <c r="E116" s="1" t="s">
        <v>1888</v>
      </c>
      <c r="F116" s="1" t="s">
        <v>112</v>
      </c>
      <c r="G116" s="1">
        <v>4830799</v>
      </c>
    </row>
    <row r="117" spans="1:10" x14ac:dyDescent="0.25">
      <c r="A117" s="1" t="str">
        <f t="shared" si="1"/>
        <v>15</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1889</v>
      </c>
      <c r="D117" s="1" t="s">
        <v>1890</v>
      </c>
      <c r="E117" s="1" t="s">
        <v>1891</v>
      </c>
      <c r="F117" s="1" t="s">
        <v>112</v>
      </c>
      <c r="G117" s="1">
        <v>4904579</v>
      </c>
    </row>
    <row r="118" spans="1:10" x14ac:dyDescent="0.25">
      <c r="A118" s="1" t="str">
        <f t="shared" si="1"/>
        <v>15</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1892</v>
      </c>
      <c r="D118" s="1" t="s">
        <v>1893</v>
      </c>
      <c r="E118" s="1" t="s">
        <v>1894</v>
      </c>
      <c r="F118" s="1" t="s">
        <v>112</v>
      </c>
      <c r="G118" s="1">
        <v>5021813</v>
      </c>
    </row>
    <row r="119" spans="1:10" x14ac:dyDescent="0.25">
      <c r="A119" s="1" t="str">
        <f t="shared" si="1"/>
        <v>15</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1895</v>
      </c>
      <c r="D119" s="1" t="s">
        <v>1896</v>
      </c>
      <c r="E119" s="1" t="s">
        <v>1897</v>
      </c>
      <c r="F119" s="1" t="s">
        <v>112</v>
      </c>
      <c r="G119" s="1">
        <v>4404539</v>
      </c>
    </row>
    <row r="120" spans="1:10" x14ac:dyDescent="0.25">
      <c r="A120" s="1" t="str">
        <f t="shared" si="1"/>
        <v>15</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1898</v>
      </c>
      <c r="D120" s="1" t="s">
        <v>1899</v>
      </c>
      <c r="E120" s="1" t="s">
        <v>1900</v>
      </c>
      <c r="F120" s="1" t="s">
        <v>112</v>
      </c>
      <c r="G120" s="1">
        <v>4711013</v>
      </c>
    </row>
    <row r="121" spans="1:10" x14ac:dyDescent="0.25">
      <c r="A121" s="1" t="str">
        <f t="shared" si="1"/>
        <v>15</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1901</v>
      </c>
      <c r="D121" s="1" t="s">
        <v>1902</v>
      </c>
      <c r="E121" s="1" t="s">
        <v>1903</v>
      </c>
      <c r="F121" s="1" t="s">
        <v>112</v>
      </c>
      <c r="G121" s="1">
        <v>4642316</v>
      </c>
    </row>
    <row r="122" spans="1:10" x14ac:dyDescent="0.25">
      <c r="A122" s="1" t="str">
        <f t="shared" si="1"/>
        <v>15</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1904</v>
      </c>
      <c r="D122" s="1" t="s">
        <v>1905</v>
      </c>
      <c r="E122" s="1" t="s">
        <v>1906</v>
      </c>
      <c r="F122" s="1" t="s">
        <v>112</v>
      </c>
      <c r="G122" s="1">
        <v>3449363</v>
      </c>
    </row>
    <row r="123" spans="1:10" x14ac:dyDescent="0.25">
      <c r="A123" s="1" t="str">
        <f t="shared" si="1"/>
        <v>15</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1907</v>
      </c>
      <c r="D123" s="1" t="s">
        <v>1908</v>
      </c>
      <c r="E123" s="1" t="s">
        <v>1909</v>
      </c>
      <c r="F123" s="1" t="s">
        <v>112</v>
      </c>
      <c r="G123" s="1">
        <v>3506747</v>
      </c>
    </row>
    <row r="124" spans="1:10" x14ac:dyDescent="0.25">
      <c r="A124" s="1" t="str">
        <f t="shared" si="1"/>
        <v>15</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1910</v>
      </c>
      <c r="D124" s="1" t="s">
        <v>1911</v>
      </c>
      <c r="E124" s="1" t="s">
        <v>1912</v>
      </c>
      <c r="F124" s="1" t="s">
        <v>112</v>
      </c>
      <c r="G124" s="1">
        <v>3870086</v>
      </c>
    </row>
    <row r="125" spans="1:10"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10"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219</v>
      </c>
      <c r="D126" s="1" t="s">
        <v>112</v>
      </c>
      <c r="E126" s="1" t="s">
        <v>220</v>
      </c>
      <c r="F126" s="1" t="s">
        <v>221</v>
      </c>
      <c r="G126" s="1" t="s">
        <v>222</v>
      </c>
      <c r="H126" s="1" t="s">
        <v>223</v>
      </c>
      <c r="I126" s="1" t="s">
        <v>224</v>
      </c>
      <c r="J126" s="1" t="s">
        <v>225</v>
      </c>
    </row>
    <row r="127" spans="1:10" x14ac:dyDescent="0.25">
      <c r="A127" s="1" t="str">
        <f t="shared" si="1"/>
        <v>15</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1913</v>
      </c>
      <c r="D127" s="1" t="s">
        <v>112</v>
      </c>
      <c r="E127" s="1" t="s">
        <v>1914</v>
      </c>
      <c r="F127" s="1" t="s">
        <v>1915</v>
      </c>
      <c r="G127" s="1" t="s">
        <v>1916</v>
      </c>
      <c r="H127" s="1" t="s">
        <v>1917</v>
      </c>
      <c r="I127" s="1">
        <v>24</v>
      </c>
      <c r="J127" s="1">
        <v>24</v>
      </c>
    </row>
    <row r="128" spans="1:10"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231</v>
      </c>
      <c r="D133" s="1" t="s">
        <v>110</v>
      </c>
      <c r="E133" s="1" t="s">
        <v>111</v>
      </c>
      <c r="F133" s="1" t="s">
        <v>112</v>
      </c>
      <c r="G133" s="1" t="s">
        <v>113</v>
      </c>
    </row>
    <row r="134" spans="1:7" x14ac:dyDescent="0.25">
      <c r="A134" s="1" t="str">
        <f t="shared" si="2"/>
        <v>16</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1918</v>
      </c>
      <c r="D134" s="1" t="s">
        <v>493</v>
      </c>
      <c r="E134" s="1" t="s">
        <v>1919</v>
      </c>
      <c r="F134" s="1" t="s">
        <v>112</v>
      </c>
      <c r="G134" s="1">
        <v>199752</v>
      </c>
    </row>
    <row r="135" spans="1:7" x14ac:dyDescent="0.25">
      <c r="A135" s="1" t="str">
        <f t="shared" si="2"/>
        <v>16</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1920</v>
      </c>
      <c r="D135" s="1" t="s">
        <v>1921</v>
      </c>
      <c r="E135" s="1" t="s">
        <v>1922</v>
      </c>
      <c r="F135" s="1" t="s">
        <v>112</v>
      </c>
      <c r="G135" s="1">
        <v>61494</v>
      </c>
    </row>
    <row r="136" spans="1:7" x14ac:dyDescent="0.25">
      <c r="A136" s="1" t="str">
        <f t="shared" si="2"/>
        <v>16</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1923</v>
      </c>
      <c r="D136" s="1" t="s">
        <v>1924</v>
      </c>
      <c r="E136" s="1" t="s">
        <v>1925</v>
      </c>
      <c r="F136" s="1" t="s">
        <v>112</v>
      </c>
      <c r="G136" s="1">
        <v>124502</v>
      </c>
    </row>
    <row r="137" spans="1:7" x14ac:dyDescent="0.25">
      <c r="A137" s="1" t="str">
        <f t="shared" si="2"/>
        <v>16</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1926</v>
      </c>
      <c r="D137" s="1" t="s">
        <v>1927</v>
      </c>
      <c r="E137" s="1" t="s">
        <v>1928</v>
      </c>
      <c r="F137" s="1" t="s">
        <v>112</v>
      </c>
      <c r="G137" s="1">
        <v>499110</v>
      </c>
    </row>
    <row r="138" spans="1:7" x14ac:dyDescent="0.25">
      <c r="A138" s="1" t="str">
        <f t="shared" si="2"/>
        <v>16</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1929</v>
      </c>
      <c r="D138" s="1" t="s">
        <v>1930</v>
      </c>
      <c r="E138" s="1" t="s">
        <v>1931</v>
      </c>
      <c r="F138" s="1" t="s">
        <v>112</v>
      </c>
      <c r="G138" s="1">
        <v>367427</v>
      </c>
    </row>
    <row r="139" spans="1:7" x14ac:dyDescent="0.25">
      <c r="A139" s="1" t="str">
        <f t="shared" si="2"/>
        <v>16</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1932</v>
      </c>
      <c r="D139" s="1" t="s">
        <v>1828</v>
      </c>
      <c r="E139" s="1" t="s">
        <v>1933</v>
      </c>
      <c r="F139" s="1" t="s">
        <v>112</v>
      </c>
      <c r="G139" s="1">
        <v>378285</v>
      </c>
    </row>
    <row r="140" spans="1:7" x14ac:dyDescent="0.25">
      <c r="A140" s="1" t="str">
        <f t="shared" si="2"/>
        <v>16</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1934</v>
      </c>
      <c r="D140" s="1" t="s">
        <v>1935</v>
      </c>
      <c r="E140" s="1" t="s">
        <v>1936</v>
      </c>
      <c r="F140" s="1" t="s">
        <v>112</v>
      </c>
      <c r="G140" s="1">
        <v>66598</v>
      </c>
    </row>
    <row r="141" spans="1:7" x14ac:dyDescent="0.25">
      <c r="A141" s="1" t="str">
        <f t="shared" si="2"/>
        <v>16</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1937</v>
      </c>
      <c r="D141" s="1" t="s">
        <v>1549</v>
      </c>
      <c r="E141" s="1" t="s">
        <v>1938</v>
      </c>
      <c r="F141" s="1" t="s">
        <v>112</v>
      </c>
      <c r="G141" s="1">
        <v>194431</v>
      </c>
    </row>
    <row r="142" spans="1:7" x14ac:dyDescent="0.25">
      <c r="A142" s="1" t="str">
        <f t="shared" si="2"/>
        <v>16</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1939</v>
      </c>
      <c r="D142" s="1" t="s">
        <v>1940</v>
      </c>
      <c r="E142" s="1" t="s">
        <v>1941</v>
      </c>
      <c r="F142" s="1" t="s">
        <v>112</v>
      </c>
      <c r="G142" s="1">
        <v>36533</v>
      </c>
    </row>
    <row r="143" spans="1:7" x14ac:dyDescent="0.25">
      <c r="A143" s="1" t="str">
        <f t="shared" si="2"/>
        <v>16</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1942</v>
      </c>
    </row>
    <row r="144" spans="1:7" x14ac:dyDescent="0.25">
      <c r="A144" s="1" t="str">
        <f t="shared" si="2"/>
        <v>16</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1943</v>
      </c>
    </row>
    <row r="145" spans="1:10" x14ac:dyDescent="0.25">
      <c r="A145" s="1" t="str">
        <f t="shared" si="2"/>
        <v>16</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1944</v>
      </c>
      <c r="D145" s="1" t="s">
        <v>1945</v>
      </c>
      <c r="E145" s="1" t="s">
        <v>1946</v>
      </c>
      <c r="F145" s="1" t="s">
        <v>112</v>
      </c>
      <c r="G145" s="1">
        <v>428488</v>
      </c>
    </row>
    <row r="146" spans="1:10" x14ac:dyDescent="0.25">
      <c r="A146" s="1" t="str">
        <f t="shared" si="2"/>
        <v>16</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1947</v>
      </c>
      <c r="D146" s="1" t="s">
        <v>1948</v>
      </c>
      <c r="E146" s="1" t="s">
        <v>1949</v>
      </c>
      <c r="F146" s="1" t="s">
        <v>112</v>
      </c>
      <c r="G146" s="1">
        <v>12913</v>
      </c>
    </row>
    <row r="147" spans="1:10" x14ac:dyDescent="0.25">
      <c r="A147" s="1" t="str">
        <f t="shared" si="2"/>
        <v>16</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1950</v>
      </c>
      <c r="D147" s="1" t="s">
        <v>988</v>
      </c>
      <c r="E147" s="1" t="s">
        <v>1951</v>
      </c>
      <c r="F147" s="1" t="s">
        <v>112</v>
      </c>
      <c r="G147" s="1">
        <v>184481</v>
      </c>
    </row>
    <row r="148" spans="1:10" x14ac:dyDescent="0.25">
      <c r="A148" s="1" t="str">
        <f t="shared" si="2"/>
        <v>16</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1952</v>
      </c>
      <c r="D148" s="1" t="s">
        <v>469</v>
      </c>
      <c r="E148" s="1" t="s">
        <v>1953</v>
      </c>
      <c r="F148" s="1" t="s">
        <v>112</v>
      </c>
      <c r="G148" s="1">
        <v>108236</v>
      </c>
    </row>
    <row r="149" spans="1:10" x14ac:dyDescent="0.25">
      <c r="A149" s="1" t="str">
        <f t="shared" si="2"/>
        <v>16</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1954</v>
      </c>
      <c r="D149" s="1" t="s">
        <v>1084</v>
      </c>
      <c r="E149" s="1" t="s">
        <v>1955</v>
      </c>
      <c r="F149" s="1" t="s">
        <v>112</v>
      </c>
      <c r="G149" s="1">
        <v>124004</v>
      </c>
    </row>
    <row r="150" spans="1:10" x14ac:dyDescent="0.25">
      <c r="A150" s="1" t="str">
        <f t="shared" si="2"/>
        <v>16</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1956</v>
      </c>
      <c r="D150" s="1" t="s">
        <v>1957</v>
      </c>
      <c r="E150" s="1" t="s">
        <v>1958</v>
      </c>
      <c r="F150" s="1" t="s">
        <v>112</v>
      </c>
      <c r="G150" s="1">
        <v>296092</v>
      </c>
    </row>
    <row r="151" spans="1:10" x14ac:dyDescent="0.25">
      <c r="A151" s="1" t="str">
        <f t="shared" si="2"/>
        <v>16</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1959</v>
      </c>
      <c r="D151" s="1" t="s">
        <v>1960</v>
      </c>
      <c r="E151" s="1" t="s">
        <v>1961</v>
      </c>
      <c r="F151" s="1" t="s">
        <v>112</v>
      </c>
      <c r="G151" s="1">
        <v>148943</v>
      </c>
    </row>
    <row r="152" spans="1:10" x14ac:dyDescent="0.25">
      <c r="A152" s="1" t="str">
        <f t="shared" si="2"/>
        <v>16</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1962</v>
      </c>
      <c r="D152" s="1" t="s">
        <v>1535</v>
      </c>
      <c r="E152" s="1" t="s">
        <v>1963</v>
      </c>
      <c r="F152" s="1" t="s">
        <v>112</v>
      </c>
      <c r="G152" s="1">
        <v>4802</v>
      </c>
    </row>
    <row r="153" spans="1:10" x14ac:dyDescent="0.25">
      <c r="A153" s="1" t="str">
        <f t="shared" si="2"/>
        <v>16</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1964</v>
      </c>
      <c r="D153" s="1" t="s">
        <v>1025</v>
      </c>
      <c r="E153" s="1" t="s">
        <v>1965</v>
      </c>
      <c r="F153" s="1" t="s">
        <v>112</v>
      </c>
      <c r="G153" s="1">
        <v>1319</v>
      </c>
    </row>
    <row r="154" spans="1:10" x14ac:dyDescent="0.25">
      <c r="A154" s="1" t="str">
        <f t="shared" si="2"/>
        <v>16</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1966</v>
      </c>
      <c r="D154" s="1" t="s">
        <v>1967</v>
      </c>
      <c r="E154" s="1" t="s">
        <v>1968</v>
      </c>
      <c r="F154" s="1" t="s">
        <v>112</v>
      </c>
      <c r="G154" s="1">
        <v>15682</v>
      </c>
    </row>
    <row r="155" spans="1:10" x14ac:dyDescent="0.25">
      <c r="A155" s="1" t="str">
        <f t="shared" si="2"/>
        <v>16</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1969</v>
      </c>
      <c r="D155" s="1" t="s">
        <v>1970</v>
      </c>
      <c r="E155" s="1" t="s">
        <v>1971</v>
      </c>
      <c r="F155" s="1" t="s">
        <v>112</v>
      </c>
      <c r="G155" s="1">
        <v>37960</v>
      </c>
    </row>
    <row r="156" spans="1:10" x14ac:dyDescent="0.25">
      <c r="A156" s="1" t="str">
        <f t="shared" si="2"/>
        <v>16</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1972</v>
      </c>
      <c r="D156" s="1" t="s">
        <v>1030</v>
      </c>
      <c r="E156" s="1" t="s">
        <v>1965</v>
      </c>
      <c r="F156" s="1" t="s">
        <v>112</v>
      </c>
      <c r="G156" s="1">
        <v>2639</v>
      </c>
    </row>
    <row r="157" spans="1:10" x14ac:dyDescent="0.25">
      <c r="A157" s="1" t="str">
        <f t="shared" si="2"/>
        <v>16</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1973</v>
      </c>
      <c r="D157" s="1">
        <v>0</v>
      </c>
      <c r="E157" s="1">
        <v>0</v>
      </c>
      <c r="F157" s="1" t="s">
        <v>112</v>
      </c>
      <c r="G157" s="1">
        <v>0</v>
      </c>
    </row>
    <row r="158" spans="1:10"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10"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219</v>
      </c>
      <c r="D159" s="1" t="s">
        <v>112</v>
      </c>
      <c r="E159" s="1" t="s">
        <v>220</v>
      </c>
      <c r="F159" s="1" t="s">
        <v>221</v>
      </c>
      <c r="G159" s="1" t="s">
        <v>222</v>
      </c>
      <c r="H159" s="1" t="s">
        <v>223</v>
      </c>
      <c r="I159" s="1" t="s">
        <v>224</v>
      </c>
      <c r="J159" s="1" t="s">
        <v>225</v>
      </c>
    </row>
    <row r="160" spans="1:10" x14ac:dyDescent="0.25">
      <c r="A160" s="1" t="str">
        <f t="shared" si="2"/>
        <v>16</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1974</v>
      </c>
      <c r="D160" s="1" t="s">
        <v>112</v>
      </c>
      <c r="E160" s="1" t="s">
        <v>1975</v>
      </c>
      <c r="F160" s="1" t="s">
        <v>1976</v>
      </c>
      <c r="G160" s="1" t="s">
        <v>1977</v>
      </c>
      <c r="H160" s="1" t="s">
        <v>1978</v>
      </c>
      <c r="I160" s="1">
        <v>23</v>
      </c>
      <c r="J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231</v>
      </c>
      <c r="D166" s="1" t="s">
        <v>110</v>
      </c>
      <c r="E166" s="1" t="s">
        <v>111</v>
      </c>
      <c r="F166" s="1" t="s">
        <v>112</v>
      </c>
      <c r="G166" s="1" t="s">
        <v>113</v>
      </c>
    </row>
    <row r="167" spans="1:7" x14ac:dyDescent="0.25">
      <c r="A167" s="1" t="str">
        <f t="shared" si="2"/>
        <v>2</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1979</v>
      </c>
      <c r="D167" s="1" t="s">
        <v>1413</v>
      </c>
      <c r="E167" s="1" t="s">
        <v>1980</v>
      </c>
      <c r="F167" s="1" t="s">
        <v>112</v>
      </c>
      <c r="G167" s="1">
        <v>118597</v>
      </c>
    </row>
    <row r="168" spans="1:7" x14ac:dyDescent="0.25">
      <c r="A168" s="1" t="str">
        <f t="shared" si="2"/>
        <v>2</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1981</v>
      </c>
      <c r="D168" s="1" t="s">
        <v>1982</v>
      </c>
      <c r="E168" s="1" t="s">
        <v>1983</v>
      </c>
      <c r="F168" s="1" t="s">
        <v>112</v>
      </c>
      <c r="G168" s="1">
        <v>105662</v>
      </c>
    </row>
    <row r="169" spans="1:7" x14ac:dyDescent="0.25">
      <c r="A169" s="1" t="str">
        <f t="shared" si="2"/>
        <v>2</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1984</v>
      </c>
      <c r="D169" s="1" t="s">
        <v>1386</v>
      </c>
      <c r="E169" s="1" t="s">
        <v>1985</v>
      </c>
      <c r="F169" s="1" t="s">
        <v>112</v>
      </c>
      <c r="G169" s="1">
        <v>59158</v>
      </c>
    </row>
    <row r="170" spans="1:7" x14ac:dyDescent="0.25">
      <c r="A170" s="1" t="str">
        <f t="shared" si="2"/>
        <v>2</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1986</v>
      </c>
      <c r="D170" s="1" t="s">
        <v>1987</v>
      </c>
      <c r="E170" s="1" t="s">
        <v>1988</v>
      </c>
      <c r="F170" s="1" t="s">
        <v>112</v>
      </c>
      <c r="G170" s="1">
        <v>96815</v>
      </c>
    </row>
    <row r="171" spans="1:7" x14ac:dyDescent="0.25">
      <c r="A171" s="1" t="str">
        <f t="shared" si="2"/>
        <v>2</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1989</v>
      </c>
      <c r="D171" s="1" t="s">
        <v>208</v>
      </c>
      <c r="E171" s="1">
        <v>30</v>
      </c>
      <c r="F171" s="1" t="s">
        <v>112</v>
      </c>
      <c r="G171" s="1">
        <v>649</v>
      </c>
    </row>
    <row r="172" spans="1:7" x14ac:dyDescent="0.25">
      <c r="A172" s="1" t="str">
        <f t="shared" si="2"/>
        <v>2</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1990</v>
      </c>
      <c r="D172" s="1" t="s">
        <v>1991</v>
      </c>
      <c r="E172" s="1" t="s">
        <v>1992</v>
      </c>
      <c r="F172" s="1" t="s">
        <v>112</v>
      </c>
      <c r="G172" s="1">
        <v>280086</v>
      </c>
    </row>
    <row r="173" spans="1:7" x14ac:dyDescent="0.25">
      <c r="A173" s="1" t="str">
        <f t="shared" si="2"/>
        <v>2</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1993</v>
      </c>
      <c r="D173" s="1" t="s">
        <v>1994</v>
      </c>
      <c r="E173" s="1" t="s">
        <v>1995</v>
      </c>
      <c r="F173" s="1" t="s">
        <v>112</v>
      </c>
      <c r="G173" s="1">
        <v>947735</v>
      </c>
    </row>
    <row r="174" spans="1:7" x14ac:dyDescent="0.25">
      <c r="A174" s="1" t="str">
        <f t="shared" si="2"/>
        <v>2</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1996</v>
      </c>
      <c r="D174" s="1" t="s">
        <v>1997</v>
      </c>
      <c r="E174" s="1" t="s">
        <v>1998</v>
      </c>
      <c r="F174" s="1" t="s">
        <v>112</v>
      </c>
      <c r="G174" s="1">
        <v>600121</v>
      </c>
    </row>
    <row r="175" spans="1:7" x14ac:dyDescent="0.25">
      <c r="A175" s="1" t="str">
        <f t="shared" si="2"/>
        <v>2</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1999</v>
      </c>
      <c r="D175" s="1" t="s">
        <v>2000</v>
      </c>
      <c r="E175" s="1" t="s">
        <v>2001</v>
      </c>
      <c r="F175" s="1" t="s">
        <v>112</v>
      </c>
      <c r="G175" s="1">
        <v>718350</v>
      </c>
    </row>
    <row r="176" spans="1:7" x14ac:dyDescent="0.25">
      <c r="A176" s="1" t="str">
        <f t="shared" si="2"/>
        <v>2</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2002</v>
      </c>
      <c r="D176" s="1" t="s">
        <v>2003</v>
      </c>
      <c r="E176" s="1" t="s">
        <v>2004</v>
      </c>
      <c r="F176" s="1" t="s">
        <v>112</v>
      </c>
      <c r="G176" s="1">
        <v>27643</v>
      </c>
    </row>
    <row r="177" spans="1:10" x14ac:dyDescent="0.25">
      <c r="A177" s="1" t="str">
        <f t="shared" si="2"/>
        <v>2</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2005</v>
      </c>
      <c r="D177" s="1" t="s">
        <v>1694</v>
      </c>
      <c r="E177" s="1" t="s">
        <v>2006</v>
      </c>
      <c r="F177" s="1" t="s">
        <v>112</v>
      </c>
      <c r="G177" s="1">
        <v>163544</v>
      </c>
    </row>
    <row r="178" spans="1:10" x14ac:dyDescent="0.25">
      <c r="A178" s="1" t="str">
        <f t="shared" si="2"/>
        <v>2</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2007</v>
      </c>
      <c r="D178" s="1" t="s">
        <v>2008</v>
      </c>
      <c r="E178" s="1" t="s">
        <v>2009</v>
      </c>
      <c r="F178" s="1" t="s">
        <v>112</v>
      </c>
      <c r="G178" s="1">
        <v>42870</v>
      </c>
    </row>
    <row r="179" spans="1:10" x14ac:dyDescent="0.25">
      <c r="A179" s="1" t="str">
        <f t="shared" si="2"/>
        <v>2</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2010</v>
      </c>
      <c r="D179" s="1" t="s">
        <v>641</v>
      </c>
      <c r="E179" s="1" t="s">
        <v>2011</v>
      </c>
      <c r="F179" s="1" t="s">
        <v>112</v>
      </c>
      <c r="G179" s="1">
        <v>139340</v>
      </c>
    </row>
    <row r="180" spans="1:10" x14ac:dyDescent="0.25">
      <c r="A180" s="1" t="str">
        <f t="shared" si="2"/>
        <v>2</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2012</v>
      </c>
      <c r="D180" s="1" t="s">
        <v>2013</v>
      </c>
      <c r="E180" s="1" t="s">
        <v>2014</v>
      </c>
      <c r="F180" s="1" t="s">
        <v>112</v>
      </c>
      <c r="G180" s="1">
        <v>110723</v>
      </c>
    </row>
    <row r="181" spans="1:10" x14ac:dyDescent="0.25">
      <c r="A181" s="1" t="str">
        <f t="shared" si="2"/>
        <v>2</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2015</v>
      </c>
      <c r="D181" s="1" t="s">
        <v>2016</v>
      </c>
      <c r="E181" s="1" t="s">
        <v>2017</v>
      </c>
      <c r="F181" s="1" t="s">
        <v>112</v>
      </c>
      <c r="G181" s="1">
        <v>102785</v>
      </c>
    </row>
    <row r="182" spans="1:10" x14ac:dyDescent="0.25">
      <c r="A182" s="1" t="str">
        <f t="shared" si="2"/>
        <v>2</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2018</v>
      </c>
      <c r="D182" s="1" t="s">
        <v>2016</v>
      </c>
      <c r="E182" s="1" t="s">
        <v>2019</v>
      </c>
      <c r="F182" s="1" t="s">
        <v>112</v>
      </c>
      <c r="G182" s="1">
        <v>95885</v>
      </c>
    </row>
    <row r="183" spans="1:10" x14ac:dyDescent="0.25">
      <c r="A183" s="1" t="str">
        <f t="shared" si="2"/>
        <v>2</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2020</v>
      </c>
      <c r="D183" s="1" t="s">
        <v>525</v>
      </c>
      <c r="E183" s="1" t="s">
        <v>2021</v>
      </c>
      <c r="F183" s="1" t="s">
        <v>112</v>
      </c>
      <c r="G183" s="1">
        <v>106095</v>
      </c>
    </row>
    <row r="184" spans="1:10" x14ac:dyDescent="0.25">
      <c r="A184" s="1" t="str">
        <f t="shared" si="2"/>
        <v>2</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2022</v>
      </c>
      <c r="D184" s="1" t="s">
        <v>2023</v>
      </c>
      <c r="E184" s="1" t="s">
        <v>2024</v>
      </c>
      <c r="F184" s="1" t="s">
        <v>112</v>
      </c>
      <c r="G184" s="1">
        <v>48148</v>
      </c>
    </row>
    <row r="185" spans="1:10" x14ac:dyDescent="0.25">
      <c r="A185" s="1" t="str">
        <f t="shared" si="2"/>
        <v>2</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2025</v>
      </c>
      <c r="D185" s="1" t="s">
        <v>1957</v>
      </c>
      <c r="E185" s="1" t="s">
        <v>2026</v>
      </c>
      <c r="F185" s="1" t="s">
        <v>112</v>
      </c>
      <c r="G185" s="1">
        <v>283936</v>
      </c>
    </row>
    <row r="186" spans="1:10" x14ac:dyDescent="0.25">
      <c r="A186" s="1" t="str">
        <f t="shared" si="2"/>
        <v>2</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2027</v>
      </c>
      <c r="D186" s="1" t="s">
        <v>2028</v>
      </c>
      <c r="E186" s="1" t="s">
        <v>2029</v>
      </c>
      <c r="F186" s="1" t="s">
        <v>112</v>
      </c>
      <c r="G186" s="1">
        <v>201072</v>
      </c>
    </row>
    <row r="187" spans="1:10" x14ac:dyDescent="0.25">
      <c r="A187" s="1" t="str">
        <f t="shared" si="2"/>
        <v>2</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2030</v>
      </c>
      <c r="D187" s="1" t="s">
        <v>1526</v>
      </c>
      <c r="E187" s="1" t="s">
        <v>2031</v>
      </c>
      <c r="F187" s="1" t="s">
        <v>112</v>
      </c>
      <c r="G187" s="1">
        <v>95345</v>
      </c>
    </row>
    <row r="188" spans="1:10" x14ac:dyDescent="0.25">
      <c r="A188" s="1" t="str">
        <f t="shared" si="2"/>
        <v>2</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2032</v>
      </c>
      <c r="D188" s="1" t="s">
        <v>149</v>
      </c>
      <c r="E188" s="1" t="s">
        <v>2033</v>
      </c>
      <c r="F188" s="1" t="s">
        <v>112</v>
      </c>
      <c r="G188" s="1">
        <v>196010</v>
      </c>
    </row>
    <row r="189" spans="1:10" x14ac:dyDescent="0.25">
      <c r="A189" s="1" t="str">
        <f t="shared" si="2"/>
        <v>2</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2034</v>
      </c>
      <c r="D189" s="1" t="s">
        <v>2035</v>
      </c>
      <c r="E189" s="1" t="s">
        <v>2036</v>
      </c>
      <c r="F189" s="1" t="s">
        <v>112</v>
      </c>
      <c r="G189" s="1">
        <v>124696</v>
      </c>
    </row>
    <row r="190" spans="1:10" x14ac:dyDescent="0.25">
      <c r="A190" s="1" t="str">
        <f t="shared" si="2"/>
        <v>2</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2037</v>
      </c>
      <c r="D190" s="1" t="s">
        <v>2038</v>
      </c>
      <c r="E190" s="1" t="s">
        <v>2039</v>
      </c>
      <c r="F190" s="1" t="s">
        <v>112</v>
      </c>
      <c r="G190" s="1">
        <v>40102</v>
      </c>
    </row>
    <row r="191" spans="1:10"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10"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219</v>
      </c>
      <c r="D192" s="1" t="s">
        <v>112</v>
      </c>
      <c r="E192" s="1" t="s">
        <v>220</v>
      </c>
      <c r="F192" s="1" t="s">
        <v>221</v>
      </c>
      <c r="G192" s="1" t="s">
        <v>222</v>
      </c>
      <c r="H192" s="1" t="s">
        <v>223</v>
      </c>
      <c r="I192" s="1" t="s">
        <v>224</v>
      </c>
      <c r="J192" s="1" t="s">
        <v>225</v>
      </c>
    </row>
    <row r="193" spans="1:10" x14ac:dyDescent="0.25">
      <c r="A193" s="1" t="str">
        <f t="shared" si="2"/>
        <v>2</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2040</v>
      </c>
      <c r="D193" s="1" t="s">
        <v>112</v>
      </c>
      <c r="E193" s="1" t="s">
        <v>2041</v>
      </c>
      <c r="F193" s="1" t="s">
        <v>2042</v>
      </c>
      <c r="G193" s="1" t="s">
        <v>2043</v>
      </c>
      <c r="H193" s="1" t="s">
        <v>2044</v>
      </c>
      <c r="I193" s="1">
        <v>24</v>
      </c>
      <c r="J193" s="1">
        <v>24</v>
      </c>
    </row>
    <row r="194" spans="1:10"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10"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10"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10"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10"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10"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231</v>
      </c>
      <c r="D199" s="1" t="s">
        <v>110</v>
      </c>
      <c r="E199" s="1" t="s">
        <v>111</v>
      </c>
      <c r="F199" s="1" t="s">
        <v>112</v>
      </c>
      <c r="G199" s="1" t="s">
        <v>113</v>
      </c>
    </row>
    <row r="200" spans="1:10" x14ac:dyDescent="0.25">
      <c r="A200" s="1" t="str">
        <f t="shared" si="3"/>
        <v>3</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2045</v>
      </c>
    </row>
    <row r="201" spans="1:10" x14ac:dyDescent="0.25">
      <c r="A201" s="1" t="str">
        <f t="shared" si="3"/>
        <v>3</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2046</v>
      </c>
    </row>
    <row r="202" spans="1:10" x14ac:dyDescent="0.25">
      <c r="A202" s="1" t="str">
        <f t="shared" si="3"/>
        <v>3</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2047</v>
      </c>
    </row>
    <row r="203" spans="1:10" x14ac:dyDescent="0.25">
      <c r="A203" s="1" t="str">
        <f t="shared" si="3"/>
        <v>3</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2048</v>
      </c>
      <c r="D203" s="1" t="s">
        <v>2049</v>
      </c>
      <c r="E203" s="1" t="s">
        <v>2050</v>
      </c>
      <c r="F203" s="1" t="s">
        <v>112</v>
      </c>
      <c r="G203" s="1">
        <v>47153</v>
      </c>
    </row>
    <row r="204" spans="1:10" x14ac:dyDescent="0.25">
      <c r="A204" s="1" t="str">
        <f t="shared" si="3"/>
        <v>3</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2051</v>
      </c>
      <c r="D204" s="1" t="s">
        <v>1526</v>
      </c>
      <c r="E204" s="1" t="s">
        <v>2052</v>
      </c>
      <c r="F204" s="1" t="s">
        <v>112</v>
      </c>
      <c r="G204" s="1">
        <v>92122</v>
      </c>
    </row>
    <row r="205" spans="1:10" x14ac:dyDescent="0.25">
      <c r="A205" s="1" t="str">
        <f t="shared" si="3"/>
        <v>3</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2053</v>
      </c>
      <c r="D205" s="1" t="s">
        <v>2054</v>
      </c>
      <c r="E205" s="1" t="s">
        <v>2055</v>
      </c>
      <c r="F205" s="1" t="s">
        <v>112</v>
      </c>
      <c r="G205" s="1">
        <v>147170</v>
      </c>
    </row>
    <row r="206" spans="1:10" x14ac:dyDescent="0.25">
      <c r="A206" s="1" t="str">
        <f t="shared" si="3"/>
        <v>3</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2056</v>
      </c>
      <c r="D206" s="1" t="s">
        <v>2057</v>
      </c>
      <c r="E206" s="1" t="s">
        <v>2058</v>
      </c>
      <c r="F206" s="1" t="s">
        <v>112</v>
      </c>
      <c r="G206" s="1">
        <v>46115</v>
      </c>
    </row>
    <row r="207" spans="1:10" x14ac:dyDescent="0.25">
      <c r="A207" s="1" t="str">
        <f t="shared" si="3"/>
        <v>3</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2059</v>
      </c>
      <c r="D207" s="1">
        <v>0</v>
      </c>
      <c r="E207" s="1">
        <v>0</v>
      </c>
      <c r="F207" s="1" t="s">
        <v>112</v>
      </c>
      <c r="G207" s="1">
        <v>0</v>
      </c>
    </row>
    <row r="208" spans="1:10" x14ac:dyDescent="0.25">
      <c r="A208" s="1" t="str">
        <f t="shared" si="3"/>
        <v>3</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2060</v>
      </c>
      <c r="D208" s="1" t="s">
        <v>452</v>
      </c>
      <c r="E208" s="1" t="s">
        <v>2061</v>
      </c>
      <c r="F208" s="1" t="s">
        <v>112</v>
      </c>
      <c r="G208" s="1">
        <v>153983</v>
      </c>
    </row>
    <row r="209" spans="1:7" x14ac:dyDescent="0.25">
      <c r="A209" s="1" t="str">
        <f t="shared" si="3"/>
        <v>3</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2062</v>
      </c>
      <c r="D209" s="1" t="s">
        <v>1596</v>
      </c>
      <c r="E209" s="1" t="s">
        <v>2063</v>
      </c>
      <c r="F209" s="1" t="s">
        <v>112</v>
      </c>
      <c r="G209" s="1">
        <v>238686</v>
      </c>
    </row>
    <row r="210" spans="1:7" x14ac:dyDescent="0.25">
      <c r="A210" s="1" t="str">
        <f t="shared" si="3"/>
        <v>3</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2064</v>
      </c>
      <c r="D210" s="1" t="s">
        <v>2065</v>
      </c>
      <c r="E210" s="1" t="s">
        <v>2066</v>
      </c>
      <c r="F210" s="1" t="s">
        <v>112</v>
      </c>
      <c r="G210" s="1">
        <v>488338</v>
      </c>
    </row>
    <row r="211" spans="1:7" x14ac:dyDescent="0.25">
      <c r="A211" s="1" t="str">
        <f t="shared" si="3"/>
        <v>3</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2067</v>
      </c>
      <c r="D211" s="1" t="s">
        <v>2068</v>
      </c>
      <c r="E211" s="1" t="s">
        <v>2069</v>
      </c>
      <c r="F211" s="1" t="s">
        <v>112</v>
      </c>
      <c r="G211" s="1">
        <v>398228</v>
      </c>
    </row>
    <row r="212" spans="1:7" x14ac:dyDescent="0.25">
      <c r="A212" s="1" t="str">
        <f t="shared" si="3"/>
        <v>3</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2070</v>
      </c>
    </row>
    <row r="213" spans="1:7" x14ac:dyDescent="0.25">
      <c r="A213" s="1" t="str">
        <f t="shared" si="3"/>
        <v>3</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2071</v>
      </c>
    </row>
    <row r="214" spans="1:7" x14ac:dyDescent="0.25">
      <c r="A214" s="1" t="str">
        <f t="shared" si="3"/>
        <v>3</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2072</v>
      </c>
    </row>
    <row r="215" spans="1:7" x14ac:dyDescent="0.25">
      <c r="A215" s="1" t="str">
        <f t="shared" si="3"/>
        <v>3</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2073</v>
      </c>
      <c r="D215" s="1" t="s">
        <v>502</v>
      </c>
      <c r="E215" s="1" t="s">
        <v>2074</v>
      </c>
      <c r="F215" s="1" t="s">
        <v>112</v>
      </c>
      <c r="G215" s="1">
        <v>30347</v>
      </c>
    </row>
    <row r="216" spans="1:7" x14ac:dyDescent="0.25">
      <c r="A216" s="1" t="str">
        <f t="shared" si="3"/>
        <v>3</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2075</v>
      </c>
      <c r="D216" s="1" t="s">
        <v>196</v>
      </c>
      <c r="E216" s="1">
        <v>31</v>
      </c>
      <c r="F216" s="1" t="s">
        <v>112</v>
      </c>
      <c r="G216" s="1">
        <v>6035</v>
      </c>
    </row>
    <row r="217" spans="1:7" x14ac:dyDescent="0.25">
      <c r="A217" s="1" t="str">
        <f t="shared" si="3"/>
        <v>3</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2076</v>
      </c>
      <c r="D217" s="1" t="s">
        <v>1015</v>
      </c>
      <c r="E217" s="1" t="s">
        <v>2077</v>
      </c>
      <c r="F217" s="1" t="s">
        <v>112</v>
      </c>
      <c r="G217" s="1">
        <v>27859</v>
      </c>
    </row>
    <row r="218" spans="1:7" x14ac:dyDescent="0.25">
      <c r="A218" s="1" t="str">
        <f t="shared" si="3"/>
        <v>3</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2078</v>
      </c>
      <c r="D218" s="1">
        <v>0</v>
      </c>
      <c r="E218" s="1">
        <v>0</v>
      </c>
      <c r="F218" s="1" t="s">
        <v>112</v>
      </c>
      <c r="G218" s="1">
        <v>0</v>
      </c>
    </row>
    <row r="219" spans="1:7" x14ac:dyDescent="0.25">
      <c r="A219" s="1" t="str">
        <f t="shared" si="3"/>
        <v>3</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2079</v>
      </c>
      <c r="D219" s="1" t="s">
        <v>2080</v>
      </c>
      <c r="E219" s="1" t="s">
        <v>2081</v>
      </c>
      <c r="F219" s="1" t="s">
        <v>112</v>
      </c>
      <c r="G219" s="1">
        <v>397817</v>
      </c>
    </row>
    <row r="220" spans="1:7" x14ac:dyDescent="0.25">
      <c r="A220" s="1" t="str">
        <f t="shared" si="3"/>
        <v>3</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2082</v>
      </c>
    </row>
    <row r="221" spans="1:7" x14ac:dyDescent="0.25">
      <c r="A221" s="1" t="str">
        <f t="shared" si="3"/>
        <v>3</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2083</v>
      </c>
      <c r="D221" s="1" t="s">
        <v>651</v>
      </c>
      <c r="E221" s="1" t="s">
        <v>2084</v>
      </c>
      <c r="F221" s="1" t="s">
        <v>112</v>
      </c>
      <c r="G221" s="1">
        <v>82323</v>
      </c>
    </row>
    <row r="222" spans="1:7" x14ac:dyDescent="0.25">
      <c r="A222" s="1" t="str">
        <f t="shared" si="3"/>
        <v>3</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2085</v>
      </c>
    </row>
    <row r="223" spans="1:7" x14ac:dyDescent="0.25">
      <c r="A223" s="1" t="str">
        <f t="shared" si="3"/>
        <v>3</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2086</v>
      </c>
      <c r="D223" s="1" t="s">
        <v>2087</v>
      </c>
      <c r="E223" s="1" t="s">
        <v>2088</v>
      </c>
      <c r="F223" s="1" t="s">
        <v>112</v>
      </c>
      <c r="G223" s="1">
        <v>19056</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10"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219</v>
      </c>
      <c r="D225" s="1" t="s">
        <v>112</v>
      </c>
      <c r="E225" s="1" t="s">
        <v>220</v>
      </c>
      <c r="F225" s="1" t="s">
        <v>221</v>
      </c>
      <c r="G225" s="1" t="s">
        <v>222</v>
      </c>
      <c r="H225" s="1" t="s">
        <v>223</v>
      </c>
      <c r="I225" s="1" t="s">
        <v>224</v>
      </c>
      <c r="J225" s="1" t="s">
        <v>225</v>
      </c>
    </row>
    <row r="226" spans="1:10" x14ac:dyDescent="0.25">
      <c r="A226" s="1" t="str">
        <f t="shared" si="3"/>
        <v>3</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2089</v>
      </c>
      <c r="D226" s="1" t="s">
        <v>112</v>
      </c>
      <c r="E226" s="1" t="s">
        <v>2090</v>
      </c>
      <c r="F226" s="1" t="s">
        <v>2091</v>
      </c>
      <c r="G226" s="1" t="s">
        <v>2092</v>
      </c>
      <c r="H226" s="1" t="s">
        <v>2093</v>
      </c>
      <c r="I226" s="1">
        <v>18</v>
      </c>
      <c r="J226" s="1">
        <v>24</v>
      </c>
    </row>
    <row r="227" spans="1:10"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10"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10"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10"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10"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10"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231</v>
      </c>
      <c r="D232" s="1" t="s">
        <v>110</v>
      </c>
      <c r="E232" s="1" t="s">
        <v>111</v>
      </c>
      <c r="F232" s="1" t="s">
        <v>112</v>
      </c>
      <c r="G232" s="1" t="s">
        <v>113</v>
      </c>
    </row>
    <row r="233" spans="1:10" x14ac:dyDescent="0.25">
      <c r="A233" s="1" t="str">
        <f t="shared" si="3"/>
        <v>4</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2094</v>
      </c>
      <c r="D233" s="1" t="s">
        <v>2095</v>
      </c>
      <c r="E233" s="1" t="s">
        <v>2096</v>
      </c>
      <c r="F233" s="1" t="s">
        <v>112</v>
      </c>
      <c r="G233" s="1">
        <v>430976</v>
      </c>
    </row>
    <row r="234" spans="1:10" x14ac:dyDescent="0.25">
      <c r="A234" s="1" t="str">
        <f t="shared" si="3"/>
        <v>4</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2097</v>
      </c>
      <c r="D234" s="1" t="s">
        <v>2054</v>
      </c>
      <c r="E234" s="1" t="s">
        <v>2098</v>
      </c>
      <c r="F234" s="1" t="s">
        <v>112</v>
      </c>
      <c r="G234" s="1">
        <v>131229</v>
      </c>
    </row>
    <row r="235" spans="1:10" x14ac:dyDescent="0.25">
      <c r="A235" s="1" t="str">
        <f t="shared" si="3"/>
        <v>4</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2099</v>
      </c>
      <c r="D235" s="1" t="s">
        <v>1991</v>
      </c>
      <c r="E235" s="1" t="s">
        <v>2100</v>
      </c>
      <c r="F235" s="1" t="s">
        <v>112</v>
      </c>
      <c r="G235" s="1">
        <v>271152</v>
      </c>
    </row>
    <row r="236" spans="1:10" x14ac:dyDescent="0.25">
      <c r="A236" s="1" t="str">
        <f t="shared" si="3"/>
        <v>4</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2101</v>
      </c>
      <c r="D236" s="1" t="s">
        <v>2102</v>
      </c>
      <c r="E236" s="1" t="s">
        <v>2103</v>
      </c>
      <c r="F236" s="1" t="s">
        <v>112</v>
      </c>
      <c r="G236" s="1">
        <v>2469052</v>
      </c>
    </row>
    <row r="237" spans="1:10" x14ac:dyDescent="0.25">
      <c r="A237" s="1" t="str">
        <f t="shared" si="3"/>
        <v>4</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2104</v>
      </c>
    </row>
    <row r="238" spans="1:10" x14ac:dyDescent="0.25">
      <c r="A238" s="1" t="str">
        <f t="shared" si="3"/>
        <v>4</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2105</v>
      </c>
      <c r="D238" s="1" t="s">
        <v>769</v>
      </c>
      <c r="E238" s="1" t="s">
        <v>2106</v>
      </c>
      <c r="F238" s="1" t="s">
        <v>112</v>
      </c>
      <c r="G238" s="1">
        <v>1838563</v>
      </c>
    </row>
    <row r="239" spans="1:10" x14ac:dyDescent="0.25">
      <c r="A239" s="1" t="str">
        <f t="shared" si="3"/>
        <v>4</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2107</v>
      </c>
      <c r="D239" s="1" t="s">
        <v>2108</v>
      </c>
      <c r="E239" s="1" t="s">
        <v>2109</v>
      </c>
      <c r="F239" s="1" t="s">
        <v>112</v>
      </c>
      <c r="G239" s="1">
        <v>1287433</v>
      </c>
    </row>
    <row r="240" spans="1:10" x14ac:dyDescent="0.25">
      <c r="A240" s="1" t="str">
        <f t="shared" si="3"/>
        <v>4</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2110</v>
      </c>
      <c r="D240" s="1" t="s">
        <v>2111</v>
      </c>
      <c r="E240" s="1" t="s">
        <v>2112</v>
      </c>
      <c r="F240" s="1" t="s">
        <v>112</v>
      </c>
      <c r="G240" s="1">
        <v>2005762</v>
      </c>
    </row>
    <row r="241" spans="1:7" x14ac:dyDescent="0.25">
      <c r="A241" s="1" t="str">
        <f t="shared" si="3"/>
        <v>4</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2113</v>
      </c>
      <c r="D241" s="1" t="s">
        <v>2114</v>
      </c>
      <c r="E241" s="1" t="s">
        <v>2115</v>
      </c>
      <c r="F241" s="1" t="s">
        <v>112</v>
      </c>
      <c r="G241" s="1">
        <v>1571953</v>
      </c>
    </row>
    <row r="242" spans="1:7" x14ac:dyDescent="0.25">
      <c r="A242" s="1" t="str">
        <f t="shared" si="3"/>
        <v>4</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2116</v>
      </c>
      <c r="D242" s="1" t="s">
        <v>2117</v>
      </c>
      <c r="E242" s="1" t="s">
        <v>2118</v>
      </c>
      <c r="F242" s="1" t="s">
        <v>112</v>
      </c>
      <c r="G242" s="1">
        <v>1697082</v>
      </c>
    </row>
    <row r="243" spans="1:7" x14ac:dyDescent="0.25">
      <c r="A243" s="1" t="str">
        <f t="shared" si="3"/>
        <v>4</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2119</v>
      </c>
      <c r="D243" s="1" t="s">
        <v>2120</v>
      </c>
      <c r="E243" s="1" t="s">
        <v>2121</v>
      </c>
      <c r="F243" s="1" t="s">
        <v>112</v>
      </c>
      <c r="G243" s="1">
        <v>1310015</v>
      </c>
    </row>
    <row r="244" spans="1:7" x14ac:dyDescent="0.25">
      <c r="A244" s="1" t="str">
        <f t="shared" si="3"/>
        <v>4</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2122</v>
      </c>
      <c r="D244" s="1" t="s">
        <v>2123</v>
      </c>
      <c r="E244" s="1" t="s">
        <v>2124</v>
      </c>
      <c r="F244" s="1" t="s">
        <v>112</v>
      </c>
      <c r="G244" s="1">
        <v>1112058</v>
      </c>
    </row>
    <row r="245" spans="1:7" x14ac:dyDescent="0.25">
      <c r="A245" s="1" t="str">
        <f t="shared" si="3"/>
        <v>4</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2125</v>
      </c>
    </row>
    <row r="246" spans="1:7" x14ac:dyDescent="0.25">
      <c r="A246" s="1" t="str">
        <f t="shared" si="3"/>
        <v>4</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2126</v>
      </c>
    </row>
    <row r="247" spans="1:7" x14ac:dyDescent="0.25">
      <c r="A247" s="1" t="str">
        <f t="shared" si="3"/>
        <v>4</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2127</v>
      </c>
    </row>
    <row r="248" spans="1:7" x14ac:dyDescent="0.25">
      <c r="A248" s="1" t="str">
        <f t="shared" si="3"/>
        <v>4</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2128</v>
      </c>
      <c r="D248" s="1" t="s">
        <v>2129</v>
      </c>
      <c r="E248" s="1" t="s">
        <v>2130</v>
      </c>
      <c r="F248" s="1" t="s">
        <v>112</v>
      </c>
      <c r="G248" s="1">
        <v>1806442</v>
      </c>
    </row>
    <row r="249" spans="1:7" x14ac:dyDescent="0.25">
      <c r="A249" s="1" t="str">
        <f t="shared" si="3"/>
        <v>4</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2131</v>
      </c>
      <c r="D249" s="1" t="s">
        <v>2132</v>
      </c>
      <c r="E249" s="1" t="s">
        <v>2133</v>
      </c>
      <c r="F249" s="1" t="s">
        <v>112</v>
      </c>
      <c r="G249" s="1">
        <v>1745554</v>
      </c>
    </row>
    <row r="250" spans="1:7" x14ac:dyDescent="0.25">
      <c r="A250" s="1" t="str">
        <f t="shared" si="3"/>
        <v>4</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2134</v>
      </c>
      <c r="D250" s="1" t="s">
        <v>2135</v>
      </c>
      <c r="E250" s="1" t="s">
        <v>2136</v>
      </c>
      <c r="F250" s="1" t="s">
        <v>112</v>
      </c>
      <c r="G250" s="1">
        <v>1637297</v>
      </c>
    </row>
    <row r="251" spans="1:7" x14ac:dyDescent="0.25">
      <c r="A251" s="1" t="str">
        <f t="shared" si="3"/>
        <v>4</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2137</v>
      </c>
      <c r="D251" s="1" t="s">
        <v>2138</v>
      </c>
      <c r="E251" s="1" t="s">
        <v>2139</v>
      </c>
      <c r="F251" s="1" t="s">
        <v>112</v>
      </c>
      <c r="G251" s="1">
        <v>353757</v>
      </c>
    </row>
    <row r="252" spans="1:7" x14ac:dyDescent="0.25">
      <c r="A252" s="1" t="str">
        <f t="shared" si="3"/>
        <v>4</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2140</v>
      </c>
      <c r="D252" s="1" t="s">
        <v>2141</v>
      </c>
      <c r="E252" s="1" t="s">
        <v>2142</v>
      </c>
      <c r="F252" s="1" t="s">
        <v>112</v>
      </c>
      <c r="G252" s="1">
        <v>605269</v>
      </c>
    </row>
    <row r="253" spans="1:7" x14ac:dyDescent="0.25">
      <c r="A253" s="1" t="str">
        <f t="shared" si="3"/>
        <v>4</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2143</v>
      </c>
      <c r="D253" s="1" t="s">
        <v>2144</v>
      </c>
      <c r="E253" s="1" t="s">
        <v>2145</v>
      </c>
      <c r="F253" s="1" t="s">
        <v>112</v>
      </c>
      <c r="G253" s="1">
        <v>512823</v>
      </c>
    </row>
    <row r="254" spans="1:7" x14ac:dyDescent="0.25">
      <c r="A254" s="1" t="str">
        <f t="shared" si="3"/>
        <v>4</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2146</v>
      </c>
    </row>
    <row r="255" spans="1:7" x14ac:dyDescent="0.25">
      <c r="A255" s="1" t="str">
        <f t="shared" si="3"/>
        <v>4</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2147</v>
      </c>
    </row>
    <row r="256" spans="1:7" x14ac:dyDescent="0.25">
      <c r="A256" s="1" t="str">
        <f t="shared" si="3"/>
        <v>4</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2148</v>
      </c>
    </row>
    <row r="257" spans="1:10"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10"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219</v>
      </c>
      <c r="D258" s="1" t="s">
        <v>112</v>
      </c>
      <c r="E258" s="1" t="s">
        <v>220</v>
      </c>
      <c r="F258" s="1" t="s">
        <v>221</v>
      </c>
      <c r="G258" s="1" t="s">
        <v>222</v>
      </c>
      <c r="H258" s="1" t="s">
        <v>223</v>
      </c>
      <c r="I258" s="1" t="s">
        <v>224</v>
      </c>
      <c r="J258" s="1" t="s">
        <v>225</v>
      </c>
    </row>
    <row r="259" spans="1:10" x14ac:dyDescent="0.25">
      <c r="A259" s="1" t="str">
        <f t="shared" si="4"/>
        <v>4</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2149</v>
      </c>
      <c r="D259" s="1" t="s">
        <v>112</v>
      </c>
      <c r="E259" s="1" t="s">
        <v>2150</v>
      </c>
      <c r="F259" s="1" t="s">
        <v>2151</v>
      </c>
      <c r="G259" s="1" t="s">
        <v>2152</v>
      </c>
      <c r="H259" s="1" t="s">
        <v>2153</v>
      </c>
      <c r="I259" s="1">
        <v>21</v>
      </c>
      <c r="J259" s="1">
        <v>24</v>
      </c>
    </row>
    <row r="260" spans="1:10"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10"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10"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10"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10"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10"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231</v>
      </c>
      <c r="D265" s="1" t="s">
        <v>110</v>
      </c>
      <c r="E265" s="1" t="s">
        <v>111</v>
      </c>
      <c r="F265" s="1" t="s">
        <v>112</v>
      </c>
      <c r="G265" s="1" t="s">
        <v>113</v>
      </c>
    </row>
    <row r="266" spans="1:10" x14ac:dyDescent="0.25">
      <c r="A266" s="1" t="str">
        <f t="shared" si="4"/>
        <v>5</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2154</v>
      </c>
      <c r="D266" s="1" t="s">
        <v>2155</v>
      </c>
      <c r="E266" s="1" t="s">
        <v>2156</v>
      </c>
      <c r="F266" s="1" t="s">
        <v>112</v>
      </c>
      <c r="G266" s="1">
        <v>1461272</v>
      </c>
    </row>
    <row r="267" spans="1:10" x14ac:dyDescent="0.25">
      <c r="A267" s="1" t="str">
        <f t="shared" si="4"/>
        <v>5</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2157</v>
      </c>
      <c r="D267" s="1" t="s">
        <v>2158</v>
      </c>
      <c r="E267" s="1" t="s">
        <v>2159</v>
      </c>
      <c r="F267" s="1" t="s">
        <v>112</v>
      </c>
      <c r="G267" s="1">
        <v>1567778</v>
      </c>
    </row>
    <row r="268" spans="1:10" x14ac:dyDescent="0.25">
      <c r="A268" s="1" t="str">
        <f t="shared" si="4"/>
        <v>5</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2160</v>
      </c>
      <c r="D268" s="1" t="s">
        <v>2161</v>
      </c>
      <c r="E268" s="1" t="s">
        <v>2162</v>
      </c>
      <c r="F268" s="1" t="s">
        <v>112</v>
      </c>
      <c r="G268" s="1">
        <v>1188801</v>
      </c>
    </row>
    <row r="269" spans="1:10" x14ac:dyDescent="0.25">
      <c r="A269" s="1" t="str">
        <f t="shared" si="4"/>
        <v>5</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2163</v>
      </c>
      <c r="D269" s="1" t="s">
        <v>1245</v>
      </c>
      <c r="E269" s="1" t="s">
        <v>2164</v>
      </c>
      <c r="F269" s="1" t="s">
        <v>112</v>
      </c>
      <c r="G269" s="1">
        <v>2492348</v>
      </c>
    </row>
    <row r="270" spans="1:10" x14ac:dyDescent="0.25">
      <c r="A270" s="1" t="str">
        <f t="shared" si="4"/>
        <v>5</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2165</v>
      </c>
      <c r="D270" s="1" t="s">
        <v>2166</v>
      </c>
      <c r="E270" s="1" t="s">
        <v>2167</v>
      </c>
      <c r="F270" s="1" t="s">
        <v>112</v>
      </c>
      <c r="G270" s="1">
        <v>2541902</v>
      </c>
    </row>
    <row r="271" spans="1:10" x14ac:dyDescent="0.25">
      <c r="A271" s="1" t="str">
        <f t="shared" si="4"/>
        <v>5</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2168</v>
      </c>
      <c r="D271" s="1" t="s">
        <v>2169</v>
      </c>
      <c r="E271" s="1" t="s">
        <v>2170</v>
      </c>
      <c r="F271" s="1" t="s">
        <v>112</v>
      </c>
      <c r="G271" s="1">
        <v>1868888</v>
      </c>
    </row>
    <row r="272" spans="1:10" x14ac:dyDescent="0.25">
      <c r="A272" s="1" t="str">
        <f t="shared" si="4"/>
        <v>5</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2171</v>
      </c>
      <c r="D272" s="1" t="s">
        <v>438</v>
      </c>
      <c r="E272" s="1" t="s">
        <v>2172</v>
      </c>
      <c r="F272" s="1" t="s">
        <v>112</v>
      </c>
      <c r="G272" s="1">
        <v>1815548</v>
      </c>
    </row>
    <row r="273" spans="1:7" x14ac:dyDescent="0.25">
      <c r="A273" s="1" t="str">
        <f t="shared" si="4"/>
        <v>5</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2173</v>
      </c>
      <c r="D273" s="1" t="s">
        <v>2174</v>
      </c>
      <c r="E273" s="1" t="s">
        <v>2175</v>
      </c>
      <c r="F273" s="1" t="s">
        <v>112</v>
      </c>
      <c r="G273" s="1">
        <v>1759203</v>
      </c>
    </row>
    <row r="274" spans="1:7" x14ac:dyDescent="0.25">
      <c r="A274" s="1" t="str">
        <f t="shared" si="4"/>
        <v>5</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2176</v>
      </c>
      <c r="D274" s="1" t="s">
        <v>2177</v>
      </c>
      <c r="E274" s="1" t="s">
        <v>2178</v>
      </c>
      <c r="F274" s="1" t="s">
        <v>112</v>
      </c>
      <c r="G274" s="1">
        <v>1925883</v>
      </c>
    </row>
    <row r="275" spans="1:7" x14ac:dyDescent="0.25">
      <c r="A275" s="1" t="str">
        <f t="shared" si="4"/>
        <v>5</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2179</v>
      </c>
      <c r="D275" s="1" t="s">
        <v>2180</v>
      </c>
      <c r="E275" s="1" t="s">
        <v>2181</v>
      </c>
      <c r="F275" s="1" t="s">
        <v>112</v>
      </c>
      <c r="G275" s="1">
        <v>2048870</v>
      </c>
    </row>
    <row r="276" spans="1:7" x14ac:dyDescent="0.25">
      <c r="A276" s="1" t="str">
        <f t="shared" si="4"/>
        <v>5</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2182</v>
      </c>
      <c r="D276" s="1" t="s">
        <v>2183</v>
      </c>
      <c r="E276" s="1" t="s">
        <v>2184</v>
      </c>
      <c r="F276" s="1" t="s">
        <v>112</v>
      </c>
      <c r="G276" s="1">
        <v>1983678</v>
      </c>
    </row>
    <row r="277" spans="1:7" x14ac:dyDescent="0.25">
      <c r="A277" s="1" t="str">
        <f t="shared" si="4"/>
        <v>5</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2185</v>
      </c>
      <c r="D277" s="1" t="s">
        <v>1479</v>
      </c>
      <c r="E277" s="1" t="s">
        <v>2186</v>
      </c>
      <c r="F277" s="1" t="s">
        <v>112</v>
      </c>
      <c r="G277" s="1">
        <v>1760371</v>
      </c>
    </row>
    <row r="278" spans="1:7" x14ac:dyDescent="0.25">
      <c r="A278" s="1" t="str">
        <f t="shared" si="4"/>
        <v>5</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2187</v>
      </c>
      <c r="D278" s="1" t="s">
        <v>2188</v>
      </c>
      <c r="E278" s="1" t="s">
        <v>2189</v>
      </c>
      <c r="F278" s="1" t="s">
        <v>112</v>
      </c>
      <c r="G278" s="1">
        <v>1861339</v>
      </c>
    </row>
    <row r="279" spans="1:7" x14ac:dyDescent="0.25">
      <c r="A279" s="1" t="str">
        <f t="shared" si="4"/>
        <v>5</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2190</v>
      </c>
      <c r="D279" s="1" t="s">
        <v>2191</v>
      </c>
      <c r="E279" s="1" t="s">
        <v>2192</v>
      </c>
      <c r="F279" s="1" t="s">
        <v>112</v>
      </c>
      <c r="G279" s="1">
        <v>1684688</v>
      </c>
    </row>
    <row r="280" spans="1:7" x14ac:dyDescent="0.25">
      <c r="A280" s="1" t="str">
        <f t="shared" si="4"/>
        <v>5</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2193</v>
      </c>
      <c r="D280" s="1" t="s">
        <v>2194</v>
      </c>
      <c r="E280" s="1" t="s">
        <v>2195</v>
      </c>
      <c r="F280" s="1" t="s">
        <v>112</v>
      </c>
      <c r="G280" s="1">
        <v>1505852</v>
      </c>
    </row>
    <row r="281" spans="1:7" x14ac:dyDescent="0.25">
      <c r="A281" s="1" t="str">
        <f t="shared" si="4"/>
        <v>5</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2196</v>
      </c>
      <c r="D281" s="1" t="s">
        <v>2197</v>
      </c>
      <c r="E281" s="1" t="s">
        <v>2198</v>
      </c>
      <c r="F281" s="1" t="s">
        <v>112</v>
      </c>
      <c r="G281" s="1">
        <v>2565522</v>
      </c>
    </row>
    <row r="282" spans="1:7" x14ac:dyDescent="0.25">
      <c r="A282" s="1" t="str">
        <f t="shared" si="4"/>
        <v>5</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2199</v>
      </c>
      <c r="D282" s="1" t="s">
        <v>2200</v>
      </c>
      <c r="E282" s="1" t="s">
        <v>2201</v>
      </c>
      <c r="F282" s="1" t="s">
        <v>112</v>
      </c>
      <c r="G282" s="1">
        <v>1840336</v>
      </c>
    </row>
    <row r="283" spans="1:7" x14ac:dyDescent="0.25">
      <c r="A283" s="1" t="str">
        <f t="shared" si="4"/>
        <v>5</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2202</v>
      </c>
      <c r="D283" s="1" t="s">
        <v>2203</v>
      </c>
      <c r="E283" s="1" t="s">
        <v>2204</v>
      </c>
      <c r="F283" s="1" t="s">
        <v>112</v>
      </c>
      <c r="G283" s="1">
        <v>2278363</v>
      </c>
    </row>
    <row r="284" spans="1:7" x14ac:dyDescent="0.25">
      <c r="A284" s="1" t="str">
        <f t="shared" si="4"/>
        <v>5</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2205</v>
      </c>
      <c r="D284" s="1" t="s">
        <v>2206</v>
      </c>
      <c r="E284" s="1" t="s">
        <v>2207</v>
      </c>
      <c r="F284" s="1" t="s">
        <v>112</v>
      </c>
      <c r="G284" s="1">
        <v>2076535</v>
      </c>
    </row>
    <row r="285" spans="1:7" x14ac:dyDescent="0.25">
      <c r="A285" s="1" t="str">
        <f t="shared" si="4"/>
        <v>5</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2208</v>
      </c>
      <c r="D285" s="1" t="s">
        <v>2209</v>
      </c>
      <c r="E285" s="1" t="s">
        <v>2210</v>
      </c>
      <c r="F285" s="1" t="s">
        <v>112</v>
      </c>
      <c r="G285" s="1">
        <v>1986576</v>
      </c>
    </row>
    <row r="286" spans="1:7" x14ac:dyDescent="0.25">
      <c r="A286" s="1" t="str">
        <f t="shared" si="4"/>
        <v>5</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2211</v>
      </c>
      <c r="D286" s="1" t="s">
        <v>2212</v>
      </c>
      <c r="E286" s="1" t="s">
        <v>2213</v>
      </c>
      <c r="F286" s="1" t="s">
        <v>112</v>
      </c>
      <c r="G286" s="1">
        <v>2368257</v>
      </c>
    </row>
    <row r="287" spans="1:7" x14ac:dyDescent="0.25">
      <c r="A287" s="1" t="str">
        <f t="shared" si="4"/>
        <v>5</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2214</v>
      </c>
      <c r="D287" s="1" t="s">
        <v>2215</v>
      </c>
      <c r="E287" s="1" t="s">
        <v>2216</v>
      </c>
      <c r="F287" s="1" t="s">
        <v>112</v>
      </c>
      <c r="G287" s="1">
        <v>513213</v>
      </c>
    </row>
    <row r="288" spans="1:7" x14ac:dyDescent="0.25">
      <c r="A288" s="1" t="str">
        <f t="shared" si="4"/>
        <v>5</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2217</v>
      </c>
      <c r="D288" s="1" t="s">
        <v>2218</v>
      </c>
      <c r="E288" s="1" t="s">
        <v>2219</v>
      </c>
      <c r="F288" s="1" t="s">
        <v>112</v>
      </c>
      <c r="G288" s="1">
        <v>819968</v>
      </c>
    </row>
    <row r="289" spans="1:10" x14ac:dyDescent="0.25">
      <c r="A289" s="1" t="str">
        <f t="shared" si="4"/>
        <v>5</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2220</v>
      </c>
      <c r="D289" s="1" t="s">
        <v>2221</v>
      </c>
      <c r="E289" s="1" t="s">
        <v>2222</v>
      </c>
      <c r="F289" s="1" t="s">
        <v>112</v>
      </c>
      <c r="G289" s="1">
        <v>768294</v>
      </c>
    </row>
    <row r="290" spans="1:10"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10"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219</v>
      </c>
      <c r="D291" s="1" t="s">
        <v>112</v>
      </c>
      <c r="E291" s="1" t="s">
        <v>220</v>
      </c>
      <c r="F291" s="1" t="s">
        <v>221</v>
      </c>
      <c r="G291" s="1" t="s">
        <v>222</v>
      </c>
      <c r="H291" s="1" t="s">
        <v>223</v>
      </c>
      <c r="I291" s="1" t="s">
        <v>224</v>
      </c>
      <c r="J291" s="1" t="s">
        <v>225</v>
      </c>
    </row>
    <row r="292" spans="1:10" x14ac:dyDescent="0.25">
      <c r="A292" s="1" t="str">
        <f t="shared" si="4"/>
        <v>5</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2223</v>
      </c>
      <c r="D292" s="1" t="s">
        <v>112</v>
      </c>
      <c r="E292" s="1" t="s">
        <v>2224</v>
      </c>
      <c r="F292" s="1" t="s">
        <v>2225</v>
      </c>
      <c r="G292" s="1" t="s">
        <v>2226</v>
      </c>
      <c r="H292" s="1" t="s">
        <v>2227</v>
      </c>
      <c r="I292" s="1">
        <v>24</v>
      </c>
      <c r="J292" s="1">
        <v>24</v>
      </c>
    </row>
    <row r="293" spans="1:10"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10"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10"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10"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10"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10"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231</v>
      </c>
      <c r="D298" s="1" t="s">
        <v>110</v>
      </c>
      <c r="E298" s="1" t="s">
        <v>111</v>
      </c>
      <c r="F298" s="1" t="s">
        <v>112</v>
      </c>
      <c r="G298" s="1" t="s">
        <v>113</v>
      </c>
    </row>
    <row r="299" spans="1:10" x14ac:dyDescent="0.25">
      <c r="A299" s="1" t="str">
        <f t="shared" si="4"/>
        <v>6</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2228</v>
      </c>
      <c r="D299" s="1" t="s">
        <v>2229</v>
      </c>
      <c r="E299" s="1" t="s">
        <v>2230</v>
      </c>
      <c r="F299" s="1" t="s">
        <v>112</v>
      </c>
      <c r="G299" s="1">
        <v>2856682</v>
      </c>
    </row>
    <row r="300" spans="1:10" x14ac:dyDescent="0.25">
      <c r="A300" s="1" t="str">
        <f t="shared" si="4"/>
        <v>6</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2231</v>
      </c>
      <c r="D300" s="1" t="s">
        <v>422</v>
      </c>
      <c r="E300" s="1" t="s">
        <v>2232</v>
      </c>
      <c r="F300" s="1" t="s">
        <v>112</v>
      </c>
      <c r="G300" s="1">
        <v>3290772</v>
      </c>
    </row>
    <row r="301" spans="1:10" x14ac:dyDescent="0.25">
      <c r="A301" s="1" t="str">
        <f t="shared" si="4"/>
        <v>6</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2233</v>
      </c>
      <c r="D301" s="1" t="s">
        <v>2234</v>
      </c>
      <c r="E301" s="1" t="s">
        <v>2235</v>
      </c>
      <c r="F301" s="1" t="s">
        <v>112</v>
      </c>
      <c r="G301" s="1">
        <v>3569300</v>
      </c>
    </row>
    <row r="302" spans="1:10" x14ac:dyDescent="0.25">
      <c r="A302" s="1" t="str">
        <f t="shared" si="4"/>
        <v>6</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2236</v>
      </c>
      <c r="D302" s="1" t="s">
        <v>2237</v>
      </c>
      <c r="E302" s="1" t="s">
        <v>2238</v>
      </c>
      <c r="F302" s="1" t="s">
        <v>112</v>
      </c>
      <c r="G302" s="1">
        <v>1333461</v>
      </c>
    </row>
    <row r="303" spans="1:10" x14ac:dyDescent="0.25">
      <c r="A303" s="1" t="str">
        <f t="shared" si="4"/>
        <v>6</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2239</v>
      </c>
      <c r="D303" s="1" t="s">
        <v>2240</v>
      </c>
      <c r="E303" s="1" t="s">
        <v>1740</v>
      </c>
      <c r="F303" s="1" t="s">
        <v>112</v>
      </c>
      <c r="G303" s="1">
        <v>1446283</v>
      </c>
    </row>
    <row r="304" spans="1:10" x14ac:dyDescent="0.25">
      <c r="A304" s="1" t="str">
        <f t="shared" si="4"/>
        <v>6</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2241</v>
      </c>
      <c r="D304" s="1" t="s">
        <v>2242</v>
      </c>
      <c r="E304" s="1" t="s">
        <v>2243</v>
      </c>
      <c r="F304" s="1" t="s">
        <v>112</v>
      </c>
      <c r="G304" s="1">
        <v>1595810</v>
      </c>
    </row>
    <row r="305" spans="1:7" x14ac:dyDescent="0.25">
      <c r="A305" s="1" t="str">
        <f t="shared" si="4"/>
        <v>6</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2244</v>
      </c>
      <c r="D305" s="1" t="s">
        <v>2245</v>
      </c>
      <c r="E305" s="1" t="s">
        <v>2246</v>
      </c>
      <c r="F305" s="1" t="s">
        <v>112</v>
      </c>
      <c r="G305" s="1">
        <v>4066355</v>
      </c>
    </row>
    <row r="306" spans="1:7" x14ac:dyDescent="0.25">
      <c r="A306" s="1" t="str">
        <f t="shared" si="4"/>
        <v>6</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2247</v>
      </c>
      <c r="D306" s="1" t="s">
        <v>2248</v>
      </c>
      <c r="E306" s="1" t="s">
        <v>2249</v>
      </c>
      <c r="F306" s="1" t="s">
        <v>112</v>
      </c>
      <c r="G306" s="1">
        <v>4023939</v>
      </c>
    </row>
    <row r="307" spans="1:7" x14ac:dyDescent="0.25">
      <c r="A307" s="1" t="str">
        <f t="shared" si="4"/>
        <v>6</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2250</v>
      </c>
      <c r="D307" s="1" t="s">
        <v>2251</v>
      </c>
      <c r="E307" s="1" t="s">
        <v>2252</v>
      </c>
      <c r="F307" s="1" t="s">
        <v>112</v>
      </c>
      <c r="G307" s="1">
        <v>3413998</v>
      </c>
    </row>
    <row r="308" spans="1:7" x14ac:dyDescent="0.25">
      <c r="A308" s="1" t="str">
        <f t="shared" si="4"/>
        <v>6</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2253</v>
      </c>
      <c r="D308" s="1" t="s">
        <v>1381</v>
      </c>
      <c r="E308" s="1" t="s">
        <v>2254</v>
      </c>
      <c r="F308" s="1" t="s">
        <v>112</v>
      </c>
      <c r="G308" s="1">
        <v>3737429</v>
      </c>
    </row>
    <row r="309" spans="1:7" x14ac:dyDescent="0.25">
      <c r="A309" s="1" t="str">
        <f t="shared" si="4"/>
        <v>6</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2255</v>
      </c>
      <c r="D309" s="1" t="s">
        <v>2256</v>
      </c>
      <c r="E309" s="1" t="s">
        <v>2257</v>
      </c>
      <c r="F309" s="1" t="s">
        <v>112</v>
      </c>
      <c r="G309" s="1">
        <v>3709289</v>
      </c>
    </row>
    <row r="310" spans="1:7" x14ac:dyDescent="0.25">
      <c r="A310" s="1" t="str">
        <f t="shared" si="4"/>
        <v>6</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2258</v>
      </c>
      <c r="D310" s="1" t="s">
        <v>2259</v>
      </c>
      <c r="E310" s="1" t="s">
        <v>2260</v>
      </c>
      <c r="F310" s="1" t="s">
        <v>112</v>
      </c>
      <c r="G310" s="1">
        <v>3749348</v>
      </c>
    </row>
    <row r="311" spans="1:7" x14ac:dyDescent="0.25">
      <c r="A311" s="1" t="str">
        <f t="shared" si="4"/>
        <v>6</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2261</v>
      </c>
      <c r="D311" s="1" t="s">
        <v>2262</v>
      </c>
      <c r="E311" s="1" t="s">
        <v>2263</v>
      </c>
      <c r="F311" s="1" t="s">
        <v>112</v>
      </c>
      <c r="G311" s="1">
        <v>3632200</v>
      </c>
    </row>
    <row r="312" spans="1:7" x14ac:dyDescent="0.25">
      <c r="A312" s="1" t="str">
        <f t="shared" si="4"/>
        <v>6</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2264</v>
      </c>
      <c r="D312" s="1" t="s">
        <v>2265</v>
      </c>
      <c r="E312" s="1" t="s">
        <v>2266</v>
      </c>
      <c r="F312" s="1" t="s">
        <v>112</v>
      </c>
      <c r="G312" s="1">
        <v>3424164</v>
      </c>
    </row>
    <row r="313" spans="1:7" x14ac:dyDescent="0.25">
      <c r="A313" s="1" t="str">
        <f t="shared" si="4"/>
        <v>6</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2267</v>
      </c>
      <c r="D313" s="1" t="s">
        <v>2268</v>
      </c>
      <c r="E313" s="1" t="s">
        <v>2269</v>
      </c>
      <c r="F313" s="1" t="s">
        <v>112</v>
      </c>
      <c r="G313" s="1">
        <v>3878716</v>
      </c>
    </row>
    <row r="314" spans="1:7" x14ac:dyDescent="0.25">
      <c r="A314" s="1" t="str">
        <f t="shared" si="4"/>
        <v>6</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2270</v>
      </c>
      <c r="D314" s="1" t="s">
        <v>2271</v>
      </c>
      <c r="E314" s="1" t="s">
        <v>2272</v>
      </c>
      <c r="F314" s="1" t="s">
        <v>112</v>
      </c>
      <c r="G314" s="1">
        <v>3431107</v>
      </c>
    </row>
    <row r="315" spans="1:7" x14ac:dyDescent="0.25">
      <c r="A315" s="1" t="str">
        <f t="shared" si="4"/>
        <v>6</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2273</v>
      </c>
      <c r="D315" s="1" t="s">
        <v>2274</v>
      </c>
      <c r="E315" s="1" t="s">
        <v>2275</v>
      </c>
      <c r="F315" s="1" t="s">
        <v>112</v>
      </c>
      <c r="G315" s="1">
        <v>3082563</v>
      </c>
    </row>
    <row r="316" spans="1:7" x14ac:dyDescent="0.25">
      <c r="A316" s="1" t="str">
        <f t="shared" si="4"/>
        <v>6</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2276</v>
      </c>
      <c r="D316" s="1" t="s">
        <v>2277</v>
      </c>
      <c r="E316" s="1" t="s">
        <v>2278</v>
      </c>
      <c r="F316" s="1" t="s">
        <v>112</v>
      </c>
      <c r="G316" s="1">
        <v>3312316</v>
      </c>
    </row>
    <row r="317" spans="1:7" x14ac:dyDescent="0.25">
      <c r="A317" s="1" t="str">
        <f t="shared" si="4"/>
        <v>6</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2279</v>
      </c>
      <c r="D317" s="1" t="s">
        <v>2280</v>
      </c>
      <c r="E317" s="1" t="s">
        <v>2281</v>
      </c>
      <c r="F317" s="1" t="s">
        <v>112</v>
      </c>
      <c r="G317" s="1">
        <v>3630253</v>
      </c>
    </row>
    <row r="318" spans="1:7" x14ac:dyDescent="0.25">
      <c r="A318" s="1" t="str">
        <f t="shared" si="4"/>
        <v>6</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2282</v>
      </c>
      <c r="D318" s="1" t="s">
        <v>2283</v>
      </c>
      <c r="E318" s="1" t="s">
        <v>2284</v>
      </c>
      <c r="F318" s="1" t="s">
        <v>112</v>
      </c>
      <c r="G318" s="1">
        <v>3714091</v>
      </c>
    </row>
    <row r="319" spans="1:7" x14ac:dyDescent="0.25">
      <c r="A319" s="1" t="str">
        <f t="shared" si="4"/>
        <v>6</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2285</v>
      </c>
      <c r="D319" s="1" t="s">
        <v>1905</v>
      </c>
      <c r="E319" s="1" t="s">
        <v>2286</v>
      </c>
      <c r="F319" s="1" t="s">
        <v>112</v>
      </c>
      <c r="G319" s="1">
        <v>3022475</v>
      </c>
    </row>
    <row r="320" spans="1:7" x14ac:dyDescent="0.25">
      <c r="A320" s="1" t="str">
        <f t="shared" si="4"/>
        <v>6</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2287</v>
      </c>
      <c r="D320" s="1" t="s">
        <v>2288</v>
      </c>
      <c r="E320" s="1" t="s">
        <v>2289</v>
      </c>
      <c r="F320" s="1" t="s">
        <v>112</v>
      </c>
      <c r="G320" s="1">
        <v>2290173</v>
      </c>
    </row>
    <row r="321" spans="1:10" x14ac:dyDescent="0.25">
      <c r="A321" s="1" t="str">
        <f t="shared" si="4"/>
        <v>6</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2290</v>
      </c>
      <c r="D321" s="1" t="s">
        <v>2291</v>
      </c>
      <c r="E321" s="1" t="s">
        <v>2292</v>
      </c>
      <c r="F321" s="1" t="s">
        <v>112</v>
      </c>
      <c r="G321" s="1">
        <v>2141100</v>
      </c>
    </row>
    <row r="322" spans="1:10" x14ac:dyDescent="0.25">
      <c r="A322" s="1" t="str">
        <f t="shared" ref="A322:A385" si="5">IFERROR(LEFT(RIGHT(C322,LEN(C322)-SEARCH("@",C322)),SEARCH("/",RIGHT(C322,LEN(C322)-SEARCH("@",C322)-1))),"")</f>
        <v>6</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2293</v>
      </c>
      <c r="D322" s="1" t="s">
        <v>2294</v>
      </c>
      <c r="E322" s="1" t="s">
        <v>2295</v>
      </c>
      <c r="F322" s="1" t="s">
        <v>112</v>
      </c>
      <c r="G322" s="1">
        <v>2213365</v>
      </c>
    </row>
    <row r="323" spans="1:10"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10"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219</v>
      </c>
      <c r="D324" s="1" t="s">
        <v>112</v>
      </c>
      <c r="E324" s="1" t="s">
        <v>220</v>
      </c>
      <c r="F324" s="1" t="s">
        <v>221</v>
      </c>
      <c r="G324" s="1" t="s">
        <v>222</v>
      </c>
      <c r="H324" s="1" t="s">
        <v>223</v>
      </c>
      <c r="I324" s="1" t="s">
        <v>224</v>
      </c>
      <c r="J324" s="1" t="s">
        <v>225</v>
      </c>
    </row>
    <row r="325" spans="1:10" x14ac:dyDescent="0.25">
      <c r="A325" s="1" t="str">
        <f t="shared" si="5"/>
        <v>6</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2296</v>
      </c>
      <c r="D325" s="1" t="s">
        <v>112</v>
      </c>
      <c r="E325" s="1" t="s">
        <v>2297</v>
      </c>
      <c r="F325" s="1" t="s">
        <v>2298</v>
      </c>
      <c r="G325" s="1" t="s">
        <v>2299</v>
      </c>
      <c r="H325" s="1" t="s">
        <v>2300</v>
      </c>
      <c r="I325" s="1">
        <v>24</v>
      </c>
      <c r="J325" s="1">
        <v>24</v>
      </c>
    </row>
    <row r="326" spans="1:10"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10"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10"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10"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10"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10"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231</v>
      </c>
      <c r="D331" s="1" t="s">
        <v>110</v>
      </c>
      <c r="E331" s="1" t="s">
        <v>111</v>
      </c>
      <c r="F331" s="1" t="s">
        <v>112</v>
      </c>
      <c r="G331" s="1" t="s">
        <v>113</v>
      </c>
    </row>
    <row r="332" spans="1:10" x14ac:dyDescent="0.25">
      <c r="A332" s="1" t="str">
        <f t="shared" si="5"/>
        <v>7</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2301</v>
      </c>
      <c r="D332" s="1" t="s">
        <v>2302</v>
      </c>
      <c r="E332" s="1" t="s">
        <v>2303</v>
      </c>
      <c r="F332" s="1" t="s">
        <v>112</v>
      </c>
      <c r="G332" s="1">
        <v>2734516</v>
      </c>
    </row>
    <row r="333" spans="1:10" x14ac:dyDescent="0.25">
      <c r="A333" s="1" t="str">
        <f t="shared" si="5"/>
        <v>7</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2304</v>
      </c>
      <c r="D333" s="1" t="s">
        <v>2305</v>
      </c>
      <c r="E333" s="1" t="s">
        <v>2306</v>
      </c>
      <c r="F333" s="1" t="s">
        <v>112</v>
      </c>
      <c r="G333" s="1">
        <v>3287246</v>
      </c>
    </row>
    <row r="334" spans="1:10" x14ac:dyDescent="0.25">
      <c r="A334" s="1" t="str">
        <f t="shared" si="5"/>
        <v>7</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2307</v>
      </c>
      <c r="D334" s="1" t="s">
        <v>2308</v>
      </c>
      <c r="E334" s="1" t="s">
        <v>2309</v>
      </c>
      <c r="F334" s="1" t="s">
        <v>112</v>
      </c>
      <c r="G334" s="1">
        <v>3351271</v>
      </c>
    </row>
    <row r="335" spans="1:10" x14ac:dyDescent="0.25">
      <c r="A335" s="1" t="str">
        <f t="shared" si="5"/>
        <v>7</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2310</v>
      </c>
      <c r="D335" s="1" t="s">
        <v>2311</v>
      </c>
      <c r="E335" s="1" t="s">
        <v>2312</v>
      </c>
      <c r="F335" s="1" t="s">
        <v>112</v>
      </c>
      <c r="G335" s="1">
        <v>3211131</v>
      </c>
    </row>
    <row r="336" spans="1:10" x14ac:dyDescent="0.25">
      <c r="A336" s="1" t="str">
        <f t="shared" si="5"/>
        <v>7</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2313</v>
      </c>
    </row>
    <row r="337" spans="1:7" x14ac:dyDescent="0.25">
      <c r="A337" s="1" t="str">
        <f t="shared" si="5"/>
        <v>7</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2314</v>
      </c>
      <c r="D337" s="1" t="s">
        <v>2315</v>
      </c>
      <c r="E337" s="1" t="s">
        <v>2316</v>
      </c>
      <c r="F337" s="1" t="s">
        <v>112</v>
      </c>
      <c r="G337" s="1">
        <v>5375202</v>
      </c>
    </row>
    <row r="338" spans="1:7" x14ac:dyDescent="0.25">
      <c r="A338" s="1" t="str">
        <f t="shared" si="5"/>
        <v>7</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2317</v>
      </c>
      <c r="D338" s="1" t="s">
        <v>2318</v>
      </c>
      <c r="E338" s="1" t="s">
        <v>2319</v>
      </c>
      <c r="F338" s="1" t="s">
        <v>112</v>
      </c>
      <c r="G338" s="1">
        <v>5148045</v>
      </c>
    </row>
    <row r="339" spans="1:7" x14ac:dyDescent="0.25">
      <c r="A339" s="1" t="str">
        <f t="shared" si="5"/>
        <v>7</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2320</v>
      </c>
      <c r="D339" s="1" t="s">
        <v>2321</v>
      </c>
      <c r="E339" s="1" t="s">
        <v>2322</v>
      </c>
      <c r="F339" s="1" t="s">
        <v>112</v>
      </c>
      <c r="G339" s="1">
        <v>4785657</v>
      </c>
    </row>
    <row r="340" spans="1:7" x14ac:dyDescent="0.25">
      <c r="A340" s="1" t="str">
        <f t="shared" si="5"/>
        <v>7</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2323</v>
      </c>
      <c r="D340" s="1" t="s">
        <v>915</v>
      </c>
      <c r="E340" s="1" t="s">
        <v>2324</v>
      </c>
      <c r="F340" s="1" t="s">
        <v>112</v>
      </c>
      <c r="G340" s="1">
        <v>5257103</v>
      </c>
    </row>
    <row r="341" spans="1:7" x14ac:dyDescent="0.25">
      <c r="A341" s="1" t="str">
        <f t="shared" si="5"/>
        <v>7</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2325</v>
      </c>
      <c r="D341" s="1" t="s">
        <v>2326</v>
      </c>
      <c r="E341" s="1" t="s">
        <v>2327</v>
      </c>
      <c r="F341" s="1" t="s">
        <v>112</v>
      </c>
      <c r="G341" s="1">
        <v>5379247</v>
      </c>
    </row>
    <row r="342" spans="1:7" x14ac:dyDescent="0.25">
      <c r="A342" s="1" t="str">
        <f t="shared" si="5"/>
        <v>7</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2328</v>
      </c>
      <c r="D342" s="1" t="s">
        <v>2329</v>
      </c>
      <c r="E342" s="1" t="s">
        <v>2330</v>
      </c>
      <c r="F342" s="1" t="s">
        <v>112</v>
      </c>
      <c r="G342" s="1">
        <v>4760480</v>
      </c>
    </row>
    <row r="343" spans="1:7" x14ac:dyDescent="0.25">
      <c r="A343" s="1" t="str">
        <f t="shared" si="5"/>
        <v>7</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2331</v>
      </c>
      <c r="D343" s="1" t="s">
        <v>2332</v>
      </c>
      <c r="E343" s="1" t="s">
        <v>2333</v>
      </c>
      <c r="F343" s="1" t="s">
        <v>112</v>
      </c>
      <c r="G343" s="1">
        <v>5307738</v>
      </c>
    </row>
    <row r="344" spans="1:7" x14ac:dyDescent="0.25">
      <c r="A344" s="1" t="str">
        <f t="shared" si="5"/>
        <v>7</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2334</v>
      </c>
      <c r="D344" s="1" t="s">
        <v>2335</v>
      </c>
      <c r="E344" s="1" t="s">
        <v>2336</v>
      </c>
      <c r="F344" s="1" t="s">
        <v>112</v>
      </c>
      <c r="G344" s="1">
        <v>3291097</v>
      </c>
    </row>
    <row r="345" spans="1:7" x14ac:dyDescent="0.25">
      <c r="A345" s="1" t="str">
        <f t="shared" si="5"/>
        <v>7</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2337</v>
      </c>
      <c r="D345" s="1" t="s">
        <v>2338</v>
      </c>
      <c r="E345" s="1" t="s">
        <v>2339</v>
      </c>
      <c r="F345" s="1" t="s">
        <v>112</v>
      </c>
      <c r="G345" s="1">
        <v>3845947</v>
      </c>
    </row>
    <row r="346" spans="1:7" x14ac:dyDescent="0.25">
      <c r="A346" s="1" t="str">
        <f t="shared" si="5"/>
        <v>7</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2340</v>
      </c>
      <c r="D346" s="1" t="s">
        <v>2341</v>
      </c>
      <c r="E346" s="1" t="s">
        <v>2342</v>
      </c>
      <c r="F346" s="1" t="s">
        <v>112</v>
      </c>
      <c r="G346" s="1">
        <v>3452802</v>
      </c>
    </row>
    <row r="347" spans="1:7" x14ac:dyDescent="0.25">
      <c r="A347" s="1" t="str">
        <f t="shared" si="5"/>
        <v>7</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2343</v>
      </c>
      <c r="D347" s="1" t="s">
        <v>2344</v>
      </c>
      <c r="E347" s="1" t="s">
        <v>2345</v>
      </c>
      <c r="F347" s="1" t="s">
        <v>112</v>
      </c>
      <c r="G347" s="1">
        <v>5187606</v>
      </c>
    </row>
    <row r="348" spans="1:7" x14ac:dyDescent="0.25">
      <c r="A348" s="1" t="str">
        <f t="shared" si="5"/>
        <v>7</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2346</v>
      </c>
      <c r="D348" s="1" t="s">
        <v>2347</v>
      </c>
      <c r="E348" s="1" t="s">
        <v>2348</v>
      </c>
      <c r="F348" s="1" t="s">
        <v>112</v>
      </c>
      <c r="G348" s="1">
        <v>5176510</v>
      </c>
    </row>
    <row r="349" spans="1:7" x14ac:dyDescent="0.25">
      <c r="A349" s="1" t="str">
        <f t="shared" si="5"/>
        <v>7</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2349</v>
      </c>
      <c r="D349" s="1" t="s">
        <v>2350</v>
      </c>
      <c r="E349" s="1" t="s">
        <v>2351</v>
      </c>
      <c r="F349" s="1" t="s">
        <v>112</v>
      </c>
      <c r="G349" s="1">
        <v>5452767</v>
      </c>
    </row>
    <row r="350" spans="1:7" x14ac:dyDescent="0.25">
      <c r="A350" s="1" t="str">
        <f t="shared" si="5"/>
        <v>7</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2352</v>
      </c>
      <c r="D350" s="1" t="s">
        <v>2353</v>
      </c>
      <c r="E350" s="1" t="s">
        <v>2354</v>
      </c>
      <c r="F350" s="1" t="s">
        <v>112</v>
      </c>
      <c r="G350" s="1">
        <v>4560771</v>
      </c>
    </row>
    <row r="351" spans="1:7" x14ac:dyDescent="0.25">
      <c r="A351" s="1" t="str">
        <f t="shared" si="5"/>
        <v>7</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2355</v>
      </c>
      <c r="D351" s="1" t="s">
        <v>2356</v>
      </c>
      <c r="E351" s="1" t="s">
        <v>2357</v>
      </c>
      <c r="F351" s="1" t="s">
        <v>112</v>
      </c>
      <c r="G351" s="1">
        <v>5899035</v>
      </c>
    </row>
    <row r="352" spans="1:7" x14ac:dyDescent="0.25">
      <c r="A352" s="1" t="str">
        <f t="shared" si="5"/>
        <v>7</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2358</v>
      </c>
      <c r="D352" s="1" t="s">
        <v>2359</v>
      </c>
      <c r="E352" s="1" t="s">
        <v>2360</v>
      </c>
      <c r="F352" s="1" t="s">
        <v>112</v>
      </c>
      <c r="G352" s="1">
        <v>4674112</v>
      </c>
    </row>
    <row r="353" spans="1:10" x14ac:dyDescent="0.25">
      <c r="A353" s="1" t="str">
        <f t="shared" si="5"/>
        <v>7</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2361</v>
      </c>
    </row>
    <row r="354" spans="1:10" x14ac:dyDescent="0.25">
      <c r="A354" s="1" t="str">
        <f t="shared" si="5"/>
        <v>7</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2362</v>
      </c>
    </row>
    <row r="355" spans="1:10" x14ac:dyDescent="0.25">
      <c r="A355" s="1" t="str">
        <f t="shared" si="5"/>
        <v>7</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2363</v>
      </c>
    </row>
    <row r="356" spans="1:10"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10"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219</v>
      </c>
      <c r="D357" s="1" t="s">
        <v>112</v>
      </c>
      <c r="E357" s="1" t="s">
        <v>220</v>
      </c>
      <c r="F357" s="1" t="s">
        <v>221</v>
      </c>
      <c r="G357" s="1" t="s">
        <v>222</v>
      </c>
      <c r="H357" s="1" t="s">
        <v>223</v>
      </c>
      <c r="I357" s="1" t="s">
        <v>224</v>
      </c>
      <c r="J357" s="1" t="s">
        <v>225</v>
      </c>
    </row>
    <row r="358" spans="1:10" x14ac:dyDescent="0.25">
      <c r="A358" s="1" t="str">
        <f t="shared" si="5"/>
        <v>7</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2364</v>
      </c>
      <c r="D358" s="1" t="s">
        <v>112</v>
      </c>
      <c r="E358" s="1" t="s">
        <v>2365</v>
      </c>
      <c r="F358" s="1" t="s">
        <v>2366</v>
      </c>
      <c r="G358" s="1" t="s">
        <v>2367</v>
      </c>
      <c r="H358" s="1" t="s">
        <v>2368</v>
      </c>
      <c r="I358" s="1">
        <v>24</v>
      </c>
      <c r="J358" s="1">
        <v>24</v>
      </c>
    </row>
    <row r="359" spans="1:10"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10"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10"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10"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10"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10"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231</v>
      </c>
      <c r="D364" s="1" t="s">
        <v>110</v>
      </c>
      <c r="E364" s="1" t="s">
        <v>111</v>
      </c>
      <c r="F364" s="1" t="s">
        <v>112</v>
      </c>
      <c r="G364" s="1" t="s">
        <v>113</v>
      </c>
    </row>
    <row r="365" spans="1:10" x14ac:dyDescent="0.25">
      <c r="A365" s="1" t="str">
        <f t="shared" si="5"/>
        <v>10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2369</v>
      </c>
      <c r="D365" s="1">
        <v>0</v>
      </c>
      <c r="E365" s="1">
        <v>0</v>
      </c>
      <c r="F365" s="1" t="s">
        <v>112</v>
      </c>
      <c r="G365" s="1">
        <v>0</v>
      </c>
    </row>
    <row r="366" spans="1:10" x14ac:dyDescent="0.25">
      <c r="A366" s="1" t="str">
        <f t="shared" si="5"/>
        <v>10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2370</v>
      </c>
    </row>
    <row r="367" spans="1:10" x14ac:dyDescent="0.25">
      <c r="A367" s="1" t="str">
        <f t="shared" si="5"/>
        <v>10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2371</v>
      </c>
      <c r="D367" s="1">
        <v>0</v>
      </c>
      <c r="E367" s="1">
        <v>0</v>
      </c>
      <c r="F367" s="1" t="s">
        <v>112</v>
      </c>
      <c r="G367" s="1">
        <v>0</v>
      </c>
    </row>
    <row r="368" spans="1:10" x14ac:dyDescent="0.25">
      <c r="A368" s="1" t="str">
        <f t="shared" si="5"/>
        <v>10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2372</v>
      </c>
      <c r="D368" s="1" t="s">
        <v>977</v>
      </c>
      <c r="E368" s="1" t="s">
        <v>2373</v>
      </c>
      <c r="F368" s="1" t="s">
        <v>112</v>
      </c>
      <c r="G368" s="1">
        <v>200812</v>
      </c>
    </row>
    <row r="369" spans="1:7" x14ac:dyDescent="0.25">
      <c r="A369" s="1" t="str">
        <f t="shared" si="5"/>
        <v>10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2374</v>
      </c>
      <c r="D369" s="1" t="s">
        <v>2375</v>
      </c>
      <c r="E369" s="1" t="s">
        <v>2376</v>
      </c>
      <c r="F369" s="1" t="s">
        <v>112</v>
      </c>
      <c r="G369" s="1">
        <v>304506</v>
      </c>
    </row>
    <row r="370" spans="1:7" x14ac:dyDescent="0.25">
      <c r="A370" s="1" t="str">
        <f t="shared" si="5"/>
        <v>10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2377</v>
      </c>
      <c r="D370" s="1" t="s">
        <v>1030</v>
      </c>
      <c r="E370" s="1" t="s">
        <v>1026</v>
      </c>
      <c r="F370" s="1" t="s">
        <v>112</v>
      </c>
      <c r="G370" s="1">
        <v>2725</v>
      </c>
    </row>
    <row r="371" spans="1:7" x14ac:dyDescent="0.25">
      <c r="A371" s="1" t="str">
        <f t="shared" si="5"/>
        <v>10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2378</v>
      </c>
      <c r="D371" s="1" t="s">
        <v>613</v>
      </c>
      <c r="E371" s="1" t="s">
        <v>2379</v>
      </c>
      <c r="F371" s="1" t="s">
        <v>112</v>
      </c>
      <c r="G371" s="1">
        <v>104148</v>
      </c>
    </row>
    <row r="372" spans="1:7" x14ac:dyDescent="0.25">
      <c r="A372" s="1" t="str">
        <f t="shared" si="5"/>
        <v>10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2380</v>
      </c>
      <c r="D372" s="1" t="s">
        <v>2381</v>
      </c>
      <c r="E372" s="1" t="s">
        <v>2382</v>
      </c>
      <c r="F372" s="1" t="s">
        <v>112</v>
      </c>
      <c r="G372" s="1">
        <v>51068</v>
      </c>
    </row>
    <row r="373" spans="1:7" x14ac:dyDescent="0.25">
      <c r="A373" s="1" t="str">
        <f t="shared" si="5"/>
        <v>10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2383</v>
      </c>
      <c r="D373" s="1" t="s">
        <v>1940</v>
      </c>
      <c r="E373" s="1" t="s">
        <v>2384</v>
      </c>
      <c r="F373" s="1" t="s">
        <v>112</v>
      </c>
      <c r="G373" s="1">
        <v>37636</v>
      </c>
    </row>
    <row r="374" spans="1:7" x14ac:dyDescent="0.25">
      <c r="A374" s="1" t="str">
        <f t="shared" si="5"/>
        <v>10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2385</v>
      </c>
    </row>
    <row r="375" spans="1:7" x14ac:dyDescent="0.25">
      <c r="A375" s="1" t="str">
        <f t="shared" si="5"/>
        <v>10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2386</v>
      </c>
    </row>
    <row r="376" spans="1:7" x14ac:dyDescent="0.25">
      <c r="A376" s="1" t="str">
        <f t="shared" si="5"/>
        <v>10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2387</v>
      </c>
    </row>
    <row r="377" spans="1:7" x14ac:dyDescent="0.25">
      <c r="A377" s="1" t="str">
        <f t="shared" si="5"/>
        <v>10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2388</v>
      </c>
      <c r="D377" s="1" t="s">
        <v>196</v>
      </c>
      <c r="E377" s="1" t="s">
        <v>2389</v>
      </c>
      <c r="F377" s="1" t="s">
        <v>112</v>
      </c>
      <c r="G377" s="1">
        <v>6013</v>
      </c>
    </row>
    <row r="378" spans="1:7" x14ac:dyDescent="0.25">
      <c r="A378" s="1" t="str">
        <f t="shared" si="5"/>
        <v>10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2390</v>
      </c>
      <c r="D378" s="1">
        <v>0</v>
      </c>
      <c r="E378" s="1">
        <v>0</v>
      </c>
      <c r="F378" s="1" t="s">
        <v>112</v>
      </c>
      <c r="G378" s="1">
        <v>0</v>
      </c>
    </row>
    <row r="379" spans="1:7" x14ac:dyDescent="0.25">
      <c r="A379" s="1" t="str">
        <f t="shared" si="5"/>
        <v>10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2391</v>
      </c>
      <c r="D379" s="1" t="s">
        <v>2392</v>
      </c>
      <c r="E379" s="1" t="s">
        <v>2393</v>
      </c>
      <c r="F379" s="1" t="s">
        <v>112</v>
      </c>
      <c r="G379" s="1">
        <v>12048</v>
      </c>
    </row>
    <row r="380" spans="1:7" x14ac:dyDescent="0.25">
      <c r="A380" s="1" t="str">
        <f t="shared" si="5"/>
        <v>10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2394</v>
      </c>
      <c r="D380" s="1" t="s">
        <v>2395</v>
      </c>
      <c r="E380" s="1" t="s">
        <v>2396</v>
      </c>
      <c r="F380" s="1" t="s">
        <v>112</v>
      </c>
      <c r="G380" s="1">
        <v>39475</v>
      </c>
    </row>
    <row r="381" spans="1:7" x14ac:dyDescent="0.25">
      <c r="A381" s="1" t="str">
        <f t="shared" si="5"/>
        <v>10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2397</v>
      </c>
      <c r="D381" s="1" t="s">
        <v>2038</v>
      </c>
      <c r="E381" s="1" t="s">
        <v>2398</v>
      </c>
      <c r="F381" s="1" t="s">
        <v>112</v>
      </c>
      <c r="G381" s="1">
        <v>39237</v>
      </c>
    </row>
    <row r="382" spans="1:7" x14ac:dyDescent="0.25">
      <c r="A382" s="1" t="str">
        <f t="shared" si="5"/>
        <v>10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2399</v>
      </c>
      <c r="D382" s="1" t="s">
        <v>1605</v>
      </c>
      <c r="E382" s="1" t="s">
        <v>2400</v>
      </c>
      <c r="F382" s="1" t="s">
        <v>112</v>
      </c>
      <c r="G382" s="1">
        <v>29135</v>
      </c>
    </row>
    <row r="383" spans="1:7" x14ac:dyDescent="0.25">
      <c r="A383" s="1" t="str">
        <f t="shared" si="5"/>
        <v>10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2401</v>
      </c>
      <c r="D383" s="1" t="s">
        <v>1063</v>
      </c>
      <c r="E383" s="1" t="s">
        <v>2402</v>
      </c>
      <c r="F383" s="1" t="s">
        <v>112</v>
      </c>
      <c r="G383" s="1">
        <v>193631</v>
      </c>
    </row>
    <row r="384" spans="1:7" x14ac:dyDescent="0.25">
      <c r="A384" s="1" t="str">
        <f t="shared" si="5"/>
        <v>10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2403</v>
      </c>
      <c r="D384" s="1" t="s">
        <v>2404</v>
      </c>
      <c r="E384" s="1" t="s">
        <v>2405</v>
      </c>
      <c r="F384" s="1" t="s">
        <v>112</v>
      </c>
      <c r="G384" s="1">
        <v>489722</v>
      </c>
    </row>
    <row r="385" spans="1:10" x14ac:dyDescent="0.25">
      <c r="A385" s="1" t="str">
        <f t="shared" si="5"/>
        <v>10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2406</v>
      </c>
      <c r="D385" s="1" t="s">
        <v>2407</v>
      </c>
      <c r="E385" s="1" t="s">
        <v>2408</v>
      </c>
      <c r="F385" s="1" t="s">
        <v>112</v>
      </c>
      <c r="G385" s="1">
        <v>180328</v>
      </c>
    </row>
    <row r="386" spans="1:10" x14ac:dyDescent="0.25">
      <c r="A386" s="1" t="str">
        <f t="shared" ref="A386:A449" si="6">IFERROR(LEFT(RIGHT(C386,LEN(C386)-SEARCH("@",C386)),SEARCH("/",RIGHT(C386,LEN(C386)-SEARCH("@",C386)-1))),"")</f>
        <v>10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2409</v>
      </c>
      <c r="D386" s="1" t="s">
        <v>2410</v>
      </c>
      <c r="E386" s="1" t="s">
        <v>2411</v>
      </c>
      <c r="F386" s="1" t="s">
        <v>112</v>
      </c>
      <c r="G386" s="1">
        <v>434328</v>
      </c>
    </row>
    <row r="387" spans="1:10" x14ac:dyDescent="0.25">
      <c r="A387" s="1" t="str">
        <f t="shared" si="6"/>
        <v>10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2412</v>
      </c>
      <c r="D387" s="1" t="s">
        <v>2413</v>
      </c>
      <c r="E387" s="1" t="s">
        <v>2414</v>
      </c>
      <c r="F387" s="1" t="s">
        <v>112</v>
      </c>
      <c r="G387" s="1">
        <v>183205</v>
      </c>
    </row>
    <row r="388" spans="1:10" x14ac:dyDescent="0.25">
      <c r="A388" s="1" t="str">
        <f t="shared" si="6"/>
        <v>10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2415</v>
      </c>
      <c r="D388" s="1" t="s">
        <v>2416</v>
      </c>
      <c r="E388" s="1" t="s">
        <v>2417</v>
      </c>
      <c r="F388" s="1" t="s">
        <v>112</v>
      </c>
      <c r="G388" s="1">
        <v>344737</v>
      </c>
    </row>
    <row r="389" spans="1:10"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10"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219</v>
      </c>
      <c r="D390" s="1" t="s">
        <v>112</v>
      </c>
      <c r="E390" s="1" t="s">
        <v>220</v>
      </c>
      <c r="F390" s="1" t="s">
        <v>221</v>
      </c>
      <c r="G390" s="1" t="s">
        <v>222</v>
      </c>
      <c r="H390" s="1" t="s">
        <v>223</v>
      </c>
      <c r="I390" s="1" t="s">
        <v>224</v>
      </c>
      <c r="J390" s="1" t="s">
        <v>225</v>
      </c>
    </row>
    <row r="391" spans="1:10" x14ac:dyDescent="0.25">
      <c r="A391" s="1" t="str">
        <f t="shared" si="6"/>
        <v>10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2418</v>
      </c>
      <c r="D391" s="1" t="s">
        <v>112</v>
      </c>
      <c r="E391" s="1" t="s">
        <v>2419</v>
      </c>
      <c r="F391" s="1" t="s">
        <v>2420</v>
      </c>
      <c r="G391" s="1" t="s">
        <v>2421</v>
      </c>
      <c r="H391" s="1" t="s">
        <v>2422</v>
      </c>
      <c r="I391" s="1">
        <v>20</v>
      </c>
      <c r="J391" s="1">
        <v>24</v>
      </c>
    </row>
    <row r="392" spans="1:10"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10"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10"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10"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10"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10"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231</v>
      </c>
      <c r="D397" s="1" t="s">
        <v>110</v>
      </c>
      <c r="E397" s="1" t="s">
        <v>111</v>
      </c>
      <c r="F397" s="1" t="s">
        <v>112</v>
      </c>
      <c r="G397" s="1" t="s">
        <v>113</v>
      </c>
    </row>
    <row r="398" spans="1:10" x14ac:dyDescent="0.25">
      <c r="A398" s="1" t="str">
        <f t="shared" si="6"/>
        <v>11</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2423</v>
      </c>
      <c r="D398" s="1" t="s">
        <v>1921</v>
      </c>
      <c r="E398" s="1" t="s">
        <v>2424</v>
      </c>
      <c r="F398" s="1" t="s">
        <v>112</v>
      </c>
      <c r="G398" s="1">
        <v>62619</v>
      </c>
    </row>
    <row r="399" spans="1:10" x14ac:dyDescent="0.25">
      <c r="A399" s="1" t="str">
        <f t="shared" si="6"/>
        <v>11</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2425</v>
      </c>
      <c r="D399" s="1" t="s">
        <v>2426</v>
      </c>
      <c r="E399" s="1" t="s">
        <v>2427</v>
      </c>
      <c r="F399" s="1" t="s">
        <v>112</v>
      </c>
      <c r="G399" s="1">
        <v>83946</v>
      </c>
    </row>
    <row r="400" spans="1:10" x14ac:dyDescent="0.25">
      <c r="A400" s="1" t="str">
        <f t="shared" si="6"/>
        <v>11</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2428</v>
      </c>
      <c r="D400" s="1" t="s">
        <v>2429</v>
      </c>
      <c r="E400" s="1" t="s">
        <v>2430</v>
      </c>
      <c r="F400" s="1" t="s">
        <v>112</v>
      </c>
      <c r="G400" s="1">
        <v>104040</v>
      </c>
    </row>
    <row r="401" spans="1:7" x14ac:dyDescent="0.25">
      <c r="A401" s="1" t="str">
        <f t="shared" si="6"/>
        <v>11</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2431</v>
      </c>
    </row>
    <row r="402" spans="1:7" x14ac:dyDescent="0.25">
      <c r="A402" s="1" t="str">
        <f t="shared" si="6"/>
        <v>11</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2432</v>
      </c>
      <c r="D402" s="1" t="s">
        <v>957</v>
      </c>
      <c r="E402" s="1" t="s">
        <v>2433</v>
      </c>
      <c r="F402" s="1" t="s">
        <v>112</v>
      </c>
      <c r="G402" s="1">
        <v>167805</v>
      </c>
    </row>
    <row r="403" spans="1:7" x14ac:dyDescent="0.25">
      <c r="A403" s="1" t="str">
        <f t="shared" si="6"/>
        <v>11</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2434</v>
      </c>
      <c r="D403" s="1" t="s">
        <v>1084</v>
      </c>
      <c r="E403" s="1" t="s">
        <v>2435</v>
      </c>
      <c r="F403" s="1" t="s">
        <v>112</v>
      </c>
      <c r="G403" s="1">
        <v>141741</v>
      </c>
    </row>
    <row r="404" spans="1:7" x14ac:dyDescent="0.25">
      <c r="A404" s="1" t="str">
        <f t="shared" si="6"/>
        <v>11</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2436</v>
      </c>
      <c r="D404" s="1" t="s">
        <v>151</v>
      </c>
      <c r="E404" s="1" t="s">
        <v>2437</v>
      </c>
      <c r="F404" s="1" t="s">
        <v>112</v>
      </c>
      <c r="G404" s="1">
        <v>125021</v>
      </c>
    </row>
    <row r="405" spans="1:7" x14ac:dyDescent="0.25">
      <c r="A405" s="1" t="str">
        <f t="shared" si="6"/>
        <v>11</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2438</v>
      </c>
      <c r="D405" s="1" t="s">
        <v>2439</v>
      </c>
      <c r="E405" s="1" t="s">
        <v>2440</v>
      </c>
      <c r="F405" s="1" t="s">
        <v>112</v>
      </c>
      <c r="G405" s="1">
        <v>123636</v>
      </c>
    </row>
    <row r="406" spans="1:7" x14ac:dyDescent="0.25">
      <c r="A406" s="1" t="str">
        <f t="shared" si="6"/>
        <v>11</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2441</v>
      </c>
      <c r="D406" s="1" t="s">
        <v>2442</v>
      </c>
      <c r="E406" s="1" t="s">
        <v>2443</v>
      </c>
      <c r="F406" s="1" t="s">
        <v>112</v>
      </c>
      <c r="G406" s="1">
        <v>134798</v>
      </c>
    </row>
    <row r="407" spans="1:7" x14ac:dyDescent="0.25">
      <c r="A407" s="1" t="str">
        <f t="shared" si="6"/>
        <v>11</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2444</v>
      </c>
      <c r="D407" s="1" t="s">
        <v>2445</v>
      </c>
      <c r="E407" s="1" t="s">
        <v>2446</v>
      </c>
      <c r="F407" s="1" t="s">
        <v>112</v>
      </c>
      <c r="G407" s="1">
        <v>8976</v>
      </c>
    </row>
    <row r="408" spans="1:7" x14ac:dyDescent="0.25">
      <c r="A408" s="1" t="str">
        <f t="shared" si="6"/>
        <v>11</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2447</v>
      </c>
      <c r="D408" s="1" t="s">
        <v>2448</v>
      </c>
      <c r="E408" s="1" t="s">
        <v>2449</v>
      </c>
      <c r="F408" s="1" t="s">
        <v>112</v>
      </c>
      <c r="G408" s="1">
        <v>33981</v>
      </c>
    </row>
    <row r="409" spans="1:7" x14ac:dyDescent="0.25">
      <c r="A409" s="1" t="str">
        <f t="shared" si="6"/>
        <v>11</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2450</v>
      </c>
      <c r="D409" s="1" t="s">
        <v>2087</v>
      </c>
      <c r="E409" s="1">
        <v>31</v>
      </c>
      <c r="F409" s="1" t="s">
        <v>112</v>
      </c>
      <c r="G409" s="1">
        <v>18775</v>
      </c>
    </row>
    <row r="410" spans="1:7" x14ac:dyDescent="0.25">
      <c r="A410" s="1" t="str">
        <f t="shared" si="6"/>
        <v>11</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2451</v>
      </c>
      <c r="D410" s="1" t="s">
        <v>2452</v>
      </c>
      <c r="E410" s="1" t="s">
        <v>2453</v>
      </c>
      <c r="F410" s="1" t="s">
        <v>112</v>
      </c>
      <c r="G410" s="1">
        <v>341666</v>
      </c>
    </row>
    <row r="411" spans="1:7" x14ac:dyDescent="0.25">
      <c r="A411" s="1" t="str">
        <f t="shared" si="6"/>
        <v>11</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2454</v>
      </c>
    </row>
    <row r="412" spans="1:7" x14ac:dyDescent="0.25">
      <c r="A412" s="1" t="str">
        <f t="shared" si="6"/>
        <v>11</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2455</v>
      </c>
    </row>
    <row r="413" spans="1:7" x14ac:dyDescent="0.25">
      <c r="A413" s="1" t="str">
        <f t="shared" si="6"/>
        <v>11</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2456</v>
      </c>
      <c r="D413" s="1" t="s">
        <v>2395</v>
      </c>
      <c r="E413" s="1" t="s">
        <v>2457</v>
      </c>
      <c r="F413" s="1" t="s">
        <v>112</v>
      </c>
      <c r="G413" s="1">
        <v>39539</v>
      </c>
    </row>
    <row r="414" spans="1:7" x14ac:dyDescent="0.25">
      <c r="A414" s="1" t="str">
        <f t="shared" si="6"/>
        <v>11</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2458</v>
      </c>
      <c r="D414" s="1" t="s">
        <v>2459</v>
      </c>
      <c r="E414" s="1" t="s">
        <v>2460</v>
      </c>
      <c r="F414" s="1" t="s">
        <v>112</v>
      </c>
      <c r="G414" s="1">
        <v>34110</v>
      </c>
    </row>
    <row r="415" spans="1:7" x14ac:dyDescent="0.25">
      <c r="A415" s="1" t="str">
        <f t="shared" si="6"/>
        <v>11</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2461</v>
      </c>
      <c r="D415" s="1" t="s">
        <v>1583</v>
      </c>
      <c r="E415" s="1" t="s">
        <v>2462</v>
      </c>
      <c r="F415" s="1" t="s">
        <v>112</v>
      </c>
      <c r="G415" s="1">
        <v>45877</v>
      </c>
    </row>
    <row r="416" spans="1:7" x14ac:dyDescent="0.25">
      <c r="A416" s="1" t="str">
        <f t="shared" si="6"/>
        <v>11</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2463</v>
      </c>
      <c r="D416" s="1">
        <v>0</v>
      </c>
      <c r="E416" s="1">
        <v>0</v>
      </c>
      <c r="F416" s="1" t="s">
        <v>112</v>
      </c>
      <c r="G416" s="1">
        <v>0</v>
      </c>
    </row>
    <row r="417" spans="1:10" x14ac:dyDescent="0.25">
      <c r="A417" s="1" t="str">
        <f t="shared" si="6"/>
        <v>11</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2464</v>
      </c>
      <c r="D417" s="1" t="s">
        <v>2057</v>
      </c>
      <c r="E417" s="1" t="s">
        <v>2465</v>
      </c>
      <c r="F417" s="1" t="s">
        <v>112</v>
      </c>
      <c r="G417" s="1">
        <v>47283</v>
      </c>
    </row>
    <row r="418" spans="1:10" x14ac:dyDescent="0.25">
      <c r="A418" s="1" t="str">
        <f t="shared" si="6"/>
        <v>11</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2466</v>
      </c>
      <c r="D418" s="1">
        <v>0</v>
      </c>
      <c r="E418" s="1">
        <v>0</v>
      </c>
      <c r="F418" s="1" t="s">
        <v>112</v>
      </c>
      <c r="G418" s="1">
        <v>0</v>
      </c>
    </row>
    <row r="419" spans="1:10" x14ac:dyDescent="0.25">
      <c r="A419" s="1" t="str">
        <f t="shared" si="6"/>
        <v>11</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2467</v>
      </c>
    </row>
    <row r="420" spans="1:10" x14ac:dyDescent="0.25">
      <c r="A420" s="1" t="str">
        <f t="shared" si="6"/>
        <v>11</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2468</v>
      </c>
      <c r="D420" s="1">
        <v>0</v>
      </c>
      <c r="E420" s="1">
        <v>0</v>
      </c>
      <c r="F420" s="1" t="s">
        <v>112</v>
      </c>
      <c r="G420" s="1">
        <v>0</v>
      </c>
    </row>
    <row r="421" spans="1:10" x14ac:dyDescent="0.25">
      <c r="A421" s="1" t="str">
        <f t="shared" si="6"/>
        <v>11</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2469</v>
      </c>
      <c r="D421" s="1" t="s">
        <v>1401</v>
      </c>
      <c r="E421" s="1" t="s">
        <v>2470</v>
      </c>
      <c r="F421" s="1" t="s">
        <v>112</v>
      </c>
      <c r="G421" s="1">
        <v>61840</v>
      </c>
    </row>
    <row r="422" spans="1:10"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10"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219</v>
      </c>
      <c r="D423" s="1" t="s">
        <v>112</v>
      </c>
      <c r="E423" s="1" t="s">
        <v>220</v>
      </c>
      <c r="F423" s="1" t="s">
        <v>221</v>
      </c>
      <c r="G423" s="1" t="s">
        <v>222</v>
      </c>
      <c r="H423" s="1" t="s">
        <v>223</v>
      </c>
      <c r="I423" s="1" t="s">
        <v>224</v>
      </c>
      <c r="J423" s="1" t="s">
        <v>225</v>
      </c>
    </row>
    <row r="424" spans="1:10" x14ac:dyDescent="0.25">
      <c r="A424" s="1" t="str">
        <f t="shared" si="6"/>
        <v>11</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2471</v>
      </c>
      <c r="D424" s="1" t="s">
        <v>112</v>
      </c>
      <c r="E424" s="1" t="s">
        <v>2472</v>
      </c>
      <c r="F424" s="1" t="s">
        <v>2473</v>
      </c>
      <c r="G424" s="1" t="s">
        <v>2474</v>
      </c>
      <c r="H424" s="1" t="s">
        <v>2475</v>
      </c>
      <c r="I424" s="1">
        <v>19</v>
      </c>
      <c r="J424" s="1">
        <v>24</v>
      </c>
    </row>
    <row r="425" spans="1:10"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10"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10"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10"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10"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10"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231</v>
      </c>
      <c r="D430" s="1" t="s">
        <v>110</v>
      </c>
      <c r="E430" s="1" t="s">
        <v>111</v>
      </c>
      <c r="F430" s="1" t="s">
        <v>112</v>
      </c>
      <c r="G430" s="1" t="s">
        <v>113</v>
      </c>
    </row>
    <row r="431" spans="1:10" x14ac:dyDescent="0.25">
      <c r="A431" s="1" t="str">
        <f t="shared" si="6"/>
        <v>12</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2476</v>
      </c>
      <c r="D431" s="1">
        <v>0</v>
      </c>
      <c r="E431" s="1">
        <v>0</v>
      </c>
      <c r="F431" s="1" t="s">
        <v>112</v>
      </c>
      <c r="G431" s="1">
        <v>0</v>
      </c>
    </row>
    <row r="432" spans="1:10" x14ac:dyDescent="0.25">
      <c r="A432" s="1" t="str">
        <f t="shared" si="6"/>
        <v>12</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2477</v>
      </c>
      <c r="D432" s="1">
        <v>0</v>
      </c>
      <c r="E432" s="1">
        <v>0</v>
      </c>
      <c r="F432" s="1" t="s">
        <v>112</v>
      </c>
      <c r="G432" s="1">
        <v>0</v>
      </c>
    </row>
    <row r="433" spans="1:7" x14ac:dyDescent="0.25">
      <c r="A433" s="1" t="str">
        <f t="shared" si="6"/>
        <v>12</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2478</v>
      </c>
      <c r="D433" s="1">
        <v>0</v>
      </c>
      <c r="E433" s="1">
        <v>0</v>
      </c>
      <c r="F433" s="1" t="s">
        <v>112</v>
      </c>
      <c r="G433" s="1">
        <v>0</v>
      </c>
    </row>
    <row r="434" spans="1:7" x14ac:dyDescent="0.25">
      <c r="A434" s="1" t="str">
        <f t="shared" si="6"/>
        <v>12</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2479</v>
      </c>
      <c r="D434" s="1" t="s">
        <v>2480</v>
      </c>
      <c r="E434" s="1" t="s">
        <v>2481</v>
      </c>
      <c r="F434" s="1" t="s">
        <v>112</v>
      </c>
      <c r="G434" s="1">
        <v>136982</v>
      </c>
    </row>
    <row r="435" spans="1:7" x14ac:dyDescent="0.25">
      <c r="A435" s="1" t="str">
        <f t="shared" si="6"/>
        <v>12</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2482</v>
      </c>
      <c r="D435" s="1" t="s">
        <v>2483</v>
      </c>
      <c r="E435" s="1" t="s">
        <v>2484</v>
      </c>
      <c r="F435" s="1" t="s">
        <v>112</v>
      </c>
      <c r="G435" s="1">
        <v>186644</v>
      </c>
    </row>
    <row r="436" spans="1:7" x14ac:dyDescent="0.25">
      <c r="A436" s="1" t="str">
        <f t="shared" si="6"/>
        <v>12</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2485</v>
      </c>
      <c r="D436" s="1" t="s">
        <v>2486</v>
      </c>
      <c r="E436" s="1" t="s">
        <v>2487</v>
      </c>
      <c r="F436" s="1" t="s">
        <v>112</v>
      </c>
      <c r="G436" s="1">
        <v>160732</v>
      </c>
    </row>
    <row r="437" spans="1:7" x14ac:dyDescent="0.25">
      <c r="A437" s="1" t="str">
        <f t="shared" si="6"/>
        <v>12</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2488</v>
      </c>
      <c r="D437" s="1" t="s">
        <v>1532</v>
      </c>
      <c r="E437" s="1" t="s">
        <v>2489</v>
      </c>
      <c r="F437" s="1" t="s">
        <v>112</v>
      </c>
      <c r="G437" s="1">
        <v>107025</v>
      </c>
    </row>
    <row r="438" spans="1:7" x14ac:dyDescent="0.25">
      <c r="A438" s="1" t="str">
        <f t="shared" si="6"/>
        <v>12</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2490</v>
      </c>
      <c r="D438" s="1" t="s">
        <v>151</v>
      </c>
      <c r="E438" s="1" t="s">
        <v>2491</v>
      </c>
      <c r="F438" s="1" t="s">
        <v>112</v>
      </c>
      <c r="G438" s="1">
        <v>116542</v>
      </c>
    </row>
    <row r="439" spans="1:7" x14ac:dyDescent="0.25">
      <c r="A439" s="1" t="str">
        <f t="shared" si="6"/>
        <v>12</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2492</v>
      </c>
      <c r="D439" s="1" t="s">
        <v>2493</v>
      </c>
      <c r="E439" s="1" t="s">
        <v>2494</v>
      </c>
      <c r="F439" s="1" t="s">
        <v>112</v>
      </c>
      <c r="G439" s="1">
        <v>231743</v>
      </c>
    </row>
    <row r="440" spans="1:7" x14ac:dyDescent="0.25">
      <c r="A440" s="1" t="str">
        <f t="shared" si="6"/>
        <v>12</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2495</v>
      </c>
      <c r="D440" s="1" t="s">
        <v>2496</v>
      </c>
      <c r="E440" s="1" t="s">
        <v>2497</v>
      </c>
      <c r="F440" s="1" t="s">
        <v>112</v>
      </c>
      <c r="G440" s="1">
        <v>38415</v>
      </c>
    </row>
    <row r="441" spans="1:7" x14ac:dyDescent="0.25">
      <c r="A441" s="1" t="str">
        <f t="shared" si="6"/>
        <v>12</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2498</v>
      </c>
      <c r="D441" s="1" t="s">
        <v>2445</v>
      </c>
      <c r="E441" s="1" t="s">
        <v>2499</v>
      </c>
      <c r="F441" s="1" t="s">
        <v>112</v>
      </c>
      <c r="G441" s="1">
        <v>9106</v>
      </c>
    </row>
    <row r="442" spans="1:7" x14ac:dyDescent="0.25">
      <c r="A442" s="1" t="str">
        <f t="shared" si="6"/>
        <v>12</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2500</v>
      </c>
      <c r="D442" s="1" t="s">
        <v>2501</v>
      </c>
      <c r="E442" s="1" t="s">
        <v>2502</v>
      </c>
      <c r="F442" s="1" t="s">
        <v>112</v>
      </c>
      <c r="G442" s="1">
        <v>194994</v>
      </c>
    </row>
    <row r="443" spans="1:7" x14ac:dyDescent="0.25">
      <c r="A443" s="1" t="str">
        <f t="shared" si="6"/>
        <v>12</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2503</v>
      </c>
      <c r="D443" s="1" t="s">
        <v>2504</v>
      </c>
      <c r="E443" s="1" t="s">
        <v>2505</v>
      </c>
      <c r="F443" s="1" t="s">
        <v>112</v>
      </c>
      <c r="G443" s="1">
        <v>325292</v>
      </c>
    </row>
    <row r="444" spans="1:7" x14ac:dyDescent="0.25">
      <c r="A444" s="1" t="str">
        <f t="shared" si="6"/>
        <v>12</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2506</v>
      </c>
      <c r="D444" s="1" t="s">
        <v>597</v>
      </c>
      <c r="E444" s="1" t="s">
        <v>2507</v>
      </c>
      <c r="F444" s="1" t="s">
        <v>112</v>
      </c>
      <c r="G444" s="1">
        <v>251231</v>
      </c>
    </row>
    <row r="445" spans="1:7" x14ac:dyDescent="0.25">
      <c r="A445" s="1" t="str">
        <f t="shared" si="6"/>
        <v>12</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2508</v>
      </c>
      <c r="D445" s="1" t="s">
        <v>1694</v>
      </c>
      <c r="E445" s="1" t="s">
        <v>2509</v>
      </c>
      <c r="F445" s="1" t="s">
        <v>112</v>
      </c>
      <c r="G445" s="1">
        <v>147948</v>
      </c>
    </row>
    <row r="446" spans="1:7" x14ac:dyDescent="0.25">
      <c r="A446" s="1" t="str">
        <f t="shared" si="6"/>
        <v>12</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2510</v>
      </c>
      <c r="D446" s="1" t="s">
        <v>2511</v>
      </c>
      <c r="E446" s="1" t="s">
        <v>1546</v>
      </c>
      <c r="F446" s="1" t="s">
        <v>112</v>
      </c>
      <c r="G446" s="1">
        <v>69908</v>
      </c>
    </row>
    <row r="447" spans="1:7" x14ac:dyDescent="0.25">
      <c r="A447" s="1" t="str">
        <f t="shared" si="6"/>
        <v>12</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2512</v>
      </c>
    </row>
    <row r="448" spans="1:7" x14ac:dyDescent="0.25">
      <c r="A448" s="1" t="str">
        <f t="shared" si="6"/>
        <v>12</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2513</v>
      </c>
      <c r="D448" s="1">
        <v>0</v>
      </c>
      <c r="E448" s="1">
        <v>0</v>
      </c>
      <c r="F448" s="1" t="s">
        <v>112</v>
      </c>
      <c r="G448" s="1">
        <v>0</v>
      </c>
    </row>
    <row r="449" spans="1:10" x14ac:dyDescent="0.25">
      <c r="A449" s="1" t="str">
        <f t="shared" si="6"/>
        <v>12</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2514</v>
      </c>
      <c r="D449" s="1">
        <v>0</v>
      </c>
      <c r="E449" s="1">
        <v>0</v>
      </c>
      <c r="F449" s="1" t="s">
        <v>112</v>
      </c>
      <c r="G449" s="1">
        <v>0</v>
      </c>
    </row>
    <row r="450" spans="1:10" x14ac:dyDescent="0.25">
      <c r="A450" s="1" t="str">
        <f t="shared" ref="A450:A513" si="7">IFERROR(LEFT(RIGHT(C450,LEN(C450)-SEARCH("@",C450)),SEARCH("/",RIGHT(C450,LEN(C450)-SEARCH("@",C450)-1))),"")</f>
        <v>12</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2515</v>
      </c>
      <c r="D450" s="1">
        <v>0</v>
      </c>
      <c r="E450" s="1">
        <v>0</v>
      </c>
      <c r="F450" s="1" t="s">
        <v>112</v>
      </c>
      <c r="G450" s="1">
        <v>0</v>
      </c>
    </row>
    <row r="451" spans="1:10" x14ac:dyDescent="0.25">
      <c r="A451" s="1" t="str">
        <f t="shared" si="7"/>
        <v>12</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2516</v>
      </c>
      <c r="D451" s="1">
        <v>0</v>
      </c>
      <c r="E451" s="1">
        <v>0</v>
      </c>
      <c r="F451" s="1" t="s">
        <v>112</v>
      </c>
      <c r="G451" s="1">
        <v>0</v>
      </c>
    </row>
    <row r="452" spans="1:10" x14ac:dyDescent="0.25">
      <c r="A452" s="1" t="str">
        <f t="shared" si="7"/>
        <v>12</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2517</v>
      </c>
      <c r="D452" s="1" t="s">
        <v>2518</v>
      </c>
      <c r="E452" s="1" t="s">
        <v>2519</v>
      </c>
      <c r="F452" s="1" t="s">
        <v>112</v>
      </c>
      <c r="G452" s="1">
        <v>2782059</v>
      </c>
    </row>
    <row r="453" spans="1:10" x14ac:dyDescent="0.25">
      <c r="A453" s="1" t="str">
        <f t="shared" si="7"/>
        <v>12</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2520</v>
      </c>
    </row>
    <row r="454" spans="1:10" x14ac:dyDescent="0.25">
      <c r="A454" s="1" t="str">
        <f t="shared" si="7"/>
        <v>12</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2521</v>
      </c>
    </row>
    <row r="455" spans="1:10"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10"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219</v>
      </c>
      <c r="D456" s="1" t="s">
        <v>112</v>
      </c>
      <c r="E456" s="1" t="s">
        <v>220</v>
      </c>
      <c r="F456" s="1" t="s">
        <v>221</v>
      </c>
      <c r="G456" s="1" t="s">
        <v>222</v>
      </c>
      <c r="H456" s="1" t="s">
        <v>223</v>
      </c>
      <c r="I456" s="1" t="s">
        <v>224</v>
      </c>
      <c r="J456" s="1" t="s">
        <v>225</v>
      </c>
    </row>
    <row r="457" spans="1:10" x14ac:dyDescent="0.25">
      <c r="A457" s="1" t="str">
        <f t="shared" si="7"/>
        <v>12</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2522</v>
      </c>
      <c r="D457" s="1" t="s">
        <v>112</v>
      </c>
      <c r="E457" s="1" t="s">
        <v>2523</v>
      </c>
      <c r="F457" s="1" t="s">
        <v>2524</v>
      </c>
      <c r="G457" s="1" t="s">
        <v>2525</v>
      </c>
      <c r="H457" s="1" t="s">
        <v>2526</v>
      </c>
      <c r="I457" s="1">
        <v>17</v>
      </c>
      <c r="J457" s="1">
        <v>24</v>
      </c>
    </row>
    <row r="458" spans="1:10"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10"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10"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10"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10"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10"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231</v>
      </c>
      <c r="D463" s="1" t="s">
        <v>110</v>
      </c>
      <c r="E463" s="1" t="s">
        <v>111</v>
      </c>
      <c r="F463" s="1" t="s">
        <v>112</v>
      </c>
      <c r="G463" s="1" t="s">
        <v>113</v>
      </c>
    </row>
    <row r="464" spans="1:10" x14ac:dyDescent="0.25">
      <c r="A464" s="1" t="str">
        <f t="shared" si="7"/>
        <v>17</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2527</v>
      </c>
      <c r="D464" s="1" t="s">
        <v>2528</v>
      </c>
      <c r="E464" s="1" t="s">
        <v>2529</v>
      </c>
      <c r="F464" s="1" t="s">
        <v>112</v>
      </c>
      <c r="G464" s="1">
        <v>783954</v>
      </c>
    </row>
    <row r="465" spans="1:7" x14ac:dyDescent="0.25">
      <c r="A465" s="1" t="str">
        <f t="shared" si="7"/>
        <v>17</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2530</v>
      </c>
      <c r="D465" s="1" t="s">
        <v>2531</v>
      </c>
      <c r="E465" s="1" t="s">
        <v>2532</v>
      </c>
      <c r="F465" s="1" t="s">
        <v>112</v>
      </c>
      <c r="G465" s="1">
        <v>559284</v>
      </c>
    </row>
    <row r="466" spans="1:7" x14ac:dyDescent="0.25">
      <c r="A466" s="1" t="str">
        <f t="shared" si="7"/>
        <v>17</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2533</v>
      </c>
      <c r="D466" s="1" t="s">
        <v>2534</v>
      </c>
      <c r="E466" s="1" t="s">
        <v>2535</v>
      </c>
      <c r="F466" s="1" t="s">
        <v>112</v>
      </c>
      <c r="G466" s="1">
        <v>516111</v>
      </c>
    </row>
    <row r="467" spans="1:7" x14ac:dyDescent="0.25">
      <c r="A467" s="1" t="str">
        <f t="shared" si="7"/>
        <v>17</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2536</v>
      </c>
      <c r="D467" s="1" t="s">
        <v>1000</v>
      </c>
      <c r="E467" s="1" t="s">
        <v>2537</v>
      </c>
      <c r="F467" s="1" t="s">
        <v>112</v>
      </c>
      <c r="G467" s="1">
        <v>229883</v>
      </c>
    </row>
    <row r="468" spans="1:7" x14ac:dyDescent="0.25">
      <c r="A468" s="1" t="str">
        <f t="shared" si="7"/>
        <v>17</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2538</v>
      </c>
      <c r="D468" s="1" t="s">
        <v>2539</v>
      </c>
      <c r="E468" s="1" t="s">
        <v>2540</v>
      </c>
      <c r="F468" s="1" t="s">
        <v>112</v>
      </c>
      <c r="G468" s="1">
        <v>272255</v>
      </c>
    </row>
    <row r="469" spans="1:7" x14ac:dyDescent="0.25">
      <c r="A469" s="1" t="str">
        <f t="shared" si="7"/>
        <v>17</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2541</v>
      </c>
      <c r="D469" s="1" t="s">
        <v>600</v>
      </c>
      <c r="E469" s="1" t="s">
        <v>2542</v>
      </c>
      <c r="F469" s="1" t="s">
        <v>112</v>
      </c>
      <c r="G469" s="1">
        <v>224215</v>
      </c>
    </row>
    <row r="470" spans="1:7" x14ac:dyDescent="0.25">
      <c r="A470" s="1" t="str">
        <f t="shared" si="7"/>
        <v>17</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2543</v>
      </c>
      <c r="D470" s="1" t="s">
        <v>2544</v>
      </c>
      <c r="E470" s="1" t="s">
        <v>2545</v>
      </c>
      <c r="F470" s="1" t="s">
        <v>112</v>
      </c>
      <c r="G470" s="1">
        <v>510725</v>
      </c>
    </row>
    <row r="471" spans="1:7" x14ac:dyDescent="0.25">
      <c r="A471" s="1" t="str">
        <f t="shared" si="7"/>
        <v>17</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2546</v>
      </c>
      <c r="D471" s="1" t="s">
        <v>2547</v>
      </c>
      <c r="E471" s="1" t="s">
        <v>2548</v>
      </c>
      <c r="F471" s="1" t="s">
        <v>112</v>
      </c>
      <c r="G471" s="1">
        <v>722049</v>
      </c>
    </row>
    <row r="472" spans="1:7" x14ac:dyDescent="0.25">
      <c r="A472" s="1" t="str">
        <f t="shared" si="7"/>
        <v>17</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2549</v>
      </c>
      <c r="D472" s="1" t="s">
        <v>175</v>
      </c>
      <c r="E472" s="1" t="s">
        <v>2550</v>
      </c>
      <c r="F472" s="1" t="s">
        <v>112</v>
      </c>
      <c r="G472" s="1">
        <v>239400</v>
      </c>
    </row>
    <row r="473" spans="1:7" x14ac:dyDescent="0.25">
      <c r="A473" s="1" t="str">
        <f t="shared" si="7"/>
        <v>17</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2551</v>
      </c>
    </row>
    <row r="474" spans="1:7" x14ac:dyDescent="0.25">
      <c r="A474" s="1" t="str">
        <f t="shared" si="7"/>
        <v>17</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2552</v>
      </c>
    </row>
    <row r="475" spans="1:7" x14ac:dyDescent="0.25">
      <c r="A475" s="1" t="str">
        <f t="shared" si="7"/>
        <v>17</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2553</v>
      </c>
    </row>
    <row r="476" spans="1:7" x14ac:dyDescent="0.25">
      <c r="A476" s="1" t="str">
        <f t="shared" si="7"/>
        <v>17</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2554</v>
      </c>
      <c r="D476" s="1" t="s">
        <v>2555</v>
      </c>
      <c r="E476" s="1" t="s">
        <v>2556</v>
      </c>
      <c r="F476" s="1" t="s">
        <v>112</v>
      </c>
      <c r="G476" s="1">
        <v>2462974</v>
      </c>
    </row>
    <row r="477" spans="1:7" x14ac:dyDescent="0.25">
      <c r="A477" s="1" t="str">
        <f t="shared" si="7"/>
        <v>17</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2557</v>
      </c>
      <c r="D477" s="1" t="s">
        <v>2558</v>
      </c>
      <c r="E477" s="1" t="s">
        <v>2559</v>
      </c>
      <c r="F477" s="1" t="s">
        <v>112</v>
      </c>
      <c r="G477" s="1">
        <v>2593749</v>
      </c>
    </row>
    <row r="478" spans="1:7" x14ac:dyDescent="0.25">
      <c r="A478" s="1" t="str">
        <f t="shared" si="7"/>
        <v>17</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2560</v>
      </c>
      <c r="D478" s="1" t="s">
        <v>2561</v>
      </c>
      <c r="E478" s="1" t="s">
        <v>2562</v>
      </c>
      <c r="F478" s="1" t="s">
        <v>112</v>
      </c>
      <c r="G478" s="1">
        <v>2991804</v>
      </c>
    </row>
    <row r="479" spans="1:7" x14ac:dyDescent="0.25">
      <c r="A479" s="1" t="str">
        <f t="shared" si="7"/>
        <v>17</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2563</v>
      </c>
      <c r="D479" s="1" t="s">
        <v>2564</v>
      </c>
      <c r="E479" s="1" t="s">
        <v>2565</v>
      </c>
      <c r="F479" s="1" t="s">
        <v>112</v>
      </c>
      <c r="G479" s="1">
        <v>1745857</v>
      </c>
    </row>
    <row r="480" spans="1:7" x14ac:dyDescent="0.25">
      <c r="A480" s="1" t="str">
        <f t="shared" si="7"/>
        <v>17</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2566</v>
      </c>
      <c r="D480" s="1" t="s">
        <v>2567</v>
      </c>
      <c r="E480" s="1" t="s">
        <v>2568</v>
      </c>
      <c r="F480" s="1" t="s">
        <v>112</v>
      </c>
      <c r="G480" s="1">
        <v>2318465</v>
      </c>
    </row>
    <row r="481" spans="1:10" x14ac:dyDescent="0.25">
      <c r="A481" s="1" t="str">
        <f t="shared" si="7"/>
        <v>17</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2569</v>
      </c>
      <c r="D481" s="1" t="s">
        <v>769</v>
      </c>
      <c r="E481" s="1" t="s">
        <v>2570</v>
      </c>
      <c r="F481" s="1" t="s">
        <v>112</v>
      </c>
      <c r="G481" s="1">
        <v>1911780</v>
      </c>
    </row>
    <row r="482" spans="1:10" x14ac:dyDescent="0.25">
      <c r="A482" s="1" t="str">
        <f t="shared" si="7"/>
        <v>17</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2571</v>
      </c>
    </row>
    <row r="483" spans="1:10" x14ac:dyDescent="0.25">
      <c r="A483" s="1" t="str">
        <f t="shared" si="7"/>
        <v>17</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2572</v>
      </c>
    </row>
    <row r="484" spans="1:10" x14ac:dyDescent="0.25">
      <c r="A484" s="1" t="str">
        <f t="shared" si="7"/>
        <v>17</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2573</v>
      </c>
      <c r="D484" s="1" t="s">
        <v>2544</v>
      </c>
      <c r="E484" s="1" t="s">
        <v>2574</v>
      </c>
      <c r="F484" s="1" t="s">
        <v>112</v>
      </c>
      <c r="G484" s="1">
        <v>494459</v>
      </c>
    </row>
    <row r="485" spans="1:10" x14ac:dyDescent="0.25">
      <c r="A485" s="1" t="str">
        <f t="shared" si="7"/>
        <v>17</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2575</v>
      </c>
      <c r="D485" s="1" t="s">
        <v>2576</v>
      </c>
      <c r="E485" s="1" t="s">
        <v>2577</v>
      </c>
      <c r="F485" s="1" t="s">
        <v>112</v>
      </c>
      <c r="G485" s="1">
        <v>341493</v>
      </c>
    </row>
    <row r="486" spans="1:10" x14ac:dyDescent="0.25">
      <c r="A486" s="1" t="str">
        <f t="shared" si="7"/>
        <v>17</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2578</v>
      </c>
      <c r="D486" s="1" t="s">
        <v>2579</v>
      </c>
      <c r="E486" s="1" t="s">
        <v>2580</v>
      </c>
      <c r="F486" s="1" t="s">
        <v>112</v>
      </c>
      <c r="G486" s="1">
        <v>37593</v>
      </c>
    </row>
    <row r="487" spans="1:10" x14ac:dyDescent="0.25">
      <c r="A487" s="1" t="str">
        <f t="shared" si="7"/>
        <v>17</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2581</v>
      </c>
      <c r="D487" s="1" t="s">
        <v>2582</v>
      </c>
      <c r="E487" s="1" t="s">
        <v>2583</v>
      </c>
      <c r="F487" s="1" t="s">
        <v>112</v>
      </c>
      <c r="G487" s="1">
        <v>201699</v>
      </c>
    </row>
    <row r="488" spans="1:10"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10"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219</v>
      </c>
      <c r="D489" s="1" t="s">
        <v>112</v>
      </c>
      <c r="E489" s="1" t="s">
        <v>220</v>
      </c>
      <c r="F489" s="1" t="s">
        <v>221</v>
      </c>
      <c r="G489" s="1" t="s">
        <v>222</v>
      </c>
      <c r="H489" s="1" t="s">
        <v>223</v>
      </c>
      <c r="I489" s="1" t="s">
        <v>224</v>
      </c>
      <c r="J489" s="1" t="s">
        <v>225</v>
      </c>
    </row>
    <row r="490" spans="1:10" x14ac:dyDescent="0.25">
      <c r="A490" s="1" t="str">
        <f t="shared" si="7"/>
        <v>17</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2584</v>
      </c>
      <c r="D490" s="1" t="s">
        <v>112</v>
      </c>
      <c r="E490" s="1" t="s">
        <v>2585</v>
      </c>
      <c r="F490" s="1" t="s">
        <v>2586</v>
      </c>
      <c r="G490" s="1" t="s">
        <v>2587</v>
      </c>
      <c r="H490" s="1" t="s">
        <v>2588</v>
      </c>
      <c r="I490" s="1">
        <v>24</v>
      </c>
      <c r="J490" s="1">
        <v>24</v>
      </c>
    </row>
    <row r="491" spans="1:10"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10"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10"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10"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10"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10"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231</v>
      </c>
      <c r="D496" s="1" t="s">
        <v>110</v>
      </c>
      <c r="E496" s="1" t="s">
        <v>111</v>
      </c>
      <c r="F496" s="1" t="s">
        <v>112</v>
      </c>
      <c r="G496" s="1" t="s">
        <v>113</v>
      </c>
    </row>
    <row r="497" spans="1:7" x14ac:dyDescent="0.25">
      <c r="A497" s="1" t="str">
        <f t="shared" si="7"/>
        <v>18</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2589</v>
      </c>
      <c r="D497" s="1" t="s">
        <v>2590</v>
      </c>
      <c r="E497" s="1" t="s">
        <v>2591</v>
      </c>
      <c r="F497" s="1" t="s">
        <v>112</v>
      </c>
      <c r="G497" s="1">
        <v>1886495</v>
      </c>
    </row>
    <row r="498" spans="1:7" x14ac:dyDescent="0.25">
      <c r="A498" s="1" t="str">
        <f t="shared" si="7"/>
        <v>18</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2592</v>
      </c>
      <c r="D498" s="1" t="s">
        <v>2593</v>
      </c>
      <c r="E498" s="1" t="s">
        <v>2594</v>
      </c>
      <c r="F498" s="1" t="s">
        <v>112</v>
      </c>
      <c r="G498" s="1">
        <v>2005026</v>
      </c>
    </row>
    <row r="499" spans="1:7" x14ac:dyDescent="0.25">
      <c r="A499" s="1" t="str">
        <f t="shared" si="7"/>
        <v>18</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2595</v>
      </c>
      <c r="D499" s="1" t="s">
        <v>2596</v>
      </c>
      <c r="E499" s="1" t="s">
        <v>2597</v>
      </c>
      <c r="F499" s="1" t="s">
        <v>112</v>
      </c>
      <c r="G499" s="1">
        <v>1615147</v>
      </c>
    </row>
    <row r="500" spans="1:7" x14ac:dyDescent="0.25">
      <c r="A500" s="1" t="str">
        <f t="shared" si="7"/>
        <v>18</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2598</v>
      </c>
      <c r="D500" s="1" t="s">
        <v>2599</v>
      </c>
      <c r="E500" s="1" t="s">
        <v>2600</v>
      </c>
      <c r="F500" s="1" t="s">
        <v>112</v>
      </c>
      <c r="G500" s="1">
        <v>516133</v>
      </c>
    </row>
    <row r="501" spans="1:7" x14ac:dyDescent="0.25">
      <c r="A501" s="1" t="str">
        <f t="shared" si="7"/>
        <v>18</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2601</v>
      </c>
      <c r="D501" s="1" t="s">
        <v>2602</v>
      </c>
      <c r="E501" s="1" t="s">
        <v>2603</v>
      </c>
      <c r="F501" s="1" t="s">
        <v>112</v>
      </c>
      <c r="G501" s="1">
        <v>665725</v>
      </c>
    </row>
    <row r="502" spans="1:7" x14ac:dyDescent="0.25">
      <c r="A502" s="1" t="str">
        <f t="shared" si="7"/>
        <v>18</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2604</v>
      </c>
      <c r="D502" s="1" t="s">
        <v>2605</v>
      </c>
      <c r="E502" s="1" t="s">
        <v>2606</v>
      </c>
      <c r="F502" s="1" t="s">
        <v>112</v>
      </c>
      <c r="G502" s="1">
        <v>1137365</v>
      </c>
    </row>
    <row r="503" spans="1:7" x14ac:dyDescent="0.25">
      <c r="A503" s="1" t="str">
        <f t="shared" si="7"/>
        <v>18</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2607</v>
      </c>
      <c r="D503" s="1" t="s">
        <v>2608</v>
      </c>
      <c r="E503" s="1" t="s">
        <v>2609</v>
      </c>
      <c r="F503" s="1" t="s">
        <v>112</v>
      </c>
      <c r="G503" s="1">
        <v>2990398</v>
      </c>
    </row>
    <row r="504" spans="1:7" x14ac:dyDescent="0.25">
      <c r="A504" s="1" t="str">
        <f t="shared" si="7"/>
        <v>18</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2610</v>
      </c>
      <c r="D504" s="1" t="s">
        <v>2611</v>
      </c>
      <c r="E504" s="1" t="s">
        <v>2612</v>
      </c>
      <c r="F504" s="1" t="s">
        <v>112</v>
      </c>
      <c r="G504" s="1">
        <v>3108194</v>
      </c>
    </row>
    <row r="505" spans="1:7" x14ac:dyDescent="0.25">
      <c r="A505" s="1" t="str">
        <f t="shared" si="7"/>
        <v>18</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2613</v>
      </c>
      <c r="D505" s="1" t="s">
        <v>2614</v>
      </c>
      <c r="E505" s="1" t="s">
        <v>2615</v>
      </c>
      <c r="F505" s="1" t="s">
        <v>112</v>
      </c>
      <c r="G505" s="1">
        <v>2883114</v>
      </c>
    </row>
    <row r="506" spans="1:7" x14ac:dyDescent="0.25">
      <c r="A506" s="1" t="str">
        <f t="shared" si="7"/>
        <v>18</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2616</v>
      </c>
      <c r="D506" s="1" t="s">
        <v>2617</v>
      </c>
      <c r="E506" s="1" t="s">
        <v>2618</v>
      </c>
      <c r="F506" s="1" t="s">
        <v>112</v>
      </c>
      <c r="G506" s="1">
        <v>2763176</v>
      </c>
    </row>
    <row r="507" spans="1:7" x14ac:dyDescent="0.25">
      <c r="A507" s="1" t="str">
        <f t="shared" si="7"/>
        <v>18</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2619</v>
      </c>
      <c r="D507" s="1" t="s">
        <v>2620</v>
      </c>
      <c r="E507" s="1" t="s">
        <v>2621</v>
      </c>
      <c r="F507" s="1" t="s">
        <v>112</v>
      </c>
      <c r="G507" s="1">
        <v>3290924</v>
      </c>
    </row>
    <row r="508" spans="1:7" x14ac:dyDescent="0.25">
      <c r="A508" s="1" t="str">
        <f t="shared" si="7"/>
        <v>18</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2622</v>
      </c>
      <c r="D508" s="1" t="s">
        <v>2623</v>
      </c>
      <c r="E508" s="1" t="s">
        <v>2624</v>
      </c>
      <c r="F508" s="1" t="s">
        <v>112</v>
      </c>
      <c r="G508" s="1">
        <v>3038048</v>
      </c>
    </row>
    <row r="509" spans="1:7" x14ac:dyDescent="0.25">
      <c r="A509" s="1" t="str">
        <f t="shared" si="7"/>
        <v>18</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2625</v>
      </c>
      <c r="D509" s="1" t="s">
        <v>2626</v>
      </c>
      <c r="E509" s="1" t="s">
        <v>2627</v>
      </c>
      <c r="F509" s="1" t="s">
        <v>112</v>
      </c>
      <c r="G509" s="1">
        <v>2804835</v>
      </c>
    </row>
    <row r="510" spans="1:7" x14ac:dyDescent="0.25">
      <c r="A510" s="1" t="str">
        <f t="shared" si="7"/>
        <v>18</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2628</v>
      </c>
      <c r="D510" s="1" t="s">
        <v>2629</v>
      </c>
      <c r="E510" s="1" t="s">
        <v>2630</v>
      </c>
      <c r="F510" s="1" t="s">
        <v>112</v>
      </c>
      <c r="G510" s="1">
        <v>2459232</v>
      </c>
    </row>
    <row r="511" spans="1:7" x14ac:dyDescent="0.25">
      <c r="A511" s="1" t="str">
        <f t="shared" si="7"/>
        <v>18</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2631</v>
      </c>
      <c r="D511" s="1" t="s">
        <v>2632</v>
      </c>
      <c r="E511" s="1" t="s">
        <v>2633</v>
      </c>
      <c r="F511" s="1" t="s">
        <v>112</v>
      </c>
      <c r="G511" s="1">
        <v>2795534</v>
      </c>
    </row>
    <row r="512" spans="1:7" x14ac:dyDescent="0.25">
      <c r="A512" s="1" t="str">
        <f t="shared" si="7"/>
        <v>18</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2634</v>
      </c>
      <c r="D512" s="1" t="s">
        <v>1248</v>
      </c>
      <c r="E512" s="1" t="s">
        <v>2635</v>
      </c>
      <c r="F512" s="1" t="s">
        <v>112</v>
      </c>
      <c r="G512" s="1">
        <v>3702216</v>
      </c>
    </row>
    <row r="513" spans="1:10" x14ac:dyDescent="0.25">
      <c r="A513" s="1" t="str">
        <f t="shared" si="7"/>
        <v>18</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2636</v>
      </c>
      <c r="D513" s="1" t="s">
        <v>2637</v>
      </c>
      <c r="E513" s="1" t="s">
        <v>2638</v>
      </c>
      <c r="F513" s="1" t="s">
        <v>112</v>
      </c>
      <c r="G513" s="1">
        <v>3185499</v>
      </c>
    </row>
    <row r="514" spans="1:10" x14ac:dyDescent="0.25">
      <c r="A514" s="1" t="str">
        <f t="shared" ref="A514:A577" si="8">IFERROR(LEFT(RIGHT(C514,LEN(C514)-SEARCH("@",C514)),SEARCH("/",RIGHT(C514,LEN(C514)-SEARCH("@",C514)-1))),"")</f>
        <v>18</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2639</v>
      </c>
      <c r="D514" s="1" t="s">
        <v>2640</v>
      </c>
      <c r="E514" s="1" t="s">
        <v>2641</v>
      </c>
      <c r="F514" s="1" t="s">
        <v>112</v>
      </c>
      <c r="G514" s="1">
        <v>3623613</v>
      </c>
    </row>
    <row r="515" spans="1:10" x14ac:dyDescent="0.25">
      <c r="A515" s="1" t="str">
        <f t="shared" si="8"/>
        <v>18</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2642</v>
      </c>
      <c r="D515" s="1" t="s">
        <v>2643</v>
      </c>
      <c r="E515" s="1" t="s">
        <v>2644</v>
      </c>
      <c r="F515" s="1" t="s">
        <v>112</v>
      </c>
      <c r="G515" s="1">
        <v>3181628</v>
      </c>
    </row>
    <row r="516" spans="1:10" x14ac:dyDescent="0.25">
      <c r="A516" s="1" t="str">
        <f t="shared" si="8"/>
        <v>18</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2645</v>
      </c>
      <c r="D516" s="1" t="s">
        <v>2646</v>
      </c>
      <c r="E516" s="1" t="s">
        <v>2647</v>
      </c>
      <c r="F516" s="1" t="s">
        <v>112</v>
      </c>
      <c r="G516" s="1">
        <v>3017522</v>
      </c>
    </row>
    <row r="517" spans="1:10" x14ac:dyDescent="0.25">
      <c r="A517" s="1" t="str">
        <f t="shared" si="8"/>
        <v>18</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2648</v>
      </c>
      <c r="D517" s="1" t="s">
        <v>2649</v>
      </c>
      <c r="E517" s="1" t="s">
        <v>2650</v>
      </c>
      <c r="F517" s="1" t="s">
        <v>112</v>
      </c>
      <c r="G517" s="1">
        <v>2651652</v>
      </c>
    </row>
    <row r="518" spans="1:10" x14ac:dyDescent="0.25">
      <c r="A518" s="1" t="str">
        <f t="shared" si="8"/>
        <v>18</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2651</v>
      </c>
      <c r="D518" s="1" t="s">
        <v>2652</v>
      </c>
      <c r="E518" s="1" t="s">
        <v>2653</v>
      </c>
      <c r="F518" s="1" t="s">
        <v>112</v>
      </c>
      <c r="G518" s="1">
        <v>1034298</v>
      </c>
    </row>
    <row r="519" spans="1:10" x14ac:dyDescent="0.25">
      <c r="A519" s="1" t="str">
        <f t="shared" si="8"/>
        <v>18</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2654</v>
      </c>
      <c r="D519" s="1" t="s">
        <v>2655</v>
      </c>
      <c r="E519" s="1" t="s">
        <v>2656</v>
      </c>
      <c r="F519" s="1" t="s">
        <v>112</v>
      </c>
      <c r="G519" s="1">
        <v>865088</v>
      </c>
    </row>
    <row r="520" spans="1:10" x14ac:dyDescent="0.25">
      <c r="A520" s="1" t="str">
        <f t="shared" si="8"/>
        <v>18</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2657</v>
      </c>
    </row>
    <row r="521" spans="1:10"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10"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219</v>
      </c>
      <c r="D522" s="1" t="s">
        <v>112</v>
      </c>
      <c r="E522" s="1" t="s">
        <v>220</v>
      </c>
      <c r="F522" s="1" t="s">
        <v>221</v>
      </c>
      <c r="G522" s="1" t="s">
        <v>222</v>
      </c>
      <c r="H522" s="1" t="s">
        <v>223</v>
      </c>
      <c r="I522" s="1" t="s">
        <v>224</v>
      </c>
      <c r="J522" s="1" t="s">
        <v>225</v>
      </c>
    </row>
    <row r="523" spans="1:10" x14ac:dyDescent="0.25">
      <c r="A523" s="1" t="str">
        <f t="shared" si="8"/>
        <v>18</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2658</v>
      </c>
      <c r="D523" s="1" t="s">
        <v>112</v>
      </c>
      <c r="E523" s="1" t="s">
        <v>2659</v>
      </c>
      <c r="F523" s="1" t="s">
        <v>2660</v>
      </c>
      <c r="G523" s="1" t="s">
        <v>2661</v>
      </c>
      <c r="H523" s="1" t="s">
        <v>2662</v>
      </c>
      <c r="I523" s="1">
        <v>24</v>
      </c>
      <c r="J523" s="1">
        <v>24</v>
      </c>
    </row>
    <row r="524" spans="1:10"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10"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10"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10"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10"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231</v>
      </c>
      <c r="D529" s="1" t="s">
        <v>110</v>
      </c>
      <c r="E529" s="1" t="s">
        <v>111</v>
      </c>
      <c r="F529" s="1" t="s">
        <v>112</v>
      </c>
      <c r="G529" s="1" t="s">
        <v>113</v>
      </c>
    </row>
    <row r="530" spans="1:7" x14ac:dyDescent="0.25">
      <c r="A530" s="1" t="str">
        <f t="shared" si="8"/>
        <v>19</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2663</v>
      </c>
      <c r="D530" s="1" t="s">
        <v>2664</v>
      </c>
      <c r="E530" s="1" t="s">
        <v>2665</v>
      </c>
      <c r="F530" s="1" t="s">
        <v>112</v>
      </c>
      <c r="G530" s="1">
        <v>2307001</v>
      </c>
    </row>
    <row r="531" spans="1:7" x14ac:dyDescent="0.25">
      <c r="A531" s="1" t="str">
        <f t="shared" si="8"/>
        <v>19</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2666</v>
      </c>
      <c r="D531" s="1" t="s">
        <v>2667</v>
      </c>
      <c r="E531" s="1" t="s">
        <v>2668</v>
      </c>
      <c r="F531" s="1" t="s">
        <v>112</v>
      </c>
      <c r="G531" s="1">
        <v>2542443</v>
      </c>
    </row>
    <row r="532" spans="1:7" x14ac:dyDescent="0.25">
      <c r="A532" s="1" t="str">
        <f t="shared" si="8"/>
        <v>19</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2669</v>
      </c>
      <c r="D532" s="1" t="s">
        <v>2670</v>
      </c>
      <c r="E532" s="1" t="s">
        <v>2671</v>
      </c>
      <c r="F532" s="1" t="s">
        <v>112</v>
      </c>
      <c r="G532" s="1">
        <v>2767610</v>
      </c>
    </row>
    <row r="533" spans="1:7" x14ac:dyDescent="0.25">
      <c r="A533" s="1" t="str">
        <f t="shared" si="8"/>
        <v>19</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2672</v>
      </c>
      <c r="D533" s="1" t="s">
        <v>2673</v>
      </c>
      <c r="E533" s="1" t="s">
        <v>2674</v>
      </c>
      <c r="F533" s="1" t="s">
        <v>112</v>
      </c>
      <c r="G533" s="1">
        <v>305868</v>
      </c>
    </row>
    <row r="534" spans="1:7" x14ac:dyDescent="0.25">
      <c r="A534" s="1" t="str">
        <f t="shared" si="8"/>
        <v>19</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2675</v>
      </c>
      <c r="D534" s="1" t="s">
        <v>2676</v>
      </c>
      <c r="E534" s="1" t="s">
        <v>2677</v>
      </c>
      <c r="F534" s="1" t="s">
        <v>112</v>
      </c>
      <c r="G534" s="1">
        <v>256985</v>
      </c>
    </row>
    <row r="535" spans="1:7" x14ac:dyDescent="0.25">
      <c r="A535" s="1" t="str">
        <f t="shared" si="8"/>
        <v>19</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2678</v>
      </c>
      <c r="D535" s="1" t="s">
        <v>2679</v>
      </c>
      <c r="E535" s="1" t="s">
        <v>2680</v>
      </c>
      <c r="F535" s="1" t="s">
        <v>112</v>
      </c>
      <c r="G535" s="1">
        <v>113038</v>
      </c>
    </row>
    <row r="536" spans="1:7" x14ac:dyDescent="0.25">
      <c r="A536" s="1" t="str">
        <f t="shared" si="8"/>
        <v>19</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2681</v>
      </c>
    </row>
    <row r="537" spans="1:7" x14ac:dyDescent="0.25">
      <c r="A537" s="1" t="str">
        <f t="shared" si="8"/>
        <v>19</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2682</v>
      </c>
    </row>
    <row r="538" spans="1:7" x14ac:dyDescent="0.25">
      <c r="A538" s="1" t="str">
        <f t="shared" si="8"/>
        <v>19</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2683</v>
      </c>
    </row>
    <row r="539" spans="1:7" x14ac:dyDescent="0.25">
      <c r="A539" s="1" t="str">
        <f t="shared" si="8"/>
        <v>19</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2684</v>
      </c>
      <c r="D539" s="1" t="s">
        <v>2685</v>
      </c>
      <c r="E539" s="1" t="s">
        <v>2686</v>
      </c>
      <c r="F539" s="1" t="s">
        <v>112</v>
      </c>
      <c r="G539" s="1">
        <v>3358322</v>
      </c>
    </row>
    <row r="540" spans="1:7" x14ac:dyDescent="0.25">
      <c r="A540" s="1" t="str">
        <f t="shared" si="8"/>
        <v>19</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2687</v>
      </c>
      <c r="D540" s="1" t="s">
        <v>2688</v>
      </c>
      <c r="E540" s="1" t="s">
        <v>2689</v>
      </c>
      <c r="F540" s="1" t="s">
        <v>112</v>
      </c>
      <c r="G540" s="1">
        <v>3051026</v>
      </c>
    </row>
    <row r="541" spans="1:7" x14ac:dyDescent="0.25">
      <c r="A541" s="1" t="str">
        <f t="shared" si="8"/>
        <v>19</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2690</v>
      </c>
      <c r="D541" s="1" t="s">
        <v>2691</v>
      </c>
      <c r="E541" s="1" t="s">
        <v>2692</v>
      </c>
      <c r="F541" s="1" t="s">
        <v>112</v>
      </c>
      <c r="G541" s="1">
        <v>3313613</v>
      </c>
    </row>
    <row r="542" spans="1:7" x14ac:dyDescent="0.25">
      <c r="A542" s="1" t="str">
        <f t="shared" si="8"/>
        <v>19</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2693</v>
      </c>
      <c r="D542" s="1" t="s">
        <v>2694</v>
      </c>
      <c r="E542" s="1" t="s">
        <v>2695</v>
      </c>
      <c r="F542" s="1" t="s">
        <v>112</v>
      </c>
      <c r="G542" s="1">
        <v>3414171</v>
      </c>
    </row>
    <row r="543" spans="1:7" x14ac:dyDescent="0.25">
      <c r="A543" s="1" t="str">
        <f t="shared" si="8"/>
        <v>19</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2696</v>
      </c>
      <c r="D543" s="1" t="s">
        <v>2697</v>
      </c>
      <c r="E543" s="1" t="s">
        <v>2698</v>
      </c>
      <c r="F543" s="1" t="s">
        <v>112</v>
      </c>
      <c r="G543" s="1">
        <v>3038048</v>
      </c>
    </row>
    <row r="544" spans="1:7" x14ac:dyDescent="0.25">
      <c r="A544" s="1" t="str">
        <f t="shared" si="8"/>
        <v>19</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2699</v>
      </c>
      <c r="D544" s="1" t="s">
        <v>2700</v>
      </c>
      <c r="E544" s="1" t="s">
        <v>2701</v>
      </c>
      <c r="F544" s="1" t="s">
        <v>112</v>
      </c>
      <c r="G544" s="1">
        <v>3741864</v>
      </c>
    </row>
    <row r="545" spans="1:10" x14ac:dyDescent="0.25">
      <c r="A545" s="1" t="str">
        <f t="shared" si="8"/>
        <v>19</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2702</v>
      </c>
      <c r="D545" s="1" t="s">
        <v>2703</v>
      </c>
      <c r="E545" s="1" t="s">
        <v>2704</v>
      </c>
      <c r="F545" s="1" t="s">
        <v>112</v>
      </c>
      <c r="G545" s="1">
        <v>3318415</v>
      </c>
    </row>
    <row r="546" spans="1:10" x14ac:dyDescent="0.25">
      <c r="A546" s="1" t="str">
        <f t="shared" si="8"/>
        <v>19</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2705</v>
      </c>
      <c r="D546" s="1" t="s">
        <v>2706</v>
      </c>
      <c r="E546" s="1" t="s">
        <v>2707</v>
      </c>
      <c r="F546" s="1" t="s">
        <v>112</v>
      </c>
      <c r="G546" s="1">
        <v>3329966</v>
      </c>
    </row>
    <row r="547" spans="1:10" x14ac:dyDescent="0.25">
      <c r="A547" s="1" t="str">
        <f t="shared" si="8"/>
        <v>19</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2708</v>
      </c>
      <c r="D547" s="1" t="s">
        <v>2709</v>
      </c>
      <c r="E547" s="1" t="s">
        <v>2710</v>
      </c>
      <c r="F547" s="1" t="s">
        <v>112</v>
      </c>
      <c r="G547" s="1">
        <v>3501231</v>
      </c>
    </row>
    <row r="548" spans="1:10" x14ac:dyDescent="0.25">
      <c r="A548" s="1" t="str">
        <f t="shared" si="8"/>
        <v>19</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2711</v>
      </c>
      <c r="D548" s="1" t="s">
        <v>2712</v>
      </c>
      <c r="E548" s="1" t="s">
        <v>2713</v>
      </c>
      <c r="F548" s="1" t="s">
        <v>112</v>
      </c>
      <c r="G548" s="1">
        <v>821157</v>
      </c>
    </row>
    <row r="549" spans="1:10" x14ac:dyDescent="0.25">
      <c r="A549" s="1" t="str">
        <f t="shared" si="8"/>
        <v>19</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2714</v>
      </c>
      <c r="D549" s="1" t="s">
        <v>2715</v>
      </c>
      <c r="E549" s="1" t="s">
        <v>2716</v>
      </c>
      <c r="F549" s="1" t="s">
        <v>112</v>
      </c>
      <c r="G549" s="1">
        <v>542672</v>
      </c>
    </row>
    <row r="550" spans="1:10" x14ac:dyDescent="0.25">
      <c r="A550" s="1" t="str">
        <f t="shared" si="8"/>
        <v>19</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2717</v>
      </c>
      <c r="D550" s="1" t="s">
        <v>2718</v>
      </c>
      <c r="E550" s="1" t="s">
        <v>2719</v>
      </c>
      <c r="F550" s="1" t="s">
        <v>112</v>
      </c>
      <c r="G550" s="1">
        <v>605399</v>
      </c>
    </row>
    <row r="551" spans="1:10" x14ac:dyDescent="0.25">
      <c r="A551" s="1" t="str">
        <f t="shared" si="8"/>
        <v>19</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2720</v>
      </c>
      <c r="D551" s="1" t="s">
        <v>2721</v>
      </c>
      <c r="E551" s="1" t="s">
        <v>2722</v>
      </c>
      <c r="F551" s="1" t="s">
        <v>112</v>
      </c>
      <c r="G551" s="1">
        <v>2488152</v>
      </c>
    </row>
    <row r="552" spans="1:10" x14ac:dyDescent="0.25">
      <c r="A552" s="1" t="str">
        <f t="shared" si="8"/>
        <v>19</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2723</v>
      </c>
      <c r="D552" s="1" t="s">
        <v>2724</v>
      </c>
      <c r="E552" s="1" t="s">
        <v>2725</v>
      </c>
      <c r="F552" s="1" t="s">
        <v>112</v>
      </c>
      <c r="G552" s="1">
        <v>2567750</v>
      </c>
    </row>
    <row r="553" spans="1:10" x14ac:dyDescent="0.25">
      <c r="A553" s="1" t="str">
        <f t="shared" si="8"/>
        <v>19</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2726</v>
      </c>
      <c r="D553" s="1" t="s">
        <v>2727</v>
      </c>
      <c r="E553" s="1" t="s">
        <v>2728</v>
      </c>
      <c r="F553" s="1" t="s">
        <v>112</v>
      </c>
      <c r="G553" s="1">
        <v>2262314</v>
      </c>
    </row>
    <row r="554" spans="1:10"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10"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219</v>
      </c>
      <c r="D555" s="1" t="s">
        <v>112</v>
      </c>
      <c r="E555" s="1" t="s">
        <v>220</v>
      </c>
      <c r="F555" s="1" t="s">
        <v>221</v>
      </c>
      <c r="G555" s="1" t="s">
        <v>222</v>
      </c>
      <c r="H555" s="1" t="s">
        <v>223</v>
      </c>
      <c r="I555" s="1" t="s">
        <v>224</v>
      </c>
      <c r="J555" s="1" t="s">
        <v>225</v>
      </c>
    </row>
    <row r="556" spans="1:10" x14ac:dyDescent="0.25">
      <c r="A556" s="1" t="str">
        <f t="shared" si="8"/>
        <v>19</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2729</v>
      </c>
      <c r="D556" s="1" t="s">
        <v>112</v>
      </c>
      <c r="E556" s="1" t="s">
        <v>2730</v>
      </c>
      <c r="F556" s="1" t="s">
        <v>2731</v>
      </c>
      <c r="G556" s="1" t="s">
        <v>2732</v>
      </c>
      <c r="H556" s="1" t="s">
        <v>2733</v>
      </c>
      <c r="I556" s="1">
        <v>24</v>
      </c>
      <c r="J556" s="1">
        <v>24</v>
      </c>
    </row>
    <row r="557" spans="1:10"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10"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10"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10"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231</v>
      </c>
      <c r="D562" s="1" t="s">
        <v>110</v>
      </c>
      <c r="E562" s="1" t="s">
        <v>111</v>
      </c>
      <c r="F562" s="1" t="s">
        <v>112</v>
      </c>
      <c r="G562" s="1" t="s">
        <v>113</v>
      </c>
    </row>
    <row r="563" spans="1:7" x14ac:dyDescent="0.25">
      <c r="A563" s="1" t="str">
        <f t="shared" si="8"/>
        <v>20</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2734</v>
      </c>
      <c r="D563" s="1" t="s">
        <v>2735</v>
      </c>
      <c r="E563" s="1" t="s">
        <v>2736</v>
      </c>
      <c r="F563" s="1" t="s">
        <v>112</v>
      </c>
      <c r="G563" s="1">
        <v>3309396</v>
      </c>
    </row>
    <row r="564" spans="1:7" x14ac:dyDescent="0.25">
      <c r="A564" s="1" t="str">
        <f t="shared" si="8"/>
        <v>20</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2737</v>
      </c>
      <c r="D564" s="1" t="s">
        <v>2738</v>
      </c>
      <c r="E564" s="1" t="s">
        <v>2739</v>
      </c>
      <c r="F564" s="1" t="s">
        <v>112</v>
      </c>
      <c r="G564" s="1">
        <v>3985892</v>
      </c>
    </row>
    <row r="565" spans="1:7" x14ac:dyDescent="0.25">
      <c r="A565" s="1" t="str">
        <f t="shared" si="8"/>
        <v>20</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2740</v>
      </c>
      <c r="D565" s="1" t="s">
        <v>2256</v>
      </c>
      <c r="E565" s="1" t="s">
        <v>2741</v>
      </c>
      <c r="F565" s="1" t="s">
        <v>112</v>
      </c>
      <c r="G565" s="1">
        <v>3238514</v>
      </c>
    </row>
    <row r="566" spans="1:7" x14ac:dyDescent="0.25">
      <c r="A566" s="1" t="str">
        <f t="shared" si="8"/>
        <v>20</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2742</v>
      </c>
      <c r="D566" s="1" t="s">
        <v>2743</v>
      </c>
      <c r="E566" s="1" t="s">
        <v>2744</v>
      </c>
      <c r="F566" s="1" t="s">
        <v>112</v>
      </c>
      <c r="G566" s="1">
        <v>1813926</v>
      </c>
    </row>
    <row r="567" spans="1:7" x14ac:dyDescent="0.25">
      <c r="A567" s="1" t="str">
        <f t="shared" si="8"/>
        <v>20</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2745</v>
      </c>
      <c r="D567" s="1" t="s">
        <v>2746</v>
      </c>
      <c r="E567" s="1" t="s">
        <v>2747</v>
      </c>
      <c r="F567" s="1" t="s">
        <v>112</v>
      </c>
      <c r="G567" s="1">
        <v>1528801</v>
      </c>
    </row>
    <row r="568" spans="1:7" x14ac:dyDescent="0.25">
      <c r="A568" s="1" t="str">
        <f t="shared" si="8"/>
        <v>20</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2748</v>
      </c>
      <c r="D568" s="1" t="s">
        <v>2749</v>
      </c>
      <c r="E568" s="1" t="s">
        <v>2750</v>
      </c>
      <c r="F568" s="1" t="s">
        <v>112</v>
      </c>
      <c r="G568" s="1">
        <v>1977405</v>
      </c>
    </row>
    <row r="569" spans="1:7" x14ac:dyDescent="0.25">
      <c r="A569" s="1" t="str">
        <f t="shared" si="8"/>
        <v>20</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2751</v>
      </c>
      <c r="D569" s="1" t="s">
        <v>2752</v>
      </c>
      <c r="E569" s="1" t="s">
        <v>2753</v>
      </c>
      <c r="F569" s="1" t="s">
        <v>112</v>
      </c>
      <c r="G569" s="1">
        <v>1664658</v>
      </c>
    </row>
    <row r="570" spans="1:7" x14ac:dyDescent="0.25">
      <c r="A570" s="1" t="str">
        <f t="shared" si="8"/>
        <v>20</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2754</v>
      </c>
      <c r="D570" s="1" t="s">
        <v>1482</v>
      </c>
      <c r="E570" s="1" t="s">
        <v>2755</v>
      </c>
      <c r="F570" s="1" t="s">
        <v>112</v>
      </c>
      <c r="G570" s="1">
        <v>1909011</v>
      </c>
    </row>
    <row r="571" spans="1:7" x14ac:dyDescent="0.25">
      <c r="A571" s="1" t="str">
        <f t="shared" si="8"/>
        <v>20</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2756</v>
      </c>
      <c r="D571" s="1" t="s">
        <v>2757</v>
      </c>
      <c r="E571" s="1" t="s">
        <v>2758</v>
      </c>
      <c r="F571" s="1" t="s">
        <v>112</v>
      </c>
      <c r="G571" s="1">
        <v>1444661</v>
      </c>
    </row>
    <row r="572" spans="1:7" x14ac:dyDescent="0.25">
      <c r="A572" s="1" t="str">
        <f t="shared" si="8"/>
        <v>20</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2759</v>
      </c>
      <c r="D572" s="1" t="s">
        <v>1381</v>
      </c>
      <c r="E572" s="1" t="s">
        <v>2760</v>
      </c>
      <c r="F572" s="1" t="s">
        <v>112</v>
      </c>
      <c r="G572" s="1">
        <v>4006830</v>
      </c>
    </row>
    <row r="573" spans="1:7" x14ac:dyDescent="0.25">
      <c r="A573" s="1" t="str">
        <f t="shared" si="8"/>
        <v>20</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2761</v>
      </c>
      <c r="D573" s="1" t="s">
        <v>2762</v>
      </c>
      <c r="E573" s="1" t="s">
        <v>2763</v>
      </c>
      <c r="F573" s="1" t="s">
        <v>112</v>
      </c>
      <c r="G573" s="1">
        <v>4251572</v>
      </c>
    </row>
    <row r="574" spans="1:7" x14ac:dyDescent="0.25">
      <c r="A574" s="1" t="str">
        <f t="shared" si="8"/>
        <v>20</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2764</v>
      </c>
      <c r="D574" s="1" t="s">
        <v>2765</v>
      </c>
      <c r="E574" s="1" t="s">
        <v>2766</v>
      </c>
      <c r="F574" s="1" t="s">
        <v>112</v>
      </c>
      <c r="G574" s="1">
        <v>3717833</v>
      </c>
    </row>
    <row r="575" spans="1:7" x14ac:dyDescent="0.25">
      <c r="A575" s="1" t="str">
        <f t="shared" si="8"/>
        <v>20</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2767</v>
      </c>
      <c r="D575" s="1" t="s">
        <v>2768</v>
      </c>
      <c r="E575" s="1" t="s">
        <v>2769</v>
      </c>
      <c r="F575" s="1" t="s">
        <v>112</v>
      </c>
      <c r="G575" s="1">
        <v>3598868</v>
      </c>
    </row>
    <row r="576" spans="1:7" x14ac:dyDescent="0.25">
      <c r="A576" s="1" t="str">
        <f t="shared" si="8"/>
        <v>20</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2770</v>
      </c>
      <c r="D576" s="1" t="s">
        <v>2771</v>
      </c>
      <c r="E576" s="1" t="s">
        <v>2772</v>
      </c>
      <c r="F576" s="1" t="s">
        <v>112</v>
      </c>
      <c r="G576" s="1">
        <v>3662612</v>
      </c>
    </row>
    <row r="577" spans="1:10" x14ac:dyDescent="0.25">
      <c r="A577" s="1" t="str">
        <f t="shared" si="8"/>
        <v>20</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2773</v>
      </c>
      <c r="D577" s="1" t="s">
        <v>2774</v>
      </c>
      <c r="E577" s="1" t="s">
        <v>2775</v>
      </c>
      <c r="F577" s="1" t="s">
        <v>112</v>
      </c>
      <c r="G577" s="1">
        <v>3221967</v>
      </c>
    </row>
    <row r="578" spans="1:10" x14ac:dyDescent="0.25">
      <c r="A578" s="1" t="str">
        <f t="shared" ref="A578:A641" si="9">IFERROR(LEFT(RIGHT(C578,LEN(C578)-SEARCH("@",C578)),SEARCH("/",RIGHT(C578,LEN(C578)-SEARCH("@",C578)-1))),"")</f>
        <v>20</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2776</v>
      </c>
      <c r="D578" s="1" t="s">
        <v>2777</v>
      </c>
      <c r="E578" s="1" t="s">
        <v>2778</v>
      </c>
      <c r="F578" s="1" t="s">
        <v>112</v>
      </c>
      <c r="G578" s="1">
        <v>2180099</v>
      </c>
    </row>
    <row r="579" spans="1:10" x14ac:dyDescent="0.25">
      <c r="A579" s="1" t="str">
        <f t="shared" si="9"/>
        <v>20</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2779</v>
      </c>
      <c r="D579" s="1" t="s">
        <v>2780</v>
      </c>
      <c r="E579" s="1" t="s">
        <v>2781</v>
      </c>
      <c r="F579" s="1" t="s">
        <v>112</v>
      </c>
      <c r="G579" s="1">
        <v>2436413</v>
      </c>
    </row>
    <row r="580" spans="1:10" x14ac:dyDescent="0.25">
      <c r="A580" s="1" t="str">
        <f t="shared" si="9"/>
        <v>20</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2782</v>
      </c>
      <c r="D580" s="1" t="s">
        <v>2783</v>
      </c>
      <c r="E580" s="1" t="s">
        <v>2784</v>
      </c>
      <c r="F580" s="1" t="s">
        <v>112</v>
      </c>
      <c r="G580" s="1">
        <v>2237677</v>
      </c>
    </row>
    <row r="581" spans="1:10" x14ac:dyDescent="0.25">
      <c r="A581" s="1" t="str">
        <f t="shared" si="9"/>
        <v>20</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2785</v>
      </c>
      <c r="D581" s="1" t="s">
        <v>2786</v>
      </c>
      <c r="E581" s="1" t="s">
        <v>2787</v>
      </c>
      <c r="F581" s="1" t="s">
        <v>112</v>
      </c>
      <c r="G581" s="1">
        <v>4118613</v>
      </c>
    </row>
    <row r="582" spans="1:10" x14ac:dyDescent="0.25">
      <c r="A582" s="1" t="str">
        <f t="shared" si="9"/>
        <v>20</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2788</v>
      </c>
      <c r="D582" s="1" t="s">
        <v>2789</v>
      </c>
      <c r="E582" s="1" t="s">
        <v>2790</v>
      </c>
      <c r="F582" s="1" t="s">
        <v>112</v>
      </c>
      <c r="G582" s="1">
        <v>3618681</v>
      </c>
    </row>
    <row r="583" spans="1:10" x14ac:dyDescent="0.25">
      <c r="A583" s="1" t="str">
        <f t="shared" si="9"/>
        <v>20</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2791</v>
      </c>
      <c r="D583" s="1" t="s">
        <v>816</v>
      </c>
      <c r="E583" s="1" t="s">
        <v>2792</v>
      </c>
      <c r="F583" s="1" t="s">
        <v>112</v>
      </c>
      <c r="G583" s="1">
        <v>3779089</v>
      </c>
    </row>
    <row r="584" spans="1:10" x14ac:dyDescent="0.25">
      <c r="A584" s="1" t="str">
        <f t="shared" si="9"/>
        <v>20</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2793</v>
      </c>
      <c r="D584" s="1" t="s">
        <v>2794</v>
      </c>
      <c r="E584" s="1" t="s">
        <v>2795</v>
      </c>
      <c r="F584" s="1" t="s">
        <v>112</v>
      </c>
      <c r="G584" s="1">
        <v>1699829</v>
      </c>
    </row>
    <row r="585" spans="1:10" x14ac:dyDescent="0.25">
      <c r="A585" s="1" t="str">
        <f t="shared" si="9"/>
        <v>20</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2796</v>
      </c>
      <c r="D585" s="1" t="s">
        <v>2797</v>
      </c>
      <c r="E585" s="1" t="s">
        <v>2798</v>
      </c>
      <c r="F585" s="1" t="s">
        <v>112</v>
      </c>
      <c r="G585" s="1">
        <v>1652978</v>
      </c>
    </row>
    <row r="586" spans="1:10" x14ac:dyDescent="0.25">
      <c r="A586" s="1" t="str">
        <f t="shared" si="9"/>
        <v>20</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2799</v>
      </c>
      <c r="D586" s="1" t="s">
        <v>2800</v>
      </c>
      <c r="E586" s="1" t="s">
        <v>2801</v>
      </c>
      <c r="F586" s="1" t="s">
        <v>112</v>
      </c>
      <c r="G586" s="1">
        <v>1396880</v>
      </c>
    </row>
    <row r="587" spans="1:10"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10"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219</v>
      </c>
      <c r="D588" s="1" t="s">
        <v>112</v>
      </c>
      <c r="E588" s="1" t="s">
        <v>220</v>
      </c>
      <c r="F588" s="1" t="s">
        <v>221</v>
      </c>
      <c r="G588" s="1" t="s">
        <v>222</v>
      </c>
      <c r="H588" s="1" t="s">
        <v>223</v>
      </c>
      <c r="I588" s="1" t="s">
        <v>224</v>
      </c>
      <c r="J588" s="1" t="s">
        <v>225</v>
      </c>
    </row>
    <row r="589" spans="1:10" x14ac:dyDescent="0.25">
      <c r="A589" s="1" t="str">
        <f t="shared" si="9"/>
        <v>20</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2802</v>
      </c>
      <c r="D589" s="1" t="s">
        <v>112</v>
      </c>
      <c r="E589" s="1" t="s">
        <v>2803</v>
      </c>
      <c r="F589" s="1" t="s">
        <v>2804</v>
      </c>
      <c r="G589" s="1" t="s">
        <v>2805</v>
      </c>
      <c r="H589" s="1" t="s">
        <v>2806</v>
      </c>
      <c r="I589" s="1">
        <v>24</v>
      </c>
      <c r="J589" s="1">
        <v>24</v>
      </c>
    </row>
    <row r="590" spans="1:10"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10"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10"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231</v>
      </c>
      <c r="D595" s="1" t="s">
        <v>110</v>
      </c>
      <c r="E595" s="1" t="s">
        <v>111</v>
      </c>
      <c r="F595" s="1" t="s">
        <v>112</v>
      </c>
      <c r="G595" s="1" t="s">
        <v>113</v>
      </c>
    </row>
    <row r="596" spans="1:7" x14ac:dyDescent="0.25">
      <c r="A596" s="1" t="str">
        <f t="shared" si="9"/>
        <v>21</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2807</v>
      </c>
      <c r="D596" s="1" t="s">
        <v>284</v>
      </c>
      <c r="E596" s="1" t="s">
        <v>2808</v>
      </c>
      <c r="F596" s="1" t="s">
        <v>112</v>
      </c>
      <c r="G596" s="1">
        <v>1373866</v>
      </c>
    </row>
    <row r="597" spans="1:7" x14ac:dyDescent="0.25">
      <c r="A597" s="1" t="str">
        <f t="shared" si="9"/>
        <v>21</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2809</v>
      </c>
      <c r="D597" s="1" t="s">
        <v>2810</v>
      </c>
      <c r="E597" s="1" t="s">
        <v>2811</v>
      </c>
      <c r="F597" s="1" t="s">
        <v>112</v>
      </c>
      <c r="G597" s="1">
        <v>1334478</v>
      </c>
    </row>
    <row r="598" spans="1:7" x14ac:dyDescent="0.25">
      <c r="A598" s="1" t="str">
        <f t="shared" si="9"/>
        <v>21</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2812</v>
      </c>
      <c r="D598" s="1" t="s">
        <v>2813</v>
      </c>
      <c r="E598" s="1" t="s">
        <v>2814</v>
      </c>
      <c r="F598" s="1" t="s">
        <v>112</v>
      </c>
      <c r="G598" s="1">
        <v>1505116</v>
      </c>
    </row>
    <row r="599" spans="1:7" x14ac:dyDescent="0.25">
      <c r="A599" s="1" t="str">
        <f t="shared" si="9"/>
        <v>21</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2815</v>
      </c>
      <c r="D599" s="1" t="s">
        <v>2816</v>
      </c>
      <c r="E599" s="1" t="s">
        <v>2817</v>
      </c>
      <c r="F599" s="1" t="s">
        <v>112</v>
      </c>
      <c r="G599" s="1">
        <v>2352424</v>
      </c>
    </row>
    <row r="600" spans="1:7" x14ac:dyDescent="0.25">
      <c r="A600" s="1" t="str">
        <f t="shared" si="9"/>
        <v>21</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2818</v>
      </c>
      <c r="D600" s="1" t="s">
        <v>2288</v>
      </c>
      <c r="E600" s="1" t="s">
        <v>2819</v>
      </c>
      <c r="F600" s="1" t="s">
        <v>112</v>
      </c>
      <c r="G600" s="1">
        <v>2152996</v>
      </c>
    </row>
    <row r="601" spans="1:7" x14ac:dyDescent="0.25">
      <c r="A601" s="1" t="str">
        <f t="shared" si="9"/>
        <v>21</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2820</v>
      </c>
      <c r="D601" s="1" t="s">
        <v>2821</v>
      </c>
      <c r="E601" s="1" t="s">
        <v>2822</v>
      </c>
      <c r="F601" s="1" t="s">
        <v>112</v>
      </c>
      <c r="G601" s="1">
        <v>2263568</v>
      </c>
    </row>
    <row r="602" spans="1:7" x14ac:dyDescent="0.25">
      <c r="A602" s="1" t="str">
        <f t="shared" si="9"/>
        <v>21</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2823</v>
      </c>
      <c r="D602" s="1" t="s">
        <v>458</v>
      </c>
      <c r="E602" s="1" t="s">
        <v>2824</v>
      </c>
      <c r="F602" s="1" t="s">
        <v>112</v>
      </c>
      <c r="G602" s="1">
        <v>6965</v>
      </c>
    </row>
    <row r="603" spans="1:7" x14ac:dyDescent="0.25">
      <c r="A603" s="1" t="str">
        <f t="shared" si="9"/>
        <v>21</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2825</v>
      </c>
      <c r="D603" s="1" t="s">
        <v>1055</v>
      </c>
      <c r="E603" s="1" t="s">
        <v>2826</v>
      </c>
      <c r="F603" s="1" t="s">
        <v>112</v>
      </c>
      <c r="G603" s="1">
        <v>34565</v>
      </c>
    </row>
    <row r="604" spans="1:7" x14ac:dyDescent="0.25">
      <c r="A604" s="1" t="str">
        <f t="shared" si="9"/>
        <v>21</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2827</v>
      </c>
      <c r="D604" s="1">
        <v>0</v>
      </c>
      <c r="E604" s="1">
        <v>0</v>
      </c>
      <c r="F604" s="1" t="s">
        <v>112</v>
      </c>
      <c r="G604" s="1">
        <v>0</v>
      </c>
    </row>
    <row r="605" spans="1:7" x14ac:dyDescent="0.25">
      <c r="A605" s="1" t="str">
        <f t="shared" si="9"/>
        <v>21</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2828</v>
      </c>
      <c r="D605" s="1" t="s">
        <v>2829</v>
      </c>
      <c r="E605" s="1" t="s">
        <v>2830</v>
      </c>
      <c r="F605" s="1" t="s">
        <v>112</v>
      </c>
      <c r="G605" s="1">
        <v>1272227</v>
      </c>
    </row>
    <row r="606" spans="1:7" x14ac:dyDescent="0.25">
      <c r="A606" s="1" t="str">
        <f t="shared" si="9"/>
        <v>21</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2831</v>
      </c>
      <c r="D606" s="1" t="s">
        <v>690</v>
      </c>
      <c r="E606" s="1" t="s">
        <v>2832</v>
      </c>
      <c r="F606" s="1" t="s">
        <v>112</v>
      </c>
      <c r="G606" s="1">
        <v>644614</v>
      </c>
    </row>
    <row r="607" spans="1:7" x14ac:dyDescent="0.25">
      <c r="A607" s="1" t="str">
        <f t="shared" si="9"/>
        <v>21</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2833</v>
      </c>
      <c r="D607" s="1" t="s">
        <v>610</v>
      </c>
      <c r="E607" s="1" t="s">
        <v>2834</v>
      </c>
      <c r="F607" s="1" t="s">
        <v>112</v>
      </c>
      <c r="G607" s="1">
        <v>1305278</v>
      </c>
    </row>
    <row r="608" spans="1:7" x14ac:dyDescent="0.25">
      <c r="A608" s="1" t="str">
        <f t="shared" si="9"/>
        <v>21</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2835</v>
      </c>
      <c r="D608" s="1" t="s">
        <v>2836</v>
      </c>
      <c r="E608" s="1" t="s">
        <v>2837</v>
      </c>
      <c r="F608" s="1" t="s">
        <v>112</v>
      </c>
      <c r="G608" s="1">
        <v>1489391</v>
      </c>
    </row>
    <row r="609" spans="1:10" x14ac:dyDescent="0.25">
      <c r="A609" s="1" t="str">
        <f t="shared" si="9"/>
        <v>21</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2838</v>
      </c>
      <c r="D609" s="1" t="s">
        <v>2839</v>
      </c>
      <c r="E609" s="1" t="s">
        <v>2840</v>
      </c>
      <c r="F609" s="1" t="s">
        <v>112</v>
      </c>
      <c r="G609" s="1">
        <v>1543596</v>
      </c>
    </row>
    <row r="610" spans="1:10" x14ac:dyDescent="0.25">
      <c r="A610" s="1" t="str">
        <f t="shared" si="9"/>
        <v>21</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2841</v>
      </c>
      <c r="D610" s="1" t="s">
        <v>2842</v>
      </c>
      <c r="E610" s="1" t="s">
        <v>2843</v>
      </c>
      <c r="F610" s="1" t="s">
        <v>112</v>
      </c>
      <c r="G610" s="1">
        <v>1425778</v>
      </c>
    </row>
    <row r="611" spans="1:10" x14ac:dyDescent="0.25">
      <c r="A611" s="1" t="str">
        <f t="shared" si="9"/>
        <v>21</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2844</v>
      </c>
      <c r="D611" s="1" t="s">
        <v>2845</v>
      </c>
      <c r="E611" s="1" t="s">
        <v>2846</v>
      </c>
      <c r="F611" s="1" t="s">
        <v>112</v>
      </c>
      <c r="G611" s="1">
        <v>1803133</v>
      </c>
    </row>
    <row r="612" spans="1:10" x14ac:dyDescent="0.25">
      <c r="A612" s="1" t="str">
        <f t="shared" si="9"/>
        <v>21</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2847</v>
      </c>
      <c r="D612" s="1" t="s">
        <v>2848</v>
      </c>
      <c r="E612" s="1" t="s">
        <v>2849</v>
      </c>
      <c r="F612" s="1" t="s">
        <v>112</v>
      </c>
      <c r="G612" s="1">
        <v>1918658</v>
      </c>
    </row>
    <row r="613" spans="1:10" x14ac:dyDescent="0.25">
      <c r="A613" s="1" t="str">
        <f t="shared" si="9"/>
        <v>21</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2850</v>
      </c>
      <c r="D613" s="1" t="s">
        <v>2851</v>
      </c>
      <c r="E613" s="1" t="s">
        <v>2852</v>
      </c>
      <c r="F613" s="1" t="s">
        <v>112</v>
      </c>
      <c r="G613" s="1">
        <v>2052158</v>
      </c>
    </row>
    <row r="614" spans="1:10" x14ac:dyDescent="0.25">
      <c r="A614" s="1" t="str">
        <f t="shared" si="9"/>
        <v>21</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2853</v>
      </c>
      <c r="D614" s="1" t="s">
        <v>2854</v>
      </c>
      <c r="E614" s="1" t="s">
        <v>2855</v>
      </c>
      <c r="F614" s="1" t="s">
        <v>112</v>
      </c>
      <c r="G614" s="1">
        <v>1701710</v>
      </c>
    </row>
    <row r="615" spans="1:10" x14ac:dyDescent="0.25">
      <c r="A615" s="1" t="str">
        <f t="shared" si="9"/>
        <v>21</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2856</v>
      </c>
      <c r="D615" s="1" t="s">
        <v>764</v>
      </c>
      <c r="E615" s="1" t="s">
        <v>2857</v>
      </c>
      <c r="F615" s="1" t="s">
        <v>112</v>
      </c>
      <c r="G615" s="1">
        <v>1805707</v>
      </c>
    </row>
    <row r="616" spans="1:10" x14ac:dyDescent="0.25">
      <c r="A616" s="1" t="str">
        <f t="shared" si="9"/>
        <v>21</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2858</v>
      </c>
      <c r="D616" s="1" t="s">
        <v>1872</v>
      </c>
      <c r="E616" s="1" t="s">
        <v>2859</v>
      </c>
      <c r="F616" s="1" t="s">
        <v>112</v>
      </c>
      <c r="G616" s="1">
        <v>1821129</v>
      </c>
    </row>
    <row r="617" spans="1:10" x14ac:dyDescent="0.25">
      <c r="A617" s="1" t="str">
        <f t="shared" si="9"/>
        <v>21</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2860</v>
      </c>
      <c r="D617" s="1" t="s">
        <v>2861</v>
      </c>
      <c r="E617" s="1" t="s">
        <v>2862</v>
      </c>
      <c r="F617" s="1" t="s">
        <v>112</v>
      </c>
      <c r="G617" s="1">
        <v>2777257</v>
      </c>
    </row>
    <row r="618" spans="1:10" x14ac:dyDescent="0.25">
      <c r="A618" s="1" t="str">
        <f t="shared" si="9"/>
        <v>21</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2863</v>
      </c>
    </row>
    <row r="619" spans="1:10" x14ac:dyDescent="0.25">
      <c r="A619" s="1" t="str">
        <f t="shared" si="9"/>
        <v>21</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2864</v>
      </c>
      <c r="D619" s="1" t="s">
        <v>2865</v>
      </c>
      <c r="E619" s="1" t="s">
        <v>2866</v>
      </c>
      <c r="F619" s="1" t="s">
        <v>112</v>
      </c>
      <c r="G619" s="1">
        <v>2553971</v>
      </c>
    </row>
    <row r="620" spans="1:10"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10"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219</v>
      </c>
      <c r="D621" s="1" t="s">
        <v>112</v>
      </c>
      <c r="E621" s="1" t="s">
        <v>220</v>
      </c>
      <c r="F621" s="1" t="s">
        <v>221</v>
      </c>
      <c r="G621" s="1" t="s">
        <v>222</v>
      </c>
      <c r="H621" s="1" t="s">
        <v>223</v>
      </c>
      <c r="I621" s="1" t="s">
        <v>224</v>
      </c>
      <c r="J621" s="1" t="s">
        <v>225</v>
      </c>
    </row>
    <row r="622" spans="1:10" x14ac:dyDescent="0.25">
      <c r="A622" s="1" t="str">
        <f t="shared" si="9"/>
        <v>21</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2867</v>
      </c>
      <c r="D622" s="1" t="s">
        <v>112</v>
      </c>
      <c r="E622" s="1" t="s">
        <v>2868</v>
      </c>
      <c r="F622" s="1" t="s">
        <v>2869</v>
      </c>
      <c r="G622" s="1" t="s">
        <v>2870</v>
      </c>
      <c r="H622" s="1" t="s">
        <v>2871</v>
      </c>
      <c r="I622" s="1">
        <v>23</v>
      </c>
      <c r="J622" s="1">
        <v>24</v>
      </c>
    </row>
    <row r="623" spans="1:10"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10"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231</v>
      </c>
      <c r="D628" s="1" t="s">
        <v>110</v>
      </c>
      <c r="E628" s="1" t="s">
        <v>111</v>
      </c>
      <c r="F628" s="1" t="s">
        <v>112</v>
      </c>
      <c r="G628" s="1" t="s">
        <v>113</v>
      </c>
    </row>
    <row r="629" spans="1:7" x14ac:dyDescent="0.25">
      <c r="A629" s="1" t="str">
        <f t="shared" si="9"/>
        <v>8</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2872</v>
      </c>
    </row>
    <row r="630" spans="1:7" x14ac:dyDescent="0.25">
      <c r="A630" s="1" t="str">
        <f t="shared" si="9"/>
        <v>8</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2873</v>
      </c>
    </row>
    <row r="631" spans="1:7" x14ac:dyDescent="0.25">
      <c r="A631" s="1" t="str">
        <f t="shared" si="9"/>
        <v>8</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2874</v>
      </c>
    </row>
    <row r="632" spans="1:7" x14ac:dyDescent="0.25">
      <c r="A632" s="1" t="str">
        <f t="shared" si="9"/>
        <v>8</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2875</v>
      </c>
      <c r="D632" s="1" t="s">
        <v>208</v>
      </c>
      <c r="E632" s="1">
        <v>30</v>
      </c>
      <c r="F632" s="1" t="s">
        <v>112</v>
      </c>
      <c r="G632" s="1">
        <v>649</v>
      </c>
    </row>
    <row r="633" spans="1:7" x14ac:dyDescent="0.25">
      <c r="A633" s="1" t="str">
        <f t="shared" si="9"/>
        <v>8</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2876</v>
      </c>
      <c r="D633" s="1">
        <v>0</v>
      </c>
      <c r="E633" s="1">
        <v>0</v>
      </c>
      <c r="F633" s="1" t="s">
        <v>112</v>
      </c>
      <c r="G633" s="1">
        <v>0</v>
      </c>
    </row>
    <row r="634" spans="1:7" x14ac:dyDescent="0.25">
      <c r="A634" s="1" t="str">
        <f t="shared" si="9"/>
        <v>8</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2877</v>
      </c>
      <c r="D634" s="1">
        <v>0</v>
      </c>
      <c r="E634" s="1">
        <v>0</v>
      </c>
      <c r="F634" s="1" t="s">
        <v>112</v>
      </c>
      <c r="G634" s="1">
        <v>0</v>
      </c>
    </row>
    <row r="635" spans="1:7" x14ac:dyDescent="0.25">
      <c r="A635" s="1" t="str">
        <f t="shared" si="9"/>
        <v>8</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2878</v>
      </c>
      <c r="D635" s="1" t="s">
        <v>2879</v>
      </c>
      <c r="E635" s="1" t="s">
        <v>2880</v>
      </c>
      <c r="F635" s="1" t="s">
        <v>112</v>
      </c>
      <c r="G635" s="1">
        <v>369395</v>
      </c>
    </row>
    <row r="636" spans="1:7" x14ac:dyDescent="0.25">
      <c r="A636" s="1" t="str">
        <f t="shared" si="9"/>
        <v>8</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2881</v>
      </c>
      <c r="D636" s="1" t="s">
        <v>2392</v>
      </c>
      <c r="E636" s="1" t="s">
        <v>2882</v>
      </c>
      <c r="F636" s="1" t="s">
        <v>112</v>
      </c>
      <c r="G636" s="1">
        <v>12199</v>
      </c>
    </row>
    <row r="637" spans="1:7" x14ac:dyDescent="0.25">
      <c r="A637" s="1" t="str">
        <f t="shared" si="9"/>
        <v>8</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2883</v>
      </c>
      <c r="D637" s="1" t="s">
        <v>2884</v>
      </c>
      <c r="E637" s="1" t="s">
        <v>2885</v>
      </c>
      <c r="F637" s="1" t="s">
        <v>112</v>
      </c>
      <c r="G637" s="1">
        <v>373548</v>
      </c>
    </row>
    <row r="638" spans="1:7" x14ac:dyDescent="0.25">
      <c r="A638" s="1" t="str">
        <f t="shared" si="9"/>
        <v>8</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2886</v>
      </c>
      <c r="D638" s="1" t="s">
        <v>502</v>
      </c>
      <c r="E638" s="1" t="s">
        <v>2887</v>
      </c>
      <c r="F638" s="1" t="s">
        <v>112</v>
      </c>
      <c r="G638" s="1">
        <v>31061</v>
      </c>
    </row>
    <row r="639" spans="1:7" x14ac:dyDescent="0.25">
      <c r="A639" s="1" t="str">
        <f t="shared" si="9"/>
        <v>8</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2888</v>
      </c>
      <c r="D639" s="1" t="s">
        <v>1666</v>
      </c>
      <c r="E639" s="1" t="s">
        <v>2889</v>
      </c>
      <c r="F639" s="1" t="s">
        <v>112</v>
      </c>
      <c r="G639" s="1">
        <v>31731</v>
      </c>
    </row>
    <row r="640" spans="1:7" x14ac:dyDescent="0.25">
      <c r="A640" s="1" t="str">
        <f t="shared" si="9"/>
        <v>8</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2890</v>
      </c>
      <c r="D640" s="1" t="s">
        <v>2891</v>
      </c>
      <c r="E640" s="1" t="s">
        <v>2892</v>
      </c>
      <c r="F640" s="1" t="s">
        <v>112</v>
      </c>
      <c r="G640" s="1">
        <v>126600</v>
      </c>
    </row>
    <row r="641" spans="1:10" x14ac:dyDescent="0.25">
      <c r="A641" s="1" t="str">
        <f t="shared" si="9"/>
        <v>8</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2893</v>
      </c>
      <c r="D641" s="1" t="s">
        <v>1025</v>
      </c>
      <c r="E641" s="1" t="s">
        <v>1026</v>
      </c>
      <c r="F641" s="1" t="s">
        <v>112</v>
      </c>
      <c r="G641" s="1">
        <v>1363</v>
      </c>
    </row>
    <row r="642" spans="1:10" x14ac:dyDescent="0.25">
      <c r="A642" s="1" t="str">
        <f t="shared" ref="A642:A705" si="10">IFERROR(LEFT(RIGHT(C642,LEN(C642)-SEARCH("@",C642)),SEARCH("/",RIGHT(C642,LEN(C642)-SEARCH("@",C642)-1))),"")</f>
        <v>8</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2894</v>
      </c>
      <c r="D642" s="1" t="s">
        <v>196</v>
      </c>
      <c r="E642" s="1" t="s">
        <v>2895</v>
      </c>
      <c r="F642" s="1" t="s">
        <v>112</v>
      </c>
      <c r="G642" s="1">
        <v>6056</v>
      </c>
    </row>
    <row r="643" spans="1:10" x14ac:dyDescent="0.25">
      <c r="A643" s="1" t="str">
        <f t="shared" si="10"/>
        <v>8</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2896</v>
      </c>
      <c r="D643" s="1" t="s">
        <v>2897</v>
      </c>
      <c r="E643" s="1" t="s">
        <v>2898</v>
      </c>
      <c r="F643" s="1" t="s">
        <v>112</v>
      </c>
      <c r="G643" s="1">
        <v>74169</v>
      </c>
    </row>
    <row r="644" spans="1:10" x14ac:dyDescent="0.25">
      <c r="A644" s="1" t="str">
        <f t="shared" si="10"/>
        <v>8</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2899</v>
      </c>
      <c r="D644" s="1" t="s">
        <v>1935</v>
      </c>
      <c r="E644" s="1" t="s">
        <v>2900</v>
      </c>
      <c r="F644" s="1" t="s">
        <v>112</v>
      </c>
      <c r="G644" s="1">
        <v>67182</v>
      </c>
    </row>
    <row r="645" spans="1:10" x14ac:dyDescent="0.25">
      <c r="A645" s="1" t="str">
        <f t="shared" si="10"/>
        <v>8</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2901</v>
      </c>
      <c r="D645" s="1" t="s">
        <v>2404</v>
      </c>
      <c r="E645" s="1" t="s">
        <v>2902</v>
      </c>
      <c r="F645" s="1" t="s">
        <v>112</v>
      </c>
      <c r="G645" s="1">
        <v>400694</v>
      </c>
    </row>
    <row r="646" spans="1:10" x14ac:dyDescent="0.25">
      <c r="A646" s="1" t="str">
        <f t="shared" si="10"/>
        <v>8</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2903</v>
      </c>
      <c r="D646" s="1" t="s">
        <v>1611</v>
      </c>
      <c r="E646" s="1" t="s">
        <v>2904</v>
      </c>
      <c r="F646" s="1" t="s">
        <v>112</v>
      </c>
      <c r="G646" s="1">
        <v>3439</v>
      </c>
    </row>
    <row r="647" spans="1:10" x14ac:dyDescent="0.25">
      <c r="A647" s="1" t="str">
        <f t="shared" si="10"/>
        <v>8</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2905</v>
      </c>
      <c r="D647" s="1" t="s">
        <v>147</v>
      </c>
      <c r="E647" s="1" t="s">
        <v>2906</v>
      </c>
      <c r="F647" s="1" t="s">
        <v>112</v>
      </c>
      <c r="G647" s="1">
        <v>174748</v>
      </c>
    </row>
    <row r="648" spans="1:10" x14ac:dyDescent="0.25">
      <c r="A648" s="1" t="str">
        <f t="shared" si="10"/>
        <v>8</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2907</v>
      </c>
      <c r="D648" s="1" t="s">
        <v>2908</v>
      </c>
      <c r="E648" s="1" t="s">
        <v>2909</v>
      </c>
      <c r="F648" s="1" t="s">
        <v>112</v>
      </c>
      <c r="G648" s="1">
        <v>89915</v>
      </c>
    </row>
    <row r="649" spans="1:10" x14ac:dyDescent="0.25">
      <c r="A649" s="1" t="str">
        <f t="shared" si="10"/>
        <v>8</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2910</v>
      </c>
      <c r="D649" s="1" t="s">
        <v>514</v>
      </c>
      <c r="E649" s="1" t="s">
        <v>2911</v>
      </c>
      <c r="F649" s="1" t="s">
        <v>112</v>
      </c>
      <c r="G649" s="1">
        <v>160883</v>
      </c>
    </row>
    <row r="650" spans="1:10" x14ac:dyDescent="0.25">
      <c r="A650" s="1" t="str">
        <f t="shared" si="10"/>
        <v>8</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2912</v>
      </c>
      <c r="D650" s="1" t="s">
        <v>496</v>
      </c>
      <c r="E650" s="1" t="s">
        <v>2913</v>
      </c>
      <c r="F650" s="1" t="s">
        <v>112</v>
      </c>
      <c r="G650" s="1">
        <v>175094</v>
      </c>
    </row>
    <row r="651" spans="1:10" x14ac:dyDescent="0.25">
      <c r="A651" s="1" t="str">
        <f t="shared" si="10"/>
        <v>8</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2914</v>
      </c>
      <c r="D651" s="1" t="s">
        <v>362</v>
      </c>
      <c r="E651" s="1" t="s">
        <v>2915</v>
      </c>
      <c r="F651" s="1" t="s">
        <v>112</v>
      </c>
      <c r="G651" s="1">
        <v>254800</v>
      </c>
    </row>
    <row r="652" spans="1:10" x14ac:dyDescent="0.25">
      <c r="A652" s="1" t="str">
        <f t="shared" si="10"/>
        <v>8</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2916</v>
      </c>
      <c r="D652" s="1" t="s">
        <v>2917</v>
      </c>
      <c r="E652" s="1" t="s">
        <v>2918</v>
      </c>
      <c r="F652" s="1" t="s">
        <v>112</v>
      </c>
      <c r="G652" s="1">
        <v>197870</v>
      </c>
    </row>
    <row r="653" spans="1:10"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10"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219</v>
      </c>
      <c r="D654" s="1" t="s">
        <v>112</v>
      </c>
      <c r="E654" s="1" t="s">
        <v>220</v>
      </c>
      <c r="F654" s="1" t="s">
        <v>221</v>
      </c>
      <c r="G654" s="1" t="s">
        <v>222</v>
      </c>
      <c r="H654" s="1" t="s">
        <v>223</v>
      </c>
      <c r="I654" s="1" t="s">
        <v>224</v>
      </c>
      <c r="J654" s="1" t="s">
        <v>225</v>
      </c>
    </row>
    <row r="655" spans="1:10" x14ac:dyDescent="0.25">
      <c r="A655" s="1" t="str">
        <f t="shared" si="10"/>
        <v>8</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2919</v>
      </c>
      <c r="D655" s="1" t="s">
        <v>112</v>
      </c>
      <c r="E655" s="1" t="s">
        <v>2920</v>
      </c>
      <c r="F655" s="1" t="s">
        <v>2921</v>
      </c>
      <c r="G655" s="1" t="s">
        <v>2922</v>
      </c>
      <c r="H655" s="1" t="s">
        <v>2923</v>
      </c>
      <c r="I655" s="1">
        <v>22</v>
      </c>
      <c r="J655" s="1">
        <v>24</v>
      </c>
    </row>
    <row r="656" spans="1:10"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231</v>
      </c>
      <c r="D661" s="1" t="s">
        <v>110</v>
      </c>
      <c r="E661" s="1" t="s">
        <v>111</v>
      </c>
      <c r="F661" s="1" t="s">
        <v>112</v>
      </c>
      <c r="G661" s="1" t="s">
        <v>113</v>
      </c>
    </row>
    <row r="662" spans="1:7" x14ac:dyDescent="0.25">
      <c r="A662" s="1" t="str">
        <f t="shared" si="10"/>
        <v>9</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2924</v>
      </c>
      <c r="D662" s="1" t="s">
        <v>2925</v>
      </c>
      <c r="E662" s="1" t="s">
        <v>2926</v>
      </c>
      <c r="F662" s="1" t="s">
        <v>112</v>
      </c>
      <c r="G662" s="1">
        <v>291160</v>
      </c>
    </row>
    <row r="663" spans="1:7" x14ac:dyDescent="0.25">
      <c r="A663" s="1" t="str">
        <f t="shared" si="10"/>
        <v>9</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2927</v>
      </c>
      <c r="D663" s="1" t="s">
        <v>2928</v>
      </c>
      <c r="E663" s="1" t="s">
        <v>2929</v>
      </c>
      <c r="F663" s="1" t="s">
        <v>112</v>
      </c>
      <c r="G663" s="1">
        <v>73931</v>
      </c>
    </row>
    <row r="664" spans="1:7" x14ac:dyDescent="0.25">
      <c r="A664" s="1" t="str">
        <f t="shared" si="10"/>
        <v>9</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2930</v>
      </c>
      <c r="D664" s="1" t="s">
        <v>2931</v>
      </c>
      <c r="E664" s="1" t="s">
        <v>2932</v>
      </c>
      <c r="F664" s="1" t="s">
        <v>112</v>
      </c>
      <c r="G664" s="1">
        <v>392345</v>
      </c>
    </row>
    <row r="665" spans="1:7" x14ac:dyDescent="0.25">
      <c r="A665" s="1" t="str">
        <f t="shared" si="10"/>
        <v>9</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2933</v>
      </c>
      <c r="D665" s="1" t="s">
        <v>2080</v>
      </c>
      <c r="E665" s="1" t="s">
        <v>2934</v>
      </c>
      <c r="F665" s="1" t="s">
        <v>112</v>
      </c>
      <c r="G665" s="1">
        <v>377225</v>
      </c>
    </row>
    <row r="666" spans="1:7" x14ac:dyDescent="0.25">
      <c r="A666" s="1" t="str">
        <f t="shared" si="10"/>
        <v>9</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2935</v>
      </c>
      <c r="D666" s="1" t="s">
        <v>546</v>
      </c>
      <c r="E666" s="1" t="s">
        <v>2936</v>
      </c>
      <c r="F666" s="1" t="s">
        <v>112</v>
      </c>
      <c r="G666" s="1">
        <v>213314</v>
      </c>
    </row>
    <row r="667" spans="1:7" x14ac:dyDescent="0.25">
      <c r="A667" s="1" t="str">
        <f t="shared" si="10"/>
        <v>9</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2937</v>
      </c>
      <c r="D667" s="1" t="s">
        <v>2938</v>
      </c>
      <c r="E667" s="1" t="s">
        <v>2939</v>
      </c>
      <c r="F667" s="1" t="s">
        <v>112</v>
      </c>
      <c r="G667" s="1">
        <v>198216</v>
      </c>
    </row>
    <row r="668" spans="1:7" x14ac:dyDescent="0.25">
      <c r="A668" s="1" t="str">
        <f t="shared" si="10"/>
        <v>9</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2940</v>
      </c>
      <c r="D668" s="1" t="s">
        <v>1535</v>
      </c>
      <c r="E668" s="1" t="s">
        <v>2941</v>
      </c>
      <c r="F668" s="1" t="s">
        <v>112</v>
      </c>
      <c r="G668" s="1">
        <v>4672</v>
      </c>
    </row>
    <row r="669" spans="1:7" x14ac:dyDescent="0.25">
      <c r="A669" s="1" t="str">
        <f t="shared" si="10"/>
        <v>9</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2942</v>
      </c>
      <c r="D669" s="1" t="s">
        <v>1073</v>
      </c>
      <c r="E669" s="1" t="s">
        <v>2943</v>
      </c>
      <c r="F669" s="1" t="s">
        <v>112</v>
      </c>
      <c r="G669" s="1">
        <v>10361</v>
      </c>
    </row>
    <row r="670" spans="1:7" x14ac:dyDescent="0.25">
      <c r="A670" s="1" t="str">
        <f t="shared" si="10"/>
        <v>9</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2944</v>
      </c>
      <c r="D670" s="1" t="s">
        <v>508</v>
      </c>
      <c r="E670" s="1" t="s">
        <v>2945</v>
      </c>
      <c r="F670" s="1" t="s">
        <v>112</v>
      </c>
      <c r="G670" s="1">
        <v>159304</v>
      </c>
    </row>
    <row r="671" spans="1:7" x14ac:dyDescent="0.25">
      <c r="A671" s="1" t="str">
        <f t="shared" si="10"/>
        <v>9</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2946</v>
      </c>
      <c r="D671" s="1" t="s">
        <v>2947</v>
      </c>
      <c r="E671" s="1" t="s">
        <v>2948</v>
      </c>
      <c r="F671" s="1" t="s">
        <v>112</v>
      </c>
      <c r="G671" s="1">
        <v>13735</v>
      </c>
    </row>
    <row r="672" spans="1:7" x14ac:dyDescent="0.25">
      <c r="A672" s="1" t="str">
        <f t="shared" si="10"/>
        <v>9</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2949</v>
      </c>
      <c r="D672" s="1" t="s">
        <v>576</v>
      </c>
      <c r="E672" s="1" t="s">
        <v>2950</v>
      </c>
      <c r="F672" s="1" t="s">
        <v>112</v>
      </c>
      <c r="G672" s="1">
        <v>4110</v>
      </c>
    </row>
    <row r="673" spans="1:10" x14ac:dyDescent="0.25">
      <c r="A673" s="1" t="str">
        <f t="shared" si="10"/>
        <v>9</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2951</v>
      </c>
      <c r="D673" s="1" t="s">
        <v>1073</v>
      </c>
      <c r="E673" s="1" t="s">
        <v>2952</v>
      </c>
      <c r="F673" s="1" t="s">
        <v>112</v>
      </c>
      <c r="G673" s="1">
        <v>10620</v>
      </c>
    </row>
    <row r="674" spans="1:10" x14ac:dyDescent="0.25">
      <c r="A674" s="1" t="str">
        <f t="shared" si="10"/>
        <v>9</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2953</v>
      </c>
      <c r="D674" s="1" t="s">
        <v>2013</v>
      </c>
      <c r="E674" s="1" t="s">
        <v>2954</v>
      </c>
      <c r="F674" s="1" t="s">
        <v>112</v>
      </c>
      <c r="G674" s="1">
        <v>106830</v>
      </c>
    </row>
    <row r="675" spans="1:10" x14ac:dyDescent="0.25">
      <c r="A675" s="1" t="str">
        <f t="shared" si="10"/>
        <v>9</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2955</v>
      </c>
      <c r="D675" s="1" t="s">
        <v>2956</v>
      </c>
      <c r="E675" s="1" t="s">
        <v>2957</v>
      </c>
      <c r="F675" s="1" t="s">
        <v>112</v>
      </c>
      <c r="G675" s="1">
        <v>111178</v>
      </c>
    </row>
    <row r="676" spans="1:10" x14ac:dyDescent="0.25">
      <c r="A676" s="1" t="str">
        <f t="shared" si="10"/>
        <v>9</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2958</v>
      </c>
      <c r="D676" s="1" t="s">
        <v>452</v>
      </c>
      <c r="E676" s="1" t="s">
        <v>2959</v>
      </c>
      <c r="F676" s="1" t="s">
        <v>112</v>
      </c>
      <c r="G676" s="1">
        <v>151388</v>
      </c>
    </row>
    <row r="677" spans="1:10" x14ac:dyDescent="0.25">
      <c r="A677" s="1" t="str">
        <f t="shared" si="10"/>
        <v>9</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2960</v>
      </c>
      <c r="D677" s="1" t="s">
        <v>2035</v>
      </c>
      <c r="E677" s="1" t="s">
        <v>2961</v>
      </c>
      <c r="F677" s="1" t="s">
        <v>112</v>
      </c>
      <c r="G677" s="1">
        <v>115287</v>
      </c>
    </row>
    <row r="678" spans="1:10" x14ac:dyDescent="0.25">
      <c r="A678" s="1" t="str">
        <f t="shared" si="10"/>
        <v>9</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2962</v>
      </c>
      <c r="D678" s="1" t="s">
        <v>2963</v>
      </c>
      <c r="E678" s="1" t="s">
        <v>2964</v>
      </c>
      <c r="F678" s="1" t="s">
        <v>112</v>
      </c>
      <c r="G678" s="1">
        <v>19683</v>
      </c>
    </row>
    <row r="679" spans="1:10" x14ac:dyDescent="0.25">
      <c r="A679" s="1" t="str">
        <f t="shared" si="10"/>
        <v>9</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2965</v>
      </c>
      <c r="D679" s="1" t="s">
        <v>2966</v>
      </c>
      <c r="E679" s="1" t="s">
        <v>2967</v>
      </c>
      <c r="F679" s="1" t="s">
        <v>112</v>
      </c>
      <c r="G679" s="1">
        <v>200487</v>
      </c>
    </row>
    <row r="680" spans="1:10" x14ac:dyDescent="0.25">
      <c r="A680" s="1" t="str">
        <f t="shared" si="10"/>
        <v>9</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2968</v>
      </c>
      <c r="D680" s="1" t="s">
        <v>2486</v>
      </c>
      <c r="E680" s="1" t="s">
        <v>2969</v>
      </c>
      <c r="F680" s="1" t="s">
        <v>112</v>
      </c>
      <c r="G680" s="1">
        <v>155865</v>
      </c>
    </row>
    <row r="681" spans="1:10" x14ac:dyDescent="0.25">
      <c r="A681" s="1" t="str">
        <f t="shared" si="10"/>
        <v>9</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2970</v>
      </c>
      <c r="D681" s="1" t="s">
        <v>2971</v>
      </c>
      <c r="E681" s="1" t="s">
        <v>2972</v>
      </c>
      <c r="F681" s="1" t="s">
        <v>112</v>
      </c>
      <c r="G681" s="1">
        <v>265853</v>
      </c>
    </row>
    <row r="682" spans="1:10" x14ac:dyDescent="0.25">
      <c r="A682" s="1" t="str">
        <f t="shared" si="10"/>
        <v>9</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2973</v>
      </c>
      <c r="D682" s="1" t="s">
        <v>2917</v>
      </c>
      <c r="E682" s="1" t="s">
        <v>2974</v>
      </c>
      <c r="F682" s="1" t="s">
        <v>112</v>
      </c>
      <c r="G682" s="1">
        <v>175181</v>
      </c>
    </row>
    <row r="683" spans="1:10" x14ac:dyDescent="0.25">
      <c r="A683" s="1" t="str">
        <f t="shared" si="10"/>
        <v>9</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2975</v>
      </c>
    </row>
    <row r="684" spans="1:10" x14ac:dyDescent="0.25">
      <c r="A684" s="1" t="str">
        <f t="shared" si="10"/>
        <v>9</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2976</v>
      </c>
    </row>
    <row r="685" spans="1:10" x14ac:dyDescent="0.25">
      <c r="A685" s="1" t="str">
        <f t="shared" si="10"/>
        <v>9</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2977</v>
      </c>
    </row>
    <row r="686" spans="1:10"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10"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219</v>
      </c>
      <c r="D687" s="1" t="s">
        <v>112</v>
      </c>
      <c r="E687" s="1" t="s">
        <v>220</v>
      </c>
      <c r="F687" s="1" t="s">
        <v>221</v>
      </c>
      <c r="G687" s="1" t="s">
        <v>222</v>
      </c>
      <c r="H687" s="1" t="s">
        <v>223</v>
      </c>
      <c r="I687" s="1" t="s">
        <v>224</v>
      </c>
      <c r="J687" s="1" t="s">
        <v>225</v>
      </c>
    </row>
    <row r="688" spans="1:10" x14ac:dyDescent="0.25">
      <c r="A688" s="1" t="str">
        <f t="shared" si="10"/>
        <v>9</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2978</v>
      </c>
      <c r="D688" s="1" t="s">
        <v>112</v>
      </c>
      <c r="E688" s="1" t="s">
        <v>2979</v>
      </c>
      <c r="F688" s="1" t="s">
        <v>2980</v>
      </c>
      <c r="G688" s="1" t="s">
        <v>2981</v>
      </c>
      <c r="H688" s="1" t="s">
        <v>2982</v>
      </c>
      <c r="I688" s="1">
        <v>24</v>
      </c>
      <c r="J688" s="1">
        <v>24</v>
      </c>
    </row>
    <row r="689" spans="1:3"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3"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1" spans="1:3"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2" spans="1:3"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3" spans="1:3"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4" spans="1:3"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5" spans="1:3"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6" spans="1:3"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7" spans="1:3"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3"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3"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3"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3"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3"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3"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3"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3" priority="1" operator="containsText" text="ERREUR">
      <formula>NOT(ISERROR(SEARCH("ERREUR",A1)))</formula>
    </cfRule>
    <cfRule type="containsText" dxfId="2"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74"/>
  <sheetViews>
    <sheetView showGridLines="0" topLeftCell="L1" zoomScale="70" zoomScaleNormal="70" zoomScaleSheetLayoutView="40" zoomScalePageLayoutView="30" workbookViewId="0">
      <selection activeCell="R18" sqref="R18"/>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218" t="s">
        <v>43</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20"/>
    </row>
    <row r="2" spans="1:37" customFormat="1" ht="15.75" thickBot="1" x14ac:dyDescent="0.3">
      <c r="AE2" s="1"/>
      <c r="AF2" s="1"/>
      <c r="AG2" s="1"/>
      <c r="AH2" s="1"/>
      <c r="AI2" s="1"/>
      <c r="AJ2" s="1"/>
    </row>
    <row r="3" spans="1:37" ht="15.75" thickBot="1" x14ac:dyDescent="0.3">
      <c r="A3" s="52" t="s">
        <v>18</v>
      </c>
      <c r="B3" s="228" t="s">
        <v>6</v>
      </c>
      <c r="C3" s="229"/>
      <c r="D3" s="229"/>
      <c r="E3" s="229"/>
      <c r="F3" s="229"/>
      <c r="G3" s="229"/>
      <c r="H3" s="229"/>
      <c r="I3" s="229"/>
      <c r="J3" s="229"/>
      <c r="K3" s="229"/>
      <c r="L3" s="229"/>
      <c r="M3" s="229"/>
      <c r="O3" s="228" t="s">
        <v>3</v>
      </c>
      <c r="P3" s="229"/>
      <c r="Q3" s="229"/>
      <c r="R3" s="229"/>
      <c r="S3" s="229"/>
      <c r="T3" s="229"/>
      <c r="U3" s="229"/>
      <c r="V3" s="229"/>
      <c r="W3" s="229"/>
      <c r="X3" s="229"/>
      <c r="Y3" s="229"/>
      <c r="Z3" s="229"/>
      <c r="AA3" s="229"/>
      <c r="AB3" s="229"/>
      <c r="AC3" s="229"/>
      <c r="AD3" s="229"/>
      <c r="AE3" s="229"/>
      <c r="AF3" s="229"/>
      <c r="AG3" s="229"/>
      <c r="AH3" s="229"/>
      <c r="AI3" s="229"/>
      <c r="AJ3" s="229"/>
      <c r="AK3" s="230"/>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DUS-10µg/L</v>
      </c>
      <c r="J4" s="35" t="str">
        <f>'Page de garde'!A16</f>
        <v>DUS-100µg/L</v>
      </c>
      <c r="K4" s="35" t="str">
        <f>'Page de garde'!A17</f>
        <v>DUS-250µg/L</v>
      </c>
      <c r="L4" s="35" t="str">
        <f>'Page de garde'!A18</f>
        <v>DUS-500µg/L</v>
      </c>
      <c r="M4" s="35" t="str">
        <f>'Page de garde'!A19</f>
        <v>DUS-1000µg/L</v>
      </c>
      <c r="N4" s="3"/>
      <c r="O4" s="36" t="str">
        <f>'Page de garde'!A36</f>
        <v>Testo -30µg/L</v>
      </c>
      <c r="P4" s="36" t="str">
        <f>'Page de garde'!A37</f>
        <v>Testo 30µg/L + EE2 -64ng/L</v>
      </c>
      <c r="Q4" s="36" t="str">
        <f>'Page de garde'!A38</f>
        <v>Testo 30µg/L + FAD-10mg/L</v>
      </c>
      <c r="R4" s="36" t="str">
        <f>'Page de garde'!A39</f>
        <v>DUS-10µg/L + Testostérone</v>
      </c>
      <c r="S4" s="36" t="str">
        <f>'Page de garde'!A40</f>
        <v>DUS-100µg/L + Testostérone</v>
      </c>
      <c r="T4" s="36" t="str">
        <f>'Page de garde'!A41</f>
        <v>DUS-250µg/L + Testostérone</v>
      </c>
      <c r="U4" s="36" t="str">
        <f>'Page de garde'!A42</f>
        <v>DUS-500µg/L + Testostérone</v>
      </c>
      <c r="V4" s="36" t="str">
        <f>'Page de garde'!A43</f>
        <v>DUS-1000µg/L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31" t="s">
        <v>33</v>
      </c>
      <c r="B5" s="198">
        <v>18118.666666666668</v>
      </c>
      <c r="C5" s="198">
        <v>94472.333333333328</v>
      </c>
      <c r="D5" s="198"/>
      <c r="E5" s="198">
        <v>277785.66666666669</v>
      </c>
      <c r="F5" s="198">
        <v>1405950.3333333333</v>
      </c>
      <c r="G5" s="198">
        <v>3238918</v>
      </c>
      <c r="H5" s="198">
        <v>3124344.3333333335</v>
      </c>
      <c r="I5" s="32"/>
      <c r="J5" s="32">
        <v>252478.6667</v>
      </c>
      <c r="K5" s="198">
        <v>0</v>
      </c>
      <c r="L5" s="198">
        <v>83535</v>
      </c>
      <c r="M5" s="198">
        <v>0</v>
      </c>
      <c r="N5" s="3"/>
      <c r="O5" s="198">
        <v>2048668.3333333333</v>
      </c>
      <c r="P5" s="198">
        <v>2920944.3333333335</v>
      </c>
      <c r="Q5" s="198">
        <v>128582.66666666667</v>
      </c>
      <c r="R5" s="198">
        <v>619783</v>
      </c>
      <c r="S5" s="198">
        <v>1835556</v>
      </c>
      <c r="T5" s="198">
        <v>2539018</v>
      </c>
      <c r="U5" s="198">
        <v>3511267.3333333335</v>
      </c>
      <c r="V5" s="198">
        <v>1404486.6666666667</v>
      </c>
      <c r="W5" s="32"/>
      <c r="X5" s="32"/>
      <c r="Y5" s="32"/>
      <c r="Z5" s="32"/>
      <c r="AA5" s="32"/>
      <c r="AB5" s="32"/>
      <c r="AC5" s="32"/>
      <c r="AD5" s="32"/>
      <c r="AE5" s="32"/>
      <c r="AF5" s="32"/>
      <c r="AG5" s="32"/>
      <c r="AH5" s="32"/>
      <c r="AI5" s="32"/>
      <c r="AJ5" s="32"/>
      <c r="AK5" s="32"/>
    </row>
    <row r="6" spans="1:37" x14ac:dyDescent="0.25">
      <c r="A6" s="231"/>
      <c r="B6" s="198">
        <v>8197.6666666666661</v>
      </c>
      <c r="C6" s="198">
        <v>125850</v>
      </c>
      <c r="D6" s="198">
        <v>95481.666666666672</v>
      </c>
      <c r="E6" s="198">
        <v>2153807.5</v>
      </c>
      <c r="F6" s="198">
        <v>2301046</v>
      </c>
      <c r="G6" s="198">
        <v>1458518</v>
      </c>
      <c r="H6" s="198">
        <v>4293166.5</v>
      </c>
      <c r="I6" s="32">
        <v>216.33333329999999</v>
      </c>
      <c r="J6" s="32">
        <v>262918.3333</v>
      </c>
      <c r="K6" s="198">
        <v>169347.66666666666</v>
      </c>
      <c r="L6" s="198">
        <v>154773</v>
      </c>
      <c r="M6" s="198">
        <v>161452.66666666666</v>
      </c>
      <c r="N6" s="3"/>
      <c r="O6" s="198">
        <v>1030664.5</v>
      </c>
      <c r="P6" s="198">
        <v>5795925</v>
      </c>
      <c r="Q6" s="198">
        <v>414940.66666666669</v>
      </c>
      <c r="R6" s="198">
        <v>242117.66666666666</v>
      </c>
      <c r="S6" s="198">
        <v>773074.33333333337</v>
      </c>
      <c r="T6" s="198">
        <v>225297</v>
      </c>
      <c r="U6" s="198">
        <v>1773377.3333333333</v>
      </c>
      <c r="V6" s="198">
        <v>2256329.3333333335</v>
      </c>
      <c r="W6" s="32"/>
      <c r="X6" s="32"/>
      <c r="Y6" s="32"/>
      <c r="Z6" s="32"/>
      <c r="AA6" s="32"/>
      <c r="AB6" s="32"/>
      <c r="AC6" s="32"/>
      <c r="AD6" s="32"/>
      <c r="AE6" s="32"/>
      <c r="AF6" s="32"/>
      <c r="AG6" s="32"/>
      <c r="AH6" s="32"/>
      <c r="AI6" s="32"/>
      <c r="AJ6" s="32"/>
      <c r="AK6" s="32"/>
    </row>
    <row r="7" spans="1:37" x14ac:dyDescent="0.25">
      <c r="A7" s="231"/>
      <c r="B7" s="198">
        <v>294974</v>
      </c>
      <c r="C7" s="198">
        <v>755402</v>
      </c>
      <c r="D7" s="198">
        <v>66699.333333333328</v>
      </c>
      <c r="E7" s="198">
        <v>1621716</v>
      </c>
      <c r="F7" s="198">
        <v>1833544.6666666667</v>
      </c>
      <c r="G7" s="198">
        <v>3834764</v>
      </c>
      <c r="H7" s="198">
        <v>5063601.666666667</v>
      </c>
      <c r="I7" s="32">
        <v>251714</v>
      </c>
      <c r="J7" s="32">
        <v>58112.333330000001</v>
      </c>
      <c r="K7" s="198">
        <v>64284</v>
      </c>
      <c r="L7" s="198">
        <v>127818.33333333333</v>
      </c>
      <c r="M7" s="198">
        <v>151770</v>
      </c>
      <c r="N7" s="3"/>
      <c r="O7" s="198">
        <v>29452.666666666668</v>
      </c>
      <c r="P7" s="198">
        <v>4201325.666666667</v>
      </c>
      <c r="Q7" s="198">
        <v>99187.333333333328</v>
      </c>
      <c r="R7" s="198">
        <v>490724.66666666669</v>
      </c>
      <c r="S7" s="198">
        <v>2993902</v>
      </c>
      <c r="T7" s="198"/>
      <c r="U7" s="198">
        <v>1672776.6666666667</v>
      </c>
      <c r="V7" s="198">
        <v>13843.333333333334</v>
      </c>
      <c r="W7" s="32"/>
      <c r="X7" s="32"/>
      <c r="Y7" s="32"/>
      <c r="Z7" s="32"/>
      <c r="AA7" s="32"/>
      <c r="AB7" s="32"/>
      <c r="AC7" s="32"/>
      <c r="AD7" s="32"/>
      <c r="AE7" s="32"/>
      <c r="AF7" s="32"/>
      <c r="AG7" s="32"/>
      <c r="AH7" s="32"/>
      <c r="AI7" s="32"/>
      <c r="AJ7" s="32"/>
      <c r="AK7" s="32"/>
    </row>
    <row r="8" spans="1:37" x14ac:dyDescent="0.25">
      <c r="A8" s="231"/>
      <c r="B8" s="198"/>
      <c r="C8" s="198">
        <v>78019</v>
      </c>
      <c r="D8" s="198">
        <v>375084</v>
      </c>
      <c r="E8" s="198">
        <v>1373051.6666666667</v>
      </c>
      <c r="F8" s="198">
        <v>1930973</v>
      </c>
      <c r="G8" s="198">
        <v>3732022</v>
      </c>
      <c r="H8" s="198">
        <v>5149155</v>
      </c>
      <c r="I8" s="32">
        <v>63130.666669999999</v>
      </c>
      <c r="J8" s="32">
        <v>9488.3333330000005</v>
      </c>
      <c r="K8" s="198"/>
      <c r="L8" s="198">
        <v>20577.333333333332</v>
      </c>
      <c r="M8" s="198">
        <v>80838.333333333328</v>
      </c>
      <c r="N8" s="3"/>
      <c r="O8" s="198">
        <v>2786961.3333333335</v>
      </c>
      <c r="P8" s="198">
        <v>1984304.6666666667</v>
      </c>
      <c r="Q8" s="198">
        <v>428488</v>
      </c>
      <c r="R8" s="198"/>
      <c r="S8" s="198">
        <v>3030716</v>
      </c>
      <c r="T8" s="198">
        <v>3240987</v>
      </c>
      <c r="U8" s="198">
        <v>3992078.3333333335</v>
      </c>
      <c r="V8" s="198">
        <v>1074039.6666666667</v>
      </c>
      <c r="W8" s="32"/>
      <c r="X8" s="32"/>
      <c r="Y8" s="32"/>
      <c r="Z8" s="32"/>
      <c r="AA8" s="32"/>
      <c r="AB8" s="32"/>
      <c r="AC8" s="32"/>
      <c r="AD8" s="32"/>
      <c r="AE8" s="32"/>
      <c r="AF8" s="32"/>
      <c r="AG8" s="32"/>
      <c r="AH8" s="32"/>
      <c r="AI8" s="32"/>
      <c r="AJ8" s="32"/>
      <c r="AK8" s="32"/>
    </row>
    <row r="9" spans="1:37" x14ac:dyDescent="0.25">
      <c r="A9" s="231"/>
      <c r="B9" s="198">
        <v>238195.66666666666</v>
      </c>
      <c r="C9" s="198">
        <v>117616</v>
      </c>
      <c r="D9" s="198"/>
      <c r="E9" s="198"/>
      <c r="F9" s="198">
        <v>1683959.6666666667</v>
      </c>
      <c r="G9" s="198">
        <v>3645026.6666666665</v>
      </c>
      <c r="H9" s="198">
        <v>3529948.6666666665</v>
      </c>
      <c r="I9" s="32">
        <v>27196</v>
      </c>
      <c r="J9" s="32">
        <v>123132</v>
      </c>
      <c r="K9" s="198">
        <v>6020.333333333333</v>
      </c>
      <c r="L9" s="198">
        <v>341666</v>
      </c>
      <c r="M9" s="198">
        <v>241490.33333333334</v>
      </c>
      <c r="N9" s="3"/>
      <c r="O9" s="198">
        <v>331337.5</v>
      </c>
      <c r="P9" s="198">
        <v>1666475.3333333333</v>
      </c>
      <c r="Q9" s="198">
        <v>101876.66666666667</v>
      </c>
      <c r="R9" s="198">
        <v>2682842.3333333335</v>
      </c>
      <c r="S9" s="198">
        <v>2686533.6666666665</v>
      </c>
      <c r="T9" s="198">
        <v>3398027.6666666665</v>
      </c>
      <c r="U9" s="198">
        <v>3494482.3333333335</v>
      </c>
      <c r="V9" s="198">
        <v>1486255</v>
      </c>
      <c r="W9" s="32"/>
      <c r="X9" s="32"/>
      <c r="Y9" s="32"/>
      <c r="Z9" s="32"/>
      <c r="AA9" s="32"/>
      <c r="AB9" s="32"/>
      <c r="AC9" s="32"/>
      <c r="AD9" s="32"/>
      <c r="AE9" s="32"/>
      <c r="AF9" s="32"/>
      <c r="AG9" s="32"/>
      <c r="AH9" s="32"/>
      <c r="AI9" s="32"/>
      <c r="AJ9" s="32"/>
      <c r="AK9" s="32"/>
    </row>
    <row r="10" spans="1:37" x14ac:dyDescent="0.25">
      <c r="A10" s="231"/>
      <c r="B10" s="198">
        <v>197307.66666666666</v>
      </c>
      <c r="C10" s="198">
        <v>83376</v>
      </c>
      <c r="D10" s="198">
        <v>21413.666666666668</v>
      </c>
      <c r="E10" s="198">
        <v>1729764.3333333333</v>
      </c>
      <c r="F10" s="198">
        <v>2228073.6666666665</v>
      </c>
      <c r="G10" s="198">
        <v>3275328.6666666665</v>
      </c>
      <c r="H10" s="198">
        <v>5272294.333333333</v>
      </c>
      <c r="I10" s="32">
        <v>157105</v>
      </c>
      <c r="J10" s="32">
        <v>111819</v>
      </c>
      <c r="K10" s="198">
        <v>35949</v>
      </c>
      <c r="L10" s="198">
        <v>39842</v>
      </c>
      <c r="M10" s="198">
        <v>34954</v>
      </c>
      <c r="N10" s="3"/>
      <c r="O10" s="198">
        <v>362762.33333333331</v>
      </c>
      <c r="P10" s="198">
        <v>4919063.666666667</v>
      </c>
      <c r="Q10" s="198">
        <v>189679.66666666666</v>
      </c>
      <c r="R10" s="198">
        <v>1992034</v>
      </c>
      <c r="S10" s="198">
        <v>3503776</v>
      </c>
      <c r="T10" s="198">
        <v>3383204</v>
      </c>
      <c r="U10" s="198">
        <v>2284729.6666666665</v>
      </c>
      <c r="V10" s="198">
        <v>1924649.6666666667</v>
      </c>
      <c r="W10" s="32"/>
      <c r="X10" s="32"/>
      <c r="Y10" s="32"/>
      <c r="Z10" s="32"/>
      <c r="AA10" s="32"/>
      <c r="AB10" s="32"/>
      <c r="AC10" s="32"/>
      <c r="AD10" s="32"/>
      <c r="AE10" s="32"/>
      <c r="AF10" s="32"/>
      <c r="AG10" s="32"/>
      <c r="AH10" s="32"/>
      <c r="AI10" s="32"/>
      <c r="AJ10" s="32"/>
      <c r="AK10" s="32"/>
    </row>
    <row r="11" spans="1:37" x14ac:dyDescent="0.25">
      <c r="A11" s="231"/>
      <c r="B11" s="198">
        <v>179182</v>
      </c>
      <c r="C11" s="198">
        <v>193451</v>
      </c>
      <c r="D11" s="198">
        <v>198908.5</v>
      </c>
      <c r="E11" s="198">
        <v>490616.33333333331</v>
      </c>
      <c r="F11" s="198">
        <v>2143789.3333333335</v>
      </c>
      <c r="G11" s="198">
        <v>3455606.3333333335</v>
      </c>
      <c r="H11" s="198">
        <v>5044639.333333333</v>
      </c>
      <c r="I11" s="32">
        <v>141848.6667</v>
      </c>
      <c r="J11" s="32">
        <v>198966.3333</v>
      </c>
      <c r="K11" s="198">
        <v>287893.66666666669</v>
      </c>
      <c r="L11" s="198">
        <v>15761</v>
      </c>
      <c r="M11" s="198">
        <v>0</v>
      </c>
      <c r="N11" s="3"/>
      <c r="O11" s="198">
        <v>378804</v>
      </c>
      <c r="P11" s="198">
        <v>4585956</v>
      </c>
      <c r="Q11" s="198">
        <v>7267.666666666667</v>
      </c>
      <c r="R11" s="198">
        <v>494459</v>
      </c>
      <c r="S11" s="198">
        <v>2950267.3333333335</v>
      </c>
      <c r="T11" s="198">
        <v>656409.33333333337</v>
      </c>
      <c r="U11" s="198">
        <v>3838794.3333333335</v>
      </c>
      <c r="V11" s="198">
        <v>1776182</v>
      </c>
      <c r="W11" s="32"/>
      <c r="X11" s="32"/>
      <c r="Y11" s="32"/>
      <c r="Z11" s="32"/>
      <c r="AA11" s="32"/>
      <c r="AB11" s="32"/>
      <c r="AC11" s="32"/>
      <c r="AD11" s="32"/>
      <c r="AE11" s="32"/>
      <c r="AF11" s="32"/>
      <c r="AG11" s="32"/>
      <c r="AH11" s="32"/>
      <c r="AI11" s="32"/>
      <c r="AJ11" s="32"/>
      <c r="AK11" s="32"/>
    </row>
    <row r="12" spans="1:37" x14ac:dyDescent="0.25">
      <c r="A12" s="231"/>
      <c r="B12" s="198">
        <v>115114.66666666667</v>
      </c>
      <c r="C12" s="198">
        <v>120269.33333333333</v>
      </c>
      <c r="D12" s="198">
        <v>50689.5</v>
      </c>
      <c r="E12" s="198"/>
      <c r="F12" s="198">
        <v>700491.66666666663</v>
      </c>
      <c r="G12" s="198">
        <v>2214879.3333333335</v>
      </c>
      <c r="H12" s="198"/>
      <c r="I12" s="32">
        <v>209254.6667</v>
      </c>
      <c r="J12" s="32"/>
      <c r="K12" s="198">
        <v>320756.66666666669</v>
      </c>
      <c r="L12" s="198">
        <v>30920</v>
      </c>
      <c r="M12" s="198">
        <v>2782059</v>
      </c>
      <c r="N12" s="3"/>
      <c r="O12" s="198">
        <v>1673642</v>
      </c>
      <c r="P12" s="198">
        <v>3608732</v>
      </c>
      <c r="Q12" s="198">
        <v>13533</v>
      </c>
      <c r="R12" s="198">
        <v>193595</v>
      </c>
      <c r="S12" s="198">
        <v>949693</v>
      </c>
      <c r="T12" s="198">
        <v>2439405.3333333335</v>
      </c>
      <c r="U12" s="198">
        <v>1583229</v>
      </c>
      <c r="V12" s="198">
        <v>2665614</v>
      </c>
      <c r="W12" s="32"/>
      <c r="X12" s="32"/>
      <c r="Y12" s="32"/>
      <c r="Z12" s="32"/>
      <c r="AA12" s="32"/>
      <c r="AB12" s="32"/>
      <c r="AC12" s="32"/>
      <c r="AD12" s="32"/>
      <c r="AE12" s="32"/>
      <c r="AF12" s="32"/>
      <c r="AG12" s="32"/>
      <c r="AH12" s="32"/>
      <c r="AI12" s="32"/>
      <c r="AJ12" s="32"/>
      <c r="AK12" s="32"/>
    </row>
    <row r="13" spans="1:37" ht="16.5" x14ac:dyDescent="0.25">
      <c r="A13" s="231"/>
      <c r="B13" s="14"/>
      <c r="C13" s="13"/>
      <c r="D13" s="32"/>
      <c r="E13" s="32"/>
      <c r="F13" s="32"/>
      <c r="G13" s="32"/>
      <c r="H13" s="32"/>
      <c r="I13" s="32"/>
      <c r="J13" s="32"/>
      <c r="K13" s="13"/>
      <c r="L13" s="13"/>
      <c r="M13" s="13"/>
      <c r="N13" s="3"/>
      <c r="O13" s="198">
        <v>1995761.6666666667</v>
      </c>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25">
      <c r="A14" s="231"/>
      <c r="B14" s="14"/>
      <c r="C14" s="32"/>
      <c r="D14" s="32"/>
      <c r="E14" s="32"/>
      <c r="F14" s="32"/>
      <c r="G14" s="32"/>
      <c r="H14" s="32"/>
      <c r="I14" s="32"/>
      <c r="J14" s="32"/>
      <c r="K14" s="13"/>
      <c r="L14" s="13"/>
      <c r="M14" s="13"/>
      <c r="N14" s="3"/>
      <c r="O14" s="198">
        <v>1461409.6666666667</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25">
      <c r="A15" s="231"/>
      <c r="B15" s="14"/>
      <c r="C15" s="32"/>
      <c r="D15" s="32"/>
      <c r="E15" s="32"/>
      <c r="F15" s="32"/>
      <c r="G15" s="32"/>
      <c r="H15" s="32"/>
      <c r="I15" s="32"/>
      <c r="J15" s="32"/>
      <c r="K15" s="13"/>
      <c r="L15" s="13"/>
      <c r="M15" s="13"/>
      <c r="N15" s="3"/>
      <c r="O15" s="198">
        <v>1148439</v>
      </c>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25">
      <c r="A16" s="231"/>
      <c r="B16" s="14"/>
      <c r="C16" s="32"/>
      <c r="D16" s="32"/>
      <c r="E16" s="32"/>
      <c r="F16" s="32"/>
      <c r="G16" s="32"/>
      <c r="H16" s="32"/>
      <c r="I16" s="32"/>
      <c r="J16" s="32"/>
      <c r="K16" s="13"/>
      <c r="L16" s="13"/>
      <c r="M16" s="13"/>
      <c r="N16" s="3"/>
      <c r="O16" s="198">
        <v>1702381</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25">
      <c r="A17" s="231"/>
      <c r="B17" s="14"/>
      <c r="C17" s="32"/>
      <c r="D17" s="32"/>
      <c r="E17" s="32"/>
      <c r="F17" s="32"/>
      <c r="G17" s="32"/>
      <c r="H17" s="32"/>
      <c r="I17" s="32"/>
      <c r="J17" s="32"/>
      <c r="K17" s="13"/>
      <c r="L17" s="13"/>
      <c r="M17" s="13"/>
      <c r="N17" s="3"/>
      <c r="O17" s="198">
        <v>689510.66666666663</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25">
      <c r="A18" s="231"/>
      <c r="B18" s="14"/>
      <c r="C18" s="32"/>
      <c r="D18" s="32"/>
      <c r="E18" s="32"/>
      <c r="F18" s="32"/>
      <c r="G18" s="32"/>
      <c r="H18" s="32"/>
      <c r="I18" s="32"/>
      <c r="J18" s="32"/>
      <c r="K18" s="13"/>
      <c r="L18" s="13"/>
      <c r="M18" s="13"/>
      <c r="N18" s="3"/>
      <c r="O18" s="198">
        <v>1781849.3333333333</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25">
      <c r="A19" s="231"/>
      <c r="B19" s="14"/>
      <c r="C19" s="32"/>
      <c r="D19" s="32"/>
      <c r="E19" s="32"/>
      <c r="F19" s="32"/>
      <c r="G19" s="32"/>
      <c r="H19" s="32"/>
      <c r="I19" s="32"/>
      <c r="J19" s="32"/>
      <c r="K19" s="13"/>
      <c r="L19" s="13"/>
      <c r="M19" s="13"/>
      <c r="N19" s="3"/>
      <c r="O19" s="198">
        <v>520037</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31"/>
      <c r="B20" s="14"/>
      <c r="C20" s="32"/>
      <c r="D20" s="32"/>
      <c r="E20" s="32"/>
      <c r="F20" s="32"/>
      <c r="G20" s="32"/>
      <c r="H20" s="32"/>
      <c r="I20" s="32"/>
      <c r="J20" s="32"/>
      <c r="K20" s="13"/>
      <c r="L20" s="13"/>
      <c r="M20" s="13"/>
      <c r="N20" s="3"/>
      <c r="O20" s="198"/>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D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DUS-10µg/L</v>
      </c>
      <c r="J22" s="3" t="str">
        <f t="shared" si="0"/>
        <v>DUS-100µg/L</v>
      </c>
      <c r="K22" s="3" t="str">
        <f t="shared" si="0"/>
        <v>DUS-250µg/L</v>
      </c>
      <c r="L22" s="3" t="str">
        <f t="shared" si="0"/>
        <v>DUS-500µg/L</v>
      </c>
      <c r="M22" s="3" t="str">
        <f t="shared" si="0"/>
        <v>DUS-1000µg/L</v>
      </c>
      <c r="N22" s="3" t="s">
        <v>41</v>
      </c>
      <c r="O22" s="3" t="str">
        <f t="shared" si="0"/>
        <v>Testo -30µg/L</v>
      </c>
      <c r="P22" s="3" t="str">
        <f t="shared" si="0"/>
        <v>Testo 30µg/L + EE2 -64ng/L</v>
      </c>
      <c r="Q22" s="3" t="str">
        <f t="shared" si="0"/>
        <v>Testo 30µg/L + FAD-10mg/L</v>
      </c>
      <c r="R22" s="3" t="str">
        <f t="shared" si="0"/>
        <v>DUS-10µg/L + Testostérone</v>
      </c>
      <c r="S22" s="3" t="str">
        <f t="shared" si="0"/>
        <v>DUS-100µg/L + Testostérone</v>
      </c>
      <c r="T22" s="3" t="str">
        <f t="shared" si="0"/>
        <v>DUS-250µg/L + Testostérone</v>
      </c>
      <c r="U22" s="3" t="str">
        <f t="shared" si="0"/>
        <v>DUS-500µg/L + Testostérone</v>
      </c>
      <c r="V22" s="3" t="str">
        <f t="shared" si="0"/>
        <v>DUS-1000µg/L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ref="AE22:AK22" si="1">AE4</f>
        <v>0-00 + Testostérone</v>
      </c>
      <c r="AF22" s="3" t="str">
        <f t="shared" si="1"/>
        <v>0-00 + Testostérone</v>
      </c>
      <c r="AG22" s="3" t="str">
        <f t="shared" si="1"/>
        <v>0-00 + Testostérone</v>
      </c>
      <c r="AH22" s="3" t="str">
        <f t="shared" si="1"/>
        <v>0-00 + Testostérone</v>
      </c>
      <c r="AI22" s="3" t="str">
        <f t="shared" si="1"/>
        <v>0-00 + Testostérone</v>
      </c>
      <c r="AJ22" s="3" t="str">
        <f t="shared" si="1"/>
        <v>0-00 + Testostérone</v>
      </c>
      <c r="AK22" s="3" t="str">
        <f t="shared" si="1"/>
        <v>0-00 + Testostérone</v>
      </c>
    </row>
    <row r="23" spans="1:37" x14ac:dyDescent="0.25">
      <c r="A23" s="5" t="s">
        <v>0</v>
      </c>
      <c r="B23" s="5">
        <f t="shared" ref="B23:J23" si="2">AVERAGE(B5:B20)</f>
        <v>150155.76190476189</v>
      </c>
      <c r="C23" s="5">
        <f t="shared" si="2"/>
        <v>196056.95833333331</v>
      </c>
      <c r="D23" s="5">
        <f t="shared" si="2"/>
        <v>134712.77777777778</v>
      </c>
      <c r="E23" s="5">
        <f t="shared" si="2"/>
        <v>1274456.9166666665</v>
      </c>
      <c r="F23" s="5">
        <f t="shared" si="2"/>
        <v>1778478.5416666665</v>
      </c>
      <c r="G23" s="5">
        <f t="shared" si="2"/>
        <v>3106882.8749999995</v>
      </c>
      <c r="H23" s="5">
        <f t="shared" si="2"/>
        <v>4496735.6904761903</v>
      </c>
      <c r="I23" s="5">
        <f t="shared" si="2"/>
        <v>121495.04762904286</v>
      </c>
      <c r="J23" s="5">
        <f t="shared" si="2"/>
        <v>145273.5714232857</v>
      </c>
      <c r="K23" s="5"/>
      <c r="L23" s="5">
        <f>AVERAGE(L5:L20)</f>
        <v>101861.58333333333</v>
      </c>
      <c r="M23" s="5"/>
      <c r="N23" s="5" t="s">
        <v>0</v>
      </c>
      <c r="O23" s="5">
        <f>AVERAGE(O5:O20)</f>
        <v>1196112.0666666664</v>
      </c>
      <c r="P23" s="5">
        <f>AVERAGE(P5:P20)</f>
        <v>3710340.8333333335</v>
      </c>
      <c r="Q23" s="5">
        <f>AVERAGE(Q5:Q20)</f>
        <v>172944.45833333337</v>
      </c>
      <c r="R23" s="5">
        <f>AVERAGE(R5:R20)</f>
        <v>959365.09523809527</v>
      </c>
      <c r="S23" s="5">
        <f>AVERAGE(S5:S20)</f>
        <v>2340439.7916666665</v>
      </c>
      <c r="T23" s="5">
        <f t="shared" ref="T23:AD23" si="3">AVERAGE(T5:T20)</f>
        <v>2268906.9047619049</v>
      </c>
      <c r="U23" s="5">
        <f t="shared" si="3"/>
        <v>2768841.875</v>
      </c>
      <c r="V23" s="5">
        <f t="shared" si="3"/>
        <v>1575174.9583333335</v>
      </c>
      <c r="W23" s="5" t="e">
        <f t="shared" si="3"/>
        <v>#DIV/0!</v>
      </c>
      <c r="X23" s="5" t="e">
        <f t="shared" si="3"/>
        <v>#DIV/0!</v>
      </c>
      <c r="Y23" s="5" t="e">
        <f t="shared" si="3"/>
        <v>#DIV/0!</v>
      </c>
      <c r="Z23" s="5" t="e">
        <f t="shared" si="3"/>
        <v>#DIV/0!</v>
      </c>
      <c r="AA23" s="5" t="e">
        <f t="shared" si="3"/>
        <v>#DIV/0!</v>
      </c>
      <c r="AB23" s="5" t="e">
        <f t="shared" si="3"/>
        <v>#DIV/0!</v>
      </c>
      <c r="AC23" s="5" t="e">
        <f t="shared" si="3"/>
        <v>#DIV/0!</v>
      </c>
      <c r="AD23" s="5" t="e">
        <f t="shared" si="3"/>
        <v>#DIV/0!</v>
      </c>
      <c r="AE23" s="5" t="e">
        <f t="shared" ref="AE23:AK23" si="4">AVERAGE(AE5:AE20)</f>
        <v>#DIV/0!</v>
      </c>
      <c r="AF23" s="5" t="e">
        <f t="shared" si="4"/>
        <v>#DIV/0!</v>
      </c>
      <c r="AG23" s="5" t="e">
        <f t="shared" si="4"/>
        <v>#DIV/0!</v>
      </c>
      <c r="AH23" s="5" t="e">
        <f t="shared" si="4"/>
        <v>#DIV/0!</v>
      </c>
      <c r="AI23" s="5" t="e">
        <f t="shared" si="4"/>
        <v>#DIV/0!</v>
      </c>
      <c r="AJ23" s="5" t="e">
        <f t="shared" si="4"/>
        <v>#DIV/0!</v>
      </c>
      <c r="AK23" s="5" t="e">
        <f t="shared" si="4"/>
        <v>#DIV/0!</v>
      </c>
    </row>
    <row r="24" spans="1:37" x14ac:dyDescent="0.25">
      <c r="A24" s="3" t="s">
        <v>1</v>
      </c>
      <c r="B24" s="3">
        <f t="shared" ref="B24:J24" si="5">STDEV(B5:B20)</f>
        <v>108476.52988408656</v>
      </c>
      <c r="C24" s="3">
        <f t="shared" si="5"/>
        <v>228863.28598923786</v>
      </c>
      <c r="D24" s="3">
        <f t="shared" si="5"/>
        <v>132635.53348596825</v>
      </c>
      <c r="E24" s="3">
        <f t="shared" si="5"/>
        <v>737378.02088512538</v>
      </c>
      <c r="F24" s="3">
        <f t="shared" si="5"/>
        <v>527083.3661078841</v>
      </c>
      <c r="G24" s="3">
        <f t="shared" si="5"/>
        <v>835840.12373197649</v>
      </c>
      <c r="H24" s="3">
        <f t="shared" si="5"/>
        <v>866819.20477941458</v>
      </c>
      <c r="I24" s="3">
        <f t="shared" si="5"/>
        <v>94294.134408351703</v>
      </c>
      <c r="J24" s="3">
        <f t="shared" si="5"/>
        <v>96488.604656772775</v>
      </c>
      <c r="K24" s="3"/>
      <c r="L24" s="3">
        <f>STDEV(L5:L20)</f>
        <v>109684.59294386749</v>
      </c>
      <c r="M24" s="3"/>
      <c r="N24" s="3" t="s">
        <v>1</v>
      </c>
      <c r="O24" s="3">
        <f>STDEV(O5:O20)</f>
        <v>802214.28583555087</v>
      </c>
      <c r="P24" s="3">
        <f>STDEV(P5:P20)</f>
        <v>1444620.4865286211</v>
      </c>
      <c r="Q24" s="3">
        <f>STDEV(Q5:Q20)</f>
        <v>164518.45712288099</v>
      </c>
      <c r="R24" s="3">
        <f>STDEV(R5:R20)</f>
        <v>973713.17626010638</v>
      </c>
      <c r="S24" s="3">
        <f>STDEV(S5:S20)</f>
        <v>1027773.9188316055</v>
      </c>
      <c r="T24" s="3">
        <f t="shared" ref="T24:AD24" si="6">STDEV(T5:T20)</f>
        <v>1312759.8791349591</v>
      </c>
      <c r="U24" s="3">
        <f t="shared" si="6"/>
        <v>1038625.9086132336</v>
      </c>
      <c r="V24" s="3">
        <f t="shared" si="6"/>
        <v>805472.28953115013</v>
      </c>
      <c r="W24" s="3" t="e">
        <f t="shared" si="6"/>
        <v>#DIV/0!</v>
      </c>
      <c r="X24" s="3" t="e">
        <f t="shared" si="6"/>
        <v>#DIV/0!</v>
      </c>
      <c r="Y24" s="3" t="e">
        <f t="shared" si="6"/>
        <v>#DIV/0!</v>
      </c>
      <c r="Z24" s="3" t="e">
        <f t="shared" si="6"/>
        <v>#DIV/0!</v>
      </c>
      <c r="AA24" s="3" t="e">
        <f t="shared" si="6"/>
        <v>#DIV/0!</v>
      </c>
      <c r="AB24" s="3" t="e">
        <f t="shared" si="6"/>
        <v>#DIV/0!</v>
      </c>
      <c r="AC24" s="3" t="e">
        <f t="shared" si="6"/>
        <v>#DIV/0!</v>
      </c>
      <c r="AD24" s="3" t="e">
        <f t="shared" si="6"/>
        <v>#DIV/0!</v>
      </c>
      <c r="AE24" s="3" t="e">
        <f t="shared" ref="AE24:AK24" si="7">STDEV(AE5:AE20)</f>
        <v>#DIV/0!</v>
      </c>
      <c r="AF24" s="3" t="e">
        <f t="shared" si="7"/>
        <v>#DIV/0!</v>
      </c>
      <c r="AG24" s="3" t="e">
        <f t="shared" si="7"/>
        <v>#DIV/0!</v>
      </c>
      <c r="AH24" s="3" t="e">
        <f t="shared" si="7"/>
        <v>#DIV/0!</v>
      </c>
      <c r="AI24" s="3" t="e">
        <f t="shared" si="7"/>
        <v>#DIV/0!</v>
      </c>
      <c r="AJ24" s="3" t="e">
        <f t="shared" si="7"/>
        <v>#DIV/0!</v>
      </c>
      <c r="AK24" s="3" t="e">
        <f t="shared" si="7"/>
        <v>#DIV/0!</v>
      </c>
    </row>
    <row r="25" spans="1:37" ht="15.75" thickBot="1" x14ac:dyDescent="0.3"/>
    <row r="26" spans="1:37" ht="15.75" thickBot="1" x14ac:dyDescent="0.3">
      <c r="B26" s="228" t="s">
        <v>6</v>
      </c>
      <c r="C26" s="229"/>
      <c r="D26" s="229"/>
      <c r="E26" s="229"/>
      <c r="F26" s="229"/>
      <c r="G26" s="229"/>
      <c r="H26" s="229"/>
      <c r="I26" s="229"/>
      <c r="J26" s="229"/>
      <c r="K26" s="229"/>
      <c r="L26" s="229"/>
      <c r="M26" s="229"/>
      <c r="O26" s="228" t="s">
        <v>3</v>
      </c>
      <c r="P26" s="229"/>
      <c r="Q26" s="229"/>
      <c r="R26" s="229"/>
      <c r="S26" s="229"/>
      <c r="T26" s="229"/>
      <c r="U26" s="229"/>
      <c r="V26" s="229"/>
      <c r="W26" s="229"/>
      <c r="X26" s="229"/>
      <c r="Y26" s="229"/>
      <c r="Z26" s="229"/>
      <c r="AA26" s="229"/>
      <c r="AB26" s="229"/>
      <c r="AC26" s="229"/>
      <c r="AD26" s="229"/>
      <c r="AE26" s="229"/>
      <c r="AF26" s="229"/>
      <c r="AG26" s="229"/>
      <c r="AH26" s="229"/>
      <c r="AI26" s="229"/>
      <c r="AJ26" s="229"/>
      <c r="AK26" s="230"/>
    </row>
    <row r="27" spans="1:37" x14ac:dyDescent="0.25">
      <c r="A27" s="34" t="s">
        <v>41</v>
      </c>
      <c r="B27" s="35" t="str">
        <f>B4</f>
        <v>Témoin solvant</v>
      </c>
      <c r="C27" s="35" t="str">
        <f t="shared" ref="C27:M27" si="8">C4</f>
        <v>EE2-33.8ng/L</v>
      </c>
      <c r="D27" s="35" t="str">
        <f t="shared" si="8"/>
        <v>EE2-50.6ng/L</v>
      </c>
      <c r="E27" s="35" t="str">
        <f t="shared" si="8"/>
        <v>EE2-76ng/L</v>
      </c>
      <c r="F27" s="35" t="str">
        <f t="shared" si="8"/>
        <v>EE2-114ng/L</v>
      </c>
      <c r="G27" s="35" t="str">
        <f t="shared" si="8"/>
        <v>EE2-170.9ng/L</v>
      </c>
      <c r="H27" s="35" t="str">
        <f t="shared" si="8"/>
        <v>EE2-488ng/L</v>
      </c>
      <c r="I27" s="35" t="str">
        <f t="shared" si="8"/>
        <v>DUS-10µg/L</v>
      </c>
      <c r="J27" s="35" t="str">
        <f t="shared" si="8"/>
        <v>DUS-100µg/L</v>
      </c>
      <c r="K27" s="35" t="str">
        <f t="shared" si="8"/>
        <v>DUS-250µg/L</v>
      </c>
      <c r="L27" s="35" t="str">
        <f t="shared" si="8"/>
        <v>DUS-500µg/L</v>
      </c>
      <c r="M27" s="35" t="str">
        <f t="shared" si="8"/>
        <v>DUS-1000µg/L</v>
      </c>
      <c r="N27" s="3"/>
      <c r="O27" s="36" t="str">
        <f>O4</f>
        <v>Testo -30µg/L</v>
      </c>
      <c r="P27" s="36" t="str">
        <f t="shared" ref="P27:R27" si="9">P4</f>
        <v>Testo 30µg/L + EE2 -64ng/L</v>
      </c>
      <c r="Q27" s="36" t="str">
        <f t="shared" si="9"/>
        <v>Testo 30µg/L + FAD-10mg/L</v>
      </c>
      <c r="R27" s="36" t="str">
        <f t="shared" si="9"/>
        <v>DUS-10µg/L + Testostérone</v>
      </c>
      <c r="S27" s="36" t="str">
        <f t="shared" ref="S27:AK27" si="10">S4</f>
        <v>DUS-100µg/L + Testostérone</v>
      </c>
      <c r="T27" s="36" t="str">
        <f t="shared" si="10"/>
        <v>DUS-250µg/L + Testostérone</v>
      </c>
      <c r="U27" s="36" t="str">
        <f t="shared" si="10"/>
        <v>DUS-500µg/L + Testostérone</v>
      </c>
      <c r="V27" s="36" t="str">
        <f t="shared" si="10"/>
        <v>DUS-1000µg/L + Testostérone</v>
      </c>
      <c r="W27" s="36" t="str">
        <f t="shared" si="10"/>
        <v>0-00 + Testostérone</v>
      </c>
      <c r="X27" s="36" t="str">
        <f t="shared" si="10"/>
        <v>0-00 + Testostérone</v>
      </c>
      <c r="Y27" s="36" t="str">
        <f t="shared" si="10"/>
        <v>0-00 + Testostérone</v>
      </c>
      <c r="Z27" s="36" t="str">
        <f t="shared" si="10"/>
        <v>0-00 + Testostérone</v>
      </c>
      <c r="AA27" s="36" t="str">
        <f t="shared" si="10"/>
        <v>0-00 + Testostérone</v>
      </c>
      <c r="AB27" s="36" t="str">
        <f t="shared" si="10"/>
        <v>0-00 + Testostérone</v>
      </c>
      <c r="AC27" s="36" t="str">
        <f t="shared" si="10"/>
        <v>0-00 + Testostérone</v>
      </c>
      <c r="AD27" s="36" t="str">
        <f t="shared" si="10"/>
        <v>0-00 + Testostérone</v>
      </c>
      <c r="AE27" s="36" t="str">
        <f t="shared" si="10"/>
        <v>0-00 + Testostérone</v>
      </c>
      <c r="AF27" s="36" t="str">
        <f t="shared" si="10"/>
        <v>0-00 + Testostérone</v>
      </c>
      <c r="AG27" s="36" t="str">
        <f t="shared" si="10"/>
        <v>0-00 + Testostérone</v>
      </c>
      <c r="AH27" s="36" t="str">
        <f t="shared" si="10"/>
        <v>0-00 + Testostérone</v>
      </c>
      <c r="AI27" s="36" t="str">
        <f t="shared" si="10"/>
        <v>0-00 + Testostérone</v>
      </c>
      <c r="AJ27" s="36" t="str">
        <f t="shared" si="10"/>
        <v>0-00 + Testostérone</v>
      </c>
      <c r="AK27" s="36" t="str">
        <f t="shared" si="10"/>
        <v>0-00 + Testostérone</v>
      </c>
    </row>
    <row r="28" spans="1:37" x14ac:dyDescent="0.25">
      <c r="A28" s="232" t="s">
        <v>34</v>
      </c>
      <c r="B28" s="11">
        <f>IF(B5="","",(B5/$O$23))</f>
        <v>1.514796746191174E-2</v>
      </c>
      <c r="C28" s="11">
        <f>IF(C5="","",(C5/$O$23))</f>
        <v>7.8982844472599872E-2</v>
      </c>
      <c r="D28" s="11" t="str">
        <f>IF(D5="","",(D5/$O$23))</f>
        <v/>
      </c>
      <c r="E28" s="11">
        <f>IF(E5="","",(E5/$O$23))</f>
        <v>0.23224050187939477</v>
      </c>
      <c r="F28" s="11">
        <f>IF(F5="","",(F5/$O$23))</f>
        <v>1.1754336173962743</v>
      </c>
      <c r="G28" s="11">
        <f>IF(G5="","",(G5/$O$23))</f>
        <v>2.7078716871624242</v>
      </c>
      <c r="H28" s="11">
        <f>IF(H5="","",(H5/$O$23))</f>
        <v>2.6120832824973319</v>
      </c>
      <c r="I28" s="11" t="str">
        <f>IF(I5="","",(I5/$O$23))</f>
        <v/>
      </c>
      <c r="J28" s="11">
        <f>IF(J5="","",(J5/$O$23))</f>
        <v>0.21108278541458855</v>
      </c>
      <c r="K28" s="11">
        <f>IF(K5="","",(K5/$O$23))</f>
        <v>0</v>
      </c>
      <c r="L28" s="11">
        <f>IF(L5="","",(L5/$O$23))</f>
        <v>6.9838773747008448E-2</v>
      </c>
      <c r="M28" s="11">
        <f>IF(M5="","",(M5/$O$23))</f>
        <v>0</v>
      </c>
      <c r="N28" s="6"/>
      <c r="O28" s="11">
        <f t="shared" ref="O28:S37" si="11">IF(O5="","",(O5/$O$23))</f>
        <v>1.712772900153559</v>
      </c>
      <c r="P28" s="11">
        <f t="shared" si="11"/>
        <v>2.4420323268483042</v>
      </c>
      <c r="Q28" s="11">
        <f t="shared" si="11"/>
        <v>0.10750051792805816</v>
      </c>
      <c r="R28" s="11">
        <f t="shared" si="11"/>
        <v>0.51816465803845257</v>
      </c>
      <c r="S28" s="11">
        <f t="shared" si="11"/>
        <v>1.5346020253063248</v>
      </c>
      <c r="T28" s="11">
        <f t="shared" ref="T28:AK28" si="12">IF(T5="","",(T5/$O$23))</f>
        <v>2.1227258471488826</v>
      </c>
      <c r="U28" s="11">
        <f t="shared" si="12"/>
        <v>2.9355671857057324</v>
      </c>
      <c r="V28" s="11">
        <f t="shared" si="12"/>
        <v>1.1742099304964795</v>
      </c>
      <c r="W28" s="11" t="str">
        <f t="shared" si="12"/>
        <v/>
      </c>
      <c r="X28" s="11" t="str">
        <f t="shared" si="12"/>
        <v/>
      </c>
      <c r="Y28" s="11" t="str">
        <f t="shared" si="12"/>
        <v/>
      </c>
      <c r="Z28" s="11" t="str">
        <f t="shared" si="12"/>
        <v/>
      </c>
      <c r="AA28" s="11" t="str">
        <f t="shared" si="12"/>
        <v/>
      </c>
      <c r="AB28" s="11" t="str">
        <f t="shared" si="12"/>
        <v/>
      </c>
      <c r="AC28" s="11" t="str">
        <f t="shared" si="12"/>
        <v/>
      </c>
      <c r="AD28" s="11" t="str">
        <f t="shared" si="12"/>
        <v/>
      </c>
      <c r="AE28" s="11" t="str">
        <f t="shared" si="12"/>
        <v/>
      </c>
      <c r="AF28" s="11" t="str">
        <f t="shared" si="12"/>
        <v/>
      </c>
      <c r="AG28" s="11" t="str">
        <f t="shared" si="12"/>
        <v/>
      </c>
      <c r="AH28" s="11" t="str">
        <f t="shared" si="12"/>
        <v/>
      </c>
      <c r="AI28" s="11" t="str">
        <f t="shared" si="12"/>
        <v/>
      </c>
      <c r="AJ28" s="11" t="str">
        <f t="shared" si="12"/>
        <v/>
      </c>
      <c r="AK28" s="11" t="str">
        <f t="shared" si="12"/>
        <v/>
      </c>
    </row>
    <row r="29" spans="1:37" x14ac:dyDescent="0.25">
      <c r="A29" s="232"/>
      <c r="B29" s="11">
        <f>IF(B6="","",(B6/$O$23))</f>
        <v>6.8535941531899947E-3</v>
      </c>
      <c r="C29" s="11">
        <f>IF(C6="","",(C6/$O$23))</f>
        <v>0.10521589365009892</v>
      </c>
      <c r="D29" s="11">
        <f>IF(D6="","",(D6/$O$23))</f>
        <v>7.9826689595027381E-2</v>
      </c>
      <c r="E29" s="11">
        <f>IF(E6="","",(E6/$O$23))</f>
        <v>1.8006736659736624</v>
      </c>
      <c r="F29" s="11">
        <f>IF(F6="","",(F6/$O$23))</f>
        <v>1.9237712452918991</v>
      </c>
      <c r="G29" s="11">
        <f>IF(G6="","",(G6/$O$23))</f>
        <v>1.2193823978923717</v>
      </c>
      <c r="H29" s="11">
        <f>IF(H6="","",(H6/$O$23))</f>
        <v>3.5892677781975957</v>
      </c>
      <c r="I29" s="11">
        <f>IF(I6="","",(I6/$O$23))</f>
        <v>1.808637663048407E-4</v>
      </c>
      <c r="J29" s="11">
        <f>IF(J6="","",(J6/$O$23))</f>
        <v>0.2198107858176723</v>
      </c>
      <c r="K29" s="11">
        <f>IF(K6="","",(K6/$O$23))</f>
        <v>0.14158177263323321</v>
      </c>
      <c r="L29" s="11">
        <f>IF(L6="","",(L6/$O$23))</f>
        <v>0.1293967382432003</v>
      </c>
      <c r="M29" s="11">
        <f>IF(M6="","",(M6/$O$23))</f>
        <v>0.13498122054449638</v>
      </c>
      <c r="N29" s="6"/>
      <c r="O29" s="11">
        <f t="shared" si="11"/>
        <v>0.86167887501734108</v>
      </c>
      <c r="P29" s="11">
        <f t="shared" si="11"/>
        <v>4.8456370949856939</v>
      </c>
      <c r="Q29" s="11">
        <f t="shared" si="11"/>
        <v>0.34690785105364441</v>
      </c>
      <c r="R29" s="11">
        <f t="shared" si="11"/>
        <v>0.20242055357020342</v>
      </c>
      <c r="S29" s="11">
        <f t="shared" si="11"/>
        <v>0.64632266062472088</v>
      </c>
      <c r="T29" s="11">
        <f t="shared" ref="T29:AK29" si="13">IF(T6="","",(T6/$O$23))</f>
        <v>0.18835776870628793</v>
      </c>
      <c r="U29" s="11">
        <f t="shared" si="13"/>
        <v>1.4826180445410886</v>
      </c>
      <c r="V29" s="11">
        <f t="shared" si="13"/>
        <v>1.8863862310337594</v>
      </c>
      <c r="W29" s="11" t="str">
        <f t="shared" si="13"/>
        <v/>
      </c>
      <c r="X29" s="11" t="str">
        <f t="shared" si="13"/>
        <v/>
      </c>
      <c r="Y29" s="11" t="str">
        <f t="shared" si="13"/>
        <v/>
      </c>
      <c r="Z29" s="11" t="str">
        <f t="shared" si="13"/>
        <v/>
      </c>
      <c r="AA29" s="11" t="str">
        <f t="shared" si="13"/>
        <v/>
      </c>
      <c r="AB29" s="11" t="str">
        <f t="shared" si="13"/>
        <v/>
      </c>
      <c r="AC29" s="11" t="str">
        <f t="shared" si="13"/>
        <v/>
      </c>
      <c r="AD29" s="11" t="str">
        <f t="shared" si="13"/>
        <v/>
      </c>
      <c r="AE29" s="11" t="str">
        <f t="shared" si="13"/>
        <v/>
      </c>
      <c r="AF29" s="11" t="str">
        <f t="shared" si="13"/>
        <v/>
      </c>
      <c r="AG29" s="11" t="str">
        <f t="shared" si="13"/>
        <v/>
      </c>
      <c r="AH29" s="11" t="str">
        <f t="shared" si="13"/>
        <v/>
      </c>
      <c r="AI29" s="11" t="str">
        <f t="shared" si="13"/>
        <v/>
      </c>
      <c r="AJ29" s="11" t="str">
        <f t="shared" si="13"/>
        <v/>
      </c>
      <c r="AK29" s="11" t="str">
        <f t="shared" si="13"/>
        <v/>
      </c>
    </row>
    <row r="30" spans="1:37" x14ac:dyDescent="0.25">
      <c r="A30" s="232"/>
      <c r="B30" s="11">
        <f>IF(B7="","",(B7/$O$23))</f>
        <v>0.24661067154186952</v>
      </c>
      <c r="C30" s="11">
        <f>IF(C7="","",(C7/$O$23))</f>
        <v>0.63154784660367125</v>
      </c>
      <c r="D30" s="11">
        <f>IF(D7="","",(D7/$O$23))</f>
        <v>5.5763448252145388E-2</v>
      </c>
      <c r="E30" s="11">
        <f>IF(E7="","",(E7/$O$23))</f>
        <v>1.3558227905177895</v>
      </c>
      <c r="F30" s="11">
        <f>IF(F7="","",(F7/$O$23))</f>
        <v>1.5329204660365998</v>
      </c>
      <c r="G30" s="11">
        <f>IF(G7="","",(G7/$O$23))</f>
        <v>3.2060240063347472</v>
      </c>
      <c r="H30" s="11">
        <f>IF(H7="","",(H7/$O$23))</f>
        <v>4.2333839844772641</v>
      </c>
      <c r="I30" s="11">
        <f>IF(I7="","",(I7/$O$23))</f>
        <v>0.21044349188908223</v>
      </c>
      <c r="J30" s="11">
        <f>IF(J7="","",(J7/$O$23))</f>
        <v>4.8584355052907258E-2</v>
      </c>
      <c r="K30" s="11">
        <f>IF(K7="","",(K7/$O$23))</f>
        <v>5.3744127988899153E-2</v>
      </c>
      <c r="L30" s="11">
        <f>IF(L7="","",(L7/$O$23))</f>
        <v>0.10686150311110761</v>
      </c>
      <c r="M30" s="11">
        <f>IF(M7="","",(M7/$O$23))</f>
        <v>0.12688610392749713</v>
      </c>
      <c r="N30" s="6"/>
      <c r="O30" s="11">
        <f t="shared" si="11"/>
        <v>2.4623668205894424E-2</v>
      </c>
      <c r="P30" s="11">
        <f t="shared" si="11"/>
        <v>3.5124849784142311</v>
      </c>
      <c r="Q30" s="11">
        <f t="shared" si="11"/>
        <v>8.2924782800452207E-2</v>
      </c>
      <c r="R30" s="11">
        <f t="shared" si="11"/>
        <v>0.41026646276901269</v>
      </c>
      <c r="S30" s="11">
        <f t="shared" si="11"/>
        <v>2.5030280050124629</v>
      </c>
      <c r="T30" s="11" t="str">
        <f t="shared" ref="T30:AK30" si="14">IF(T7="","",(T7/$O$23))</f>
        <v/>
      </c>
      <c r="U30" s="11">
        <f t="shared" si="14"/>
        <v>1.3985116556246879</v>
      </c>
      <c r="V30" s="11">
        <f t="shared" si="14"/>
        <v>1.157360896116702E-2</v>
      </c>
      <c r="W30" s="11" t="str">
        <f t="shared" si="14"/>
        <v/>
      </c>
      <c r="X30" s="11" t="str">
        <f t="shared" si="14"/>
        <v/>
      </c>
      <c r="Y30" s="11" t="str">
        <f t="shared" si="14"/>
        <v/>
      </c>
      <c r="Z30" s="11" t="str">
        <f t="shared" si="14"/>
        <v/>
      </c>
      <c r="AA30" s="11" t="str">
        <f t="shared" si="14"/>
        <v/>
      </c>
      <c r="AB30" s="11" t="str">
        <f t="shared" si="14"/>
        <v/>
      </c>
      <c r="AC30" s="11" t="str">
        <f t="shared" si="14"/>
        <v/>
      </c>
      <c r="AD30" s="11" t="str">
        <f t="shared" si="14"/>
        <v/>
      </c>
      <c r="AE30" s="11" t="str">
        <f t="shared" si="14"/>
        <v/>
      </c>
      <c r="AF30" s="11" t="str">
        <f t="shared" si="14"/>
        <v/>
      </c>
      <c r="AG30" s="11" t="str">
        <f t="shared" si="14"/>
        <v/>
      </c>
      <c r="AH30" s="11" t="str">
        <f t="shared" si="14"/>
        <v/>
      </c>
      <c r="AI30" s="11" t="str">
        <f t="shared" si="14"/>
        <v/>
      </c>
      <c r="AJ30" s="11" t="str">
        <f t="shared" si="14"/>
        <v/>
      </c>
      <c r="AK30" s="11" t="str">
        <f t="shared" si="14"/>
        <v/>
      </c>
    </row>
    <row r="31" spans="1:37" x14ac:dyDescent="0.25">
      <c r="A31" s="232"/>
      <c r="B31" s="11" t="str">
        <f>IF(B8="","",(B8/$O$23))</f>
        <v/>
      </c>
      <c r="C31" s="11">
        <f>IF(C8="","",(C8/$O$23))</f>
        <v>6.5227165726555958E-2</v>
      </c>
      <c r="D31" s="11">
        <f>IF(D8="","",(D8/$O$23))</f>
        <v>0.31358600122251651</v>
      </c>
      <c r="E31" s="11">
        <f>IF(E8="","",(E8/$O$23))</f>
        <v>1.1479289482406918</v>
      </c>
      <c r="F31" s="11">
        <f>IF(F8="","",(F8/$O$23))</f>
        <v>1.6143746508479337</v>
      </c>
      <c r="G31" s="11">
        <f>IF(G8="","",(G8/$O$23))</f>
        <v>3.1201273726804089</v>
      </c>
      <c r="H31" s="11">
        <f>IF(H8="","",(H8/$O$23))</f>
        <v>4.3049101697884398</v>
      </c>
      <c r="I31" s="11">
        <f>IF(I8="","",(I8/$O$23))</f>
        <v>5.2779892812161812E-2</v>
      </c>
      <c r="J31" s="11">
        <f>IF(J8="","",(J8/$O$23))</f>
        <v>7.9326457757776456E-3</v>
      </c>
      <c r="K31" s="11" t="str">
        <f>IF(K8="","",(K8/$O$23))</f>
        <v/>
      </c>
      <c r="L31" s="11">
        <f>IF(L8="","",(L8/$O$23))</f>
        <v>1.7203516214562061E-2</v>
      </c>
      <c r="M31" s="11">
        <f>IF(M8="","",(M8/$O$23))</f>
        <v>6.7584246983323368E-2</v>
      </c>
      <c r="N31" s="6"/>
      <c r="O31" s="11">
        <f t="shared" si="11"/>
        <v>2.3300169030984339</v>
      </c>
      <c r="P31" s="11">
        <f t="shared" si="11"/>
        <v>1.6589621674802939</v>
      </c>
      <c r="Q31" s="11">
        <f t="shared" si="11"/>
        <v>0.35823399156411273</v>
      </c>
      <c r="R31" s="11" t="str">
        <f t="shared" si="11"/>
        <v/>
      </c>
      <c r="S31" s="11">
        <f t="shared" si="11"/>
        <v>2.5338060575260486</v>
      </c>
      <c r="T31" s="11">
        <f t="shared" ref="T31:AK31" si="15">IF(T8="","",(T8/$O$23))</f>
        <v>2.7096014581911256</v>
      </c>
      <c r="U31" s="11">
        <f t="shared" si="15"/>
        <v>3.3375454061411536</v>
      </c>
      <c r="V31" s="11">
        <f t="shared" si="15"/>
        <v>0.897942338847737</v>
      </c>
      <c r="W31" s="11" t="str">
        <f t="shared" si="15"/>
        <v/>
      </c>
      <c r="X31" s="11" t="str">
        <f t="shared" si="15"/>
        <v/>
      </c>
      <c r="Y31" s="11" t="str">
        <f t="shared" si="15"/>
        <v/>
      </c>
      <c r="Z31" s="11" t="str">
        <f t="shared" si="15"/>
        <v/>
      </c>
      <c r="AA31" s="11" t="str">
        <f t="shared" si="15"/>
        <v/>
      </c>
      <c r="AB31" s="11" t="str">
        <f t="shared" si="15"/>
        <v/>
      </c>
      <c r="AC31" s="11" t="str">
        <f t="shared" si="15"/>
        <v/>
      </c>
      <c r="AD31" s="11" t="str">
        <f t="shared" si="15"/>
        <v/>
      </c>
      <c r="AE31" s="11" t="str">
        <f t="shared" si="15"/>
        <v/>
      </c>
      <c r="AF31" s="11" t="str">
        <f t="shared" si="15"/>
        <v/>
      </c>
      <c r="AG31" s="11" t="str">
        <f t="shared" si="15"/>
        <v/>
      </c>
      <c r="AH31" s="11" t="str">
        <f t="shared" si="15"/>
        <v/>
      </c>
      <c r="AI31" s="11" t="str">
        <f t="shared" si="15"/>
        <v/>
      </c>
      <c r="AJ31" s="11" t="str">
        <f t="shared" si="15"/>
        <v/>
      </c>
      <c r="AK31" s="11" t="str">
        <f t="shared" si="15"/>
        <v/>
      </c>
    </row>
    <row r="32" spans="1:37" x14ac:dyDescent="0.25">
      <c r="A32" s="232"/>
      <c r="B32" s="11">
        <f>IF(B9="","",(B9/$O$23))</f>
        <v>0.19914159659844585</v>
      </c>
      <c r="C32" s="11">
        <f>IF(C9="","",(C9/$O$23))</f>
        <v>9.8331923301947038E-2</v>
      </c>
      <c r="D32" s="11" t="str">
        <f>IF(D9="","",(D9/$O$23))</f>
        <v/>
      </c>
      <c r="E32" s="11" t="str">
        <f>IF(E9="","",(E9/$O$23))</f>
        <v/>
      </c>
      <c r="F32" s="11">
        <f>IF(F9="","",(F9/$O$23))</f>
        <v>1.4078611140171318</v>
      </c>
      <c r="G32" s="11">
        <f>IF(G9="","",(G9/$O$23))</f>
        <v>3.0473956147141403</v>
      </c>
      <c r="H32" s="11">
        <f>IF(H9="","",(H9/$O$23))</f>
        <v>2.9511855661685216</v>
      </c>
      <c r="I32" s="11">
        <f>IF(I9="","",(I9/$O$23))</f>
        <v>2.273699995000469E-2</v>
      </c>
      <c r="J32" s="11">
        <f>IF(J9="","",(J9/$O$23))</f>
        <v>0.10294353132239953</v>
      </c>
      <c r="K32" s="11">
        <f>IF(K9="","",(K9/$O$23))</f>
        <v>5.0332519009785104E-3</v>
      </c>
      <c r="L32" s="11">
        <f>IF(L9="","",(L9/$O$23))</f>
        <v>0.28564714755546045</v>
      </c>
      <c r="M32" s="11">
        <f>IF(M9="","",(M9/$O$23))</f>
        <v>0.20189607651590735</v>
      </c>
      <c r="N32" s="6"/>
      <c r="O32" s="11">
        <f t="shared" si="11"/>
        <v>0.27701208710599645</v>
      </c>
      <c r="P32" s="11">
        <f t="shared" si="11"/>
        <v>1.3932434759039583</v>
      </c>
      <c r="Q32" s="11">
        <f t="shared" si="11"/>
        <v>8.5173178589007373E-2</v>
      </c>
      <c r="R32" s="11">
        <f t="shared" si="11"/>
        <v>2.2429690395231088</v>
      </c>
      <c r="S32" s="11">
        <f t="shared" si="11"/>
        <v>2.2460551494589613</v>
      </c>
      <c r="T32" s="11">
        <f t="shared" ref="T32:AK32" si="16">IF(T9="","",(T9/$O$23))</f>
        <v>2.8408940611529103</v>
      </c>
      <c r="U32" s="11">
        <f t="shared" si="16"/>
        <v>2.9215342196754035</v>
      </c>
      <c r="V32" s="11">
        <f t="shared" si="16"/>
        <v>1.242571696598552</v>
      </c>
      <c r="W32" s="11" t="str">
        <f t="shared" si="16"/>
        <v/>
      </c>
      <c r="X32" s="11" t="str">
        <f t="shared" si="16"/>
        <v/>
      </c>
      <c r="Y32" s="11" t="str">
        <f t="shared" si="16"/>
        <v/>
      </c>
      <c r="Z32" s="11" t="str">
        <f t="shared" si="16"/>
        <v/>
      </c>
      <c r="AA32" s="11" t="str">
        <f t="shared" si="16"/>
        <v/>
      </c>
      <c r="AB32" s="11" t="str">
        <f t="shared" si="16"/>
        <v/>
      </c>
      <c r="AC32" s="11" t="str">
        <f t="shared" si="16"/>
        <v/>
      </c>
      <c r="AD32" s="11" t="str">
        <f t="shared" si="16"/>
        <v/>
      </c>
      <c r="AE32" s="11" t="str">
        <f t="shared" si="16"/>
        <v/>
      </c>
      <c r="AF32" s="11" t="str">
        <f t="shared" si="16"/>
        <v/>
      </c>
      <c r="AG32" s="11" t="str">
        <f t="shared" si="16"/>
        <v/>
      </c>
      <c r="AH32" s="11" t="str">
        <f t="shared" si="16"/>
        <v/>
      </c>
      <c r="AI32" s="11" t="str">
        <f t="shared" si="16"/>
        <v/>
      </c>
      <c r="AJ32" s="11" t="str">
        <f t="shared" si="16"/>
        <v/>
      </c>
      <c r="AK32" s="11" t="str">
        <f t="shared" si="16"/>
        <v/>
      </c>
    </row>
    <row r="33" spans="1:37" x14ac:dyDescent="0.25">
      <c r="A33" s="232"/>
      <c r="B33" s="11">
        <f>IF(B10="","",(B10/$O$23))</f>
        <v>0.16495750871950071</v>
      </c>
      <c r="C33" s="11">
        <f>IF(C10="","",(C10/$O$23))</f>
        <v>6.9705843058964226E-2</v>
      </c>
      <c r="D33" s="11">
        <f>IF(D10="","",(D10/$O$23))</f>
        <v>1.7902726060060933E-2</v>
      </c>
      <c r="E33" s="11">
        <f>IF(E10="","",(E10/$O$23))</f>
        <v>1.446155742040002</v>
      </c>
      <c r="F33" s="11">
        <f>IF(F10="","",(F10/$O$23))</f>
        <v>1.8627633051774806</v>
      </c>
      <c r="G33" s="11">
        <f>IF(G10="","",(G10/$O$23))</f>
        <v>2.738312536043864</v>
      </c>
      <c r="H33" s="11">
        <f>IF(H10="","",(H10/$O$23))</f>
        <v>4.4078598320859683</v>
      </c>
      <c r="I33" s="11">
        <f>IF(I10="","",(I10/$O$23))</f>
        <v>0.13134638833451562</v>
      </c>
      <c r="J33" s="11">
        <f>IF(J10="","",(J10/$O$23))</f>
        <v>9.3485387461743424E-2</v>
      </c>
      <c r="K33" s="11">
        <f>IF(K10="","",(K10/$O$23))</f>
        <v>3.0054876128942438E-2</v>
      </c>
      <c r="L33" s="11">
        <f>IF(L10="","",(L10/$O$23))</f>
        <v>3.3309587880868026E-2</v>
      </c>
      <c r="M33" s="11">
        <f>IF(M10="","",(M10/$O$23))</f>
        <v>2.9223014276087068E-2</v>
      </c>
      <c r="N33" s="6"/>
      <c r="O33" s="11">
        <f t="shared" si="11"/>
        <v>0.30328456960080835</v>
      </c>
      <c r="P33" s="11">
        <f t="shared" si="11"/>
        <v>4.1125441367506212</v>
      </c>
      <c r="Q33" s="11">
        <f t="shared" si="11"/>
        <v>0.15858017986163062</v>
      </c>
      <c r="R33" s="11">
        <f t="shared" si="11"/>
        <v>1.6654242152672321</v>
      </c>
      <c r="S33" s="11">
        <f t="shared" si="11"/>
        <v>2.929304115929829</v>
      </c>
      <c r="T33" s="11">
        <f t="shared" ref="T33:AK33" si="17">IF(T10="","",(T10/$O$23))</f>
        <v>2.8285008522891477</v>
      </c>
      <c r="U33" s="11">
        <f t="shared" si="17"/>
        <v>1.9101301043085095</v>
      </c>
      <c r="V33" s="11">
        <f t="shared" si="17"/>
        <v>1.6090880782018144</v>
      </c>
      <c r="W33" s="11" t="str">
        <f t="shared" si="17"/>
        <v/>
      </c>
      <c r="X33" s="11" t="str">
        <f t="shared" si="17"/>
        <v/>
      </c>
      <c r="Y33" s="11" t="str">
        <f t="shared" si="17"/>
        <v/>
      </c>
      <c r="Z33" s="11" t="str">
        <f t="shared" si="17"/>
        <v/>
      </c>
      <c r="AA33" s="11" t="str">
        <f t="shared" si="17"/>
        <v/>
      </c>
      <c r="AB33" s="11" t="str">
        <f t="shared" si="17"/>
        <v/>
      </c>
      <c r="AC33" s="11" t="str">
        <f t="shared" si="17"/>
        <v/>
      </c>
      <c r="AD33" s="11" t="str">
        <f t="shared" si="17"/>
        <v/>
      </c>
      <c r="AE33" s="11" t="str">
        <f t="shared" si="17"/>
        <v/>
      </c>
      <c r="AF33" s="11" t="str">
        <f t="shared" si="17"/>
        <v/>
      </c>
      <c r="AG33" s="11" t="str">
        <f t="shared" si="17"/>
        <v/>
      </c>
      <c r="AH33" s="11" t="str">
        <f t="shared" si="17"/>
        <v/>
      </c>
      <c r="AI33" s="11" t="str">
        <f t="shared" si="17"/>
        <v/>
      </c>
      <c r="AJ33" s="11" t="str">
        <f t="shared" si="17"/>
        <v/>
      </c>
      <c r="AK33" s="11" t="str">
        <f t="shared" si="17"/>
        <v/>
      </c>
    </row>
    <row r="34" spans="1:37" x14ac:dyDescent="0.25">
      <c r="A34" s="232"/>
      <c r="B34" s="11">
        <f>IF(B11="","",(B11/$O$23))</f>
        <v>0.1498036889631468</v>
      </c>
      <c r="C34" s="11">
        <f>IF(C11="","",(C11/$O$23))</f>
        <v>0.16173317316253702</v>
      </c>
      <c r="D34" s="11">
        <f>IF(D11="","",(D11/$O$23))</f>
        <v>0.16629587272229401</v>
      </c>
      <c r="E34" s="11">
        <f>IF(E11="","",(E11/$O$23))</f>
        <v>0.41017589154550244</v>
      </c>
      <c r="F34" s="11">
        <f>IF(F11="","",(F11/$O$23))</f>
        <v>1.7922980572444693</v>
      </c>
      <c r="G34" s="11">
        <f>IF(G11="","",(G11/$O$23))</f>
        <v>2.8890322484275588</v>
      </c>
      <c r="H34" s="11">
        <f>IF(H11="","",(H11/$O$23))</f>
        <v>4.2175306761947224</v>
      </c>
      <c r="I34" s="11">
        <f>IF(I11="","",(I11/$O$23))</f>
        <v>0.11859145196595572</v>
      </c>
      <c r="J34" s="11">
        <f>IF(J11="","",(J11/$O$23))</f>
        <v>0.166344223793746</v>
      </c>
      <c r="K34" s="11">
        <f>IF(K11="","",(K11/$O$23))</f>
        <v>0.24069121505392951</v>
      </c>
      <c r="L34" s="11">
        <f>IF(L11="","",(L11/$O$23))</f>
        <v>1.3176858957641709E-2</v>
      </c>
      <c r="M34" s="11">
        <f>IF(M11="","",(M11/$O$23))</f>
        <v>0</v>
      </c>
      <c r="N34" s="6"/>
      <c r="O34" s="11">
        <f t="shared" si="11"/>
        <v>0.31669607769751346</v>
      </c>
      <c r="P34" s="11">
        <f t="shared" si="11"/>
        <v>3.8340521158524674</v>
      </c>
      <c r="Q34" s="11">
        <f t="shared" si="11"/>
        <v>6.0760750344407543E-3</v>
      </c>
      <c r="R34" s="11">
        <f t="shared" si="11"/>
        <v>0.41338852251358171</v>
      </c>
      <c r="S34" s="11">
        <f t="shared" si="11"/>
        <v>2.4665475882666743</v>
      </c>
      <c r="T34" s="11">
        <f t="shared" ref="T34:AK34" si="18">IF(T11="","",(T11/$O$23))</f>
        <v>0.54878581332484966</v>
      </c>
      <c r="U34" s="11">
        <f t="shared" si="18"/>
        <v>3.2093935345300149</v>
      </c>
      <c r="V34" s="11">
        <f t="shared" si="18"/>
        <v>1.4849628638475962</v>
      </c>
      <c r="W34" s="11" t="str">
        <f t="shared" si="18"/>
        <v/>
      </c>
      <c r="X34" s="11" t="str">
        <f t="shared" si="18"/>
        <v/>
      </c>
      <c r="Y34" s="11" t="str">
        <f t="shared" si="18"/>
        <v/>
      </c>
      <c r="Z34" s="11" t="str">
        <f t="shared" si="18"/>
        <v/>
      </c>
      <c r="AA34" s="11" t="str">
        <f t="shared" si="18"/>
        <v/>
      </c>
      <c r="AB34" s="11" t="str">
        <f t="shared" si="18"/>
        <v/>
      </c>
      <c r="AC34" s="11" t="str">
        <f t="shared" si="18"/>
        <v/>
      </c>
      <c r="AD34" s="11" t="str">
        <f t="shared" si="18"/>
        <v/>
      </c>
      <c r="AE34" s="11" t="str">
        <f t="shared" si="18"/>
        <v/>
      </c>
      <c r="AF34" s="11" t="str">
        <f t="shared" si="18"/>
        <v/>
      </c>
      <c r="AG34" s="11" t="str">
        <f t="shared" si="18"/>
        <v/>
      </c>
      <c r="AH34" s="11" t="str">
        <f t="shared" si="18"/>
        <v/>
      </c>
      <c r="AI34" s="11" t="str">
        <f t="shared" si="18"/>
        <v/>
      </c>
      <c r="AJ34" s="11" t="str">
        <f t="shared" si="18"/>
        <v/>
      </c>
      <c r="AK34" s="11" t="str">
        <f t="shared" si="18"/>
        <v/>
      </c>
    </row>
    <row r="35" spans="1:37" x14ac:dyDescent="0.25">
      <c r="A35" s="232"/>
      <c r="B35" s="11">
        <f>IF(B12="","",(B12/$O$23))</f>
        <v>9.6240703421268073E-2</v>
      </c>
      <c r="C35" s="11">
        <f>IF(C12="","",(C12/$O$23))</f>
        <v>0.10055022157622802</v>
      </c>
      <c r="D35" s="11">
        <f>IF(D12="","",(D12/$O$23))</f>
        <v>4.237855416111791E-2</v>
      </c>
      <c r="E35" s="11" t="str">
        <f>IF(E12="","",(E12/$O$23))</f>
        <v/>
      </c>
      <c r="F35" s="11">
        <f>IF(F12="","",(F12/$O$23))</f>
        <v>0.58564049823425135</v>
      </c>
      <c r="G35" s="11">
        <f>IF(G12="","",(G12/$O$23))</f>
        <v>1.8517322875153119</v>
      </c>
      <c r="H35" s="11" t="str">
        <f>IF(H12="","",(H12/$O$23))</f>
        <v/>
      </c>
      <c r="I35" s="11">
        <f>IF(I12="","",(I12/$O$23))</f>
        <v>0.17494570327607545</v>
      </c>
      <c r="J35" s="11" t="str">
        <f>IF(J12="","",(J12/$O$23))</f>
        <v/>
      </c>
      <c r="K35" s="11">
        <f>IF(K12="","",(K12/$O$23))</f>
        <v>0.26816606537592552</v>
      </c>
      <c r="L35" s="11">
        <f>IF(L12="","",(L12/$O$23))</f>
        <v>2.5850420593254337E-2</v>
      </c>
      <c r="M35" s="11">
        <f>IF(M12="","",(M12/$O$23))</f>
        <v>2.3259183462240807</v>
      </c>
      <c r="N35" s="6"/>
      <c r="O35" s="11">
        <f t="shared" si="11"/>
        <v>1.3992351106900187</v>
      </c>
      <c r="P35" s="11">
        <f t="shared" si="11"/>
        <v>3.0170517467120281</v>
      </c>
      <c r="Q35" s="11">
        <f t="shared" si="11"/>
        <v>1.1314157240896214E-2</v>
      </c>
      <c r="R35" s="11">
        <f t="shared" si="11"/>
        <v>0.16185356321963368</v>
      </c>
      <c r="S35" s="11">
        <f t="shared" si="11"/>
        <v>0.79398329509927212</v>
      </c>
      <c r="T35" s="11">
        <f t="shared" ref="T35:AK35" si="19">IF(T12="","",(T12/$O$23))</f>
        <v>2.0394454677908946</v>
      </c>
      <c r="U35" s="11">
        <f t="shared" si="19"/>
        <v>1.3236460396325185</v>
      </c>
      <c r="V35" s="11">
        <f t="shared" si="19"/>
        <v>2.2285654281781069</v>
      </c>
      <c r="W35" s="11" t="str">
        <f t="shared" si="19"/>
        <v/>
      </c>
      <c r="X35" s="11" t="str">
        <f t="shared" si="19"/>
        <v/>
      </c>
      <c r="Y35" s="11" t="str">
        <f t="shared" si="19"/>
        <v/>
      </c>
      <c r="Z35" s="11" t="str">
        <f t="shared" si="19"/>
        <v/>
      </c>
      <c r="AA35" s="11" t="str">
        <f t="shared" si="19"/>
        <v/>
      </c>
      <c r="AB35" s="11" t="str">
        <f t="shared" si="19"/>
        <v/>
      </c>
      <c r="AC35" s="11" t="str">
        <f t="shared" si="19"/>
        <v/>
      </c>
      <c r="AD35" s="11" t="str">
        <f t="shared" si="19"/>
        <v/>
      </c>
      <c r="AE35" s="11" t="str">
        <f t="shared" si="19"/>
        <v/>
      </c>
      <c r="AF35" s="11" t="str">
        <f t="shared" si="19"/>
        <v/>
      </c>
      <c r="AG35" s="11" t="str">
        <f t="shared" si="19"/>
        <v/>
      </c>
      <c r="AH35" s="11" t="str">
        <f t="shared" si="19"/>
        <v/>
      </c>
      <c r="AI35" s="11" t="str">
        <f t="shared" si="19"/>
        <v/>
      </c>
      <c r="AJ35" s="11" t="str">
        <f t="shared" si="19"/>
        <v/>
      </c>
      <c r="AK35" s="11" t="str">
        <f t="shared" si="19"/>
        <v/>
      </c>
    </row>
    <row r="36" spans="1:37" x14ac:dyDescent="0.25">
      <c r="A36" s="23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11"/>
        <v>1.6685407013980467</v>
      </c>
      <c r="P36" s="11" t="str">
        <f t="shared" si="11"/>
        <v/>
      </c>
      <c r="Q36" s="11" t="str">
        <f t="shared" si="11"/>
        <v/>
      </c>
      <c r="R36" s="11" t="str">
        <f t="shared" si="11"/>
        <v/>
      </c>
      <c r="S36" s="11" t="str">
        <f t="shared" si="11"/>
        <v/>
      </c>
      <c r="T36" s="11" t="str">
        <f t="shared" ref="T36:AK36" si="20">IF(T13="","",(T13/$O$23))</f>
        <v/>
      </c>
      <c r="U36" s="11" t="str">
        <f t="shared" si="20"/>
        <v/>
      </c>
      <c r="V36" s="11" t="str">
        <f t="shared" si="20"/>
        <v/>
      </c>
      <c r="W36" s="11" t="str">
        <f t="shared" si="20"/>
        <v/>
      </c>
      <c r="X36" s="11" t="str">
        <f t="shared" si="20"/>
        <v/>
      </c>
      <c r="Y36" s="11" t="str">
        <f t="shared" si="20"/>
        <v/>
      </c>
      <c r="Z36" s="11" t="str">
        <f t="shared" si="20"/>
        <v/>
      </c>
      <c r="AA36" s="11" t="str">
        <f t="shared" si="20"/>
        <v/>
      </c>
      <c r="AB36" s="11" t="str">
        <f t="shared" si="20"/>
        <v/>
      </c>
      <c r="AC36" s="11" t="str">
        <f t="shared" si="20"/>
        <v/>
      </c>
      <c r="AD36" s="11" t="str">
        <f t="shared" si="20"/>
        <v/>
      </c>
      <c r="AE36" s="11" t="str">
        <f t="shared" si="20"/>
        <v/>
      </c>
      <c r="AF36" s="11" t="str">
        <f t="shared" si="20"/>
        <v/>
      </c>
      <c r="AG36" s="11" t="str">
        <f t="shared" si="20"/>
        <v/>
      </c>
      <c r="AH36" s="11" t="str">
        <f t="shared" si="20"/>
        <v/>
      </c>
      <c r="AI36" s="11" t="str">
        <f t="shared" si="20"/>
        <v/>
      </c>
      <c r="AJ36" s="11" t="str">
        <f t="shared" si="20"/>
        <v/>
      </c>
      <c r="AK36" s="11" t="str">
        <f t="shared" si="20"/>
        <v/>
      </c>
    </row>
    <row r="37" spans="1:37" x14ac:dyDescent="0.25">
      <c r="A37" s="23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11"/>
        <v>1.2217999528583752</v>
      </c>
      <c r="P37" s="11" t="str">
        <f t="shared" si="11"/>
        <v/>
      </c>
      <c r="Q37" s="11" t="str">
        <f t="shared" si="11"/>
        <v/>
      </c>
      <c r="R37" s="11" t="str">
        <f t="shared" si="11"/>
        <v/>
      </c>
      <c r="S37" s="11" t="str">
        <f t="shared" si="11"/>
        <v/>
      </c>
      <c r="T37" s="11" t="str">
        <f t="shared" ref="T37:AK37" si="21">IF(T14="","",(T14/$O$23))</f>
        <v/>
      </c>
      <c r="U37" s="11" t="str">
        <f t="shared" si="21"/>
        <v/>
      </c>
      <c r="V37" s="11" t="str">
        <f t="shared" si="21"/>
        <v/>
      </c>
      <c r="W37" s="11" t="str">
        <f t="shared" si="21"/>
        <v/>
      </c>
      <c r="X37" s="11" t="str">
        <f t="shared" si="21"/>
        <v/>
      </c>
      <c r="Y37" s="11" t="str">
        <f t="shared" si="21"/>
        <v/>
      </c>
      <c r="Z37" s="11" t="str">
        <f t="shared" si="21"/>
        <v/>
      </c>
      <c r="AA37" s="11" t="str">
        <f t="shared" si="21"/>
        <v/>
      </c>
      <c r="AB37" s="11" t="str">
        <f t="shared" si="21"/>
        <v/>
      </c>
      <c r="AC37" s="11" t="str">
        <f t="shared" si="21"/>
        <v/>
      </c>
      <c r="AD37" s="11" t="str">
        <f t="shared" si="21"/>
        <v/>
      </c>
      <c r="AE37" s="11" t="str">
        <f t="shared" si="21"/>
        <v/>
      </c>
      <c r="AF37" s="11" t="str">
        <f t="shared" si="21"/>
        <v/>
      </c>
      <c r="AG37" s="11" t="str">
        <f t="shared" si="21"/>
        <v/>
      </c>
      <c r="AH37" s="11" t="str">
        <f t="shared" si="21"/>
        <v/>
      </c>
      <c r="AI37" s="11" t="str">
        <f t="shared" si="21"/>
        <v/>
      </c>
      <c r="AJ37" s="11" t="str">
        <f t="shared" si="21"/>
        <v/>
      </c>
      <c r="AK37" s="11" t="str">
        <f t="shared" si="21"/>
        <v/>
      </c>
    </row>
    <row r="38" spans="1:37" x14ac:dyDescent="0.25">
      <c r="A38" s="23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f t="shared" ref="O38:AK38" si="22">IF(O15="","",(O15/$O$23))</f>
        <v>0.96014331098630079</v>
      </c>
      <c r="P38" s="11" t="str">
        <f t="shared" si="22"/>
        <v/>
      </c>
      <c r="Q38" s="11" t="str">
        <f t="shared" si="22"/>
        <v/>
      </c>
      <c r="R38" s="11" t="str">
        <f t="shared" si="22"/>
        <v/>
      </c>
      <c r="S38" s="11" t="str">
        <f t="shared" si="22"/>
        <v/>
      </c>
      <c r="T38" s="11" t="str">
        <f t="shared" si="22"/>
        <v/>
      </c>
      <c r="U38" s="11" t="str">
        <f t="shared" si="22"/>
        <v/>
      </c>
      <c r="V38" s="11" t="str">
        <f t="shared" si="22"/>
        <v/>
      </c>
      <c r="W38" s="11" t="str">
        <f t="shared" si="22"/>
        <v/>
      </c>
      <c r="X38" s="11" t="str">
        <f t="shared" si="22"/>
        <v/>
      </c>
      <c r="Y38" s="11" t="str">
        <f t="shared" si="22"/>
        <v/>
      </c>
      <c r="Z38" s="11" t="str">
        <f t="shared" si="22"/>
        <v/>
      </c>
      <c r="AA38" s="11" t="str">
        <f t="shared" si="22"/>
        <v/>
      </c>
      <c r="AB38" s="11" t="str">
        <f t="shared" si="22"/>
        <v/>
      </c>
      <c r="AC38" s="11" t="str">
        <f t="shared" si="22"/>
        <v/>
      </c>
      <c r="AD38" s="11" t="str">
        <f t="shared" si="22"/>
        <v/>
      </c>
      <c r="AE38" s="11" t="str">
        <f t="shared" si="22"/>
        <v/>
      </c>
      <c r="AF38" s="11" t="str">
        <f t="shared" si="22"/>
        <v/>
      </c>
      <c r="AG38" s="11" t="str">
        <f t="shared" si="22"/>
        <v/>
      </c>
      <c r="AH38" s="11" t="str">
        <f t="shared" si="22"/>
        <v/>
      </c>
      <c r="AI38" s="11" t="str">
        <f t="shared" si="22"/>
        <v/>
      </c>
      <c r="AJ38" s="11" t="str">
        <f t="shared" si="22"/>
        <v/>
      </c>
      <c r="AK38" s="11" t="str">
        <f t="shared" si="22"/>
        <v/>
      </c>
    </row>
    <row r="39" spans="1:37" x14ac:dyDescent="0.25">
      <c r="A39" s="23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ref="O39:AK39" si="23">IF(O16="","",(O16/$O$23))</f>
        <v>1.4232621235434966</v>
      </c>
      <c r="P39" s="11" t="str">
        <f t="shared" si="23"/>
        <v/>
      </c>
      <c r="Q39" s="11" t="str">
        <f t="shared" si="23"/>
        <v/>
      </c>
      <c r="R39" s="11" t="str">
        <f t="shared" si="23"/>
        <v/>
      </c>
      <c r="S39" s="11" t="str">
        <f t="shared" si="23"/>
        <v/>
      </c>
      <c r="T39" s="11" t="str">
        <f t="shared" si="23"/>
        <v/>
      </c>
      <c r="U39" s="11" t="str">
        <f t="shared" si="23"/>
        <v/>
      </c>
      <c r="V39" s="11" t="str">
        <f t="shared" si="23"/>
        <v/>
      </c>
      <c r="W39" s="11" t="str">
        <f t="shared" si="23"/>
        <v/>
      </c>
      <c r="X39" s="11" t="str">
        <f t="shared" si="23"/>
        <v/>
      </c>
      <c r="Y39" s="11" t="str">
        <f t="shared" si="23"/>
        <v/>
      </c>
      <c r="Z39" s="11" t="str">
        <f t="shared" si="23"/>
        <v/>
      </c>
      <c r="AA39" s="11" t="str">
        <f t="shared" si="23"/>
        <v/>
      </c>
      <c r="AB39" s="11" t="str">
        <f t="shared" si="23"/>
        <v/>
      </c>
      <c r="AC39" s="11" t="str">
        <f t="shared" si="23"/>
        <v/>
      </c>
      <c r="AD39" s="11" t="str">
        <f t="shared" si="23"/>
        <v/>
      </c>
      <c r="AE39" s="11" t="str">
        <f t="shared" si="23"/>
        <v/>
      </c>
      <c r="AF39" s="11" t="str">
        <f t="shared" si="23"/>
        <v/>
      </c>
      <c r="AG39" s="11" t="str">
        <f t="shared" si="23"/>
        <v/>
      </c>
      <c r="AH39" s="11" t="str">
        <f t="shared" si="23"/>
        <v/>
      </c>
      <c r="AI39" s="11" t="str">
        <f t="shared" si="23"/>
        <v/>
      </c>
      <c r="AJ39" s="11" t="str">
        <f t="shared" si="23"/>
        <v/>
      </c>
      <c r="AK39" s="11" t="str">
        <f t="shared" si="23"/>
        <v/>
      </c>
    </row>
    <row r="40" spans="1:37" x14ac:dyDescent="0.25">
      <c r="A40" s="23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0" si="24">IF(O17="","",(O17/$O$23))</f>
        <v>0.57645992033856819</v>
      </c>
      <c r="P40" s="11" t="str">
        <f t="shared" si="24"/>
        <v/>
      </c>
      <c r="Q40" s="11" t="str">
        <f t="shared" si="24"/>
        <v/>
      </c>
      <c r="R40" s="11" t="str">
        <f t="shared" si="24"/>
        <v/>
      </c>
      <c r="S40" s="11" t="str">
        <f t="shared" si="24"/>
        <v/>
      </c>
      <c r="T40" s="11" t="str">
        <f t="shared" si="24"/>
        <v/>
      </c>
      <c r="U40" s="11" t="str">
        <f t="shared" si="24"/>
        <v/>
      </c>
      <c r="V40" s="11" t="str">
        <f t="shared" si="24"/>
        <v/>
      </c>
      <c r="W40" s="11" t="str">
        <f t="shared" si="24"/>
        <v/>
      </c>
      <c r="X40" s="11" t="str">
        <f t="shared" si="24"/>
        <v/>
      </c>
      <c r="Y40" s="11" t="str">
        <f t="shared" si="24"/>
        <v/>
      </c>
      <c r="Z40" s="11" t="str">
        <f t="shared" si="24"/>
        <v/>
      </c>
      <c r="AA40" s="11" t="str">
        <f t="shared" si="24"/>
        <v/>
      </c>
      <c r="AB40" s="11" t="str">
        <f t="shared" si="24"/>
        <v/>
      </c>
      <c r="AC40" s="11" t="str">
        <f t="shared" si="24"/>
        <v/>
      </c>
      <c r="AD40" s="11" t="str">
        <f t="shared" si="24"/>
        <v/>
      </c>
      <c r="AE40" s="11" t="str">
        <f t="shared" si="24"/>
        <v/>
      </c>
      <c r="AF40" s="11" t="str">
        <f t="shared" si="24"/>
        <v/>
      </c>
      <c r="AG40" s="11" t="str">
        <f t="shared" si="24"/>
        <v/>
      </c>
      <c r="AH40" s="11" t="str">
        <f t="shared" si="24"/>
        <v/>
      </c>
      <c r="AI40" s="11" t="str">
        <f t="shared" si="24"/>
        <v/>
      </c>
      <c r="AJ40" s="11" t="str">
        <f t="shared" si="24"/>
        <v/>
      </c>
      <c r="AK40" s="11" t="str">
        <f t="shared" si="24"/>
        <v/>
      </c>
    </row>
    <row r="41" spans="1:37" x14ac:dyDescent="0.25">
      <c r="A41" s="23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ref="O41:AK41" si="25">IF(O18="","",(O18/$O$23))</f>
        <v>1.4897009929002754</v>
      </c>
      <c r="P41" s="11" t="str">
        <f t="shared" si="25"/>
        <v/>
      </c>
      <c r="Q41" s="11" t="str">
        <f t="shared" si="25"/>
        <v/>
      </c>
      <c r="R41" s="11" t="str">
        <f t="shared" si="25"/>
        <v/>
      </c>
      <c r="S41" s="11" t="str">
        <f t="shared" si="25"/>
        <v/>
      </c>
      <c r="T41" s="11" t="str">
        <f t="shared" si="25"/>
        <v/>
      </c>
      <c r="U41" s="11" t="str">
        <f t="shared" si="25"/>
        <v/>
      </c>
      <c r="V41" s="11" t="str">
        <f t="shared" si="25"/>
        <v/>
      </c>
      <c r="W41" s="11" t="str">
        <f t="shared" si="25"/>
        <v/>
      </c>
      <c r="X41" s="11" t="str">
        <f t="shared" si="25"/>
        <v/>
      </c>
      <c r="Y41" s="11" t="str">
        <f t="shared" si="25"/>
        <v/>
      </c>
      <c r="Z41" s="11" t="str">
        <f t="shared" si="25"/>
        <v/>
      </c>
      <c r="AA41" s="11" t="str">
        <f t="shared" si="25"/>
        <v/>
      </c>
      <c r="AB41" s="11" t="str">
        <f t="shared" si="25"/>
        <v/>
      </c>
      <c r="AC41" s="11" t="str">
        <f t="shared" si="25"/>
        <v/>
      </c>
      <c r="AD41" s="11" t="str">
        <f t="shared" si="25"/>
        <v/>
      </c>
      <c r="AE41" s="11" t="str">
        <f t="shared" si="25"/>
        <v/>
      </c>
      <c r="AF41" s="11" t="str">
        <f t="shared" si="25"/>
        <v/>
      </c>
      <c r="AG41" s="11" t="str">
        <f t="shared" si="25"/>
        <v/>
      </c>
      <c r="AH41" s="11" t="str">
        <f t="shared" si="25"/>
        <v/>
      </c>
      <c r="AI41" s="11" t="str">
        <f t="shared" si="25"/>
        <v/>
      </c>
      <c r="AJ41" s="11" t="str">
        <f t="shared" si="25"/>
        <v/>
      </c>
      <c r="AK41" s="11" t="str">
        <f t="shared" si="25"/>
        <v/>
      </c>
    </row>
    <row r="42" spans="1:37" x14ac:dyDescent="0.25">
      <c r="A42" s="23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ref="O42:AK42" si="26">IF(O19="","",(O19/$O$23))</f>
        <v>0.43477280640537536</v>
      </c>
      <c r="P42" s="11" t="str">
        <f t="shared" si="26"/>
        <v/>
      </c>
      <c r="Q42" s="11" t="str">
        <f t="shared" si="26"/>
        <v/>
      </c>
      <c r="R42" s="11" t="str">
        <f t="shared" si="26"/>
        <v/>
      </c>
      <c r="S42" s="11" t="str">
        <f t="shared" si="26"/>
        <v/>
      </c>
      <c r="T42" s="11" t="str">
        <f t="shared" si="26"/>
        <v/>
      </c>
      <c r="U42" s="11" t="str">
        <f t="shared" si="26"/>
        <v/>
      </c>
      <c r="V42" s="11" t="str">
        <f t="shared" si="26"/>
        <v/>
      </c>
      <c r="W42" s="11" t="str">
        <f t="shared" si="26"/>
        <v/>
      </c>
      <c r="X42" s="11" t="str">
        <f t="shared" si="26"/>
        <v/>
      </c>
      <c r="Y42" s="11" t="str">
        <f t="shared" si="26"/>
        <v/>
      </c>
      <c r="Z42" s="11" t="str">
        <f t="shared" si="26"/>
        <v/>
      </c>
      <c r="AA42" s="11" t="str">
        <f t="shared" si="26"/>
        <v/>
      </c>
      <c r="AB42" s="11" t="str">
        <f t="shared" si="26"/>
        <v/>
      </c>
      <c r="AC42" s="11" t="str">
        <f t="shared" si="26"/>
        <v/>
      </c>
      <c r="AD42" s="11" t="str">
        <f t="shared" si="26"/>
        <v/>
      </c>
      <c r="AE42" s="11" t="str">
        <f t="shared" si="26"/>
        <v/>
      </c>
      <c r="AF42" s="11" t="str">
        <f t="shared" si="26"/>
        <v/>
      </c>
      <c r="AG42" s="11" t="str">
        <f t="shared" si="26"/>
        <v/>
      </c>
      <c r="AH42" s="11" t="str">
        <f t="shared" si="26"/>
        <v/>
      </c>
      <c r="AI42" s="11" t="str">
        <f t="shared" si="26"/>
        <v/>
      </c>
      <c r="AJ42" s="11" t="str">
        <f t="shared" si="26"/>
        <v/>
      </c>
      <c r="AK42" s="11" t="str">
        <f t="shared" si="26"/>
        <v/>
      </c>
    </row>
    <row r="43" spans="1:37" x14ac:dyDescent="0.25">
      <c r="A43" s="23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t="str">
        <f t="shared" ref="O43:AK43" si="27">IF(O20="","",(O20/$O$23))</f>
        <v/>
      </c>
      <c r="P43" s="11" t="str">
        <f t="shared" si="27"/>
        <v/>
      </c>
      <c r="Q43" s="11" t="str">
        <f t="shared" si="27"/>
        <v/>
      </c>
      <c r="R43" s="11" t="str">
        <f t="shared" si="27"/>
        <v/>
      </c>
      <c r="S43" s="11" t="str">
        <f t="shared" si="27"/>
        <v/>
      </c>
      <c r="T43" s="11" t="str">
        <f t="shared" si="27"/>
        <v/>
      </c>
      <c r="U43" s="11" t="str">
        <f t="shared" si="27"/>
        <v/>
      </c>
      <c r="V43" s="11" t="str">
        <f t="shared" si="27"/>
        <v/>
      </c>
      <c r="W43" s="11" t="str">
        <f t="shared" si="27"/>
        <v/>
      </c>
      <c r="X43" s="11" t="str">
        <f t="shared" si="27"/>
        <v/>
      </c>
      <c r="Y43" s="11" t="str">
        <f t="shared" si="27"/>
        <v/>
      </c>
      <c r="Z43" s="11" t="str">
        <f t="shared" si="27"/>
        <v/>
      </c>
      <c r="AA43" s="11" t="str">
        <f t="shared" si="27"/>
        <v/>
      </c>
      <c r="AB43" s="11" t="str">
        <f t="shared" si="27"/>
        <v/>
      </c>
      <c r="AC43" s="11" t="str">
        <f t="shared" si="27"/>
        <v/>
      </c>
      <c r="AD43" s="11" t="str">
        <f t="shared" si="27"/>
        <v/>
      </c>
      <c r="AE43" s="11" t="str">
        <f t="shared" si="27"/>
        <v/>
      </c>
      <c r="AF43" s="11" t="str">
        <f t="shared" si="27"/>
        <v/>
      </c>
      <c r="AG43" s="11" t="str">
        <f t="shared" si="27"/>
        <v/>
      </c>
      <c r="AH43" s="11" t="str">
        <f t="shared" si="27"/>
        <v/>
      </c>
      <c r="AI43" s="11" t="str">
        <f t="shared" si="27"/>
        <v/>
      </c>
      <c r="AJ43" s="11" t="str">
        <f t="shared" si="27"/>
        <v/>
      </c>
      <c r="AK43" s="11" t="str">
        <f t="shared" si="27"/>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R45" si="28">B4</f>
        <v>Témoin solvant</v>
      </c>
      <c r="C45" s="7" t="str">
        <f t="shared" si="28"/>
        <v>EE2-33.8ng/L</v>
      </c>
      <c r="D45" s="7" t="str">
        <f t="shared" si="28"/>
        <v>EE2-50.6ng/L</v>
      </c>
      <c r="E45" s="7" t="str">
        <f t="shared" si="28"/>
        <v>EE2-76ng/L</v>
      </c>
      <c r="F45" s="7" t="str">
        <f t="shared" si="28"/>
        <v>EE2-114ng/L</v>
      </c>
      <c r="G45" s="7" t="str">
        <f t="shared" si="28"/>
        <v>EE2-170.9ng/L</v>
      </c>
      <c r="H45" s="7" t="str">
        <f t="shared" si="28"/>
        <v>EE2-488ng/L</v>
      </c>
      <c r="I45" s="7" t="str">
        <f t="shared" si="28"/>
        <v>DUS-10µg/L</v>
      </c>
      <c r="J45" s="7" t="str">
        <f t="shared" si="28"/>
        <v>DUS-100µg/L</v>
      </c>
      <c r="K45" s="7" t="str">
        <f t="shared" ref="K45:M45" si="29">K4</f>
        <v>DUS-250µg/L</v>
      </c>
      <c r="L45" s="7" t="str">
        <f t="shared" si="29"/>
        <v>DUS-500µg/L</v>
      </c>
      <c r="M45" s="7" t="str">
        <f t="shared" si="29"/>
        <v>DUS-1000µg/L</v>
      </c>
      <c r="N45" s="7"/>
      <c r="O45" s="7" t="str">
        <f t="shared" si="28"/>
        <v>Testo -30µg/L</v>
      </c>
      <c r="P45" s="7" t="str">
        <f t="shared" si="28"/>
        <v>Testo 30µg/L + EE2 -64ng/L</v>
      </c>
      <c r="Q45" s="7" t="str">
        <f t="shared" si="28"/>
        <v>Testo 30µg/L + FAD-10mg/L</v>
      </c>
      <c r="R45" s="7" t="str">
        <f t="shared" si="28"/>
        <v>DUS-10µg/L + Testostérone</v>
      </c>
      <c r="S45" s="7" t="str">
        <f t="shared" ref="S45:AK45" si="30">S4</f>
        <v>DUS-100µg/L + Testostérone</v>
      </c>
      <c r="T45" s="7" t="str">
        <f t="shared" si="30"/>
        <v>DUS-250µg/L + Testostérone</v>
      </c>
      <c r="U45" s="7" t="str">
        <f t="shared" si="30"/>
        <v>DUS-500µg/L + Testostérone</v>
      </c>
      <c r="V45" s="7" t="str">
        <f t="shared" si="30"/>
        <v>DUS-1000µg/L + Testostérone</v>
      </c>
      <c r="W45" s="7" t="str">
        <f t="shared" si="30"/>
        <v>0-00 + Testostérone</v>
      </c>
      <c r="X45" s="7" t="str">
        <f t="shared" si="30"/>
        <v>0-00 + Testostérone</v>
      </c>
      <c r="Y45" s="7" t="str">
        <f t="shared" si="30"/>
        <v>0-00 + Testostérone</v>
      </c>
      <c r="Z45" s="7" t="str">
        <f t="shared" si="30"/>
        <v>0-00 + Testostérone</v>
      </c>
      <c r="AA45" s="7" t="str">
        <f t="shared" si="30"/>
        <v>0-00 + Testostérone</v>
      </c>
      <c r="AB45" s="7" t="str">
        <f t="shared" si="30"/>
        <v>0-00 + Testostérone</v>
      </c>
      <c r="AC45" s="7" t="str">
        <f t="shared" si="30"/>
        <v>0-00 + Testostérone</v>
      </c>
      <c r="AD45" s="7" t="str">
        <f t="shared" si="30"/>
        <v>0-00 + Testostérone</v>
      </c>
      <c r="AE45" s="7" t="str">
        <f t="shared" si="30"/>
        <v>0-00 + Testostérone</v>
      </c>
      <c r="AF45" s="7" t="str">
        <f t="shared" si="30"/>
        <v>0-00 + Testostérone</v>
      </c>
      <c r="AG45" s="7" t="str">
        <f t="shared" si="30"/>
        <v>0-00 + Testostérone</v>
      </c>
      <c r="AH45" s="7" t="str">
        <f t="shared" si="30"/>
        <v>0-00 + Testostérone</v>
      </c>
      <c r="AI45" s="7" t="str">
        <f t="shared" si="30"/>
        <v>0-00 + Testostérone</v>
      </c>
      <c r="AJ45" s="7" t="str">
        <f t="shared" si="30"/>
        <v>0-00 + Testostérone</v>
      </c>
      <c r="AK45" s="7" t="str">
        <f t="shared" si="30"/>
        <v>0-00 + Testostérone</v>
      </c>
    </row>
    <row r="46" spans="1:37" x14ac:dyDescent="0.25">
      <c r="A46" s="8" t="s">
        <v>0</v>
      </c>
      <c r="B46" s="10">
        <f t="shared" ref="B46:H46" si="31">AVERAGE(B28:B43)</f>
        <v>0.12553653297990469</v>
      </c>
      <c r="C46" s="10">
        <f t="shared" si="31"/>
        <v>0.16391186394407531</v>
      </c>
      <c r="D46" s="10">
        <f t="shared" si="31"/>
        <v>0.11262554866886036</v>
      </c>
      <c r="E46" s="10">
        <f t="shared" si="31"/>
        <v>1.0654995900328403</v>
      </c>
      <c r="F46" s="10">
        <f t="shared" si="31"/>
        <v>1.4868828692807552</v>
      </c>
      <c r="G46" s="10">
        <f t="shared" si="31"/>
        <v>2.5974847688463529</v>
      </c>
      <c r="H46" s="10">
        <f t="shared" si="31"/>
        <v>3.7594601842014064</v>
      </c>
      <c r="I46" s="10">
        <f>AVERAGE(I28:I43)</f>
        <v>0.10157497028487149</v>
      </c>
      <c r="J46" s="9">
        <f>AVERAGE(J28:J43)</f>
        <v>0.12145481637697639</v>
      </c>
      <c r="K46" s="9">
        <f t="shared" ref="K46:M46" si="32">AVERAGE(K28:K43)</f>
        <v>0.10561018701170119</v>
      </c>
      <c r="L46" s="9">
        <f t="shared" si="32"/>
        <v>8.5160568287887872E-2</v>
      </c>
      <c r="M46" s="9">
        <f t="shared" si="32"/>
        <v>0.36081112605892401</v>
      </c>
      <c r="N46" s="8" t="s">
        <v>0</v>
      </c>
      <c r="O46" s="10">
        <f t="shared" ref="O46:R46" si="33">AVERAGE(O28:O43)</f>
        <v>1</v>
      </c>
      <c r="P46" s="10">
        <f t="shared" si="33"/>
        <v>3.1020010053684497</v>
      </c>
      <c r="Q46" s="10">
        <f t="shared" si="33"/>
        <v>0.14458884175903031</v>
      </c>
      <c r="R46" s="10">
        <f t="shared" si="33"/>
        <v>0.80206957355731778</v>
      </c>
      <c r="S46" s="10">
        <f t="shared" ref="S46:AK46" si="34">AVERAGE(S28:S43)</f>
        <v>1.9567061121530367</v>
      </c>
      <c r="T46" s="10">
        <f t="shared" si="34"/>
        <v>1.8969016098005855</v>
      </c>
      <c r="U46" s="10">
        <f t="shared" si="34"/>
        <v>2.3148682737698882</v>
      </c>
      <c r="V46" s="10">
        <f t="shared" si="34"/>
        <v>1.3169125220206515</v>
      </c>
      <c r="W46" s="10" t="e">
        <f t="shared" si="34"/>
        <v>#DIV/0!</v>
      </c>
      <c r="X46" s="10" t="e">
        <f t="shared" si="34"/>
        <v>#DIV/0!</v>
      </c>
      <c r="Y46" s="10" t="e">
        <f t="shared" si="34"/>
        <v>#DIV/0!</v>
      </c>
      <c r="Z46" s="10" t="e">
        <f t="shared" si="34"/>
        <v>#DIV/0!</v>
      </c>
      <c r="AA46" s="10" t="e">
        <f t="shared" si="34"/>
        <v>#DIV/0!</v>
      </c>
      <c r="AB46" s="10" t="e">
        <f t="shared" si="34"/>
        <v>#DIV/0!</v>
      </c>
      <c r="AC46" s="10" t="e">
        <f t="shared" si="34"/>
        <v>#DIV/0!</v>
      </c>
      <c r="AD46" s="10" t="e">
        <f t="shared" si="34"/>
        <v>#DIV/0!</v>
      </c>
      <c r="AE46" s="10" t="e">
        <f t="shared" si="34"/>
        <v>#DIV/0!</v>
      </c>
      <c r="AF46" s="10" t="e">
        <f t="shared" si="34"/>
        <v>#DIV/0!</v>
      </c>
      <c r="AG46" s="10" t="e">
        <f t="shared" si="34"/>
        <v>#DIV/0!</v>
      </c>
      <c r="AH46" s="10" t="e">
        <f t="shared" si="34"/>
        <v>#DIV/0!</v>
      </c>
      <c r="AI46" s="10" t="e">
        <f t="shared" si="34"/>
        <v>#DIV/0!</v>
      </c>
      <c r="AJ46" s="10" t="e">
        <f t="shared" si="34"/>
        <v>#DIV/0!</v>
      </c>
      <c r="AK46" s="10" t="e">
        <f t="shared" si="34"/>
        <v>#DIV/0!</v>
      </c>
    </row>
    <row r="47" spans="1:37" x14ac:dyDescent="0.25">
      <c r="A47" s="8" t="s">
        <v>1</v>
      </c>
      <c r="B47" s="8">
        <f t="shared" ref="B47:J47" si="35">STDEV(B28:B43)</f>
        <v>9.0690941849946957E-2</v>
      </c>
      <c r="C47" s="8">
        <f t="shared" si="35"/>
        <v>0.19133933380258897</v>
      </c>
      <c r="D47" s="8">
        <f t="shared" si="35"/>
        <v>0.11088888506542528</v>
      </c>
      <c r="E47" s="8">
        <f t="shared" si="35"/>
        <v>0.61647904191791625</v>
      </c>
      <c r="F47" s="8">
        <f t="shared" si="35"/>
        <v>0.44066386486406939</v>
      </c>
      <c r="G47" s="8">
        <f t="shared" si="35"/>
        <v>0.69879750152617615</v>
      </c>
      <c r="H47" s="8">
        <f t="shared" si="35"/>
        <v>0.72469731636021917</v>
      </c>
      <c r="I47" s="8">
        <f t="shared" si="35"/>
        <v>7.8833862675703317E-2</v>
      </c>
      <c r="J47" s="8">
        <f t="shared" si="35"/>
        <v>8.066853210976116E-2</v>
      </c>
      <c r="K47" s="8">
        <f t="shared" ref="K47:M47" si="36">STDEV(K28:K43)</f>
        <v>0.11227434944359665</v>
      </c>
      <c r="L47" s="8">
        <f t="shared" si="36"/>
        <v>9.1700933382887179E-2</v>
      </c>
      <c r="M47" s="8">
        <f t="shared" si="36"/>
        <v>0.7972203905520977</v>
      </c>
      <c r="N47" s="8" t="s">
        <v>1</v>
      </c>
      <c r="O47" s="8">
        <f t="shared" ref="O47:R47" si="37">STDEV(O28:O43)</f>
        <v>0.67068488663538617</v>
      </c>
      <c r="P47" s="8">
        <f t="shared" si="37"/>
        <v>1.2077634920568101</v>
      </c>
      <c r="Q47" s="8">
        <f t="shared" si="37"/>
        <v>0.13754435032276052</v>
      </c>
      <c r="R47" s="8">
        <f t="shared" si="37"/>
        <v>0.81406517281750812</v>
      </c>
      <c r="S47" s="8">
        <f t="shared" ref="S47:AK47" si="38">STDEV(S28:S43)</f>
        <v>0.85926222757355208</v>
      </c>
      <c r="T47" s="8">
        <f t="shared" si="38"/>
        <v>1.0975224778004018</v>
      </c>
      <c r="U47" s="8">
        <f t="shared" si="38"/>
        <v>0.86833494750009932</v>
      </c>
      <c r="V47" s="8">
        <f t="shared" si="38"/>
        <v>0.67340871476687558</v>
      </c>
      <c r="W47" s="8" t="e">
        <f t="shared" si="38"/>
        <v>#DIV/0!</v>
      </c>
      <c r="X47" s="8" t="e">
        <f t="shared" si="38"/>
        <v>#DIV/0!</v>
      </c>
      <c r="Y47" s="8" t="e">
        <f t="shared" si="38"/>
        <v>#DIV/0!</v>
      </c>
      <c r="Z47" s="8" t="e">
        <f t="shared" si="38"/>
        <v>#DIV/0!</v>
      </c>
      <c r="AA47" s="8" t="e">
        <f t="shared" si="38"/>
        <v>#DIV/0!</v>
      </c>
      <c r="AB47" s="8" t="e">
        <f t="shared" si="38"/>
        <v>#DIV/0!</v>
      </c>
      <c r="AC47" s="8" t="e">
        <f t="shared" si="38"/>
        <v>#DIV/0!</v>
      </c>
      <c r="AD47" s="8" t="e">
        <f t="shared" si="38"/>
        <v>#DIV/0!</v>
      </c>
      <c r="AE47" s="8" t="e">
        <f t="shared" si="38"/>
        <v>#DIV/0!</v>
      </c>
      <c r="AF47" s="8" t="e">
        <f t="shared" si="38"/>
        <v>#DIV/0!</v>
      </c>
      <c r="AG47" s="8" t="e">
        <f t="shared" si="38"/>
        <v>#DIV/0!</v>
      </c>
      <c r="AH47" s="8" t="e">
        <f t="shared" si="38"/>
        <v>#DIV/0!</v>
      </c>
      <c r="AI47" s="8" t="e">
        <f t="shared" si="38"/>
        <v>#DIV/0!</v>
      </c>
      <c r="AJ47" s="8" t="e">
        <f t="shared" si="38"/>
        <v>#DIV/0!</v>
      </c>
      <c r="AK47" s="8" t="e">
        <f t="shared" si="38"/>
        <v>#DIV/0!</v>
      </c>
    </row>
    <row r="48" spans="1:37" x14ac:dyDescent="0.25">
      <c r="A48" s="8" t="s">
        <v>2</v>
      </c>
      <c r="B48" s="8">
        <f t="shared" ref="B48:J48" si="39" xml:space="preserve"> B47/SQRT(COUNT(B28:B43))</f>
        <v>3.4277954043025673E-2</v>
      </c>
      <c r="C48" s="8">
        <f t="shared" si="39"/>
        <v>6.7648670219763521E-2</v>
      </c>
      <c r="D48" s="8">
        <f t="shared" si="39"/>
        <v>4.5270197759403663E-2</v>
      </c>
      <c r="E48" s="8">
        <f t="shared" si="39"/>
        <v>0.25167651496978949</v>
      </c>
      <c r="F48" s="8">
        <f t="shared" si="39"/>
        <v>0.15579820353462792</v>
      </c>
      <c r="G48" s="8">
        <f t="shared" si="39"/>
        <v>0.24706222600268796</v>
      </c>
      <c r="H48" s="8">
        <f t="shared" si="39"/>
        <v>0.27390983926929147</v>
      </c>
      <c r="I48" s="8">
        <f t="shared" si="39"/>
        <v>2.9796399361503991E-2</v>
      </c>
      <c r="J48" s="8">
        <f t="shared" si="39"/>
        <v>3.04898392272938E-2</v>
      </c>
      <c r="K48" s="8">
        <f t="shared" ref="K48:M48" si="40" xml:space="preserve"> K47/SQRT(COUNT(K28:K43))</f>
        <v>4.2435715319902832E-2</v>
      </c>
      <c r="L48" s="8">
        <f t="shared" si="40"/>
        <v>3.2421175918087686E-2</v>
      </c>
      <c r="M48" s="8">
        <f t="shared" si="40"/>
        <v>0.28185997212978803</v>
      </c>
      <c r="N48" s="8" t="s">
        <v>2</v>
      </c>
      <c r="O48" s="8">
        <f t="shared" ref="O48:R48" si="41" xml:space="preserve"> O47/SQRT(COUNT(O28:O43))</f>
        <v>0.17317009309945733</v>
      </c>
      <c r="P48" s="8">
        <f t="shared" si="41"/>
        <v>0.42700887765145767</v>
      </c>
      <c r="Q48" s="8">
        <f t="shared" si="41"/>
        <v>4.8629271413561027E-2</v>
      </c>
      <c r="R48" s="8">
        <f t="shared" si="41"/>
        <v>0.30768771403913492</v>
      </c>
      <c r="S48" s="8">
        <f t="shared" ref="S48:AK48" si="42" xml:space="preserve"> S47/SQRT(COUNT(S28:S43))</f>
        <v>0.30379507396735855</v>
      </c>
      <c r="T48" s="8">
        <f t="shared" si="42"/>
        <v>0.41482450493761014</v>
      </c>
      <c r="U48" s="8">
        <f t="shared" si="42"/>
        <v>0.30700276485929245</v>
      </c>
      <c r="V48" s="8">
        <f t="shared" si="42"/>
        <v>0.23808593436088762</v>
      </c>
      <c r="W48" s="8" t="e">
        <f t="shared" si="42"/>
        <v>#DIV/0!</v>
      </c>
      <c r="X48" s="8" t="e">
        <f t="shared" si="42"/>
        <v>#DIV/0!</v>
      </c>
      <c r="Y48" s="8" t="e">
        <f t="shared" si="42"/>
        <v>#DIV/0!</v>
      </c>
      <c r="Z48" s="8" t="e">
        <f t="shared" si="42"/>
        <v>#DIV/0!</v>
      </c>
      <c r="AA48" s="8" t="e">
        <f t="shared" si="42"/>
        <v>#DIV/0!</v>
      </c>
      <c r="AB48" s="8" t="e">
        <f t="shared" si="42"/>
        <v>#DIV/0!</v>
      </c>
      <c r="AC48" s="8" t="e">
        <f t="shared" si="42"/>
        <v>#DIV/0!</v>
      </c>
      <c r="AD48" s="8" t="e">
        <f t="shared" si="42"/>
        <v>#DIV/0!</v>
      </c>
      <c r="AE48" s="8" t="e">
        <f t="shared" si="42"/>
        <v>#DIV/0!</v>
      </c>
      <c r="AF48" s="8" t="e">
        <f t="shared" si="42"/>
        <v>#DIV/0!</v>
      </c>
      <c r="AG48" s="8" t="e">
        <f t="shared" si="42"/>
        <v>#DIV/0!</v>
      </c>
      <c r="AH48" s="8" t="e">
        <f t="shared" si="42"/>
        <v>#DIV/0!</v>
      </c>
      <c r="AI48" s="8" t="e">
        <f t="shared" si="42"/>
        <v>#DIV/0!</v>
      </c>
      <c r="AJ48" s="8" t="e">
        <f t="shared" si="42"/>
        <v>#DIV/0!</v>
      </c>
      <c r="AK48" s="8" t="e">
        <f t="shared" si="42"/>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1" t="s">
        <v>44</v>
      </c>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3"/>
    </row>
    <row r="51" spans="1:37" customFormat="1" ht="15.75" thickBot="1" x14ac:dyDescent="0.3">
      <c r="AE51" s="1"/>
      <c r="AF51" s="1"/>
      <c r="AG51" s="1"/>
      <c r="AH51" s="1"/>
      <c r="AI51" s="1"/>
      <c r="AJ51" s="1"/>
    </row>
    <row r="52" spans="1:37" x14ac:dyDescent="0.25">
      <c r="A52" s="45" t="str">
        <f t="shared" ref="A52:H52" si="43">A27</f>
        <v>Noms des groupes</v>
      </c>
      <c r="B52" s="46" t="str">
        <f t="shared" si="43"/>
        <v>Témoin solvant</v>
      </c>
      <c r="C52" s="46" t="str">
        <f t="shared" si="43"/>
        <v>EE2-33.8ng/L</v>
      </c>
      <c r="D52" s="46" t="str">
        <f t="shared" si="43"/>
        <v>EE2-50.6ng/L</v>
      </c>
      <c r="E52" s="46" t="str">
        <f t="shared" si="43"/>
        <v>EE2-76ng/L</v>
      </c>
      <c r="F52" s="46" t="str">
        <f t="shared" si="43"/>
        <v>EE2-114ng/L</v>
      </c>
      <c r="G52" s="46" t="str">
        <f t="shared" si="43"/>
        <v>EE2-170.9ng/L</v>
      </c>
      <c r="H52" s="46" t="str">
        <f t="shared" si="43"/>
        <v>EE2-488ng/L</v>
      </c>
      <c r="I52" s="46" t="str">
        <f>I4</f>
        <v>DUS-10µg/L</v>
      </c>
      <c r="J52" s="46" t="str">
        <f>J4</f>
        <v>DUS-100µg/L</v>
      </c>
      <c r="K52" s="46" t="str">
        <f t="shared" ref="K52:M52" si="44">K4</f>
        <v>DUS-250µg/L</v>
      </c>
      <c r="L52" s="46" t="str">
        <f t="shared" si="44"/>
        <v>DUS-500µg/L</v>
      </c>
      <c r="M52" s="46" t="str">
        <f t="shared" si="44"/>
        <v>DUS-1000µg/L</v>
      </c>
      <c r="N52" s="47"/>
      <c r="O52" s="46" t="str">
        <f>O27</f>
        <v>Testo -30µg/L</v>
      </c>
      <c r="P52" s="46" t="str">
        <f>P27</f>
        <v>Testo 30µg/L + EE2 -64ng/L</v>
      </c>
      <c r="Q52" s="46" t="str">
        <f>Q27</f>
        <v>Testo 30µg/L + FAD-10mg/L</v>
      </c>
      <c r="R52" s="46" t="str">
        <f>R27</f>
        <v>DUS-10µg/L + Testostérone</v>
      </c>
      <c r="S52" s="46" t="str">
        <f t="shared" ref="S52:AC52" si="45">S27</f>
        <v>DUS-100µg/L + Testostérone</v>
      </c>
      <c r="T52" s="46" t="str">
        <f t="shared" si="45"/>
        <v>DUS-250µg/L + Testostérone</v>
      </c>
      <c r="U52" s="46" t="str">
        <f t="shared" si="45"/>
        <v>DUS-500µg/L + Testostérone</v>
      </c>
      <c r="V52" s="46" t="str">
        <f t="shared" si="45"/>
        <v>DUS-1000µg/L + Testostérone</v>
      </c>
      <c r="W52" s="46" t="str">
        <f t="shared" si="45"/>
        <v>0-00 + Testostérone</v>
      </c>
      <c r="X52" s="46" t="str">
        <f t="shared" si="45"/>
        <v>0-00 + Testostérone</v>
      </c>
      <c r="Y52" s="46" t="str">
        <f t="shared" si="45"/>
        <v>0-00 + Testostérone</v>
      </c>
      <c r="Z52" s="46" t="str">
        <f t="shared" si="45"/>
        <v>0-00 + Testostérone</v>
      </c>
      <c r="AA52" s="46" t="str">
        <f t="shared" si="45"/>
        <v>0-00 + Testostérone</v>
      </c>
      <c r="AB52" s="46" t="str">
        <f t="shared" si="45"/>
        <v>0-00 + Testostérone</v>
      </c>
      <c r="AC52" s="46" t="str">
        <f t="shared" si="45"/>
        <v>0-00 + Testostérone</v>
      </c>
      <c r="AD52" s="46" t="str">
        <f t="shared" ref="AD52:AK52" si="46">AD27</f>
        <v>0-00 + Testostérone</v>
      </c>
      <c r="AE52" s="46" t="str">
        <f t="shared" si="46"/>
        <v>0-00 + Testostérone</v>
      </c>
      <c r="AF52" s="46" t="str">
        <f t="shared" si="46"/>
        <v>0-00 + Testostérone</v>
      </c>
      <c r="AG52" s="46" t="str">
        <f t="shared" si="46"/>
        <v>0-00 + Testostérone</v>
      </c>
      <c r="AH52" s="46" t="str">
        <f t="shared" si="46"/>
        <v>0-00 + Testostérone</v>
      </c>
      <c r="AI52" s="46" t="str">
        <f t="shared" si="46"/>
        <v>0-00 + Testostérone</v>
      </c>
      <c r="AJ52" s="46" t="str">
        <f t="shared" si="46"/>
        <v>0-00 + Testostérone</v>
      </c>
      <c r="AK52" s="46" t="str">
        <f t="shared" si="46"/>
        <v>0-00 + Testostérone</v>
      </c>
    </row>
    <row r="53" spans="1:37" s="3" customFormat="1" x14ac:dyDescent="0.25">
      <c r="A53" s="62" t="s">
        <v>32</v>
      </c>
      <c r="B53" s="142">
        <f t="shared" ref="B53" si="47">B46</f>
        <v>0.12553653297990469</v>
      </c>
      <c r="C53" s="142">
        <f t="shared" ref="C53:AK53" si="48">C46</f>
        <v>0.16391186394407531</v>
      </c>
      <c r="D53" s="142">
        <f t="shared" si="48"/>
        <v>0.11262554866886036</v>
      </c>
      <c r="E53" s="142">
        <f t="shared" si="48"/>
        <v>1.0654995900328403</v>
      </c>
      <c r="F53" s="142">
        <f t="shared" si="48"/>
        <v>1.4868828692807552</v>
      </c>
      <c r="G53" s="142">
        <f t="shared" si="48"/>
        <v>2.5974847688463529</v>
      </c>
      <c r="H53" s="142">
        <f t="shared" si="48"/>
        <v>3.7594601842014064</v>
      </c>
      <c r="I53" s="142">
        <f t="shared" si="48"/>
        <v>0.10157497028487149</v>
      </c>
      <c r="J53" s="142">
        <f t="shared" si="48"/>
        <v>0.12145481637697639</v>
      </c>
      <c r="K53" s="142">
        <f t="shared" si="48"/>
        <v>0.10561018701170119</v>
      </c>
      <c r="L53" s="142">
        <f t="shared" si="48"/>
        <v>8.5160568287887872E-2</v>
      </c>
      <c r="M53" s="142">
        <f t="shared" si="48"/>
        <v>0.36081112605892401</v>
      </c>
      <c r="N53" s="142"/>
      <c r="O53" s="142">
        <f t="shared" si="48"/>
        <v>1</v>
      </c>
      <c r="P53" s="142">
        <f t="shared" si="48"/>
        <v>3.1020010053684497</v>
      </c>
      <c r="Q53" s="142">
        <f t="shared" si="48"/>
        <v>0.14458884175903031</v>
      </c>
      <c r="R53" s="142">
        <f t="shared" si="48"/>
        <v>0.80206957355731778</v>
      </c>
      <c r="S53" s="142">
        <f t="shared" si="48"/>
        <v>1.9567061121530367</v>
      </c>
      <c r="T53" s="142">
        <f t="shared" si="48"/>
        <v>1.8969016098005855</v>
      </c>
      <c r="U53" s="142">
        <f t="shared" si="48"/>
        <v>2.3148682737698882</v>
      </c>
      <c r="V53" s="142">
        <f t="shared" si="48"/>
        <v>1.3169125220206515</v>
      </c>
      <c r="W53" s="142" t="e">
        <f t="shared" si="48"/>
        <v>#DIV/0!</v>
      </c>
      <c r="X53" s="142" t="e">
        <f t="shared" si="48"/>
        <v>#DIV/0!</v>
      </c>
      <c r="Y53" s="142" t="e">
        <f t="shared" si="48"/>
        <v>#DIV/0!</v>
      </c>
      <c r="Z53" s="142" t="e">
        <f t="shared" si="48"/>
        <v>#DIV/0!</v>
      </c>
      <c r="AA53" s="142" t="e">
        <f t="shared" si="48"/>
        <v>#DIV/0!</v>
      </c>
      <c r="AB53" s="142" t="e">
        <f t="shared" si="48"/>
        <v>#DIV/0!</v>
      </c>
      <c r="AC53" s="142" t="e">
        <f t="shared" si="48"/>
        <v>#DIV/0!</v>
      </c>
      <c r="AD53" s="142" t="e">
        <f t="shared" si="48"/>
        <v>#DIV/0!</v>
      </c>
      <c r="AE53" s="142" t="e">
        <f t="shared" si="48"/>
        <v>#DIV/0!</v>
      </c>
      <c r="AF53" s="142" t="e">
        <f t="shared" si="48"/>
        <v>#DIV/0!</v>
      </c>
      <c r="AG53" s="142" t="e">
        <f t="shared" si="48"/>
        <v>#DIV/0!</v>
      </c>
      <c r="AH53" s="142" t="e">
        <f t="shared" si="48"/>
        <v>#DIV/0!</v>
      </c>
      <c r="AI53" s="142" t="e">
        <f t="shared" si="48"/>
        <v>#DIV/0!</v>
      </c>
      <c r="AJ53" s="142" t="e">
        <f t="shared" si="48"/>
        <v>#DIV/0!</v>
      </c>
      <c r="AK53" s="142" t="e">
        <f t="shared" si="48"/>
        <v>#DIV/0!</v>
      </c>
    </row>
    <row r="54" spans="1:37" s="3" customFormat="1" x14ac:dyDescent="0.25">
      <c r="A54" s="62" t="s">
        <v>2</v>
      </c>
      <c r="B54" s="142">
        <f t="shared" ref="B54" si="49">B48</f>
        <v>3.4277954043025673E-2</v>
      </c>
      <c r="C54" s="142">
        <f t="shared" ref="C54:AK54" si="50">C48</f>
        <v>6.7648670219763521E-2</v>
      </c>
      <c r="D54" s="142">
        <f t="shared" si="50"/>
        <v>4.5270197759403663E-2</v>
      </c>
      <c r="E54" s="142">
        <f t="shared" si="50"/>
        <v>0.25167651496978949</v>
      </c>
      <c r="F54" s="142">
        <f t="shared" si="50"/>
        <v>0.15579820353462792</v>
      </c>
      <c r="G54" s="142">
        <f t="shared" si="50"/>
        <v>0.24706222600268796</v>
      </c>
      <c r="H54" s="142">
        <f t="shared" si="50"/>
        <v>0.27390983926929147</v>
      </c>
      <c r="I54" s="142">
        <f t="shared" si="50"/>
        <v>2.9796399361503991E-2</v>
      </c>
      <c r="J54" s="142">
        <f t="shared" si="50"/>
        <v>3.04898392272938E-2</v>
      </c>
      <c r="K54" s="142">
        <f t="shared" si="50"/>
        <v>4.2435715319902832E-2</v>
      </c>
      <c r="L54" s="142">
        <f t="shared" si="50"/>
        <v>3.2421175918087686E-2</v>
      </c>
      <c r="M54" s="142">
        <f t="shared" si="50"/>
        <v>0.28185997212978803</v>
      </c>
      <c r="N54" s="142"/>
      <c r="O54" s="142">
        <f t="shared" si="50"/>
        <v>0.17317009309945733</v>
      </c>
      <c r="P54" s="142">
        <f t="shared" si="50"/>
        <v>0.42700887765145767</v>
      </c>
      <c r="Q54" s="142">
        <f t="shared" si="50"/>
        <v>4.8629271413561027E-2</v>
      </c>
      <c r="R54" s="142">
        <f t="shared" si="50"/>
        <v>0.30768771403913492</v>
      </c>
      <c r="S54" s="142">
        <f t="shared" si="50"/>
        <v>0.30379507396735855</v>
      </c>
      <c r="T54" s="142">
        <f t="shared" si="50"/>
        <v>0.41482450493761014</v>
      </c>
      <c r="U54" s="142">
        <f t="shared" si="50"/>
        <v>0.30700276485929245</v>
      </c>
      <c r="V54" s="142">
        <f t="shared" si="50"/>
        <v>0.23808593436088762</v>
      </c>
      <c r="W54" s="142" t="e">
        <f t="shared" si="50"/>
        <v>#DIV/0!</v>
      </c>
      <c r="X54" s="142" t="e">
        <f t="shared" si="50"/>
        <v>#DIV/0!</v>
      </c>
      <c r="Y54" s="142" t="e">
        <f t="shared" si="50"/>
        <v>#DIV/0!</v>
      </c>
      <c r="Z54" s="142" t="e">
        <f t="shared" si="50"/>
        <v>#DIV/0!</v>
      </c>
      <c r="AA54" s="142" t="e">
        <f t="shared" si="50"/>
        <v>#DIV/0!</v>
      </c>
      <c r="AB54" s="142" t="e">
        <f t="shared" si="50"/>
        <v>#DIV/0!</v>
      </c>
      <c r="AC54" s="142" t="e">
        <f t="shared" si="50"/>
        <v>#DIV/0!</v>
      </c>
      <c r="AD54" s="142" t="e">
        <f t="shared" si="50"/>
        <v>#DIV/0!</v>
      </c>
      <c r="AE54" s="142" t="e">
        <f t="shared" si="50"/>
        <v>#DIV/0!</v>
      </c>
      <c r="AF54" s="142" t="e">
        <f t="shared" si="50"/>
        <v>#DIV/0!</v>
      </c>
      <c r="AG54" s="142" t="e">
        <f t="shared" si="50"/>
        <v>#DIV/0!</v>
      </c>
      <c r="AH54" s="142" t="e">
        <f t="shared" si="50"/>
        <v>#DIV/0!</v>
      </c>
      <c r="AI54" s="142" t="e">
        <f t="shared" si="50"/>
        <v>#DIV/0!</v>
      </c>
      <c r="AJ54" s="142" t="e">
        <f t="shared" si="50"/>
        <v>#DIV/0!</v>
      </c>
      <c r="AK54" s="142" t="e">
        <f t="shared" si="50"/>
        <v>#DIV/0!</v>
      </c>
    </row>
    <row r="55" spans="1:37" s="3" customFormat="1" x14ac:dyDescent="0.25">
      <c r="A55" s="62" t="s">
        <v>79</v>
      </c>
      <c r="B55" s="142">
        <f>(B53*100/$B53)-100</f>
        <v>0</v>
      </c>
      <c r="C55" s="142">
        <f t="shared" ref="C55:M55" si="51">(C53*100/$B53)-100</f>
        <v>30.5690543248582</v>
      </c>
      <c r="D55" s="142">
        <f t="shared" si="51"/>
        <v>-10.28464304738371</v>
      </c>
      <c r="E55" s="142">
        <f t="shared" si="51"/>
        <v>748.75658482889639</v>
      </c>
      <c r="F55" s="142">
        <f t="shared" si="51"/>
        <v>1084.4224418072533</v>
      </c>
      <c r="G55" s="142">
        <f t="shared" si="51"/>
        <v>1969.1066633663895</v>
      </c>
      <c r="H55" s="142">
        <f t="shared" si="51"/>
        <v>2894.7140445588088</v>
      </c>
      <c r="I55" s="142">
        <f t="shared" si="51"/>
        <v>-19.087322332590517</v>
      </c>
      <c r="J55" s="142">
        <f t="shared" si="51"/>
        <v>-3.2514173412624672</v>
      </c>
      <c r="K55" s="142">
        <f t="shared" si="51"/>
        <v>-15.872945902841863</v>
      </c>
      <c r="L55" s="142">
        <f t="shared" si="51"/>
        <v>-32.162720869852294</v>
      </c>
      <c r="M55" s="142">
        <f t="shared" si="51"/>
        <v>187.41523881074602</v>
      </c>
      <c r="N55" s="142"/>
      <c r="O55" s="142">
        <f>(O53*100/$O53)-100</f>
        <v>0</v>
      </c>
      <c r="P55" s="142">
        <f t="shared" ref="P55:AK55" si="52">(P53*100/$O53)-100</f>
        <v>210.20010053684496</v>
      </c>
      <c r="Q55" s="142">
        <f t="shared" si="52"/>
        <v>-85.541115824096977</v>
      </c>
      <c r="R55" s="142">
        <f t="shared" si="52"/>
        <v>-19.793042644268226</v>
      </c>
      <c r="S55" s="142">
        <f t="shared" si="52"/>
        <v>95.670611215303666</v>
      </c>
      <c r="T55" s="142">
        <f t="shared" si="52"/>
        <v>89.69016098005855</v>
      </c>
      <c r="U55" s="142">
        <f t="shared" si="52"/>
        <v>131.48682737698883</v>
      </c>
      <c r="V55" s="142">
        <f t="shared" si="52"/>
        <v>31.691252202065158</v>
      </c>
      <c r="W55" s="142" t="e">
        <f t="shared" si="52"/>
        <v>#DIV/0!</v>
      </c>
      <c r="X55" s="142" t="e">
        <f t="shared" si="52"/>
        <v>#DIV/0!</v>
      </c>
      <c r="Y55" s="142" t="e">
        <f t="shared" si="52"/>
        <v>#DIV/0!</v>
      </c>
      <c r="Z55" s="142" t="e">
        <f t="shared" si="52"/>
        <v>#DIV/0!</v>
      </c>
      <c r="AA55" s="142" t="e">
        <f t="shared" si="52"/>
        <v>#DIV/0!</v>
      </c>
      <c r="AB55" s="142" t="e">
        <f t="shared" si="52"/>
        <v>#DIV/0!</v>
      </c>
      <c r="AC55" s="142" t="e">
        <f t="shared" si="52"/>
        <v>#DIV/0!</v>
      </c>
      <c r="AD55" s="142" t="e">
        <f t="shared" si="52"/>
        <v>#DIV/0!</v>
      </c>
      <c r="AE55" s="142" t="e">
        <f t="shared" si="52"/>
        <v>#DIV/0!</v>
      </c>
      <c r="AF55" s="142" t="e">
        <f t="shared" si="52"/>
        <v>#DIV/0!</v>
      </c>
      <c r="AG55" s="142" t="e">
        <f t="shared" si="52"/>
        <v>#DIV/0!</v>
      </c>
      <c r="AH55" s="142" t="e">
        <f t="shared" si="52"/>
        <v>#DIV/0!</v>
      </c>
      <c r="AI55" s="142" t="e">
        <f t="shared" si="52"/>
        <v>#DIV/0!</v>
      </c>
      <c r="AJ55" s="142" t="e">
        <f t="shared" si="52"/>
        <v>#DIV/0!</v>
      </c>
      <c r="AK55" s="142" t="e">
        <f t="shared" si="52"/>
        <v>#DIV/0!</v>
      </c>
    </row>
    <row r="56" spans="1:37" s="3" customFormat="1" x14ac:dyDescent="0.25">
      <c r="A56" s="62" t="s">
        <v>81</v>
      </c>
      <c r="B56" s="142" t="e">
        <f ca="1">[1]!SWTEST(B28:B43)</f>
        <v>#NAME?</v>
      </c>
      <c r="C56" s="142" t="e">
        <f ca="1">[1]!SWTEST(C28:C43)</f>
        <v>#NAME?</v>
      </c>
      <c r="D56" s="142" t="e">
        <f ca="1">[1]!SWTEST(D28:D43)</f>
        <v>#NAME?</v>
      </c>
      <c r="E56" s="142" t="e">
        <f ca="1">[1]!SWTEST(E28:E43)</f>
        <v>#NAME?</v>
      </c>
      <c r="F56" s="142" t="e">
        <f ca="1">[1]!SWTEST(F28:F43)</f>
        <v>#NAME?</v>
      </c>
      <c r="G56" s="142" t="e">
        <f ca="1">[1]!SWTEST(G28:G43)</f>
        <v>#NAME?</v>
      </c>
      <c r="H56" s="142" t="e">
        <f ca="1">[1]!SWTEST(H28:H43)</f>
        <v>#NAME?</v>
      </c>
      <c r="I56" s="142" t="e">
        <f ca="1">[1]!SWTEST(I28:I43)</f>
        <v>#NAME?</v>
      </c>
      <c r="J56" s="142" t="e">
        <f ca="1">[1]!SWTEST(J28:J43)</f>
        <v>#NAME?</v>
      </c>
      <c r="K56" s="142" t="e">
        <f ca="1">[1]!SWTEST(K28:K43)</f>
        <v>#NAME?</v>
      </c>
      <c r="L56" s="142" t="e">
        <f ca="1">[1]!SWTEST(L28:L43)</f>
        <v>#NAME?</v>
      </c>
      <c r="M56" s="142" t="e">
        <f ca="1">[1]!SWTEST(M28:M43)</f>
        <v>#NAME?</v>
      </c>
      <c r="N56" s="142"/>
      <c r="O56" s="142" t="e">
        <f ca="1">[1]!SWTEST(O28:O43)</f>
        <v>#NAME?</v>
      </c>
      <c r="P56" s="142" t="e">
        <f ca="1">[1]!SWTEST(P28:P43)</f>
        <v>#NAME?</v>
      </c>
      <c r="Q56" s="142" t="e">
        <f ca="1">[1]!SWTEST(Q28:Q43)</f>
        <v>#NAME?</v>
      </c>
      <c r="R56" s="142" t="e">
        <f ca="1">[1]!SWTEST(R28:R43)</f>
        <v>#NAME?</v>
      </c>
      <c r="S56" s="142" t="e">
        <f ca="1">[1]!SWTEST(S28:S43)</f>
        <v>#NAME?</v>
      </c>
      <c r="T56" s="142" t="e">
        <f ca="1">[1]!SWTEST(T28:T43)</f>
        <v>#NAME?</v>
      </c>
      <c r="U56" s="142" t="e">
        <f ca="1">[1]!SWTEST(U28:U43)</f>
        <v>#NAME?</v>
      </c>
      <c r="V56" s="142" t="e">
        <f ca="1">[1]!SWTEST(V28:V43)</f>
        <v>#NAME?</v>
      </c>
      <c r="W56" s="142" t="e">
        <f ca="1">[1]!SWTEST(W28:W43)</f>
        <v>#NAME?</v>
      </c>
      <c r="X56" s="142" t="e">
        <f ca="1">[1]!SWTEST(X28:X43)</f>
        <v>#NAME?</v>
      </c>
      <c r="Y56" s="142" t="e">
        <f ca="1">[1]!SWTEST(Y28:Y43)</f>
        <v>#NAME?</v>
      </c>
      <c r="Z56" s="142" t="e">
        <f ca="1">[1]!SWTEST(Z28:Z43)</f>
        <v>#NAME?</v>
      </c>
      <c r="AA56" s="142" t="e">
        <f ca="1">[1]!SWTEST(AA28:AA43)</f>
        <v>#NAME?</v>
      </c>
      <c r="AB56" s="142" t="e">
        <f ca="1">[1]!SWTEST(AB28:AB43)</f>
        <v>#NAME?</v>
      </c>
      <c r="AC56" s="142" t="e">
        <f ca="1">[1]!SWTEST(AC28:AC43)</f>
        <v>#NAME?</v>
      </c>
      <c r="AD56" s="142" t="e">
        <f ca="1">[1]!SWTEST(AD28:AD43)</f>
        <v>#NAME?</v>
      </c>
      <c r="AE56" s="142" t="e">
        <f ca="1">[1]!SWTEST(AE28:AE43)</f>
        <v>#NAME?</v>
      </c>
      <c r="AF56" s="142" t="e">
        <f ca="1">[1]!SWTEST(AF28:AF43)</f>
        <v>#NAME?</v>
      </c>
      <c r="AG56" s="142" t="e">
        <f ca="1">[1]!SWTEST(AG28:AG43)</f>
        <v>#NAME?</v>
      </c>
      <c r="AH56" s="142" t="e">
        <f ca="1">[1]!SWTEST(AH28:AH43)</f>
        <v>#NAME?</v>
      </c>
      <c r="AI56" s="142" t="e">
        <f ca="1">[1]!SWTEST(AI28:AI43)</f>
        <v>#NAME?</v>
      </c>
      <c r="AJ56" s="142" t="e">
        <f ca="1">[1]!SWTEST(AJ28:AJ43)</f>
        <v>#NAME?</v>
      </c>
      <c r="AK56" s="142" t="e">
        <f ca="1">[1]!SWTEST(AK28:AK43)</f>
        <v>#NAME?</v>
      </c>
    </row>
    <row r="57" spans="1:37" s="3" customFormat="1" x14ac:dyDescent="0.25">
      <c r="A57" s="62" t="s">
        <v>85</v>
      </c>
      <c r="B57" s="142" t="e">
        <f ca="1">IF(B56&gt;0.05,"Oui","Non")</f>
        <v>#NAME?</v>
      </c>
      <c r="C57" s="142" t="e">
        <f t="shared" ref="C57:AK57" ca="1" si="53">IF(C56&gt;0.05,"Oui","Non")</f>
        <v>#NAME?</v>
      </c>
      <c r="D57" s="142" t="e">
        <f t="shared" ca="1" si="53"/>
        <v>#NAME?</v>
      </c>
      <c r="E57" s="142" t="e">
        <f t="shared" ca="1" si="53"/>
        <v>#NAME?</v>
      </c>
      <c r="F57" s="142" t="e">
        <f t="shared" ca="1" si="53"/>
        <v>#NAME?</v>
      </c>
      <c r="G57" s="142" t="e">
        <f t="shared" ca="1" si="53"/>
        <v>#NAME?</v>
      </c>
      <c r="H57" s="142" t="e">
        <f t="shared" ca="1" si="53"/>
        <v>#NAME?</v>
      </c>
      <c r="I57" s="142" t="e">
        <f t="shared" ca="1" si="53"/>
        <v>#NAME?</v>
      </c>
      <c r="J57" s="142" t="e">
        <f t="shared" ca="1" si="53"/>
        <v>#NAME?</v>
      </c>
      <c r="K57" s="142" t="e">
        <f t="shared" ca="1" si="53"/>
        <v>#NAME?</v>
      </c>
      <c r="L57" s="142" t="e">
        <f t="shared" ca="1" si="53"/>
        <v>#NAME?</v>
      </c>
      <c r="M57" s="142" t="e">
        <f t="shared" ca="1" si="53"/>
        <v>#NAME?</v>
      </c>
      <c r="N57" s="142"/>
      <c r="O57" s="142" t="e">
        <f t="shared" ca="1" si="53"/>
        <v>#NAME?</v>
      </c>
      <c r="P57" s="142" t="e">
        <f t="shared" ca="1" si="53"/>
        <v>#NAME?</v>
      </c>
      <c r="Q57" s="142" t="e">
        <f t="shared" ca="1" si="53"/>
        <v>#NAME?</v>
      </c>
      <c r="R57" s="142" t="e">
        <f t="shared" ca="1" si="53"/>
        <v>#NAME?</v>
      </c>
      <c r="S57" s="142" t="e">
        <f t="shared" ca="1" si="53"/>
        <v>#NAME?</v>
      </c>
      <c r="T57" s="142" t="e">
        <f t="shared" ca="1" si="53"/>
        <v>#NAME?</v>
      </c>
      <c r="U57" s="142" t="e">
        <f t="shared" ca="1" si="53"/>
        <v>#NAME?</v>
      </c>
      <c r="V57" s="142" t="e">
        <f t="shared" ca="1" si="53"/>
        <v>#NAME?</v>
      </c>
      <c r="W57" s="142" t="e">
        <f t="shared" ca="1" si="53"/>
        <v>#NAME?</v>
      </c>
      <c r="X57" s="142" t="e">
        <f t="shared" ca="1" si="53"/>
        <v>#NAME?</v>
      </c>
      <c r="Y57" s="142" t="e">
        <f t="shared" ca="1" si="53"/>
        <v>#NAME?</v>
      </c>
      <c r="Z57" s="142" t="e">
        <f t="shared" ca="1" si="53"/>
        <v>#NAME?</v>
      </c>
      <c r="AA57" s="142" t="e">
        <f t="shared" ca="1" si="53"/>
        <v>#NAME?</v>
      </c>
      <c r="AB57" s="142" t="e">
        <f t="shared" ca="1" si="53"/>
        <v>#NAME?</v>
      </c>
      <c r="AC57" s="142" t="e">
        <f t="shared" ca="1" si="53"/>
        <v>#NAME?</v>
      </c>
      <c r="AD57" s="142" t="e">
        <f t="shared" ca="1" si="53"/>
        <v>#NAME?</v>
      </c>
      <c r="AE57" s="142" t="e">
        <f t="shared" ca="1" si="53"/>
        <v>#NAME?</v>
      </c>
      <c r="AF57" s="142" t="e">
        <f t="shared" ca="1" si="53"/>
        <v>#NAME?</v>
      </c>
      <c r="AG57" s="142" t="e">
        <f t="shared" ca="1" si="53"/>
        <v>#NAME?</v>
      </c>
      <c r="AH57" s="142" t="e">
        <f t="shared" ca="1" si="53"/>
        <v>#NAME?</v>
      </c>
      <c r="AI57" s="142" t="e">
        <f t="shared" ca="1" si="53"/>
        <v>#NAME?</v>
      </c>
      <c r="AJ57" s="142" t="e">
        <f t="shared" ca="1" si="53"/>
        <v>#NAME?</v>
      </c>
      <c r="AK57" s="142" t="e">
        <f t="shared" ca="1" si="53"/>
        <v>#NAME?</v>
      </c>
    </row>
    <row r="58" spans="1:37" s="3" customFormat="1" x14ac:dyDescent="0.25">
      <c r="A58" s="62"/>
      <c r="B58" s="142"/>
      <c r="C58" s="142"/>
      <c r="D58" s="142"/>
      <c r="E58" s="142"/>
      <c r="F58" s="142"/>
      <c r="G58" s="142"/>
      <c r="H58" s="142"/>
      <c r="I58" s="142"/>
      <c r="J58" s="142"/>
      <c r="K58" s="142"/>
      <c r="L58" s="142"/>
      <c r="M58" s="142"/>
      <c r="N58" s="149"/>
      <c r="O58" s="150"/>
      <c r="P58" s="142"/>
      <c r="Q58" s="142"/>
      <c r="R58" s="142"/>
      <c r="S58" s="142"/>
      <c r="T58" s="142"/>
      <c r="U58" s="142"/>
      <c r="V58" s="142"/>
      <c r="W58" s="142"/>
      <c r="X58" s="142"/>
      <c r="Y58" s="142"/>
      <c r="Z58" s="142"/>
      <c r="AA58" s="142"/>
      <c r="AB58" s="142"/>
      <c r="AC58" s="142"/>
      <c r="AD58" s="142"/>
      <c r="AE58" s="151"/>
      <c r="AF58" s="151"/>
      <c r="AG58" s="151"/>
      <c r="AH58" s="151"/>
      <c r="AI58" s="151"/>
      <c r="AJ58" s="151"/>
      <c r="AK58" s="152"/>
    </row>
    <row r="59" spans="1:37" s="3" customFormat="1" x14ac:dyDescent="0.25">
      <c r="A59" s="62" t="s">
        <v>82</v>
      </c>
      <c r="B59" s="153"/>
      <c r="C59" s="153" t="e">
        <f t="shared" ref="C59:O59" ca="1" si="54">IF($B57="Non",IF(C57="Non","MW",IF(C57="Oui","MW","")),IF($B57="Oui",IF(C57="Oui","T-Test Welch",IF(C57="Non","MW",""))))</f>
        <v>#NAME?</v>
      </c>
      <c r="D59" s="153" t="e">
        <f t="shared" ca="1" si="54"/>
        <v>#NAME?</v>
      </c>
      <c r="E59" s="153" t="e">
        <f t="shared" ca="1" si="54"/>
        <v>#NAME?</v>
      </c>
      <c r="F59" s="153" t="e">
        <f t="shared" ca="1" si="54"/>
        <v>#NAME?</v>
      </c>
      <c r="G59" s="153" t="e">
        <f t="shared" ca="1" si="54"/>
        <v>#NAME?</v>
      </c>
      <c r="H59" s="153" t="e">
        <f t="shared" ca="1" si="54"/>
        <v>#NAME?</v>
      </c>
      <c r="I59" s="153" t="e">
        <f t="shared" ca="1" si="54"/>
        <v>#NAME?</v>
      </c>
      <c r="J59" s="153" t="e">
        <f t="shared" ca="1" si="54"/>
        <v>#NAME?</v>
      </c>
      <c r="K59" s="153" t="e">
        <f t="shared" ca="1" si="54"/>
        <v>#NAME?</v>
      </c>
      <c r="L59" s="153" t="e">
        <f t="shared" ca="1" si="54"/>
        <v>#NAME?</v>
      </c>
      <c r="M59" s="153" t="e">
        <f t="shared" ca="1" si="54"/>
        <v>#NAME?</v>
      </c>
      <c r="N59" s="153"/>
      <c r="O59" s="153" t="e">
        <f t="shared" ca="1" si="54"/>
        <v>#NAME?</v>
      </c>
      <c r="P59" s="153" t="e">
        <f ca="1">IF($O57="Non",IF(P57="Non","MW",IF(P57="Oui","MW","")),IF($O57="Oui",IF(P57="Oui","T-Test Welch",IF(P57="Non","MW",""))))</f>
        <v>#NAME?</v>
      </c>
      <c r="Q59" s="153" t="e">
        <f t="shared" ref="Q59:AK59" ca="1" si="55">IF($O57="Non",IF(Q57="Non","MW",IF(Q57="Oui","MW","")),IF($O57="Oui",IF(Q57="Oui","T-Test Welch",IF(Q57="Non","MW",""))))</f>
        <v>#NAME?</v>
      </c>
      <c r="R59" s="153" t="e">
        <f t="shared" ca="1" si="55"/>
        <v>#NAME?</v>
      </c>
      <c r="S59" s="153" t="e">
        <f t="shared" ca="1" si="55"/>
        <v>#NAME?</v>
      </c>
      <c r="T59" s="153" t="e">
        <f t="shared" ca="1" si="55"/>
        <v>#NAME?</v>
      </c>
      <c r="U59" s="153" t="e">
        <f t="shared" ca="1" si="55"/>
        <v>#NAME?</v>
      </c>
      <c r="V59" s="153" t="e">
        <f t="shared" ca="1" si="55"/>
        <v>#NAME?</v>
      </c>
      <c r="W59" s="153" t="e">
        <f t="shared" ca="1" si="55"/>
        <v>#NAME?</v>
      </c>
      <c r="X59" s="153" t="e">
        <f t="shared" ca="1" si="55"/>
        <v>#NAME?</v>
      </c>
      <c r="Y59" s="153" t="e">
        <f t="shared" ca="1" si="55"/>
        <v>#NAME?</v>
      </c>
      <c r="Z59" s="153" t="e">
        <f t="shared" ca="1" si="55"/>
        <v>#NAME?</v>
      </c>
      <c r="AA59" s="153" t="e">
        <f t="shared" ca="1" si="55"/>
        <v>#NAME?</v>
      </c>
      <c r="AB59" s="153" t="e">
        <f t="shared" ca="1" si="55"/>
        <v>#NAME?</v>
      </c>
      <c r="AC59" s="153" t="e">
        <f t="shared" ca="1" si="55"/>
        <v>#NAME?</v>
      </c>
      <c r="AD59" s="153" t="e">
        <f t="shared" ca="1" si="55"/>
        <v>#NAME?</v>
      </c>
      <c r="AE59" s="153" t="e">
        <f t="shared" ca="1" si="55"/>
        <v>#NAME?</v>
      </c>
      <c r="AF59" s="153" t="e">
        <f t="shared" ca="1" si="55"/>
        <v>#NAME?</v>
      </c>
      <c r="AG59" s="153" t="e">
        <f t="shared" ca="1" si="55"/>
        <v>#NAME?</v>
      </c>
      <c r="AH59" s="153" t="e">
        <f t="shared" ca="1" si="55"/>
        <v>#NAME?</v>
      </c>
      <c r="AI59" s="153" t="e">
        <f t="shared" ca="1" si="55"/>
        <v>#NAME?</v>
      </c>
      <c r="AJ59" s="153" t="e">
        <f t="shared" ca="1" si="55"/>
        <v>#NAME?</v>
      </c>
      <c r="AK59" s="153" t="e">
        <f t="shared" ca="1" si="55"/>
        <v>#NAME?</v>
      </c>
    </row>
    <row r="60" spans="1:37" s="3" customFormat="1" x14ac:dyDescent="0.25">
      <c r="A60" s="62" t="s">
        <v>83</v>
      </c>
      <c r="B60" s="154"/>
      <c r="C60" s="154" t="e">
        <f ca="1">IF(C59="MW",[1]!MTEST($B28:$B43,C28:C43,2), IF(C59="T-Test Welch",_xlfn.T.TEST($B28:$B43,C28:C43,2,3),""))</f>
        <v>#NAME?</v>
      </c>
      <c r="D60" s="154" t="e">
        <f ca="1">IF(D59="MW",[1]!MTEST($B28:$B43,D28:D43,2), IF(D59="T-Test Welch",_xlfn.T.TEST($B28:$B43,D28:D43,2,3),""))</f>
        <v>#NAME?</v>
      </c>
      <c r="E60" s="154" t="e">
        <f ca="1">IF(E59="MW",[1]!MTEST($B28:$B43,E28:E43,2), IF(E59="T-Test Welch",_xlfn.T.TEST($B28:$B43,E28:E43,2,3),""))</f>
        <v>#NAME?</v>
      </c>
      <c r="F60" s="154" t="e">
        <f ca="1">IF(F59="MW",[1]!MTEST($B28:$B43,F28:F43,2), IF(F59="T-Test Welch",_xlfn.T.TEST($B28:$B43,F28:F43,2,3),""))</f>
        <v>#NAME?</v>
      </c>
      <c r="G60" s="154" t="e">
        <f ca="1">IF(G59="MW",[1]!MTEST($B28:$B43,G28:G43,2), IF(G59="T-Test Welch",_xlfn.T.TEST($B28:$B43,G28:G43,2,3),""))</f>
        <v>#NAME?</v>
      </c>
      <c r="H60" s="154" t="e">
        <f ca="1">IF(H59="MW",[1]!MTEST($B28:$B43,H28:H43,2), IF(H59="T-Test Welch",_xlfn.T.TEST($B28:$B43,H28:H43,2,3),""))</f>
        <v>#NAME?</v>
      </c>
      <c r="I60" s="154" t="e">
        <f ca="1">IF(I59="MW",[1]!MTEST($B28:$B43,I28:I43,2), IF(I59="T-Test Welch",_xlfn.T.TEST($B28:$B43,I28:I43,2,3),""))</f>
        <v>#NAME?</v>
      </c>
      <c r="J60" s="154" t="e">
        <f ca="1">IF(J59="MW",[1]!MTEST($B28:$B43,J28:J43,2), IF(J59="T-Test Welch",_xlfn.T.TEST($B28:$B43,J28:J43,2,3),""))</f>
        <v>#NAME?</v>
      </c>
      <c r="K60" s="154" t="e">
        <f ca="1">IF(K59="MW",[1]!MTEST($B28:$B43,K28:K43,2), IF(K59="T-Test Welch",_xlfn.T.TEST($B28:$B43,K28:K43,2,3),""))</f>
        <v>#NAME?</v>
      </c>
      <c r="L60" s="154" t="e">
        <f ca="1">IF(L59="MW",[1]!MTEST($B28:$B43,L28:L43,2), IF(L59="T-Test Welch",_xlfn.T.TEST($B28:$B43,L28:L43,2,3),""))</f>
        <v>#NAME?</v>
      </c>
      <c r="M60" s="154" t="e">
        <f ca="1">IF(M59="MW",[1]!MTEST($B28:$B43,M28:M43,2), IF(M59="T-Test Welch",_xlfn.T.TEST($B28:$B43,M28:M43,2,3),""))</f>
        <v>#NAME?</v>
      </c>
      <c r="N60" s="154"/>
      <c r="O60" s="154" t="e">
        <f ca="1">IF(O59="MW",[1]!MTEST($B28:$B43,O28:O43,2), IF(O59="T-Test Welch",_xlfn.T.TEST($B28:$B43,O28:O43,2,3),""))</f>
        <v>#NAME?</v>
      </c>
      <c r="P60" s="154" t="e">
        <f ca="1">IF(P59="MW",[1]!MTEST($O28:$O43,P28:P43,2), IF(P59="T-Test Welch",_xlfn.T.TEST($O28:$O43,P28:P43,2,3),""))</f>
        <v>#NAME?</v>
      </c>
      <c r="Q60" s="154" t="e">
        <f ca="1">IF(Q59="MW",[1]!MTEST($O28:$O43,Q28:Q43,2), IF(Q59="T-Test Welch",_xlfn.T.TEST($O28:$O43,Q28:Q43,2,3),""))</f>
        <v>#NAME?</v>
      </c>
      <c r="R60" s="154" t="e">
        <f ca="1">IF(R59="MW",[1]!MTEST($O28:$O43,R28:R43,2), IF(R59="T-Test Welch",_xlfn.T.TEST($O28:$O43,R28:R43,2,3),""))</f>
        <v>#NAME?</v>
      </c>
      <c r="S60" s="154" t="e">
        <f ca="1">IF(S59="MW",[1]!MTEST($O28:$O43,S28:S43,2), IF(S59="T-Test Welch",_xlfn.T.TEST($O28:$O43,S28:S43,2,3),""))</f>
        <v>#NAME?</v>
      </c>
      <c r="T60" s="154" t="e">
        <f ca="1">IF(T59="MW",[1]!MTEST($O28:$O43,T28:T43,2), IF(T59="T-Test Welch",_xlfn.T.TEST($O28:$O43,T28:T43,2,3),""))</f>
        <v>#NAME?</v>
      </c>
      <c r="U60" s="154" t="e">
        <f ca="1">IF(U59="MW",[1]!MTEST($O28:$O43,U28:U43,2), IF(U59="T-Test Welch",_xlfn.T.TEST($O28:$O43,U28:U43,2,3),""))</f>
        <v>#NAME?</v>
      </c>
      <c r="V60" s="154" t="e">
        <f ca="1">IF(V59="MW",[1]!MTEST($O28:$O43,V28:V43,2), IF(V59="T-Test Welch",_xlfn.T.TEST($O28:$O43,V28:V43,2,3),""))</f>
        <v>#NAME?</v>
      </c>
      <c r="W60" s="154" t="e">
        <f ca="1">IF(W59="MW",[1]!MTEST($O28:$O43,W28:W43,2), IF(W59="T-Test Welch",_xlfn.T.TEST($O28:$O43,W28:W43,2,3),""))</f>
        <v>#NAME?</v>
      </c>
      <c r="X60" s="154" t="e">
        <f ca="1">IF(X59="MW",[1]!MTEST($O28:$O43,X28:X43,2), IF(X59="T-Test Welch",_xlfn.T.TEST($O28:$O43,X28:X43,2,3),""))</f>
        <v>#NAME?</v>
      </c>
      <c r="Y60" s="154" t="e">
        <f ca="1">IF(Y59="MW",[1]!MTEST($O28:$O43,Y28:Y43,2), IF(Y59="T-Test Welch",_xlfn.T.TEST($O28:$O43,Y28:Y43,2,3),""))</f>
        <v>#NAME?</v>
      </c>
      <c r="Z60" s="154" t="e">
        <f ca="1">IF(Z59="MW",[1]!MTEST($O28:$O43,Z28:Z43,2), IF(Z59="T-Test Welch",_xlfn.T.TEST($O28:$O43,Z28:Z43,2,3),""))</f>
        <v>#NAME?</v>
      </c>
      <c r="AA60" s="154" t="e">
        <f ca="1">IF(AA59="MW",[1]!MTEST($O28:$O43,AA28:AA43,2), IF(AA59="T-Test Welch",_xlfn.T.TEST($O28:$O43,AA28:AA43,2,3),""))</f>
        <v>#NAME?</v>
      </c>
      <c r="AB60" s="154" t="e">
        <f ca="1">IF(AB59="MW",[1]!MTEST($O28:$O43,AB28:AB43,2), IF(AB59="T-Test Welch",_xlfn.T.TEST($O28:$O43,AB28:AB43,2,3),""))</f>
        <v>#NAME?</v>
      </c>
      <c r="AC60" s="154" t="e">
        <f ca="1">IF(AC59="MW",[1]!MTEST($O28:$O43,AC28:AC43,2), IF(AC59="T-Test Welch",_xlfn.T.TEST($O28:$O43,AC28:AC43,2,3),""))</f>
        <v>#NAME?</v>
      </c>
      <c r="AD60" s="154" t="e">
        <f ca="1">IF(AD59="MW",[1]!MTEST($O28:$O43,AD28:AD43,2), IF(AD59="T-Test Welch",_xlfn.T.TEST($O28:$O43,AD28:AD43,2,3),""))</f>
        <v>#NAME?</v>
      </c>
      <c r="AE60" s="154" t="e">
        <f ca="1">IF(AE59="MW",[1]!MTEST($O28:$O43,AE28:AE43,2), IF(AE59="T-Test Welch",_xlfn.T.TEST($O28:$O43,AE28:AE43,2,3),""))</f>
        <v>#NAME?</v>
      </c>
      <c r="AF60" s="154" t="e">
        <f ca="1">IF(AF59="MW",[1]!MTEST($O28:$O43,AF28:AF43,2), IF(AF59="T-Test Welch",_xlfn.T.TEST($O28:$O43,AF28:AF43,2,3),""))</f>
        <v>#NAME?</v>
      </c>
      <c r="AG60" s="154" t="e">
        <f ca="1">IF(AG59="MW",[1]!MTEST($O28:$O43,AG28:AG43,2), IF(AG59="T-Test Welch",_xlfn.T.TEST($O28:$O43,AG28:AG43,2,3),""))</f>
        <v>#NAME?</v>
      </c>
      <c r="AH60" s="154" t="e">
        <f ca="1">IF(AH59="MW",[1]!MTEST($O28:$O43,AH28:AH43,2), IF(AH59="T-Test Welch",_xlfn.T.TEST($O28:$O43,AH28:AH43,2,3),""))</f>
        <v>#NAME?</v>
      </c>
      <c r="AI60" s="154" t="e">
        <f ca="1">IF(AI59="MW",[1]!MTEST($O28:$O43,AI28:AI43,2), IF(AI59="T-Test Welch",_xlfn.T.TEST($O28:$O43,AI28:AI43,2,3),""))</f>
        <v>#NAME?</v>
      </c>
      <c r="AJ60" s="154" t="e">
        <f ca="1">IF(AJ59="MW",[1]!MTEST($O28:$O43,AJ28:AJ43,2), IF(AJ59="T-Test Welch",_xlfn.T.TEST($O28:$O43,AJ28:AJ43,2,3),""))</f>
        <v>#NAME?</v>
      </c>
      <c r="AK60" s="154" t="e">
        <f ca="1">IF(AK59="MW",[1]!MTEST($O28:$O43,AK28:AK43,2), IF(AK59="T-Test Welch",_xlfn.T.TEST($O28:$O43,AK28:AK43,2,3),""))</f>
        <v>#NAME?</v>
      </c>
    </row>
    <row r="61" spans="1:37" s="3" customFormat="1" ht="15.75" thickBot="1" x14ac:dyDescent="0.3">
      <c r="A61" s="63" t="s">
        <v>84</v>
      </c>
      <c r="B61" s="143"/>
      <c r="C61" s="143" t="e">
        <f t="shared" ref="C61:O61" ca="1" si="56">IF(C60&gt;0.05,"NS",IF(C60&gt;0.01,"*",IF(C60&gt;0.001,"**","***")))</f>
        <v>#NAME?</v>
      </c>
      <c r="D61" s="143" t="e">
        <f t="shared" ca="1" si="56"/>
        <v>#NAME?</v>
      </c>
      <c r="E61" s="143" t="e">
        <f t="shared" ca="1" si="56"/>
        <v>#NAME?</v>
      </c>
      <c r="F61" s="143" t="e">
        <f t="shared" ca="1" si="56"/>
        <v>#NAME?</v>
      </c>
      <c r="G61" s="143" t="e">
        <f t="shared" ca="1" si="56"/>
        <v>#NAME?</v>
      </c>
      <c r="H61" s="143" t="e">
        <f t="shared" ca="1" si="56"/>
        <v>#NAME?</v>
      </c>
      <c r="I61" s="143" t="e">
        <f t="shared" ca="1" si="56"/>
        <v>#NAME?</v>
      </c>
      <c r="J61" s="143" t="e">
        <f t="shared" ca="1" si="56"/>
        <v>#NAME?</v>
      </c>
      <c r="K61" s="143" t="e">
        <f t="shared" ca="1" si="56"/>
        <v>#NAME?</v>
      </c>
      <c r="L61" s="143" t="e">
        <f t="shared" ca="1" si="56"/>
        <v>#NAME?</v>
      </c>
      <c r="M61" s="143" t="e">
        <f t="shared" ca="1" si="56"/>
        <v>#NAME?</v>
      </c>
      <c r="N61" s="143"/>
      <c r="O61" s="143" t="e">
        <f t="shared" ca="1" si="56"/>
        <v>#NAME?</v>
      </c>
      <c r="P61" s="143" t="e">
        <f ca="1">IF(P60&gt;0.05,"NS",IF(P60&gt;0.01,"*",IF(P60&gt;0.001,"**","***")))</f>
        <v>#NAME?</v>
      </c>
      <c r="Q61" s="143" t="e">
        <f t="shared" ref="Q61:AK61" ca="1" si="57">IF(Q60&gt;0.05,"NS",IF(Q60&gt;0.01,"*",IF(Q60&gt;0.001,"**","***")))</f>
        <v>#NAME?</v>
      </c>
      <c r="R61" s="143" t="e">
        <f t="shared" ca="1" si="57"/>
        <v>#NAME?</v>
      </c>
      <c r="S61" s="143" t="e">
        <f t="shared" ca="1" si="57"/>
        <v>#NAME?</v>
      </c>
      <c r="T61" s="143" t="e">
        <f t="shared" ca="1" si="57"/>
        <v>#NAME?</v>
      </c>
      <c r="U61" s="143" t="e">
        <f t="shared" ca="1" si="57"/>
        <v>#NAME?</v>
      </c>
      <c r="V61" s="143" t="e">
        <f t="shared" ca="1" si="57"/>
        <v>#NAME?</v>
      </c>
      <c r="W61" s="143" t="e">
        <f t="shared" ca="1" si="57"/>
        <v>#NAME?</v>
      </c>
      <c r="X61" s="143" t="e">
        <f t="shared" ca="1" si="57"/>
        <v>#NAME?</v>
      </c>
      <c r="Y61" s="143" t="e">
        <f t="shared" ca="1" si="57"/>
        <v>#NAME?</v>
      </c>
      <c r="Z61" s="143" t="e">
        <f t="shared" ca="1" si="57"/>
        <v>#NAME?</v>
      </c>
      <c r="AA61" s="143" t="e">
        <f t="shared" ca="1" si="57"/>
        <v>#NAME?</v>
      </c>
      <c r="AB61" s="143" t="e">
        <f t="shared" ca="1" si="57"/>
        <v>#NAME?</v>
      </c>
      <c r="AC61" s="143" t="e">
        <f t="shared" ca="1" si="57"/>
        <v>#NAME?</v>
      </c>
      <c r="AD61" s="143" t="e">
        <f t="shared" ca="1" si="57"/>
        <v>#NAME?</v>
      </c>
      <c r="AE61" s="143" t="e">
        <f t="shared" ca="1" si="57"/>
        <v>#NAME?</v>
      </c>
      <c r="AF61" s="143" t="e">
        <f t="shared" ca="1" si="57"/>
        <v>#NAME?</v>
      </c>
      <c r="AG61" s="143" t="e">
        <f t="shared" ca="1" si="57"/>
        <v>#NAME?</v>
      </c>
      <c r="AH61" s="143" t="e">
        <f t="shared" ca="1" si="57"/>
        <v>#NAME?</v>
      </c>
      <c r="AI61" s="143" t="e">
        <f t="shared" ca="1" si="57"/>
        <v>#NAME?</v>
      </c>
      <c r="AJ61" s="143" t="e">
        <f t="shared" ca="1" si="57"/>
        <v>#NAME?</v>
      </c>
      <c r="AK61" s="143" t="e">
        <f t="shared" ca="1" si="57"/>
        <v>#NAME?</v>
      </c>
    </row>
    <row r="63" spans="1:37" x14ac:dyDescent="0.25">
      <c r="A63" s="2" t="s">
        <v>39</v>
      </c>
    </row>
    <row r="64" spans="1:37" x14ac:dyDescent="0.25">
      <c r="A64" s="1" t="s">
        <v>23</v>
      </c>
      <c r="B64" s="1">
        <f>B46+(3*B47)</f>
        <v>0.39760935852974555</v>
      </c>
    </row>
    <row r="65" spans="1:37" x14ac:dyDescent="0.25">
      <c r="A65" s="1" t="s">
        <v>24</v>
      </c>
      <c r="B65" s="1">
        <f>B46+(10*B47)</f>
        <v>1.0324459514793742</v>
      </c>
    </row>
    <row r="66" spans="1:37" ht="15.75" thickBot="1" x14ac:dyDescent="0.3"/>
    <row r="67" spans="1:37" ht="27" thickBot="1" x14ac:dyDescent="0.45">
      <c r="A67" s="221" t="s">
        <v>45</v>
      </c>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3"/>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1:AK1"/>
    <mergeCell ref="A67:AK67"/>
    <mergeCell ref="A5:A20"/>
    <mergeCell ref="B3:M3"/>
    <mergeCell ref="O3:AK3"/>
    <mergeCell ref="B26:M26"/>
    <mergeCell ref="O26:AK26"/>
    <mergeCell ref="A28:A43"/>
    <mergeCell ref="A50:AK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J1" zoomScale="80" zoomScaleNormal="80" workbookViewId="0">
      <selection activeCell="Z5" sqref="Z5:AD12"/>
    </sheetView>
  </sheetViews>
  <sheetFormatPr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J1" s="1" t="s">
        <v>1636</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1</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2983</v>
      </c>
      <c r="D2" s="1" t="s">
        <v>2984</v>
      </c>
      <c r="E2" s="1" t="s">
        <v>2985</v>
      </c>
      <c r="F2" s="1" t="s">
        <v>112</v>
      </c>
      <c r="G2" s="1">
        <v>56108</v>
      </c>
      <c r="K2" s="158" t="s">
        <v>120</v>
      </c>
      <c r="L2" s="158"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1</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2986</v>
      </c>
      <c r="D3" s="1" t="s">
        <v>1081</v>
      </c>
      <c r="E3" s="1" t="s">
        <v>2987</v>
      </c>
      <c r="F3" s="1" t="s">
        <v>112</v>
      </c>
      <c r="G3" s="1">
        <v>241930</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1</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2988</v>
      </c>
      <c r="D4" s="1" t="s">
        <v>2989</v>
      </c>
      <c r="E4" s="1" t="s">
        <v>2990</v>
      </c>
      <c r="F4" s="1" t="s">
        <v>112</v>
      </c>
      <c r="G4" s="1">
        <v>308313</v>
      </c>
      <c r="K4" s="119" t="s">
        <v>100</v>
      </c>
      <c r="L4" s="1" t="s">
        <v>1637</v>
      </c>
      <c r="M4" s="1" t="s">
        <v>1638</v>
      </c>
      <c r="N4" s="1" t="s">
        <v>1639</v>
      </c>
      <c r="O4" s="1" t="s">
        <v>1640</v>
      </c>
      <c r="P4" s="1" t="s">
        <v>1641</v>
      </c>
      <c r="Q4" s="1" t="s">
        <v>1642</v>
      </c>
      <c r="R4" s="1" t="s">
        <v>1643</v>
      </c>
      <c r="S4" s="1" t="s">
        <v>1644</v>
      </c>
      <c r="T4" s="1" t="s">
        <v>1645</v>
      </c>
      <c r="U4" s="1" t="s">
        <v>1646</v>
      </c>
      <c r="V4" s="1" t="s">
        <v>1647</v>
      </c>
      <c r="W4" s="1" t="s">
        <v>1648</v>
      </c>
      <c r="X4" s="1" t="s">
        <v>1649</v>
      </c>
      <c r="Y4" s="1" t="s">
        <v>1650</v>
      </c>
      <c r="Z4" s="1" t="s">
        <v>1651</v>
      </c>
      <c r="AA4" s="1" t="s">
        <v>1652</v>
      </c>
      <c r="AB4" s="1" t="s">
        <v>1653</v>
      </c>
      <c r="AC4" s="1" t="s">
        <v>1654</v>
      </c>
      <c r="AD4" s="1" t="s">
        <v>1655</v>
      </c>
      <c r="AE4" s="1" t="s">
        <v>1656</v>
      </c>
      <c r="AF4" s="1" t="s">
        <v>1657</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1</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2991</v>
      </c>
      <c r="D5" s="1" t="s">
        <v>208</v>
      </c>
      <c r="E5" s="1">
        <v>30</v>
      </c>
      <c r="F5" s="1" t="s">
        <v>112</v>
      </c>
      <c r="G5" s="1">
        <v>649</v>
      </c>
      <c r="K5" s="146" t="s">
        <v>164</v>
      </c>
      <c r="L5" s="44">
        <v>202117</v>
      </c>
      <c r="M5" s="44">
        <v>524525</v>
      </c>
      <c r="N5" s="44">
        <v>1774401.3333333333</v>
      </c>
      <c r="O5" s="44">
        <v>3242126.6666666665</v>
      </c>
      <c r="P5" s="44">
        <v>15789.666666666666</v>
      </c>
      <c r="Q5" s="44">
        <v>465994.5</v>
      </c>
      <c r="R5" s="44">
        <v>3439</v>
      </c>
      <c r="S5" s="44">
        <v>514784</v>
      </c>
      <c r="T5" s="44">
        <v>2150602.6666666665</v>
      </c>
      <c r="U5" s="44"/>
      <c r="V5" s="44">
        <v>3438504.3333333335</v>
      </c>
      <c r="W5" s="44">
        <v>301275.66666666669</v>
      </c>
      <c r="X5" s="44">
        <v>48912</v>
      </c>
      <c r="Y5" s="44">
        <v>296740.66666666669</v>
      </c>
      <c r="Z5" s="44">
        <v>649790.66666666663</v>
      </c>
      <c r="AA5" s="44">
        <v>700924</v>
      </c>
      <c r="AB5" s="44">
        <v>1198786.6666666667</v>
      </c>
      <c r="AC5" s="44">
        <v>1562320</v>
      </c>
      <c r="AD5" s="44">
        <v>415575</v>
      </c>
      <c r="AE5" s="44">
        <v>125338.33333333333</v>
      </c>
      <c r="AF5" s="44">
        <v>279231.5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1</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2992</v>
      </c>
      <c r="K6" s="146" t="s">
        <v>1658</v>
      </c>
      <c r="L6" s="44">
        <v>25512.5</v>
      </c>
      <c r="M6" s="44">
        <v>3299395.3333333335</v>
      </c>
      <c r="N6" s="44">
        <v>3298984.3333333335</v>
      </c>
      <c r="O6" s="44">
        <v>3166840</v>
      </c>
      <c r="P6" s="44">
        <v>92568.666666666672</v>
      </c>
      <c r="Q6" s="44">
        <v>229623</v>
      </c>
      <c r="R6" s="44">
        <v>36933</v>
      </c>
      <c r="S6" s="44">
        <v>202917.66666666666</v>
      </c>
      <c r="T6" s="44">
        <v>423131.33333333331</v>
      </c>
      <c r="U6" s="44">
        <v>2129787.3333333335</v>
      </c>
      <c r="V6" s="44">
        <v>3492795.3333333335</v>
      </c>
      <c r="W6" s="44">
        <v>84191</v>
      </c>
      <c r="X6" s="44">
        <v>123167.66666666667</v>
      </c>
      <c r="Y6" s="44">
        <v>1572</v>
      </c>
      <c r="Z6" s="44"/>
      <c r="AA6" s="44">
        <v>1760205</v>
      </c>
      <c r="AB6" s="44">
        <v>2407508</v>
      </c>
      <c r="AC6" s="44">
        <v>3672056.6666666665</v>
      </c>
      <c r="AD6" s="44">
        <v>1093102.6666666667</v>
      </c>
      <c r="AE6" s="44">
        <v>265471</v>
      </c>
      <c r="AF6" s="44">
        <v>126621</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1</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2993</v>
      </c>
      <c r="D7" s="1" t="s">
        <v>2994</v>
      </c>
      <c r="E7" s="1" t="s">
        <v>2995</v>
      </c>
      <c r="F7" s="1" t="s">
        <v>112</v>
      </c>
      <c r="G7" s="1">
        <v>50376</v>
      </c>
      <c r="K7" s="146" t="s">
        <v>1659</v>
      </c>
      <c r="L7" s="44">
        <v>325443.33333333331</v>
      </c>
      <c r="M7" s="44">
        <v>2875939.6666666665</v>
      </c>
      <c r="N7" s="44"/>
      <c r="O7" s="44">
        <v>3025459.6666666665</v>
      </c>
      <c r="P7" s="44">
        <v>145688</v>
      </c>
      <c r="Q7" s="44">
        <v>45596</v>
      </c>
      <c r="R7" s="44">
        <v>75452.333333333328</v>
      </c>
      <c r="S7" s="44">
        <v>258592.66666666666</v>
      </c>
      <c r="T7" s="44">
        <v>1446549.3333333333</v>
      </c>
      <c r="U7" s="44">
        <v>2603583</v>
      </c>
      <c r="V7" s="44"/>
      <c r="W7" s="44">
        <v>144163.33333333334</v>
      </c>
      <c r="X7" s="44">
        <v>181741.66666666666</v>
      </c>
      <c r="Y7" s="44">
        <v>14719</v>
      </c>
      <c r="Z7" s="44">
        <v>1394731.6666666667</v>
      </c>
      <c r="AA7" s="44">
        <v>1547345</v>
      </c>
      <c r="AB7" s="44">
        <v>2747213</v>
      </c>
      <c r="AC7" s="44">
        <v>873934</v>
      </c>
      <c r="AD7" s="44">
        <v>3903677</v>
      </c>
      <c r="AE7" s="44">
        <v>24290.333333333332</v>
      </c>
      <c r="AF7" s="44">
        <v>316820</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1</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2996</v>
      </c>
      <c r="D8" s="1" t="s">
        <v>2997</v>
      </c>
      <c r="E8" s="1" t="s">
        <v>2998</v>
      </c>
      <c r="F8" s="1" t="s">
        <v>112</v>
      </c>
      <c r="G8" s="1">
        <v>338183</v>
      </c>
      <c r="K8" s="146" t="s">
        <v>1660</v>
      </c>
      <c r="L8" s="44">
        <v>247457</v>
      </c>
      <c r="M8" s="44">
        <v>1160458.3333333333</v>
      </c>
      <c r="N8" s="44">
        <v>2138043</v>
      </c>
      <c r="O8" s="44">
        <v>2778958.3333333335</v>
      </c>
      <c r="P8" s="44">
        <v>59237</v>
      </c>
      <c r="Q8" s="44">
        <v>348025</v>
      </c>
      <c r="R8" s="44">
        <v>394010</v>
      </c>
      <c r="S8" s="44">
        <v>203306.66666666666</v>
      </c>
      <c r="T8" s="44">
        <v>3231455.6666666665</v>
      </c>
      <c r="U8" s="44">
        <v>1676014</v>
      </c>
      <c r="V8" s="44">
        <v>5294731.333333333</v>
      </c>
      <c r="W8" s="44">
        <v>69871.666666666672</v>
      </c>
      <c r="X8" s="44">
        <v>65264.666666666664</v>
      </c>
      <c r="Y8" s="44">
        <v>385736.5</v>
      </c>
      <c r="Z8" s="44">
        <v>1418293.6666666667</v>
      </c>
      <c r="AA8" s="44">
        <v>1722215.3333333333</v>
      </c>
      <c r="AB8" s="44">
        <v>1935169</v>
      </c>
      <c r="AC8" s="44">
        <v>3084214</v>
      </c>
      <c r="AD8" s="44">
        <v>73685.666666666672</v>
      </c>
      <c r="AE8" s="44">
        <v>401537.5</v>
      </c>
      <c r="AF8" s="44">
        <v>293135.33333333331</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1</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2999</v>
      </c>
      <c r="D9" s="1" t="s">
        <v>3000</v>
      </c>
      <c r="E9" s="1" t="s">
        <v>3001</v>
      </c>
      <c r="F9" s="1" t="s">
        <v>112</v>
      </c>
      <c r="G9" s="1">
        <v>113665</v>
      </c>
      <c r="K9" s="146" t="s">
        <v>1661</v>
      </c>
      <c r="L9" s="44">
        <v>212326.33333333334</v>
      </c>
      <c r="M9" s="44">
        <v>2282913</v>
      </c>
      <c r="N9" s="44">
        <v>2464546.3333333335</v>
      </c>
      <c r="O9" s="44">
        <v>3404422.6666666665</v>
      </c>
      <c r="P9" s="44">
        <v>71876</v>
      </c>
      <c r="Q9" s="44"/>
      <c r="R9" s="44">
        <v>146009</v>
      </c>
      <c r="S9" s="44">
        <v>172556</v>
      </c>
      <c r="T9" s="44">
        <v>1304152.6666666667</v>
      </c>
      <c r="U9" s="44">
        <v>2607534.6666666665</v>
      </c>
      <c r="V9" s="44">
        <v>3681322</v>
      </c>
      <c r="W9" s="44">
        <v>117724</v>
      </c>
      <c r="X9" s="44">
        <v>229608.33333333334</v>
      </c>
      <c r="Y9" s="44">
        <v>271747.5</v>
      </c>
      <c r="Z9" s="44">
        <v>954852</v>
      </c>
      <c r="AA9" s="44"/>
      <c r="AB9" s="44">
        <v>1709165.3333333333</v>
      </c>
      <c r="AC9" s="44">
        <v>3025863.6666666665</v>
      </c>
      <c r="AD9" s="44">
        <v>1188584</v>
      </c>
      <c r="AE9" s="44">
        <v>133124.66666666666</v>
      </c>
      <c r="AF9" s="44">
        <v>236429.33333333334</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1</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3002</v>
      </c>
      <c r="D10" s="1" t="s">
        <v>3003</v>
      </c>
      <c r="E10" s="1" t="s">
        <v>3004</v>
      </c>
      <c r="F10" s="1" t="s">
        <v>112</v>
      </c>
      <c r="G10" s="1">
        <v>524482</v>
      </c>
      <c r="K10" s="146" t="s">
        <v>1662</v>
      </c>
      <c r="L10" s="44">
        <v>50664.666666666664</v>
      </c>
      <c r="M10" s="44">
        <v>33879.666666666664</v>
      </c>
      <c r="N10" s="44">
        <v>2365265</v>
      </c>
      <c r="O10" s="44">
        <v>4690514.666666667</v>
      </c>
      <c r="P10" s="44">
        <v>85481.333333333328</v>
      </c>
      <c r="Q10" s="44">
        <v>145547.33333333334</v>
      </c>
      <c r="R10" s="44">
        <v>109223.66666666667</v>
      </c>
      <c r="S10" s="44">
        <v>1756044.6666666667</v>
      </c>
      <c r="T10" s="44">
        <v>1905492.6666666667</v>
      </c>
      <c r="U10" s="44">
        <v>1963324</v>
      </c>
      <c r="V10" s="44">
        <v>5186661.333333333</v>
      </c>
      <c r="W10" s="44">
        <v>29388</v>
      </c>
      <c r="X10" s="44">
        <v>220170.66666666666</v>
      </c>
      <c r="Y10" s="44">
        <v>216.33333333333334</v>
      </c>
      <c r="Z10" s="44">
        <v>616545.66666666663</v>
      </c>
      <c r="AA10" s="44">
        <v>1673209.3333333333</v>
      </c>
      <c r="AB10" s="44">
        <v>2185600</v>
      </c>
      <c r="AC10" s="44">
        <v>770197</v>
      </c>
      <c r="AD10" s="44">
        <v>47715.666666666664</v>
      </c>
      <c r="AE10" s="44">
        <v>301030.33333333331</v>
      </c>
      <c r="AF10" s="44">
        <v>0</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1</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3005</v>
      </c>
      <c r="K11" s="146" t="s">
        <v>1663</v>
      </c>
      <c r="L11" s="44">
        <v>189067</v>
      </c>
      <c r="M11" s="44">
        <v>3531419.3333333335</v>
      </c>
      <c r="N11" s="44">
        <v>548181</v>
      </c>
      <c r="O11" s="44"/>
      <c r="P11" s="44">
        <v>333107.33333333331</v>
      </c>
      <c r="Q11" s="44">
        <v>118467</v>
      </c>
      <c r="R11" s="44">
        <v>501518</v>
      </c>
      <c r="S11" s="44">
        <v>149203</v>
      </c>
      <c r="T11" s="44">
        <v>242737.66666666666</v>
      </c>
      <c r="U11" s="44">
        <v>2628457.6666666665</v>
      </c>
      <c r="V11" s="44">
        <v>4722772.333333333</v>
      </c>
      <c r="W11" s="44">
        <v>96880.333333333328</v>
      </c>
      <c r="X11" s="44"/>
      <c r="Y11" s="44">
        <v>261181</v>
      </c>
      <c r="Z11" s="44">
        <v>192722.33333333334</v>
      </c>
      <c r="AA11" s="44">
        <v>3200323</v>
      </c>
      <c r="AB11" s="44">
        <v>2284009</v>
      </c>
      <c r="AC11" s="44">
        <v>2401841.3333333335</v>
      </c>
      <c r="AD11" s="44">
        <v>1720506.6666666667</v>
      </c>
      <c r="AE11" s="44">
        <v>426123.33333333331</v>
      </c>
      <c r="AF11" s="44">
        <v>171935.66666666666</v>
      </c>
      <c r="AG11"/>
    </row>
    <row r="12" spans="1:144" x14ac:dyDescent="0.25">
      <c r="A12" s="1" t="str">
        <f t="shared" si="0"/>
        <v>1</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3006</v>
      </c>
      <c r="D12" s="1" t="s">
        <v>3007</v>
      </c>
      <c r="E12" s="1" t="s">
        <v>3008</v>
      </c>
      <c r="F12" s="1" t="s">
        <v>112</v>
      </c>
      <c r="G12" s="1">
        <v>98849</v>
      </c>
      <c r="K12" s="146" t="s">
        <v>1664</v>
      </c>
      <c r="L12" s="44">
        <v>282313.33333333331</v>
      </c>
      <c r="M12" s="44">
        <v>2310484</v>
      </c>
      <c r="N12" s="44">
        <v>1722691.5</v>
      </c>
      <c r="O12" s="44">
        <v>1241433.3333333333</v>
      </c>
      <c r="P12" s="44"/>
      <c r="Q12" s="44">
        <v>257900.33333333334</v>
      </c>
      <c r="R12" s="44">
        <v>415135.33333333331</v>
      </c>
      <c r="S12" s="44">
        <v>439887</v>
      </c>
      <c r="T12" s="44">
        <v>1141654.6666666667</v>
      </c>
      <c r="U12" s="44">
        <v>3498765.3333333335</v>
      </c>
      <c r="V12" s="44">
        <v>4839357.333333333</v>
      </c>
      <c r="W12" s="44">
        <v>193558.66666666666</v>
      </c>
      <c r="X12" s="44">
        <v>489225</v>
      </c>
      <c r="Y12" s="44">
        <v>2220.6666666666665</v>
      </c>
      <c r="Z12" s="44">
        <v>2411271.6666666665</v>
      </c>
      <c r="AA12" s="44">
        <v>1682409</v>
      </c>
      <c r="AB12" s="44">
        <v>1835606.3333333333</v>
      </c>
      <c r="AC12" s="44">
        <v>2768389</v>
      </c>
      <c r="AD12" s="44">
        <v>2279711.6666666665</v>
      </c>
      <c r="AE12" s="44">
        <v>36186.666666666664</v>
      </c>
      <c r="AF12" s="44">
        <v>42199.666666666664</v>
      </c>
      <c r="AG12"/>
    </row>
    <row r="13" spans="1:144" x14ac:dyDescent="0.25">
      <c r="A13" s="1" t="str">
        <f t="shared" si="0"/>
        <v>1</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3009</v>
      </c>
      <c r="D13" s="1" t="s">
        <v>3010</v>
      </c>
      <c r="E13" s="1" t="s">
        <v>3011</v>
      </c>
      <c r="F13" s="1" t="s">
        <v>112</v>
      </c>
      <c r="G13" s="1">
        <v>396065</v>
      </c>
      <c r="K13"/>
      <c r="L13"/>
      <c r="M13"/>
      <c r="N13"/>
      <c r="O13"/>
      <c r="P13"/>
      <c r="Q13"/>
      <c r="R13"/>
      <c r="S13"/>
      <c r="T13"/>
      <c r="U13"/>
      <c r="V13"/>
      <c r="W13"/>
      <c r="X13"/>
      <c r="Y13"/>
      <c r="Z13"/>
      <c r="AA13"/>
      <c r="AB13"/>
      <c r="AC13"/>
      <c r="AD13"/>
      <c r="AE13"/>
      <c r="AF13"/>
      <c r="AG13"/>
    </row>
    <row r="14" spans="1:144" x14ac:dyDescent="0.25">
      <c r="A14" s="1" t="str">
        <f t="shared" si="0"/>
        <v>1</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3012</v>
      </c>
      <c r="D14" s="1" t="s">
        <v>980</v>
      </c>
      <c r="E14" s="1" t="s">
        <v>3013</v>
      </c>
      <c r="F14" s="1" t="s">
        <v>112</v>
      </c>
      <c r="G14" s="1">
        <v>183443</v>
      </c>
      <c r="K14"/>
      <c r="L14"/>
      <c r="M14"/>
      <c r="N14"/>
      <c r="O14"/>
      <c r="P14"/>
      <c r="Q14"/>
      <c r="R14"/>
      <c r="S14"/>
      <c r="T14"/>
      <c r="U14"/>
      <c r="V14"/>
      <c r="W14"/>
      <c r="X14"/>
      <c r="Y14"/>
      <c r="Z14"/>
      <c r="AA14"/>
      <c r="AB14"/>
      <c r="AC14"/>
      <c r="AD14"/>
      <c r="AE14"/>
      <c r="AF14"/>
      <c r="AG14"/>
    </row>
    <row r="15" spans="1:144" x14ac:dyDescent="0.25">
      <c r="A15" s="1" t="str">
        <f t="shared" si="0"/>
        <v>1</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3014</v>
      </c>
      <c r="D15" s="1" t="s">
        <v>3015</v>
      </c>
      <c r="E15" s="1" t="s">
        <v>3016</v>
      </c>
      <c r="F15" s="1" t="s">
        <v>112</v>
      </c>
      <c r="G15" s="1">
        <v>207150</v>
      </c>
    </row>
    <row r="16" spans="1:144" x14ac:dyDescent="0.25">
      <c r="A16" s="1" t="str">
        <f t="shared" si="0"/>
        <v>1</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3017</v>
      </c>
      <c r="D16" s="1" t="s">
        <v>3018</v>
      </c>
      <c r="E16" s="1" t="s">
        <v>3019</v>
      </c>
      <c r="F16" s="1" t="s">
        <v>112</v>
      </c>
      <c r="G16" s="1">
        <v>246386</v>
      </c>
    </row>
    <row r="17" spans="1:10" x14ac:dyDescent="0.25">
      <c r="A17" s="1" t="str">
        <f t="shared" si="0"/>
        <v>1</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3020</v>
      </c>
      <c r="D17" s="1" t="s">
        <v>3021</v>
      </c>
      <c r="E17" s="1" t="s">
        <v>3022</v>
      </c>
      <c r="F17" s="1" t="s">
        <v>112</v>
      </c>
      <c r="G17" s="1">
        <v>72439</v>
      </c>
    </row>
    <row r="18" spans="1:10" x14ac:dyDescent="0.25">
      <c r="A18" s="1" t="str">
        <f t="shared" si="0"/>
        <v>1</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3023</v>
      </c>
      <c r="D18" s="1" t="s">
        <v>1602</v>
      </c>
      <c r="E18" s="1" t="s">
        <v>3024</v>
      </c>
      <c r="F18" s="1" t="s">
        <v>112</v>
      </c>
      <c r="G18" s="1">
        <v>66880</v>
      </c>
    </row>
    <row r="19" spans="1:10" x14ac:dyDescent="0.25">
      <c r="A19" s="1" t="str">
        <f t="shared" si="0"/>
        <v>1</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3025</v>
      </c>
      <c r="D19" s="1" t="s">
        <v>1948</v>
      </c>
      <c r="E19" s="1" t="s">
        <v>3026</v>
      </c>
      <c r="F19" s="1" t="s">
        <v>112</v>
      </c>
      <c r="G19" s="1">
        <v>12675</v>
      </c>
    </row>
    <row r="20" spans="1:10" x14ac:dyDescent="0.25">
      <c r="A20" s="1" t="str">
        <f t="shared" si="0"/>
        <v>1</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3027</v>
      </c>
      <c r="D20" s="1">
        <v>0</v>
      </c>
      <c r="E20" s="1">
        <v>0</v>
      </c>
      <c r="F20" s="1" t="s">
        <v>112</v>
      </c>
      <c r="G20" s="1">
        <v>0</v>
      </c>
    </row>
    <row r="21" spans="1:10" x14ac:dyDescent="0.25">
      <c r="A21" s="1" t="str">
        <f t="shared" si="0"/>
        <v>1</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3028</v>
      </c>
      <c r="D21" s="1" t="s">
        <v>3029</v>
      </c>
      <c r="E21" s="1" t="s">
        <v>3030</v>
      </c>
      <c r="F21" s="1" t="s">
        <v>112</v>
      </c>
      <c r="G21" s="1">
        <v>274462</v>
      </c>
    </row>
    <row r="22" spans="1:10" x14ac:dyDescent="0.25">
      <c r="A22" s="1" t="str">
        <f t="shared" si="0"/>
        <v>1</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3031</v>
      </c>
      <c r="D22" s="1" t="s">
        <v>3032</v>
      </c>
      <c r="E22" s="1" t="s">
        <v>3033</v>
      </c>
      <c r="F22" s="1" t="s">
        <v>112</v>
      </c>
      <c r="G22" s="1">
        <v>292739</v>
      </c>
    </row>
    <row r="23" spans="1:10" x14ac:dyDescent="0.25">
      <c r="A23" s="1" t="str">
        <f t="shared" si="0"/>
        <v>1</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3034</v>
      </c>
      <c r="D23" s="1">
        <v>0</v>
      </c>
      <c r="E23" s="1">
        <v>0</v>
      </c>
      <c r="F23" s="1" t="s">
        <v>112</v>
      </c>
      <c r="G23" s="1">
        <v>0</v>
      </c>
    </row>
    <row r="24" spans="1:10" x14ac:dyDescent="0.25">
      <c r="A24" s="1" t="str">
        <f t="shared" si="0"/>
        <v>1</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3035</v>
      </c>
      <c r="D24" s="1" t="s">
        <v>359</v>
      </c>
      <c r="E24" s="1" t="s">
        <v>3036</v>
      </c>
      <c r="F24" s="1" t="s">
        <v>112</v>
      </c>
      <c r="G24" s="1">
        <v>472829</v>
      </c>
    </row>
    <row r="25" spans="1:10" x14ac:dyDescent="0.25">
      <c r="A25" s="1" t="str">
        <f t="shared" si="0"/>
        <v>1</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3037</v>
      </c>
      <c r="D25" s="1" t="s">
        <v>3038</v>
      </c>
      <c r="E25" s="1" t="s">
        <v>3039</v>
      </c>
      <c r="F25" s="1" t="s">
        <v>112</v>
      </c>
      <c r="G25" s="1">
        <v>374111</v>
      </c>
    </row>
    <row r="26" spans="1:10"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10"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219</v>
      </c>
      <c r="D27" s="1" t="s">
        <v>112</v>
      </c>
      <c r="E27" s="1" t="s">
        <v>220</v>
      </c>
      <c r="F27" s="1" t="s">
        <v>221</v>
      </c>
      <c r="G27" s="1" t="s">
        <v>222</v>
      </c>
      <c r="H27" s="1" t="s">
        <v>223</v>
      </c>
      <c r="I27" s="1" t="s">
        <v>224</v>
      </c>
      <c r="J27" s="1" t="s">
        <v>225</v>
      </c>
    </row>
    <row r="28" spans="1:10" x14ac:dyDescent="0.25">
      <c r="A28" s="1" t="str">
        <f t="shared" si="0"/>
        <v>1</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3040</v>
      </c>
      <c r="D28" s="1" t="s">
        <v>112</v>
      </c>
      <c r="E28" s="1" t="s">
        <v>3041</v>
      </c>
      <c r="F28" s="1" t="s">
        <v>3042</v>
      </c>
      <c r="G28" s="1" t="s">
        <v>3043</v>
      </c>
      <c r="H28" s="1" t="s">
        <v>3044</v>
      </c>
      <c r="I28" s="1">
        <v>21</v>
      </c>
      <c r="J28" s="1">
        <v>24</v>
      </c>
    </row>
    <row r="29" spans="1:10"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10"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10"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10"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231</v>
      </c>
      <c r="D34" s="1" t="s">
        <v>110</v>
      </c>
      <c r="E34" s="1" t="s">
        <v>111</v>
      </c>
      <c r="F34" s="1" t="s">
        <v>112</v>
      </c>
      <c r="G34" s="1" t="s">
        <v>113</v>
      </c>
    </row>
    <row r="35" spans="1:7" x14ac:dyDescent="0.25">
      <c r="A35" s="1" t="str">
        <f t="shared" si="0"/>
        <v>13</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3045</v>
      </c>
    </row>
    <row r="36" spans="1:7" x14ac:dyDescent="0.25">
      <c r="A36" s="1" t="str">
        <f t="shared" si="0"/>
        <v>13</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3046</v>
      </c>
    </row>
    <row r="37" spans="1:7" x14ac:dyDescent="0.25">
      <c r="A37" s="1" t="str">
        <f t="shared" si="0"/>
        <v>13</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3047</v>
      </c>
      <c r="D37" s="1" t="s">
        <v>3048</v>
      </c>
      <c r="E37" s="1" t="s">
        <v>3049</v>
      </c>
      <c r="F37" s="1" t="s">
        <v>112</v>
      </c>
      <c r="G37" s="1">
        <v>524525</v>
      </c>
    </row>
    <row r="38" spans="1:7" x14ac:dyDescent="0.25">
      <c r="A38" s="1" t="str">
        <f t="shared" si="0"/>
        <v>13</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3050</v>
      </c>
      <c r="D38" s="1" t="s">
        <v>3051</v>
      </c>
      <c r="E38" s="1" t="s">
        <v>3052</v>
      </c>
      <c r="F38" s="1" t="s">
        <v>112</v>
      </c>
      <c r="G38" s="1">
        <v>3679440</v>
      </c>
    </row>
    <row r="39" spans="1:7" x14ac:dyDescent="0.25">
      <c r="A39" s="1" t="str">
        <f t="shared" si="0"/>
        <v>13</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3053</v>
      </c>
      <c r="D39" s="1" t="s">
        <v>3054</v>
      </c>
      <c r="E39" s="1" t="s">
        <v>3055</v>
      </c>
      <c r="F39" s="1" t="s">
        <v>112</v>
      </c>
      <c r="G39" s="1">
        <v>3119809</v>
      </c>
    </row>
    <row r="40" spans="1:7" x14ac:dyDescent="0.25">
      <c r="A40" s="1" t="str">
        <f t="shared" si="0"/>
        <v>13</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3056</v>
      </c>
      <c r="D40" s="1" t="s">
        <v>2308</v>
      </c>
      <c r="E40" s="1" t="s">
        <v>3057</v>
      </c>
      <c r="F40" s="1" t="s">
        <v>112</v>
      </c>
      <c r="G40" s="1">
        <v>3098937</v>
      </c>
    </row>
    <row r="41" spans="1:7" x14ac:dyDescent="0.25">
      <c r="A41" s="1" t="str">
        <f t="shared" si="0"/>
        <v>13</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3058</v>
      </c>
      <c r="D41" s="1" t="s">
        <v>248</v>
      </c>
      <c r="E41" s="1" t="s">
        <v>3059</v>
      </c>
      <c r="F41" s="1" t="s">
        <v>112</v>
      </c>
      <c r="G41" s="1">
        <v>2437300</v>
      </c>
    </row>
    <row r="42" spans="1:7" x14ac:dyDescent="0.25">
      <c r="A42" s="1" t="str">
        <f t="shared" si="0"/>
        <v>13</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3060</v>
      </c>
      <c r="D42" s="1" t="s">
        <v>3061</v>
      </c>
      <c r="E42" s="1" t="s">
        <v>3062</v>
      </c>
      <c r="F42" s="1" t="s">
        <v>112</v>
      </c>
      <c r="G42" s="1">
        <v>3014472</v>
      </c>
    </row>
    <row r="43" spans="1:7" x14ac:dyDescent="0.25">
      <c r="A43" s="1" t="str">
        <f t="shared" si="0"/>
        <v>13</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3063</v>
      </c>
      <c r="D43" s="1" t="s">
        <v>3064</v>
      </c>
      <c r="E43" s="1" t="s">
        <v>3065</v>
      </c>
      <c r="F43" s="1" t="s">
        <v>112</v>
      </c>
      <c r="G43" s="1">
        <v>3176047</v>
      </c>
    </row>
    <row r="44" spans="1:7" x14ac:dyDescent="0.25">
      <c r="A44" s="1" t="str">
        <f t="shared" si="0"/>
        <v>13</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3066</v>
      </c>
      <c r="D44" s="1" t="s">
        <v>3067</v>
      </c>
      <c r="E44" s="1" t="s">
        <v>3068</v>
      </c>
      <c r="F44" s="1" t="s">
        <v>112</v>
      </c>
      <c r="G44" s="1">
        <v>1257108</v>
      </c>
    </row>
    <row r="45" spans="1:7" x14ac:dyDescent="0.25">
      <c r="A45" s="1" t="str">
        <f t="shared" si="0"/>
        <v>13</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3069</v>
      </c>
      <c r="D45" s="1" t="s">
        <v>3070</v>
      </c>
      <c r="E45" s="1" t="s">
        <v>3071</v>
      </c>
      <c r="F45" s="1" t="s">
        <v>112</v>
      </c>
      <c r="G45" s="1">
        <v>1081646</v>
      </c>
    </row>
    <row r="46" spans="1:7" x14ac:dyDescent="0.25">
      <c r="A46" s="1" t="str">
        <f t="shared" si="0"/>
        <v>13</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3072</v>
      </c>
      <c r="D46" s="1" t="s">
        <v>3073</v>
      </c>
      <c r="E46" s="1" t="s">
        <v>3074</v>
      </c>
      <c r="F46" s="1" t="s">
        <v>112</v>
      </c>
      <c r="G46" s="1">
        <v>1142621</v>
      </c>
    </row>
    <row r="47" spans="1:7" x14ac:dyDescent="0.25">
      <c r="A47" s="1" t="str">
        <f t="shared" si="0"/>
        <v>13</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3075</v>
      </c>
      <c r="D47" s="1" t="s">
        <v>3076</v>
      </c>
      <c r="E47" s="1" t="s">
        <v>3077</v>
      </c>
      <c r="F47" s="1" t="s">
        <v>112</v>
      </c>
      <c r="G47" s="1">
        <v>2200301</v>
      </c>
    </row>
    <row r="48" spans="1:7" x14ac:dyDescent="0.25">
      <c r="A48" s="1" t="str">
        <f t="shared" si="0"/>
        <v>13</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3078</v>
      </c>
      <c r="D48" s="1" t="s">
        <v>3079</v>
      </c>
      <c r="E48" s="1" t="s">
        <v>3080</v>
      </c>
      <c r="F48" s="1" t="s">
        <v>112</v>
      </c>
      <c r="G48" s="1">
        <v>2464835</v>
      </c>
    </row>
    <row r="49" spans="1:10" x14ac:dyDescent="0.25">
      <c r="A49" s="1" t="str">
        <f t="shared" si="0"/>
        <v>13</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3081</v>
      </c>
      <c r="D49" s="1" t="s">
        <v>3082</v>
      </c>
      <c r="E49" s="1" t="s">
        <v>3083</v>
      </c>
      <c r="F49" s="1" t="s">
        <v>112</v>
      </c>
      <c r="G49" s="1">
        <v>2183603</v>
      </c>
    </row>
    <row r="50" spans="1:10" x14ac:dyDescent="0.25">
      <c r="A50" s="1" t="str">
        <f t="shared" si="0"/>
        <v>13</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3084</v>
      </c>
      <c r="D50" s="1" t="s">
        <v>3085</v>
      </c>
      <c r="E50" s="1" t="s">
        <v>3086</v>
      </c>
      <c r="F50" s="1" t="s">
        <v>112</v>
      </c>
      <c r="G50" s="1">
        <v>44839</v>
      </c>
    </row>
    <row r="51" spans="1:10" x14ac:dyDescent="0.25">
      <c r="A51" s="1" t="str">
        <f t="shared" si="0"/>
        <v>13</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3087</v>
      </c>
      <c r="D51" s="1" t="s">
        <v>1586</v>
      </c>
      <c r="E51" s="1" t="s">
        <v>3088</v>
      </c>
      <c r="F51" s="1" t="s">
        <v>112</v>
      </c>
      <c r="G51" s="1">
        <v>50744</v>
      </c>
    </row>
    <row r="52" spans="1:10" x14ac:dyDescent="0.25">
      <c r="A52" s="1" t="str">
        <f t="shared" si="0"/>
        <v>13</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3089</v>
      </c>
      <c r="D52" s="1" t="s">
        <v>196</v>
      </c>
      <c r="E52" s="1" t="s">
        <v>2895</v>
      </c>
      <c r="F52" s="1" t="s">
        <v>112</v>
      </c>
      <c r="G52" s="1">
        <v>6056</v>
      </c>
    </row>
    <row r="53" spans="1:10" x14ac:dyDescent="0.25">
      <c r="A53" s="1" t="str">
        <f t="shared" si="0"/>
        <v>13</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3090</v>
      </c>
      <c r="D53" s="1" t="s">
        <v>3091</v>
      </c>
      <c r="E53" s="1" t="s">
        <v>3092</v>
      </c>
      <c r="F53" s="1" t="s">
        <v>112</v>
      </c>
      <c r="G53" s="1">
        <v>3094027</v>
      </c>
    </row>
    <row r="54" spans="1:10" x14ac:dyDescent="0.25">
      <c r="A54" s="1" t="str">
        <f t="shared" si="0"/>
        <v>13</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3093</v>
      </c>
      <c r="D54" s="1" t="s">
        <v>385</v>
      </c>
      <c r="E54" s="1" t="s">
        <v>3094</v>
      </c>
      <c r="F54" s="1" t="s">
        <v>112</v>
      </c>
      <c r="G54" s="1">
        <v>3309244</v>
      </c>
    </row>
    <row r="55" spans="1:10" x14ac:dyDescent="0.25">
      <c r="A55" s="1" t="str">
        <f t="shared" si="0"/>
        <v>13</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3095</v>
      </c>
      <c r="D55" s="1" t="s">
        <v>3096</v>
      </c>
      <c r="E55" s="1" t="s">
        <v>3097</v>
      </c>
      <c r="F55" s="1" t="s">
        <v>112</v>
      </c>
      <c r="G55" s="1">
        <v>4190987</v>
      </c>
    </row>
    <row r="56" spans="1:10" x14ac:dyDescent="0.25">
      <c r="A56" s="1" t="str">
        <f t="shared" si="0"/>
        <v>13</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3098</v>
      </c>
      <c r="D56" s="1" t="s">
        <v>3099</v>
      </c>
      <c r="E56" s="1" t="s">
        <v>3100</v>
      </c>
      <c r="F56" s="1" t="s">
        <v>112</v>
      </c>
      <c r="G56" s="1">
        <v>2567815</v>
      </c>
    </row>
    <row r="57" spans="1:10" x14ac:dyDescent="0.25">
      <c r="A57" s="1" t="str">
        <f t="shared" si="0"/>
        <v>13</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3101</v>
      </c>
      <c r="D57" s="1" t="s">
        <v>3102</v>
      </c>
      <c r="E57" s="1" t="s">
        <v>3103</v>
      </c>
      <c r="F57" s="1" t="s">
        <v>112</v>
      </c>
      <c r="G57" s="1">
        <v>1842067</v>
      </c>
    </row>
    <row r="58" spans="1:10" x14ac:dyDescent="0.25">
      <c r="A58" s="1" t="str">
        <f t="shared" si="0"/>
        <v>13</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3104</v>
      </c>
      <c r="D58" s="1" t="s">
        <v>3105</v>
      </c>
      <c r="E58" s="1" t="s">
        <v>3106</v>
      </c>
      <c r="F58" s="1" t="s">
        <v>112</v>
      </c>
      <c r="G58" s="1">
        <v>2521570</v>
      </c>
    </row>
    <row r="59" spans="1:10"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10"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219</v>
      </c>
      <c r="D60" s="1" t="s">
        <v>112</v>
      </c>
      <c r="E60" s="1" t="s">
        <v>220</v>
      </c>
      <c r="F60" s="1" t="s">
        <v>221</v>
      </c>
      <c r="G60" s="1" t="s">
        <v>222</v>
      </c>
      <c r="H60" s="1" t="s">
        <v>223</v>
      </c>
      <c r="I60" s="1" t="s">
        <v>224</v>
      </c>
      <c r="J60" s="1" t="s">
        <v>225</v>
      </c>
    </row>
    <row r="61" spans="1:10" x14ac:dyDescent="0.25">
      <c r="A61" s="1" t="str">
        <f t="shared" si="0"/>
        <v>13</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3107</v>
      </c>
      <c r="D61" s="1" t="s">
        <v>112</v>
      </c>
      <c r="E61" s="1" t="s">
        <v>3108</v>
      </c>
      <c r="F61" s="1" t="s">
        <v>3109</v>
      </c>
      <c r="G61" s="1" t="s">
        <v>3110</v>
      </c>
      <c r="H61" s="1" t="s">
        <v>3111</v>
      </c>
      <c r="I61" s="1">
        <v>24</v>
      </c>
      <c r="J61" s="1">
        <v>24</v>
      </c>
    </row>
    <row r="62" spans="1:10"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10"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10"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231</v>
      </c>
      <c r="D67" s="1" t="s">
        <v>110</v>
      </c>
      <c r="E67" s="1" t="s">
        <v>111</v>
      </c>
      <c r="F67" s="1" t="s">
        <v>112</v>
      </c>
      <c r="G67" s="1" t="s">
        <v>113</v>
      </c>
    </row>
    <row r="68" spans="1:7" x14ac:dyDescent="0.25">
      <c r="A68" s="1" t="str">
        <f t="shared" si="1"/>
        <v>14</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3112</v>
      </c>
      <c r="D68" s="1" t="s">
        <v>2132</v>
      </c>
      <c r="E68" s="1" t="s">
        <v>3113</v>
      </c>
      <c r="F68" s="1" t="s">
        <v>112</v>
      </c>
      <c r="G68" s="1">
        <v>2061783</v>
      </c>
    </row>
    <row r="69" spans="1:7" x14ac:dyDescent="0.25">
      <c r="A69" s="1" t="str">
        <f t="shared" si="1"/>
        <v>14</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3114</v>
      </c>
      <c r="D69" s="1" t="s">
        <v>2155</v>
      </c>
      <c r="E69" s="1" t="s">
        <v>3115</v>
      </c>
      <c r="F69" s="1" t="s">
        <v>112</v>
      </c>
      <c r="G69" s="1">
        <v>1636064</v>
      </c>
    </row>
    <row r="70" spans="1:7" x14ac:dyDescent="0.25">
      <c r="A70" s="1" t="str">
        <f t="shared" si="1"/>
        <v>14</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3116</v>
      </c>
      <c r="D70" s="1" t="s">
        <v>3117</v>
      </c>
      <c r="E70" s="1" t="s">
        <v>3118</v>
      </c>
      <c r="F70" s="1" t="s">
        <v>112</v>
      </c>
      <c r="G70" s="1">
        <v>1625357</v>
      </c>
    </row>
    <row r="71" spans="1:7" x14ac:dyDescent="0.25">
      <c r="A71" s="1" t="str">
        <f t="shared" si="1"/>
        <v>14</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3119</v>
      </c>
      <c r="D71" s="1" t="s">
        <v>900</v>
      </c>
      <c r="E71" s="1" t="s">
        <v>3120</v>
      </c>
      <c r="F71" s="1" t="s">
        <v>112</v>
      </c>
      <c r="G71" s="1">
        <v>3150394</v>
      </c>
    </row>
    <row r="72" spans="1:7" x14ac:dyDescent="0.25">
      <c r="A72" s="1" t="str">
        <f t="shared" si="1"/>
        <v>14</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3121</v>
      </c>
      <c r="D72" s="1" t="s">
        <v>3122</v>
      </c>
      <c r="E72" s="1" t="s">
        <v>3123</v>
      </c>
      <c r="F72" s="1" t="s">
        <v>112</v>
      </c>
      <c r="G72" s="1">
        <v>3171267</v>
      </c>
    </row>
    <row r="73" spans="1:7" x14ac:dyDescent="0.25">
      <c r="A73" s="1" t="str">
        <f t="shared" si="1"/>
        <v>14</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3124</v>
      </c>
      <c r="D73" s="1" t="s">
        <v>3125</v>
      </c>
      <c r="E73" s="1" t="s">
        <v>3126</v>
      </c>
      <c r="F73" s="1" t="s">
        <v>112</v>
      </c>
      <c r="G73" s="1">
        <v>3575292</v>
      </c>
    </row>
    <row r="74" spans="1:7" x14ac:dyDescent="0.25">
      <c r="A74" s="1" t="str">
        <f t="shared" si="1"/>
        <v>14</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3127</v>
      </c>
    </row>
    <row r="75" spans="1:7" x14ac:dyDescent="0.25">
      <c r="A75" s="1" t="str">
        <f t="shared" si="1"/>
        <v>14</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3128</v>
      </c>
    </row>
    <row r="76" spans="1:7" x14ac:dyDescent="0.25">
      <c r="A76" s="1" t="str">
        <f t="shared" si="1"/>
        <v>14</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3129</v>
      </c>
    </row>
    <row r="77" spans="1:7" x14ac:dyDescent="0.25">
      <c r="A77" s="1" t="str">
        <f t="shared" si="1"/>
        <v>14</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3130</v>
      </c>
      <c r="D77" s="1" t="s">
        <v>3131</v>
      </c>
      <c r="E77" s="1" t="s">
        <v>3132</v>
      </c>
      <c r="F77" s="1" t="s">
        <v>112</v>
      </c>
      <c r="G77" s="1">
        <v>2341674</v>
      </c>
    </row>
    <row r="78" spans="1:7" x14ac:dyDescent="0.25">
      <c r="A78" s="1" t="str">
        <f t="shared" si="1"/>
        <v>14</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3133</v>
      </c>
      <c r="D78" s="1" t="s">
        <v>3134</v>
      </c>
      <c r="E78" s="1" t="s">
        <v>3135</v>
      </c>
      <c r="F78" s="1" t="s">
        <v>112</v>
      </c>
      <c r="G78" s="1">
        <v>1965054</v>
      </c>
    </row>
    <row r="79" spans="1:7" x14ac:dyDescent="0.25">
      <c r="A79" s="1" t="str">
        <f t="shared" si="1"/>
        <v>14</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3136</v>
      </c>
      <c r="D79" s="1" t="s">
        <v>3137</v>
      </c>
      <c r="E79" s="1" t="s">
        <v>3138</v>
      </c>
      <c r="F79" s="1" t="s">
        <v>112</v>
      </c>
      <c r="G79" s="1">
        <v>2107401</v>
      </c>
    </row>
    <row r="80" spans="1:7" x14ac:dyDescent="0.25">
      <c r="A80" s="1" t="str">
        <f t="shared" si="1"/>
        <v>14</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3139</v>
      </c>
      <c r="D80" s="1" t="s">
        <v>3140</v>
      </c>
      <c r="E80" s="1" t="s">
        <v>3141</v>
      </c>
      <c r="F80" s="1" t="s">
        <v>112</v>
      </c>
      <c r="G80" s="1">
        <v>2313231</v>
      </c>
    </row>
    <row r="81" spans="1:10" x14ac:dyDescent="0.25">
      <c r="A81" s="1" t="str">
        <f t="shared" si="1"/>
        <v>14</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3142</v>
      </c>
      <c r="D81" s="1" t="s">
        <v>3143</v>
      </c>
      <c r="E81" s="1" t="s">
        <v>3144</v>
      </c>
      <c r="F81" s="1" t="s">
        <v>112</v>
      </c>
      <c r="G81" s="1">
        <v>2900893</v>
      </c>
    </row>
    <row r="82" spans="1:10" x14ac:dyDescent="0.25">
      <c r="A82" s="1" t="str">
        <f t="shared" si="1"/>
        <v>14</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3145</v>
      </c>
      <c r="D82" s="1" t="s">
        <v>3146</v>
      </c>
      <c r="E82" s="1" t="s">
        <v>3147</v>
      </c>
      <c r="F82" s="1" t="s">
        <v>112</v>
      </c>
      <c r="G82" s="1">
        <v>2179515</v>
      </c>
    </row>
    <row r="83" spans="1:10" x14ac:dyDescent="0.25">
      <c r="A83" s="1" t="str">
        <f t="shared" si="1"/>
        <v>14</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3148</v>
      </c>
      <c r="D83" s="1" t="s">
        <v>3149</v>
      </c>
      <c r="E83" s="1" t="s">
        <v>3150</v>
      </c>
      <c r="F83" s="1" t="s">
        <v>112</v>
      </c>
      <c r="G83" s="1">
        <v>2387832</v>
      </c>
    </row>
    <row r="84" spans="1:10" x14ac:dyDescent="0.25">
      <c r="A84" s="1" t="str">
        <f t="shared" si="1"/>
        <v>14</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3151</v>
      </c>
      <c r="D84" s="1" t="s">
        <v>3152</v>
      </c>
      <c r="E84" s="1" t="s">
        <v>3153</v>
      </c>
      <c r="F84" s="1" t="s">
        <v>112</v>
      </c>
      <c r="G84" s="1">
        <v>2252126</v>
      </c>
    </row>
    <row r="85" spans="1:10" x14ac:dyDescent="0.25">
      <c r="A85" s="1" t="str">
        <f t="shared" si="1"/>
        <v>14</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3154</v>
      </c>
      <c r="D85" s="1" t="s">
        <v>3155</v>
      </c>
      <c r="E85" s="1" t="s">
        <v>3156</v>
      </c>
      <c r="F85" s="1" t="s">
        <v>112</v>
      </c>
      <c r="G85" s="1">
        <v>2455837</v>
      </c>
    </row>
    <row r="86" spans="1:10" x14ac:dyDescent="0.25">
      <c r="A86" s="1" t="str">
        <f t="shared" si="1"/>
        <v>14</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3157</v>
      </c>
      <c r="D86" s="1" t="s">
        <v>3158</v>
      </c>
      <c r="E86" s="1" t="s">
        <v>3159</v>
      </c>
      <c r="F86" s="1" t="s">
        <v>112</v>
      </c>
      <c r="G86" s="1">
        <v>586451</v>
      </c>
    </row>
    <row r="87" spans="1:10" x14ac:dyDescent="0.25">
      <c r="A87" s="1" t="str">
        <f t="shared" si="1"/>
        <v>14</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3160</v>
      </c>
      <c r="D87" s="1" t="s">
        <v>3161</v>
      </c>
      <c r="E87" s="1" t="s">
        <v>3162</v>
      </c>
      <c r="F87" s="1" t="s">
        <v>112</v>
      </c>
      <c r="G87" s="1">
        <v>431452</v>
      </c>
    </row>
    <row r="88" spans="1:10" x14ac:dyDescent="0.25">
      <c r="A88" s="1" t="str">
        <f t="shared" si="1"/>
        <v>14</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3163</v>
      </c>
      <c r="D88" s="1" t="s">
        <v>3164</v>
      </c>
      <c r="E88" s="1" t="s">
        <v>3165</v>
      </c>
      <c r="F88" s="1" t="s">
        <v>112</v>
      </c>
      <c r="G88" s="1">
        <v>626640</v>
      </c>
    </row>
    <row r="89" spans="1:10" x14ac:dyDescent="0.25">
      <c r="A89" s="1" t="str">
        <f t="shared" si="1"/>
        <v>14</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3166</v>
      </c>
      <c r="D89" s="1" t="s">
        <v>3167</v>
      </c>
      <c r="E89" s="1" t="s">
        <v>3168</v>
      </c>
      <c r="F89" s="1" t="s">
        <v>112</v>
      </c>
      <c r="G89" s="1">
        <v>1777242</v>
      </c>
    </row>
    <row r="90" spans="1:10" x14ac:dyDescent="0.25">
      <c r="A90" s="1" t="str">
        <f t="shared" si="1"/>
        <v>14</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3169</v>
      </c>
      <c r="D90" s="1" t="s">
        <v>3170</v>
      </c>
      <c r="E90" s="1" t="s">
        <v>3171</v>
      </c>
      <c r="F90" s="1" t="s">
        <v>112</v>
      </c>
      <c r="G90" s="1">
        <v>1668141</v>
      </c>
    </row>
    <row r="91" spans="1:10" x14ac:dyDescent="0.25">
      <c r="A91" s="1" t="str">
        <f t="shared" si="1"/>
        <v>14</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3172</v>
      </c>
    </row>
    <row r="92" spans="1:10"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10"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219</v>
      </c>
      <c r="D93" s="1" t="s">
        <v>112</v>
      </c>
      <c r="E93" s="1" t="s">
        <v>220</v>
      </c>
      <c r="F93" s="1" t="s">
        <v>221</v>
      </c>
      <c r="G93" s="1" t="s">
        <v>222</v>
      </c>
      <c r="H93" s="1" t="s">
        <v>223</v>
      </c>
      <c r="I93" s="1" t="s">
        <v>224</v>
      </c>
      <c r="J93" s="1" t="s">
        <v>225</v>
      </c>
    </row>
    <row r="94" spans="1:10" x14ac:dyDescent="0.25">
      <c r="A94" s="1" t="str">
        <f t="shared" si="1"/>
        <v>14</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3173</v>
      </c>
      <c r="D94" s="1" t="s">
        <v>112</v>
      </c>
      <c r="E94" s="1" t="s">
        <v>3174</v>
      </c>
      <c r="F94" s="1" t="s">
        <v>3175</v>
      </c>
      <c r="G94" s="1">
        <v>1809475</v>
      </c>
      <c r="H94" s="1" t="s">
        <v>3176</v>
      </c>
      <c r="I94" s="1">
        <v>24</v>
      </c>
      <c r="J94" s="1">
        <v>24</v>
      </c>
    </row>
    <row r="95" spans="1:10"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10"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231</v>
      </c>
      <c r="D100" s="1" t="s">
        <v>110</v>
      </c>
      <c r="E100" s="1" t="s">
        <v>111</v>
      </c>
      <c r="F100" s="1" t="s">
        <v>112</v>
      </c>
      <c r="G100" s="1" t="s">
        <v>113</v>
      </c>
    </row>
    <row r="101" spans="1:7" x14ac:dyDescent="0.25">
      <c r="A101" s="1" t="str">
        <f t="shared" si="1"/>
        <v>15</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3177</v>
      </c>
      <c r="D101" s="1" t="s">
        <v>2359</v>
      </c>
      <c r="E101" s="1" t="s">
        <v>3178</v>
      </c>
      <c r="F101" s="1" t="s">
        <v>112</v>
      </c>
      <c r="G101" s="1">
        <v>3454446</v>
      </c>
    </row>
    <row r="102" spans="1:7" x14ac:dyDescent="0.25">
      <c r="A102" s="1" t="str">
        <f t="shared" si="1"/>
        <v>15</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3179</v>
      </c>
      <c r="D102" s="1" t="s">
        <v>3180</v>
      </c>
      <c r="E102" s="1" t="s">
        <v>3181</v>
      </c>
      <c r="F102" s="1" t="s">
        <v>112</v>
      </c>
      <c r="G102" s="1">
        <v>3069217</v>
      </c>
    </row>
    <row r="103" spans="1:7" x14ac:dyDescent="0.25">
      <c r="A103" s="1" t="str">
        <f t="shared" si="1"/>
        <v>15</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3182</v>
      </c>
      <c r="D103" s="1" t="s">
        <v>3183</v>
      </c>
      <c r="E103" s="1" t="s">
        <v>3184</v>
      </c>
      <c r="F103" s="1" t="s">
        <v>112</v>
      </c>
      <c r="G103" s="1">
        <v>3202717</v>
      </c>
    </row>
    <row r="104" spans="1:7" x14ac:dyDescent="0.25">
      <c r="A104" s="1" t="str">
        <f t="shared" si="1"/>
        <v>15</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3185</v>
      </c>
      <c r="D104" s="1" t="s">
        <v>3186</v>
      </c>
      <c r="E104" s="1" t="s">
        <v>3187</v>
      </c>
      <c r="F104" s="1" t="s">
        <v>112</v>
      </c>
      <c r="G104" s="1">
        <v>2975127</v>
      </c>
    </row>
    <row r="105" spans="1:7" x14ac:dyDescent="0.25">
      <c r="A105" s="1" t="str">
        <f t="shared" si="1"/>
        <v>15</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3188</v>
      </c>
      <c r="D105" s="1" t="s">
        <v>3189</v>
      </c>
      <c r="E105" s="1" t="s">
        <v>3190</v>
      </c>
      <c r="F105" s="1" t="s">
        <v>112</v>
      </c>
      <c r="G105" s="1">
        <v>2994334</v>
      </c>
    </row>
    <row r="106" spans="1:7" x14ac:dyDescent="0.25">
      <c r="A106" s="1" t="str">
        <f t="shared" si="1"/>
        <v>15</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3191</v>
      </c>
      <c r="D106" s="1" t="s">
        <v>3192</v>
      </c>
      <c r="E106" s="1" t="s">
        <v>3193</v>
      </c>
      <c r="F106" s="1" t="s">
        <v>112</v>
      </c>
      <c r="G106" s="1">
        <v>3531059</v>
      </c>
    </row>
    <row r="107" spans="1:7" x14ac:dyDescent="0.25">
      <c r="A107" s="1" t="str">
        <f t="shared" si="1"/>
        <v>15</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3194</v>
      </c>
      <c r="D107" s="1" t="s">
        <v>3195</v>
      </c>
      <c r="E107" s="1" t="s">
        <v>3196</v>
      </c>
      <c r="F107" s="1" t="s">
        <v>112</v>
      </c>
      <c r="G107" s="1">
        <v>3106875</v>
      </c>
    </row>
    <row r="108" spans="1:7" x14ac:dyDescent="0.25">
      <c r="A108" s="1" t="str">
        <f t="shared" si="1"/>
        <v>15</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3197</v>
      </c>
      <c r="D108" s="1" t="s">
        <v>3198</v>
      </c>
      <c r="E108" s="1" t="s">
        <v>3199</v>
      </c>
      <c r="F108" s="1" t="s">
        <v>112</v>
      </c>
      <c r="G108" s="1">
        <v>2828887</v>
      </c>
    </row>
    <row r="109" spans="1:7" x14ac:dyDescent="0.25">
      <c r="A109" s="1" t="str">
        <f t="shared" si="1"/>
        <v>15</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3200</v>
      </c>
      <c r="D109" s="1" t="s">
        <v>3201</v>
      </c>
      <c r="E109" s="1" t="s">
        <v>3202</v>
      </c>
      <c r="F109" s="1" t="s">
        <v>112</v>
      </c>
      <c r="G109" s="1">
        <v>3140617</v>
      </c>
    </row>
    <row r="110" spans="1:7" x14ac:dyDescent="0.25">
      <c r="A110" s="1" t="str">
        <f t="shared" si="1"/>
        <v>15</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3203</v>
      </c>
      <c r="D110" s="1" t="s">
        <v>3204</v>
      </c>
      <c r="E110" s="1" t="s">
        <v>3205</v>
      </c>
      <c r="F110" s="1" t="s">
        <v>112</v>
      </c>
      <c r="G110" s="1">
        <v>2645725</v>
      </c>
    </row>
    <row r="111" spans="1:7" x14ac:dyDescent="0.25">
      <c r="A111" s="1" t="str">
        <f t="shared" si="1"/>
        <v>15</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3206</v>
      </c>
      <c r="D111" s="1" t="s">
        <v>3207</v>
      </c>
      <c r="E111" s="1" t="s">
        <v>3208</v>
      </c>
      <c r="F111" s="1" t="s">
        <v>112</v>
      </c>
      <c r="G111" s="1">
        <v>2668675</v>
      </c>
    </row>
    <row r="112" spans="1:7" x14ac:dyDescent="0.25">
      <c r="A112" s="1" t="str">
        <f t="shared" si="1"/>
        <v>15</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3209</v>
      </c>
      <c r="D112" s="1" t="s">
        <v>3210</v>
      </c>
      <c r="E112" s="1" t="s">
        <v>3211</v>
      </c>
      <c r="F112" s="1" t="s">
        <v>112</v>
      </c>
      <c r="G112" s="1">
        <v>3022475</v>
      </c>
    </row>
    <row r="113" spans="1:10" x14ac:dyDescent="0.25">
      <c r="A113" s="1" t="str">
        <f t="shared" si="1"/>
        <v>15</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3212</v>
      </c>
      <c r="D113" s="1" t="s">
        <v>3213</v>
      </c>
      <c r="E113" s="1" t="s">
        <v>3214</v>
      </c>
      <c r="F113" s="1" t="s">
        <v>112</v>
      </c>
      <c r="G113" s="1">
        <v>3213791</v>
      </c>
    </row>
    <row r="114" spans="1:10" x14ac:dyDescent="0.25">
      <c r="A114" s="1" t="str">
        <f t="shared" si="1"/>
        <v>15</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3215</v>
      </c>
      <c r="D114" s="1" t="s">
        <v>3216</v>
      </c>
      <c r="E114" s="1" t="s">
        <v>3217</v>
      </c>
      <c r="F114" s="1" t="s">
        <v>112</v>
      </c>
      <c r="G114" s="1">
        <v>3783133</v>
      </c>
    </row>
    <row r="115" spans="1:10" x14ac:dyDescent="0.25">
      <c r="A115" s="1" t="str">
        <f t="shared" si="1"/>
        <v>15</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3218</v>
      </c>
      <c r="D115" s="1" t="s">
        <v>3219</v>
      </c>
      <c r="E115" s="1" t="s">
        <v>3220</v>
      </c>
      <c r="F115" s="1" t="s">
        <v>112</v>
      </c>
      <c r="G115" s="1">
        <v>3216344</v>
      </c>
    </row>
    <row r="116" spans="1:10" x14ac:dyDescent="0.25">
      <c r="A116" s="1" t="str">
        <f t="shared" si="1"/>
        <v>15</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3221</v>
      </c>
      <c r="D116" s="1" t="s">
        <v>3222</v>
      </c>
      <c r="E116" s="1" t="s">
        <v>3223</v>
      </c>
      <c r="F116" s="1" t="s">
        <v>112</v>
      </c>
      <c r="G116" s="1">
        <v>4712094</v>
      </c>
    </row>
    <row r="117" spans="1:10" x14ac:dyDescent="0.25">
      <c r="A117" s="1" t="str">
        <f t="shared" si="1"/>
        <v>15</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3224</v>
      </c>
      <c r="D117" s="1" t="s">
        <v>3225</v>
      </c>
      <c r="E117" s="1" t="s">
        <v>3226</v>
      </c>
      <c r="F117" s="1" t="s">
        <v>112</v>
      </c>
      <c r="G117" s="1">
        <v>4764460</v>
      </c>
    </row>
    <row r="118" spans="1:10" x14ac:dyDescent="0.25">
      <c r="A118" s="1" t="str">
        <f t="shared" si="1"/>
        <v>15</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3227</v>
      </c>
      <c r="D118" s="1" t="s">
        <v>3228</v>
      </c>
      <c r="E118" s="1" t="s">
        <v>3229</v>
      </c>
      <c r="F118" s="1" t="s">
        <v>112</v>
      </c>
      <c r="G118" s="1">
        <v>4594990</v>
      </c>
    </row>
    <row r="119" spans="1:10" x14ac:dyDescent="0.25">
      <c r="A119" s="1" t="str">
        <f t="shared" si="1"/>
        <v>15</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3230</v>
      </c>
    </row>
    <row r="120" spans="1:10" x14ac:dyDescent="0.25">
      <c r="A120" s="1" t="str">
        <f t="shared" si="1"/>
        <v>15</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3231</v>
      </c>
    </row>
    <row r="121" spans="1:10" x14ac:dyDescent="0.25">
      <c r="A121" s="1" t="str">
        <f t="shared" si="1"/>
        <v>15</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3232</v>
      </c>
    </row>
    <row r="122" spans="1:10" x14ac:dyDescent="0.25">
      <c r="A122" s="1" t="str">
        <f t="shared" si="1"/>
        <v>15</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3233</v>
      </c>
      <c r="D122" s="1" t="s">
        <v>3234</v>
      </c>
      <c r="E122" s="1" t="s">
        <v>3235</v>
      </c>
      <c r="F122" s="1" t="s">
        <v>112</v>
      </c>
      <c r="G122" s="1">
        <v>1294030</v>
      </c>
    </row>
    <row r="123" spans="1:10" x14ac:dyDescent="0.25">
      <c r="A123" s="1" t="str">
        <f t="shared" si="1"/>
        <v>15</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3236</v>
      </c>
      <c r="D123" s="1" t="s">
        <v>3237</v>
      </c>
      <c r="E123" s="1" t="s">
        <v>3238</v>
      </c>
      <c r="F123" s="1" t="s">
        <v>112</v>
      </c>
      <c r="G123" s="1">
        <v>1507971</v>
      </c>
    </row>
    <row r="124" spans="1:10" x14ac:dyDescent="0.25">
      <c r="A124" s="1" t="str">
        <f t="shared" si="1"/>
        <v>15</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3239</v>
      </c>
      <c r="D124" s="1" t="s">
        <v>3240</v>
      </c>
      <c r="E124" s="1" t="s">
        <v>3241</v>
      </c>
      <c r="F124" s="1" t="s">
        <v>112</v>
      </c>
      <c r="G124" s="1">
        <v>922299</v>
      </c>
    </row>
    <row r="125" spans="1:10"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10"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219</v>
      </c>
      <c r="D126" s="1" t="s">
        <v>112</v>
      </c>
      <c r="E126" s="1" t="s">
        <v>220</v>
      </c>
      <c r="F126" s="1" t="s">
        <v>221</v>
      </c>
      <c r="G126" s="1" t="s">
        <v>222</v>
      </c>
      <c r="H126" s="1" t="s">
        <v>223</v>
      </c>
      <c r="I126" s="1" t="s">
        <v>224</v>
      </c>
      <c r="J126" s="1" t="s">
        <v>225</v>
      </c>
    </row>
    <row r="127" spans="1:10" x14ac:dyDescent="0.25">
      <c r="A127" s="1" t="str">
        <f t="shared" si="1"/>
        <v>15</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3242</v>
      </c>
      <c r="D127" s="1" t="s">
        <v>112</v>
      </c>
      <c r="E127" s="1" t="s">
        <v>3243</v>
      </c>
      <c r="F127" s="1" t="s">
        <v>3244</v>
      </c>
      <c r="G127" s="1" t="s">
        <v>3245</v>
      </c>
      <c r="H127" s="1" t="s">
        <v>3246</v>
      </c>
      <c r="I127" s="1">
        <v>21</v>
      </c>
      <c r="J127" s="1">
        <v>24</v>
      </c>
    </row>
    <row r="128" spans="1:10"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231</v>
      </c>
      <c r="D133" s="1" t="s">
        <v>110</v>
      </c>
      <c r="E133" s="1" t="s">
        <v>111</v>
      </c>
      <c r="F133" s="1" t="s">
        <v>112</v>
      </c>
      <c r="G133" s="1" t="s">
        <v>113</v>
      </c>
    </row>
    <row r="134" spans="1:7" x14ac:dyDescent="0.25">
      <c r="A134" s="1" t="str">
        <f t="shared" si="2"/>
        <v>16</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3247</v>
      </c>
      <c r="D134" s="1">
        <v>0</v>
      </c>
      <c r="E134" s="1">
        <v>0</v>
      </c>
      <c r="F134" s="1" t="s">
        <v>112</v>
      </c>
      <c r="G134" s="1">
        <v>0</v>
      </c>
    </row>
    <row r="135" spans="1:7" x14ac:dyDescent="0.25">
      <c r="A135" s="1" t="str">
        <f t="shared" si="2"/>
        <v>16</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3248</v>
      </c>
      <c r="D135" s="1" t="s">
        <v>3249</v>
      </c>
      <c r="E135" s="1" t="s">
        <v>3250</v>
      </c>
      <c r="F135" s="1" t="s">
        <v>112</v>
      </c>
      <c r="G135" s="1">
        <v>7527</v>
      </c>
    </row>
    <row r="136" spans="1:7" x14ac:dyDescent="0.25">
      <c r="A136" s="1" t="str">
        <f t="shared" si="2"/>
        <v>16</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3251</v>
      </c>
      <c r="D136" s="1" t="s">
        <v>2038</v>
      </c>
      <c r="E136" s="1" t="s">
        <v>3252</v>
      </c>
      <c r="F136" s="1" t="s">
        <v>112</v>
      </c>
      <c r="G136" s="1">
        <v>39842</v>
      </c>
    </row>
    <row r="137" spans="1:7" x14ac:dyDescent="0.25">
      <c r="A137" s="1" t="str">
        <f t="shared" si="2"/>
        <v>16</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3253</v>
      </c>
      <c r="D137" s="1" t="s">
        <v>957</v>
      </c>
      <c r="E137" s="1" t="s">
        <v>3254</v>
      </c>
      <c r="F137" s="1" t="s">
        <v>112</v>
      </c>
      <c r="G137" s="1">
        <v>153226</v>
      </c>
    </row>
    <row r="138" spans="1:7" x14ac:dyDescent="0.25">
      <c r="A138" s="1" t="str">
        <f t="shared" si="2"/>
        <v>16</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3255</v>
      </c>
      <c r="D138" s="1" t="s">
        <v>974</v>
      </c>
      <c r="E138" s="1" t="s">
        <v>3256</v>
      </c>
      <c r="F138" s="1" t="s">
        <v>112</v>
      </c>
      <c r="G138" s="1">
        <v>48732</v>
      </c>
    </row>
    <row r="139" spans="1:7" x14ac:dyDescent="0.25">
      <c r="A139" s="1" t="str">
        <f t="shared" si="2"/>
        <v>16</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3257</v>
      </c>
      <c r="D139" s="1" t="s">
        <v>3258</v>
      </c>
      <c r="E139" s="1" t="s">
        <v>3259</v>
      </c>
      <c r="F139" s="1" t="s">
        <v>112</v>
      </c>
      <c r="G139" s="1">
        <v>75748</v>
      </c>
    </row>
    <row r="140" spans="1:7" x14ac:dyDescent="0.25">
      <c r="A140" s="1" t="str">
        <f t="shared" si="2"/>
        <v>16</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3260</v>
      </c>
      <c r="D140" s="1" t="s">
        <v>175</v>
      </c>
      <c r="E140" s="1" t="s">
        <v>3261</v>
      </c>
      <c r="F140" s="1" t="s">
        <v>112</v>
      </c>
      <c r="G140" s="1">
        <v>291376</v>
      </c>
    </row>
    <row r="141" spans="1:7" x14ac:dyDescent="0.25">
      <c r="A141" s="1" t="str">
        <f t="shared" si="2"/>
        <v>16</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3262</v>
      </c>
    </row>
    <row r="142" spans="1:7" x14ac:dyDescent="0.25">
      <c r="A142" s="1" t="str">
        <f t="shared" si="2"/>
        <v>16</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3263</v>
      </c>
      <c r="D142" s="1">
        <v>0</v>
      </c>
      <c r="E142" s="1">
        <v>0</v>
      </c>
      <c r="F142" s="1" t="s">
        <v>112</v>
      </c>
      <c r="G142" s="1">
        <v>0</v>
      </c>
    </row>
    <row r="143" spans="1:7" x14ac:dyDescent="0.25">
      <c r="A143" s="1" t="str">
        <f t="shared" si="2"/>
        <v>16</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3264</v>
      </c>
      <c r="D143" s="1">
        <v>0</v>
      </c>
      <c r="E143" s="1">
        <v>0</v>
      </c>
      <c r="F143" s="1" t="s">
        <v>112</v>
      </c>
      <c r="G143" s="1">
        <v>0</v>
      </c>
    </row>
    <row r="144" spans="1:7" x14ac:dyDescent="0.25">
      <c r="A144" s="1" t="str">
        <f t="shared" si="2"/>
        <v>16</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3265</v>
      </c>
      <c r="D144" s="1" t="s">
        <v>3266</v>
      </c>
      <c r="E144" s="1" t="s">
        <v>3267</v>
      </c>
      <c r="F144" s="1" t="s">
        <v>112</v>
      </c>
      <c r="G144" s="1">
        <v>138258</v>
      </c>
    </row>
    <row r="145" spans="1:10" x14ac:dyDescent="0.25">
      <c r="A145" s="1" t="str">
        <f t="shared" si="2"/>
        <v>16</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3268</v>
      </c>
      <c r="D145" s="1" t="s">
        <v>2579</v>
      </c>
      <c r="E145" s="1" t="s">
        <v>3269</v>
      </c>
      <c r="F145" s="1" t="s">
        <v>112</v>
      </c>
      <c r="G145" s="1">
        <v>39453</v>
      </c>
    </row>
    <row r="146" spans="1:10" x14ac:dyDescent="0.25">
      <c r="A146" s="1" t="str">
        <f t="shared" si="2"/>
        <v>16</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3270</v>
      </c>
      <c r="D146" s="1" t="s">
        <v>702</v>
      </c>
      <c r="E146" s="1" t="s">
        <v>3271</v>
      </c>
      <c r="F146" s="1" t="s">
        <v>112</v>
      </c>
      <c r="G146" s="1">
        <v>101379</v>
      </c>
    </row>
    <row r="147" spans="1:10" x14ac:dyDescent="0.25">
      <c r="A147" s="1" t="str">
        <f t="shared" si="2"/>
        <v>16</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3272</v>
      </c>
      <c r="D147" s="1" t="s">
        <v>2984</v>
      </c>
      <c r="E147" s="1" t="s">
        <v>3273</v>
      </c>
      <c r="F147" s="1" t="s">
        <v>112</v>
      </c>
      <c r="G147" s="1">
        <v>54810</v>
      </c>
    </row>
    <row r="148" spans="1:10" x14ac:dyDescent="0.25">
      <c r="A148" s="1" t="str">
        <f t="shared" si="2"/>
        <v>16</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3274</v>
      </c>
      <c r="D148" s="1" t="s">
        <v>1921</v>
      </c>
      <c r="E148" s="1" t="s">
        <v>3275</v>
      </c>
      <c r="F148" s="1" t="s">
        <v>112</v>
      </c>
      <c r="G148" s="1">
        <v>59439</v>
      </c>
    </row>
    <row r="149" spans="1:10" x14ac:dyDescent="0.25">
      <c r="A149" s="1" t="str">
        <f t="shared" si="2"/>
        <v>16</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3276</v>
      </c>
      <c r="D149" s="1" t="s">
        <v>3277</v>
      </c>
      <c r="E149" s="1" t="s">
        <v>3278</v>
      </c>
      <c r="F149" s="1" t="s">
        <v>112</v>
      </c>
      <c r="G149" s="1">
        <v>91040</v>
      </c>
    </row>
    <row r="150" spans="1:10" x14ac:dyDescent="0.25">
      <c r="A150" s="1" t="str">
        <f t="shared" si="2"/>
        <v>16</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3279</v>
      </c>
      <c r="D150" s="1" t="s">
        <v>2947</v>
      </c>
      <c r="E150" s="1" t="s">
        <v>2889</v>
      </c>
      <c r="F150" s="1" t="s">
        <v>112</v>
      </c>
      <c r="G150" s="1">
        <v>14103</v>
      </c>
    </row>
    <row r="151" spans="1:10" x14ac:dyDescent="0.25">
      <c r="A151" s="1" t="str">
        <f t="shared" si="2"/>
        <v>16</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3280</v>
      </c>
      <c r="D151" s="1" t="s">
        <v>3281</v>
      </c>
      <c r="E151" s="1" t="s">
        <v>3282</v>
      </c>
      <c r="F151" s="1" t="s">
        <v>112</v>
      </c>
      <c r="G151" s="1">
        <v>151301</v>
      </c>
    </row>
    <row r="152" spans="1:10" x14ac:dyDescent="0.25">
      <c r="A152" s="1" t="str">
        <f t="shared" si="2"/>
        <v>16</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3283</v>
      </c>
      <c r="D152" s="1" t="s">
        <v>3284</v>
      </c>
      <c r="E152" s="1" t="s">
        <v>3285</v>
      </c>
      <c r="F152" s="1" t="s">
        <v>112</v>
      </c>
      <c r="G152" s="1">
        <v>390268</v>
      </c>
    </row>
    <row r="153" spans="1:10" x14ac:dyDescent="0.25">
      <c r="A153" s="1" t="str">
        <f t="shared" si="2"/>
        <v>16</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3286</v>
      </c>
      <c r="D153" s="1" t="s">
        <v>1107</v>
      </c>
      <c r="E153" s="1" t="s">
        <v>3287</v>
      </c>
      <c r="F153" s="1" t="s">
        <v>112</v>
      </c>
      <c r="G153" s="1">
        <v>380794</v>
      </c>
    </row>
    <row r="154" spans="1:10" x14ac:dyDescent="0.25">
      <c r="A154" s="1" t="str">
        <f t="shared" si="2"/>
        <v>16</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3288</v>
      </c>
      <c r="D154" s="1" t="s">
        <v>2028</v>
      </c>
      <c r="E154" s="1" t="s">
        <v>3289</v>
      </c>
      <c r="F154" s="1" t="s">
        <v>112</v>
      </c>
      <c r="G154" s="1">
        <v>228260</v>
      </c>
    </row>
    <row r="155" spans="1:10" x14ac:dyDescent="0.25">
      <c r="A155" s="1" t="str">
        <f t="shared" si="2"/>
        <v>16</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3290</v>
      </c>
    </row>
    <row r="156" spans="1:10" x14ac:dyDescent="0.25">
      <c r="A156" s="1" t="str">
        <f t="shared" si="2"/>
        <v>16</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3291</v>
      </c>
    </row>
    <row r="157" spans="1:10" x14ac:dyDescent="0.25">
      <c r="A157" s="1" t="str">
        <f t="shared" si="2"/>
        <v>16</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3292</v>
      </c>
    </row>
    <row r="158" spans="1:10"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10"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219</v>
      </c>
      <c r="D159" s="1" t="s">
        <v>112</v>
      </c>
      <c r="E159" s="1" t="s">
        <v>220</v>
      </c>
      <c r="F159" s="1" t="s">
        <v>221</v>
      </c>
      <c r="G159" s="1" t="s">
        <v>222</v>
      </c>
      <c r="H159" s="1" t="s">
        <v>223</v>
      </c>
      <c r="I159" s="1" t="s">
        <v>224</v>
      </c>
      <c r="J159" s="1" t="s">
        <v>225</v>
      </c>
    </row>
    <row r="160" spans="1:10" x14ac:dyDescent="0.25">
      <c r="A160" s="1" t="str">
        <f t="shared" si="2"/>
        <v>16</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3293</v>
      </c>
      <c r="D160" s="1" t="s">
        <v>112</v>
      </c>
      <c r="E160" s="1" t="s">
        <v>3294</v>
      </c>
      <c r="F160" s="1" t="s">
        <v>3295</v>
      </c>
      <c r="G160" s="1" t="s">
        <v>3296</v>
      </c>
      <c r="H160" s="1" t="s">
        <v>3297</v>
      </c>
      <c r="I160" s="1">
        <v>18</v>
      </c>
      <c r="J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231</v>
      </c>
      <c r="D166" s="1" t="s">
        <v>110</v>
      </c>
      <c r="E166" s="1" t="s">
        <v>111</v>
      </c>
      <c r="F166" s="1" t="s">
        <v>112</v>
      </c>
      <c r="G166" s="1" t="s">
        <v>113</v>
      </c>
    </row>
    <row r="167" spans="1:7" x14ac:dyDescent="0.25">
      <c r="A167" s="1" t="str">
        <f t="shared" si="2"/>
        <v>2</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3298</v>
      </c>
      <c r="D167" s="1" t="s">
        <v>3299</v>
      </c>
      <c r="E167" s="1" t="s">
        <v>3300</v>
      </c>
      <c r="F167" s="1" t="s">
        <v>112</v>
      </c>
      <c r="G167" s="1">
        <v>386159</v>
      </c>
    </row>
    <row r="168" spans="1:7" x14ac:dyDescent="0.25">
      <c r="A168" s="1" t="str">
        <f t="shared" si="2"/>
        <v>2</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3301</v>
      </c>
      <c r="D168" s="1" t="s">
        <v>3302</v>
      </c>
      <c r="E168" s="1" t="s">
        <v>3303</v>
      </c>
      <c r="F168" s="1" t="s">
        <v>112</v>
      </c>
      <c r="G168" s="1">
        <v>545830</v>
      </c>
    </row>
    <row r="169" spans="1:7" x14ac:dyDescent="0.25">
      <c r="A169" s="1" t="str">
        <f t="shared" si="2"/>
        <v>2</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3304</v>
      </c>
    </row>
    <row r="170" spans="1:7" x14ac:dyDescent="0.25">
      <c r="A170" s="1" t="str">
        <f t="shared" si="2"/>
        <v>2</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3305</v>
      </c>
      <c r="D170" s="1" t="s">
        <v>1508</v>
      </c>
      <c r="E170" s="1" t="s">
        <v>3306</v>
      </c>
      <c r="F170" s="1" t="s">
        <v>112</v>
      </c>
      <c r="G170" s="1">
        <v>229623</v>
      </c>
    </row>
    <row r="171" spans="1:7" x14ac:dyDescent="0.25">
      <c r="A171" s="1" t="str">
        <f t="shared" si="2"/>
        <v>2</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3307</v>
      </c>
    </row>
    <row r="172" spans="1:7" x14ac:dyDescent="0.25">
      <c r="A172" s="1" t="str">
        <f t="shared" si="2"/>
        <v>2</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3308</v>
      </c>
    </row>
    <row r="173" spans="1:7" x14ac:dyDescent="0.25">
      <c r="A173" s="1" t="str">
        <f t="shared" si="2"/>
        <v>2</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3309</v>
      </c>
      <c r="D173" s="1">
        <v>0</v>
      </c>
      <c r="E173" s="1">
        <v>0</v>
      </c>
      <c r="F173" s="1" t="s">
        <v>112</v>
      </c>
      <c r="G173" s="1">
        <v>0</v>
      </c>
    </row>
    <row r="174" spans="1:7" x14ac:dyDescent="0.25">
      <c r="A174" s="1" t="str">
        <f t="shared" si="2"/>
        <v>2</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3310</v>
      </c>
      <c r="D174" s="1" t="s">
        <v>2035</v>
      </c>
      <c r="E174" s="1" t="s">
        <v>3311</v>
      </c>
      <c r="F174" s="1" t="s">
        <v>112</v>
      </c>
      <c r="G174" s="1">
        <v>118835</v>
      </c>
    </row>
    <row r="175" spans="1:7" x14ac:dyDescent="0.25">
      <c r="A175" s="1" t="str">
        <f t="shared" si="2"/>
        <v>2</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3312</v>
      </c>
      <c r="D175" s="1" t="s">
        <v>1545</v>
      </c>
      <c r="E175" s="1" t="s">
        <v>3313</v>
      </c>
      <c r="F175" s="1" t="s">
        <v>112</v>
      </c>
      <c r="G175" s="1">
        <v>17953</v>
      </c>
    </row>
    <row r="176" spans="1:7" x14ac:dyDescent="0.25">
      <c r="A176" s="1" t="str">
        <f t="shared" si="2"/>
        <v>2</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3314</v>
      </c>
      <c r="D176" s="1" t="s">
        <v>3315</v>
      </c>
      <c r="E176" s="1" t="s">
        <v>3316</v>
      </c>
      <c r="F176" s="1" t="s">
        <v>112</v>
      </c>
      <c r="G176" s="1">
        <v>426823</v>
      </c>
    </row>
    <row r="177" spans="1:10" x14ac:dyDescent="0.25">
      <c r="A177" s="1" t="str">
        <f t="shared" si="2"/>
        <v>2</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3317</v>
      </c>
      <c r="D177" s="1" t="s">
        <v>3318</v>
      </c>
      <c r="E177" s="1" t="s">
        <v>3319</v>
      </c>
      <c r="F177" s="1" t="s">
        <v>112</v>
      </c>
      <c r="G177" s="1">
        <v>311146</v>
      </c>
    </row>
    <row r="178" spans="1:10" x14ac:dyDescent="0.25">
      <c r="A178" s="1" t="str">
        <f t="shared" si="2"/>
        <v>2</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3320</v>
      </c>
      <c r="D178" s="1" t="s">
        <v>3321</v>
      </c>
      <c r="E178" s="1" t="s">
        <v>3322</v>
      </c>
      <c r="F178" s="1" t="s">
        <v>112</v>
      </c>
      <c r="G178" s="1">
        <v>306106</v>
      </c>
    </row>
    <row r="179" spans="1:10" x14ac:dyDescent="0.25">
      <c r="A179" s="1" t="str">
        <f t="shared" si="2"/>
        <v>2</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3323</v>
      </c>
    </row>
    <row r="180" spans="1:10" x14ac:dyDescent="0.25">
      <c r="A180" s="1" t="str">
        <f t="shared" si="2"/>
        <v>2</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3324</v>
      </c>
    </row>
    <row r="181" spans="1:10" x14ac:dyDescent="0.25">
      <c r="A181" s="1" t="str">
        <f t="shared" si="2"/>
        <v>2</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3325</v>
      </c>
    </row>
    <row r="182" spans="1:10" x14ac:dyDescent="0.25">
      <c r="A182" s="1" t="str">
        <f t="shared" si="2"/>
        <v>2</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3326</v>
      </c>
      <c r="D182" s="1" t="s">
        <v>3327</v>
      </c>
      <c r="E182" s="1" t="s">
        <v>3328</v>
      </c>
      <c r="F182" s="1" t="s">
        <v>112</v>
      </c>
      <c r="G182" s="1">
        <v>146607</v>
      </c>
    </row>
    <row r="183" spans="1:10" x14ac:dyDescent="0.25">
      <c r="A183" s="1" t="str">
        <f t="shared" si="2"/>
        <v>2</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3329</v>
      </c>
      <c r="D183" s="1" t="s">
        <v>3330</v>
      </c>
      <c r="E183" s="1" t="s">
        <v>3331</v>
      </c>
      <c r="F183" s="1" t="s">
        <v>112</v>
      </c>
      <c r="G183" s="1">
        <v>222874</v>
      </c>
    </row>
    <row r="184" spans="1:10" x14ac:dyDescent="0.25">
      <c r="A184" s="1" t="str">
        <f t="shared" si="2"/>
        <v>2</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3332</v>
      </c>
      <c r="D184" s="1" t="s">
        <v>190</v>
      </c>
      <c r="E184" s="1" t="s">
        <v>3333</v>
      </c>
      <c r="F184" s="1" t="s">
        <v>112</v>
      </c>
      <c r="G184" s="1">
        <v>67161</v>
      </c>
    </row>
    <row r="185" spans="1:10" x14ac:dyDescent="0.25">
      <c r="A185" s="1" t="str">
        <f t="shared" si="2"/>
        <v>2</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3334</v>
      </c>
      <c r="D185" s="1" t="s">
        <v>3335</v>
      </c>
      <c r="E185" s="1" t="s">
        <v>2950</v>
      </c>
      <c r="F185" s="1" t="s">
        <v>112</v>
      </c>
      <c r="G185" s="1">
        <v>16439</v>
      </c>
    </row>
    <row r="186" spans="1:10" x14ac:dyDescent="0.25">
      <c r="A186" s="1" t="str">
        <f t="shared" si="2"/>
        <v>2</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3336</v>
      </c>
      <c r="D186" s="1" t="s">
        <v>3337</v>
      </c>
      <c r="E186" s="1" t="s">
        <v>3338</v>
      </c>
      <c r="F186" s="1" t="s">
        <v>112</v>
      </c>
      <c r="G186" s="1">
        <v>2098</v>
      </c>
    </row>
    <row r="187" spans="1:10" x14ac:dyDescent="0.25">
      <c r="A187" s="1" t="str">
        <f t="shared" si="2"/>
        <v>2</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3339</v>
      </c>
      <c r="D187" s="1" t="s">
        <v>1039</v>
      </c>
      <c r="E187" s="1" t="s">
        <v>3340</v>
      </c>
      <c r="F187" s="1" t="s">
        <v>112</v>
      </c>
      <c r="G187" s="1">
        <v>336864</v>
      </c>
    </row>
    <row r="188" spans="1:10" x14ac:dyDescent="0.25">
      <c r="A188" s="1" t="str">
        <f t="shared" si="2"/>
        <v>2</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3341</v>
      </c>
      <c r="D188" s="1" t="s">
        <v>3342</v>
      </c>
      <c r="E188" s="1" t="s">
        <v>3343</v>
      </c>
      <c r="F188" s="1" t="s">
        <v>112</v>
      </c>
      <c r="G188" s="1">
        <v>328666</v>
      </c>
    </row>
    <row r="189" spans="1:10" x14ac:dyDescent="0.25">
      <c r="A189" s="1" t="str">
        <f t="shared" si="2"/>
        <v>2</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3344</v>
      </c>
      <c r="D189" s="1" t="s">
        <v>3345</v>
      </c>
      <c r="E189" s="1" t="s">
        <v>3346</v>
      </c>
      <c r="F189" s="1" t="s">
        <v>112</v>
      </c>
      <c r="G189" s="1">
        <v>145418</v>
      </c>
    </row>
    <row r="190" spans="1:10" x14ac:dyDescent="0.25">
      <c r="A190" s="1" t="str">
        <f t="shared" si="2"/>
        <v>2</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3347</v>
      </c>
      <c r="D190" s="1" t="s">
        <v>3348</v>
      </c>
      <c r="E190" s="1" t="s">
        <v>3349</v>
      </c>
      <c r="F190" s="1" t="s">
        <v>112</v>
      </c>
      <c r="G190" s="1">
        <v>299617</v>
      </c>
    </row>
    <row r="191" spans="1:10"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10"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219</v>
      </c>
      <c r="D192" s="1" t="s">
        <v>112</v>
      </c>
      <c r="E192" s="1" t="s">
        <v>220</v>
      </c>
      <c r="F192" s="1" t="s">
        <v>221</v>
      </c>
      <c r="G192" s="1" t="s">
        <v>222</v>
      </c>
      <c r="H192" s="1" t="s">
        <v>223</v>
      </c>
      <c r="I192" s="1" t="s">
        <v>224</v>
      </c>
      <c r="J192" s="1" t="s">
        <v>225</v>
      </c>
    </row>
    <row r="193" spans="1:10" x14ac:dyDescent="0.25">
      <c r="A193" s="1" t="str">
        <f t="shared" si="2"/>
        <v>2</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3350</v>
      </c>
      <c r="D193" s="1" t="s">
        <v>112</v>
      </c>
      <c r="E193" s="1" t="s">
        <v>3351</v>
      </c>
      <c r="F193" s="1" t="s">
        <v>3352</v>
      </c>
      <c r="G193" s="1" t="s">
        <v>3353</v>
      </c>
      <c r="H193" s="1" t="s">
        <v>3354</v>
      </c>
      <c r="I193" s="1">
        <v>22</v>
      </c>
      <c r="J193" s="1">
        <v>24</v>
      </c>
    </row>
    <row r="194" spans="1:10"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10"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10"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10"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10"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10"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231</v>
      </c>
      <c r="D199" s="1" t="s">
        <v>110</v>
      </c>
      <c r="E199" s="1" t="s">
        <v>111</v>
      </c>
      <c r="F199" s="1" t="s">
        <v>112</v>
      </c>
      <c r="G199" s="1" t="s">
        <v>113</v>
      </c>
    </row>
    <row r="200" spans="1:10" x14ac:dyDescent="0.25">
      <c r="A200" s="1" t="str">
        <f t="shared" si="3"/>
        <v>3</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3355</v>
      </c>
      <c r="D200" s="1" t="s">
        <v>1611</v>
      </c>
      <c r="E200" s="1" t="s">
        <v>2904</v>
      </c>
      <c r="F200" s="1" t="s">
        <v>112</v>
      </c>
      <c r="G200" s="1">
        <v>3439</v>
      </c>
    </row>
    <row r="201" spans="1:10" x14ac:dyDescent="0.25">
      <c r="A201" s="1" t="str">
        <f t="shared" si="3"/>
        <v>3</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3356</v>
      </c>
    </row>
    <row r="202" spans="1:10" x14ac:dyDescent="0.25">
      <c r="A202" s="1" t="str">
        <f t="shared" si="3"/>
        <v>3</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3357</v>
      </c>
    </row>
    <row r="203" spans="1:10" x14ac:dyDescent="0.25">
      <c r="A203" s="1" t="str">
        <f t="shared" si="3"/>
        <v>3</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3358</v>
      </c>
    </row>
    <row r="204" spans="1:10" x14ac:dyDescent="0.25">
      <c r="A204" s="1" t="str">
        <f t="shared" si="3"/>
        <v>3</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3359</v>
      </c>
      <c r="D204" s="1" t="s">
        <v>645</v>
      </c>
      <c r="E204" s="1" t="s">
        <v>3360</v>
      </c>
      <c r="F204" s="1" t="s">
        <v>112</v>
      </c>
      <c r="G204" s="1">
        <v>73866</v>
      </c>
    </row>
    <row r="205" spans="1:10" x14ac:dyDescent="0.25">
      <c r="A205" s="1" t="str">
        <f t="shared" si="3"/>
        <v>3</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3361</v>
      </c>
      <c r="D205" s="1">
        <v>0</v>
      </c>
      <c r="E205" s="1">
        <v>0</v>
      </c>
      <c r="F205" s="1" t="s">
        <v>112</v>
      </c>
      <c r="G205" s="1">
        <v>0</v>
      </c>
    </row>
    <row r="206" spans="1:10" x14ac:dyDescent="0.25">
      <c r="A206" s="1" t="str">
        <f t="shared" si="3"/>
        <v>3</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3362</v>
      </c>
      <c r="D206" s="1" t="s">
        <v>1084</v>
      </c>
      <c r="E206" s="1" t="s">
        <v>3363</v>
      </c>
      <c r="F206" s="1" t="s">
        <v>112</v>
      </c>
      <c r="G206" s="1">
        <v>124631</v>
      </c>
    </row>
    <row r="207" spans="1:10" x14ac:dyDescent="0.25">
      <c r="A207" s="1" t="str">
        <f t="shared" si="3"/>
        <v>3</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3364</v>
      </c>
      <c r="D207" s="1" t="s">
        <v>1003</v>
      </c>
      <c r="E207" s="1" t="s">
        <v>3365</v>
      </c>
      <c r="F207" s="1" t="s">
        <v>112</v>
      </c>
      <c r="G207" s="1">
        <v>52258</v>
      </c>
    </row>
    <row r="208" spans="1:10" x14ac:dyDescent="0.25">
      <c r="A208" s="1" t="str">
        <f t="shared" si="3"/>
        <v>3</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3366</v>
      </c>
      <c r="D208" s="1" t="s">
        <v>2381</v>
      </c>
      <c r="E208" s="1" t="s">
        <v>3367</v>
      </c>
      <c r="F208" s="1" t="s">
        <v>112</v>
      </c>
      <c r="G208" s="1">
        <v>49468</v>
      </c>
    </row>
    <row r="209" spans="1:7" x14ac:dyDescent="0.25">
      <c r="A209" s="1" t="str">
        <f t="shared" si="3"/>
        <v>3</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3368</v>
      </c>
      <c r="D209" s="1" t="s">
        <v>3369</v>
      </c>
      <c r="E209" s="1" t="s">
        <v>3370</v>
      </c>
      <c r="F209" s="1" t="s">
        <v>112</v>
      </c>
      <c r="G209" s="1">
        <v>261657</v>
      </c>
    </row>
    <row r="210" spans="1:7" x14ac:dyDescent="0.25">
      <c r="A210" s="1" t="str">
        <f t="shared" si="3"/>
        <v>3</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3371</v>
      </c>
      <c r="D210" s="1" t="s">
        <v>3372</v>
      </c>
      <c r="E210" s="1" t="s">
        <v>3373</v>
      </c>
      <c r="F210" s="1" t="s">
        <v>112</v>
      </c>
      <c r="G210" s="1">
        <v>449296</v>
      </c>
    </row>
    <row r="211" spans="1:7" x14ac:dyDescent="0.25">
      <c r="A211" s="1" t="str">
        <f t="shared" si="3"/>
        <v>3</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3374</v>
      </c>
      <c r="D211" s="1" t="s">
        <v>3375</v>
      </c>
      <c r="E211" s="1" t="s">
        <v>3376</v>
      </c>
      <c r="F211" s="1" t="s">
        <v>112</v>
      </c>
      <c r="G211" s="1">
        <v>471077</v>
      </c>
    </row>
    <row r="212" spans="1:7" x14ac:dyDescent="0.25">
      <c r="A212" s="1" t="str">
        <f t="shared" si="3"/>
        <v>3</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3377</v>
      </c>
      <c r="D212" s="1" t="s">
        <v>1514</v>
      </c>
      <c r="E212" s="1" t="s">
        <v>3378</v>
      </c>
      <c r="F212" s="1" t="s">
        <v>112</v>
      </c>
      <c r="G212" s="1">
        <v>222593</v>
      </c>
    </row>
    <row r="213" spans="1:7" x14ac:dyDescent="0.25">
      <c r="A213" s="1" t="str">
        <f t="shared" si="3"/>
        <v>3</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3379</v>
      </c>
      <c r="D213" s="1" t="s">
        <v>3380</v>
      </c>
      <c r="E213" s="1" t="s">
        <v>3381</v>
      </c>
      <c r="F213" s="1" t="s">
        <v>112</v>
      </c>
      <c r="G213" s="1">
        <v>215434</v>
      </c>
    </row>
    <row r="214" spans="1:7" x14ac:dyDescent="0.25">
      <c r="A214" s="1" t="str">
        <f t="shared" si="3"/>
        <v>3</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3382</v>
      </c>
      <c r="D214" s="1">
        <v>0</v>
      </c>
      <c r="E214" s="1">
        <v>0</v>
      </c>
      <c r="F214" s="1" t="s">
        <v>112</v>
      </c>
      <c r="G214" s="1">
        <v>0</v>
      </c>
    </row>
    <row r="215" spans="1:7" x14ac:dyDescent="0.25">
      <c r="A215" s="1" t="str">
        <f t="shared" si="3"/>
        <v>3</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3383</v>
      </c>
      <c r="D215" s="1" t="s">
        <v>3384</v>
      </c>
      <c r="E215" s="1" t="s">
        <v>3385</v>
      </c>
      <c r="F215" s="1" t="s">
        <v>112</v>
      </c>
      <c r="G215" s="1">
        <v>124934</v>
      </c>
    </row>
    <row r="216" spans="1:7" x14ac:dyDescent="0.25">
      <c r="A216" s="1" t="str">
        <f t="shared" si="3"/>
        <v>3</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3386</v>
      </c>
      <c r="D216" s="1" t="s">
        <v>645</v>
      </c>
      <c r="E216" s="1" t="s">
        <v>3387</v>
      </c>
      <c r="F216" s="1" t="s">
        <v>112</v>
      </c>
      <c r="G216" s="1">
        <v>73931</v>
      </c>
    </row>
    <row r="217" spans="1:7" x14ac:dyDescent="0.25">
      <c r="A217" s="1" t="str">
        <f t="shared" si="3"/>
        <v>3</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3388</v>
      </c>
      <c r="D217" s="1" t="s">
        <v>3389</v>
      </c>
      <c r="E217" s="1" t="s">
        <v>3390</v>
      </c>
      <c r="F217" s="1" t="s">
        <v>112</v>
      </c>
      <c r="G217" s="1">
        <v>128806</v>
      </c>
    </row>
    <row r="218" spans="1:7" x14ac:dyDescent="0.25">
      <c r="A218" s="1" t="str">
        <f t="shared" si="3"/>
        <v>3</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3391</v>
      </c>
      <c r="D218" s="1" t="s">
        <v>3161</v>
      </c>
      <c r="E218" s="1" t="s">
        <v>3392</v>
      </c>
      <c r="F218" s="1" t="s">
        <v>112</v>
      </c>
      <c r="G218" s="1">
        <v>444494</v>
      </c>
    </row>
    <row r="219" spans="1:7" x14ac:dyDescent="0.25">
      <c r="A219" s="1" t="str">
        <f t="shared" si="3"/>
        <v>3</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3393</v>
      </c>
      <c r="D219" s="1" t="s">
        <v>3394</v>
      </c>
      <c r="E219" s="1" t="s">
        <v>3395</v>
      </c>
      <c r="F219" s="1" t="s">
        <v>112</v>
      </c>
      <c r="G219" s="1">
        <v>765504</v>
      </c>
    </row>
    <row r="220" spans="1:7" x14ac:dyDescent="0.25">
      <c r="A220" s="1" t="str">
        <f t="shared" si="3"/>
        <v>3</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3396</v>
      </c>
      <c r="D220" s="1" t="s">
        <v>3010</v>
      </c>
      <c r="E220" s="1" t="s">
        <v>3397</v>
      </c>
      <c r="F220" s="1" t="s">
        <v>112</v>
      </c>
      <c r="G220" s="1">
        <v>294556</v>
      </c>
    </row>
    <row r="221" spans="1:7" x14ac:dyDescent="0.25">
      <c r="A221" s="1" t="str">
        <f t="shared" si="3"/>
        <v>3</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3398</v>
      </c>
      <c r="D221" s="1" t="s">
        <v>3399</v>
      </c>
      <c r="E221" s="1" t="s">
        <v>3400</v>
      </c>
      <c r="F221" s="1" t="s">
        <v>112</v>
      </c>
      <c r="G221" s="1">
        <v>281210</v>
      </c>
    </row>
    <row r="222" spans="1:7" x14ac:dyDescent="0.25">
      <c r="A222" s="1" t="str">
        <f t="shared" si="3"/>
        <v>3</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3401</v>
      </c>
      <c r="D222" s="1" t="s">
        <v>3402</v>
      </c>
      <c r="E222" s="1" t="s">
        <v>3403</v>
      </c>
      <c r="F222" s="1" t="s">
        <v>112</v>
      </c>
      <c r="G222" s="1">
        <v>630944</v>
      </c>
    </row>
    <row r="223" spans="1:7" x14ac:dyDescent="0.25">
      <c r="A223" s="1" t="str">
        <f t="shared" si="3"/>
        <v>3</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3404</v>
      </c>
      <c r="D223" s="1" t="s">
        <v>3405</v>
      </c>
      <c r="E223" s="1" t="s">
        <v>3406</v>
      </c>
      <c r="F223" s="1" t="s">
        <v>112</v>
      </c>
      <c r="G223" s="1">
        <v>333252</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10"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219</v>
      </c>
      <c r="D225" s="1" t="s">
        <v>112</v>
      </c>
      <c r="E225" s="1" t="s">
        <v>220</v>
      </c>
      <c r="F225" s="1" t="s">
        <v>221</v>
      </c>
      <c r="G225" s="1" t="s">
        <v>222</v>
      </c>
      <c r="H225" s="1" t="s">
        <v>223</v>
      </c>
      <c r="I225" s="1" t="s">
        <v>224</v>
      </c>
      <c r="J225" s="1" t="s">
        <v>225</v>
      </c>
    </row>
    <row r="226" spans="1:10" x14ac:dyDescent="0.25">
      <c r="A226" s="1" t="str">
        <f t="shared" si="3"/>
        <v>3</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3407</v>
      </c>
      <c r="D226" s="1" t="s">
        <v>112</v>
      </c>
      <c r="E226" s="1" t="s">
        <v>3408</v>
      </c>
      <c r="F226" s="1" t="s">
        <v>3409</v>
      </c>
      <c r="G226" s="1" t="s">
        <v>3410</v>
      </c>
      <c r="H226" s="1" t="s">
        <v>3411</v>
      </c>
      <c r="I226" s="1">
        <v>22</v>
      </c>
      <c r="J226" s="1">
        <v>24</v>
      </c>
    </row>
    <row r="227" spans="1:10"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10"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10"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10"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10"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10"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231</v>
      </c>
      <c r="D232" s="1" t="s">
        <v>110</v>
      </c>
      <c r="E232" s="1" t="s">
        <v>111</v>
      </c>
      <c r="F232" s="1" t="s">
        <v>112</v>
      </c>
      <c r="G232" s="1" t="s">
        <v>113</v>
      </c>
    </row>
    <row r="233" spans="1:10" x14ac:dyDescent="0.25">
      <c r="A233" s="1" t="str">
        <f t="shared" si="3"/>
        <v>4</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3412</v>
      </c>
      <c r="D233" s="1" t="s">
        <v>3413</v>
      </c>
      <c r="E233" s="1" t="s">
        <v>3414</v>
      </c>
      <c r="F233" s="1" t="s">
        <v>112</v>
      </c>
      <c r="G233" s="1">
        <v>437356</v>
      </c>
    </row>
    <row r="234" spans="1:10" x14ac:dyDescent="0.25">
      <c r="A234" s="1" t="str">
        <f t="shared" si="3"/>
        <v>4</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3415</v>
      </c>
      <c r="D234" s="1" t="s">
        <v>3416</v>
      </c>
      <c r="E234" s="1" t="s">
        <v>3417</v>
      </c>
      <c r="F234" s="1" t="s">
        <v>112</v>
      </c>
      <c r="G234" s="1">
        <v>430067</v>
      </c>
    </row>
    <row r="235" spans="1:10" x14ac:dyDescent="0.25">
      <c r="A235" s="1" t="str">
        <f t="shared" si="3"/>
        <v>4</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3418</v>
      </c>
      <c r="D235" s="1" t="s">
        <v>3419</v>
      </c>
      <c r="E235" s="1" t="s">
        <v>3420</v>
      </c>
      <c r="F235" s="1" t="s">
        <v>112</v>
      </c>
      <c r="G235" s="1">
        <v>676929</v>
      </c>
    </row>
    <row r="236" spans="1:10" x14ac:dyDescent="0.25">
      <c r="A236" s="1" t="str">
        <f t="shared" si="3"/>
        <v>4</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3421</v>
      </c>
      <c r="D236" s="1" t="s">
        <v>2442</v>
      </c>
      <c r="E236" s="1" t="s">
        <v>3422</v>
      </c>
      <c r="F236" s="1" t="s">
        <v>112</v>
      </c>
      <c r="G236" s="1">
        <v>127141</v>
      </c>
    </row>
    <row r="237" spans="1:10" x14ac:dyDescent="0.25">
      <c r="A237" s="1" t="str">
        <f t="shared" si="3"/>
        <v>4</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3423</v>
      </c>
      <c r="D237" s="1" t="s">
        <v>1233</v>
      </c>
      <c r="E237" s="1" t="s">
        <v>3424</v>
      </c>
      <c r="F237" s="1" t="s">
        <v>112</v>
      </c>
      <c r="G237" s="1">
        <v>111416</v>
      </c>
    </row>
    <row r="238" spans="1:10" x14ac:dyDescent="0.25">
      <c r="A238" s="1" t="str">
        <f t="shared" si="3"/>
        <v>4</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3425</v>
      </c>
      <c r="D238" s="1" t="s">
        <v>1571</v>
      </c>
      <c r="E238" s="1" t="s">
        <v>3426</v>
      </c>
      <c r="F238" s="1" t="s">
        <v>112</v>
      </c>
      <c r="G238" s="1">
        <v>370196</v>
      </c>
    </row>
    <row r="239" spans="1:10" x14ac:dyDescent="0.25">
      <c r="A239" s="1" t="str">
        <f t="shared" si="3"/>
        <v>4</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3427</v>
      </c>
      <c r="D239" s="1" t="s">
        <v>3428</v>
      </c>
      <c r="E239" s="1" t="s">
        <v>3429</v>
      </c>
      <c r="F239" s="1" t="s">
        <v>112</v>
      </c>
      <c r="G239" s="1">
        <v>388084</v>
      </c>
    </row>
    <row r="240" spans="1:10" x14ac:dyDescent="0.25">
      <c r="A240" s="1" t="str">
        <f t="shared" si="3"/>
        <v>4</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3430</v>
      </c>
      <c r="D240" s="1" t="s">
        <v>1030</v>
      </c>
      <c r="E240" s="1" t="s">
        <v>1965</v>
      </c>
      <c r="F240" s="1" t="s">
        <v>112</v>
      </c>
      <c r="G240" s="1">
        <v>2639</v>
      </c>
    </row>
    <row r="241" spans="1:7" x14ac:dyDescent="0.25">
      <c r="A241" s="1" t="str">
        <f t="shared" si="3"/>
        <v>4</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3431</v>
      </c>
      <c r="D241" s="1" t="s">
        <v>3428</v>
      </c>
      <c r="E241" s="1" t="s">
        <v>3432</v>
      </c>
      <c r="F241" s="1" t="s">
        <v>112</v>
      </c>
      <c r="G241" s="1">
        <v>385055</v>
      </c>
    </row>
    <row r="242" spans="1:7" x14ac:dyDescent="0.25">
      <c r="A242" s="1" t="str">
        <f t="shared" si="3"/>
        <v>4</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3433</v>
      </c>
      <c r="D242" s="1" t="s">
        <v>1087</v>
      </c>
      <c r="E242" s="1" t="s">
        <v>3434</v>
      </c>
      <c r="F242" s="1" t="s">
        <v>112</v>
      </c>
      <c r="G242" s="1">
        <v>185974</v>
      </c>
    </row>
    <row r="243" spans="1:7" x14ac:dyDescent="0.25">
      <c r="A243" s="1" t="str">
        <f t="shared" si="3"/>
        <v>4</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3435</v>
      </c>
      <c r="D243" s="1" t="s">
        <v>2938</v>
      </c>
      <c r="E243" s="1" t="s">
        <v>3436</v>
      </c>
      <c r="F243" s="1" t="s">
        <v>112</v>
      </c>
      <c r="G243" s="1">
        <v>187034</v>
      </c>
    </row>
    <row r="244" spans="1:7" x14ac:dyDescent="0.25">
      <c r="A244" s="1" t="str">
        <f t="shared" si="3"/>
        <v>4</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3437</v>
      </c>
      <c r="D244" s="1" t="s">
        <v>1680</v>
      </c>
      <c r="E244" s="1" t="s">
        <v>3438</v>
      </c>
      <c r="F244" s="1" t="s">
        <v>112</v>
      </c>
      <c r="G244" s="1">
        <v>236912</v>
      </c>
    </row>
    <row r="245" spans="1:7" x14ac:dyDescent="0.25">
      <c r="A245" s="1" t="str">
        <f t="shared" si="3"/>
        <v>4</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3439</v>
      </c>
      <c r="D245" s="1" t="s">
        <v>3440</v>
      </c>
      <c r="E245" s="1" t="s">
        <v>3441</v>
      </c>
      <c r="F245" s="1" t="s">
        <v>112</v>
      </c>
      <c r="G245" s="1">
        <v>305868</v>
      </c>
    </row>
    <row r="246" spans="1:7" x14ac:dyDescent="0.25">
      <c r="A246" s="1" t="str">
        <f t="shared" si="3"/>
        <v>4</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3442</v>
      </c>
      <c r="D246" s="1" t="s">
        <v>3443</v>
      </c>
      <c r="E246" s="1" t="s">
        <v>3444</v>
      </c>
      <c r="F246" s="1" t="s">
        <v>112</v>
      </c>
      <c r="G246" s="1">
        <v>86541</v>
      </c>
    </row>
    <row r="247" spans="1:7" x14ac:dyDescent="0.25">
      <c r="A247" s="1" t="str">
        <f t="shared" si="3"/>
        <v>4</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3445</v>
      </c>
      <c r="D247" s="1" t="s">
        <v>3446</v>
      </c>
      <c r="E247" s="1" t="s">
        <v>3447</v>
      </c>
      <c r="F247" s="1" t="s">
        <v>112</v>
      </c>
      <c r="G247" s="1">
        <v>125259</v>
      </c>
    </row>
    <row r="248" spans="1:7" x14ac:dyDescent="0.25">
      <c r="A248" s="1" t="str">
        <f t="shared" si="3"/>
        <v>4</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3448</v>
      </c>
      <c r="D248" s="1" t="s">
        <v>3449</v>
      </c>
      <c r="E248" s="1" t="s">
        <v>3450</v>
      </c>
      <c r="F248" s="1" t="s">
        <v>112</v>
      </c>
      <c r="G248" s="1">
        <v>1815332</v>
      </c>
    </row>
    <row r="249" spans="1:7" x14ac:dyDescent="0.25">
      <c r="A249" s="1" t="str">
        <f t="shared" si="3"/>
        <v>4</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3451</v>
      </c>
      <c r="D249" s="1" t="s">
        <v>3452</v>
      </c>
      <c r="E249" s="1" t="s">
        <v>3453</v>
      </c>
      <c r="F249" s="1" t="s">
        <v>112</v>
      </c>
      <c r="G249" s="1">
        <v>1638075</v>
      </c>
    </row>
    <row r="250" spans="1:7" x14ac:dyDescent="0.25">
      <c r="A250" s="1" t="str">
        <f t="shared" si="3"/>
        <v>4</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3454</v>
      </c>
      <c r="D250" s="1" t="s">
        <v>2132</v>
      </c>
      <c r="E250" s="1" t="s">
        <v>3455</v>
      </c>
      <c r="F250" s="1" t="s">
        <v>112</v>
      </c>
      <c r="G250" s="1">
        <v>1814727</v>
      </c>
    </row>
    <row r="251" spans="1:7" x14ac:dyDescent="0.25">
      <c r="A251" s="1" t="str">
        <f t="shared" si="3"/>
        <v>4</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3456</v>
      </c>
      <c r="D251" s="1" t="s">
        <v>3457</v>
      </c>
      <c r="E251" s="1" t="s">
        <v>3458</v>
      </c>
      <c r="F251" s="1" t="s">
        <v>112</v>
      </c>
      <c r="G251" s="1">
        <v>203343</v>
      </c>
    </row>
    <row r="252" spans="1:7" x14ac:dyDescent="0.25">
      <c r="A252" s="1" t="str">
        <f t="shared" si="3"/>
        <v>4</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3459</v>
      </c>
      <c r="D252" s="1" t="s">
        <v>2023</v>
      </c>
      <c r="E252" s="1" t="s">
        <v>3460</v>
      </c>
      <c r="F252" s="1" t="s">
        <v>112</v>
      </c>
      <c r="G252" s="1">
        <v>46223</v>
      </c>
    </row>
    <row r="253" spans="1:7" x14ac:dyDescent="0.25">
      <c r="A253" s="1" t="str">
        <f t="shared" si="3"/>
        <v>4</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3461</v>
      </c>
      <c r="D253" s="1" t="s">
        <v>3462</v>
      </c>
      <c r="E253" s="1" t="s">
        <v>3463</v>
      </c>
      <c r="F253" s="1" t="s">
        <v>112</v>
      </c>
      <c r="G253" s="1">
        <v>198043</v>
      </c>
    </row>
    <row r="254" spans="1:7" x14ac:dyDescent="0.25">
      <c r="A254" s="1" t="str">
        <f t="shared" si="3"/>
        <v>4</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3464</v>
      </c>
      <c r="D254" s="1" t="s">
        <v>3465</v>
      </c>
      <c r="E254" s="1" t="s">
        <v>3466</v>
      </c>
      <c r="F254" s="1" t="s">
        <v>112</v>
      </c>
      <c r="G254" s="1">
        <v>352935</v>
      </c>
    </row>
    <row r="255" spans="1:7" x14ac:dyDescent="0.25">
      <c r="A255" s="1" t="str">
        <f t="shared" si="3"/>
        <v>4</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3467</v>
      </c>
      <c r="D255" s="1" t="s">
        <v>3468</v>
      </c>
      <c r="E255" s="1" t="s">
        <v>3469</v>
      </c>
      <c r="F255" s="1" t="s">
        <v>112</v>
      </c>
      <c r="G255" s="1">
        <v>598780</v>
      </c>
    </row>
    <row r="256" spans="1:7" x14ac:dyDescent="0.25">
      <c r="A256" s="1" t="str">
        <f t="shared" si="3"/>
        <v>4</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3470</v>
      </c>
      <c r="D256" s="1" t="s">
        <v>3471</v>
      </c>
      <c r="E256" s="1" t="s">
        <v>3472</v>
      </c>
      <c r="F256" s="1" t="s">
        <v>112</v>
      </c>
      <c r="G256" s="1">
        <v>367946</v>
      </c>
    </row>
    <row r="257" spans="1:10"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10"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219</v>
      </c>
      <c r="D258" s="1" t="s">
        <v>112</v>
      </c>
      <c r="E258" s="1" t="s">
        <v>220</v>
      </c>
      <c r="F258" s="1" t="s">
        <v>221</v>
      </c>
      <c r="G258" s="1" t="s">
        <v>222</v>
      </c>
      <c r="H258" s="1" t="s">
        <v>223</v>
      </c>
      <c r="I258" s="1" t="s">
        <v>224</v>
      </c>
      <c r="J258" s="1" t="s">
        <v>225</v>
      </c>
    </row>
    <row r="259" spans="1:10" x14ac:dyDescent="0.25">
      <c r="A259" s="1" t="str">
        <f t="shared" si="4"/>
        <v>4</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3473</v>
      </c>
      <c r="D259" s="1" t="s">
        <v>112</v>
      </c>
      <c r="E259" s="1" t="s">
        <v>3474</v>
      </c>
      <c r="F259" s="1" t="s">
        <v>3475</v>
      </c>
      <c r="G259" s="1" t="s">
        <v>3476</v>
      </c>
      <c r="H259" s="1" t="s">
        <v>3477</v>
      </c>
      <c r="I259" s="1">
        <v>24</v>
      </c>
      <c r="J259" s="1">
        <v>24</v>
      </c>
    </row>
    <row r="260" spans="1:10"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10"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10"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10"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10"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10"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231</v>
      </c>
      <c r="D265" s="1" t="s">
        <v>110</v>
      </c>
      <c r="E265" s="1" t="s">
        <v>111</v>
      </c>
      <c r="F265" s="1" t="s">
        <v>112</v>
      </c>
      <c r="G265" s="1" t="s">
        <v>113</v>
      </c>
    </row>
    <row r="266" spans="1:10" x14ac:dyDescent="0.25">
      <c r="A266" s="1" t="str">
        <f t="shared" si="4"/>
        <v>5</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3478</v>
      </c>
      <c r="D266" s="1" t="s">
        <v>3479</v>
      </c>
      <c r="E266" s="1" t="s">
        <v>3480</v>
      </c>
      <c r="F266" s="1" t="s">
        <v>112</v>
      </c>
      <c r="G266" s="1">
        <v>2011753</v>
      </c>
    </row>
    <row r="267" spans="1:10" x14ac:dyDescent="0.25">
      <c r="A267" s="1" t="str">
        <f t="shared" si="4"/>
        <v>5</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3481</v>
      </c>
      <c r="D267" s="1" t="s">
        <v>287</v>
      </c>
      <c r="E267" s="1" t="s">
        <v>3482</v>
      </c>
      <c r="F267" s="1" t="s">
        <v>112</v>
      </c>
      <c r="G267" s="1">
        <v>2102642</v>
      </c>
    </row>
    <row r="268" spans="1:10" x14ac:dyDescent="0.25">
      <c r="A268" s="1" t="str">
        <f t="shared" si="4"/>
        <v>5</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3483</v>
      </c>
      <c r="D268" s="1" t="s">
        <v>3484</v>
      </c>
      <c r="E268" s="1" t="s">
        <v>3485</v>
      </c>
      <c r="F268" s="1" t="s">
        <v>112</v>
      </c>
      <c r="G268" s="1">
        <v>2337413</v>
      </c>
    </row>
    <row r="269" spans="1:10" x14ac:dyDescent="0.25">
      <c r="A269" s="1" t="str">
        <f t="shared" si="4"/>
        <v>5</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3486</v>
      </c>
      <c r="D269" s="1" t="s">
        <v>3487</v>
      </c>
      <c r="E269" s="1" t="s">
        <v>3488</v>
      </c>
      <c r="F269" s="1" t="s">
        <v>112</v>
      </c>
      <c r="G269" s="1">
        <v>449729</v>
      </c>
    </row>
    <row r="270" spans="1:10" x14ac:dyDescent="0.25">
      <c r="A270" s="1" t="str">
        <f t="shared" si="4"/>
        <v>5</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3489</v>
      </c>
      <c r="D270" s="1" t="s">
        <v>3490</v>
      </c>
      <c r="E270" s="1" t="s">
        <v>3491</v>
      </c>
      <c r="F270" s="1" t="s">
        <v>112</v>
      </c>
      <c r="G270" s="1">
        <v>375257</v>
      </c>
    </row>
    <row r="271" spans="1:10" x14ac:dyDescent="0.25">
      <c r="A271" s="1" t="str">
        <f t="shared" si="4"/>
        <v>5</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3492</v>
      </c>
      <c r="D271" s="1" t="s">
        <v>3493</v>
      </c>
      <c r="E271" s="1" t="s">
        <v>3494</v>
      </c>
      <c r="F271" s="1" t="s">
        <v>112</v>
      </c>
      <c r="G271" s="1">
        <v>444408</v>
      </c>
    </row>
    <row r="272" spans="1:10" x14ac:dyDescent="0.25">
      <c r="A272" s="1" t="str">
        <f t="shared" si="4"/>
        <v>5</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3495</v>
      </c>
      <c r="D272" s="1" t="s">
        <v>3496</v>
      </c>
      <c r="E272" s="1" t="s">
        <v>3497</v>
      </c>
      <c r="F272" s="1" t="s">
        <v>112</v>
      </c>
      <c r="G272" s="1">
        <v>1410896</v>
      </c>
    </row>
    <row r="273" spans="1:7" x14ac:dyDescent="0.25">
      <c r="A273" s="1" t="str">
        <f t="shared" si="4"/>
        <v>5</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3498</v>
      </c>
      <c r="D273" s="1" t="s">
        <v>3499</v>
      </c>
      <c r="E273" s="1" t="s">
        <v>3500</v>
      </c>
      <c r="F273" s="1" t="s">
        <v>112</v>
      </c>
      <c r="G273" s="1">
        <v>1261412</v>
      </c>
    </row>
    <row r="274" spans="1:7" x14ac:dyDescent="0.25">
      <c r="A274" s="1" t="str">
        <f t="shared" si="4"/>
        <v>5</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3501</v>
      </c>
      <c r="D274" s="1" t="s">
        <v>3502</v>
      </c>
      <c r="E274" s="1" t="s">
        <v>3503</v>
      </c>
      <c r="F274" s="1" t="s">
        <v>112</v>
      </c>
      <c r="G274" s="1">
        <v>1667340</v>
      </c>
    </row>
    <row r="275" spans="1:7" x14ac:dyDescent="0.25">
      <c r="A275" s="1" t="str">
        <f t="shared" si="4"/>
        <v>5</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3504</v>
      </c>
      <c r="D275" s="1" t="s">
        <v>3505</v>
      </c>
      <c r="E275" s="1" t="s">
        <v>3506</v>
      </c>
      <c r="F275" s="1" t="s">
        <v>112</v>
      </c>
      <c r="G275" s="1">
        <v>3031235</v>
      </c>
    </row>
    <row r="276" spans="1:7" x14ac:dyDescent="0.25">
      <c r="A276" s="1" t="str">
        <f t="shared" si="4"/>
        <v>5</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3507</v>
      </c>
      <c r="D276" s="1" t="s">
        <v>3508</v>
      </c>
      <c r="E276" s="1" t="s">
        <v>3509</v>
      </c>
      <c r="F276" s="1" t="s">
        <v>112</v>
      </c>
      <c r="G276" s="1">
        <v>3290188</v>
      </c>
    </row>
    <row r="277" spans="1:7" x14ac:dyDescent="0.25">
      <c r="A277" s="1" t="str">
        <f t="shared" si="4"/>
        <v>5</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3510</v>
      </c>
      <c r="D277" s="1" t="s">
        <v>3511</v>
      </c>
      <c r="E277" s="1" t="s">
        <v>3512</v>
      </c>
      <c r="F277" s="1" t="s">
        <v>112</v>
      </c>
      <c r="G277" s="1">
        <v>3372944</v>
      </c>
    </row>
    <row r="278" spans="1:7" x14ac:dyDescent="0.25">
      <c r="A278" s="1" t="str">
        <f t="shared" si="4"/>
        <v>5</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3513</v>
      </c>
      <c r="D278" s="1" t="s">
        <v>3514</v>
      </c>
      <c r="E278" s="1" t="s">
        <v>3515</v>
      </c>
      <c r="F278" s="1" t="s">
        <v>112</v>
      </c>
      <c r="G278" s="1">
        <v>1061487</v>
      </c>
    </row>
    <row r="279" spans="1:7" x14ac:dyDescent="0.25">
      <c r="A279" s="1" t="str">
        <f t="shared" si="4"/>
        <v>5</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3516</v>
      </c>
      <c r="D279" s="1" t="s">
        <v>3517</v>
      </c>
      <c r="E279" s="1" t="s">
        <v>3518</v>
      </c>
      <c r="F279" s="1" t="s">
        <v>112</v>
      </c>
      <c r="G279" s="1">
        <v>1279300</v>
      </c>
    </row>
    <row r="280" spans="1:7" x14ac:dyDescent="0.25">
      <c r="A280" s="1" t="str">
        <f t="shared" si="4"/>
        <v>5</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3519</v>
      </c>
      <c r="D280" s="1" t="s">
        <v>3520</v>
      </c>
      <c r="E280" s="1" t="s">
        <v>3521</v>
      </c>
      <c r="F280" s="1" t="s">
        <v>112</v>
      </c>
      <c r="G280" s="1">
        <v>1571671</v>
      </c>
    </row>
    <row r="281" spans="1:7" x14ac:dyDescent="0.25">
      <c r="A281" s="1" t="str">
        <f t="shared" si="4"/>
        <v>5</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3522</v>
      </c>
      <c r="D281" s="1" t="s">
        <v>410</v>
      </c>
      <c r="E281" s="1" t="s">
        <v>3523</v>
      </c>
      <c r="F281" s="1" t="s">
        <v>112</v>
      </c>
      <c r="G281" s="1">
        <v>2122650</v>
      </c>
    </row>
    <row r="282" spans="1:7" x14ac:dyDescent="0.25">
      <c r="A282" s="1" t="str">
        <f t="shared" si="4"/>
        <v>5</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3524</v>
      </c>
      <c r="D282" s="1" t="s">
        <v>3525</v>
      </c>
      <c r="E282" s="1" t="s">
        <v>3526</v>
      </c>
      <c r="F282" s="1" t="s">
        <v>112</v>
      </c>
      <c r="G282" s="1">
        <v>1811698</v>
      </c>
    </row>
    <row r="283" spans="1:7" x14ac:dyDescent="0.25">
      <c r="A283" s="1" t="str">
        <f t="shared" si="4"/>
        <v>5</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3527</v>
      </c>
      <c r="D283" s="1" t="s">
        <v>3528</v>
      </c>
      <c r="E283" s="1" t="s">
        <v>3529</v>
      </c>
      <c r="F283" s="1" t="s">
        <v>112</v>
      </c>
      <c r="G283" s="1">
        <v>1782130</v>
      </c>
    </row>
    <row r="284" spans="1:7" x14ac:dyDescent="0.25">
      <c r="A284" s="1" t="str">
        <f t="shared" si="4"/>
        <v>5</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3530</v>
      </c>
      <c r="D284" s="1" t="s">
        <v>147</v>
      </c>
      <c r="E284" s="1" t="s">
        <v>3531</v>
      </c>
      <c r="F284" s="1" t="s">
        <v>112</v>
      </c>
      <c r="G284" s="1">
        <v>162094</v>
      </c>
    </row>
    <row r="285" spans="1:7" x14ac:dyDescent="0.25">
      <c r="A285" s="1" t="str">
        <f t="shared" si="4"/>
        <v>5</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3532</v>
      </c>
      <c r="D285" s="1" t="s">
        <v>3533</v>
      </c>
      <c r="E285" s="1" t="s">
        <v>3534</v>
      </c>
      <c r="F285" s="1" t="s">
        <v>112</v>
      </c>
      <c r="G285" s="1">
        <v>392474</v>
      </c>
    </row>
    <row r="286" spans="1:7" x14ac:dyDescent="0.25">
      <c r="A286" s="1" t="str">
        <f t="shared" si="4"/>
        <v>5</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3535</v>
      </c>
      <c r="D286" s="1" t="s">
        <v>2483</v>
      </c>
      <c r="E286" s="1" t="s">
        <v>3536</v>
      </c>
      <c r="F286" s="1" t="s">
        <v>112</v>
      </c>
      <c r="G286" s="1">
        <v>173645</v>
      </c>
    </row>
    <row r="287" spans="1:7" x14ac:dyDescent="0.25">
      <c r="A287" s="1" t="str">
        <f t="shared" si="4"/>
        <v>5</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3537</v>
      </c>
      <c r="D287" s="1" t="s">
        <v>3538</v>
      </c>
      <c r="E287" s="1" t="s">
        <v>3539</v>
      </c>
      <c r="F287" s="1" t="s">
        <v>112</v>
      </c>
      <c r="G287" s="1">
        <v>1272811</v>
      </c>
    </row>
    <row r="288" spans="1:7" x14ac:dyDescent="0.25">
      <c r="A288" s="1" t="str">
        <f t="shared" si="4"/>
        <v>5</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3540</v>
      </c>
      <c r="D288" s="1" t="s">
        <v>3541</v>
      </c>
      <c r="E288" s="1" t="s">
        <v>3542</v>
      </c>
      <c r="F288" s="1" t="s">
        <v>112</v>
      </c>
      <c r="G288" s="1">
        <v>1047947</v>
      </c>
    </row>
    <row r="289" spans="1:10" x14ac:dyDescent="0.25">
      <c r="A289" s="1" t="str">
        <f t="shared" si="4"/>
        <v>5</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3543</v>
      </c>
      <c r="D289" s="1" t="s">
        <v>3544</v>
      </c>
      <c r="E289" s="1" t="s">
        <v>3545</v>
      </c>
      <c r="F289" s="1" t="s">
        <v>112</v>
      </c>
      <c r="G289" s="1">
        <v>1104206</v>
      </c>
    </row>
    <row r="290" spans="1:10"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10"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219</v>
      </c>
      <c r="D291" s="1" t="s">
        <v>112</v>
      </c>
      <c r="E291" s="1" t="s">
        <v>220</v>
      </c>
      <c r="F291" s="1" t="s">
        <v>221</v>
      </c>
      <c r="G291" s="1" t="s">
        <v>222</v>
      </c>
      <c r="H291" s="1" t="s">
        <v>223</v>
      </c>
      <c r="I291" s="1" t="s">
        <v>224</v>
      </c>
      <c r="J291" s="1" t="s">
        <v>225</v>
      </c>
    </row>
    <row r="292" spans="1:10" x14ac:dyDescent="0.25">
      <c r="A292" s="1" t="str">
        <f t="shared" si="4"/>
        <v>5</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3546</v>
      </c>
      <c r="D292" s="1" t="s">
        <v>112</v>
      </c>
      <c r="E292" s="1" t="s">
        <v>3547</v>
      </c>
      <c r="F292" s="1" t="s">
        <v>3548</v>
      </c>
      <c r="G292" s="1" t="s">
        <v>3549</v>
      </c>
      <c r="H292" s="1" t="s">
        <v>3550</v>
      </c>
      <c r="I292" s="1">
        <v>24</v>
      </c>
      <c r="J292" s="1">
        <v>24</v>
      </c>
    </row>
    <row r="293" spans="1:10"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10"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10"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10"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10"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10"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231</v>
      </c>
      <c r="D298" s="1" t="s">
        <v>110</v>
      </c>
      <c r="E298" s="1" t="s">
        <v>111</v>
      </c>
      <c r="F298" s="1" t="s">
        <v>112</v>
      </c>
      <c r="G298" s="1" t="s">
        <v>113</v>
      </c>
    </row>
    <row r="299" spans="1:10" x14ac:dyDescent="0.25">
      <c r="A299" s="1" t="str">
        <f t="shared" si="4"/>
        <v>6</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3551</v>
      </c>
    </row>
    <row r="300" spans="1:10" x14ac:dyDescent="0.25">
      <c r="A300" s="1" t="str">
        <f t="shared" si="4"/>
        <v>6</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3552</v>
      </c>
    </row>
    <row r="301" spans="1:10" x14ac:dyDescent="0.25">
      <c r="A301" s="1" t="str">
        <f t="shared" si="4"/>
        <v>6</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3553</v>
      </c>
    </row>
    <row r="302" spans="1:10" x14ac:dyDescent="0.25">
      <c r="A302" s="1" t="str">
        <f t="shared" si="4"/>
        <v>6</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3554</v>
      </c>
      <c r="D302" s="1" t="s">
        <v>3555</v>
      </c>
      <c r="E302" s="1" t="s">
        <v>3556</v>
      </c>
      <c r="F302" s="1" t="s">
        <v>112</v>
      </c>
      <c r="G302" s="1">
        <v>2189291</v>
      </c>
    </row>
    <row r="303" spans="1:10" x14ac:dyDescent="0.25">
      <c r="A303" s="1" t="str">
        <f t="shared" si="4"/>
        <v>6</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3557</v>
      </c>
      <c r="D303" s="1" t="s">
        <v>3558</v>
      </c>
      <c r="E303" s="1" t="s">
        <v>3559</v>
      </c>
      <c r="F303" s="1" t="s">
        <v>112</v>
      </c>
      <c r="G303" s="1">
        <v>2178065</v>
      </c>
    </row>
    <row r="304" spans="1:10" x14ac:dyDescent="0.25">
      <c r="A304" s="1" t="str">
        <f t="shared" si="4"/>
        <v>6</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3560</v>
      </c>
      <c r="D304" s="1" t="s">
        <v>3561</v>
      </c>
      <c r="E304" s="1" t="s">
        <v>3562</v>
      </c>
      <c r="F304" s="1" t="s">
        <v>112</v>
      </c>
      <c r="G304" s="1">
        <v>2022006</v>
      </c>
    </row>
    <row r="305" spans="1:7" x14ac:dyDescent="0.25">
      <c r="A305" s="1" t="str">
        <f t="shared" si="4"/>
        <v>6</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3563</v>
      </c>
      <c r="D305" s="1" t="s">
        <v>3564</v>
      </c>
      <c r="E305" s="1" t="s">
        <v>3565</v>
      </c>
      <c r="F305" s="1" t="s">
        <v>112</v>
      </c>
      <c r="G305" s="1">
        <v>2942466</v>
      </c>
    </row>
    <row r="306" spans="1:7" x14ac:dyDescent="0.25">
      <c r="A306" s="1" t="str">
        <f t="shared" si="4"/>
        <v>6</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3566</v>
      </c>
      <c r="D306" s="1" t="s">
        <v>3567</v>
      </c>
      <c r="E306" s="1" t="s">
        <v>3568</v>
      </c>
      <c r="F306" s="1" t="s">
        <v>112</v>
      </c>
      <c r="G306" s="1">
        <v>2095547</v>
      </c>
    </row>
    <row r="307" spans="1:7" x14ac:dyDescent="0.25">
      <c r="A307" s="1" t="str">
        <f t="shared" si="4"/>
        <v>6</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3569</v>
      </c>
      <c r="D307" s="1" t="s">
        <v>3570</v>
      </c>
      <c r="E307" s="1" t="s">
        <v>3571</v>
      </c>
      <c r="F307" s="1" t="s">
        <v>112</v>
      </c>
      <c r="G307" s="1">
        <v>2772736</v>
      </c>
    </row>
    <row r="308" spans="1:7" x14ac:dyDescent="0.25">
      <c r="A308" s="1" t="str">
        <f t="shared" si="4"/>
        <v>6</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3572</v>
      </c>
      <c r="D308" s="1" t="s">
        <v>3573</v>
      </c>
      <c r="E308" s="1" t="s">
        <v>3574</v>
      </c>
      <c r="F308" s="1" t="s">
        <v>112</v>
      </c>
      <c r="G308" s="1">
        <v>1920021</v>
      </c>
    </row>
    <row r="309" spans="1:7" x14ac:dyDescent="0.25">
      <c r="A309" s="1" t="str">
        <f t="shared" si="4"/>
        <v>6</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3575</v>
      </c>
      <c r="D309" s="1" t="s">
        <v>1467</v>
      </c>
      <c r="E309" s="1" t="s">
        <v>3576</v>
      </c>
      <c r="F309" s="1" t="s">
        <v>112</v>
      </c>
      <c r="G309" s="1">
        <v>1574678</v>
      </c>
    </row>
    <row r="310" spans="1:7" x14ac:dyDescent="0.25">
      <c r="A310" s="1" t="str">
        <f t="shared" si="4"/>
        <v>6</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3577</v>
      </c>
      <c r="D310" s="1" t="s">
        <v>3578</v>
      </c>
      <c r="E310" s="1" t="s">
        <v>3579</v>
      </c>
      <c r="F310" s="1" t="s">
        <v>112</v>
      </c>
      <c r="G310" s="1">
        <v>1533343</v>
      </c>
    </row>
    <row r="311" spans="1:7" x14ac:dyDescent="0.25">
      <c r="A311" s="1" t="str">
        <f t="shared" si="4"/>
        <v>6</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3580</v>
      </c>
      <c r="D311" s="1" t="s">
        <v>3581</v>
      </c>
      <c r="E311" s="1" t="s">
        <v>3582</v>
      </c>
      <c r="F311" s="1" t="s">
        <v>112</v>
      </c>
      <c r="G311" s="1">
        <v>2220374</v>
      </c>
    </row>
    <row r="312" spans="1:7" x14ac:dyDescent="0.25">
      <c r="A312" s="1" t="str">
        <f t="shared" si="4"/>
        <v>6</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3583</v>
      </c>
      <c r="D312" s="1" t="s">
        <v>3584</v>
      </c>
      <c r="E312" s="1" t="s">
        <v>3585</v>
      </c>
      <c r="F312" s="1" t="s">
        <v>112</v>
      </c>
      <c r="G312" s="1">
        <v>2797135</v>
      </c>
    </row>
    <row r="313" spans="1:7" x14ac:dyDescent="0.25">
      <c r="A313" s="1" t="str">
        <f t="shared" si="4"/>
        <v>6</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3586</v>
      </c>
      <c r="D313" s="1" t="s">
        <v>3587</v>
      </c>
      <c r="E313" s="1" t="s">
        <v>3588</v>
      </c>
      <c r="F313" s="1" t="s">
        <v>112</v>
      </c>
      <c r="G313" s="1">
        <v>2805095</v>
      </c>
    </row>
    <row r="314" spans="1:7" x14ac:dyDescent="0.25">
      <c r="A314" s="1" t="str">
        <f t="shared" si="4"/>
        <v>6</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3589</v>
      </c>
      <c r="D314" s="1" t="s">
        <v>3590</v>
      </c>
      <c r="E314" s="1" t="s">
        <v>3591</v>
      </c>
      <c r="F314" s="1" t="s">
        <v>112</v>
      </c>
      <c r="G314" s="1">
        <v>1963324</v>
      </c>
    </row>
    <row r="315" spans="1:7" x14ac:dyDescent="0.25">
      <c r="A315" s="1" t="str">
        <f t="shared" si="4"/>
        <v>6</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3592</v>
      </c>
    </row>
    <row r="316" spans="1:7" x14ac:dyDescent="0.25">
      <c r="A316" s="1" t="str">
        <f t="shared" si="4"/>
        <v>6</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3593</v>
      </c>
    </row>
    <row r="317" spans="1:7" x14ac:dyDescent="0.25">
      <c r="A317" s="1" t="str">
        <f t="shared" si="4"/>
        <v>6</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3594</v>
      </c>
      <c r="D317" s="1" t="s">
        <v>304</v>
      </c>
      <c r="E317" s="1" t="s">
        <v>3595</v>
      </c>
      <c r="F317" s="1" t="s">
        <v>112</v>
      </c>
      <c r="G317" s="1">
        <v>2353203</v>
      </c>
    </row>
    <row r="318" spans="1:7" x14ac:dyDescent="0.25">
      <c r="A318" s="1" t="str">
        <f t="shared" si="4"/>
        <v>6</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3596</v>
      </c>
      <c r="D318" s="1" t="s">
        <v>3597</v>
      </c>
      <c r="E318" s="1" t="s">
        <v>3598</v>
      </c>
      <c r="F318" s="1" t="s">
        <v>112</v>
      </c>
      <c r="G318" s="1">
        <v>2603590</v>
      </c>
    </row>
    <row r="319" spans="1:7" x14ac:dyDescent="0.25">
      <c r="A319" s="1" t="str">
        <f t="shared" si="4"/>
        <v>6</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3599</v>
      </c>
      <c r="D319" s="1" t="s">
        <v>3600</v>
      </c>
      <c r="E319" s="1" t="s">
        <v>3601</v>
      </c>
      <c r="F319" s="1" t="s">
        <v>112</v>
      </c>
      <c r="G319" s="1">
        <v>2928580</v>
      </c>
    </row>
    <row r="320" spans="1:7" x14ac:dyDescent="0.25">
      <c r="A320" s="1" t="str">
        <f t="shared" si="4"/>
        <v>6</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3602</v>
      </c>
      <c r="D320" s="1" t="s">
        <v>2338</v>
      </c>
      <c r="E320" s="1" t="s">
        <v>3603</v>
      </c>
      <c r="F320" s="1" t="s">
        <v>112</v>
      </c>
      <c r="G320" s="1">
        <v>3378979</v>
      </c>
    </row>
    <row r="321" spans="1:10" x14ac:dyDescent="0.25">
      <c r="A321" s="1" t="str">
        <f t="shared" si="4"/>
        <v>6</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3604</v>
      </c>
      <c r="D321" s="1" t="s">
        <v>3605</v>
      </c>
      <c r="E321" s="1" t="s">
        <v>3606</v>
      </c>
      <c r="F321" s="1" t="s">
        <v>112</v>
      </c>
      <c r="G321" s="1">
        <v>3688568</v>
      </c>
    </row>
    <row r="322" spans="1:10" x14ac:dyDescent="0.25">
      <c r="A322" s="1" t="str">
        <f t="shared" ref="A322:A385" si="5">IFERROR(LEFT(RIGHT(C322,LEN(C322)-SEARCH("@",C322)),SEARCH("/",RIGHT(C322,LEN(C322)-SEARCH("@",C322)-1))),"")</f>
        <v>6</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3607</v>
      </c>
      <c r="D322" s="1" t="s">
        <v>3608</v>
      </c>
      <c r="E322" s="1" t="s">
        <v>3609</v>
      </c>
      <c r="F322" s="1" t="s">
        <v>112</v>
      </c>
      <c r="G322" s="1">
        <v>3428749</v>
      </c>
    </row>
    <row r="323" spans="1:10"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10"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219</v>
      </c>
      <c r="D324" s="1" t="s">
        <v>112</v>
      </c>
      <c r="E324" s="1" t="s">
        <v>220</v>
      </c>
      <c r="F324" s="1" t="s">
        <v>221</v>
      </c>
      <c r="G324" s="1" t="s">
        <v>222</v>
      </c>
      <c r="H324" s="1" t="s">
        <v>223</v>
      </c>
      <c r="I324" s="1" t="s">
        <v>224</v>
      </c>
      <c r="J324" s="1" t="s">
        <v>225</v>
      </c>
    </row>
    <row r="325" spans="1:10" x14ac:dyDescent="0.25">
      <c r="A325" s="1" t="str">
        <f t="shared" si="5"/>
        <v>6</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3610</v>
      </c>
      <c r="D325" s="1" t="s">
        <v>112</v>
      </c>
      <c r="E325" s="1" t="s">
        <v>3611</v>
      </c>
      <c r="F325" s="1" t="s">
        <v>3612</v>
      </c>
      <c r="G325" s="1" t="s">
        <v>3613</v>
      </c>
      <c r="H325" s="1" t="s">
        <v>3614</v>
      </c>
      <c r="I325" s="1">
        <v>21</v>
      </c>
      <c r="J325" s="1">
        <v>24</v>
      </c>
    </row>
    <row r="326" spans="1:10"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10"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10"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10"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10"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10"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231</v>
      </c>
      <c r="D331" s="1" t="s">
        <v>110</v>
      </c>
      <c r="E331" s="1" t="s">
        <v>111</v>
      </c>
      <c r="F331" s="1" t="s">
        <v>112</v>
      </c>
      <c r="G331" s="1" t="s">
        <v>113</v>
      </c>
    </row>
    <row r="332" spans="1:10" x14ac:dyDescent="0.25">
      <c r="A332" s="1" t="str">
        <f t="shared" si="5"/>
        <v>7</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3615</v>
      </c>
      <c r="D332" s="1" t="s">
        <v>3219</v>
      </c>
      <c r="E332" s="1" t="s">
        <v>3616</v>
      </c>
      <c r="F332" s="1" t="s">
        <v>112</v>
      </c>
      <c r="G332" s="1">
        <v>3340067</v>
      </c>
    </row>
    <row r="333" spans="1:10" x14ac:dyDescent="0.25">
      <c r="A333" s="1" t="str">
        <f t="shared" si="5"/>
        <v>7</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3617</v>
      </c>
      <c r="D333" s="1" t="s">
        <v>3618</v>
      </c>
      <c r="E333" s="1" t="s">
        <v>3619</v>
      </c>
      <c r="F333" s="1" t="s">
        <v>112</v>
      </c>
      <c r="G333" s="1">
        <v>3661314</v>
      </c>
    </row>
    <row r="334" spans="1:10" x14ac:dyDescent="0.25">
      <c r="A334" s="1" t="str">
        <f t="shared" si="5"/>
        <v>7</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3620</v>
      </c>
      <c r="D334" s="1" t="s">
        <v>3621</v>
      </c>
      <c r="E334" s="1" t="s">
        <v>3622</v>
      </c>
      <c r="F334" s="1" t="s">
        <v>112</v>
      </c>
      <c r="G334" s="1">
        <v>3314132</v>
      </c>
    </row>
    <row r="335" spans="1:10" x14ac:dyDescent="0.25">
      <c r="A335" s="1" t="str">
        <f t="shared" si="5"/>
        <v>7</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3623</v>
      </c>
      <c r="D335" s="1" t="s">
        <v>2197</v>
      </c>
      <c r="E335" s="1" t="s">
        <v>3624</v>
      </c>
      <c r="F335" s="1" t="s">
        <v>112</v>
      </c>
      <c r="G335" s="1">
        <v>3214094</v>
      </c>
    </row>
    <row r="336" spans="1:10" x14ac:dyDescent="0.25">
      <c r="A336" s="1" t="str">
        <f t="shared" si="5"/>
        <v>7</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3625</v>
      </c>
      <c r="D336" s="1" t="s">
        <v>3626</v>
      </c>
      <c r="E336" s="1" t="s">
        <v>3627</v>
      </c>
      <c r="F336" s="1" t="s">
        <v>112</v>
      </c>
      <c r="G336" s="1">
        <v>3913410</v>
      </c>
    </row>
    <row r="337" spans="1:7" x14ac:dyDescent="0.25">
      <c r="A337" s="1" t="str">
        <f t="shared" si="5"/>
        <v>7</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3628</v>
      </c>
      <c r="D337" s="1" t="s">
        <v>878</v>
      </c>
      <c r="E337" s="1" t="s">
        <v>3629</v>
      </c>
      <c r="F337" s="1" t="s">
        <v>112</v>
      </c>
      <c r="G337" s="1">
        <v>3350882</v>
      </c>
    </row>
    <row r="338" spans="1:7" x14ac:dyDescent="0.25">
      <c r="A338" s="1" t="str">
        <f t="shared" si="5"/>
        <v>7</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3630</v>
      </c>
    </row>
    <row r="339" spans="1:7" x14ac:dyDescent="0.25">
      <c r="A339" s="1" t="str">
        <f t="shared" si="5"/>
        <v>7</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3631</v>
      </c>
    </row>
    <row r="340" spans="1:7" x14ac:dyDescent="0.25">
      <c r="A340" s="1" t="str">
        <f t="shared" si="5"/>
        <v>7</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3632</v>
      </c>
    </row>
    <row r="341" spans="1:7" x14ac:dyDescent="0.25">
      <c r="A341" s="1" t="str">
        <f t="shared" si="5"/>
        <v>7</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3633</v>
      </c>
      <c r="D341" s="1" t="s">
        <v>3634</v>
      </c>
      <c r="E341" s="1" t="s">
        <v>3635</v>
      </c>
      <c r="F341" s="1" t="s">
        <v>112</v>
      </c>
      <c r="G341" s="1">
        <v>5785391</v>
      </c>
    </row>
    <row r="342" spans="1:7" x14ac:dyDescent="0.25">
      <c r="A342" s="1" t="str">
        <f t="shared" si="5"/>
        <v>7</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3636</v>
      </c>
      <c r="D342" s="1" t="s">
        <v>3637</v>
      </c>
      <c r="E342" s="1" t="s">
        <v>3638</v>
      </c>
      <c r="F342" s="1" t="s">
        <v>112</v>
      </c>
      <c r="G342" s="1">
        <v>4976736</v>
      </c>
    </row>
    <row r="343" spans="1:7" x14ac:dyDescent="0.25">
      <c r="A343" s="1" t="str">
        <f t="shared" si="5"/>
        <v>7</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3639</v>
      </c>
      <c r="D343" s="1" t="s">
        <v>3640</v>
      </c>
      <c r="E343" s="1" t="s">
        <v>3641</v>
      </c>
      <c r="F343" s="1" t="s">
        <v>112</v>
      </c>
      <c r="G343" s="1">
        <v>5122067</v>
      </c>
    </row>
    <row r="344" spans="1:7" x14ac:dyDescent="0.25">
      <c r="A344" s="1" t="str">
        <f t="shared" si="5"/>
        <v>7</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3642</v>
      </c>
      <c r="D344" s="1" t="s">
        <v>3643</v>
      </c>
      <c r="E344" s="1" t="s">
        <v>3644</v>
      </c>
      <c r="F344" s="1" t="s">
        <v>112</v>
      </c>
      <c r="G344" s="1">
        <v>3681322</v>
      </c>
    </row>
    <row r="345" spans="1:7" x14ac:dyDescent="0.25">
      <c r="A345" s="1" t="str">
        <f t="shared" si="5"/>
        <v>7</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3645</v>
      </c>
    </row>
    <row r="346" spans="1:7" x14ac:dyDescent="0.25">
      <c r="A346" s="1" t="str">
        <f t="shared" si="5"/>
        <v>7</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3646</v>
      </c>
    </row>
    <row r="347" spans="1:7" x14ac:dyDescent="0.25">
      <c r="A347" s="1" t="str">
        <f t="shared" si="5"/>
        <v>7</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3647</v>
      </c>
      <c r="D347" s="1" t="s">
        <v>3648</v>
      </c>
      <c r="E347" s="1" t="s">
        <v>3649</v>
      </c>
      <c r="F347" s="1" t="s">
        <v>112</v>
      </c>
      <c r="G347" s="1">
        <v>5179776</v>
      </c>
    </row>
    <row r="348" spans="1:7" x14ac:dyDescent="0.25">
      <c r="A348" s="1" t="str">
        <f t="shared" si="5"/>
        <v>7</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3650</v>
      </c>
      <c r="D348" s="1" t="s">
        <v>3651</v>
      </c>
      <c r="E348" s="1" t="s">
        <v>3652</v>
      </c>
      <c r="F348" s="1" t="s">
        <v>112</v>
      </c>
      <c r="G348" s="1">
        <v>4840273</v>
      </c>
    </row>
    <row r="349" spans="1:7" x14ac:dyDescent="0.25">
      <c r="A349" s="1" t="str">
        <f t="shared" si="5"/>
        <v>7</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3653</v>
      </c>
      <c r="D349" s="1" t="s">
        <v>3654</v>
      </c>
      <c r="E349" s="1" t="s">
        <v>3655</v>
      </c>
      <c r="F349" s="1" t="s">
        <v>112</v>
      </c>
      <c r="G349" s="1">
        <v>5539935</v>
      </c>
    </row>
    <row r="350" spans="1:7" x14ac:dyDescent="0.25">
      <c r="A350" s="1" t="str">
        <f t="shared" si="5"/>
        <v>7</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3656</v>
      </c>
      <c r="D350" s="1" t="s">
        <v>3657</v>
      </c>
      <c r="E350" s="1" t="s">
        <v>3658</v>
      </c>
      <c r="F350" s="1" t="s">
        <v>112</v>
      </c>
      <c r="G350" s="1">
        <v>4431598</v>
      </c>
    </row>
    <row r="351" spans="1:7" x14ac:dyDescent="0.25">
      <c r="A351" s="1" t="str">
        <f t="shared" si="5"/>
        <v>7</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3659</v>
      </c>
      <c r="D351" s="1" t="s">
        <v>3660</v>
      </c>
      <c r="E351" s="1" t="s">
        <v>3661</v>
      </c>
      <c r="F351" s="1" t="s">
        <v>112</v>
      </c>
      <c r="G351" s="1">
        <v>4493784</v>
      </c>
    </row>
    <row r="352" spans="1:7" x14ac:dyDescent="0.25">
      <c r="A352" s="1" t="str">
        <f t="shared" si="5"/>
        <v>7</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3662</v>
      </c>
      <c r="D352" s="1" t="s">
        <v>3663</v>
      </c>
      <c r="E352" s="1" t="s">
        <v>3664</v>
      </c>
      <c r="F352" s="1" t="s">
        <v>112</v>
      </c>
      <c r="G352" s="1">
        <v>5242935</v>
      </c>
    </row>
    <row r="353" spans="1:10" x14ac:dyDescent="0.25">
      <c r="A353" s="1" t="str">
        <f t="shared" si="5"/>
        <v>7</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3665</v>
      </c>
      <c r="D353" s="1" t="s">
        <v>3666</v>
      </c>
      <c r="E353" s="1" t="s">
        <v>3667</v>
      </c>
      <c r="F353" s="1" t="s">
        <v>112</v>
      </c>
      <c r="G353" s="1">
        <v>4753018</v>
      </c>
    </row>
    <row r="354" spans="1:10" x14ac:dyDescent="0.25">
      <c r="A354" s="1" t="str">
        <f t="shared" si="5"/>
        <v>7</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3668</v>
      </c>
      <c r="D354" s="1" t="s">
        <v>3669</v>
      </c>
      <c r="E354" s="1" t="s">
        <v>3670</v>
      </c>
      <c r="F354" s="1" t="s">
        <v>112</v>
      </c>
      <c r="G354" s="1">
        <v>4875119</v>
      </c>
    </row>
    <row r="355" spans="1:10" x14ac:dyDescent="0.25">
      <c r="A355" s="1" t="str">
        <f t="shared" si="5"/>
        <v>7</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3671</v>
      </c>
      <c r="D355" s="1" t="s">
        <v>3672</v>
      </c>
      <c r="E355" s="1" t="s">
        <v>3673</v>
      </c>
      <c r="F355" s="1" t="s">
        <v>112</v>
      </c>
      <c r="G355" s="1">
        <v>4889935</v>
      </c>
    </row>
    <row r="356" spans="1:10"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10"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219</v>
      </c>
      <c r="D357" s="1" t="s">
        <v>112</v>
      </c>
      <c r="E357" s="1" t="s">
        <v>220</v>
      </c>
      <c r="F357" s="1" t="s">
        <v>221</v>
      </c>
      <c r="G357" s="1" t="s">
        <v>222</v>
      </c>
      <c r="H357" s="1" t="s">
        <v>223</v>
      </c>
      <c r="I357" s="1" t="s">
        <v>224</v>
      </c>
      <c r="J357" s="1" t="s">
        <v>225</v>
      </c>
    </row>
    <row r="358" spans="1:10" x14ac:dyDescent="0.25">
      <c r="A358" s="1" t="str">
        <f t="shared" si="5"/>
        <v>7</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3674</v>
      </c>
      <c r="D358" s="1" t="s">
        <v>112</v>
      </c>
      <c r="E358" s="1" t="s">
        <v>3675</v>
      </c>
      <c r="F358" s="1" t="s">
        <v>3676</v>
      </c>
      <c r="G358" s="1" t="s">
        <v>3677</v>
      </c>
      <c r="H358" s="1" t="s">
        <v>3678</v>
      </c>
      <c r="I358" s="1">
        <v>24</v>
      </c>
      <c r="J358" s="1">
        <v>24</v>
      </c>
    </row>
    <row r="359" spans="1:10"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10"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10"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10"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10"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10"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231</v>
      </c>
      <c r="D364" s="1" t="s">
        <v>110</v>
      </c>
      <c r="E364" s="1" t="s">
        <v>111</v>
      </c>
      <c r="F364" s="1" t="s">
        <v>112</v>
      </c>
      <c r="G364" s="1" t="s">
        <v>113</v>
      </c>
    </row>
    <row r="365" spans="1:10" x14ac:dyDescent="0.25">
      <c r="A365" s="1" t="str">
        <f t="shared" si="5"/>
        <v>10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3679</v>
      </c>
      <c r="D365" s="1" t="s">
        <v>214</v>
      </c>
      <c r="E365" s="1" t="s">
        <v>3680</v>
      </c>
      <c r="F365" s="1" t="s">
        <v>112</v>
      </c>
      <c r="G365" s="1">
        <v>245543</v>
      </c>
    </row>
    <row r="366" spans="1:10" x14ac:dyDescent="0.25">
      <c r="A366" s="1" t="str">
        <f t="shared" si="5"/>
        <v>10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3681</v>
      </c>
      <c r="D366" s="1" t="s">
        <v>3682</v>
      </c>
      <c r="E366" s="1" t="s">
        <v>3683</v>
      </c>
      <c r="F366" s="1" t="s">
        <v>112</v>
      </c>
      <c r="G366" s="1">
        <v>295810</v>
      </c>
    </row>
    <row r="367" spans="1:10" x14ac:dyDescent="0.25">
      <c r="A367" s="1" t="str">
        <f t="shared" si="5"/>
        <v>10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3684</v>
      </c>
      <c r="D367" s="1" t="s">
        <v>3685</v>
      </c>
      <c r="E367" s="1" t="s">
        <v>3686</v>
      </c>
      <c r="F367" s="1" t="s">
        <v>112</v>
      </c>
      <c r="G367" s="1">
        <v>362474</v>
      </c>
    </row>
    <row r="368" spans="1:10" x14ac:dyDescent="0.25">
      <c r="A368" s="1" t="str">
        <f t="shared" si="5"/>
        <v>10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3687</v>
      </c>
      <c r="D368" s="1" t="s">
        <v>2087</v>
      </c>
      <c r="E368" s="1" t="s">
        <v>3688</v>
      </c>
      <c r="F368" s="1" t="s">
        <v>112</v>
      </c>
      <c r="G368" s="1">
        <v>21003</v>
      </c>
    </row>
    <row r="369" spans="1:7" x14ac:dyDescent="0.25">
      <c r="A369" s="1" t="str">
        <f t="shared" si="5"/>
        <v>10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3689</v>
      </c>
      <c r="D369" s="1" t="s">
        <v>3266</v>
      </c>
      <c r="E369" s="1" t="s">
        <v>3690</v>
      </c>
      <c r="F369" s="1" t="s">
        <v>112</v>
      </c>
      <c r="G369" s="1">
        <v>136074</v>
      </c>
    </row>
    <row r="370" spans="1:7" x14ac:dyDescent="0.25">
      <c r="A370" s="1" t="str">
        <f t="shared" si="5"/>
        <v>10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3691</v>
      </c>
      <c r="D370" s="1" t="s">
        <v>1526</v>
      </c>
      <c r="E370" s="1" t="s">
        <v>3692</v>
      </c>
      <c r="F370" s="1" t="s">
        <v>112</v>
      </c>
      <c r="G370" s="1">
        <v>95496</v>
      </c>
    </row>
    <row r="371" spans="1:7" x14ac:dyDescent="0.25">
      <c r="A371" s="1" t="str">
        <f t="shared" si="5"/>
        <v>10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3693</v>
      </c>
      <c r="D371" s="1" t="s">
        <v>2426</v>
      </c>
      <c r="E371" s="1" t="s">
        <v>3694</v>
      </c>
      <c r="F371" s="1" t="s">
        <v>112</v>
      </c>
      <c r="G371" s="1">
        <v>87601</v>
      </c>
    </row>
    <row r="372" spans="1:7" x14ac:dyDescent="0.25">
      <c r="A372" s="1" t="str">
        <f t="shared" si="5"/>
        <v>10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3695</v>
      </c>
      <c r="D372" s="1" t="s">
        <v>1924</v>
      </c>
      <c r="E372" s="1" t="s">
        <v>3696</v>
      </c>
      <c r="F372" s="1" t="s">
        <v>112</v>
      </c>
      <c r="G372" s="1">
        <v>133543</v>
      </c>
    </row>
    <row r="373" spans="1:7" x14ac:dyDescent="0.25">
      <c r="A373" s="1" t="str">
        <f t="shared" si="5"/>
        <v>10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3697</v>
      </c>
      <c r="D373" s="1" t="s">
        <v>3462</v>
      </c>
      <c r="E373" s="1" t="s">
        <v>3698</v>
      </c>
      <c r="F373" s="1" t="s">
        <v>112</v>
      </c>
      <c r="G373" s="1">
        <v>211346</v>
      </c>
    </row>
    <row r="374" spans="1:7" x14ac:dyDescent="0.25">
      <c r="A374" s="1" t="str">
        <f t="shared" si="5"/>
        <v>10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3699</v>
      </c>
      <c r="D374" s="1" t="s">
        <v>1015</v>
      </c>
      <c r="E374" s="1" t="s">
        <v>3700</v>
      </c>
      <c r="F374" s="1" t="s">
        <v>112</v>
      </c>
      <c r="G374" s="1">
        <v>27989</v>
      </c>
    </row>
    <row r="375" spans="1:7" x14ac:dyDescent="0.25">
      <c r="A375" s="1" t="str">
        <f t="shared" si="5"/>
        <v>10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3701</v>
      </c>
      <c r="D375" s="1" t="s">
        <v>3345</v>
      </c>
      <c r="E375" s="1" t="s">
        <v>3702</v>
      </c>
      <c r="F375" s="1" t="s">
        <v>112</v>
      </c>
      <c r="G375" s="1">
        <v>141589</v>
      </c>
    </row>
    <row r="376" spans="1:7" x14ac:dyDescent="0.25">
      <c r="A376" s="1" t="str">
        <f t="shared" si="5"/>
        <v>10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3703</v>
      </c>
      <c r="D376" s="1" t="s">
        <v>2395</v>
      </c>
      <c r="E376" s="1" t="s">
        <v>3704</v>
      </c>
      <c r="F376" s="1" t="s">
        <v>112</v>
      </c>
      <c r="G376" s="1">
        <v>40037</v>
      </c>
    </row>
    <row r="377" spans="1:7" x14ac:dyDescent="0.25">
      <c r="A377" s="1" t="str">
        <f t="shared" si="5"/>
        <v>10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3705</v>
      </c>
      <c r="D377" s="1" t="s">
        <v>2897</v>
      </c>
      <c r="E377" s="1" t="s">
        <v>3706</v>
      </c>
      <c r="F377" s="1" t="s">
        <v>112</v>
      </c>
      <c r="G377" s="1">
        <v>76072</v>
      </c>
    </row>
    <row r="378" spans="1:7" x14ac:dyDescent="0.25">
      <c r="A378" s="1" t="str">
        <f t="shared" si="5"/>
        <v>10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3707</v>
      </c>
      <c r="D378" s="1" t="s">
        <v>3708</v>
      </c>
      <c r="E378" s="1" t="s">
        <v>3709</v>
      </c>
      <c r="F378" s="1" t="s">
        <v>112</v>
      </c>
      <c r="G378" s="1">
        <v>259515</v>
      </c>
    </row>
    <row r="379" spans="1:7" x14ac:dyDescent="0.25">
      <c r="A379" s="1" t="str">
        <f t="shared" si="5"/>
        <v>10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3710</v>
      </c>
      <c r="D379" s="1" t="s">
        <v>211</v>
      </c>
      <c r="E379" s="1" t="s">
        <v>3711</v>
      </c>
      <c r="F379" s="1" t="s">
        <v>112</v>
      </c>
      <c r="G379" s="1">
        <v>17585</v>
      </c>
    </row>
    <row r="380" spans="1:7" x14ac:dyDescent="0.25">
      <c r="A380" s="1" t="str">
        <f t="shared" si="5"/>
        <v>10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3712</v>
      </c>
      <c r="D380" s="1" t="s">
        <v>2459</v>
      </c>
      <c r="E380" s="1" t="s">
        <v>3713</v>
      </c>
      <c r="F380" s="1" t="s">
        <v>112</v>
      </c>
      <c r="G380" s="1">
        <v>34694</v>
      </c>
    </row>
    <row r="381" spans="1:7" x14ac:dyDescent="0.25">
      <c r="A381" s="1" t="str">
        <f t="shared" si="5"/>
        <v>10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3714</v>
      </c>
      <c r="D381" s="1" t="s">
        <v>2395</v>
      </c>
      <c r="E381" s="1" t="s">
        <v>3715</v>
      </c>
      <c r="F381" s="1" t="s">
        <v>112</v>
      </c>
      <c r="G381" s="1">
        <v>39648</v>
      </c>
    </row>
    <row r="382" spans="1:7" x14ac:dyDescent="0.25">
      <c r="A382" s="1" t="str">
        <f t="shared" si="5"/>
        <v>10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3716</v>
      </c>
      <c r="D382" s="1" t="s">
        <v>2947</v>
      </c>
      <c r="E382" s="1" t="s">
        <v>2004</v>
      </c>
      <c r="F382" s="1" t="s">
        <v>112</v>
      </c>
      <c r="G382" s="1">
        <v>13822</v>
      </c>
    </row>
    <row r="383" spans="1:7" x14ac:dyDescent="0.25">
      <c r="A383" s="1" t="str">
        <f t="shared" si="5"/>
        <v>10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3717</v>
      </c>
      <c r="D383" s="1" t="s">
        <v>2016</v>
      </c>
      <c r="E383" s="1" t="s">
        <v>3718</v>
      </c>
      <c r="F383" s="1" t="s">
        <v>112</v>
      </c>
      <c r="G383" s="1">
        <v>97897</v>
      </c>
    </row>
    <row r="384" spans="1:7" x14ac:dyDescent="0.25">
      <c r="A384" s="1" t="str">
        <f t="shared" si="5"/>
        <v>10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3719</v>
      </c>
      <c r="D384" s="1" t="s">
        <v>1736</v>
      </c>
      <c r="E384" s="1" t="s">
        <v>3720</v>
      </c>
      <c r="F384" s="1" t="s">
        <v>112</v>
      </c>
      <c r="G384" s="1">
        <v>86087</v>
      </c>
    </row>
    <row r="385" spans="1:10" x14ac:dyDescent="0.25">
      <c r="A385" s="1" t="str">
        <f t="shared" si="5"/>
        <v>10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3721</v>
      </c>
      <c r="D385" s="1" t="s">
        <v>1407</v>
      </c>
      <c r="E385" s="1" t="s">
        <v>3722</v>
      </c>
      <c r="F385" s="1" t="s">
        <v>112</v>
      </c>
      <c r="G385" s="1">
        <v>106657</v>
      </c>
    </row>
    <row r="386" spans="1:10" x14ac:dyDescent="0.25">
      <c r="A386" s="1" t="str">
        <f t="shared" ref="A386:A449" si="6">IFERROR(LEFT(RIGHT(C386,LEN(C386)-SEARCH("@",C386)),SEARCH("/",RIGHT(C386,LEN(C386)-SEARCH("@",C386)-1))),"")</f>
        <v>10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3723</v>
      </c>
      <c r="D386" s="1" t="s">
        <v>531</v>
      </c>
      <c r="E386" s="1">
        <v>37</v>
      </c>
      <c r="F386" s="1" t="s">
        <v>112</v>
      </c>
      <c r="G386" s="1">
        <v>238491</v>
      </c>
    </row>
    <row r="387" spans="1:10" x14ac:dyDescent="0.25">
      <c r="A387" s="1" t="str">
        <f t="shared" si="6"/>
        <v>10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3724</v>
      </c>
      <c r="D387" s="1" t="s">
        <v>3725</v>
      </c>
      <c r="E387" s="1" t="s">
        <v>3726</v>
      </c>
      <c r="F387" s="1" t="s">
        <v>112</v>
      </c>
      <c r="G387" s="1">
        <v>206263</v>
      </c>
    </row>
    <row r="388" spans="1:10" x14ac:dyDescent="0.25">
      <c r="A388" s="1" t="str">
        <f t="shared" si="6"/>
        <v>10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3727</v>
      </c>
      <c r="D388" s="1" t="s">
        <v>3728</v>
      </c>
      <c r="E388" s="1" t="s">
        <v>3729</v>
      </c>
      <c r="F388" s="1" t="s">
        <v>112</v>
      </c>
      <c r="G388" s="1">
        <v>135922</v>
      </c>
    </row>
    <row r="389" spans="1:10"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10"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219</v>
      </c>
      <c r="D390" s="1" t="s">
        <v>112</v>
      </c>
      <c r="E390" s="1" t="s">
        <v>220</v>
      </c>
      <c r="F390" s="1" t="s">
        <v>221</v>
      </c>
      <c r="G390" s="1" t="s">
        <v>222</v>
      </c>
      <c r="H390" s="1" t="s">
        <v>223</v>
      </c>
      <c r="I390" s="1" t="s">
        <v>224</v>
      </c>
      <c r="J390" s="1" t="s">
        <v>225</v>
      </c>
    </row>
    <row r="391" spans="1:10" x14ac:dyDescent="0.25">
      <c r="A391" s="1" t="str">
        <f t="shared" si="6"/>
        <v>10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3730</v>
      </c>
      <c r="D391" s="1" t="s">
        <v>112</v>
      </c>
      <c r="E391" s="1" t="s">
        <v>3731</v>
      </c>
      <c r="F391" s="1" t="s">
        <v>3732</v>
      </c>
      <c r="G391" s="1" t="s">
        <v>3733</v>
      </c>
      <c r="H391" s="1" t="s">
        <v>3734</v>
      </c>
      <c r="I391" s="1">
        <v>24</v>
      </c>
      <c r="J391" s="1">
        <v>24</v>
      </c>
    </row>
    <row r="392" spans="1:10"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10"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10"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10"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10"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10"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231</v>
      </c>
      <c r="D397" s="1" t="s">
        <v>110</v>
      </c>
      <c r="E397" s="1" t="s">
        <v>111</v>
      </c>
      <c r="F397" s="1" t="s">
        <v>112</v>
      </c>
      <c r="G397" s="1" t="s">
        <v>113</v>
      </c>
    </row>
    <row r="398" spans="1:10" x14ac:dyDescent="0.25">
      <c r="A398" s="1" t="str">
        <f t="shared" si="6"/>
        <v>11</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3735</v>
      </c>
      <c r="D398" s="1" t="s">
        <v>1121</v>
      </c>
      <c r="E398" s="1">
        <v>32</v>
      </c>
      <c r="F398" s="1" t="s">
        <v>112</v>
      </c>
      <c r="G398" s="1">
        <v>15227</v>
      </c>
    </row>
    <row r="399" spans="1:10" x14ac:dyDescent="0.25">
      <c r="A399" s="1" t="str">
        <f t="shared" si="6"/>
        <v>11</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3736</v>
      </c>
      <c r="D399" s="1" t="s">
        <v>1924</v>
      </c>
      <c r="E399" s="1" t="s">
        <v>3737</v>
      </c>
      <c r="F399" s="1" t="s">
        <v>112</v>
      </c>
      <c r="G399" s="1">
        <v>123528</v>
      </c>
    </row>
    <row r="400" spans="1:10" x14ac:dyDescent="0.25">
      <c r="A400" s="1" t="str">
        <f t="shared" si="6"/>
        <v>11</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3738</v>
      </c>
      <c r="D400" s="1" t="s">
        <v>3739</v>
      </c>
      <c r="E400" s="1" t="s">
        <v>3740</v>
      </c>
      <c r="F400" s="1" t="s">
        <v>112</v>
      </c>
      <c r="G400" s="1">
        <v>7981</v>
      </c>
    </row>
    <row r="401" spans="1:7" x14ac:dyDescent="0.25">
      <c r="A401" s="1" t="str">
        <f t="shared" si="6"/>
        <v>11</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3741</v>
      </c>
      <c r="D401" s="1" t="s">
        <v>2963</v>
      </c>
      <c r="E401" s="1" t="s">
        <v>3742</v>
      </c>
      <c r="F401" s="1" t="s">
        <v>112</v>
      </c>
      <c r="G401" s="1">
        <v>20202</v>
      </c>
    </row>
    <row r="402" spans="1:7" x14ac:dyDescent="0.25">
      <c r="A402" s="1" t="str">
        <f t="shared" si="6"/>
        <v>11</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3743</v>
      </c>
      <c r="D402" s="1" t="s">
        <v>3744</v>
      </c>
      <c r="E402" s="1" t="s">
        <v>3745</v>
      </c>
      <c r="F402" s="1" t="s">
        <v>112</v>
      </c>
      <c r="G402" s="1">
        <v>33072</v>
      </c>
    </row>
    <row r="403" spans="1:7" x14ac:dyDescent="0.25">
      <c r="A403" s="1" t="str">
        <f t="shared" si="6"/>
        <v>11</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3746</v>
      </c>
      <c r="D403" s="1" t="s">
        <v>3747</v>
      </c>
      <c r="E403" s="1" t="s">
        <v>3748</v>
      </c>
      <c r="F403" s="1" t="s">
        <v>112</v>
      </c>
      <c r="G403" s="1">
        <v>316229</v>
      </c>
    </row>
    <row r="404" spans="1:7" x14ac:dyDescent="0.25">
      <c r="A404" s="1" t="str">
        <f t="shared" si="6"/>
        <v>11</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3749</v>
      </c>
      <c r="D404" s="1" t="s">
        <v>3750</v>
      </c>
      <c r="E404" s="1" t="s">
        <v>3751</v>
      </c>
      <c r="F404" s="1" t="s">
        <v>112</v>
      </c>
      <c r="G404" s="1">
        <v>185087</v>
      </c>
    </row>
    <row r="405" spans="1:7" x14ac:dyDescent="0.25">
      <c r="A405" s="1" t="str">
        <f t="shared" si="6"/>
        <v>11</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3752</v>
      </c>
      <c r="D405" s="1" t="s">
        <v>707</v>
      </c>
      <c r="E405" s="1" t="s">
        <v>3753</v>
      </c>
      <c r="F405" s="1" t="s">
        <v>112</v>
      </c>
      <c r="G405" s="1">
        <v>173342</v>
      </c>
    </row>
    <row r="406" spans="1:7" x14ac:dyDescent="0.25">
      <c r="A406" s="1" t="str">
        <f t="shared" si="6"/>
        <v>11</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3754</v>
      </c>
      <c r="D406" s="1" t="s">
        <v>1514</v>
      </c>
      <c r="E406" s="1" t="s">
        <v>3755</v>
      </c>
      <c r="F406" s="1" t="s">
        <v>112</v>
      </c>
      <c r="G406" s="1">
        <v>186796</v>
      </c>
    </row>
    <row r="407" spans="1:7" x14ac:dyDescent="0.25">
      <c r="A407" s="1" t="str">
        <f t="shared" si="6"/>
        <v>11</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3756</v>
      </c>
      <c r="D407" s="1" t="s">
        <v>1935</v>
      </c>
      <c r="E407" s="1" t="s">
        <v>3757</v>
      </c>
      <c r="F407" s="1" t="s">
        <v>112</v>
      </c>
      <c r="G407" s="1">
        <v>72439</v>
      </c>
    </row>
    <row r="408" spans="1:7" x14ac:dyDescent="0.25">
      <c r="A408" s="1" t="str">
        <f t="shared" si="6"/>
        <v>11</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3758</v>
      </c>
      <c r="D408" s="1" t="s">
        <v>3759</v>
      </c>
      <c r="E408" s="1" t="s">
        <v>3760</v>
      </c>
      <c r="F408" s="1" t="s">
        <v>112</v>
      </c>
      <c r="G408" s="1">
        <v>109577</v>
      </c>
    </row>
    <row r="409" spans="1:7" x14ac:dyDescent="0.25">
      <c r="A409" s="1" t="str">
        <f t="shared" si="6"/>
        <v>11</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3761</v>
      </c>
      <c r="D409" s="1" t="s">
        <v>2947</v>
      </c>
      <c r="E409" s="1" t="s">
        <v>3762</v>
      </c>
      <c r="F409" s="1" t="s">
        <v>112</v>
      </c>
      <c r="G409" s="1">
        <v>13778</v>
      </c>
    </row>
    <row r="410" spans="1:7" x14ac:dyDescent="0.25">
      <c r="A410" s="1" t="str">
        <f t="shared" si="6"/>
        <v>11</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3763</v>
      </c>
      <c r="D410" s="1" t="s">
        <v>1680</v>
      </c>
      <c r="E410" s="1" t="s">
        <v>3764</v>
      </c>
      <c r="F410" s="1" t="s">
        <v>112</v>
      </c>
      <c r="G410" s="1">
        <v>272450</v>
      </c>
    </row>
    <row r="411" spans="1:7" x14ac:dyDescent="0.25">
      <c r="A411" s="1" t="str">
        <f t="shared" si="6"/>
        <v>11</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3765</v>
      </c>
      <c r="D411" s="1" t="s">
        <v>1596</v>
      </c>
      <c r="E411" s="1" t="s">
        <v>3766</v>
      </c>
      <c r="F411" s="1" t="s">
        <v>112</v>
      </c>
      <c r="G411" s="1">
        <v>282659</v>
      </c>
    </row>
    <row r="412" spans="1:7" x14ac:dyDescent="0.25">
      <c r="A412" s="1" t="str">
        <f t="shared" si="6"/>
        <v>11</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3767</v>
      </c>
      <c r="D412" s="1" t="s">
        <v>275</v>
      </c>
      <c r="E412" s="1" t="s">
        <v>3768</v>
      </c>
      <c r="F412" s="1" t="s">
        <v>112</v>
      </c>
      <c r="G412" s="1">
        <v>133716</v>
      </c>
    </row>
    <row r="413" spans="1:7" x14ac:dyDescent="0.25">
      <c r="A413" s="1" t="str">
        <f t="shared" si="6"/>
        <v>11</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3769</v>
      </c>
      <c r="D413" s="1" t="s">
        <v>2480</v>
      </c>
      <c r="E413" s="1" t="s">
        <v>3770</v>
      </c>
      <c r="F413" s="1" t="s">
        <v>112</v>
      </c>
      <c r="G413" s="1">
        <v>151972</v>
      </c>
    </row>
    <row r="414" spans="1:7" x14ac:dyDescent="0.25">
      <c r="A414" s="1" t="str">
        <f t="shared" si="6"/>
        <v>11</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3771</v>
      </c>
      <c r="D414" s="1" t="s">
        <v>3772</v>
      </c>
      <c r="E414" s="1" t="s">
        <v>3773</v>
      </c>
      <c r="F414" s="1" t="s">
        <v>112</v>
      </c>
      <c r="G414" s="1">
        <v>245456</v>
      </c>
    </row>
    <row r="415" spans="1:7" x14ac:dyDescent="0.25">
      <c r="A415" s="1" t="str">
        <f t="shared" si="6"/>
        <v>11</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3774</v>
      </c>
      <c r="D415" s="1" t="s">
        <v>1589</v>
      </c>
      <c r="E415" s="1" t="s">
        <v>3775</v>
      </c>
      <c r="F415" s="1" t="s">
        <v>112</v>
      </c>
      <c r="G415" s="1">
        <v>263084</v>
      </c>
    </row>
    <row r="416" spans="1:7" x14ac:dyDescent="0.25">
      <c r="A416" s="1" t="str">
        <f t="shared" si="6"/>
        <v>11</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3776</v>
      </c>
    </row>
    <row r="417" spans="1:10" x14ac:dyDescent="0.25">
      <c r="A417" s="1" t="str">
        <f t="shared" si="6"/>
        <v>11</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3777</v>
      </c>
    </row>
    <row r="418" spans="1:10" x14ac:dyDescent="0.25">
      <c r="A418" s="1" t="str">
        <f t="shared" si="6"/>
        <v>11</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3778</v>
      </c>
    </row>
    <row r="419" spans="1:10" x14ac:dyDescent="0.25">
      <c r="A419" s="1" t="str">
        <f t="shared" si="6"/>
        <v>11</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3779</v>
      </c>
      <c r="D419" s="1" t="s">
        <v>3780</v>
      </c>
      <c r="E419" s="1" t="s">
        <v>3781</v>
      </c>
      <c r="F419" s="1" t="s">
        <v>112</v>
      </c>
      <c r="G419" s="1">
        <v>541137</v>
      </c>
    </row>
    <row r="420" spans="1:10" x14ac:dyDescent="0.25">
      <c r="A420" s="1" t="str">
        <f t="shared" si="6"/>
        <v>11</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3782</v>
      </c>
      <c r="D420" s="1" t="s">
        <v>3783</v>
      </c>
      <c r="E420" s="1" t="s">
        <v>3784</v>
      </c>
      <c r="F420" s="1" t="s">
        <v>112</v>
      </c>
      <c r="G420" s="1">
        <v>486002</v>
      </c>
    </row>
    <row r="421" spans="1:10" x14ac:dyDescent="0.25">
      <c r="A421" s="1" t="str">
        <f t="shared" si="6"/>
        <v>11</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3785</v>
      </c>
      <c r="D421" s="1" t="s">
        <v>3786</v>
      </c>
      <c r="E421" s="1" t="s">
        <v>3787</v>
      </c>
      <c r="F421" s="1" t="s">
        <v>112</v>
      </c>
      <c r="G421" s="1">
        <v>440536</v>
      </c>
    </row>
    <row r="422" spans="1:10"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10"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219</v>
      </c>
      <c r="D423" s="1" t="s">
        <v>112</v>
      </c>
      <c r="E423" s="1" t="s">
        <v>220</v>
      </c>
      <c r="F423" s="1" t="s">
        <v>221</v>
      </c>
      <c r="G423" s="1" t="s">
        <v>222</v>
      </c>
      <c r="H423" s="1" t="s">
        <v>223</v>
      </c>
      <c r="I423" s="1" t="s">
        <v>224</v>
      </c>
      <c r="J423" s="1" t="s">
        <v>225</v>
      </c>
    </row>
    <row r="424" spans="1:10" x14ac:dyDescent="0.25">
      <c r="A424" s="1" t="str">
        <f t="shared" si="6"/>
        <v>11</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3788</v>
      </c>
      <c r="D424" s="1" t="s">
        <v>112</v>
      </c>
      <c r="E424" s="1" t="s">
        <v>3789</v>
      </c>
      <c r="F424" s="1" t="s">
        <v>3790</v>
      </c>
      <c r="G424" s="1" t="s">
        <v>3791</v>
      </c>
      <c r="H424" s="1" t="s">
        <v>3792</v>
      </c>
      <c r="I424" s="1">
        <v>24</v>
      </c>
      <c r="J424" s="1">
        <v>24</v>
      </c>
    </row>
    <row r="425" spans="1:10"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10"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10"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10"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10"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10"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231</v>
      </c>
      <c r="D430" s="1" t="s">
        <v>110</v>
      </c>
      <c r="E430" s="1" t="s">
        <v>111</v>
      </c>
      <c r="F430" s="1" t="s">
        <v>112</v>
      </c>
      <c r="G430" s="1" t="s">
        <v>113</v>
      </c>
    </row>
    <row r="431" spans="1:10" x14ac:dyDescent="0.25">
      <c r="A431" s="1" t="str">
        <f t="shared" si="6"/>
        <v>12</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3793</v>
      </c>
      <c r="D431" s="1" t="s">
        <v>2504</v>
      </c>
      <c r="E431" s="1" t="s">
        <v>3794</v>
      </c>
      <c r="F431" s="1" t="s">
        <v>112</v>
      </c>
      <c r="G431" s="1">
        <v>323324</v>
      </c>
    </row>
    <row r="432" spans="1:10" x14ac:dyDescent="0.25">
      <c r="A432" s="1" t="str">
        <f t="shared" si="6"/>
        <v>12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3795</v>
      </c>
      <c r="D432" s="1" t="s">
        <v>3796</v>
      </c>
      <c r="E432" s="1" t="s">
        <v>3797</v>
      </c>
      <c r="F432" s="1" t="s">
        <v>112</v>
      </c>
      <c r="G432" s="1">
        <v>224735</v>
      </c>
    </row>
    <row r="433" spans="1:7" x14ac:dyDescent="0.25">
      <c r="A433" s="1" t="str">
        <f t="shared" si="6"/>
        <v>12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3798</v>
      </c>
      <c r="D433" s="1" t="s">
        <v>3685</v>
      </c>
      <c r="E433" s="1" t="s">
        <v>3799</v>
      </c>
      <c r="F433" s="1" t="s">
        <v>112</v>
      </c>
      <c r="G433" s="1">
        <v>342163</v>
      </c>
    </row>
    <row r="434" spans="1:7" x14ac:dyDescent="0.25">
      <c r="A434" s="1" t="str">
        <f t="shared" si="6"/>
        <v>12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3800</v>
      </c>
      <c r="D434" s="1" t="s">
        <v>576</v>
      </c>
      <c r="E434" s="1" t="s">
        <v>3801</v>
      </c>
      <c r="F434" s="1" t="s">
        <v>112</v>
      </c>
      <c r="G434" s="1">
        <v>4045</v>
      </c>
    </row>
    <row r="435" spans="1:7" x14ac:dyDescent="0.25">
      <c r="A435" s="1" t="str">
        <f t="shared" si="6"/>
        <v>12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3802</v>
      </c>
      <c r="D435" s="1" t="s">
        <v>208</v>
      </c>
      <c r="E435" s="1">
        <v>31</v>
      </c>
      <c r="F435" s="1" t="s">
        <v>112</v>
      </c>
      <c r="G435" s="1">
        <v>671</v>
      </c>
    </row>
    <row r="436" spans="1:7" x14ac:dyDescent="0.25">
      <c r="A436" s="1" t="str">
        <f t="shared" si="6"/>
        <v>12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3803</v>
      </c>
      <c r="D436" s="1">
        <v>0</v>
      </c>
      <c r="E436" s="1">
        <v>0</v>
      </c>
      <c r="F436" s="1" t="s">
        <v>112</v>
      </c>
      <c r="G436" s="1">
        <v>0</v>
      </c>
    </row>
    <row r="437" spans="1:7" x14ac:dyDescent="0.25">
      <c r="A437" s="1" t="str">
        <f t="shared" si="6"/>
        <v>12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3804</v>
      </c>
    </row>
    <row r="438" spans="1:7" x14ac:dyDescent="0.25">
      <c r="A438" s="1" t="str">
        <f t="shared" si="6"/>
        <v>12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3805</v>
      </c>
      <c r="D438" s="1" t="s">
        <v>2947</v>
      </c>
      <c r="E438" s="1" t="s">
        <v>3806</v>
      </c>
      <c r="F438" s="1" t="s">
        <v>112</v>
      </c>
      <c r="G438" s="1">
        <v>13605</v>
      </c>
    </row>
    <row r="439" spans="1:7" x14ac:dyDescent="0.25">
      <c r="A439" s="1" t="str">
        <f t="shared" si="6"/>
        <v>12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3807</v>
      </c>
      <c r="D439" s="1" t="s">
        <v>1967</v>
      </c>
      <c r="E439" s="1" t="s">
        <v>3808</v>
      </c>
      <c r="F439" s="1" t="s">
        <v>112</v>
      </c>
      <c r="G439" s="1">
        <v>15833</v>
      </c>
    </row>
    <row r="440" spans="1:7" x14ac:dyDescent="0.25">
      <c r="A440" s="1" t="str">
        <f t="shared" si="6"/>
        <v>12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3809</v>
      </c>
      <c r="D440" s="1" t="s">
        <v>3810</v>
      </c>
      <c r="E440" s="1" t="s">
        <v>3811</v>
      </c>
      <c r="F440" s="1" t="s">
        <v>112</v>
      </c>
      <c r="G440" s="1">
        <v>442158</v>
      </c>
    </row>
    <row r="441" spans="1:7" x14ac:dyDescent="0.25">
      <c r="A441" s="1" t="str">
        <f t="shared" si="6"/>
        <v>12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3812</v>
      </c>
      <c r="D441" s="1" t="s">
        <v>1036</v>
      </c>
      <c r="E441" s="1" t="s">
        <v>3813</v>
      </c>
      <c r="F441" s="1" t="s">
        <v>112</v>
      </c>
      <c r="G441" s="1">
        <v>329315</v>
      </c>
    </row>
    <row r="442" spans="1:7" x14ac:dyDescent="0.25">
      <c r="A442" s="1" t="str">
        <f t="shared" si="6"/>
        <v>12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3814</v>
      </c>
    </row>
    <row r="443" spans="1:7" x14ac:dyDescent="0.25">
      <c r="A443" s="1" t="str">
        <f t="shared" si="6"/>
        <v>12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3815</v>
      </c>
    </row>
    <row r="444" spans="1:7" x14ac:dyDescent="0.25">
      <c r="A444" s="1" t="str">
        <f t="shared" si="6"/>
        <v>12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3816</v>
      </c>
      <c r="D444" s="1" t="s">
        <v>552</v>
      </c>
      <c r="E444" s="1" t="s">
        <v>3817</v>
      </c>
      <c r="F444" s="1" t="s">
        <v>112</v>
      </c>
      <c r="G444" s="1">
        <v>145764</v>
      </c>
    </row>
    <row r="445" spans="1:7" x14ac:dyDescent="0.25">
      <c r="A445" s="1" t="str">
        <f t="shared" si="6"/>
        <v>12</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3818</v>
      </c>
      <c r="D445" s="1" t="s">
        <v>3685</v>
      </c>
      <c r="E445" s="1" t="s">
        <v>3819</v>
      </c>
      <c r="F445" s="1" t="s">
        <v>112</v>
      </c>
      <c r="G445" s="1">
        <v>397731</v>
      </c>
    </row>
    <row r="446" spans="1:7" x14ac:dyDescent="0.25">
      <c r="A446" s="1" t="str">
        <f t="shared" si="6"/>
        <v>12</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3820</v>
      </c>
      <c r="D446" s="1" t="s">
        <v>208</v>
      </c>
      <c r="E446" s="1">
        <v>30</v>
      </c>
      <c r="F446" s="1" t="s">
        <v>112</v>
      </c>
      <c r="G446" s="1">
        <v>649</v>
      </c>
    </row>
    <row r="447" spans="1:7" x14ac:dyDescent="0.25">
      <c r="A447" s="1" t="str">
        <f t="shared" si="6"/>
        <v>12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3821</v>
      </c>
      <c r="D447" s="1">
        <v>0</v>
      </c>
      <c r="E447" s="1">
        <v>0</v>
      </c>
      <c r="F447" s="1" t="s">
        <v>112</v>
      </c>
      <c r="G447" s="1">
        <v>0</v>
      </c>
    </row>
    <row r="448" spans="1:7" x14ac:dyDescent="0.25">
      <c r="A448" s="1" t="str">
        <f t="shared" si="6"/>
        <v>12</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3822</v>
      </c>
      <c r="D448" s="1">
        <v>0</v>
      </c>
      <c r="E448" s="1">
        <v>0</v>
      </c>
      <c r="F448" s="1" t="s">
        <v>112</v>
      </c>
      <c r="G448" s="1">
        <v>0</v>
      </c>
    </row>
    <row r="449" spans="1:10" x14ac:dyDescent="0.25">
      <c r="A449" s="1" t="str">
        <f t="shared" si="6"/>
        <v>12</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3823</v>
      </c>
      <c r="D449" s="1" t="s">
        <v>1171</v>
      </c>
      <c r="E449" s="1" t="s">
        <v>3824</v>
      </c>
      <c r="F449" s="1" t="s">
        <v>112</v>
      </c>
      <c r="G449" s="1">
        <v>442613</v>
      </c>
    </row>
    <row r="450" spans="1:10" x14ac:dyDescent="0.25">
      <c r="A450" s="1" t="str">
        <f t="shared" ref="A450:A513" si="7">IFERROR(LEFT(RIGHT(C450,LEN(C450)-SEARCH("@",C450)),SEARCH("/",RIGHT(C450,LEN(C450)-SEARCH("@",C450)-1))),"")</f>
        <v>12</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3825</v>
      </c>
      <c r="D450" s="1" t="s">
        <v>3826</v>
      </c>
      <c r="E450" s="1" t="s">
        <v>3827</v>
      </c>
      <c r="F450" s="1" t="s">
        <v>112</v>
      </c>
      <c r="G450" s="1">
        <v>340930</v>
      </c>
    </row>
    <row r="451" spans="1:10" x14ac:dyDescent="0.25">
      <c r="A451" s="1" t="str">
        <f t="shared" si="7"/>
        <v>12</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3828</v>
      </c>
      <c r="D451" s="1">
        <v>0</v>
      </c>
      <c r="E451" s="1">
        <v>0</v>
      </c>
      <c r="F451" s="1" t="s">
        <v>112</v>
      </c>
      <c r="G451" s="1">
        <v>0</v>
      </c>
    </row>
    <row r="452" spans="1:10" x14ac:dyDescent="0.25">
      <c r="A452" s="1" t="str">
        <f t="shared" si="7"/>
        <v>12</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3829</v>
      </c>
      <c r="D452" s="1">
        <v>0</v>
      </c>
      <c r="E452" s="1">
        <v>0</v>
      </c>
      <c r="F452" s="1" t="s">
        <v>112</v>
      </c>
      <c r="G452" s="1">
        <v>0</v>
      </c>
    </row>
    <row r="453" spans="1:10" x14ac:dyDescent="0.25">
      <c r="A453" s="1" t="str">
        <f t="shared" si="7"/>
        <v>12</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3830</v>
      </c>
      <c r="D453" s="1" t="s">
        <v>458</v>
      </c>
      <c r="E453" s="1" t="s">
        <v>3831</v>
      </c>
      <c r="F453" s="1" t="s">
        <v>112</v>
      </c>
      <c r="G453" s="1">
        <v>6662</v>
      </c>
    </row>
    <row r="454" spans="1:10" x14ac:dyDescent="0.25">
      <c r="A454" s="1" t="str">
        <f t="shared" si="7"/>
        <v>12</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3832</v>
      </c>
      <c r="D454" s="1">
        <v>0</v>
      </c>
      <c r="E454" s="1">
        <v>0</v>
      </c>
      <c r="F454" s="1" t="s">
        <v>112</v>
      </c>
      <c r="G454" s="1">
        <v>0</v>
      </c>
    </row>
    <row r="455" spans="1:10"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10"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219</v>
      </c>
      <c r="D456" s="1" t="s">
        <v>112</v>
      </c>
      <c r="E456" s="1" t="s">
        <v>220</v>
      </c>
      <c r="F456" s="1" t="s">
        <v>221</v>
      </c>
      <c r="G456" s="1" t="s">
        <v>222</v>
      </c>
      <c r="H456" s="1" t="s">
        <v>223</v>
      </c>
      <c r="I456" s="1" t="s">
        <v>224</v>
      </c>
      <c r="J456" s="1" t="s">
        <v>225</v>
      </c>
    </row>
    <row r="457" spans="1:10" x14ac:dyDescent="0.25">
      <c r="A457" s="1" t="str">
        <f t="shared" si="7"/>
        <v>12</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3833</v>
      </c>
      <c r="D457" s="1" t="s">
        <v>112</v>
      </c>
      <c r="E457" s="1" t="s">
        <v>3834</v>
      </c>
      <c r="F457" s="1" t="s">
        <v>3835</v>
      </c>
      <c r="G457" s="1" t="s">
        <v>3836</v>
      </c>
      <c r="H457" s="1" t="s">
        <v>3837</v>
      </c>
      <c r="I457" s="1">
        <v>16</v>
      </c>
      <c r="J457" s="1">
        <v>24</v>
      </c>
    </row>
    <row r="458" spans="1:10"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10"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10"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10"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10"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10"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231</v>
      </c>
      <c r="D463" s="1" t="s">
        <v>110</v>
      </c>
      <c r="E463" s="1" t="s">
        <v>111</v>
      </c>
      <c r="F463" s="1" t="s">
        <v>112</v>
      </c>
      <c r="G463" s="1" t="s">
        <v>113</v>
      </c>
    </row>
    <row r="464" spans="1:10" x14ac:dyDescent="0.25">
      <c r="A464" s="1" t="str">
        <f t="shared" si="7"/>
        <v>17</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3838</v>
      </c>
      <c r="D464" s="1" t="s">
        <v>3839</v>
      </c>
      <c r="E464" s="1" t="s">
        <v>3840</v>
      </c>
      <c r="F464" s="1" t="s">
        <v>112</v>
      </c>
      <c r="G464" s="1">
        <v>686965</v>
      </c>
    </row>
    <row r="465" spans="1:7" x14ac:dyDescent="0.25">
      <c r="A465" s="1" t="str">
        <f t="shared" si="7"/>
        <v>17</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3841</v>
      </c>
      <c r="D465" s="1" t="s">
        <v>3842</v>
      </c>
      <c r="E465" s="1" t="s">
        <v>3843</v>
      </c>
      <c r="F465" s="1" t="s">
        <v>112</v>
      </c>
      <c r="G465" s="1">
        <v>550957</v>
      </c>
    </row>
    <row r="466" spans="1:7" x14ac:dyDescent="0.25">
      <c r="A466" s="1" t="str">
        <f t="shared" si="7"/>
        <v>17</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3844</v>
      </c>
      <c r="D466" s="1" t="s">
        <v>3845</v>
      </c>
      <c r="E466" s="1" t="s">
        <v>3846</v>
      </c>
      <c r="F466" s="1" t="s">
        <v>112</v>
      </c>
      <c r="G466" s="1">
        <v>711450</v>
      </c>
    </row>
    <row r="467" spans="1:7" x14ac:dyDescent="0.25">
      <c r="A467" s="1" t="str">
        <f t="shared" si="7"/>
        <v>17</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3847</v>
      </c>
    </row>
    <row r="468" spans="1:7" x14ac:dyDescent="0.25">
      <c r="A468" s="1" t="str">
        <f t="shared" si="7"/>
        <v>17</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3848</v>
      </c>
    </row>
    <row r="469" spans="1:7" x14ac:dyDescent="0.25">
      <c r="A469" s="1" t="str">
        <f t="shared" si="7"/>
        <v>17</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3849</v>
      </c>
    </row>
    <row r="470" spans="1:7" x14ac:dyDescent="0.25">
      <c r="A470" s="1" t="str">
        <f t="shared" si="7"/>
        <v>17</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3850</v>
      </c>
      <c r="D470" s="1" t="s">
        <v>3851</v>
      </c>
      <c r="E470" s="1" t="s">
        <v>3852</v>
      </c>
      <c r="F470" s="1" t="s">
        <v>112</v>
      </c>
      <c r="G470" s="1">
        <v>1322473</v>
      </c>
    </row>
    <row r="471" spans="1:7" x14ac:dyDescent="0.25">
      <c r="A471" s="1" t="str">
        <f t="shared" si="7"/>
        <v>17</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3853</v>
      </c>
      <c r="D471" s="1" t="s">
        <v>3854</v>
      </c>
      <c r="E471" s="1" t="s">
        <v>3855</v>
      </c>
      <c r="F471" s="1" t="s">
        <v>112</v>
      </c>
      <c r="G471" s="1">
        <v>1460040</v>
      </c>
    </row>
    <row r="472" spans="1:7" x14ac:dyDescent="0.25">
      <c r="A472" s="1" t="str">
        <f t="shared" si="7"/>
        <v>17</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3856</v>
      </c>
      <c r="D472" s="1" t="s">
        <v>3857</v>
      </c>
      <c r="E472" s="1" t="s">
        <v>3858</v>
      </c>
      <c r="F472" s="1" t="s">
        <v>112</v>
      </c>
      <c r="G472" s="1">
        <v>1401682</v>
      </c>
    </row>
    <row r="473" spans="1:7" x14ac:dyDescent="0.25">
      <c r="A473" s="1" t="str">
        <f t="shared" si="7"/>
        <v>17</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3859</v>
      </c>
      <c r="D473" s="1" t="s">
        <v>3860</v>
      </c>
      <c r="E473" s="1" t="s">
        <v>3861</v>
      </c>
      <c r="F473" s="1" t="s">
        <v>112</v>
      </c>
      <c r="G473" s="1">
        <v>1268766</v>
      </c>
    </row>
    <row r="474" spans="1:7" x14ac:dyDescent="0.25">
      <c r="A474" s="1" t="str">
        <f t="shared" si="7"/>
        <v>17</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3862</v>
      </c>
      <c r="D474" s="1" t="s">
        <v>3863</v>
      </c>
      <c r="E474" s="1" t="s">
        <v>3864</v>
      </c>
      <c r="F474" s="1" t="s">
        <v>112</v>
      </c>
      <c r="G474" s="1">
        <v>1459866</v>
      </c>
    </row>
    <row r="475" spans="1:7" x14ac:dyDescent="0.25">
      <c r="A475" s="1" t="str">
        <f t="shared" si="7"/>
        <v>17</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3865</v>
      </c>
      <c r="D475" s="1" t="s">
        <v>3866</v>
      </c>
      <c r="E475" s="1" t="s">
        <v>3867</v>
      </c>
      <c r="F475" s="1" t="s">
        <v>112</v>
      </c>
      <c r="G475" s="1">
        <v>1526249</v>
      </c>
    </row>
    <row r="476" spans="1:7" x14ac:dyDescent="0.25">
      <c r="A476" s="1" t="str">
        <f t="shared" si="7"/>
        <v>17</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3868</v>
      </c>
      <c r="D476" s="1" t="s">
        <v>3869</v>
      </c>
      <c r="E476" s="1" t="s">
        <v>3870</v>
      </c>
      <c r="F476" s="1" t="s">
        <v>112</v>
      </c>
      <c r="G476" s="1">
        <v>601917</v>
      </c>
    </row>
    <row r="477" spans="1:7" x14ac:dyDescent="0.25">
      <c r="A477" s="1" t="str">
        <f t="shared" si="7"/>
        <v>17</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3871</v>
      </c>
      <c r="D477" s="1" t="s">
        <v>3872</v>
      </c>
      <c r="E477" s="1" t="s">
        <v>3873</v>
      </c>
      <c r="F477" s="1" t="s">
        <v>112</v>
      </c>
      <c r="G477" s="1">
        <v>1297729</v>
      </c>
    </row>
    <row r="478" spans="1:7" x14ac:dyDescent="0.25">
      <c r="A478" s="1" t="str">
        <f t="shared" si="7"/>
        <v>17</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3874</v>
      </c>
      <c r="D478" s="1" t="s">
        <v>3875</v>
      </c>
      <c r="E478" s="1" t="s">
        <v>3876</v>
      </c>
      <c r="F478" s="1" t="s">
        <v>112</v>
      </c>
      <c r="G478" s="1">
        <v>964910</v>
      </c>
    </row>
    <row r="479" spans="1:7" x14ac:dyDescent="0.25">
      <c r="A479" s="1" t="str">
        <f t="shared" si="7"/>
        <v>17</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3877</v>
      </c>
      <c r="D479" s="1" t="s">
        <v>3878</v>
      </c>
      <c r="E479" s="1" t="s">
        <v>3879</v>
      </c>
      <c r="F479" s="1" t="s">
        <v>112</v>
      </c>
      <c r="G479" s="1">
        <v>652033</v>
      </c>
    </row>
    <row r="480" spans="1:7" x14ac:dyDescent="0.25">
      <c r="A480" s="1" t="str">
        <f t="shared" si="7"/>
        <v>17</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3880</v>
      </c>
      <c r="D480" s="1" t="s">
        <v>3881</v>
      </c>
      <c r="E480" s="1" t="s">
        <v>3882</v>
      </c>
      <c r="F480" s="1" t="s">
        <v>112</v>
      </c>
      <c r="G480" s="1">
        <v>588658</v>
      </c>
    </row>
    <row r="481" spans="1:10" x14ac:dyDescent="0.25">
      <c r="A481" s="1" t="str">
        <f t="shared" si="7"/>
        <v>17</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3883</v>
      </c>
      <c r="D481" s="1" t="s">
        <v>3884</v>
      </c>
      <c r="E481" s="1" t="s">
        <v>3885</v>
      </c>
      <c r="F481" s="1" t="s">
        <v>112</v>
      </c>
      <c r="G481" s="1">
        <v>608946</v>
      </c>
    </row>
    <row r="482" spans="1:10" x14ac:dyDescent="0.25">
      <c r="A482" s="1" t="str">
        <f t="shared" si="7"/>
        <v>17</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3886</v>
      </c>
      <c r="D482" s="1" t="s">
        <v>3887</v>
      </c>
      <c r="E482" s="1" t="s">
        <v>3888</v>
      </c>
      <c r="F482" s="1" t="s">
        <v>112</v>
      </c>
      <c r="G482" s="1">
        <v>64262</v>
      </c>
    </row>
    <row r="483" spans="1:10" x14ac:dyDescent="0.25">
      <c r="A483" s="1" t="str">
        <f t="shared" si="7"/>
        <v>17</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3889</v>
      </c>
      <c r="D483" s="1" t="s">
        <v>1596</v>
      </c>
      <c r="E483" s="1" t="s">
        <v>3890</v>
      </c>
      <c r="F483" s="1" t="s">
        <v>112</v>
      </c>
      <c r="G483" s="1">
        <v>273640</v>
      </c>
    </row>
    <row r="484" spans="1:10" x14ac:dyDescent="0.25">
      <c r="A484" s="1" t="str">
        <f t="shared" si="7"/>
        <v>17</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3891</v>
      </c>
      <c r="D484" s="1" t="s">
        <v>3892</v>
      </c>
      <c r="E484" s="1" t="s">
        <v>3893</v>
      </c>
      <c r="F484" s="1" t="s">
        <v>112</v>
      </c>
      <c r="G484" s="1">
        <v>240265</v>
      </c>
    </row>
    <row r="485" spans="1:10" x14ac:dyDescent="0.25">
      <c r="A485" s="1" t="str">
        <f t="shared" si="7"/>
        <v>17</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3894</v>
      </c>
      <c r="D485" s="1" t="s">
        <v>808</v>
      </c>
      <c r="E485" s="1" t="s">
        <v>3895</v>
      </c>
      <c r="F485" s="1" t="s">
        <v>112</v>
      </c>
      <c r="G485" s="1">
        <v>2280548</v>
      </c>
    </row>
    <row r="486" spans="1:10" x14ac:dyDescent="0.25">
      <c r="A486" s="1" t="str">
        <f t="shared" si="7"/>
        <v>17</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3896</v>
      </c>
      <c r="D486" s="1" t="s">
        <v>3897</v>
      </c>
      <c r="E486" s="1" t="s">
        <v>3898</v>
      </c>
      <c r="F486" s="1" t="s">
        <v>112</v>
      </c>
      <c r="G486" s="1">
        <v>2450710</v>
      </c>
    </row>
    <row r="487" spans="1:10" x14ac:dyDescent="0.25">
      <c r="A487" s="1" t="str">
        <f t="shared" si="7"/>
        <v>17</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3899</v>
      </c>
      <c r="D487" s="1" t="s">
        <v>3900</v>
      </c>
      <c r="E487" s="1" t="s">
        <v>3901</v>
      </c>
      <c r="F487" s="1" t="s">
        <v>112</v>
      </c>
      <c r="G487" s="1">
        <v>2502557</v>
      </c>
    </row>
    <row r="488" spans="1:10"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10"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219</v>
      </c>
      <c r="D489" s="1" t="s">
        <v>112</v>
      </c>
      <c r="E489" s="1" t="s">
        <v>220</v>
      </c>
      <c r="F489" s="1" t="s">
        <v>221</v>
      </c>
      <c r="G489" s="1" t="s">
        <v>222</v>
      </c>
      <c r="H489" s="1" t="s">
        <v>223</v>
      </c>
      <c r="I489" s="1" t="s">
        <v>224</v>
      </c>
      <c r="J489" s="1" t="s">
        <v>225</v>
      </c>
    </row>
    <row r="490" spans="1:10" x14ac:dyDescent="0.25">
      <c r="A490" s="1" t="str">
        <f t="shared" si="7"/>
        <v>17</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3902</v>
      </c>
      <c r="D490" s="1" t="s">
        <v>112</v>
      </c>
      <c r="E490" s="1" t="s">
        <v>3903</v>
      </c>
      <c r="F490" s="1" t="s">
        <v>3904</v>
      </c>
      <c r="G490" s="1" t="s">
        <v>3905</v>
      </c>
      <c r="H490" s="1" t="s">
        <v>3906</v>
      </c>
      <c r="I490" s="1">
        <v>24</v>
      </c>
      <c r="J490" s="1">
        <v>24</v>
      </c>
    </row>
    <row r="491" spans="1:10"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10"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10"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10"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10"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10"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231</v>
      </c>
      <c r="D496" s="1" t="s">
        <v>110</v>
      </c>
      <c r="E496" s="1" t="s">
        <v>111</v>
      </c>
      <c r="F496" s="1" t="s">
        <v>112</v>
      </c>
      <c r="G496" s="1" t="s">
        <v>113</v>
      </c>
    </row>
    <row r="497" spans="1:7" x14ac:dyDescent="0.25">
      <c r="A497" s="1" t="str">
        <f t="shared" si="7"/>
        <v>18</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3907</v>
      </c>
      <c r="D497" s="1" t="s">
        <v>3908</v>
      </c>
      <c r="E497" s="1" t="s">
        <v>3909</v>
      </c>
      <c r="F497" s="1" t="s">
        <v>112</v>
      </c>
      <c r="G497" s="1">
        <v>796586</v>
      </c>
    </row>
    <row r="498" spans="1:7" x14ac:dyDescent="0.25">
      <c r="A498" s="1" t="str">
        <f t="shared" si="7"/>
        <v>18</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3910</v>
      </c>
      <c r="D498" s="1" t="s">
        <v>3911</v>
      </c>
      <c r="E498" s="1" t="s">
        <v>3912</v>
      </c>
      <c r="F498" s="1" t="s">
        <v>112</v>
      </c>
      <c r="G498" s="1">
        <v>874042</v>
      </c>
    </row>
    <row r="499" spans="1:7" x14ac:dyDescent="0.25">
      <c r="A499" s="1" t="str">
        <f t="shared" si="7"/>
        <v>18</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3913</v>
      </c>
      <c r="D499" s="1" t="s">
        <v>3914</v>
      </c>
      <c r="E499" s="1" t="s">
        <v>3915</v>
      </c>
      <c r="F499" s="1" t="s">
        <v>112</v>
      </c>
      <c r="G499" s="1">
        <v>432144</v>
      </c>
    </row>
    <row r="500" spans="1:7" x14ac:dyDescent="0.25">
      <c r="A500" s="1" t="str">
        <f t="shared" si="7"/>
        <v>18</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3916</v>
      </c>
      <c r="D500" s="1" t="s">
        <v>3917</v>
      </c>
      <c r="E500" s="1" t="s">
        <v>3918</v>
      </c>
      <c r="F500" s="1" t="s">
        <v>112</v>
      </c>
      <c r="G500" s="1">
        <v>1601521</v>
      </c>
    </row>
    <row r="501" spans="1:7" x14ac:dyDescent="0.25">
      <c r="A501" s="1" t="str">
        <f t="shared" si="7"/>
        <v>18</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3919</v>
      </c>
      <c r="D501" s="1" t="s">
        <v>3920</v>
      </c>
      <c r="E501" s="1" t="s">
        <v>3921</v>
      </c>
      <c r="F501" s="1" t="s">
        <v>112</v>
      </c>
      <c r="G501" s="1">
        <v>1607166</v>
      </c>
    </row>
    <row r="502" spans="1:7" x14ac:dyDescent="0.25">
      <c r="A502" s="1" t="str">
        <f t="shared" si="7"/>
        <v>18</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3922</v>
      </c>
      <c r="D502" s="1" t="s">
        <v>3923</v>
      </c>
      <c r="E502" s="1" t="s">
        <v>3924</v>
      </c>
      <c r="F502" s="1" t="s">
        <v>112</v>
      </c>
      <c r="G502" s="1">
        <v>2071928</v>
      </c>
    </row>
    <row r="503" spans="1:7" x14ac:dyDescent="0.25">
      <c r="A503" s="1" t="str">
        <f t="shared" si="7"/>
        <v>18</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3925</v>
      </c>
      <c r="D503" s="1" t="s">
        <v>3926</v>
      </c>
      <c r="E503" s="1" t="s">
        <v>3927</v>
      </c>
      <c r="F503" s="1" t="s">
        <v>112</v>
      </c>
      <c r="G503" s="1">
        <v>1543985</v>
      </c>
    </row>
    <row r="504" spans="1:7" x14ac:dyDescent="0.25">
      <c r="A504" s="1" t="str">
        <f t="shared" si="7"/>
        <v>18</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3928</v>
      </c>
      <c r="D504" s="1" t="s">
        <v>3929</v>
      </c>
      <c r="E504" s="1" t="s">
        <v>3930</v>
      </c>
      <c r="F504" s="1" t="s">
        <v>112</v>
      </c>
      <c r="G504" s="1">
        <v>1559580</v>
      </c>
    </row>
    <row r="505" spans="1:7" x14ac:dyDescent="0.25">
      <c r="A505" s="1" t="str">
        <f t="shared" si="7"/>
        <v>18</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3931</v>
      </c>
      <c r="D505" s="1" t="s">
        <v>3932</v>
      </c>
      <c r="E505" s="1" t="s">
        <v>3933</v>
      </c>
      <c r="F505" s="1" t="s">
        <v>112</v>
      </c>
      <c r="G505" s="1">
        <v>1538470</v>
      </c>
    </row>
    <row r="506" spans="1:7" x14ac:dyDescent="0.25">
      <c r="A506" s="1" t="str">
        <f t="shared" si="7"/>
        <v>18</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3934</v>
      </c>
      <c r="D506" s="1" t="s">
        <v>3935</v>
      </c>
      <c r="E506" s="1" t="s">
        <v>3936</v>
      </c>
      <c r="F506" s="1" t="s">
        <v>112</v>
      </c>
      <c r="G506" s="1">
        <v>2430292</v>
      </c>
    </row>
    <row r="507" spans="1:7" x14ac:dyDescent="0.25">
      <c r="A507" s="1" t="str">
        <f t="shared" si="7"/>
        <v>18</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3937</v>
      </c>
      <c r="D507" s="1" t="s">
        <v>3938</v>
      </c>
      <c r="E507" s="1" t="s">
        <v>3939</v>
      </c>
      <c r="F507" s="1" t="s">
        <v>112</v>
      </c>
      <c r="G507" s="1">
        <v>2590504</v>
      </c>
    </row>
    <row r="508" spans="1:7" x14ac:dyDescent="0.25">
      <c r="A508" s="1" t="str">
        <f t="shared" si="7"/>
        <v>18</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3940</v>
      </c>
      <c r="D508" s="1" t="s">
        <v>3941</v>
      </c>
      <c r="E508" s="1" t="s">
        <v>3942</v>
      </c>
      <c r="F508" s="1" t="s">
        <v>112</v>
      </c>
      <c r="G508" s="1">
        <v>145850</v>
      </c>
    </row>
    <row r="509" spans="1:7" x14ac:dyDescent="0.25">
      <c r="A509" s="1" t="str">
        <f t="shared" si="7"/>
        <v>18</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3943</v>
      </c>
    </row>
    <row r="510" spans="1:7" x14ac:dyDescent="0.25">
      <c r="A510" s="1" t="str">
        <f t="shared" si="7"/>
        <v>18</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3944</v>
      </c>
    </row>
    <row r="511" spans="1:7" x14ac:dyDescent="0.25">
      <c r="A511" s="1" t="str">
        <f t="shared" si="7"/>
        <v>18</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3945</v>
      </c>
    </row>
    <row r="512" spans="1:7" x14ac:dyDescent="0.25">
      <c r="A512" s="1" t="str">
        <f t="shared" si="7"/>
        <v>18</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3946</v>
      </c>
      <c r="D512" s="1" t="s">
        <v>3947</v>
      </c>
      <c r="E512" s="1" t="s">
        <v>3948</v>
      </c>
      <c r="F512" s="1" t="s">
        <v>112</v>
      </c>
      <c r="G512" s="1">
        <v>1182896</v>
      </c>
    </row>
    <row r="513" spans="1:10" x14ac:dyDescent="0.25">
      <c r="A513" s="1" t="str">
        <f t="shared" si="7"/>
        <v>18</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3949</v>
      </c>
      <c r="D513" s="1" t="s">
        <v>3950</v>
      </c>
      <c r="E513" s="1" t="s">
        <v>3951</v>
      </c>
      <c r="F513" s="1" t="s">
        <v>112</v>
      </c>
      <c r="G513" s="1">
        <v>1931225</v>
      </c>
    </row>
    <row r="514" spans="1:10" x14ac:dyDescent="0.25">
      <c r="A514" s="1" t="str">
        <f t="shared" ref="A514:A577" si="8">IFERROR(LEFT(RIGHT(C514,LEN(C514)-SEARCH("@",C514)),SEARCH("/",RIGHT(C514,LEN(C514)-SEARCH("@",C514)-1))),"")</f>
        <v>18</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3952</v>
      </c>
      <c r="D514" s="1" t="s">
        <v>3953</v>
      </c>
      <c r="E514" s="1" t="s">
        <v>3954</v>
      </c>
      <c r="F514" s="1" t="s">
        <v>112</v>
      </c>
      <c r="G514" s="1">
        <v>1905507</v>
      </c>
    </row>
    <row r="515" spans="1:10" x14ac:dyDescent="0.25">
      <c r="A515" s="1" t="str">
        <f t="shared" si="8"/>
        <v>18</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3955</v>
      </c>
      <c r="D515" s="1" t="s">
        <v>3956</v>
      </c>
      <c r="E515" s="1" t="s">
        <v>3957</v>
      </c>
      <c r="F515" s="1" t="s">
        <v>112</v>
      </c>
      <c r="G515" s="1">
        <v>2873185</v>
      </c>
    </row>
    <row r="516" spans="1:10" x14ac:dyDescent="0.25">
      <c r="A516" s="1" t="str">
        <f t="shared" si="8"/>
        <v>18</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3958</v>
      </c>
      <c r="D516" s="1" t="s">
        <v>3959</v>
      </c>
      <c r="E516" s="1" t="s">
        <v>3960</v>
      </c>
      <c r="F516" s="1" t="s">
        <v>112</v>
      </c>
      <c r="G516" s="1">
        <v>3333513</v>
      </c>
    </row>
    <row r="517" spans="1:10" x14ac:dyDescent="0.25">
      <c r="A517" s="1" t="str">
        <f t="shared" si="8"/>
        <v>18</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3961</v>
      </c>
      <c r="D517" s="1" t="s">
        <v>3962</v>
      </c>
      <c r="E517" s="1" t="s">
        <v>3963</v>
      </c>
      <c r="F517" s="1" t="s">
        <v>112</v>
      </c>
      <c r="G517" s="1">
        <v>3394271</v>
      </c>
    </row>
    <row r="518" spans="1:10" x14ac:dyDescent="0.25">
      <c r="A518" s="1" t="str">
        <f t="shared" si="8"/>
        <v>18</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3964</v>
      </c>
      <c r="D518" s="1" t="s">
        <v>3965</v>
      </c>
      <c r="E518" s="1" t="s">
        <v>3966</v>
      </c>
      <c r="F518" s="1" t="s">
        <v>112</v>
      </c>
      <c r="G518" s="1">
        <v>1681378</v>
      </c>
    </row>
    <row r="519" spans="1:10" x14ac:dyDescent="0.25">
      <c r="A519" s="1" t="str">
        <f t="shared" si="8"/>
        <v>18</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3967</v>
      </c>
      <c r="D519" s="1" t="s">
        <v>3968</v>
      </c>
      <c r="E519" s="1" t="s">
        <v>3969</v>
      </c>
      <c r="F519" s="1" t="s">
        <v>112</v>
      </c>
      <c r="G519" s="1">
        <v>1758640</v>
      </c>
    </row>
    <row r="520" spans="1:10" x14ac:dyDescent="0.25">
      <c r="A520" s="1" t="str">
        <f t="shared" si="8"/>
        <v>18</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3970</v>
      </c>
      <c r="D520" s="1" t="s">
        <v>3971</v>
      </c>
      <c r="E520" s="1" t="s">
        <v>3972</v>
      </c>
      <c r="F520" s="1" t="s">
        <v>112</v>
      </c>
      <c r="G520" s="1">
        <v>1607209</v>
      </c>
    </row>
    <row r="521" spans="1:10"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10"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219</v>
      </c>
      <c r="D522" s="1" t="s">
        <v>112</v>
      </c>
      <c r="E522" s="1" t="s">
        <v>220</v>
      </c>
      <c r="F522" s="1" t="s">
        <v>221</v>
      </c>
      <c r="G522" s="1" t="s">
        <v>222</v>
      </c>
      <c r="H522" s="1" t="s">
        <v>223</v>
      </c>
      <c r="I522" s="1" t="s">
        <v>224</v>
      </c>
      <c r="J522" s="1" t="s">
        <v>225</v>
      </c>
    </row>
    <row r="523" spans="1:10" x14ac:dyDescent="0.25">
      <c r="A523" s="1" t="str">
        <f t="shared" si="8"/>
        <v>18</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3973</v>
      </c>
      <c r="D523" s="1" t="s">
        <v>112</v>
      </c>
      <c r="E523" s="1" t="s">
        <v>3974</v>
      </c>
      <c r="F523" s="1" t="s">
        <v>3975</v>
      </c>
      <c r="G523" s="1" t="s">
        <v>3976</v>
      </c>
      <c r="H523" s="1" t="s">
        <v>3977</v>
      </c>
      <c r="I523" s="1">
        <v>24</v>
      </c>
      <c r="J523" s="1">
        <v>24</v>
      </c>
    </row>
    <row r="524" spans="1:10"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10"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10"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10"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10"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231</v>
      </c>
      <c r="D529" s="1" t="s">
        <v>110</v>
      </c>
      <c r="E529" s="1" t="s">
        <v>111</v>
      </c>
      <c r="F529" s="1" t="s">
        <v>112</v>
      </c>
      <c r="G529" s="1" t="s">
        <v>113</v>
      </c>
    </row>
    <row r="530" spans="1:7" x14ac:dyDescent="0.25">
      <c r="A530" s="1" t="str">
        <f t="shared" si="8"/>
        <v>19</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3978</v>
      </c>
      <c r="D530" s="1" t="s">
        <v>3979</v>
      </c>
      <c r="E530" s="1" t="s">
        <v>3980</v>
      </c>
      <c r="F530" s="1" t="s">
        <v>112</v>
      </c>
      <c r="G530" s="1">
        <v>989308</v>
      </c>
    </row>
    <row r="531" spans="1:7" x14ac:dyDescent="0.25">
      <c r="A531" s="1" t="str">
        <f t="shared" si="8"/>
        <v>19</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3981</v>
      </c>
      <c r="D531" s="1" t="s">
        <v>3982</v>
      </c>
      <c r="E531" s="1" t="s">
        <v>3983</v>
      </c>
      <c r="F531" s="1" t="s">
        <v>112</v>
      </c>
      <c r="G531" s="1">
        <v>1476219</v>
      </c>
    </row>
    <row r="532" spans="1:7" x14ac:dyDescent="0.25">
      <c r="A532" s="1" t="str">
        <f t="shared" si="8"/>
        <v>19</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3984</v>
      </c>
      <c r="D532" s="1" t="s">
        <v>365</v>
      </c>
      <c r="E532" s="1" t="s">
        <v>3985</v>
      </c>
      <c r="F532" s="1" t="s">
        <v>112</v>
      </c>
      <c r="G532" s="1">
        <v>1130833</v>
      </c>
    </row>
    <row r="533" spans="1:7" x14ac:dyDescent="0.25">
      <c r="A533" s="1" t="str">
        <f t="shared" si="8"/>
        <v>19</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3986</v>
      </c>
      <c r="D533" s="1" t="s">
        <v>3987</v>
      </c>
      <c r="E533" s="1" t="s">
        <v>3988</v>
      </c>
      <c r="F533" s="1" t="s">
        <v>112</v>
      </c>
      <c r="G533" s="1">
        <v>2326944</v>
      </c>
    </row>
    <row r="534" spans="1:7" x14ac:dyDescent="0.25">
      <c r="A534" s="1" t="str">
        <f t="shared" si="8"/>
        <v>19</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3989</v>
      </c>
      <c r="D534" s="1" t="s">
        <v>3990</v>
      </c>
      <c r="E534" s="1" t="s">
        <v>3991</v>
      </c>
      <c r="F534" s="1" t="s">
        <v>112</v>
      </c>
      <c r="G534" s="1">
        <v>2151547</v>
      </c>
    </row>
    <row r="535" spans="1:7" x14ac:dyDescent="0.25">
      <c r="A535" s="1" t="str">
        <f t="shared" si="8"/>
        <v>19</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3992</v>
      </c>
      <c r="D535" s="1" t="s">
        <v>3079</v>
      </c>
      <c r="E535" s="1" t="s">
        <v>3993</v>
      </c>
      <c r="F535" s="1" t="s">
        <v>112</v>
      </c>
      <c r="G535" s="1">
        <v>2744033</v>
      </c>
    </row>
    <row r="536" spans="1:7" x14ac:dyDescent="0.25">
      <c r="A536" s="1" t="str">
        <f t="shared" si="8"/>
        <v>19</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3994</v>
      </c>
      <c r="D536" s="1" t="s">
        <v>3995</v>
      </c>
      <c r="E536" s="1" t="s">
        <v>3996</v>
      </c>
      <c r="F536" s="1" t="s">
        <v>112</v>
      </c>
      <c r="G536" s="1">
        <v>2684378</v>
      </c>
    </row>
    <row r="537" spans="1:7" x14ac:dyDescent="0.25">
      <c r="A537" s="1" t="str">
        <f t="shared" si="8"/>
        <v>19</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3997</v>
      </c>
      <c r="D537" s="1" t="s">
        <v>3998</v>
      </c>
      <c r="E537" s="1" t="s">
        <v>3999</v>
      </c>
      <c r="F537" s="1" t="s">
        <v>112</v>
      </c>
      <c r="G537" s="1">
        <v>2654875</v>
      </c>
    </row>
    <row r="538" spans="1:7" x14ac:dyDescent="0.25">
      <c r="A538" s="1" t="str">
        <f t="shared" si="8"/>
        <v>19</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4000</v>
      </c>
      <c r="D538" s="1" t="s">
        <v>4001</v>
      </c>
      <c r="E538" s="1" t="s">
        <v>4002</v>
      </c>
      <c r="F538" s="1" t="s">
        <v>112</v>
      </c>
      <c r="G538" s="1">
        <v>2902386</v>
      </c>
    </row>
    <row r="539" spans="1:7" x14ac:dyDescent="0.25">
      <c r="A539" s="1" t="str">
        <f t="shared" si="8"/>
        <v>19</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4003</v>
      </c>
      <c r="D539" s="1" t="s">
        <v>4004</v>
      </c>
      <c r="E539" s="1" t="s">
        <v>4005</v>
      </c>
      <c r="F539" s="1" t="s">
        <v>112</v>
      </c>
      <c r="G539" s="1">
        <v>2145491</v>
      </c>
    </row>
    <row r="540" spans="1:7" x14ac:dyDescent="0.25">
      <c r="A540" s="1" t="str">
        <f t="shared" si="8"/>
        <v>19</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4006</v>
      </c>
      <c r="D540" s="1" t="s">
        <v>4007</v>
      </c>
      <c r="E540" s="1" t="s">
        <v>4008</v>
      </c>
      <c r="F540" s="1" t="s">
        <v>112</v>
      </c>
      <c r="G540" s="1">
        <v>1558153</v>
      </c>
    </row>
    <row r="541" spans="1:7" x14ac:dyDescent="0.25">
      <c r="A541" s="1" t="str">
        <f t="shared" si="8"/>
        <v>19</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4009</v>
      </c>
      <c r="D541" s="1" t="s">
        <v>4010</v>
      </c>
      <c r="E541" s="1" t="s">
        <v>4011</v>
      </c>
      <c r="F541" s="1" t="s">
        <v>112</v>
      </c>
      <c r="G541" s="1">
        <v>2101863</v>
      </c>
    </row>
    <row r="542" spans="1:7" x14ac:dyDescent="0.25">
      <c r="A542" s="1" t="str">
        <f t="shared" si="8"/>
        <v>19</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4012</v>
      </c>
      <c r="D542" s="1" t="s">
        <v>4013</v>
      </c>
      <c r="E542" s="1" t="s">
        <v>4014</v>
      </c>
      <c r="F542" s="1" t="s">
        <v>112</v>
      </c>
      <c r="G542" s="1">
        <v>1872132</v>
      </c>
    </row>
    <row r="543" spans="1:7" x14ac:dyDescent="0.25">
      <c r="A543" s="1" t="str">
        <f t="shared" si="8"/>
        <v>19</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4015</v>
      </c>
      <c r="D543" s="1" t="s">
        <v>4016</v>
      </c>
      <c r="E543" s="1" t="s">
        <v>4017</v>
      </c>
      <c r="F543" s="1" t="s">
        <v>112</v>
      </c>
      <c r="G543" s="1">
        <v>1579783</v>
      </c>
    </row>
    <row r="544" spans="1:7" x14ac:dyDescent="0.25">
      <c r="A544" s="1" t="str">
        <f t="shared" si="8"/>
        <v>19</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4018</v>
      </c>
      <c r="D544" s="1" t="s">
        <v>4019</v>
      </c>
      <c r="E544" s="1" t="s">
        <v>4020</v>
      </c>
      <c r="F544" s="1" t="s">
        <v>112</v>
      </c>
      <c r="G544" s="1">
        <v>1675581</v>
      </c>
    </row>
    <row r="545" spans="1:10" x14ac:dyDescent="0.25">
      <c r="A545" s="1" t="str">
        <f t="shared" si="8"/>
        <v>19</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4021</v>
      </c>
      <c r="D545" s="1" t="s">
        <v>4022</v>
      </c>
      <c r="E545" s="1" t="s">
        <v>4023</v>
      </c>
      <c r="F545" s="1" t="s">
        <v>112</v>
      </c>
      <c r="G545" s="1">
        <v>2322726</v>
      </c>
    </row>
    <row r="546" spans="1:10" x14ac:dyDescent="0.25">
      <c r="A546" s="1" t="str">
        <f t="shared" si="8"/>
        <v>19</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4024</v>
      </c>
      <c r="D546" s="1" t="s">
        <v>4025</v>
      </c>
      <c r="E546" s="1" t="s">
        <v>4026</v>
      </c>
      <c r="F546" s="1" t="s">
        <v>112</v>
      </c>
      <c r="G546" s="1">
        <v>2429189</v>
      </c>
    </row>
    <row r="547" spans="1:10" x14ac:dyDescent="0.25">
      <c r="A547" s="1" t="str">
        <f t="shared" si="8"/>
        <v>19</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4027</v>
      </c>
      <c r="D547" s="1" t="s">
        <v>4028</v>
      </c>
      <c r="E547" s="1" t="s">
        <v>4029</v>
      </c>
      <c r="F547" s="1" t="s">
        <v>112</v>
      </c>
      <c r="G547" s="1">
        <v>1804885</v>
      </c>
    </row>
    <row r="548" spans="1:10" x14ac:dyDescent="0.25">
      <c r="A548" s="1" t="str">
        <f t="shared" si="8"/>
        <v>19</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4030</v>
      </c>
      <c r="D548" s="1" t="s">
        <v>4031</v>
      </c>
      <c r="E548" s="1" t="s">
        <v>4032</v>
      </c>
      <c r="F548" s="1" t="s">
        <v>112</v>
      </c>
      <c r="G548" s="1">
        <v>2245962</v>
      </c>
    </row>
    <row r="549" spans="1:10" x14ac:dyDescent="0.25">
      <c r="A549" s="1" t="str">
        <f t="shared" si="8"/>
        <v>19</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4033</v>
      </c>
      <c r="D549" s="1" t="s">
        <v>4034</v>
      </c>
      <c r="E549" s="1" t="s">
        <v>4035</v>
      </c>
      <c r="F549" s="1" t="s">
        <v>112</v>
      </c>
      <c r="G549" s="1">
        <v>2098684</v>
      </c>
    </row>
    <row r="550" spans="1:10" x14ac:dyDescent="0.25">
      <c r="A550" s="1" t="str">
        <f t="shared" si="8"/>
        <v>19</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4036</v>
      </c>
      <c r="D550" s="1" t="s">
        <v>4037</v>
      </c>
      <c r="E550" s="1" t="s">
        <v>4038</v>
      </c>
      <c r="F550" s="1" t="s">
        <v>112</v>
      </c>
      <c r="G550" s="1">
        <v>2507381</v>
      </c>
    </row>
    <row r="551" spans="1:10" x14ac:dyDescent="0.25">
      <c r="A551" s="1" t="str">
        <f t="shared" si="8"/>
        <v>19</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4039</v>
      </c>
      <c r="D551" s="1" t="s">
        <v>4040</v>
      </c>
      <c r="E551" s="1" t="s">
        <v>4041</v>
      </c>
      <c r="F551" s="1" t="s">
        <v>112</v>
      </c>
      <c r="G551" s="1">
        <v>1978897</v>
      </c>
    </row>
    <row r="552" spans="1:10" x14ac:dyDescent="0.25">
      <c r="A552" s="1" t="str">
        <f t="shared" si="8"/>
        <v>19</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4042</v>
      </c>
      <c r="D552" s="1" t="s">
        <v>4043</v>
      </c>
      <c r="E552" s="1" t="s">
        <v>4044</v>
      </c>
      <c r="F552" s="1" t="s">
        <v>112</v>
      </c>
      <c r="G552" s="1">
        <v>1479982</v>
      </c>
    </row>
    <row r="553" spans="1:10" x14ac:dyDescent="0.25">
      <c r="A553" s="1" t="str">
        <f t="shared" si="8"/>
        <v>19</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4045</v>
      </c>
      <c r="D553" s="1" t="s">
        <v>4046</v>
      </c>
      <c r="E553" s="1" t="s">
        <v>4047</v>
      </c>
      <c r="F553" s="1" t="s">
        <v>112</v>
      </c>
      <c r="G553" s="1">
        <v>2047940</v>
      </c>
    </row>
    <row r="554" spans="1:10"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10"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219</v>
      </c>
      <c r="D555" s="1" t="s">
        <v>112</v>
      </c>
      <c r="E555" s="1" t="s">
        <v>220</v>
      </c>
      <c r="F555" s="1" t="s">
        <v>221</v>
      </c>
      <c r="G555" s="1" t="s">
        <v>222</v>
      </c>
      <c r="H555" s="1" t="s">
        <v>223</v>
      </c>
      <c r="I555" s="1" t="s">
        <v>224</v>
      </c>
      <c r="J555" s="1" t="s">
        <v>225</v>
      </c>
    </row>
    <row r="556" spans="1:10" x14ac:dyDescent="0.25">
      <c r="A556" s="1" t="str">
        <f t="shared" si="8"/>
        <v>19</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4048</v>
      </c>
      <c r="D556" s="1" t="s">
        <v>112</v>
      </c>
      <c r="E556" s="1" t="s">
        <v>4049</v>
      </c>
      <c r="F556" s="1" t="s">
        <v>4050</v>
      </c>
      <c r="G556" s="1" t="s">
        <v>4051</v>
      </c>
      <c r="H556" s="1" t="s">
        <v>4052</v>
      </c>
      <c r="I556" s="1">
        <v>24</v>
      </c>
      <c r="J556" s="1">
        <v>24</v>
      </c>
    </row>
    <row r="557" spans="1:10"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10"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10"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10"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231</v>
      </c>
      <c r="D562" s="1" t="s">
        <v>110</v>
      </c>
      <c r="E562" s="1" t="s">
        <v>111</v>
      </c>
      <c r="F562" s="1" t="s">
        <v>112</v>
      </c>
      <c r="G562" s="1" t="s">
        <v>113</v>
      </c>
    </row>
    <row r="563" spans="1:7" x14ac:dyDescent="0.25">
      <c r="A563" s="1" t="str">
        <f t="shared" si="8"/>
        <v>20</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4053</v>
      </c>
      <c r="D563" s="1" t="s">
        <v>4054</v>
      </c>
      <c r="E563" s="1" t="s">
        <v>4055</v>
      </c>
      <c r="F563" s="1" t="s">
        <v>112</v>
      </c>
      <c r="G563" s="1">
        <v>1587180</v>
      </c>
    </row>
    <row r="564" spans="1:7" x14ac:dyDescent="0.25">
      <c r="A564" s="1" t="str">
        <f t="shared" si="8"/>
        <v>20</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4056</v>
      </c>
      <c r="D564" s="1" t="s">
        <v>4057</v>
      </c>
      <c r="E564" s="1" t="s">
        <v>4058</v>
      </c>
      <c r="F564" s="1" t="s">
        <v>112</v>
      </c>
      <c r="G564" s="1">
        <v>1526941</v>
      </c>
    </row>
    <row r="565" spans="1:7" x14ac:dyDescent="0.25">
      <c r="A565" s="1" t="str">
        <f t="shared" si="8"/>
        <v>20</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4059</v>
      </c>
      <c r="D565" s="1" t="s">
        <v>4060</v>
      </c>
      <c r="E565" s="1" t="s">
        <v>4061</v>
      </c>
      <c r="F565" s="1" t="s">
        <v>112</v>
      </c>
      <c r="G565" s="1">
        <v>1572839</v>
      </c>
    </row>
    <row r="566" spans="1:7" x14ac:dyDescent="0.25">
      <c r="A566" s="1" t="str">
        <f t="shared" si="8"/>
        <v>20</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4062</v>
      </c>
      <c r="D566" s="1" t="s">
        <v>4063</v>
      </c>
      <c r="E566" s="1" t="s">
        <v>4064</v>
      </c>
      <c r="F566" s="1" t="s">
        <v>112</v>
      </c>
      <c r="G566" s="1">
        <v>3609294</v>
      </c>
    </row>
    <row r="567" spans="1:7" x14ac:dyDescent="0.25">
      <c r="A567" s="1" t="str">
        <f t="shared" si="8"/>
        <v>20</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4065</v>
      </c>
      <c r="D567" s="1" t="s">
        <v>4066</v>
      </c>
      <c r="E567" s="1" t="s">
        <v>4067</v>
      </c>
      <c r="F567" s="1" t="s">
        <v>112</v>
      </c>
      <c r="G567" s="1">
        <v>4010420</v>
      </c>
    </row>
    <row r="568" spans="1:7" x14ac:dyDescent="0.25">
      <c r="A568" s="1" t="str">
        <f t="shared" si="8"/>
        <v>20</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4068</v>
      </c>
      <c r="D568" s="1" t="s">
        <v>4069</v>
      </c>
      <c r="E568" s="1" t="s">
        <v>4070</v>
      </c>
      <c r="F568" s="1" t="s">
        <v>112</v>
      </c>
      <c r="G568" s="1">
        <v>3396456</v>
      </c>
    </row>
    <row r="569" spans="1:7" x14ac:dyDescent="0.25">
      <c r="A569" s="1" t="str">
        <f t="shared" si="8"/>
        <v>20</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4071</v>
      </c>
      <c r="D569" s="1" t="s">
        <v>4072</v>
      </c>
      <c r="E569" s="1" t="s">
        <v>4073</v>
      </c>
      <c r="F569" s="1" t="s">
        <v>112</v>
      </c>
      <c r="G569" s="1">
        <v>809001</v>
      </c>
    </row>
    <row r="570" spans="1:7" x14ac:dyDescent="0.25">
      <c r="A570" s="1" t="str">
        <f t="shared" si="8"/>
        <v>20</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4074</v>
      </c>
      <c r="D570" s="1" t="s">
        <v>4075</v>
      </c>
      <c r="E570" s="1" t="s">
        <v>4076</v>
      </c>
      <c r="F570" s="1" t="s">
        <v>112</v>
      </c>
      <c r="G570" s="1">
        <v>1012971</v>
      </c>
    </row>
    <row r="571" spans="1:7" x14ac:dyDescent="0.25">
      <c r="A571" s="1" t="str">
        <f t="shared" si="8"/>
        <v>20</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4077</v>
      </c>
      <c r="D571" s="1" t="s">
        <v>4078</v>
      </c>
      <c r="E571" s="1" t="s">
        <v>4079</v>
      </c>
      <c r="F571" s="1" t="s">
        <v>112</v>
      </c>
      <c r="G571" s="1">
        <v>799830</v>
      </c>
    </row>
    <row r="572" spans="1:7" x14ac:dyDescent="0.25">
      <c r="A572" s="1" t="str">
        <f t="shared" si="8"/>
        <v>20</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4080</v>
      </c>
      <c r="D572" s="1" t="s">
        <v>4081</v>
      </c>
      <c r="E572" s="1" t="s">
        <v>4082</v>
      </c>
      <c r="F572" s="1" t="s">
        <v>112</v>
      </c>
      <c r="G572" s="1">
        <v>2683729</v>
      </c>
    </row>
    <row r="573" spans="1:7" x14ac:dyDescent="0.25">
      <c r="A573" s="1" t="str">
        <f t="shared" si="8"/>
        <v>20</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4083</v>
      </c>
      <c r="D573" s="1" t="s">
        <v>4084</v>
      </c>
      <c r="E573" s="1" t="s">
        <v>4085</v>
      </c>
      <c r="F573" s="1" t="s">
        <v>112</v>
      </c>
      <c r="G573" s="1">
        <v>3234643</v>
      </c>
    </row>
    <row r="574" spans="1:7" x14ac:dyDescent="0.25">
      <c r="A574" s="1" t="str">
        <f t="shared" si="8"/>
        <v>20</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4086</v>
      </c>
      <c r="D574" s="1" t="s">
        <v>4087</v>
      </c>
      <c r="E574" s="1" t="s">
        <v>4088</v>
      </c>
      <c r="F574" s="1" t="s">
        <v>112</v>
      </c>
      <c r="G574" s="1">
        <v>3334270</v>
      </c>
    </row>
    <row r="575" spans="1:7" x14ac:dyDescent="0.25">
      <c r="A575" s="1" t="str">
        <f t="shared" si="8"/>
        <v>20</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4089</v>
      </c>
      <c r="D575" s="1" t="s">
        <v>3189</v>
      </c>
      <c r="E575" s="1" t="s">
        <v>4090</v>
      </c>
      <c r="F575" s="1" t="s">
        <v>112</v>
      </c>
      <c r="G575" s="1">
        <v>3318026</v>
      </c>
    </row>
    <row r="576" spans="1:7" x14ac:dyDescent="0.25">
      <c r="A576" s="1" t="str">
        <f t="shared" si="8"/>
        <v>20</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4091</v>
      </c>
      <c r="D576" s="1" t="s">
        <v>4092</v>
      </c>
      <c r="E576" s="1" t="s">
        <v>4093</v>
      </c>
      <c r="F576" s="1" t="s">
        <v>112</v>
      </c>
      <c r="G576" s="1">
        <v>2888261</v>
      </c>
    </row>
    <row r="577" spans="1:10" x14ac:dyDescent="0.25">
      <c r="A577" s="1" t="str">
        <f t="shared" si="8"/>
        <v>20</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4094</v>
      </c>
      <c r="D577" s="1" t="s">
        <v>4092</v>
      </c>
      <c r="E577" s="1" t="s">
        <v>4095</v>
      </c>
      <c r="F577" s="1" t="s">
        <v>112</v>
      </c>
      <c r="G577" s="1">
        <v>2871304</v>
      </c>
    </row>
    <row r="578" spans="1:10" x14ac:dyDescent="0.25">
      <c r="A578" s="1" t="str">
        <f t="shared" ref="A578:A641" si="9">IFERROR(LEFT(RIGHT(C578,LEN(C578)-SEARCH("@",C578)),SEARCH("/",RIGHT(C578,LEN(C578)-SEARCH("@",C578)-1))),"")</f>
        <v>20</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4096</v>
      </c>
      <c r="D578" s="1" t="s">
        <v>4097</v>
      </c>
      <c r="E578" s="1" t="s">
        <v>4098</v>
      </c>
      <c r="F578" s="1" t="s">
        <v>112</v>
      </c>
      <c r="G578" s="1">
        <v>367405</v>
      </c>
    </row>
    <row r="579" spans="1:10" x14ac:dyDescent="0.25">
      <c r="A579" s="1" t="str">
        <f t="shared" si="9"/>
        <v>20</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4099</v>
      </c>
    </row>
    <row r="580" spans="1:10" x14ac:dyDescent="0.25">
      <c r="A580" s="1" t="str">
        <f t="shared" si="9"/>
        <v>20</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4100</v>
      </c>
      <c r="D580" s="1" t="s">
        <v>4101</v>
      </c>
      <c r="E580" s="1" t="s">
        <v>4102</v>
      </c>
      <c r="F580" s="1" t="s">
        <v>112</v>
      </c>
      <c r="G580" s="1">
        <v>1172989</v>
      </c>
    </row>
    <row r="581" spans="1:10" x14ac:dyDescent="0.25">
      <c r="A581" s="1" t="str">
        <f t="shared" si="9"/>
        <v>20</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4103</v>
      </c>
      <c r="D581" s="1" t="s">
        <v>4104</v>
      </c>
      <c r="E581" s="1" t="s">
        <v>4105</v>
      </c>
      <c r="F581" s="1" t="s">
        <v>112</v>
      </c>
      <c r="G581" s="1">
        <v>2124791</v>
      </c>
    </row>
    <row r="582" spans="1:10" x14ac:dyDescent="0.25">
      <c r="A582" s="1" t="str">
        <f t="shared" si="9"/>
        <v>20</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4106</v>
      </c>
      <c r="D582" s="1" t="s">
        <v>4107</v>
      </c>
      <c r="E582" s="1" t="s">
        <v>4108</v>
      </c>
      <c r="F582" s="1" t="s">
        <v>112</v>
      </c>
      <c r="G582" s="1">
        <v>2402887</v>
      </c>
    </row>
    <row r="583" spans="1:10" x14ac:dyDescent="0.25">
      <c r="A583" s="1" t="str">
        <f t="shared" si="9"/>
        <v>20</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4109</v>
      </c>
      <c r="D583" s="1" t="s">
        <v>2727</v>
      </c>
      <c r="E583" s="1" t="s">
        <v>4110</v>
      </c>
      <c r="F583" s="1" t="s">
        <v>112</v>
      </c>
      <c r="G583" s="1">
        <v>2677846</v>
      </c>
    </row>
    <row r="584" spans="1:10" x14ac:dyDescent="0.25">
      <c r="A584" s="1" t="str">
        <f t="shared" si="9"/>
        <v>20</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4111</v>
      </c>
      <c r="D584" s="1" t="s">
        <v>831</v>
      </c>
      <c r="E584" s="1" t="s">
        <v>4112</v>
      </c>
      <c r="F584" s="1" t="s">
        <v>112</v>
      </c>
      <c r="G584" s="1">
        <v>2768389</v>
      </c>
    </row>
    <row r="585" spans="1:10" x14ac:dyDescent="0.25">
      <c r="A585" s="1" t="str">
        <f t="shared" si="9"/>
        <v>20</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4113</v>
      </c>
    </row>
    <row r="586" spans="1:10" x14ac:dyDescent="0.25">
      <c r="A586" s="1" t="str">
        <f t="shared" si="9"/>
        <v>20</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4114</v>
      </c>
    </row>
    <row r="587" spans="1:10"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10"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219</v>
      </c>
      <c r="D588" s="1" t="s">
        <v>112</v>
      </c>
      <c r="E588" s="1" t="s">
        <v>220</v>
      </c>
      <c r="F588" s="1" t="s">
        <v>221</v>
      </c>
      <c r="G588" s="1" t="s">
        <v>222</v>
      </c>
      <c r="H588" s="1" t="s">
        <v>223</v>
      </c>
      <c r="I588" s="1" t="s">
        <v>224</v>
      </c>
      <c r="J588" s="1" t="s">
        <v>225</v>
      </c>
    </row>
    <row r="589" spans="1:10" x14ac:dyDescent="0.25">
      <c r="A589" s="1" t="str">
        <f t="shared" si="9"/>
        <v>20</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4115</v>
      </c>
      <c r="D589" s="1" t="s">
        <v>112</v>
      </c>
      <c r="E589" s="1" t="s">
        <v>4116</v>
      </c>
      <c r="F589" s="1" t="s">
        <v>4117</v>
      </c>
      <c r="G589" s="1" t="s">
        <v>4118</v>
      </c>
      <c r="H589" s="1">
        <v>1062986</v>
      </c>
      <c r="I589" s="1">
        <v>24</v>
      </c>
      <c r="J589" s="1">
        <v>24</v>
      </c>
    </row>
    <row r="590" spans="1:10"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10"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10"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231</v>
      </c>
      <c r="D595" s="1" t="s">
        <v>110</v>
      </c>
      <c r="E595" s="1" t="s">
        <v>111</v>
      </c>
      <c r="F595" s="1" t="s">
        <v>112</v>
      </c>
      <c r="G595" s="1" t="s">
        <v>113</v>
      </c>
    </row>
    <row r="596" spans="1:7" x14ac:dyDescent="0.25">
      <c r="A596" s="1" t="str">
        <f t="shared" si="9"/>
        <v>21</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4119</v>
      </c>
      <c r="D596" s="1" t="s">
        <v>4120</v>
      </c>
      <c r="E596" s="1" t="s">
        <v>4121</v>
      </c>
      <c r="F596" s="1" t="s">
        <v>112</v>
      </c>
      <c r="G596" s="1">
        <v>366302</v>
      </c>
    </row>
    <row r="597" spans="1:7" x14ac:dyDescent="0.25">
      <c r="A597" s="1" t="str">
        <f t="shared" si="9"/>
        <v>21</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4122</v>
      </c>
      <c r="D597" s="1" t="s">
        <v>3878</v>
      </c>
      <c r="E597" s="1" t="s">
        <v>4123</v>
      </c>
      <c r="F597" s="1" t="s">
        <v>112</v>
      </c>
      <c r="G597" s="1">
        <v>631852</v>
      </c>
    </row>
    <row r="598" spans="1:7" x14ac:dyDescent="0.25">
      <c r="A598" s="1" t="str">
        <f t="shared" si="9"/>
        <v>21</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4124</v>
      </c>
      <c r="D598" s="1" t="s">
        <v>187</v>
      </c>
      <c r="E598" s="1" t="s">
        <v>4125</v>
      </c>
      <c r="F598" s="1" t="s">
        <v>112</v>
      </c>
      <c r="G598" s="1">
        <v>248571</v>
      </c>
    </row>
    <row r="599" spans="1:7" x14ac:dyDescent="0.25">
      <c r="A599" s="1" t="str">
        <f t="shared" si="9"/>
        <v>21</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4126</v>
      </c>
      <c r="D599" s="1" t="s">
        <v>4127</v>
      </c>
      <c r="E599" s="1" t="s">
        <v>4128</v>
      </c>
      <c r="F599" s="1" t="s">
        <v>112</v>
      </c>
      <c r="G599" s="1">
        <v>817242</v>
      </c>
    </row>
    <row r="600" spans="1:7" x14ac:dyDescent="0.25">
      <c r="A600" s="1" t="str">
        <f t="shared" si="9"/>
        <v>21</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4129</v>
      </c>
      <c r="D600" s="1" t="s">
        <v>4130</v>
      </c>
      <c r="E600" s="1" t="s">
        <v>4131</v>
      </c>
      <c r="F600" s="1" t="s">
        <v>112</v>
      </c>
      <c r="G600" s="1">
        <v>1288796</v>
      </c>
    </row>
    <row r="601" spans="1:7" x14ac:dyDescent="0.25">
      <c r="A601" s="1" t="str">
        <f t="shared" si="9"/>
        <v>21</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4132</v>
      </c>
      <c r="D601" s="1" t="s">
        <v>4133</v>
      </c>
      <c r="E601" s="1" t="s">
        <v>4134</v>
      </c>
      <c r="F601" s="1" t="s">
        <v>112</v>
      </c>
      <c r="G601" s="1">
        <v>1173270</v>
      </c>
    </row>
    <row r="602" spans="1:7" x14ac:dyDescent="0.25">
      <c r="A602" s="1" t="str">
        <f t="shared" si="9"/>
        <v>21</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4135</v>
      </c>
      <c r="D602" s="1" t="s">
        <v>4136</v>
      </c>
      <c r="E602" s="1" t="s">
        <v>4137</v>
      </c>
      <c r="F602" s="1" t="s">
        <v>112</v>
      </c>
      <c r="G602" s="1">
        <v>3964154</v>
      </c>
    </row>
    <row r="603" spans="1:7" x14ac:dyDescent="0.25">
      <c r="A603" s="1" t="str">
        <f t="shared" si="9"/>
        <v>21</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4138</v>
      </c>
      <c r="D603" s="1" t="s">
        <v>4139</v>
      </c>
      <c r="E603" s="1" t="s">
        <v>4140</v>
      </c>
      <c r="F603" s="1" t="s">
        <v>112</v>
      </c>
      <c r="G603" s="1">
        <v>3847526</v>
      </c>
    </row>
    <row r="604" spans="1:7" x14ac:dyDescent="0.25">
      <c r="A604" s="1" t="str">
        <f t="shared" si="9"/>
        <v>21</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4141</v>
      </c>
      <c r="D604" s="1" t="s">
        <v>4142</v>
      </c>
      <c r="E604" s="1" t="s">
        <v>4143</v>
      </c>
      <c r="F604" s="1" t="s">
        <v>112</v>
      </c>
      <c r="G604" s="1">
        <v>3899351</v>
      </c>
    </row>
    <row r="605" spans="1:7" x14ac:dyDescent="0.25">
      <c r="A605" s="1" t="str">
        <f t="shared" si="9"/>
        <v>21</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4144</v>
      </c>
      <c r="D605" s="1" t="s">
        <v>2035</v>
      </c>
      <c r="E605" s="1" t="s">
        <v>4145</v>
      </c>
      <c r="F605" s="1" t="s">
        <v>112</v>
      </c>
      <c r="G605" s="1">
        <v>106895</v>
      </c>
    </row>
    <row r="606" spans="1:7" x14ac:dyDescent="0.25">
      <c r="A606" s="1" t="str">
        <f t="shared" si="9"/>
        <v>21</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4146</v>
      </c>
      <c r="D606" s="1" t="s">
        <v>4147</v>
      </c>
      <c r="E606" s="1" t="s">
        <v>4148</v>
      </c>
      <c r="F606" s="1" t="s">
        <v>112</v>
      </c>
      <c r="G606" s="1">
        <v>80528</v>
      </c>
    </row>
    <row r="607" spans="1:7" x14ac:dyDescent="0.25">
      <c r="A607" s="1" t="str">
        <f t="shared" si="9"/>
        <v>21</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4149</v>
      </c>
      <c r="D607" s="1" t="s">
        <v>1055</v>
      </c>
      <c r="E607" s="1" t="s">
        <v>4150</v>
      </c>
      <c r="F607" s="1" t="s">
        <v>112</v>
      </c>
      <c r="G607" s="1">
        <v>33634</v>
      </c>
    </row>
    <row r="608" spans="1:7" x14ac:dyDescent="0.25">
      <c r="A608" s="1" t="str">
        <f t="shared" si="9"/>
        <v>21</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4151</v>
      </c>
    </row>
    <row r="609" spans="1:10" x14ac:dyDescent="0.25">
      <c r="A609" s="1" t="str">
        <f t="shared" si="9"/>
        <v>21</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4152</v>
      </c>
      <c r="D609" s="1" t="s">
        <v>4153</v>
      </c>
      <c r="E609" s="1" t="s">
        <v>4154</v>
      </c>
      <c r="F609" s="1" t="s">
        <v>112</v>
      </c>
      <c r="G609" s="1">
        <v>1358660</v>
      </c>
    </row>
    <row r="610" spans="1:10" x14ac:dyDescent="0.25">
      <c r="A610" s="1" t="str">
        <f t="shared" si="9"/>
        <v>21</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4155</v>
      </c>
      <c r="D610" s="1" t="s">
        <v>4156</v>
      </c>
      <c r="E610" s="1" t="s">
        <v>4157</v>
      </c>
      <c r="F610" s="1" t="s">
        <v>112</v>
      </c>
      <c r="G610" s="1">
        <v>1018508</v>
      </c>
    </row>
    <row r="611" spans="1:10" x14ac:dyDescent="0.25">
      <c r="A611" s="1" t="str">
        <f t="shared" si="9"/>
        <v>21</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4158</v>
      </c>
      <c r="D611" s="1" t="s">
        <v>3446</v>
      </c>
      <c r="E611" s="1" t="s">
        <v>4159</v>
      </c>
      <c r="F611" s="1" t="s">
        <v>112</v>
      </c>
      <c r="G611" s="1">
        <v>127184</v>
      </c>
    </row>
    <row r="612" spans="1:10" x14ac:dyDescent="0.25">
      <c r="A612" s="1" t="str">
        <f t="shared" si="9"/>
        <v>21</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4160</v>
      </c>
      <c r="D612" s="1" t="s">
        <v>1121</v>
      </c>
      <c r="E612" s="1" t="s">
        <v>4161</v>
      </c>
      <c r="F612" s="1" t="s">
        <v>112</v>
      </c>
      <c r="G612" s="1">
        <v>15963</v>
      </c>
    </row>
    <row r="613" spans="1:10" x14ac:dyDescent="0.25">
      <c r="A613" s="1" t="str">
        <f t="shared" si="9"/>
        <v>21</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4162</v>
      </c>
      <c r="D613" s="1">
        <v>0</v>
      </c>
      <c r="E613" s="1">
        <v>0</v>
      </c>
      <c r="F613" s="1" t="s">
        <v>112</v>
      </c>
      <c r="G613" s="1">
        <v>0</v>
      </c>
    </row>
    <row r="614" spans="1:10" x14ac:dyDescent="0.25">
      <c r="A614" s="1" t="str">
        <f t="shared" si="9"/>
        <v>21</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4163</v>
      </c>
      <c r="D614" s="1" t="s">
        <v>4164</v>
      </c>
      <c r="E614" s="1" t="s">
        <v>4165</v>
      </c>
      <c r="F614" s="1" t="s">
        <v>112</v>
      </c>
      <c r="G614" s="1">
        <v>1588932</v>
      </c>
    </row>
    <row r="615" spans="1:10" x14ac:dyDescent="0.25">
      <c r="A615" s="1" t="str">
        <f t="shared" si="9"/>
        <v>21</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4166</v>
      </c>
      <c r="D615" s="1" t="s">
        <v>4167</v>
      </c>
      <c r="E615" s="1" t="s">
        <v>4168</v>
      </c>
      <c r="F615" s="1" t="s">
        <v>112</v>
      </c>
      <c r="G615" s="1">
        <v>1811071</v>
      </c>
    </row>
    <row r="616" spans="1:10" x14ac:dyDescent="0.25">
      <c r="A616" s="1" t="str">
        <f t="shared" si="9"/>
        <v>21</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4169</v>
      </c>
      <c r="D616" s="1" t="s">
        <v>4167</v>
      </c>
      <c r="E616" s="1" t="s">
        <v>4170</v>
      </c>
      <c r="F616" s="1" t="s">
        <v>112</v>
      </c>
      <c r="G616" s="1">
        <v>1761517</v>
      </c>
    </row>
    <row r="617" spans="1:10" x14ac:dyDescent="0.25">
      <c r="A617" s="1" t="str">
        <f t="shared" si="9"/>
        <v>21</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4171</v>
      </c>
      <c r="D617" s="1" t="s">
        <v>3079</v>
      </c>
      <c r="E617" s="1" t="s">
        <v>4172</v>
      </c>
      <c r="F617" s="1" t="s">
        <v>112</v>
      </c>
      <c r="G617" s="1">
        <v>2544411</v>
      </c>
    </row>
    <row r="618" spans="1:10" x14ac:dyDescent="0.25">
      <c r="A618" s="1" t="str">
        <f t="shared" si="9"/>
        <v>21</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4173</v>
      </c>
      <c r="D618" s="1" t="s">
        <v>2183</v>
      </c>
      <c r="E618" s="1" t="s">
        <v>4174</v>
      </c>
      <c r="F618" s="1" t="s">
        <v>112</v>
      </c>
      <c r="G618" s="1">
        <v>1940375</v>
      </c>
    </row>
    <row r="619" spans="1:10" x14ac:dyDescent="0.25">
      <c r="A619" s="1" t="str">
        <f t="shared" si="9"/>
        <v>21</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4175</v>
      </c>
      <c r="D619" s="1" t="s">
        <v>2626</v>
      </c>
      <c r="E619" s="1" t="s">
        <v>4176</v>
      </c>
      <c r="F619" s="1" t="s">
        <v>112</v>
      </c>
      <c r="G619" s="1">
        <v>2354349</v>
      </c>
    </row>
    <row r="620" spans="1:10"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10"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219</v>
      </c>
      <c r="D621" s="1" t="s">
        <v>112</v>
      </c>
      <c r="E621" s="1" t="s">
        <v>220</v>
      </c>
      <c r="F621" s="1" t="s">
        <v>221</v>
      </c>
      <c r="G621" s="1" t="s">
        <v>222</v>
      </c>
      <c r="H621" s="1" t="s">
        <v>223</v>
      </c>
      <c r="I621" s="1" t="s">
        <v>224</v>
      </c>
      <c r="J621" s="1" t="s">
        <v>225</v>
      </c>
    </row>
    <row r="622" spans="1:10" x14ac:dyDescent="0.25">
      <c r="A622" s="1" t="str">
        <f t="shared" si="9"/>
        <v>21</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4177</v>
      </c>
      <c r="D622" s="1" t="s">
        <v>112</v>
      </c>
      <c r="E622" s="1" t="s">
        <v>4178</v>
      </c>
      <c r="F622" s="1" t="s">
        <v>4179</v>
      </c>
      <c r="G622" s="1" t="s">
        <v>4180</v>
      </c>
      <c r="H622" s="1" t="s">
        <v>4181</v>
      </c>
      <c r="I622" s="1">
        <v>23</v>
      </c>
      <c r="J622" s="1">
        <v>24</v>
      </c>
    </row>
    <row r="623" spans="1:10"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10"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231</v>
      </c>
      <c r="D628" s="1" t="s">
        <v>110</v>
      </c>
      <c r="E628" s="1" t="s">
        <v>111</v>
      </c>
      <c r="F628" s="1" t="s">
        <v>112</v>
      </c>
      <c r="G628" s="1" t="s">
        <v>113</v>
      </c>
    </row>
    <row r="629" spans="1:7" x14ac:dyDescent="0.25">
      <c r="A629" s="1" t="str">
        <f t="shared" si="9"/>
        <v>8</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4182</v>
      </c>
      <c r="D629" s="1" t="s">
        <v>1514</v>
      </c>
      <c r="E629" s="1" t="s">
        <v>4183</v>
      </c>
      <c r="F629" s="1" t="s">
        <v>112</v>
      </c>
      <c r="G629" s="1">
        <v>189543</v>
      </c>
    </row>
    <row r="630" spans="1:7" x14ac:dyDescent="0.25">
      <c r="A630" s="1" t="str">
        <f t="shared" si="9"/>
        <v>8</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4184</v>
      </c>
      <c r="D630" s="1" t="s">
        <v>1045</v>
      </c>
      <c r="E630" s="1" t="s">
        <v>4185</v>
      </c>
      <c r="F630" s="1" t="s">
        <v>112</v>
      </c>
      <c r="G630" s="1">
        <v>82432</v>
      </c>
    </row>
    <row r="631" spans="1:7" x14ac:dyDescent="0.25">
      <c r="A631" s="1" t="str">
        <f t="shared" si="9"/>
        <v>8</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4186</v>
      </c>
      <c r="D631" s="1" t="s">
        <v>1982</v>
      </c>
      <c r="E631" s="1" t="s">
        <v>4187</v>
      </c>
      <c r="F631" s="1" t="s">
        <v>112</v>
      </c>
      <c r="G631" s="1">
        <v>104040</v>
      </c>
    </row>
    <row r="632" spans="1:7" x14ac:dyDescent="0.25">
      <c r="A632" s="1" t="str">
        <f t="shared" si="9"/>
        <v>8</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4188</v>
      </c>
      <c r="D632" s="1" t="s">
        <v>4189</v>
      </c>
      <c r="E632" s="1" t="s">
        <v>4190</v>
      </c>
      <c r="F632" s="1" t="s">
        <v>112</v>
      </c>
      <c r="G632" s="1">
        <v>393037</v>
      </c>
    </row>
    <row r="633" spans="1:7" x14ac:dyDescent="0.25">
      <c r="A633" s="1" t="str">
        <f t="shared" si="9"/>
        <v>8</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4191</v>
      </c>
      <c r="D633" s="1" t="s">
        <v>3826</v>
      </c>
      <c r="E633" s="1" t="s">
        <v>4192</v>
      </c>
      <c r="F633" s="1" t="s">
        <v>112</v>
      </c>
      <c r="G633" s="1">
        <v>382568</v>
      </c>
    </row>
    <row r="634" spans="1:7" x14ac:dyDescent="0.25">
      <c r="A634" s="1" t="str">
        <f t="shared" si="9"/>
        <v>8</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4193</v>
      </c>
      <c r="D634" s="1" t="s">
        <v>473</v>
      </c>
      <c r="E634" s="1" t="s">
        <v>4194</v>
      </c>
      <c r="F634" s="1" t="s">
        <v>112</v>
      </c>
      <c r="G634" s="1">
        <v>20808</v>
      </c>
    </row>
    <row r="635" spans="1:7" x14ac:dyDescent="0.25">
      <c r="A635" s="1" t="str">
        <f t="shared" si="9"/>
        <v>8</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4195</v>
      </c>
      <c r="D635" s="1" t="s">
        <v>1670</v>
      </c>
      <c r="E635" s="1" t="s">
        <v>4196</v>
      </c>
      <c r="F635" s="1" t="s">
        <v>112</v>
      </c>
      <c r="G635" s="1">
        <v>22538</v>
      </c>
    </row>
    <row r="636" spans="1:7" x14ac:dyDescent="0.25">
      <c r="A636" s="1" t="str">
        <f t="shared" si="9"/>
        <v>8</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4197</v>
      </c>
      <c r="D636" s="1" t="s">
        <v>1535</v>
      </c>
      <c r="E636" s="1" t="s">
        <v>4198</v>
      </c>
      <c r="F636" s="1" t="s">
        <v>112</v>
      </c>
      <c r="G636" s="1">
        <v>4586</v>
      </c>
    </row>
    <row r="637" spans="1:7" x14ac:dyDescent="0.25">
      <c r="A637" s="1" t="str">
        <f t="shared" si="9"/>
        <v>8</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4199</v>
      </c>
      <c r="D637" s="1" t="s">
        <v>1583</v>
      </c>
      <c r="E637" s="1" t="s">
        <v>4200</v>
      </c>
      <c r="F637" s="1" t="s">
        <v>112</v>
      </c>
      <c r="G637" s="1">
        <v>45747</v>
      </c>
    </row>
    <row r="638" spans="1:7" x14ac:dyDescent="0.25">
      <c r="A638" s="1" t="str">
        <f t="shared" si="9"/>
        <v>8</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4201</v>
      </c>
      <c r="D638" s="1" t="s">
        <v>3772</v>
      </c>
      <c r="E638" s="1" t="s">
        <v>4202</v>
      </c>
      <c r="F638" s="1" t="s">
        <v>112</v>
      </c>
      <c r="G638" s="1">
        <v>226876</v>
      </c>
    </row>
    <row r="639" spans="1:7" x14ac:dyDescent="0.25">
      <c r="A639" s="1" t="str">
        <f t="shared" si="9"/>
        <v>8</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4203</v>
      </c>
      <c r="D639" s="1" t="s">
        <v>4204</v>
      </c>
      <c r="E639" s="1" t="s">
        <v>4205</v>
      </c>
      <c r="F639" s="1" t="s">
        <v>112</v>
      </c>
      <c r="G639" s="1">
        <v>576199</v>
      </c>
    </row>
    <row r="640" spans="1:7" x14ac:dyDescent="0.25">
      <c r="A640" s="1" t="str">
        <f t="shared" si="9"/>
        <v>8</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4206</v>
      </c>
    </row>
    <row r="641" spans="1:10" x14ac:dyDescent="0.25">
      <c r="A641" s="1" t="str">
        <f t="shared" si="9"/>
        <v>8</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4207</v>
      </c>
      <c r="D641" s="1">
        <v>0</v>
      </c>
      <c r="E641" s="1">
        <v>0</v>
      </c>
      <c r="F641" s="1" t="s">
        <v>112</v>
      </c>
      <c r="G641" s="1">
        <v>0</v>
      </c>
    </row>
    <row r="642" spans="1:10" x14ac:dyDescent="0.25">
      <c r="A642" s="1" t="str">
        <f t="shared" ref="A642:A705" si="10">IFERROR(LEFT(RIGHT(C642,LEN(C642)-SEARCH("@",C642)),SEARCH("/",RIGHT(C642,LEN(C642)-SEARCH("@",C642)-1))),"")</f>
        <v>8</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4208</v>
      </c>
      <c r="D642" s="1" t="s">
        <v>597</v>
      </c>
      <c r="E642" s="1" t="s">
        <v>4209</v>
      </c>
      <c r="F642" s="1" t="s">
        <v>112</v>
      </c>
      <c r="G642" s="1">
        <v>243444</v>
      </c>
    </row>
    <row r="643" spans="1:10" x14ac:dyDescent="0.25">
      <c r="A643" s="1" t="str">
        <f t="shared" si="10"/>
        <v>8</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4210</v>
      </c>
      <c r="D643" s="1" t="s">
        <v>549</v>
      </c>
      <c r="E643" s="1" t="s">
        <v>4211</v>
      </c>
      <c r="F643" s="1" t="s">
        <v>112</v>
      </c>
      <c r="G643" s="1">
        <v>155930</v>
      </c>
    </row>
    <row r="644" spans="1:10" x14ac:dyDescent="0.25">
      <c r="A644" s="1" t="str">
        <f t="shared" si="10"/>
        <v>8</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4212</v>
      </c>
      <c r="D644" s="1" t="s">
        <v>4213</v>
      </c>
      <c r="E644" s="1" t="s">
        <v>4214</v>
      </c>
      <c r="F644" s="1" t="s">
        <v>112</v>
      </c>
      <c r="G644" s="1">
        <v>191316</v>
      </c>
    </row>
    <row r="645" spans="1:10" x14ac:dyDescent="0.25">
      <c r="A645" s="1" t="str">
        <f t="shared" si="10"/>
        <v>8</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4215</v>
      </c>
      <c r="D645" s="1" t="s">
        <v>2080</v>
      </c>
      <c r="E645" s="1" t="s">
        <v>4216</v>
      </c>
      <c r="F645" s="1" t="s">
        <v>112</v>
      </c>
      <c r="G645" s="1">
        <v>465194</v>
      </c>
    </row>
    <row r="646" spans="1:10" x14ac:dyDescent="0.25">
      <c r="A646" s="1" t="str">
        <f t="shared" si="10"/>
        <v>8</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4217</v>
      </c>
      <c r="D646" s="1" t="s">
        <v>3772</v>
      </c>
      <c r="E646" s="1" t="s">
        <v>4218</v>
      </c>
      <c r="F646" s="1" t="s">
        <v>112</v>
      </c>
      <c r="G646" s="1">
        <v>246581</v>
      </c>
    </row>
    <row r="647" spans="1:10" x14ac:dyDescent="0.25">
      <c r="A647" s="1" t="str">
        <f t="shared" si="10"/>
        <v>8</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4219</v>
      </c>
      <c r="D647" s="1" t="s">
        <v>4220</v>
      </c>
      <c r="E647" s="1" t="s">
        <v>4221</v>
      </c>
      <c r="F647" s="1" t="s">
        <v>112</v>
      </c>
      <c r="G647" s="1">
        <v>407161</v>
      </c>
    </row>
    <row r="648" spans="1:10" x14ac:dyDescent="0.25">
      <c r="A648" s="1" t="str">
        <f t="shared" si="10"/>
        <v>8</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4222</v>
      </c>
      <c r="D648" s="1" t="s">
        <v>4223</v>
      </c>
      <c r="E648" s="1" t="s">
        <v>4224</v>
      </c>
      <c r="F648" s="1" t="s">
        <v>112</v>
      </c>
      <c r="G648" s="1">
        <v>347874</v>
      </c>
    </row>
    <row r="649" spans="1:10" x14ac:dyDescent="0.25">
      <c r="A649" s="1" t="str">
        <f t="shared" si="10"/>
        <v>8</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4225</v>
      </c>
      <c r="D649" s="1" t="s">
        <v>4226</v>
      </c>
      <c r="E649" s="1" t="s">
        <v>4227</v>
      </c>
      <c r="F649" s="1" t="s">
        <v>112</v>
      </c>
      <c r="G649" s="1">
        <v>523335</v>
      </c>
    </row>
    <row r="650" spans="1:10" x14ac:dyDescent="0.25">
      <c r="A650" s="1" t="str">
        <f t="shared" si="10"/>
        <v>8</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4228</v>
      </c>
      <c r="D650" s="1" t="s">
        <v>4229</v>
      </c>
      <c r="E650" s="1" t="s">
        <v>4230</v>
      </c>
      <c r="F650" s="1" t="s">
        <v>112</v>
      </c>
      <c r="G650" s="1">
        <v>53815</v>
      </c>
    </row>
    <row r="651" spans="1:10" x14ac:dyDescent="0.25">
      <c r="A651" s="1" t="str">
        <f t="shared" si="10"/>
        <v>8</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4231</v>
      </c>
      <c r="D651" s="1" t="s">
        <v>1576</v>
      </c>
      <c r="E651" s="1" t="s">
        <v>4232</v>
      </c>
      <c r="F651" s="1" t="s">
        <v>112</v>
      </c>
      <c r="G651" s="1">
        <v>11139</v>
      </c>
    </row>
    <row r="652" spans="1:10" x14ac:dyDescent="0.25">
      <c r="A652" s="1" t="str">
        <f t="shared" si="10"/>
        <v>8</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4233</v>
      </c>
      <c r="D652" s="1" t="s">
        <v>4234</v>
      </c>
      <c r="E652" s="1" t="s">
        <v>4235</v>
      </c>
      <c r="F652" s="1" t="s">
        <v>112</v>
      </c>
      <c r="G652" s="1">
        <v>43606</v>
      </c>
    </row>
    <row r="653" spans="1:10"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10"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219</v>
      </c>
      <c r="D654" s="1" t="s">
        <v>112</v>
      </c>
      <c r="E654" s="1" t="s">
        <v>220</v>
      </c>
      <c r="F654" s="1" t="s">
        <v>221</v>
      </c>
      <c r="G654" s="1" t="s">
        <v>222</v>
      </c>
      <c r="H654" s="1" t="s">
        <v>223</v>
      </c>
      <c r="I654" s="1" t="s">
        <v>224</v>
      </c>
      <c r="J654" s="1" t="s">
        <v>225</v>
      </c>
    </row>
    <row r="655" spans="1:10" x14ac:dyDescent="0.25">
      <c r="A655" s="1" t="str">
        <f t="shared" si="10"/>
        <v>8</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4236</v>
      </c>
      <c r="D655" s="1" t="s">
        <v>112</v>
      </c>
      <c r="E655" s="1" t="s">
        <v>4237</v>
      </c>
      <c r="F655" s="1" t="s">
        <v>4238</v>
      </c>
      <c r="G655" s="1" t="s">
        <v>4239</v>
      </c>
      <c r="H655" s="1" t="s">
        <v>4240</v>
      </c>
      <c r="I655" s="1">
        <v>23</v>
      </c>
      <c r="J655" s="1">
        <v>24</v>
      </c>
    </row>
    <row r="656" spans="1:10"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231</v>
      </c>
      <c r="D661" s="1" t="s">
        <v>110</v>
      </c>
      <c r="E661" s="1" t="s">
        <v>111</v>
      </c>
      <c r="F661" s="1" t="s">
        <v>112</v>
      </c>
      <c r="G661" s="1" t="s">
        <v>113</v>
      </c>
    </row>
    <row r="662" spans="1:7" x14ac:dyDescent="0.25">
      <c r="A662" s="1" t="str">
        <f t="shared" si="10"/>
        <v>9</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4241</v>
      </c>
      <c r="D662" s="1" t="s">
        <v>2971</v>
      </c>
      <c r="E662" s="1" t="s">
        <v>4242</v>
      </c>
      <c r="F662" s="1" t="s">
        <v>112</v>
      </c>
      <c r="G662" s="1">
        <v>266935</v>
      </c>
    </row>
    <row r="663" spans="1:7" x14ac:dyDescent="0.25">
      <c r="A663" s="1" t="str">
        <f t="shared" si="10"/>
        <v>9</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4243</v>
      </c>
      <c r="D663" s="1" t="s">
        <v>172</v>
      </c>
      <c r="E663" s="1" t="s">
        <v>4244</v>
      </c>
      <c r="F663" s="1" t="s">
        <v>112</v>
      </c>
      <c r="G663" s="1">
        <v>291528</v>
      </c>
    </row>
    <row r="664" spans="1:7" x14ac:dyDescent="0.25">
      <c r="A664" s="1" t="str">
        <f t="shared" si="10"/>
        <v>9</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4245</v>
      </c>
    </row>
    <row r="665" spans="1:7" x14ac:dyDescent="0.25">
      <c r="A665" s="1" t="str">
        <f t="shared" si="10"/>
        <v>9</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4246</v>
      </c>
      <c r="D665" s="1" t="s">
        <v>4247</v>
      </c>
      <c r="E665" s="1" t="s">
        <v>4248</v>
      </c>
      <c r="F665" s="1" t="s">
        <v>112</v>
      </c>
      <c r="G665" s="1">
        <v>126621</v>
      </c>
    </row>
    <row r="666" spans="1:7" x14ac:dyDescent="0.25">
      <c r="A666" s="1" t="str">
        <f t="shared" si="10"/>
        <v>9</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4249</v>
      </c>
    </row>
    <row r="667" spans="1:7" x14ac:dyDescent="0.25">
      <c r="A667" s="1" t="str">
        <f t="shared" si="10"/>
        <v>9</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4250</v>
      </c>
    </row>
    <row r="668" spans="1:7" x14ac:dyDescent="0.25">
      <c r="A668" s="1" t="str">
        <f t="shared" si="10"/>
        <v>9</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4251</v>
      </c>
      <c r="D668" s="1" t="s">
        <v>4252</v>
      </c>
      <c r="E668" s="1" t="s">
        <v>4253</v>
      </c>
      <c r="F668" s="1" t="s">
        <v>112</v>
      </c>
      <c r="G668" s="1">
        <v>304830</v>
      </c>
    </row>
    <row r="669" spans="1:7" x14ac:dyDescent="0.25">
      <c r="A669" s="1" t="str">
        <f t="shared" si="10"/>
        <v>9</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4254</v>
      </c>
      <c r="D669" s="1" t="s">
        <v>4255</v>
      </c>
      <c r="E669" s="1" t="s">
        <v>4256</v>
      </c>
      <c r="F669" s="1" t="s">
        <v>112</v>
      </c>
      <c r="G669" s="1">
        <v>333338</v>
      </c>
    </row>
    <row r="670" spans="1:7" x14ac:dyDescent="0.25">
      <c r="A670" s="1" t="str">
        <f t="shared" si="10"/>
        <v>9</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4257</v>
      </c>
      <c r="D670" s="1" t="s">
        <v>4258</v>
      </c>
      <c r="E670" s="1" t="s">
        <v>4259</v>
      </c>
      <c r="F670" s="1" t="s">
        <v>112</v>
      </c>
      <c r="G670" s="1">
        <v>312292</v>
      </c>
    </row>
    <row r="671" spans="1:7" x14ac:dyDescent="0.25">
      <c r="A671" s="1" t="str">
        <f t="shared" si="10"/>
        <v>9</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4260</v>
      </c>
      <c r="D671" s="1" t="s">
        <v>1030</v>
      </c>
      <c r="E671" s="1" t="s">
        <v>1965</v>
      </c>
      <c r="F671" s="1" t="s">
        <v>112</v>
      </c>
      <c r="G671" s="1">
        <v>2639</v>
      </c>
    </row>
    <row r="672" spans="1:7" x14ac:dyDescent="0.25">
      <c r="A672" s="1" t="str">
        <f t="shared" si="10"/>
        <v>9</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4261</v>
      </c>
      <c r="D672" s="1" t="s">
        <v>4262</v>
      </c>
      <c r="E672" s="1" t="s">
        <v>4263</v>
      </c>
      <c r="F672" s="1" t="s">
        <v>112</v>
      </c>
      <c r="G672" s="1">
        <v>513623</v>
      </c>
    </row>
    <row r="673" spans="1:10" x14ac:dyDescent="0.25">
      <c r="A673" s="1" t="str">
        <f t="shared" si="10"/>
        <v>9</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4264</v>
      </c>
      <c r="D673" s="1" t="s">
        <v>4265</v>
      </c>
      <c r="E673" s="1" t="s">
        <v>4266</v>
      </c>
      <c r="F673" s="1" t="s">
        <v>112</v>
      </c>
      <c r="G673" s="1">
        <v>363144</v>
      </c>
    </row>
    <row r="674" spans="1:10" x14ac:dyDescent="0.25">
      <c r="A674" s="1" t="str">
        <f t="shared" si="10"/>
        <v>9</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4267</v>
      </c>
      <c r="D674" s="1" t="s">
        <v>1680</v>
      </c>
      <c r="E674" s="1" t="s">
        <v>4268</v>
      </c>
      <c r="F674" s="1" t="s">
        <v>112</v>
      </c>
      <c r="G674" s="1">
        <v>261354</v>
      </c>
    </row>
    <row r="675" spans="1:10" x14ac:dyDescent="0.25">
      <c r="A675" s="1" t="str">
        <f t="shared" si="10"/>
        <v>9</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4269</v>
      </c>
      <c r="D675" s="1" t="s">
        <v>3941</v>
      </c>
      <c r="E675" s="1" t="s">
        <v>4270</v>
      </c>
      <c r="F675" s="1" t="s">
        <v>112</v>
      </c>
      <c r="G675" s="1">
        <v>168043</v>
      </c>
    </row>
    <row r="676" spans="1:10" x14ac:dyDescent="0.25">
      <c r="A676" s="1" t="str">
        <f t="shared" si="10"/>
        <v>9</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4271</v>
      </c>
      <c r="D676" s="1" t="s">
        <v>3399</v>
      </c>
      <c r="E676" s="1" t="s">
        <v>4272</v>
      </c>
      <c r="F676" s="1" t="s">
        <v>112</v>
      </c>
      <c r="G676" s="1">
        <v>279891</v>
      </c>
    </row>
    <row r="677" spans="1:10" x14ac:dyDescent="0.25">
      <c r="A677" s="1" t="str">
        <f t="shared" si="10"/>
        <v>9</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4273</v>
      </c>
      <c r="D677" s="1">
        <v>0</v>
      </c>
      <c r="E677" s="1">
        <v>0</v>
      </c>
      <c r="F677" s="1" t="s">
        <v>112</v>
      </c>
      <c r="G677" s="1">
        <v>0</v>
      </c>
    </row>
    <row r="678" spans="1:10" x14ac:dyDescent="0.25">
      <c r="A678" s="1" t="str">
        <f t="shared" si="10"/>
        <v>9</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4274</v>
      </c>
      <c r="D678" s="1">
        <v>0</v>
      </c>
      <c r="E678" s="1">
        <v>0</v>
      </c>
      <c r="F678" s="1" t="s">
        <v>112</v>
      </c>
      <c r="G678" s="1">
        <v>0</v>
      </c>
    </row>
    <row r="679" spans="1:10" x14ac:dyDescent="0.25">
      <c r="A679" s="1" t="str">
        <f t="shared" si="10"/>
        <v>9</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4275</v>
      </c>
      <c r="D679" s="1">
        <v>0</v>
      </c>
      <c r="E679" s="1">
        <v>0</v>
      </c>
      <c r="F679" s="1" t="s">
        <v>112</v>
      </c>
      <c r="G679" s="1">
        <v>0</v>
      </c>
    </row>
    <row r="680" spans="1:10" x14ac:dyDescent="0.25">
      <c r="A680" s="1" t="str">
        <f t="shared" si="10"/>
        <v>9</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4276</v>
      </c>
      <c r="D680" s="1" t="s">
        <v>3728</v>
      </c>
      <c r="E680" s="1" t="s">
        <v>4277</v>
      </c>
      <c r="F680" s="1" t="s">
        <v>112</v>
      </c>
      <c r="G680" s="1">
        <v>125864</v>
      </c>
    </row>
    <row r="681" spans="1:10" x14ac:dyDescent="0.25">
      <c r="A681" s="1" t="str">
        <f t="shared" si="10"/>
        <v>9</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4278</v>
      </c>
      <c r="D681" s="1" t="s">
        <v>4279</v>
      </c>
      <c r="E681" s="1" t="s">
        <v>4280</v>
      </c>
      <c r="F681" s="1" t="s">
        <v>112</v>
      </c>
      <c r="G681" s="1">
        <v>233689</v>
      </c>
    </row>
    <row r="682" spans="1:10" x14ac:dyDescent="0.25">
      <c r="A682" s="1" t="str">
        <f t="shared" si="10"/>
        <v>9</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4281</v>
      </c>
      <c r="D682" s="1" t="s">
        <v>543</v>
      </c>
      <c r="E682" s="1" t="s">
        <v>4282</v>
      </c>
      <c r="F682" s="1" t="s">
        <v>112</v>
      </c>
      <c r="G682" s="1">
        <v>156254</v>
      </c>
    </row>
    <row r="683" spans="1:10" x14ac:dyDescent="0.25">
      <c r="A683" s="1" t="str">
        <f t="shared" si="10"/>
        <v>9</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4283</v>
      </c>
      <c r="D683" s="1">
        <v>0</v>
      </c>
      <c r="E683" s="1">
        <v>0</v>
      </c>
      <c r="F683" s="1" t="s">
        <v>112</v>
      </c>
      <c r="G683" s="1">
        <v>0</v>
      </c>
    </row>
    <row r="684" spans="1:10" x14ac:dyDescent="0.25">
      <c r="A684" s="1" t="str">
        <f t="shared" si="10"/>
        <v>9</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4284</v>
      </c>
      <c r="D684" s="1" t="s">
        <v>4285</v>
      </c>
      <c r="E684" s="1" t="s">
        <v>4286</v>
      </c>
      <c r="F684" s="1" t="s">
        <v>112</v>
      </c>
      <c r="G684" s="1">
        <v>21305</v>
      </c>
    </row>
    <row r="685" spans="1:10" x14ac:dyDescent="0.25">
      <c r="A685" s="1" t="str">
        <f t="shared" si="10"/>
        <v>9</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4287</v>
      </c>
      <c r="D685" s="1" t="s">
        <v>1982</v>
      </c>
      <c r="E685" s="1" t="s">
        <v>4288</v>
      </c>
      <c r="F685" s="1" t="s">
        <v>112</v>
      </c>
      <c r="G685" s="1">
        <v>105294</v>
      </c>
    </row>
    <row r="686" spans="1:10"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10"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219</v>
      </c>
      <c r="D687" s="1" t="s">
        <v>112</v>
      </c>
      <c r="E687" s="1" t="s">
        <v>220</v>
      </c>
      <c r="F687" s="1" t="s">
        <v>221</v>
      </c>
      <c r="G687" s="1" t="s">
        <v>222</v>
      </c>
      <c r="H687" s="1" t="s">
        <v>223</v>
      </c>
      <c r="I687" s="1" t="s">
        <v>224</v>
      </c>
      <c r="J687" s="1" t="s">
        <v>225</v>
      </c>
    </row>
    <row r="688" spans="1:10" x14ac:dyDescent="0.25">
      <c r="A688" s="1" t="str">
        <f t="shared" si="10"/>
        <v>9</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4289</v>
      </c>
      <c r="D688" s="1" t="s">
        <v>112</v>
      </c>
      <c r="E688" s="1" t="s">
        <v>4290</v>
      </c>
      <c r="F688" s="1" t="s">
        <v>4291</v>
      </c>
      <c r="G688" s="1" t="s">
        <v>4292</v>
      </c>
      <c r="H688" s="1" t="s">
        <v>4293</v>
      </c>
      <c r="I688" s="1">
        <v>20</v>
      </c>
      <c r="J688" s="1">
        <v>24</v>
      </c>
    </row>
    <row r="689" spans="1:2"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0" spans="1:2"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1" spans="1:2"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2" spans="1:2"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3" spans="1:2"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4" spans="1:2"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5" spans="1:2"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6" spans="1:2"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7" spans="1:2"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2"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2"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2"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2"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2"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2"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2"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1" priority="1" operator="containsText" text="ERREUR">
      <formula>NOT(ISERROR(SEARCH("ERREUR",A1)))</formula>
    </cfRule>
    <cfRule type="containsText" dxfId="0"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74"/>
  <sheetViews>
    <sheetView showGridLines="0" tabSelected="1" topLeftCell="E1" zoomScale="70" zoomScaleNormal="70" zoomScaleSheetLayoutView="40" zoomScalePageLayoutView="30" workbookViewId="0">
      <selection activeCell="Q20" sqref="Q20"/>
    </sheetView>
  </sheetViews>
  <sheetFormatPr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36" width="25.85546875" style="1" customWidth="1"/>
    <col min="37" max="37" width="25.85546875" style="1" bestFit="1" customWidth="1"/>
    <col min="38" max="16384" width="9.140625" style="1"/>
  </cols>
  <sheetData>
    <row r="1" spans="1:37" ht="27" thickBot="1" x14ac:dyDescent="0.45">
      <c r="A1" s="218" t="s">
        <v>43</v>
      </c>
      <c r="B1" s="219"/>
      <c r="C1" s="219"/>
      <c r="D1" s="219"/>
      <c r="E1" s="219"/>
      <c r="F1" s="219"/>
      <c r="G1" s="219"/>
      <c r="H1" s="219"/>
      <c r="I1" s="219"/>
      <c r="J1" s="219"/>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c r="AJ1" s="219"/>
      <c r="AK1" s="220"/>
    </row>
    <row r="2" spans="1:37" ht="15.75" thickBot="1" x14ac:dyDescent="0.3"/>
    <row r="3" spans="1:37" ht="15.75" thickBot="1" x14ac:dyDescent="0.3">
      <c r="A3" s="155" t="s">
        <v>22</v>
      </c>
      <c r="B3" s="228" t="s">
        <v>6</v>
      </c>
      <c r="C3" s="229"/>
      <c r="D3" s="229"/>
      <c r="E3" s="229"/>
      <c r="F3" s="229"/>
      <c r="G3" s="229"/>
      <c r="H3" s="229"/>
      <c r="I3" s="229"/>
      <c r="J3" s="229"/>
      <c r="K3" s="229"/>
      <c r="L3" s="229"/>
      <c r="M3" s="229"/>
      <c r="O3" s="228" t="s">
        <v>3</v>
      </c>
      <c r="P3" s="229"/>
      <c r="Q3" s="229"/>
      <c r="R3" s="229"/>
      <c r="S3" s="229"/>
      <c r="T3" s="229"/>
      <c r="U3" s="229"/>
      <c r="V3" s="229"/>
      <c r="W3" s="229"/>
      <c r="X3" s="229"/>
      <c r="Y3" s="229"/>
      <c r="Z3" s="229"/>
      <c r="AA3" s="229"/>
      <c r="AB3" s="229"/>
      <c r="AC3" s="229"/>
      <c r="AD3" s="229"/>
      <c r="AE3" s="229"/>
      <c r="AF3" s="229"/>
      <c r="AG3" s="229"/>
      <c r="AH3" s="229"/>
      <c r="AI3" s="229"/>
      <c r="AJ3" s="229"/>
      <c r="AK3" s="230"/>
    </row>
    <row r="4" spans="1:37" x14ac:dyDescent="0.25">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DUS-10µg/L</v>
      </c>
      <c r="J4" s="35" t="str">
        <f>'Page de garde'!A16</f>
        <v>DUS-100µg/L</v>
      </c>
      <c r="K4" s="35" t="str">
        <f>'Page de garde'!A17</f>
        <v>DUS-250µg/L</v>
      </c>
      <c r="L4" s="35" t="str">
        <f>'Page de garde'!A18</f>
        <v>DUS-500µg/L</v>
      </c>
      <c r="M4" s="35" t="str">
        <f>'Page de garde'!A19</f>
        <v>DUS-1000µg/L</v>
      </c>
      <c r="N4" s="3"/>
      <c r="O4" s="36" t="str">
        <f>'Page de garde'!A36</f>
        <v>Testo -30µg/L</v>
      </c>
      <c r="P4" s="36" t="str">
        <f>'Page de garde'!A37</f>
        <v>Testo 30µg/L + EE2 -64ng/L</v>
      </c>
      <c r="Q4" s="36" t="str">
        <f>'Page de garde'!A38</f>
        <v>Testo 30µg/L + FAD-10mg/L</v>
      </c>
      <c r="R4" s="36" t="str">
        <f>'Page de garde'!A39</f>
        <v>DUS-10µg/L + Testostérone</v>
      </c>
      <c r="S4" s="36" t="str">
        <f>'Page de garde'!A40</f>
        <v>DUS-100µg/L + Testostérone</v>
      </c>
      <c r="T4" s="36" t="str">
        <f>'Page de garde'!A41</f>
        <v>DUS-250µg/L + Testostérone</v>
      </c>
      <c r="U4" s="36" t="str">
        <f>'Page de garde'!A42</f>
        <v>DUS-500µg/L + Testostérone</v>
      </c>
      <c r="V4" s="36" t="str">
        <f>'Page de garde'!A43</f>
        <v>DUS-1000µg/L + Testostérone</v>
      </c>
      <c r="W4" s="36" t="str">
        <f>'Page de garde'!A44</f>
        <v>0-00 + Testostérone</v>
      </c>
      <c r="X4" s="36" t="str">
        <f>'Page de garde'!A45</f>
        <v>0-00 + Testostérone</v>
      </c>
      <c r="Y4" s="36" t="str">
        <f>'Page de garde'!A46</f>
        <v>0-00 + Testostérone</v>
      </c>
      <c r="Z4" s="36" t="str">
        <f>'Page de garde'!A47</f>
        <v>0-00 + Testostérone</v>
      </c>
      <c r="AA4" s="36" t="str">
        <f>'Page de garde'!A48</f>
        <v>0-00 + Testostérone</v>
      </c>
      <c r="AB4" s="36" t="str">
        <f>'Page de garde'!A49</f>
        <v>0-00 + Testostérone</v>
      </c>
      <c r="AC4" s="36" t="str">
        <f>'Page de garde'!A50</f>
        <v>0-00 + Testostérone</v>
      </c>
      <c r="AD4" s="36" t="str">
        <f>'Page de garde'!A51</f>
        <v>0-00 + Testostérone</v>
      </c>
      <c r="AE4" s="36" t="str">
        <f>'Page de garde'!A52</f>
        <v>0-00 + Testostérone</v>
      </c>
      <c r="AF4" s="36" t="str">
        <f>'Page de garde'!A53</f>
        <v>0-00 + Testostérone</v>
      </c>
      <c r="AG4" s="36" t="str">
        <f>'Page de garde'!A54</f>
        <v>0-00 + Testostérone</v>
      </c>
      <c r="AH4" s="36" t="str">
        <f>'Page de garde'!A55</f>
        <v>0-00 + Testostérone</v>
      </c>
      <c r="AI4" s="36" t="str">
        <f>'Page de garde'!A56</f>
        <v>0-00 + Testostérone</v>
      </c>
      <c r="AJ4" s="36" t="str">
        <f>'Page de garde'!A57</f>
        <v>0-00 + Testostérone</v>
      </c>
      <c r="AK4" s="36" t="str">
        <f>'Page de garde'!A58</f>
        <v>0-00 + Testostérone</v>
      </c>
    </row>
    <row r="5" spans="1:37" x14ac:dyDescent="0.25">
      <c r="A5" s="231" t="s">
        <v>33</v>
      </c>
      <c r="B5" s="198">
        <v>202117</v>
      </c>
      <c r="C5" s="198">
        <v>465994.5</v>
      </c>
      <c r="D5" s="198">
        <v>3439</v>
      </c>
      <c r="E5" s="198">
        <v>514784</v>
      </c>
      <c r="F5" s="198">
        <v>2150602.6666666665</v>
      </c>
      <c r="G5" s="198"/>
      <c r="H5" s="198">
        <v>3438504.3333333335</v>
      </c>
      <c r="I5" s="198">
        <v>125338.33333333333</v>
      </c>
      <c r="J5" s="198">
        <v>279231.5</v>
      </c>
      <c r="K5" s="198">
        <v>301275.66666666669</v>
      </c>
      <c r="L5" s="198">
        <v>48912</v>
      </c>
      <c r="M5" s="198">
        <v>296740.66666666669</v>
      </c>
      <c r="N5" s="3"/>
      <c r="O5" s="198">
        <v>524525</v>
      </c>
      <c r="P5" s="198">
        <v>3242126.6666666665</v>
      </c>
      <c r="Q5" s="198">
        <v>15789.666666666666</v>
      </c>
      <c r="R5" s="198">
        <v>649790.66666666663</v>
      </c>
      <c r="S5" s="198">
        <v>700924</v>
      </c>
      <c r="T5" s="198">
        <v>1198786.6666666667</v>
      </c>
      <c r="U5" s="198">
        <v>1562320</v>
      </c>
      <c r="V5" s="198">
        <v>415575</v>
      </c>
      <c r="W5" s="32"/>
      <c r="X5" s="32"/>
      <c r="Y5" s="32"/>
      <c r="Z5" s="32"/>
      <c r="AA5" s="32"/>
      <c r="AB5" s="32"/>
      <c r="AC5" s="32"/>
      <c r="AD5" s="32"/>
      <c r="AE5" s="32"/>
      <c r="AF5" s="32"/>
      <c r="AG5" s="32"/>
      <c r="AH5" s="32"/>
      <c r="AI5" s="32"/>
      <c r="AJ5" s="32"/>
      <c r="AK5" s="32"/>
    </row>
    <row r="6" spans="1:37" x14ac:dyDescent="0.25">
      <c r="A6" s="231"/>
      <c r="B6" s="198">
        <v>25512.5</v>
      </c>
      <c r="C6" s="198">
        <v>229623</v>
      </c>
      <c r="D6" s="198">
        <v>36933</v>
      </c>
      <c r="E6" s="198">
        <v>202917.66666666666</v>
      </c>
      <c r="F6" s="198">
        <v>423131.33333333331</v>
      </c>
      <c r="G6" s="198">
        <v>2129787.3333333335</v>
      </c>
      <c r="H6" s="198">
        <v>3492795.3333333335</v>
      </c>
      <c r="I6" s="198">
        <v>265471</v>
      </c>
      <c r="J6" s="198">
        <v>126621</v>
      </c>
      <c r="K6" s="198">
        <v>84191</v>
      </c>
      <c r="L6" s="198">
        <v>123167.66666666667</v>
      </c>
      <c r="M6" s="198">
        <v>1572</v>
      </c>
      <c r="N6" s="3"/>
      <c r="O6" s="198">
        <v>3299395.3333333335</v>
      </c>
      <c r="P6" s="198">
        <v>3166840</v>
      </c>
      <c r="Q6" s="198">
        <v>92568.666666666672</v>
      </c>
      <c r="R6" s="198"/>
      <c r="S6" s="198">
        <v>1760205</v>
      </c>
      <c r="T6" s="198">
        <v>2407508</v>
      </c>
      <c r="U6" s="198">
        <v>3672056.6666666665</v>
      </c>
      <c r="V6" s="198">
        <v>1093102.6666666667</v>
      </c>
      <c r="W6" s="32"/>
      <c r="X6" s="32"/>
      <c r="Y6" s="32"/>
      <c r="Z6" s="32"/>
      <c r="AA6" s="32"/>
      <c r="AB6" s="32"/>
      <c r="AC6" s="32"/>
      <c r="AD6" s="32"/>
      <c r="AE6" s="32"/>
      <c r="AF6" s="32"/>
      <c r="AG6" s="32"/>
      <c r="AH6" s="32"/>
      <c r="AI6" s="32"/>
      <c r="AJ6" s="32"/>
      <c r="AK6" s="32"/>
    </row>
    <row r="7" spans="1:37" x14ac:dyDescent="0.25">
      <c r="A7" s="231"/>
      <c r="B7" s="198">
        <v>325443.33333333331</v>
      </c>
      <c r="C7" s="198">
        <v>45596</v>
      </c>
      <c r="D7" s="198">
        <v>75452.333333333328</v>
      </c>
      <c r="E7" s="198">
        <v>258592.66666666666</v>
      </c>
      <c r="F7" s="198">
        <v>1446549.3333333333</v>
      </c>
      <c r="G7" s="198">
        <v>2603583</v>
      </c>
      <c r="H7" s="198"/>
      <c r="I7" s="198">
        <v>24290.333333333332</v>
      </c>
      <c r="J7" s="198">
        <v>316820</v>
      </c>
      <c r="K7" s="198">
        <v>144163.33333333334</v>
      </c>
      <c r="L7" s="198">
        <v>181741.66666666666</v>
      </c>
      <c r="M7" s="198">
        <v>14719</v>
      </c>
      <c r="N7" s="3"/>
      <c r="O7" s="198">
        <v>2875939.6666666665</v>
      </c>
      <c r="P7" s="198">
        <v>3025459.6666666665</v>
      </c>
      <c r="Q7" s="198">
        <v>145688</v>
      </c>
      <c r="R7" s="198">
        <v>1394731.6666666667</v>
      </c>
      <c r="S7" s="198">
        <v>1547345</v>
      </c>
      <c r="T7" s="198">
        <v>2747213</v>
      </c>
      <c r="U7" s="198">
        <v>873934</v>
      </c>
      <c r="V7" s="198">
        <v>3903677</v>
      </c>
      <c r="W7" s="32"/>
      <c r="X7" s="32"/>
      <c r="Y7" s="32"/>
      <c r="Z7" s="32"/>
      <c r="AA7" s="32"/>
      <c r="AB7" s="32"/>
      <c r="AC7" s="32"/>
      <c r="AD7" s="32"/>
      <c r="AE7" s="32"/>
      <c r="AF7" s="32"/>
      <c r="AG7" s="32"/>
      <c r="AH7" s="32"/>
      <c r="AI7" s="32"/>
      <c r="AJ7" s="32"/>
      <c r="AK7" s="32"/>
    </row>
    <row r="8" spans="1:37" x14ac:dyDescent="0.25">
      <c r="A8" s="231"/>
      <c r="B8" s="198">
        <v>247457</v>
      </c>
      <c r="C8" s="198">
        <v>348025</v>
      </c>
      <c r="D8" s="198">
        <v>394010</v>
      </c>
      <c r="E8" s="198">
        <v>203306.66666666666</v>
      </c>
      <c r="F8" s="198">
        <v>3231455.6666666665</v>
      </c>
      <c r="G8" s="198">
        <v>1676014</v>
      </c>
      <c r="H8" s="198">
        <v>5294731.333333333</v>
      </c>
      <c r="I8" s="198">
        <v>401537.5</v>
      </c>
      <c r="J8" s="198">
        <v>293135.33333333331</v>
      </c>
      <c r="K8" s="198">
        <v>69871.666666666672</v>
      </c>
      <c r="L8" s="198">
        <v>65264.666666666664</v>
      </c>
      <c r="M8" s="198">
        <v>385736.5</v>
      </c>
      <c r="N8" s="3"/>
      <c r="O8" s="198">
        <v>1160458.3333333333</v>
      </c>
      <c r="P8" s="198">
        <v>2778958.3333333335</v>
      </c>
      <c r="Q8" s="198">
        <v>59237</v>
      </c>
      <c r="R8" s="198">
        <v>1418293.6666666667</v>
      </c>
      <c r="S8" s="198">
        <v>1722215.3333333333</v>
      </c>
      <c r="T8" s="198">
        <v>1935169</v>
      </c>
      <c r="U8" s="198">
        <v>3084214</v>
      </c>
      <c r="V8" s="198">
        <v>73685.666666666672</v>
      </c>
      <c r="W8" s="32"/>
      <c r="X8" s="32"/>
      <c r="Y8" s="32"/>
      <c r="Z8" s="32"/>
      <c r="AA8" s="32"/>
      <c r="AB8" s="32"/>
      <c r="AC8" s="32"/>
      <c r="AD8" s="32"/>
      <c r="AE8" s="32"/>
      <c r="AF8" s="32"/>
      <c r="AG8" s="32"/>
      <c r="AH8" s="32"/>
      <c r="AI8" s="32"/>
      <c r="AJ8" s="32"/>
      <c r="AK8" s="32"/>
    </row>
    <row r="9" spans="1:37" x14ac:dyDescent="0.25">
      <c r="A9" s="231"/>
      <c r="B9" s="198">
        <v>212326.33333333334</v>
      </c>
      <c r="C9" s="198"/>
      <c r="D9" s="198">
        <v>146009</v>
      </c>
      <c r="E9" s="198">
        <v>172556</v>
      </c>
      <c r="F9" s="198">
        <v>1304152.6666666667</v>
      </c>
      <c r="G9" s="198">
        <v>2607534.6666666665</v>
      </c>
      <c r="H9" s="198">
        <v>3681322</v>
      </c>
      <c r="I9" s="198">
        <v>133124.66666666666</v>
      </c>
      <c r="J9" s="198">
        <v>236429.33333333334</v>
      </c>
      <c r="K9" s="198">
        <v>117724</v>
      </c>
      <c r="L9" s="198">
        <v>229608.33333333334</v>
      </c>
      <c r="M9" s="198">
        <v>271747.5</v>
      </c>
      <c r="N9" s="3"/>
      <c r="O9" s="198">
        <v>2282913</v>
      </c>
      <c r="P9" s="198">
        <v>3404422.6666666665</v>
      </c>
      <c r="Q9" s="198">
        <v>71876</v>
      </c>
      <c r="R9" s="198">
        <v>954852</v>
      </c>
      <c r="S9" s="198"/>
      <c r="T9" s="198">
        <v>1709165.3333333333</v>
      </c>
      <c r="U9" s="198">
        <v>3025863.6666666665</v>
      </c>
      <c r="V9" s="198">
        <v>1188584</v>
      </c>
      <c r="W9" s="32"/>
      <c r="X9" s="32"/>
      <c r="Y9" s="32"/>
      <c r="Z9" s="32"/>
      <c r="AA9" s="32"/>
      <c r="AB9" s="32"/>
      <c r="AC9" s="32"/>
      <c r="AD9" s="32"/>
      <c r="AE9" s="32"/>
      <c r="AF9" s="32"/>
      <c r="AG9" s="32"/>
      <c r="AH9" s="32"/>
      <c r="AI9" s="32"/>
      <c r="AJ9" s="32"/>
      <c r="AK9" s="32"/>
    </row>
    <row r="10" spans="1:37" x14ac:dyDescent="0.25">
      <c r="A10" s="231"/>
      <c r="B10" s="198">
        <v>50664.666666666664</v>
      </c>
      <c r="C10" s="198">
        <v>145547.33333333334</v>
      </c>
      <c r="D10" s="198">
        <v>109223.66666666667</v>
      </c>
      <c r="E10" s="198">
        <v>1756044.6666666667</v>
      </c>
      <c r="F10" s="198">
        <v>1905492.6666666667</v>
      </c>
      <c r="G10" s="198">
        <v>1963324</v>
      </c>
      <c r="H10" s="198">
        <v>5186661.333333333</v>
      </c>
      <c r="I10" s="198">
        <v>301030.33333333331</v>
      </c>
      <c r="J10" s="198">
        <v>0</v>
      </c>
      <c r="K10" s="198">
        <v>29388</v>
      </c>
      <c r="L10" s="198">
        <v>220170.66666666666</v>
      </c>
      <c r="M10" s="198">
        <v>216.33333333333334</v>
      </c>
      <c r="N10" s="3"/>
      <c r="O10" s="198">
        <v>33879.666666666664</v>
      </c>
      <c r="P10" s="198">
        <v>4690514.666666667</v>
      </c>
      <c r="Q10" s="198">
        <v>85481.333333333328</v>
      </c>
      <c r="R10" s="198">
        <v>616545.66666666663</v>
      </c>
      <c r="S10" s="198">
        <v>1673209.3333333333</v>
      </c>
      <c r="T10" s="198">
        <v>2185600</v>
      </c>
      <c r="U10" s="198">
        <v>770197</v>
      </c>
      <c r="V10" s="198">
        <v>47715.666666666664</v>
      </c>
      <c r="W10" s="32"/>
      <c r="X10" s="32"/>
      <c r="Y10" s="32"/>
      <c r="Z10" s="32"/>
      <c r="AA10" s="32"/>
      <c r="AB10" s="32"/>
      <c r="AC10" s="32"/>
      <c r="AD10" s="32"/>
      <c r="AE10" s="32"/>
      <c r="AF10" s="32"/>
      <c r="AG10" s="32"/>
      <c r="AH10" s="32"/>
      <c r="AI10" s="32"/>
      <c r="AJ10" s="32"/>
      <c r="AK10" s="32"/>
    </row>
    <row r="11" spans="1:37" x14ac:dyDescent="0.25">
      <c r="A11" s="231"/>
      <c r="B11" s="198">
        <v>189067</v>
      </c>
      <c r="C11" s="198">
        <v>118467</v>
      </c>
      <c r="D11" s="198">
        <v>501518</v>
      </c>
      <c r="E11" s="198">
        <v>149203</v>
      </c>
      <c r="F11" s="198">
        <v>242737.66666666666</v>
      </c>
      <c r="G11" s="198">
        <v>2628457.6666666665</v>
      </c>
      <c r="H11" s="198">
        <v>4722772.333333333</v>
      </c>
      <c r="I11" s="198">
        <v>426123.33333333331</v>
      </c>
      <c r="J11" s="198">
        <v>171935.66666666666</v>
      </c>
      <c r="K11" s="198">
        <v>96880.333333333328</v>
      </c>
      <c r="L11" s="198"/>
      <c r="M11" s="198">
        <v>261181</v>
      </c>
      <c r="N11" s="3"/>
      <c r="O11" s="198">
        <v>3531419.3333333335</v>
      </c>
      <c r="P11" s="198"/>
      <c r="Q11" s="198">
        <v>333107.33333333331</v>
      </c>
      <c r="R11" s="198">
        <v>192722.33333333334</v>
      </c>
      <c r="S11" s="198">
        <v>3200323</v>
      </c>
      <c r="T11" s="198">
        <v>2284009</v>
      </c>
      <c r="U11" s="198">
        <v>2401841.3333333335</v>
      </c>
      <c r="V11" s="198">
        <v>1720506.6666666667</v>
      </c>
      <c r="W11" s="32"/>
      <c r="X11" s="32"/>
      <c r="Y11" s="32"/>
      <c r="Z11" s="32"/>
      <c r="AA11" s="32"/>
      <c r="AB11" s="32"/>
      <c r="AC11" s="32"/>
      <c r="AD11" s="32"/>
      <c r="AE11" s="32"/>
      <c r="AF11" s="32"/>
      <c r="AG11" s="32"/>
      <c r="AH11" s="32"/>
      <c r="AI11" s="32"/>
      <c r="AJ11" s="32"/>
      <c r="AK11" s="32"/>
    </row>
    <row r="12" spans="1:37" x14ac:dyDescent="0.25">
      <c r="A12" s="231"/>
      <c r="B12" s="198">
        <v>282313.33333333331</v>
      </c>
      <c r="C12" s="198">
        <v>257900.33333333334</v>
      </c>
      <c r="D12" s="198">
        <v>415135.33333333331</v>
      </c>
      <c r="E12" s="198">
        <v>439887</v>
      </c>
      <c r="F12" s="198">
        <v>1141654.6666666667</v>
      </c>
      <c r="G12" s="198">
        <v>3498765.3333333335</v>
      </c>
      <c r="H12" s="198">
        <v>4839357.333333333</v>
      </c>
      <c r="I12" s="198">
        <v>36186.666666666664</v>
      </c>
      <c r="J12" s="198">
        <v>42199.666666666664</v>
      </c>
      <c r="K12" s="198">
        <v>193558.66666666666</v>
      </c>
      <c r="L12" s="198">
        <v>489225</v>
      </c>
      <c r="M12" s="198">
        <v>2220.6666666666665</v>
      </c>
      <c r="N12" s="3"/>
      <c r="O12" s="198">
        <v>2310484</v>
      </c>
      <c r="P12" s="198">
        <v>1241433.3333333333</v>
      </c>
      <c r="Q12" s="198"/>
      <c r="R12" s="198">
        <v>2411271.6666666665</v>
      </c>
      <c r="S12" s="198">
        <v>1682409</v>
      </c>
      <c r="T12" s="198">
        <v>1835606.3333333333</v>
      </c>
      <c r="U12" s="198">
        <v>2768389</v>
      </c>
      <c r="V12" s="198">
        <v>2279711.6666666665</v>
      </c>
      <c r="W12" s="32"/>
      <c r="X12" s="32"/>
      <c r="Y12" s="32"/>
      <c r="Z12" s="32"/>
      <c r="AA12" s="32"/>
      <c r="AB12" s="32"/>
      <c r="AC12" s="32"/>
      <c r="AD12" s="32"/>
      <c r="AE12" s="32"/>
      <c r="AF12" s="32"/>
      <c r="AG12" s="32"/>
      <c r="AH12" s="32"/>
      <c r="AI12" s="32"/>
      <c r="AJ12" s="32"/>
      <c r="AK12" s="32"/>
    </row>
    <row r="13" spans="1:37" ht="16.5" x14ac:dyDescent="0.25">
      <c r="A13" s="231"/>
      <c r="B13" s="14"/>
      <c r="C13" s="13"/>
      <c r="D13" s="32"/>
      <c r="E13" s="32"/>
      <c r="F13" s="32"/>
      <c r="G13" s="32"/>
      <c r="H13" s="32"/>
      <c r="I13" s="32"/>
      <c r="J13" s="32"/>
      <c r="K13" s="13"/>
      <c r="L13" s="13"/>
      <c r="M13" s="13"/>
      <c r="N13" s="3"/>
      <c r="O13" s="198">
        <v>1774401.3333333333</v>
      </c>
      <c r="P13" s="13"/>
      <c r="Q13" s="13"/>
      <c r="R13" s="32"/>
      <c r="S13" s="32"/>
      <c r="T13" s="32"/>
      <c r="U13" s="32"/>
      <c r="V13" s="32"/>
      <c r="W13" s="32"/>
      <c r="X13" s="32"/>
      <c r="Y13" s="32"/>
      <c r="Z13" s="32"/>
      <c r="AA13" s="32"/>
      <c r="AB13" s="32"/>
      <c r="AC13" s="32"/>
      <c r="AD13" s="32"/>
      <c r="AE13" s="32"/>
      <c r="AF13" s="32"/>
      <c r="AG13" s="32"/>
      <c r="AH13" s="32"/>
      <c r="AI13" s="32"/>
      <c r="AJ13" s="32"/>
      <c r="AK13" s="32"/>
    </row>
    <row r="14" spans="1:37" ht="16.5" x14ac:dyDescent="0.25">
      <c r="A14" s="231"/>
      <c r="B14" s="14"/>
      <c r="C14" s="32"/>
      <c r="D14" s="32"/>
      <c r="E14" s="32"/>
      <c r="F14" s="32"/>
      <c r="G14" s="32"/>
      <c r="H14" s="32"/>
      <c r="I14" s="32"/>
      <c r="J14" s="32"/>
      <c r="K14" s="13"/>
      <c r="L14" s="13"/>
      <c r="M14" s="13"/>
      <c r="N14" s="3"/>
      <c r="O14" s="198">
        <v>3298984.3333333335</v>
      </c>
      <c r="P14" s="13"/>
      <c r="Q14" s="13"/>
      <c r="R14" s="32"/>
      <c r="S14" s="32"/>
      <c r="T14" s="32"/>
      <c r="U14" s="32"/>
      <c r="V14" s="32"/>
      <c r="W14" s="32"/>
      <c r="X14" s="32"/>
      <c r="Y14" s="32"/>
      <c r="Z14" s="32"/>
      <c r="AA14" s="32"/>
      <c r="AB14" s="32"/>
      <c r="AC14" s="32"/>
      <c r="AD14" s="32"/>
      <c r="AE14" s="32"/>
      <c r="AF14" s="32"/>
      <c r="AG14" s="32"/>
      <c r="AH14" s="32"/>
      <c r="AI14" s="32"/>
      <c r="AJ14" s="32"/>
      <c r="AK14" s="32"/>
    </row>
    <row r="15" spans="1:37" ht="16.5" x14ac:dyDescent="0.25">
      <c r="A15" s="231"/>
      <c r="B15" s="14"/>
      <c r="C15" s="32"/>
      <c r="D15" s="32"/>
      <c r="E15" s="32"/>
      <c r="F15" s="32"/>
      <c r="G15" s="32"/>
      <c r="H15" s="32"/>
      <c r="I15" s="32"/>
      <c r="J15" s="32"/>
      <c r="K15" s="13"/>
      <c r="L15" s="13"/>
      <c r="M15" s="13"/>
      <c r="N15" s="3"/>
      <c r="O15" s="198"/>
      <c r="P15" s="13"/>
      <c r="Q15" s="13"/>
      <c r="R15" s="32"/>
      <c r="S15" s="32"/>
      <c r="T15" s="32"/>
      <c r="U15" s="32"/>
      <c r="V15" s="32"/>
      <c r="W15" s="32"/>
      <c r="X15" s="32"/>
      <c r="Y15" s="32"/>
      <c r="Z15" s="32"/>
      <c r="AA15" s="32"/>
      <c r="AB15" s="32"/>
      <c r="AC15" s="32"/>
      <c r="AD15" s="32"/>
      <c r="AE15" s="32"/>
      <c r="AF15" s="32"/>
      <c r="AG15" s="32"/>
      <c r="AH15" s="32"/>
      <c r="AI15" s="32"/>
      <c r="AJ15" s="32"/>
      <c r="AK15" s="32"/>
    </row>
    <row r="16" spans="1:37" ht="16.5" x14ac:dyDescent="0.25">
      <c r="A16" s="231"/>
      <c r="B16" s="14"/>
      <c r="C16" s="32"/>
      <c r="D16" s="32"/>
      <c r="E16" s="32"/>
      <c r="F16" s="32"/>
      <c r="G16" s="32"/>
      <c r="H16" s="32"/>
      <c r="I16" s="32"/>
      <c r="J16" s="32"/>
      <c r="K16" s="13"/>
      <c r="L16" s="13"/>
      <c r="M16" s="13"/>
      <c r="N16" s="3"/>
      <c r="O16" s="198">
        <v>2138043</v>
      </c>
      <c r="P16" s="13"/>
      <c r="Q16" s="13"/>
      <c r="R16" s="32"/>
      <c r="S16" s="32"/>
      <c r="T16" s="32"/>
      <c r="U16" s="32"/>
      <c r="V16" s="32"/>
      <c r="W16" s="32"/>
      <c r="X16" s="32"/>
      <c r="Y16" s="32"/>
      <c r="Z16" s="32"/>
      <c r="AA16" s="32"/>
      <c r="AB16" s="32"/>
      <c r="AC16" s="32"/>
      <c r="AD16" s="32"/>
      <c r="AE16" s="32"/>
      <c r="AF16" s="32"/>
      <c r="AG16" s="32"/>
      <c r="AH16" s="32"/>
      <c r="AI16" s="32"/>
      <c r="AJ16" s="32"/>
      <c r="AK16" s="32"/>
    </row>
    <row r="17" spans="1:37" ht="16.5" x14ac:dyDescent="0.25">
      <c r="A17" s="231"/>
      <c r="B17" s="14"/>
      <c r="C17" s="32"/>
      <c r="D17" s="32"/>
      <c r="E17" s="32"/>
      <c r="F17" s="32"/>
      <c r="G17" s="32"/>
      <c r="H17" s="32"/>
      <c r="I17" s="32"/>
      <c r="J17" s="32"/>
      <c r="K17" s="13"/>
      <c r="L17" s="13"/>
      <c r="M17" s="13"/>
      <c r="N17" s="3"/>
      <c r="O17" s="198">
        <v>2464546.3333333335</v>
      </c>
      <c r="P17" s="13"/>
      <c r="Q17" s="13"/>
      <c r="R17" s="32"/>
      <c r="S17" s="32"/>
      <c r="T17" s="32"/>
      <c r="U17" s="32"/>
      <c r="V17" s="32"/>
      <c r="W17" s="32"/>
      <c r="X17" s="32"/>
      <c r="Y17" s="32"/>
      <c r="Z17" s="32"/>
      <c r="AA17" s="32"/>
      <c r="AB17" s="32"/>
      <c r="AC17" s="32"/>
      <c r="AD17" s="32"/>
      <c r="AE17" s="32"/>
      <c r="AF17" s="32"/>
      <c r="AG17" s="32"/>
      <c r="AH17" s="32"/>
      <c r="AI17" s="32"/>
      <c r="AJ17" s="32"/>
      <c r="AK17" s="32"/>
    </row>
    <row r="18" spans="1:37" ht="16.5" x14ac:dyDescent="0.25">
      <c r="A18" s="231"/>
      <c r="B18" s="14"/>
      <c r="C18" s="32"/>
      <c r="D18" s="32"/>
      <c r="E18" s="32"/>
      <c r="F18" s="32"/>
      <c r="G18" s="32"/>
      <c r="H18" s="32"/>
      <c r="I18" s="32"/>
      <c r="J18" s="32"/>
      <c r="K18" s="13"/>
      <c r="L18" s="13"/>
      <c r="M18" s="13"/>
      <c r="N18" s="3"/>
      <c r="O18" s="198">
        <v>2365265</v>
      </c>
      <c r="P18" s="13"/>
      <c r="Q18" s="13"/>
      <c r="R18" s="32"/>
      <c r="S18" s="32"/>
      <c r="T18" s="32"/>
      <c r="U18" s="32"/>
      <c r="V18" s="32"/>
      <c r="W18" s="32"/>
      <c r="X18" s="32"/>
      <c r="Y18" s="32"/>
      <c r="Z18" s="32"/>
      <c r="AA18" s="32"/>
      <c r="AB18" s="32"/>
      <c r="AC18" s="32"/>
      <c r="AD18" s="32"/>
      <c r="AE18" s="32"/>
      <c r="AF18" s="32"/>
      <c r="AG18" s="32"/>
      <c r="AH18" s="32"/>
      <c r="AI18" s="32"/>
      <c r="AJ18" s="32"/>
      <c r="AK18" s="32"/>
    </row>
    <row r="19" spans="1:37" ht="16.5" x14ac:dyDescent="0.25">
      <c r="A19" s="231"/>
      <c r="B19" s="14"/>
      <c r="C19" s="32"/>
      <c r="D19" s="32"/>
      <c r="E19" s="32"/>
      <c r="F19" s="32"/>
      <c r="G19" s="32"/>
      <c r="H19" s="32"/>
      <c r="I19" s="32"/>
      <c r="J19" s="32"/>
      <c r="K19" s="13"/>
      <c r="L19" s="13"/>
      <c r="M19" s="13"/>
      <c r="N19" s="3"/>
      <c r="O19" s="198">
        <v>548181</v>
      </c>
      <c r="P19" s="13"/>
      <c r="Q19" s="13"/>
      <c r="R19" s="32"/>
      <c r="S19" s="32"/>
      <c r="T19" s="32"/>
      <c r="U19" s="32"/>
      <c r="V19" s="32"/>
      <c r="W19" s="32"/>
      <c r="X19" s="32"/>
      <c r="Y19" s="32"/>
      <c r="Z19" s="32"/>
      <c r="AA19" s="32"/>
      <c r="AB19" s="32"/>
      <c r="AC19" s="32"/>
      <c r="AD19" s="32"/>
      <c r="AE19" s="32"/>
      <c r="AF19" s="32"/>
      <c r="AG19" s="32"/>
      <c r="AH19" s="32"/>
      <c r="AI19" s="32"/>
      <c r="AJ19" s="32"/>
      <c r="AK19" s="32"/>
    </row>
    <row r="20" spans="1:37" ht="16.5" x14ac:dyDescent="0.25">
      <c r="A20" s="231"/>
      <c r="B20" s="14"/>
      <c r="C20" s="32"/>
      <c r="D20" s="32"/>
      <c r="E20" s="32"/>
      <c r="F20" s="32"/>
      <c r="G20" s="32"/>
      <c r="H20" s="32"/>
      <c r="I20" s="32"/>
      <c r="J20" s="32"/>
      <c r="K20" s="13"/>
      <c r="L20" s="13"/>
      <c r="M20" s="13"/>
      <c r="N20" s="3"/>
      <c r="O20" s="198">
        <v>1722691.5</v>
      </c>
      <c r="P20" s="13"/>
      <c r="Q20" s="13"/>
      <c r="R20" s="32"/>
      <c r="S20" s="32"/>
      <c r="T20" s="32"/>
      <c r="U20" s="32"/>
      <c r="V20" s="32"/>
      <c r="W20" s="32"/>
      <c r="X20" s="32"/>
      <c r="Y20" s="32"/>
      <c r="Z20" s="32"/>
      <c r="AA20" s="32"/>
      <c r="AB20" s="32"/>
      <c r="AC20" s="32"/>
      <c r="AD20" s="32"/>
      <c r="AE20" s="32"/>
      <c r="AF20" s="32"/>
      <c r="AG20" s="32"/>
      <c r="AH20" s="32"/>
      <c r="AI20" s="32"/>
      <c r="AJ20" s="32"/>
      <c r="AK20" s="32"/>
    </row>
    <row r="21" spans="1:37" x14ac:dyDescent="0.25">
      <c r="A21" s="3"/>
      <c r="B21" s="7"/>
      <c r="C21" s="7"/>
      <c r="D21" s="7"/>
      <c r="E21" s="7"/>
      <c r="F21" s="7"/>
      <c r="G21" s="7"/>
      <c r="H21" s="7"/>
      <c r="I21" s="7"/>
      <c r="J21" s="7"/>
      <c r="N21" s="3"/>
      <c r="O21" s="7"/>
      <c r="R21" s="7"/>
      <c r="S21" s="7"/>
      <c r="T21" s="7"/>
      <c r="U21" s="7"/>
      <c r="V21" s="7"/>
      <c r="W21" s="7"/>
      <c r="X21" s="7"/>
      <c r="Y21" s="7"/>
      <c r="Z21" s="7"/>
      <c r="AA21" s="7"/>
      <c r="AB21" s="7"/>
      <c r="AC21" s="7"/>
      <c r="AD21" s="7"/>
      <c r="AE21" s="7"/>
      <c r="AF21" s="7"/>
      <c r="AG21" s="7"/>
      <c r="AH21" s="7"/>
      <c r="AI21" s="7"/>
      <c r="AJ21" s="7"/>
      <c r="AK21" s="7"/>
    </row>
    <row r="22" spans="1:37" x14ac:dyDescent="0.25">
      <c r="A22" s="3" t="str">
        <f>A4</f>
        <v>Noms des groupes</v>
      </c>
      <c r="B22" s="3" t="str">
        <f t="shared" ref="B22:AK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DUS-10µg/L</v>
      </c>
      <c r="J22" s="3" t="str">
        <f t="shared" si="0"/>
        <v>DUS-100µg/L</v>
      </c>
      <c r="K22" s="3" t="str">
        <f t="shared" si="0"/>
        <v>DUS-250µg/L</v>
      </c>
      <c r="L22" s="3" t="str">
        <f t="shared" si="0"/>
        <v>DUS-500µg/L</v>
      </c>
      <c r="M22" s="3" t="str">
        <f t="shared" si="0"/>
        <v>DUS-1000µg/L</v>
      </c>
      <c r="N22" s="3" t="s">
        <v>41</v>
      </c>
      <c r="O22" s="3" t="str">
        <f t="shared" si="0"/>
        <v>Testo -30µg/L</v>
      </c>
      <c r="P22" s="3" t="str">
        <f t="shared" si="0"/>
        <v>Testo 30µg/L + EE2 -64ng/L</v>
      </c>
      <c r="Q22" s="3" t="str">
        <f t="shared" si="0"/>
        <v>Testo 30µg/L + FAD-10mg/L</v>
      </c>
      <c r="R22" s="3" t="str">
        <f t="shared" si="0"/>
        <v>DUS-10µg/L + Testostérone</v>
      </c>
      <c r="S22" s="3" t="str">
        <f t="shared" si="0"/>
        <v>DUS-100µg/L + Testostérone</v>
      </c>
      <c r="T22" s="3" t="str">
        <f t="shared" si="0"/>
        <v>DUS-250µg/L + Testostérone</v>
      </c>
      <c r="U22" s="3" t="str">
        <f t="shared" si="0"/>
        <v>DUS-500µg/L + Testostérone</v>
      </c>
      <c r="V22" s="3" t="str">
        <f t="shared" si="0"/>
        <v>DUS-1000µg/L + Testostérone</v>
      </c>
      <c r="W22" s="3" t="str">
        <f t="shared" si="0"/>
        <v>0-00 + Testostérone</v>
      </c>
      <c r="X22" s="3" t="str">
        <f t="shared" si="0"/>
        <v>0-00 + Testostérone</v>
      </c>
      <c r="Y22" s="3" t="str">
        <f t="shared" si="0"/>
        <v>0-00 + Testostérone</v>
      </c>
      <c r="Z22" s="3" t="str">
        <f t="shared" si="0"/>
        <v>0-00 + Testostérone</v>
      </c>
      <c r="AA22" s="3" t="str">
        <f t="shared" si="0"/>
        <v>0-00 + Testostérone</v>
      </c>
      <c r="AB22" s="3" t="str">
        <f t="shared" si="0"/>
        <v>0-00 + Testostérone</v>
      </c>
      <c r="AC22" s="3" t="str">
        <f t="shared" si="0"/>
        <v>0-00 + Testostérone</v>
      </c>
      <c r="AD22" s="3" t="str">
        <f t="shared" si="0"/>
        <v>0-00 + Testostérone</v>
      </c>
      <c r="AE22" s="3" t="str">
        <f t="shared" si="0"/>
        <v>0-00 + Testostérone</v>
      </c>
      <c r="AF22" s="3" t="str">
        <f t="shared" si="0"/>
        <v>0-00 + Testostérone</v>
      </c>
      <c r="AG22" s="3" t="str">
        <f t="shared" si="0"/>
        <v>0-00 + Testostérone</v>
      </c>
      <c r="AH22" s="3" t="str">
        <f t="shared" si="0"/>
        <v>0-00 + Testostérone</v>
      </c>
      <c r="AI22" s="3" t="str">
        <f t="shared" si="0"/>
        <v>0-00 + Testostérone</v>
      </c>
      <c r="AJ22" s="3" t="str">
        <f t="shared" si="0"/>
        <v>0-00 + Testostérone</v>
      </c>
      <c r="AK22" s="3" t="str">
        <f t="shared" si="0"/>
        <v>0-00 + Testostérone</v>
      </c>
    </row>
    <row r="23" spans="1:37" x14ac:dyDescent="0.25">
      <c r="A23" s="5" t="s">
        <v>0</v>
      </c>
      <c r="B23" s="5">
        <f t="shared" ref="B23:J23" si="1">AVERAGE(B5:B20)</f>
        <v>191862.64583333331</v>
      </c>
      <c r="C23" s="5">
        <f t="shared" si="1"/>
        <v>230164.73809523808</v>
      </c>
      <c r="D23" s="5">
        <f t="shared" si="1"/>
        <v>210215.04166666666</v>
      </c>
      <c r="E23" s="5">
        <f t="shared" si="1"/>
        <v>462161.45833333337</v>
      </c>
      <c r="F23" s="5">
        <f t="shared" si="1"/>
        <v>1480722.083333333</v>
      </c>
      <c r="G23" s="5">
        <f t="shared" si="1"/>
        <v>2443923.7142857141</v>
      </c>
      <c r="H23" s="5">
        <f t="shared" si="1"/>
        <v>4379449.1428571427</v>
      </c>
      <c r="I23" s="5">
        <f t="shared" si="1"/>
        <v>214137.77083333331</v>
      </c>
      <c r="J23" s="5">
        <f t="shared" si="1"/>
        <v>183296.5625</v>
      </c>
      <c r="K23" s="5"/>
      <c r="L23" s="5">
        <f>AVERAGE(L5:L20)</f>
        <v>194012.85714285713</v>
      </c>
      <c r="M23" s="5"/>
      <c r="N23" s="5" t="s">
        <v>0</v>
      </c>
      <c r="O23" s="5">
        <f>AVERAGE(O5:O20)</f>
        <v>2022075.1222222219</v>
      </c>
      <c r="P23" s="5">
        <f>AVERAGE(P5:P20)</f>
        <v>3078536.4761904762</v>
      </c>
      <c r="Q23" s="5">
        <f>AVERAGE(Q5:Q20)</f>
        <v>114821.14285714286</v>
      </c>
      <c r="R23" s="5">
        <f>AVERAGE(R5:R20)</f>
        <v>1091172.5238095238</v>
      </c>
      <c r="S23" s="5">
        <f>AVERAGE(S5:S20)</f>
        <v>1755232.9523809522</v>
      </c>
      <c r="T23" s="5">
        <f t="shared" ref="T23:AK23" si="2">AVERAGE(T5:T20)</f>
        <v>2037882.1666666667</v>
      </c>
      <c r="U23" s="5">
        <f t="shared" si="2"/>
        <v>2269851.958333333</v>
      </c>
      <c r="V23" s="5">
        <f t="shared" si="2"/>
        <v>1340319.7916666667</v>
      </c>
      <c r="W23" s="5" t="e">
        <f t="shared" si="2"/>
        <v>#DIV/0!</v>
      </c>
      <c r="X23" s="5" t="e">
        <f t="shared" si="2"/>
        <v>#DIV/0!</v>
      </c>
      <c r="Y23" s="5" t="e">
        <f t="shared" si="2"/>
        <v>#DIV/0!</v>
      </c>
      <c r="Z23" s="5" t="e">
        <f t="shared" si="2"/>
        <v>#DIV/0!</v>
      </c>
      <c r="AA23" s="5" t="e">
        <f t="shared" si="2"/>
        <v>#DIV/0!</v>
      </c>
      <c r="AB23" s="5" t="e">
        <f t="shared" si="2"/>
        <v>#DIV/0!</v>
      </c>
      <c r="AC23" s="5" t="e">
        <f t="shared" si="2"/>
        <v>#DIV/0!</v>
      </c>
      <c r="AD23" s="5" t="e">
        <f t="shared" si="2"/>
        <v>#DIV/0!</v>
      </c>
      <c r="AE23" s="5" t="e">
        <f t="shared" si="2"/>
        <v>#DIV/0!</v>
      </c>
      <c r="AF23" s="5" t="e">
        <f t="shared" si="2"/>
        <v>#DIV/0!</v>
      </c>
      <c r="AG23" s="5" t="e">
        <f t="shared" si="2"/>
        <v>#DIV/0!</v>
      </c>
      <c r="AH23" s="5" t="e">
        <f t="shared" si="2"/>
        <v>#DIV/0!</v>
      </c>
      <c r="AI23" s="5" t="e">
        <f t="shared" si="2"/>
        <v>#DIV/0!</v>
      </c>
      <c r="AJ23" s="5" t="e">
        <f t="shared" si="2"/>
        <v>#DIV/0!</v>
      </c>
      <c r="AK23" s="5" t="e">
        <f t="shared" si="2"/>
        <v>#DIV/0!</v>
      </c>
    </row>
    <row r="24" spans="1:37" x14ac:dyDescent="0.25">
      <c r="A24" s="3" t="s">
        <v>1</v>
      </c>
      <c r="B24" s="3">
        <f t="shared" ref="B24:J24" si="3">STDEV(B5:B20)</f>
        <v>105055.65152270782</v>
      </c>
      <c r="C24" s="3">
        <f t="shared" si="3"/>
        <v>143746.52669774444</v>
      </c>
      <c r="D24" s="3">
        <f t="shared" si="3"/>
        <v>194897.76980289145</v>
      </c>
      <c r="E24" s="3">
        <f t="shared" si="3"/>
        <v>539161.6187535224</v>
      </c>
      <c r="F24" s="3">
        <f t="shared" si="3"/>
        <v>963079.36057717411</v>
      </c>
      <c r="G24" s="3">
        <f t="shared" si="3"/>
        <v>594186.60545514862</v>
      </c>
      <c r="H24" s="3">
        <f t="shared" si="3"/>
        <v>814210.55687384238</v>
      </c>
      <c r="I24" s="3">
        <f t="shared" si="3"/>
        <v>156934.50097830314</v>
      </c>
      <c r="J24" s="3">
        <f t="shared" si="3"/>
        <v>118783.6091906482</v>
      </c>
      <c r="K24" s="3"/>
      <c r="L24" s="3">
        <f>STDEV(L5:L20)</f>
        <v>148268.59447098739</v>
      </c>
      <c r="M24" s="3"/>
      <c r="N24" s="3" t="s">
        <v>1</v>
      </c>
      <c r="O24" s="3">
        <f>STDEV(O5:O20)</f>
        <v>1069337.9502975841</v>
      </c>
      <c r="P24" s="3">
        <f>STDEV(P5:P20)</f>
        <v>1017082.9962310306</v>
      </c>
      <c r="Q24" s="3">
        <f>STDEV(Q5:Q20)</f>
        <v>103841.815959528</v>
      </c>
      <c r="R24" s="3">
        <f>STDEV(R5:R20)</f>
        <v>728892.16962034011</v>
      </c>
      <c r="S24" s="3">
        <f>STDEV(S5:S20)</f>
        <v>736683.57070619124</v>
      </c>
      <c r="T24" s="3">
        <f t="shared" ref="T24:AK24" si="4">STDEV(T5:T20)</f>
        <v>475961.28086078021</v>
      </c>
      <c r="U24" s="3">
        <f t="shared" si="4"/>
        <v>1080015.2824089152</v>
      </c>
      <c r="V24" s="3">
        <f t="shared" si="4"/>
        <v>1299025.9950063066</v>
      </c>
      <c r="W24" s="3" t="e">
        <f t="shared" si="4"/>
        <v>#DIV/0!</v>
      </c>
      <c r="X24" s="3" t="e">
        <f t="shared" si="4"/>
        <v>#DIV/0!</v>
      </c>
      <c r="Y24" s="3" t="e">
        <f t="shared" si="4"/>
        <v>#DIV/0!</v>
      </c>
      <c r="Z24" s="3" t="e">
        <f t="shared" si="4"/>
        <v>#DIV/0!</v>
      </c>
      <c r="AA24" s="3" t="e">
        <f t="shared" si="4"/>
        <v>#DIV/0!</v>
      </c>
      <c r="AB24" s="3" t="e">
        <f t="shared" si="4"/>
        <v>#DIV/0!</v>
      </c>
      <c r="AC24" s="3" t="e">
        <f t="shared" si="4"/>
        <v>#DIV/0!</v>
      </c>
      <c r="AD24" s="3" t="e">
        <f t="shared" si="4"/>
        <v>#DIV/0!</v>
      </c>
      <c r="AE24" s="3" t="e">
        <f t="shared" si="4"/>
        <v>#DIV/0!</v>
      </c>
      <c r="AF24" s="3" t="e">
        <f t="shared" si="4"/>
        <v>#DIV/0!</v>
      </c>
      <c r="AG24" s="3" t="e">
        <f t="shared" si="4"/>
        <v>#DIV/0!</v>
      </c>
      <c r="AH24" s="3" t="e">
        <f t="shared" si="4"/>
        <v>#DIV/0!</v>
      </c>
      <c r="AI24" s="3" t="e">
        <f t="shared" si="4"/>
        <v>#DIV/0!</v>
      </c>
      <c r="AJ24" s="3" t="e">
        <f t="shared" si="4"/>
        <v>#DIV/0!</v>
      </c>
      <c r="AK24" s="3" t="e">
        <f t="shared" si="4"/>
        <v>#DIV/0!</v>
      </c>
    </row>
    <row r="25" spans="1:37" ht="15.75" thickBot="1" x14ac:dyDescent="0.3"/>
    <row r="26" spans="1:37" ht="15.75" thickBot="1" x14ac:dyDescent="0.3">
      <c r="B26" s="228" t="s">
        <v>6</v>
      </c>
      <c r="C26" s="229"/>
      <c r="D26" s="229"/>
      <c r="E26" s="229"/>
      <c r="F26" s="229"/>
      <c r="G26" s="229"/>
      <c r="H26" s="229"/>
      <c r="I26" s="229"/>
      <c r="J26" s="229"/>
      <c r="K26" s="229"/>
      <c r="L26" s="229"/>
      <c r="M26" s="229"/>
      <c r="O26" s="228" t="s">
        <v>3</v>
      </c>
      <c r="P26" s="229"/>
      <c r="Q26" s="229"/>
      <c r="R26" s="229"/>
      <c r="S26" s="229"/>
      <c r="T26" s="229"/>
      <c r="U26" s="229"/>
      <c r="V26" s="229"/>
      <c r="W26" s="229"/>
      <c r="X26" s="229"/>
      <c r="Y26" s="229"/>
      <c r="Z26" s="229"/>
      <c r="AA26" s="229"/>
      <c r="AB26" s="229"/>
      <c r="AC26" s="229"/>
      <c r="AD26" s="229"/>
      <c r="AE26" s="229"/>
      <c r="AF26" s="229"/>
      <c r="AG26" s="229"/>
      <c r="AH26" s="229"/>
      <c r="AI26" s="229"/>
      <c r="AJ26" s="229"/>
      <c r="AK26" s="230"/>
    </row>
    <row r="27" spans="1:37"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DUS-10µg/L</v>
      </c>
      <c r="J27" s="35" t="str">
        <f t="shared" si="5"/>
        <v>DUS-100µg/L</v>
      </c>
      <c r="K27" s="35" t="str">
        <f t="shared" si="5"/>
        <v>DUS-250µg/L</v>
      </c>
      <c r="L27" s="35" t="str">
        <f t="shared" si="5"/>
        <v>DUS-500µg/L</v>
      </c>
      <c r="M27" s="35" t="str">
        <f t="shared" si="5"/>
        <v>DUS-1000µg/L</v>
      </c>
      <c r="N27" s="3"/>
      <c r="O27" s="36" t="str">
        <f>O4</f>
        <v>Testo -30µg/L</v>
      </c>
      <c r="P27" s="36" t="str">
        <f t="shared" ref="P27:AK27" si="6">P4</f>
        <v>Testo 30µg/L + EE2 -64ng/L</v>
      </c>
      <c r="Q27" s="36" t="str">
        <f t="shared" si="6"/>
        <v>Testo 30µg/L + FAD-10mg/L</v>
      </c>
      <c r="R27" s="36" t="str">
        <f t="shared" si="6"/>
        <v>DUS-10µg/L + Testostérone</v>
      </c>
      <c r="S27" s="36" t="str">
        <f t="shared" si="6"/>
        <v>DUS-100µg/L + Testostérone</v>
      </c>
      <c r="T27" s="36" t="str">
        <f t="shared" si="6"/>
        <v>DUS-250µg/L + Testostérone</v>
      </c>
      <c r="U27" s="36" t="str">
        <f t="shared" si="6"/>
        <v>DUS-500µg/L + Testostérone</v>
      </c>
      <c r="V27" s="36" t="str">
        <f t="shared" si="6"/>
        <v>DUS-1000µg/L + Testostérone</v>
      </c>
      <c r="W27" s="36" t="str">
        <f t="shared" si="6"/>
        <v>0-00 + Testostérone</v>
      </c>
      <c r="X27" s="36" t="str">
        <f t="shared" si="6"/>
        <v>0-00 + Testostérone</v>
      </c>
      <c r="Y27" s="36" t="str">
        <f t="shared" si="6"/>
        <v>0-00 + Testostérone</v>
      </c>
      <c r="Z27" s="36" t="str">
        <f t="shared" si="6"/>
        <v>0-00 + Testostérone</v>
      </c>
      <c r="AA27" s="36" t="str">
        <f t="shared" si="6"/>
        <v>0-00 + Testostérone</v>
      </c>
      <c r="AB27" s="36" t="str">
        <f t="shared" si="6"/>
        <v>0-00 + Testostérone</v>
      </c>
      <c r="AC27" s="36" t="str">
        <f t="shared" si="6"/>
        <v>0-00 + Testostérone</v>
      </c>
      <c r="AD27" s="36" t="str">
        <f t="shared" si="6"/>
        <v>0-00 + Testostérone</v>
      </c>
      <c r="AE27" s="36" t="str">
        <f t="shared" si="6"/>
        <v>0-00 + Testostérone</v>
      </c>
      <c r="AF27" s="36" t="str">
        <f t="shared" si="6"/>
        <v>0-00 + Testostérone</v>
      </c>
      <c r="AG27" s="36" t="str">
        <f t="shared" si="6"/>
        <v>0-00 + Testostérone</v>
      </c>
      <c r="AH27" s="36" t="str">
        <f t="shared" si="6"/>
        <v>0-00 + Testostérone</v>
      </c>
      <c r="AI27" s="36" t="str">
        <f t="shared" si="6"/>
        <v>0-00 + Testostérone</v>
      </c>
      <c r="AJ27" s="36" t="str">
        <f t="shared" si="6"/>
        <v>0-00 + Testostérone</v>
      </c>
      <c r="AK27" s="36" t="str">
        <f t="shared" si="6"/>
        <v>0-00 + Testostérone</v>
      </c>
    </row>
    <row r="28" spans="1:37" x14ac:dyDescent="0.25">
      <c r="A28" s="232" t="s">
        <v>34</v>
      </c>
      <c r="B28" s="11">
        <f>IF(B5="","",(B5/$O$23))</f>
        <v>9.9955237952721196E-2</v>
      </c>
      <c r="C28" s="11">
        <f>IF(C5="","",(C5/$O$23))</f>
        <v>0.23045360425970771</v>
      </c>
      <c r="D28" s="11">
        <f>IF(D5="","",(D5/$O$23))</f>
        <v>1.7007281095573763E-3</v>
      </c>
      <c r="E28" s="11">
        <f>IF(E5="","",(E5/$O$23))</f>
        <v>0.2545820352283758</v>
      </c>
      <c r="F28" s="11">
        <f>IF(F5="","",(F5/$O$23))</f>
        <v>1.0635622005493026</v>
      </c>
      <c r="G28" s="11" t="str">
        <f>IF(G5="","",(G5/$O$23))</f>
        <v/>
      </c>
      <c r="H28" s="11">
        <f>IF(H5="","",(H5/$O$23))</f>
        <v>1.700482981836245</v>
      </c>
      <c r="I28" s="11">
        <f>IF(I5="","",(I5/$O$23))</f>
        <v>6.1985003403626712E-2</v>
      </c>
      <c r="J28" s="11">
        <f>IF(J5="","",(J5/$O$23))</f>
        <v>0.13809155601159365</v>
      </c>
      <c r="K28" s="11">
        <f>IF(K5="","",(K5/$O$23))</f>
        <v>0.14899331056284917</v>
      </c>
      <c r="L28" s="11">
        <f>IF(L5="","",(L5/$O$23))</f>
        <v>2.4189012298537479E-2</v>
      </c>
      <c r="M28" s="11">
        <f>IF(M5="","",(M5/$O$23))</f>
        <v>0.14675056500401151</v>
      </c>
      <c r="N28" s="6"/>
      <c r="O28" s="11">
        <f t="shared" ref="O28:AK39" si="7">IF(O5="","",(O5/$O$23))</f>
        <v>0.25939936367129479</v>
      </c>
      <c r="P28" s="11">
        <f t="shared" si="7"/>
        <v>1.6033660822173763</v>
      </c>
      <c r="Q28" s="11">
        <f t="shared" si="7"/>
        <v>7.8086449376391738E-3</v>
      </c>
      <c r="R28" s="11">
        <f t="shared" si="7"/>
        <v>0.32134843039489014</v>
      </c>
      <c r="S28" s="11">
        <f t="shared" si="7"/>
        <v>0.34663598414172564</v>
      </c>
      <c r="T28" s="11">
        <f t="shared" si="7"/>
        <v>0.59284971833747857</v>
      </c>
      <c r="U28" s="11">
        <f t="shared" si="7"/>
        <v>0.77263202678792675</v>
      </c>
      <c r="V28" s="11">
        <f t="shared" si="7"/>
        <v>0.20551907069767567</v>
      </c>
      <c r="W28" s="11" t="str">
        <f t="shared" si="7"/>
        <v/>
      </c>
      <c r="X28" s="11" t="str">
        <f t="shared" si="7"/>
        <v/>
      </c>
      <c r="Y28" s="11" t="str">
        <f t="shared" si="7"/>
        <v/>
      </c>
      <c r="Z28" s="11" t="str">
        <f t="shared" si="7"/>
        <v/>
      </c>
      <c r="AA28" s="11" t="str">
        <f t="shared" si="7"/>
        <v/>
      </c>
      <c r="AB28" s="11" t="str">
        <f t="shared" si="7"/>
        <v/>
      </c>
      <c r="AC28" s="11" t="str">
        <f t="shared" si="7"/>
        <v/>
      </c>
      <c r="AD28" s="11" t="str">
        <f t="shared" si="7"/>
        <v/>
      </c>
      <c r="AE28" s="11" t="str">
        <f t="shared" si="7"/>
        <v/>
      </c>
      <c r="AF28" s="11" t="str">
        <f t="shared" si="7"/>
        <v/>
      </c>
      <c r="AG28" s="11" t="str">
        <f t="shared" si="7"/>
        <v/>
      </c>
      <c r="AH28" s="11" t="str">
        <f t="shared" si="7"/>
        <v/>
      </c>
      <c r="AI28" s="11" t="str">
        <f t="shared" si="7"/>
        <v/>
      </c>
      <c r="AJ28" s="11" t="str">
        <f t="shared" si="7"/>
        <v/>
      </c>
      <c r="AK28" s="11" t="str">
        <f t="shared" si="7"/>
        <v/>
      </c>
    </row>
    <row r="29" spans="1:37" x14ac:dyDescent="0.25">
      <c r="A29" s="232"/>
      <c r="B29" s="11">
        <f>IF(B6="","",(B6/$O$23))</f>
        <v>1.2616989210550324E-2</v>
      </c>
      <c r="C29" s="11">
        <f>IF(C6="","",(C6/$O$23))</f>
        <v>0.11355809558037028</v>
      </c>
      <c r="D29" s="11">
        <f>IF(D6="","",(D6/$O$23))</f>
        <v>1.8264900049515143E-2</v>
      </c>
      <c r="E29" s="11">
        <f>IF(E6="","",(E6/$O$23))</f>
        <v>0.10035120082169055</v>
      </c>
      <c r="F29" s="11">
        <f>IF(F6="","",(F6/$O$23))</f>
        <v>0.20925599087946845</v>
      </c>
      <c r="G29" s="11">
        <f>IF(G6="","",(G6/$O$23))</f>
        <v>1.0532681550390364</v>
      </c>
      <c r="H29" s="11">
        <f>IF(H6="","",(H6/$O$23))</f>
        <v>1.7273321326928834</v>
      </c>
      <c r="I29" s="11">
        <f>IF(I6="","",(I6/$O$23))</f>
        <v>0.13128641813675668</v>
      </c>
      <c r="J29" s="11">
        <f>IF(J6="","",(J6/$O$23))</f>
        <v>6.2619335260326994E-2</v>
      </c>
      <c r="K29" s="11">
        <f>IF(K6="","",(K6/$O$23))</f>
        <v>4.1635940759448986E-2</v>
      </c>
      <c r="L29" s="11">
        <f>IF(L6="","",(L6/$O$23))</f>
        <v>6.0911518723057015E-2</v>
      </c>
      <c r="M29" s="11">
        <f>IF(M6="","",(M6/$O$23))</f>
        <v>7.7741918820127813E-4</v>
      </c>
      <c r="N29" s="6"/>
      <c r="O29" s="11">
        <f t="shared" si="7"/>
        <v>1.63168781271952</v>
      </c>
      <c r="P29" s="11">
        <f t="shared" si="7"/>
        <v>1.5661337035390175</v>
      </c>
      <c r="Q29" s="11">
        <f t="shared" si="7"/>
        <v>4.5779044333889768E-2</v>
      </c>
      <c r="R29" s="11" t="str">
        <f t="shared" si="7"/>
        <v/>
      </c>
      <c r="S29" s="11">
        <f t="shared" si="7"/>
        <v>0.87049436524671164</v>
      </c>
      <c r="T29" s="11">
        <f t="shared" si="7"/>
        <v>1.1906125413155741</v>
      </c>
      <c r="U29" s="11">
        <f t="shared" si="7"/>
        <v>1.8159842956928061</v>
      </c>
      <c r="V29" s="11">
        <f t="shared" si="7"/>
        <v>0.54058459779939716</v>
      </c>
      <c r="W29" s="11" t="str">
        <f t="shared" si="7"/>
        <v/>
      </c>
      <c r="X29" s="11" t="str">
        <f t="shared" si="7"/>
        <v/>
      </c>
      <c r="Y29" s="11" t="str">
        <f t="shared" si="7"/>
        <v/>
      </c>
      <c r="Z29" s="11" t="str">
        <f t="shared" si="7"/>
        <v/>
      </c>
      <c r="AA29" s="11" t="str">
        <f t="shared" si="7"/>
        <v/>
      </c>
      <c r="AB29" s="11" t="str">
        <f t="shared" si="7"/>
        <v/>
      </c>
      <c r="AC29" s="11" t="str">
        <f t="shared" si="7"/>
        <v/>
      </c>
      <c r="AD29" s="11" t="str">
        <f t="shared" si="7"/>
        <v/>
      </c>
      <c r="AE29" s="11" t="str">
        <f t="shared" si="7"/>
        <v/>
      </c>
      <c r="AF29" s="11" t="str">
        <f t="shared" si="7"/>
        <v/>
      </c>
      <c r="AG29" s="11" t="str">
        <f t="shared" si="7"/>
        <v/>
      </c>
      <c r="AH29" s="11" t="str">
        <f t="shared" si="7"/>
        <v/>
      </c>
      <c r="AI29" s="11" t="str">
        <f t="shared" si="7"/>
        <v/>
      </c>
      <c r="AJ29" s="11" t="str">
        <f t="shared" si="7"/>
        <v/>
      </c>
      <c r="AK29" s="11" t="str">
        <f t="shared" si="7"/>
        <v/>
      </c>
    </row>
    <row r="30" spans="1:37" x14ac:dyDescent="0.25">
      <c r="A30" s="232"/>
      <c r="B30" s="11">
        <f>IF(B7="","",(B7/$O$23))</f>
        <v>0.16094522392208521</v>
      </c>
      <c r="C30" s="11">
        <f>IF(C7="","",(C7/$O$23))</f>
        <v>2.2549112789583638E-2</v>
      </c>
      <c r="D30" s="11">
        <f>IF(D7="","",(D7/$O$23))</f>
        <v>3.7314307714944171E-2</v>
      </c>
      <c r="E30" s="11">
        <f>IF(E7="","",(E7/$O$23))</f>
        <v>0.12788479707048581</v>
      </c>
      <c r="F30" s="11">
        <f>IF(F7="","",(F7/$O$23))</f>
        <v>0.71537863130604329</v>
      </c>
      <c r="G30" s="11">
        <f>IF(G7="","",(G7/$O$23))</f>
        <v>1.2875797597166974</v>
      </c>
      <c r="H30" s="11" t="str">
        <f>IF(H7="","",(H7/$O$23))</f>
        <v/>
      </c>
      <c r="I30" s="11">
        <f>IF(I7="","",(I7/$O$23))</f>
        <v>1.2012577112683489E-2</v>
      </c>
      <c r="J30" s="11">
        <f>IF(J7="","",(J7/$O$23))</f>
        <v>0.15668062799359347</v>
      </c>
      <c r="K30" s="11">
        <f>IF(K7="","",(K7/$O$23))</f>
        <v>7.1294746544777521E-2</v>
      </c>
      <c r="L30" s="11">
        <f>IF(L7="","",(L7/$O$23))</f>
        <v>8.9878790688516078E-2</v>
      </c>
      <c r="M30" s="11">
        <f>IF(M7="","",(M7/$O$23))</f>
        <v>7.2791558722230358E-3</v>
      </c>
      <c r="N30" s="6"/>
      <c r="O30" s="11">
        <f t="shared" si="7"/>
        <v>1.4222714255571591</v>
      </c>
      <c r="P30" s="11">
        <f t="shared" si="7"/>
        <v>1.4962152659005785</v>
      </c>
      <c r="Q30" s="11">
        <f t="shared" si="7"/>
        <v>7.2048757436811578E-2</v>
      </c>
      <c r="R30" s="11">
        <f t="shared" si="7"/>
        <v>0.68975264634771993</v>
      </c>
      <c r="S30" s="11">
        <f t="shared" si="7"/>
        <v>0.76522626829981344</v>
      </c>
      <c r="T30" s="11">
        <f t="shared" si="7"/>
        <v>1.3586107508117036</v>
      </c>
      <c r="U30" s="11">
        <f t="shared" si="7"/>
        <v>0.43219660357601514</v>
      </c>
      <c r="V30" s="11">
        <f t="shared" si="7"/>
        <v>1.9305301554325704</v>
      </c>
      <c r="W30" s="11" t="str">
        <f t="shared" si="7"/>
        <v/>
      </c>
      <c r="X30" s="11" t="str">
        <f t="shared" si="7"/>
        <v/>
      </c>
      <c r="Y30" s="11" t="str">
        <f t="shared" si="7"/>
        <v/>
      </c>
      <c r="Z30" s="11" t="str">
        <f t="shared" si="7"/>
        <v/>
      </c>
      <c r="AA30" s="11" t="str">
        <f t="shared" si="7"/>
        <v/>
      </c>
      <c r="AB30" s="11" t="str">
        <f t="shared" si="7"/>
        <v/>
      </c>
      <c r="AC30" s="11" t="str">
        <f t="shared" si="7"/>
        <v/>
      </c>
      <c r="AD30" s="11" t="str">
        <f t="shared" si="7"/>
        <v/>
      </c>
      <c r="AE30" s="11" t="str">
        <f t="shared" si="7"/>
        <v/>
      </c>
      <c r="AF30" s="11" t="str">
        <f t="shared" si="7"/>
        <v/>
      </c>
      <c r="AG30" s="11" t="str">
        <f t="shared" si="7"/>
        <v/>
      </c>
      <c r="AH30" s="11" t="str">
        <f t="shared" si="7"/>
        <v/>
      </c>
      <c r="AI30" s="11" t="str">
        <f t="shared" si="7"/>
        <v/>
      </c>
      <c r="AJ30" s="11" t="str">
        <f t="shared" si="7"/>
        <v/>
      </c>
      <c r="AK30" s="11" t="str">
        <f t="shared" si="7"/>
        <v/>
      </c>
    </row>
    <row r="31" spans="1:37" x14ac:dyDescent="0.25">
      <c r="A31" s="232"/>
      <c r="B31" s="11">
        <f>IF(B8="","",(B8/$O$23))</f>
        <v>0.12237774812641455</v>
      </c>
      <c r="C31" s="11">
        <f>IF(C8="","",(C8/$O$23))</f>
        <v>0.17211279451256351</v>
      </c>
      <c r="D31" s="11">
        <f>IF(D8="","",(D8/$O$23))</f>
        <v>0.19485428393332416</v>
      </c>
      <c r="E31" s="11">
        <f>IF(E8="","",(E8/$O$23))</f>
        <v>0.10054357745286759</v>
      </c>
      <c r="F31" s="11">
        <f>IF(F8="","",(F8/$O$23))</f>
        <v>1.5980888302089185</v>
      </c>
      <c r="G31" s="11">
        <f>IF(G8="","",(G8/$O$23))</f>
        <v>0.82885842448726266</v>
      </c>
      <c r="H31" s="11">
        <f>IF(H8="","",(H8/$O$23))</f>
        <v>2.6184642079541161</v>
      </c>
      <c r="I31" s="11">
        <f>IF(I8="","",(I8/$O$23))</f>
        <v>0.19857694483611368</v>
      </c>
      <c r="J31" s="11">
        <f>IF(J8="","",(J8/$O$23))</f>
        <v>0.14496757816355665</v>
      </c>
      <c r="K31" s="11">
        <f>IF(K8="","",(K8/$O$23))</f>
        <v>3.4554436627398412E-2</v>
      </c>
      <c r="L31" s="11">
        <f>IF(L8="","",(L8/$O$23))</f>
        <v>3.2276084082841612E-2</v>
      </c>
      <c r="M31" s="11">
        <f>IF(M8="","",(M8/$O$23))</f>
        <v>0.19076269509516686</v>
      </c>
      <c r="N31" s="6"/>
      <c r="O31" s="11">
        <f t="shared" si="7"/>
        <v>0.57389476809249884</v>
      </c>
      <c r="P31" s="11">
        <f t="shared" si="7"/>
        <v>1.3743101345707232</v>
      </c>
      <c r="Q31" s="11">
        <f t="shared" si="7"/>
        <v>2.929515295895618E-2</v>
      </c>
      <c r="R31" s="11">
        <f t="shared" si="7"/>
        <v>0.70140503242430929</v>
      </c>
      <c r="S31" s="11">
        <f t="shared" si="7"/>
        <v>0.85170689971233682</v>
      </c>
      <c r="T31" s="11">
        <f t="shared" si="7"/>
        <v>0.95702131871010121</v>
      </c>
      <c r="U31" s="11">
        <f t="shared" si="7"/>
        <v>1.5252717201774917</v>
      </c>
      <c r="V31" s="11">
        <f t="shared" si="7"/>
        <v>3.6440617787576325E-2</v>
      </c>
      <c r="W31" s="11" t="str">
        <f t="shared" si="7"/>
        <v/>
      </c>
      <c r="X31" s="11" t="str">
        <f t="shared" si="7"/>
        <v/>
      </c>
      <c r="Y31" s="11" t="str">
        <f t="shared" si="7"/>
        <v/>
      </c>
      <c r="Z31" s="11" t="str">
        <f t="shared" si="7"/>
        <v/>
      </c>
      <c r="AA31" s="11" t="str">
        <f t="shared" si="7"/>
        <v/>
      </c>
      <c r="AB31" s="11" t="str">
        <f t="shared" si="7"/>
        <v/>
      </c>
      <c r="AC31" s="11" t="str">
        <f t="shared" si="7"/>
        <v/>
      </c>
      <c r="AD31" s="11" t="str">
        <f t="shared" si="7"/>
        <v/>
      </c>
      <c r="AE31" s="11" t="str">
        <f t="shared" si="7"/>
        <v/>
      </c>
      <c r="AF31" s="11" t="str">
        <f t="shared" si="7"/>
        <v/>
      </c>
      <c r="AG31" s="11" t="str">
        <f t="shared" si="7"/>
        <v/>
      </c>
      <c r="AH31" s="11" t="str">
        <f t="shared" si="7"/>
        <v/>
      </c>
      <c r="AI31" s="11" t="str">
        <f t="shared" si="7"/>
        <v/>
      </c>
      <c r="AJ31" s="11" t="str">
        <f t="shared" si="7"/>
        <v/>
      </c>
      <c r="AK31" s="11" t="str">
        <f t="shared" si="7"/>
        <v/>
      </c>
    </row>
    <row r="32" spans="1:37" x14ac:dyDescent="0.25">
      <c r="A32" s="232"/>
      <c r="B32" s="11">
        <f>IF(B9="","",(B9/$O$23))</f>
        <v>0.10500417664997073</v>
      </c>
      <c r="C32" s="11" t="str">
        <f>IF(C9="","",(C9/$O$23))</f>
        <v/>
      </c>
      <c r="D32" s="11">
        <f>IF(D9="","",(D9/$O$23))</f>
        <v>7.2207505248142762E-2</v>
      </c>
      <c r="E32" s="11">
        <f>IF(E9="","",(E9/$O$23))</f>
        <v>8.5336097607671593E-2</v>
      </c>
      <c r="F32" s="11">
        <f>IF(F9="","",(F9/$O$23))</f>
        <v>0.64495757468863368</v>
      </c>
      <c r="G32" s="11">
        <f>IF(G9="","",(G9/$O$23))</f>
        <v>1.2895340227523475</v>
      </c>
      <c r="H32" s="11">
        <f>IF(H9="","",(H9/$O$23))</f>
        <v>1.8205663872439604</v>
      </c>
      <c r="I32" s="11">
        <f>IF(I9="","",(I9/$O$23))</f>
        <v>6.583566812313342E-2</v>
      </c>
      <c r="J32" s="11">
        <f>IF(J9="","",(J9/$O$23))</f>
        <v>0.11692410966092201</v>
      </c>
      <c r="K32" s="11">
        <f>IF(K9="","",(K9/$O$23))</f>
        <v>5.8219399816671291E-2</v>
      </c>
      <c r="L32" s="11">
        <f>IF(L9="","",(L9/$O$23))</f>
        <v>0.11355084230550157</v>
      </c>
      <c r="M32" s="11">
        <f>IF(M9="","",(M9/$O$23))</f>
        <v>0.1343904076626761</v>
      </c>
      <c r="N32" s="6"/>
      <c r="O32" s="11">
        <f t="shared" si="7"/>
        <v>1.1289951470700665</v>
      </c>
      <c r="P32" s="11">
        <f t="shared" si="7"/>
        <v>1.6836281843600702</v>
      </c>
      <c r="Q32" s="11">
        <f t="shared" si="7"/>
        <v>3.5545662577070654E-2</v>
      </c>
      <c r="R32" s="11">
        <f t="shared" si="7"/>
        <v>0.47221391010964808</v>
      </c>
      <c r="S32" s="11" t="str">
        <f t="shared" si="7"/>
        <v/>
      </c>
      <c r="T32" s="11">
        <f t="shared" si="7"/>
        <v>0.84525313355074227</v>
      </c>
      <c r="U32" s="11">
        <f t="shared" si="7"/>
        <v>1.4964150606537803</v>
      </c>
      <c r="V32" s="11">
        <f t="shared" si="7"/>
        <v>0.5878040765833511</v>
      </c>
      <c r="W32" s="11" t="str">
        <f t="shared" si="7"/>
        <v/>
      </c>
      <c r="X32" s="11" t="str">
        <f t="shared" si="7"/>
        <v/>
      </c>
      <c r="Y32" s="11" t="str">
        <f t="shared" si="7"/>
        <v/>
      </c>
      <c r="Z32" s="11" t="str">
        <f t="shared" si="7"/>
        <v/>
      </c>
      <c r="AA32" s="11" t="str">
        <f t="shared" si="7"/>
        <v/>
      </c>
      <c r="AB32" s="11" t="str">
        <f t="shared" si="7"/>
        <v/>
      </c>
      <c r="AC32" s="11" t="str">
        <f t="shared" si="7"/>
        <v/>
      </c>
      <c r="AD32" s="11" t="str">
        <f t="shared" si="7"/>
        <v/>
      </c>
      <c r="AE32" s="11" t="str">
        <f t="shared" si="7"/>
        <v/>
      </c>
      <c r="AF32" s="11" t="str">
        <f t="shared" si="7"/>
        <v/>
      </c>
      <c r="AG32" s="11" t="str">
        <f t="shared" si="7"/>
        <v/>
      </c>
      <c r="AH32" s="11" t="str">
        <f t="shared" si="7"/>
        <v/>
      </c>
      <c r="AI32" s="11" t="str">
        <f t="shared" si="7"/>
        <v/>
      </c>
      <c r="AJ32" s="11" t="str">
        <f t="shared" si="7"/>
        <v/>
      </c>
      <c r="AK32" s="11" t="str">
        <f t="shared" si="7"/>
        <v/>
      </c>
    </row>
    <row r="33" spans="1:37" x14ac:dyDescent="0.25">
      <c r="A33" s="232"/>
      <c r="B33" s="11">
        <f>IF(B10="","",(B10/$O$23))</f>
        <v>2.5055778645348824E-2</v>
      </c>
      <c r="C33" s="11">
        <f>IF(C10="","",(C10/$O$23))</f>
        <v>7.1979191936934375E-2</v>
      </c>
      <c r="D33" s="11">
        <f>IF(D10="","",(D10/$O$23))</f>
        <v>5.4015632488783084E-2</v>
      </c>
      <c r="E33" s="11">
        <f>IF(E10="","",(E10/$O$23))</f>
        <v>0.86843690789133843</v>
      </c>
      <c r="F33" s="11">
        <f>IF(F10="","",(F10/$O$23))</f>
        <v>0.94234514124903856</v>
      </c>
      <c r="G33" s="11">
        <f>IF(G10="","",(G10/$O$23))</f>
        <v>0.97094513375069091</v>
      </c>
      <c r="H33" s="11">
        <f>IF(H10="","",(H10/$O$23))</f>
        <v>2.56501911147262</v>
      </c>
      <c r="I33" s="11">
        <f>IF(I10="","",(I10/$O$23))</f>
        <v>0.14887198305595428</v>
      </c>
      <c r="J33" s="11">
        <f>IF(J10="","",(J10/$O$23))</f>
        <v>0</v>
      </c>
      <c r="K33" s="11">
        <f>IF(K10="","",(K10/$O$23))</f>
        <v>1.4533584671030001E-2</v>
      </c>
      <c r="L33" s="11">
        <f>IF(L10="","",(L10/$O$23))</f>
        <v>0.10888352477464007</v>
      </c>
      <c r="M33" s="11">
        <f>IF(M10="","",(M10/$O$23))</f>
        <v>1.0698580431353467E-4</v>
      </c>
      <c r="N33" s="6"/>
      <c r="O33" s="11">
        <f t="shared" si="7"/>
        <v>1.6754900099573727E-2</v>
      </c>
      <c r="P33" s="11">
        <f t="shared" si="7"/>
        <v>2.3196540104365071</v>
      </c>
      <c r="Q33" s="11">
        <f t="shared" si="7"/>
        <v>4.2274064100739729E-2</v>
      </c>
      <c r="R33" s="11">
        <f t="shared" si="7"/>
        <v>0.30490739928054439</v>
      </c>
      <c r="S33" s="11">
        <f t="shared" si="7"/>
        <v>0.82747140051577717</v>
      </c>
      <c r="T33" s="11">
        <f t="shared" si="7"/>
        <v>1.0808698331633038</v>
      </c>
      <c r="U33" s="11">
        <f t="shared" si="7"/>
        <v>0.38089435527675558</v>
      </c>
      <c r="V33" s="11">
        <f t="shared" si="7"/>
        <v>2.3597375855268946E-2</v>
      </c>
      <c r="W33" s="11" t="str">
        <f t="shared" si="7"/>
        <v/>
      </c>
      <c r="X33" s="11" t="str">
        <f t="shared" si="7"/>
        <v/>
      </c>
      <c r="Y33" s="11" t="str">
        <f t="shared" si="7"/>
        <v/>
      </c>
      <c r="Z33" s="11" t="str">
        <f t="shared" si="7"/>
        <v/>
      </c>
      <c r="AA33" s="11" t="str">
        <f t="shared" si="7"/>
        <v/>
      </c>
      <c r="AB33" s="11" t="str">
        <f t="shared" si="7"/>
        <v/>
      </c>
      <c r="AC33" s="11" t="str">
        <f t="shared" si="7"/>
        <v/>
      </c>
      <c r="AD33" s="11" t="str">
        <f t="shared" si="7"/>
        <v/>
      </c>
      <c r="AE33" s="11" t="str">
        <f t="shared" si="7"/>
        <v/>
      </c>
      <c r="AF33" s="11" t="str">
        <f t="shared" si="7"/>
        <v/>
      </c>
      <c r="AG33" s="11" t="str">
        <f t="shared" si="7"/>
        <v/>
      </c>
      <c r="AH33" s="11" t="str">
        <f t="shared" si="7"/>
        <v/>
      </c>
      <c r="AI33" s="11" t="str">
        <f t="shared" si="7"/>
        <v/>
      </c>
      <c r="AJ33" s="11" t="str">
        <f t="shared" si="7"/>
        <v/>
      </c>
      <c r="AK33" s="11" t="str">
        <f t="shared" si="7"/>
        <v/>
      </c>
    </row>
    <row r="34" spans="1:37" x14ac:dyDescent="0.25">
      <c r="A34" s="232"/>
      <c r="B34" s="11">
        <f>IF(B11="","",(B11/$O$23))</f>
        <v>9.3501471791126625E-2</v>
      </c>
      <c r="C34" s="11">
        <f>IF(C11="","",(C11/$O$23))</f>
        <v>5.8586844127634104E-2</v>
      </c>
      <c r="D34" s="11">
        <f>IF(D11="","",(D11/$O$23))</f>
        <v>0.24802144810962379</v>
      </c>
      <c r="E34" s="11">
        <f>IF(E11="","",(E11/$O$23))</f>
        <v>7.3787070697961379E-2</v>
      </c>
      <c r="F34" s="11">
        <f>IF(F11="","",(F11/$O$23))</f>
        <v>0.12004384209024964</v>
      </c>
      <c r="G34" s="11">
        <f>IF(G11="","",(G11/$O$23))</f>
        <v>1.2998813138940366</v>
      </c>
      <c r="H34" s="11">
        <f>IF(H11="","",(H11/$O$23))</f>
        <v>2.3356067642744631</v>
      </c>
      <c r="I34" s="11">
        <f>IF(I11="","",(I11/$O$23))</f>
        <v>0.21073565895268614</v>
      </c>
      <c r="J34" s="11">
        <f>IF(J11="","",(J11/$O$23))</f>
        <v>8.5029317050156206E-2</v>
      </c>
      <c r="K34" s="11">
        <f>IF(K11="","",(K11/$O$23))</f>
        <v>4.7911342298135637E-2</v>
      </c>
      <c r="L34" s="11" t="str">
        <f>IF(L11="","",(L11/$O$23))</f>
        <v/>
      </c>
      <c r="M34" s="11">
        <f>IF(M11="","",(M11/$O$23))</f>
        <v>0.12916483523765776</v>
      </c>
      <c r="N34" s="6"/>
      <c r="O34" s="11">
        <f t="shared" si="7"/>
        <v>1.74643330236533</v>
      </c>
      <c r="P34" s="11" t="str">
        <f t="shared" si="7"/>
        <v/>
      </c>
      <c r="Q34" s="11">
        <f t="shared" si="7"/>
        <v>0.16473538973530061</v>
      </c>
      <c r="R34" s="11">
        <f t="shared" si="7"/>
        <v>9.5309185704997537E-2</v>
      </c>
      <c r="S34" s="11">
        <f t="shared" si="7"/>
        <v>1.5826924355228238</v>
      </c>
      <c r="T34" s="11">
        <f t="shared" si="7"/>
        <v>1.1295371645193468</v>
      </c>
      <c r="U34" s="11">
        <f t="shared" si="7"/>
        <v>1.1878101396617529</v>
      </c>
      <c r="V34" s="11">
        <f t="shared" si="7"/>
        <v>0.85086189319013172</v>
      </c>
      <c r="W34" s="11" t="str">
        <f t="shared" si="7"/>
        <v/>
      </c>
      <c r="X34" s="11" t="str">
        <f t="shared" si="7"/>
        <v/>
      </c>
      <c r="Y34" s="11" t="str">
        <f t="shared" si="7"/>
        <v/>
      </c>
      <c r="Z34" s="11" t="str">
        <f t="shared" si="7"/>
        <v/>
      </c>
      <c r="AA34" s="11" t="str">
        <f t="shared" si="7"/>
        <v/>
      </c>
      <c r="AB34" s="11" t="str">
        <f t="shared" si="7"/>
        <v/>
      </c>
      <c r="AC34" s="11" t="str">
        <f t="shared" si="7"/>
        <v/>
      </c>
      <c r="AD34" s="11" t="str">
        <f t="shared" si="7"/>
        <v/>
      </c>
      <c r="AE34" s="11" t="str">
        <f t="shared" si="7"/>
        <v/>
      </c>
      <c r="AF34" s="11" t="str">
        <f t="shared" si="7"/>
        <v/>
      </c>
      <c r="AG34" s="11" t="str">
        <f t="shared" si="7"/>
        <v/>
      </c>
      <c r="AH34" s="11" t="str">
        <f t="shared" si="7"/>
        <v/>
      </c>
      <c r="AI34" s="11" t="str">
        <f t="shared" si="7"/>
        <v/>
      </c>
      <c r="AJ34" s="11" t="str">
        <f t="shared" si="7"/>
        <v/>
      </c>
      <c r="AK34" s="11" t="str">
        <f t="shared" si="7"/>
        <v/>
      </c>
    </row>
    <row r="35" spans="1:37" x14ac:dyDescent="0.25">
      <c r="A35" s="232"/>
      <c r="B35" s="11">
        <f>IF(B12="","",(B12/$O$23))</f>
        <v>0.1396156503933822</v>
      </c>
      <c r="C35" s="11">
        <f>IF(C12="","",(C12/$O$23))</f>
        <v>0.12754240952725129</v>
      </c>
      <c r="D35" s="11">
        <f>IF(D12="","",(D12/$O$23))</f>
        <v>0.20530163729877035</v>
      </c>
      <c r="E35" s="11">
        <f>IF(E12="","",(E12/$O$23))</f>
        <v>0.21754236287550613</v>
      </c>
      <c r="F35" s="11">
        <f>IF(F12="","",(F12/$O$23))</f>
        <v>0.564595575169339</v>
      </c>
      <c r="G35" s="11">
        <f>IF(G12="","",(G12/$O$23))</f>
        <v>1.7302845452587623</v>
      </c>
      <c r="H35" s="11">
        <f>IF(H12="","",(H12/$O$23))</f>
        <v>2.3932628813587162</v>
      </c>
      <c r="I35" s="11">
        <f>IF(I12="","",(I12/$O$23))</f>
        <v>1.7895807266991252E-2</v>
      </c>
      <c r="J35" s="11">
        <f>IF(J12="","",(J12/$O$23))</f>
        <v>2.0869485116007974E-2</v>
      </c>
      <c r="K35" s="11">
        <f>IF(K12="","",(K12/$O$23))</f>
        <v>9.5722787219670341E-2</v>
      </c>
      <c r="L35" s="11">
        <f>IF(L12="","",(L12/$O$23))</f>
        <v>0.24194204983954853</v>
      </c>
      <c r="M35" s="11">
        <f>IF(M12="","",(M12/$O$23))</f>
        <v>1.0982117539857748E-3</v>
      </c>
      <c r="N35" s="6"/>
      <c r="O35" s="11">
        <f t="shared" si="7"/>
        <v>1.1426301498931564</v>
      </c>
      <c r="P35" s="11">
        <f t="shared" si="7"/>
        <v>0.61394026348982611</v>
      </c>
      <c r="Q35" s="11" t="str">
        <f t="shared" si="7"/>
        <v/>
      </c>
      <c r="R35" s="11">
        <f t="shared" si="7"/>
        <v>1.1924738305551799</v>
      </c>
      <c r="S35" s="11">
        <f t="shared" si="7"/>
        <v>0.83202101717717825</v>
      </c>
      <c r="T35" s="11">
        <f t="shared" si="7"/>
        <v>0.90778345134677141</v>
      </c>
      <c r="U35" s="11">
        <f t="shared" si="7"/>
        <v>1.3690831609448779</v>
      </c>
      <c r="V35" s="11">
        <f t="shared" si="7"/>
        <v>1.1274119549828134</v>
      </c>
      <c r="W35" s="11" t="str">
        <f t="shared" si="7"/>
        <v/>
      </c>
      <c r="X35" s="11" t="str">
        <f t="shared" si="7"/>
        <v/>
      </c>
      <c r="Y35" s="11" t="str">
        <f t="shared" si="7"/>
        <v/>
      </c>
      <c r="Z35" s="11" t="str">
        <f t="shared" si="7"/>
        <v/>
      </c>
      <c r="AA35" s="11" t="str">
        <f t="shared" si="7"/>
        <v/>
      </c>
      <c r="AB35" s="11" t="str">
        <f t="shared" si="7"/>
        <v/>
      </c>
      <c r="AC35" s="11" t="str">
        <f t="shared" si="7"/>
        <v/>
      </c>
      <c r="AD35" s="11" t="str">
        <f t="shared" si="7"/>
        <v/>
      </c>
      <c r="AE35" s="11" t="str">
        <f t="shared" si="7"/>
        <v/>
      </c>
      <c r="AF35" s="11" t="str">
        <f t="shared" si="7"/>
        <v/>
      </c>
      <c r="AG35" s="11" t="str">
        <f t="shared" si="7"/>
        <v/>
      </c>
      <c r="AH35" s="11" t="str">
        <f t="shared" si="7"/>
        <v/>
      </c>
      <c r="AI35" s="11" t="str">
        <f t="shared" si="7"/>
        <v/>
      </c>
      <c r="AJ35" s="11" t="str">
        <f t="shared" si="7"/>
        <v/>
      </c>
      <c r="AK35" s="11" t="str">
        <f t="shared" si="7"/>
        <v/>
      </c>
    </row>
    <row r="36" spans="1:37" x14ac:dyDescent="0.25">
      <c r="A36" s="232"/>
      <c r="B36" s="11" t="str">
        <f>IF(B13="","",(B13/$O$23))</f>
        <v/>
      </c>
      <c r="C36" s="11" t="str">
        <f>IF(C13="","",(C13/$O$23))</f>
        <v/>
      </c>
      <c r="D36" s="11" t="str">
        <f>IF(D13="","",(D13/$O$23))</f>
        <v/>
      </c>
      <c r="E36" s="11" t="str">
        <f>IF(E13="","",(E13/$O$23))</f>
        <v/>
      </c>
      <c r="F36" s="11" t="str">
        <f>IF(F13="","",(F13/$O$23))</f>
        <v/>
      </c>
      <c r="G36" s="11" t="str">
        <f>IF(G13="","",(G13/$O$23))</f>
        <v/>
      </c>
      <c r="H36" s="11" t="str">
        <f>IF(H13="","",(H13/$O$23))</f>
        <v/>
      </c>
      <c r="I36" s="11" t="str">
        <f>IF(I13="","",(I13/$O$23))</f>
        <v/>
      </c>
      <c r="J36" s="11" t="str">
        <f>IF(J13="","",(J13/$O$23))</f>
        <v/>
      </c>
      <c r="K36" s="11" t="str">
        <f>IF(K13="","",(K13/$O$23))</f>
        <v/>
      </c>
      <c r="L36" s="11" t="str">
        <f>IF(L13="","",(L13/$O$23))</f>
        <v/>
      </c>
      <c r="M36" s="11" t="str">
        <f>IF(M13="","",(M13/$O$23))</f>
        <v/>
      </c>
      <c r="N36" s="6"/>
      <c r="O36" s="11">
        <f t="shared" si="7"/>
        <v>0.87751504077815867</v>
      </c>
      <c r="P36" s="11" t="str">
        <f t="shared" si="7"/>
        <v/>
      </c>
      <c r="Q36" s="11" t="str">
        <f t="shared" si="7"/>
        <v/>
      </c>
      <c r="R36" s="11" t="str">
        <f t="shared" si="7"/>
        <v/>
      </c>
      <c r="S36" s="11" t="str">
        <f t="shared" si="7"/>
        <v/>
      </c>
      <c r="T36" s="11" t="str">
        <f t="shared" si="7"/>
        <v/>
      </c>
      <c r="U36" s="11" t="str">
        <f t="shared" si="7"/>
        <v/>
      </c>
      <c r="V36" s="11" t="str">
        <f t="shared" si="7"/>
        <v/>
      </c>
      <c r="W36" s="11" t="str">
        <f t="shared" si="7"/>
        <v/>
      </c>
      <c r="X36" s="11" t="str">
        <f t="shared" si="7"/>
        <v/>
      </c>
      <c r="Y36" s="11" t="str">
        <f t="shared" si="7"/>
        <v/>
      </c>
      <c r="Z36" s="11" t="str">
        <f t="shared" si="7"/>
        <v/>
      </c>
      <c r="AA36" s="11" t="str">
        <f t="shared" si="7"/>
        <v/>
      </c>
      <c r="AB36" s="11" t="str">
        <f t="shared" si="7"/>
        <v/>
      </c>
      <c r="AC36" s="11" t="str">
        <f t="shared" si="7"/>
        <v/>
      </c>
      <c r="AD36" s="11" t="str">
        <f t="shared" si="7"/>
        <v/>
      </c>
      <c r="AE36" s="11" t="str">
        <f t="shared" si="7"/>
        <v/>
      </c>
      <c r="AF36" s="11" t="str">
        <f t="shared" si="7"/>
        <v/>
      </c>
      <c r="AG36" s="11" t="str">
        <f t="shared" si="7"/>
        <v/>
      </c>
      <c r="AH36" s="11" t="str">
        <f t="shared" si="7"/>
        <v/>
      </c>
      <c r="AI36" s="11" t="str">
        <f t="shared" si="7"/>
        <v/>
      </c>
      <c r="AJ36" s="11" t="str">
        <f t="shared" si="7"/>
        <v/>
      </c>
      <c r="AK36" s="11" t="str">
        <f t="shared" si="7"/>
        <v/>
      </c>
    </row>
    <row r="37" spans="1:37" x14ac:dyDescent="0.25">
      <c r="A37" s="232"/>
      <c r="B37" s="11" t="str">
        <f>IF(B14="","",(B14/$O$23))</f>
        <v/>
      </c>
      <c r="C37" s="11" t="str">
        <f>IF(C14="","",(C14/$O$23))</f>
        <v/>
      </c>
      <c r="D37" s="11" t="str">
        <f>IF(D14="","",(D14/$O$23))</f>
        <v/>
      </c>
      <c r="E37" s="11" t="str">
        <f>IF(E14="","",(E14/$O$23))</f>
        <v/>
      </c>
      <c r="F37" s="11" t="str">
        <f>IF(F14="","",(F14/$O$23))</f>
        <v/>
      </c>
      <c r="G37" s="11" t="str">
        <f>IF(G14="","",(G14/$O$23))</f>
        <v/>
      </c>
      <c r="H37" s="11" t="str">
        <f>IF(H14="","",(H14/$O$23))</f>
        <v/>
      </c>
      <c r="I37" s="11" t="str">
        <f>IF(I14="","",(I14/$O$23))</f>
        <v/>
      </c>
      <c r="J37" s="11" t="str">
        <f>IF(J14="","",(J14/$O$23))</f>
        <v/>
      </c>
      <c r="K37" s="11" t="str">
        <f>IF(K14="","",(K14/$O$23))</f>
        <v/>
      </c>
      <c r="L37" s="11" t="str">
        <f>IF(L14="","",(L14/$O$23))</f>
        <v/>
      </c>
      <c r="M37" s="11" t="str">
        <f>IF(M14="","",(M14/$O$23))</f>
        <v/>
      </c>
      <c r="N37" s="6"/>
      <c r="O37" s="11">
        <f t="shared" si="7"/>
        <v>1.63148455617604</v>
      </c>
      <c r="P37" s="11" t="str">
        <f t="shared" si="7"/>
        <v/>
      </c>
      <c r="Q37" s="11" t="str">
        <f t="shared" si="7"/>
        <v/>
      </c>
      <c r="R37" s="11" t="str">
        <f t="shared" si="7"/>
        <v/>
      </c>
      <c r="S37" s="11" t="str">
        <f t="shared" si="7"/>
        <v/>
      </c>
      <c r="T37" s="11" t="str">
        <f t="shared" si="7"/>
        <v/>
      </c>
      <c r="U37" s="11" t="str">
        <f t="shared" si="7"/>
        <v/>
      </c>
      <c r="V37" s="11" t="str">
        <f t="shared" si="7"/>
        <v/>
      </c>
      <c r="W37" s="11" t="str">
        <f t="shared" si="7"/>
        <v/>
      </c>
      <c r="X37" s="11" t="str">
        <f t="shared" si="7"/>
        <v/>
      </c>
      <c r="Y37" s="11" t="str">
        <f t="shared" si="7"/>
        <v/>
      </c>
      <c r="Z37" s="11" t="str">
        <f t="shared" si="7"/>
        <v/>
      </c>
      <c r="AA37" s="11" t="str">
        <f t="shared" si="7"/>
        <v/>
      </c>
      <c r="AB37" s="11" t="str">
        <f t="shared" si="7"/>
        <v/>
      </c>
      <c r="AC37" s="11" t="str">
        <f t="shared" si="7"/>
        <v/>
      </c>
      <c r="AD37" s="11" t="str">
        <f t="shared" si="7"/>
        <v/>
      </c>
      <c r="AE37" s="11" t="str">
        <f t="shared" si="7"/>
        <v/>
      </c>
      <c r="AF37" s="11" t="str">
        <f t="shared" si="7"/>
        <v/>
      </c>
      <c r="AG37" s="11" t="str">
        <f t="shared" si="7"/>
        <v/>
      </c>
      <c r="AH37" s="11" t="str">
        <f t="shared" si="7"/>
        <v/>
      </c>
      <c r="AI37" s="11" t="str">
        <f t="shared" si="7"/>
        <v/>
      </c>
      <c r="AJ37" s="11" t="str">
        <f t="shared" si="7"/>
        <v/>
      </c>
      <c r="AK37" s="11" t="str">
        <f t="shared" si="7"/>
        <v/>
      </c>
    </row>
    <row r="38" spans="1:37" x14ac:dyDescent="0.25">
      <c r="A38" s="232"/>
      <c r="B38" s="11" t="str">
        <f>IF(B15="","",(B15/$O$23))</f>
        <v/>
      </c>
      <c r="C38" s="11" t="str">
        <f>IF(C15="","",(C15/$O$23))</f>
        <v/>
      </c>
      <c r="D38" s="11" t="str">
        <f>IF(D15="","",(D15/$O$23))</f>
        <v/>
      </c>
      <c r="E38" s="11" t="str">
        <f>IF(E15="","",(E15/$O$23))</f>
        <v/>
      </c>
      <c r="F38" s="11" t="str">
        <f>IF(F15="","",(F15/$O$23))</f>
        <v/>
      </c>
      <c r="G38" s="11" t="str">
        <f>IF(G15="","",(G15/$O$23))</f>
        <v/>
      </c>
      <c r="H38" s="11" t="str">
        <f>IF(H15="","",(H15/$O$23))</f>
        <v/>
      </c>
      <c r="I38" s="11" t="str">
        <f>IF(I15="","",(I15/$O$23))</f>
        <v/>
      </c>
      <c r="J38" s="11" t="str">
        <f>IF(J15="","",(J15/$O$23))</f>
        <v/>
      </c>
      <c r="K38" s="11" t="str">
        <f>IF(K15="","",(K15/$O$23))</f>
        <v/>
      </c>
      <c r="L38" s="11" t="str">
        <f>IF(L15="","",(L15/$O$23))</f>
        <v/>
      </c>
      <c r="M38" s="11" t="str">
        <f>IF(M15="","",(M15/$O$23))</f>
        <v/>
      </c>
      <c r="N38" s="6"/>
      <c r="O38" s="11" t="str">
        <f t="shared" si="7"/>
        <v/>
      </c>
      <c r="P38" s="11" t="str">
        <f t="shared" si="7"/>
        <v/>
      </c>
      <c r="Q38" s="11" t="str">
        <f t="shared" si="7"/>
        <v/>
      </c>
      <c r="R38" s="11" t="str">
        <f t="shared" si="7"/>
        <v/>
      </c>
      <c r="S38" s="11" t="str">
        <f t="shared" si="7"/>
        <v/>
      </c>
      <c r="T38" s="11" t="str">
        <f t="shared" si="7"/>
        <v/>
      </c>
      <c r="U38" s="11" t="str">
        <f t="shared" si="7"/>
        <v/>
      </c>
      <c r="V38" s="11" t="str">
        <f t="shared" si="7"/>
        <v/>
      </c>
      <c r="W38" s="11" t="str">
        <f t="shared" si="7"/>
        <v/>
      </c>
      <c r="X38" s="11" t="str">
        <f t="shared" si="7"/>
        <v/>
      </c>
      <c r="Y38" s="11" t="str">
        <f t="shared" si="7"/>
        <v/>
      </c>
      <c r="Z38" s="11" t="str">
        <f t="shared" si="7"/>
        <v/>
      </c>
      <c r="AA38" s="11" t="str">
        <f t="shared" si="7"/>
        <v/>
      </c>
      <c r="AB38" s="11" t="str">
        <f t="shared" si="7"/>
        <v/>
      </c>
      <c r="AC38" s="11" t="str">
        <f t="shared" si="7"/>
        <v/>
      </c>
      <c r="AD38" s="11" t="str">
        <f t="shared" si="7"/>
        <v/>
      </c>
      <c r="AE38" s="11" t="str">
        <f t="shared" si="7"/>
        <v/>
      </c>
      <c r="AF38" s="11" t="str">
        <f t="shared" si="7"/>
        <v/>
      </c>
      <c r="AG38" s="11" t="str">
        <f t="shared" si="7"/>
        <v/>
      </c>
      <c r="AH38" s="11" t="str">
        <f t="shared" si="7"/>
        <v/>
      </c>
      <c r="AI38" s="11" t="str">
        <f t="shared" si="7"/>
        <v/>
      </c>
      <c r="AJ38" s="11" t="str">
        <f t="shared" si="7"/>
        <v/>
      </c>
      <c r="AK38" s="11" t="str">
        <f t="shared" si="7"/>
        <v/>
      </c>
    </row>
    <row r="39" spans="1:37" x14ac:dyDescent="0.25">
      <c r="A39" s="232"/>
      <c r="B39" s="11" t="str">
        <f>IF(B16="","",(B16/$O$23))</f>
        <v/>
      </c>
      <c r="C39" s="11" t="str">
        <f>IF(C16="","",(C16/$O$23))</f>
        <v/>
      </c>
      <c r="D39" s="11" t="str">
        <f>IF(D16="","",(D16/$O$23))</f>
        <v/>
      </c>
      <c r="E39" s="11" t="str">
        <f>IF(E16="","",(E16/$O$23))</f>
        <v/>
      </c>
      <c r="F39" s="11" t="str">
        <f>IF(F16="","",(F16/$O$23))</f>
        <v/>
      </c>
      <c r="G39" s="11" t="str">
        <f>IF(G16="","",(G16/$O$23))</f>
        <v/>
      </c>
      <c r="H39" s="11" t="str">
        <f>IF(H16="","",(H16/$O$23))</f>
        <v/>
      </c>
      <c r="I39" s="11" t="str">
        <f>IF(I16="","",(I16/$O$23))</f>
        <v/>
      </c>
      <c r="J39" s="11" t="str">
        <f>IF(J16="","",(J16/$O$23))</f>
        <v/>
      </c>
      <c r="K39" s="11" t="str">
        <f>IF(K16="","",(K16/$O$23))</f>
        <v/>
      </c>
      <c r="L39" s="11" t="str">
        <f>IF(L16="","",(L16/$O$23))</f>
        <v/>
      </c>
      <c r="M39" s="11" t="str">
        <f>IF(M16="","",(M16/$O$23))</f>
        <v/>
      </c>
      <c r="N39" s="6"/>
      <c r="O39" s="11">
        <f t="shared" si="7"/>
        <v>1.0573509245543418</v>
      </c>
      <c r="P39" s="11" t="str">
        <f t="shared" si="7"/>
        <v/>
      </c>
      <c r="Q39" s="11" t="str">
        <f t="shared" ref="Q39:AK39" si="8">IF(Q16="","",(Q16/$O$23))</f>
        <v/>
      </c>
      <c r="R39" s="11" t="str">
        <f t="shared" si="8"/>
        <v/>
      </c>
      <c r="S39" s="11" t="str">
        <f t="shared" si="8"/>
        <v/>
      </c>
      <c r="T39" s="11" t="str">
        <f t="shared" si="8"/>
        <v/>
      </c>
      <c r="U39" s="11" t="str">
        <f t="shared" si="8"/>
        <v/>
      </c>
      <c r="V39" s="11" t="str">
        <f t="shared" si="8"/>
        <v/>
      </c>
      <c r="W39" s="11" t="str">
        <f t="shared" si="8"/>
        <v/>
      </c>
      <c r="X39" s="11" t="str">
        <f t="shared" si="8"/>
        <v/>
      </c>
      <c r="Y39" s="11" t="str">
        <f t="shared" si="8"/>
        <v/>
      </c>
      <c r="Z39" s="11" t="str">
        <f t="shared" si="8"/>
        <v/>
      </c>
      <c r="AA39" s="11" t="str">
        <f t="shared" si="8"/>
        <v/>
      </c>
      <c r="AB39" s="11" t="str">
        <f t="shared" si="8"/>
        <v/>
      </c>
      <c r="AC39" s="11" t="str">
        <f t="shared" si="8"/>
        <v/>
      </c>
      <c r="AD39" s="11" t="str">
        <f t="shared" si="8"/>
        <v/>
      </c>
      <c r="AE39" s="11" t="str">
        <f t="shared" si="8"/>
        <v/>
      </c>
      <c r="AF39" s="11" t="str">
        <f t="shared" si="8"/>
        <v/>
      </c>
      <c r="AG39" s="11" t="str">
        <f t="shared" si="8"/>
        <v/>
      </c>
      <c r="AH39" s="11" t="str">
        <f t="shared" si="8"/>
        <v/>
      </c>
      <c r="AI39" s="11" t="str">
        <f t="shared" si="8"/>
        <v/>
      </c>
      <c r="AJ39" s="11" t="str">
        <f t="shared" si="8"/>
        <v/>
      </c>
      <c r="AK39" s="11" t="str">
        <f t="shared" si="8"/>
        <v/>
      </c>
    </row>
    <row r="40" spans="1:37" x14ac:dyDescent="0.25">
      <c r="A40" s="232"/>
      <c r="B40" s="11" t="str">
        <f>IF(B17="","",(B17/$O$23))</f>
        <v/>
      </c>
      <c r="C40" s="11" t="str">
        <f>IF(C17="","",(C17/$O$23))</f>
        <v/>
      </c>
      <c r="D40" s="11" t="str">
        <f>IF(D17="","",(D17/$O$23))</f>
        <v/>
      </c>
      <c r="E40" s="11" t="str">
        <f>IF(E17="","",(E17/$O$23))</f>
        <v/>
      </c>
      <c r="F40" s="11" t="str">
        <f>IF(F17="","",(F17/$O$23))</f>
        <v/>
      </c>
      <c r="G40" s="11" t="str">
        <f>IF(G17="","",(G17/$O$23))</f>
        <v/>
      </c>
      <c r="H40" s="11" t="str">
        <f>IF(H17="","",(H17/$O$23))</f>
        <v/>
      </c>
      <c r="I40" s="11" t="str">
        <f>IF(I17="","",(I17/$O$23))</f>
        <v/>
      </c>
      <c r="J40" s="11" t="str">
        <f>IF(J17="","",(J17/$O$23))</f>
        <v/>
      </c>
      <c r="K40" s="11" t="str">
        <f>IF(K17="","",(K17/$O$23))</f>
        <v/>
      </c>
      <c r="L40" s="11" t="str">
        <f>IF(L17="","",(L17/$O$23))</f>
        <v/>
      </c>
      <c r="M40" s="11" t="str">
        <f>IF(M17="","",(M17/$O$23))</f>
        <v/>
      </c>
      <c r="N40" s="6"/>
      <c r="O40" s="11">
        <f t="shared" ref="O40:AK43" si="9">IF(O17="","",(O17/$O$23))</f>
        <v>1.2188203624328477</v>
      </c>
      <c r="P40" s="11" t="str">
        <f t="shared" si="9"/>
        <v/>
      </c>
      <c r="Q40" s="11" t="str">
        <f t="shared" si="9"/>
        <v/>
      </c>
      <c r="R40" s="11" t="str">
        <f t="shared" si="9"/>
        <v/>
      </c>
      <c r="S40" s="11" t="str">
        <f t="shared" si="9"/>
        <v/>
      </c>
      <c r="T40" s="11" t="str">
        <f t="shared" si="9"/>
        <v/>
      </c>
      <c r="U40" s="11" t="str">
        <f t="shared" si="9"/>
        <v/>
      </c>
      <c r="V40" s="11" t="str">
        <f t="shared" si="9"/>
        <v/>
      </c>
      <c r="W40" s="11" t="str">
        <f t="shared" si="9"/>
        <v/>
      </c>
      <c r="X40" s="11" t="str">
        <f t="shared" si="9"/>
        <v/>
      </c>
      <c r="Y40" s="11" t="str">
        <f t="shared" si="9"/>
        <v/>
      </c>
      <c r="Z40" s="11" t="str">
        <f t="shared" si="9"/>
        <v/>
      </c>
      <c r="AA40" s="11" t="str">
        <f t="shared" si="9"/>
        <v/>
      </c>
      <c r="AB40" s="11" t="str">
        <f t="shared" si="9"/>
        <v/>
      </c>
      <c r="AC40" s="11" t="str">
        <f t="shared" si="9"/>
        <v/>
      </c>
      <c r="AD40" s="11" t="str">
        <f t="shared" si="9"/>
        <v/>
      </c>
      <c r="AE40" s="11" t="str">
        <f t="shared" si="9"/>
        <v/>
      </c>
      <c r="AF40" s="11" t="str">
        <f t="shared" si="9"/>
        <v/>
      </c>
      <c r="AG40" s="11" t="str">
        <f t="shared" si="9"/>
        <v/>
      </c>
      <c r="AH40" s="11" t="str">
        <f t="shared" si="9"/>
        <v/>
      </c>
      <c r="AI40" s="11" t="str">
        <f t="shared" si="9"/>
        <v/>
      </c>
      <c r="AJ40" s="11" t="str">
        <f t="shared" si="9"/>
        <v/>
      </c>
      <c r="AK40" s="11" t="str">
        <f t="shared" si="9"/>
        <v/>
      </c>
    </row>
    <row r="41" spans="1:37" x14ac:dyDescent="0.25">
      <c r="A41" s="232"/>
      <c r="B41" s="11" t="str">
        <f>IF(B18="","",(B18/$O$23))</f>
        <v/>
      </c>
      <c r="C41" s="11" t="str">
        <f>IF(C18="","",(C18/$O$23))</f>
        <v/>
      </c>
      <c r="D41" s="11" t="str">
        <f>IF(D18="","",(D18/$O$23))</f>
        <v/>
      </c>
      <c r="E41" s="11" t="str">
        <f>IF(E18="","",(E18/$O$23))</f>
        <v/>
      </c>
      <c r="F41" s="11" t="str">
        <f>IF(F18="","",(F18/$O$23))</f>
        <v/>
      </c>
      <c r="G41" s="11" t="str">
        <f>IF(G18="","",(G18/$O$23))</f>
        <v/>
      </c>
      <c r="H41" s="11" t="str">
        <f>IF(H18="","",(H18/$O$23))</f>
        <v/>
      </c>
      <c r="I41" s="11" t="str">
        <f>IF(I18="","",(I18/$O$23))</f>
        <v/>
      </c>
      <c r="J41" s="11" t="str">
        <f>IF(J18="","",(J18/$O$23))</f>
        <v/>
      </c>
      <c r="K41" s="11" t="str">
        <f>IF(K18="","",(K18/$O$23))</f>
        <v/>
      </c>
      <c r="L41" s="11" t="str">
        <f>IF(L18="","",(L18/$O$23))</f>
        <v/>
      </c>
      <c r="M41" s="11" t="str">
        <f>IF(M18="","",(M18/$O$23))</f>
        <v/>
      </c>
      <c r="N41" s="6"/>
      <c r="O41" s="11">
        <f t="shared" si="9"/>
        <v>1.1697216260692722</v>
      </c>
      <c r="P41" s="11" t="str">
        <f t="shared" si="9"/>
        <v/>
      </c>
      <c r="Q41" s="11" t="str">
        <f t="shared" si="9"/>
        <v/>
      </c>
      <c r="R41" s="11" t="str">
        <f t="shared" si="9"/>
        <v/>
      </c>
      <c r="S41" s="11" t="str">
        <f t="shared" si="9"/>
        <v/>
      </c>
      <c r="T41" s="11" t="str">
        <f t="shared" si="9"/>
        <v/>
      </c>
      <c r="U41" s="11" t="str">
        <f t="shared" si="9"/>
        <v/>
      </c>
      <c r="V41" s="11" t="str">
        <f t="shared" si="9"/>
        <v/>
      </c>
      <c r="W41" s="11" t="str">
        <f t="shared" si="9"/>
        <v/>
      </c>
      <c r="X41" s="11" t="str">
        <f t="shared" si="9"/>
        <v/>
      </c>
      <c r="Y41" s="11" t="str">
        <f t="shared" si="9"/>
        <v/>
      </c>
      <c r="Z41" s="11" t="str">
        <f t="shared" si="9"/>
        <v/>
      </c>
      <c r="AA41" s="11" t="str">
        <f t="shared" si="9"/>
        <v/>
      </c>
      <c r="AB41" s="11" t="str">
        <f t="shared" si="9"/>
        <v/>
      </c>
      <c r="AC41" s="11" t="str">
        <f t="shared" si="9"/>
        <v/>
      </c>
      <c r="AD41" s="11" t="str">
        <f t="shared" si="9"/>
        <v/>
      </c>
      <c r="AE41" s="11" t="str">
        <f t="shared" si="9"/>
        <v/>
      </c>
      <c r="AF41" s="11" t="str">
        <f t="shared" si="9"/>
        <v/>
      </c>
      <c r="AG41" s="11" t="str">
        <f t="shared" si="9"/>
        <v/>
      </c>
      <c r="AH41" s="11" t="str">
        <f t="shared" si="9"/>
        <v/>
      </c>
      <c r="AI41" s="11" t="str">
        <f t="shared" si="9"/>
        <v/>
      </c>
      <c r="AJ41" s="11" t="str">
        <f t="shared" si="9"/>
        <v/>
      </c>
      <c r="AK41" s="11" t="str">
        <f t="shared" si="9"/>
        <v/>
      </c>
    </row>
    <row r="42" spans="1:37" x14ac:dyDescent="0.25">
      <c r="A42" s="232"/>
      <c r="B42" s="11" t="str">
        <f>IF(B19="","",(B19/$O$23))</f>
        <v/>
      </c>
      <c r="C42" s="11" t="str">
        <f>IF(C19="","",(C19/$O$23))</f>
        <v/>
      </c>
      <c r="D42" s="11" t="str">
        <f>IF(D19="","",(D19/$O$23))</f>
        <v/>
      </c>
      <c r="E42" s="11" t="str">
        <f>IF(E19="","",(E19/$O$23))</f>
        <v/>
      </c>
      <c r="F42" s="11" t="str">
        <f>IF(F19="","",(F19/$O$23))</f>
        <v/>
      </c>
      <c r="G42" s="11" t="str">
        <f>IF(G19="","",(G19/$O$23))</f>
        <v/>
      </c>
      <c r="H42" s="11" t="str">
        <f>IF(H19="","",(H19/$O$23))</f>
        <v/>
      </c>
      <c r="I42" s="11" t="str">
        <f>IF(I19="","",(I19/$O$23))</f>
        <v/>
      </c>
      <c r="J42" s="11" t="str">
        <f>IF(J19="","",(J19/$O$23))</f>
        <v/>
      </c>
      <c r="K42" s="11" t="str">
        <f>IF(K19="","",(K19/$O$23))</f>
        <v/>
      </c>
      <c r="L42" s="11" t="str">
        <f>IF(L19="","",(L19/$O$23))</f>
        <v/>
      </c>
      <c r="M42" s="11" t="str">
        <f>IF(M19="","",(M19/$O$23))</f>
        <v/>
      </c>
      <c r="N42" s="6"/>
      <c r="O42" s="11">
        <f t="shared" si="9"/>
        <v>0.27109823664590638</v>
      </c>
      <c r="P42" s="11" t="str">
        <f t="shared" si="9"/>
        <v/>
      </c>
      <c r="Q42" s="11" t="str">
        <f t="shared" si="9"/>
        <v/>
      </c>
      <c r="R42" s="11" t="str">
        <f t="shared" si="9"/>
        <v/>
      </c>
      <c r="S42" s="11" t="str">
        <f t="shared" si="9"/>
        <v/>
      </c>
      <c r="T42" s="11" t="str">
        <f t="shared" si="9"/>
        <v/>
      </c>
      <c r="U42" s="11" t="str">
        <f t="shared" si="9"/>
        <v/>
      </c>
      <c r="V42" s="11" t="str">
        <f t="shared" si="9"/>
        <v/>
      </c>
      <c r="W42" s="11" t="str">
        <f t="shared" si="9"/>
        <v/>
      </c>
      <c r="X42" s="11" t="str">
        <f t="shared" si="9"/>
        <v/>
      </c>
      <c r="Y42" s="11" t="str">
        <f t="shared" si="9"/>
        <v/>
      </c>
      <c r="Z42" s="11" t="str">
        <f t="shared" si="9"/>
        <v/>
      </c>
      <c r="AA42" s="11" t="str">
        <f t="shared" si="9"/>
        <v/>
      </c>
      <c r="AB42" s="11" t="str">
        <f t="shared" si="9"/>
        <v/>
      </c>
      <c r="AC42" s="11" t="str">
        <f t="shared" si="9"/>
        <v/>
      </c>
      <c r="AD42" s="11" t="str">
        <f t="shared" si="9"/>
        <v/>
      </c>
      <c r="AE42" s="11" t="str">
        <f t="shared" si="9"/>
        <v/>
      </c>
      <c r="AF42" s="11" t="str">
        <f t="shared" si="9"/>
        <v/>
      </c>
      <c r="AG42" s="11" t="str">
        <f t="shared" si="9"/>
        <v/>
      </c>
      <c r="AH42" s="11" t="str">
        <f t="shared" si="9"/>
        <v/>
      </c>
      <c r="AI42" s="11" t="str">
        <f t="shared" si="9"/>
        <v/>
      </c>
      <c r="AJ42" s="11" t="str">
        <f t="shared" si="9"/>
        <v/>
      </c>
      <c r="AK42" s="11" t="str">
        <f t="shared" si="9"/>
        <v/>
      </c>
    </row>
    <row r="43" spans="1:37" x14ac:dyDescent="0.25">
      <c r="A43" s="232"/>
      <c r="B43" s="11" t="str">
        <f>IF(B20="","",(B20/$O$23))</f>
        <v/>
      </c>
      <c r="C43" s="11" t="str">
        <f>IF(C20="","",(C20/$O$23))</f>
        <v/>
      </c>
      <c r="D43" s="11" t="str">
        <f>IF(D20="","",(D20/$O$23))</f>
        <v/>
      </c>
      <c r="E43" s="11" t="str">
        <f>IF(E20="","",(E20/$O$23))</f>
        <v/>
      </c>
      <c r="F43" s="11" t="str">
        <f>IF(F20="","",(F20/$O$23))</f>
        <v/>
      </c>
      <c r="G43" s="11" t="str">
        <f>IF(G20="","",(G20/$O$23))</f>
        <v/>
      </c>
      <c r="H43" s="11" t="str">
        <f>IF(H20="","",(H20/$O$23))</f>
        <v/>
      </c>
      <c r="I43" s="11" t="str">
        <f>IF(I20="","",(I20/$O$23))</f>
        <v/>
      </c>
      <c r="J43" s="11" t="str">
        <f>IF(J20="","",(J20/$O$23))</f>
        <v/>
      </c>
      <c r="K43" s="11" t="str">
        <f>IF(K20="","",(K20/$O$23))</f>
        <v/>
      </c>
      <c r="L43" s="11" t="str">
        <f>IF(L20="","",(L20/$O$23))</f>
        <v/>
      </c>
      <c r="M43" s="11" t="str">
        <f>IF(M20="","",(M20/$O$23))</f>
        <v/>
      </c>
      <c r="N43" s="6"/>
      <c r="O43" s="11">
        <f t="shared" si="9"/>
        <v>0.8519423838748359</v>
      </c>
      <c r="P43" s="11" t="str">
        <f t="shared" si="9"/>
        <v/>
      </c>
      <c r="Q43" s="11" t="str">
        <f t="shared" si="9"/>
        <v/>
      </c>
      <c r="R43" s="11" t="str">
        <f t="shared" si="9"/>
        <v/>
      </c>
      <c r="S43" s="11" t="str">
        <f t="shared" si="9"/>
        <v/>
      </c>
      <c r="T43" s="11" t="str">
        <f t="shared" si="9"/>
        <v/>
      </c>
      <c r="U43" s="11" t="str">
        <f t="shared" si="9"/>
        <v/>
      </c>
      <c r="V43" s="11" t="str">
        <f t="shared" si="9"/>
        <v/>
      </c>
      <c r="W43" s="11" t="str">
        <f t="shared" si="9"/>
        <v/>
      </c>
      <c r="X43" s="11" t="str">
        <f t="shared" si="9"/>
        <v/>
      </c>
      <c r="Y43" s="11" t="str">
        <f t="shared" si="9"/>
        <v/>
      </c>
      <c r="Z43" s="11" t="str">
        <f t="shared" si="9"/>
        <v/>
      </c>
      <c r="AA43" s="11" t="str">
        <f t="shared" si="9"/>
        <v/>
      </c>
      <c r="AB43" s="11" t="str">
        <f t="shared" si="9"/>
        <v/>
      </c>
      <c r="AC43" s="11" t="str">
        <f t="shared" si="9"/>
        <v/>
      </c>
      <c r="AD43" s="11" t="str">
        <f t="shared" si="9"/>
        <v/>
      </c>
      <c r="AE43" s="11" t="str">
        <f t="shared" si="9"/>
        <v/>
      </c>
      <c r="AF43" s="11" t="str">
        <f t="shared" si="9"/>
        <v/>
      </c>
      <c r="AG43" s="11" t="str">
        <f t="shared" si="9"/>
        <v/>
      </c>
      <c r="AH43" s="11" t="str">
        <f t="shared" si="9"/>
        <v/>
      </c>
      <c r="AI43" s="11" t="str">
        <f t="shared" si="9"/>
        <v/>
      </c>
      <c r="AJ43" s="11" t="str">
        <f t="shared" si="9"/>
        <v/>
      </c>
      <c r="AK43" s="11" t="str">
        <f t="shared" si="9"/>
        <v/>
      </c>
    </row>
    <row r="44" spans="1:37" x14ac:dyDescent="0.25">
      <c r="A44" s="7"/>
      <c r="B44" s="3"/>
      <c r="C44" s="3"/>
      <c r="D44" s="3"/>
      <c r="E44" s="3"/>
      <c r="F44" s="3"/>
      <c r="G44" s="3"/>
      <c r="H44" s="3"/>
      <c r="I44" s="3"/>
      <c r="J44" s="3"/>
      <c r="K44" s="3"/>
      <c r="L44" s="3"/>
      <c r="M44" s="3"/>
      <c r="N44" s="7"/>
      <c r="O44" s="3"/>
      <c r="P44" s="3"/>
      <c r="Q44" s="3"/>
      <c r="R44" s="3"/>
      <c r="S44" s="3"/>
      <c r="T44" s="3"/>
      <c r="U44" s="3"/>
      <c r="V44" s="3"/>
      <c r="W44" s="3"/>
      <c r="X44" s="3"/>
      <c r="Y44" s="3"/>
      <c r="Z44" s="3"/>
      <c r="AA44" s="3"/>
      <c r="AB44" s="3"/>
      <c r="AC44" s="3"/>
      <c r="AD44" s="3"/>
      <c r="AE44" s="3"/>
      <c r="AF44" s="3"/>
      <c r="AG44" s="3"/>
      <c r="AH44" s="3"/>
      <c r="AI44" s="3"/>
      <c r="AJ44" s="3"/>
      <c r="AK44" s="3"/>
    </row>
    <row r="45" spans="1:37" x14ac:dyDescent="0.25">
      <c r="A45" s="7" t="str">
        <f>A4</f>
        <v>Noms des groupes</v>
      </c>
      <c r="B45" s="7" t="str">
        <f t="shared" ref="B45:AK45" si="10">B4</f>
        <v>Témoin solvant</v>
      </c>
      <c r="C45" s="7" t="str">
        <f t="shared" si="10"/>
        <v>EE2-33.8ng/L</v>
      </c>
      <c r="D45" s="7" t="str">
        <f t="shared" si="10"/>
        <v>EE2-50.6ng/L</v>
      </c>
      <c r="E45" s="7" t="str">
        <f t="shared" si="10"/>
        <v>EE2-76ng/L</v>
      </c>
      <c r="F45" s="7" t="str">
        <f t="shared" si="10"/>
        <v>EE2-114ng/L</v>
      </c>
      <c r="G45" s="7" t="str">
        <f t="shared" si="10"/>
        <v>EE2-170.9ng/L</v>
      </c>
      <c r="H45" s="7" t="str">
        <f t="shared" si="10"/>
        <v>EE2-488ng/L</v>
      </c>
      <c r="I45" s="7" t="str">
        <f t="shared" si="10"/>
        <v>DUS-10µg/L</v>
      </c>
      <c r="J45" s="7" t="str">
        <f t="shared" si="10"/>
        <v>DUS-100µg/L</v>
      </c>
      <c r="K45" s="7" t="str">
        <f t="shared" si="10"/>
        <v>DUS-250µg/L</v>
      </c>
      <c r="L45" s="7" t="str">
        <f t="shared" si="10"/>
        <v>DUS-500µg/L</v>
      </c>
      <c r="M45" s="7" t="str">
        <f t="shared" si="10"/>
        <v>DUS-1000µg/L</v>
      </c>
      <c r="N45" s="7"/>
      <c r="O45" s="7" t="str">
        <f t="shared" si="10"/>
        <v>Testo -30µg/L</v>
      </c>
      <c r="P45" s="7" t="str">
        <f t="shared" si="10"/>
        <v>Testo 30µg/L + EE2 -64ng/L</v>
      </c>
      <c r="Q45" s="7" t="str">
        <f t="shared" si="10"/>
        <v>Testo 30µg/L + FAD-10mg/L</v>
      </c>
      <c r="R45" s="7" t="str">
        <f t="shared" si="10"/>
        <v>DUS-10µg/L + Testostérone</v>
      </c>
      <c r="S45" s="7" t="str">
        <f t="shared" si="10"/>
        <v>DUS-100µg/L + Testostérone</v>
      </c>
      <c r="T45" s="7" t="str">
        <f t="shared" si="10"/>
        <v>DUS-250µg/L + Testostérone</v>
      </c>
      <c r="U45" s="7" t="str">
        <f t="shared" si="10"/>
        <v>DUS-500µg/L + Testostérone</v>
      </c>
      <c r="V45" s="7" t="str">
        <f t="shared" si="10"/>
        <v>DUS-1000µg/L + Testostérone</v>
      </c>
      <c r="W45" s="7" t="str">
        <f t="shared" si="10"/>
        <v>0-00 + Testostérone</v>
      </c>
      <c r="X45" s="7" t="str">
        <f t="shared" si="10"/>
        <v>0-00 + Testostérone</v>
      </c>
      <c r="Y45" s="7" t="str">
        <f t="shared" si="10"/>
        <v>0-00 + Testostérone</v>
      </c>
      <c r="Z45" s="7" t="str">
        <f t="shared" si="10"/>
        <v>0-00 + Testostérone</v>
      </c>
      <c r="AA45" s="7" t="str">
        <f t="shared" si="10"/>
        <v>0-00 + Testostérone</v>
      </c>
      <c r="AB45" s="7" t="str">
        <f t="shared" si="10"/>
        <v>0-00 + Testostérone</v>
      </c>
      <c r="AC45" s="7" t="str">
        <f t="shared" si="10"/>
        <v>0-00 + Testostérone</v>
      </c>
      <c r="AD45" s="7" t="str">
        <f t="shared" si="10"/>
        <v>0-00 + Testostérone</v>
      </c>
      <c r="AE45" s="7" t="str">
        <f t="shared" si="10"/>
        <v>0-00 + Testostérone</v>
      </c>
      <c r="AF45" s="7" t="str">
        <f t="shared" si="10"/>
        <v>0-00 + Testostérone</v>
      </c>
      <c r="AG45" s="7" t="str">
        <f t="shared" si="10"/>
        <v>0-00 + Testostérone</v>
      </c>
      <c r="AH45" s="7" t="str">
        <f t="shared" si="10"/>
        <v>0-00 + Testostérone</v>
      </c>
      <c r="AI45" s="7" t="str">
        <f t="shared" si="10"/>
        <v>0-00 + Testostérone</v>
      </c>
      <c r="AJ45" s="7" t="str">
        <f t="shared" si="10"/>
        <v>0-00 + Testostérone</v>
      </c>
      <c r="AK45" s="7" t="str">
        <f t="shared" si="10"/>
        <v>0-00 + Testostérone</v>
      </c>
    </row>
    <row r="46" spans="1:37" x14ac:dyDescent="0.25">
      <c r="A46" s="8" t="s">
        <v>0</v>
      </c>
      <c r="B46" s="10">
        <f t="shared" ref="B46:H46" si="11">AVERAGE(B28:B43)</f>
        <v>9.4884034586449964E-2</v>
      </c>
      <c r="C46" s="10">
        <f t="shared" si="11"/>
        <v>0.11382600753343498</v>
      </c>
      <c r="D46" s="10">
        <f t="shared" si="11"/>
        <v>0.10396005536908262</v>
      </c>
      <c r="E46" s="10">
        <f t="shared" si="11"/>
        <v>0.22855800620573716</v>
      </c>
      <c r="F46" s="10">
        <f t="shared" si="11"/>
        <v>0.73227847326762419</v>
      </c>
      <c r="G46" s="10">
        <f t="shared" si="11"/>
        <v>1.2086216221284047</v>
      </c>
      <c r="H46" s="10">
        <f t="shared" si="11"/>
        <v>2.1658192095475717</v>
      </c>
      <c r="I46" s="10">
        <f>AVERAGE(I28:I43)</f>
        <v>0.10590000761099319</v>
      </c>
      <c r="J46" s="9">
        <f>AVERAGE(J28:J43)</f>
        <v>9.0647751157019632E-2</v>
      </c>
      <c r="K46" s="9">
        <f t="shared" ref="K46:M46" si="12">AVERAGE(K28:K43)</f>
        <v>6.4108193562497667E-2</v>
      </c>
      <c r="L46" s="9">
        <f t="shared" si="12"/>
        <v>9.5947403244663193E-2</v>
      </c>
      <c r="M46" s="9">
        <f t="shared" si="12"/>
        <v>7.6291284452279479E-2</v>
      </c>
      <c r="N46" s="8" t="s">
        <v>0</v>
      </c>
      <c r="O46" s="10">
        <f t="shared" ref="O46:AK46" si="13">AVERAGE(O28:O43)</f>
        <v>1.0000000000000002</v>
      </c>
      <c r="P46" s="10">
        <f t="shared" si="13"/>
        <v>1.5224639492162999</v>
      </c>
      <c r="Q46" s="10">
        <f t="shared" si="13"/>
        <v>5.6783816582915377E-2</v>
      </c>
      <c r="R46" s="10">
        <f t="shared" si="13"/>
        <v>0.53963006211675557</v>
      </c>
      <c r="S46" s="10">
        <f t="shared" si="13"/>
        <v>0.8680354815166238</v>
      </c>
      <c r="T46" s="10">
        <f t="shared" si="13"/>
        <v>1.0078172389693776</v>
      </c>
      <c r="U46" s="10">
        <f t="shared" si="13"/>
        <v>1.1225359203464258</v>
      </c>
      <c r="V46" s="10">
        <f t="shared" si="13"/>
        <v>0.66284371779109807</v>
      </c>
      <c r="W46" s="10" t="e">
        <f t="shared" si="13"/>
        <v>#DIV/0!</v>
      </c>
      <c r="X46" s="10" t="e">
        <f t="shared" si="13"/>
        <v>#DIV/0!</v>
      </c>
      <c r="Y46" s="10" t="e">
        <f t="shared" si="13"/>
        <v>#DIV/0!</v>
      </c>
      <c r="Z46" s="10" t="e">
        <f t="shared" si="13"/>
        <v>#DIV/0!</v>
      </c>
      <c r="AA46" s="10" t="e">
        <f t="shared" si="13"/>
        <v>#DIV/0!</v>
      </c>
      <c r="AB46" s="10" t="e">
        <f t="shared" si="13"/>
        <v>#DIV/0!</v>
      </c>
      <c r="AC46" s="10" t="e">
        <f t="shared" si="13"/>
        <v>#DIV/0!</v>
      </c>
      <c r="AD46" s="10" t="e">
        <f t="shared" si="13"/>
        <v>#DIV/0!</v>
      </c>
      <c r="AE46" s="10" t="e">
        <f t="shared" si="13"/>
        <v>#DIV/0!</v>
      </c>
      <c r="AF46" s="10" t="e">
        <f t="shared" si="13"/>
        <v>#DIV/0!</v>
      </c>
      <c r="AG46" s="10" t="e">
        <f t="shared" si="13"/>
        <v>#DIV/0!</v>
      </c>
      <c r="AH46" s="10" t="e">
        <f t="shared" si="13"/>
        <v>#DIV/0!</v>
      </c>
      <c r="AI46" s="10" t="e">
        <f t="shared" si="13"/>
        <v>#DIV/0!</v>
      </c>
      <c r="AJ46" s="10" t="e">
        <f t="shared" si="13"/>
        <v>#DIV/0!</v>
      </c>
      <c r="AK46" s="10" t="e">
        <f t="shared" si="13"/>
        <v>#DIV/0!</v>
      </c>
    </row>
    <row r="47" spans="1:37" x14ac:dyDescent="0.25">
      <c r="A47" s="8" t="s">
        <v>1</v>
      </c>
      <c r="B47" s="8">
        <f t="shared" ref="B47:M47" si="14">STDEV(B28:B43)</f>
        <v>5.1954376159503712E-2</v>
      </c>
      <c r="C47" s="8">
        <f t="shared" si="14"/>
        <v>7.1088618379207269E-2</v>
      </c>
      <c r="D47" s="8">
        <f t="shared" si="14"/>
        <v>9.6385029250892776E-2</v>
      </c>
      <c r="E47" s="8">
        <f t="shared" si="14"/>
        <v>0.26663777860092264</v>
      </c>
      <c r="F47" s="8">
        <f t="shared" si="14"/>
        <v>0.4762826810898933</v>
      </c>
      <c r="G47" s="8">
        <f t="shared" si="14"/>
        <v>0.29384991631871232</v>
      </c>
      <c r="H47" s="8">
        <f t="shared" si="14"/>
        <v>0.40266088431919456</v>
      </c>
      <c r="I47" s="8">
        <f t="shared" si="14"/>
        <v>7.7610618544099966E-2</v>
      </c>
      <c r="J47" s="8">
        <f t="shared" si="14"/>
        <v>5.8743420501661314E-2</v>
      </c>
      <c r="K47" s="8">
        <f t="shared" si="14"/>
        <v>4.2070852802087534E-2</v>
      </c>
      <c r="L47" s="8">
        <f t="shared" si="14"/>
        <v>7.3324968415635849E-2</v>
      </c>
      <c r="M47" s="8">
        <f t="shared" si="14"/>
        <v>8.1207316561181866E-2</v>
      </c>
      <c r="N47" s="8" t="s">
        <v>1</v>
      </c>
      <c r="O47" s="8">
        <f t="shared" ref="O47:AK47" si="15">STDEV(O28:O43)</f>
        <v>0.52883196007198829</v>
      </c>
      <c r="P47" s="8">
        <f t="shared" si="15"/>
        <v>0.50298971836084694</v>
      </c>
      <c r="Q47" s="8">
        <f t="shared" si="15"/>
        <v>5.1354084137788053E-2</v>
      </c>
      <c r="R47" s="8">
        <f t="shared" si="15"/>
        <v>0.36046740381203118</v>
      </c>
      <c r="S47" s="8">
        <f t="shared" si="15"/>
        <v>0.36432057474530888</v>
      </c>
      <c r="T47" s="8">
        <f t="shared" si="15"/>
        <v>0.23538259070103681</v>
      </c>
      <c r="U47" s="8">
        <f t="shared" si="15"/>
        <v>0.53411234357208182</v>
      </c>
      <c r="V47" s="8">
        <f t="shared" si="15"/>
        <v>0.64242222295811746</v>
      </c>
      <c r="W47" s="8" t="e">
        <f t="shared" si="15"/>
        <v>#DIV/0!</v>
      </c>
      <c r="X47" s="8" t="e">
        <f t="shared" si="15"/>
        <v>#DIV/0!</v>
      </c>
      <c r="Y47" s="8" t="e">
        <f t="shared" si="15"/>
        <v>#DIV/0!</v>
      </c>
      <c r="Z47" s="8" t="e">
        <f t="shared" si="15"/>
        <v>#DIV/0!</v>
      </c>
      <c r="AA47" s="8" t="e">
        <f t="shared" si="15"/>
        <v>#DIV/0!</v>
      </c>
      <c r="AB47" s="8" t="e">
        <f t="shared" si="15"/>
        <v>#DIV/0!</v>
      </c>
      <c r="AC47" s="8" t="e">
        <f t="shared" si="15"/>
        <v>#DIV/0!</v>
      </c>
      <c r="AD47" s="8" t="e">
        <f t="shared" si="15"/>
        <v>#DIV/0!</v>
      </c>
      <c r="AE47" s="8" t="e">
        <f t="shared" si="15"/>
        <v>#DIV/0!</v>
      </c>
      <c r="AF47" s="8" t="e">
        <f t="shared" si="15"/>
        <v>#DIV/0!</v>
      </c>
      <c r="AG47" s="8" t="e">
        <f t="shared" si="15"/>
        <v>#DIV/0!</v>
      </c>
      <c r="AH47" s="8" t="e">
        <f t="shared" si="15"/>
        <v>#DIV/0!</v>
      </c>
      <c r="AI47" s="8" t="e">
        <f t="shared" si="15"/>
        <v>#DIV/0!</v>
      </c>
      <c r="AJ47" s="8" t="e">
        <f t="shared" si="15"/>
        <v>#DIV/0!</v>
      </c>
      <c r="AK47" s="8" t="e">
        <f t="shared" si="15"/>
        <v>#DIV/0!</v>
      </c>
    </row>
    <row r="48" spans="1:37" x14ac:dyDescent="0.25">
      <c r="A48" s="8" t="s">
        <v>2</v>
      </c>
      <c r="B48" s="8">
        <f t="shared" ref="B48:M48" si="16" xml:space="preserve"> B47/SQRT(COUNT(B28:B43))</f>
        <v>1.8368645847350887E-2</v>
      </c>
      <c r="C48" s="8">
        <f t="shared" si="16"/>
        <v>2.6868972182651139E-2</v>
      </c>
      <c r="D48" s="8">
        <f t="shared" si="16"/>
        <v>3.4077253894085009E-2</v>
      </c>
      <c r="E48" s="8">
        <f t="shared" si="16"/>
        <v>9.4270690684614841E-2</v>
      </c>
      <c r="F48" s="8">
        <f t="shared" si="16"/>
        <v>0.16839135678018669</v>
      </c>
      <c r="G48" s="8">
        <f t="shared" si="16"/>
        <v>0.11106482876520762</v>
      </c>
      <c r="H48" s="8">
        <f t="shared" si="16"/>
        <v>0.15219150894313377</v>
      </c>
      <c r="I48" s="8">
        <f t="shared" si="16"/>
        <v>2.7439497332307747E-2</v>
      </c>
      <c r="J48" s="8">
        <f t="shared" si="16"/>
        <v>2.0768935493408788E-2</v>
      </c>
      <c r="K48" s="8">
        <f t="shared" si="16"/>
        <v>1.4874292653328579E-2</v>
      </c>
      <c r="L48" s="8">
        <f t="shared" si="16"/>
        <v>2.7714233045634033E-2</v>
      </c>
      <c r="M48" s="8">
        <f t="shared" si="16"/>
        <v>2.8711122111187159E-2</v>
      </c>
      <c r="N48" s="8" t="s">
        <v>2</v>
      </c>
      <c r="O48" s="8">
        <f t="shared" ref="O48:AK48" si="17" xml:space="preserve"> O47/SQRT(COUNT(O28:O43))</f>
        <v>0.13654382495340242</v>
      </c>
      <c r="P48" s="8">
        <f t="shared" si="17"/>
        <v>0.19011224382931713</v>
      </c>
      <c r="Q48" s="8">
        <f t="shared" si="17"/>
        <v>1.9410019348010576E-2</v>
      </c>
      <c r="R48" s="8">
        <f t="shared" si="17"/>
        <v>0.13624387231881865</v>
      </c>
      <c r="S48" s="8">
        <f t="shared" si="17"/>
        <v>0.13770023404002943</v>
      </c>
      <c r="T48" s="8">
        <f t="shared" si="17"/>
        <v>8.322031302898035E-2</v>
      </c>
      <c r="U48" s="8">
        <f t="shared" si="17"/>
        <v>0.18883723002762906</v>
      </c>
      <c r="V48" s="8">
        <f t="shared" si="17"/>
        <v>0.22713055511931049</v>
      </c>
      <c r="W48" s="8" t="e">
        <f t="shared" si="17"/>
        <v>#DIV/0!</v>
      </c>
      <c r="X48" s="8" t="e">
        <f t="shared" si="17"/>
        <v>#DIV/0!</v>
      </c>
      <c r="Y48" s="8" t="e">
        <f t="shared" si="17"/>
        <v>#DIV/0!</v>
      </c>
      <c r="Z48" s="8" t="e">
        <f t="shared" si="17"/>
        <v>#DIV/0!</v>
      </c>
      <c r="AA48" s="8" t="e">
        <f t="shared" si="17"/>
        <v>#DIV/0!</v>
      </c>
      <c r="AB48" s="8" t="e">
        <f t="shared" si="17"/>
        <v>#DIV/0!</v>
      </c>
      <c r="AC48" s="8" t="e">
        <f t="shared" si="17"/>
        <v>#DIV/0!</v>
      </c>
      <c r="AD48" s="8" t="e">
        <f t="shared" si="17"/>
        <v>#DIV/0!</v>
      </c>
      <c r="AE48" s="8" t="e">
        <f t="shared" si="17"/>
        <v>#DIV/0!</v>
      </c>
      <c r="AF48" s="8" t="e">
        <f t="shared" si="17"/>
        <v>#DIV/0!</v>
      </c>
      <c r="AG48" s="8" t="e">
        <f t="shared" si="17"/>
        <v>#DIV/0!</v>
      </c>
      <c r="AH48" s="8" t="e">
        <f t="shared" si="17"/>
        <v>#DIV/0!</v>
      </c>
      <c r="AI48" s="8" t="e">
        <f t="shared" si="17"/>
        <v>#DIV/0!</v>
      </c>
      <c r="AJ48" s="8" t="e">
        <f t="shared" si="17"/>
        <v>#DIV/0!</v>
      </c>
      <c r="AK48" s="8" t="e">
        <f t="shared" si="17"/>
        <v>#DIV/0!</v>
      </c>
    </row>
    <row r="49" spans="1:37" ht="15.75" thickBot="1"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row>
    <row r="50" spans="1:37" ht="27" thickBot="1" x14ac:dyDescent="0.45">
      <c r="A50" s="221" t="s">
        <v>44</v>
      </c>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c r="AD50" s="222"/>
      <c r="AE50" s="222"/>
      <c r="AF50" s="222"/>
      <c r="AG50" s="222"/>
      <c r="AH50" s="222"/>
      <c r="AI50" s="222"/>
      <c r="AJ50" s="222"/>
      <c r="AK50" s="223"/>
    </row>
    <row r="51" spans="1:37" ht="15.75" thickBot="1" x14ac:dyDescent="0.3"/>
    <row r="52" spans="1:37" x14ac:dyDescent="0.25">
      <c r="A52" s="45" t="str">
        <f t="shared" ref="A52:H52" si="18">A27</f>
        <v>Noms des groupes</v>
      </c>
      <c r="B52" s="46" t="str">
        <f t="shared" si="18"/>
        <v>Témoin solvant</v>
      </c>
      <c r="C52" s="46" t="str">
        <f t="shared" si="18"/>
        <v>EE2-33.8ng/L</v>
      </c>
      <c r="D52" s="46" t="str">
        <f t="shared" si="18"/>
        <v>EE2-50.6ng/L</v>
      </c>
      <c r="E52" s="46" t="str">
        <f t="shared" si="18"/>
        <v>EE2-76ng/L</v>
      </c>
      <c r="F52" s="46" t="str">
        <f t="shared" si="18"/>
        <v>EE2-114ng/L</v>
      </c>
      <c r="G52" s="46" t="str">
        <f t="shared" si="18"/>
        <v>EE2-170.9ng/L</v>
      </c>
      <c r="H52" s="46" t="str">
        <f t="shared" si="18"/>
        <v>EE2-488ng/L</v>
      </c>
      <c r="I52" s="46" t="str">
        <f>I4</f>
        <v>DUS-10µg/L</v>
      </c>
      <c r="J52" s="46" t="str">
        <f>J4</f>
        <v>DUS-100µg/L</v>
      </c>
      <c r="K52" s="46" t="str">
        <f t="shared" ref="K52:M52" si="19">K4</f>
        <v>DUS-250µg/L</v>
      </c>
      <c r="L52" s="46" t="str">
        <f t="shared" si="19"/>
        <v>DUS-500µg/L</v>
      </c>
      <c r="M52" s="46" t="str">
        <f t="shared" si="19"/>
        <v>DUS-1000µg/L</v>
      </c>
      <c r="N52" s="47"/>
      <c r="O52" s="46" t="str">
        <f>O27</f>
        <v>Testo -30µg/L</v>
      </c>
      <c r="P52" s="46" t="str">
        <f>P27</f>
        <v>Testo 30µg/L + EE2 -64ng/L</v>
      </c>
      <c r="Q52" s="46" t="str">
        <f>Q27</f>
        <v>Testo 30µg/L + FAD-10mg/L</v>
      </c>
      <c r="R52" s="46" t="str">
        <f>R27</f>
        <v>DUS-10µg/L + Testostérone</v>
      </c>
      <c r="S52" s="46" t="str">
        <f t="shared" ref="S52:AK52" si="20">S27</f>
        <v>DUS-100µg/L + Testostérone</v>
      </c>
      <c r="T52" s="46" t="str">
        <f t="shared" si="20"/>
        <v>DUS-250µg/L + Testostérone</v>
      </c>
      <c r="U52" s="46" t="str">
        <f t="shared" si="20"/>
        <v>DUS-500µg/L + Testostérone</v>
      </c>
      <c r="V52" s="46" t="str">
        <f t="shared" si="20"/>
        <v>DUS-1000µg/L + Testostérone</v>
      </c>
      <c r="W52" s="46" t="str">
        <f t="shared" si="20"/>
        <v>0-00 + Testostérone</v>
      </c>
      <c r="X52" s="46" t="str">
        <f t="shared" si="20"/>
        <v>0-00 + Testostérone</v>
      </c>
      <c r="Y52" s="46" t="str">
        <f t="shared" si="20"/>
        <v>0-00 + Testostérone</v>
      </c>
      <c r="Z52" s="46" t="str">
        <f t="shared" si="20"/>
        <v>0-00 + Testostérone</v>
      </c>
      <c r="AA52" s="46" t="str">
        <f t="shared" si="20"/>
        <v>0-00 + Testostérone</v>
      </c>
      <c r="AB52" s="46" t="str">
        <f t="shared" si="20"/>
        <v>0-00 + Testostérone</v>
      </c>
      <c r="AC52" s="46" t="str">
        <f t="shared" si="20"/>
        <v>0-00 + Testostérone</v>
      </c>
      <c r="AD52" s="46" t="str">
        <f t="shared" si="20"/>
        <v>0-00 + Testostérone</v>
      </c>
      <c r="AE52" s="46" t="str">
        <f t="shared" si="20"/>
        <v>0-00 + Testostérone</v>
      </c>
      <c r="AF52" s="46" t="str">
        <f t="shared" si="20"/>
        <v>0-00 + Testostérone</v>
      </c>
      <c r="AG52" s="46" t="str">
        <f t="shared" si="20"/>
        <v>0-00 + Testostérone</v>
      </c>
      <c r="AH52" s="46" t="str">
        <f t="shared" si="20"/>
        <v>0-00 + Testostérone</v>
      </c>
      <c r="AI52" s="46" t="str">
        <f t="shared" si="20"/>
        <v>0-00 + Testostérone</v>
      </c>
      <c r="AJ52" s="46" t="str">
        <f t="shared" si="20"/>
        <v>0-00 + Testostérone</v>
      </c>
      <c r="AK52" s="46" t="str">
        <f t="shared" si="20"/>
        <v>0-00 + Testostérone</v>
      </c>
    </row>
    <row r="53" spans="1:37" s="3" customFormat="1" x14ac:dyDescent="0.25">
      <c r="A53" s="62" t="s">
        <v>32</v>
      </c>
      <c r="B53" s="142">
        <f t="shared" ref="B53:AK53" si="21">B46</f>
        <v>9.4884034586449964E-2</v>
      </c>
      <c r="C53" s="142">
        <f t="shared" si="21"/>
        <v>0.11382600753343498</v>
      </c>
      <c r="D53" s="142">
        <f t="shared" si="21"/>
        <v>0.10396005536908262</v>
      </c>
      <c r="E53" s="142">
        <f t="shared" si="21"/>
        <v>0.22855800620573716</v>
      </c>
      <c r="F53" s="142">
        <f t="shared" si="21"/>
        <v>0.73227847326762419</v>
      </c>
      <c r="G53" s="142">
        <f t="shared" si="21"/>
        <v>1.2086216221284047</v>
      </c>
      <c r="H53" s="142">
        <f t="shared" si="21"/>
        <v>2.1658192095475717</v>
      </c>
      <c r="I53" s="142">
        <f t="shared" si="21"/>
        <v>0.10590000761099319</v>
      </c>
      <c r="J53" s="142">
        <f t="shared" si="21"/>
        <v>9.0647751157019632E-2</v>
      </c>
      <c r="K53" s="142">
        <f t="shared" si="21"/>
        <v>6.4108193562497667E-2</v>
      </c>
      <c r="L53" s="142">
        <f t="shared" si="21"/>
        <v>9.5947403244663193E-2</v>
      </c>
      <c r="M53" s="142">
        <f t="shared" si="21"/>
        <v>7.6291284452279479E-2</v>
      </c>
      <c r="N53" s="142"/>
      <c r="O53" s="142">
        <f t="shared" si="21"/>
        <v>1.0000000000000002</v>
      </c>
      <c r="P53" s="142">
        <f t="shared" si="21"/>
        <v>1.5224639492162999</v>
      </c>
      <c r="Q53" s="142">
        <f t="shared" si="21"/>
        <v>5.6783816582915377E-2</v>
      </c>
      <c r="R53" s="142">
        <f t="shared" si="21"/>
        <v>0.53963006211675557</v>
      </c>
      <c r="S53" s="142">
        <f t="shared" si="21"/>
        <v>0.8680354815166238</v>
      </c>
      <c r="T53" s="142">
        <f t="shared" si="21"/>
        <v>1.0078172389693776</v>
      </c>
      <c r="U53" s="142">
        <f t="shared" si="21"/>
        <v>1.1225359203464258</v>
      </c>
      <c r="V53" s="142">
        <f t="shared" si="21"/>
        <v>0.66284371779109807</v>
      </c>
      <c r="W53" s="142" t="e">
        <f t="shared" si="21"/>
        <v>#DIV/0!</v>
      </c>
      <c r="X53" s="142" t="e">
        <f t="shared" si="21"/>
        <v>#DIV/0!</v>
      </c>
      <c r="Y53" s="142" t="e">
        <f t="shared" si="21"/>
        <v>#DIV/0!</v>
      </c>
      <c r="Z53" s="142" t="e">
        <f t="shared" si="21"/>
        <v>#DIV/0!</v>
      </c>
      <c r="AA53" s="142" t="e">
        <f t="shared" si="21"/>
        <v>#DIV/0!</v>
      </c>
      <c r="AB53" s="142" t="e">
        <f t="shared" si="21"/>
        <v>#DIV/0!</v>
      </c>
      <c r="AC53" s="142" t="e">
        <f t="shared" si="21"/>
        <v>#DIV/0!</v>
      </c>
      <c r="AD53" s="142" t="e">
        <f t="shared" si="21"/>
        <v>#DIV/0!</v>
      </c>
      <c r="AE53" s="142" t="e">
        <f t="shared" si="21"/>
        <v>#DIV/0!</v>
      </c>
      <c r="AF53" s="142" t="e">
        <f t="shared" si="21"/>
        <v>#DIV/0!</v>
      </c>
      <c r="AG53" s="142" t="e">
        <f t="shared" si="21"/>
        <v>#DIV/0!</v>
      </c>
      <c r="AH53" s="142" t="e">
        <f t="shared" si="21"/>
        <v>#DIV/0!</v>
      </c>
      <c r="AI53" s="142" t="e">
        <f t="shared" si="21"/>
        <v>#DIV/0!</v>
      </c>
      <c r="AJ53" s="142" t="e">
        <f t="shared" si="21"/>
        <v>#DIV/0!</v>
      </c>
      <c r="AK53" s="142" t="e">
        <f t="shared" si="21"/>
        <v>#DIV/0!</v>
      </c>
    </row>
    <row r="54" spans="1:37" s="3" customFormat="1" x14ac:dyDescent="0.25">
      <c r="A54" s="62" t="s">
        <v>2</v>
      </c>
      <c r="B54" s="142">
        <f t="shared" ref="B54:AK54" si="22">B48</f>
        <v>1.8368645847350887E-2</v>
      </c>
      <c r="C54" s="142">
        <f t="shared" si="22"/>
        <v>2.6868972182651139E-2</v>
      </c>
      <c r="D54" s="142">
        <f t="shared" si="22"/>
        <v>3.4077253894085009E-2</v>
      </c>
      <c r="E54" s="142">
        <f t="shared" si="22"/>
        <v>9.4270690684614841E-2</v>
      </c>
      <c r="F54" s="142">
        <f t="shared" si="22"/>
        <v>0.16839135678018669</v>
      </c>
      <c r="G54" s="142">
        <f t="shared" si="22"/>
        <v>0.11106482876520762</v>
      </c>
      <c r="H54" s="142">
        <f t="shared" si="22"/>
        <v>0.15219150894313377</v>
      </c>
      <c r="I54" s="142">
        <f t="shared" si="22"/>
        <v>2.7439497332307747E-2</v>
      </c>
      <c r="J54" s="142">
        <f t="shared" si="22"/>
        <v>2.0768935493408788E-2</v>
      </c>
      <c r="K54" s="142">
        <f t="shared" si="22"/>
        <v>1.4874292653328579E-2</v>
      </c>
      <c r="L54" s="142">
        <f t="shared" si="22"/>
        <v>2.7714233045634033E-2</v>
      </c>
      <c r="M54" s="142">
        <f t="shared" si="22"/>
        <v>2.8711122111187159E-2</v>
      </c>
      <c r="N54" s="142"/>
      <c r="O54" s="142">
        <f t="shared" si="22"/>
        <v>0.13654382495340242</v>
      </c>
      <c r="P54" s="142">
        <f t="shared" si="22"/>
        <v>0.19011224382931713</v>
      </c>
      <c r="Q54" s="142">
        <f t="shared" si="22"/>
        <v>1.9410019348010576E-2</v>
      </c>
      <c r="R54" s="142">
        <f t="shared" si="22"/>
        <v>0.13624387231881865</v>
      </c>
      <c r="S54" s="142">
        <f t="shared" si="22"/>
        <v>0.13770023404002943</v>
      </c>
      <c r="T54" s="142">
        <f t="shared" si="22"/>
        <v>8.322031302898035E-2</v>
      </c>
      <c r="U54" s="142">
        <f t="shared" si="22"/>
        <v>0.18883723002762906</v>
      </c>
      <c r="V54" s="142">
        <f t="shared" si="22"/>
        <v>0.22713055511931049</v>
      </c>
      <c r="W54" s="142" t="e">
        <f t="shared" si="22"/>
        <v>#DIV/0!</v>
      </c>
      <c r="X54" s="142" t="e">
        <f t="shared" si="22"/>
        <v>#DIV/0!</v>
      </c>
      <c r="Y54" s="142" t="e">
        <f t="shared" si="22"/>
        <v>#DIV/0!</v>
      </c>
      <c r="Z54" s="142" t="e">
        <f t="shared" si="22"/>
        <v>#DIV/0!</v>
      </c>
      <c r="AA54" s="142" t="e">
        <f t="shared" si="22"/>
        <v>#DIV/0!</v>
      </c>
      <c r="AB54" s="142" t="e">
        <f t="shared" si="22"/>
        <v>#DIV/0!</v>
      </c>
      <c r="AC54" s="142" t="e">
        <f t="shared" si="22"/>
        <v>#DIV/0!</v>
      </c>
      <c r="AD54" s="142" t="e">
        <f t="shared" si="22"/>
        <v>#DIV/0!</v>
      </c>
      <c r="AE54" s="142" t="e">
        <f t="shared" si="22"/>
        <v>#DIV/0!</v>
      </c>
      <c r="AF54" s="142" t="e">
        <f t="shared" si="22"/>
        <v>#DIV/0!</v>
      </c>
      <c r="AG54" s="142" t="e">
        <f t="shared" si="22"/>
        <v>#DIV/0!</v>
      </c>
      <c r="AH54" s="142" t="e">
        <f t="shared" si="22"/>
        <v>#DIV/0!</v>
      </c>
      <c r="AI54" s="142" t="e">
        <f t="shared" si="22"/>
        <v>#DIV/0!</v>
      </c>
      <c r="AJ54" s="142" t="e">
        <f t="shared" si="22"/>
        <v>#DIV/0!</v>
      </c>
      <c r="AK54" s="142" t="e">
        <f t="shared" si="22"/>
        <v>#DIV/0!</v>
      </c>
    </row>
    <row r="55" spans="1:37" s="3" customFormat="1" x14ac:dyDescent="0.25">
      <c r="A55" s="62" t="s">
        <v>79</v>
      </c>
      <c r="B55" s="142">
        <f>(B53*100/$B53)-100</f>
        <v>0</v>
      </c>
      <c r="C55" s="142">
        <f t="shared" ref="C55:M55" si="23">(C53*100/$B53)-100</f>
        <v>19.963287848733671</v>
      </c>
      <c r="D55" s="142">
        <f t="shared" si="23"/>
        <v>9.5653824399334439</v>
      </c>
      <c r="E55" s="142">
        <f t="shared" si="23"/>
        <v>140.88141614329783</v>
      </c>
      <c r="F55" s="142">
        <f t="shared" si="23"/>
        <v>671.76152601356409</v>
      </c>
      <c r="G55" s="142">
        <f t="shared" si="23"/>
        <v>1173.7881851210861</v>
      </c>
      <c r="H55" s="142">
        <f t="shared" si="23"/>
        <v>2182.5960331337601</v>
      </c>
      <c r="I55" s="142">
        <f t="shared" si="23"/>
        <v>11.609933191138111</v>
      </c>
      <c r="J55" s="142">
        <f t="shared" si="23"/>
        <v>-4.4646957181933544</v>
      </c>
      <c r="K55" s="142">
        <f t="shared" si="23"/>
        <v>-32.435215427008501</v>
      </c>
      <c r="L55" s="142">
        <f t="shared" si="23"/>
        <v>1.1207034595945373</v>
      </c>
      <c r="M55" s="142">
        <f t="shared" si="23"/>
        <v>-19.59523561071849</v>
      </c>
      <c r="N55" s="142"/>
      <c r="O55" s="142">
        <f>(O53*100/$O53)-100</f>
        <v>0</v>
      </c>
      <c r="P55" s="142">
        <f t="shared" ref="P55:AK55" si="24">(P53*100/$O53)-100</f>
        <v>52.246394921629957</v>
      </c>
      <c r="Q55" s="142">
        <f t="shared" si="24"/>
        <v>-94.321618341708458</v>
      </c>
      <c r="R55" s="142">
        <f t="shared" si="24"/>
        <v>-46.036993788324459</v>
      </c>
      <c r="S55" s="142">
        <f t="shared" si="24"/>
        <v>-13.196451848337631</v>
      </c>
      <c r="T55" s="142">
        <f t="shared" si="24"/>
        <v>0.78172389693773425</v>
      </c>
      <c r="U55" s="142">
        <f t="shared" si="24"/>
        <v>12.253592034642551</v>
      </c>
      <c r="V55" s="142">
        <f t="shared" si="24"/>
        <v>-33.71562822089021</v>
      </c>
      <c r="W55" s="142" t="e">
        <f t="shared" si="24"/>
        <v>#DIV/0!</v>
      </c>
      <c r="X55" s="142" t="e">
        <f t="shared" si="24"/>
        <v>#DIV/0!</v>
      </c>
      <c r="Y55" s="142" t="e">
        <f t="shared" si="24"/>
        <v>#DIV/0!</v>
      </c>
      <c r="Z55" s="142" t="e">
        <f t="shared" si="24"/>
        <v>#DIV/0!</v>
      </c>
      <c r="AA55" s="142" t="e">
        <f t="shared" si="24"/>
        <v>#DIV/0!</v>
      </c>
      <c r="AB55" s="142" t="e">
        <f t="shared" si="24"/>
        <v>#DIV/0!</v>
      </c>
      <c r="AC55" s="142" t="e">
        <f t="shared" si="24"/>
        <v>#DIV/0!</v>
      </c>
      <c r="AD55" s="142" t="e">
        <f t="shared" si="24"/>
        <v>#DIV/0!</v>
      </c>
      <c r="AE55" s="142" t="e">
        <f t="shared" si="24"/>
        <v>#DIV/0!</v>
      </c>
      <c r="AF55" s="142" t="e">
        <f t="shared" si="24"/>
        <v>#DIV/0!</v>
      </c>
      <c r="AG55" s="142" t="e">
        <f t="shared" si="24"/>
        <v>#DIV/0!</v>
      </c>
      <c r="AH55" s="142" t="e">
        <f t="shared" si="24"/>
        <v>#DIV/0!</v>
      </c>
      <c r="AI55" s="142" t="e">
        <f t="shared" si="24"/>
        <v>#DIV/0!</v>
      </c>
      <c r="AJ55" s="142" t="e">
        <f t="shared" si="24"/>
        <v>#DIV/0!</v>
      </c>
      <c r="AK55" s="142" t="e">
        <f t="shared" si="24"/>
        <v>#DIV/0!</v>
      </c>
    </row>
    <row r="56" spans="1:37" s="3" customFormat="1" x14ac:dyDescent="0.25">
      <c r="A56" s="62" t="s">
        <v>81</v>
      </c>
      <c r="B56" s="142" t="e">
        <f ca="1">[1]!SWTEST(B28:B43)</f>
        <v>#NAME?</v>
      </c>
      <c r="C56" s="142" t="e">
        <f ca="1">[1]!SWTEST(C28:C43)</f>
        <v>#NAME?</v>
      </c>
      <c r="D56" s="142" t="e">
        <f ca="1">[1]!SWTEST(D28:D43)</f>
        <v>#NAME?</v>
      </c>
      <c r="E56" s="142" t="e">
        <f ca="1">[1]!SWTEST(E28:E43)</f>
        <v>#NAME?</v>
      </c>
      <c r="F56" s="142" t="e">
        <f ca="1">[1]!SWTEST(F28:F43)</f>
        <v>#NAME?</v>
      </c>
      <c r="G56" s="142" t="e">
        <f ca="1">[1]!SWTEST(G28:G43)</f>
        <v>#NAME?</v>
      </c>
      <c r="H56" s="142" t="e">
        <f ca="1">[1]!SWTEST(H28:H43)</f>
        <v>#NAME?</v>
      </c>
      <c r="I56" s="142" t="e">
        <f ca="1">[1]!SWTEST(I28:I43)</f>
        <v>#NAME?</v>
      </c>
      <c r="J56" s="142" t="e">
        <f ca="1">[1]!SWTEST(J28:J43)</f>
        <v>#NAME?</v>
      </c>
      <c r="K56" s="142" t="e">
        <f ca="1">[1]!SWTEST(K28:K43)</f>
        <v>#NAME?</v>
      </c>
      <c r="L56" s="142" t="e">
        <f ca="1">[1]!SWTEST(L28:L43)</f>
        <v>#NAME?</v>
      </c>
      <c r="M56" s="142" t="e">
        <f ca="1">[1]!SWTEST(M28:M43)</f>
        <v>#NAME?</v>
      </c>
      <c r="N56" s="142"/>
      <c r="O56" s="142" t="e">
        <f ca="1">[1]!SWTEST(O28:O43)</f>
        <v>#NAME?</v>
      </c>
      <c r="P56" s="142" t="e">
        <f ca="1">[1]!SWTEST(P28:P43)</f>
        <v>#NAME?</v>
      </c>
      <c r="Q56" s="142" t="e">
        <f ca="1">[1]!SWTEST(Q28:Q43)</f>
        <v>#NAME?</v>
      </c>
      <c r="R56" s="142" t="e">
        <f ca="1">[1]!SWTEST(R28:R43)</f>
        <v>#NAME?</v>
      </c>
      <c r="S56" s="142" t="e">
        <f ca="1">[1]!SWTEST(S28:S43)</f>
        <v>#NAME?</v>
      </c>
      <c r="T56" s="142" t="e">
        <f ca="1">[1]!SWTEST(T28:T43)</f>
        <v>#NAME?</v>
      </c>
      <c r="U56" s="142" t="e">
        <f ca="1">[1]!SWTEST(U28:U43)</f>
        <v>#NAME?</v>
      </c>
      <c r="V56" s="142" t="e">
        <f ca="1">[1]!SWTEST(V28:V43)</f>
        <v>#NAME?</v>
      </c>
      <c r="W56" s="142" t="e">
        <f ca="1">[1]!SWTEST(W28:W43)</f>
        <v>#NAME?</v>
      </c>
      <c r="X56" s="142" t="e">
        <f ca="1">[1]!SWTEST(X28:X43)</f>
        <v>#NAME?</v>
      </c>
      <c r="Y56" s="142" t="e">
        <f ca="1">[1]!SWTEST(Y28:Y43)</f>
        <v>#NAME?</v>
      </c>
      <c r="Z56" s="142" t="e">
        <f ca="1">[1]!SWTEST(Z28:Z43)</f>
        <v>#NAME?</v>
      </c>
      <c r="AA56" s="142" t="e">
        <f ca="1">[1]!SWTEST(AA28:AA43)</f>
        <v>#NAME?</v>
      </c>
      <c r="AB56" s="142" t="e">
        <f ca="1">[1]!SWTEST(AB28:AB43)</f>
        <v>#NAME?</v>
      </c>
      <c r="AC56" s="142" t="e">
        <f ca="1">[1]!SWTEST(AC28:AC43)</f>
        <v>#NAME?</v>
      </c>
      <c r="AD56" s="142" t="e">
        <f ca="1">[1]!SWTEST(AD28:AD43)</f>
        <v>#NAME?</v>
      </c>
      <c r="AE56" s="142" t="e">
        <f ca="1">[1]!SWTEST(AE28:AE43)</f>
        <v>#NAME?</v>
      </c>
      <c r="AF56" s="142" t="e">
        <f ca="1">[1]!SWTEST(AF28:AF43)</f>
        <v>#NAME?</v>
      </c>
      <c r="AG56" s="142" t="e">
        <f ca="1">[1]!SWTEST(AG28:AG43)</f>
        <v>#NAME?</v>
      </c>
      <c r="AH56" s="142" t="e">
        <f ca="1">[1]!SWTEST(AH28:AH43)</f>
        <v>#NAME?</v>
      </c>
      <c r="AI56" s="142" t="e">
        <f ca="1">[1]!SWTEST(AI28:AI43)</f>
        <v>#NAME?</v>
      </c>
      <c r="AJ56" s="142" t="e">
        <f ca="1">[1]!SWTEST(AJ28:AJ43)</f>
        <v>#NAME?</v>
      </c>
      <c r="AK56" s="142" t="e">
        <f ca="1">[1]!SWTEST(AK28:AK43)</f>
        <v>#NAME?</v>
      </c>
    </row>
    <row r="57" spans="1:37" s="3" customFormat="1" x14ac:dyDescent="0.25">
      <c r="A57" s="62" t="s">
        <v>85</v>
      </c>
      <c r="B57" s="142" t="e">
        <f ca="1">IF(B56&gt;0.05,"Oui","Non")</f>
        <v>#NAME?</v>
      </c>
      <c r="C57" s="142" t="e">
        <f t="shared" ref="C57:AK57" ca="1" si="25">IF(C56&gt;0.05,"Oui","Non")</f>
        <v>#NAME?</v>
      </c>
      <c r="D57" s="142" t="e">
        <f t="shared" ca="1" si="25"/>
        <v>#NAME?</v>
      </c>
      <c r="E57" s="142" t="e">
        <f t="shared" ca="1" si="25"/>
        <v>#NAME?</v>
      </c>
      <c r="F57" s="142" t="e">
        <f t="shared" ca="1" si="25"/>
        <v>#NAME?</v>
      </c>
      <c r="G57" s="142" t="e">
        <f t="shared" ca="1" si="25"/>
        <v>#NAME?</v>
      </c>
      <c r="H57" s="142" t="e">
        <f t="shared" ca="1" si="25"/>
        <v>#NAME?</v>
      </c>
      <c r="I57" s="142" t="e">
        <f t="shared" ca="1" si="25"/>
        <v>#NAME?</v>
      </c>
      <c r="J57" s="142" t="e">
        <f t="shared" ca="1" si="25"/>
        <v>#NAME?</v>
      </c>
      <c r="K57" s="142" t="e">
        <f t="shared" ca="1" si="25"/>
        <v>#NAME?</v>
      </c>
      <c r="L57" s="142" t="e">
        <f t="shared" ca="1" si="25"/>
        <v>#NAME?</v>
      </c>
      <c r="M57" s="142" t="e">
        <f t="shared" ca="1" si="25"/>
        <v>#NAME?</v>
      </c>
      <c r="N57" s="142"/>
      <c r="O57" s="142" t="e">
        <f t="shared" ca="1" si="25"/>
        <v>#NAME?</v>
      </c>
      <c r="P57" s="142" t="e">
        <f t="shared" ca="1" si="25"/>
        <v>#NAME?</v>
      </c>
      <c r="Q57" s="142" t="e">
        <f t="shared" ca="1" si="25"/>
        <v>#NAME?</v>
      </c>
      <c r="R57" s="142" t="e">
        <f t="shared" ca="1" si="25"/>
        <v>#NAME?</v>
      </c>
      <c r="S57" s="142" t="e">
        <f t="shared" ca="1" si="25"/>
        <v>#NAME?</v>
      </c>
      <c r="T57" s="142" t="e">
        <f t="shared" ca="1" si="25"/>
        <v>#NAME?</v>
      </c>
      <c r="U57" s="142" t="e">
        <f t="shared" ca="1" si="25"/>
        <v>#NAME?</v>
      </c>
      <c r="V57" s="142" t="e">
        <f t="shared" ca="1" si="25"/>
        <v>#NAME?</v>
      </c>
      <c r="W57" s="142" t="e">
        <f t="shared" ca="1" si="25"/>
        <v>#NAME?</v>
      </c>
      <c r="X57" s="142" t="e">
        <f t="shared" ca="1" si="25"/>
        <v>#NAME?</v>
      </c>
      <c r="Y57" s="142" t="e">
        <f t="shared" ca="1" si="25"/>
        <v>#NAME?</v>
      </c>
      <c r="Z57" s="142" t="e">
        <f t="shared" ca="1" si="25"/>
        <v>#NAME?</v>
      </c>
      <c r="AA57" s="142" t="e">
        <f t="shared" ca="1" si="25"/>
        <v>#NAME?</v>
      </c>
      <c r="AB57" s="142" t="e">
        <f t="shared" ca="1" si="25"/>
        <v>#NAME?</v>
      </c>
      <c r="AC57" s="142" t="e">
        <f t="shared" ca="1" si="25"/>
        <v>#NAME?</v>
      </c>
      <c r="AD57" s="142" t="e">
        <f t="shared" ca="1" si="25"/>
        <v>#NAME?</v>
      </c>
      <c r="AE57" s="142" t="e">
        <f t="shared" ca="1" si="25"/>
        <v>#NAME?</v>
      </c>
      <c r="AF57" s="142" t="e">
        <f t="shared" ca="1" si="25"/>
        <v>#NAME?</v>
      </c>
      <c r="AG57" s="142" t="e">
        <f t="shared" ca="1" si="25"/>
        <v>#NAME?</v>
      </c>
      <c r="AH57" s="142" t="e">
        <f t="shared" ca="1" si="25"/>
        <v>#NAME?</v>
      </c>
      <c r="AI57" s="142" t="e">
        <f t="shared" ca="1" si="25"/>
        <v>#NAME?</v>
      </c>
      <c r="AJ57" s="142" t="e">
        <f t="shared" ca="1" si="25"/>
        <v>#NAME?</v>
      </c>
      <c r="AK57" s="142" t="e">
        <f t="shared" ca="1" si="25"/>
        <v>#NAME?</v>
      </c>
    </row>
    <row r="58" spans="1:37" s="3" customFormat="1" x14ac:dyDescent="0.25">
      <c r="A58" s="62"/>
      <c r="B58" s="142"/>
      <c r="C58" s="142"/>
      <c r="D58" s="142"/>
      <c r="E58" s="142"/>
      <c r="F58" s="142"/>
      <c r="G58" s="142"/>
      <c r="H58" s="142"/>
      <c r="I58" s="142"/>
      <c r="J58" s="142"/>
      <c r="K58" s="142"/>
      <c r="L58" s="142"/>
      <c r="M58" s="142"/>
      <c r="N58" s="149"/>
      <c r="O58" s="150"/>
      <c r="P58" s="142"/>
      <c r="Q58" s="142"/>
      <c r="R58" s="142"/>
      <c r="S58" s="142"/>
      <c r="T58" s="142"/>
      <c r="U58" s="142"/>
      <c r="V58" s="142"/>
      <c r="W58" s="142"/>
      <c r="X58" s="142"/>
      <c r="Y58" s="142"/>
      <c r="Z58" s="142"/>
      <c r="AA58" s="142"/>
      <c r="AB58" s="142"/>
      <c r="AC58" s="142"/>
      <c r="AD58" s="142"/>
      <c r="AE58" s="151"/>
      <c r="AF58" s="151"/>
      <c r="AG58" s="151"/>
      <c r="AH58" s="151"/>
      <c r="AI58" s="151"/>
      <c r="AJ58" s="151"/>
      <c r="AK58" s="152"/>
    </row>
    <row r="59" spans="1:37" s="3" customFormat="1" x14ac:dyDescent="0.25">
      <c r="A59" s="62" t="s">
        <v>82</v>
      </c>
      <c r="B59" s="153"/>
      <c r="C59" s="153" t="e">
        <f t="shared" ref="C59:O59" ca="1" si="26">IF($B57="Non",IF(C57="Non","MW",IF(C57="Oui","MW","")),IF($B57="Oui",IF(C57="Oui","T-Test Welch",IF(C57="Non","MW",""))))</f>
        <v>#NAME?</v>
      </c>
      <c r="D59" s="153" t="e">
        <f t="shared" ca="1" si="26"/>
        <v>#NAME?</v>
      </c>
      <c r="E59" s="153" t="e">
        <f t="shared" ca="1" si="26"/>
        <v>#NAME?</v>
      </c>
      <c r="F59" s="153" t="e">
        <f t="shared" ca="1" si="26"/>
        <v>#NAME?</v>
      </c>
      <c r="G59" s="153" t="e">
        <f t="shared" ca="1" si="26"/>
        <v>#NAME?</v>
      </c>
      <c r="H59" s="153" t="e">
        <f t="shared" ca="1" si="26"/>
        <v>#NAME?</v>
      </c>
      <c r="I59" s="153" t="e">
        <f t="shared" ca="1" si="26"/>
        <v>#NAME?</v>
      </c>
      <c r="J59" s="153" t="e">
        <f t="shared" ca="1" si="26"/>
        <v>#NAME?</v>
      </c>
      <c r="K59" s="153" t="e">
        <f t="shared" ca="1" si="26"/>
        <v>#NAME?</v>
      </c>
      <c r="L59" s="153" t="e">
        <f t="shared" ca="1" si="26"/>
        <v>#NAME?</v>
      </c>
      <c r="M59" s="153" t="e">
        <f t="shared" ca="1" si="26"/>
        <v>#NAME?</v>
      </c>
      <c r="N59" s="153"/>
      <c r="O59" s="153" t="e">
        <f t="shared" ca="1" si="26"/>
        <v>#NAME?</v>
      </c>
      <c r="P59" s="153" t="e">
        <f ca="1">IF($O57="Non",IF(P57="Non","MW",IF(P57="Oui","MW","")),IF($O57="Oui",IF(P57="Oui","T-Test Welch",IF(P57="Non","MW",""))))</f>
        <v>#NAME?</v>
      </c>
      <c r="Q59" s="153" t="e">
        <f t="shared" ref="Q59:AK59" ca="1" si="27">IF($O57="Non",IF(Q57="Non","MW",IF(Q57="Oui","MW","")),IF($O57="Oui",IF(Q57="Oui","T-Test Welch",IF(Q57="Non","MW",""))))</f>
        <v>#NAME?</v>
      </c>
      <c r="R59" s="153" t="e">
        <f t="shared" ca="1" si="27"/>
        <v>#NAME?</v>
      </c>
      <c r="S59" s="153" t="e">
        <f t="shared" ca="1" si="27"/>
        <v>#NAME?</v>
      </c>
      <c r="T59" s="153" t="e">
        <f t="shared" ca="1" si="27"/>
        <v>#NAME?</v>
      </c>
      <c r="U59" s="153" t="e">
        <f t="shared" ca="1" si="27"/>
        <v>#NAME?</v>
      </c>
      <c r="V59" s="153" t="e">
        <f t="shared" ca="1" si="27"/>
        <v>#NAME?</v>
      </c>
      <c r="W59" s="153" t="e">
        <f t="shared" ca="1" si="27"/>
        <v>#NAME?</v>
      </c>
      <c r="X59" s="153" t="e">
        <f t="shared" ca="1" si="27"/>
        <v>#NAME?</v>
      </c>
      <c r="Y59" s="153" t="e">
        <f t="shared" ca="1" si="27"/>
        <v>#NAME?</v>
      </c>
      <c r="Z59" s="153" t="e">
        <f t="shared" ca="1" si="27"/>
        <v>#NAME?</v>
      </c>
      <c r="AA59" s="153" t="e">
        <f t="shared" ca="1" si="27"/>
        <v>#NAME?</v>
      </c>
      <c r="AB59" s="153" t="e">
        <f t="shared" ca="1" si="27"/>
        <v>#NAME?</v>
      </c>
      <c r="AC59" s="153" t="e">
        <f t="shared" ca="1" si="27"/>
        <v>#NAME?</v>
      </c>
      <c r="AD59" s="153" t="e">
        <f t="shared" ca="1" si="27"/>
        <v>#NAME?</v>
      </c>
      <c r="AE59" s="153" t="e">
        <f t="shared" ca="1" si="27"/>
        <v>#NAME?</v>
      </c>
      <c r="AF59" s="153" t="e">
        <f t="shared" ca="1" si="27"/>
        <v>#NAME?</v>
      </c>
      <c r="AG59" s="153" t="e">
        <f t="shared" ca="1" si="27"/>
        <v>#NAME?</v>
      </c>
      <c r="AH59" s="153" t="e">
        <f t="shared" ca="1" si="27"/>
        <v>#NAME?</v>
      </c>
      <c r="AI59" s="153" t="e">
        <f t="shared" ca="1" si="27"/>
        <v>#NAME?</v>
      </c>
      <c r="AJ59" s="153" t="e">
        <f t="shared" ca="1" si="27"/>
        <v>#NAME?</v>
      </c>
      <c r="AK59" s="153" t="e">
        <f t="shared" ca="1" si="27"/>
        <v>#NAME?</v>
      </c>
    </row>
    <row r="60" spans="1:37" s="3" customFormat="1" x14ac:dyDescent="0.25">
      <c r="A60" s="62" t="s">
        <v>83</v>
      </c>
      <c r="B60" s="154"/>
      <c r="C60" s="154" t="e">
        <f ca="1">IF(C59="MW",[1]!MTEST($B28:$B43,C28:C43,2), IF(C59="T-Test Welch",_xlfn.T.TEST($B28:$B43,C28:C43,2,3),""))</f>
        <v>#NAME?</v>
      </c>
      <c r="D60" s="154" t="e">
        <f ca="1">IF(D59="MW",[1]!MTEST($B28:$B43,D28:D43,2), IF(D59="T-Test Welch",_xlfn.T.TEST($B28:$B43,D28:D43,2,3),""))</f>
        <v>#NAME?</v>
      </c>
      <c r="E60" s="154" t="e">
        <f ca="1">IF(E59="MW",[1]!MTEST($B28:$B43,E28:E43,2), IF(E59="T-Test Welch",_xlfn.T.TEST($B28:$B43,E28:E43,2,3),""))</f>
        <v>#NAME?</v>
      </c>
      <c r="F60" s="154" t="e">
        <f ca="1">IF(F59="MW",[1]!MTEST($B28:$B43,F28:F43,2), IF(F59="T-Test Welch",_xlfn.T.TEST($B28:$B43,F28:F43,2,3),""))</f>
        <v>#NAME?</v>
      </c>
      <c r="G60" s="154" t="e">
        <f ca="1">IF(G59="MW",[1]!MTEST($B28:$B43,G28:G43,2), IF(G59="T-Test Welch",_xlfn.T.TEST($B28:$B43,G28:G43,2,3),""))</f>
        <v>#NAME?</v>
      </c>
      <c r="H60" s="154" t="e">
        <f ca="1">IF(H59="MW",[1]!MTEST($B28:$B43,H28:H43,2), IF(H59="T-Test Welch",_xlfn.T.TEST($B28:$B43,H28:H43,2,3),""))</f>
        <v>#NAME?</v>
      </c>
      <c r="I60" s="154" t="e">
        <f ca="1">IF(I59="MW",[1]!MTEST($B28:$B43,I28:I43,2), IF(I59="T-Test Welch",_xlfn.T.TEST($B28:$B43,I28:I43,2,3),""))</f>
        <v>#NAME?</v>
      </c>
      <c r="J60" s="154" t="e">
        <f ca="1">IF(J59="MW",[1]!MTEST($B28:$B43,J28:J43,2), IF(J59="T-Test Welch",_xlfn.T.TEST($B28:$B43,J28:J43,2,3),""))</f>
        <v>#NAME?</v>
      </c>
      <c r="K60" s="154" t="e">
        <f ca="1">IF(K59="MW",[1]!MTEST($B28:$B43,K28:K43,2), IF(K59="T-Test Welch",_xlfn.T.TEST($B28:$B43,K28:K43,2,3),""))</f>
        <v>#NAME?</v>
      </c>
      <c r="L60" s="154" t="e">
        <f ca="1">IF(L59="MW",[1]!MTEST($B28:$B43,L28:L43,2), IF(L59="T-Test Welch",_xlfn.T.TEST($B28:$B43,L28:L43,2,3),""))</f>
        <v>#NAME?</v>
      </c>
      <c r="M60" s="154" t="e">
        <f ca="1">IF(M59="MW",[1]!MTEST($B28:$B43,M28:M43,2), IF(M59="T-Test Welch",_xlfn.T.TEST($B28:$B43,M28:M43,2,3),""))</f>
        <v>#NAME?</v>
      </c>
      <c r="N60" s="154"/>
      <c r="O60" s="154" t="e">
        <f ca="1">IF(O59="MW",[1]!MTEST($B28:$B43,O28:O43,2), IF(O59="T-Test Welch",_xlfn.T.TEST($B28:$B43,O28:O43,2,3),""))</f>
        <v>#NAME?</v>
      </c>
      <c r="P60" s="154" t="e">
        <f ca="1">IF(P59="MW",[1]!MTEST($O28:$O43,P28:P43,2), IF(P59="T-Test Welch",_xlfn.T.TEST($O28:$O43,P28:P43,2,3),""))</f>
        <v>#NAME?</v>
      </c>
      <c r="Q60" s="154" t="e">
        <f ca="1">IF(Q59="MW",[1]!MTEST($O28:$O43,Q28:Q43,2), IF(Q59="T-Test Welch",_xlfn.T.TEST($O28:$O43,Q28:Q43,2,3),""))</f>
        <v>#NAME?</v>
      </c>
      <c r="R60" s="154" t="e">
        <f ca="1">IF(R59="MW",[1]!MTEST($O28:$O43,R28:R43,2), IF(R59="T-Test Welch",_xlfn.T.TEST($O28:$O43,R28:R43,2,3),""))</f>
        <v>#NAME?</v>
      </c>
      <c r="S60" s="154" t="e">
        <f ca="1">IF(S59="MW",[1]!MTEST($O28:$O43,S28:S43,2), IF(S59="T-Test Welch",_xlfn.T.TEST($O28:$O43,S28:S43,2,3),""))</f>
        <v>#NAME?</v>
      </c>
      <c r="T60" s="154" t="e">
        <f ca="1">IF(T59="MW",[1]!MTEST($O28:$O43,T28:T43,2), IF(T59="T-Test Welch",_xlfn.T.TEST($O28:$O43,T28:T43,2,3),""))</f>
        <v>#NAME?</v>
      </c>
      <c r="U60" s="154" t="e">
        <f ca="1">IF(U59="MW",[1]!MTEST($O28:$O43,U28:U43,2), IF(U59="T-Test Welch",_xlfn.T.TEST($O28:$O43,U28:U43,2,3),""))</f>
        <v>#NAME?</v>
      </c>
      <c r="V60" s="154" t="e">
        <f ca="1">IF(V59="MW",[1]!MTEST($O28:$O43,V28:V43,2), IF(V59="T-Test Welch",_xlfn.T.TEST($O28:$O43,V28:V43,2,3),""))</f>
        <v>#NAME?</v>
      </c>
      <c r="W60" s="154" t="e">
        <f ca="1">IF(W59="MW",[1]!MTEST($O28:$O43,W28:W43,2), IF(W59="T-Test Welch",_xlfn.T.TEST($O28:$O43,W28:W43,2,3),""))</f>
        <v>#NAME?</v>
      </c>
      <c r="X60" s="154" t="e">
        <f ca="1">IF(X59="MW",[1]!MTEST($O28:$O43,X28:X43,2), IF(X59="T-Test Welch",_xlfn.T.TEST($O28:$O43,X28:X43,2,3),""))</f>
        <v>#NAME?</v>
      </c>
      <c r="Y60" s="154" t="e">
        <f ca="1">IF(Y59="MW",[1]!MTEST($O28:$O43,Y28:Y43,2), IF(Y59="T-Test Welch",_xlfn.T.TEST($O28:$O43,Y28:Y43,2,3),""))</f>
        <v>#NAME?</v>
      </c>
      <c r="Z60" s="154" t="e">
        <f ca="1">IF(Z59="MW",[1]!MTEST($O28:$O43,Z28:Z43,2), IF(Z59="T-Test Welch",_xlfn.T.TEST($O28:$O43,Z28:Z43,2,3),""))</f>
        <v>#NAME?</v>
      </c>
      <c r="AA60" s="154" t="e">
        <f ca="1">IF(AA59="MW",[1]!MTEST($O28:$O43,AA28:AA43,2), IF(AA59="T-Test Welch",_xlfn.T.TEST($O28:$O43,AA28:AA43,2,3),""))</f>
        <v>#NAME?</v>
      </c>
      <c r="AB60" s="154" t="e">
        <f ca="1">IF(AB59="MW",[1]!MTEST($O28:$O43,AB28:AB43,2), IF(AB59="T-Test Welch",_xlfn.T.TEST($O28:$O43,AB28:AB43,2,3),""))</f>
        <v>#NAME?</v>
      </c>
      <c r="AC60" s="154" t="e">
        <f ca="1">IF(AC59="MW",[1]!MTEST($O28:$O43,AC28:AC43,2), IF(AC59="T-Test Welch",_xlfn.T.TEST($O28:$O43,AC28:AC43,2,3),""))</f>
        <v>#NAME?</v>
      </c>
      <c r="AD60" s="154" t="e">
        <f ca="1">IF(AD59="MW",[1]!MTEST($O28:$O43,AD28:AD43,2), IF(AD59="T-Test Welch",_xlfn.T.TEST($O28:$O43,AD28:AD43,2,3),""))</f>
        <v>#NAME?</v>
      </c>
      <c r="AE60" s="154" t="e">
        <f ca="1">IF(AE59="MW",[1]!MTEST($O28:$O43,AE28:AE43,2), IF(AE59="T-Test Welch",_xlfn.T.TEST($O28:$O43,AE28:AE43,2,3),""))</f>
        <v>#NAME?</v>
      </c>
      <c r="AF60" s="154" t="e">
        <f ca="1">IF(AF59="MW",[1]!MTEST($O28:$O43,AF28:AF43,2), IF(AF59="T-Test Welch",_xlfn.T.TEST($O28:$O43,AF28:AF43,2,3),""))</f>
        <v>#NAME?</v>
      </c>
      <c r="AG60" s="154" t="e">
        <f ca="1">IF(AG59="MW",[1]!MTEST($O28:$O43,AG28:AG43,2), IF(AG59="T-Test Welch",_xlfn.T.TEST($O28:$O43,AG28:AG43,2,3),""))</f>
        <v>#NAME?</v>
      </c>
      <c r="AH60" s="154" t="e">
        <f ca="1">IF(AH59="MW",[1]!MTEST($O28:$O43,AH28:AH43,2), IF(AH59="T-Test Welch",_xlfn.T.TEST($O28:$O43,AH28:AH43,2,3),""))</f>
        <v>#NAME?</v>
      </c>
      <c r="AI60" s="154" t="e">
        <f ca="1">IF(AI59="MW",[1]!MTEST($O28:$O43,AI28:AI43,2), IF(AI59="T-Test Welch",_xlfn.T.TEST($O28:$O43,AI28:AI43,2,3),""))</f>
        <v>#NAME?</v>
      </c>
      <c r="AJ60" s="154" t="e">
        <f ca="1">IF(AJ59="MW",[1]!MTEST($O28:$O43,AJ28:AJ43,2), IF(AJ59="T-Test Welch",_xlfn.T.TEST($O28:$O43,AJ28:AJ43,2,3),""))</f>
        <v>#NAME?</v>
      </c>
      <c r="AK60" s="154" t="e">
        <f ca="1">IF(AK59="MW",[1]!MTEST($O28:$O43,AK28:AK43,2), IF(AK59="T-Test Welch",_xlfn.T.TEST($O28:$O43,AK28:AK43,2,3),""))</f>
        <v>#NAME?</v>
      </c>
    </row>
    <row r="61" spans="1:37" s="3" customFormat="1" ht="15.75" thickBot="1" x14ac:dyDescent="0.3">
      <c r="A61" s="63" t="s">
        <v>84</v>
      </c>
      <c r="B61" s="143"/>
      <c r="C61" s="143" t="e">
        <f t="shared" ref="C61:O61" ca="1" si="28">IF(C60&gt;0.05,"NS",IF(C60&gt;0.01,"*",IF(C60&gt;0.001,"**","***")))</f>
        <v>#NAME?</v>
      </c>
      <c r="D61" s="143" t="e">
        <f t="shared" ca="1" si="28"/>
        <v>#NAME?</v>
      </c>
      <c r="E61" s="143" t="e">
        <f t="shared" ca="1" si="28"/>
        <v>#NAME?</v>
      </c>
      <c r="F61" s="143" t="e">
        <f t="shared" ca="1" si="28"/>
        <v>#NAME?</v>
      </c>
      <c r="G61" s="143" t="e">
        <f t="shared" ca="1" si="28"/>
        <v>#NAME?</v>
      </c>
      <c r="H61" s="143" t="e">
        <f t="shared" ca="1" si="28"/>
        <v>#NAME?</v>
      </c>
      <c r="I61" s="143" t="e">
        <f t="shared" ca="1" si="28"/>
        <v>#NAME?</v>
      </c>
      <c r="J61" s="143" t="e">
        <f t="shared" ca="1" si="28"/>
        <v>#NAME?</v>
      </c>
      <c r="K61" s="143" t="e">
        <f t="shared" ca="1" si="28"/>
        <v>#NAME?</v>
      </c>
      <c r="L61" s="143" t="e">
        <f t="shared" ca="1" si="28"/>
        <v>#NAME?</v>
      </c>
      <c r="M61" s="143" t="e">
        <f t="shared" ca="1" si="28"/>
        <v>#NAME?</v>
      </c>
      <c r="N61" s="143"/>
      <c r="O61" s="143" t="e">
        <f t="shared" ca="1" si="28"/>
        <v>#NAME?</v>
      </c>
      <c r="P61" s="143" t="e">
        <f ca="1">IF(P60&gt;0.05,"NS",IF(P60&gt;0.01,"*",IF(P60&gt;0.001,"**","***")))</f>
        <v>#NAME?</v>
      </c>
      <c r="Q61" s="143" t="e">
        <f t="shared" ref="Q61:AK61" ca="1" si="29">IF(Q60&gt;0.05,"NS",IF(Q60&gt;0.01,"*",IF(Q60&gt;0.001,"**","***")))</f>
        <v>#NAME?</v>
      </c>
      <c r="R61" s="143" t="e">
        <f t="shared" ca="1" si="29"/>
        <v>#NAME?</v>
      </c>
      <c r="S61" s="143" t="e">
        <f t="shared" ca="1" si="29"/>
        <v>#NAME?</v>
      </c>
      <c r="T61" s="143" t="e">
        <f t="shared" ca="1" si="29"/>
        <v>#NAME?</v>
      </c>
      <c r="U61" s="143" t="e">
        <f t="shared" ca="1" si="29"/>
        <v>#NAME?</v>
      </c>
      <c r="V61" s="143" t="e">
        <f t="shared" ca="1" si="29"/>
        <v>#NAME?</v>
      </c>
      <c r="W61" s="143" t="e">
        <f t="shared" ca="1" si="29"/>
        <v>#NAME?</v>
      </c>
      <c r="X61" s="143" t="e">
        <f t="shared" ca="1" si="29"/>
        <v>#NAME?</v>
      </c>
      <c r="Y61" s="143" t="e">
        <f t="shared" ca="1" si="29"/>
        <v>#NAME?</v>
      </c>
      <c r="Z61" s="143" t="e">
        <f t="shared" ca="1" si="29"/>
        <v>#NAME?</v>
      </c>
      <c r="AA61" s="143" t="e">
        <f t="shared" ca="1" si="29"/>
        <v>#NAME?</v>
      </c>
      <c r="AB61" s="143" t="e">
        <f t="shared" ca="1" si="29"/>
        <v>#NAME?</v>
      </c>
      <c r="AC61" s="143" t="e">
        <f t="shared" ca="1" si="29"/>
        <v>#NAME?</v>
      </c>
      <c r="AD61" s="143" t="e">
        <f t="shared" ca="1" si="29"/>
        <v>#NAME?</v>
      </c>
      <c r="AE61" s="143" t="e">
        <f t="shared" ca="1" si="29"/>
        <v>#NAME?</v>
      </c>
      <c r="AF61" s="143" t="e">
        <f t="shared" ca="1" si="29"/>
        <v>#NAME?</v>
      </c>
      <c r="AG61" s="143" t="e">
        <f t="shared" ca="1" si="29"/>
        <v>#NAME?</v>
      </c>
      <c r="AH61" s="143" t="e">
        <f t="shared" ca="1" si="29"/>
        <v>#NAME?</v>
      </c>
      <c r="AI61" s="143" t="e">
        <f t="shared" ca="1" si="29"/>
        <v>#NAME?</v>
      </c>
      <c r="AJ61" s="143" t="e">
        <f t="shared" ca="1" si="29"/>
        <v>#NAME?</v>
      </c>
      <c r="AK61" s="143" t="e">
        <f t="shared" ca="1" si="29"/>
        <v>#NAME?</v>
      </c>
    </row>
    <row r="63" spans="1:37" x14ac:dyDescent="0.25">
      <c r="A63" s="2" t="s">
        <v>39</v>
      </c>
    </row>
    <row r="64" spans="1:37" x14ac:dyDescent="0.25">
      <c r="A64" s="1" t="s">
        <v>23</v>
      </c>
      <c r="B64" s="1">
        <f>B46+(3*B47)</f>
        <v>0.25074716306496109</v>
      </c>
    </row>
    <row r="65" spans="1:37" x14ac:dyDescent="0.25">
      <c r="A65" s="1" t="s">
        <v>24</v>
      </c>
      <c r="B65" s="1">
        <f>B46+(10*B47)</f>
        <v>0.61442779618148713</v>
      </c>
    </row>
    <row r="66" spans="1:37" ht="15.75" thickBot="1" x14ac:dyDescent="0.3"/>
    <row r="67" spans="1:37" ht="27" thickBot="1" x14ac:dyDescent="0.45">
      <c r="A67" s="221" t="s">
        <v>45</v>
      </c>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c r="AD67" s="222"/>
      <c r="AE67" s="222"/>
      <c r="AF67" s="222"/>
      <c r="AG67" s="222"/>
      <c r="AH67" s="222"/>
      <c r="AI67" s="222"/>
      <c r="AJ67" s="222"/>
      <c r="AK67" s="223"/>
    </row>
    <row r="68" spans="1:37" ht="16.5" x14ac:dyDescent="0.25">
      <c r="A68" s="12"/>
      <c r="B68" s="12"/>
      <c r="C68" s="12"/>
      <c r="D68" s="12"/>
      <c r="E68" s="12"/>
      <c r="F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6.5" x14ac:dyDescent="0.25">
      <c r="A69" s="12"/>
      <c r="B69" s="12"/>
      <c r="C69" s="12"/>
      <c r="D69" s="12"/>
      <c r="E69" s="12"/>
      <c r="F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6.5" x14ac:dyDescent="0.25">
      <c r="A70" s="12"/>
      <c r="B70" s="12"/>
      <c r="C70" s="12"/>
      <c r="D70" s="12"/>
      <c r="E70" s="12"/>
      <c r="F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6.5" x14ac:dyDescent="0.25">
      <c r="A71" s="12"/>
      <c r="B71" s="12"/>
      <c r="C71" s="12"/>
      <c r="D71" s="12"/>
      <c r="E71" s="12"/>
      <c r="F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6.5" x14ac:dyDescent="0.25">
      <c r="A72" s="12"/>
      <c r="B72" s="12"/>
      <c r="C72" s="12"/>
      <c r="D72" s="12"/>
      <c r="E72" s="12"/>
      <c r="F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6.5" x14ac:dyDescent="0.25">
      <c r="A73" s="12"/>
      <c r="B73" s="12"/>
      <c r="C73" s="12"/>
      <c r="D73" s="12"/>
      <c r="E73" s="12"/>
      <c r="F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6.5" x14ac:dyDescent="0.25">
      <c r="A74" s="12"/>
      <c r="B74" s="12"/>
      <c r="C74" s="12"/>
      <c r="D74" s="12"/>
      <c r="E74" s="12"/>
      <c r="F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sheetData>
  <protectedRanges>
    <protectedRange sqref="O51:AK51" name="Plage2"/>
    <protectedRange sqref="R5:AK20" name="Plage1"/>
    <protectedRange sqref="B51:J51" name="Plage2_1"/>
    <protectedRange sqref="O5:O20 B5:J20" name="Plage1_1"/>
  </protectedRanges>
  <mergeCells count="9">
    <mergeCell ref="A28:A43"/>
    <mergeCell ref="A50:AK50"/>
    <mergeCell ref="A67:AK67"/>
    <mergeCell ref="A1:AK1"/>
    <mergeCell ref="B3:M3"/>
    <mergeCell ref="O3:AK3"/>
    <mergeCell ref="A5:A20"/>
    <mergeCell ref="B26:M26"/>
    <mergeCell ref="O26:AK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108"/>
  <sheetViews>
    <sheetView showGridLines="0" topLeftCell="A52" zoomScale="70" zoomScaleNormal="70" workbookViewId="0">
      <selection activeCell="O94" sqref="O94"/>
    </sheetView>
  </sheetViews>
  <sheetFormatPr defaultColWidth="11.42578125"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6" t="e">
        <f>'Page de garde'!#REF!</f>
        <v>#REF!</v>
      </c>
      <c r="C1" s="38"/>
      <c r="D1" s="38"/>
      <c r="E1" s="38"/>
      <c r="F1" s="38"/>
      <c r="G1" s="38"/>
      <c r="H1" s="57"/>
      <c r="I1" s="56"/>
      <c r="J1" s="58"/>
      <c r="K1" s="58"/>
      <c r="L1" s="58"/>
      <c r="M1" s="58"/>
      <c r="N1" s="58"/>
      <c r="O1" s="58"/>
      <c r="P1" s="58"/>
      <c r="Q1" s="58"/>
      <c r="R1" s="58"/>
      <c r="S1" s="58"/>
      <c r="T1" s="58"/>
      <c r="U1" s="58"/>
      <c r="V1" s="58"/>
    </row>
    <row r="2" spans="1:22" ht="15.75" thickBot="1" x14ac:dyDescent="0.3">
      <c r="A2" s="1"/>
      <c r="B2" s="1"/>
      <c r="C2" s="1"/>
      <c r="D2" s="1"/>
      <c r="E2" s="1"/>
      <c r="F2" s="1"/>
      <c r="G2" s="1"/>
      <c r="H2" s="1"/>
      <c r="I2" s="1"/>
      <c r="J2" s="1"/>
      <c r="K2" s="1"/>
      <c r="L2" s="1"/>
      <c r="M2" s="1"/>
    </row>
    <row r="3" spans="1:22" s="33" customFormat="1" ht="15.75" thickBot="1" x14ac:dyDescent="0.3">
      <c r="B3" s="228" t="s">
        <v>6</v>
      </c>
      <c r="C3" s="229"/>
      <c r="D3" s="229"/>
      <c r="E3" s="229"/>
      <c r="F3" s="229"/>
      <c r="G3" s="229"/>
      <c r="H3" s="229"/>
      <c r="I3" s="229"/>
      <c r="J3" s="229"/>
      <c r="K3" s="229"/>
      <c r="L3" s="229"/>
      <c r="M3" s="229"/>
      <c r="N3" s="73"/>
      <c r="O3" s="228" t="s">
        <v>3</v>
      </c>
      <c r="P3" s="229"/>
      <c r="Q3" s="229"/>
      <c r="R3" s="229"/>
      <c r="S3" s="229"/>
      <c r="T3" s="229"/>
      <c r="U3" s="229"/>
      <c r="V3" s="229"/>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DUS-10µg/L</v>
      </c>
      <c r="J4" s="35" t="str">
        <f>'R1'!J4</f>
        <v>DUS-100µg/L</v>
      </c>
      <c r="K4" s="35" t="str">
        <f>'R1'!K4</f>
        <v>DUS-250µg/L</v>
      </c>
      <c r="L4" s="35" t="str">
        <f>'R1'!L4</f>
        <v>DUS-500µg/L</v>
      </c>
      <c r="M4" s="35" t="str">
        <f>'R1'!M4</f>
        <v>DUS-1000µg/L</v>
      </c>
      <c r="O4" s="35" t="str">
        <f>'R1'!O4</f>
        <v>Testo -30µg/L</v>
      </c>
      <c r="P4" s="35" t="str">
        <f>'R1'!P4</f>
        <v>Testo 30µg/L + EE2 -64ng/L</v>
      </c>
      <c r="Q4" s="35" t="str">
        <f>'R1'!Q4</f>
        <v>Testo 30µg/L + FAD-10mg/L</v>
      </c>
      <c r="R4" s="35" t="str">
        <f>'R1'!R4</f>
        <v>DUS-10µg/L + Testostérone</v>
      </c>
      <c r="S4" s="35" t="str">
        <f>'R1'!S4</f>
        <v>DUS-100µg/L + Testostérone</v>
      </c>
      <c r="T4" s="35" t="str">
        <f>'R1'!T4</f>
        <v>DUS-250µg/L + Testostérone</v>
      </c>
      <c r="U4" s="35" t="str">
        <f>'R1'!U4</f>
        <v>DUS-500µg/L + Testostérone</v>
      </c>
      <c r="V4" s="35" t="str">
        <f>'R1'!V4</f>
        <v>DUS-1000µg/L + Testostérone</v>
      </c>
    </row>
    <row r="5" spans="1:22" s="1" customFormat="1" x14ac:dyDescent="0.25">
      <c r="A5" s="34"/>
      <c r="B5" s="35"/>
      <c r="C5" s="197" t="s">
        <v>165</v>
      </c>
      <c r="D5" s="35"/>
      <c r="E5" s="35"/>
      <c r="F5" s="35"/>
      <c r="G5" s="35"/>
      <c r="H5" s="35"/>
      <c r="I5" s="35"/>
      <c r="J5" s="35"/>
      <c r="K5" s="35"/>
      <c r="L5" s="35"/>
      <c r="M5" s="35"/>
      <c r="O5" s="35"/>
      <c r="P5" s="35"/>
      <c r="Q5" s="35"/>
      <c r="R5" s="35"/>
      <c r="S5" s="35"/>
      <c r="T5" s="35"/>
      <c r="U5" s="35"/>
      <c r="V5" s="35"/>
    </row>
    <row r="6" spans="1:22" s="1" customFormat="1" x14ac:dyDescent="0.25">
      <c r="A6" s="72" t="s">
        <v>4</v>
      </c>
      <c r="B6" s="54" t="str">
        <f>'R1'!B28</f>
        <v/>
      </c>
      <c r="C6" s="54">
        <f>'R1'!C28</f>
        <v>5.3698171345605727E-2</v>
      </c>
      <c r="D6" s="54">
        <f>'R1'!D28</f>
        <v>0.10625810498335699</v>
      </c>
      <c r="E6" s="54">
        <f>'R1'!E28</f>
        <v>0.15911688753043685</v>
      </c>
      <c r="F6" s="54">
        <f>'R1'!F28</f>
        <v>0.48458435816733281</v>
      </c>
      <c r="G6" s="54">
        <f>'R1'!G28</f>
        <v>1.2088998605756596</v>
      </c>
      <c r="H6" s="54">
        <f>'R1'!H28</f>
        <v>2.3685926110909943</v>
      </c>
      <c r="I6" s="54">
        <f>'R1'!I28</f>
        <v>0.18127249335651052</v>
      </c>
      <c r="J6" s="54">
        <f>'R1'!J28</f>
        <v>0.17058765120851072</v>
      </c>
      <c r="K6" s="54">
        <f>'R1'!K28</f>
        <v>0.16791012396324681</v>
      </c>
      <c r="L6" s="54">
        <f>'R1'!L28</f>
        <v>3.9373864281878022E-2</v>
      </c>
      <c r="M6" s="54">
        <f>'R1'!M28</f>
        <v>0.10521809563772008</v>
      </c>
      <c r="N6"/>
      <c r="O6" s="54">
        <f>'R1'!O28</f>
        <v>0.41121553144215744</v>
      </c>
      <c r="P6" s="54">
        <f>'R1'!P28</f>
        <v>2.2276479705708079</v>
      </c>
      <c r="Q6" s="54">
        <f>'R1'!Q28</f>
        <v>3.3888406435727984E-2</v>
      </c>
      <c r="R6" s="54">
        <f>'R1'!R28</f>
        <v>0.80522917582221354</v>
      </c>
      <c r="S6" s="54">
        <f>'R1'!S28</f>
        <v>0.43816909121119174</v>
      </c>
      <c r="T6" s="54">
        <f>'R1'!T28</f>
        <v>1.4440954663346073</v>
      </c>
      <c r="U6" s="54">
        <f>'R1'!U28</f>
        <v>1.4344257452285225</v>
      </c>
      <c r="V6" s="54">
        <f>'R1'!V28</f>
        <v>1.5342895434343833</v>
      </c>
    </row>
    <row r="7" spans="1:22" s="1" customFormat="1" x14ac:dyDescent="0.25">
      <c r="A7" s="233" t="s">
        <v>34</v>
      </c>
      <c r="B7" s="54">
        <f>'R1'!B29</f>
        <v>0.15599742728752738</v>
      </c>
      <c r="C7" s="54">
        <f>'R1'!C29</f>
        <v>0.1239882297312951</v>
      </c>
      <c r="D7" s="54">
        <f>'R1'!D29</f>
        <v>0.76358735303464542</v>
      </c>
      <c r="E7" s="54">
        <f>'R1'!E29</f>
        <v>0.23362338416946543</v>
      </c>
      <c r="F7" s="54">
        <f>'R1'!F29</f>
        <v>1.2847452154696537</v>
      </c>
      <c r="G7" s="54">
        <f>'R1'!G29</f>
        <v>1.3792047503715441</v>
      </c>
      <c r="H7" s="54">
        <f>'R1'!H29</f>
        <v>1.9887435343956454</v>
      </c>
      <c r="I7" s="54">
        <f>'R1'!I29</f>
        <v>0.1764171922194229</v>
      </c>
      <c r="J7" s="54">
        <f>'R1'!J29</f>
        <v>2.716212943216291E-2</v>
      </c>
      <c r="K7" s="54">
        <f>'R1'!K29</f>
        <v>6.9741758645141566E-2</v>
      </c>
      <c r="L7" s="54">
        <f>'R1'!L29</f>
        <v>0.12961715019509623</v>
      </c>
      <c r="M7" s="54">
        <f>'R1'!M29</f>
        <v>9.9757242198291185E-2</v>
      </c>
      <c r="N7"/>
      <c r="O7" s="54">
        <f>'R1'!O29</f>
        <v>1.1280929324340092</v>
      </c>
      <c r="P7" s="54">
        <f>'R1'!P29</f>
        <v>2.2217694100111207</v>
      </c>
      <c r="Q7" s="54">
        <f>'R1'!Q29</f>
        <v>5.3652937090172208E-2</v>
      </c>
      <c r="R7" s="54">
        <f>'R1'!R29</f>
        <v>0.36035046289816025</v>
      </c>
      <c r="S7" s="54">
        <f>'R1'!S29</f>
        <v>1.9810839933186799</v>
      </c>
      <c r="T7" s="54">
        <f>'R1'!T29</f>
        <v>1.1131423485868943</v>
      </c>
      <c r="U7" s="54">
        <f>'R1'!U29</f>
        <v>1.3180809690774908</v>
      </c>
      <c r="V7" s="54">
        <f>'R1'!V29</f>
        <v>2.9215961464098723</v>
      </c>
    </row>
    <row r="8" spans="1:22" s="1" customFormat="1" x14ac:dyDescent="0.25">
      <c r="A8" s="234"/>
      <c r="B8" s="54">
        <f>'R1'!B30</f>
        <v>0.1417961422574055</v>
      </c>
      <c r="C8" s="54">
        <f>'R1'!C30</f>
        <v>7.8485975529176272E-2</v>
      </c>
      <c r="D8" s="54">
        <f>'R1'!D30</f>
        <v>4.4757308472468789E-2</v>
      </c>
      <c r="E8" s="54">
        <f>'R1'!E30</f>
        <v>0.57603931647923479</v>
      </c>
      <c r="F8" s="54">
        <f>'R1'!F30</f>
        <v>0.56751199690368059</v>
      </c>
      <c r="G8" s="54">
        <f>'R1'!G30</f>
        <v>1.9532584912283808</v>
      </c>
      <c r="H8" s="54">
        <f>'R1'!H30</f>
        <v>2.2093673695386506</v>
      </c>
      <c r="I8" s="54">
        <f>'R1'!I30</f>
        <v>0.10320810487326804</v>
      </c>
      <c r="J8" s="54">
        <f>'R1'!J30</f>
        <v>0.12321035194957212</v>
      </c>
      <c r="K8" s="54">
        <f>'R1'!K30</f>
        <v>0.27662053123803554</v>
      </c>
      <c r="L8" s="54">
        <f>'R1'!L30</f>
        <v>2.4644152301252368E-3</v>
      </c>
      <c r="M8" s="54">
        <f>'R1'!M30</f>
        <v>0</v>
      </c>
      <c r="N8"/>
      <c r="O8" s="54">
        <f>'R1'!O30</f>
        <v>1.9112360571953031</v>
      </c>
      <c r="P8" s="54">
        <f>'R1'!P30</f>
        <v>2.5458243984375546</v>
      </c>
      <c r="Q8" s="54">
        <f>'R1'!Q30</f>
        <v>3.3626464136481127E-2</v>
      </c>
      <c r="R8" s="54">
        <f>'R1'!R30</f>
        <v>1.6326547440062578</v>
      </c>
      <c r="S8" s="54">
        <f>'R1'!S30</f>
        <v>3.2746004905197613E-2</v>
      </c>
      <c r="T8" s="54">
        <f>'R1'!T30</f>
        <v>2.0215060053268794</v>
      </c>
      <c r="U8" s="54">
        <f>'R1'!U30</f>
        <v>2.1410482187636601</v>
      </c>
      <c r="V8" s="54">
        <f>'R1'!V30</f>
        <v>1.6875973305379532</v>
      </c>
    </row>
    <row r="9" spans="1:22" s="1" customFormat="1" x14ac:dyDescent="0.25">
      <c r="A9" s="234"/>
      <c r="B9" s="54">
        <f>'R1'!B31</f>
        <v>8.2767899357327215E-2</v>
      </c>
      <c r="C9" s="54">
        <f>'R1'!C31</f>
        <v>9.7493258250609907E-2</v>
      </c>
      <c r="D9" s="54">
        <f>'R1'!D31</f>
        <v>0.10889853635387209</v>
      </c>
      <c r="E9" s="54">
        <f>'R1'!E31</f>
        <v>0.39565930066036781</v>
      </c>
      <c r="F9" s="54">
        <f>'R1'!F31</f>
        <v>1.9853988491989036</v>
      </c>
      <c r="G9" s="54">
        <f>'R1'!G31</f>
        <v>2.0227218415482389</v>
      </c>
      <c r="H9" s="54">
        <f>'R1'!H31</f>
        <v>2.1338309892136742</v>
      </c>
      <c r="I9" s="54">
        <f>'R1'!I31</f>
        <v>8.4143474957707382E-2</v>
      </c>
      <c r="J9" s="54">
        <f>'R1'!J31</f>
        <v>0.14098154713026786</v>
      </c>
      <c r="K9" s="54">
        <f>'R1'!K31</f>
        <v>9.9294300822599144E-2</v>
      </c>
      <c r="L9" s="54">
        <f>'R1'!L31</f>
        <v>0.12100371519601785</v>
      </c>
      <c r="M9" s="54">
        <f>'R1'!M31</f>
        <v>0.13513137627064334</v>
      </c>
      <c r="N9"/>
      <c r="O9" s="54">
        <f>'R1'!O31</f>
        <v>0.96441154892746217</v>
      </c>
      <c r="P9" s="54">
        <f>'R1'!P31</f>
        <v>1.2519028748489094</v>
      </c>
      <c r="Q9" s="54">
        <f>'R1'!Q31</f>
        <v>0.10156244859295631</v>
      </c>
      <c r="R9" s="54">
        <f>'R1'!R31</f>
        <v>0.21328557083841806</v>
      </c>
      <c r="S9" s="54">
        <f>'R1'!S31</f>
        <v>2.0848407764618297</v>
      </c>
      <c r="T9" s="54">
        <f>'R1'!T31</f>
        <v>1.2123141951698888</v>
      </c>
      <c r="U9" s="54">
        <f>'R1'!U31</f>
        <v>6.6249636272739998E-2</v>
      </c>
      <c r="V9" s="54">
        <f>'R1'!V31</f>
        <v>0.97135869779751638</v>
      </c>
    </row>
    <row r="10" spans="1:22" s="1" customFormat="1" x14ac:dyDescent="0.25">
      <c r="A10" s="234"/>
      <c r="B10" s="54">
        <f>'R1'!B32</f>
        <v>1.3546240017337655E-2</v>
      </c>
      <c r="C10" s="54">
        <f>'R1'!C32</f>
        <v>0.14778125882466225</v>
      </c>
      <c r="D10" s="54">
        <f>'R1'!D32</f>
        <v>3.2353091456327331E-2</v>
      </c>
      <c r="E10" s="54">
        <f>'R1'!E32</f>
        <v>0.45398347899888658</v>
      </c>
      <c r="F10" s="54">
        <f>'R1'!F32</f>
        <v>0.85948397455371883</v>
      </c>
      <c r="G10" s="54">
        <f>'R1'!G32</f>
        <v>1.55392726676188</v>
      </c>
      <c r="H10" s="54">
        <f>'R1'!H32</f>
        <v>2.8172660805901191</v>
      </c>
      <c r="I10" s="54">
        <f>'R1'!I32</f>
        <v>6.2585472317957372E-2</v>
      </c>
      <c r="J10" s="54">
        <f>'R1'!J32</f>
        <v>4.9153926688873764E-2</v>
      </c>
      <c r="K10" s="54">
        <f>'R1'!K32</f>
        <v>0.11701231263184375</v>
      </c>
      <c r="L10" s="54">
        <f>'R1'!L32</f>
        <v>0.10923826643129124</v>
      </c>
      <c r="M10" s="54">
        <f>'R1'!M32</f>
        <v>0.22627953655719912</v>
      </c>
      <c r="N10"/>
      <c r="O10" s="54">
        <f>'R1'!O32</f>
        <v>0.1094265847750417</v>
      </c>
      <c r="P10" s="54">
        <f>'R1'!P32</f>
        <v>2.670242448227802</v>
      </c>
      <c r="Q10" s="54">
        <f>'R1'!Q32</f>
        <v>8.6706118550050199E-2</v>
      </c>
      <c r="R10" s="54">
        <f>'R1'!R32</f>
        <v>1.1498964113469694</v>
      </c>
      <c r="S10" s="54">
        <f>'R1'!S32</f>
        <v>1.7262875708423171</v>
      </c>
      <c r="T10" s="54">
        <f>'R1'!T32</f>
        <v>1.6832005230568812</v>
      </c>
      <c r="U10" s="54">
        <f>'R1'!U32</f>
        <v>0.97666832876794363</v>
      </c>
      <c r="V10" s="54">
        <f>'R1'!V32</f>
        <v>0.86328289495146671</v>
      </c>
    </row>
    <row r="11" spans="1:22" s="1" customFormat="1" x14ac:dyDescent="0.25">
      <c r="A11" s="234"/>
      <c r="B11" s="54">
        <f>'R1'!B33</f>
        <v>3.4723442146910879E-2</v>
      </c>
      <c r="C11" s="54">
        <f>'R1'!C33</f>
        <v>0.12213778908119645</v>
      </c>
      <c r="D11" s="54" t="str">
        <f>'R1'!D33</f>
        <v/>
      </c>
      <c r="E11" s="54">
        <f>'R1'!E33</f>
        <v>9.2588842932413498E-2</v>
      </c>
      <c r="F11" s="54">
        <f>'R1'!F33</f>
        <v>1.1539286950792342</v>
      </c>
      <c r="G11" s="54">
        <f>'R1'!G33</f>
        <v>2.3314581263500762</v>
      </c>
      <c r="H11" s="54">
        <f>'R1'!H33</f>
        <v>2.7923147517341866</v>
      </c>
      <c r="I11" s="54">
        <f>'R1'!I33</f>
        <v>1.3865529510711532E-2</v>
      </c>
      <c r="J11" s="54">
        <f>'R1'!J33</f>
        <v>4.7609527005452986E-3</v>
      </c>
      <c r="K11" s="54">
        <f>'R1'!K33</f>
        <v>0.10551694454704867</v>
      </c>
      <c r="L11" s="54">
        <f>'R1'!L33</f>
        <v>4.261218273571743E-2</v>
      </c>
      <c r="M11" s="54">
        <f>'R1'!M33</f>
        <v>8.8188060893332643E-2</v>
      </c>
      <c r="N11"/>
      <c r="O11" s="54">
        <f>'R1'!O33</f>
        <v>0.78150163230365799</v>
      </c>
      <c r="P11" s="54">
        <f>'R1'!P33</f>
        <v>1.8542528190230876</v>
      </c>
      <c r="Q11" s="54">
        <f>'R1'!Q33</f>
        <v>0.15124461296766675</v>
      </c>
      <c r="R11" s="54">
        <f>'R1'!R33</f>
        <v>0.59045749881783716</v>
      </c>
      <c r="S11" s="54">
        <f>'R1'!S33</f>
        <v>1.1939331892318423</v>
      </c>
      <c r="T11" s="54">
        <f>'R1'!T33</f>
        <v>1.1442549994151405</v>
      </c>
      <c r="U11" s="54">
        <f>'R1'!U33</f>
        <v>3.2340789252966747E-2</v>
      </c>
      <c r="V11" s="54">
        <f>'R1'!V33</f>
        <v>1.7365097555116253</v>
      </c>
    </row>
    <row r="12" spans="1:22" s="1" customFormat="1" x14ac:dyDescent="0.25">
      <c r="A12" s="234"/>
      <c r="B12" s="54">
        <f>'R1'!B34</f>
        <v>2.4982936055336095E-4</v>
      </c>
      <c r="C12" s="54">
        <f>'R1'!C34</f>
        <v>4.8585186364280691E-2</v>
      </c>
      <c r="D12" s="54">
        <f>'R1'!D34</f>
        <v>8.2051343327740084E-2</v>
      </c>
      <c r="E12" s="54">
        <f>'R1'!E34</f>
        <v>0.56454811221711565</v>
      </c>
      <c r="F12" s="54">
        <f>'R1'!F34</f>
        <v>1.3477648609339061</v>
      </c>
      <c r="G12" s="54">
        <f>'R1'!G34</f>
        <v>2.1249927077900979</v>
      </c>
      <c r="H12" s="54">
        <f>'R1'!H34</f>
        <v>2.342805867994544</v>
      </c>
      <c r="I12" s="54">
        <f>'R1'!I34</f>
        <v>0.17626559122108712</v>
      </c>
      <c r="J12" s="54">
        <f>'R1'!J34</f>
        <v>0.13060795072729081</v>
      </c>
      <c r="K12" s="54">
        <f>'R1'!K34</f>
        <v>0.25048573041881478</v>
      </c>
      <c r="L12" s="54">
        <f>'R1'!L34</f>
        <v>0.12544556766785636</v>
      </c>
      <c r="M12" s="54">
        <f>'R1'!M34</f>
        <v>1.2699659161462514E-4</v>
      </c>
      <c r="N12"/>
      <c r="O12" s="54">
        <f>'R1'!O34</f>
        <v>0.97535407491969939</v>
      </c>
      <c r="P12" s="54">
        <f>'R1'!P34</f>
        <v>2.7262984787959637</v>
      </c>
      <c r="Q12" s="54">
        <f>'R1'!Q34</f>
        <v>4.0282713213224422E-2</v>
      </c>
      <c r="R12" s="54">
        <f>'R1'!R34</f>
        <v>0.49543679417803721</v>
      </c>
      <c r="S12" s="54" t="str">
        <f>'R1'!S34</f>
        <v/>
      </c>
      <c r="T12" s="54">
        <f>'R1'!T34</f>
        <v>1.0293713464940117</v>
      </c>
      <c r="U12" s="54" t="str">
        <f>'R1'!U34</f>
        <v/>
      </c>
      <c r="V12" s="54">
        <f>'R1'!V34</f>
        <v>1.1526471840183956</v>
      </c>
    </row>
    <row r="13" spans="1:22" s="1" customFormat="1" x14ac:dyDescent="0.25">
      <c r="A13" s="234"/>
      <c r="B13" s="54">
        <f>'R1'!B35</f>
        <v>0.10764995734510655</v>
      </c>
      <c r="C13" s="54">
        <f>'R1'!C35</f>
        <v>0.11498169201867935</v>
      </c>
      <c r="D13" s="54">
        <f>'R1'!D35</f>
        <v>3.4723442146910879E-2</v>
      </c>
      <c r="E13" s="54">
        <f>'R1'!E35</f>
        <v>4.2462758281053122E-2</v>
      </c>
      <c r="F13" s="54">
        <f>'R1'!F35</f>
        <v>1.5241207314011931</v>
      </c>
      <c r="G13" s="54" t="str">
        <f>'R1'!G35</f>
        <v/>
      </c>
      <c r="H13" s="54">
        <f>'R1'!H35</f>
        <v>1.173099691737697</v>
      </c>
      <c r="I13" s="54">
        <f>'R1'!I35</f>
        <v>0.13754260812931743</v>
      </c>
      <c r="J13" s="54">
        <f>'R1'!J35</f>
        <v>0.19426598591362387</v>
      </c>
      <c r="K13" s="54">
        <f>'R1'!K35</f>
        <v>5.5184088246896967E-2</v>
      </c>
      <c r="L13" s="54">
        <f>'R1'!L35</f>
        <v>0.11081446257878244</v>
      </c>
      <c r="M13" s="54">
        <f>'R1'!M35</f>
        <v>0.15027027846150864</v>
      </c>
      <c r="N13"/>
      <c r="O13" s="54" t="str">
        <f>'R1'!O35</f>
        <v/>
      </c>
      <c r="P13" s="54">
        <f>'R1'!P35</f>
        <v>1.3829550297498507</v>
      </c>
      <c r="Q13" s="54">
        <f>'R1'!Q35</f>
        <v>7.8170849858478289E-2</v>
      </c>
      <c r="R13" s="54">
        <f>'R1'!R35</f>
        <v>1.0148876785805978</v>
      </c>
      <c r="S13" s="54">
        <f>'R1'!S35</f>
        <v>1.4071165571500339</v>
      </c>
      <c r="T13" s="54">
        <f>'R1'!T35</f>
        <v>1.8497271223037302</v>
      </c>
      <c r="U13" s="54">
        <f>'R1'!U35</f>
        <v>0.12784866114584578</v>
      </c>
      <c r="V13" s="54">
        <f>'R1'!V35</f>
        <v>0.83039759125129375</v>
      </c>
    </row>
    <row r="14" spans="1:22" s="1" customFormat="1" x14ac:dyDescent="0.25">
      <c r="A14" s="234"/>
      <c r="B14" s="54" t="str">
        <f>'R1'!B36</f>
        <v/>
      </c>
      <c r="C14" s="54" t="str">
        <f>'R1'!C36</f>
        <v/>
      </c>
      <c r="D14" s="54" t="str">
        <f>'R1'!D36</f>
        <v/>
      </c>
      <c r="E14" s="54" t="str">
        <f>'R1'!E36</f>
        <v/>
      </c>
      <c r="F14" s="54" t="str">
        <f>'R1'!F36</f>
        <v/>
      </c>
      <c r="G14" s="54" t="str">
        <f>'R1'!G36</f>
        <v/>
      </c>
      <c r="H14" s="54" t="str">
        <f>'R1'!H36</f>
        <v/>
      </c>
      <c r="I14" s="54" t="str">
        <f>'R1'!I36</f>
        <v/>
      </c>
      <c r="J14" s="54" t="str">
        <f>'R1'!J36</f>
        <v/>
      </c>
      <c r="K14" s="54" t="str">
        <f>'R1'!K36</f>
        <v/>
      </c>
      <c r="L14" s="54" t="str">
        <f>'R1'!L36</f>
        <v/>
      </c>
      <c r="M14" s="54" t="str">
        <f>'R1'!M36</f>
        <v/>
      </c>
      <c r="N14"/>
      <c r="O14" s="54">
        <f>'R1'!O36</f>
        <v>1.5442414581590931</v>
      </c>
      <c r="P14" s="54" t="str">
        <f>'R1'!P36</f>
        <v/>
      </c>
      <c r="Q14" s="54" t="str">
        <f>'R1'!Q36</f>
        <v/>
      </c>
      <c r="R14" s="54" t="str">
        <f>'R1'!R36</f>
        <v/>
      </c>
      <c r="S14" s="54" t="str">
        <f>'R1'!S36</f>
        <v/>
      </c>
      <c r="T14" s="54" t="str">
        <f>'R1'!T36</f>
        <v/>
      </c>
      <c r="U14" s="54" t="str">
        <f>'R1'!U36</f>
        <v/>
      </c>
      <c r="V14" s="54" t="str">
        <f>'R1'!V36</f>
        <v/>
      </c>
    </row>
    <row r="15" spans="1:22" s="1" customFormat="1" x14ac:dyDescent="0.25">
      <c r="A15" s="234"/>
      <c r="B15" s="54" t="str">
        <f>'R1'!B37</f>
        <v/>
      </c>
      <c r="C15" s="54" t="str">
        <f>'R1'!C37</f>
        <v/>
      </c>
      <c r="D15" s="54" t="str">
        <f>'R1'!D37</f>
        <v/>
      </c>
      <c r="E15" s="54" t="str">
        <f>'R1'!E37</f>
        <v/>
      </c>
      <c r="F15" s="54" t="str">
        <f>'R1'!F37</f>
        <v/>
      </c>
      <c r="G15" s="54" t="str">
        <f>'R1'!G37</f>
        <v/>
      </c>
      <c r="H15" s="54" t="str">
        <f>'R1'!H37</f>
        <v/>
      </c>
      <c r="I15" s="54" t="str">
        <f>'R1'!I37</f>
        <v/>
      </c>
      <c r="J15" s="54" t="str">
        <f>'R1'!J37</f>
        <v/>
      </c>
      <c r="K15" s="54" t="str">
        <f>'R1'!K37</f>
        <v/>
      </c>
      <c r="L15" s="54" t="str">
        <f>'R1'!L37</f>
        <v/>
      </c>
      <c r="M15" s="54" t="str">
        <f>'R1'!M37</f>
        <v/>
      </c>
      <c r="N15"/>
      <c r="O15" s="54">
        <f>'R1'!O37</f>
        <v>1.3142161845755973</v>
      </c>
      <c r="P15" s="54" t="str">
        <f>'R1'!P37</f>
        <v/>
      </c>
      <c r="Q15" s="54" t="str">
        <f>'R1'!Q37</f>
        <v/>
      </c>
      <c r="R15" s="54" t="str">
        <f>'R1'!R37</f>
        <v/>
      </c>
      <c r="S15" s="54" t="str">
        <f>'R1'!S37</f>
        <v/>
      </c>
      <c r="T15" s="54" t="str">
        <f>'R1'!T37</f>
        <v/>
      </c>
      <c r="U15" s="54" t="str">
        <f>'R1'!U37</f>
        <v/>
      </c>
      <c r="V15" s="54" t="str">
        <f>'R1'!V37</f>
        <v/>
      </c>
    </row>
    <row r="16" spans="1:22" s="1" customFormat="1" x14ac:dyDescent="0.25">
      <c r="A16" s="234"/>
      <c r="B16" s="54" t="str">
        <f>'R1'!B38</f>
        <v/>
      </c>
      <c r="C16" s="54" t="str">
        <f>'R1'!C38</f>
        <v/>
      </c>
      <c r="D16" s="54" t="str">
        <f>'R1'!D38</f>
        <v/>
      </c>
      <c r="E16" s="54" t="str">
        <f>'R1'!E38</f>
        <v/>
      </c>
      <c r="F16" s="54" t="str">
        <f>'R1'!F38</f>
        <v/>
      </c>
      <c r="G16" s="54" t="str">
        <f>'R1'!G38</f>
        <v/>
      </c>
      <c r="H16" s="54" t="str">
        <f>'R1'!H38</f>
        <v/>
      </c>
      <c r="I16" s="54" t="str">
        <f>'R1'!I38</f>
        <v/>
      </c>
      <c r="J16" s="54" t="str">
        <f>'R1'!J38</f>
        <v/>
      </c>
      <c r="K16" s="54" t="str">
        <f>'R1'!K38</f>
        <v/>
      </c>
      <c r="L16" s="54" t="str">
        <f>'R1'!L38</f>
        <v/>
      </c>
      <c r="M16" s="54" t="str">
        <f>'R1'!M38</f>
        <v/>
      </c>
      <c r="N16"/>
      <c r="O16" s="54">
        <f>'R1'!O38</f>
        <v>1.4519923453040986</v>
      </c>
      <c r="P16" s="54" t="str">
        <f>'R1'!P38</f>
        <v/>
      </c>
      <c r="Q16" s="54" t="str">
        <f>'R1'!Q38</f>
        <v/>
      </c>
      <c r="R16" s="54" t="str">
        <f>'R1'!R38</f>
        <v/>
      </c>
      <c r="S16" s="54" t="str">
        <f>'R1'!S38</f>
        <v/>
      </c>
      <c r="T16" s="54" t="str">
        <f>'R1'!T38</f>
        <v/>
      </c>
      <c r="U16" s="54" t="str">
        <f>'R1'!U38</f>
        <v/>
      </c>
      <c r="V16" s="54" t="str">
        <f>'R1'!V38</f>
        <v/>
      </c>
    </row>
    <row r="17" spans="1:22" s="1" customFormat="1" x14ac:dyDescent="0.25">
      <c r="A17" s="234"/>
      <c r="B17" s="54" t="str">
        <f>'R1'!B39</f>
        <v/>
      </c>
      <c r="C17" s="54" t="str">
        <f>'R1'!C39</f>
        <v/>
      </c>
      <c r="D17" s="54" t="str">
        <f>'R1'!D39</f>
        <v/>
      </c>
      <c r="E17" s="54" t="str">
        <f>'R1'!E39</f>
        <v/>
      </c>
      <c r="F17" s="54" t="str">
        <f>'R1'!F39</f>
        <v/>
      </c>
      <c r="G17" s="54" t="str">
        <f>'R1'!G39</f>
        <v/>
      </c>
      <c r="H17" s="54" t="str">
        <f>'R1'!H39</f>
        <v/>
      </c>
      <c r="I17" s="54" t="str">
        <f>'R1'!I39</f>
        <v/>
      </c>
      <c r="J17" s="54" t="str">
        <f>'R1'!J39</f>
        <v/>
      </c>
      <c r="K17" s="54" t="str">
        <f>'R1'!K39</f>
        <v/>
      </c>
      <c r="L17" s="54" t="str">
        <f>'R1'!L39</f>
        <v/>
      </c>
      <c r="M17" s="54" t="str">
        <f>'R1'!M39</f>
        <v/>
      </c>
      <c r="N17"/>
      <c r="O17" s="54">
        <f>'R1'!O39</f>
        <v>1.4934908947386827</v>
      </c>
      <c r="P17" s="54" t="str">
        <f>'R1'!P39</f>
        <v/>
      </c>
      <c r="Q17" s="54" t="str">
        <f>'R1'!Q39</f>
        <v/>
      </c>
      <c r="R17" s="54" t="str">
        <f>'R1'!R39</f>
        <v/>
      </c>
      <c r="S17" s="54" t="str">
        <f>'R1'!S39</f>
        <v/>
      </c>
      <c r="T17" s="54" t="str">
        <f>'R1'!T39</f>
        <v/>
      </c>
      <c r="U17" s="54" t="str">
        <f>'R1'!U39</f>
        <v/>
      </c>
      <c r="V17" s="54" t="str">
        <f>'R1'!V39</f>
        <v/>
      </c>
    </row>
    <row r="18" spans="1:22" s="1" customFormat="1" x14ac:dyDescent="0.25">
      <c r="A18" s="234"/>
      <c r="B18" s="54" t="str">
        <f>'R1'!B40</f>
        <v/>
      </c>
      <c r="C18" s="54" t="str">
        <f>'R1'!C40</f>
        <v/>
      </c>
      <c r="D18" s="54" t="str">
        <f>'R1'!D40</f>
        <v/>
      </c>
      <c r="E18" s="54" t="str">
        <f>'R1'!E40</f>
        <v/>
      </c>
      <c r="F18" s="54" t="str">
        <f>'R1'!F40</f>
        <v/>
      </c>
      <c r="G18" s="54" t="str">
        <f>'R1'!G40</f>
        <v/>
      </c>
      <c r="H18" s="54" t="str">
        <f>'R1'!H40</f>
        <v/>
      </c>
      <c r="I18" s="54" t="str">
        <f>'R1'!I40</f>
        <v/>
      </c>
      <c r="J18" s="54" t="str">
        <f>'R1'!J40</f>
        <v/>
      </c>
      <c r="K18" s="54" t="str">
        <f>'R1'!K40</f>
        <v/>
      </c>
      <c r="L18" s="54" t="str">
        <f>'R1'!L40</f>
        <v/>
      </c>
      <c r="M18" s="54" t="str">
        <f>'R1'!M40</f>
        <v/>
      </c>
      <c r="N18"/>
      <c r="O18" s="54">
        <f>'R1'!O40</f>
        <v>1.2453752311134509</v>
      </c>
      <c r="P18" s="54" t="str">
        <f>'R1'!P40</f>
        <v/>
      </c>
      <c r="Q18" s="54" t="str">
        <f>'R1'!Q40</f>
        <v/>
      </c>
      <c r="R18" s="54" t="str">
        <f>'R1'!R40</f>
        <v/>
      </c>
      <c r="S18" s="54" t="str">
        <f>'R1'!S40</f>
        <v/>
      </c>
      <c r="T18" s="54" t="str">
        <f>'R1'!T40</f>
        <v/>
      </c>
      <c r="U18" s="54" t="str">
        <f>'R1'!U40</f>
        <v/>
      </c>
      <c r="V18" s="54" t="str">
        <f>'R1'!V40</f>
        <v/>
      </c>
    </row>
    <row r="19" spans="1:22" s="1" customFormat="1" x14ac:dyDescent="0.25">
      <c r="A19" s="234"/>
      <c r="B19" s="54" t="str">
        <f>'R1'!B41</f>
        <v/>
      </c>
      <c r="C19" s="54" t="str">
        <f>'R1'!C41</f>
        <v/>
      </c>
      <c r="D19" s="54" t="str">
        <f>'R1'!D41</f>
        <v/>
      </c>
      <c r="E19" s="54" t="str">
        <f>'R1'!E41</f>
        <v/>
      </c>
      <c r="F19" s="54" t="str">
        <f>'R1'!F41</f>
        <v/>
      </c>
      <c r="G19" s="54" t="str">
        <f>'R1'!G41</f>
        <v/>
      </c>
      <c r="H19" s="54" t="str">
        <f>'R1'!H41</f>
        <v/>
      </c>
      <c r="I19" s="54" t="str">
        <f>'R1'!I41</f>
        <v/>
      </c>
      <c r="J19" s="54" t="str">
        <f>'R1'!J41</f>
        <v/>
      </c>
      <c r="K19" s="54" t="str">
        <f>'R1'!K41</f>
        <v/>
      </c>
      <c r="L19" s="54" t="str">
        <f>'R1'!L41</f>
        <v/>
      </c>
      <c r="M19" s="54" t="str">
        <f>'R1'!M41</f>
        <v/>
      </c>
      <c r="N19"/>
      <c r="O19" s="54">
        <f>'R1'!O41</f>
        <v>0.80343191854356599</v>
      </c>
      <c r="P19" s="54" t="str">
        <f>'R1'!P41</f>
        <v/>
      </c>
      <c r="Q19" s="54" t="str">
        <f>'R1'!Q41</f>
        <v/>
      </c>
      <c r="R19" s="54" t="str">
        <f>'R1'!R41</f>
        <v/>
      </c>
      <c r="S19" s="54" t="str">
        <f>'R1'!S41</f>
        <v/>
      </c>
      <c r="T19" s="54" t="str">
        <f>'R1'!T41</f>
        <v/>
      </c>
      <c r="U19" s="54" t="str">
        <f>'R1'!U41</f>
        <v/>
      </c>
      <c r="V19" s="54" t="str">
        <f>'R1'!V41</f>
        <v/>
      </c>
    </row>
    <row r="20" spans="1:22" s="1" customFormat="1" x14ac:dyDescent="0.25">
      <c r="A20" s="234"/>
      <c r="B20" s="54" t="str">
        <f>'R1'!B42</f>
        <v/>
      </c>
      <c r="C20" s="54" t="str">
        <f>'R1'!C42</f>
        <v/>
      </c>
      <c r="D20" s="54" t="str">
        <f>'R1'!D42</f>
        <v/>
      </c>
      <c r="E20" s="54" t="str">
        <f>'R1'!E42</f>
        <v/>
      </c>
      <c r="F20" s="54" t="str">
        <f>'R1'!F42</f>
        <v/>
      </c>
      <c r="G20" s="54" t="str">
        <f>'R1'!G42</f>
        <v/>
      </c>
      <c r="H20" s="54" t="str">
        <f>'R1'!H42</f>
        <v/>
      </c>
      <c r="I20" s="54" t="str">
        <f>'R1'!I42</f>
        <v/>
      </c>
      <c r="J20" s="54" t="str">
        <f>'R1'!J42</f>
        <v/>
      </c>
      <c r="K20" s="54" t="str">
        <f>'R1'!K42</f>
        <v/>
      </c>
      <c r="L20" s="54" t="str">
        <f>'R1'!L42</f>
        <v/>
      </c>
      <c r="M20" s="54" t="str">
        <f>'R1'!M42</f>
        <v/>
      </c>
      <c r="N20"/>
      <c r="O20" s="54">
        <f>'R1'!O42</f>
        <v>0.17703949444480127</v>
      </c>
      <c r="P20" s="54" t="str">
        <f>'R1'!P42</f>
        <v/>
      </c>
      <c r="Q20" s="54" t="str">
        <f>'R1'!Q42</f>
        <v/>
      </c>
      <c r="R20" s="54" t="str">
        <f>'R1'!R42</f>
        <v/>
      </c>
      <c r="S20" s="54" t="str">
        <f>'R1'!S42</f>
        <v/>
      </c>
      <c r="T20" s="54" t="str">
        <f>'R1'!T42</f>
        <v/>
      </c>
      <c r="U20" s="54" t="str">
        <f>'R1'!U42</f>
        <v/>
      </c>
      <c r="V20" s="54" t="str">
        <f>'R1'!V42</f>
        <v/>
      </c>
    </row>
    <row r="21" spans="1:22" s="1" customFormat="1" x14ac:dyDescent="0.25">
      <c r="A21" s="235"/>
      <c r="B21" s="54" t="str">
        <f>'R1'!B43</f>
        <v/>
      </c>
      <c r="C21" s="54" t="str">
        <f>'R1'!C43</f>
        <v/>
      </c>
      <c r="D21" s="54" t="str">
        <f>'R1'!D43</f>
        <v/>
      </c>
      <c r="E21" s="54" t="str">
        <f>'R1'!E43</f>
        <v/>
      </c>
      <c r="F21" s="54" t="str">
        <f>'R1'!F43</f>
        <v/>
      </c>
      <c r="G21" s="54" t="str">
        <f>'R1'!G43</f>
        <v/>
      </c>
      <c r="H21" s="54" t="str">
        <f>'R1'!H43</f>
        <v/>
      </c>
      <c r="I21" s="54" t="str">
        <f>'R1'!I43</f>
        <v/>
      </c>
      <c r="J21" s="54" t="str">
        <f>'R1'!J43</f>
        <v/>
      </c>
      <c r="K21" s="54" t="str">
        <f>'R1'!K43</f>
        <v/>
      </c>
      <c r="L21" s="54" t="str">
        <f>'R1'!L43</f>
        <v/>
      </c>
      <c r="M21" s="54" t="str">
        <f>'R1'!M43</f>
        <v/>
      </c>
      <c r="N21"/>
      <c r="O21" s="54">
        <f>'R1'!O43</f>
        <v>0.68897411112338047</v>
      </c>
      <c r="P21" s="54" t="str">
        <f>'R1'!P43</f>
        <v/>
      </c>
      <c r="Q21" s="54" t="str">
        <f>'R1'!Q43</f>
        <v/>
      </c>
      <c r="R21" s="54" t="str">
        <f>'R1'!R43</f>
        <v/>
      </c>
      <c r="S21" s="54" t="str">
        <f>'R1'!S43</f>
        <v/>
      </c>
      <c r="T21" s="54" t="str">
        <f>'R1'!T43</f>
        <v/>
      </c>
      <c r="U21" s="54" t="str">
        <f>'R1'!U43</f>
        <v/>
      </c>
      <c r="V21" s="54" t="str">
        <f>'R1'!V43</f>
        <v/>
      </c>
    </row>
    <row r="22" spans="1:22" x14ac:dyDescent="0.25">
      <c r="A22" s="39" t="s">
        <v>5</v>
      </c>
      <c r="B22" s="55">
        <f>'R2'!B28</f>
        <v>1.514796746191174E-2</v>
      </c>
      <c r="C22" s="55">
        <f>'R2'!C28</f>
        <v>7.8982844472599872E-2</v>
      </c>
      <c r="D22" s="55" t="str">
        <f>'R2'!D28</f>
        <v/>
      </c>
      <c r="E22" s="55">
        <f>'R2'!E28</f>
        <v>0.23224050187939477</v>
      </c>
      <c r="F22" s="55">
        <f>'R2'!F28</f>
        <v>1.1754336173962743</v>
      </c>
      <c r="G22" s="55">
        <f>'R2'!G28</f>
        <v>2.7078716871624242</v>
      </c>
      <c r="H22" s="55">
        <f>'R2'!H28</f>
        <v>2.6120832824973319</v>
      </c>
      <c r="I22" s="55" t="str">
        <f>'R2'!I28</f>
        <v/>
      </c>
      <c r="J22" s="55">
        <f>'R2'!J28</f>
        <v>0.21108278541458855</v>
      </c>
      <c r="K22" s="55">
        <f>'R2'!K28</f>
        <v>0</v>
      </c>
      <c r="L22" s="55">
        <f>'R2'!L28</f>
        <v>6.9838773747008448E-2</v>
      </c>
      <c r="M22" s="55">
        <f>'R2'!M28</f>
        <v>0</v>
      </c>
      <c r="O22" s="55">
        <f>'R2'!O28</f>
        <v>1.712772900153559</v>
      </c>
      <c r="P22" s="55">
        <f>'R2'!P28</f>
        <v>2.4420323268483042</v>
      </c>
      <c r="Q22" s="55">
        <f>'R2'!Q28</f>
        <v>0.10750051792805816</v>
      </c>
      <c r="R22" s="55">
        <f>'R2'!R28</f>
        <v>0.51816465803845257</v>
      </c>
      <c r="S22" s="55">
        <f>'R2'!S28</f>
        <v>1.5346020253063248</v>
      </c>
      <c r="T22" s="55">
        <f>'R2'!T28</f>
        <v>2.1227258471488826</v>
      </c>
      <c r="U22" s="55">
        <f>'R2'!U28</f>
        <v>2.9355671857057324</v>
      </c>
      <c r="V22" s="55">
        <f>'R2'!V28</f>
        <v>1.1742099304964795</v>
      </c>
    </row>
    <row r="23" spans="1:22" x14ac:dyDescent="0.25">
      <c r="A23" s="233" t="s">
        <v>34</v>
      </c>
      <c r="B23" s="55">
        <f>'R2'!B29</f>
        <v>6.8535941531899947E-3</v>
      </c>
      <c r="C23" s="55">
        <f>'R2'!C29</f>
        <v>0.10521589365009892</v>
      </c>
      <c r="D23" s="55">
        <f>'R2'!D29</f>
        <v>7.9826689595027381E-2</v>
      </c>
      <c r="E23" s="55">
        <f>'R2'!E29</f>
        <v>1.8006736659736624</v>
      </c>
      <c r="F23" s="55">
        <f>'R2'!F29</f>
        <v>1.9237712452918991</v>
      </c>
      <c r="G23" s="55">
        <f>'R2'!G29</f>
        <v>1.2193823978923717</v>
      </c>
      <c r="H23" s="55">
        <f>'R2'!H29</f>
        <v>3.5892677781975957</v>
      </c>
      <c r="I23" s="55">
        <f>'R2'!I29</f>
        <v>1.808637663048407E-4</v>
      </c>
      <c r="J23" s="55">
        <f>'R2'!J29</f>
        <v>0.2198107858176723</v>
      </c>
      <c r="K23" s="55">
        <f>'R2'!K29</f>
        <v>0.14158177263323321</v>
      </c>
      <c r="L23" s="55">
        <f>'R2'!L29</f>
        <v>0.1293967382432003</v>
      </c>
      <c r="M23" s="55">
        <f>'R2'!M29</f>
        <v>0.13498122054449638</v>
      </c>
      <c r="O23" s="55">
        <f>'R2'!O29</f>
        <v>0.86167887501734108</v>
      </c>
      <c r="P23" s="55">
        <f>'R2'!P29</f>
        <v>4.8456370949856939</v>
      </c>
      <c r="Q23" s="55">
        <f>'R2'!Q29</f>
        <v>0.34690785105364441</v>
      </c>
      <c r="R23" s="55">
        <f>'R2'!R29</f>
        <v>0.20242055357020342</v>
      </c>
      <c r="S23" s="55">
        <f>'R2'!S29</f>
        <v>0.64632266062472088</v>
      </c>
      <c r="T23" s="55">
        <f>'R2'!T29</f>
        <v>0.18835776870628793</v>
      </c>
      <c r="U23" s="55">
        <f>'R2'!U29</f>
        <v>1.4826180445410886</v>
      </c>
      <c r="V23" s="55">
        <f>'R2'!V29</f>
        <v>1.8863862310337594</v>
      </c>
    </row>
    <row r="24" spans="1:22" x14ac:dyDescent="0.25">
      <c r="A24" s="234"/>
      <c r="B24" s="55">
        <f>'R2'!B30</f>
        <v>0.24661067154186952</v>
      </c>
      <c r="C24" s="55">
        <f>'R2'!C30</f>
        <v>0.63154784660367125</v>
      </c>
      <c r="D24" s="55">
        <f>'R2'!D30</f>
        <v>5.5763448252145388E-2</v>
      </c>
      <c r="E24" s="55">
        <f>'R2'!E30</f>
        <v>1.3558227905177895</v>
      </c>
      <c r="F24" s="55">
        <f>'R2'!F30</f>
        <v>1.5329204660365998</v>
      </c>
      <c r="G24" s="55">
        <f>'R2'!G30</f>
        <v>3.2060240063347472</v>
      </c>
      <c r="H24" s="55">
        <f>'R2'!H30</f>
        <v>4.2333839844772641</v>
      </c>
      <c r="I24" s="55">
        <f>'R2'!I30</f>
        <v>0.21044349188908223</v>
      </c>
      <c r="J24" s="55">
        <f>'R2'!J30</f>
        <v>4.8584355052907258E-2</v>
      </c>
      <c r="K24" s="55">
        <f>'R2'!K30</f>
        <v>5.3744127988899153E-2</v>
      </c>
      <c r="L24" s="55">
        <f>'R2'!L30</f>
        <v>0.10686150311110761</v>
      </c>
      <c r="M24" s="55">
        <f>'R2'!M30</f>
        <v>0.12688610392749713</v>
      </c>
      <c r="O24" s="55">
        <f>'R2'!O30</f>
        <v>2.4623668205894424E-2</v>
      </c>
      <c r="P24" s="55">
        <f>'R2'!P30</f>
        <v>3.5124849784142311</v>
      </c>
      <c r="Q24" s="55">
        <f>'R2'!Q30</f>
        <v>8.2924782800452207E-2</v>
      </c>
      <c r="R24" s="55">
        <f>'R2'!R30</f>
        <v>0.41026646276901269</v>
      </c>
      <c r="S24" s="55">
        <f>'R2'!S30</f>
        <v>2.5030280050124629</v>
      </c>
      <c r="T24" s="55" t="str">
        <f>'R2'!T30</f>
        <v/>
      </c>
      <c r="U24" s="55">
        <f>'R2'!U30</f>
        <v>1.3985116556246879</v>
      </c>
      <c r="V24" s="55">
        <f>'R2'!V30</f>
        <v>1.157360896116702E-2</v>
      </c>
    </row>
    <row r="25" spans="1:22" x14ac:dyDescent="0.25">
      <c r="A25" s="234"/>
      <c r="B25" s="55" t="str">
        <f>'R2'!B31</f>
        <v/>
      </c>
      <c r="C25" s="55">
        <f>'R2'!C31</f>
        <v>6.5227165726555958E-2</v>
      </c>
      <c r="D25" s="55">
        <f>'R2'!D31</f>
        <v>0.31358600122251651</v>
      </c>
      <c r="E25" s="55">
        <f>'R2'!E31</f>
        <v>1.1479289482406918</v>
      </c>
      <c r="F25" s="55">
        <f>'R2'!F31</f>
        <v>1.6143746508479337</v>
      </c>
      <c r="G25" s="55">
        <f>'R2'!G31</f>
        <v>3.1201273726804089</v>
      </c>
      <c r="H25" s="55">
        <f>'R2'!H31</f>
        <v>4.3049101697884398</v>
      </c>
      <c r="I25" s="55">
        <f>'R2'!I31</f>
        <v>5.2779892812161812E-2</v>
      </c>
      <c r="J25" s="55">
        <f>'R2'!J31</f>
        <v>7.9326457757776456E-3</v>
      </c>
      <c r="K25" s="55" t="str">
        <f>'R2'!K31</f>
        <v/>
      </c>
      <c r="L25" s="55">
        <f>'R2'!L31</f>
        <v>1.7203516214562061E-2</v>
      </c>
      <c r="M25" s="55">
        <f>'R2'!M31</f>
        <v>6.7584246983323368E-2</v>
      </c>
      <c r="O25" s="55">
        <f>'R2'!O31</f>
        <v>2.3300169030984339</v>
      </c>
      <c r="P25" s="55">
        <f>'R2'!P31</f>
        <v>1.6589621674802939</v>
      </c>
      <c r="Q25" s="55">
        <f>'R2'!Q31</f>
        <v>0.35823399156411273</v>
      </c>
      <c r="R25" s="55" t="str">
        <f>'R2'!R31</f>
        <v/>
      </c>
      <c r="S25" s="55">
        <f>'R2'!S31</f>
        <v>2.5338060575260486</v>
      </c>
      <c r="T25" s="55">
        <f>'R2'!T31</f>
        <v>2.7096014581911256</v>
      </c>
      <c r="U25" s="55">
        <f>'R2'!U31</f>
        <v>3.3375454061411536</v>
      </c>
      <c r="V25" s="55">
        <f>'R2'!V31</f>
        <v>0.897942338847737</v>
      </c>
    </row>
    <row r="26" spans="1:22" x14ac:dyDescent="0.25">
      <c r="A26" s="234"/>
      <c r="B26" s="55">
        <f>'R2'!B32</f>
        <v>0.19914159659844585</v>
      </c>
      <c r="C26" s="55">
        <f>'R2'!C32</f>
        <v>9.8331923301947038E-2</v>
      </c>
      <c r="D26" s="55" t="str">
        <f>'R2'!D32</f>
        <v/>
      </c>
      <c r="E26" s="55" t="str">
        <f>'R2'!E32</f>
        <v/>
      </c>
      <c r="F26" s="55">
        <f>'R2'!F32</f>
        <v>1.4078611140171318</v>
      </c>
      <c r="G26" s="55">
        <f>'R2'!G32</f>
        <v>3.0473956147141403</v>
      </c>
      <c r="H26" s="55">
        <f>'R2'!H32</f>
        <v>2.9511855661685216</v>
      </c>
      <c r="I26" s="55">
        <f>'R2'!I32</f>
        <v>2.273699995000469E-2</v>
      </c>
      <c r="J26" s="55">
        <f>'R2'!J32</f>
        <v>0.10294353132239953</v>
      </c>
      <c r="K26" s="55">
        <f>'R2'!K32</f>
        <v>5.0332519009785104E-3</v>
      </c>
      <c r="L26" s="55">
        <f>'R2'!L32</f>
        <v>0.28564714755546045</v>
      </c>
      <c r="M26" s="55">
        <f>'R2'!M32</f>
        <v>0.20189607651590735</v>
      </c>
      <c r="O26" s="55">
        <f>'R2'!O32</f>
        <v>0.27701208710599645</v>
      </c>
      <c r="P26" s="55">
        <f>'R2'!P32</f>
        <v>1.3932434759039583</v>
      </c>
      <c r="Q26" s="55">
        <f>'R2'!Q32</f>
        <v>8.5173178589007373E-2</v>
      </c>
      <c r="R26" s="55">
        <f>'R2'!R32</f>
        <v>2.2429690395231088</v>
      </c>
      <c r="S26" s="55">
        <f>'R2'!S32</f>
        <v>2.2460551494589613</v>
      </c>
      <c r="T26" s="55">
        <f>'R2'!T32</f>
        <v>2.8408940611529103</v>
      </c>
      <c r="U26" s="55">
        <f>'R2'!U32</f>
        <v>2.9215342196754035</v>
      </c>
      <c r="V26" s="55">
        <f>'R2'!V32</f>
        <v>1.242571696598552</v>
      </c>
    </row>
    <row r="27" spans="1:22" x14ac:dyDescent="0.25">
      <c r="A27" s="234"/>
      <c r="B27" s="55">
        <f>'R2'!B33</f>
        <v>0.16495750871950071</v>
      </c>
      <c r="C27" s="55">
        <f>'R2'!C33</f>
        <v>6.9705843058964226E-2</v>
      </c>
      <c r="D27" s="55">
        <f>'R2'!D33</f>
        <v>1.7902726060060933E-2</v>
      </c>
      <c r="E27" s="55">
        <f>'R2'!E33</f>
        <v>1.446155742040002</v>
      </c>
      <c r="F27" s="55">
        <f>'R2'!F33</f>
        <v>1.8627633051774806</v>
      </c>
      <c r="G27" s="55">
        <f>'R2'!G33</f>
        <v>2.738312536043864</v>
      </c>
      <c r="H27" s="55">
        <f>'R2'!H33</f>
        <v>4.4078598320859683</v>
      </c>
      <c r="I27" s="55">
        <f>'R2'!I33</f>
        <v>0.13134638833451562</v>
      </c>
      <c r="J27" s="55">
        <f>'R2'!J33</f>
        <v>9.3485387461743424E-2</v>
      </c>
      <c r="K27" s="55">
        <f>'R2'!K33</f>
        <v>3.0054876128942438E-2</v>
      </c>
      <c r="L27" s="55">
        <f>'R2'!L33</f>
        <v>3.3309587880868026E-2</v>
      </c>
      <c r="M27" s="55">
        <f>'R2'!M33</f>
        <v>2.9223014276087068E-2</v>
      </c>
      <c r="O27" s="55">
        <f>'R2'!O33</f>
        <v>0.30328456960080835</v>
      </c>
      <c r="P27" s="55">
        <f>'R2'!P33</f>
        <v>4.1125441367506212</v>
      </c>
      <c r="Q27" s="55">
        <f>'R2'!Q33</f>
        <v>0.15858017986163062</v>
      </c>
      <c r="R27" s="55">
        <f>'R2'!R33</f>
        <v>1.6654242152672321</v>
      </c>
      <c r="S27" s="55">
        <f>'R2'!S33</f>
        <v>2.929304115929829</v>
      </c>
      <c r="T27" s="55">
        <f>'R2'!T33</f>
        <v>2.8285008522891477</v>
      </c>
      <c r="U27" s="55">
        <f>'R2'!U33</f>
        <v>1.9101301043085095</v>
      </c>
      <c r="V27" s="55">
        <f>'R2'!V33</f>
        <v>1.6090880782018144</v>
      </c>
    </row>
    <row r="28" spans="1:22" x14ac:dyDescent="0.25">
      <c r="A28" s="234"/>
      <c r="B28" s="55">
        <f>'R2'!B34</f>
        <v>0.1498036889631468</v>
      </c>
      <c r="C28" s="55">
        <f>'R2'!C34</f>
        <v>0.16173317316253702</v>
      </c>
      <c r="D28" s="55">
        <f>'R2'!D34</f>
        <v>0.16629587272229401</v>
      </c>
      <c r="E28" s="55">
        <f>'R2'!E34</f>
        <v>0.41017589154550244</v>
      </c>
      <c r="F28" s="55">
        <f>'R2'!F34</f>
        <v>1.7922980572444693</v>
      </c>
      <c r="G28" s="55">
        <f>'R2'!G34</f>
        <v>2.8890322484275588</v>
      </c>
      <c r="H28" s="55">
        <f>'R2'!H34</f>
        <v>4.2175306761947224</v>
      </c>
      <c r="I28" s="55">
        <f>'R2'!I34</f>
        <v>0.11859145196595572</v>
      </c>
      <c r="J28" s="55">
        <f>'R2'!J34</f>
        <v>0.166344223793746</v>
      </c>
      <c r="K28" s="55">
        <f>'R2'!K34</f>
        <v>0.24069121505392951</v>
      </c>
      <c r="L28" s="55">
        <f>'R2'!L34</f>
        <v>1.3176858957641709E-2</v>
      </c>
      <c r="M28" s="55">
        <f>'R2'!M34</f>
        <v>0</v>
      </c>
      <c r="O28" s="55">
        <f>'R2'!O34</f>
        <v>0.31669607769751346</v>
      </c>
      <c r="P28" s="55">
        <f>'R2'!P34</f>
        <v>3.8340521158524674</v>
      </c>
      <c r="Q28" s="55">
        <f>'R2'!Q34</f>
        <v>6.0760750344407543E-3</v>
      </c>
      <c r="R28" s="55">
        <f>'R2'!R34</f>
        <v>0.41338852251358171</v>
      </c>
      <c r="S28" s="55">
        <f>'R2'!S34</f>
        <v>2.4665475882666743</v>
      </c>
      <c r="T28" s="55">
        <f>'R2'!T34</f>
        <v>0.54878581332484966</v>
      </c>
      <c r="U28" s="55">
        <f>'R2'!U34</f>
        <v>3.2093935345300149</v>
      </c>
      <c r="V28" s="55">
        <f>'R2'!V34</f>
        <v>1.4849628638475962</v>
      </c>
    </row>
    <row r="29" spans="1:22" x14ac:dyDescent="0.25">
      <c r="A29" s="234"/>
      <c r="B29" s="55">
        <f>'R2'!B35</f>
        <v>9.6240703421268073E-2</v>
      </c>
      <c r="C29" s="55">
        <f>'R2'!C35</f>
        <v>0.10055022157622802</v>
      </c>
      <c r="D29" s="55">
        <f>'R2'!D35</f>
        <v>4.237855416111791E-2</v>
      </c>
      <c r="E29" s="55" t="str">
        <f>'R2'!E35</f>
        <v/>
      </c>
      <c r="F29" s="55">
        <f>'R2'!F35</f>
        <v>0.58564049823425135</v>
      </c>
      <c r="G29" s="55">
        <f>'R2'!G35</f>
        <v>1.8517322875153119</v>
      </c>
      <c r="H29" s="55" t="str">
        <f>'R2'!H35</f>
        <v/>
      </c>
      <c r="I29" s="55">
        <f>'R2'!I35</f>
        <v>0.17494570327607545</v>
      </c>
      <c r="J29" s="55" t="str">
        <f>'R2'!J35</f>
        <v/>
      </c>
      <c r="K29" s="55">
        <f>'R2'!K35</f>
        <v>0.26816606537592552</v>
      </c>
      <c r="L29" s="55">
        <f>'R2'!L35</f>
        <v>2.5850420593254337E-2</v>
      </c>
      <c r="M29" s="55">
        <f>'R2'!M35</f>
        <v>2.3259183462240807</v>
      </c>
      <c r="O29" s="55">
        <f>'R2'!O35</f>
        <v>1.3992351106900187</v>
      </c>
      <c r="P29" s="55">
        <f>'R2'!P35</f>
        <v>3.0170517467120281</v>
      </c>
      <c r="Q29" s="55">
        <f>'R2'!Q35</f>
        <v>1.1314157240896214E-2</v>
      </c>
      <c r="R29" s="55">
        <f>'R2'!R35</f>
        <v>0.16185356321963368</v>
      </c>
      <c r="S29" s="55">
        <f>'R2'!S35</f>
        <v>0.79398329509927212</v>
      </c>
      <c r="T29" s="55">
        <f>'R2'!T35</f>
        <v>2.0394454677908946</v>
      </c>
      <c r="U29" s="55">
        <f>'R2'!U35</f>
        <v>1.3236460396325185</v>
      </c>
      <c r="V29" s="55">
        <f>'R2'!V35</f>
        <v>2.2285654281781069</v>
      </c>
    </row>
    <row r="30" spans="1:22" x14ac:dyDescent="0.25">
      <c r="A30" s="234"/>
      <c r="B30" s="55" t="str">
        <f>'R2'!B36</f>
        <v/>
      </c>
      <c r="C30" s="55" t="str">
        <f>'R2'!C36</f>
        <v/>
      </c>
      <c r="D30" s="55" t="str">
        <f>'R2'!D36</f>
        <v/>
      </c>
      <c r="E30" s="55" t="str">
        <f>'R2'!E36</f>
        <v/>
      </c>
      <c r="F30" s="55" t="str">
        <f>'R2'!F36</f>
        <v/>
      </c>
      <c r="G30" s="55" t="str">
        <f>'R2'!G36</f>
        <v/>
      </c>
      <c r="H30" s="55" t="str">
        <f>'R2'!H36</f>
        <v/>
      </c>
      <c r="I30" s="55" t="str">
        <f>'R2'!I36</f>
        <v/>
      </c>
      <c r="J30" s="55" t="str">
        <f>'R2'!J36</f>
        <v/>
      </c>
      <c r="K30" s="55" t="str">
        <f>'R2'!K36</f>
        <v/>
      </c>
      <c r="L30" s="55" t="str">
        <f>'R2'!L36</f>
        <v/>
      </c>
      <c r="M30" s="55" t="str">
        <f>'R2'!M36</f>
        <v/>
      </c>
      <c r="O30" s="55">
        <f>'R2'!O36</f>
        <v>1.6685407013980467</v>
      </c>
      <c r="P30" s="55" t="str">
        <f>'R2'!P36</f>
        <v/>
      </c>
      <c r="Q30" s="55" t="str">
        <f>'R2'!Q36</f>
        <v/>
      </c>
      <c r="R30" s="55" t="str">
        <f>'R2'!R36</f>
        <v/>
      </c>
      <c r="S30" s="55" t="str">
        <f>'R2'!S36</f>
        <v/>
      </c>
      <c r="T30" s="55" t="str">
        <f>'R2'!T36</f>
        <v/>
      </c>
      <c r="U30" s="55" t="str">
        <f>'R2'!U36</f>
        <v/>
      </c>
      <c r="V30" s="55" t="str">
        <f>'R2'!V36</f>
        <v/>
      </c>
    </row>
    <row r="31" spans="1:22" s="1" customFormat="1" x14ac:dyDescent="0.25">
      <c r="A31" s="234"/>
      <c r="B31" s="55" t="str">
        <f>'R2'!B37</f>
        <v/>
      </c>
      <c r="C31" s="55" t="str">
        <f>'R2'!C37</f>
        <v/>
      </c>
      <c r="D31" s="55" t="str">
        <f>'R2'!D37</f>
        <v/>
      </c>
      <c r="E31" s="55" t="str">
        <f>'R2'!E37</f>
        <v/>
      </c>
      <c r="F31" s="55" t="str">
        <f>'R2'!F37</f>
        <v/>
      </c>
      <c r="G31" s="55" t="str">
        <f>'R2'!G37</f>
        <v/>
      </c>
      <c r="H31" s="55" t="str">
        <f>'R2'!H37</f>
        <v/>
      </c>
      <c r="I31" s="55" t="str">
        <f>'R2'!I37</f>
        <v/>
      </c>
      <c r="J31" s="55" t="str">
        <f>'R2'!J37</f>
        <v/>
      </c>
      <c r="K31" s="55" t="str">
        <f>'R2'!K37</f>
        <v/>
      </c>
      <c r="L31" s="55" t="str">
        <f>'R2'!L37</f>
        <v/>
      </c>
      <c r="M31" s="55" t="str">
        <f>'R2'!M37</f>
        <v/>
      </c>
      <c r="N31"/>
      <c r="O31" s="55">
        <f>'R2'!O37</f>
        <v>1.2217999528583752</v>
      </c>
      <c r="P31" s="55" t="str">
        <f>'R2'!P37</f>
        <v/>
      </c>
      <c r="Q31" s="55" t="str">
        <f>'R2'!Q37</f>
        <v/>
      </c>
      <c r="R31" s="55" t="str">
        <f>'R2'!R37</f>
        <v/>
      </c>
      <c r="S31" s="55" t="str">
        <f>'R2'!S37</f>
        <v/>
      </c>
      <c r="T31" s="55" t="str">
        <f>'R2'!T37</f>
        <v/>
      </c>
      <c r="U31" s="55" t="str">
        <f>'R2'!U37</f>
        <v/>
      </c>
      <c r="V31" s="55" t="str">
        <f>'R2'!V37</f>
        <v/>
      </c>
    </row>
    <row r="32" spans="1:22" s="1" customFormat="1" x14ac:dyDescent="0.25">
      <c r="A32" s="234"/>
      <c r="B32" s="55" t="str">
        <f>'R2'!B38</f>
        <v/>
      </c>
      <c r="C32" s="55" t="str">
        <f>'R2'!C38</f>
        <v/>
      </c>
      <c r="D32" s="55" t="str">
        <f>'R2'!D38</f>
        <v/>
      </c>
      <c r="E32" s="55" t="str">
        <f>'R2'!E38</f>
        <v/>
      </c>
      <c r="F32" s="55" t="str">
        <f>'R2'!F38</f>
        <v/>
      </c>
      <c r="G32" s="55" t="str">
        <f>'R2'!G38</f>
        <v/>
      </c>
      <c r="H32" s="55" t="str">
        <f>'R2'!H38</f>
        <v/>
      </c>
      <c r="I32" s="55" t="str">
        <f>'R2'!I38</f>
        <v/>
      </c>
      <c r="J32" s="55" t="str">
        <f>'R2'!J38</f>
        <v/>
      </c>
      <c r="K32" s="55" t="str">
        <f>'R2'!K38</f>
        <v/>
      </c>
      <c r="L32" s="55" t="str">
        <f>'R2'!L38</f>
        <v/>
      </c>
      <c r="M32" s="55" t="str">
        <f>'R2'!M38</f>
        <v/>
      </c>
      <c r="N32"/>
      <c r="O32" s="55">
        <f>'R2'!O38</f>
        <v>0.96014331098630079</v>
      </c>
      <c r="P32" s="55" t="str">
        <f>'R2'!P38</f>
        <v/>
      </c>
      <c r="Q32" s="55" t="str">
        <f>'R2'!Q38</f>
        <v/>
      </c>
      <c r="R32" s="55" t="str">
        <f>'R2'!R38</f>
        <v/>
      </c>
      <c r="S32" s="55" t="str">
        <f>'R2'!S38</f>
        <v/>
      </c>
      <c r="T32" s="55" t="str">
        <f>'R2'!T38</f>
        <v/>
      </c>
      <c r="U32" s="55" t="str">
        <f>'R2'!U38</f>
        <v/>
      </c>
      <c r="V32" s="55" t="str">
        <f>'R2'!V38</f>
        <v/>
      </c>
    </row>
    <row r="33" spans="1:22" s="1" customFormat="1" x14ac:dyDescent="0.25">
      <c r="A33" s="234"/>
      <c r="B33" s="55" t="str">
        <f>'R2'!B39</f>
        <v/>
      </c>
      <c r="C33" s="55" t="str">
        <f>'R2'!C39</f>
        <v/>
      </c>
      <c r="D33" s="55" t="str">
        <f>'R2'!D39</f>
        <v/>
      </c>
      <c r="E33" s="55" t="str">
        <f>'R2'!E39</f>
        <v/>
      </c>
      <c r="F33" s="55" t="str">
        <f>'R2'!F39</f>
        <v/>
      </c>
      <c r="G33" s="55" t="str">
        <f>'R2'!G39</f>
        <v/>
      </c>
      <c r="H33" s="55" t="str">
        <f>'R2'!H39</f>
        <v/>
      </c>
      <c r="I33" s="55" t="str">
        <f>'R2'!I39</f>
        <v/>
      </c>
      <c r="J33" s="55" t="str">
        <f>'R2'!J39</f>
        <v/>
      </c>
      <c r="K33" s="55" t="str">
        <f>'R2'!K39</f>
        <v/>
      </c>
      <c r="L33" s="55" t="str">
        <f>'R2'!L39</f>
        <v/>
      </c>
      <c r="M33" s="55" t="str">
        <f>'R2'!M39</f>
        <v/>
      </c>
      <c r="N33"/>
      <c r="O33" s="55">
        <f>'R2'!O39</f>
        <v>1.4232621235434966</v>
      </c>
      <c r="P33" s="55" t="str">
        <f>'R2'!P39</f>
        <v/>
      </c>
      <c r="Q33" s="55" t="str">
        <f>'R2'!Q39</f>
        <v/>
      </c>
      <c r="R33" s="55" t="str">
        <f>'R2'!R39</f>
        <v/>
      </c>
      <c r="S33" s="55" t="str">
        <f>'R2'!S39</f>
        <v/>
      </c>
      <c r="T33" s="55" t="str">
        <f>'R2'!T39</f>
        <v/>
      </c>
      <c r="U33" s="55" t="str">
        <f>'R2'!U39</f>
        <v/>
      </c>
      <c r="V33" s="55" t="str">
        <f>'R2'!V39</f>
        <v/>
      </c>
    </row>
    <row r="34" spans="1:22" s="1" customFormat="1" x14ac:dyDescent="0.25">
      <c r="A34" s="234"/>
      <c r="B34" s="55" t="str">
        <f>'R2'!B40</f>
        <v/>
      </c>
      <c r="C34" s="55" t="str">
        <f>'R2'!C40</f>
        <v/>
      </c>
      <c r="D34" s="55" t="str">
        <f>'R2'!D40</f>
        <v/>
      </c>
      <c r="E34" s="55" t="str">
        <f>'R2'!E40</f>
        <v/>
      </c>
      <c r="F34" s="55" t="str">
        <f>'R2'!F40</f>
        <v/>
      </c>
      <c r="G34" s="55" t="str">
        <f>'R2'!G40</f>
        <v/>
      </c>
      <c r="H34" s="55" t="str">
        <f>'R2'!H40</f>
        <v/>
      </c>
      <c r="I34" s="55" t="str">
        <f>'R2'!I40</f>
        <v/>
      </c>
      <c r="J34" s="55" t="str">
        <f>'R2'!J40</f>
        <v/>
      </c>
      <c r="K34" s="55" t="str">
        <f>'R2'!K40</f>
        <v/>
      </c>
      <c r="L34" s="55" t="str">
        <f>'R2'!L40</f>
        <v/>
      </c>
      <c r="M34" s="55" t="str">
        <f>'R2'!M40</f>
        <v/>
      </c>
      <c r="N34"/>
      <c r="O34" s="55">
        <f>'R2'!O40</f>
        <v>0.57645992033856819</v>
      </c>
      <c r="P34" s="55" t="str">
        <f>'R2'!P40</f>
        <v/>
      </c>
      <c r="Q34" s="55" t="str">
        <f>'R2'!Q40</f>
        <v/>
      </c>
      <c r="R34" s="55" t="str">
        <f>'R2'!R40</f>
        <v/>
      </c>
      <c r="S34" s="55" t="str">
        <f>'R2'!S40</f>
        <v/>
      </c>
      <c r="T34" s="55" t="str">
        <f>'R2'!T40</f>
        <v/>
      </c>
      <c r="U34" s="55" t="str">
        <f>'R2'!U40</f>
        <v/>
      </c>
      <c r="V34" s="55" t="str">
        <f>'R2'!V40</f>
        <v/>
      </c>
    </row>
    <row r="35" spans="1:22" s="1" customFormat="1" x14ac:dyDescent="0.25">
      <c r="A35" s="234"/>
      <c r="B35" s="55" t="str">
        <f>'R2'!B41</f>
        <v/>
      </c>
      <c r="C35" s="55" t="str">
        <f>'R2'!C41</f>
        <v/>
      </c>
      <c r="D35" s="55" t="str">
        <f>'R2'!D41</f>
        <v/>
      </c>
      <c r="E35" s="55" t="str">
        <f>'R2'!E41</f>
        <v/>
      </c>
      <c r="F35" s="55" t="str">
        <f>'R2'!F41</f>
        <v/>
      </c>
      <c r="G35" s="55" t="str">
        <f>'R2'!G41</f>
        <v/>
      </c>
      <c r="H35" s="55" t="str">
        <f>'R2'!H41</f>
        <v/>
      </c>
      <c r="I35" s="55" t="str">
        <f>'R2'!I41</f>
        <v/>
      </c>
      <c r="J35" s="55" t="str">
        <f>'R2'!J41</f>
        <v/>
      </c>
      <c r="K35" s="55" t="str">
        <f>'R2'!K41</f>
        <v/>
      </c>
      <c r="L35" s="55" t="str">
        <f>'R2'!L41</f>
        <v/>
      </c>
      <c r="M35" s="55" t="str">
        <f>'R2'!M41</f>
        <v/>
      </c>
      <c r="N35"/>
      <c r="O35" s="55">
        <f>'R2'!O41</f>
        <v>1.4897009929002754</v>
      </c>
      <c r="P35" s="55" t="str">
        <f>'R2'!P41</f>
        <v/>
      </c>
      <c r="Q35" s="55" t="str">
        <f>'R2'!Q41</f>
        <v/>
      </c>
      <c r="R35" s="55" t="str">
        <f>'R2'!R41</f>
        <v/>
      </c>
      <c r="S35" s="55" t="str">
        <f>'R2'!S41</f>
        <v/>
      </c>
      <c r="T35" s="55" t="str">
        <f>'R2'!T41</f>
        <v/>
      </c>
      <c r="U35" s="55" t="str">
        <f>'R2'!U41</f>
        <v/>
      </c>
      <c r="V35" s="55" t="str">
        <f>'R2'!V41</f>
        <v/>
      </c>
    </row>
    <row r="36" spans="1:22" x14ac:dyDescent="0.25">
      <c r="A36" s="234"/>
      <c r="B36" s="55" t="str">
        <f>'R2'!B42</f>
        <v/>
      </c>
      <c r="C36" s="55" t="str">
        <f>'R2'!C42</f>
        <v/>
      </c>
      <c r="D36" s="55" t="str">
        <f>'R2'!D42</f>
        <v/>
      </c>
      <c r="E36" s="55" t="str">
        <f>'R2'!E42</f>
        <v/>
      </c>
      <c r="F36" s="55" t="str">
        <f>'R2'!F42</f>
        <v/>
      </c>
      <c r="G36" s="55" t="str">
        <f>'R2'!G42</f>
        <v/>
      </c>
      <c r="H36" s="55" t="str">
        <f>'R2'!H42</f>
        <v/>
      </c>
      <c r="I36" s="55" t="str">
        <f>'R2'!I42</f>
        <v/>
      </c>
      <c r="J36" s="55" t="str">
        <f>'R2'!J42</f>
        <v/>
      </c>
      <c r="K36" s="55" t="str">
        <f>'R2'!K42</f>
        <v/>
      </c>
      <c r="L36" s="55" t="str">
        <f>'R2'!L42</f>
        <v/>
      </c>
      <c r="M36" s="55" t="str">
        <f>'R2'!M42</f>
        <v/>
      </c>
      <c r="O36" s="55">
        <f>'R2'!O42</f>
        <v>0.43477280640537536</v>
      </c>
      <c r="P36" s="55" t="str">
        <f>'R2'!P42</f>
        <v/>
      </c>
      <c r="Q36" s="55" t="str">
        <f>'R2'!Q42</f>
        <v/>
      </c>
      <c r="R36" s="55" t="str">
        <f>'R2'!R42</f>
        <v/>
      </c>
      <c r="S36" s="55" t="str">
        <f>'R2'!S42</f>
        <v/>
      </c>
      <c r="T36" s="55" t="str">
        <f>'R2'!T42</f>
        <v/>
      </c>
      <c r="U36" s="55" t="str">
        <f>'R2'!U42</f>
        <v/>
      </c>
      <c r="V36" s="55" t="str">
        <f>'R2'!V42</f>
        <v/>
      </c>
    </row>
    <row r="37" spans="1:22" x14ac:dyDescent="0.25">
      <c r="A37" s="235"/>
      <c r="B37" s="55" t="str">
        <f>'R2'!B43</f>
        <v/>
      </c>
      <c r="C37" s="55" t="str">
        <f>'R2'!C43</f>
        <v/>
      </c>
      <c r="D37" s="55" t="str">
        <f>'R2'!D43</f>
        <v/>
      </c>
      <c r="E37" s="55" t="str">
        <f>'R2'!E43</f>
        <v/>
      </c>
      <c r="F37" s="55" t="str">
        <f>'R2'!F43</f>
        <v/>
      </c>
      <c r="G37" s="55" t="str">
        <f>'R2'!G43</f>
        <v/>
      </c>
      <c r="H37" s="55" t="str">
        <f>'R2'!H43</f>
        <v/>
      </c>
      <c r="I37" s="55" t="str">
        <f>'R2'!I43</f>
        <v/>
      </c>
      <c r="J37" s="55" t="str">
        <f>'R2'!J43</f>
        <v/>
      </c>
      <c r="K37" s="55" t="str">
        <f>'R2'!K43</f>
        <v/>
      </c>
      <c r="L37" s="55" t="str">
        <f>'R2'!L43</f>
        <v/>
      </c>
      <c r="M37" s="55" t="str">
        <f>'R2'!M43</f>
        <v/>
      </c>
      <c r="O37" s="55" t="str">
        <f>'R2'!O43</f>
        <v/>
      </c>
      <c r="P37" s="55" t="str">
        <f>'R2'!P43</f>
        <v/>
      </c>
      <c r="Q37" s="55" t="str">
        <f>'R2'!Q43</f>
        <v/>
      </c>
      <c r="R37" s="55" t="str">
        <f>'R2'!R43</f>
        <v/>
      </c>
      <c r="S37" s="55" t="str">
        <f>'R2'!S43</f>
        <v/>
      </c>
      <c r="T37" s="55" t="str">
        <f>'R2'!T43</f>
        <v/>
      </c>
      <c r="U37" s="55" t="str">
        <f>'R2'!U43</f>
        <v/>
      </c>
      <c r="V37" s="55" t="str">
        <f>'R2'!V43</f>
        <v/>
      </c>
    </row>
    <row r="38" spans="1:22" s="1" customFormat="1" x14ac:dyDescent="0.25">
      <c r="A38" s="156" t="s">
        <v>116</v>
      </c>
      <c r="B38" s="157">
        <f>'R3'!B28</f>
        <v>9.9955237952721196E-2</v>
      </c>
      <c r="C38" s="157">
        <f>'R3'!C28</f>
        <v>0.23045360425970771</v>
      </c>
      <c r="D38" s="157">
        <f>'R3'!D28</f>
        <v>1.7007281095573763E-3</v>
      </c>
      <c r="E38" s="157">
        <f>'R3'!E28</f>
        <v>0.2545820352283758</v>
      </c>
      <c r="F38" s="157">
        <f>'R3'!F28</f>
        <v>1.0635622005493026</v>
      </c>
      <c r="G38" s="157" t="str">
        <f>'R3'!G28</f>
        <v/>
      </c>
      <c r="H38" s="157">
        <f>'R3'!H28</f>
        <v>1.700482981836245</v>
      </c>
      <c r="I38" s="157">
        <f>'R3'!I28</f>
        <v>6.1985003403626712E-2</v>
      </c>
      <c r="J38" s="157">
        <f>'R3'!J28</f>
        <v>0.13809155601159365</v>
      </c>
      <c r="K38" s="157">
        <f>'R3'!K28</f>
        <v>0.14899331056284917</v>
      </c>
      <c r="L38" s="157">
        <f>'R3'!L28</f>
        <v>2.4189012298537479E-2</v>
      </c>
      <c r="M38" s="157">
        <f>'R3'!M28</f>
        <v>0.14675056500401151</v>
      </c>
      <c r="N38"/>
      <c r="O38" s="157">
        <f>'R3'!O28</f>
        <v>0.25939936367129479</v>
      </c>
      <c r="P38" s="157">
        <f>'R3'!P28</f>
        <v>1.6033660822173763</v>
      </c>
      <c r="Q38" s="157">
        <f>'R3'!Q28</f>
        <v>7.8086449376391738E-3</v>
      </c>
      <c r="R38" s="157">
        <f>'R3'!R28</f>
        <v>0.32134843039489014</v>
      </c>
      <c r="S38" s="157">
        <f>'R3'!S28</f>
        <v>0.34663598414172564</v>
      </c>
      <c r="T38" s="157">
        <f>'R3'!T28</f>
        <v>0.59284971833747857</v>
      </c>
      <c r="U38" s="157">
        <f>'R3'!U28</f>
        <v>0.77263202678792675</v>
      </c>
      <c r="V38" s="157">
        <f>'R3'!V28</f>
        <v>0.20551907069767567</v>
      </c>
    </row>
    <row r="39" spans="1:22" s="1" customFormat="1" x14ac:dyDescent="0.25">
      <c r="A39" s="233" t="s">
        <v>34</v>
      </c>
      <c r="B39" s="157">
        <f>'R3'!B29</f>
        <v>1.2616989210550324E-2</v>
      </c>
      <c r="C39" s="157">
        <f>'R3'!C29</f>
        <v>0.11355809558037028</v>
      </c>
      <c r="D39" s="157">
        <f>'R3'!D29</f>
        <v>1.8264900049515143E-2</v>
      </c>
      <c r="E39" s="157">
        <f>'R3'!E29</f>
        <v>0.10035120082169055</v>
      </c>
      <c r="F39" s="157">
        <f>'R3'!F29</f>
        <v>0.20925599087946845</v>
      </c>
      <c r="G39" s="157">
        <f>'R3'!G29</f>
        <v>1.0532681550390364</v>
      </c>
      <c r="H39" s="157">
        <f>'R3'!H29</f>
        <v>1.7273321326928834</v>
      </c>
      <c r="I39" s="157">
        <f>'R3'!I29</f>
        <v>0.13128641813675668</v>
      </c>
      <c r="J39" s="157">
        <f>'R3'!J29</f>
        <v>6.2619335260326994E-2</v>
      </c>
      <c r="K39" s="157">
        <f>'R3'!K29</f>
        <v>4.1635940759448986E-2</v>
      </c>
      <c r="L39" s="157">
        <f>'R3'!L29</f>
        <v>6.0911518723057015E-2</v>
      </c>
      <c r="M39" s="157">
        <f>'R3'!M29</f>
        <v>7.7741918820127813E-4</v>
      </c>
      <c r="N39"/>
      <c r="O39" s="157">
        <f>'R3'!O29</f>
        <v>1.63168781271952</v>
      </c>
      <c r="P39" s="157">
        <f>'R3'!P29</f>
        <v>1.5661337035390175</v>
      </c>
      <c r="Q39" s="157">
        <f>'R3'!Q29</f>
        <v>4.5779044333889768E-2</v>
      </c>
      <c r="R39" s="157" t="str">
        <f>'R3'!R29</f>
        <v/>
      </c>
      <c r="S39" s="157">
        <f>'R3'!S29</f>
        <v>0.87049436524671164</v>
      </c>
      <c r="T39" s="157">
        <f>'R3'!T29</f>
        <v>1.1906125413155741</v>
      </c>
      <c r="U39" s="157">
        <f>'R3'!U29</f>
        <v>1.8159842956928061</v>
      </c>
      <c r="V39" s="157">
        <f>'R3'!V29</f>
        <v>0.54058459779939716</v>
      </c>
    </row>
    <row r="40" spans="1:22" s="1" customFormat="1" x14ac:dyDescent="0.25">
      <c r="A40" s="234"/>
      <c r="B40" s="157">
        <f>'R3'!B30</f>
        <v>0.16094522392208521</v>
      </c>
      <c r="C40" s="157">
        <f>'R3'!C30</f>
        <v>2.2549112789583638E-2</v>
      </c>
      <c r="D40" s="157">
        <f>'R3'!D30</f>
        <v>3.7314307714944171E-2</v>
      </c>
      <c r="E40" s="157">
        <f>'R3'!E30</f>
        <v>0.12788479707048581</v>
      </c>
      <c r="F40" s="157">
        <f>'R3'!F30</f>
        <v>0.71537863130604329</v>
      </c>
      <c r="G40" s="157">
        <f>'R3'!G30</f>
        <v>1.2875797597166974</v>
      </c>
      <c r="H40" s="157" t="str">
        <f>'R3'!H30</f>
        <v/>
      </c>
      <c r="I40" s="157">
        <f>'R3'!I30</f>
        <v>1.2012577112683489E-2</v>
      </c>
      <c r="J40" s="157">
        <f>'R3'!J30</f>
        <v>0.15668062799359347</v>
      </c>
      <c r="K40" s="157">
        <f>'R3'!K30</f>
        <v>7.1294746544777521E-2</v>
      </c>
      <c r="L40" s="157">
        <f>'R3'!L30</f>
        <v>8.9878790688516078E-2</v>
      </c>
      <c r="M40" s="157">
        <f>'R3'!M30</f>
        <v>7.2791558722230358E-3</v>
      </c>
      <c r="N40"/>
      <c r="O40" s="157">
        <f>'R3'!O30</f>
        <v>1.4222714255571591</v>
      </c>
      <c r="P40" s="157">
        <f>'R3'!P30</f>
        <v>1.4962152659005785</v>
      </c>
      <c r="Q40" s="157">
        <f>'R3'!Q30</f>
        <v>7.2048757436811578E-2</v>
      </c>
      <c r="R40" s="157">
        <f>'R3'!R30</f>
        <v>0.68975264634771993</v>
      </c>
      <c r="S40" s="157">
        <f>'R3'!S30</f>
        <v>0.76522626829981344</v>
      </c>
      <c r="T40" s="157">
        <f>'R3'!T30</f>
        <v>1.3586107508117036</v>
      </c>
      <c r="U40" s="157">
        <f>'R3'!U30</f>
        <v>0.43219660357601514</v>
      </c>
      <c r="V40" s="157">
        <f>'R3'!V30</f>
        <v>1.9305301554325704</v>
      </c>
    </row>
    <row r="41" spans="1:22" s="1" customFormat="1" x14ac:dyDescent="0.25">
      <c r="A41" s="234"/>
      <c r="B41" s="157">
        <f>'R3'!B31</f>
        <v>0.12237774812641455</v>
      </c>
      <c r="C41" s="157">
        <f>'R3'!C31</f>
        <v>0.17211279451256351</v>
      </c>
      <c r="D41" s="157">
        <f>'R3'!D31</f>
        <v>0.19485428393332416</v>
      </c>
      <c r="E41" s="157">
        <f>'R3'!E31</f>
        <v>0.10054357745286759</v>
      </c>
      <c r="F41" s="157">
        <f>'R3'!F31</f>
        <v>1.5980888302089185</v>
      </c>
      <c r="G41" s="157">
        <f>'R3'!G31</f>
        <v>0.82885842448726266</v>
      </c>
      <c r="H41" s="157">
        <f>'R3'!H31</f>
        <v>2.6184642079541161</v>
      </c>
      <c r="I41" s="157">
        <f>'R3'!I31</f>
        <v>0.19857694483611368</v>
      </c>
      <c r="J41" s="157">
        <f>'R3'!J31</f>
        <v>0.14496757816355665</v>
      </c>
      <c r="K41" s="157">
        <f>'R3'!K31</f>
        <v>3.4554436627398412E-2</v>
      </c>
      <c r="L41" s="157">
        <f>'R3'!L31</f>
        <v>3.2276084082841612E-2</v>
      </c>
      <c r="M41" s="157">
        <f>'R3'!M31</f>
        <v>0.19076269509516686</v>
      </c>
      <c r="N41"/>
      <c r="O41" s="157">
        <f>'R3'!O31</f>
        <v>0.57389476809249884</v>
      </c>
      <c r="P41" s="157">
        <f>'R3'!P31</f>
        <v>1.3743101345707232</v>
      </c>
      <c r="Q41" s="157">
        <f>'R3'!Q31</f>
        <v>2.929515295895618E-2</v>
      </c>
      <c r="R41" s="157">
        <f>'R3'!R31</f>
        <v>0.70140503242430929</v>
      </c>
      <c r="S41" s="157">
        <f>'R3'!S31</f>
        <v>0.85170689971233682</v>
      </c>
      <c r="T41" s="157">
        <f>'R3'!T31</f>
        <v>0.95702131871010121</v>
      </c>
      <c r="U41" s="157">
        <f>'R3'!U31</f>
        <v>1.5252717201774917</v>
      </c>
      <c r="V41" s="157">
        <f>'R3'!V31</f>
        <v>3.6440617787576325E-2</v>
      </c>
    </row>
    <row r="42" spans="1:22" s="1" customFormat="1" x14ac:dyDescent="0.25">
      <c r="A42" s="234"/>
      <c r="B42" s="157">
        <f>'R3'!B32</f>
        <v>0.10500417664997073</v>
      </c>
      <c r="C42" s="157" t="str">
        <f>'R3'!C32</f>
        <v/>
      </c>
      <c r="D42" s="157">
        <f>'R3'!D32</f>
        <v>7.2207505248142762E-2</v>
      </c>
      <c r="E42" s="157">
        <f>'R3'!E32</f>
        <v>8.5336097607671593E-2</v>
      </c>
      <c r="F42" s="157">
        <f>'R3'!F32</f>
        <v>0.64495757468863368</v>
      </c>
      <c r="G42" s="157">
        <f>'R3'!G32</f>
        <v>1.2895340227523475</v>
      </c>
      <c r="H42" s="157">
        <f>'R3'!H32</f>
        <v>1.8205663872439604</v>
      </c>
      <c r="I42" s="157">
        <f>'R3'!I32</f>
        <v>6.583566812313342E-2</v>
      </c>
      <c r="J42" s="157">
        <f>'R3'!J32</f>
        <v>0.11692410966092201</v>
      </c>
      <c r="K42" s="157">
        <f>'R3'!K32</f>
        <v>5.8219399816671291E-2</v>
      </c>
      <c r="L42" s="157">
        <f>'R3'!L32</f>
        <v>0.11355084230550157</v>
      </c>
      <c r="M42" s="157">
        <f>'R3'!M32</f>
        <v>0.1343904076626761</v>
      </c>
      <c r="N42"/>
      <c r="O42" s="157">
        <f>'R3'!O32</f>
        <v>1.1289951470700665</v>
      </c>
      <c r="P42" s="157">
        <f>'R3'!P32</f>
        <v>1.6836281843600702</v>
      </c>
      <c r="Q42" s="157">
        <f>'R3'!Q32</f>
        <v>3.5545662577070654E-2</v>
      </c>
      <c r="R42" s="157">
        <f>'R3'!R32</f>
        <v>0.47221391010964808</v>
      </c>
      <c r="S42" s="157" t="str">
        <f>'R3'!S32</f>
        <v/>
      </c>
      <c r="T42" s="157">
        <f>'R3'!T32</f>
        <v>0.84525313355074227</v>
      </c>
      <c r="U42" s="157">
        <f>'R3'!U32</f>
        <v>1.4964150606537803</v>
      </c>
      <c r="V42" s="157">
        <f>'R3'!V32</f>
        <v>0.5878040765833511</v>
      </c>
    </row>
    <row r="43" spans="1:22" s="1" customFormat="1" x14ac:dyDescent="0.25">
      <c r="A43" s="234"/>
      <c r="B43" s="157">
        <f>'R3'!B33</f>
        <v>2.5055778645348824E-2</v>
      </c>
      <c r="C43" s="157">
        <f>'R3'!C33</f>
        <v>7.1979191936934375E-2</v>
      </c>
      <c r="D43" s="157">
        <f>'R3'!D33</f>
        <v>5.4015632488783084E-2</v>
      </c>
      <c r="E43" s="157">
        <f>'R3'!E33</f>
        <v>0.86843690789133843</v>
      </c>
      <c r="F43" s="157">
        <f>'R3'!F33</f>
        <v>0.94234514124903856</v>
      </c>
      <c r="G43" s="157">
        <f>'R3'!G33</f>
        <v>0.97094513375069091</v>
      </c>
      <c r="H43" s="157">
        <f>'R3'!H33</f>
        <v>2.56501911147262</v>
      </c>
      <c r="I43" s="157">
        <f>'R3'!I33</f>
        <v>0.14887198305595428</v>
      </c>
      <c r="J43" s="157">
        <f>'R3'!J33</f>
        <v>0</v>
      </c>
      <c r="K43" s="157">
        <f>'R3'!K33</f>
        <v>1.4533584671030001E-2</v>
      </c>
      <c r="L43" s="157">
        <f>'R3'!L33</f>
        <v>0.10888352477464007</v>
      </c>
      <c r="M43" s="157">
        <f>'R3'!M33</f>
        <v>1.0698580431353467E-4</v>
      </c>
      <c r="N43"/>
      <c r="O43" s="157">
        <f>'R3'!O33</f>
        <v>1.6754900099573727E-2</v>
      </c>
      <c r="P43" s="157">
        <f>'R3'!P33</f>
        <v>2.3196540104365071</v>
      </c>
      <c r="Q43" s="157">
        <f>'R3'!Q33</f>
        <v>4.2274064100739729E-2</v>
      </c>
      <c r="R43" s="157">
        <f>'R3'!R33</f>
        <v>0.30490739928054439</v>
      </c>
      <c r="S43" s="157">
        <f>'R3'!S33</f>
        <v>0.82747140051577717</v>
      </c>
      <c r="T43" s="157">
        <f>'R3'!T33</f>
        <v>1.0808698331633038</v>
      </c>
      <c r="U43" s="157">
        <f>'R3'!U33</f>
        <v>0.38089435527675558</v>
      </c>
      <c r="V43" s="157">
        <f>'R3'!V33</f>
        <v>2.3597375855268946E-2</v>
      </c>
    </row>
    <row r="44" spans="1:22" s="1" customFormat="1" x14ac:dyDescent="0.25">
      <c r="A44" s="234"/>
      <c r="B44" s="157">
        <f>'R3'!B34</f>
        <v>9.3501471791126625E-2</v>
      </c>
      <c r="C44" s="157">
        <f>'R3'!C34</f>
        <v>5.8586844127634104E-2</v>
      </c>
      <c r="D44" s="157">
        <f>'R3'!D34</f>
        <v>0.24802144810962379</v>
      </c>
      <c r="E44" s="157">
        <f>'R3'!E34</f>
        <v>7.3787070697961379E-2</v>
      </c>
      <c r="F44" s="157">
        <f>'R3'!F34</f>
        <v>0.12004384209024964</v>
      </c>
      <c r="G44" s="157">
        <f>'R3'!G34</f>
        <v>1.2998813138940366</v>
      </c>
      <c r="H44" s="157">
        <f>'R3'!H34</f>
        <v>2.3356067642744631</v>
      </c>
      <c r="I44" s="157">
        <f>'R3'!I34</f>
        <v>0.21073565895268614</v>
      </c>
      <c r="J44" s="157">
        <f>'R3'!J34</f>
        <v>8.5029317050156206E-2</v>
      </c>
      <c r="K44" s="157">
        <f>'R3'!K34</f>
        <v>4.7911342298135637E-2</v>
      </c>
      <c r="L44" s="157" t="str">
        <f>'R3'!L34</f>
        <v/>
      </c>
      <c r="M44" s="157">
        <f>'R3'!M34</f>
        <v>0.12916483523765776</v>
      </c>
      <c r="N44"/>
      <c r="O44" s="157">
        <f>'R3'!O34</f>
        <v>1.74643330236533</v>
      </c>
      <c r="P44" s="157" t="str">
        <f>'R3'!P34</f>
        <v/>
      </c>
      <c r="Q44" s="157">
        <f>'R3'!Q34</f>
        <v>0.16473538973530061</v>
      </c>
      <c r="R44" s="157">
        <f>'R3'!R34</f>
        <v>9.5309185704997537E-2</v>
      </c>
      <c r="S44" s="157">
        <f>'R3'!S34</f>
        <v>1.5826924355228238</v>
      </c>
      <c r="T44" s="157">
        <f>'R3'!T34</f>
        <v>1.1295371645193468</v>
      </c>
      <c r="U44" s="157">
        <f>'R3'!U34</f>
        <v>1.1878101396617529</v>
      </c>
      <c r="V44" s="157">
        <f>'R3'!V34</f>
        <v>0.85086189319013172</v>
      </c>
    </row>
    <row r="45" spans="1:22" s="1" customFormat="1" x14ac:dyDescent="0.25">
      <c r="A45" s="234"/>
      <c r="B45" s="157">
        <f>'R3'!B35</f>
        <v>0.1396156503933822</v>
      </c>
      <c r="C45" s="157">
        <f>'R3'!C35</f>
        <v>0.12754240952725129</v>
      </c>
      <c r="D45" s="157">
        <f>'R3'!D35</f>
        <v>0.20530163729877035</v>
      </c>
      <c r="E45" s="157">
        <f>'R3'!E35</f>
        <v>0.21754236287550613</v>
      </c>
      <c r="F45" s="157">
        <f>'R3'!F35</f>
        <v>0.564595575169339</v>
      </c>
      <c r="G45" s="157">
        <f>'R3'!G35</f>
        <v>1.7302845452587623</v>
      </c>
      <c r="H45" s="157">
        <f>'R3'!H35</f>
        <v>2.3932628813587162</v>
      </c>
      <c r="I45" s="157">
        <f>'R3'!I35</f>
        <v>1.7895807266991252E-2</v>
      </c>
      <c r="J45" s="157">
        <f>'R3'!J35</f>
        <v>2.0869485116007974E-2</v>
      </c>
      <c r="K45" s="157">
        <f>'R3'!K35</f>
        <v>9.5722787219670341E-2</v>
      </c>
      <c r="L45" s="157">
        <f>'R3'!L35</f>
        <v>0.24194204983954853</v>
      </c>
      <c r="M45" s="157">
        <f>'R3'!M35</f>
        <v>1.0982117539857748E-3</v>
      </c>
      <c r="N45"/>
      <c r="O45" s="157">
        <f>'R3'!O35</f>
        <v>1.1426301498931564</v>
      </c>
      <c r="P45" s="157">
        <f>'R3'!P35</f>
        <v>0.61394026348982611</v>
      </c>
      <c r="Q45" s="157" t="str">
        <f>'R3'!Q35</f>
        <v/>
      </c>
      <c r="R45" s="157">
        <f>'R3'!R35</f>
        <v>1.1924738305551799</v>
      </c>
      <c r="S45" s="157">
        <f>'R3'!S35</f>
        <v>0.83202101717717825</v>
      </c>
      <c r="T45" s="157">
        <f>'R3'!T35</f>
        <v>0.90778345134677141</v>
      </c>
      <c r="U45" s="157">
        <f>'R3'!U35</f>
        <v>1.3690831609448779</v>
      </c>
      <c r="V45" s="157">
        <f>'R3'!V35</f>
        <v>1.1274119549828134</v>
      </c>
    </row>
    <row r="46" spans="1:22" s="1" customFormat="1" x14ac:dyDescent="0.25">
      <c r="A46" s="234"/>
      <c r="B46" s="157" t="str">
        <f>'R3'!B36</f>
        <v/>
      </c>
      <c r="C46" s="157" t="str">
        <f>'R3'!C36</f>
        <v/>
      </c>
      <c r="D46" s="157" t="str">
        <f>'R3'!D36</f>
        <v/>
      </c>
      <c r="E46" s="157" t="str">
        <f>'R3'!E36</f>
        <v/>
      </c>
      <c r="F46" s="157" t="str">
        <f>'R3'!F36</f>
        <v/>
      </c>
      <c r="G46" s="157" t="str">
        <f>'R3'!G36</f>
        <v/>
      </c>
      <c r="H46" s="157" t="str">
        <f>'R3'!H36</f>
        <v/>
      </c>
      <c r="I46" s="157" t="str">
        <f>'R3'!I36</f>
        <v/>
      </c>
      <c r="J46" s="157" t="str">
        <f>'R3'!J36</f>
        <v/>
      </c>
      <c r="K46" s="157" t="str">
        <f>'R3'!K36</f>
        <v/>
      </c>
      <c r="L46" s="157" t="str">
        <f>'R3'!L36</f>
        <v/>
      </c>
      <c r="M46" s="157" t="str">
        <f>'R3'!M36</f>
        <v/>
      </c>
      <c r="N46"/>
      <c r="O46" s="157">
        <f>'R3'!O36</f>
        <v>0.87751504077815867</v>
      </c>
      <c r="P46" s="157" t="str">
        <f>'R3'!P36</f>
        <v/>
      </c>
      <c r="Q46" s="157" t="str">
        <f>'R3'!Q36</f>
        <v/>
      </c>
      <c r="R46" s="157" t="str">
        <f>'R3'!R36</f>
        <v/>
      </c>
      <c r="S46" s="157" t="str">
        <f>'R3'!S36</f>
        <v/>
      </c>
      <c r="T46" s="157" t="str">
        <f>'R3'!T36</f>
        <v/>
      </c>
      <c r="U46" s="157" t="str">
        <f>'R3'!U36</f>
        <v/>
      </c>
      <c r="V46" s="157" t="str">
        <f>'R3'!V36</f>
        <v/>
      </c>
    </row>
    <row r="47" spans="1:22" s="1" customFormat="1" x14ac:dyDescent="0.25">
      <c r="A47" s="234"/>
      <c r="B47" s="157" t="str">
        <f>'R3'!B37</f>
        <v/>
      </c>
      <c r="C47" s="157" t="str">
        <f>'R3'!C37</f>
        <v/>
      </c>
      <c r="D47" s="157" t="str">
        <f>'R3'!D37</f>
        <v/>
      </c>
      <c r="E47" s="157" t="str">
        <f>'R3'!E37</f>
        <v/>
      </c>
      <c r="F47" s="157" t="str">
        <f>'R3'!F37</f>
        <v/>
      </c>
      <c r="G47" s="157" t="str">
        <f>'R3'!G37</f>
        <v/>
      </c>
      <c r="H47" s="157" t="str">
        <f>'R3'!H37</f>
        <v/>
      </c>
      <c r="I47" s="157" t="str">
        <f>'R3'!I37</f>
        <v/>
      </c>
      <c r="J47" s="157" t="str">
        <f>'R3'!J37</f>
        <v/>
      </c>
      <c r="K47" s="157" t="str">
        <f>'R3'!K37</f>
        <v/>
      </c>
      <c r="L47" s="157" t="str">
        <f>'R3'!L37</f>
        <v/>
      </c>
      <c r="M47" s="157" t="str">
        <f>'R3'!M37</f>
        <v/>
      </c>
      <c r="N47"/>
      <c r="O47" s="157">
        <f>'R3'!O37</f>
        <v>1.63148455617604</v>
      </c>
      <c r="P47" s="157" t="str">
        <f>'R3'!P37</f>
        <v/>
      </c>
      <c r="Q47" s="157" t="str">
        <f>'R3'!Q37</f>
        <v/>
      </c>
      <c r="R47" s="157" t="str">
        <f>'R3'!R37</f>
        <v/>
      </c>
      <c r="S47" s="157" t="str">
        <f>'R3'!S37</f>
        <v/>
      </c>
      <c r="T47" s="157" t="str">
        <f>'R3'!T37</f>
        <v/>
      </c>
      <c r="U47" s="157" t="str">
        <f>'R3'!U37</f>
        <v/>
      </c>
      <c r="V47" s="157" t="str">
        <f>'R3'!V37</f>
        <v/>
      </c>
    </row>
    <row r="48" spans="1:22" s="1" customFormat="1" x14ac:dyDescent="0.25">
      <c r="A48" s="234"/>
      <c r="B48" s="157" t="str">
        <f>'R3'!B38</f>
        <v/>
      </c>
      <c r="C48" s="157" t="str">
        <f>'R3'!C38</f>
        <v/>
      </c>
      <c r="D48" s="157" t="str">
        <f>'R3'!D38</f>
        <v/>
      </c>
      <c r="E48" s="157" t="str">
        <f>'R3'!E38</f>
        <v/>
      </c>
      <c r="F48" s="157" t="str">
        <f>'R3'!F38</f>
        <v/>
      </c>
      <c r="G48" s="157" t="str">
        <f>'R3'!G38</f>
        <v/>
      </c>
      <c r="H48" s="157" t="str">
        <f>'R3'!H38</f>
        <v/>
      </c>
      <c r="I48" s="157" t="str">
        <f>'R3'!I38</f>
        <v/>
      </c>
      <c r="J48" s="157" t="str">
        <f>'R3'!J38</f>
        <v/>
      </c>
      <c r="K48" s="157" t="str">
        <f>'R3'!K38</f>
        <v/>
      </c>
      <c r="L48" s="157" t="str">
        <f>'R3'!L38</f>
        <v/>
      </c>
      <c r="M48" s="157" t="str">
        <f>'R3'!M38</f>
        <v/>
      </c>
      <c r="N48"/>
      <c r="O48" s="157" t="str">
        <f>'R3'!O38</f>
        <v/>
      </c>
      <c r="P48" s="157" t="str">
        <f>'R3'!P38</f>
        <v/>
      </c>
      <c r="Q48" s="157" t="str">
        <f>'R3'!Q38</f>
        <v/>
      </c>
      <c r="R48" s="157" t="str">
        <f>'R3'!R38</f>
        <v/>
      </c>
      <c r="S48" s="157" t="str">
        <f>'R3'!S38</f>
        <v/>
      </c>
      <c r="T48" s="157" t="str">
        <f>'R3'!T38</f>
        <v/>
      </c>
      <c r="U48" s="157" t="str">
        <f>'R3'!U38</f>
        <v/>
      </c>
      <c r="V48" s="157" t="str">
        <f>'R3'!V38</f>
        <v/>
      </c>
    </row>
    <row r="49" spans="1:24" s="1" customFormat="1" x14ac:dyDescent="0.25">
      <c r="A49" s="234"/>
      <c r="B49" s="157" t="str">
        <f>'R3'!B39</f>
        <v/>
      </c>
      <c r="C49" s="157" t="str">
        <f>'R3'!C39</f>
        <v/>
      </c>
      <c r="D49" s="157" t="str">
        <f>'R3'!D39</f>
        <v/>
      </c>
      <c r="E49" s="157" t="str">
        <f>'R3'!E39</f>
        <v/>
      </c>
      <c r="F49" s="157" t="str">
        <f>'R3'!F39</f>
        <v/>
      </c>
      <c r="G49" s="157" t="str">
        <f>'R3'!G39</f>
        <v/>
      </c>
      <c r="H49" s="157" t="str">
        <f>'R3'!H39</f>
        <v/>
      </c>
      <c r="I49" s="157" t="str">
        <f>'R3'!I39</f>
        <v/>
      </c>
      <c r="J49" s="157" t="str">
        <f>'R3'!J39</f>
        <v/>
      </c>
      <c r="K49" s="157" t="str">
        <f>'R3'!K39</f>
        <v/>
      </c>
      <c r="L49" s="157" t="str">
        <f>'R3'!L39</f>
        <v/>
      </c>
      <c r="M49" s="157" t="str">
        <f>'R3'!M39</f>
        <v/>
      </c>
      <c r="N49"/>
      <c r="O49" s="157">
        <f>'R3'!O39</f>
        <v>1.0573509245543418</v>
      </c>
      <c r="P49" s="157" t="str">
        <f>'R3'!P39</f>
        <v/>
      </c>
      <c r="Q49" s="157" t="str">
        <f>'R3'!Q39</f>
        <v/>
      </c>
      <c r="R49" s="157" t="str">
        <f>'R3'!R39</f>
        <v/>
      </c>
      <c r="S49" s="157" t="str">
        <f>'R3'!S39</f>
        <v/>
      </c>
      <c r="T49" s="157" t="str">
        <f>'R3'!T39</f>
        <v/>
      </c>
      <c r="U49" s="157" t="str">
        <f>'R3'!U39</f>
        <v/>
      </c>
      <c r="V49" s="157" t="str">
        <f>'R3'!V39</f>
        <v/>
      </c>
    </row>
    <row r="50" spans="1:24" s="1" customFormat="1" x14ac:dyDescent="0.25">
      <c r="A50" s="234"/>
      <c r="B50" s="157" t="str">
        <f>'R3'!B40</f>
        <v/>
      </c>
      <c r="C50" s="157" t="str">
        <f>'R3'!C40</f>
        <v/>
      </c>
      <c r="D50" s="157" t="str">
        <f>'R3'!D40</f>
        <v/>
      </c>
      <c r="E50" s="157" t="str">
        <f>'R3'!E40</f>
        <v/>
      </c>
      <c r="F50" s="157" t="str">
        <f>'R3'!F40</f>
        <v/>
      </c>
      <c r="G50" s="157" t="str">
        <f>'R3'!G40</f>
        <v/>
      </c>
      <c r="H50" s="157" t="str">
        <f>'R3'!H40</f>
        <v/>
      </c>
      <c r="I50" s="157" t="str">
        <f>'R3'!I40</f>
        <v/>
      </c>
      <c r="J50" s="157" t="str">
        <f>'R3'!J40</f>
        <v/>
      </c>
      <c r="K50" s="157" t="str">
        <f>'R3'!K40</f>
        <v/>
      </c>
      <c r="L50" s="157" t="str">
        <f>'R3'!L40</f>
        <v/>
      </c>
      <c r="M50" s="157" t="str">
        <f>'R3'!M40</f>
        <v/>
      </c>
      <c r="N50"/>
      <c r="O50" s="157">
        <f>'R3'!O40</f>
        <v>1.2188203624328477</v>
      </c>
      <c r="P50" s="157" t="str">
        <f>'R3'!P40</f>
        <v/>
      </c>
      <c r="Q50" s="157" t="str">
        <f>'R3'!Q40</f>
        <v/>
      </c>
      <c r="R50" s="157" t="str">
        <f>'R3'!R40</f>
        <v/>
      </c>
      <c r="S50" s="157" t="str">
        <f>'R3'!S40</f>
        <v/>
      </c>
      <c r="T50" s="157" t="str">
        <f>'R3'!T40</f>
        <v/>
      </c>
      <c r="U50" s="157" t="str">
        <f>'R3'!U40</f>
        <v/>
      </c>
      <c r="V50" s="157" t="str">
        <f>'R3'!V40</f>
        <v/>
      </c>
    </row>
    <row r="51" spans="1:24" s="1" customFormat="1" x14ac:dyDescent="0.25">
      <c r="A51" s="234"/>
      <c r="B51" s="157" t="str">
        <f>'R3'!B41</f>
        <v/>
      </c>
      <c r="C51" s="157" t="str">
        <f>'R3'!C41</f>
        <v/>
      </c>
      <c r="D51" s="157" t="str">
        <f>'R3'!D41</f>
        <v/>
      </c>
      <c r="E51" s="157" t="str">
        <f>'R3'!E41</f>
        <v/>
      </c>
      <c r="F51" s="157" t="str">
        <f>'R3'!F41</f>
        <v/>
      </c>
      <c r="G51" s="157" t="str">
        <f>'R3'!G41</f>
        <v/>
      </c>
      <c r="H51" s="157" t="str">
        <f>'R3'!H41</f>
        <v/>
      </c>
      <c r="I51" s="157" t="str">
        <f>'R3'!I41</f>
        <v/>
      </c>
      <c r="J51" s="157" t="str">
        <f>'R3'!J41</f>
        <v/>
      </c>
      <c r="K51" s="157" t="str">
        <f>'R3'!K41</f>
        <v/>
      </c>
      <c r="L51" s="157" t="str">
        <f>'R3'!L41</f>
        <v/>
      </c>
      <c r="M51" s="157" t="str">
        <f>'R3'!M41</f>
        <v/>
      </c>
      <c r="N51"/>
      <c r="O51" s="157">
        <f>'R3'!O41</f>
        <v>1.1697216260692722</v>
      </c>
      <c r="P51" s="157" t="str">
        <f>'R3'!P41</f>
        <v/>
      </c>
      <c r="Q51" s="157" t="str">
        <f>'R3'!Q41</f>
        <v/>
      </c>
      <c r="R51" s="157" t="str">
        <f>'R3'!R41</f>
        <v/>
      </c>
      <c r="S51" s="157" t="str">
        <f>'R3'!S41</f>
        <v/>
      </c>
      <c r="T51" s="157" t="str">
        <f>'R3'!T41</f>
        <v/>
      </c>
      <c r="U51" s="157" t="str">
        <f>'R3'!U41</f>
        <v/>
      </c>
      <c r="V51" s="157" t="str">
        <f>'R3'!V41</f>
        <v/>
      </c>
    </row>
    <row r="52" spans="1:24" s="1" customFormat="1" x14ac:dyDescent="0.25">
      <c r="A52" s="234"/>
      <c r="B52" s="157" t="str">
        <f>'R3'!B42</f>
        <v/>
      </c>
      <c r="C52" s="157" t="str">
        <f>'R3'!C42</f>
        <v/>
      </c>
      <c r="D52" s="157" t="str">
        <f>'R3'!D42</f>
        <v/>
      </c>
      <c r="E52" s="157" t="str">
        <f>'R3'!E42</f>
        <v/>
      </c>
      <c r="F52" s="157" t="str">
        <f>'R3'!F42</f>
        <v/>
      </c>
      <c r="G52" s="157" t="str">
        <f>'R3'!G42</f>
        <v/>
      </c>
      <c r="H52" s="157" t="str">
        <f>'R3'!H42</f>
        <v/>
      </c>
      <c r="I52" s="157" t="str">
        <f>'R3'!I42</f>
        <v/>
      </c>
      <c r="J52" s="157" t="str">
        <f>'R3'!J42</f>
        <v/>
      </c>
      <c r="K52" s="157" t="str">
        <f>'R3'!K42</f>
        <v/>
      </c>
      <c r="L52" s="157" t="str">
        <f>'R3'!L42</f>
        <v/>
      </c>
      <c r="M52" s="157" t="str">
        <f>'R3'!M42</f>
        <v/>
      </c>
      <c r="N52"/>
      <c r="O52" s="157">
        <f>'R3'!O42</f>
        <v>0.27109823664590638</v>
      </c>
      <c r="P52" s="157" t="str">
        <f>'R3'!P42</f>
        <v/>
      </c>
      <c r="Q52" s="157" t="str">
        <f>'R3'!Q42</f>
        <v/>
      </c>
      <c r="R52" s="157" t="str">
        <f>'R3'!R42</f>
        <v/>
      </c>
      <c r="S52" s="157" t="str">
        <f>'R3'!S42</f>
        <v/>
      </c>
      <c r="T52" s="157" t="str">
        <f>'R3'!T42</f>
        <v/>
      </c>
      <c r="U52" s="157" t="str">
        <f>'R3'!U42</f>
        <v/>
      </c>
      <c r="V52" s="157" t="str">
        <f>'R3'!V42</f>
        <v/>
      </c>
    </row>
    <row r="53" spans="1:24" s="1" customFormat="1" x14ac:dyDescent="0.25">
      <c r="A53" s="235"/>
      <c r="B53" s="157" t="str">
        <f>'R3'!B43</f>
        <v/>
      </c>
      <c r="C53" s="157" t="str">
        <f>'R3'!C43</f>
        <v/>
      </c>
      <c r="D53" s="157" t="str">
        <f>'R3'!D43</f>
        <v/>
      </c>
      <c r="E53" s="157" t="str">
        <f>'R3'!E43</f>
        <v/>
      </c>
      <c r="F53" s="157" t="str">
        <f>'R3'!F43</f>
        <v/>
      </c>
      <c r="G53" s="157" t="str">
        <f>'R3'!G43</f>
        <v/>
      </c>
      <c r="H53" s="157" t="str">
        <f>'R3'!H43</f>
        <v/>
      </c>
      <c r="I53" s="157" t="str">
        <f>'R3'!I43</f>
        <v/>
      </c>
      <c r="J53" s="157" t="str">
        <f>'R3'!J43</f>
        <v/>
      </c>
      <c r="K53" s="157" t="str">
        <f>'R3'!K43</f>
        <v/>
      </c>
      <c r="L53" s="157" t="str">
        <f>'R3'!L43</f>
        <v/>
      </c>
      <c r="M53" s="157" t="str">
        <f>'R3'!M43</f>
        <v/>
      </c>
      <c r="N53"/>
      <c r="O53" s="157">
        <f>'R3'!O43</f>
        <v>0.8519423838748359</v>
      </c>
      <c r="P53" s="157" t="str">
        <f>'R3'!P43</f>
        <v/>
      </c>
      <c r="Q53" s="157" t="str">
        <f>'R3'!Q43</f>
        <v/>
      </c>
      <c r="R53" s="157" t="str">
        <f>'R3'!R43</f>
        <v/>
      </c>
      <c r="S53" s="157" t="str">
        <f>'R3'!S43</f>
        <v/>
      </c>
      <c r="T53" s="157" t="str">
        <f>'R3'!T43</f>
        <v/>
      </c>
      <c r="U53" s="157" t="str">
        <f>'R3'!U43</f>
        <v/>
      </c>
      <c r="V53" s="157" t="str">
        <f>'R3'!V43</f>
        <v/>
      </c>
    </row>
    <row r="54" spans="1:24" s="61" customFormat="1" x14ac:dyDescent="0.25">
      <c r="A54" s="59"/>
      <c r="B54" s="60"/>
      <c r="C54" s="60"/>
      <c r="D54" s="60"/>
      <c r="E54" s="60"/>
      <c r="F54" s="60"/>
      <c r="G54" s="60"/>
      <c r="H54" s="60"/>
      <c r="I54" s="60"/>
      <c r="J54" s="60"/>
      <c r="K54" s="60"/>
      <c r="L54" s="60"/>
      <c r="M54" s="60"/>
      <c r="N54"/>
      <c r="O54" s="60"/>
      <c r="P54" s="60"/>
      <c r="Q54" s="60"/>
      <c r="R54" s="60"/>
      <c r="S54" s="60"/>
      <c r="T54" s="60"/>
      <c r="U54" s="60"/>
      <c r="V54" s="60"/>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DUS-10µg/L</v>
      </c>
      <c r="J55" s="15" t="str">
        <f t="shared" si="0"/>
        <v>DUS-100µg/L</v>
      </c>
      <c r="K55" s="15" t="str">
        <f t="shared" si="0"/>
        <v>DUS-250µg/L</v>
      </c>
      <c r="L55" s="15" t="str">
        <f t="shared" si="0"/>
        <v>DUS-500µg/L</v>
      </c>
      <c r="M55" s="15" t="str">
        <f t="shared" si="0"/>
        <v>DUS-1000µg/L</v>
      </c>
      <c r="O55" s="15" t="str">
        <f t="shared" ref="O55:V55" si="1">O4</f>
        <v>Testo -30µg/L</v>
      </c>
      <c r="P55" s="15" t="str">
        <f t="shared" si="1"/>
        <v>Testo 30µg/L + EE2 -64ng/L</v>
      </c>
      <c r="Q55" s="15" t="str">
        <f t="shared" si="1"/>
        <v>Testo 30µg/L + FAD-10mg/L</v>
      </c>
      <c r="R55" s="15" t="str">
        <f t="shared" si="1"/>
        <v>DUS-10µg/L + Testostérone</v>
      </c>
      <c r="S55" s="15" t="str">
        <f t="shared" si="1"/>
        <v>DUS-100µg/L + Testostérone</v>
      </c>
      <c r="T55" s="15" t="str">
        <f t="shared" si="1"/>
        <v>DUS-250µg/L + Testostérone</v>
      </c>
      <c r="U55" s="15" t="str">
        <f t="shared" si="1"/>
        <v>DUS-500µg/L + Testostérone</v>
      </c>
      <c r="V55" s="15" t="str">
        <f t="shared" si="1"/>
        <v>DUS-1000µg/L + Testostérone</v>
      </c>
    </row>
    <row r="56" spans="1:24" x14ac:dyDescent="0.25">
      <c r="A56" t="s">
        <v>48</v>
      </c>
      <c r="B56" s="9">
        <f t="shared" ref="B56:V56" si="2">AVERAGE(B6:B53)</f>
        <v>9.8843588423777315E-2</v>
      </c>
      <c r="C56" s="9">
        <f t="shared" si="2"/>
        <v>0.12587950110574581</v>
      </c>
      <c r="D56" s="9">
        <f t="shared" si="2"/>
        <v>0.12762204355910212</v>
      </c>
      <c r="E56" s="9">
        <f t="shared" si="2"/>
        <v>0.48815834868690511</v>
      </c>
      <c r="F56" s="9">
        <f t="shared" si="2"/>
        <v>1.1233678925872772</v>
      </c>
      <c r="G56" s="9">
        <f t="shared" si="2"/>
        <v>1.9006678431952515</v>
      </c>
      <c r="H56" s="9">
        <f t="shared" si="2"/>
        <v>2.695589847842653</v>
      </c>
      <c r="I56" s="9">
        <f t="shared" si="2"/>
        <v>0.10841414432469688</v>
      </c>
      <c r="J56" s="9">
        <f t="shared" si="2"/>
        <v>0.10504766172373216</v>
      </c>
      <c r="K56" s="9">
        <f t="shared" si="2"/>
        <v>0.10408272383023984</v>
      </c>
      <c r="L56" s="9">
        <f t="shared" si="2"/>
        <v>8.8412434492717837E-2</v>
      </c>
      <c r="M56" s="9">
        <f t="shared" si="2"/>
        <v>0.17924128627916405</v>
      </c>
      <c r="N56" s="9"/>
      <c r="O56" s="9">
        <f t="shared" si="2"/>
        <v>1.0000000000000002</v>
      </c>
      <c r="P56" s="9">
        <f t="shared" si="2"/>
        <v>2.2762673529185555</v>
      </c>
      <c r="Q56" s="9">
        <f t="shared" si="2"/>
        <v>9.2753565260756843E-2</v>
      </c>
      <c r="R56" s="9">
        <f t="shared" si="2"/>
        <v>0.71154980846395488</v>
      </c>
      <c r="S56" s="9">
        <f t="shared" si="2"/>
        <v>1.3906397477709889</v>
      </c>
      <c r="T56" s="9">
        <f t="shared" si="2"/>
        <v>1.4277591820455284</v>
      </c>
      <c r="U56" s="9">
        <f t="shared" si="2"/>
        <v>1.4606911261495514</v>
      </c>
      <c r="V56" s="9">
        <f t="shared" si="2"/>
        <v>1.1473220442669376</v>
      </c>
    </row>
    <row r="57" spans="1:24" x14ac:dyDescent="0.25">
      <c r="A57" t="s">
        <v>1</v>
      </c>
      <c r="B57" s="3">
        <f>STDEV(B6:B53)</f>
        <v>6.8976228753132446E-2</v>
      </c>
      <c r="C57" s="3">
        <f t="shared" ref="C57:V57" si="3">STDEV(C6:C53)</f>
        <v>0.11947573614295032</v>
      </c>
      <c r="D57" s="3">
        <f t="shared" si="3"/>
        <v>0.16796564629492569</v>
      </c>
      <c r="E57" s="3">
        <f t="shared" si="3"/>
        <v>0.51122806006400801</v>
      </c>
      <c r="F57" s="3">
        <f t="shared" si="3"/>
        <v>0.55150573056156782</v>
      </c>
      <c r="G57" s="3">
        <f t="shared" si="3"/>
        <v>0.76524192559793702</v>
      </c>
      <c r="H57" s="3">
        <f t="shared" si="3"/>
        <v>0.91642184409290917</v>
      </c>
      <c r="I57" s="3">
        <f t="shared" si="3"/>
        <v>6.9697863263050053E-2</v>
      </c>
      <c r="J57" s="3">
        <f t="shared" si="3"/>
        <v>6.7595308548257654E-2</v>
      </c>
      <c r="K57" s="3">
        <f t="shared" si="3"/>
        <v>8.5243640511150215E-2</v>
      </c>
      <c r="L57" s="3">
        <f t="shared" si="3"/>
        <v>7.0246742823451738E-2</v>
      </c>
      <c r="M57" s="3">
        <f t="shared" si="3"/>
        <v>0.46311375896899204</v>
      </c>
      <c r="N57" s="3"/>
      <c r="O57" s="3">
        <f t="shared" si="3"/>
        <v>0.56336071652619235</v>
      </c>
      <c r="P57" s="3">
        <f t="shared" si="3"/>
        <v>1.0362131898623217</v>
      </c>
      <c r="Q57" s="3">
        <f t="shared" si="3"/>
        <v>9.3855719416711572E-2</v>
      </c>
      <c r="R57" s="3">
        <f t="shared" si="3"/>
        <v>0.56037542115406036</v>
      </c>
      <c r="S57" s="3">
        <f t="shared" si="3"/>
        <v>0.82153147180468833</v>
      </c>
      <c r="T57" s="3">
        <f t="shared" si="3"/>
        <v>0.72448218686204058</v>
      </c>
      <c r="U57" s="3">
        <f t="shared" si="3"/>
        <v>0.96544910739136092</v>
      </c>
      <c r="V57" s="3">
        <f t="shared" si="3"/>
        <v>0.73188510271165275</v>
      </c>
      <c r="W57" s="3"/>
      <c r="X57" s="3"/>
    </row>
    <row r="58" spans="1:24" x14ac:dyDescent="0.25">
      <c r="A58" t="s">
        <v>2</v>
      </c>
      <c r="B58" s="3">
        <f xml:space="preserve"> B57/SQRT(COUNT(B6:B53))</f>
        <v>1.4705781381676291E-2</v>
      </c>
      <c r="C58" s="3">
        <f t="shared" ref="C58:V58" si="4" xml:space="preserve"> C57/SQRT(COUNT(C6:C53))</f>
        <v>2.4912413115884956E-2</v>
      </c>
      <c r="D58" s="3">
        <f t="shared" si="4"/>
        <v>3.6653108966603613E-2</v>
      </c>
      <c r="E58" s="3">
        <f t="shared" si="4"/>
        <v>0.10899418862673554</v>
      </c>
      <c r="F58" s="3">
        <f t="shared" si="4"/>
        <v>0.11257563584139196</v>
      </c>
      <c r="G58" s="3">
        <f t="shared" si="4"/>
        <v>0.16315012672282692</v>
      </c>
      <c r="H58" s="3">
        <f t="shared" si="4"/>
        <v>0.19538179364453775</v>
      </c>
      <c r="I58" s="3">
        <f t="shared" si="4"/>
        <v>1.4533009119324999E-2</v>
      </c>
      <c r="J58" s="3">
        <f t="shared" si="4"/>
        <v>1.4094596154947124E-2</v>
      </c>
      <c r="K58" s="3">
        <f t="shared" si="4"/>
        <v>1.777452775327441E-2</v>
      </c>
      <c r="L58" s="3">
        <f t="shared" si="4"/>
        <v>1.4647458419250062E-2</v>
      </c>
      <c r="M58" s="3">
        <f t="shared" si="4"/>
        <v>9.453270019469226E-2</v>
      </c>
      <c r="N58" s="3"/>
      <c r="O58" s="3">
        <f t="shared" si="4"/>
        <v>8.3980857200370351E-2</v>
      </c>
      <c r="P58" s="3">
        <f t="shared" si="4"/>
        <v>0.2160653861223544</v>
      </c>
      <c r="Q58" s="3">
        <f t="shared" si="4"/>
        <v>1.9570270340080829E-2</v>
      </c>
      <c r="R58" s="3">
        <f t="shared" si="4"/>
        <v>0.11947244121812256</v>
      </c>
      <c r="S58" s="3">
        <f t="shared" si="4"/>
        <v>0.17515109829743852</v>
      </c>
      <c r="T58" s="3">
        <f t="shared" si="4"/>
        <v>0.15106497868832655</v>
      </c>
      <c r="U58" s="3">
        <f t="shared" si="4"/>
        <v>0.2013100549296355</v>
      </c>
      <c r="V58" s="3">
        <f t="shared" si="4"/>
        <v>0.14939542099900052</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9" customFormat="1" ht="27" thickBot="1" x14ac:dyDescent="0.3">
      <c r="A60" s="236" t="s">
        <v>46</v>
      </c>
      <c r="B60" s="237"/>
      <c r="C60" s="237"/>
      <c r="D60" s="237"/>
      <c r="E60" s="237"/>
      <c r="F60" s="237"/>
      <c r="G60" s="237"/>
      <c r="H60" s="237"/>
      <c r="I60" s="237"/>
      <c r="J60" s="237"/>
      <c r="K60" s="237"/>
      <c r="L60" s="237"/>
      <c r="M60" s="237"/>
      <c r="N60" s="237"/>
      <c r="O60" s="237"/>
      <c r="P60" s="237"/>
      <c r="Q60" s="237"/>
      <c r="R60" s="237"/>
      <c r="S60" s="237"/>
      <c r="T60" s="237"/>
      <c r="U60" s="237"/>
      <c r="V60" s="237"/>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DUS-10µg/L</v>
      </c>
      <c r="J62" s="3" t="str">
        <f t="shared" si="6"/>
        <v>DUS-100µg/L</v>
      </c>
      <c r="K62" s="3" t="str">
        <f t="shared" si="6"/>
        <v>DUS-250µg/L</v>
      </c>
      <c r="L62" s="3" t="str">
        <f t="shared" si="6"/>
        <v>DUS-500µg/L</v>
      </c>
      <c r="M62" s="3" t="str">
        <f t="shared" si="6"/>
        <v>DUS-1000µg/L</v>
      </c>
      <c r="N62" s="3"/>
      <c r="O62" s="3" t="str">
        <f t="shared" si="6"/>
        <v>Testo -30µg/L</v>
      </c>
      <c r="P62" s="3" t="str">
        <f t="shared" si="6"/>
        <v>Testo 30µg/L + EE2 -64ng/L</v>
      </c>
      <c r="Q62" s="3" t="str">
        <f t="shared" si="6"/>
        <v>Testo 30µg/L + FAD-10mg/L</v>
      </c>
      <c r="R62" s="3" t="str">
        <f t="shared" si="6"/>
        <v>DUS-10µg/L + Testostérone</v>
      </c>
      <c r="S62" s="3" t="str">
        <f t="shared" si="6"/>
        <v>DUS-100µg/L + Testostérone</v>
      </c>
      <c r="T62" s="3" t="str">
        <f t="shared" si="6"/>
        <v>DUS-250µg/L + Testostérone</v>
      </c>
      <c r="U62" s="3" t="str">
        <f t="shared" si="6"/>
        <v>DUS-500µg/L + Testostérone</v>
      </c>
      <c r="V62" s="3" t="str">
        <f t="shared" si="6"/>
        <v>DUS-1000µg/L + Testostérone</v>
      </c>
    </row>
    <row r="63" spans="1:24" s="1" customFormat="1" x14ac:dyDescent="0.25">
      <c r="A63" s="1" t="s">
        <v>49</v>
      </c>
      <c r="B63" s="3">
        <f>COUNT(B6:B53)</f>
        <v>22</v>
      </c>
      <c r="C63" s="3">
        <f t="shared" ref="C63:V63" si="7">COUNT(C6:C53)</f>
        <v>23</v>
      </c>
      <c r="D63" s="3">
        <f t="shared" si="7"/>
        <v>21</v>
      </c>
      <c r="E63" s="3">
        <f t="shared" si="7"/>
        <v>22</v>
      </c>
      <c r="F63" s="3">
        <f t="shared" si="7"/>
        <v>24</v>
      </c>
      <c r="G63" s="3">
        <f t="shared" si="7"/>
        <v>22</v>
      </c>
      <c r="H63" s="3">
        <f t="shared" si="7"/>
        <v>22</v>
      </c>
      <c r="I63" s="3">
        <f t="shared" si="7"/>
        <v>23</v>
      </c>
      <c r="J63" s="3">
        <f t="shared" si="7"/>
        <v>23</v>
      </c>
      <c r="K63" s="3">
        <f t="shared" si="7"/>
        <v>23</v>
      </c>
      <c r="L63" s="3">
        <f t="shared" si="7"/>
        <v>23</v>
      </c>
      <c r="M63" s="3">
        <f t="shared" si="7"/>
        <v>24</v>
      </c>
      <c r="N63" s="3"/>
      <c r="O63" s="3">
        <f t="shared" si="7"/>
        <v>45</v>
      </c>
      <c r="P63" s="3">
        <f t="shared" si="7"/>
        <v>23</v>
      </c>
      <c r="Q63" s="3">
        <f t="shared" si="7"/>
        <v>23</v>
      </c>
      <c r="R63" s="3">
        <f t="shared" si="7"/>
        <v>22</v>
      </c>
      <c r="S63" s="3">
        <f t="shared" si="7"/>
        <v>22</v>
      </c>
      <c r="T63" s="3">
        <f t="shared" si="7"/>
        <v>23</v>
      </c>
      <c r="U63" s="3">
        <f t="shared" si="7"/>
        <v>23</v>
      </c>
      <c r="V63" s="3">
        <f t="shared" si="7"/>
        <v>24</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9" customFormat="1" ht="27" thickBot="1" x14ac:dyDescent="0.3">
      <c r="A65" s="236" t="s">
        <v>58</v>
      </c>
      <c r="B65" s="237"/>
      <c r="C65" s="237"/>
      <c r="D65" s="237"/>
      <c r="E65" s="237"/>
      <c r="F65" s="237"/>
      <c r="G65" s="237"/>
      <c r="H65" s="237"/>
      <c r="I65" s="237"/>
      <c r="J65" s="237"/>
      <c r="K65" s="237"/>
      <c r="L65" s="237"/>
      <c r="M65" s="237"/>
      <c r="N65" s="237"/>
      <c r="O65" s="237"/>
      <c r="P65" s="237"/>
      <c r="Q65" s="237"/>
      <c r="R65" s="237"/>
      <c r="S65" s="237"/>
      <c r="T65" s="237"/>
      <c r="U65" s="237"/>
      <c r="V65" s="237"/>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9" customFormat="1" ht="27" thickBot="1" x14ac:dyDescent="0.3">
      <c r="A70" s="236" t="s">
        <v>53</v>
      </c>
      <c r="B70" s="237"/>
      <c r="C70" s="237"/>
      <c r="D70" s="237"/>
      <c r="E70" s="237"/>
      <c r="F70" s="237"/>
      <c r="G70" s="237"/>
      <c r="H70" s="237"/>
      <c r="I70" s="237"/>
      <c r="J70" s="237"/>
      <c r="K70" s="237"/>
      <c r="L70" s="237"/>
      <c r="M70" s="237"/>
      <c r="N70" s="237"/>
      <c r="O70" s="237"/>
      <c r="P70" s="237"/>
      <c r="Q70" s="237"/>
      <c r="R70" s="237"/>
      <c r="S70" s="237"/>
      <c r="T70" s="237"/>
      <c r="U70" s="237"/>
      <c r="V70" s="237"/>
    </row>
    <row r="71" spans="1:22" ht="15.75" thickBot="1" x14ac:dyDescent="0.3"/>
    <row r="72" spans="1:22" s="49" customFormat="1" ht="27" thickBot="1" x14ac:dyDescent="0.3">
      <c r="A72" s="236" t="s">
        <v>54</v>
      </c>
      <c r="B72" s="237"/>
      <c r="C72" s="237"/>
      <c r="D72" s="237"/>
      <c r="E72" s="237"/>
      <c r="F72" s="237"/>
      <c r="G72" s="237"/>
      <c r="H72" s="237"/>
      <c r="I72" s="237"/>
      <c r="J72" s="237"/>
      <c r="K72" s="237"/>
      <c r="L72" s="237"/>
      <c r="M72" s="237"/>
      <c r="N72" s="237"/>
      <c r="O72" s="237"/>
      <c r="P72" s="237"/>
      <c r="Q72" s="237"/>
      <c r="R72" s="237"/>
      <c r="S72" s="237"/>
      <c r="T72" s="237"/>
      <c r="U72" s="237"/>
      <c r="V72" s="237"/>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DUS-10µg/L</v>
      </c>
      <c r="J74" s="46" t="str">
        <f t="shared" si="9"/>
        <v>DUS-100µg/L</v>
      </c>
      <c r="K74" s="46" t="str">
        <f t="shared" si="9"/>
        <v>DUS-250µg/L</v>
      </c>
      <c r="L74" s="46" t="str">
        <f t="shared" si="9"/>
        <v>DUS-500µg/L</v>
      </c>
      <c r="M74" s="46" t="str">
        <f t="shared" si="9"/>
        <v>DUS-1000µg/L</v>
      </c>
      <c r="N74" s="46"/>
      <c r="O74" s="46" t="str">
        <f t="shared" ref="O74:V74" si="10">O4</f>
        <v>Testo -30µg/L</v>
      </c>
      <c r="P74" s="46" t="str">
        <f t="shared" si="10"/>
        <v>Testo 30µg/L + EE2 -64ng/L</v>
      </c>
      <c r="Q74" s="46" t="str">
        <f t="shared" si="10"/>
        <v>Testo 30µg/L + FAD-10mg/L</v>
      </c>
      <c r="R74" s="46" t="str">
        <f t="shared" si="10"/>
        <v>DUS-10µg/L + Testostérone</v>
      </c>
      <c r="S74" s="46" t="str">
        <f t="shared" si="10"/>
        <v>DUS-100µg/L + Testostérone</v>
      </c>
      <c r="T74" s="46" t="str">
        <f t="shared" si="10"/>
        <v>DUS-250µg/L + Testostérone</v>
      </c>
      <c r="U74" s="46" t="str">
        <f t="shared" si="10"/>
        <v>DUS-500µg/L + Testostérone</v>
      </c>
      <c r="V74" s="46" t="str">
        <f t="shared" si="10"/>
        <v>DUS-1000µg/L + Testostérone</v>
      </c>
    </row>
    <row r="75" spans="1:22" s="3" customFormat="1" x14ac:dyDescent="0.25">
      <c r="A75" s="62" t="s">
        <v>32</v>
      </c>
      <c r="B75" s="142">
        <f>B56</f>
        <v>9.8843588423777315E-2</v>
      </c>
      <c r="C75" s="142">
        <f t="shared" ref="C75:V75" si="11">C56</f>
        <v>0.12587950110574581</v>
      </c>
      <c r="D75" s="142">
        <f t="shared" si="11"/>
        <v>0.12762204355910212</v>
      </c>
      <c r="E75" s="142">
        <f t="shared" si="11"/>
        <v>0.48815834868690511</v>
      </c>
      <c r="F75" s="142">
        <f t="shared" si="11"/>
        <v>1.1233678925872772</v>
      </c>
      <c r="G75" s="142">
        <f t="shared" si="11"/>
        <v>1.9006678431952515</v>
      </c>
      <c r="H75" s="142">
        <f t="shared" si="11"/>
        <v>2.695589847842653</v>
      </c>
      <c r="I75" s="142">
        <f t="shared" si="11"/>
        <v>0.10841414432469688</v>
      </c>
      <c r="J75" s="142">
        <f t="shared" si="11"/>
        <v>0.10504766172373216</v>
      </c>
      <c r="K75" s="142">
        <f t="shared" si="11"/>
        <v>0.10408272383023984</v>
      </c>
      <c r="L75" s="142">
        <f t="shared" si="11"/>
        <v>8.8412434492717837E-2</v>
      </c>
      <c r="M75" s="142">
        <f t="shared" si="11"/>
        <v>0.17924128627916405</v>
      </c>
      <c r="N75" s="142"/>
      <c r="O75" s="142">
        <f t="shared" si="11"/>
        <v>1.0000000000000002</v>
      </c>
      <c r="P75" s="142">
        <f t="shared" si="11"/>
        <v>2.2762673529185555</v>
      </c>
      <c r="Q75" s="142">
        <f t="shared" si="11"/>
        <v>9.2753565260756843E-2</v>
      </c>
      <c r="R75" s="142">
        <f t="shared" si="11"/>
        <v>0.71154980846395488</v>
      </c>
      <c r="S75" s="142">
        <f t="shared" si="11"/>
        <v>1.3906397477709889</v>
      </c>
      <c r="T75" s="142">
        <f t="shared" si="11"/>
        <v>1.4277591820455284</v>
      </c>
      <c r="U75" s="142">
        <f t="shared" si="11"/>
        <v>1.4606911261495514</v>
      </c>
      <c r="V75" s="142">
        <f t="shared" si="11"/>
        <v>1.1473220442669376</v>
      </c>
    </row>
    <row r="76" spans="1:22" s="3" customFormat="1" x14ac:dyDescent="0.25">
      <c r="A76" s="62" t="s">
        <v>2</v>
      </c>
      <c r="B76" s="142">
        <f>B58</f>
        <v>1.4705781381676291E-2</v>
      </c>
      <c r="C76" s="142">
        <f t="shared" ref="C76:V76" si="12">C58</f>
        <v>2.4912413115884956E-2</v>
      </c>
      <c r="D76" s="142">
        <f t="shared" si="12"/>
        <v>3.6653108966603613E-2</v>
      </c>
      <c r="E76" s="142">
        <f t="shared" si="12"/>
        <v>0.10899418862673554</v>
      </c>
      <c r="F76" s="142">
        <f t="shared" si="12"/>
        <v>0.11257563584139196</v>
      </c>
      <c r="G76" s="142">
        <f t="shared" si="12"/>
        <v>0.16315012672282692</v>
      </c>
      <c r="H76" s="142">
        <f t="shared" si="12"/>
        <v>0.19538179364453775</v>
      </c>
      <c r="I76" s="142">
        <f t="shared" si="12"/>
        <v>1.4533009119324999E-2</v>
      </c>
      <c r="J76" s="142">
        <f t="shared" si="12"/>
        <v>1.4094596154947124E-2</v>
      </c>
      <c r="K76" s="142">
        <f t="shared" si="12"/>
        <v>1.777452775327441E-2</v>
      </c>
      <c r="L76" s="142">
        <f t="shared" si="12"/>
        <v>1.4647458419250062E-2</v>
      </c>
      <c r="M76" s="142">
        <f t="shared" si="12"/>
        <v>9.453270019469226E-2</v>
      </c>
      <c r="N76" s="142"/>
      <c r="O76" s="142">
        <f t="shared" si="12"/>
        <v>8.3980857200370351E-2</v>
      </c>
      <c r="P76" s="142">
        <f t="shared" si="12"/>
        <v>0.2160653861223544</v>
      </c>
      <c r="Q76" s="142">
        <f t="shared" si="12"/>
        <v>1.9570270340080829E-2</v>
      </c>
      <c r="R76" s="142">
        <f t="shared" si="12"/>
        <v>0.11947244121812256</v>
      </c>
      <c r="S76" s="142">
        <f t="shared" si="12"/>
        <v>0.17515109829743852</v>
      </c>
      <c r="T76" s="142">
        <f t="shared" si="12"/>
        <v>0.15106497868832655</v>
      </c>
      <c r="U76" s="142">
        <f t="shared" si="12"/>
        <v>0.2013100549296355</v>
      </c>
      <c r="V76" s="142">
        <f t="shared" si="12"/>
        <v>0.14939542099900052</v>
      </c>
    </row>
    <row r="77" spans="1:22" s="3" customFormat="1" x14ac:dyDescent="0.25">
      <c r="A77" s="62" t="s">
        <v>79</v>
      </c>
      <c r="B77" s="142">
        <f>(B75*100/$B$75)-100</f>
        <v>0</v>
      </c>
      <c r="C77" s="142">
        <f t="shared" ref="C77:M77" si="13">(C75*100/$B$75)-100</f>
        <v>27.352216884372908</v>
      </c>
      <c r="D77" s="142">
        <f t="shared" si="13"/>
        <v>29.115146054735902</v>
      </c>
      <c r="E77" s="142">
        <f t="shared" si="13"/>
        <v>393.86951290557982</v>
      </c>
      <c r="F77" s="142">
        <f t="shared" si="13"/>
        <v>1036.5106331136046</v>
      </c>
      <c r="G77" s="142">
        <f t="shared" si="13"/>
        <v>1822.9045338241042</v>
      </c>
      <c r="H77" s="142">
        <f t="shared" si="13"/>
        <v>2627.1266561931252</v>
      </c>
      <c r="I77" s="142">
        <f t="shared" si="13"/>
        <v>9.6825257495582093</v>
      </c>
      <c r="J77" s="142">
        <f t="shared" si="13"/>
        <v>6.2766572914732706</v>
      </c>
      <c r="K77" s="142">
        <f t="shared" si="13"/>
        <v>5.3004301948250827</v>
      </c>
      <c r="L77" s="142">
        <f t="shared" si="13"/>
        <v>-10.55319226810893</v>
      </c>
      <c r="M77" s="142">
        <f t="shared" si="13"/>
        <v>81.338303411945617</v>
      </c>
      <c r="N77" s="142"/>
      <c r="O77" s="142">
        <f t="shared" ref="O77:V77" si="14">(O75*100/$O$75)-100</f>
        <v>0</v>
      </c>
      <c r="P77" s="142">
        <f t="shared" si="14"/>
        <v>127.62673529185548</v>
      </c>
      <c r="Q77" s="142">
        <f t="shared" si="14"/>
        <v>-90.724643473924317</v>
      </c>
      <c r="R77" s="142">
        <f t="shared" si="14"/>
        <v>-28.845019153604525</v>
      </c>
      <c r="S77" s="142">
        <f t="shared" si="14"/>
        <v>39.063974777098849</v>
      </c>
      <c r="T77" s="142">
        <f t="shared" si="14"/>
        <v>42.775918204552823</v>
      </c>
      <c r="U77" s="142">
        <f t="shared" si="14"/>
        <v>46.069112614955117</v>
      </c>
      <c r="V77" s="142">
        <f t="shared" si="14"/>
        <v>14.732204426693727</v>
      </c>
    </row>
    <row r="78" spans="1:22" s="3" customFormat="1" x14ac:dyDescent="0.25">
      <c r="A78" s="62" t="s">
        <v>81</v>
      </c>
      <c r="B78" s="142" t="e">
        <f ca="1">[2]!DPTEST(B6:B53)</f>
        <v>#NAME?</v>
      </c>
      <c r="C78" s="142" t="e">
        <f ca="1">[2]!DPTEST(C6:C53)</f>
        <v>#NAME?</v>
      </c>
      <c r="D78" s="142" t="e">
        <f ca="1">[2]!DPTEST(D6:D53)</f>
        <v>#NAME?</v>
      </c>
      <c r="E78" s="142" t="e">
        <f ca="1">[2]!DPTEST(E6:E53)</f>
        <v>#NAME?</v>
      </c>
      <c r="F78" s="142" t="e">
        <f ca="1">[2]!DPTEST(F6:F53)</f>
        <v>#NAME?</v>
      </c>
      <c r="G78" s="142" t="e">
        <f ca="1">[2]!DPTEST(G6:G53)</f>
        <v>#NAME?</v>
      </c>
      <c r="H78" s="142" t="e">
        <f ca="1">[2]!DPTEST(H6:H53)</f>
        <v>#NAME?</v>
      </c>
      <c r="I78" s="142" t="e">
        <f ca="1">[2]!DPTEST(I6:I53)</f>
        <v>#NAME?</v>
      </c>
      <c r="J78" s="142" t="e">
        <f ca="1">[2]!DPTEST(J6:J53)</f>
        <v>#NAME?</v>
      </c>
      <c r="K78" s="142" t="e">
        <f ca="1">[2]!DPTEST(K6:K53)</f>
        <v>#NAME?</v>
      </c>
      <c r="L78" s="142" t="e">
        <f ca="1">[2]!DPTEST(L6:L53)</f>
        <v>#NAME?</v>
      </c>
      <c r="M78" s="142" t="e">
        <f ca="1">[2]!DPTEST(M6:M53)</f>
        <v>#NAME?</v>
      </c>
      <c r="N78" s="142"/>
      <c r="O78" s="142" t="e">
        <f ca="1">[2]!DPTEST(O6:O53)</f>
        <v>#NAME?</v>
      </c>
      <c r="P78" s="142" t="e">
        <f ca="1">[2]!DPTEST(P6:P53)</f>
        <v>#NAME?</v>
      </c>
      <c r="Q78" s="142" t="e">
        <f ca="1">[2]!DPTEST(Q6:Q53)</f>
        <v>#NAME?</v>
      </c>
      <c r="R78" s="142" t="e">
        <f ca="1">[2]!DPTEST(R6:R53)</f>
        <v>#NAME?</v>
      </c>
      <c r="S78" s="142" t="e">
        <f ca="1">[2]!DPTEST(S6:S53)</f>
        <v>#NAME?</v>
      </c>
      <c r="T78" s="142" t="e">
        <f ca="1">[2]!DPTEST(T6:T53)</f>
        <v>#NAME?</v>
      </c>
      <c r="U78" s="142" t="e">
        <f ca="1">[2]!DPTEST(U6:U53)</f>
        <v>#NAME?</v>
      </c>
      <c r="V78" s="142" t="e">
        <f ca="1">[2]!DPTEST(V6:V53)</f>
        <v>#NAME?</v>
      </c>
    </row>
    <row r="79" spans="1:22" s="3" customFormat="1" x14ac:dyDescent="0.25">
      <c r="A79" s="62" t="s">
        <v>85</v>
      </c>
      <c r="B79" s="142" t="e">
        <f ca="1">IF(B78&gt;0.05,"Oui","Non")</f>
        <v>#NAME?</v>
      </c>
      <c r="C79" s="142" t="e">
        <f t="shared" ref="C79:V79" ca="1" si="15">IF(C78&gt;0.05,"Oui","Non")</f>
        <v>#NAME?</v>
      </c>
      <c r="D79" s="142" t="e">
        <f t="shared" ca="1" si="15"/>
        <v>#NAME?</v>
      </c>
      <c r="E79" s="142" t="e">
        <f t="shared" ca="1" si="15"/>
        <v>#NAME?</v>
      </c>
      <c r="F79" s="142" t="e">
        <f t="shared" ca="1" si="15"/>
        <v>#NAME?</v>
      </c>
      <c r="G79" s="142" t="e">
        <f t="shared" ca="1" si="15"/>
        <v>#NAME?</v>
      </c>
      <c r="H79" s="142" t="e">
        <f t="shared" ca="1" si="15"/>
        <v>#NAME?</v>
      </c>
      <c r="I79" s="142" t="e">
        <f t="shared" ca="1" si="15"/>
        <v>#NAME?</v>
      </c>
      <c r="J79" s="142" t="e">
        <f t="shared" ca="1" si="15"/>
        <v>#NAME?</v>
      </c>
      <c r="K79" s="142" t="e">
        <f t="shared" ca="1" si="15"/>
        <v>#NAME?</v>
      </c>
      <c r="L79" s="142" t="e">
        <f t="shared" ca="1" si="15"/>
        <v>#NAME?</v>
      </c>
      <c r="M79" s="142" t="e">
        <f t="shared" ca="1" si="15"/>
        <v>#NAME?</v>
      </c>
      <c r="N79" s="142"/>
      <c r="O79" s="142" t="e">
        <f t="shared" ca="1" si="15"/>
        <v>#NAME?</v>
      </c>
      <c r="P79" s="142" t="e">
        <f t="shared" ca="1" si="15"/>
        <v>#NAME?</v>
      </c>
      <c r="Q79" s="142" t="e">
        <f t="shared" ca="1" si="15"/>
        <v>#NAME?</v>
      </c>
      <c r="R79" s="142" t="e">
        <f t="shared" ca="1" si="15"/>
        <v>#NAME?</v>
      </c>
      <c r="S79" s="142" t="e">
        <f t="shared" ca="1" si="15"/>
        <v>#NAME?</v>
      </c>
      <c r="T79" s="142" t="e">
        <f t="shared" ca="1" si="15"/>
        <v>#NAME?</v>
      </c>
      <c r="U79" s="142" t="e">
        <f t="shared" ca="1" si="15"/>
        <v>#NAME?</v>
      </c>
      <c r="V79" s="142" t="e">
        <f t="shared" ca="1" si="15"/>
        <v>#NAME?</v>
      </c>
    </row>
    <row r="80" spans="1:22" s="3" customFormat="1" x14ac:dyDescent="0.25">
      <c r="A80" s="62" t="s">
        <v>122</v>
      </c>
      <c r="B80" s="142"/>
      <c r="C80" s="142"/>
      <c r="D80" s="142"/>
      <c r="E80" s="142"/>
      <c r="F80" s="142"/>
      <c r="G80" s="142"/>
      <c r="H80" s="142"/>
      <c r="I80" s="142"/>
      <c r="J80" s="142" t="str">
        <f ca="1">IF(COUNTIF(J79:M79, "Non")&gt;0, "Oui","Non")</f>
        <v>Non</v>
      </c>
      <c r="K80" s="142"/>
      <c r="L80" s="142"/>
      <c r="M80" s="142"/>
      <c r="N80" s="142"/>
      <c r="O80" s="142"/>
      <c r="P80" s="142"/>
      <c r="Q80" s="142"/>
      <c r="R80" s="142"/>
      <c r="S80" s="142"/>
      <c r="T80" s="142"/>
      <c r="U80" s="142"/>
      <c r="V80" s="142"/>
    </row>
    <row r="81" spans="1:22" s="3" customFormat="1" x14ac:dyDescent="0.25">
      <c r="A81" s="62" t="s">
        <v>82</v>
      </c>
      <c r="B81" s="142"/>
      <c r="C81" s="142" t="s">
        <v>4305</v>
      </c>
      <c r="D81" s="142" t="s">
        <v>4305</v>
      </c>
      <c r="E81" s="142" t="s">
        <v>4305</v>
      </c>
      <c r="F81" s="142" t="s">
        <v>4305</v>
      </c>
      <c r="G81" s="142" t="s">
        <v>4305</v>
      </c>
      <c r="H81" s="142" t="s">
        <v>4305</v>
      </c>
      <c r="I81" s="142" t="s">
        <v>4305</v>
      </c>
      <c r="J81" s="142" t="s">
        <v>4305</v>
      </c>
      <c r="K81" s="142" t="s">
        <v>4305</v>
      </c>
      <c r="L81" s="142" t="s">
        <v>4305</v>
      </c>
      <c r="M81" s="142" t="s">
        <v>4305</v>
      </c>
      <c r="N81" s="142"/>
      <c r="O81" s="142" t="e">
        <f ca="1">IF($B79="Non",IF(O79="Non","Mann Withney",IF(O79="Oui","Mann Withney","")),IF($B79="Oui",IF(O79="Oui","T-Test Welch",IF(O79="Non","Mann Withney",""))))</f>
        <v>#NAME?</v>
      </c>
      <c r="P81" s="142" t="e">
        <f ca="1">IF($O79="Non",IF(P79="Non","Mann Withney",IF(P$79="Oui","Mann Withney","")),IF($O79="Oui",IF(P79="Oui","T-Test Welch",IF(P79="Non","Mann Withney",""))))</f>
        <v>#NAME?</v>
      </c>
      <c r="Q81" s="142" t="e">
        <f ca="1">IF($O79="Non",IF(Q79="Non","Mann Withney",IF(Q$79="Oui","Mann Withney","")),IF($O79="Oui",IF(Q79="Oui","T-Test Welch",IF(Q79="Non","Mann Withney",""))))</f>
        <v>#NAME?</v>
      </c>
      <c r="R81" s="142" t="s">
        <v>4305</v>
      </c>
      <c r="S81" s="142" t="s">
        <v>4305</v>
      </c>
      <c r="T81" s="142" t="s">
        <v>4305</v>
      </c>
      <c r="U81" s="142" t="s">
        <v>4305</v>
      </c>
      <c r="V81" s="142" t="s">
        <v>4305</v>
      </c>
    </row>
    <row r="82" spans="1:22" s="3" customFormat="1" x14ac:dyDescent="0.25">
      <c r="A82" s="62" t="s">
        <v>83</v>
      </c>
      <c r="B82" s="142"/>
      <c r="C82" s="142" t="s">
        <v>4302</v>
      </c>
      <c r="D82" s="142" t="s">
        <v>4302</v>
      </c>
      <c r="E82" s="142">
        <v>0.09</v>
      </c>
      <c r="F82" s="142" t="s">
        <v>4304</v>
      </c>
      <c r="G82" s="142" t="s">
        <v>4304</v>
      </c>
      <c r="H82" s="142" t="s">
        <v>4304</v>
      </c>
      <c r="I82" s="142" t="s">
        <v>4302</v>
      </c>
      <c r="J82" s="142" t="s">
        <v>4302</v>
      </c>
      <c r="K82" s="142" t="s">
        <v>4302</v>
      </c>
      <c r="L82" s="142" t="s">
        <v>4302</v>
      </c>
      <c r="M82" s="142" t="s">
        <v>4302</v>
      </c>
      <c r="N82" s="142"/>
      <c r="O82" s="142" t="e">
        <f ca="1">IF(O81="Mann Withney",[2]!MTEST($B6:$B37,O6:O53,2), IF(O81="T-Test Welch",_xlfn.T.TEST($B6:$B37,O6:O53,2,3),""))</f>
        <v>#NAME?</v>
      </c>
      <c r="P82" s="142" t="e">
        <f ca="1">IF(P81="Mann Withney",[2]!MTEST($O6:$O53,P6:P53,2), IF(P81="T-Test Welch",_xlfn.T.TEST($O6:$O53,P6:P53,2,3),""))</f>
        <v>#NAME?</v>
      </c>
      <c r="Q82" s="142" t="e">
        <f ca="1">IF(Q81="Mann Withney",[2]!MTEST($O6:$O53,Q6:Q53,2), IF(Q81="T-Test Welch",_xlfn.T.TEST($O6:$O53,Q6:Q53,2,3),""))</f>
        <v>#NAME?</v>
      </c>
      <c r="R82" s="142">
        <v>0.33</v>
      </c>
      <c r="S82" s="142">
        <v>0.52</v>
      </c>
      <c r="T82" s="142">
        <v>0.25</v>
      </c>
      <c r="U82" s="142">
        <v>0.31</v>
      </c>
      <c r="V82" s="142" t="s">
        <v>4302</v>
      </c>
    </row>
    <row r="83" spans="1:22" s="3" customFormat="1" ht="15.75" thickBot="1" x14ac:dyDescent="0.3">
      <c r="A83" s="63" t="s">
        <v>84</v>
      </c>
      <c r="B83" s="143"/>
      <c r="C83" s="143" t="s">
        <v>4301</v>
      </c>
      <c r="D83" s="143" t="s">
        <v>4301</v>
      </c>
      <c r="E83" s="143" t="s">
        <v>4301</v>
      </c>
      <c r="F83" s="143" t="s">
        <v>4303</v>
      </c>
      <c r="G83" s="143" t="s">
        <v>4303</v>
      </c>
      <c r="H83" s="143" t="s">
        <v>4303</v>
      </c>
      <c r="I83" s="143" t="s">
        <v>4301</v>
      </c>
      <c r="J83" s="143" t="s">
        <v>4301</v>
      </c>
      <c r="K83" s="143" t="s">
        <v>4301</v>
      </c>
      <c r="L83" s="143" t="s">
        <v>4301</v>
      </c>
      <c r="M83" s="143" t="s">
        <v>4301</v>
      </c>
      <c r="N83" s="143"/>
      <c r="O83" s="143" t="e">
        <f t="shared" ref="O83" ca="1" si="16">IF(O82&gt;0.05,"NS",IF(O82&gt;0.01,"*",IF(O82&gt;0.001,"**","***")))</f>
        <v>#NAME?</v>
      </c>
      <c r="P83" s="143" t="e">
        <f t="shared" ref="P83" ca="1" si="17">IF(P82&gt;0.05,"NS",IF(P82&gt;0.01,"*",IF(P82&gt;0.001,"**","***")))</f>
        <v>#NAME?</v>
      </c>
      <c r="Q83" s="143" t="e">
        <f t="shared" ref="Q83" ca="1" si="18">IF(Q82&gt;0.05,"NS",IF(Q82&gt;0.01,"*",IF(Q82&gt;0.001,"**","***")))</f>
        <v>#NAME?</v>
      </c>
      <c r="R83" s="143" t="s">
        <v>4301</v>
      </c>
      <c r="S83" s="143" t="s">
        <v>4301</v>
      </c>
      <c r="T83" s="143" t="s">
        <v>4301</v>
      </c>
      <c r="U83" s="143" t="s">
        <v>4301</v>
      </c>
      <c r="V83" s="143" t="s">
        <v>4301</v>
      </c>
    </row>
    <row r="84" spans="1:22" s="1" customFormat="1" x14ac:dyDescent="0.25"/>
    <row r="85" spans="1:22" s="1" customFormat="1" x14ac:dyDescent="0.25">
      <c r="A85" s="2" t="s">
        <v>39</v>
      </c>
    </row>
    <row r="86" spans="1:22" x14ac:dyDescent="0.25">
      <c r="A86" s="1" t="s">
        <v>23</v>
      </c>
      <c r="B86" s="1">
        <f>B56+(3*B57)</f>
        <v>0.30577227468317464</v>
      </c>
    </row>
    <row r="87" spans="1:22" x14ac:dyDescent="0.25">
      <c r="A87" s="1" t="s">
        <v>24</v>
      </c>
      <c r="B87" s="1">
        <f>B56+(10*B57)</f>
        <v>0.78860587595510179</v>
      </c>
    </row>
    <row r="88" spans="1:22" ht="15.75" thickBot="1" x14ac:dyDescent="0.3"/>
    <row r="89" spans="1:22" s="49" customFormat="1" ht="27" thickBot="1" x14ac:dyDescent="0.3">
      <c r="A89" s="50" t="s">
        <v>55</v>
      </c>
      <c r="B89" s="51"/>
      <c r="C89" s="51"/>
      <c r="D89" s="51"/>
      <c r="E89" s="51"/>
      <c r="F89" s="51"/>
      <c r="G89" s="51"/>
      <c r="H89" s="51"/>
      <c r="I89" s="51"/>
      <c r="J89" s="51"/>
      <c r="K89" s="51"/>
      <c r="L89" s="51"/>
      <c r="M89" s="51"/>
      <c r="N89" s="51"/>
      <c r="O89" s="51"/>
      <c r="P89" s="51"/>
      <c r="Q89" s="51"/>
      <c r="R89" s="51"/>
      <c r="S89" s="51"/>
      <c r="T89" s="51"/>
      <c r="U89" s="51"/>
      <c r="V89" s="51"/>
    </row>
    <row r="90" spans="1:22" ht="15.75" thickBot="1" x14ac:dyDescent="0.3"/>
    <row r="91" spans="1:22" s="49" customFormat="1" ht="27" thickBot="1" x14ac:dyDescent="0.3">
      <c r="A91" s="50" t="s">
        <v>56</v>
      </c>
      <c r="B91" s="51"/>
      <c r="C91" s="51"/>
      <c r="D91" s="51"/>
      <c r="E91" s="51"/>
      <c r="F91" s="51"/>
      <c r="G91" s="51"/>
      <c r="H91" s="51"/>
      <c r="I91" s="51"/>
      <c r="J91" s="51"/>
      <c r="K91" s="51"/>
      <c r="L91" s="51"/>
      <c r="M91" s="51"/>
      <c r="N91" s="51"/>
      <c r="O91" s="51"/>
      <c r="P91" s="51"/>
      <c r="Q91" s="51"/>
      <c r="R91" s="51"/>
      <c r="S91" s="51"/>
      <c r="T91" s="51"/>
      <c r="U91" s="51"/>
      <c r="V91" s="51"/>
    </row>
    <row r="92" spans="1:22" ht="15.75" thickBot="1" x14ac:dyDescent="0.3"/>
    <row r="93" spans="1:22" s="49" customFormat="1" ht="27" thickBot="1" x14ac:dyDescent="0.3">
      <c r="A93" s="236" t="s">
        <v>57</v>
      </c>
      <c r="B93" s="237"/>
      <c r="C93" s="237"/>
      <c r="D93" s="237"/>
      <c r="E93" s="237"/>
      <c r="F93" s="237"/>
      <c r="G93" s="237"/>
      <c r="H93" s="237"/>
      <c r="I93" s="237"/>
      <c r="J93" s="237"/>
      <c r="K93" s="237"/>
      <c r="L93" s="237"/>
      <c r="M93" s="237"/>
      <c r="N93" s="237"/>
      <c r="O93" s="237"/>
      <c r="P93" s="237"/>
      <c r="Q93" s="237"/>
      <c r="R93" s="237"/>
      <c r="S93" s="237"/>
      <c r="T93" s="237"/>
      <c r="U93" s="237"/>
      <c r="V93" s="237"/>
    </row>
    <row r="94" spans="1:22" x14ac:dyDescent="0.25">
      <c r="B94" s="1">
        <f t="shared" ref="B94:L94" si="19">B75/$B$75</f>
        <v>1</v>
      </c>
      <c r="C94" s="1">
        <f t="shared" si="19"/>
        <v>1.273522168843729</v>
      </c>
      <c r="D94" s="1">
        <f t="shared" si="19"/>
        <v>1.2911514605473591</v>
      </c>
      <c r="E94" s="1">
        <f t="shared" si="19"/>
        <v>4.9386951290557981</v>
      </c>
      <c r="F94" s="1">
        <f t="shared" si="19"/>
        <v>11.365106331136047</v>
      </c>
      <c r="G94" s="1">
        <f t="shared" si="19"/>
        <v>19.229045338241043</v>
      </c>
      <c r="H94" s="1">
        <f t="shared" si="19"/>
        <v>27.271266561931249</v>
      </c>
      <c r="I94" s="1">
        <f t="shared" si="19"/>
        <v>1.0968252574955821</v>
      </c>
      <c r="J94" s="1">
        <f t="shared" si="19"/>
        <v>1.0627665729147326</v>
      </c>
      <c r="K94" s="1">
        <f t="shared" si="19"/>
        <v>1.0530043019482509</v>
      </c>
      <c r="L94" s="1">
        <f t="shared" si="19"/>
        <v>0.89446807731891076</v>
      </c>
      <c r="M94" s="1">
        <f t="shared" ref="M94:V94" si="20">M75/$B$75</f>
        <v>1.8133830341194561</v>
      </c>
      <c r="N94" s="1">
        <f t="shared" si="20"/>
        <v>0</v>
      </c>
      <c r="O94" s="1">
        <f t="shared" si="20"/>
        <v>10.116994090832151</v>
      </c>
      <c r="P94" s="1">
        <f t="shared" si="20"/>
        <v>23.028983358631162</v>
      </c>
      <c r="Q94" s="1">
        <f t="shared" si="20"/>
        <v>0.938387271646691</v>
      </c>
      <c r="R94" s="1">
        <f t="shared" si="20"/>
        <v>7.1987452075625784</v>
      </c>
      <c r="S94" s="1">
        <f t="shared" si="20"/>
        <v>14.069094110675403</v>
      </c>
      <c r="T94" s="1">
        <f t="shared" si="20"/>
        <v>14.444631207885951</v>
      </c>
      <c r="U94" s="1">
        <f t="shared" si="20"/>
        <v>14.777803491785967</v>
      </c>
      <c r="V94" s="1">
        <f t="shared" si="20"/>
        <v>11.607450342130068</v>
      </c>
    </row>
    <row r="96" spans="1:22" x14ac:dyDescent="0.25">
      <c r="H96" s="1"/>
      <c r="I96" s="1"/>
      <c r="J96" s="1"/>
      <c r="K96" s="1"/>
      <c r="L96" s="1"/>
    </row>
    <row r="97" spans="4:17" x14ac:dyDescent="0.25">
      <c r="H97" s="1"/>
      <c r="I97" s="1"/>
      <c r="J97" s="1"/>
      <c r="K97" s="1"/>
      <c r="L97" s="1"/>
    </row>
    <row r="98" spans="4:17" x14ac:dyDescent="0.25">
      <c r="D98" s="1"/>
      <c r="E98" s="1"/>
      <c r="G98" s="1"/>
      <c r="H98" s="1"/>
      <c r="I98" s="1"/>
      <c r="J98" s="1"/>
      <c r="K98" s="1"/>
      <c r="L98" s="1"/>
      <c r="M98" s="1"/>
      <c r="N98" s="1"/>
      <c r="O98" s="1"/>
      <c r="P98" s="1"/>
      <c r="Q98" s="1"/>
    </row>
    <row r="99" spans="4:17" x14ac:dyDescent="0.25">
      <c r="D99" s="1"/>
      <c r="E99" s="1"/>
      <c r="G99" s="1"/>
      <c r="H99" s="1"/>
      <c r="I99" s="1"/>
      <c r="J99" s="1"/>
      <c r="K99" s="1"/>
      <c r="L99" s="1"/>
      <c r="M99" s="1"/>
      <c r="N99" s="1"/>
      <c r="O99" s="1"/>
      <c r="P99" s="1"/>
      <c r="Q99" s="1"/>
    </row>
    <row r="100" spans="4:17" x14ac:dyDescent="0.25">
      <c r="E100" s="1"/>
      <c r="F100" s="1"/>
    </row>
    <row r="101" spans="4:17" x14ac:dyDescent="0.25">
      <c r="E101" s="1"/>
      <c r="F101" s="1"/>
    </row>
    <row r="102" spans="4:17" x14ac:dyDescent="0.25">
      <c r="E102" s="1"/>
      <c r="F102" s="1"/>
    </row>
    <row r="103" spans="4:17" x14ac:dyDescent="0.25">
      <c r="E103" s="1"/>
      <c r="F103" s="1"/>
    </row>
    <row r="104" spans="4:17" x14ac:dyDescent="0.25">
      <c r="E104" s="1"/>
      <c r="F104" s="1"/>
    </row>
    <row r="105" spans="4:17" x14ac:dyDescent="0.25">
      <c r="D105" s="1"/>
      <c r="E105" s="1"/>
    </row>
    <row r="106" spans="4:17" x14ac:dyDescent="0.25">
      <c r="D106" s="1"/>
      <c r="E106" s="1"/>
    </row>
    <row r="107" spans="4:17" x14ac:dyDescent="0.25">
      <c r="D107" s="1"/>
      <c r="E107" s="1"/>
    </row>
    <row r="108" spans="4:17" x14ac:dyDescent="0.25">
      <c r="D108" s="1"/>
      <c r="E108" s="1"/>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9" customFormat="1" ht="27" thickBot="1" x14ac:dyDescent="0.3">
      <c r="A1" s="236" t="s">
        <v>104</v>
      </c>
      <c r="B1" s="237"/>
      <c r="C1" s="237"/>
      <c r="D1" s="237"/>
      <c r="E1" s="237"/>
      <c r="F1" s="237"/>
      <c r="G1" s="237"/>
      <c r="H1" s="237"/>
      <c r="I1" s="237"/>
      <c r="J1" s="237"/>
      <c r="K1" s="237"/>
      <c r="L1" s="237"/>
      <c r="M1" s="237"/>
      <c r="N1" s="237"/>
      <c r="O1" s="238"/>
    </row>
    <row r="2" spans="1:15" s="49" customFormat="1" ht="27" thickBot="1" x14ac:dyDescent="0.3">
      <c r="A2" s="236" t="s">
        <v>105</v>
      </c>
      <c r="B2" s="237"/>
      <c r="C2" s="237"/>
      <c r="D2" s="237"/>
      <c r="E2" s="237"/>
      <c r="F2" s="237"/>
      <c r="G2" s="237"/>
      <c r="H2" s="237"/>
      <c r="I2" s="237"/>
      <c r="J2" s="237"/>
      <c r="K2" s="237"/>
      <c r="L2" s="237"/>
      <c r="M2" s="237"/>
      <c r="N2" s="237"/>
      <c r="O2" s="238"/>
    </row>
    <row r="3" spans="1:15" s="77" customFormat="1" ht="15.75" x14ac:dyDescent="0.25">
      <c r="H3" s="78"/>
      <c r="I3" s="78"/>
      <c r="J3" s="78"/>
      <c r="K3" s="78"/>
      <c r="L3" s="78"/>
      <c r="M3" s="78"/>
      <c r="N3" s="78"/>
    </row>
    <row r="4" spans="1:15" s="77" customFormat="1" ht="15.75" x14ac:dyDescent="0.25">
      <c r="O4"/>
    </row>
    <row r="5" spans="1:15" s="77" customFormat="1" ht="45.75" customHeight="1" thickBot="1" x14ac:dyDescent="0.3">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75" x14ac:dyDescent="0.25">
      <c r="A6" s="80" t="s">
        <v>28</v>
      </c>
      <c r="B6" s="100">
        <v>64</v>
      </c>
      <c r="C6" s="80"/>
      <c r="D6" s="80"/>
      <c r="E6" s="90"/>
      <c r="F6" s="91"/>
      <c r="G6" s="129">
        <f>IF(F6="NS","NC",ROUND(B6,2-(1+INT(LOG10(ABS(B6))))))</f>
        <v>64</v>
      </c>
      <c r="H6" s="121"/>
      <c r="I6" s="121"/>
      <c r="J6" s="122"/>
      <c r="K6" s="123"/>
      <c r="L6" s="125"/>
      <c r="M6" s="122"/>
      <c r="N6" s="92"/>
      <c r="O6"/>
    </row>
    <row r="7" spans="1:15" s="77" customFormat="1" ht="15.75" x14ac:dyDescent="0.25">
      <c r="A7" s="80" t="str">
        <f>'Page de garde'!A15</f>
        <v>DUS-10µg/L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DUS-10µg/L : 0%</v>
      </c>
      <c r="O7"/>
    </row>
    <row r="8" spans="1:15" s="77" customFormat="1" ht="15.75" x14ac:dyDescent="0.25">
      <c r="A8" s="80" t="str">
        <f>'Page de garde'!A16</f>
        <v>DUS-100µg/L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DUS-100µg/L : 0%</v>
      </c>
      <c r="O8"/>
    </row>
    <row r="9" spans="1:15" s="77" customFormat="1" ht="15.75" x14ac:dyDescent="0.25">
      <c r="A9" s="80" t="str">
        <f>'Page de garde'!A17</f>
        <v>DUS-250µg/L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DUS-250µg/L : 0%</v>
      </c>
      <c r="O9"/>
    </row>
    <row r="10" spans="1:15" s="77" customFormat="1" ht="15.75" x14ac:dyDescent="0.25">
      <c r="A10" s="80" t="str">
        <f>'Page de garde'!A18</f>
        <v>DUS-500µg/L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DUS-500µg/L : 0%</v>
      </c>
      <c r="O10"/>
    </row>
    <row r="11" spans="1:15" s="77" customFormat="1" ht="15.75" x14ac:dyDescent="0.25">
      <c r="A11" s="80" t="str">
        <f>'Page de garde'!A19</f>
        <v>DUS-1000µg/L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DUS-1000µg/L : 0%</v>
      </c>
      <c r="O11"/>
    </row>
    <row r="12" spans="1:15" s="77" customFormat="1" ht="15.75" x14ac:dyDescent="0.25">
      <c r="A12" s="80" t="str">
        <f>'Page de garde'!A20</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75" x14ac:dyDescent="0.25">
      <c r="A13" s="80" t="str">
        <f>'Page de garde'!A21</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75" x14ac:dyDescent="0.25">
      <c r="A14" s="80" t="str">
        <f>'Page de garde'!A22</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75" x14ac:dyDescent="0.25">
      <c r="A15" s="80" t="str">
        <f>'Page de garde'!A23</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75" x14ac:dyDescent="0.25">
      <c r="A16" s="80" t="str">
        <f>'Page de garde'!A24</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75" x14ac:dyDescent="0.25">
      <c r="A17" s="80" t="str">
        <f>'Page de garde'!A25</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75" x14ac:dyDescent="0.25">
      <c r="A18" s="80" t="str">
        <f>'Page de garde'!A26</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75" x14ac:dyDescent="0.25">
      <c r="A19" s="80" t="str">
        <f>'Page de garde'!A27</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75" x14ac:dyDescent="0.25">
      <c r="A20" s="80" t="str">
        <f>'Page de garde'!A28</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75" x14ac:dyDescent="0.25">
      <c r="A21" s="80" t="str">
        <f>'Page de garde'!A29</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75" x14ac:dyDescent="0.25">
      <c r="A22" s="80" t="str">
        <f>'Page de garde'!A30</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75" x14ac:dyDescent="0.25">
      <c r="A23" s="80" t="str">
        <f>'Page de garde'!A31</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75" x14ac:dyDescent="0.25">
      <c r="A24" s="80" t="str">
        <f>'Page de garde'!A32</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75" x14ac:dyDescent="0.25">
      <c r="A25" s="80" t="str">
        <f>'Page de garde'!A33</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75" x14ac:dyDescent="0.25">
      <c r="A26" s="80" t="str">
        <f>'Page de garde'!A34</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75" x14ac:dyDescent="0.25">
      <c r="A27"/>
      <c r="B27"/>
      <c r="C27"/>
      <c r="D27"/>
      <c r="E27"/>
      <c r="F27"/>
      <c r="G27"/>
      <c r="H27"/>
      <c r="I27"/>
      <c r="J27"/>
      <c r="K27"/>
      <c r="L27"/>
      <c r="M27"/>
      <c r="N27"/>
      <c r="O27" s="1"/>
    </row>
    <row r="28" spans="1:15" s="77" customFormat="1" ht="32.25" thickBot="1" x14ac:dyDescent="0.3">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75" x14ac:dyDescent="0.25">
      <c r="A29" s="84" t="s">
        <v>29</v>
      </c>
      <c r="B29" s="100"/>
      <c r="C29" s="80"/>
      <c r="D29" s="80"/>
      <c r="E29" s="82"/>
      <c r="F29" s="91"/>
      <c r="G29" s="134"/>
      <c r="H29" s="121"/>
      <c r="I29" s="121"/>
      <c r="J29" s="122"/>
      <c r="K29" s="123"/>
      <c r="L29" s="125"/>
      <c r="M29" s="122"/>
      <c r="N29" s="92"/>
      <c r="O29"/>
    </row>
    <row r="30" spans="1:15" s="77" customFormat="1" ht="15.75" x14ac:dyDescent="0.25">
      <c r="A30" s="84" t="s">
        <v>31</v>
      </c>
      <c r="B30" s="100"/>
      <c r="C30" s="80"/>
      <c r="D30" s="80"/>
      <c r="E30" s="82"/>
      <c r="F30" s="91"/>
      <c r="G30" s="133" t="e">
        <f>IF(F30="NS","NC",ROUND(B30-$B$29,2-(1+INT(LOG10(ABS(B30-$B$29))))))</f>
        <v>#NUM!</v>
      </c>
      <c r="H30" s="121"/>
      <c r="I30" s="134"/>
      <c r="J30" s="135"/>
      <c r="K30" s="136"/>
      <c r="L30" s="135"/>
      <c r="M30" s="135"/>
      <c r="N30" s="137"/>
      <c r="O30"/>
    </row>
    <row r="31" spans="1:15" s="77" customFormat="1" ht="15.75" x14ac:dyDescent="0.2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75" x14ac:dyDescent="0.25">
      <c r="A32" s="128" t="str">
        <f>'Page de garde'!A39</f>
        <v>DUS-10µg/L + Testostérone</v>
      </c>
      <c r="B32" s="100"/>
      <c r="C32" s="80"/>
      <c r="D32" s="80"/>
      <c r="E32" s="82"/>
      <c r="F32" s="94" t="str">
        <f>HLOOKUP(A32,'pooled normalised values'!$B$74:$V$83,10,FALSE)</f>
        <v>ns</v>
      </c>
      <c r="G32" s="133" t="str">
        <f t="shared" si="6"/>
        <v>NC</v>
      </c>
      <c r="H32" s="124" t="str">
        <f>IF(VLOOKUP(A32,liste_groupe[],4,FALSE)="%",VLOOKUP(A32,liste_groupe[],3,FALSE)/100,IF(ISBLANK(VLOOKUP(A32,liste_groupe[],4,FALSE)),"Non","Non"))</f>
        <v>Non</v>
      </c>
      <c r="I32" s="133" t="str">
        <f>IF(F32="NS","NC",IF(H32="Non",G32,G32*(1/H32)))</f>
        <v>NC</v>
      </c>
      <c r="J32" s="138" t="e">
        <f>IF(G32&lt;0,$G$31,$G$30)</f>
        <v>#NUM!</v>
      </c>
      <c r="K32" s="139">
        <f>IF(F32="NS",0,IF(I32&lt;0,-ROUND(I32/J32*100,0),ROUND(I32/J32*100,0)))</f>
        <v>0</v>
      </c>
      <c r="L32" s="140">
        <v>1</v>
      </c>
      <c r="M32" s="132">
        <f>IF(I32&lt;0,IF(K32&lt;-100,-125,K32),IF(K32&gt;100,125,K32))</f>
        <v>0</v>
      </c>
      <c r="N32" s="141" t="str">
        <f>IF(H32="Non",CONCATENATE(VLOOKUP(A32,liste_groupe[],5,FALSE),"-",VLOOKUP(A32,liste_groupe[],3,FALSE),VLOOKUP(A32,liste_groupe[],4,FALSE)," : ",ROUND(K32,0),"%"),CONCATENATE(VLOOKUP(A32,liste_groupe[],5,FALSE)," : ",ROUND(K32,0),"%"))</f>
        <v>DUS-10µg/L : 0%</v>
      </c>
    </row>
    <row r="33" spans="1:14" s="77" customFormat="1" ht="15.75" x14ac:dyDescent="0.25">
      <c r="A33" s="128" t="str">
        <f>'Page de garde'!A40</f>
        <v>DUS-100µg/L + Testostérone</v>
      </c>
      <c r="B33" s="99"/>
      <c r="C33" s="87"/>
      <c r="D33" s="87"/>
      <c r="E33" s="82"/>
      <c r="F33" s="94" t="str">
        <f>HLOOKUP(A33,'pooled normalised values'!$B$74:$V$83,10,FALSE)</f>
        <v>ns</v>
      </c>
      <c r="G33" s="133" t="str">
        <f>IF(F33="NS","NC",ROUND(B33-$B$29,2-(1+INT(LOG10(ABS(B33-$B$29))))))</f>
        <v>NC</v>
      </c>
      <c r="H33" s="124" t="str">
        <f>IF(VLOOKUP(A33,liste_groupe[],4,FALSE)="%",VLOOKUP(A33,liste_groupe[],3,FALSE)/100,IF(ISBLANK(VLOOKUP(A33,liste_groupe[],4,FALSE)),"Non","Non"))</f>
        <v>Non</v>
      </c>
      <c r="I33" s="133" t="str">
        <f t="shared" ref="I33:I51" si="7">IF(F33="NS","NC",IF(H33="Non",G33,G33*(1/H33)))</f>
        <v>NC</v>
      </c>
      <c r="J33" s="138" t="e">
        <f t="shared" ref="J33:J51" si="8">IF(G33&lt;0,$G$31,$G$30)</f>
        <v>#NUM!</v>
      </c>
      <c r="K33" s="139">
        <f t="shared" ref="K33:K51" si="9">IF(F33="NS",0,IF(I33&lt;0,-ROUND(I33/J33*100,0),ROUND(I33/J33*100,0)))</f>
        <v>0</v>
      </c>
      <c r="L33" s="140"/>
      <c r="M33" s="132">
        <f t="shared" ref="M33:M51" si="10">IF(I33&lt;0,IF(K33&lt;-100,-125,K33),IF(K33&gt;100,125,K33))</f>
        <v>0</v>
      </c>
      <c r="N33" s="141" t="str">
        <f>IF(H33="Non",CONCATENATE(VLOOKUP(A33,liste_groupe[],5,FALSE),"-",VLOOKUP(A33,liste_groupe[],3,FALSE),VLOOKUP(A33,liste_groupe[],4,FALSE)," : ",ROUND(K33,0),"%"),CONCATENATE(VLOOKUP(A33,liste_groupe[],5,FALSE)," : ",ROUND(K33,0),"%"))</f>
        <v>DUS-100µg/L : 0%</v>
      </c>
    </row>
    <row r="34" spans="1:14" s="77" customFormat="1" ht="15.75" x14ac:dyDescent="0.25">
      <c r="A34" s="128" t="str">
        <f>'Page de garde'!A41</f>
        <v>DUS-250µg/L + Testostérone</v>
      </c>
      <c r="B34" s="100"/>
      <c r="C34" s="80"/>
      <c r="D34" s="80"/>
      <c r="E34" s="82"/>
      <c r="F34" s="94" t="str">
        <f>HLOOKUP(A34,'pooled normalised values'!$B$74:$V$83,10,FALSE)</f>
        <v>ns</v>
      </c>
      <c r="G34" s="133" t="str">
        <f t="shared" si="6"/>
        <v>NC</v>
      </c>
      <c r="H34" s="124" t="str">
        <f>IF(VLOOKUP(A34,liste_groupe[],4,FALSE)="%",VLOOKUP(A34,liste_groupe[],3,FALSE)/100,IF(ISBLANK(VLOOKUP(A34,liste_groupe[],4,FALSE)),"Non","Non"))</f>
        <v>Non</v>
      </c>
      <c r="I34" s="133" t="str">
        <f t="shared" si="7"/>
        <v>NC</v>
      </c>
      <c r="J34" s="138" t="e">
        <f t="shared" si="8"/>
        <v>#NUM!</v>
      </c>
      <c r="K34" s="139">
        <f t="shared" si="9"/>
        <v>0</v>
      </c>
      <c r="L34" s="140"/>
      <c r="M34" s="132">
        <f t="shared" si="10"/>
        <v>0</v>
      </c>
      <c r="N34" s="141" t="str">
        <f>IF(H34="Non",CONCATENATE(VLOOKUP(A34,liste_groupe[],5,FALSE),"-",VLOOKUP(A34,liste_groupe[],3,FALSE),VLOOKUP(A34,liste_groupe[],4,FALSE)," : ",ROUND(K34,0),"%"),CONCATENATE(VLOOKUP(A34,liste_groupe[],5,FALSE)," : ",ROUND(K34,0),"%"))</f>
        <v>DUS-250µg/L : 0%</v>
      </c>
    </row>
    <row r="35" spans="1:14" s="77" customFormat="1" ht="15.75" x14ac:dyDescent="0.25">
      <c r="A35" s="128" t="str">
        <f>'Page de garde'!A42</f>
        <v>DUS-500µg/L + Testostérone</v>
      </c>
      <c r="B35" s="99"/>
      <c r="C35" s="87"/>
      <c r="D35" s="87"/>
      <c r="E35" s="82"/>
      <c r="F35" s="94" t="str">
        <f>HLOOKUP(A35,'pooled normalised values'!$B$74:$V$83,10,FALSE)</f>
        <v>ns</v>
      </c>
      <c r="G35" s="133" t="str">
        <f t="shared" si="6"/>
        <v>NC</v>
      </c>
      <c r="H35" s="124" t="str">
        <f>IF(VLOOKUP(A35,liste_groupe[],4,FALSE)="%",VLOOKUP(A35,liste_groupe[],3,FALSE)/100,IF(ISBLANK(VLOOKUP(A35,liste_groupe[],4,FALSE)),"Non","Non"))</f>
        <v>Non</v>
      </c>
      <c r="I35" s="133" t="str">
        <f t="shared" si="7"/>
        <v>NC</v>
      </c>
      <c r="J35" s="138" t="e">
        <f t="shared" si="8"/>
        <v>#NUM!</v>
      </c>
      <c r="K35" s="139">
        <f t="shared" si="9"/>
        <v>0</v>
      </c>
      <c r="L35" s="140"/>
      <c r="M35" s="132">
        <f t="shared" si="10"/>
        <v>0</v>
      </c>
      <c r="N35" s="141" t="str">
        <f>IF(H35="Non",CONCATENATE(VLOOKUP(A35,liste_groupe[],5,FALSE),"-",VLOOKUP(A35,liste_groupe[],3,FALSE),VLOOKUP(A35,liste_groupe[],4,FALSE)," : ",ROUND(K35,0),"%"),CONCATENATE(VLOOKUP(A35,liste_groupe[],5,FALSE)," : ",ROUND(K35,0),"%"))</f>
        <v>DUS-500µg/L : 0%</v>
      </c>
    </row>
    <row r="36" spans="1:14" s="77" customFormat="1" ht="15.75" x14ac:dyDescent="0.25">
      <c r="A36" s="128" t="str">
        <f>'Page de garde'!A43</f>
        <v>DUS-1000µg/L + Testostérone</v>
      </c>
      <c r="B36" s="99"/>
      <c r="C36" s="87"/>
      <c r="D36" s="87"/>
      <c r="E36" s="82"/>
      <c r="F36" s="94" t="str">
        <f>HLOOKUP(A36,'pooled normalised values'!$B$74:$V$83,10,FALSE)</f>
        <v>ns</v>
      </c>
      <c r="G36" s="133" t="str">
        <f t="shared" si="6"/>
        <v>NC</v>
      </c>
      <c r="H36" s="124" t="str">
        <f>IF(VLOOKUP(A36,liste_groupe[],4,FALSE)="%",VLOOKUP(A36,liste_groupe[],3,FALSE)/100,IF(ISBLANK(VLOOKUP(A36,liste_groupe[],4,FALSE)),"Non","Non"))</f>
        <v>Non</v>
      </c>
      <c r="I36" s="133" t="str">
        <f t="shared" si="7"/>
        <v>NC</v>
      </c>
      <c r="J36" s="138" t="e">
        <f t="shared" si="8"/>
        <v>#NUM!</v>
      </c>
      <c r="K36" s="139">
        <f t="shared" si="9"/>
        <v>0</v>
      </c>
      <c r="L36" s="140"/>
      <c r="M36" s="132">
        <f t="shared" si="10"/>
        <v>0</v>
      </c>
      <c r="N36" s="141" t="str">
        <f>IF(H36="Non",CONCATENATE(VLOOKUP(A36,liste_groupe[],5,FALSE),"-",VLOOKUP(A36,liste_groupe[],3,FALSE),VLOOKUP(A36,liste_groupe[],4,FALSE)," : ",ROUND(K36,0),"%"),CONCATENATE(VLOOKUP(A36,liste_groupe[],5,FALSE)," : ",ROUND(K36,0),"%"))</f>
        <v>DUS-1000µg/L : 0%</v>
      </c>
    </row>
    <row r="37" spans="1:14" s="77" customFormat="1" ht="15.75" x14ac:dyDescent="0.25">
      <c r="A37" s="128" t="str">
        <f>'Page de garde'!A44</f>
        <v>0-00 + Testostérone</v>
      </c>
      <c r="B37" s="99"/>
      <c r="C37" s="87"/>
      <c r="D37" s="87"/>
      <c r="E37" s="82"/>
      <c r="F37" s="94" t="e">
        <f>HLOOKUP(A37,'pooled normalised values'!$B$74:$V$83,10,FALSE)</f>
        <v>#N/A</v>
      </c>
      <c r="G37" s="133" t="e">
        <f t="shared" si="6"/>
        <v>#N/A</v>
      </c>
      <c r="H37" s="124" t="str">
        <f>IF(VLOOKUP(A37,liste_groupe[],4,FALSE)="%",VLOOKUP(A37,liste_groupe[],3,FALSE)/100,IF(ISBLANK(VLOOKUP(A37,liste_groupe[],4,FALSE)),"Non","Non"))</f>
        <v>Non</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75" x14ac:dyDescent="0.25">
      <c r="A38" s="128" t="str">
        <f>'Page de garde'!A45</f>
        <v>0-00 + Testostérone</v>
      </c>
      <c r="B38" s="99"/>
      <c r="C38" s="87"/>
      <c r="D38" s="87"/>
      <c r="E38" s="82"/>
      <c r="F38" s="94" t="e">
        <f>HLOOKUP(A38,'pooled normalised values'!$B$74:$V$83,10,FALSE)</f>
        <v>#N/A</v>
      </c>
      <c r="G38" s="133" t="e">
        <f t="shared" si="6"/>
        <v>#N/A</v>
      </c>
      <c r="H38" s="124" t="str">
        <f>IF(VLOOKUP(A38,liste_groupe[],4,FALSE)="%",VLOOKUP(A38,liste_groupe[],3,FALSE)/100,IF(ISBLANK(VLOOKUP(A38,liste_groupe[],4,FALSE)),"Non","Non"))</f>
        <v>Non</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75" x14ac:dyDescent="0.25">
      <c r="A39" s="128" t="str">
        <f>'Page de garde'!A46</f>
        <v>0-00 + Testostérone</v>
      </c>
      <c r="B39" s="99"/>
      <c r="C39" s="87"/>
      <c r="D39" s="87"/>
      <c r="E39" s="82"/>
      <c r="F39" s="94" t="e">
        <f>HLOOKUP(A39,'pooled normalised values'!$B$74:$V$83,10,FALSE)</f>
        <v>#N/A</v>
      </c>
      <c r="G39" s="133" t="e">
        <f t="shared" ref="G39:G50" si="11">IF(F39="NS","NC",ROUND(B39-$B$29,2-(1+INT(LOG10(ABS(B39-$B$29))))))</f>
        <v>#N/A</v>
      </c>
      <c r="H39" s="124" t="str">
        <f>IF(VLOOKUP(A39,liste_groupe[],4,FALSE)="%",VLOOKUP(A39,liste_groupe[],3,FALSE)/100,IF(ISBLANK(VLOOKUP(A39,liste_groupe[],4,FALSE)),"Non","Non"))</f>
        <v>Non</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75" x14ac:dyDescent="0.25">
      <c r="A40" s="128" t="str">
        <f>'Page de garde'!A47</f>
        <v>0-00 + Testostérone</v>
      </c>
      <c r="B40" s="99"/>
      <c r="C40" s="87"/>
      <c r="D40" s="87"/>
      <c r="E40" s="82"/>
      <c r="F40" s="94" t="e">
        <f>HLOOKUP(A40,'pooled normalised values'!$B$74:$V$83,10,FALSE)</f>
        <v>#N/A</v>
      </c>
      <c r="G40" s="133" t="e">
        <f t="shared" si="11"/>
        <v>#N/A</v>
      </c>
      <c r="H40" s="124" t="str">
        <f>IF(VLOOKUP(A40,liste_groupe[],4,FALSE)="%",VLOOKUP(A40,liste_groupe[],3,FALSE)/100,IF(ISBLANK(VLOOKUP(A40,liste_groupe[],4,FALSE)),"Non","Non"))</f>
        <v>Non</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75" x14ac:dyDescent="0.25">
      <c r="A41" s="128" t="str">
        <f>'Page de garde'!A48</f>
        <v>0-00 + Testostérone</v>
      </c>
      <c r="B41" s="99"/>
      <c r="C41" s="87"/>
      <c r="D41" s="87"/>
      <c r="E41" s="82"/>
      <c r="F41" s="94" t="e">
        <f>HLOOKUP(A41,'pooled normalised values'!$B$74:$V$83,10,FALSE)</f>
        <v>#N/A</v>
      </c>
      <c r="G41" s="133" t="e">
        <f t="shared" si="11"/>
        <v>#N/A</v>
      </c>
      <c r="H41" s="124" t="str">
        <f>IF(VLOOKUP(A41,liste_groupe[],4,FALSE)="%",VLOOKUP(A41,liste_groupe[],3,FALSE)/100,IF(ISBLANK(VLOOKUP(A41,liste_groupe[],4,FALSE)),"Non","Non"))</f>
        <v>Non</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75" x14ac:dyDescent="0.25">
      <c r="A42" s="128" t="str">
        <f>'Page de garde'!A49</f>
        <v>0-00 + Testostérone</v>
      </c>
      <c r="B42" s="99"/>
      <c r="C42" s="87"/>
      <c r="D42" s="87"/>
      <c r="E42" s="82"/>
      <c r="F42" s="94" t="e">
        <f>HLOOKUP(A42,'pooled normalised values'!$B$74:$V$83,10,FALSE)</f>
        <v>#N/A</v>
      </c>
      <c r="G42" s="133" t="e">
        <f t="shared" si="11"/>
        <v>#N/A</v>
      </c>
      <c r="H42" s="124" t="str">
        <f>IF(VLOOKUP(A42,liste_groupe[],4,FALSE)="%",VLOOKUP(A42,liste_groupe[],3,FALSE)/100,IF(ISBLANK(VLOOKUP(A42,liste_groupe[],4,FALSE)),"Non","Non"))</f>
        <v>Non</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75" x14ac:dyDescent="0.25">
      <c r="A43" s="128" t="str">
        <f>'Page de garde'!A50</f>
        <v>0-00 + Testostérone</v>
      </c>
      <c r="B43" s="99"/>
      <c r="C43" s="87"/>
      <c r="D43" s="87"/>
      <c r="E43" s="82"/>
      <c r="F43" s="94" t="e">
        <f>HLOOKUP(A43,'pooled normalised values'!$B$74:$V$83,10,FALSE)</f>
        <v>#N/A</v>
      </c>
      <c r="G43" s="133" t="e">
        <f t="shared" si="11"/>
        <v>#N/A</v>
      </c>
      <c r="H43" s="124" t="str">
        <f>IF(VLOOKUP(A43,liste_groupe[],4,FALSE)="%",VLOOKUP(A43,liste_groupe[],3,FALSE)/100,IF(ISBLANK(VLOOKUP(A43,liste_groupe[],4,FALSE)),"Non","Non"))</f>
        <v>Non</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75" x14ac:dyDescent="0.25">
      <c r="A44" s="128" t="str">
        <f>'Page de garde'!A51</f>
        <v>0-00 + Testostérone</v>
      </c>
      <c r="B44" s="99"/>
      <c r="C44" s="87"/>
      <c r="D44" s="87"/>
      <c r="E44" s="82"/>
      <c r="F44" s="94" t="e">
        <f>HLOOKUP(A44,'pooled normalised values'!$B$74:$V$83,10,FALSE)</f>
        <v>#N/A</v>
      </c>
      <c r="G44" s="133" t="e">
        <f t="shared" si="11"/>
        <v>#N/A</v>
      </c>
      <c r="H44" s="124" t="str">
        <f>IF(VLOOKUP(A44,liste_groupe[],4,FALSE)="%",VLOOKUP(A44,liste_groupe[],3,FALSE)/100,IF(ISBLANK(VLOOKUP(A44,liste_groupe[],4,FALSE)),"Non","Non"))</f>
        <v>Non</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75" x14ac:dyDescent="0.25">
      <c r="A45" s="128" t="str">
        <f>'Page de garde'!A52</f>
        <v>0-00 + Testostérone</v>
      </c>
      <c r="B45" s="99"/>
      <c r="C45" s="87"/>
      <c r="D45" s="87"/>
      <c r="E45" s="82"/>
      <c r="F45" s="94" t="e">
        <f>HLOOKUP(A45,'pooled normalised values'!$B$74:$V$83,10,FALSE)</f>
        <v>#N/A</v>
      </c>
      <c r="G45" s="133" t="e">
        <f t="shared" si="11"/>
        <v>#N/A</v>
      </c>
      <c r="H45" s="124" t="str">
        <f>IF(VLOOKUP(A45,liste_groupe[],4,FALSE)="%",VLOOKUP(A45,liste_groupe[],3,FALSE)/100,IF(ISBLANK(VLOOKUP(A45,liste_groupe[],4,FALSE)),"Non","Non"))</f>
        <v>Non</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75" x14ac:dyDescent="0.25">
      <c r="A46" s="128" t="str">
        <f>'Page de garde'!A53</f>
        <v>0-00 + Testostérone</v>
      </c>
      <c r="B46" s="99"/>
      <c r="C46" s="87"/>
      <c r="D46" s="87"/>
      <c r="E46" s="82"/>
      <c r="F46" s="94" t="e">
        <f>HLOOKUP(A46,'pooled normalised values'!$B$74:$V$83,10,FALSE)</f>
        <v>#N/A</v>
      </c>
      <c r="G46" s="133" t="e">
        <f t="shared" si="11"/>
        <v>#N/A</v>
      </c>
      <c r="H46" s="124" t="str">
        <f>IF(VLOOKUP(A46,liste_groupe[],4,FALSE)="%",VLOOKUP(A46,liste_groupe[],3,FALSE)/100,IF(ISBLANK(VLOOKUP(A46,liste_groupe[],4,FALSE)),"Non","Non"))</f>
        <v>Non</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75" x14ac:dyDescent="0.25">
      <c r="A47" s="128" t="str">
        <f>'Page de garde'!A54</f>
        <v>0-00 + Testostérone</v>
      </c>
      <c r="B47" s="99"/>
      <c r="C47" s="87"/>
      <c r="D47" s="87"/>
      <c r="E47" s="82"/>
      <c r="F47" s="94" t="e">
        <f>HLOOKUP(A47,'pooled normalised values'!$B$74:$V$83,10,FALSE)</f>
        <v>#N/A</v>
      </c>
      <c r="G47" s="133" t="e">
        <f t="shared" si="11"/>
        <v>#N/A</v>
      </c>
      <c r="H47" s="124" t="str">
        <f>IF(VLOOKUP(A47,liste_groupe[],4,FALSE)="%",VLOOKUP(A47,liste_groupe[],3,FALSE)/100,IF(ISBLANK(VLOOKUP(A47,liste_groupe[],4,FALSE)),"Non","Non"))</f>
        <v>Non</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75" x14ac:dyDescent="0.25">
      <c r="A48" s="128" t="str">
        <f>'Page de garde'!A55</f>
        <v>0-00 + Testostérone</v>
      </c>
      <c r="B48" s="99"/>
      <c r="C48" s="87"/>
      <c r="D48" s="87"/>
      <c r="E48" s="82"/>
      <c r="F48" s="94" t="e">
        <f>HLOOKUP(A48,'pooled normalised values'!$B$74:$V$83,10,FALSE)</f>
        <v>#N/A</v>
      </c>
      <c r="G48" s="133" t="e">
        <f t="shared" si="11"/>
        <v>#N/A</v>
      </c>
      <c r="H48" s="124" t="str">
        <f>IF(VLOOKUP(A48,liste_groupe[],4,FALSE)="%",VLOOKUP(A48,liste_groupe[],3,FALSE)/100,IF(ISBLANK(VLOOKUP(A48,liste_groupe[],4,FALSE)),"Non","Non"))</f>
        <v>Non</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75" x14ac:dyDescent="0.25">
      <c r="A49" s="128" t="str">
        <f>'Page de garde'!A56</f>
        <v>0-00 + Testostérone</v>
      </c>
      <c r="B49" s="99"/>
      <c r="C49" s="87"/>
      <c r="D49" s="87"/>
      <c r="E49" s="82"/>
      <c r="F49" s="94" t="e">
        <f>HLOOKUP(A49,'pooled normalised values'!$B$74:$V$83,10,FALSE)</f>
        <v>#N/A</v>
      </c>
      <c r="G49" s="133" t="e">
        <f t="shared" si="11"/>
        <v>#N/A</v>
      </c>
      <c r="H49" s="124" t="str">
        <f>IF(VLOOKUP(A49,liste_groupe[],4,FALSE)="%",VLOOKUP(A49,liste_groupe[],3,FALSE)/100,IF(ISBLANK(VLOOKUP(A49,liste_groupe[],4,FALSE)),"Non","Non"))</f>
        <v>Non</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75" x14ac:dyDescent="0.25">
      <c r="A50" s="128" t="str">
        <f>'Page de garde'!A57</f>
        <v>0-00 + Testostérone</v>
      </c>
      <c r="B50" s="99"/>
      <c r="C50" s="87"/>
      <c r="D50" s="87"/>
      <c r="E50" s="82"/>
      <c r="F50" s="94" t="e">
        <f>HLOOKUP(A50,'pooled normalised values'!$B$74:$V$83,10,FALSE)</f>
        <v>#N/A</v>
      </c>
      <c r="G50" s="133" t="e">
        <f t="shared" si="11"/>
        <v>#N/A</v>
      </c>
      <c r="H50" s="124" t="str">
        <f>IF(VLOOKUP(A50,liste_groupe[],4,FALSE)="%",VLOOKUP(A50,liste_groupe[],3,FALSE)/100,IF(ISBLANK(VLOOKUP(A50,liste_groupe[],4,FALSE)),"Non","Non"))</f>
        <v>Non</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75" x14ac:dyDescent="0.25">
      <c r="A51" s="128" t="str">
        <f>'Page de garde'!A58</f>
        <v>0-00 + Testostérone</v>
      </c>
      <c r="B51" s="99"/>
      <c r="C51" s="87"/>
      <c r="D51" s="87"/>
      <c r="E51" s="82"/>
      <c r="F51" s="94" t="e">
        <f>HLOOKUP(A51,'pooled normalised values'!$B$74:$V$83,10,FALSE)</f>
        <v>#N/A</v>
      </c>
      <c r="G51" s="133" t="e">
        <f t="shared" si="6"/>
        <v>#N/A</v>
      </c>
      <c r="H51" s="124" t="str">
        <f>IF(VLOOKUP(A51,liste_groupe[],4,FALSE)="%",VLOOKUP(A51,liste_groupe[],3,FALSE)/100,IF(ISBLANK(VLOOKUP(A51,liste_groupe[],4,FALSE)),"Non","Non"))</f>
        <v>Non</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5" thickBot="1" x14ac:dyDescent="0.3">
      <c r="E52" s="78"/>
      <c r="F52" s="78"/>
      <c r="G52" s="78"/>
      <c r="H52" s="78"/>
      <c r="I52" s="78"/>
      <c r="J52" s="78"/>
      <c r="K52" s="78"/>
      <c r="L52" s="78"/>
      <c r="M52" s="78"/>
      <c r="N52" s="78"/>
    </row>
    <row r="53" spans="1:15" s="49" customFormat="1" ht="27" thickBot="1" x14ac:dyDescent="0.3">
      <c r="A53" s="236" t="s">
        <v>60</v>
      </c>
      <c r="B53" s="237"/>
      <c r="C53" s="237"/>
      <c r="D53" s="237"/>
      <c r="E53" s="237"/>
      <c r="F53" s="237"/>
      <c r="G53" s="237"/>
      <c r="H53" s="237"/>
      <c r="I53" s="237"/>
      <c r="J53" s="237"/>
      <c r="K53" s="237"/>
      <c r="L53" s="237"/>
      <c r="M53" s="237"/>
      <c r="N53" s="237"/>
      <c r="O53" s="238"/>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2578125" defaultRowHeight="15" x14ac:dyDescent="0.25"/>
  <cols>
    <col min="1" max="1" width="22.85546875" style="182" customWidth="1"/>
    <col min="2" max="2" width="46.28515625" style="182" customWidth="1"/>
    <col min="3" max="3" width="15.28515625" style="182" customWidth="1"/>
    <col min="4" max="4" width="24.7109375" style="182" customWidth="1"/>
    <col min="5" max="5" width="24.42578125" style="182" customWidth="1"/>
    <col min="6" max="6" width="23.140625" style="182" customWidth="1"/>
    <col min="7" max="7" width="21.28515625" style="182" customWidth="1"/>
    <col min="8" max="16384" width="11.42578125" style="182"/>
  </cols>
  <sheetData>
    <row r="1" spans="1:7" ht="30.75" thickBot="1" x14ac:dyDescent="0.3">
      <c r="A1" s="187" t="s">
        <v>132</v>
      </c>
      <c r="B1" s="188" t="s">
        <v>133</v>
      </c>
      <c r="C1" s="188" t="s">
        <v>139</v>
      </c>
      <c r="D1" s="188" t="s">
        <v>138</v>
      </c>
      <c r="E1" s="188" t="s">
        <v>140</v>
      </c>
      <c r="F1" s="189" t="s">
        <v>141</v>
      </c>
      <c r="G1" s="190" t="s">
        <v>142</v>
      </c>
    </row>
    <row r="2" spans="1:7" ht="60" x14ac:dyDescent="0.25">
      <c r="A2" s="183" t="s">
        <v>134</v>
      </c>
      <c r="B2" s="184" t="s">
        <v>135</v>
      </c>
      <c r="C2" s="184" t="s">
        <v>136</v>
      </c>
      <c r="D2" s="184" t="s">
        <v>143</v>
      </c>
      <c r="E2" s="184" t="s">
        <v>137</v>
      </c>
      <c r="F2" s="185" t="s">
        <v>136</v>
      </c>
      <c r="G2" s="186" t="s">
        <v>136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42578125"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4">
        <f>'pooled normalised values'!B75</f>
        <v>9.8843588423777315E-2</v>
      </c>
      <c r="D2" s="17" t="s">
        <v>9</v>
      </c>
      <c r="E2" s="18"/>
      <c r="F2" s="19" t="str">
        <f>'pooled normalised values'!J74</f>
        <v>DUS-100µg/L</v>
      </c>
      <c r="G2" s="19" t="str">
        <f>'pooled normalised values'!K74</f>
        <v>DUS-250µg/L</v>
      </c>
      <c r="H2" s="19" t="str">
        <f>'pooled normalised values'!L74</f>
        <v>DUS-500µg/L</v>
      </c>
      <c r="I2" s="19" t="str">
        <f>'pooled normalised values'!M74</f>
        <v>DUS-1000µg/L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DUS-10µg/L + Testostérone</v>
      </c>
      <c r="W2" s="19" t="str">
        <f>'pooled normalised values'!S74</f>
        <v>DUS-100µg/L + Testostérone</v>
      </c>
      <c r="X2" s="19" t="str">
        <f>'pooled normalised values'!T74</f>
        <v>DUS-250µg/L + Testostérone</v>
      </c>
      <c r="Y2" s="19" t="str">
        <f>'pooled normalised values'!U74</f>
        <v>DUS-500µg/L + Testostérone</v>
      </c>
      <c r="Z2" s="19" t="str">
        <f>'pooled normalised values'!V74</f>
        <v>DUS-1000µg/L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4">
        <f>'summary results'!E6</f>
        <v>0</v>
      </c>
      <c r="D3" s="21" t="s">
        <v>10</v>
      </c>
      <c r="E3" s="22"/>
      <c r="F3" s="19">
        <f>HLOOKUP(F2,'pooled normalised values'!B74:V83,2,FALSE)</f>
        <v>0.10504766172373216</v>
      </c>
      <c r="G3" s="19">
        <f>HLOOKUP(G2,'pooled normalised values'!C74:W83,2,FALSE)</f>
        <v>0.10408272383023984</v>
      </c>
      <c r="H3" s="19">
        <f>HLOOKUP(H2,'pooled normalised values'!C74:X83,2,FALSE)</f>
        <v>8.8412434492717837E-2</v>
      </c>
      <c r="I3" s="19">
        <f>HLOOKUP(I2,'pooled normalised values'!D74:Y83,2,FALSE)</f>
        <v>0.17924128627916405</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0.71154980846395488</v>
      </c>
      <c r="W3" s="19">
        <f>HLOOKUP(W2,'pooled normalised values'!N74:AM83,2,FALSE)</f>
        <v>1.3906397477709889</v>
      </c>
      <c r="X3" s="19">
        <f>HLOOKUP(X2,'pooled normalised values'!N74:AN83,2,FALSE)</f>
        <v>1.4277591820455284</v>
      </c>
      <c r="Y3" s="19">
        <f>HLOOKUP(Y2,'pooled normalised values'!N74:AO83,2,FALSE)</f>
        <v>1.4606911261495514</v>
      </c>
      <c r="Z3" s="19">
        <f>HLOOKUP(Z2,'pooled normalised values'!N74:AP83,2,FALSE)</f>
        <v>1.1473220442669376</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4">
        <f>'pooled normalised values'!O75</f>
        <v>1.0000000000000002</v>
      </c>
      <c r="D4" s="21" t="s">
        <v>2</v>
      </c>
      <c r="E4" s="22"/>
      <c r="F4" s="19">
        <f>HLOOKUP(F2,'pooled normalised values'!B74:V83,3,FALSE)</f>
        <v>1.4094596154947124E-2</v>
      </c>
      <c r="G4" s="19">
        <f>HLOOKUP(G2,'pooled normalised values'!C74:W83,3,FALSE)</f>
        <v>1.777452775327441E-2</v>
      </c>
      <c r="H4" s="19">
        <f>HLOOKUP(H2,'pooled normalised values'!C74:X83,3,FALSE)</f>
        <v>1.4647458419250062E-2</v>
      </c>
      <c r="I4" s="19">
        <f>HLOOKUP(I2,'pooled normalised values'!D74:Y83,3,FALSE)</f>
        <v>9.453270019469226E-2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0.11947244121812256</v>
      </c>
      <c r="W4" s="19">
        <f>HLOOKUP(W2,'pooled normalised values'!N74:AM83,3,FALSE)</f>
        <v>0.17515109829743852</v>
      </c>
      <c r="X4" s="19">
        <f>HLOOKUP(X2,'pooled normalised values'!N74:AN83,3,FALSE)</f>
        <v>0.15106497868832655</v>
      </c>
      <c r="Y4" s="19">
        <f>HLOOKUP(Y2,'pooled normalised values'!N74:AO83,3,FALSE)</f>
        <v>0.2013100549296355</v>
      </c>
      <c r="Z4" s="19">
        <f>HLOOKUP(Z2,'pooled normalised values'!N74:AP83,3,FALSE)</f>
        <v>0.14939542099900052</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4">
        <f>'pooled normalised values'!P75</f>
        <v>2.2762673529185555</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4">
        <f>'pooled normalised values'!Q75</f>
        <v>9.2753565260756843E-2</v>
      </c>
      <c r="D6" s="21" t="s">
        <v>12</v>
      </c>
      <c r="E6" s="24">
        <f>$B$2</f>
        <v>9.8843588423777315E-2</v>
      </c>
      <c r="F6" s="24">
        <f>$B$2</f>
        <v>9.8843588423777315E-2</v>
      </c>
      <c r="G6" s="24">
        <f t="shared" ref="G6:R6" si="0">$B$2</f>
        <v>9.8843588423777315E-2</v>
      </c>
      <c r="H6" s="24">
        <f t="shared" si="0"/>
        <v>9.8843588423777315E-2</v>
      </c>
      <c r="I6" s="24">
        <f t="shared" si="0"/>
        <v>9.8843588423777315E-2</v>
      </c>
      <c r="J6" s="24">
        <f t="shared" si="0"/>
        <v>9.8843588423777315E-2</v>
      </c>
      <c r="K6" s="24">
        <f t="shared" si="0"/>
        <v>9.8843588423777315E-2</v>
      </c>
      <c r="L6" s="24">
        <f t="shared" si="0"/>
        <v>9.8843588423777315E-2</v>
      </c>
      <c r="M6" s="24">
        <f t="shared" si="0"/>
        <v>9.8843588423777315E-2</v>
      </c>
      <c r="N6" s="24">
        <f t="shared" si="0"/>
        <v>9.8843588423777315E-2</v>
      </c>
      <c r="O6" s="24">
        <f t="shared" si="0"/>
        <v>9.8843588423777315E-2</v>
      </c>
      <c r="P6" s="24">
        <f t="shared" si="0"/>
        <v>9.8843588423777315E-2</v>
      </c>
      <c r="Q6" s="24">
        <f t="shared" si="0"/>
        <v>9.8843588423777315E-2</v>
      </c>
      <c r="R6" s="24">
        <f t="shared" si="0"/>
        <v>9.8843588423777315E-2</v>
      </c>
      <c r="S6" s="24">
        <f>$B$2</f>
        <v>9.8843588423777315E-2</v>
      </c>
      <c r="T6" s="24">
        <f>$B$2</f>
        <v>9.8843588423777315E-2</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1.0000000000000002</v>
      </c>
      <c r="V7" s="25">
        <f t="shared" si="1"/>
        <v>1.0000000000000002</v>
      </c>
      <c r="W7" s="25">
        <f t="shared" si="1"/>
        <v>1.0000000000000002</v>
      </c>
      <c r="X7" s="25">
        <f t="shared" si="1"/>
        <v>1.0000000000000002</v>
      </c>
      <c r="Y7" s="25">
        <f t="shared" si="1"/>
        <v>1.0000000000000002</v>
      </c>
      <c r="Z7" s="25">
        <f t="shared" si="1"/>
        <v>1.0000000000000002</v>
      </c>
      <c r="AA7" s="25">
        <f t="shared" si="1"/>
        <v>1.0000000000000002</v>
      </c>
      <c r="AB7" s="25">
        <f t="shared" si="1"/>
        <v>1.0000000000000002</v>
      </c>
      <c r="AC7" s="25">
        <f t="shared" si="1"/>
        <v>1.0000000000000002</v>
      </c>
      <c r="AD7" s="25">
        <f t="shared" si="1"/>
        <v>1.0000000000000002</v>
      </c>
      <c r="AE7" s="25">
        <f t="shared" si="1"/>
        <v>1.0000000000000002</v>
      </c>
      <c r="AF7" s="25">
        <f t="shared" si="1"/>
        <v>1.0000000000000002</v>
      </c>
      <c r="AG7" s="25">
        <f t="shared" si="1"/>
        <v>1.0000000000000002</v>
      </c>
      <c r="AH7" s="25">
        <f t="shared" si="1"/>
        <v>1.0000000000000002</v>
      </c>
      <c r="AI7" s="25">
        <f t="shared" si="1"/>
        <v>1.0000000000000002</v>
      </c>
      <c r="AJ7" s="25">
        <f t="shared" si="1"/>
        <v>1.0000000000000002</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9.2753565260756843E-2</v>
      </c>
      <c r="V8" s="25">
        <f t="shared" ref="V8:AJ8" si="2">$B$6</f>
        <v>9.2753565260756843E-2</v>
      </c>
      <c r="W8" s="25">
        <f t="shared" si="2"/>
        <v>9.2753565260756843E-2</v>
      </c>
      <c r="X8" s="25">
        <f t="shared" si="2"/>
        <v>9.2753565260756843E-2</v>
      </c>
      <c r="Y8" s="25">
        <f t="shared" si="2"/>
        <v>9.2753565260756843E-2</v>
      </c>
      <c r="Z8" s="25">
        <f t="shared" si="2"/>
        <v>9.2753565260756843E-2</v>
      </c>
      <c r="AA8" s="25">
        <f t="shared" si="2"/>
        <v>9.2753565260756843E-2</v>
      </c>
      <c r="AB8" s="25">
        <f t="shared" si="2"/>
        <v>9.2753565260756843E-2</v>
      </c>
      <c r="AC8" s="25">
        <f t="shared" si="2"/>
        <v>9.2753565260756843E-2</v>
      </c>
      <c r="AD8" s="25">
        <f t="shared" si="2"/>
        <v>9.2753565260756843E-2</v>
      </c>
      <c r="AE8" s="25">
        <f t="shared" si="2"/>
        <v>9.2753565260756843E-2</v>
      </c>
      <c r="AF8" s="25">
        <f t="shared" si="2"/>
        <v>9.2753565260756843E-2</v>
      </c>
      <c r="AG8" s="25">
        <f t="shared" si="2"/>
        <v>9.2753565260756843E-2</v>
      </c>
      <c r="AH8" s="25">
        <f t="shared" si="2"/>
        <v>9.2753565260756843E-2</v>
      </c>
      <c r="AI8" s="25">
        <f t="shared" si="2"/>
        <v>9.2753565260756843E-2</v>
      </c>
      <c r="AJ8" s="25">
        <f t="shared" si="2"/>
        <v>9.2753565260756843E-2</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2.1835137876577986</v>
      </c>
      <c r="V9" s="25">
        <f>$B$5-V8</f>
        <v>2.1835137876577986</v>
      </c>
      <c r="W9" s="25">
        <f t="shared" ref="W9:AH9" si="4">$B$5-W8</f>
        <v>2.1835137876577986</v>
      </c>
      <c r="X9" s="25">
        <f t="shared" si="4"/>
        <v>2.1835137876577986</v>
      </c>
      <c r="Y9" s="25">
        <f t="shared" si="4"/>
        <v>2.1835137876577986</v>
      </c>
      <c r="Z9" s="25">
        <f t="shared" si="4"/>
        <v>2.1835137876577986</v>
      </c>
      <c r="AA9" s="25">
        <f t="shared" si="4"/>
        <v>2.1835137876577986</v>
      </c>
      <c r="AB9" s="25">
        <f t="shared" si="4"/>
        <v>2.1835137876577986</v>
      </c>
      <c r="AC9" s="25">
        <f t="shared" si="4"/>
        <v>2.1835137876577986</v>
      </c>
      <c r="AD9" s="25">
        <f t="shared" si="4"/>
        <v>2.1835137876577986</v>
      </c>
      <c r="AE9" s="25">
        <f t="shared" si="4"/>
        <v>2.1835137876577986</v>
      </c>
      <c r="AF9" s="25">
        <f t="shared" si="4"/>
        <v>2.1835137876577986</v>
      </c>
      <c r="AG9" s="25">
        <f t="shared" si="4"/>
        <v>2.1835137876577986</v>
      </c>
      <c r="AH9" s="25">
        <f t="shared" si="4"/>
        <v>2.1835137876577986</v>
      </c>
      <c r="AI9" s="25">
        <f>$B$5-AI8</f>
        <v>2.1835137876577986</v>
      </c>
      <c r="AJ9" s="25">
        <f>$B$5-AJ8</f>
        <v>2.1835137876577986</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0.31648621234220142</v>
      </c>
      <c r="V10" s="25">
        <f>2.5-V9</f>
        <v>0.31648621234220142</v>
      </c>
      <c r="W10" s="25">
        <f t="shared" ref="W10:AH10" si="6">2.5-W9</f>
        <v>0.31648621234220142</v>
      </c>
      <c r="X10" s="25">
        <f t="shared" si="6"/>
        <v>0.31648621234220142</v>
      </c>
      <c r="Y10" s="25">
        <f t="shared" si="6"/>
        <v>0.31648621234220142</v>
      </c>
      <c r="Z10" s="25">
        <f t="shared" si="6"/>
        <v>0.31648621234220142</v>
      </c>
      <c r="AA10" s="25">
        <f t="shared" si="6"/>
        <v>0.31648621234220142</v>
      </c>
      <c r="AB10" s="25">
        <f t="shared" si="6"/>
        <v>0.31648621234220142</v>
      </c>
      <c r="AC10" s="25">
        <f t="shared" si="6"/>
        <v>0.31648621234220142</v>
      </c>
      <c r="AD10" s="25">
        <f t="shared" si="6"/>
        <v>0.31648621234220142</v>
      </c>
      <c r="AE10" s="25">
        <f t="shared" si="6"/>
        <v>0.31648621234220142</v>
      </c>
      <c r="AF10" s="25">
        <f t="shared" si="6"/>
        <v>0.31648621234220142</v>
      </c>
      <c r="AG10" s="25">
        <f t="shared" si="6"/>
        <v>0.31648621234220142</v>
      </c>
      <c r="AH10" s="25">
        <f t="shared" si="6"/>
        <v>0.31648621234220142</v>
      </c>
      <c r="AI10" s="25">
        <f>2.5-AI9</f>
        <v>0.31648621234220142</v>
      </c>
      <c r="AJ10" s="25">
        <f>2.5-AJ9</f>
        <v>0.31648621234220142</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42578125"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4">
        <f>'pooled normalised values'!B75</f>
        <v>9.8843588423777315E-2</v>
      </c>
      <c r="D2" s="17" t="s">
        <v>9</v>
      </c>
      <c r="E2" s="18"/>
      <c r="F2" s="19" t="str">
        <f>'pooled normalised values'!J74</f>
        <v>DUS-100µg/L</v>
      </c>
      <c r="G2" s="18"/>
      <c r="H2" s="20"/>
      <c r="I2" s="19" t="str">
        <f>'pooled normalised values'!R74</f>
        <v>DUS-10µg/L + Testostérone</v>
      </c>
      <c r="J2" s="20"/>
      <c r="K2" s="17" t="s">
        <v>9</v>
      </c>
    </row>
    <row r="3" spans="1:11" x14ac:dyDescent="0.2">
      <c r="A3" s="17" t="s">
        <v>71</v>
      </c>
      <c r="B3" s="64">
        <f>'summary results'!E6</f>
        <v>0</v>
      </c>
      <c r="D3" s="21" t="s">
        <v>10</v>
      </c>
      <c r="E3" s="22"/>
      <c r="F3" s="19">
        <f>HLOOKUP(F2,'pooled normalised values'!B74:V83,2,FALSE)</f>
        <v>0.10504766172373216</v>
      </c>
      <c r="G3" s="22"/>
      <c r="H3" s="20"/>
      <c r="I3" s="19">
        <f>HLOOKUP(I2,'pooled normalised values'!N74:AL83,2,FALSE)</f>
        <v>0.71154980846395488</v>
      </c>
      <c r="J3" s="20"/>
      <c r="K3" s="21" t="s">
        <v>10</v>
      </c>
    </row>
    <row r="4" spans="1:11" x14ac:dyDescent="0.2">
      <c r="A4" s="17" t="s">
        <v>72</v>
      </c>
      <c r="B4" s="64">
        <f>'pooled normalised values'!O75</f>
        <v>1.0000000000000002</v>
      </c>
      <c r="D4" s="21" t="s">
        <v>2</v>
      </c>
      <c r="E4" s="22"/>
      <c r="F4" s="19">
        <f>HLOOKUP(F2,'pooled normalised values'!B74:V83,3,FALSE)</f>
        <v>1.4094596154947124E-2</v>
      </c>
      <c r="G4" s="22"/>
      <c r="H4" s="20"/>
      <c r="I4" s="19">
        <f>HLOOKUP(I2,'pooled normalised values'!N74:AL83,3,FALSE)</f>
        <v>0.11947244121812256</v>
      </c>
      <c r="J4" s="20"/>
      <c r="K4" s="21" t="s">
        <v>2</v>
      </c>
    </row>
    <row r="5" spans="1:11" x14ac:dyDescent="0.2">
      <c r="A5" s="17" t="s">
        <v>73</v>
      </c>
      <c r="B5" s="64">
        <f>'pooled normalised values'!P75</f>
        <v>2.2762673529185555</v>
      </c>
      <c r="D5" s="23" t="s">
        <v>11</v>
      </c>
      <c r="E5" s="22"/>
      <c r="F5" s="19" t="str">
        <f>HLOOKUP(F2,'pooled normalised values'!B74:V83,10,FALSE)</f>
        <v>ns</v>
      </c>
      <c r="G5" s="22"/>
      <c r="H5" s="20"/>
      <c r="I5" s="19" t="str">
        <f>HLOOKUP(I2,'pooled normalised values'!N74:AL83,10,FALSE)</f>
        <v>ns</v>
      </c>
      <c r="J5" s="20"/>
      <c r="K5" s="23" t="s">
        <v>11</v>
      </c>
    </row>
    <row r="6" spans="1:11" x14ac:dyDescent="0.2">
      <c r="A6" s="17" t="s">
        <v>74</v>
      </c>
      <c r="B6" s="64">
        <f>'pooled normalised values'!Q75</f>
        <v>9.2753565260756843E-2</v>
      </c>
      <c r="D6" s="21" t="s">
        <v>12</v>
      </c>
      <c r="E6" s="24">
        <f>$B$2</f>
        <v>9.8843588423777315E-2</v>
      </c>
      <c r="F6" s="24">
        <f>$B$2</f>
        <v>9.8843588423777315E-2</v>
      </c>
      <c r="G6" s="24">
        <f>$B$2</f>
        <v>9.8843588423777315E-2</v>
      </c>
      <c r="H6" s="25"/>
      <c r="I6" s="25"/>
      <c r="J6" s="25"/>
      <c r="K6" s="21" t="s">
        <v>12</v>
      </c>
    </row>
    <row r="7" spans="1:11" x14ac:dyDescent="0.2">
      <c r="B7" s="26"/>
      <c r="D7" s="26" t="s">
        <v>13</v>
      </c>
      <c r="E7" s="24"/>
      <c r="F7" s="24"/>
      <c r="G7" s="27"/>
      <c r="H7" s="25">
        <f t="shared" ref="H7:J7" si="0">$B$4</f>
        <v>1.0000000000000002</v>
      </c>
      <c r="I7" s="25">
        <f t="shared" si="0"/>
        <v>1.0000000000000002</v>
      </c>
      <c r="J7" s="25">
        <f t="shared" si="0"/>
        <v>1.0000000000000002</v>
      </c>
      <c r="K7" s="26" t="s">
        <v>13</v>
      </c>
    </row>
    <row r="8" spans="1:11" x14ac:dyDescent="0.2">
      <c r="D8" s="28" t="s">
        <v>14</v>
      </c>
      <c r="E8" s="24">
        <v>0</v>
      </c>
      <c r="F8" s="24">
        <v>0</v>
      </c>
      <c r="G8" s="27">
        <v>0</v>
      </c>
      <c r="H8" s="25">
        <f>$B$6</f>
        <v>9.2753565260756843E-2</v>
      </c>
      <c r="I8" s="25">
        <f t="shared" ref="I8:J8" si="1">$B$6</f>
        <v>9.2753565260756843E-2</v>
      </c>
      <c r="J8" s="25">
        <f t="shared" si="1"/>
        <v>9.2753565260756843E-2</v>
      </c>
      <c r="K8" s="28" t="s">
        <v>14</v>
      </c>
    </row>
    <row r="9" spans="1:11" x14ac:dyDescent="0.2">
      <c r="D9" s="28" t="s">
        <v>15</v>
      </c>
      <c r="E9" s="29">
        <f>$B$3-E8</f>
        <v>0</v>
      </c>
      <c r="F9" s="29">
        <f>$B$3-F8</f>
        <v>0</v>
      </c>
      <c r="G9" s="29">
        <f>$B$3-G8</f>
        <v>0</v>
      </c>
      <c r="H9" s="25">
        <f>$B$5-H8</f>
        <v>2.1835137876577986</v>
      </c>
      <c r="I9" s="25">
        <f>$B$5-I8</f>
        <v>2.1835137876577986</v>
      </c>
      <c r="J9" s="25">
        <f>$B$5-J8</f>
        <v>2.1835137876577986</v>
      </c>
      <c r="K9" s="28" t="s">
        <v>15</v>
      </c>
    </row>
    <row r="10" spans="1:11" x14ac:dyDescent="0.2">
      <c r="D10" s="28" t="s">
        <v>16</v>
      </c>
      <c r="E10" s="27">
        <f t="shared" ref="E10:J10" si="2">2.5-E9</f>
        <v>2.5</v>
      </c>
      <c r="F10" s="27">
        <f t="shared" si="2"/>
        <v>2.5</v>
      </c>
      <c r="G10" s="27">
        <f t="shared" si="2"/>
        <v>2.5</v>
      </c>
      <c r="H10" s="25">
        <f t="shared" si="2"/>
        <v>0.31648621234220142</v>
      </c>
      <c r="I10" s="25">
        <f t="shared" si="2"/>
        <v>0.31648621234220142</v>
      </c>
      <c r="J10" s="25">
        <f t="shared" si="2"/>
        <v>0.31648621234220142</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1000000}">
          <x14:formula1>
            <xm:f>'pooled normalised values'!$R$74:$V$74</xm:f>
          </x14:formula1>
          <xm:sqref>I2</xm:sqref>
        </x14:dataValidation>
        <x14:dataValidation type="list" allowBlank="1" showInputMessage="1" showErrorMessage="1" xr:uid="{00000000-0002-0000-1000-000000000000}">
          <x14:formula1>
            <xm:f>'pooled normalised values'!$J$74:$M$74</xm:f>
          </x14:formula1>
          <xm:sqref>F2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42578125"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39" t="s">
        <v>99</v>
      </c>
      <c r="R1" s="239"/>
      <c r="S1" s="239"/>
      <c r="U1" s="239" t="s">
        <v>98</v>
      </c>
      <c r="V1" s="239"/>
      <c r="W1" s="239"/>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2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2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2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2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2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2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35817B-0A90-41DD-B7D5-32D827F0C270}">
  <ds:schemaRefs>
    <ds:schemaRef ds:uri="http://schemas.microsoft.com/sharepoint/v3/contenttype/forms"/>
  </ds:schemaRefs>
</ds:datastoreItem>
</file>

<file path=customXml/itemProps2.xml><?xml version="1.0" encoding="utf-8"?>
<ds:datastoreItem xmlns:ds="http://schemas.openxmlformats.org/officeDocument/2006/customXml" ds:itemID="{29D2DB9B-328C-4E47-9C47-62CC475909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15</vt:i4>
      </vt:variant>
      <vt:variant>
        <vt:lpstr>Charts</vt:lpstr>
      </vt:variant>
      <vt:variant>
        <vt:i4>4</vt:i4>
      </vt:variant>
      <vt:variant>
        <vt:lpstr>Named Ranges</vt:lpstr>
      </vt:variant>
      <vt:variant>
        <vt:i4>1</vt:i4>
      </vt:variant>
    </vt:vector>
  </HeadingPairs>
  <TitlesOfParts>
    <vt:vector size="20" baseType="lpstr">
      <vt:lpstr>Page de garde</vt:lpstr>
      <vt:lpstr>Feuil1</vt:lpstr>
      <vt:lpstr>Feuil2</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2023-01-11T15:05:52Z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2023-01-11T15:05:52Z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41386ec4-679c-4e81-bf9b-44cf2c8f6a6c</vt:lpwstr>
  </property>
  <property fmtid="{D5CDD505-2E9C-101B-9397-08002B2CF9AE}" pid="8" name="MSIP_Label_06530cf4-8573-4c29-a912-bbcdac835909_ContentBits">
    <vt:lpwstr>2</vt:lpwstr>
  </property>
</Properties>
</file>