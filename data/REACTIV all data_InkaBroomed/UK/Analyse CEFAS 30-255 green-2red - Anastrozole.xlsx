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hidePivotFieldList="1" defaultThemeVersion="124226"/>
  <xr:revisionPtr revIDLastSave="0" documentId="13_ncr:1_{32845E69-F408-4F6E-A295-6FCB4D65CD00}" xr6:coauthVersionLast="47" xr6:coauthVersionMax="47" xr10:uidLastSave="{00000000-0000-0000-0000-000000000000}"/>
  <bookViews>
    <workbookView xWindow="-110" yWindow="10690" windowWidth="19420" windowHeight="10420" firstSheet="8"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4" r:id="rId20"/>
    <pivotCache cacheId="5" r:id="rId21"/>
    <pivotCache cacheId="6" r:id="rId22"/>
    <pivotCache cacheId="7" r:id="rId23"/>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M35" i="33"/>
  <c r="M45" i="4" s="1"/>
  <c r="F33" i="33"/>
  <c r="F43" i="4" s="1"/>
  <c r="U32" i="33"/>
  <c r="U42" i="4" s="1"/>
  <c r="P31" i="33"/>
  <c r="P41" i="4" s="1"/>
  <c r="G31" i="33"/>
  <c r="G41" i="4" s="1"/>
  <c r="E30" i="33"/>
  <c r="E40" i="4" s="1"/>
  <c r="S29" i="33"/>
  <c r="S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B35" i="33" s="1"/>
  <c r="B45" i="4" s="1"/>
  <c r="L23" i="33"/>
  <c r="J23" i="33"/>
  <c r="I23" i="33"/>
  <c r="H23" i="33"/>
  <c r="G23" i="33"/>
  <c r="F23" i="33"/>
  <c r="E23" i="33"/>
  <c r="D23" i="33"/>
  <c r="C23" i="33"/>
  <c r="B23" i="33"/>
  <c r="A22" i="33"/>
  <c r="H22" i="33"/>
  <c r="G45" i="33"/>
  <c r="F27" i="33"/>
  <c r="F52" i="33" s="1"/>
  <c r="E45" i="33"/>
  <c r="D22" i="33"/>
  <c r="C45" i="33"/>
  <c r="B45" i="33"/>
  <c r="O30" i="33" l="1"/>
  <c r="O40" i="4" s="1"/>
  <c r="P29" i="33"/>
  <c r="P39" i="4" s="1"/>
  <c r="T28" i="33"/>
  <c r="R31" i="33"/>
  <c r="R41" i="4" s="1"/>
  <c r="S30" i="33"/>
  <c r="S40" i="4" s="1"/>
  <c r="V31" i="33"/>
  <c r="V41" i="4" s="1"/>
  <c r="S33" i="33"/>
  <c r="S43" i="4" s="1"/>
  <c r="P35" i="33"/>
  <c r="P45" i="4" s="1"/>
  <c r="T29" i="33"/>
  <c r="T39" i="4" s="1"/>
  <c r="S32" i="33"/>
  <c r="S42" i="4" s="1"/>
  <c r="P34" i="33"/>
  <c r="P44" i="4" s="1"/>
  <c r="T35" i="33"/>
  <c r="T45" i="4" s="1"/>
  <c r="P28" i="33"/>
  <c r="T34" i="33"/>
  <c r="T44" i="4" s="1"/>
  <c r="Q28" i="33"/>
  <c r="U28" i="33"/>
  <c r="Q29" i="33"/>
  <c r="Q39" i="4" s="1"/>
  <c r="U29" i="33"/>
  <c r="U39" i="4" s="1"/>
  <c r="P30" i="33"/>
  <c r="T30" i="33"/>
  <c r="M31" i="33"/>
  <c r="M41" i="4" s="1"/>
  <c r="S31" i="33"/>
  <c r="S41" i="4" s="1"/>
  <c r="P32" i="33"/>
  <c r="P42" i="4" s="1"/>
  <c r="T32" i="33"/>
  <c r="T42" i="4" s="1"/>
  <c r="P33" i="33"/>
  <c r="P43" i="4" s="1"/>
  <c r="T33" i="33"/>
  <c r="T43" i="4" s="1"/>
  <c r="Q34" i="33"/>
  <c r="Q44" i="4" s="1"/>
  <c r="U34" i="33"/>
  <c r="U44" i="4" s="1"/>
  <c r="Q35" i="33"/>
  <c r="Q45" i="4" s="1"/>
  <c r="U35" i="33"/>
  <c r="U45" i="4" s="1"/>
  <c r="R28" i="33"/>
  <c r="V28" i="33"/>
  <c r="R29" i="33"/>
  <c r="R39" i="4" s="1"/>
  <c r="V29" i="33"/>
  <c r="V39" i="4" s="1"/>
  <c r="Q30" i="33"/>
  <c r="Q40" i="4" s="1"/>
  <c r="U30" i="33"/>
  <c r="U40" i="4" s="1"/>
  <c r="T31" i="33"/>
  <c r="T41" i="4" s="1"/>
  <c r="Q32" i="33"/>
  <c r="Q42" i="4" s="1"/>
  <c r="Q33" i="33"/>
  <c r="Q43" i="4" s="1"/>
  <c r="U33" i="33"/>
  <c r="U43" i="4" s="1"/>
  <c r="R34" i="33"/>
  <c r="R44" i="4" s="1"/>
  <c r="V34" i="33"/>
  <c r="V44" i="4" s="1"/>
  <c r="R35" i="33"/>
  <c r="R45" i="4" s="1"/>
  <c r="V35" i="33"/>
  <c r="V45" i="4" s="1"/>
  <c r="S28" i="33"/>
  <c r="R30" i="33"/>
  <c r="R40" i="4" s="1"/>
  <c r="V30" i="33"/>
  <c r="V40" i="4" s="1"/>
  <c r="Q31" i="33"/>
  <c r="Q41" i="4" s="1"/>
  <c r="U31" i="33"/>
  <c r="U41" i="4" s="1"/>
  <c r="R32" i="33"/>
  <c r="R42" i="4" s="1"/>
  <c r="V32" i="33"/>
  <c r="V42" i="4" s="1"/>
  <c r="R33" i="33"/>
  <c r="R43" i="4" s="1"/>
  <c r="V33" i="33"/>
  <c r="V43" i="4" s="1"/>
  <c r="S34" i="33"/>
  <c r="S44" i="4" s="1"/>
  <c r="S35" i="33"/>
  <c r="S45" i="4" s="1"/>
  <c r="O28" i="33"/>
  <c r="O38" i="4" s="1"/>
  <c r="O29" i="33"/>
  <c r="O39" i="4" s="1"/>
  <c r="O36" i="33"/>
  <c r="O46" i="4" s="1"/>
  <c r="O37" i="33"/>
  <c r="O47" i="4" s="1"/>
  <c r="O38" i="33"/>
  <c r="O48" i="4" s="1"/>
  <c r="O39" i="33"/>
  <c r="O49" i="4" s="1"/>
  <c r="O40" i="33"/>
  <c r="O50" i="4" s="1"/>
  <c r="O41" i="33"/>
  <c r="O51" i="4" s="1"/>
  <c r="O42" i="33"/>
  <c r="O52" i="4" s="1"/>
  <c r="O43" i="33"/>
  <c r="O53" i="4" s="1"/>
  <c r="E31" i="33"/>
  <c r="E41" i="4" s="1"/>
  <c r="O31" i="33"/>
  <c r="O32" i="33"/>
  <c r="O42" i="4" s="1"/>
  <c r="I28" i="33"/>
  <c r="I29" i="33"/>
  <c r="I39" i="4" s="1"/>
  <c r="I30" i="33"/>
  <c r="I40" i="4" s="1"/>
  <c r="O33" i="33"/>
  <c r="O43" i="4" s="1"/>
  <c r="O34" i="33"/>
  <c r="O44" i="4" s="1"/>
  <c r="E28" i="33"/>
  <c r="E29" i="33"/>
  <c r="E39" i="4" s="1"/>
  <c r="M28" i="33"/>
  <c r="M38" i="4" s="1"/>
  <c r="B29" i="33"/>
  <c r="B39" i="4" s="1"/>
  <c r="M29" i="33"/>
  <c r="M39" i="4" s="1"/>
  <c r="B30" i="33"/>
  <c r="B40" i="4" s="1"/>
  <c r="M30" i="33"/>
  <c r="M40" i="4" s="1"/>
  <c r="B31" i="33"/>
  <c r="B41" i="4" s="1"/>
  <c r="I31" i="33"/>
  <c r="I41" i="4" s="1"/>
  <c r="O35" i="33"/>
  <c r="O45" i="4" s="1"/>
  <c r="B28" i="33"/>
  <c r="B38" i="4" s="1"/>
  <c r="J28" i="33"/>
  <c r="J38" i="4" s="1"/>
  <c r="J29" i="33"/>
  <c r="J39" i="4" s="1"/>
  <c r="F30" i="33"/>
  <c r="F40" i="4" s="1"/>
  <c r="J31" i="33"/>
  <c r="J41" i="4" s="1"/>
  <c r="J32" i="33"/>
  <c r="J42" i="4" s="1"/>
  <c r="J33" i="33"/>
  <c r="J43" i="4" s="1"/>
  <c r="J34" i="33"/>
  <c r="J44" i="4" s="1"/>
  <c r="G35" i="33"/>
  <c r="G45" i="4" s="1"/>
  <c r="C28" i="33"/>
  <c r="C38" i="4" s="1"/>
  <c r="G28" i="33"/>
  <c r="G38" i="4" s="1"/>
  <c r="K28" i="33"/>
  <c r="C29" i="33"/>
  <c r="C39" i="4" s="1"/>
  <c r="G29" i="33"/>
  <c r="G39" i="4" s="1"/>
  <c r="K29" i="33"/>
  <c r="K39" i="4" s="1"/>
  <c r="C30" i="33"/>
  <c r="C40" i="4" s="1"/>
  <c r="G30" i="33"/>
  <c r="G40" i="4" s="1"/>
  <c r="K30" i="33"/>
  <c r="K40" i="4" s="1"/>
  <c r="C31" i="33"/>
  <c r="C41" i="4" s="1"/>
  <c r="K31" i="33"/>
  <c r="K41" i="4" s="1"/>
  <c r="C32" i="33"/>
  <c r="C42" i="4" s="1"/>
  <c r="G32" i="33"/>
  <c r="G42" i="4" s="1"/>
  <c r="K32" i="33"/>
  <c r="K42" i="4" s="1"/>
  <c r="C33" i="33"/>
  <c r="C43" i="4" s="1"/>
  <c r="G33" i="33"/>
  <c r="G43" i="4" s="1"/>
  <c r="K33" i="33"/>
  <c r="K43" i="4" s="1"/>
  <c r="C34" i="33"/>
  <c r="C44" i="4" s="1"/>
  <c r="G34" i="33"/>
  <c r="G44" i="4" s="1"/>
  <c r="K34" i="33"/>
  <c r="K44" i="4" s="1"/>
  <c r="D35" i="33"/>
  <c r="D45" i="4" s="1"/>
  <c r="H35" i="33"/>
  <c r="H45" i="4" s="1"/>
  <c r="L35" i="33"/>
  <c r="L45" i="4" s="1"/>
  <c r="F28" i="33"/>
  <c r="F38" i="4" s="1"/>
  <c r="F29" i="33"/>
  <c r="F39" i="4" s="1"/>
  <c r="J30" i="33"/>
  <c r="J40" i="4" s="1"/>
  <c r="F31" i="33"/>
  <c r="F41" i="4" s="1"/>
  <c r="F32" i="33"/>
  <c r="F42" i="4" s="1"/>
  <c r="F34" i="33"/>
  <c r="F44" i="4" s="1"/>
  <c r="C35" i="33"/>
  <c r="C45" i="4" s="1"/>
  <c r="K35" i="33"/>
  <c r="K45" i="4" s="1"/>
  <c r="D28" i="33"/>
  <c r="D38" i="4" s="1"/>
  <c r="H28" i="33"/>
  <c r="H38" i="4" s="1"/>
  <c r="L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E35" i="33"/>
  <c r="E45" i="4" s="1"/>
  <c r="I35" i="33"/>
  <c r="I45" i="4" s="1"/>
  <c r="B32" i="33"/>
  <c r="B42" i="4" s="1"/>
  <c r="E32" i="33"/>
  <c r="I32" i="33"/>
  <c r="M32" i="33"/>
  <c r="B33" i="33"/>
  <c r="B43" i="4" s="1"/>
  <c r="E33" i="33"/>
  <c r="E43" i="4" s="1"/>
  <c r="I33" i="33"/>
  <c r="I43" i="4" s="1"/>
  <c r="M33" i="33"/>
  <c r="M43" i="4" s="1"/>
  <c r="B34" i="33"/>
  <c r="B44" i="4" s="1"/>
  <c r="E34" i="33"/>
  <c r="E44" i="4" s="1"/>
  <c r="I34" i="33"/>
  <c r="I44" i="4" s="1"/>
  <c r="M34" i="33"/>
  <c r="M44" i="4" s="1"/>
  <c r="F35" i="33"/>
  <c r="F45" i="4" s="1"/>
  <c r="J35" i="33"/>
  <c r="J45" i="4" s="1"/>
  <c r="I38" i="4"/>
  <c r="E38" i="4"/>
  <c r="U38" i="4"/>
  <c r="R38" i="4"/>
  <c r="V38" i="4"/>
  <c r="B22" i="33"/>
  <c r="E22" i="33"/>
  <c r="I45" i="33"/>
  <c r="I52" i="33"/>
  <c r="I27" i="33"/>
  <c r="P38" i="4"/>
  <c r="T38" i="4"/>
  <c r="B27" i="33"/>
  <c r="B52" i="33" s="1"/>
  <c r="Q38" i="4"/>
  <c r="D27" i="33"/>
  <c r="D52" i="33" s="1"/>
  <c r="I22" i="33"/>
  <c r="E27" i="33"/>
  <c r="E52" i="33" s="1"/>
  <c r="J46" i="33"/>
  <c r="J53" i="33" s="1"/>
  <c r="S38" i="4"/>
  <c r="S47" i="33"/>
  <c r="S48" i="33" s="1"/>
  <c r="S54" i="33" s="1"/>
  <c r="D45" i="33"/>
  <c r="U47" i="33"/>
  <c r="U48" i="33" s="1"/>
  <c r="U54" i="33" s="1"/>
  <c r="F22" i="33"/>
  <c r="B46" i="33"/>
  <c r="V46" i="33"/>
  <c r="V53" i="33" s="1"/>
  <c r="F45" i="33"/>
  <c r="G22" i="33"/>
  <c r="G27" i="33"/>
  <c r="G52" i="33" s="1"/>
  <c r="C22" i="33"/>
  <c r="C27" i="33"/>
  <c r="C52" i="33" s="1"/>
  <c r="H27" i="33"/>
  <c r="H52" i="33" s="1"/>
  <c r="H45" i="33"/>
  <c r="Q56" i="33"/>
  <c r="P56" i="33"/>
  <c r="R56" i="33"/>
  <c r="U56" i="33"/>
  <c r="T56" i="33"/>
  <c r="V56" i="33"/>
  <c r="S56" i="33"/>
  <c r="O56" i="33"/>
  <c r="B56" i="33"/>
  <c r="F56" i="33"/>
  <c r="D56" i="33"/>
  <c r="E56" i="33"/>
  <c r="J56" i="33"/>
  <c r="C56" i="33"/>
  <c r="H56" i="33"/>
  <c r="I56" i="33"/>
  <c r="G56" i="33"/>
  <c r="L56" i="33"/>
  <c r="M56" i="33"/>
  <c r="K56" i="33"/>
  <c r="E47" i="33" l="1"/>
  <c r="E48" i="33" s="1"/>
  <c r="E54" i="33" s="1"/>
  <c r="T46" i="33"/>
  <c r="T53" i="33" s="1"/>
  <c r="R46" i="33"/>
  <c r="R53" i="33" s="1"/>
  <c r="D47" i="33"/>
  <c r="P47" i="33"/>
  <c r="P48" i="33" s="1"/>
  <c r="P54" i="33" s="1"/>
  <c r="M47" i="33"/>
  <c r="M48" i="33" s="1"/>
  <c r="M54" i="33" s="1"/>
  <c r="G46" i="33"/>
  <c r="G53" i="33" s="1"/>
  <c r="L47" i="33"/>
  <c r="P46" i="33"/>
  <c r="P53" i="33" s="1"/>
  <c r="S57" i="33"/>
  <c r="V57" i="33"/>
  <c r="T57" i="33"/>
  <c r="U57" i="33"/>
  <c r="R57" i="33"/>
  <c r="P57" i="33"/>
  <c r="Q57" i="33"/>
  <c r="V47" i="33"/>
  <c r="V48" i="33" s="1"/>
  <c r="V54" i="33" s="1"/>
  <c r="I46" i="33"/>
  <c r="I53" i="33" s="1"/>
  <c r="D46" i="33"/>
  <c r="D53" i="33" s="1"/>
  <c r="O46" i="33"/>
  <c r="O53" i="33" s="1"/>
  <c r="O55" i="33" s="1"/>
  <c r="T40" i="4"/>
  <c r="R47" i="33"/>
  <c r="R48" i="33" s="1"/>
  <c r="R54" i="33" s="1"/>
  <c r="Q46" i="33"/>
  <c r="Q53" i="33" s="1"/>
  <c r="U46" i="33"/>
  <c r="U53" i="33" s="1"/>
  <c r="U55" i="33" s="1"/>
  <c r="S46" i="33"/>
  <c r="S53" i="33" s="1"/>
  <c r="S55" i="33" s="1"/>
  <c r="J47" i="33"/>
  <c r="Q47" i="33"/>
  <c r="Q48" i="33" s="1"/>
  <c r="Q54" i="33" s="1"/>
  <c r="T47" i="33"/>
  <c r="T48" i="33" s="1"/>
  <c r="T54" i="33" s="1"/>
  <c r="P40" i="4"/>
  <c r="C46" i="33"/>
  <c r="C53" i="33" s="1"/>
  <c r="M46" i="33"/>
  <c r="M53" i="33" s="1"/>
  <c r="L46" i="33"/>
  <c r="L53" i="33" s="1"/>
  <c r="G47" i="33"/>
  <c r="G48" i="33" s="1"/>
  <c r="G54" i="33" s="1"/>
  <c r="F46" i="33"/>
  <c r="F53" i="33" s="1"/>
  <c r="I47" i="33"/>
  <c r="I48" i="33" s="1"/>
  <c r="I54" i="33" s="1"/>
  <c r="O57" i="33"/>
  <c r="P59" i="33" s="1"/>
  <c r="B47" i="33"/>
  <c r="B48" i="33" s="1"/>
  <c r="B54" i="33" s="1"/>
  <c r="H47" i="33"/>
  <c r="H48" i="33" s="1"/>
  <c r="H54" i="33" s="1"/>
  <c r="O47" i="33"/>
  <c r="O48" i="33" s="1"/>
  <c r="O54" i="33" s="1"/>
  <c r="L38" i="4"/>
  <c r="C47" i="33"/>
  <c r="C48" i="33" s="1"/>
  <c r="C54" i="33" s="1"/>
  <c r="E46" i="33"/>
  <c r="E53" i="33" s="1"/>
  <c r="H46" i="33"/>
  <c r="H53" i="33" s="1"/>
  <c r="F47" i="33"/>
  <c r="F48" i="33" s="1"/>
  <c r="F54" i="33" s="1"/>
  <c r="O41" i="4"/>
  <c r="K57" i="33"/>
  <c r="M57" i="33"/>
  <c r="L57" i="33"/>
  <c r="G57" i="33"/>
  <c r="I57" i="33"/>
  <c r="H57" i="33"/>
  <c r="C57" i="33"/>
  <c r="J57" i="33"/>
  <c r="E57" i="33"/>
  <c r="D57" i="33"/>
  <c r="F57" i="33"/>
  <c r="B57" i="33"/>
  <c r="K46" i="33"/>
  <c r="K53" i="33" s="1"/>
  <c r="M42" i="4"/>
  <c r="D48" i="33"/>
  <c r="D54" i="33" s="1"/>
  <c r="J48" i="33"/>
  <c r="J54" i="33" s="1"/>
  <c r="K38" i="4"/>
  <c r="I42" i="4"/>
  <c r="L48" i="33"/>
  <c r="L54" i="33" s="1"/>
  <c r="K47" i="33"/>
  <c r="K48" i="33" s="1"/>
  <c r="K54" i="33" s="1"/>
  <c r="E42" i="4"/>
  <c r="V55" i="33"/>
  <c r="P55" i="33"/>
  <c r="R55" i="33"/>
  <c r="T59" i="33"/>
  <c r="R59" i="33"/>
  <c r="B53" i="33"/>
  <c r="M55" i="33" s="1"/>
  <c r="V59" i="33" l="1"/>
  <c r="T55" i="33"/>
  <c r="Q55" i="33"/>
  <c r="Q59" i="33"/>
  <c r="M59" i="33"/>
  <c r="S59" i="33"/>
  <c r="U59" i="33"/>
  <c r="K59" i="33"/>
  <c r="B64" i="33"/>
  <c r="F59" i="33"/>
  <c r="B65" i="33"/>
  <c r="I59" i="33"/>
  <c r="E59" i="33"/>
  <c r="E60" i="33" s="1"/>
  <c r="E61" i="33" s="1"/>
  <c r="H59" i="33"/>
  <c r="J59" i="33"/>
  <c r="L59" i="33"/>
  <c r="L60" i="33" s="1"/>
  <c r="L61" i="33" s="1"/>
  <c r="D59" i="33"/>
  <c r="D60" i="33" s="1"/>
  <c r="D61" i="33" s="1"/>
  <c r="O59" i="33"/>
  <c r="O60" i="33" s="1"/>
  <c r="O61" i="33" s="1"/>
  <c r="C59" i="33"/>
  <c r="C60" i="33" s="1"/>
  <c r="C61" i="33" s="1"/>
  <c r="G59" i="33"/>
  <c r="V60" i="33"/>
  <c r="V61" i="33" s="1"/>
  <c r="U60" i="33"/>
  <c r="U61" i="33" s="1"/>
  <c r="T60" i="33"/>
  <c r="T61" i="33" s="1"/>
  <c r="R60" i="33"/>
  <c r="R61" i="33" s="1"/>
  <c r="Q60" i="33"/>
  <c r="Q61" i="33" s="1"/>
  <c r="P60" i="33"/>
  <c r="P61" i="33" s="1"/>
  <c r="J60" i="33"/>
  <c r="J61" i="33" s="1"/>
  <c r="G60" i="33"/>
  <c r="G61" i="33" s="1"/>
  <c r="H60" i="33"/>
  <c r="H61" i="33" s="1"/>
  <c r="K60" i="33"/>
  <c r="K61" i="33" s="1"/>
  <c r="M60" i="33"/>
  <c r="M61" i="33" s="1"/>
  <c r="I60" i="33"/>
  <c r="I61" i="33" s="1"/>
  <c r="F60" i="33"/>
  <c r="F61" i="33" s="1"/>
  <c r="D55" i="33"/>
  <c r="B55" i="33"/>
  <c r="K55" i="33"/>
  <c r="L55" i="33"/>
  <c r="G55" i="33"/>
  <c r="F55" i="33"/>
  <c r="C55" i="33"/>
  <c r="J55" i="33"/>
  <c r="H55" i="33"/>
  <c r="I55" i="33"/>
  <c r="E55" i="33"/>
  <c r="S60" i="33"/>
  <c r="S61" i="33" l="1"/>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U28" i="23"/>
  <c r="U22" i="4" s="1"/>
  <c r="V28" i="23"/>
  <c r="R29" i="23"/>
  <c r="R23" i="4" s="1"/>
  <c r="V29" i="23"/>
  <c r="V23" i="4" s="1"/>
  <c r="P30" i="23"/>
  <c r="P24" i="4" s="1"/>
  <c r="T30" i="23"/>
  <c r="T24" i="4" s="1"/>
  <c r="Q31" i="23"/>
  <c r="Q25" i="4" s="1"/>
  <c r="U31" i="23"/>
  <c r="U25" i="4" s="1"/>
  <c r="Q32" i="23"/>
  <c r="Q26" i="4" s="1"/>
  <c r="U32" i="23"/>
  <c r="U26" i="4" s="1"/>
  <c r="P33" i="23"/>
  <c r="P27" i="4" s="1"/>
  <c r="T33" i="23"/>
  <c r="R34" i="23"/>
  <c r="R28" i="4" s="1"/>
  <c r="V34" i="23"/>
  <c r="V28" i="4" s="1"/>
  <c r="Q35" i="23"/>
  <c r="Q29" i="4" s="1"/>
  <c r="U35" i="23"/>
  <c r="V35" i="23"/>
  <c r="V29" i="4" s="1"/>
  <c r="P36" i="23"/>
  <c r="P30" i="4" s="1"/>
  <c r="Q36" i="23"/>
  <c r="Q30" i="4" s="1"/>
  <c r="R36" i="23"/>
  <c r="R30" i="4" s="1"/>
  <c r="S36" i="23"/>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T40" i="23"/>
  <c r="T34" i="4" s="1"/>
  <c r="U40" i="23"/>
  <c r="U34" i="4" s="1"/>
  <c r="V40" i="23"/>
  <c r="V34" i="4" s="1"/>
  <c r="P41" i="23"/>
  <c r="P35" i="4" s="1"/>
  <c r="Q41" i="23"/>
  <c r="R41" i="23"/>
  <c r="R35" i="4" s="1"/>
  <c r="S41" i="23"/>
  <c r="S35" i="4" s="1"/>
  <c r="T41" i="23"/>
  <c r="T35" i="4" s="1"/>
  <c r="U41" i="23"/>
  <c r="V41" i="23"/>
  <c r="V35" i="4" s="1"/>
  <c r="P42" i="23"/>
  <c r="P36" i="4" s="1"/>
  <c r="Q42" i="23"/>
  <c r="Q36" i="4" s="1"/>
  <c r="R42" i="23"/>
  <c r="R36" i="4" s="1"/>
  <c r="S42" i="23"/>
  <c r="T42" i="23"/>
  <c r="T36" i="4" s="1"/>
  <c r="U42" i="23"/>
  <c r="U36" i="4" s="1"/>
  <c r="V42" i="23"/>
  <c r="V36" i="4" s="1"/>
  <c r="P43" i="23"/>
  <c r="Q43" i="23"/>
  <c r="R43" i="23"/>
  <c r="S43" i="23"/>
  <c r="T43" i="23"/>
  <c r="U43" i="23"/>
  <c r="V43" i="23"/>
  <c r="O41" i="23"/>
  <c r="O35" i="4" s="1"/>
  <c r="M28" i="23"/>
  <c r="L30" i="23"/>
  <c r="L24"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Q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U35" i="4"/>
  <c r="Q35" i="4"/>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S32" i="4"/>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29" i="23"/>
  <c r="J23" i="4" s="1"/>
  <c r="J40" i="23"/>
  <c r="J34" i="4" s="1"/>
  <c r="J36" i="23"/>
  <c r="J30" i="4" s="1"/>
  <c r="J42" i="23"/>
  <c r="J36" i="4" s="1"/>
  <c r="J38" i="23"/>
  <c r="J32" i="4" s="1"/>
  <c r="J41" i="23"/>
  <c r="J35" i="4" s="1"/>
  <c r="J37" i="23"/>
  <c r="J31" i="4" s="1"/>
  <c r="J43" i="23"/>
  <c r="J39" i="23"/>
  <c r="J33" i="4" s="1"/>
  <c r="G34" i="23"/>
  <c r="G28" i="4" s="1"/>
  <c r="H29" i="23"/>
  <c r="H23" i="4" s="1"/>
  <c r="G29" i="23"/>
  <c r="G23" i="4" s="1"/>
  <c r="P22" i="23"/>
  <c r="S23" i="1"/>
  <c r="T23" i="1"/>
  <c r="U23" i="1"/>
  <c r="V23" i="1"/>
  <c r="S24" i="1"/>
  <c r="T24" i="1"/>
  <c r="U24" i="1"/>
  <c r="V24" i="1"/>
  <c r="L23" i="1"/>
  <c r="M23" i="1"/>
  <c r="L24" i="1"/>
  <c r="M24" i="1"/>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P28" i="1"/>
  <c r="Q33" i="1"/>
  <c r="Q11"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T35" i="23" l="1"/>
  <c r="T29" i="4" s="1"/>
  <c r="P35" i="23"/>
  <c r="P29" i="4" s="1"/>
  <c r="U34" i="23"/>
  <c r="U28" i="4" s="1"/>
  <c r="Q34" i="23"/>
  <c r="Q28" i="4" s="1"/>
  <c r="S33" i="23"/>
  <c r="S27" i="4" s="1"/>
  <c r="T32" i="23"/>
  <c r="T26" i="4" s="1"/>
  <c r="P32" i="23"/>
  <c r="P26" i="4" s="1"/>
  <c r="T31" i="23"/>
  <c r="T25" i="4" s="1"/>
  <c r="P31" i="23"/>
  <c r="P25" i="4" s="1"/>
  <c r="S30" i="23"/>
  <c r="S24" i="4" s="1"/>
  <c r="U29" i="23"/>
  <c r="Q29" i="23"/>
  <c r="T28" i="23"/>
  <c r="S35" i="23"/>
  <c r="S29" i="4" s="1"/>
  <c r="T34" i="23"/>
  <c r="T28" i="4" s="1"/>
  <c r="P34" i="23"/>
  <c r="P28" i="4" s="1"/>
  <c r="V33" i="23"/>
  <c r="V27" i="4" s="1"/>
  <c r="R33" i="23"/>
  <c r="R27" i="4" s="1"/>
  <c r="S32" i="23"/>
  <c r="S26" i="4" s="1"/>
  <c r="S31" i="23"/>
  <c r="S25" i="4" s="1"/>
  <c r="V30" i="23"/>
  <c r="R30" i="23"/>
  <c r="T29" i="23"/>
  <c r="T23" i="4" s="1"/>
  <c r="P29" i="23"/>
  <c r="R35" i="23"/>
  <c r="R29" i="4" s="1"/>
  <c r="S34" i="23"/>
  <c r="S28" i="4" s="1"/>
  <c r="U33" i="23"/>
  <c r="U27" i="4" s="1"/>
  <c r="Q33" i="23"/>
  <c r="Q27" i="4" s="1"/>
  <c r="V32" i="23"/>
  <c r="V26" i="4" s="1"/>
  <c r="R32" i="23"/>
  <c r="R26" i="4" s="1"/>
  <c r="V31" i="23"/>
  <c r="V25" i="4" s="1"/>
  <c r="R31" i="23"/>
  <c r="R25" i="4" s="1"/>
  <c r="U30" i="23"/>
  <c r="U24" i="4" s="1"/>
  <c r="Q30" i="23"/>
  <c r="Q24" i="4" s="1"/>
  <c r="S29" i="23"/>
  <c r="J34" i="23"/>
  <c r="J28" i="4" s="1"/>
  <c r="J32" i="23"/>
  <c r="J26" i="4" s="1"/>
  <c r="L34" i="23"/>
  <c r="L28" i="4" s="1"/>
  <c r="O42" i="23"/>
  <c r="O36" i="4" s="1"/>
  <c r="I30" i="23"/>
  <c r="I24" i="4" s="1"/>
  <c r="J31" i="23"/>
  <c r="J25" i="4" s="1"/>
  <c r="J35" i="23"/>
  <c r="J29" i="4" s="1"/>
  <c r="J33" i="23"/>
  <c r="J27" i="4" s="1"/>
  <c r="I32" i="23"/>
  <c r="I26" i="4" s="1"/>
  <c r="E34" i="23"/>
  <c r="E28" i="4" s="1"/>
  <c r="H30" i="23"/>
  <c r="H24" i="4" s="1"/>
  <c r="H34" i="23"/>
  <c r="H28" i="4" s="1"/>
  <c r="K28" i="23"/>
  <c r="K22" i="4" s="1"/>
  <c r="O40" i="23"/>
  <c r="O34" i="4" s="1"/>
  <c r="I31" i="23"/>
  <c r="I25" i="4" s="1"/>
  <c r="J28" i="23"/>
  <c r="J22" i="4" s="1"/>
  <c r="O36" i="23"/>
  <c r="O30" i="4" s="1"/>
  <c r="H32" i="23"/>
  <c r="H26" i="4" s="1"/>
  <c r="I29" i="23"/>
  <c r="I23" i="4" s="1"/>
  <c r="I33" i="23"/>
  <c r="I27" i="4" s="1"/>
  <c r="O33" i="23"/>
  <c r="O27" i="4" s="1"/>
  <c r="I35" i="23"/>
  <c r="I29" i="4" s="1"/>
  <c r="H28" i="23"/>
  <c r="I28" i="23"/>
  <c r="I22" i="4" s="1"/>
  <c r="D33" i="23"/>
  <c r="D27" i="4" s="1"/>
  <c r="H35" i="23"/>
  <c r="H29" i="4" s="1"/>
  <c r="J30" i="23"/>
  <c r="J24" i="4" s="1"/>
  <c r="F34" i="23"/>
  <c r="F28" i="4" s="1"/>
  <c r="F28" i="23"/>
  <c r="G31" i="23"/>
  <c r="G25" i="4" s="1"/>
  <c r="C35" i="23"/>
  <c r="C29" i="4" s="1"/>
  <c r="K31" i="23"/>
  <c r="K25" i="4" s="1"/>
  <c r="M30" i="23"/>
  <c r="M24" i="4" s="1"/>
  <c r="O43" i="23"/>
  <c r="O39" i="23"/>
  <c r="O33" i="4" s="1"/>
  <c r="K33" i="23"/>
  <c r="K27" i="4" s="1"/>
  <c r="O29" i="23"/>
  <c r="O23" i="4" s="1"/>
  <c r="H31" i="23"/>
  <c r="F31" i="23"/>
  <c r="F25" i="4" s="1"/>
  <c r="H33" i="23"/>
  <c r="H27" i="4" s="1"/>
  <c r="I34" i="23"/>
  <c r="E33" i="23"/>
  <c r="E27" i="4" s="1"/>
  <c r="E30" i="23"/>
  <c r="E24" i="4" s="1"/>
  <c r="L29" i="23"/>
  <c r="L23" i="4" s="1"/>
  <c r="M35" i="23"/>
  <c r="M29" i="4" s="1"/>
  <c r="O35" i="23"/>
  <c r="O29" i="4" s="1"/>
  <c r="L35" i="23"/>
  <c r="L29" i="4" s="1"/>
  <c r="K34" i="23"/>
  <c r="K28" i="4" s="1"/>
  <c r="M32" i="23"/>
  <c r="M26" i="4" s="1"/>
  <c r="K29" i="23"/>
  <c r="K35" i="23"/>
  <c r="K29" i="4" s="1"/>
  <c r="M33" i="23"/>
  <c r="M27" i="4" s="1"/>
  <c r="L32" i="23"/>
  <c r="L26" i="4" s="1"/>
  <c r="M31" i="23"/>
  <c r="M25" i="4" s="1"/>
  <c r="K30" i="23"/>
  <c r="K24" i="4" s="1"/>
  <c r="M34" i="23"/>
  <c r="M28" i="4" s="1"/>
  <c r="L33" i="23"/>
  <c r="L27" i="4" s="1"/>
  <c r="K32" i="23"/>
  <c r="K26" i="4" s="1"/>
  <c r="L31" i="23"/>
  <c r="L25" i="4" s="1"/>
  <c r="M29" i="23"/>
  <c r="L28" i="23"/>
  <c r="D35" i="23"/>
  <c r="D29" i="4" s="1"/>
  <c r="D32" i="23"/>
  <c r="D26" i="4" s="1"/>
  <c r="E28" i="23"/>
  <c r="E22" i="4" s="1"/>
  <c r="F35" i="23"/>
  <c r="F29" i="4" s="1"/>
  <c r="F30" i="23"/>
  <c r="F24" i="4" s="1"/>
  <c r="D30" i="23"/>
  <c r="D24" i="4" s="1"/>
  <c r="F32" i="23"/>
  <c r="F26" i="4" s="1"/>
  <c r="G35" i="23"/>
  <c r="G29" i="4" s="1"/>
  <c r="C28" i="23"/>
  <c r="C22" i="4" s="1"/>
  <c r="G32" i="23"/>
  <c r="G26" i="4" s="1"/>
  <c r="G33" i="23"/>
  <c r="G27" i="4" s="1"/>
  <c r="C30" i="23"/>
  <c r="C24" i="4" s="1"/>
  <c r="D28" i="23"/>
  <c r="C33" i="23"/>
  <c r="C27" i="4" s="1"/>
  <c r="E29" i="23"/>
  <c r="E23" i="4" s="1"/>
  <c r="D34" i="23"/>
  <c r="D28" i="4" s="1"/>
  <c r="D31" i="23"/>
  <c r="D25" i="4" s="1"/>
  <c r="E32" i="23"/>
  <c r="E26" i="4" s="1"/>
  <c r="C32" i="23"/>
  <c r="C26" i="4" s="1"/>
  <c r="G28" i="23"/>
  <c r="F33" i="23"/>
  <c r="F27" i="4" s="1"/>
  <c r="E35" i="23"/>
  <c r="E29" i="4" s="1"/>
  <c r="D29" i="23"/>
  <c r="D23" i="4" s="1"/>
  <c r="G30" i="23"/>
  <c r="G24" i="4" s="1"/>
  <c r="C34" i="23"/>
  <c r="C28" i="4" s="1"/>
  <c r="C29" i="23"/>
  <c r="C23" i="4" s="1"/>
  <c r="E31" i="23"/>
  <c r="E25" i="4" s="1"/>
  <c r="C31" i="23"/>
  <c r="C25" i="4" s="1"/>
  <c r="F29" i="23"/>
  <c r="R33" i="1"/>
  <c r="R11" i="4" s="1"/>
  <c r="T35" i="1"/>
  <c r="T13" i="4" s="1"/>
  <c r="V34" i="1"/>
  <c r="V12" i="4" s="1"/>
  <c r="S33" i="1"/>
  <c r="S11" i="4" s="1"/>
  <c r="V32" i="1"/>
  <c r="V10" i="4" s="1"/>
  <c r="T31" i="1"/>
  <c r="T9" i="4" s="1"/>
  <c r="S30" i="1"/>
  <c r="S8" i="4" s="1"/>
  <c r="U29" i="1"/>
  <c r="U7" i="4" s="1"/>
  <c r="U28" i="1"/>
  <c r="O43" i="1"/>
  <c r="Q28" i="1"/>
  <c r="O32" i="1"/>
  <c r="O10" i="4" s="1"/>
  <c r="S35" i="1"/>
  <c r="S13" i="4" s="1"/>
  <c r="U34" i="1"/>
  <c r="U12" i="4" s="1"/>
  <c r="V33" i="1"/>
  <c r="V11" i="4" s="1"/>
  <c r="U32" i="1"/>
  <c r="U10" i="4" s="1"/>
  <c r="S31" i="1"/>
  <c r="S9" i="4" s="1"/>
  <c r="V30" i="1"/>
  <c r="V8" i="4" s="1"/>
  <c r="T29" i="1"/>
  <c r="T7" i="4" s="1"/>
  <c r="T28" i="1"/>
  <c r="P33" i="1"/>
  <c r="P11" i="4" s="1"/>
  <c r="Q34" i="1"/>
  <c r="Q12" i="4" s="1"/>
  <c r="V35" i="1"/>
  <c r="V13" i="4" s="1"/>
  <c r="T34" i="1"/>
  <c r="T12" i="4" s="1"/>
  <c r="U33" i="1"/>
  <c r="U11" i="4" s="1"/>
  <c r="T32" i="1"/>
  <c r="T10" i="4" s="1"/>
  <c r="V31" i="1"/>
  <c r="V9" i="4" s="1"/>
  <c r="U30" i="1"/>
  <c r="U8" i="4" s="1"/>
  <c r="S29" i="1"/>
  <c r="S7" i="4" s="1"/>
  <c r="S28" i="1"/>
  <c r="Q35" i="1"/>
  <c r="Q13" i="4" s="1"/>
  <c r="P30" i="1"/>
  <c r="P8" i="4" s="1"/>
  <c r="Q31" i="1"/>
  <c r="Q9" i="4" s="1"/>
  <c r="U35" i="1"/>
  <c r="U13" i="4" s="1"/>
  <c r="S34" i="1"/>
  <c r="S12" i="4" s="1"/>
  <c r="T33" i="1"/>
  <c r="T11" i="4" s="1"/>
  <c r="S32" i="1"/>
  <c r="S10" i="4" s="1"/>
  <c r="U31" i="1"/>
  <c r="U9" i="4" s="1"/>
  <c r="T30" i="1"/>
  <c r="T8" i="4" s="1"/>
  <c r="V29" i="1"/>
  <c r="V7" i="4" s="1"/>
  <c r="V28" i="1"/>
  <c r="O38" i="1"/>
  <c r="O16" i="4" s="1"/>
  <c r="O41" i="1"/>
  <c r="O19" i="4" s="1"/>
  <c r="O40" i="1"/>
  <c r="O18" i="4" s="1"/>
  <c r="F29" i="1"/>
  <c r="F7" i="4" s="1"/>
  <c r="E29" i="1"/>
  <c r="E30" i="1"/>
  <c r="E8" i="4" s="1"/>
  <c r="E35" i="1"/>
  <c r="E13" i="4" s="1"/>
  <c r="E33" i="1"/>
  <c r="E11" i="4" s="1"/>
  <c r="G35" i="1"/>
  <c r="G13" i="4" s="1"/>
  <c r="O42" i="1"/>
  <c r="O20" i="4" s="1"/>
  <c r="O39" i="1"/>
  <c r="O17" i="4" s="1"/>
  <c r="I34" i="1"/>
  <c r="I12" i="4" s="1"/>
  <c r="H30" i="1"/>
  <c r="H8" i="4" s="1"/>
  <c r="G30" i="1"/>
  <c r="G8" i="4" s="1"/>
  <c r="F30" i="1"/>
  <c r="I30" i="1"/>
  <c r="I8" i="4" s="1"/>
  <c r="G29" i="1"/>
  <c r="J34" i="1"/>
  <c r="J12" i="4" s="1"/>
  <c r="I33" i="1"/>
  <c r="I11" i="4" s="1"/>
  <c r="H35" i="1"/>
  <c r="H13" i="4" s="1"/>
  <c r="M28" i="1"/>
  <c r="M6" i="4" s="1"/>
  <c r="G34" i="1"/>
  <c r="G12" i="4" s="1"/>
  <c r="F34" i="1"/>
  <c r="F12" i="4" s="1"/>
  <c r="I29" i="1"/>
  <c r="H33" i="1"/>
  <c r="H11" i="4" s="1"/>
  <c r="H31" i="1"/>
  <c r="P34" i="1"/>
  <c r="P12" i="4" s="1"/>
  <c r="F33" i="1"/>
  <c r="F11" i="4" s="1"/>
  <c r="C35" i="1"/>
  <c r="C13" i="4" s="1"/>
  <c r="H32" i="1"/>
  <c r="H10" i="4" s="1"/>
  <c r="F35" i="1"/>
  <c r="F13" i="4" s="1"/>
  <c r="D33" i="1"/>
  <c r="D11" i="4" s="1"/>
  <c r="D35" i="1"/>
  <c r="D13" i="4" s="1"/>
  <c r="H34" i="1"/>
  <c r="H12" i="4" s="1"/>
  <c r="J33" i="1"/>
  <c r="J11" i="4" s="1"/>
  <c r="E32" i="1"/>
  <c r="E10" i="4" s="1"/>
  <c r="F32" i="1"/>
  <c r="F10" i="4" s="1"/>
  <c r="J29" i="1"/>
  <c r="J7" i="4" s="1"/>
  <c r="J28" i="1"/>
  <c r="J6" i="4" s="1"/>
  <c r="M34" i="1"/>
  <c r="M12" i="4" s="1"/>
  <c r="L33" i="1"/>
  <c r="L11" i="4" s="1"/>
  <c r="K30" i="1"/>
  <c r="K8" i="4" s="1"/>
  <c r="J32" i="1"/>
  <c r="M35" i="1"/>
  <c r="M13" i="4" s="1"/>
  <c r="L34" i="1"/>
  <c r="L12" i="4" s="1"/>
  <c r="K33" i="1"/>
  <c r="K11" i="4" s="1"/>
  <c r="M32" i="1"/>
  <c r="M10" i="4" s="1"/>
  <c r="M31" i="1"/>
  <c r="M9" i="4" s="1"/>
  <c r="M29" i="1"/>
  <c r="L28" i="1"/>
  <c r="J35" i="1"/>
  <c r="J13" i="4" s="1"/>
  <c r="J31" i="1"/>
  <c r="J9" i="4" s="1"/>
  <c r="L35" i="1"/>
  <c r="L13" i="4" s="1"/>
  <c r="K34" i="1"/>
  <c r="K12" i="4" s="1"/>
  <c r="L32" i="1"/>
  <c r="L10" i="4" s="1"/>
  <c r="L31" i="1"/>
  <c r="L9" i="4" s="1"/>
  <c r="M30" i="1"/>
  <c r="M8" i="4" s="1"/>
  <c r="L29" i="1"/>
  <c r="L7" i="4" s="1"/>
  <c r="K28" i="1"/>
  <c r="C33" i="1"/>
  <c r="C11" i="4" s="1"/>
  <c r="J30" i="1"/>
  <c r="K35" i="1"/>
  <c r="K13" i="4" s="1"/>
  <c r="M33" i="1"/>
  <c r="M11" i="4" s="1"/>
  <c r="K32" i="1"/>
  <c r="K10" i="4" s="1"/>
  <c r="K31" i="1"/>
  <c r="K9" i="4" s="1"/>
  <c r="L30" i="1"/>
  <c r="L8" i="4" s="1"/>
  <c r="K29" i="1"/>
  <c r="K7" i="4" s="1"/>
  <c r="B33" i="1"/>
  <c r="B11" i="4" s="1"/>
  <c r="F22" i="4"/>
  <c r="L6" i="4"/>
  <c r="T6" i="4"/>
  <c r="M22" i="4"/>
  <c r="P6" i="4"/>
  <c r="Q6" i="4"/>
  <c r="H22" i="4"/>
  <c r="D22" i="4"/>
  <c r="S6" i="4"/>
  <c r="L22" i="4"/>
  <c r="Q22"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F46" i="1" s="1"/>
  <c r="F53" i="1" s="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P37" i="1"/>
  <c r="F22" i="23"/>
  <c r="E46" i="23"/>
  <c r="E53" i="23" s="1"/>
  <c r="O36" i="1"/>
  <c r="Q46" i="23"/>
  <c r="Q53" i="23" s="1"/>
  <c r="H45" i="23"/>
  <c r="Q47" i="23"/>
  <c r="Q48" i="23" s="1"/>
  <c r="Q54" i="23" s="1"/>
  <c r="U46" i="23"/>
  <c r="U53" i="23" s="1"/>
  <c r="T46" i="23"/>
  <c r="T53" i="23" s="1"/>
  <c r="R31" i="1"/>
  <c r="R9" i="4" s="1"/>
  <c r="R22" i="4"/>
  <c r="V22" i="4"/>
  <c r="U29" i="4"/>
  <c r="T47" i="23"/>
  <c r="T48" i="23" s="1"/>
  <c r="T54" i="23" s="1"/>
  <c r="T27" i="4"/>
  <c r="H46" i="23"/>
  <c r="H53" i="23" s="1"/>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H9" i="4"/>
  <c r="J10" i="4"/>
  <c r="G7" i="4"/>
  <c r="C4" i="4"/>
  <c r="J47" i="23"/>
  <c r="J48" i="23" s="1"/>
  <c r="J54" i="23" s="1"/>
  <c r="P47" i="23"/>
  <c r="P48" i="23" s="1"/>
  <c r="P54" i="23" s="1"/>
  <c r="F47" i="23"/>
  <c r="F48" i="23" s="1"/>
  <c r="F54" i="23" s="1"/>
  <c r="U47" i="23"/>
  <c r="U48" i="23" s="1"/>
  <c r="U54" i="23" s="1"/>
  <c r="A47" i="22"/>
  <c r="J46" i="23"/>
  <c r="J53" i="23" s="1"/>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T56" i="23"/>
  <c r="V56" i="23"/>
  <c r="R56" i="23"/>
  <c r="U56" i="23"/>
  <c r="S56" i="23"/>
  <c r="Q56" i="23"/>
  <c r="P56" i="23"/>
  <c r="J56" i="23"/>
  <c r="I56" i="23"/>
  <c r="H56" i="23"/>
  <c r="M56" i="23"/>
  <c r="L56" i="23"/>
  <c r="K56" i="23"/>
  <c r="C56" i="23"/>
  <c r="D56" i="23"/>
  <c r="F56" i="23"/>
  <c r="E56" i="23"/>
  <c r="G56" i="23"/>
  <c r="U56" i="1"/>
  <c r="V56" i="1"/>
  <c r="S56" i="1"/>
  <c r="T56" i="1"/>
  <c r="M56" i="1"/>
  <c r="J56" i="1"/>
  <c r="L56" i="1"/>
  <c r="K56" i="1"/>
  <c r="C56" i="1"/>
  <c r="H56" i="1"/>
  <c r="P56" i="1"/>
  <c r="B56" i="23"/>
  <c r="O56" i="23"/>
  <c r="D56" i="1"/>
  <c r="F56" i="1"/>
  <c r="O56" i="1"/>
  <c r="L78" i="4"/>
  <c r="B56" i="1"/>
  <c r="R56" i="1"/>
  <c r="E56" i="1"/>
  <c r="Q56" i="1"/>
  <c r="I56" i="1"/>
  <c r="G56" i="1"/>
  <c r="P57" i="23" l="1"/>
  <c r="Q57" i="23"/>
  <c r="S57" i="23"/>
  <c r="U57" i="23"/>
  <c r="R57" i="23"/>
  <c r="V57" i="23"/>
  <c r="T57" i="23"/>
  <c r="Q23" i="4"/>
  <c r="M47" i="23"/>
  <c r="M48" i="23" s="1"/>
  <c r="M54" i="23" s="1"/>
  <c r="S23" i="4"/>
  <c r="S63" i="4" s="1"/>
  <c r="S64" i="4" s="1"/>
  <c r="U23" i="4"/>
  <c r="R24" i="4"/>
  <c r="V24" i="4"/>
  <c r="V57" i="4" s="1"/>
  <c r="V58" i="4" s="1"/>
  <c r="V76" i="4" s="1"/>
  <c r="T22" i="4"/>
  <c r="J57" i="23"/>
  <c r="I46" i="23"/>
  <c r="I53" i="23" s="1"/>
  <c r="M46" i="23"/>
  <c r="M53" i="23" s="1"/>
  <c r="F46" i="23"/>
  <c r="F53" i="23" s="1"/>
  <c r="C47" i="23"/>
  <c r="C48" i="23" s="1"/>
  <c r="C54" i="23" s="1"/>
  <c r="C46" i="23"/>
  <c r="C53" i="23" s="1"/>
  <c r="E47" i="23"/>
  <c r="E48" i="23" s="1"/>
  <c r="E54" i="23" s="1"/>
  <c r="H47" i="23"/>
  <c r="H48" i="23" s="1"/>
  <c r="H54" i="23" s="1"/>
  <c r="L46" i="23"/>
  <c r="L53" i="23" s="1"/>
  <c r="I47" i="23"/>
  <c r="I48" i="23" s="1"/>
  <c r="I54" i="23" s="1"/>
  <c r="H57" i="23"/>
  <c r="I57" i="23"/>
  <c r="D46" i="23"/>
  <c r="D53" i="23" s="1"/>
  <c r="L47" i="23"/>
  <c r="L48" i="23" s="1"/>
  <c r="L54" i="23" s="1"/>
  <c r="D47" i="23"/>
  <c r="D48" i="23" s="1"/>
  <c r="D54" i="23" s="1"/>
  <c r="H25" i="4"/>
  <c r="K46" i="23"/>
  <c r="K53" i="23" s="1"/>
  <c r="I28" i="4"/>
  <c r="K47" i="23"/>
  <c r="K48" i="23" s="1"/>
  <c r="K54" i="23" s="1"/>
  <c r="K57" i="23"/>
  <c r="L57" i="23"/>
  <c r="M57" i="23"/>
  <c r="K23" i="4"/>
  <c r="M23" i="4"/>
  <c r="G57" i="23"/>
  <c r="E57" i="23"/>
  <c r="F57" i="23"/>
  <c r="D57" i="23"/>
  <c r="C57" i="23"/>
  <c r="G46" i="23"/>
  <c r="G53" i="23" s="1"/>
  <c r="G47" i="23"/>
  <c r="G48" i="23" s="1"/>
  <c r="G54" i="23" s="1"/>
  <c r="G22" i="4"/>
  <c r="F23" i="4"/>
  <c r="T57" i="1"/>
  <c r="S57" i="1"/>
  <c r="V57" i="1"/>
  <c r="U57" i="1"/>
  <c r="L46" i="1"/>
  <c r="L53" i="1" s="1"/>
  <c r="J47" i="1"/>
  <c r="J48" i="1" s="1"/>
  <c r="J54" i="1" s="1"/>
  <c r="M47" i="1"/>
  <c r="M48" i="1" s="1"/>
  <c r="M54" i="1" s="1"/>
  <c r="L47" i="1"/>
  <c r="L48" i="1" s="1"/>
  <c r="L54" i="1" s="1"/>
  <c r="K46" i="1"/>
  <c r="K53" i="1" s="1"/>
  <c r="J46" i="1"/>
  <c r="J53" i="1" s="1"/>
  <c r="K47" i="1"/>
  <c r="K48" i="1" s="1"/>
  <c r="K54" i="1" s="1"/>
  <c r="M46" i="1"/>
  <c r="M53" i="1" s="1"/>
  <c r="K57" i="1"/>
  <c r="L57" i="1"/>
  <c r="J57" i="1"/>
  <c r="M57" i="1"/>
  <c r="L63" i="4"/>
  <c r="L64" i="4" s="1"/>
  <c r="P47" i="1"/>
  <c r="P48" i="1" s="1"/>
  <c r="P54" i="1" s="1"/>
  <c r="K6" i="4"/>
  <c r="J8" i="4"/>
  <c r="J63" i="4" s="1"/>
  <c r="J64" i="4" s="1"/>
  <c r="M7" i="4"/>
  <c r="D6" i="4"/>
  <c r="R6" i="4"/>
  <c r="C6" i="4"/>
  <c r="B22" i="4"/>
  <c r="I6" i="4"/>
  <c r="P7" i="4"/>
  <c r="E6" i="4"/>
  <c r="H6" i="4"/>
  <c r="F6" i="4"/>
  <c r="O6" i="4"/>
  <c r="B6" i="4"/>
  <c r="G6" i="4"/>
  <c r="Q7" i="4"/>
  <c r="U63" i="4"/>
  <c r="U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V56" i="4"/>
  <c r="V75" i="4" s="1"/>
  <c r="U57" i="4"/>
  <c r="U58" i="4" s="1"/>
  <c r="U76" i="4" s="1"/>
  <c r="L56" i="4"/>
  <c r="L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C63" i="4" s="1"/>
  <c r="C64" i="4" s="1"/>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V78" i="4"/>
  <c r="S78" i="4"/>
  <c r="T78" i="4"/>
  <c r="U78" i="4"/>
  <c r="J78" i="4"/>
  <c r="M78" i="4"/>
  <c r="K78" i="4"/>
  <c r="F78" i="4"/>
  <c r="Q78" i="4"/>
  <c r="E78" i="4"/>
  <c r="G78" i="4"/>
  <c r="C78" i="4"/>
  <c r="O78" i="4"/>
  <c r="H78" i="4"/>
  <c r="B78" i="4"/>
  <c r="I78" i="4"/>
  <c r="R78" i="4"/>
  <c r="P78" i="4"/>
  <c r="D78" i="4"/>
  <c r="S56" i="4" l="1"/>
  <c r="S75" i="4" s="1"/>
  <c r="K56" i="4"/>
  <c r="K75" i="4" s="1"/>
  <c r="F63" i="4"/>
  <c r="F64" i="4" s="1"/>
  <c r="U79" i="4"/>
  <c r="T79" i="4"/>
  <c r="S79" i="4"/>
  <c r="V79" i="4"/>
  <c r="K57" i="4"/>
  <c r="K58" i="4" s="1"/>
  <c r="K76" i="4" s="1"/>
  <c r="F55" i="23"/>
  <c r="M56" i="4"/>
  <c r="M75" i="4" s="1"/>
  <c r="C55" i="23"/>
  <c r="M57" i="4"/>
  <c r="M58" i="4" s="1"/>
  <c r="M76" i="4" s="1"/>
  <c r="R63" i="4"/>
  <c r="R64" i="4" s="1"/>
  <c r="J56" i="4"/>
  <c r="J75" i="4" s="1"/>
  <c r="J57" i="4"/>
  <c r="J58" i="4" s="1"/>
  <c r="J76" i="4" s="1"/>
  <c r="H56" i="4"/>
  <c r="H75" i="4" s="1"/>
  <c r="I57" i="4"/>
  <c r="I58" i="4" s="1"/>
  <c r="I76" i="4" s="1"/>
  <c r="K79" i="4"/>
  <c r="M79" i="4"/>
  <c r="J79" i="4"/>
  <c r="V4" i="4"/>
  <c r="V55" i="4" s="1"/>
  <c r="K63" i="4"/>
  <c r="K64" i="4" s="1"/>
  <c r="M63" i="4"/>
  <c r="M64" i="4" s="1"/>
  <c r="G55" i="1"/>
  <c r="I63" i="4"/>
  <c r="I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H3" i="12" s="1"/>
  <c r="J4" i="12"/>
  <c r="M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C57" i="4"/>
  <c r="C58" i="4" s="1"/>
  <c r="C76" i="4" s="1"/>
  <c r="Q2" i="12"/>
  <c r="Q4" i="12" s="1"/>
  <c r="P2" i="12"/>
  <c r="P4" i="12" s="1"/>
  <c r="Q56" i="4"/>
  <c r="Q75" i="4" s="1"/>
  <c r="O56" i="4"/>
  <c r="O75" i="4" s="1"/>
  <c r="T77" i="4" s="1"/>
  <c r="C56" i="4"/>
  <c r="C75" i="4" s="1"/>
  <c r="R2" i="12"/>
  <c r="R4" i="12" s="1"/>
  <c r="V74" i="4"/>
  <c r="Z2" i="12" s="1"/>
  <c r="V62" i="4"/>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O76" i="4"/>
  <c r="C55" i="1"/>
  <c r="H55" i="1"/>
  <c r="F55" i="1"/>
  <c r="I55" i="1"/>
  <c r="L55" i="1"/>
  <c r="J55" i="1"/>
  <c r="D55" i="1"/>
  <c r="K55" i="1"/>
  <c r="E55" i="1"/>
  <c r="O59" i="1"/>
  <c r="J59" i="1"/>
  <c r="J60" i="1" s="1"/>
  <c r="F59" i="1"/>
  <c r="F60" i="1" s="1"/>
  <c r="M59" i="1"/>
  <c r="M60" i="1" s="1"/>
  <c r="I59" i="1"/>
  <c r="E59" i="1"/>
  <c r="L59" i="1"/>
  <c r="L60" i="1" s="1"/>
  <c r="H59" i="1"/>
  <c r="H60" i="1" s="1"/>
  <c r="D59" i="1"/>
  <c r="D60" i="1" s="1"/>
  <c r="K59" i="1"/>
  <c r="K60" i="1" s="1"/>
  <c r="C59" i="1"/>
  <c r="C60" i="1" s="1"/>
  <c r="G59" i="1"/>
  <c r="G60" i="1" s="1"/>
  <c r="M55" i="1"/>
  <c r="T59" i="1"/>
  <c r="T60" i="1" s="1"/>
  <c r="P59" i="1"/>
  <c r="S59" i="1"/>
  <c r="S60" i="1" s="1"/>
  <c r="V59" i="1"/>
  <c r="V60" i="1" s="1"/>
  <c r="R59" i="1"/>
  <c r="U59" i="1"/>
  <c r="U60" i="1" s="1"/>
  <c r="Q59" i="1"/>
  <c r="Q60" i="1" s="1"/>
  <c r="B65" i="1"/>
  <c r="B64" i="1"/>
  <c r="B55" i="1"/>
  <c r="T27" i="23"/>
  <c r="T52" i="23" s="1"/>
  <c r="T45" i="23"/>
  <c r="T22" i="23"/>
  <c r="J3" i="12"/>
  <c r="T27" i="1"/>
  <c r="T52" i="1" s="1"/>
  <c r="T45" i="1"/>
  <c r="T4" i="4"/>
  <c r="T62" i="4" s="1"/>
  <c r="T22" i="1"/>
  <c r="T60" i="23"/>
  <c r="R60" i="1"/>
  <c r="I60" i="1"/>
  <c r="P60" i="1"/>
  <c r="O60" i="1"/>
  <c r="E60" i="1"/>
  <c r="AH2" i="12" l="1"/>
  <c r="I3" i="12"/>
  <c r="F3" i="12"/>
  <c r="F4" i="12"/>
  <c r="H4" i="12"/>
  <c r="G3" i="12"/>
  <c r="J80" i="4"/>
  <c r="I4" i="12"/>
  <c r="G4" i="12"/>
  <c r="F4" i="27"/>
  <c r="AA2" i="12"/>
  <c r="P75" i="4"/>
  <c r="B5" i="27" s="1"/>
  <c r="O81" i="4"/>
  <c r="AE2" i="12"/>
  <c r="U74" i="4"/>
  <c r="Y2" i="12" s="1"/>
  <c r="U62" i="4"/>
  <c r="B6" i="12"/>
  <c r="B6" i="27"/>
  <c r="R61" i="23"/>
  <c r="U55" i="4"/>
  <c r="F3" i="27"/>
  <c r="V77" i="4"/>
  <c r="U77" i="4"/>
  <c r="O77" i="4"/>
  <c r="S77" i="4"/>
  <c r="Q77" i="4"/>
  <c r="R77" i="4"/>
  <c r="P81" i="4"/>
  <c r="Q81" i="4"/>
  <c r="Q82" i="4" s="1"/>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AD4" i="12" s="1"/>
  <c r="P3" i="12"/>
  <c r="Q3" i="12"/>
  <c r="K2" i="12"/>
  <c r="K4" i="12" s="1"/>
  <c r="B4" i="27"/>
  <c r="B4" i="12"/>
  <c r="O61" i="1"/>
  <c r="Q61" i="1"/>
  <c r="P61" i="1"/>
  <c r="C61" i="1"/>
  <c r="R61" i="1"/>
  <c r="AB2" i="12"/>
  <c r="AB4" i="12" s="1"/>
  <c r="AF2" i="12"/>
  <c r="T55" i="4"/>
  <c r="T74" i="4"/>
  <c r="O82" i="4"/>
  <c r="P82" i="4"/>
  <c r="B5" i="12" l="1"/>
  <c r="P77" i="4"/>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Q5" i="12"/>
  <c r="R5" i="12"/>
  <c r="P83" i="4"/>
  <c r="S5" i="12"/>
  <c r="Q83" i="4"/>
  <c r="P5" i="12"/>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AF9" i="12" l="1"/>
  <c r="AF10" i="12" s="1"/>
  <c r="W9" i="12"/>
  <c r="W10" i="12" s="1"/>
  <c r="X9" i="12"/>
  <c r="X10" i="12" s="1"/>
  <c r="AB9" i="12"/>
  <c r="AB10" i="12" s="1"/>
  <c r="AA9" i="12"/>
  <c r="AA10" i="12" s="1"/>
  <c r="AI9" i="12"/>
  <c r="AI10" i="12" s="1"/>
  <c r="V9" i="12"/>
  <c r="V10" i="12" s="1"/>
  <c r="AJ9" i="12"/>
  <c r="AJ10" i="12" s="1"/>
  <c r="AE9" i="12"/>
  <c r="AE10" i="12" s="1"/>
  <c r="AD9" i="12"/>
  <c r="AD10" i="12" s="1"/>
  <c r="AC9" i="12"/>
  <c r="AC10" i="12" s="1"/>
  <c r="U9" i="12"/>
  <c r="U10" i="12" s="1"/>
  <c r="Y9" i="12"/>
  <c r="Y10" i="12" s="1"/>
  <c r="AH9" i="12"/>
  <c r="AH10" i="12" s="1"/>
  <c r="Z9" i="12"/>
  <c r="Z10" i="12" s="1"/>
  <c r="AG9" i="12"/>
  <c r="AG10" i="12"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I9" i="22" s="1"/>
  <c r="F12" i="22"/>
  <c r="G12" i="22" s="1"/>
  <c r="F16" i="22"/>
  <c r="G16" i="22" s="1"/>
  <c r="F22" i="22"/>
  <c r="I22" i="22" s="1"/>
  <c r="J5" i="12"/>
  <c r="F15" i="22"/>
  <c r="K15" i="22" s="1"/>
  <c r="M15" i="22" s="1"/>
  <c r="L5" i="12"/>
  <c r="F21" i="22"/>
  <c r="G21" i="22" s="1"/>
  <c r="F5" i="12"/>
  <c r="F24" i="22"/>
  <c r="G24" i="22" s="1"/>
  <c r="F10" i="22"/>
  <c r="K10" i="22" s="1"/>
  <c r="F11" i="22"/>
  <c r="I11" i="22" s="1"/>
  <c r="F13" i="22"/>
  <c r="I13" i="22" s="1"/>
  <c r="F14" i="22"/>
  <c r="I14" i="22" s="1"/>
  <c r="F18" i="22"/>
  <c r="G18" i="22" s="1"/>
  <c r="F8" i="22"/>
  <c r="G8" i="22" s="1"/>
  <c r="F5" i="27"/>
  <c r="F25" i="22"/>
  <c r="K25" i="22" s="1"/>
  <c r="M25" i="22" s="1"/>
  <c r="G5" i="12"/>
  <c r="H5" i="12"/>
  <c r="F17" i="22"/>
  <c r="K17" i="22" s="1"/>
  <c r="M17" i="22" s="1"/>
  <c r="K5" i="12"/>
  <c r="G51" i="22"/>
  <c r="J51" i="22" s="1"/>
  <c r="I51" i="22"/>
  <c r="M51" i="22" s="1"/>
  <c r="G44" i="22"/>
  <c r="J44" i="22" s="1"/>
  <c r="I44" i="22"/>
  <c r="M44" i="22" s="1"/>
  <c r="K44" i="22"/>
  <c r="N44" i="22" s="1"/>
  <c r="G38" i="22"/>
  <c r="J38" i="22" s="1"/>
  <c r="I38" i="22"/>
  <c r="M38" i="22" s="1"/>
  <c r="K38" i="22"/>
  <c r="N38" i="22" s="1"/>
  <c r="G33" i="22"/>
  <c r="J33" i="22" s="1"/>
  <c r="G46" i="22"/>
  <c r="J46" i="22" s="1"/>
  <c r="G37" i="22"/>
  <c r="J37" i="22" s="1"/>
  <c r="I37" i="22"/>
  <c r="M37" i="22" s="1"/>
  <c r="G40" i="22"/>
  <c r="J40" i="22" s="1"/>
  <c r="K26" i="22"/>
  <c r="M26" i="22" s="1"/>
  <c r="G41" i="22"/>
  <c r="J41" i="22" s="1"/>
  <c r="G13" i="22"/>
  <c r="G50" i="22"/>
  <c r="J50" i="22" s="1"/>
  <c r="G35" i="22"/>
  <c r="J35" i="22" s="1"/>
  <c r="G42" i="22"/>
  <c r="J42" i="22" s="1"/>
  <c r="G47" i="22"/>
  <c r="J47" i="22" s="1"/>
  <c r="G49" i="22"/>
  <c r="J49" i="22" s="1"/>
  <c r="I49" i="22"/>
  <c r="M49" i="22" s="1"/>
  <c r="G34" i="22"/>
  <c r="J34" i="22" s="1"/>
  <c r="I12" i="22"/>
  <c r="G39" i="22"/>
  <c r="J39" i="22" s="1"/>
  <c r="I39" i="22"/>
  <c r="M39" i="22" s="1"/>
  <c r="K39" i="22"/>
  <c r="N39" i="22" s="1"/>
  <c r="G32" i="22"/>
  <c r="J32" i="22" s="1"/>
  <c r="G45" i="22"/>
  <c r="J45" i="22" s="1"/>
  <c r="G36" i="22"/>
  <c r="J36" i="22" s="1"/>
  <c r="G48" i="22"/>
  <c r="J48" i="22" s="1"/>
  <c r="G43" i="22"/>
  <c r="J43" i="22" s="1"/>
  <c r="L3" i="28"/>
  <c r="I15" i="22" l="1"/>
  <c r="G15" i="22"/>
  <c r="K12" i="22"/>
  <c r="M12" i="22" s="1"/>
  <c r="K19" i="22"/>
  <c r="M19" i="22" s="1"/>
  <c r="K18" i="22"/>
  <c r="M18" i="22" s="1"/>
  <c r="K24" i="22"/>
  <c r="M24" i="22" s="1"/>
  <c r="G25" i="22"/>
  <c r="K14" i="22"/>
  <c r="M14" i="22" s="1"/>
  <c r="I36" i="22"/>
  <c r="I35" i="22"/>
  <c r="I48" i="22"/>
  <c r="I50" i="22"/>
  <c r="M50" i="22" s="1"/>
  <c r="G14" i="22"/>
  <c r="I41" i="22"/>
  <c r="I40" i="22"/>
  <c r="I43" i="22"/>
  <c r="I32" i="22"/>
  <c r="K16" i="22"/>
  <c r="M16" i="22" s="1"/>
  <c r="I19" i="22"/>
  <c r="I42" i="22"/>
  <c r="I18" i="22"/>
  <c r="I33" i="22"/>
  <c r="I45" i="22"/>
  <c r="I34" i="22"/>
  <c r="K49" i="22"/>
  <c r="N49" i="22" s="1"/>
  <c r="I47" i="22"/>
  <c r="K50" i="22"/>
  <c r="N50" i="22" s="1"/>
  <c r="K37" i="22"/>
  <c r="N37" i="22" s="1"/>
  <c r="I46" i="22"/>
  <c r="K51" i="22"/>
  <c r="N51" i="22" s="1"/>
  <c r="G10" i="22"/>
  <c r="I10" i="22"/>
  <c r="K7" i="22"/>
  <c r="M7" i="22" s="1"/>
  <c r="I25" i="22"/>
  <c r="I24" i="22"/>
  <c r="G9" i="22"/>
  <c r="I7" i="22"/>
  <c r="G3" i="28" s="1"/>
  <c r="G22" i="22"/>
  <c r="K21" i="22"/>
  <c r="M21" i="22" s="1"/>
  <c r="G11" i="22"/>
  <c r="I17" i="22"/>
  <c r="I26" i="22"/>
  <c r="G17" i="22"/>
  <c r="K13" i="22"/>
  <c r="M13" i="22" s="1"/>
  <c r="K9" i="22"/>
  <c r="M9" i="22" s="1"/>
  <c r="M10" i="22"/>
  <c r="N10" i="22"/>
  <c r="I16" i="22"/>
  <c r="G20" i="22"/>
  <c r="K8" i="22"/>
  <c r="M8" i="22" s="1"/>
  <c r="K23" i="22"/>
  <c r="M23" i="22" s="1"/>
  <c r="I21" i="22"/>
  <c r="K22" i="22"/>
  <c r="M22" i="22" s="1"/>
  <c r="I8" i="22"/>
  <c r="I23" i="22"/>
  <c r="K20" i="22"/>
  <c r="M20" i="22" s="1"/>
  <c r="K11" i="22"/>
  <c r="M11" i="22" s="1"/>
  <c r="H3" i="28"/>
  <c r="N15" i="22"/>
  <c r="N25" i="22"/>
  <c r="N17" i="22"/>
  <c r="N26"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N19" i="22" l="1"/>
  <c r="N18" i="22"/>
  <c r="N12" i="22"/>
  <c r="N24" i="22"/>
  <c r="K36" i="22"/>
  <c r="N36" i="22" s="1"/>
  <c r="N14" i="22"/>
  <c r="K35" i="22"/>
  <c r="N35" i="22" s="1"/>
  <c r="M41" i="22"/>
  <c r="K41" i="22"/>
  <c r="N41" i="22" s="1"/>
  <c r="G2" i="28"/>
  <c r="H2" i="28"/>
  <c r="N16" i="22"/>
  <c r="M40" i="22"/>
  <c r="K40" i="22"/>
  <c r="N40" i="22" s="1"/>
  <c r="M48" i="22"/>
  <c r="K48" i="22"/>
  <c r="N48" i="22" s="1"/>
  <c r="M46" i="22"/>
  <c r="K46" i="22"/>
  <c r="N46" i="22" s="1"/>
  <c r="K33" i="22"/>
  <c r="N33" i="22" s="1"/>
  <c r="K34" i="22"/>
  <c r="N34" i="22" s="1"/>
  <c r="K32" i="22"/>
  <c r="M32" i="22" s="1"/>
  <c r="M47" i="22"/>
  <c r="K47" i="22"/>
  <c r="N47" i="22" s="1"/>
  <c r="M45" i="22"/>
  <c r="K45" i="22"/>
  <c r="N45" i="22" s="1"/>
  <c r="M42" i="22"/>
  <c r="K42" i="22"/>
  <c r="N42" i="22" s="1"/>
  <c r="M43" i="22"/>
  <c r="K43" i="22"/>
  <c r="N43" i="22" s="1"/>
  <c r="N20" i="22"/>
  <c r="N13" i="22"/>
  <c r="N7" i="22"/>
  <c r="N8" i="22"/>
  <c r="N21" i="22"/>
  <c r="N11" i="22"/>
  <c r="N9" i="22"/>
  <c r="N23" i="22"/>
  <c r="N22" i="22"/>
  <c r="M33" i="22" l="1"/>
  <c r="M35" i="22"/>
  <c r="M34" i="22"/>
  <c r="M36" i="22"/>
  <c r="L2" i="28"/>
  <c r="N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<sst xmlns="http://schemas.openxmlformats.org/spreadsheetml/2006/main" count="7408" uniqueCount="4082">
  <si>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</si>
  <si>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</si>
  <si>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</si>
  <si>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</si>
  <si>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</si>
  <si>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</si>
  <si>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</si>
  <si>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</si>
  <si>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</si>
  <si>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</si>
  <si>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</si>
  <si>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</si>
  <si>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</si>
  <si>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</si>
  <si>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</si>
  <si>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</si>
  <si>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</si>
  <si>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</si>
  <si>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</si>
  <si>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</si>
  <si>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</si>
  <si>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</si>
  <si>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</si>
  <si>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</si>
  <si>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</si>
  <si>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</si>
  <si>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</si>
  <si>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</si>
  <si>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</si>
  <si>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</si>
  <si>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</si>
  <si>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</si>
  <si>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</si>
  <si>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</si>
  <si>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</si>
  <si>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</si>
  <si>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</si>
  <si>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</si>
  <si>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</si>
  <si>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</si>
  <si>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</si>
  <si>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</si>
  <si>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</si>
  <si>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</si>
  <si>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</si>
  <si>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</si>
  <si>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</si>
  <si>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</si>
  <si>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</si>
  <si>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</si>
  <si>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</si>
  <si>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</si>
  <si>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</si>
  <si>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</si>
  <si>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</si>
  <si>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</si>
  <si>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</si>
  <si>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</si>
  <si>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</si>
  <si>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</si>
  <si>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</si>
  <si>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</si>
  <si>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</si>
  <si>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</si>
  <si>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</si>
  <si>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</si>
  <si>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</si>
  <si>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</si>
  <si>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</si>
  <si>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</si>
  <si>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</si>
  <si>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</si>
  <si>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</si>
  <si>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</si>
  <si>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</si>
  <si>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</si>
  <si>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</si>
  <si>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</si>
  <si>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</si>
  <si>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</si>
  <si>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</si>
  <si>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</si>
  <si>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</si>
  <si>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</si>
  <si>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</si>
  <si>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</si>
  <si>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</si>
  <si>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</si>
  <si>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</si>
  <si>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</si>
  <si>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</si>
  <si>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</si>
  <si>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</si>
  <si>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</si>
  <si>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</si>
  <si>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</si>
  <si>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</si>
  <si>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</si>
  <si>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</si>
  <si>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</si>
  <si>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</si>
  <si>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</si>
  <si>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</si>
  <si>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</si>
  <si>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</si>
  <si>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</si>
  <si>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</si>
  <si>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</si>
  <si>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</si>
  <si>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</si>
  <si>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</si>
  <si>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</si>
  <si>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</si>
  <si>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</si>
  <si>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</si>
  <si>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</si>
  <si>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</si>
  <si>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</si>
  <si>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</si>
  <si>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</si>
  <si>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</si>
  <si>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</si>
  <si>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</si>
  <si>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</si>
  <si>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</si>
  <si>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</si>
  <si>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</si>
  <si>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</si>
  <si>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</si>
  <si>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</si>
  <si>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</si>
  <si>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</si>
  <si>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</si>
  <si>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</si>
  <si>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</si>
  <si>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</si>
  <si>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</si>
  <si>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</si>
  <si>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</si>
  <si>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</si>
  <si>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</si>
  <si>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</si>
  <si>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</si>
  <si>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</si>
  <si>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</si>
  <si>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</si>
  <si>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</si>
  <si>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</si>
  <si>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</si>
  <si>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</si>
  <si>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</si>
  <si>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</si>
  <si>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</si>
  <si>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</si>
  <si>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</si>
  <si>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</si>
  <si>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</si>
  <si>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</si>
  <si>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</si>
  <si>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</si>
  <si>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</si>
  <si>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</si>
  <si>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</si>
  <si>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</si>
  <si>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</si>
  <si>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</si>
  <si>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file name </t>
  </si>
  <si>
    <t xml:space="preserve">C:\Users\andre\Desktop\REACTIV CEFAS\Anastrozole\Anastrozole/20201124_Cefas_Test7_Run1/Plate 1/@1/A10_01.tif </t>
  </si>
  <si>
    <t xml:space="preserve"> 1470.8328 </t>
  </si>
  <si>
    <t xml:space="preserve"> 38.3529 </t>
  </si>
  <si>
    <t xml:space="preserve">C:\Users\andre\Desktop\REACTIV CEFAS\Anastrozole\Anastrozole/20201124_Cefas_Test7_Run1/Plate 1/@1/A10_02.tif </t>
  </si>
  <si>
    <t xml:space="preserve"> 4196.1996 </t>
  </si>
  <si>
    <t xml:space="preserve"> 39.1237 </t>
  </si>
  <si>
    <t xml:space="preserve">C:\Users\andre\Desktop\REACTIV CEFAS\Anastrozole\Anastrozole/20201124_Cefas_Test7_Run1/Plate 1/@1/A10_03.tif </t>
  </si>
  <si>
    <t xml:space="preserve"> 6640.3777 </t>
  </si>
  <si>
    <t xml:space="preserve"> 38.9837 </t>
  </si>
  <si>
    <t xml:space="preserve">C:\Users\andre\Desktop\REACTIV CEFAS\Anastrozole\Anastrozole/20201124_Cefas_Test7_Run1/Plate 1/@1/B10_01.tif </t>
  </si>
  <si>
    <t xml:space="preserve"> 108.1495 </t>
  </si>
  <si>
    <t xml:space="preserve">C:\Users\andre\Desktop\REACTIV CEFAS\Anastrozole\Anastrozole/20201124_Cefas_Test7_Run1/Plate 1/@1/B10_02.tif </t>
  </si>
  <si>
    <t xml:space="preserve">C:\Users\andre\Desktop\REACTIV CEFAS\Anastrozole\Anastrozole/20201124_Cefas_Test7_Run1/Plate 1/@1/B10_03.tif </t>
  </si>
  <si>
    <t xml:space="preserve"> 367.7082 </t>
  </si>
  <si>
    <t xml:space="preserve"> 31.5882 </t>
  </si>
  <si>
    <t xml:space="preserve">C:\Users\andre\Desktop\REACTIV CEFAS\Anastrozole\Anastrozole/20201124_Cefas_Test7_Run1/Plate 1/@1/C10_01.tif </t>
  </si>
  <si>
    <t xml:space="preserve"> 6099.6303 </t>
  </si>
  <si>
    <t xml:space="preserve"> 36.4929 </t>
  </si>
  <si>
    <t xml:space="preserve">C:\Users\andre\Desktop\REACTIV CEFAS\Anastrozole\Anastrozole/20201124_Cefas_Test7_Run1/Plate 1/@1/C10_02.tif </t>
  </si>
  <si>
    <t xml:space="preserve"> 7592.093 </t>
  </si>
  <si>
    <t xml:space="preserve"> 37.8689 </t>
  </si>
  <si>
    <t xml:space="preserve">C:\Users\andre\Desktop\REACTIV CEFAS\Anastrozole\Anastrozole/20201124_Cefas_Test7_Run1/Plate 1/@1/C10_03.tif </t>
  </si>
  <si>
    <t xml:space="preserve"> 6705.2673 </t>
  </si>
  <si>
    <t xml:space="preserve"> 35.8097 </t>
  </si>
  <si>
    <t xml:space="preserve">C:\Users\andre\Desktop\REACTIV CEFAS\Anastrozole\Anastrozole/20201124_Cefas_Test7_Run1/Plate 1/@1/D10_01.tif </t>
  </si>
  <si>
    <t xml:space="preserve"> 6964.8261 </t>
  </si>
  <si>
    <t xml:space="preserve"> 37.0248 </t>
  </si>
  <si>
    <t xml:space="preserve">C:\Users\andre\Desktop\REACTIV CEFAS\Anastrozole\Anastrozole/20201124_Cefas_Test7_Run1/Plate 1/@1/D10_02.tif </t>
  </si>
  <si>
    <t xml:space="preserve"> 3049.8151 </t>
  </si>
  <si>
    <t xml:space="preserve"> 32.7518 </t>
  </si>
  <si>
    <t xml:space="preserve">C:\Users\andre\Desktop\REACTIV CEFAS\Anastrozole\Anastrozole/20201124_Cefas_Test7_Run1/Plate 1/@1/D10_03.tif </t>
  </si>
  <si>
    <t xml:space="preserve"> 5818.4417 </t>
  </si>
  <si>
    <t xml:space="preserve"> 38.1115 </t>
  </si>
  <si>
    <t xml:space="preserve">C:\Users\andre\Desktop\REACTIV CEFAS\Anastrozole\Anastrozole/20201124_Cefas_Test7_Run1/Plate 1/@1/E10_01.tif </t>
  </si>
  <si>
    <t xml:space="preserve"> 8197.7301 </t>
  </si>
  <si>
    <t xml:space="preserve"> 39.2032 </t>
  </si>
  <si>
    <t xml:space="preserve">C:\Users\andre\Desktop\REACTIV CEFAS\Anastrozole\Anastrozole/20201124_Cefas_Test7_Run1/Plate 1/@1/E10_02.tif </t>
  </si>
  <si>
    <t xml:space="preserve"> 15011.1469 </t>
  </si>
  <si>
    <t xml:space="preserve"> 44.1844 </t>
  </si>
  <si>
    <t xml:space="preserve">C:\Users\andre\Desktop\REACTIV CEFAS\Anastrozole\Anastrozole/20201124_Cefas_Test7_Run1/Plate 1/@1/E10_03.tif </t>
  </si>
  <si>
    <t xml:space="preserve"> 8154.4703 </t>
  </si>
  <si>
    <t xml:space="preserve"> 42.7586 </t>
  </si>
  <si>
    <t xml:space="preserve">C:\Users\andre\Desktop\REACTIV CEFAS\Anastrozole\Anastrozole/20201124_Cefas_Test7_Run1/Plate 1/@1/F10_01.tif </t>
  </si>
  <si>
    <t xml:space="preserve"> 3028.1852 </t>
  </si>
  <si>
    <t xml:space="preserve"> 34.5786 </t>
  </si>
  <si>
    <t xml:space="preserve">C:\Users\andre\Desktop\REACTIV CEFAS\Anastrozole\Anastrozole/20201124_Cefas_Test7_Run1/Plate 1/@1/F10_02.tif </t>
  </si>
  <si>
    <t xml:space="preserve"> 2509.0678 </t>
  </si>
  <si>
    <t xml:space="preserve"> 32.7931 </t>
  </si>
  <si>
    <t xml:space="preserve">C:\Users\andre\Desktop\REACTIV CEFAS\Anastrozole\Anastrozole/20201124_Cefas_Test7_Run1/Plate 1/@1/F10_03.tif </t>
  </si>
  <si>
    <t xml:space="preserve"> 1860.1709 </t>
  </si>
  <si>
    <t xml:space="preserve"> 32.093 </t>
  </si>
  <si>
    <t xml:space="preserve">C:\Users\andre\Desktop\REACTIV CEFAS\Anastrozole\Anastrozole/20201124_Cefas_Test7_Run1/Plate 1/@1/G10_01.tif </t>
  </si>
  <si>
    <t xml:space="preserve"> 6575.488 </t>
  </si>
  <si>
    <t xml:space="preserve"> 40.5822 </t>
  </si>
  <si>
    <t xml:space="preserve">C:\Users\andre\Desktop\REACTIV CEFAS\Anastrozole\Anastrozole/20201124_Cefas_Test7_Run1/Plate 1/@1/G10_02.tif </t>
  </si>
  <si>
    <t xml:space="preserve"> 64.8897 </t>
  </si>
  <si>
    <t xml:space="preserve"> 31.6667 </t>
  </si>
  <si>
    <t xml:space="preserve">C:\Users\andre\Desktop\REACTIV CEFAS\Anastrozole\Anastrozole/20201124_Cefas_Test7_Run1/Plate 1/@1/G10_03.tif </t>
  </si>
  <si>
    <t xml:space="preserve">C:\Users\andre\Desktop\REACTIV CEFAS\Anastrozole\Anastrozole/20201124_Cefas_Test7_Run1/Plate 1/@1/H10_01.tif </t>
  </si>
  <si>
    <t xml:space="preserve"> 194.6691 </t>
  </si>
  <si>
    <t xml:space="preserve">C:\Users\andre\Desktop\REACTIV CEFAS\Anastrozole\Anastrozole/20201124_Cefas_Test7_Run1/Plate 1/@1/H10_02.tif </t>
  </si>
  <si>
    <t xml:space="preserve"> 627.2669 </t>
  </si>
  <si>
    <t xml:space="preserve"> 31.4828 </t>
  </si>
  <si>
    <t xml:space="preserve">C:\Users\andre\Desktop\REACTIV CEFAS\Anastrozole\Anastrozole/20201124_Cefas_Test7_Run1/Plate 1/@1/H10_03.tif </t>
  </si>
  <si>
    <t xml:space="preserve"> 865.1958 </t>
  </si>
  <si>
    <t xml:space="preserve"> 33.075 </t>
  </si>
  <si>
    <t xml:space="preserve">group </t>
  </si>
  <si>
    <t xml:space="preserve"> mean of mean fluo </t>
  </si>
  <si>
    <t xml:space="preserve"> SD mean fluo </t>
  </si>
  <si>
    <t xml:space="preserve"> mean of total fluo </t>
  </si>
  <si>
    <t xml:space="preserve">C:\Users\andre\Desktop\REACTIV CEFAS\Anastrozole\Anastrozole/20201124_Cefas_Test7_Run1/Plate 1/@1/ </t>
  </si>
  <si>
    <t xml:space="preserve"> 32.9386 </t>
  </si>
  <si>
    <t xml:space="preserve"> 10.8343 </t>
  </si>
  <si>
    <t xml:space="preserve"> 155309.917 </t>
  </si>
  <si>
    <t xml:space="preserve">C:\Users\andre\Desktop\REACTIV CEFAS\Anastrozole\Anastrozole/20201124_Cefas_Test7_Run1/Plate 1/@13/A8_01.tif </t>
  </si>
  <si>
    <t xml:space="preserve"> 2336.0286 </t>
  </si>
  <si>
    <t xml:space="preserve"> 32.4722 </t>
  </si>
  <si>
    <t xml:space="preserve">C:\Users\andre\Desktop\REACTIV CEFAS\Anastrozole\Anastrozole/20201124_Cefas_Test7_Run1/Plate 1/@13/A8_02.tif </t>
  </si>
  <si>
    <t xml:space="preserve"> 1578.9823 </t>
  </si>
  <si>
    <t xml:space="preserve"> 31.589 </t>
  </si>
  <si>
    <t xml:space="preserve">C:\Users\andre\Desktop\REACTIV CEFAS\Anastrozole\Anastrozole/20201124_Cefas_Test7_Run1/Plate 1/@13/A8_03.tif </t>
  </si>
  <si>
    <t xml:space="preserve"> 1687.1318 </t>
  </si>
  <si>
    <t xml:space="preserve"> 32.6026 </t>
  </si>
  <si>
    <t xml:space="preserve">C:\Users\andre\Desktop\REACTIV CEFAS\Anastrozole\Anastrozole/20201124_Cefas_Test7_Run1/Plate 1/@13/B8_01.tif </t>
  </si>
  <si>
    <t xml:space="preserve"> 1276.1638 </t>
  </si>
  <si>
    <t xml:space="preserve"> 31.5763 </t>
  </si>
  <si>
    <t>C:\Users\andre\Desktop\REACTIV CEFAS\Anastrozole\Anastrozole/20201124_Cefas_Test7_Run1/Plate 1/@13/B8_02- exclu.tif</t>
  </si>
  <si>
    <t>C:\Users\andre\Desktop\REACTIV CEFAS\Anastrozole\Anastrozole/20201124_Cefas_Test7_Run1/Plate 1/@13/B8_03- exclu.tif</t>
  </si>
  <si>
    <t xml:space="preserve">C:\Users\andre\Desktop\REACTIV CEFAS\Anastrozole\Anastrozole/20201124_Cefas_Test7_Run1/Plate 1/@13/C8_01.tif </t>
  </si>
  <si>
    <t xml:space="preserve"> 44644.1025 </t>
  </si>
  <si>
    <t xml:space="preserve"> 39.0664 </t>
  </si>
  <si>
    <t xml:space="preserve">C:\Users\andre\Desktop\REACTIV CEFAS\Anastrozole\Anastrozole/20201124_Cefas_Test7_Run1/Plate 1/@13/C8_02.tif </t>
  </si>
  <si>
    <t xml:space="preserve"> 45292.9994 </t>
  </si>
  <si>
    <t xml:space="preserve"> 37.7053 </t>
  </si>
  <si>
    <t xml:space="preserve">C:\Users\andre\Desktop\REACTIV CEFAS\Anastrozole\Anastrozole/20201124_Cefas_Test7_Run1/Plate 1/@13/C8_03.tif </t>
  </si>
  <si>
    <t xml:space="preserve"> 48580.7433 </t>
  </si>
  <si>
    <t xml:space="preserve"> 39.0347 </t>
  </si>
  <si>
    <t xml:space="preserve">C:\Users\andre\Desktop\REACTIV CEFAS\Anastrozole\Anastrozole/20201124_Cefas_Test7_Run1/Plate 1/@13/D8_01.tif </t>
  </si>
  <si>
    <t xml:space="preserve"> 52084.7863 </t>
  </si>
  <si>
    <t xml:space="preserve"> 41.1877 </t>
  </si>
  <si>
    <t xml:space="preserve">C:\Users\andre\Desktop\REACTIV CEFAS\Anastrozole\Anastrozole/20201124_Cefas_Test7_Run1/Plate 1/@13/D8_02.tif </t>
  </si>
  <si>
    <t xml:space="preserve"> 53815.1778 </t>
  </si>
  <si>
    <t xml:space="preserve"> 43.1905 </t>
  </si>
  <si>
    <t xml:space="preserve">C:\Users\andre\Desktop\REACTIV CEFAS\Anastrozole\Anastrozole/20201124_Cefas_Test7_Run1/Plate 1/@13/D8_03.tif </t>
  </si>
  <si>
    <t xml:space="preserve"> 57449.0001 </t>
  </si>
  <si>
    <t xml:space="preserve"> 45.4661 </t>
  </si>
  <si>
    <t xml:space="preserve">C:\Users\andre\Desktop\REACTIV CEFAS\Anastrozole\Anastrozole/20201124_Cefas_Test7_Run1/Plate 1/@13/E8_01.tif </t>
  </si>
  <si>
    <t xml:space="preserve"> 25393.4963 </t>
  </si>
  <si>
    <t xml:space="preserve"> 34.2785 </t>
  </si>
  <si>
    <t xml:space="preserve">C:\Users\andre\Desktop\REACTIV CEFAS\Anastrozole\Anastrozole/20201124_Cefas_Test7_Run1/Plate 1/@13/E8_02.tif </t>
  </si>
  <si>
    <t xml:space="preserve"> 24549.9304 </t>
  </si>
  <si>
    <t xml:space="preserve"> 34.1427 </t>
  </si>
  <si>
    <t xml:space="preserve">C:\Users\andre\Desktop\REACTIV CEFAS\Anastrozole\Anastrozole/20201124_Cefas_Test7_Run1/Plate 1/@13/E8_03.tif </t>
  </si>
  <si>
    <t xml:space="preserve"> 27989.0836 </t>
  </si>
  <si>
    <t xml:space="preserve"> 35.2156 </t>
  </si>
  <si>
    <t xml:space="preserve">C:\Users\andre\Desktop\REACTIV CEFAS\Anastrozole\Anastrozole/20201124_Cefas_Test7_Run1/Plate 1/@13/F8_01.tif </t>
  </si>
  <si>
    <t xml:space="preserve"> 19142.4567 </t>
  </si>
  <si>
    <t xml:space="preserve"> 36.1073 </t>
  </si>
  <si>
    <t xml:space="preserve">C:\Users\andre\Desktop\REACTIV CEFAS\Anastrozole\Anastrozole/20201124_Cefas_Test7_Run1/Plate 1/@13/F8_02.tif </t>
  </si>
  <si>
    <t xml:space="preserve"> 14902.9974 </t>
  </si>
  <si>
    <t xml:space="preserve"> 44.7286 </t>
  </si>
  <si>
    <t xml:space="preserve">C:\Users\andre\Desktop\REACTIV CEFAS\Anastrozole\Anastrozole/20201124_Cefas_Test7_Run1/Plate 1/@13/F8_03.tif </t>
  </si>
  <si>
    <t xml:space="preserve"> 22019.2327 </t>
  </si>
  <si>
    <t xml:space="preserve"> 45.3271 </t>
  </si>
  <si>
    <t xml:space="preserve">C:\Users\andre\Desktop\REACTIV CEFAS\Anastrozole\Anastrozole/20201124_Cefas_Test7_Run1/Plate 1/@13/G8_01.tif </t>
  </si>
  <si>
    <t xml:space="preserve"> 47737.1774 </t>
  </si>
  <si>
    <t xml:space="preserve"> 39.3883 </t>
  </si>
  <si>
    <t xml:space="preserve">C:\Users\andre\Desktop\REACTIV CEFAS\Anastrozole\Anastrozole/20201124_Cefas_Test7_Run1/Plate 1/@13/G8_02.tif </t>
  </si>
  <si>
    <t xml:space="preserve"> 59785.0288 </t>
  </si>
  <si>
    <t xml:space="preserve"> 42.504 </t>
  </si>
  <si>
    <t xml:space="preserve">C:\Users\andre\Desktop\REACTIV CEFAS\Anastrozole\Anastrozole/20201124_Cefas_Test7_Run1/Plate 1/@13/G8_03.tif </t>
  </si>
  <si>
    <t xml:space="preserve"> 58162.7867 </t>
  </si>
  <si>
    <t xml:space="preserve"> 40.2793 </t>
  </si>
  <si>
    <t xml:space="preserve">C:\Users\andre\Desktop\REACTIV CEFAS\Anastrozole\Anastrozole/20201124_Cefas_Test7_Run1/Plate 1/@13/H8_01.tif </t>
  </si>
  <si>
    <t xml:space="preserve"> 45725.5972 </t>
  </si>
  <si>
    <t xml:space="preserve"> 35.7526 </t>
  </si>
  <si>
    <t xml:space="preserve">C:\Users\andre\Desktop\REACTIV CEFAS\Anastrozole\Anastrozole/20201124_Cefas_Test7_Run1/Plate 1/@13/H8_02.tif </t>
  </si>
  <si>
    <t xml:space="preserve"> 54117.9964 </t>
  </si>
  <si>
    <t xml:space="preserve"> 39.0847 </t>
  </si>
  <si>
    <t xml:space="preserve">C:\Users\andre\Desktop\REACTIV CEFAS\Anastrozole\Anastrozole/20201124_Cefas_Test7_Run1/Plate 1/@13/H8_03.tif </t>
  </si>
  <si>
    <t xml:space="preserve"> 43692.3872 </t>
  </si>
  <si>
    <t xml:space="preserve"> 37.1238 </t>
  </si>
  <si>
    <t xml:space="preserve">C:\Users\andre\Desktop\REACTIV CEFAS\Anastrozole\Anastrozole/20201124_Cefas_Test7_Run1/Plate 1/@13/ </t>
  </si>
  <si>
    <t xml:space="preserve"> 38.3374 </t>
  </si>
  <si>
    <t xml:space="preserve"> 4.3254 </t>
  </si>
  <si>
    <t xml:space="preserve"> 1328624.42 </t>
  </si>
  <si>
    <t>C:\Users\andre\Desktop\REACTIV CEFAS\Anastrozole\Anastrozole/20201124_Cefas_Test7_Run1/Plate 1/@14/A9_01- exclu.tif</t>
  </si>
  <si>
    <t>C:\Users\andre\Desktop\REACTIV CEFAS\Anastrozole\Anastrozole/20201124_Cefas_Test7_Run1/Plate 1/@14/A9_02- exclu.tif</t>
  </si>
  <si>
    <t>C:\Users\andre\Desktop\REACTIV CEFAS\Anastrozole\Anastrozole/20201124_Cefas_Test7_Run1/Plate 1/@14/A9_03- exclu.tif</t>
  </si>
  <si>
    <t xml:space="preserve">C:\Users\andre\Desktop\REACTIV CEFAS\Anastrozole\Anastrozole/20201124_Cefas_Test7_Run1/Plate 1/@14/B9_01.tif </t>
  </si>
  <si>
    <t xml:space="preserve"> 32358.3224 </t>
  </si>
  <si>
    <t xml:space="preserve"> 35.1364 </t>
  </si>
  <si>
    <t xml:space="preserve">C:\Users\andre\Desktop\REACTIV CEFAS\Anastrozole\Anastrozole/20201124_Cefas_Test7_Run1/Plate 1/@14/B9_02.tif </t>
  </si>
  <si>
    <t xml:space="preserve"> 28464.9413 </t>
  </si>
  <si>
    <t xml:space="preserve"> 34.9719 </t>
  </si>
  <si>
    <t xml:space="preserve">C:\Users\andre\Desktop\REACTIV CEFAS\Anastrozole\Anastrozole/20201124_Cefas_Test7_Run1/Plate 1/@14/B9_03.tif </t>
  </si>
  <si>
    <t xml:space="preserve"> 29719.4752 </t>
  </si>
  <si>
    <t xml:space="preserve"> 35.2904 </t>
  </si>
  <si>
    <t xml:space="preserve">C:\Users\andre\Desktop\REACTIV CEFAS\Anastrozole\Anastrozole/20201124_Cefas_Test7_Run1/Plate 1/@14/C9_01.tif </t>
  </si>
  <si>
    <t xml:space="preserve"> 60693.4843 </t>
  </si>
  <si>
    <t xml:space="preserve"> 45.3564 </t>
  </si>
  <si>
    <t xml:space="preserve">C:\Users\andre\Desktop\REACTIV CEFAS\Anastrozole\Anastrozole/20201124_Cefas_Test7_Run1/Plate 1/@14/C9_02.tif </t>
  </si>
  <si>
    <t xml:space="preserve"> 62034.5378 </t>
  </si>
  <si>
    <t xml:space="preserve"> 43.5035 </t>
  </si>
  <si>
    <t xml:space="preserve">C:\Users\andre\Desktop\REACTIV CEFAS\Anastrozole\Anastrozole/20201124_Cefas_Test7_Run1/Plate 1/@14/C9_03.tif </t>
  </si>
  <si>
    <t xml:space="preserve"> 59958.0679 </t>
  </si>
  <si>
    <t xml:space="preserve"> 41.2886 </t>
  </si>
  <si>
    <t xml:space="preserve">C:\Users\andre\Desktop\REACTIV CEFAS\Anastrozole\Anastrozole/20201124_Cefas_Test7_Run1/Plate 1/@14/D9_01.tif </t>
  </si>
  <si>
    <t xml:space="preserve"> 31536.3864 </t>
  </si>
  <si>
    <t xml:space="preserve"> 46.3532 </t>
  </si>
  <si>
    <t xml:space="preserve">C:\Users\andre\Desktop\REACTIV CEFAS\Anastrozole\Anastrozole/20201124_Cefas_Test7_Run1/Plate 1/@14/D9_02.tif </t>
  </si>
  <si>
    <t xml:space="preserve"> 37311.5682 </t>
  </si>
  <si>
    <t xml:space="preserve"> 47.8394 </t>
  </si>
  <si>
    <t xml:space="preserve">C:\Users\andre\Desktop\REACTIV CEFAS\Anastrozole\Anastrozole/20201124_Cefas_Test7_Run1/Plate 1/@14/D9_03.tif </t>
  </si>
  <si>
    <t xml:space="preserve"> 35473.0272 </t>
  </si>
  <si>
    <t xml:space="preserve"> 45.914 </t>
  </si>
  <si>
    <t xml:space="preserve">C:\Users\andre\Desktop\REACTIV CEFAS\Anastrozole\Anastrozole/20201124_Cefas_Test7_Run1/Plate 1/@14/E9_01.tif </t>
  </si>
  <si>
    <t xml:space="preserve"> 74212.1685 </t>
  </si>
  <si>
    <t xml:space="preserve"> 46.5887 </t>
  </si>
  <si>
    <t>C:\Users\andre\Desktop\REACTIV CEFAS\Anastrozole\Anastrozole/20201124_Cefas_Test7_Run1/Plate 1/@14/E9_02- exclu.tif</t>
  </si>
  <si>
    <t>C:\Users\andre\Desktop\REACTIV CEFAS\Anastrozole\Anastrozole/20201124_Cefas_Test7_Run1/Plate 1/@14/E9_03- exclu.tif</t>
  </si>
  <si>
    <t xml:space="preserve">C:\Users\andre\Desktop\REACTIV CEFAS\Anastrozole\Anastrozole/20201124_Cefas_Test7_Run1/Plate 1/@14/F9_01.tif </t>
  </si>
  <si>
    <t xml:space="preserve"> 41096.7998 </t>
  </si>
  <si>
    <t xml:space="preserve"> 39.4295 </t>
  </si>
  <si>
    <t xml:space="preserve">C:\Users\andre\Desktop\REACTIV CEFAS\Anastrozole\Anastrozole/20201124_Cefas_Test7_Run1/Plate 1/@14/F9_02.tif </t>
  </si>
  <si>
    <t xml:space="preserve"> 28551.4609 </t>
  </si>
  <si>
    <t xml:space="preserve"> 39.7068 </t>
  </si>
  <si>
    <t xml:space="preserve">C:\Users\andre\Desktop\REACTIV CEFAS\Anastrozole\Anastrozole/20201124_Cefas_Test7_Run1/Plate 1/@14/F9_03.tif </t>
  </si>
  <si>
    <t xml:space="preserve"> 28118.863 </t>
  </si>
  <si>
    <t xml:space="preserve"> 39.9131 </t>
  </si>
  <si>
    <t xml:space="preserve">C:\Users\andre\Desktop\REACTIV CEFAS\Anastrozole\Anastrozole/20201124_Cefas_Test7_Run1/Plate 1/@14/G9_01.tif </t>
  </si>
  <si>
    <t xml:space="preserve"> 4131.3099 </t>
  </si>
  <si>
    <t xml:space="preserve"> 39.4555 </t>
  </si>
  <si>
    <t xml:space="preserve">C:\Users\andre\Desktop\REACTIV CEFAS\Anastrozole\Anastrozole/20201124_Cefas_Test7_Run1/Plate 1/@14/G9_02.tif </t>
  </si>
  <si>
    <t xml:space="preserve">C:\Users\andre\Desktop\REACTIV CEFAS\Anastrozole\Anastrozole/20201124_Cefas_Test7_Run1/Plate 1/@14/G9_03.tif </t>
  </si>
  <si>
    <t xml:space="preserve"> 3763.6017 </t>
  </si>
  <si>
    <t xml:space="preserve"> 39.6092 </t>
  </si>
  <si>
    <t xml:space="preserve">C:\Users\andre\Desktop\REACTIV CEFAS\Anastrozole\Anastrozole/20201124_Cefas_Test7_Run1/Plate 1/@14/H9_01.tif </t>
  </si>
  <si>
    <t xml:space="preserve"> 25782.8344 </t>
  </si>
  <si>
    <t xml:space="preserve"> 36.0319 </t>
  </si>
  <si>
    <t xml:space="preserve">C:\Users\andre\Desktop\REACTIV CEFAS\Anastrozole\Anastrozole/20201124_Cefas_Test7_Run1/Plate 1/@14/H9_02.tif </t>
  </si>
  <si>
    <t xml:space="preserve"> 25847.7241 </t>
  </si>
  <si>
    <t xml:space="preserve"> 35.954 </t>
  </si>
  <si>
    <t xml:space="preserve">C:\Users\andre\Desktop\REACTIV CEFAS\Anastrozole\Anastrozole/20201124_Cefas_Test7_Run1/Plate 1/@14/H9_03.tif </t>
  </si>
  <si>
    <t xml:space="preserve"> 27816.0445 </t>
  </si>
  <si>
    <t xml:space="preserve"> 36.0723 </t>
  </si>
  <si>
    <t xml:space="preserve">C:\Users\andre\Desktop\REACTIV CEFAS\Anastrozole\Anastrozole/20201124_Cefas_Test7_Run1/Plate 1/@14/ </t>
  </si>
  <si>
    <t xml:space="preserve"> 39.8268 </t>
  </si>
  <si>
    <t xml:space="preserve"> 10.0395 </t>
  </si>
  <si>
    <t xml:space="preserve"> 1429516.17 </t>
  </si>
  <si>
    <t xml:space="preserve">C:\Users\andre\Desktop\REACTIV CEFAS\Anastrozole\Anastrozole/20201124_Cefas_Test7_Run1/Plate 1/@15/A11_01.tif </t>
  </si>
  <si>
    <t xml:space="preserve"> 72114.0687 </t>
  </si>
  <si>
    <t xml:space="preserve"> 50.0033 </t>
  </si>
  <si>
    <t xml:space="preserve">C:\Users\andre\Desktop\REACTIV CEFAS\Anastrozole\Anastrozole/20201124_Cefas_Test7_Run1/Plate 1/@15/A11_02.tif </t>
  </si>
  <si>
    <t xml:space="preserve"> 73909.3499 </t>
  </si>
  <si>
    <t xml:space="preserve"> 52.0421 </t>
  </si>
  <si>
    <t xml:space="preserve">C:\Users\andre\Desktop\REACTIV CEFAS\Anastrozole\Anastrozole/20201124_Cefas_Test7_Run1/Plate 1/@15/A11_03.tif </t>
  </si>
  <si>
    <t xml:space="preserve"> 62705.0645 </t>
  </si>
  <si>
    <t xml:space="preserve"> 51.4232 </t>
  </si>
  <si>
    <t xml:space="preserve">C:\Users\andre\Desktop\REACTIV CEFAS\Anastrozole\Anastrozole/20201124_Cefas_Test7_Run1/Plate 1/@15/B11_01.tif </t>
  </si>
  <si>
    <t xml:space="preserve"> 70124.1184 </t>
  </si>
  <si>
    <t xml:space="preserve"> 51.0074 </t>
  </si>
  <si>
    <t xml:space="preserve">C:\Users\andre\Desktop\REACTIV CEFAS\Anastrozole\Anastrozole/20201124_Cefas_Test7_Run1/Plate 1/@15/B11_02.tif </t>
  </si>
  <si>
    <t xml:space="preserve"> 76418.4177 </t>
  </si>
  <si>
    <t xml:space="preserve"> 48.9901 </t>
  </si>
  <si>
    <t xml:space="preserve">C:\Users\andre\Desktop\REACTIV CEFAS\Anastrozole\Anastrozole/20201124_Cefas_Test7_Run1/Plate 1/@15/B11_03.tif </t>
  </si>
  <si>
    <t xml:space="preserve"> 80073.8699 </t>
  </si>
  <si>
    <t xml:space="preserve"> 55.6545 </t>
  </si>
  <si>
    <t xml:space="preserve">C:\Users\andre\Desktop\REACTIV CEFAS\Anastrozole\Anastrozole/20201124_Cefas_Test7_Run1/Plate 1/@15/C11_01.tif </t>
  </si>
  <si>
    <t xml:space="preserve"> 60563.705 </t>
  </si>
  <si>
    <t xml:space="preserve"> 48.7568 </t>
  </si>
  <si>
    <t xml:space="preserve">C:\Users\andre\Desktop\REACTIV CEFAS\Anastrozole\Anastrozole/20201124_Cefas_Test7_Run1/Plate 1/@15/C11_02.tif </t>
  </si>
  <si>
    <t xml:space="preserve"> 48.3135 </t>
  </si>
  <si>
    <t xml:space="preserve">C:\Users\andre\Desktop\REACTIV CEFAS\Anastrozole\Anastrozole/20201124_Cefas_Test7_Run1/Plate 1/@15/C11_03.tif </t>
  </si>
  <si>
    <t xml:space="preserve"> 63137.6624 </t>
  </si>
  <si>
    <t xml:space="preserve"> 47.0935 </t>
  </si>
  <si>
    <t>C:\Users\andre\Desktop\REACTIV CEFAS\Anastrozole\Anastrozole/20201124_Cefas_Test7_Run1/Plate 1/@15/D11_01- exclu.tif</t>
  </si>
  <si>
    <t xml:space="preserve">C:\Users\andre\Desktop\REACTIV CEFAS\Anastrozole\Anastrozole/20201124_Cefas_Test7_Run1/Plate 1/@15/D11_02.tif </t>
  </si>
  <si>
    <t xml:space="preserve"> 55221.121 </t>
  </si>
  <si>
    <t xml:space="preserve"> 47.8888 </t>
  </si>
  <si>
    <t xml:space="preserve">C:\Users\andre\Desktop\REACTIV CEFAS\Anastrozole\Anastrozole/20201124_Cefas_Test7_Run1/Plate 1/@15/D11_03.tif </t>
  </si>
  <si>
    <t xml:space="preserve"> 43.7994 </t>
  </si>
  <si>
    <t xml:space="preserve">C:\Users\andre\Desktop\REACTIV CEFAS\Anastrozole\Anastrozole/20201124_Cefas_Test7_Run1/Plate 1/@15/E11_01.tif </t>
  </si>
  <si>
    <t xml:space="preserve"> 73282.083 </t>
  </si>
  <si>
    <t xml:space="preserve"> 55.0732 </t>
  </si>
  <si>
    <t xml:space="preserve">C:\Users\andre\Desktop\REACTIV CEFAS\Anastrozole\Anastrozole/20201124_Cefas_Test7_Run1/Plate 1/@15/E11_02.tif </t>
  </si>
  <si>
    <t xml:space="preserve"> 76634.7167 </t>
  </si>
  <si>
    <t xml:space="preserve"> 56.2904 </t>
  </si>
  <si>
    <t xml:space="preserve">C:\Users\andre\Desktop\REACTIV CEFAS\Anastrozole\Anastrozole/20201124_Cefas_Test7_Run1/Plate 1/@15/E11_03.tif </t>
  </si>
  <si>
    <t xml:space="preserve"> 87190.1052 </t>
  </si>
  <si>
    <t xml:space="preserve"> 51.7948 </t>
  </si>
  <si>
    <t xml:space="preserve">C:\Users\andre\Desktop\REACTIV CEFAS\Anastrozole\Anastrozole/20201124_Cefas_Test7_Run1/Plate 1/@15/F11_01.tif </t>
  </si>
  <si>
    <t xml:space="preserve"> 75899.3003 </t>
  </si>
  <si>
    <t xml:space="preserve"> 46.9364 </t>
  </si>
  <si>
    <t xml:space="preserve">C:\Users\andre\Desktop\REACTIV CEFAS\Anastrozole\Anastrozole/20201124_Cefas_Test7_Run1/Plate 1/@15/F11_02.tif </t>
  </si>
  <si>
    <t xml:space="preserve"> 70643.2359 </t>
  </si>
  <si>
    <t xml:space="preserve"> 45.9198 </t>
  </si>
  <si>
    <t xml:space="preserve">C:\Users\andre\Desktop\REACTIV CEFAS\Anastrozole\Anastrozole/20201124_Cefas_Test7_Run1/Plate 1/@15/F11_03.tif </t>
  </si>
  <si>
    <t xml:space="preserve"> 68458.6165 </t>
  </si>
  <si>
    <t xml:space="preserve"> 46.0821 </t>
  </si>
  <si>
    <t xml:space="preserve">C:\Users\andre\Desktop\REACTIV CEFAS\Anastrozole\Anastrozole/20201124_Cefas_Test7_Run1/Plate 1/@15/G11_01.tif </t>
  </si>
  <si>
    <t xml:space="preserve"> 83750.952 </t>
  </si>
  <si>
    <t xml:space="preserve"> 51.0953 </t>
  </si>
  <si>
    <t xml:space="preserve">C:\Users\andre\Desktop\REACTIV CEFAS\Anastrozole\Anastrozole/20201124_Cefas_Test7_Run1/Plate 1/@15/G11_02.tif </t>
  </si>
  <si>
    <t xml:space="preserve"> 83102.0552 </t>
  </si>
  <si>
    <t xml:space="preserve"> 55.1996 </t>
  </si>
  <si>
    <t xml:space="preserve">C:\Users\andre\Desktop\REACTIV CEFAS\Anastrozole\Anastrozole/20201124_Cefas_Test7_Run1/Plate 1/@15/G11_03.tif </t>
  </si>
  <si>
    <t xml:space="preserve"> 80030.6101 </t>
  </si>
  <si>
    <t xml:space="preserve"> 55.4376 </t>
  </si>
  <si>
    <t xml:space="preserve">C:\Users\andre\Desktop\REACTIV CEFAS\Anastrozole\Anastrozole/20201124_Cefas_Test7_Run1/Plate 1/@15/H11_01.tif </t>
  </si>
  <si>
    <t xml:space="preserve"> 58206.0464 </t>
  </si>
  <si>
    <t xml:space="preserve"> 44.9647 </t>
  </si>
  <si>
    <t xml:space="preserve">C:\Users\andre\Desktop\REACTIV CEFAS\Anastrozole\Anastrozole/20201124_Cefas_Test7_Run1/Plate 1/@15/H11_02.tif </t>
  </si>
  <si>
    <t xml:space="preserve"> 48688.8928 </t>
  </si>
  <si>
    <t xml:space="preserve"> 45.7006 </t>
  </si>
  <si>
    <t xml:space="preserve">C:\Users\andre\Desktop\REACTIV CEFAS\Anastrozole\Anastrozole/20201124_Cefas_Test7_Run1/Plate 1/@15/H11_03.tif </t>
  </si>
  <si>
    <t xml:space="preserve"> 45314.6292 </t>
  </si>
  <si>
    <t xml:space="preserve"> 45.1819 </t>
  </si>
  <si>
    <t xml:space="preserve">C:\Users\andre\Desktop\REACTIV CEFAS\Anastrozole\Anastrozole/20201124_Cefas_Test7_Run1/Plate 1/@15/ </t>
  </si>
  <si>
    <t xml:space="preserve"> 49.5078 </t>
  </si>
  <si>
    <t xml:space="preserve"> 3.9927 </t>
  </si>
  <si>
    <t xml:space="preserve"> 3423853.67 </t>
  </si>
  <si>
    <t xml:space="preserve">C:\Users\andre\Desktop\REACTIV CEFAS\Anastrozole\Anastrozole/20201124_Cefas_Test7_Run1/Plate 1/@16/A12_01.tif </t>
  </si>
  <si>
    <t xml:space="preserve">C:\Users\andre\Desktop\REACTIV CEFAS\Anastrozole\Anastrozole/20201124_Cefas_Test7_Run1/Plate 1/@16/A12_02.tif </t>
  </si>
  <si>
    <t xml:space="preserve">C:\Users\andre\Desktop\REACTIV CEFAS\Anastrozole\Anastrozole/20201124_Cefas_Test7_Run1/Plate 1/@16/A12_03.tif </t>
  </si>
  <si>
    <t xml:space="preserve"> 21.6299 </t>
  </si>
  <si>
    <t xml:space="preserve">C:\Users\andre\Desktop\REACTIV CEFAS\Anastrozole\Anastrozole/20201124_Cefas_Test7_Run1/Plate 1/@16/B12_01.tif </t>
  </si>
  <si>
    <t xml:space="preserve"> 346.0783 </t>
  </si>
  <si>
    <t xml:space="preserve"> 30.75 </t>
  </si>
  <si>
    <t xml:space="preserve">C:\Users\andre\Desktop\REACTIV CEFAS\Anastrozole\Anastrozole/20201124_Cefas_Test7_Run1/Plate 1/@16/B12_02.tif </t>
  </si>
  <si>
    <t xml:space="preserve"> 3828.4913 </t>
  </si>
  <si>
    <t xml:space="preserve"> 36.5537 </t>
  </si>
  <si>
    <t xml:space="preserve">C:\Users\andre\Desktop\REACTIV CEFAS\Anastrozole\Anastrozole/20201124_Cefas_Test7_Run1/Plate 1/@16/B12_03.tif </t>
  </si>
  <si>
    <t xml:space="preserve"> 36.8684 </t>
  </si>
  <si>
    <t xml:space="preserve">C:\Users\andre\Desktop\REACTIV CEFAS\Anastrozole\Anastrozole/20201124_Cefas_Test7_Run1/Plate 1/@16/C12_01.tif </t>
  </si>
  <si>
    <t xml:space="preserve"> 3936.6408 </t>
  </si>
  <si>
    <t xml:space="preserve"> 35.3681 </t>
  </si>
  <si>
    <t xml:space="preserve">C:\Users\andre\Desktop\REACTIV CEFAS\Anastrozole\Anastrozole/20201124_Cefas_Test7_Run1/Plate 1/@16/C12_02.tif </t>
  </si>
  <si>
    <t xml:space="preserve"> 6013.1107 </t>
  </si>
  <si>
    <t xml:space="preserve"> 40.4532 </t>
  </si>
  <si>
    <t xml:space="preserve">C:\Users\andre\Desktop\REACTIV CEFAS\Anastrozole\Anastrozole/20201124_Cefas_Test7_Run1/Plate 1/@16/C12_03.tif </t>
  </si>
  <si>
    <t xml:space="preserve"> 5039.7654 </t>
  </si>
  <si>
    <t xml:space="preserve"> 36.6738 </t>
  </si>
  <si>
    <t xml:space="preserve">C:\Users\andre\Desktop\REACTIV CEFAS\Anastrozole\Anastrozole/20201124_Cefas_Test7_Run1/Plate 1/@16/D12_01.tif </t>
  </si>
  <si>
    <t xml:space="preserve"> 4628.7975 </t>
  </si>
  <si>
    <t xml:space="preserve"> 33.4579 </t>
  </si>
  <si>
    <t xml:space="preserve">C:\Users\andre\Desktop\REACTIV CEFAS\Anastrozole\Anastrozole/20201124_Cefas_Test7_Run1/Plate 1/@16/D12_02.tif </t>
  </si>
  <si>
    <t xml:space="preserve"> 8998.0362 </t>
  </si>
  <si>
    <t xml:space="preserve"> 41.3558 </t>
  </si>
  <si>
    <t xml:space="preserve">C:\Users\andre\Desktop\REACTIV CEFAS\Anastrozole\Anastrozole/20201124_Cefas_Test7_Run1/Plate 1/@16/D12_03.tif </t>
  </si>
  <si>
    <t xml:space="preserve"> 6186.1499 </t>
  </si>
  <si>
    <t xml:space="preserve"> 34.3881 </t>
  </si>
  <si>
    <t xml:space="preserve">C:\Users\andre\Desktop\REACTIV CEFAS\Anastrozole\Anastrozole/20201124_Cefas_Test7_Run1/Plate 1/@16/E12_01.tif </t>
  </si>
  <si>
    <t xml:space="preserve"> 540.7474 </t>
  </si>
  <si>
    <t xml:space="preserve"> 32.88 </t>
  </si>
  <si>
    <t xml:space="preserve">C:\Users\andre\Desktop\REACTIV CEFAS\Anastrozole\Anastrozole/20201124_Cefas_Test7_Run1/Plate 1/@16/E12_02.tif </t>
  </si>
  <si>
    <t xml:space="preserve"> 4239.4593 </t>
  </si>
  <si>
    <t xml:space="preserve"> 37.8724 </t>
  </si>
  <si>
    <t xml:space="preserve">C:\Users\andre\Desktop\REACTIV CEFAS\Anastrozole\Anastrozole/20201124_Cefas_Test7_Run1/Plate 1/@16/E12_03.tif </t>
  </si>
  <si>
    <t xml:space="preserve"> 3633.8223 </t>
  </si>
  <si>
    <t xml:space="preserve"> 37.7857 </t>
  </si>
  <si>
    <t xml:space="preserve">C:\Users\andre\Desktop\REACTIV CEFAS\Anastrozole\Anastrozole/20201124_Cefas_Test7_Run1/Plate 1/@16/F12_01.tif </t>
  </si>
  <si>
    <t xml:space="preserve"> 9365.7444 </t>
  </si>
  <si>
    <t xml:space="preserve"> 43.2771 </t>
  </si>
  <si>
    <t xml:space="preserve">C:\Users\andre\Desktop\REACTIV CEFAS\Anastrozole\Anastrozole/20201124_Cefas_Test7_Run1/Plate 1/@16/F12_02.tif </t>
  </si>
  <si>
    <t xml:space="preserve"> 5385.8438 </t>
  </si>
  <si>
    <t xml:space="preserve"> 44.502 </t>
  </si>
  <si>
    <t xml:space="preserve">C:\Users\andre\Desktop\REACTIV CEFAS\Anastrozole\Anastrozole/20201124_Cefas_Test7_Run1/Plate 1/@16/F12_03.tif </t>
  </si>
  <si>
    <t xml:space="preserve"> 5299.3242 </t>
  </si>
  <si>
    <t xml:space="preserve"> 40.5102 </t>
  </si>
  <si>
    <t xml:space="preserve">C:\Users\andre\Desktop\REACTIV CEFAS\Anastrozole\Anastrozole/20201124_Cefas_Test7_Run1/Plate 1/@16/G12_01.tif </t>
  </si>
  <si>
    <t xml:space="preserve"> 8565.4383 </t>
  </si>
  <si>
    <t xml:space="preserve"> 42.9318 </t>
  </si>
  <si>
    <t xml:space="preserve">C:\Users\andre\Desktop\REACTIV CEFAS\Anastrozole\Anastrozole/20201124_Cefas_Test7_Run1/Plate 1/@16/G12_02.tif </t>
  </si>
  <si>
    <t xml:space="preserve"> 8803.3671 </t>
  </si>
  <si>
    <t xml:space="preserve"> 38.3514 </t>
  </si>
  <si>
    <t xml:space="preserve">C:\Users\andre\Desktop\REACTIV CEFAS\Anastrozole\Anastrozole/20201124_Cefas_Test7_Run1/Plate 1/@16/G12_03.tif </t>
  </si>
  <si>
    <t xml:space="preserve"> 5126.285 </t>
  </si>
  <si>
    <t xml:space="preserve"> 37.2532 </t>
  </si>
  <si>
    <t xml:space="preserve">C:\Users\andre\Desktop\REACTIV CEFAS\Anastrozole\Anastrozole/20201124_Cefas_Test7_Run1/Plate 1/@16/H12_01.tif </t>
  </si>
  <si>
    <t xml:space="preserve"> 4736.9469 </t>
  </si>
  <si>
    <t xml:space="preserve"> 37.3288 </t>
  </si>
  <si>
    <t xml:space="preserve">C:\Users\andre\Desktop\REACTIV CEFAS\Anastrozole\Anastrozole/20201124_Cefas_Test7_Run1/Plate 1/@16/H12_02.tif </t>
  </si>
  <si>
    <t xml:space="preserve"> 12112.741 </t>
  </si>
  <si>
    <t xml:space="preserve"> 34.3804 </t>
  </si>
  <si>
    <t xml:space="preserve">C:\Users\andre\Desktop\REACTIV CEFAS\Anastrozole\Anastrozole/20201124_Cefas_Test7_Run1/Plate 1/@16/H12_03.tif </t>
  </si>
  <si>
    <t xml:space="preserve"> 33.5887 </t>
  </si>
  <si>
    <t xml:space="preserve">C:\Users\andre\Desktop\REACTIV CEFAS\Anastrozole\Anastrozole/20201124_Cefas_Test7_Run1/Plate 1/@16/ </t>
  </si>
  <si>
    <t xml:space="preserve"> 34.0221 </t>
  </si>
  <si>
    <t xml:space="preserve"> 11.1287 </t>
  </si>
  <si>
    <t xml:space="preserve"> 183643.25 </t>
  </si>
  <si>
    <t xml:space="preserve">C:\Users\andre\Desktop\REACTIV CEFAS\Anastrozole\Anastrozole/20201124_Cefas_Test7_Run1/Plate 1/@2/A2_01.tif </t>
  </si>
  <si>
    <t xml:space="preserve"> 886.8257 </t>
  </si>
  <si>
    <t xml:space="preserve"> 34.5122 </t>
  </si>
  <si>
    <t xml:space="preserve">C:\Users\andre\Desktop\REACTIV CEFAS\Anastrozole\Anastrozole/20201124_Cefas_Test7_Run1/Plate 1/@2/A2_02.tif </t>
  </si>
  <si>
    <t xml:space="preserve"> 973.3453 </t>
  </si>
  <si>
    <t xml:space="preserve"> 32.4222 </t>
  </si>
  <si>
    <t xml:space="preserve">C:\Users\andre\Desktop\REACTIV CEFAS\Anastrozole\Anastrozole/20201124_Cefas_Test7_Run1/Plate 1/@2/A2_03.tif </t>
  </si>
  <si>
    <t xml:space="preserve"> 32.1781 </t>
  </si>
  <si>
    <t xml:space="preserve">C:\Users\andre\Desktop\REACTIV CEFAS\Anastrozole\Anastrozole/20201124_Cefas_Test7_Run1/Plate 1/@2/B2_01.tif </t>
  </si>
  <si>
    <t xml:space="preserve"> 5948.221 </t>
  </si>
  <si>
    <t xml:space="preserve"> 39.36 </t>
  </si>
  <si>
    <t xml:space="preserve">C:\Users\andre\Desktop\REACTIV CEFAS\Anastrozole\Anastrozole/20201124_Cefas_Test7_Run1/Plate 1/@2/B2_02.tif </t>
  </si>
  <si>
    <t xml:space="preserve"> 10144.4206 </t>
  </si>
  <si>
    <t xml:space="preserve"> 41.9957 </t>
  </si>
  <si>
    <t xml:space="preserve">C:\Users\andre\Desktop\REACTIV CEFAS\Anastrozole\Anastrozole/20201124_Cefas_Test7_Run1/Plate 1/@2/B2_03.tif </t>
  </si>
  <si>
    <t xml:space="preserve"> 9171.0753 </t>
  </si>
  <si>
    <t xml:space="preserve"> 40.5778 </t>
  </si>
  <si>
    <t xml:space="preserve">C:\Users\andre\Desktop\REACTIV CEFAS\Anastrozole\Anastrozole/20201124_Cefas_Test7_Run1/Plate 1/@2/C2_01.tif </t>
  </si>
  <si>
    <t xml:space="preserve"> 8435.6589 </t>
  </si>
  <si>
    <t xml:space="preserve"> 38.9154 </t>
  </si>
  <si>
    <t xml:space="preserve">C:\Users\andre\Desktop\REACTIV CEFAS\Anastrozole\Anastrozole/20201124_Cefas_Test7_Run1/Plate 1/@2/C2_02.tif </t>
  </si>
  <si>
    <t xml:space="preserve"> 10555.3886 </t>
  </si>
  <si>
    <t xml:space="preserve"> 41.6107 </t>
  </si>
  <si>
    <t xml:space="preserve">C:\Users\andre\Desktop\REACTIV CEFAS\Anastrozole\Anastrozole/20201124_Cefas_Test7_Run1/Plate 1/@2/C2_03.tif </t>
  </si>
  <si>
    <t xml:space="preserve"> 9884.8618 </t>
  </si>
  <si>
    <t xml:space="preserve"> 41.221 </t>
  </si>
  <si>
    <t xml:space="preserve">C:\Users\andre\Desktop\REACTIV CEFAS\Anastrozole\Anastrozole/20201124_Cefas_Test7_Run1/Plate 1/@2/D2_01.tif </t>
  </si>
  <si>
    <t xml:space="preserve"> 2465.808 </t>
  </si>
  <si>
    <t xml:space="preserve"> 32.8596 </t>
  </si>
  <si>
    <t>C:\Users\andre\Desktop\REACTIV CEFAS\Anastrozole\Anastrozole/20201124_Cefas_Test7_Run1/Plate 1/@2/D2_02- exclu.tif</t>
  </si>
  <si>
    <t>C:\Users\andre\Desktop\REACTIV CEFAS\Anastrozole\Anastrozole/20201124_Cefas_Test7_Run1/Plate 1/@2/D2_03- exclu.tif</t>
  </si>
  <si>
    <t xml:space="preserve">C:\Users\andre\Desktop\REACTIV CEFAS\Anastrozole\Anastrozole/20201124_Cefas_Test7_Run1/Plate 1/@2/E2_01.tif </t>
  </si>
  <si>
    <t xml:space="preserve"> 3395.8935 </t>
  </si>
  <si>
    <t xml:space="preserve"> 31.5287 </t>
  </si>
  <si>
    <t xml:space="preserve">C:\Users\andre\Desktop\REACTIV CEFAS\Anastrozole\Anastrozole/20201124_Cefas_Test7_Run1/Plate 1/@2/E2_02.tif </t>
  </si>
  <si>
    <t xml:space="preserve"> 7267.6446 </t>
  </si>
  <si>
    <t xml:space="preserve"> 37.1071 </t>
  </si>
  <si>
    <t xml:space="preserve">C:\Users\andre\Desktop\REACTIV CEFAS\Anastrozole\Anastrozole/20201124_Cefas_Test7_Run1/Plate 1/@2/E2_03.tif </t>
  </si>
  <si>
    <t xml:space="preserve"> 37.4776 </t>
  </si>
  <si>
    <t xml:space="preserve">C:\Users\andre\Desktop\REACTIV CEFAS\Anastrozole\Anastrozole/20201124_Cefas_Test7_Run1/Plate 1/@2/F2_01.tif </t>
  </si>
  <si>
    <t xml:space="preserve"> 2076.4699 </t>
  </si>
  <si>
    <t xml:space="preserve"> 34.1875 </t>
  </si>
  <si>
    <t xml:space="preserve">C:\Users\andre\Desktop\REACTIV CEFAS\Anastrozole\Anastrozole/20201124_Cefas_Test7_Run1/Plate 1/@2/F2_02.tif </t>
  </si>
  <si>
    <t xml:space="preserve"> 33.1418 </t>
  </si>
  <si>
    <t xml:space="preserve">C:\Users\andre\Desktop\REACTIV CEFAS\Anastrozole\Anastrozole/20201124_Cefas_Test7_Run1/Plate 1/@2/F2_03.tif </t>
  </si>
  <si>
    <t xml:space="preserve"> 4542.2779 </t>
  </si>
  <si>
    <t xml:space="preserve"> 33.1381 </t>
  </si>
  <si>
    <t xml:space="preserve">C:\Users\andre\Desktop\REACTIV CEFAS\Anastrozole\Anastrozole/20201124_Cefas_Test7_Run1/Plate 1/@2/G2_01.tif </t>
  </si>
  <si>
    <t xml:space="preserve"> 6056.3705 </t>
  </si>
  <si>
    <t xml:space="preserve"> 39.5929 </t>
  </si>
  <si>
    <t xml:space="preserve">C:\Users\andre\Desktop\REACTIV CEFAS\Anastrozole\Anastrozole/20201124_Cefas_Test7_Run1/Plate 1/@2/G2_02.tif </t>
  </si>
  <si>
    <t xml:space="preserve"> 5191.1747 </t>
  </si>
  <si>
    <t xml:space="preserve"> 36.4458 </t>
  </si>
  <si>
    <t xml:space="preserve">C:\Users\andre\Desktop\REACTIV CEFAS\Anastrozole\Anastrozole/20201124_Cefas_Test7_Run1/Plate 1/@2/G2_03.tif </t>
  </si>
  <si>
    <t xml:space="preserve"> 4715.317 </t>
  </si>
  <si>
    <t xml:space="preserve"> 34.7156 </t>
  </si>
  <si>
    <t xml:space="preserve">C:\Users\andre\Desktop\REACTIV CEFAS\Anastrozole\Anastrozole/20201124_Cefas_Test7_Run1/Plate 1/@2/H2_01.tif </t>
  </si>
  <si>
    <t xml:space="preserve"> 2162.9895 </t>
  </si>
  <si>
    <t xml:space="preserve"> 36.81 </t>
  </si>
  <si>
    <t xml:space="preserve">C:\Users\andre\Desktop\REACTIV CEFAS\Anastrozole\Anastrozole/20201124_Cefas_Test7_Run1/Plate 1/@2/H2_02.tif </t>
  </si>
  <si>
    <t xml:space="preserve"> 4455.7583 </t>
  </si>
  <si>
    <t xml:space="preserve"> 39.7864 </t>
  </si>
  <si>
    <t xml:space="preserve">C:\Users\andre\Desktop\REACTIV CEFAS\Anastrozole\Anastrozole/20201124_Cefas_Test7_Run1/Plate 1/@2/H2_03.tif </t>
  </si>
  <si>
    <t xml:space="preserve"> 2400.9183 </t>
  </si>
  <si>
    <t xml:space="preserve"> 35.3243 </t>
  </si>
  <si>
    <t xml:space="preserve">C:\Users\andre\Desktop\REACTIV CEFAS\Anastrozole\Anastrozole/20201124_Cefas_Test7_Run1/Plate 1/@2/ </t>
  </si>
  <si>
    <t xml:space="preserve"> 36.3657 </t>
  </si>
  <si>
    <t xml:space="preserve"> 3.3232 </t>
  </si>
  <si>
    <t xml:space="preserve"> 194740.25 </t>
  </si>
  <si>
    <t xml:space="preserve">C:\Users\andre\Desktop\REACTIV CEFAS\Anastrozole\Anastrozole/20201124_Cefas_Test7_Run1/Plate 1/@3/A3_01.tif </t>
  </si>
  <si>
    <t xml:space="preserve"> 584.0072 </t>
  </si>
  <si>
    <t xml:space="preserve">C:\Users\andre\Desktop\REACTIV CEFAS\Anastrozole\Anastrozole/20201124_Cefas_Test7_Run1/Plate 1/@3/A3_02.tif </t>
  </si>
  <si>
    <t xml:space="preserve"> 2855.1461 </t>
  </si>
  <si>
    <t xml:space="preserve"> 31.8106 </t>
  </si>
  <si>
    <t xml:space="preserve">C:\Users\andre\Desktop\REACTIV CEFAS\Anastrozole\Anastrozole/20201124_Cefas_Test7_Run1/Plate 1/@3/A3_03.tif </t>
  </si>
  <si>
    <t xml:space="preserve"> 670.5267 </t>
  </si>
  <si>
    <t xml:space="preserve"> 32.2258 </t>
  </si>
  <si>
    <t xml:space="preserve">C:\Users\andre\Desktop\REACTIV CEFAS\Anastrozole\Anastrozole/20201124_Cefas_Test7_Run1/Plate 1/@3/B3_01.tif </t>
  </si>
  <si>
    <t xml:space="preserve"> 31.3333 </t>
  </si>
  <si>
    <t xml:space="preserve">C:\Users\andre\Desktop\REACTIV CEFAS\Anastrozole\Anastrozole/20201124_Cefas_Test7_Run1/Plate 1/@3/B3_02.tif </t>
  </si>
  <si>
    <t xml:space="preserve"> 259.5587 </t>
  </si>
  <si>
    <t xml:space="preserve"> 30.4167 </t>
  </si>
  <si>
    <t xml:space="preserve">C:\Users\andre\Desktop\REACTIV CEFAS\Anastrozole\Anastrozole/20201124_Cefas_Test7_Run1/Plate 1/@3/B3_03.tif </t>
  </si>
  <si>
    <t xml:space="preserve"> 3309.3739 </t>
  </si>
  <si>
    <t xml:space="preserve"> 35.5948 </t>
  </si>
  <si>
    <t xml:space="preserve">C:\Users\andre\Desktop\REACTIV CEFAS\Anastrozole\Anastrozole/20201124_Cefas_Test7_Run1/Plate 1/@3/C3_01.tif </t>
  </si>
  <si>
    <t xml:space="preserve"> 2314.3987 </t>
  </si>
  <si>
    <t xml:space="preserve"> 35.4206 </t>
  </si>
  <si>
    <t xml:space="preserve">C:\Users\andre\Desktop\REACTIV CEFAS\Anastrozole\Anastrozole/20201124_Cefas_Test7_Run1/Plate 1/@3/C3_02.tif </t>
  </si>
  <si>
    <t xml:space="preserve"> 4953.2459 </t>
  </si>
  <si>
    <t xml:space="preserve"> 39.0175 </t>
  </si>
  <si>
    <t xml:space="preserve">C:\Users\andre\Desktop\REACTIV CEFAS\Anastrozole\Anastrozole/20201124_Cefas_Test7_Run1/Plate 1/@3/C3_03.tif </t>
  </si>
  <si>
    <t xml:space="preserve"> 31.7778 </t>
  </si>
  <si>
    <t xml:space="preserve">C:\Users\andre\Desktop\REACTIV CEFAS\Anastrozole\Anastrozole/20201124_Cefas_Test7_Run1/Plate 1/@3/D3_01.tif </t>
  </si>
  <si>
    <t xml:space="preserve"> 1622.2421 </t>
  </si>
  <si>
    <t xml:space="preserve"> 32.24 </t>
  </si>
  <si>
    <t xml:space="preserve">C:\Users\andre\Desktop\REACTIV CEFAS\Anastrozole\Anastrozole/20201124_Cefas_Test7_Run1/Plate 1/@3/D3_02.tif </t>
  </si>
  <si>
    <t xml:space="preserve"> 1016.605 </t>
  </si>
  <si>
    <t xml:space="preserve"> 32.1277 </t>
  </si>
  <si>
    <t xml:space="preserve">C:\Users\andre\Desktop\REACTIV CEFAS\Anastrozole\Anastrozole/20201124_Cefas_Test7_Run1/Plate 1/@3/D3_03.tif </t>
  </si>
  <si>
    <t xml:space="preserve"> 33.1733 </t>
  </si>
  <si>
    <t xml:space="preserve">C:\Users\andre\Desktop\REACTIV CEFAS\Anastrozole\Anastrozole/20201124_Cefas_Test7_Run1/Plate 1/@3/E3_01.tif </t>
  </si>
  <si>
    <t xml:space="preserve">C:\Users\andre\Desktop\REACTIV CEFAS\Anastrozole\Anastrozole/20201124_Cefas_Test7_Run1/Plate 1/@3/E3_02.tif </t>
  </si>
  <si>
    <t xml:space="preserve">C:\Users\andre\Desktop\REACTIV CEFAS\Anastrozole\Anastrozole/20201124_Cefas_Test7_Run1/Plate 1/@3/E3_03.tif </t>
  </si>
  <si>
    <t xml:space="preserve">C:\Users\andre\Desktop\REACTIV CEFAS\Anastrozole\Anastrozole/20201124_Cefas_Test7_Run1/Plate 1/@3/F3_01.tif </t>
  </si>
  <si>
    <t xml:space="preserve"> 843.5659 </t>
  </si>
  <si>
    <t xml:space="preserve"> 31.2564 </t>
  </si>
  <si>
    <t xml:space="preserve">C:\Users\andre\Desktop\REACTIV CEFAS\Anastrozole\Anastrozole/20201124_Cefas_Test7_Run1/Plate 1/@3/F3_02.tif </t>
  </si>
  <si>
    <t xml:space="preserve"> 32.5616 </t>
  </si>
  <si>
    <t xml:space="preserve">C:\Users\andre\Desktop\REACTIV CEFAS\Anastrozole\Anastrozole/20201124_Cefas_Test7_Run1/Plate 1/@3/F3_03.tif </t>
  </si>
  <si>
    <t xml:space="preserve"> 4693.6871 </t>
  </si>
  <si>
    <t xml:space="preserve"> 33.6959 </t>
  </si>
  <si>
    <t xml:space="preserve">C:\Users\andre\Desktop\REACTIV CEFAS\Anastrozole\Anastrozole/20201124_Cefas_Test7_Run1/Plate 1/@3/G3_01.tif </t>
  </si>
  <si>
    <t xml:space="preserve"> 8262.6197 </t>
  </si>
  <si>
    <t xml:space="preserve"> 41.1283 </t>
  </si>
  <si>
    <t xml:space="preserve">C:\Users\andre\Desktop\REACTIV CEFAS\Anastrozole\Anastrozole/20201124_Cefas_Test7_Run1/Plate 1/@3/G3_02.tif </t>
  </si>
  <si>
    <t xml:space="preserve"> 8219.36 </t>
  </si>
  <si>
    <t xml:space="preserve"> 35.2711 </t>
  </si>
  <si>
    <t xml:space="preserve">C:\Users\andre\Desktop\REACTIV CEFAS\Anastrozole\Anastrozole/20201124_Cefas_Test7_Run1/Plate 1/@3/G3_03.tif </t>
  </si>
  <si>
    <t xml:space="preserve"> 1773.6514 </t>
  </si>
  <si>
    <t xml:space="preserve"> 33.061 </t>
  </si>
  <si>
    <t xml:space="preserve">C:\Users\andre\Desktop\REACTIV CEFAS\Anastrozole\Anastrozole/20201124_Cefas_Test7_Run1/Plate 1/@3/H3_01.tif </t>
  </si>
  <si>
    <t xml:space="preserve"> 13972.9119 </t>
  </si>
  <si>
    <t xml:space="preserve"> 34.4009 </t>
  </si>
  <si>
    <t xml:space="preserve">C:\Users\andre\Desktop\REACTIV CEFAS\Anastrozole\Anastrozole/20201124_Cefas_Test7_Run1/Plate 1/@3/H3_02.tif </t>
  </si>
  <si>
    <t xml:space="preserve">C:\Users\andre\Desktop\REACTIV CEFAS\Anastrozole\Anastrozole/20201124_Cefas_Test7_Run1/Plate 1/@3/H3_03.tif </t>
  </si>
  <si>
    <t xml:space="preserve"> 5212.8046 </t>
  </si>
  <si>
    <t xml:space="preserve"> 37.5145 </t>
  </si>
  <si>
    <t xml:space="preserve">C:\Users\andre\Desktop\REACTIV CEFAS\Anastrozole\Anastrozole/20201124_Cefas_Test7_Run1/Plate 1/@3/ </t>
  </si>
  <si>
    <t xml:space="preserve"> 30.6956 </t>
  </si>
  <si>
    <t xml:space="preserve"> 9.8373 </t>
  </si>
  <si>
    <t xml:space="preserve">C:\Users\andre\Desktop\REACTIV CEFAS\Anastrozole\Anastrozole/20201124_Cefas_Test7_Run1/Plate 1/@4/A4_01.tif </t>
  </si>
  <si>
    <t xml:space="preserve"> 6662.0075 </t>
  </si>
  <si>
    <t xml:space="preserve"> 34.8539 </t>
  </si>
  <si>
    <t xml:space="preserve">C:\Users\andre\Desktop\REACTIV CEFAS\Anastrozole\Anastrozole/20201124_Cefas_Test7_Run1/Plate 1/@4/A4_02.tif </t>
  </si>
  <si>
    <t xml:space="preserve"> 2292.7688 </t>
  </si>
  <si>
    <t xml:space="preserve"> 32.2547 </t>
  </si>
  <si>
    <t xml:space="preserve">C:\Users\andre\Desktop\REACTIV CEFAS\Anastrozole\Anastrozole/20201124_Cefas_Test7_Run1/Plate 1/@4/A4_03.tif </t>
  </si>
  <si>
    <t xml:space="preserve"> 5061.3953 </t>
  </si>
  <si>
    <t xml:space="preserve"> 35.5897 </t>
  </si>
  <si>
    <t xml:space="preserve">C:\Users\andre\Desktop\REACTIV CEFAS\Anastrozole\Anastrozole/20201124_Cefas_Test7_Run1/Plate 1/@4/B4_01.tif </t>
  </si>
  <si>
    <t xml:space="preserve"> 28962.4289 </t>
  </si>
  <si>
    <t xml:space="preserve"> 35.289 </t>
  </si>
  <si>
    <t xml:space="preserve">C:\Users\andre\Desktop\REACTIV CEFAS\Anastrozole\Anastrozole/20201124_Cefas_Test7_Run1/Plate 1/@4/B4_02.tif </t>
  </si>
  <si>
    <t xml:space="preserve"> 34953.9097 </t>
  </si>
  <si>
    <t xml:space="preserve"> 37.5835 </t>
  </si>
  <si>
    <t xml:space="preserve">C:\Users\andre\Desktop\REACTIV CEFAS\Anastrozole\Anastrozole/20201124_Cefas_Test7_Run1/Plate 1/@4/B4_03.tif </t>
  </si>
  <si>
    <t xml:space="preserve"> 31795.9451 </t>
  </si>
  <si>
    <t xml:space="preserve"> 36.0327 </t>
  </si>
  <si>
    <t xml:space="preserve">C:\Users\andre\Desktop\REACTIV CEFAS\Anastrozole\Anastrozole/20201124_Cefas_Test7_Run1/Plate 1/@4/C4_01.tif </t>
  </si>
  <si>
    <t xml:space="preserve"> 18882.898 </t>
  </si>
  <si>
    <t xml:space="preserve"> 39.7652 </t>
  </si>
  <si>
    <t xml:space="preserve">C:\Users\andre\Desktop\REACTIV CEFAS\Anastrozole\Anastrozole/20201124_Cefas_Test7_Run1/Plate 1/@4/C4_02.tif </t>
  </si>
  <si>
    <t xml:space="preserve"> 21954.343 </t>
  </si>
  <si>
    <t xml:space="preserve"> 37.9458 </t>
  </si>
  <si>
    <t xml:space="preserve">C:\Users\andre\Desktop\REACTIV CEFAS\Anastrozole\Anastrozole/20201124_Cefas_Test7_Run1/Plate 1/@4/C4_03.tif </t>
  </si>
  <si>
    <t xml:space="preserve"> 12091.1111 </t>
  </si>
  <si>
    <t xml:space="preserve"> 38.7013 </t>
  </si>
  <si>
    <t xml:space="preserve">C:\Users\andre\Desktop\REACTIV CEFAS\Anastrozole\Anastrozole/20201124_Cefas_Test7_Run1/Plate 1/@4/D4_01.tif </t>
  </si>
  <si>
    <t xml:space="preserve"> 33.0733 </t>
  </si>
  <si>
    <t xml:space="preserve">C:\Users\andre\Desktop\REACTIV CEFAS\Anastrozole\Anastrozole/20201124_Cefas_Test7_Run1/Plate 1/@4/D4_02.tif </t>
  </si>
  <si>
    <t xml:space="preserve"> 16763.1683 </t>
  </si>
  <si>
    <t xml:space="preserve"> 34.0929 </t>
  </si>
  <si>
    <t xml:space="preserve">C:\Users\andre\Desktop\REACTIV CEFAS\Anastrozole\Anastrozole/20201124_Cefas_Test7_Run1/Plate 1/@4/D4_03.tif </t>
  </si>
  <si>
    <t xml:space="preserve"> 7959.8012 </t>
  </si>
  <si>
    <t xml:space="preserve"> 33.0245 </t>
  </si>
  <si>
    <t xml:space="preserve">C:\Users\andre\Desktop\REACTIV CEFAS\Anastrozole\Anastrozole/20201124_Cefas_Test7_Run1/Plate 1/@4/E4_01.tif </t>
  </si>
  <si>
    <t xml:space="preserve"> 5667.0324 </t>
  </si>
  <si>
    <t xml:space="preserve"> 31.6107 </t>
  </si>
  <si>
    <t xml:space="preserve">C:\Users\andre\Desktop\REACTIV CEFAS\Anastrozole\Anastrozole/20201124_Cefas_Test7_Run1/Plate 1/@4/E4_02.tif </t>
  </si>
  <si>
    <t xml:space="preserve"> 7440.6838 </t>
  </si>
  <si>
    <t xml:space="preserve"> 32.0727 </t>
  </si>
  <si>
    <t xml:space="preserve">C:\Users\andre\Desktop\REACTIV CEFAS\Anastrozole\Anastrozole/20201124_Cefas_Test7_Run1/Plate 1/@4/E4_03.tif </t>
  </si>
  <si>
    <t xml:space="preserve"> 8608.6981 </t>
  </si>
  <si>
    <t xml:space="preserve"> 31.3291 </t>
  </si>
  <si>
    <t xml:space="preserve">C:\Users\andre\Desktop\REACTIV CEFAS\Anastrozole\Anastrozole/20201124_Cefas_Test7_Run1/Plate 1/@4/F4_01.tif </t>
  </si>
  <si>
    <t xml:space="preserve"> 5926.5911 </t>
  </si>
  <si>
    <t xml:space="preserve"> 31.3321 </t>
  </si>
  <si>
    <t xml:space="preserve">C:\Users\andre\Desktop\REACTIV CEFAS\Anastrozole\Anastrozole/20201124_Cefas_Test7_Run1/Plate 1/@4/F4_02.tif </t>
  </si>
  <si>
    <t xml:space="preserve"> 15292.3355 </t>
  </si>
  <si>
    <t xml:space="preserve"> 32.7765 </t>
  </si>
  <si>
    <t xml:space="preserve">C:\Users\andre\Desktop\REACTIV CEFAS\Anastrozole\Anastrozole/20201124_Cefas_Test7_Run1/Plate 1/@4/F4_03.tif </t>
  </si>
  <si>
    <t xml:space="preserve"> 2098.0998 </t>
  </si>
  <si>
    <t xml:space="preserve"> 31.433 </t>
  </si>
  <si>
    <t xml:space="preserve">C:\Users\andre\Desktop\REACTIV CEFAS\Anastrozole\Anastrozole/20201124_Cefas_Test7_Run1/Plate 1/@4/G4_01.tif </t>
  </si>
  <si>
    <t xml:space="preserve"> 7354.1642 </t>
  </si>
  <si>
    <t xml:space="preserve"> 32.4147 </t>
  </si>
  <si>
    <t xml:space="preserve">C:\Users\andre\Desktop\REACTIV CEFAS\Anastrozole\Anastrozole/20201124_Cefas_Test7_Run1/Plate 1/@4/G4_02.tif </t>
  </si>
  <si>
    <t xml:space="preserve"> 10209.3103 </t>
  </si>
  <si>
    <t xml:space="preserve"> 32.553 </t>
  </si>
  <si>
    <t xml:space="preserve">C:\Users\andre\Desktop\REACTIV CEFAS\Anastrozole\Anastrozole/20201124_Cefas_Test7_Run1/Plate 1/@4/G4_03.tif </t>
  </si>
  <si>
    <t xml:space="preserve"> 31.9184 </t>
  </si>
  <si>
    <t xml:space="preserve">C:\Users\andre\Desktop\REACTIV CEFAS\Anastrozole\Anastrozole/20201124_Cefas_Test7_Run1/Plate 1/@4/H4_01.tif </t>
  </si>
  <si>
    <t xml:space="preserve"> 10057.901 </t>
  </si>
  <si>
    <t xml:space="preserve"> 34.7548 </t>
  </si>
  <si>
    <t>C:\Users\andre\Desktop\REACTIV CEFAS\Anastrozole\Anastrozole/20201124_Cefas_Test7_Run1/Plate 1/@4/H4_02- exclu.tif</t>
  </si>
  <si>
    <t>C:\Users\andre\Desktop\REACTIV CEFAS\Anastrozole\Anastrozole/20201124_Cefas_Test7_Run1/Plate 1/@4/H4_03- exclu.tif</t>
  </si>
  <si>
    <t xml:space="preserve">C:\Users\andre\Desktop\REACTIV CEFAS\Anastrozole\Anastrozole/20201124_Cefas_Test7_Run1/Plate 1/@4/ </t>
  </si>
  <si>
    <t xml:space="preserve"> 34.2111 </t>
  </si>
  <si>
    <t xml:space="preserve"> 2.53 </t>
  </si>
  <si>
    <t xml:space="preserve"> 417661.625 </t>
  </si>
  <si>
    <t>C:\Users\andre\Desktop\REACTIV CEFAS\Anastrozole\Anastrozole/20201124_Cefas_Test7_Run1/Plate 1/@5/A5_01- exclu.tif</t>
  </si>
  <si>
    <t>C:\Users\andre\Desktop\REACTIV CEFAS\Anastrozole\Anastrozole/20201124_Cefas_Test7_Run1/Plate 1/@5/A5_02- exclu.tif</t>
  </si>
  <si>
    <t>C:\Users\andre\Desktop\REACTIV CEFAS\Anastrozole\Anastrozole/20201124_Cefas_Test7_Run1/Plate 1/@5/A5_03- exclu.tif</t>
  </si>
  <si>
    <t xml:space="preserve">C:\Users\andre\Desktop\REACTIV CEFAS\Anastrozole\Anastrozole/20201124_Cefas_Test7_Run1/Plate 1/@5/B5_01.tif </t>
  </si>
  <si>
    <t xml:space="preserve"> 2054.84 </t>
  </si>
  <si>
    <t xml:space="preserve"> 35.4 </t>
  </si>
  <si>
    <t xml:space="preserve">C:\Users\andre\Desktop\REACTIV CEFAS\Anastrozole\Anastrozole/20201124_Cefas_Test7_Run1/Plate 1/@5/B5_02.tif </t>
  </si>
  <si>
    <t xml:space="preserve"> 3568.9326 </t>
  </si>
  <si>
    <t xml:space="preserve"> 35.1879 </t>
  </si>
  <si>
    <t xml:space="preserve">C:\Users\andre\Desktop\REACTIV CEFAS\Anastrozole\Anastrozole/20201124_Cefas_Test7_Run1/Plate 1/@5/B5_03.tif </t>
  </si>
  <si>
    <t xml:space="preserve"> 35.4324 </t>
  </si>
  <si>
    <t xml:space="preserve">C:\Users\andre\Desktop\REACTIV CEFAS\Anastrozole\Anastrozole/20201124_Cefas_Test7_Run1/Plate 1/@5/C5_01.tif </t>
  </si>
  <si>
    <t xml:space="preserve"> 65992.8085 </t>
  </si>
  <si>
    <t xml:space="preserve"> 42.6958 </t>
  </si>
  <si>
    <t xml:space="preserve">C:\Users\andre\Desktop\REACTIV CEFAS\Anastrozole\Anastrozole/20201124_Cefas_Test7_Run1/Plate 1/@5/C5_02.tif </t>
  </si>
  <si>
    <t xml:space="preserve"> 55372.5302 </t>
  </si>
  <si>
    <t xml:space="preserve"> 37.8359 </t>
  </si>
  <si>
    <t xml:space="preserve">C:\Users\andre\Desktop\REACTIV CEFAS\Anastrozole\Anastrozole/20201124_Cefas_Test7_Run1/Plate 1/@5/C5_03.tif </t>
  </si>
  <si>
    <t xml:space="preserve"> 50527.4339 </t>
  </si>
  <si>
    <t xml:space="preserve"> 37.3536 </t>
  </si>
  <si>
    <t xml:space="preserve">C:\Users\andre\Desktop\REACTIV CEFAS\Anastrozole\Anastrozole/20201124_Cefas_Test7_Run1/Plate 1/@5/D5_01.tif </t>
  </si>
  <si>
    <t xml:space="preserve"> 61861.4986 </t>
  </si>
  <si>
    <t xml:space="preserve"> 40.5941 </t>
  </si>
  <si>
    <t xml:space="preserve">C:\Users\andre\Desktop\REACTIV CEFAS\Anastrozole\Anastrozole/20201124_Cefas_Test7_Run1/Plate 1/@5/D5_02.tif </t>
  </si>
  <si>
    <t xml:space="preserve"> 58011.3774 </t>
  </si>
  <si>
    <t xml:space="preserve"> 41.5969 </t>
  </si>
  <si>
    <t xml:space="preserve">C:\Users\andre\Desktop\REACTIV CEFAS\Anastrozole\Anastrozole/20201124_Cefas_Test7_Run1/Plate 1/@5/D5_03.tif </t>
  </si>
  <si>
    <t xml:space="preserve"> 53209.5408 </t>
  </si>
  <si>
    <t xml:space="preserve"> 41.9073 </t>
  </si>
  <si>
    <t xml:space="preserve">C:\Users\andre\Desktop\REACTIV CEFAS\Anastrozole\Anastrozole/20201124_Cefas_Test7_Run1/Plate 1/@5/E5_01.tif </t>
  </si>
  <si>
    <t xml:space="preserve"> 47109.9105 </t>
  </si>
  <si>
    <t xml:space="preserve"> 34.5964 </t>
  </si>
  <si>
    <t xml:space="preserve">C:\Users\andre\Desktop\REACTIV CEFAS\Anastrozole\Anastrozole/20201124_Cefas_Test7_Run1/Plate 1/@5/E5_02.tif </t>
  </si>
  <si>
    <t xml:space="preserve"> 48169.7753 </t>
  </si>
  <si>
    <t xml:space="preserve"> 35.1208 </t>
  </si>
  <si>
    <t xml:space="preserve">C:\Users\andre\Desktop\REACTIV CEFAS\Anastrozole\Anastrozole/20201124_Cefas_Test7_Run1/Plate 1/@5/E5_03.tif </t>
  </si>
  <si>
    <t xml:space="preserve"> 35.3624 </t>
  </si>
  <si>
    <t xml:space="preserve">C:\Users\andre\Desktop\REACTIV CEFAS\Anastrozole\Anastrozole/20201124_Cefas_Test7_Run1/Plate 1/@5/F5_01.tif </t>
  </si>
  <si>
    <t xml:space="preserve"> 62834.8439 </t>
  </si>
  <si>
    <t xml:space="preserve"> 38.8076 </t>
  </si>
  <si>
    <t xml:space="preserve">C:\Users\andre\Desktop\REACTIV CEFAS\Anastrozole\Anastrozole/20201124_Cefas_Test7_Run1/Plate 1/@5/F5_02.tif </t>
  </si>
  <si>
    <t xml:space="preserve"> 64803.1643 </t>
  </si>
  <si>
    <t xml:space="preserve"> 39.9249 </t>
  </si>
  <si>
    <t xml:space="preserve">C:\Users\andre\Desktop\REACTIV CEFAS\Anastrozole\Anastrozole/20201124_Cefas_Test7_Run1/Plate 1/@5/F5_03.tif </t>
  </si>
  <si>
    <t xml:space="preserve"> 55761.8684 </t>
  </si>
  <si>
    <t xml:space="preserve"> 37.0326 </t>
  </si>
  <si>
    <t xml:space="preserve">C:\Users\andre\Desktop\REACTIV CEFAS\Anastrozole\Anastrozole/20201124_Cefas_Test7_Run1/Plate 1/@5/G5_01.tif </t>
  </si>
  <si>
    <t xml:space="preserve"> 43108.38 </t>
  </si>
  <si>
    <t xml:space="preserve"> 36.585 </t>
  </si>
  <si>
    <t>C:\Users\andre\Desktop\REACTIV CEFAS\Anastrozole\Anastrozole/20201124_Cefas_Test7_Run1/Plate 1/@5/G5_02- exclu.tif</t>
  </si>
  <si>
    <t xml:space="preserve">C:\Users\andre\Desktop\REACTIV CEFAS\Anastrozole\Anastrozole/20201124_Cefas_Test7_Run1/Plate 1/@5/G5_03.tif </t>
  </si>
  <si>
    <t xml:space="preserve"> 38.3634 </t>
  </si>
  <si>
    <t xml:space="preserve">C:\Users\andre\Desktop\REACTIV CEFAS\Anastrozole\Anastrozole/20201124_Cefas_Test7_Run1/Plate 1/@5/H5_01.tif </t>
  </si>
  <si>
    <t xml:space="preserve"> 65170.8725 </t>
  </si>
  <si>
    <t xml:space="preserve"> 42.1829 </t>
  </si>
  <si>
    <t xml:space="preserve">C:\Users\andre\Desktop\REACTIV CEFAS\Anastrozole\Anastrozole/20201124_Cefas_Test7_Run1/Plate 1/@5/H5_02.tif </t>
  </si>
  <si>
    <t xml:space="preserve"> 69626.6308 </t>
  </si>
  <si>
    <t xml:space="preserve"> 40.1429 </t>
  </si>
  <si>
    <t xml:space="preserve">C:\Users\andre\Desktop\REACTIV CEFAS\Anastrozole\Anastrozole/20201124_Cefas_Test7_Run1/Plate 1/@5/H5_03.tif </t>
  </si>
  <si>
    <t xml:space="preserve"> 70881.1647 </t>
  </si>
  <si>
    <t xml:space="preserve"> 45.2789 </t>
  </si>
  <si>
    <t xml:space="preserve">C:\Users\andre\Desktop\REACTIV CEFAS\Anastrozole\Anastrozole/20201124_Cefas_Test7_Run1/Plate 1/@5/ </t>
  </si>
  <si>
    <t xml:space="preserve"> 37.5395 </t>
  </si>
  <si>
    <t xml:space="preserve"> 3.6832 </t>
  </si>
  <si>
    <t xml:space="preserve"> 1639029.62 </t>
  </si>
  <si>
    <t xml:space="preserve">C:\Users\andre\Desktop\REACTIV CEFAS\Anastrozole\Anastrozole/20201124_Cefas_Test7_Run1/Plate 1/@6/A6_01.tif </t>
  </si>
  <si>
    <t xml:space="preserve"> 9776.7124 </t>
  </si>
  <si>
    <t xml:space="preserve"> 36.9646 </t>
  </si>
  <si>
    <t xml:space="preserve">C:\Users\andre\Desktop\REACTIV CEFAS\Anastrozole\Anastrozole/20201124_Cefas_Test7_Run1/Plate 1/@6/A6_02.tif </t>
  </si>
  <si>
    <t xml:space="preserve"> 14081.0614 </t>
  </si>
  <si>
    <t xml:space="preserve"> 38.2519 </t>
  </si>
  <si>
    <t>C:\Users\andre\Desktop\REACTIV CEFAS\Anastrozole\Anastrozole/20201124_Cefas_Test7_Run1/Plate 1/@6/A6_03- exclu.tif</t>
  </si>
  <si>
    <t xml:space="preserve">C:\Users\andre\Desktop\REACTIV CEFAS\Anastrozole\Anastrozole/20201124_Cefas_Test7_Run1/Plate 1/@6/B6_01.tif </t>
  </si>
  <si>
    <t xml:space="preserve"> 23230.5068 </t>
  </si>
  <si>
    <t xml:space="preserve"> 37.6778 </t>
  </si>
  <si>
    <t xml:space="preserve">C:\Users\andre\Desktop\REACTIV CEFAS\Anastrozole\Anastrozole/20201124_Cefas_Test7_Run1/Plate 1/@6/B6_02.tif </t>
  </si>
  <si>
    <t xml:space="preserve"> 25198.8272 </t>
  </si>
  <si>
    <t xml:space="preserve"> 36.9039 </t>
  </si>
  <si>
    <t xml:space="preserve">C:\Users\andre\Desktop\REACTIV CEFAS\Anastrozole\Anastrozole/20201124_Cefas_Test7_Run1/Plate 1/@6/B6_03.tif </t>
  </si>
  <si>
    <t xml:space="preserve"> 22343.6812 </t>
  </si>
  <si>
    <t xml:space="preserve"> 39.1946 </t>
  </si>
  <si>
    <t xml:space="preserve">C:\Users\andre\Desktop\REACTIV CEFAS\Anastrozole\Anastrozole/20201124_Cefas_Test7_Run1/Plate 1/@6/C6_01.tif </t>
  </si>
  <si>
    <t xml:space="preserve"> 64781.5344 </t>
  </si>
  <si>
    <t xml:space="preserve"> 45.8467 </t>
  </si>
  <si>
    <t xml:space="preserve">C:\Users\andre\Desktop\REACTIV CEFAS\Anastrozole\Anastrozole/20201124_Cefas_Test7_Run1/Plate 1/@6/C6_02.tif </t>
  </si>
  <si>
    <t xml:space="preserve"> 60174.3669 </t>
  </si>
  <si>
    <t xml:space="preserve"> 44.2617 </t>
  </si>
  <si>
    <t xml:space="preserve">C:\Users\andre\Desktop\REACTIV CEFAS\Anastrozole\Anastrozole/20201124_Cefas_Test7_Run1/Plate 1/@6/C6_03.tif </t>
  </si>
  <si>
    <t xml:space="preserve"> 66879.6342 </t>
  </si>
  <si>
    <t xml:space="preserve"> 45.8373 </t>
  </si>
  <si>
    <t xml:space="preserve">C:\Users\andre\Desktop\REACTIV CEFAS\Anastrozole\Anastrozole/20201124_Cefas_Test7_Run1/Plate 1/@6/D6_01.tif </t>
  </si>
  <si>
    <t xml:space="preserve"> 54312.6654 </t>
  </si>
  <si>
    <t xml:space="preserve"> 50.6551 </t>
  </si>
  <si>
    <t xml:space="preserve">C:\Users\andre\Desktop\REACTIV CEFAS\Anastrozole\Anastrozole/20201124_Cefas_Test7_Run1/Plate 1/@6/D6_02.tif </t>
  </si>
  <si>
    <t xml:space="preserve"> 52149.676 </t>
  </si>
  <si>
    <t xml:space="preserve"> 48.8693 </t>
  </si>
  <si>
    <t xml:space="preserve">C:\Users\andre\Desktop\REACTIV CEFAS\Anastrozole\Anastrozole/20201124_Cefas_Test7_Run1/Plate 1/@6/D6_03.tif </t>
  </si>
  <si>
    <t xml:space="preserve"> 49186.3804 </t>
  </si>
  <si>
    <t xml:space="preserve"> 46.8074 </t>
  </si>
  <si>
    <t>C:\Users\andre\Desktop\REACTIV CEFAS\Anastrozole\Anastrozole/20201124_Cefas_Test7_Run1/Plate 1/@6/E6_01- exclu.tif</t>
  </si>
  <si>
    <t xml:space="preserve">C:\Users\andre\Desktop\REACTIV CEFAS\Anastrozole\Anastrozole/20201124_Cefas_Test7_Run1/Plate 1/@6/E6_02.tif </t>
  </si>
  <si>
    <t xml:space="preserve"> 66771.4847 </t>
  </si>
  <si>
    <t xml:space="preserve"> 45.955 </t>
  </si>
  <si>
    <t>C:\Users\andre\Desktop\REACTIV CEFAS\Anastrozole\Anastrozole/20201124_Cefas_Test7_Run1/Plate 1/@6/E6_03- exclu.tif</t>
  </si>
  <si>
    <t xml:space="preserve">C:\Users\andre\Desktop\REACTIV CEFAS\Anastrozole\Anastrozole/20201124_Cefas_Test7_Run1/Plate 1/@6/F6_01.tif </t>
  </si>
  <si>
    <t xml:space="preserve"> 63570.2603 </t>
  </si>
  <si>
    <t xml:space="preserve"> 48.673 </t>
  </si>
  <si>
    <t xml:space="preserve">C:\Users\andre\Desktop\REACTIV CEFAS\Anastrozole\Anastrozole/20201124_Cefas_Test7_Run1/Plate 1/@6/F6_02.tif </t>
  </si>
  <si>
    <t xml:space="preserve"> 63375.5913 </t>
  </si>
  <si>
    <t xml:space="preserve"> 47.9027 </t>
  </si>
  <si>
    <t xml:space="preserve">C:\Users\andre\Desktop\REACTIV CEFAS\Anastrozole\Anastrozole/20201124_Cefas_Test7_Run1/Plate 1/@6/F6_03.tif </t>
  </si>
  <si>
    <t xml:space="preserve"> 69886.1895 </t>
  </si>
  <si>
    <t xml:space="preserve"> 49.0275 </t>
  </si>
  <si>
    <t xml:space="preserve">C:\Users\andre\Desktop\REACTIV CEFAS\Anastrozole\Anastrozole/20201124_Cefas_Test7_Run1/Plate 1/@6/G6_01.tif </t>
  </si>
  <si>
    <t xml:space="preserve"> 57211.0713 </t>
  </si>
  <si>
    <t xml:space="preserve"> 49.9399 </t>
  </si>
  <si>
    <t xml:space="preserve">C:\Users\andre\Desktop\REACTIV CEFAS\Anastrozole\Anastrozole/20201124_Cefas_Test7_Run1/Plate 1/@6/G6_02.tif </t>
  </si>
  <si>
    <t xml:space="preserve"> 61753.3492 </t>
  </si>
  <si>
    <t xml:space="preserve"> 52.3391 </t>
  </si>
  <si>
    <t xml:space="preserve">C:\Users\andre\Desktop\REACTIV CEFAS\Anastrozole\Anastrozole/20201124_Cefas_Test7_Run1/Plate 1/@6/G6_03.tif </t>
  </si>
  <si>
    <t xml:space="preserve"> 56043.057 </t>
  </si>
  <si>
    <t xml:space="preserve"> 48.6442 </t>
  </si>
  <si>
    <t xml:space="preserve">C:\Users\andre\Desktop\REACTIV CEFAS\Anastrozole\Anastrozole/20201124_Cefas_Test7_Run1/Plate 1/@6/H6_01.tif </t>
  </si>
  <si>
    <t xml:space="preserve"> 42481.1131 </t>
  </si>
  <si>
    <t xml:space="preserve"> 44.0407 </t>
  </si>
  <si>
    <t xml:space="preserve">C:\Users\andre\Desktop\REACTIV CEFAS\Anastrozole\Anastrozole/20201124_Cefas_Test7_Run1/Plate 1/@6/H6_02.tif </t>
  </si>
  <si>
    <t xml:space="preserve"> 40469.5329 </t>
  </si>
  <si>
    <t xml:space="preserve"> 49.147 </t>
  </si>
  <si>
    <t xml:space="preserve">C:\Users\andre\Desktop\REACTIV CEFAS\Anastrozole\Anastrozole/20201124_Cefas_Test7_Run1/Plate 1/@6/H6_03.tif </t>
  </si>
  <si>
    <t xml:space="preserve"> 53598.8789 </t>
  </si>
  <si>
    <t xml:space="preserve"> 45.1336 </t>
  </si>
  <si>
    <t xml:space="preserve">C:\Users\andre\Desktop\REACTIV CEFAS\Anastrozole\Anastrozole/20201124_Cefas_Test7_Run1/Plate 1/@6/ </t>
  </si>
  <si>
    <t xml:space="preserve"> 45.344 </t>
  </si>
  <si>
    <t xml:space="preserve"> 4.981 </t>
  </si>
  <si>
    <t xml:space="preserve"> 2171305.12 </t>
  </si>
  <si>
    <t xml:space="preserve">C:\Users\andre\Desktop\REACTIV CEFAS\Anastrozole\Anastrozole/20201124_Cefas_Test7_Run1/Plate 1/@7/A7_01.tif </t>
  </si>
  <si>
    <t xml:space="preserve"> 51.2621 </t>
  </si>
  <si>
    <t xml:space="preserve">C:\Users\andre\Desktop\REACTIV CEFAS\Anastrozole\Anastrozole/20201124_Cefas_Test7_Run1/Plate 1/@7/A7_02.tif </t>
  </si>
  <si>
    <t xml:space="preserve"> 53014.8717 </t>
  </si>
  <si>
    <t xml:space="preserve"> 53.6944 </t>
  </si>
  <si>
    <t xml:space="preserve">C:\Users\andre\Desktop\REACTIV CEFAS\Anastrozole\Anastrozole/20201124_Cefas_Test7_Run1/Plate 1/@7/A7_03.tif </t>
  </si>
  <si>
    <t xml:space="preserve"> 47650.6579 </t>
  </si>
  <si>
    <t xml:space="preserve"> 52.227 </t>
  </si>
  <si>
    <t xml:space="preserve">C:\Users\andre\Desktop\REACTIV CEFAS\Anastrozole\Anastrozole/20201124_Cefas_Test7_Run1/Plate 1/@7/B7_01.tif </t>
  </si>
  <si>
    <t xml:space="preserve"> 50138.0957 </t>
  </si>
  <si>
    <t xml:space="preserve"> 51.9202 </t>
  </si>
  <si>
    <t xml:space="preserve">C:\Users\andre\Desktop\REACTIV CEFAS\Anastrozole\Anastrozole/20201124_Cefas_Test7_Run1/Plate 1/@7/B7_02.tif </t>
  </si>
  <si>
    <t xml:space="preserve"> 54896.6726 </t>
  </si>
  <si>
    <t xml:space="preserve"> 53.9232 </t>
  </si>
  <si>
    <t xml:space="preserve">C:\Users\andre\Desktop\REACTIV CEFAS\Anastrozole\Anastrozole/20201124_Cefas_Test7_Run1/Plate 1/@7/B7_03.tif </t>
  </si>
  <si>
    <t xml:space="preserve"> 61883.1285 </t>
  </si>
  <si>
    <t xml:space="preserve"> 51.9969 </t>
  </si>
  <si>
    <t xml:space="preserve">C:\Users\andre\Desktop\REACTIV CEFAS\Anastrozole\Anastrozole/20201124_Cefas_Test7_Run1/Plate 1/@7/C7_01.tif </t>
  </si>
  <si>
    <t xml:space="preserve"> 41961.9956 </t>
  </si>
  <si>
    <t xml:space="preserve"> 55.5763 </t>
  </si>
  <si>
    <t xml:space="preserve">C:\Users\andre\Desktop\REACTIV CEFAS\Anastrozole\Anastrozole/20201124_Cefas_Test7_Run1/Plate 1/@7/C7_02.tif </t>
  </si>
  <si>
    <t xml:space="preserve"> 44860.4015 </t>
  </si>
  <si>
    <t xml:space="preserve"> 61.161 </t>
  </si>
  <si>
    <t xml:space="preserve">C:\Users\andre\Desktop\REACTIV CEFAS\Anastrozole\Anastrozole/20201124_Cefas_Test7_Run1/Plate 1/@7/C7_03.tif </t>
  </si>
  <si>
    <t xml:space="preserve"> 43562.6078 </t>
  </si>
  <si>
    <t xml:space="preserve"> 58.5 </t>
  </si>
  <si>
    <t xml:space="preserve">C:\Users\andre\Desktop\REACTIV CEFAS\Anastrozole\Anastrozole/20201124_Cefas_Test7_Run1/Plate 1/@7/D7_01.tif </t>
  </si>
  <si>
    <t xml:space="preserve"> 66987.7837 </t>
  </si>
  <si>
    <t xml:space="preserve"> 52.3264 </t>
  </si>
  <si>
    <t xml:space="preserve">C:\Users\andre\Desktop\REACTIV CEFAS\Anastrozole\Anastrozole/20201124_Cefas_Test7_Run1/Plate 1/@7/D7_02.tif </t>
  </si>
  <si>
    <t xml:space="preserve"> 70578.3462 </t>
  </si>
  <si>
    <t xml:space="preserve"> 52.8026 </t>
  </si>
  <si>
    <t xml:space="preserve">C:\Users\andre\Desktop\REACTIV CEFAS\Anastrozole\Anastrozole/20201124_Cefas_Test7_Run1/Plate 1/@7/D7_03.tif </t>
  </si>
  <si>
    <t xml:space="preserve"> 73368.6026 </t>
  </si>
  <si>
    <t xml:space="preserve"> 52.5363 </t>
  </si>
  <si>
    <t xml:space="preserve">C:\Users\andre\Desktop\REACTIV CEFAS\Anastrozole\Anastrozole/20201124_Cefas_Test7_Run1/Plate 1/@7/E7_01.tif </t>
  </si>
  <si>
    <t xml:space="preserve"> 77694.5815 </t>
  </si>
  <si>
    <t xml:space="preserve"> 56.7099 </t>
  </si>
  <si>
    <t xml:space="preserve">C:\Users\andre\Desktop\REACTIV CEFAS\Anastrozole\Anastrozole/20201124_Cefas_Test7_Run1/Plate 1/@7/E7_02.tif </t>
  </si>
  <si>
    <t xml:space="preserve"> 84378.2189 </t>
  </si>
  <si>
    <t xml:space="preserve"> 59.7529 </t>
  </si>
  <si>
    <t xml:space="preserve">C:\Users\andre\Desktop\REACTIV CEFAS\Anastrozole\Anastrozole/20201124_Cefas_Test7_Run1/Plate 1/@7/E7_03.tif </t>
  </si>
  <si>
    <t xml:space="preserve"> 79965.7204 </t>
  </si>
  <si>
    <t xml:space="preserve"> 58.3381 </t>
  </si>
  <si>
    <t xml:space="preserve">C:\Users\andre\Desktop\REACTIV CEFAS\Anastrozole\Anastrozole/20201124_Cefas_Test7_Run1/Plate 1/@7/F7_01.tif </t>
  </si>
  <si>
    <t xml:space="preserve"> 43432.8284 </t>
  </si>
  <si>
    <t xml:space="preserve"> 57.1738 </t>
  </si>
  <si>
    <t xml:space="preserve">C:\Users\andre\Desktop\REACTIV CEFAS\Anastrozole\Anastrozole/20201124_Cefas_Test7_Run1/Plate 1/@7/F7_02.tif </t>
  </si>
  <si>
    <t xml:space="preserve"> 45682.3375 </t>
  </si>
  <si>
    <t xml:space="preserve"> 61.2301 </t>
  </si>
  <si>
    <t xml:space="preserve">C:\Users\andre\Desktop\REACTIV CEFAS\Anastrozole\Anastrozole/20201124_Cefas_Test7_Run1/Plate 1/@7/F7_03.tif </t>
  </si>
  <si>
    <t xml:space="preserve"> 46915.2415 </t>
  </si>
  <si>
    <t xml:space="preserve"> 61.2218 </t>
  </si>
  <si>
    <t xml:space="preserve">C:\Users\andre\Desktop\REACTIV CEFAS\Anastrozole\Anastrozole/20201124_Cefas_Test7_Run1/Plate 1/@7/G7_01.tif </t>
  </si>
  <si>
    <t xml:space="preserve"> 77889.2506 </t>
  </si>
  <si>
    <t xml:space="preserve"> 51.0053 </t>
  </si>
  <si>
    <t xml:space="preserve">C:\Users\andre\Desktop\REACTIV CEFAS\Anastrozole\Anastrozole/20201124_Cefas_Test7_Run1/Plate 1/@7/G7_02.tif </t>
  </si>
  <si>
    <t xml:space="preserve"> 77867.6207 </t>
  </si>
  <si>
    <t xml:space="preserve"> 52.1478 </t>
  </si>
  <si>
    <t xml:space="preserve">C:\Users\andre\Desktop\REACTIV CEFAS\Anastrozole\Anastrozole/20201124_Cefas_Test7_Run1/Plate 1/@7/G7_03.tif </t>
  </si>
  <si>
    <t xml:space="preserve"> 83534.6531 </t>
  </si>
  <si>
    <t xml:space="preserve"> 58.3949 </t>
  </si>
  <si>
    <t xml:space="preserve">C:\Users\andre\Desktop\REACTIV CEFAS\Anastrozole\Anastrozole/20201124_Cefas_Test7_Run1/Plate 1/@7/H7_01.tif </t>
  </si>
  <si>
    <t xml:space="preserve"> 65668.3601 </t>
  </si>
  <si>
    <t xml:space="preserve"> 60.1884 </t>
  </si>
  <si>
    <t xml:space="preserve">C:\Users\andre\Desktop\REACTIV CEFAS\Anastrozole\Anastrozole/20201124_Cefas_Test7_Run1/Plate 1/@7/H7_02.tif </t>
  </si>
  <si>
    <t xml:space="preserve"> 65473.691 </t>
  </si>
  <si>
    <t xml:space="preserve"> 55.7681 </t>
  </si>
  <si>
    <t xml:space="preserve">C:\Users\andre\Desktop\REACTIV CEFAS\Anastrozole\Anastrozole/20201124_Cefas_Test7_Run1/Plate 1/@7/H7_03.tif </t>
  </si>
  <si>
    <t xml:space="preserve"> 71638.211 </t>
  </si>
  <si>
    <t xml:space="preserve"> 57.5909 </t>
  </si>
  <si>
    <t xml:space="preserve">C:\Users\andre\Desktop\REACTIV CEFAS\Anastrozole\Anastrozole/20201124_Cefas_Test7_Run1/Plate 1/@7/ </t>
  </si>
  <si>
    <t xml:space="preserve"> 55.727 </t>
  </si>
  <si>
    <t xml:space="preserve"> 3.5366 </t>
  </si>
  <si>
    <t xml:space="preserve"> 3419894.54 </t>
  </si>
  <si>
    <t xml:space="preserve">C:\Users\andre\Desktop\REACTIV CEFAS\Anastrozole\Anastrozole/20201124_Cefas_Test7_Run1/Plate 2/@10/A4_01.tif </t>
  </si>
  <si>
    <t xml:space="preserve"> 497.4876 </t>
  </si>
  <si>
    <t xml:space="preserve">C:\Users\andre\Desktop\REACTIV CEFAS\Anastrozole\Anastrozole/20201124_Cefas_Test7_Run1/Plate 2/@10/A4_02.tif </t>
  </si>
  <si>
    <t xml:space="preserve"> 432.5979 </t>
  </si>
  <si>
    <t xml:space="preserve"> 32.9 </t>
  </si>
  <si>
    <t xml:space="preserve">C:\Users\andre\Desktop\REACTIV CEFAS\Anastrozole\Anastrozole/20201124_Cefas_Test7_Run1/Plate 2/@10/A4_03.tif </t>
  </si>
  <si>
    <t xml:space="preserve"> 1362.6834 </t>
  </si>
  <si>
    <t xml:space="preserve"> 34.1587 </t>
  </si>
  <si>
    <t>C:\Users\andre\Desktop\REACTIV CEFAS\Anastrozole\Anastrozole/20201124_Cefas_Test7_Run1/Plate 2/@10/B4_01- exclu.tif</t>
  </si>
  <si>
    <t xml:space="preserve">C:\Users\andre\Desktop\REACTIV CEFAS\Anastrozole\Anastrozole/20201124_Cefas_Test7_Run1/Plate 2/@10/B4_02.tif </t>
  </si>
  <si>
    <t xml:space="preserve"> 5018.1356 </t>
  </si>
  <si>
    <t xml:space="preserve"> 35.5302 </t>
  </si>
  <si>
    <t xml:space="preserve">C:\Users\andre\Desktop\REACTIV CEFAS\Anastrozole\Anastrozole/20201124_Cefas_Test7_Run1/Plate 2/@10/B4_03.tif </t>
  </si>
  <si>
    <t xml:space="preserve"> 35.5484 </t>
  </si>
  <si>
    <t xml:space="preserve">C:\Users\andre\Desktop\REACTIV CEFAS\Anastrozole\Anastrozole/20201124_Cefas_Test7_Run1/Plate 2/@10/C4_01.tif </t>
  </si>
  <si>
    <t xml:space="preserve"> 34.5286 </t>
  </si>
  <si>
    <t xml:space="preserve">C:\Users\andre\Desktop\REACTIV CEFAS\Anastrozole\Anastrozole/20201124_Cefas_Test7_Run1/Plate 2/@10/C4_02.tif </t>
  </si>
  <si>
    <t xml:space="preserve"> 930.0855 </t>
  </si>
  <si>
    <t xml:space="preserve"> 34.907 </t>
  </si>
  <si>
    <t xml:space="preserve">C:\Users\andre\Desktop\REACTIV CEFAS\Anastrozole\Anastrozole/20201124_Cefas_Test7_Run1/Plate 2/@10/C4_03.tif </t>
  </si>
  <si>
    <t xml:space="preserve"> 3612.1924 </t>
  </si>
  <si>
    <t xml:space="preserve"> 36.5569 </t>
  </si>
  <si>
    <t xml:space="preserve">C:\Users\andre\Desktop\REACTIV CEFAS\Anastrozole\Anastrozole/20201124_Cefas_Test7_Run1/Plate 2/@10/D4_01.tif </t>
  </si>
  <si>
    <t xml:space="preserve"> 151.4093 </t>
  </si>
  <si>
    <t xml:space="preserve"> 30.5714 </t>
  </si>
  <si>
    <t xml:space="preserve">C:\Users\andre\Desktop\REACTIV CEFAS\Anastrozole\Anastrozole/20201124_Cefas_Test7_Run1/Plate 2/@10/D4_02.tif </t>
  </si>
  <si>
    <t xml:space="preserve"> 2249.509 </t>
  </si>
  <si>
    <t xml:space="preserve"> 32.9519 </t>
  </si>
  <si>
    <t xml:space="preserve">C:\Users\andre\Desktop\REACTIV CEFAS\Anastrozole\Anastrozole/20201124_Cefas_Test7_Run1/Plate 2/@10/D4_03.tif </t>
  </si>
  <si>
    <t xml:space="preserve"> 34.6441 </t>
  </si>
  <si>
    <t xml:space="preserve">C:\Users\andre\Desktop\REACTIV CEFAS\Anastrozole\Anastrozole/20201124_Cefas_Test7_Run1/Plate 2/@10/E4_01.tif </t>
  </si>
  <si>
    <t xml:space="preserve"> 1103.1246 </t>
  </si>
  <si>
    <t xml:space="preserve"> 35.1569 </t>
  </si>
  <si>
    <t xml:space="preserve">C:\Users\andre\Desktop\REACTIV CEFAS\Anastrozole\Anastrozole/20201124_Cefas_Test7_Run1/Plate 2/@10/E4_02.tif </t>
  </si>
  <si>
    <t xml:space="preserve"> 32.2698 </t>
  </si>
  <si>
    <t xml:space="preserve">C:\Users\andre\Desktop\REACTIV CEFAS\Anastrozole\Anastrozole/20201124_Cefas_Test7_Run1/Plate 2/@10/E4_03.tif </t>
  </si>
  <si>
    <t xml:space="preserve"> 1038.2349 </t>
  </si>
  <si>
    <t xml:space="preserve"> 31.7083 </t>
  </si>
  <si>
    <t xml:space="preserve">C:\Users\andre\Desktop\REACTIV CEFAS\Anastrozole\Anastrozole/20201124_Cefas_Test7_Run1/Plate 2/@10/F4_01.tif </t>
  </si>
  <si>
    <t xml:space="preserve"> 35.8218 </t>
  </si>
  <si>
    <t xml:space="preserve">C:\Users\andre\Desktop\REACTIV CEFAS\Anastrozole\Anastrozole/20201124_Cefas_Test7_Run1/Plate 2/@10/F4_02.tif </t>
  </si>
  <si>
    <t xml:space="preserve"> 2963.2956 </t>
  </si>
  <si>
    <t xml:space="preserve"> 33.438 </t>
  </si>
  <si>
    <t xml:space="preserve">C:\Users\andre\Desktop\REACTIV CEFAS\Anastrozole\Anastrozole/20201124_Cefas_Test7_Run1/Plate 2/@10/F4_03.tif </t>
  </si>
  <si>
    <t xml:space="preserve"> 6986.456 </t>
  </si>
  <si>
    <t xml:space="preserve"> 35.3901 </t>
  </si>
  <si>
    <t xml:space="preserve">C:\Users\andre\Desktop\REACTIV CEFAS\Anastrozole\Anastrozole/20201124_Cefas_Test7_Run1/Plate 2/@10/G4_01.tif </t>
  </si>
  <si>
    <t xml:space="preserve"> 37.2166 </t>
  </si>
  <si>
    <t xml:space="preserve">C:\Users\andre\Desktop\REACTIV CEFAS\Anastrozole\Anastrozole/20201124_Cefas_Test7_Run1/Plate 2/@10/G4_02.tif </t>
  </si>
  <si>
    <t xml:space="preserve"> 4996.5057 </t>
  </si>
  <si>
    <t xml:space="preserve"> 38.29 </t>
  </si>
  <si>
    <t xml:space="preserve">C:\Users\andre\Desktop\REACTIV CEFAS\Anastrozole\Anastrozole/20201124_Cefas_Test7_Run1/Plate 2/@10/G4_03.tif </t>
  </si>
  <si>
    <t xml:space="preserve"> 4412.4985 </t>
  </si>
  <si>
    <t xml:space="preserve"> 37.7941 </t>
  </si>
  <si>
    <t xml:space="preserve">C:\Users\andre\Desktop\REACTIV CEFAS\Anastrozole\Anastrozole/20201124_Cefas_Test7_Run1/Plate 2/@10/H4_01.tif </t>
  </si>
  <si>
    <t xml:space="preserve"> 7743.5023 </t>
  </si>
  <si>
    <t xml:space="preserve"> 42.405 </t>
  </si>
  <si>
    <t xml:space="preserve">C:\Users\andre\Desktop\REACTIV CEFAS\Anastrozole\Anastrozole/20201124_Cefas_Test7_Run1/Plate 2/@10/H4_02.tif </t>
  </si>
  <si>
    <t xml:space="preserve"> 33.2881 </t>
  </si>
  <si>
    <t xml:space="preserve">C:\Users\andre\Desktop\REACTIV CEFAS\Anastrozole\Anastrozole/20201124_Cefas_Test7_Run1/Plate 2/@10/H4_03.tif </t>
  </si>
  <si>
    <t xml:space="preserve"> 7008.0859 </t>
  </si>
  <si>
    <t xml:space="preserve"> 43.466 </t>
  </si>
  <si>
    <t xml:space="preserve">C:\Users\andre\Desktop\REACTIV CEFAS\Anastrozole\Anastrozole/20201124_Cefas_Test7_Run1/Plate 2/@10/ </t>
  </si>
  <si>
    <t xml:space="preserve"> 35.4475 </t>
  </si>
  <si>
    <t xml:space="preserve"> 3.2173 </t>
  </si>
  <si>
    <t xml:space="preserve"> 124411.583 </t>
  </si>
  <si>
    <t xml:space="preserve">C:\Users\andre\Desktop\REACTIV CEFAS\Anastrozole\Anastrozole/20201124_Cefas_Test7_Run1/Plate 2/@11/A5_01.tif </t>
  </si>
  <si>
    <t xml:space="preserve">C:\Users\andre\Desktop\REACTIV CEFAS\Anastrozole\Anastrozole/20201124_Cefas_Test7_Run1/Plate 2/@11/A5_02.tif </t>
  </si>
  <si>
    <t xml:space="preserve">C:\Users\andre\Desktop\REACTIV CEFAS\Anastrozole\Anastrozole/20201124_Cefas_Test7_Run1/Plate 2/@11/A5_03.tif </t>
  </si>
  <si>
    <t xml:space="preserve"> 908.4556 </t>
  </si>
  <si>
    <t xml:space="preserve"> 31.5714 </t>
  </si>
  <si>
    <t xml:space="preserve">C:\Users\andre\Desktop\REACTIV CEFAS\Anastrozole\Anastrozole/20201124_Cefas_Test7_Run1/Plate 2/@11/B5_01.tif </t>
  </si>
  <si>
    <t xml:space="preserve"> 6618.7478 </t>
  </si>
  <si>
    <t xml:space="preserve"> 40.9444 </t>
  </si>
  <si>
    <t xml:space="preserve">C:\Users\andre\Desktop\REACTIV CEFAS\Anastrozole\Anastrozole/20201124_Cefas_Test7_Run1/Plate 2/@11/B5_02.tif </t>
  </si>
  <si>
    <t xml:space="preserve"> 39.2393 </t>
  </si>
  <si>
    <t xml:space="preserve">C:\Users\andre\Desktop\REACTIV CEFAS\Anastrozole\Anastrozole/20201124_Cefas_Test7_Run1/Plate 2/@11/B5_03.tif </t>
  </si>
  <si>
    <t xml:space="preserve"> 5450.7334 </t>
  </si>
  <si>
    <t xml:space="preserve"> 39.0992 </t>
  </si>
  <si>
    <t xml:space="preserve">C:\Users\andre\Desktop\REACTIV CEFAS\Anastrozole\Anastrozole/20201124_Cefas_Test7_Run1/Plate 2/@11/C5_01.tif </t>
  </si>
  <si>
    <t xml:space="preserve">C:\Users\andre\Desktop\REACTIV CEFAS\Anastrozole\Anastrozole/20201124_Cefas_Test7_Run1/Plate 2/@11/C5_02.tif </t>
  </si>
  <si>
    <t xml:space="preserve">C:\Users\andre\Desktop\REACTIV CEFAS\Anastrozole\Anastrozole/20201124_Cefas_Test7_Run1/Plate 2/@11/C5_03.tif </t>
  </si>
  <si>
    <t xml:space="preserve"> 6121.2602 </t>
  </si>
  <si>
    <t xml:space="preserve"> 34.4382 </t>
  </si>
  <si>
    <t xml:space="preserve">C:\Users\andre\Desktop\REACTIV CEFAS\Anastrozole\Anastrozole/20201124_Cefas_Test7_Run1/Plate 2/@11/D5_01.tif </t>
  </si>
  <si>
    <t xml:space="preserve"> 10382.3494 </t>
  </si>
  <si>
    <t xml:space="preserve"> 33.9958 </t>
  </si>
  <si>
    <t xml:space="preserve">C:\Users\andre\Desktop\REACTIV CEFAS\Anastrozole\Anastrozole/20201124_Cefas_Test7_Run1/Plate 2/@11/D5_02.tif </t>
  </si>
  <si>
    <t xml:space="preserve"> 7808.392 </t>
  </si>
  <si>
    <t xml:space="preserve"> 36.7036 </t>
  </si>
  <si>
    <t xml:space="preserve">C:\Users\andre\Desktop\REACTIV CEFAS\Anastrozole\Anastrozole/20201124_Cefas_Test7_Run1/Plate 2/@11/D5_03.tif </t>
  </si>
  <si>
    <t xml:space="preserve"> 7224.3848 </t>
  </si>
  <si>
    <t xml:space="preserve"> 36.7126 </t>
  </si>
  <si>
    <t xml:space="preserve">C:\Users\andre\Desktop\REACTIV CEFAS\Anastrozole\Anastrozole/20201124_Cefas_Test7_Run1/Plate 2/@11/E5_01.tif </t>
  </si>
  <si>
    <t xml:space="preserve"> 6813.4168 </t>
  </si>
  <si>
    <t xml:space="preserve"> 39.7175 </t>
  </si>
  <si>
    <t xml:space="preserve">C:\Users\andre\Desktop\REACTIV CEFAS\Anastrozole\Anastrozole/20201124_Cefas_Test7_Run1/Plate 2/@11/E5_02.tif </t>
  </si>
  <si>
    <t xml:space="preserve"> 8176.1002 </t>
  </si>
  <si>
    <t xml:space="preserve"> 39.254 </t>
  </si>
  <si>
    <t xml:space="preserve">C:\Users\andre\Desktop\REACTIV CEFAS\Anastrozole\Anastrozole/20201124_Cefas_Test7_Run1/Plate 2/@11/E5_03.tif </t>
  </si>
  <si>
    <t xml:space="preserve"> 9084.5557 </t>
  </si>
  <si>
    <t xml:space="preserve"> 43.3286 </t>
  </si>
  <si>
    <t xml:space="preserve">C:\Users\andre\Desktop\REACTIV CEFAS\Anastrozole\Anastrozole/20201124_Cefas_Test7_Run1/Plate 2/@11/F5_01.tif </t>
  </si>
  <si>
    <t xml:space="preserve"> 1752.0215 </t>
  </si>
  <si>
    <t xml:space="preserve"> 35.3704 </t>
  </si>
  <si>
    <t xml:space="preserve">C:\Users\andre\Desktop\REACTIV CEFAS\Anastrozole\Anastrozole/20201124_Cefas_Test7_Run1/Plate 2/@11/F5_02.tif </t>
  </si>
  <si>
    <t xml:space="preserve"> 2552.3276 </t>
  </si>
  <si>
    <t xml:space="preserve"> 36.1017 </t>
  </si>
  <si>
    <t xml:space="preserve">C:\Users\andre\Desktop\REACTIV CEFAS\Anastrozole\Anastrozole/20201124_Cefas_Test7_Run1/Plate 2/@11/F5_03.tif </t>
  </si>
  <si>
    <t xml:space="preserve"> 1384.3133 </t>
  </si>
  <si>
    <t xml:space="preserve"> 33.6562 </t>
  </si>
  <si>
    <t>C:\Users\andre\Desktop\REACTIV CEFAS\Anastrozole\Anastrozole/20201124_Cefas_Test7_Run1/Plate 2/@11/G5_01- exclu.tif</t>
  </si>
  <si>
    <t>C:\Users\andre\Desktop\REACTIV CEFAS\Anastrozole\Anastrozole/20201124_Cefas_Test7_Run1/Plate 2/@11/G5_02- exclu.tif</t>
  </si>
  <si>
    <t>C:\Users\andre\Desktop\REACTIV CEFAS\Anastrozole\Anastrozole/20201124_Cefas_Test7_Run1/Plate 2/@11/G5_03- exclu.tif</t>
  </si>
  <si>
    <t xml:space="preserve">C:\Users\andre\Desktop\REACTIV CEFAS\Anastrozole\Anastrozole/20201124_Cefas_Test7_Run1/Plate 2/@11/H5_01.tif </t>
  </si>
  <si>
    <t xml:space="preserve">C:\Users\andre\Desktop\REACTIV CEFAS\Anastrozole\Anastrozole/20201124_Cefas_Test7_Run1/Plate 2/@11/H5_02.tif </t>
  </si>
  <si>
    <t xml:space="preserve">C:\Users\andre\Desktop\REACTIV CEFAS\Anastrozole\Anastrozole/20201124_Cefas_Test7_Run1/Plate 2/@11/H5_03.tif </t>
  </si>
  <si>
    <t xml:space="preserve"> 43.2598 </t>
  </si>
  <si>
    <t xml:space="preserve"> 30.5 </t>
  </si>
  <si>
    <t xml:space="preserve">C:\Users\andre\Desktop\REACTIV CEFAS\Anastrozole\Anastrozole/20201124_Cefas_Test7_Run1/Plate 2/@11/ </t>
  </si>
  <si>
    <t xml:space="preserve"> 28.7702 </t>
  </si>
  <si>
    <t xml:space="preserve"> 15.4064 </t>
  </si>
  <si>
    <t xml:space="preserve"> 154747.5 </t>
  </si>
  <si>
    <t xml:space="preserve">C:\Users\andre\Desktop\REACTIV CEFAS\Anastrozole\Anastrozole/20201124_Cefas_Test7_Run1/Plate 2/@12/A6_01.tif </t>
  </si>
  <si>
    <t xml:space="preserve"> 3698.712 </t>
  </si>
  <si>
    <t xml:space="preserve"> 33.4211 </t>
  </si>
  <si>
    <t xml:space="preserve">C:\Users\andre\Desktop\REACTIV CEFAS\Anastrozole\Anastrozole/20201124_Cefas_Test7_Run1/Plate 2/@12/A6_02.tif </t>
  </si>
  <si>
    <t xml:space="preserve"> 32.725 </t>
  </si>
  <si>
    <t xml:space="preserve">C:\Users\andre\Desktop\REACTIV CEFAS\Anastrozole\Anastrozole/20201124_Cefas_Test7_Run1/Plate 2/@12/A6_03.tif </t>
  </si>
  <si>
    <t xml:space="preserve"> 35.3694 </t>
  </si>
  <si>
    <t xml:space="preserve">C:\Users\andre\Desktop\REACTIV CEFAS\Anastrozole\Anastrozole/20201124_Cefas_Test7_Run1/Plate 2/@12/B6_01.tif </t>
  </si>
  <si>
    <t xml:space="preserve"> 3871.7511 </t>
  </si>
  <si>
    <t xml:space="preserve"> 35.7318 </t>
  </si>
  <si>
    <t xml:space="preserve">C:\Users\andre\Desktop\REACTIV CEFAS\Anastrozole\Anastrozole/20201124_Cefas_Test7_Run1/Plate 2/@12/B6_02.tif </t>
  </si>
  <si>
    <t xml:space="preserve"> 34.7034 </t>
  </si>
  <si>
    <t xml:space="preserve">C:\Users\andre\Desktop\REACTIV CEFAS\Anastrozole\Anastrozole/20201124_Cefas_Test7_Run1/Plate 2/@12/B6_03.tif </t>
  </si>
  <si>
    <t xml:space="preserve"> 2033.2101 </t>
  </si>
  <si>
    <t xml:space="preserve"> 36.1809 </t>
  </si>
  <si>
    <t xml:space="preserve">C:\Users\andre\Desktop\REACTIV CEFAS\Anastrozole\Anastrozole/20201124_Cefas_Test7_Run1/Plate 2/@12/C6_01.tif </t>
  </si>
  <si>
    <t xml:space="preserve"> 6770.157 </t>
  </si>
  <si>
    <t xml:space="preserve"> 39.4217 </t>
  </si>
  <si>
    <t xml:space="preserve">C:\Users\andre\Desktop\REACTIV CEFAS\Anastrozole\Anastrozole/20201124_Cefas_Test7_Run1/Plate 2/@12/C6_02.tif </t>
  </si>
  <si>
    <t xml:space="preserve"> 5775.1819 </t>
  </si>
  <si>
    <t xml:space="preserve"> 37.6105 </t>
  </si>
  <si>
    <t xml:space="preserve">C:\Users\andre\Desktop\REACTIV CEFAS\Anastrozole\Anastrozole/20201124_Cefas_Test7_Run1/Plate 2/@12/C6_03.tif </t>
  </si>
  <si>
    <t xml:space="preserve"> 6294.2993 </t>
  </si>
  <si>
    <t xml:space="preserve"> 40.1203 </t>
  </si>
  <si>
    <t>C:\Users\andre\Desktop\REACTIV CEFAS\Anastrozole\Anastrozole/20201124_Cefas_Test7_Run1/Plate 2/@12/D6_01- exclu.tif</t>
  </si>
  <si>
    <t xml:space="preserve">C:\Users\andre\Desktop\REACTIV CEFAS\Anastrozole\Anastrozole/20201124_Cefas_Test7_Run1/Plate 2/@12/D6_02.tif </t>
  </si>
  <si>
    <t xml:space="preserve"> 129.7794 </t>
  </si>
  <si>
    <t xml:space="preserve"> 30.3333 </t>
  </si>
  <si>
    <t xml:space="preserve">C:\Users\andre\Desktop\REACTIV CEFAS\Anastrozole\Anastrozole/20201124_Cefas_Test7_Run1/Plate 2/@12/D6_03.tif </t>
  </si>
  <si>
    <t xml:space="preserve"> 31.8 </t>
  </si>
  <si>
    <t xml:space="preserve">C:\Users\andre\Desktop\REACTIV CEFAS\Anastrozole\Anastrozole/20201124_Cefas_Test7_Run1/Plate 2/@12/E6_01.tif </t>
  </si>
  <si>
    <t xml:space="preserve"> 6142.8901 </t>
  </si>
  <si>
    <t xml:space="preserve"> 33.5563 </t>
  </si>
  <si>
    <t xml:space="preserve">C:\Users\andre\Desktop\REACTIV CEFAS\Anastrozole\Anastrozole/20201124_Cefas_Test7_Run1/Plate 2/@12/E6_02.tif </t>
  </si>
  <si>
    <t xml:space="preserve"> 10793.3174 </t>
  </si>
  <si>
    <t xml:space="preserve"> 34.4008 </t>
  </si>
  <si>
    <t xml:space="preserve">C:\Users\andre\Desktop\REACTIV CEFAS\Anastrozole\Anastrozole/20201124_Cefas_Test7_Run1/Plate 2/@12/E6_03.tif </t>
  </si>
  <si>
    <t xml:space="preserve"> 35.03 </t>
  </si>
  <si>
    <t xml:space="preserve">C:\Users\andre\Desktop\REACTIV CEFAS\Anastrozole\Anastrozole/20201124_Cefas_Test7_Run1/Plate 2/@12/F6_01.tif </t>
  </si>
  <si>
    <t xml:space="preserve"> 410.968 </t>
  </si>
  <si>
    <t xml:space="preserve"> 31.4211 </t>
  </si>
  <si>
    <t xml:space="preserve">C:\Users\andre\Desktop\REACTIV CEFAS\Anastrozole\Anastrozole/20201124_Cefas_Test7_Run1/Plate 2/@12/F6_02.tif </t>
  </si>
  <si>
    <t xml:space="preserve">C:\Users\andre\Desktop\REACTIV CEFAS\Anastrozole\Anastrozole/20201124_Cefas_Test7_Run1/Plate 2/@12/F6_03.tif </t>
  </si>
  <si>
    <t xml:space="preserve"> 2444.1781 </t>
  </si>
  <si>
    <t xml:space="preserve"> 32.469 </t>
  </si>
  <si>
    <t xml:space="preserve">C:\Users\andre\Desktop\REACTIV CEFAS\Anastrozole\Anastrozole/20201124_Cefas_Test7_Run1/Plate 2/@12/G6_01.tif </t>
  </si>
  <si>
    <t xml:space="preserve"> 281.1886 </t>
  </si>
  <si>
    <t xml:space="preserve">C:\Users\andre\Desktop\REACTIV CEFAS\Anastrozole\Anastrozole/20201124_Cefas_Test7_Run1/Plate 2/@12/G6_02.tif </t>
  </si>
  <si>
    <t xml:space="preserve">C:\Users\andre\Desktop\REACTIV CEFAS\Anastrozole\Anastrozole/20201124_Cefas_Test7_Run1/Plate 2/@12/G6_03.tif </t>
  </si>
  <si>
    <t xml:space="preserve"> 30.6667 </t>
  </si>
  <si>
    <t xml:space="preserve">C:\Users\andre\Desktop\REACTIV CEFAS\Anastrozole\Anastrozole/20201124_Cefas_Test7_Run1/Plate 2/@12/H6_01.tif </t>
  </si>
  <si>
    <t xml:space="preserve"> 32.7407 </t>
  </si>
  <si>
    <t>C:\Users\andre\Desktop\REACTIV CEFAS\Anastrozole\Anastrozole/20201124_Cefas_Test7_Run1/Plate 2/@12/H6_02- exclu.tif</t>
  </si>
  <si>
    <t xml:space="preserve">C:\Users\andre\Desktop\REACTIV CEFAS\Anastrozole\Anastrozole/20201124_Cefas_Test7_Run1/Plate 2/@12/H6_03.tif </t>
  </si>
  <si>
    <t xml:space="preserve"> 3850.1212 </t>
  </si>
  <si>
    <t xml:space="preserve"> 33.5112 </t>
  </si>
  <si>
    <t xml:space="preserve">C:\Users\andre\Desktop\REACTIV CEFAS\Anastrozole\Anastrozole/20201124_Cefas_Test7_Run1/Plate 2/@12/ </t>
  </si>
  <si>
    <t xml:space="preserve"> 33.6262 </t>
  </si>
  <si>
    <t xml:space="preserve"> 2.7482 </t>
  </si>
  <si>
    <t xml:space="preserve"> 98706.1667 </t>
  </si>
  <si>
    <t xml:space="preserve">C:\Users\andre\Desktop\REACTIV CEFAS\Anastrozole\Anastrozole/20201124_Cefas_Test7_Run1/Plate 2/@17/A8_01.tif </t>
  </si>
  <si>
    <t xml:space="preserve"> 173.0392 </t>
  </si>
  <si>
    <t xml:space="preserve"> 30.375 </t>
  </si>
  <si>
    <t xml:space="preserve">C:\Users\andre\Desktop\REACTIV CEFAS\Anastrozole\Anastrozole/20201124_Cefas_Test7_Run1/Plate 2/@17/A8_02.tif </t>
  </si>
  <si>
    <t xml:space="preserve"> 32.3913 </t>
  </si>
  <si>
    <t xml:space="preserve">C:\Users\andre\Desktop\REACTIV CEFAS\Anastrozole\Anastrozole/20201124_Cefas_Test7_Run1/Plate 2/@17/A8_03.tif </t>
  </si>
  <si>
    <t xml:space="preserve"> 33.6829 </t>
  </si>
  <si>
    <t xml:space="preserve">C:\Users\andre\Desktop\REACTIV CEFAS\Anastrozole\Anastrozole/20201124_Cefas_Test7_Run1/Plate 2/@17/B8_01.tif </t>
  </si>
  <si>
    <t xml:space="preserve"> 1730.3916 </t>
  </si>
  <si>
    <t xml:space="preserve"> 33.4375 </t>
  </si>
  <si>
    <t xml:space="preserve">C:\Users\andre\Desktop\REACTIV CEFAS\Anastrozole\Anastrozole/20201124_Cefas_Test7_Run1/Plate 2/@17/B8_02.tif </t>
  </si>
  <si>
    <t xml:space="preserve"> 35.5155 </t>
  </si>
  <si>
    <t xml:space="preserve">C:\Users\andre\Desktop\REACTIV CEFAS\Anastrozole\Anastrozole/20201124_Cefas_Test7_Run1/Plate 2/@17/B8_03.tif </t>
  </si>
  <si>
    <t xml:space="preserve"> 1903.4307 </t>
  </si>
  <si>
    <t xml:space="preserve"> 32.6591 </t>
  </si>
  <si>
    <t xml:space="preserve">C:\Users\andre\Desktop\REACTIV CEFAS\Anastrozole\Anastrozole/20201124_Cefas_Test7_Run1/Plate 2/@17/C8_01.tif </t>
  </si>
  <si>
    <t xml:space="preserve"> 6683.6374 </t>
  </si>
  <si>
    <t xml:space="preserve"> 34.8123 </t>
  </si>
  <si>
    <t xml:space="preserve">C:\Users\andre\Desktop\REACTIV CEFAS\Anastrozole\Anastrozole/20201124_Cefas_Test7_Run1/Plate 2/@17/C8_02.tif </t>
  </si>
  <si>
    <t xml:space="preserve"> 6445.7086 </t>
  </si>
  <si>
    <t xml:space="preserve"> 39.2718 </t>
  </si>
  <si>
    <t xml:space="preserve">C:\Users\andre\Desktop\REACTIV CEFAS\Anastrozole\Anastrozole/20201124_Cefas_Test7_Run1/Plate 2/@17/C8_03.tif </t>
  </si>
  <si>
    <t xml:space="preserve"> 6380.8189 </t>
  </si>
  <si>
    <t xml:space="preserve"> 35.4034 </t>
  </si>
  <si>
    <t xml:space="preserve">C:\Users\andre\Desktop\REACTIV CEFAS\Anastrozole\Anastrozole/20201124_Cefas_Test7_Run1/Plate 2/@17/D8_01.tif </t>
  </si>
  <si>
    <t xml:space="preserve"> 3958.2707 </t>
  </si>
  <si>
    <t xml:space="preserve"> 34.3989 </t>
  </si>
  <si>
    <t xml:space="preserve">C:\Users\andre\Desktop\REACTIV CEFAS\Anastrozole\Anastrozole/20201124_Cefas_Test7_Run1/Plate 2/@17/D8_02.tif </t>
  </si>
  <si>
    <t xml:space="preserve"> 3331.0038 </t>
  </si>
  <si>
    <t xml:space="preserve"> 33.8571 </t>
  </si>
  <si>
    <t xml:space="preserve">C:\Users\andre\Desktop\REACTIV CEFAS\Anastrozole\Anastrozole/20201124_Cefas_Test7_Run1/Plate 2/@17/D8_03.tif </t>
  </si>
  <si>
    <t xml:space="preserve"> 4607.1676 </t>
  </si>
  <si>
    <t xml:space="preserve"> 35.723 </t>
  </si>
  <si>
    <t xml:space="preserve">C:\Users\andre\Desktop\REACTIV CEFAS\Anastrozole\Anastrozole/20201124_Cefas_Test7_Run1/Plate 2/@17/E8_01.tif </t>
  </si>
  <si>
    <t xml:space="preserve"> 16525.2395 </t>
  </si>
  <si>
    <t xml:space="preserve"> 41.6466 </t>
  </si>
  <si>
    <t>C:\Users\andre\Desktop\REACTIV CEFAS\Anastrozole\Anastrozole/20201124_Cefas_Test7_Run1/Plate 2/@17/E8_02- exclu.tif</t>
  </si>
  <si>
    <t>C:\Users\andre\Desktop\REACTIV CEFAS\Anastrozole\Anastrozole/20201124_Cefas_Test7_Run1/Plate 2/@17/E8_03- exclu.tif</t>
  </si>
  <si>
    <t xml:space="preserve">C:\Users\andre\Desktop\REACTIV CEFAS\Anastrozole\Anastrozole/20201124_Cefas_Test7_Run1/Plate 2/@17/F8_01.tif </t>
  </si>
  <si>
    <t xml:space="preserve"> 35.1742 </t>
  </si>
  <si>
    <t xml:space="preserve">C:\Users\andre\Desktop\REACTIV CEFAS\Anastrozole\Anastrozole/20201124_Cefas_Test7_Run1/Plate 2/@17/F8_02.tif </t>
  </si>
  <si>
    <t xml:space="preserve"> 2271.1389 </t>
  </si>
  <si>
    <t xml:space="preserve"> 34.9048 </t>
  </si>
  <si>
    <t xml:space="preserve">C:\Users\andre\Desktop\REACTIV CEFAS\Anastrozole\Anastrozole/20201124_Cefas_Test7_Run1/Plate 2/@17/F8_03.tif </t>
  </si>
  <si>
    <t xml:space="preserve"> 389.3381 </t>
  </si>
  <si>
    <t xml:space="preserve"> 31.4444 </t>
  </si>
  <si>
    <t xml:space="preserve">C:\Users\andre\Desktop\REACTIV CEFAS\Anastrozole\Anastrozole/20201124_Cefas_Test7_Run1/Plate 2/@17/G8_01.tif </t>
  </si>
  <si>
    <t xml:space="preserve"> 6034.7406 </t>
  </si>
  <si>
    <t xml:space="preserve"> 40.086 </t>
  </si>
  <si>
    <t xml:space="preserve">C:\Users\andre\Desktop\REACTIV CEFAS\Anastrozole\Anastrozole/20201124_Cefas_Test7_Run1/Plate 2/@17/G8_02.tif </t>
  </si>
  <si>
    <t xml:space="preserve"> 40.4253 </t>
  </si>
  <si>
    <t xml:space="preserve">C:\Users\andre\Desktop\REACTIV CEFAS\Anastrozole\Anastrozole/20201124_Cefas_Test7_Run1/Plate 2/@17/G8_03.tif </t>
  </si>
  <si>
    <t xml:space="preserve"> 6424.0787 </t>
  </si>
  <si>
    <t xml:space="preserve"> 39.6599 </t>
  </si>
  <si>
    <t xml:space="preserve">C:\Users\andre\Desktop\REACTIV CEFAS\Anastrozole\Anastrozole/20201124_Cefas_Test7_Run1/Plate 2/@17/H8_01.tif </t>
  </si>
  <si>
    <t xml:space="preserve"> 7786.7621 </t>
  </si>
  <si>
    <t xml:space="preserve"> 37.6361 </t>
  </si>
  <si>
    <t xml:space="preserve">C:\Users\andre\Desktop\REACTIV CEFAS\Anastrozole\Anastrozole/20201124_Cefas_Test7_Run1/Plate 2/@17/H8_02.tif </t>
  </si>
  <si>
    <t xml:space="preserve"> 8003.061 </t>
  </si>
  <si>
    <t xml:space="preserve"> 38.9459 </t>
  </si>
  <si>
    <t xml:space="preserve">C:\Users\andre\Desktop\REACTIV CEFAS\Anastrozole\Anastrozole/20201124_Cefas_Test7_Run1/Plate 2/@17/H8_03.tif </t>
  </si>
  <si>
    <t xml:space="preserve"> 37.6122 </t>
  </si>
  <si>
    <t xml:space="preserve">C:\Users\andre\Desktop\REACTIV CEFAS\Anastrozole\Anastrozole/20201124_Cefas_Test7_Run1/Plate 2/@17/ </t>
  </si>
  <si>
    <t xml:space="preserve"> 37.076 </t>
  </si>
  <si>
    <t xml:space="preserve"> 5.8019 </t>
  </si>
  <si>
    <t xml:space="preserve">C:\Users\andre\Desktop\REACTIV CEFAS\Anastrozole\Anastrozole/20201124_Cefas_Test7_Run1/Plate 2/@18/A9_01.tif </t>
  </si>
  <si>
    <t xml:space="preserve"> 36.7824 </t>
  </si>
  <si>
    <t xml:space="preserve">C:\Users\andre\Desktop\REACTIV CEFAS\Anastrozole\Anastrozole/20201124_Cefas_Test7_Run1/Plate 2/@18/A9_02.tif </t>
  </si>
  <si>
    <t xml:space="preserve"> 4672.0572 </t>
  </si>
  <si>
    <t xml:space="preserve"> 39.3519 </t>
  </si>
  <si>
    <t xml:space="preserve">C:\Users\andre\Desktop\REACTIV CEFAS\Anastrozole\Anastrozole/20201124_Cefas_Test7_Run1/Plate 2/@18/A9_03.tif </t>
  </si>
  <si>
    <t xml:space="preserve"> 4974.8758 </t>
  </si>
  <si>
    <t xml:space="preserve"> 42.5435 </t>
  </si>
  <si>
    <t xml:space="preserve">C:\Users\andre\Desktop\REACTIV CEFAS\Anastrozole\Anastrozole/20201124_Cefas_Test7_Run1/Plate 2/@18/B9_01.tif </t>
  </si>
  <si>
    <t xml:space="preserve"> 7202.7549 </t>
  </si>
  <si>
    <t xml:space="preserve"> 36.1922 </t>
  </si>
  <si>
    <t xml:space="preserve">C:\Users\andre\Desktop\REACTIV CEFAS\Anastrozole\Anastrozole/20201124_Cefas_Test7_Run1/Plate 2/@18/B9_02.tif </t>
  </si>
  <si>
    <t xml:space="preserve"> 9560.4134 </t>
  </si>
  <si>
    <t xml:space="preserve"> 42.052 </t>
  </si>
  <si>
    <t xml:space="preserve">C:\Users\andre\Desktop\REACTIV CEFAS\Anastrozole\Anastrozole/20201124_Cefas_Test7_Run1/Plate 2/@18/B9_03.tif </t>
  </si>
  <si>
    <t xml:space="preserve"> 6467.3385 </t>
  </si>
  <si>
    <t xml:space="preserve"> 43.4615 </t>
  </si>
  <si>
    <t xml:space="preserve">C:\Users\andre\Desktop\REACTIV CEFAS\Anastrozole\Anastrozole/20201124_Cefas_Test7_Run1/Plate 2/@18/C9_01.tif </t>
  </si>
  <si>
    <t xml:space="preserve"> 6251.0395 </t>
  </si>
  <si>
    <t xml:space="preserve"> 37.2595 </t>
  </si>
  <si>
    <t xml:space="preserve">C:\Users\andre\Desktop\REACTIV CEFAS\Anastrozole\Anastrozole/20201124_Cefas_Test7_Run1/Plate 2/@18/C9_02.tif </t>
  </si>
  <si>
    <t xml:space="preserve"> 4801.8366 </t>
  </si>
  <si>
    <t xml:space="preserve"> 39.2387 </t>
  </si>
  <si>
    <t xml:space="preserve">C:\Users\andre\Desktop\REACTIV CEFAS\Anastrozole\Anastrozole/20201124_Cefas_Test7_Run1/Plate 2/@18/C9_03.tif </t>
  </si>
  <si>
    <t xml:space="preserve"> 39.7088 </t>
  </si>
  <si>
    <t xml:space="preserve">C:\Users\andre\Desktop\REACTIV CEFAS\Anastrozole\Anastrozole/20201124_Cefas_Test7_Run1/Plate 2/@18/D9_01.tif </t>
  </si>
  <si>
    <t xml:space="preserve"> 2141.3596 </t>
  </si>
  <si>
    <t xml:space="preserve"> 31.4747 </t>
  </si>
  <si>
    <t>C:\Users\andre\Desktop\REACTIV CEFAS\Anastrozole\Anastrozole/20201124_Cefas_Test7_Run1/Plate 2/@18/D9_02- exclu.tif</t>
  </si>
  <si>
    <t>C:\Users\andre\Desktop\REACTIV CEFAS\Anastrozole\Anastrozole/20201124_Cefas_Test7_Run1/Plate 2/@18/D9_03- exclu.tif</t>
  </si>
  <si>
    <t xml:space="preserve">C:\Users\andre\Desktop\REACTIV CEFAS\Anastrozole\Anastrozole/20201124_Cefas_Test7_Run1/Plate 2/@18/E9_01.tif </t>
  </si>
  <si>
    <t xml:space="preserve"> 2573.9575 </t>
  </si>
  <si>
    <t xml:space="preserve"> 35.042 </t>
  </si>
  <si>
    <t xml:space="preserve">C:\Users\andre\Desktop\REACTIV CEFAS\Anastrozole\Anastrozole/20201124_Cefas_Test7_Run1/Plate 2/@18/E9_02.tif </t>
  </si>
  <si>
    <t xml:space="preserve"> 3720.3419 </t>
  </si>
  <si>
    <t xml:space="preserve"> 37.7442 </t>
  </si>
  <si>
    <t xml:space="preserve">C:\Users\andre\Desktop\REACTIV CEFAS\Anastrozole\Anastrozole/20201124_Cefas_Test7_Run1/Plate 2/@18/E9_03.tif </t>
  </si>
  <si>
    <t xml:space="preserve"> 38.3772 </t>
  </si>
  <si>
    <t xml:space="preserve">C:\Users\andre\Desktop\REACTIV CEFAS\Anastrozole\Anastrozole/20201124_Cefas_Test7_Run1/Plate 2/@18/F9_01.tif </t>
  </si>
  <si>
    <t xml:space="preserve"> 2595.5874 </t>
  </si>
  <si>
    <t xml:space="preserve"> 34.7417 </t>
  </si>
  <si>
    <t xml:space="preserve">C:\Users\andre\Desktop\REACTIV CEFAS\Anastrozole\Anastrozole/20201124_Cefas_Test7_Run1/Plate 2/@18/F9_02.tif </t>
  </si>
  <si>
    <t xml:space="preserve"> 2119.7297 </t>
  </si>
  <si>
    <t xml:space="preserve"> 32.0918 </t>
  </si>
  <si>
    <t xml:space="preserve">C:\Users\andre\Desktop\REACTIV CEFAS\Anastrozole\Anastrozole/20201124_Cefas_Test7_Run1/Plate 2/@18/F9_03.tif </t>
  </si>
  <si>
    <t xml:space="preserve"> 31.4706 </t>
  </si>
  <si>
    <t xml:space="preserve">C:\Users\andre\Desktop\REACTIV CEFAS\Anastrozole\Anastrozole/20201124_Cefas_Test7_Run1/Plate 2/@18/G9_01.tif </t>
  </si>
  <si>
    <t xml:space="preserve"> 4866.7263 </t>
  </si>
  <si>
    <t xml:space="preserve"> 35.2978 </t>
  </si>
  <si>
    <t xml:space="preserve">C:\Users\andre\Desktop\REACTIV CEFAS\Anastrozole\Anastrozole/20201124_Cefas_Test7_Run1/Plate 2/@18/G9_02.tif </t>
  </si>
  <si>
    <t xml:space="preserve"> 4585.5377 </t>
  </si>
  <si>
    <t xml:space="preserve"> 35.4528 </t>
  </si>
  <si>
    <t xml:space="preserve">C:\Users\andre\Desktop\REACTIV CEFAS\Anastrozole\Anastrozole/20201124_Cefas_Test7_Run1/Plate 2/@18/G9_03.tif </t>
  </si>
  <si>
    <t xml:space="preserve"> 36.1117 </t>
  </si>
  <si>
    <t xml:space="preserve">C:\Users\andre\Desktop\REACTIV CEFAS\Anastrozole\Anastrozole/20201124_Cefas_Test7_Run1/Plate 2/@18/H9_01.tif </t>
  </si>
  <si>
    <t xml:space="preserve"> 1838.541 </t>
  </si>
  <si>
    <t xml:space="preserve"> 34.4941 </t>
  </si>
  <si>
    <t xml:space="preserve">C:\Users\andre\Desktop\REACTIV CEFAS\Anastrozole\Anastrozole/20201124_Cefas_Test7_Run1/Plate 2/@18/H9_02.tif </t>
  </si>
  <si>
    <t xml:space="preserve"> 31.4483 </t>
  </si>
  <si>
    <t xml:space="preserve">C:\Users\andre\Desktop\REACTIV CEFAS\Anastrozole\Anastrozole/20201124_Cefas_Test7_Run1/Plate 2/@18/H9_03.tif </t>
  </si>
  <si>
    <t xml:space="preserve"> 32.5116 </t>
  </si>
  <si>
    <t xml:space="preserve">C:\Users\andre\Desktop\REACTIV CEFAS\Anastrozole\Anastrozole/20201124_Cefas_Test7_Run1/Plate 2/@18/ </t>
  </si>
  <si>
    <t xml:space="preserve"> 36.7231 </t>
  </si>
  <si>
    <t xml:space="preserve"> 3.7472 </t>
  </si>
  <si>
    <t xml:space="preserve"> 171335.792 </t>
  </si>
  <si>
    <t>C:\Users\andre\Desktop\REACTIV CEFAS\Anastrozole\Anastrozole/20201124_Cefas_Test7_Run1/Plate 2/@19/A10_01- exclu.tif</t>
  </si>
  <si>
    <t xml:space="preserve">C:\Users\andre\Desktop\REACTIV CEFAS\Anastrozole\Anastrozole/20201124_Cefas_Test7_Run1/Plate 2/@19/A10_02.tif </t>
  </si>
  <si>
    <t xml:space="preserve"> 1059.8648 </t>
  </si>
  <si>
    <t xml:space="preserve"> 32.6939 </t>
  </si>
  <si>
    <t>C:\Users\andre\Desktop\REACTIV CEFAS\Anastrozole\Anastrozole/20201124_Cefas_Test7_Run1/Plate 2/@19/A10_03- exclu.tif</t>
  </si>
  <si>
    <t xml:space="preserve">C:\Users\andre\Desktop\REACTIV CEFAS\Anastrozole\Anastrozole/20201124_Cefas_Test7_Run1/Plate 2/@19/B10_01.tif </t>
  </si>
  <si>
    <t xml:space="preserve"> 36.6417 </t>
  </si>
  <si>
    <t xml:space="preserve">C:\Users\andre\Desktop\REACTIV CEFAS\Anastrozole\Anastrozole/20201124_Cefas_Test7_Run1/Plate 2/@19/B10_02.tif </t>
  </si>
  <si>
    <t xml:space="preserve"> 10101.1608 </t>
  </si>
  <si>
    <t xml:space="preserve"> 38.0535 </t>
  </si>
  <si>
    <t xml:space="preserve">C:\Users\andre\Desktop\REACTIV CEFAS\Anastrozole\Anastrozole/20201124_Cefas_Test7_Run1/Plate 2/@19/B10_03.tif </t>
  </si>
  <si>
    <t xml:space="preserve"> 8089.5806 </t>
  </si>
  <si>
    <t xml:space="preserve"> 35.508 </t>
  </si>
  <si>
    <t xml:space="preserve">C:\Users\andre\Desktop\REACTIV CEFAS\Anastrozole\Anastrozole/20201124_Cefas_Test7_Run1/Plate 2/@19/C10_01.tif </t>
  </si>
  <si>
    <t xml:space="preserve"> 32.6 </t>
  </si>
  <si>
    <t xml:space="preserve">C:\Users\andre\Desktop\REACTIV CEFAS\Anastrozole\Anastrozole/20201124_Cefas_Test7_Run1/Plate 2/@19/C10_02.tif </t>
  </si>
  <si>
    <t xml:space="preserve"> 5602.1427 </t>
  </si>
  <si>
    <t xml:space="preserve"> 41.5135 </t>
  </si>
  <si>
    <t xml:space="preserve">C:\Users\andre\Desktop\REACTIV CEFAS\Anastrozole\Anastrozole/20201124_Cefas_Test7_Run1/Plate 2/@19/C10_03.tif </t>
  </si>
  <si>
    <t xml:space="preserve"> 33.622 </t>
  </si>
  <si>
    <t xml:space="preserve">C:\Users\andre\Desktop\REACTIV CEFAS\Anastrozole\Anastrozole/20201124_Cefas_Test7_Run1/Plate 2/@19/D10_01.tif </t>
  </si>
  <si>
    <t xml:space="preserve"> 5537.253 </t>
  </si>
  <si>
    <t xml:space="preserve"> 38.5547 </t>
  </si>
  <si>
    <t xml:space="preserve">C:\Users\andre\Desktop\REACTIV CEFAS\Anastrozole\Anastrozole/20201124_Cefas_Test7_Run1/Plate 2/@19/D10_02.tif </t>
  </si>
  <si>
    <t xml:space="preserve"> 6856.6766 </t>
  </si>
  <si>
    <t xml:space="preserve"> 38.6562 </t>
  </si>
  <si>
    <t xml:space="preserve">C:\Users\andre\Desktop\REACTIV CEFAS\Anastrozole\Anastrozole/20201124_Cefas_Test7_Run1/Plate 2/@19/D10_03.tif </t>
  </si>
  <si>
    <t xml:space="preserve">C:\Users\andre\Desktop\REACTIV CEFAS\Anastrozole\Anastrozole/20201124_Cefas_Test7_Run1/Plate 2/@19/E10_01.tif </t>
  </si>
  <si>
    <t xml:space="preserve"> 32.486 </t>
  </si>
  <si>
    <t xml:space="preserve">C:\Users\andre\Desktop\REACTIV CEFAS\Anastrozole\Anastrozole/20201124_Cefas_Test7_Run1/Plate 2/@19/E10_02.tif </t>
  </si>
  <si>
    <t xml:space="preserve"> 735.4164 </t>
  </si>
  <si>
    <t xml:space="preserve"> 31.7059 </t>
  </si>
  <si>
    <t xml:space="preserve">C:\Users\andre\Desktop\REACTIV CEFAS\Anastrozole\Anastrozole/20201124_Cefas_Test7_Run1/Plate 2/@19/E10_03.tif </t>
  </si>
  <si>
    <t xml:space="preserve"> 2227.8791 </t>
  </si>
  <si>
    <t xml:space="preserve"> 33.9417 </t>
  </si>
  <si>
    <t>C:\Users\andre\Desktop\REACTIV CEFAS\Anastrozole\Anastrozole/20201124_Cefas_Test7_Run1/Plate 2/@19/F10_01- exclu.tif</t>
  </si>
  <si>
    <t>C:\Users\andre\Desktop\REACTIV CEFAS\Anastrozole\Anastrozole/20201124_Cefas_Test7_Run1/Plate 2/@19/F10_02- exclu.tif</t>
  </si>
  <si>
    <t xml:space="preserve">C:\Users\andre\Desktop\REACTIV CEFAS\Anastrozole\Anastrozole/20201124_Cefas_Test7_Run1/Plate 2/@19/F10_03.tif </t>
  </si>
  <si>
    <t xml:space="preserve"> 5796.8118 </t>
  </si>
  <si>
    <t xml:space="preserve"> 40.2537 </t>
  </si>
  <si>
    <t xml:space="preserve">C:\Users\andre\Desktop\REACTIV CEFAS\Anastrozole\Anastrozole/20201124_Cefas_Test7_Run1/Plate 2/@19/G10_01.tif </t>
  </si>
  <si>
    <t xml:space="preserve">C:\Users\andre\Desktop\REACTIV CEFAS\Anastrozole\Anastrozole/20201124_Cefas_Test7_Run1/Plate 2/@19/G10_02.tif </t>
  </si>
  <si>
    <t xml:space="preserve"> 3179.5945 </t>
  </si>
  <si>
    <t xml:space="preserve"> 34.0272 </t>
  </si>
  <si>
    <t xml:space="preserve">C:\Users\andre\Desktop\REACTIV CEFAS\Anastrozole\Anastrozole/20201124_Cefas_Test7_Run1/Plate 2/@19/G10_03.tif </t>
  </si>
  <si>
    <t xml:space="preserve"> 3157.9646 </t>
  </si>
  <si>
    <t xml:space="preserve"> 35.274 </t>
  </si>
  <si>
    <t xml:space="preserve">C:\Users\andre\Desktop\REACTIV CEFAS\Anastrozole\Anastrozole/20201124_Cefas_Test7_Run1/Plate 2/@19/H10_01.tif </t>
  </si>
  <si>
    <t xml:space="preserve"> 13150.9759 </t>
  </si>
  <si>
    <t xml:space="preserve"> 38.102 </t>
  </si>
  <si>
    <t xml:space="preserve">C:\Users\andre\Desktop\REACTIV CEFAS\Anastrozole\Anastrozole/20201124_Cefas_Test7_Run1/Plate 2/@19/H10_02.tif </t>
  </si>
  <si>
    <t xml:space="preserve"> 41.1456 </t>
  </si>
  <si>
    <t xml:space="preserve">C:\Users\andre\Desktop\REACTIV CEFAS\Anastrozole\Anastrozole/20201124_Cefas_Test7_Run1/Plate 2/@19/H10_03.tif </t>
  </si>
  <si>
    <t xml:space="preserve"> 33.7225 </t>
  </si>
  <si>
    <t xml:space="preserve">C:\Users\andre\Desktop\REACTIV CEFAS\Anastrozole\Anastrozole/20201124_Cefas_Test7_Run1/Plate 2/@19/ </t>
  </si>
  <si>
    <t xml:space="preserve"> 34.4374 </t>
  </si>
  <si>
    <t xml:space="preserve"> 11.5766 </t>
  </si>
  <si>
    <t xml:space="preserve"> 238557.917 </t>
  </si>
  <si>
    <t xml:space="preserve">C:\Users\andre\Desktop\REACTIV CEFAS\Anastrozole\Anastrozole/20201124_Cefas_Test7_Run1/Plate 2/@20/A11_01.tif </t>
  </si>
  <si>
    <t xml:space="preserve"> 38.4854 </t>
  </si>
  <si>
    <t xml:space="preserve">C:\Users\andre\Desktop\REACTIV CEFAS\Anastrozole\Anastrozole/20201124_Cefas_Test7_Run1/Plate 2/@20/A11_02.tif </t>
  </si>
  <si>
    <t xml:space="preserve"> 39.5182 </t>
  </si>
  <si>
    <t xml:space="preserve">C:\Users\andre\Desktop\REACTIV CEFAS\Anastrozole\Anastrozole/20201124_Cefas_Test7_Run1/Plate 2/@20/A11_03.tif </t>
  </si>
  <si>
    <t xml:space="preserve"> 9755.0825 </t>
  </si>
  <si>
    <t xml:space="preserve"> 41.7894 </t>
  </si>
  <si>
    <t xml:space="preserve">C:\Users\andre\Desktop\REACTIV CEFAS\Anastrozole\Anastrozole/20201124_Cefas_Test7_Run1/Plate 2/@20/B11_01.tif </t>
  </si>
  <si>
    <t xml:space="preserve"> 32.7969 </t>
  </si>
  <si>
    <t xml:space="preserve">C:\Users\andre\Desktop\REACTIV CEFAS\Anastrozole\Anastrozole/20201124_Cefas_Test7_Run1/Plate 2/@20/B11_02.tif </t>
  </si>
  <si>
    <t xml:space="preserve">C:\Users\andre\Desktop\REACTIV CEFAS\Anastrozole\Anastrozole/20201124_Cefas_Test7_Run1/Plate 2/@20/B11_03.tif </t>
  </si>
  <si>
    <t xml:space="preserve"> 34.9329 </t>
  </si>
  <si>
    <t xml:space="preserve">C:\Users\andre\Desktop\REACTIV CEFAS\Anastrozole\Anastrozole/20201124_Cefas_Test7_Run1/Plate 2/@20/C11_01.tif </t>
  </si>
  <si>
    <t xml:space="preserve"> 5169.5448 </t>
  </si>
  <si>
    <t xml:space="preserve"> 38.0586 </t>
  </si>
  <si>
    <t xml:space="preserve">C:\Users\andre\Desktop\REACTIV CEFAS\Anastrozole\Anastrozole/20201124_Cefas_Test7_Run1/Plate 2/@20/C11_02.tif </t>
  </si>
  <si>
    <t xml:space="preserve"> 6532.2282 </t>
  </si>
  <si>
    <t xml:space="preserve"> 41.6954 </t>
  </si>
  <si>
    <t>C:\Users\andre\Desktop\REACTIV CEFAS\Anastrozole\Anastrozole/20201124_Cefas_Test7_Run1/Plate 2/@20/C11_03- exclu.tif</t>
  </si>
  <si>
    <t xml:space="preserve">C:\Users\andre\Desktop\REACTIV CEFAS\Anastrozole\Anastrozole/20201124_Cefas_Test7_Run1/Plate 2/@20/D11_01.tif </t>
  </si>
  <si>
    <t xml:space="preserve">C:\Users\andre\Desktop\REACTIV CEFAS\Anastrozole\Anastrozole/20201124_Cefas_Test7_Run1/Plate 2/@20/D11_02.tif </t>
  </si>
  <si>
    <t xml:space="preserve">C:\Users\andre\Desktop\REACTIV CEFAS\Anastrozole\Anastrozole/20201124_Cefas_Test7_Run1/Plate 2/@20/D11_03.tif </t>
  </si>
  <si>
    <t xml:space="preserve">C:\Users\andre\Desktop\REACTIV CEFAS\Anastrozole\Anastrozole/20201124_Cefas_Test7_Run1/Plate 2/@20/E11_01.tif </t>
  </si>
  <si>
    <t xml:space="preserve"> 34.5441 </t>
  </si>
  <si>
    <t xml:space="preserve">C:\Users\andre\Desktop\REACTIV CEFAS\Anastrozole\Anastrozole/20201124_Cefas_Test7_Run1/Plate 2/@20/E11_02.tif </t>
  </si>
  <si>
    <t xml:space="preserve"> 4066.4202 </t>
  </si>
  <si>
    <t xml:space="preserve"> 39.4574 </t>
  </si>
  <si>
    <t xml:space="preserve">C:\Users\andre\Desktop\REACTIV CEFAS\Anastrozole\Anastrozole/20201124_Cefas_Test7_Run1/Plate 2/@20/E11_03.tif </t>
  </si>
  <si>
    <t xml:space="preserve"> 3201.2244 </t>
  </si>
  <si>
    <t xml:space="preserve"> 36.0743 </t>
  </si>
  <si>
    <t xml:space="preserve">C:\Users\andre\Desktop\REACTIV CEFAS\Anastrozole\Anastrozole/20201124_Cefas_Test7_Run1/Plate 2/@20/F11_01.tif </t>
  </si>
  <si>
    <t xml:space="preserve"> 4261.0892 </t>
  </si>
  <si>
    <t xml:space="preserve"> 36.6396 </t>
  </si>
  <si>
    <t xml:space="preserve">C:\Users\andre\Desktop\REACTIV CEFAS\Anastrozole\Anastrozole/20201124_Cefas_Test7_Run1/Plate 2/@20/F11_02.tif </t>
  </si>
  <si>
    <t xml:space="preserve"> 4325.9789 </t>
  </si>
  <si>
    <t xml:space="preserve"> 35.975 </t>
  </si>
  <si>
    <t>C:\Users\andre\Desktop\REACTIV CEFAS\Anastrozole\Anastrozole/20201124_Cefas_Test7_Run1/Plate 2/@20/F11_03- exclu.tif</t>
  </si>
  <si>
    <t xml:space="preserve">C:\Users\andre\Desktop\REACTIV CEFAS\Anastrozole\Anastrozole/20201124_Cefas_Test7_Run1/Plate 2/@20/G11_01.tif </t>
  </si>
  <si>
    <t xml:space="preserve"> 692.1566 </t>
  </si>
  <si>
    <t xml:space="preserve"> 31.75 </t>
  </si>
  <si>
    <t xml:space="preserve">C:\Users\andre\Desktop\REACTIV CEFAS\Anastrozole\Anastrozole/20201124_Cefas_Test7_Run1/Plate 2/@20/G11_02.tif </t>
  </si>
  <si>
    <t xml:space="preserve"> 2357.6585 </t>
  </si>
  <si>
    <t xml:space="preserve"> 33.9358 </t>
  </si>
  <si>
    <t xml:space="preserve">C:\Users\andre\Desktop\REACTIV CEFAS\Anastrozole\Anastrozole/20201124_Cefas_Test7_Run1/Plate 2/@20/G11_03.tif </t>
  </si>
  <si>
    <t xml:space="preserve"> 1816.9111 </t>
  </si>
  <si>
    <t xml:space="preserve"> 32.881 </t>
  </si>
  <si>
    <t xml:space="preserve">C:\Users\andre\Desktop\REACTIV CEFAS\Anastrozole\Anastrozole/20201124_Cefas_Test7_Run1/Plate 2/@20/H11_01.tif </t>
  </si>
  <si>
    <t xml:space="preserve"> 1232.904 </t>
  </si>
  <si>
    <t xml:space="preserve">C:\Users\andre\Desktop\REACTIV CEFAS\Anastrozole\Anastrozole/20201124_Cefas_Test7_Run1/Plate 2/@20/H11_02.tif </t>
  </si>
  <si>
    <t xml:space="preserve"> 33.1 </t>
  </si>
  <si>
    <t xml:space="preserve">C:\Users\andre\Desktop\REACTIV CEFAS\Anastrozole\Anastrozole/20201124_Cefas_Test7_Run1/Plate 2/@20/H11_03.tif </t>
  </si>
  <si>
    <t xml:space="preserve"> 800.3061 </t>
  </si>
  <si>
    <t xml:space="preserve"> 32.0541 </t>
  </si>
  <si>
    <t xml:space="preserve">C:\Users\andre\Desktop\REACTIV CEFAS\Anastrozole\Anastrozole/20201124_Cefas_Test7_Run1/Plate 2/@20/ </t>
  </si>
  <si>
    <t xml:space="preserve"> 31.6613 </t>
  </si>
  <si>
    <t xml:space="preserve"> 12.6426 </t>
  </si>
  <si>
    <t xml:space="preserve"> 129632.542 </t>
  </si>
  <si>
    <t xml:space="preserve">C:\Users\andre\Desktop\REACTIV CEFAS\Anastrozole\Anastrozole/20201124_Cefas_Test7_Run1/Plate 2/@21/A12_01.tif </t>
  </si>
  <si>
    <t xml:space="preserve"> 5753.552 </t>
  </si>
  <si>
    <t xml:space="preserve"> 35.4211 </t>
  </si>
  <si>
    <t xml:space="preserve">C:\Users\andre\Desktop\REACTIV CEFAS\Anastrozole\Anastrozole/20201124_Cefas_Test7_Run1/Plate 2/@21/A12_02.tif </t>
  </si>
  <si>
    <t xml:space="preserve"> 6921.5663 </t>
  </si>
  <si>
    <t xml:space="preserve"> 34.7844 </t>
  </si>
  <si>
    <t xml:space="preserve">C:\Users\andre\Desktop\REACTIV CEFAS\Anastrozole\Anastrozole/20201124_Cefas_Test7_Run1/Plate 2/@21/A12_03.tif </t>
  </si>
  <si>
    <t xml:space="preserve"> 7289.2745 </t>
  </si>
  <si>
    <t xml:space="preserve"> 35.0178 </t>
  </si>
  <si>
    <t xml:space="preserve">C:\Users\andre\Desktop\REACTIV CEFAS\Anastrozole\Anastrozole/20201124_Cefas_Test7_Run1/Plate 2/@21/B12_01.tif </t>
  </si>
  <si>
    <t xml:space="preserve"> 33.5714 </t>
  </si>
  <si>
    <t xml:space="preserve">C:\Users\andre\Desktop\REACTIV CEFAS\Anastrozole\Anastrozole/20201124_Cefas_Test7_Run1/Plate 2/@21/B12_02.tif </t>
  </si>
  <si>
    <t xml:space="preserve"> 34.3977 </t>
  </si>
  <si>
    <t xml:space="preserve">C:\Users\andre\Desktop\REACTIV CEFAS\Anastrozole\Anastrozole/20201124_Cefas_Test7_Run1/Plate 2/@21/B12_03.tif </t>
  </si>
  <si>
    <t xml:space="preserve"> 4001.5305 </t>
  </si>
  <si>
    <t xml:space="preserve"> 34.3405 </t>
  </si>
  <si>
    <t xml:space="preserve">C:\Users\andre\Desktop\REACTIV CEFAS\Anastrozole\Anastrozole/20201124_Cefas_Test7_Run1/Plate 2/@21/C12_01.tif </t>
  </si>
  <si>
    <t xml:space="preserve"> 35.9312 </t>
  </si>
  <si>
    <t xml:space="preserve">C:\Users\andre\Desktop\REACTIV CEFAS\Anastrozole\Anastrozole/20201124_Cefas_Test7_Run1/Plate 2/@21/C12_02.tif </t>
  </si>
  <si>
    <t xml:space="preserve"> 8046.3208 </t>
  </si>
  <si>
    <t xml:space="preserve"> 43.8199 </t>
  </si>
  <si>
    <t xml:space="preserve">C:\Users\andre\Desktop\REACTIV CEFAS\Anastrozole\Anastrozole/20201124_Cefas_Test7_Run1/Plate 2/@21/C12_03.tif </t>
  </si>
  <si>
    <t xml:space="preserve"> 31.5778 </t>
  </si>
  <si>
    <t xml:space="preserve">C:\Users\andre\Desktop\REACTIV CEFAS\Anastrozole\Anastrozole/20201124_Cefas_Test7_Run1/Plate 2/@21/D12_01.tif </t>
  </si>
  <si>
    <t xml:space="preserve"> 1665.5019 </t>
  </si>
  <si>
    <t xml:space="preserve"> 33.0779 </t>
  </si>
  <si>
    <t xml:space="preserve">C:\Users\andre\Desktop\REACTIV CEFAS\Anastrozole\Anastrozole/20201124_Cefas_Test7_Run1/Plate 2/@21/D12_02.tif </t>
  </si>
  <si>
    <t xml:space="preserve"> 1341.0535 </t>
  </si>
  <si>
    <t xml:space="preserve"> 32.129 </t>
  </si>
  <si>
    <t>C:\Users\andre\Desktop\REACTIV CEFAS\Anastrozole\Anastrozole/20201124_Cefas_Test7_Run1/Plate 2/@21/D12_03- exclu.tif</t>
  </si>
  <si>
    <t xml:space="preserve">C:\Users\andre\Desktop\REACTIV CEFAS\Anastrozole\Anastrozole/20201124_Cefas_Test7_Run1/Plate 2/@21/E12_01.tif </t>
  </si>
  <si>
    <t xml:space="preserve"> 40.3969 </t>
  </si>
  <si>
    <t xml:space="preserve">C:\Users\andre\Desktop\REACTIV CEFAS\Anastrozole\Anastrozole/20201124_Cefas_Test7_Run1/Plate 2/@21/E12_02.tif </t>
  </si>
  <si>
    <t xml:space="preserve"> 7397.424 </t>
  </si>
  <si>
    <t xml:space="preserve"> 37.5994 </t>
  </si>
  <si>
    <t xml:space="preserve">C:\Users\andre\Desktop\REACTIV CEFAS\Anastrozole\Anastrozole/20201124_Cefas_Test7_Run1/Plate 2/@21/E12_03.tif </t>
  </si>
  <si>
    <t xml:space="preserve"> 3915.0109 </t>
  </si>
  <si>
    <t xml:space="preserve"> 36.7072 </t>
  </si>
  <si>
    <t xml:space="preserve">C:\Users\andre\Desktop\REACTIV CEFAS\Anastrozole\Anastrozole/20201124_Cefas_Test7_Run1/Plate 2/@21/F12_01.tif </t>
  </si>
  <si>
    <t xml:space="preserve"> 11334.0648 </t>
  </si>
  <si>
    <t xml:space="preserve"> 36.3416 </t>
  </si>
  <si>
    <t xml:space="preserve">C:\Users\andre\Desktop\REACTIV CEFAS\Anastrozole\Anastrozole/20201124_Cefas_Test7_Run1/Plate 2/@21/F12_02.tif </t>
  </si>
  <si>
    <t xml:space="preserve"> 42.7327 </t>
  </si>
  <si>
    <t xml:space="preserve">C:\Users\andre\Desktop\REACTIV CEFAS\Anastrozole\Anastrozole/20201124_Cefas_Test7_Run1/Plate 2/@21/F12_03.tif </t>
  </si>
  <si>
    <t xml:space="preserve"> 1405.9432 </t>
  </si>
  <si>
    <t xml:space="preserve"> 34.0308 </t>
  </si>
  <si>
    <t xml:space="preserve">C:\Users\andre\Desktop\REACTIV CEFAS\Anastrozole\Anastrozole/20201124_Cefas_Test7_Run1/Plate 2/@21/G12_01.tif </t>
  </si>
  <si>
    <t xml:space="preserve"> 2660.477 </t>
  </si>
  <si>
    <t xml:space="preserve"> 34.2683 </t>
  </si>
  <si>
    <t>C:\Users\andre\Desktop\REACTIV CEFAS\Anastrozole\Anastrozole/20201124_Cefas_Test7_Run1/Plate 2/@21/G12_02- exclu.tif</t>
  </si>
  <si>
    <t xml:space="preserve">C:\Users\andre\Desktop\REACTIV CEFAS\Anastrozole\Anastrozole/20201124_Cefas_Test7_Run1/Plate 2/@21/G12_03.tif </t>
  </si>
  <si>
    <t xml:space="preserve"> 3114.7048 </t>
  </si>
  <si>
    <t xml:space="preserve"> 35.3889 </t>
  </si>
  <si>
    <t xml:space="preserve">C:\Users\andre\Desktop\REACTIV CEFAS\Anastrozole\Anastrozole/20201124_Cefas_Test7_Run1/Plate 2/@21/H12_01.tif </t>
  </si>
  <si>
    <t xml:space="preserve"> 475.8577 </t>
  </si>
  <si>
    <t xml:space="preserve"> 32.6818 </t>
  </si>
  <si>
    <t xml:space="preserve">C:\Users\andre\Desktop\REACTIV CEFAS\Anastrozole\Anastrozole/20201124_Cefas_Test7_Run1/Plate 2/@21/H12_02.tif </t>
  </si>
  <si>
    <t xml:space="preserve"> 42.1948 </t>
  </si>
  <si>
    <t xml:space="preserve">C:\Users\andre\Desktop\REACTIV CEFAS\Anastrozole\Anastrozole/20201124_Cefas_Test7_Run1/Plate 2/@21/H12_03.tif </t>
  </si>
  <si>
    <t xml:space="preserve"> 38.9226 </t>
  </si>
  <si>
    <t xml:space="preserve">C:\Users\andre\Desktop\REACTIV CEFAS\Anastrozole\Anastrozole/20201124_Cefas_Test7_Run1/Plate 2/@21/ </t>
  </si>
  <si>
    <t xml:space="preserve"> 34.6527 </t>
  </si>
  <si>
    <t xml:space="preserve"> 8.0859 </t>
  </si>
  <si>
    <t xml:space="preserve"> 160891.25 </t>
  </si>
  <si>
    <t xml:space="preserve">C:\Users\andre\Desktop\REACTIV CEFAS\Anastrozole\Anastrozole/20201124_Cefas_Test7_Run1/Plate 2/@8/A2_01.tif </t>
  </si>
  <si>
    <t xml:space="preserve"> 216.2989 </t>
  </si>
  <si>
    <t xml:space="preserve"> 31.1 </t>
  </si>
  <si>
    <t xml:space="preserve">C:\Users\andre\Desktop\REACTIV CEFAS\Anastrozole\Anastrozole/20201124_Cefas_Test7_Run1/Plate 2/@8/A2_02.tif </t>
  </si>
  <si>
    <t xml:space="preserve"> 31.9333 </t>
  </si>
  <si>
    <t xml:space="preserve">C:\Users\andre\Desktop\REACTIV CEFAS\Anastrozole\Anastrozole/20201124_Cefas_Test7_Run1/Plate 2/@8/A2_03.tif </t>
  </si>
  <si>
    <t xml:space="preserve"> 34.131 </t>
  </si>
  <si>
    <t xml:space="preserve">C:\Users\andre\Desktop\REACTIV CEFAS\Anastrozole\Anastrozole/20201124_Cefas_Test7_Run1/Plate 2/@8/B2_01.tif </t>
  </si>
  <si>
    <t xml:space="preserve">C:\Users\andre\Desktop\REACTIV CEFAS\Anastrozole\Anastrozole/20201124_Cefas_Test7_Run1/Plate 2/@8/B2_02.tif </t>
  </si>
  <si>
    <t xml:space="preserve"> 32.8235 </t>
  </si>
  <si>
    <t xml:space="preserve">C:\Users\andre\Desktop\REACTIV CEFAS\Anastrozole\Anastrozole/20201124_Cefas_Test7_Run1/Plate 2/@8/B2_03.tif </t>
  </si>
  <si>
    <t xml:space="preserve">C:\Users\andre\Desktop\REACTIV CEFAS\Anastrozole\Anastrozole/20201124_Cefas_Test7_Run1/Plate 2/@8/C2_01.tif </t>
  </si>
  <si>
    <t xml:space="preserve"> 5840.0715 </t>
  </si>
  <si>
    <t xml:space="preserve"> 37.3037 </t>
  </si>
  <si>
    <t xml:space="preserve">C:\Users\andre\Desktop\REACTIV CEFAS\Anastrozole\Anastrozole/20201124_Cefas_Test7_Run1/Plate 2/@8/C2_02.tif </t>
  </si>
  <si>
    <t xml:space="preserve"> 3525.6728 </t>
  </si>
  <si>
    <t xml:space="preserve"> 38.9141 </t>
  </si>
  <si>
    <t xml:space="preserve">C:\Users\andre\Desktop\REACTIV CEFAS\Anastrozole\Anastrozole/20201124_Cefas_Test7_Run1/Plate 2/@8/C2_03.tif </t>
  </si>
  <si>
    <t xml:space="preserve"> 6359.189 </t>
  </si>
  <si>
    <t xml:space="preserve"> 37.8946 </t>
  </si>
  <si>
    <t xml:space="preserve">C:\Users\andre\Desktop\REACTIV CEFAS\Anastrozole\Anastrozole/20201124_Cefas_Test7_Run1/Plate 2/@8/D2_01.tif </t>
  </si>
  <si>
    <t xml:space="preserve"> 31.6 </t>
  </si>
  <si>
    <t xml:space="preserve">C:\Users\andre\Desktop\REACTIV CEFAS\Anastrozole\Anastrozole/20201124_Cefas_Test7_Run1/Plate 2/@8/D2_02.tif </t>
  </si>
  <si>
    <t xml:space="preserve">C:\Users\andre\Desktop\REACTIV CEFAS\Anastrozole\Anastrozole/20201124_Cefas_Test7_Run1/Plate 2/@8/D2_03.tif </t>
  </si>
  <si>
    <t>C:\Users\andre\Desktop\REACTIV CEFAS\Anastrozole\Anastrozole/20201124_Cefas_Test7_Run1/Plate 2/@8/E2_01- exclu.tif</t>
  </si>
  <si>
    <t>C:\Users\andre\Desktop\REACTIV CEFAS\Anastrozole\Anastrozole/20201124_Cefas_Test7_Run1/Plate 2/@8/E2_02- exclu.tif</t>
  </si>
  <si>
    <t xml:space="preserve">C:\Users\andre\Desktop\REACTIV CEFAS\Anastrozole\Anastrozole/20201124_Cefas_Test7_Run1/Plate 2/@8/E2_03.tif </t>
  </si>
  <si>
    <t xml:space="preserve"> 9257.5949 </t>
  </si>
  <si>
    <t xml:space="preserve"> 41.8575 </t>
  </si>
  <si>
    <t xml:space="preserve">C:\Users\andre\Desktop\REACTIV CEFAS\Anastrozole\Anastrozole/20201124_Cefas_Test7_Run1/Plate 2/@8/F2_01.tif </t>
  </si>
  <si>
    <t xml:space="preserve">C:\Users\andre\Desktop\REACTIV CEFAS\Anastrozole\Anastrozole/20201124_Cefas_Test7_Run1/Plate 2/@8/F2_02.tif </t>
  </si>
  <si>
    <t xml:space="preserve"> 2617.2173 </t>
  </si>
  <si>
    <t xml:space="preserve"> 36.5124 </t>
  </si>
  <si>
    <t xml:space="preserve">C:\Users\andre\Desktop\REACTIV CEFAS\Anastrozole\Anastrozole/20201124_Cefas_Test7_Run1/Plate 2/@8/F2_03.tif </t>
  </si>
  <si>
    <t xml:space="preserve"> 1881.8008 </t>
  </si>
  <si>
    <t xml:space="preserve"> 34.3333 </t>
  </si>
  <si>
    <t xml:space="preserve">C:\Users\andre\Desktop\REACTIV CEFAS\Anastrozole\Anastrozole/20201124_Cefas_Test7_Run1/Plate 2/@8/G2_01.tif </t>
  </si>
  <si>
    <t xml:space="preserve"> 32.3824 </t>
  </si>
  <si>
    <t xml:space="preserve">C:\Users\andre\Desktop\REACTIV CEFAS\Anastrozole\Anastrozole/20201124_Cefas_Test7_Run1/Plate 2/@8/G2_02.tif </t>
  </si>
  <si>
    <t xml:space="preserve"> 1557.3524 </t>
  </si>
  <si>
    <t xml:space="preserve"> 33.7778 </t>
  </si>
  <si>
    <t xml:space="preserve">C:\Users\andre\Desktop\REACTIV CEFAS\Anastrozole\Anastrozole/20201124_Cefas_Test7_Run1/Plate 2/@8/G2_03.tif </t>
  </si>
  <si>
    <t xml:space="preserve"> 33.1688 </t>
  </si>
  <si>
    <t xml:space="preserve">C:\Users\andre\Desktop\REACTIV CEFAS\Anastrozole\Anastrozole/20201124_Cefas_Test7_Run1/Plate 2/@8/H2_01.tif </t>
  </si>
  <si>
    <t xml:space="preserve">C:\Users\andre\Desktop\REACTIV CEFAS\Anastrozole\Anastrozole/20201124_Cefas_Test7_Run1/Plate 2/@8/H2_02.tif </t>
  </si>
  <si>
    <t xml:space="preserve"> 2703.7368 </t>
  </si>
  <si>
    <t xml:space="preserve"> 34.648 </t>
  </si>
  <si>
    <t xml:space="preserve">C:\Users\andre\Desktop\REACTIV CEFAS\Anastrozole\Anastrozole/20201124_Cefas_Test7_Run1/Plate 2/@8/H2_03.tif </t>
  </si>
  <si>
    <t xml:space="preserve"> 33.5517 </t>
  </si>
  <si>
    <t xml:space="preserve">C:\Users\andre\Desktop\REACTIV CEFAS\Anastrozole\Anastrozole/20201124_Cefas_Test7_Run1/Plate 2/@8/ </t>
  </si>
  <si>
    <t xml:space="preserve"> 28.2472 </t>
  </si>
  <si>
    <t xml:space="preserve"> 13.2229 </t>
  </si>
  <si>
    <t xml:space="preserve"> 69796.9583 </t>
  </si>
  <si>
    <t xml:space="preserve">C:\Users\andre\Desktop\REACTIV CEFAS\Anastrozole\Anastrozole/20201124_Cefas_Test7_Run1/Plate 2/@9/A3_01.tif </t>
  </si>
  <si>
    <t xml:space="preserve"> 4347.6088 </t>
  </si>
  <si>
    <t xml:space="preserve"> 37.0299 </t>
  </si>
  <si>
    <t xml:space="preserve">C:\Users\andre\Desktop\REACTIV CEFAS\Anastrozole\Anastrozole/20201124_Cefas_Test7_Run1/Plate 2/@9/A3_02.tif </t>
  </si>
  <si>
    <t xml:space="preserve"> 36.9673 </t>
  </si>
  <si>
    <t xml:space="preserve">C:\Users\andre\Desktop\REACTIV CEFAS\Anastrozole\Anastrozole/20201124_Cefas_Test7_Run1/Plate 2/@9/A3_03.tif </t>
  </si>
  <si>
    <t xml:space="preserve"> 3504.0429 </t>
  </si>
  <si>
    <t xml:space="preserve"> 34.5432 </t>
  </si>
  <si>
    <t xml:space="preserve">C:\Users\andre\Desktop\REACTIV CEFAS\Anastrozole\Anastrozole/20201124_Cefas_Test7_Run1/Plate 2/@9/B3_01.tif </t>
  </si>
  <si>
    <t xml:space="preserve"> 1146.3844 </t>
  </si>
  <si>
    <t xml:space="preserve"> 32.2075 </t>
  </si>
  <si>
    <t xml:space="preserve">C:\Users\andre\Desktop\REACTIV CEFAS\Anastrozole\Anastrozole/20201124_Cefas_Test7_Run1/Plate 2/@9/B3_02.tif </t>
  </si>
  <si>
    <t xml:space="preserve"> 1492.4627 </t>
  </si>
  <si>
    <t xml:space="preserve"> 33.6667 </t>
  </si>
  <si>
    <t xml:space="preserve">C:\Users\andre\Desktop\REACTIV CEFAS\Anastrozole\Anastrozole/20201124_Cefas_Test7_Run1/Plate 2/@9/B3_03.tif </t>
  </si>
  <si>
    <t xml:space="preserve"> 32.4878 </t>
  </si>
  <si>
    <t xml:space="preserve">C:\Users\andre\Desktop\REACTIV CEFAS\Anastrozole\Anastrozole/20201124_Cefas_Test7_Run1/Plate 2/@9/C3_01.tif </t>
  </si>
  <si>
    <t xml:space="preserve">C:\Users\andre\Desktop\REACTIV CEFAS\Anastrozole\Anastrozole/20201124_Cefas_Test7_Run1/Plate 2/@9/C3_02.tif </t>
  </si>
  <si>
    <t xml:space="preserve">C:\Users\andre\Desktop\REACTIV CEFAS\Anastrozole\Anastrozole/20201124_Cefas_Test7_Run1/Plate 2/@9/C3_03.tif </t>
  </si>
  <si>
    <t xml:space="preserve"> 4477.3882 </t>
  </si>
  <si>
    <t xml:space="preserve"> 41.0097 </t>
  </si>
  <si>
    <t xml:space="preserve">C:\Users\andre\Desktop\REACTIV CEFAS\Anastrozole\Anastrozole/20201124_Cefas_Test7_Run1/Plate 2/@9/D3_01.tif </t>
  </si>
  <si>
    <t xml:space="preserve"> 3893.381 </t>
  </si>
  <si>
    <t xml:space="preserve"> 38.1722 </t>
  </si>
  <si>
    <t xml:space="preserve">C:\Users\andre\Desktop\REACTIV CEFAS\Anastrozole\Anastrozole/20201124_Cefas_Test7_Run1/Plate 2/@9/D3_02.tif </t>
  </si>
  <si>
    <t xml:space="preserve"> 7678.6126 </t>
  </si>
  <si>
    <t xml:space="preserve"> 39.738 </t>
  </si>
  <si>
    <t xml:space="preserve">C:\Users\andre\Desktop\REACTIV CEFAS\Anastrozole\Anastrozole/20201124_Cefas_Test7_Run1/Plate 2/@9/D3_03.tif </t>
  </si>
  <si>
    <t xml:space="preserve"> 42.6305 </t>
  </si>
  <si>
    <t xml:space="preserve">C:\Users\andre\Desktop\REACTIV CEFAS\Anastrozole\Anastrozole/20201124_Cefas_Test7_Run1/Plate 2/@9/E3_01.tif </t>
  </si>
  <si>
    <t xml:space="preserve"> 40.0216 </t>
  </si>
  <si>
    <t xml:space="preserve">C:\Users\andre\Desktop\REACTIV CEFAS\Anastrozole\Anastrozole/20201124_Cefas_Test7_Run1/Plate 2/@9/E3_02.tif </t>
  </si>
  <si>
    <t xml:space="preserve"> 36.7365 </t>
  </si>
  <si>
    <t xml:space="preserve">C:\Users\andre\Desktop\REACTIV CEFAS\Anastrozole\Anastrozole/20201124_Cefas_Test7_Run1/Plate 2/@9/E3_03.tif </t>
  </si>
  <si>
    <t xml:space="preserve"> 3590.5625 </t>
  </si>
  <si>
    <t xml:space="preserve"> 37.6506 </t>
  </si>
  <si>
    <t xml:space="preserve">C:\Users\andre\Desktop\REACTIV CEFAS\Anastrozole\Anastrozole/20201124_Cefas_Test7_Run1/Plate 2/@9/F3_01.tif </t>
  </si>
  <si>
    <t xml:space="preserve">C:\Users\andre\Desktop\REACTIV CEFAS\Anastrozole\Anastrozole/20201124_Cefas_Test7_Run1/Plate 2/@9/F3_02.tif </t>
  </si>
  <si>
    <t xml:space="preserve"> 32.3333 </t>
  </si>
  <si>
    <t xml:space="preserve">C:\Users\andre\Desktop\REACTIV CEFAS\Anastrozole\Anastrozole/20201124_Cefas_Test7_Run1/Plate 2/@9/F3_03.tif </t>
  </si>
  <si>
    <t xml:space="preserve"> 1795.2813 </t>
  </si>
  <si>
    <t xml:space="preserve"> 33.9639 </t>
  </si>
  <si>
    <t xml:space="preserve">C:\Users\andre\Desktop\REACTIV CEFAS\Anastrozole\Anastrozole/20201124_Cefas_Test7_Run1/Plate 2/@9/G3_01.tif </t>
  </si>
  <si>
    <t xml:space="preserve"> 2011.5802 </t>
  </si>
  <si>
    <t xml:space="preserve"> 35.4839 </t>
  </si>
  <si>
    <t xml:space="preserve">C:\Users\andre\Desktop\REACTIV CEFAS\Anastrozole\Anastrozole/20201124_Cefas_Test7_Run1/Plate 2/@9/G3_02.tif </t>
  </si>
  <si>
    <t xml:space="preserve"> 4780.2067 </t>
  </si>
  <si>
    <t xml:space="preserve"> 37.4842 </t>
  </si>
  <si>
    <t xml:space="preserve">C:\Users\andre\Desktop\REACTIV CEFAS\Anastrozole\Anastrozole/20201124_Cefas_Test7_Run1/Plate 2/@9/G3_03.tif </t>
  </si>
  <si>
    <t xml:space="preserve"> 37.6964 </t>
  </si>
  <si>
    <t xml:space="preserve">C:\Users\andre\Desktop\REACTIV CEFAS\Anastrozole\Anastrozole/20201124_Cefas_Test7_Run1/Plate 2/@9/H3_01.tif </t>
  </si>
  <si>
    <t xml:space="preserve"> 32.8475 </t>
  </si>
  <si>
    <t xml:space="preserve">C:\Users\andre\Desktop\REACTIV CEFAS\Anastrozole\Anastrozole/20201124_Cefas_Test7_Run1/Plate 2/@9/H3_02.tif </t>
  </si>
  <si>
    <t xml:space="preserve">C:\Users\andre\Desktop\REACTIV CEFAS\Anastrozole\Anastrozole/20201124_Cefas_Test7_Run1/Plate 2/@9/H3_03.tif </t>
  </si>
  <si>
    <t xml:space="preserve"> 33.6604 </t>
  </si>
  <si>
    <t xml:space="preserve">C:\Users\andre\Desktop\REACTIV CEFAS\Anastrozole\Anastrozole/20201124_Cefas_Test7_Run1/Plate 2/@9/ </t>
  </si>
  <si>
    <t xml:space="preserve"> 32.8749 </t>
  </si>
  <si>
    <t xml:space="preserve"> 10.5978 </t>
  </si>
  <si>
    <t xml:space="preserve"> 107214.917 </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</si>
  <si>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</si>
  <si>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</si>
  <si>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</si>
  <si>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</si>
  <si>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</si>
  <si>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</si>
  <si>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</si>
  <si>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</si>
  <si>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</si>
  <si>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</si>
  <si>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</si>
  <si>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</si>
  <si>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</si>
  <si>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</si>
  <si>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</si>
  <si>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</si>
  <si>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</si>
  <si>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</si>
  <si>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</si>
  <si>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</si>
  <si>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</si>
  <si>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</si>
  <si>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</si>
  <si>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</si>
  <si>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</si>
  <si>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</si>
  <si>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</si>
  <si>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</si>
  <si>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AN</t>
  </si>
  <si>
    <t>AN-0.18mg/L</t>
  </si>
  <si>
    <t>Chemical</t>
  </si>
  <si>
    <t>AN-0.36mg/L</t>
  </si>
  <si>
    <t>AN-0.73mg/L</t>
  </si>
  <si>
    <t>AN-1.45mg/L</t>
  </si>
  <si>
    <t>AN-2.9mg/L</t>
  </si>
  <si>
    <t xml:space="preserve">C:\Users\andre\Desktop\REACTIV CEFAS\Anastrozole\Anastrozole/20201125_Cefas_Test7_Run2/Plate 1/@1/A10_01.tif </t>
  </si>
  <si>
    <t xml:space="preserve"> 8889.8867 </t>
  </si>
  <si>
    <t xml:space="preserve"> 36.3552 </t>
  </si>
  <si>
    <t xml:space="preserve">C:\Users\andre\Desktop\REACTIV CEFAS\Anastrozole\Anastrozole/20201125_Cefas_Test7_Run2/Plate 1/@1/A10_02.tif </t>
  </si>
  <si>
    <t xml:space="preserve"> 9062.9258 </t>
  </si>
  <si>
    <t xml:space="preserve"> 35.9332 </t>
  </si>
  <si>
    <t xml:space="preserve">C:\Users\andre\Desktop\REACTIV CEFAS\Anastrozole\Anastrozole/20201125_Cefas_Test7_Run2/Plate 1/@1/A10_03.tif </t>
  </si>
  <si>
    <t xml:space="preserve"> 37.6557 </t>
  </si>
  <si>
    <t xml:space="preserve">C:\Users\andre\Desktop\REACTIV CEFAS\Anastrozole\Anastrozole/20201125_Cefas_Test7_Run2/Plate 1/@1/B10_01.tif </t>
  </si>
  <si>
    <t xml:space="preserve"> 37.0596 </t>
  </si>
  <si>
    <t xml:space="preserve">C:\Users\andre\Desktop\REACTIV CEFAS\Anastrozole\Anastrozole/20201125_Cefas_Test7_Run2/Plate 1/@1/B10_02.tif </t>
  </si>
  <si>
    <t xml:space="preserve"> 8478.9187 </t>
  </si>
  <si>
    <t xml:space="preserve"> 38.375 </t>
  </si>
  <si>
    <t xml:space="preserve">C:\Users\andre\Desktop\REACTIV CEFAS\Anastrozole\Anastrozole/20201125_Cefas_Test7_Run2/Plate 1/@1/B10_03.tif </t>
  </si>
  <si>
    <t xml:space="preserve"> 38.7922 </t>
  </si>
  <si>
    <t>C:\Users\andre\Desktop\REACTIV CEFAS\Anastrozole\Anastrozole/20201125_Cefas_Test7_Run2/Plate 1/@1/C10_01- exclu.tif</t>
  </si>
  <si>
    <t xml:space="preserve">C:\Users\andre\Desktop\REACTIV CEFAS\Anastrozole\Anastrozole/20201125_Cefas_Test7_Run2/Plate 1/@1/C10_02.tif </t>
  </si>
  <si>
    <t xml:space="preserve"> 10512.1288 </t>
  </si>
  <si>
    <t xml:space="preserve"> 36.6543 </t>
  </si>
  <si>
    <t xml:space="preserve">C:\Users\andre\Desktop\REACTIV CEFAS\Anastrozole\Anastrozole/20201125_Cefas_Test7_Run2/Plate 1/@1/C10_03.tif </t>
  </si>
  <si>
    <t xml:space="preserve"> 8933.1465 </t>
  </si>
  <si>
    <t xml:space="preserve"> 39.2082 </t>
  </si>
  <si>
    <t xml:space="preserve">C:\Users\andre\Desktop\REACTIV CEFAS\Anastrozole\Anastrozole/20201125_Cefas_Test7_Run2/Plate 1/@1/D10_01.tif </t>
  </si>
  <si>
    <t xml:space="preserve"> 10166.0505 </t>
  </si>
  <si>
    <t xml:space="preserve"> 41.9936 </t>
  </si>
  <si>
    <t xml:space="preserve">C:\Users\andre\Desktop\REACTIV CEFAS\Anastrozole\Anastrozole/20201125_Cefas_Test7_Run2/Plate 1/@1/D10_02.tif </t>
  </si>
  <si>
    <t xml:space="preserve"> 42.2495 </t>
  </si>
  <si>
    <t xml:space="preserve">C:\Users\andre\Desktop\REACTIV CEFAS\Anastrozole\Anastrozole/20201125_Cefas_Test7_Run2/Plate 1/@1/D10_03.tif </t>
  </si>
  <si>
    <t xml:space="preserve"> 31.1538 </t>
  </si>
  <si>
    <t xml:space="preserve">C:\Users\andre\Desktop\REACTIV CEFAS\Anastrozole\Anastrozole/20201125_Cefas_Test7_Run2/Plate 1/@1/E10_01.tif </t>
  </si>
  <si>
    <t xml:space="preserve"> 36.672 </t>
  </si>
  <si>
    <t xml:space="preserve">C:\Users\andre\Desktop\REACTIV CEFAS\Anastrozole\Anastrozole/20201125_Cefas_Test7_Run2/Plate 1/@1/E10_02.tif </t>
  </si>
  <si>
    <t xml:space="preserve"> 34.8182 </t>
  </si>
  <si>
    <t xml:space="preserve">C:\Users\andre\Desktop\REACTIV CEFAS\Anastrozole\Anastrozole/20201125_Cefas_Test7_Run2/Plate 1/@1/E10_03.tif </t>
  </si>
  <si>
    <t xml:space="preserve"> 7916.5414 </t>
  </si>
  <si>
    <t xml:space="preserve"> 36.1557 </t>
  </si>
  <si>
    <t xml:space="preserve">C:\Users\andre\Desktop\REACTIV CEFAS\Anastrozole\Anastrozole/20201125_Cefas_Test7_Run2/Plate 1/@1/F10_01.tif </t>
  </si>
  <si>
    <t xml:space="preserve"> 34.8462 </t>
  </si>
  <si>
    <t xml:space="preserve">C:\Users\andre\Desktop\REACTIV CEFAS\Anastrozole\Anastrozole/20201125_Cefas_Test7_Run2/Plate 1/@1/F10_02.tif </t>
  </si>
  <si>
    <t xml:space="preserve"> 2379.2884 </t>
  </si>
  <si>
    <t xml:space="preserve"> 32.7909 </t>
  </si>
  <si>
    <t xml:space="preserve">C:\Users\andre\Desktop\REACTIV CEFAS\Anastrozole\Anastrozole/20201125_Cefas_Test7_Run2/Plate 1/@1/F10_03.tif </t>
  </si>
  <si>
    <t xml:space="preserve"> 1211.2741 </t>
  </si>
  <si>
    <t xml:space="preserve"> 33.9643 </t>
  </si>
  <si>
    <t xml:space="preserve">C:\Users\andre\Desktop\REACTIV CEFAS\Anastrozole\Anastrozole/20201125_Cefas_Test7_Run2/Plate 1/@1/G10_01.tif </t>
  </si>
  <si>
    <t xml:space="preserve"> 37.7714 </t>
  </si>
  <si>
    <t xml:space="preserve">C:\Users\andre\Desktop\REACTIV CEFAS\Anastrozole\Anastrozole/20201125_Cefas_Test7_Run2/Plate 1/@1/G10_02.tif </t>
  </si>
  <si>
    <t xml:space="preserve">C:\Users\andre\Desktop\REACTIV CEFAS\Anastrozole\Anastrozole/20201125_Cefas_Test7_Run2/Plate 1/@1/G10_03.tif </t>
  </si>
  <si>
    <t xml:space="preserve">C:\Users\andre\Desktop\REACTIV CEFAS\Anastrozole\Anastrozole/20201125_Cefas_Test7_Run2/Plate 1/@1/H10_01.tif </t>
  </si>
  <si>
    <t xml:space="preserve"> 33.5 </t>
  </si>
  <si>
    <t xml:space="preserve">C:\Users\andre\Desktop\REACTIV CEFAS\Anastrozole\Anastrozole/20201125_Cefas_Test7_Run2/Plate 1/@1/H10_02.tif </t>
  </si>
  <si>
    <t xml:space="preserve"> 2725.3667 </t>
  </si>
  <si>
    <t xml:space="preserve">C:\Users\andre\Desktop\REACTIV CEFAS\Anastrozole\Anastrozole/20201125_Cefas_Test7_Run2/Plate 1/@1/H10_03.tif </t>
  </si>
  <si>
    <t xml:space="preserve"> 1535.7225 </t>
  </si>
  <si>
    <t xml:space="preserve"> 33.6761 </t>
  </si>
  <si>
    <t xml:space="preserve"> SD total fluo </t>
  </si>
  <si>
    <t xml:space="preserve">C:\Users\andre\Desktop\REACTIV CEFAS\Anastrozole\Anastrozole/20201125_Cefas_Test7_Run2/Plate 1/@1/ </t>
  </si>
  <si>
    <t xml:space="preserve"> 34.3964 </t>
  </si>
  <si>
    <t xml:space="preserve"> 7.9672 </t>
  </si>
  <si>
    <t xml:space="preserve"> 195721.667 </t>
  </si>
  <si>
    <t xml:space="preserve"> 146495.472 </t>
  </si>
  <si>
    <t xml:space="preserve">C:\Users\andre\Desktop\REACTIV CEFAS\Anastrozole\Anastrozole/20201125_Cefas_Test7_Run2/Plate 1/@13/A8_01.tif </t>
  </si>
  <si>
    <t xml:space="preserve"> 41486.1379 </t>
  </si>
  <si>
    <t xml:space="preserve"> 35.5448 </t>
  </si>
  <si>
    <t xml:space="preserve">C:\Users\andre\Desktop\REACTIV CEFAS\Anastrozole\Anastrozole/20201125_Cefas_Test7_Run2/Plate 1/@13/A8_02.tif </t>
  </si>
  <si>
    <t xml:space="preserve"> 34434.7922 </t>
  </si>
  <si>
    <t xml:space="preserve"> 35.1445 </t>
  </si>
  <si>
    <t xml:space="preserve">C:\Users\andre\Desktop\REACTIV CEFAS\Anastrozole\Anastrozole/20201125_Cefas_Test7_Run2/Plate 1/@13/A8_03.tif </t>
  </si>
  <si>
    <t xml:space="preserve"> 29524.8062 </t>
  </si>
  <si>
    <t xml:space="preserve"> 35.1538 </t>
  </si>
  <si>
    <t>C:\Users\andre\Desktop\REACTIV CEFAS\Anastrozole\Anastrozole/20201125_Cefas_Test7_Run2/Plate 1/@13/B8_01- exclu.tif</t>
  </si>
  <si>
    <t xml:space="preserve">C:\Users\andre\Desktop\REACTIV CEFAS\Anastrozole\Anastrozole/20201125_Cefas_Test7_Run2/Plate 1/@13/B8_02.tif </t>
  </si>
  <si>
    <t xml:space="preserve"> 56800.1033 </t>
  </si>
  <si>
    <t xml:space="preserve"> 47.1329 </t>
  </si>
  <si>
    <t xml:space="preserve">C:\Users\andre\Desktop\REACTIV CEFAS\Anastrozole\Anastrozole/20201125_Cefas_Test7_Run2/Plate 1/@13/B8_03.tif </t>
  </si>
  <si>
    <t xml:space="preserve"> 53447.4696 </t>
  </si>
  <si>
    <t xml:space="preserve"> 45.2036 </t>
  </si>
  <si>
    <t xml:space="preserve">C:\Users\andre\Desktop\REACTIV CEFAS\Anastrozole\Anastrozole/20201125_Cefas_Test7_Run2/Plate 1/@13/C8_01.tif </t>
  </si>
  <si>
    <t xml:space="preserve"> 19402.0155 </t>
  </si>
  <si>
    <t xml:space="preserve"> 35.2497 </t>
  </si>
  <si>
    <t xml:space="preserve">C:\Users\andre\Desktop\REACTIV CEFAS\Anastrozole\Anastrozole/20201125_Cefas_Test7_Run2/Plate 1/@13/C8_02.tif </t>
  </si>
  <si>
    <t xml:space="preserve"> 20483.5102 </t>
  </si>
  <si>
    <t xml:space="preserve"> 36.2196 </t>
  </si>
  <si>
    <t xml:space="preserve">C:\Users\andre\Desktop\REACTIV CEFAS\Anastrozole\Anastrozole/20201125_Cefas_Test7_Run2/Plate 1/@13/C8_03.tif </t>
  </si>
  <si>
    <t xml:space="preserve"> 35.4215 </t>
  </si>
  <si>
    <t xml:space="preserve">C:\Users\andre\Desktop\REACTIV CEFAS\Anastrozole\Anastrozole/20201125_Cefas_Test7_Run2/Plate 1/@13/D8_01.tif </t>
  </si>
  <si>
    <t xml:space="preserve"> 37787.4259 </t>
  </si>
  <si>
    <t xml:space="preserve"> 41.0246 </t>
  </si>
  <si>
    <t xml:space="preserve">C:\Users\andre\Desktop\REACTIV CEFAS\Anastrozole\Anastrozole/20201125_Cefas_Test7_Run2/Plate 1/@13/D8_02.tif </t>
  </si>
  <si>
    <t xml:space="preserve"> 48818.6722 </t>
  </si>
  <si>
    <t xml:space="preserve"> 42.8285 </t>
  </si>
  <si>
    <t xml:space="preserve">C:\Users\andre\Desktop\REACTIV CEFAS\Anastrozole\Anastrozole/20201125_Cefas_Test7_Run2/Plate 1/@13/D8_03.tif </t>
  </si>
  <si>
    <t xml:space="preserve"> 46807.092 </t>
  </si>
  <si>
    <t xml:space="preserve"> 42.3757 </t>
  </si>
  <si>
    <t xml:space="preserve">C:\Users\andre\Desktop\REACTIV CEFAS\Anastrozole\Anastrozole/20201125_Cefas_Test7_Run2/Plate 1/@13/E8_01.tif </t>
  </si>
  <si>
    <t xml:space="preserve"> 17779.7734 </t>
  </si>
  <si>
    <t xml:space="preserve"> 35.8358 </t>
  </si>
  <si>
    <t xml:space="preserve">C:\Users\andre\Desktop\REACTIV CEFAS\Anastrozole\Anastrozole/20201125_Cefas_Test7_Run2/Plate 1/@13/E8_02.tif </t>
  </si>
  <si>
    <t xml:space="preserve"> 18212.3713 </t>
  </si>
  <si>
    <t xml:space="preserve"> 36.7114 </t>
  </si>
  <si>
    <t xml:space="preserve">C:\Users\andre\Desktop\REACTIV CEFAS\Anastrozole\Anastrozole/20201125_Cefas_Test7_Run2/Plate 1/@13/E8_03.tif </t>
  </si>
  <si>
    <t xml:space="preserve"> 13929.6521 </t>
  </si>
  <si>
    <t xml:space="preserve"> 33.9224 </t>
  </si>
  <si>
    <t xml:space="preserve">C:\Users\andre\Desktop\REACTIV CEFAS\Anastrozole\Anastrozole/20201125_Cefas_Test7_Run2/Plate 1/@13/F8_01.tif </t>
  </si>
  <si>
    <t xml:space="preserve"> 12264.1503 </t>
  </si>
  <si>
    <t xml:space="preserve"> 33.9312 </t>
  </si>
  <si>
    <t xml:space="preserve">C:\Users\andre\Desktop\REACTIV CEFAS\Anastrozole\Anastrozole/20201125_Cefas_Test7_Run2/Plate 1/@13/F8_02.tif </t>
  </si>
  <si>
    <t xml:space="preserve"> 16784.7982 </t>
  </si>
  <si>
    <t xml:space="preserve"> 34.2758 </t>
  </si>
  <si>
    <t xml:space="preserve">C:\Users\andre\Desktop\REACTIV CEFAS\Anastrozole\Anastrozole/20201125_Cefas_Test7_Run2/Plate 1/@13/F8_03.tif </t>
  </si>
  <si>
    <t xml:space="preserve"> 13951.282 </t>
  </si>
  <si>
    <t xml:space="preserve"> 34.1411 </t>
  </si>
  <si>
    <t xml:space="preserve">C:\Users\andre\Desktop\REACTIV CEFAS\Anastrozole\Anastrozole/20201125_Cefas_Test7_Run2/Plate 1/@13/G8_01.tif </t>
  </si>
  <si>
    <t xml:space="preserve"> 30.931 </t>
  </si>
  <si>
    <t xml:space="preserve">C:\Users\andre\Desktop\REACTIV CEFAS\Anastrozole\Anastrozole/20201125_Cefas_Test7_Run2/Plate 1/@13/G8_02.tif </t>
  </si>
  <si>
    <t xml:space="preserve"> 2184.6194 </t>
  </si>
  <si>
    <t xml:space="preserve"> 33.2475 </t>
  </si>
  <si>
    <t xml:space="preserve">C:\Users\andre\Desktop\REACTIV CEFAS\Anastrozole\Anastrozole/20201125_Cefas_Test7_Run2/Plate 1/@13/G8_03.tif </t>
  </si>
  <si>
    <t xml:space="preserve"> 34.3542 </t>
  </si>
  <si>
    <t xml:space="preserve">C:\Users\andre\Desktop\REACTIV CEFAS\Anastrozole\Anastrozole/20201125_Cefas_Test7_Run2/Plate 1/@13/H8_01.tif </t>
  </si>
  <si>
    <t xml:space="preserve"> 40209.9741 </t>
  </si>
  <si>
    <t xml:space="preserve"> 40.1372 </t>
  </si>
  <si>
    <t xml:space="preserve">C:\Users\andre\Desktop\REACTIV CEFAS\Anastrozole\Anastrozole/20201125_Cefas_Test7_Run2/Plate 1/@13/H8_02.tif </t>
  </si>
  <si>
    <t xml:space="preserve"> 39604.3371 </t>
  </si>
  <si>
    <t xml:space="preserve"> 39.7739 </t>
  </si>
  <si>
    <t xml:space="preserve">C:\Users\andre\Desktop\REACTIV CEFAS\Anastrozole\Anastrozole/20201125_Cefas_Test7_Run2/Plate 1/@13/H8_03.tif </t>
  </si>
  <si>
    <t xml:space="preserve"> 34845.7602 </t>
  </si>
  <si>
    <t xml:space="preserve"> 39.7381 </t>
  </si>
  <si>
    <t xml:space="preserve">C:\Users\andre\Desktop\REACTIV CEFAS\Anastrozole\Anastrozole/20201125_Cefas_Test7_Run2/Plate 1/@13/ </t>
  </si>
  <si>
    <t xml:space="preserve"> 37.4447 </t>
  </si>
  <si>
    <t xml:space="preserve"> 4.1161 </t>
  </si>
  <si>
    <t xml:space="preserve"> 1102193.75 </t>
  </si>
  <si>
    <t xml:space="preserve"> 760495.783 </t>
  </si>
  <si>
    <t xml:space="preserve">C:\Users\andre\Desktop\REACTIV CEFAS\Anastrozole\Anastrozole/20201125_Cefas_Test7_Run2/Plate 1/@14/A9_01.tif </t>
  </si>
  <si>
    <t xml:space="preserve"> 454.2278 </t>
  </si>
  <si>
    <t xml:space="preserve"> 33.0952 </t>
  </si>
  <si>
    <t xml:space="preserve">C:\Users\andre\Desktop\REACTIV CEFAS\Anastrozole\Anastrozole/20201125_Cefas_Test7_Run2/Plate 1/@14/A9_02.tif </t>
  </si>
  <si>
    <t xml:space="preserve"> 3785.2316 </t>
  </si>
  <si>
    <t xml:space="preserve"> 33.04 </t>
  </si>
  <si>
    <t>C:\Users\andre\Desktop\REACTIV CEFAS\Anastrozole\Anastrozole/20201125_Cefas_Test7_Run2/Plate 1/@14/A9_03- exclu.tif</t>
  </si>
  <si>
    <t xml:space="preserve">C:\Users\andre\Desktop\REACTIV CEFAS\Anastrozole\Anastrozole/20201125_Cefas_Test7_Run2/Plate 1/@14/B9_01.tif </t>
  </si>
  <si>
    <t xml:space="preserve"> 18666.5991 </t>
  </si>
  <si>
    <t xml:space="preserve"> 34.7671 </t>
  </si>
  <si>
    <t xml:space="preserve">C:\Users\andre\Desktop\REACTIV CEFAS\Anastrozole\Anastrozole/20201125_Cefas_Test7_Run2/Plate 1/@14/B9_02.tif </t>
  </si>
  <si>
    <t xml:space="preserve"> 16633.389 </t>
  </si>
  <si>
    <t xml:space="preserve"> 34.7321 </t>
  </si>
  <si>
    <t xml:space="preserve">C:\Users\andre\Desktop\REACTIV CEFAS\Anastrozole\Anastrozole/20201125_Cefas_Test7_Run2/Plate 1/@14/B9_03.tif </t>
  </si>
  <si>
    <t xml:space="preserve"> 8673.5877 </t>
  </si>
  <si>
    <t xml:space="preserve"> 34.606 </t>
  </si>
  <si>
    <t xml:space="preserve">C:\Users\andre\Desktop\REACTIV CEFAS\Anastrozole\Anastrozole/20201125_Cefas_Test7_Run2/Plate 1/@14/C9_01.tif </t>
  </si>
  <si>
    <t xml:space="preserve"> 30130.4432 </t>
  </si>
  <si>
    <t xml:space="preserve"> 36.9655 </t>
  </si>
  <si>
    <t xml:space="preserve">C:\Users\andre\Desktop\REACTIV CEFAS\Anastrozole\Anastrozole/20201125_Cefas_Test7_Run2/Plate 1/@14/C9_02.tif </t>
  </si>
  <si>
    <t xml:space="preserve"> 23381.9161 </t>
  </si>
  <si>
    <t xml:space="preserve"> 35.5791 </t>
  </si>
  <si>
    <t xml:space="preserve">C:\Users\andre\Desktop\REACTIV CEFAS\Anastrozole\Anastrozole/20201125_Cefas_Test7_Run2/Plate 1/@14/C9_03.tif </t>
  </si>
  <si>
    <t xml:space="preserve"> 36.1 </t>
  </si>
  <si>
    <t xml:space="preserve">C:\Users\andre\Desktop\REACTIV CEFAS\Anastrozole\Anastrozole/20201125_Cefas_Test7_Run2/Plate 1/@14/D9_01.tif </t>
  </si>
  <si>
    <t xml:space="preserve"> 30563.0411 </t>
  </si>
  <si>
    <t xml:space="preserve"> 36.6362 </t>
  </si>
  <si>
    <t xml:space="preserve">C:\Users\andre\Desktop\REACTIV CEFAS\Anastrozole\Anastrozole/20201125_Cefas_Test7_Run2/Plate 1/@14/D9_02.tif </t>
  </si>
  <si>
    <t xml:space="preserve"> 30476.5215 </t>
  </si>
  <si>
    <t xml:space="preserve"> 40.401 </t>
  </si>
  <si>
    <t>C:\Users\andre\Desktop\REACTIV CEFAS\Anastrozole\Anastrozole/20201125_Cefas_Test7_Run2/Plate 1/@14/D9_03- exclu.tif</t>
  </si>
  <si>
    <t xml:space="preserve">C:\Users\andre\Desktop\REACTIV CEFAS\Anastrozole\Anastrozole/20201125_Cefas_Test7_Run2/Plate 1/@14/E9_01.tif </t>
  </si>
  <si>
    <t xml:space="preserve"> 52019.8966 </t>
  </si>
  <si>
    <t xml:space="preserve"> 39.4316 </t>
  </si>
  <si>
    <t xml:space="preserve">C:\Users\andre\Desktop\REACTIV CEFAS\Anastrozole\Anastrozole/20201125_Cefas_Test7_Run2/Plate 1/@14/E9_02.tif </t>
  </si>
  <si>
    <t xml:space="preserve"> 52928.3522 </t>
  </si>
  <si>
    <t xml:space="preserve"> 37.6984 </t>
  </si>
  <si>
    <t xml:space="preserve">C:\Users\andre\Desktop\REACTIV CEFAS\Anastrozole\Anastrozole/20201125_Cefas_Test7_Run2/Plate 1/@14/E9_03.tif </t>
  </si>
  <si>
    <t xml:space="preserve"> 40.2029 </t>
  </si>
  <si>
    <t>C:\Users\andre\Desktop\REACTIV CEFAS\Anastrozole\Anastrozole/20201125_Cefas_Test7_Run2/Plate 1/@14/F9_01- exclu.tif</t>
  </si>
  <si>
    <t>C:\Users\andre\Desktop\REACTIV CEFAS\Anastrozole\Anastrozole/20201125_Cefas_Test7_Run2/Plate 1/@14/F9_02- exclu.tif</t>
  </si>
  <si>
    <t>C:\Users\andre\Desktop\REACTIV CEFAS\Anastrozole\Anastrozole/20201125_Cefas_Test7_Run2/Plate 1/@14/F9_03- exclu.tif</t>
  </si>
  <si>
    <t xml:space="preserve">C:\Users\andre\Desktop\REACTIV CEFAS\Anastrozole\Anastrozole/20201125_Cefas_Test7_Run2/Plate 1/@14/G9_01.tif </t>
  </si>
  <si>
    <t xml:space="preserve"> 40318.1236 </t>
  </si>
  <si>
    <t xml:space="preserve"> 36.3256 </t>
  </si>
  <si>
    <t xml:space="preserve">C:\Users\andre\Desktop\REACTIV CEFAS\Anastrozole\Anastrozole/20201125_Cefas_Test7_Run2/Plate 1/@14/G9_02.tif </t>
  </si>
  <si>
    <t xml:space="preserve"> 46006.7859 </t>
  </si>
  <si>
    <t xml:space="preserve"> 36.4725 </t>
  </si>
  <si>
    <t xml:space="preserve">C:\Users\andre\Desktop\REACTIV CEFAS\Anastrozole\Anastrozole/20201125_Cefas_Test7_Run2/Plate 1/@14/G9_03.tif </t>
  </si>
  <si>
    <t xml:space="preserve"> 43605.8676 </t>
  </si>
  <si>
    <t xml:space="preserve"> 35.5154 </t>
  </si>
  <si>
    <t xml:space="preserve">C:\Users\andre\Desktop\REACTIV CEFAS\Anastrozole\Anastrozole/20201125_Cefas_Test7_Run2/Plate 1/@14/H9_01.tif </t>
  </si>
  <si>
    <t xml:space="preserve"> 20050.9123 </t>
  </si>
  <si>
    <t xml:space="preserve"> 33.7789 </t>
  </si>
  <si>
    <t xml:space="preserve">C:\Users\andre\Desktop\REACTIV CEFAS\Anastrozole\Anastrozole/20201125_Cefas_Test7_Run2/Plate 1/@14/H9_02.tif </t>
  </si>
  <si>
    <t xml:space="preserve"> 13843.1326 </t>
  </si>
  <si>
    <t xml:space="preserve"> 35.4922 </t>
  </si>
  <si>
    <t xml:space="preserve">C:\Users\andre\Desktop\REACTIV CEFAS\Anastrozole\Anastrozole/20201125_Cefas_Test7_Run2/Plate 1/@14/H9_03.tif </t>
  </si>
  <si>
    <t xml:space="preserve"> 12199.2606 </t>
  </si>
  <si>
    <t xml:space="preserve"> 33.3812 </t>
  </si>
  <si>
    <t xml:space="preserve">C:\Users\andre\Desktop\REACTIV CEFAS\Anastrozole\Anastrozole/20201125_Cefas_Test7_Run2/Plate 1/@14/ </t>
  </si>
  <si>
    <t xml:space="preserve"> 29.7975 </t>
  </si>
  <si>
    <t xml:space="preserve"> 13.7913 </t>
  </si>
  <si>
    <t xml:space="preserve"> 797770.042 </t>
  </si>
  <si>
    <t xml:space="preserve"> 694203.93 </t>
  </si>
  <si>
    <t>C:\Users\andre\Desktop\REACTIV CEFAS\Anastrozole\Anastrozole/20201125_Cefas_Test7_Run2/Plate 1/@15/A11_01- exclu.tif</t>
  </si>
  <si>
    <t>C:\Users\andre\Desktop\REACTIV CEFAS\Anastrozole\Anastrozole/20201125_Cefas_Test7_Run2/Plate 1/@15/A11_02- exclu.tif</t>
  </si>
  <si>
    <t>C:\Users\andre\Desktop\REACTIV CEFAS\Anastrozole\Anastrozole/20201125_Cefas_Test7_Run2/Plate 1/@15/A11_03- exclu.tif</t>
  </si>
  <si>
    <t xml:space="preserve">C:\Users\andre\Desktop\REACTIV CEFAS\Anastrozole\Anastrozole/20201125_Cefas_Test7_Run2/Plate 1/@15/B11_01.tif </t>
  </si>
  <si>
    <t xml:space="preserve"> 64413.8262 </t>
  </si>
  <si>
    <t xml:space="preserve"> 49.4389 </t>
  </si>
  <si>
    <t>C:\Users\andre\Desktop\REACTIV CEFAS\Anastrozole\Anastrozole/20201125_Cefas_Test7_Run2/Plate 1/@15/B11_02- exclu.tif</t>
  </si>
  <si>
    <t>C:\Users\andre\Desktop\REACTIV CEFAS\Anastrozole\Anastrozole/20201125_Cefas_Test7_Run2/Plate 1/@15/B11_03- exclu.tif</t>
  </si>
  <si>
    <t xml:space="preserve">C:\Users\andre\Desktop\REACTIV CEFAS\Anastrozole\Anastrozole/20201125_Cefas_Test7_Run2/Plate 1/@15/C11_01.tif </t>
  </si>
  <si>
    <t xml:space="preserve"> 23317.0264 </t>
  </si>
  <si>
    <t xml:space="preserve"> 46.2727 </t>
  </si>
  <si>
    <t xml:space="preserve">C:\Users\andre\Desktop\REACTIV CEFAS\Anastrozole\Anastrozole/20201125_Cefas_Test7_Run2/Plate 1/@15/C11_02.tif </t>
  </si>
  <si>
    <t xml:space="preserve"> 20505.1401 </t>
  </si>
  <si>
    <t xml:space="preserve"> 45.8914 </t>
  </si>
  <si>
    <t xml:space="preserve">C:\Users\andre\Desktop\REACTIV CEFAS\Anastrozole\Anastrozole/20201125_Cefas_Test7_Run2/Plate 1/@15/C11_03.tif </t>
  </si>
  <si>
    <t xml:space="preserve"> 16806.4281 </t>
  </si>
  <si>
    <t xml:space="preserve"> 46.3668 </t>
  </si>
  <si>
    <t xml:space="preserve">C:\Users\andre\Desktop\REACTIV CEFAS\Anastrozole\Anastrozole/20201125_Cefas_Test7_Run2/Plate 1/@15/D11_01.tif </t>
  </si>
  <si>
    <t xml:space="preserve"> 88617.6783 </t>
  </si>
  <si>
    <t xml:space="preserve"> 47.8584 </t>
  </si>
  <si>
    <t xml:space="preserve">C:\Users\andre\Desktop\REACTIV CEFAS\Anastrozole\Anastrozole/20201125_Cefas_Test7_Run2/Plate 1/@15/D11_02.tif </t>
  </si>
  <si>
    <t xml:space="preserve"> 86757.5074 </t>
  </si>
  <si>
    <t xml:space="preserve"> 51.1149 </t>
  </si>
  <si>
    <t xml:space="preserve">C:\Users\andre\Desktop\REACTIV CEFAS\Anastrozole\Anastrozole/20201125_Cefas_Test7_Run2/Plate 1/@15/D11_03.tif </t>
  </si>
  <si>
    <t xml:space="preserve"> 83686.0623 </t>
  </si>
  <si>
    <t xml:space="preserve"> 47.5348 </t>
  </si>
  <si>
    <t xml:space="preserve">C:\Users\andre\Desktop\REACTIV CEFAS\Anastrozole\Anastrozole/20201125_Cefas_Test7_Run2/Plate 1/@15/E11_01.tif </t>
  </si>
  <si>
    <t xml:space="preserve"> 60044.5875 </t>
  </si>
  <si>
    <t xml:space="preserve"> 43.4143 </t>
  </si>
  <si>
    <t xml:space="preserve">C:\Users\andre\Desktop\REACTIV CEFAS\Anastrozole\Anastrozole/20201125_Cefas_Test7_Run2/Plate 1/@15/E11_02.tif </t>
  </si>
  <si>
    <t xml:space="preserve"> 63116.0325 </t>
  </si>
  <si>
    <t xml:space="preserve"> 46.9469 </t>
  </si>
  <si>
    <t xml:space="preserve">C:\Users\andre\Desktop\REACTIV CEFAS\Anastrozole\Anastrozole/20201125_Cefas_Test7_Run2/Plate 1/@15/E11_03.tif </t>
  </si>
  <si>
    <t xml:space="preserve"> 63591.8902 </t>
  </si>
  <si>
    <t xml:space="preserve"> 45.9776 </t>
  </si>
  <si>
    <t xml:space="preserve">C:\Users\andre\Desktop\REACTIV CEFAS\Anastrozole\Anastrozole/20201125_Cefas_Test7_Run2/Plate 1/@15/F11_01.tif </t>
  </si>
  <si>
    <t xml:space="preserve"> 81263.5141 </t>
  </si>
  <si>
    <t xml:space="preserve"> 54.4913 </t>
  </si>
  <si>
    <t xml:space="preserve">C:\Users\andre\Desktop\REACTIV CEFAS\Anastrozole\Anastrozole/20201125_Cefas_Test7_Run2/Plate 1/@15/F11_02.tif </t>
  </si>
  <si>
    <t xml:space="preserve"> 54.8802 </t>
  </si>
  <si>
    <t xml:space="preserve">C:\Users\andre\Desktop\REACTIV CEFAS\Anastrozole\Anastrozole/20201125_Cefas_Test7_Run2/Plate 1/@15/F11_03.tif </t>
  </si>
  <si>
    <t xml:space="preserve"> 76894.2754 </t>
  </si>
  <si>
    <t xml:space="preserve"> 51.2515 </t>
  </si>
  <si>
    <t xml:space="preserve">C:\Users\andre\Desktop\REACTIV CEFAS\Anastrozole\Anastrozole/20201125_Cefas_Test7_Run2/Plate 1/@15/G11_01.tif </t>
  </si>
  <si>
    <t xml:space="preserve"> 60239.2565 </t>
  </si>
  <si>
    <t xml:space="preserve"> 52.4977 </t>
  </si>
  <si>
    <t xml:space="preserve">C:\Users\andre\Desktop\REACTIV CEFAS\Anastrozole\Anastrozole/20201125_Cefas_Test7_Run2/Plate 1/@15/G11_02.tif </t>
  </si>
  <si>
    <t xml:space="preserve"> 57167.8115 </t>
  </si>
  <si>
    <t xml:space="preserve"> 48.4268 </t>
  </si>
  <si>
    <t xml:space="preserve">C:\Users\andre\Desktop\REACTIV CEFAS\Anastrozole\Anastrozole/20201125_Cefas_Test7_Run2/Plate 1/@15/G11_03.tif </t>
  </si>
  <si>
    <t xml:space="preserve"> 51.5471 </t>
  </si>
  <si>
    <t xml:space="preserve">C:\Users\andre\Desktop\REACTIV CEFAS\Anastrozole\Anastrozole/20201125_Cefas_Test7_Run2/Plate 1/@15/H11_01.tif </t>
  </si>
  <si>
    <t xml:space="preserve"> 53988.217 </t>
  </si>
  <si>
    <t xml:space="preserve"> 52.3922 </t>
  </si>
  <si>
    <t xml:space="preserve">C:\Users\andre\Desktop\REACTIV CEFAS\Anastrozole\Anastrozole/20201125_Cefas_Test7_Run2/Plate 1/@15/H11_02.tif </t>
  </si>
  <si>
    <t xml:space="preserve"> 53166.281 </t>
  </si>
  <si>
    <t xml:space="preserve"> 55.2823 </t>
  </si>
  <si>
    <t xml:space="preserve">C:\Users\andre\Desktop\REACTIV CEFAS\Anastrozole\Anastrozole/20201125_Cefas_Test7_Run2/Plate 1/@15/H11_03.tif </t>
  </si>
  <si>
    <t xml:space="preserve"> 49489.1989 </t>
  </si>
  <si>
    <t xml:space="preserve"> 52.1075 </t>
  </si>
  <si>
    <t xml:space="preserve">C:\Users\andre\Desktop\REACTIV CEFAS\Anastrozole\Anastrozole/20201125_Cefas_Test7_Run2/Plate 1/@15/ </t>
  </si>
  <si>
    <t xml:space="preserve"> 50.417 </t>
  </si>
  <si>
    <t xml:space="preserve"> 4.0759 </t>
  </si>
  <si>
    <t xml:space="preserve"> 3003694.75 </t>
  </si>
  <si>
    <t xml:space="preserve"> 1073057.3 </t>
  </si>
  <si>
    <t>C:\Users\andre\Desktop\REACTIV CEFAS\Anastrozole\Anastrozole/20201125_Cefas_Test7_Run2/Plate 1/@16/A12_01- exclu.tif</t>
  </si>
  <si>
    <t>C:\Users\andre\Desktop\REACTIV CEFAS\Anastrozole\Anastrozole/20201125_Cefas_Test7_Run2/Plate 1/@16/A12_02- exclu.tif</t>
  </si>
  <si>
    <t>C:\Users\andre\Desktop\REACTIV CEFAS\Anastrozole\Anastrozole/20201125_Cefas_Test7_Run2/Plate 1/@16/A12_03- exclu.tif</t>
  </si>
  <si>
    <t xml:space="preserve">C:\Users\andre\Desktop\REACTIV CEFAS\Anastrozole\Anastrozole/20201125_Cefas_Test7_Run2/Plate 1/@16/B12_01.tif </t>
  </si>
  <si>
    <t xml:space="preserve"> 33.16 </t>
  </si>
  <si>
    <t xml:space="preserve">C:\Users\andre\Desktop\REACTIV CEFAS\Anastrozole\Anastrozole/20201125_Cefas_Test7_Run2/Plate 1/@16/B12_02.tif </t>
  </si>
  <si>
    <t xml:space="preserve">C:\Users\andre\Desktop\REACTIV CEFAS\Anastrozole\Anastrozole/20201125_Cefas_Test7_Run2/Plate 1/@16/B12_03.tif </t>
  </si>
  <si>
    <t xml:space="preserve"> 34.3364 </t>
  </si>
  <si>
    <t xml:space="preserve">C:\Users\andre\Desktop\REACTIV CEFAS\Anastrozole\Anastrozole/20201125_Cefas_Test7_Run2/Plate 1/@16/C12_01.tif </t>
  </si>
  <si>
    <t xml:space="preserve"> 33.9041 </t>
  </si>
  <si>
    <t xml:space="preserve">C:\Users\andre\Desktop\REACTIV CEFAS\Anastrozole\Anastrozole/20201125_Cefas_Test7_Run2/Plate 1/@16/C12_02.tif </t>
  </si>
  <si>
    <t xml:space="preserve"> 32.3053 </t>
  </si>
  <si>
    <t xml:space="preserve">C:\Users\andre\Desktop\REACTIV CEFAS\Anastrozole\Anastrozole/20201125_Cefas_Test7_Run2/Plate 1/@16/C12_03.tif </t>
  </si>
  <si>
    <t xml:space="preserve"> 34.9887 </t>
  </si>
  <si>
    <t xml:space="preserve">C:\Users\andre\Desktop\REACTIV CEFAS\Anastrozole\Anastrozole/20201125_Cefas_Test7_Run2/Plate 1/@16/D12_01.tif </t>
  </si>
  <si>
    <t xml:space="preserve"> 42.1862 </t>
  </si>
  <si>
    <t xml:space="preserve">C:\Users\andre\Desktop\REACTIV CEFAS\Anastrozole\Anastrozole/20201125_Cefas_Test7_Run2/Plate 1/@16/D12_02.tif </t>
  </si>
  <si>
    <t xml:space="preserve"> 42.4726 </t>
  </si>
  <si>
    <t xml:space="preserve">C:\Users\andre\Desktop\REACTIV CEFAS\Anastrozole\Anastrozole/20201125_Cefas_Test7_Run2/Plate 1/@16/D12_03.tif </t>
  </si>
  <si>
    <t xml:space="preserve"> 40.5765 </t>
  </si>
  <si>
    <t xml:space="preserve">C:\Users\andre\Desktop\REACTIV CEFAS\Anastrozole\Anastrozole/20201125_Cefas_Test7_Run2/Plate 1/@16/E12_01.tif </t>
  </si>
  <si>
    <t xml:space="preserve"> 34.4031 </t>
  </si>
  <si>
    <t xml:space="preserve">C:\Users\andre\Desktop\REACTIV CEFAS\Anastrozole\Anastrozole/20201125_Cefas_Test7_Run2/Plate 1/@16/E12_02.tif </t>
  </si>
  <si>
    <t xml:space="preserve">C:\Users\andre\Desktop\REACTIV CEFAS\Anastrozole\Anastrozole/20201125_Cefas_Test7_Run2/Plate 1/@16/E12_03.tif </t>
  </si>
  <si>
    <t xml:space="preserve"> 1124.7545 </t>
  </si>
  <si>
    <t xml:space="preserve"> 34.1538 </t>
  </si>
  <si>
    <t xml:space="preserve">C:\Users\andre\Desktop\REACTIV CEFAS\Anastrozole\Anastrozole/20201125_Cefas_Test7_Run2/Plate 1/@16/F12_01.tif </t>
  </si>
  <si>
    <t xml:space="preserve"> 10403.9793 </t>
  </si>
  <si>
    <t xml:space="preserve"> 45.7214 </t>
  </si>
  <si>
    <t xml:space="preserve">C:\Users\andre\Desktop\REACTIV CEFAS\Anastrozole\Anastrozole/20201125_Cefas_Test7_Run2/Plate 1/@16/F12_02.tif </t>
  </si>
  <si>
    <t xml:space="preserve"> 47.9153 </t>
  </si>
  <si>
    <t xml:space="preserve">C:\Users\andre\Desktop\REACTIV CEFAS\Anastrozole\Anastrozole/20201125_Cefas_Test7_Run2/Plate 1/@16/F12_03.tif </t>
  </si>
  <si>
    <t xml:space="preserve"> 7029.7158 </t>
  </si>
  <si>
    <t xml:space="preserve"> 39.1723 </t>
  </si>
  <si>
    <t xml:space="preserve">C:\Users\andre\Desktop\REACTIV CEFAS\Anastrozole\Anastrozole/20201125_Cefas_Test7_Run2/Plate 1/@16/G12_01.tif </t>
  </si>
  <si>
    <t xml:space="preserve"> 4563.9078 </t>
  </si>
  <si>
    <t xml:space="preserve"> 39.436 </t>
  </si>
  <si>
    <t xml:space="preserve">C:\Users\andre\Desktop\REACTIV CEFAS\Anastrozole\Anastrozole/20201125_Cefas_Test7_Run2/Plate 1/@16/G12_02.tif </t>
  </si>
  <si>
    <t xml:space="preserve"> 39.8873 </t>
  </si>
  <si>
    <t xml:space="preserve">C:\Users\andre\Desktop\REACTIV CEFAS\Anastrozole\Anastrozole/20201125_Cefas_Test7_Run2/Plate 1/@16/G12_03.tif </t>
  </si>
  <si>
    <t xml:space="preserve"> 1297.7937 </t>
  </si>
  <si>
    <t xml:space="preserve"> 33.1833 </t>
  </si>
  <si>
    <t xml:space="preserve">C:\Users\andre\Desktop\REACTIV CEFAS\Anastrozole\Anastrozole/20201125_Cefas_Test7_Run2/Plate 1/@16/H12_01.tif </t>
  </si>
  <si>
    <t xml:space="preserve"> 32.4959 </t>
  </si>
  <si>
    <t xml:space="preserve">C:\Users\andre\Desktop\REACTIV CEFAS\Anastrozole\Anastrozole/20201125_Cefas_Test7_Run2/Plate 1/@16/H12_02.tif </t>
  </si>
  <si>
    <t xml:space="preserve">C:\Users\andre\Desktop\REACTIV CEFAS\Anastrozole\Anastrozole/20201125_Cefas_Test7_Run2/Plate 1/@16/H12_03.tif </t>
  </si>
  <si>
    <t xml:space="preserve"> 38.1916 </t>
  </si>
  <si>
    <t xml:space="preserve">C:\Users\andre\Desktop\REACTIV CEFAS\Anastrozole\Anastrozole/20201125_Cefas_Test7_Run2/Plate 1/@16/ </t>
  </si>
  <si>
    <t xml:space="preserve"> 35.4494 </t>
  </si>
  <si>
    <t xml:space="preserve"> 12.0859 </t>
  </si>
  <si>
    <t xml:space="preserve"> 245550.667 </t>
  </si>
  <si>
    <t xml:space="preserve"> 237990.303 </t>
  </si>
  <si>
    <t>C:\Users\andre\Desktop\REACTIV CEFAS\Anastrozole\Anastrozole/20201125_Cefas_Test7_Run2/Plate 1/@2/A2_01- exclu.tif</t>
  </si>
  <si>
    <t>C:\Users\andre\Desktop\REACTIV CEFAS\Anastrozole\Anastrozole/20201125_Cefas_Test7_Run2/Plate 1/@2/A2_02- exclu.tif</t>
  </si>
  <si>
    <t>C:\Users\andre\Desktop\REACTIV CEFAS\Anastrozole\Anastrozole/20201125_Cefas_Test7_Run2/Plate 1/@2/A2_03- exclu.tif</t>
  </si>
  <si>
    <t xml:space="preserve">C:\Users\andre\Desktop\REACTIV CEFAS\Anastrozole\Anastrozole/20201125_Cefas_Test7_Run2/Plate 1/@2/B2_01.tif </t>
  </si>
  <si>
    <t xml:space="preserve"> 30.4 </t>
  </si>
  <si>
    <t xml:space="preserve">C:\Users\andre\Desktop\REACTIV CEFAS\Anastrozole\Anastrozole/20201125_Cefas_Test7_Run2/Plate 1/@2/B2_02.tif </t>
  </si>
  <si>
    <t xml:space="preserve">C:\Users\andre\Desktop\REACTIV CEFAS\Anastrozole\Anastrozole/20201125_Cefas_Test7_Run2/Plate 1/@2/B2_03.tif </t>
  </si>
  <si>
    <t xml:space="preserve"> 3482.413 </t>
  </si>
  <si>
    <t xml:space="preserve"> 33.3975 </t>
  </si>
  <si>
    <t>C:\Users\andre\Desktop\REACTIV CEFAS\Anastrozole\Anastrozole/20201125_Cefas_Test7_Run2/Plate 1/@2/C2_01- exclu.tif</t>
  </si>
  <si>
    <t xml:space="preserve">C:\Users\andre\Desktop\REACTIV CEFAS\Anastrozole\Anastrozole/20201125_Cefas_Test7_Run2/Plate 1/@2/C2_02.tif </t>
  </si>
  <si>
    <t xml:space="preserve"> 12177.6307 </t>
  </si>
  <si>
    <t xml:space="preserve"> 36.4281 </t>
  </si>
  <si>
    <t xml:space="preserve">C:\Users\andre\Desktop\REACTIV CEFAS\Anastrozole\Anastrozole/20201125_Cefas_Test7_Run2/Plate 1/@2/C2_03.tif </t>
  </si>
  <si>
    <t xml:space="preserve"> 33.1049 </t>
  </si>
  <si>
    <t xml:space="preserve">C:\Users\andre\Desktop\REACTIV CEFAS\Anastrozole\Anastrozole/20201125_Cefas_Test7_Run2/Plate 1/@2/D2_01.tif </t>
  </si>
  <si>
    <t xml:space="preserve"> 31.8636 </t>
  </si>
  <si>
    <t xml:space="preserve">C:\Users\andre\Desktop\REACTIV CEFAS\Anastrozole\Anastrozole/20201125_Cefas_Test7_Run2/Plate 1/@2/D2_02.tif </t>
  </si>
  <si>
    <t xml:space="preserve"> 562.3773 </t>
  </si>
  <si>
    <t xml:space="preserve"> 31.8846 </t>
  </si>
  <si>
    <t xml:space="preserve">C:\Users\andre\Desktop\REACTIV CEFAS\Anastrozole\Anastrozole/20201125_Cefas_Test7_Run2/Plate 1/@2/D2_03.tif </t>
  </si>
  <si>
    <t xml:space="preserve"> 35.5 </t>
  </si>
  <si>
    <t xml:space="preserve">C:\Users\andre\Desktop\REACTIV CEFAS\Anastrozole\Anastrozole/20201125_Cefas_Test7_Run2/Plate 1/@2/E2_01.tif </t>
  </si>
  <si>
    <t xml:space="preserve"> 757.0463 </t>
  </si>
  <si>
    <t xml:space="preserve"> 33.5429 </t>
  </si>
  <si>
    <t xml:space="preserve">C:\Users\andre\Desktop\REACTIV CEFAS\Anastrozole\Anastrozole/20201125_Cefas_Test7_Run2/Plate 1/@2/E2_02.tif </t>
  </si>
  <si>
    <t xml:space="preserve"> 35.1321 </t>
  </si>
  <si>
    <t xml:space="preserve">C:\Users\andre\Desktop\REACTIV CEFAS\Anastrozole\Anastrozole/20201125_Cefas_Test7_Run2/Plate 1/@2/E2_03.tif </t>
  </si>
  <si>
    <t xml:space="preserve"> 1643.872 </t>
  </si>
  <si>
    <t xml:space="preserve"> 34.0263 </t>
  </si>
  <si>
    <t xml:space="preserve">C:\Users\andre\Desktop\REACTIV CEFAS\Anastrozole\Anastrozole/20201125_Cefas_Test7_Run2/Plate 1/@2/F2_01.tif </t>
  </si>
  <si>
    <t xml:space="preserve"> 16027.7519 </t>
  </si>
  <si>
    <t xml:space="preserve"> 44.4224 </t>
  </si>
  <si>
    <t xml:space="preserve">C:\Users\andre\Desktop\REACTIV CEFAS\Anastrozole\Anastrozole/20201125_Cefas_Test7_Run2/Plate 1/@2/F2_02.tif </t>
  </si>
  <si>
    <t xml:space="preserve"> 14145.9511 </t>
  </si>
  <si>
    <t xml:space="preserve"> 41.3135 </t>
  </si>
  <si>
    <t xml:space="preserve">C:\Users\andre\Desktop\REACTIV CEFAS\Anastrozole\Anastrozole/20201125_Cefas_Test7_Run2/Plate 1/@2/F2_03.tif </t>
  </si>
  <si>
    <t xml:space="preserve"> 9582.0433 </t>
  </si>
  <si>
    <t xml:space="preserve"> 39.4673 </t>
  </si>
  <si>
    <t xml:space="preserve">C:\Users\andre\Desktop\REACTIV CEFAS\Anastrozole\Anastrozole/20201125_Cefas_Test7_Run2/Plate 1/@2/G2_01.tif </t>
  </si>
  <si>
    <t xml:space="preserve"> 6337.5591 </t>
  </si>
  <si>
    <t xml:space="preserve"> 36.5563 </t>
  </si>
  <si>
    <t xml:space="preserve">C:\Users\andre\Desktop\REACTIV CEFAS\Anastrozole\Anastrozole/20201125_Cefas_Test7_Run2/Plate 1/@2/G2_02.tif </t>
  </si>
  <si>
    <t xml:space="preserve">C:\Users\andre\Desktop\REACTIV CEFAS\Anastrozole\Anastrozole/20201125_Cefas_Test7_Run2/Plate 1/@2/G2_03.tif </t>
  </si>
  <si>
    <t xml:space="preserve"> 12869.7873 </t>
  </si>
  <si>
    <t xml:space="preserve"> 42.916 </t>
  </si>
  <si>
    <t xml:space="preserve">C:\Users\andre\Desktop\REACTIV CEFAS\Anastrozole\Anastrozole/20201125_Cefas_Test7_Run2/Plate 1/@2/H2_01.tif </t>
  </si>
  <si>
    <t xml:space="preserve"> 1925.0606 </t>
  </si>
  <si>
    <t xml:space="preserve"> 34.1124 </t>
  </si>
  <si>
    <t xml:space="preserve">C:\Users\andre\Desktop\REACTIV CEFAS\Anastrozole\Anastrozole/20201125_Cefas_Test7_Run2/Plate 1/@2/H2_02.tif </t>
  </si>
  <si>
    <t xml:space="preserve"> 3741.9718 </t>
  </si>
  <si>
    <t xml:space="preserve"> 38.3526 </t>
  </si>
  <si>
    <t xml:space="preserve">C:\Users\andre\Desktop\REACTIV CEFAS\Anastrozole\Anastrozole/20201125_Cefas_Test7_Run2/Plate 1/@2/H2_03.tif </t>
  </si>
  <si>
    <t xml:space="preserve"> 31.4 </t>
  </si>
  <si>
    <t xml:space="preserve">C:\Users\andre\Desktop\REACTIV CEFAS\Anastrozole\Anastrozole/20201125_Cefas_Test7_Run2/Plate 1/@2/ </t>
  </si>
  <si>
    <t xml:space="preserve"> 34.9813 </t>
  </si>
  <si>
    <t xml:space="preserve"> 3.7881 </t>
  </si>
  <si>
    <t xml:space="preserve"> 176882.958 </t>
  </si>
  <si>
    <t xml:space="preserve"> 205798.906 </t>
  </si>
  <si>
    <t xml:space="preserve">C:\Users\andre\Desktop\REACTIV CEFAS\Anastrozole\Anastrozole/20201125_Cefas_Test7_Run2/Plate 1/@3/A3_01.tif </t>
  </si>
  <si>
    <t xml:space="preserve"> 32.9118 </t>
  </si>
  <si>
    <t xml:space="preserve">C:\Users\andre\Desktop\REACTIV CEFAS\Anastrozole\Anastrozole/20201125_Cefas_Test7_Run2/Plate 1/@3/A3_02.tif </t>
  </si>
  <si>
    <t xml:space="preserve"> 33.1348 </t>
  </si>
  <si>
    <t xml:space="preserve">C:\Users\andre\Desktop\REACTIV CEFAS\Anastrozole\Anastrozole/20201125_Cefas_Test7_Run2/Plate 1/@3/A3_03.tif </t>
  </si>
  <si>
    <t xml:space="preserve"> 324.4484 </t>
  </si>
  <si>
    <t xml:space="preserve"> 33.3333 </t>
  </si>
  <si>
    <t xml:space="preserve">C:\Users\andre\Desktop\REACTIV CEFAS\Anastrozole\Anastrozole/20201125_Cefas_Test7_Run2/Plate 1/@3/B3_01.tif </t>
  </si>
  <si>
    <t xml:space="preserve"> 34.8065 </t>
  </si>
  <si>
    <t xml:space="preserve">C:\Users\andre\Desktop\REACTIV CEFAS\Anastrozole\Anastrozole/20201125_Cefas_Test7_Run2/Plate 1/@3/B3_02.tif </t>
  </si>
  <si>
    <t xml:space="preserve"> 31.4615 </t>
  </si>
  <si>
    <t xml:space="preserve">C:\Users\andre\Desktop\REACTIV CEFAS\Anastrozole\Anastrozole/20201125_Cefas_Test7_Run2/Plate 1/@3/B3_03.tif </t>
  </si>
  <si>
    <t xml:space="preserve">C:\Users\andre\Desktop\REACTIV CEFAS\Anastrozole\Anastrozole/20201125_Cefas_Test7_Run2/Plate 1/@3/C3_01.tif </t>
  </si>
  <si>
    <t xml:space="preserve"> 32.2708 </t>
  </si>
  <si>
    <t xml:space="preserve">C:\Users\andre\Desktop\REACTIV CEFAS\Anastrozole\Anastrozole/20201125_Cefas_Test7_Run2/Plate 1/@3/C3_02.tif </t>
  </si>
  <si>
    <t xml:space="preserve"> 9928.1216 </t>
  </si>
  <si>
    <t xml:space="preserve"> 46.3312 </t>
  </si>
  <si>
    <t xml:space="preserve">C:\Users\andre\Desktop\REACTIV CEFAS\Anastrozole\Anastrozole/20201125_Cefas_Test7_Run2/Plate 1/@3/C3_03.tif </t>
  </si>
  <si>
    <t xml:space="preserve"> 39.0676 </t>
  </si>
  <si>
    <t xml:space="preserve">C:\Users\andre\Desktop\REACTIV CEFAS\Anastrozole\Anastrozole/20201125_Cefas_Test7_Run2/Plate 1/@3/D3_01.tif </t>
  </si>
  <si>
    <t xml:space="preserve"> 6943.1962 </t>
  </si>
  <si>
    <t xml:space="preserve"> 31.9813 </t>
  </si>
  <si>
    <t xml:space="preserve">C:\Users\andre\Desktop\REACTIV CEFAS\Anastrozole\Anastrozole/20201125_Cefas_Test7_Run2/Plate 1/@3/D3_02.tif </t>
  </si>
  <si>
    <t xml:space="preserve"> 32.7186 </t>
  </si>
  <si>
    <t xml:space="preserve">C:\Users\andre\Desktop\REACTIV CEFAS\Anastrozole\Anastrozole/20201125_Cefas_Test7_Run2/Plate 1/@3/D3_03.tif </t>
  </si>
  <si>
    <t xml:space="preserve"> 9127.8155 </t>
  </si>
  <si>
    <t xml:space="preserve"> 32.372 </t>
  </si>
  <si>
    <t xml:space="preserve">C:\Users\andre\Desktop\REACTIV CEFAS\Anastrozole\Anastrozole/20201125_Cefas_Test7_Run2/Plate 1/@3/E3_01.tif </t>
  </si>
  <si>
    <t xml:space="preserve"> 1946.6905 </t>
  </si>
  <si>
    <t xml:space="preserve"> 33.5667 </t>
  </si>
  <si>
    <t xml:space="preserve">C:\Users\andre\Desktop\REACTIV CEFAS\Anastrozole\Anastrozole/20201125_Cefas_Test7_Run2/Plate 1/@3/E3_02.tif </t>
  </si>
  <si>
    <t xml:space="preserve"> 3136.3347 </t>
  </si>
  <si>
    <t xml:space="preserve"> 36.531 </t>
  </si>
  <si>
    <t xml:space="preserve">C:\Users\andre\Desktop\REACTIV CEFAS\Anastrozole\Anastrozole/20201125_Cefas_Test7_Run2/Plate 1/@3/E3_03.tif </t>
  </si>
  <si>
    <t xml:space="preserve"> 33.9333 </t>
  </si>
  <si>
    <t xml:space="preserve">C:\Users\andre\Desktop\REACTIV CEFAS\Anastrozole\Anastrozole/20201125_Cefas_Test7_Run2/Plate 1/@3/F3_01.tif </t>
  </si>
  <si>
    <t xml:space="preserve"> 35.7425 </t>
  </si>
  <si>
    <t xml:space="preserve">C:\Users\andre\Desktop\REACTIV CEFAS\Anastrozole\Anastrozole/20201125_Cefas_Test7_Run2/Plate 1/@3/F3_02.tif </t>
  </si>
  <si>
    <t xml:space="preserve"> 4909.9861 </t>
  </si>
  <si>
    <t xml:space="preserve"> 33.9207 </t>
  </si>
  <si>
    <t xml:space="preserve">C:\Users\andre\Desktop\REACTIV CEFAS\Anastrozole\Anastrozole/20201125_Cefas_Test7_Run2/Plate 1/@3/F3_03.tif </t>
  </si>
  <si>
    <t xml:space="preserve"> 32.0909 </t>
  </si>
  <si>
    <t xml:space="preserve">C:\Users\andre\Desktop\REACTIV CEFAS\Anastrozole\Anastrozole/20201125_Cefas_Test7_Run2/Plate 1/@3/G3_01.tif </t>
  </si>
  <si>
    <t xml:space="preserve"> 5493.9932 </t>
  </si>
  <si>
    <t xml:space="preserve"> 39.7953 </t>
  </si>
  <si>
    <t xml:space="preserve">C:\Users\andre\Desktop\REACTIV CEFAS\Anastrozole\Anastrozole/20201125_Cefas_Test7_Run2/Plate 1/@3/G3_02.tif </t>
  </si>
  <si>
    <t xml:space="preserve"> 44.2559 </t>
  </si>
  <si>
    <t xml:space="preserve">C:\Users\andre\Desktop\REACTIV CEFAS\Anastrozole\Anastrozole/20201125_Cefas_Test7_Run2/Plate 1/@3/G3_03.tif </t>
  </si>
  <si>
    <t xml:space="preserve"> 7527.2033 </t>
  </si>
  <si>
    <t xml:space="preserve"> 44.8994 </t>
  </si>
  <si>
    <t xml:space="preserve">C:\Users\andre\Desktop\REACTIV CEFAS\Anastrozole\Anastrozole/20201125_Cefas_Test7_Run2/Plate 1/@3/H3_01.tif </t>
  </si>
  <si>
    <t xml:space="preserve"> 12783.2677 </t>
  </si>
  <si>
    <t xml:space="preserve"> 40.5939 </t>
  </si>
  <si>
    <t xml:space="preserve">C:\Users\andre\Desktop\REACTIV CEFAS\Anastrozole\Anastrozole/20201125_Cefas_Test7_Run2/Plate 1/@3/H3_02.tif </t>
  </si>
  <si>
    <t xml:space="preserve"> 11139.3957 </t>
  </si>
  <si>
    <t xml:space="preserve"> 38.9592 </t>
  </si>
  <si>
    <t xml:space="preserve">C:\Users\andre\Desktop\REACTIV CEFAS\Anastrozole\Anastrozole/20201125_Cefas_Test7_Run2/Plate 1/@3/H3_03.tif </t>
  </si>
  <si>
    <t xml:space="preserve"> 41.516 </t>
  </si>
  <si>
    <t xml:space="preserve">C:\Users\andre\Desktop\REACTIV CEFAS\Anastrozole\Anastrozole/20201125_Cefas_Test7_Run2/Plate 1/@3/ </t>
  </si>
  <si>
    <t xml:space="preserve"> 36.0914 </t>
  </si>
  <si>
    <t xml:space="preserve"> 4.6858 </t>
  </si>
  <si>
    <t xml:space="preserve"> 197631.5 </t>
  </si>
  <si>
    <t xml:space="preserve"> 160861.076 </t>
  </si>
  <si>
    <t xml:space="preserve">C:\Users\andre\Desktop\REACTIV CEFAS\Anastrozole\Anastrozole/20201125_Cefas_Test7_Run2/Plate 1/@4/A4_01.tif </t>
  </si>
  <si>
    <t xml:space="preserve"> 44882.0314 </t>
  </si>
  <si>
    <t xml:space="preserve"> 37.7142 </t>
  </si>
  <si>
    <t xml:space="preserve">C:\Users\andre\Desktop\REACTIV CEFAS\Anastrozole\Anastrozole/20201125_Cefas_Test7_Run2/Plate 1/@4/A4_02.tif </t>
  </si>
  <si>
    <t xml:space="preserve"> 52387.6048 </t>
  </si>
  <si>
    <t xml:space="preserve"> 40.5879 </t>
  </si>
  <si>
    <t xml:space="preserve">C:\Users\andre\Desktop\REACTIV CEFAS\Anastrozole\Anastrozole/20201125_Cefas_Test7_Run2/Plate 1/@4/A4_03.tif </t>
  </si>
  <si>
    <t xml:space="preserve"> 56821.7332 </t>
  </si>
  <si>
    <t xml:space="preserve"> 38.804 </t>
  </si>
  <si>
    <t xml:space="preserve">C:\Users\andre\Desktop\REACTIV CEFAS\Anastrozole\Anastrozole/20201125_Cefas_Test7_Run2/Plate 1/@4/B4_01.tif </t>
  </si>
  <si>
    <t xml:space="preserve"> 43973.5758 </t>
  </si>
  <si>
    <t xml:space="preserve"> 35.2691 </t>
  </si>
  <si>
    <t xml:space="preserve">C:\Users\andre\Desktop\REACTIV CEFAS\Anastrozole\Anastrozole/20201125_Cefas_Test7_Run2/Plate 1/@4/B4_02.tif </t>
  </si>
  <si>
    <t xml:space="preserve"> 46547.5332 </t>
  </si>
  <si>
    <t xml:space="preserve"> 37.0028 </t>
  </si>
  <si>
    <t xml:space="preserve">C:\Users\andre\Desktop\REACTIV CEFAS\Anastrozole\Anastrozole/20201125_Cefas_Test7_Run2/Plate 1/@4/B4_03.tif </t>
  </si>
  <si>
    <t xml:space="preserve"> 42372.9636 </t>
  </si>
  <si>
    <t xml:space="preserve"> 35.5539 </t>
  </si>
  <si>
    <t xml:space="preserve">C:\Users\andre\Desktop\REACTIV CEFAS\Anastrozole\Anastrozole/20201125_Cefas_Test7_Run2/Plate 1/@4/C4_01.tif </t>
  </si>
  <si>
    <t xml:space="preserve"> 32.6149 </t>
  </si>
  <si>
    <t xml:space="preserve">C:\Users\andre\Desktop\REACTIV CEFAS\Anastrozole\Anastrozole/20201125_Cefas_Test7_Run2/Plate 1/@4/C4_02.tif </t>
  </si>
  <si>
    <t xml:space="preserve"> 32.6826 </t>
  </si>
  <si>
    <t xml:space="preserve">C:\Users\andre\Desktop\REACTIV CEFAS\Anastrozole\Anastrozole/20201125_Cefas_Test7_Run2/Plate 1/@4/C4_03.tif </t>
  </si>
  <si>
    <t xml:space="preserve"> 713.7865 </t>
  </si>
  <si>
    <t xml:space="preserve"> 31.8788 </t>
  </si>
  <si>
    <t xml:space="preserve">C:\Users\andre\Desktop\REACTIV CEFAS\Anastrozole\Anastrozole/20201125_Cefas_Test7_Run2/Plate 1/@4/D4_01.tif </t>
  </si>
  <si>
    <t xml:space="preserve"> 32.5822 </t>
  </si>
  <si>
    <t xml:space="preserve">C:\Users\andre\Desktop\REACTIV CEFAS\Anastrozole\Anastrozole/20201125_Cefas_Test7_Run2/Plate 1/@4/D4_02.tif </t>
  </si>
  <si>
    <t xml:space="preserve"> 37.4137 </t>
  </si>
  <si>
    <t xml:space="preserve">C:\Users\andre\Desktop\REACTIV CEFAS\Anastrozole\Anastrozole/20201125_Cefas_Test7_Run2/Plate 1/@4/D4_03.tif </t>
  </si>
  <si>
    <t xml:space="preserve"> 12026.2214 </t>
  </si>
  <si>
    <t xml:space="preserve"> 41.2104 </t>
  </si>
  <si>
    <t xml:space="preserve">C:\Users\andre\Desktop\REACTIV CEFAS\Anastrozole\Anastrozole/20201125_Cefas_Test7_Run2/Plate 1/@4/E4_01.tif </t>
  </si>
  <si>
    <t xml:space="preserve"> 33.9074 </t>
  </si>
  <si>
    <t xml:space="preserve">C:\Users\andre\Desktop\REACTIV CEFAS\Anastrozole\Anastrozole/20201125_Cefas_Test7_Run2/Plate 1/@4/E4_02.tif </t>
  </si>
  <si>
    <t xml:space="preserve"> 22841.1687 </t>
  </si>
  <si>
    <t xml:space="preserve"> 37.392 </t>
  </si>
  <si>
    <t xml:space="preserve">C:\Users\andre\Desktop\REACTIV CEFAS\Anastrozole\Anastrozole/20201125_Cefas_Test7_Run2/Plate 1/@4/E4_03.tif </t>
  </si>
  <si>
    <t xml:space="preserve"> 12307.41 </t>
  </si>
  <si>
    <t xml:space="preserve"> 33.3058 </t>
  </si>
  <si>
    <t xml:space="preserve">C:\Users\andre\Desktop\REACTIV CEFAS\Anastrozole\Anastrozole/20201125_Cefas_Test7_Run2/Plate 1/@4/F4_01.tif </t>
  </si>
  <si>
    <t xml:space="preserve"> 14297.3603 </t>
  </si>
  <si>
    <t xml:space="preserve"> 34.7882 </t>
  </si>
  <si>
    <t xml:space="preserve">C:\Users\andre\Desktop\REACTIV CEFAS\Anastrozole\Anastrozole/20201125_Cefas_Test7_Run2/Plate 1/@4/F4_02.tif </t>
  </si>
  <si>
    <t xml:space="preserve"> 13518.6841 </t>
  </si>
  <si>
    <t xml:space="preserve"> 33.0992 </t>
  </si>
  <si>
    <t xml:space="preserve">C:\Users\andre\Desktop\REACTIV CEFAS\Anastrozole\Anastrozole/20201125_Cefas_Test7_Run2/Plate 1/@4/F4_03.tif </t>
  </si>
  <si>
    <t xml:space="preserve"> 18017.7022 </t>
  </si>
  <si>
    <t xml:space="preserve"> 35.6639 </t>
  </si>
  <si>
    <t xml:space="preserve">C:\Users\andre\Desktop\REACTIV CEFAS\Anastrozole\Anastrozole/20201125_Cefas_Test7_Run2/Plate 1/@4/G4_01.tif </t>
  </si>
  <si>
    <t xml:space="preserve"> 35.0558 </t>
  </si>
  <si>
    <t xml:space="preserve">C:\Users\andre\Desktop\REACTIV CEFAS\Anastrozole\Anastrozole/20201125_Cefas_Test7_Run2/Plate 1/@4/G4_02.tif </t>
  </si>
  <si>
    <t xml:space="preserve"> 38.2569 </t>
  </si>
  <si>
    <t xml:space="preserve">C:\Users\andre\Desktop\REACTIV CEFAS\Anastrozole\Anastrozole/20201125_Cefas_Test7_Run2/Plate 1/@4/G4_03.tif </t>
  </si>
  <si>
    <t xml:space="preserve"> 30.8559 </t>
  </si>
  <si>
    <t xml:space="preserve">C:\Users\andre\Desktop\REACTIV CEFAS\Anastrozole\Anastrozole/20201125_Cefas_Test7_Run2/Plate 1/@4/H4_01.tif </t>
  </si>
  <si>
    <t xml:space="preserve"> 15530.2643 </t>
  </si>
  <si>
    <t xml:space="preserve"> 33.6783 </t>
  </si>
  <si>
    <t xml:space="preserve">C:\Users\andre\Desktop\REACTIV CEFAS\Anastrozole\Anastrozole/20201125_Cefas_Test7_Run2/Plate 1/@4/H4_02.tif </t>
  </si>
  <si>
    <t xml:space="preserve"> 10966.3566 </t>
  </si>
  <si>
    <t xml:space="preserve"> 35.8876 </t>
  </si>
  <si>
    <t xml:space="preserve">C:\Users\andre\Desktop\REACTIV CEFAS\Anastrozole\Anastrozole/20201125_Cefas_Test7_Run2/Plate 1/@4/H4_03.tif </t>
  </si>
  <si>
    <t xml:space="preserve"> 13821.5027 </t>
  </si>
  <si>
    <t xml:space="preserve"> 39.5196 </t>
  </si>
  <si>
    <t xml:space="preserve">C:\Users\andre\Desktop\REACTIV CEFAS\Anastrozole\Anastrozole/20201125_Cefas_Test7_Run2/Plate 1/@4/ </t>
  </si>
  <si>
    <t xml:space="preserve"> 35.6135 </t>
  </si>
  <si>
    <t xml:space="preserve"> 2.8291 </t>
  </si>
  <si>
    <t xml:space="preserve"> 723845.333 </t>
  </si>
  <si>
    <t xml:space="preserve"> 681247.563 </t>
  </si>
  <si>
    <t xml:space="preserve">C:\Users\andre\Desktop\REACTIV CEFAS\Anastrozole\Anastrozole/20201125_Cefas_Test7_Run2/Plate 1/@5/A5_01.tif </t>
  </si>
  <si>
    <t xml:space="preserve"> 62769.9542 </t>
  </si>
  <si>
    <t xml:space="preserve"> 43.948 </t>
  </si>
  <si>
    <t xml:space="preserve">C:\Users\andre\Desktop\REACTIV CEFAS\Anastrozole\Anastrozole/20201125_Cefas_Test7_Run2/Plate 1/@5/A5_02.tif </t>
  </si>
  <si>
    <t xml:space="preserve"> 58227.6763 </t>
  </si>
  <si>
    <t xml:space="preserve"> 40.3804 </t>
  </si>
  <si>
    <t xml:space="preserve">C:\Users\andre\Desktop\REACTIV CEFAS\Anastrozole\Anastrozole/20201125_Cefas_Test7_Run2/Plate 1/@5/A5_03.tif </t>
  </si>
  <si>
    <t xml:space="preserve"> 55156.2313 </t>
  </si>
  <si>
    <t xml:space="preserve"> 43.2216 </t>
  </si>
  <si>
    <t xml:space="preserve">C:\Users\andre\Desktop\REACTIV CEFAS\Anastrozole\Anastrozole/20201125_Cefas_Test7_Run2/Plate 1/@5/B5_01.tif </t>
  </si>
  <si>
    <t xml:space="preserve"> 32315.0626 </t>
  </si>
  <si>
    <t xml:space="preserve"> 37.4177 </t>
  </si>
  <si>
    <t xml:space="preserve">C:\Users\andre\Desktop\REACTIV CEFAS\Anastrozole\Anastrozole/20201125_Cefas_Test7_Run2/Plate 1/@5/B5_02.tif </t>
  </si>
  <si>
    <t xml:space="preserve"> 36359.8529 </t>
  </si>
  <si>
    <t xml:space="preserve"> 36.5776 </t>
  </si>
  <si>
    <t xml:space="preserve">C:\Users\andre\Desktop\REACTIV CEFAS\Anastrozole\Anastrozole/20201125_Cefas_Test7_Run2/Plate 1/@5/B5_03.tif </t>
  </si>
  <si>
    <t xml:space="preserve"> 35.8294 </t>
  </si>
  <si>
    <t>C:\Users\andre\Desktop\REACTIV CEFAS\Anastrozole\Anastrozole/20201125_Cefas_Test7_Run2/Plate 1/@5/C5_01- exclu.tif</t>
  </si>
  <si>
    <t>C:\Users\andre\Desktop\REACTIV CEFAS\Anastrozole\Anastrozole/20201125_Cefas_Test7_Run2/Plate 1/@5/C5_02- exclu.tif</t>
  </si>
  <si>
    <t>C:\Users\andre\Desktop\REACTIV CEFAS\Anastrozole\Anastrozole/20201125_Cefas_Test7_Run2/Plate 1/@5/C5_03- exclu.tif</t>
  </si>
  <si>
    <t xml:space="preserve">C:\Users\andre\Desktop\REACTIV CEFAS\Anastrozole\Anastrozole/20201125_Cefas_Test7_Run2/Plate 1/@5/D5_01.tif </t>
  </si>
  <si>
    <t xml:space="preserve"> 55394.1601 </t>
  </si>
  <si>
    <t xml:space="preserve"> 38.0894 </t>
  </si>
  <si>
    <t xml:space="preserve">C:\Users\andre\Desktop\REACTIV CEFAS\Anastrozole\Anastrozole/20201125_Cefas_Test7_Run2/Plate 1/@5/D5_02.tif </t>
  </si>
  <si>
    <t xml:space="preserve"> 47282.9497 </t>
  </si>
  <si>
    <t xml:space="preserve"> 39.0206 </t>
  </si>
  <si>
    <t xml:space="preserve">C:\Users\andre\Desktop\REACTIV CEFAS\Anastrozole\Anastrozole/20201125_Cefas_Test7_Run2/Plate 1/@5/D5_03.tif </t>
  </si>
  <si>
    <t xml:space="preserve"> 47326.2094 </t>
  </si>
  <si>
    <t xml:space="preserve"> 37.3167 </t>
  </si>
  <si>
    <t xml:space="preserve">C:\Users\andre\Desktop\REACTIV CEFAS\Anastrozole\Anastrozole/20201125_Cefas_Test7_Run2/Plate 1/@5/E5_01.tif </t>
  </si>
  <si>
    <t xml:space="preserve"> 48018.3661 </t>
  </si>
  <si>
    <t xml:space="preserve"> 38.0378 </t>
  </si>
  <si>
    <t xml:space="preserve">C:\Users\andre\Desktop\REACTIV CEFAS\Anastrozole\Anastrozole/20201125_Cefas_Test7_Run2/Plate 1/@5/E5_02.tif </t>
  </si>
  <si>
    <t xml:space="preserve"> 43324.6789 </t>
  </si>
  <si>
    <t xml:space="preserve"> 35.8183 </t>
  </si>
  <si>
    <t xml:space="preserve">C:\Users\andre\Desktop\REACTIV CEFAS\Anastrozole\Anastrozole/20201125_Cefas_Test7_Run2/Plate 1/@5/E5_03.tif </t>
  </si>
  <si>
    <t xml:space="preserve"> 42524.3728 </t>
  </si>
  <si>
    <t xml:space="preserve"> 35.4736 </t>
  </si>
  <si>
    <t xml:space="preserve">C:\Users\andre\Desktop\REACTIV CEFAS\Anastrozole\Anastrozole/20201125_Cefas_Test7_Run2/Plate 1/@5/F5_01.tif </t>
  </si>
  <si>
    <t xml:space="preserve"> 37052.0095 </t>
  </si>
  <si>
    <t xml:space="preserve"> 37.5902 </t>
  </si>
  <si>
    <t>C:\Users\andre\Desktop\REACTIV CEFAS\Anastrozole\Anastrozole/20201125_Cefas_Test7_Run2/Plate 1/@5/F5_02- exclu.tif</t>
  </si>
  <si>
    <t xml:space="preserve">C:\Users\andre\Desktop\REACTIV CEFAS\Anastrozole\Anastrozole/20201125_Cefas_Test7_Run2/Plate 1/@5/F5_03.tif </t>
  </si>
  <si>
    <t xml:space="preserve"> 42632.5223 </t>
  </si>
  <si>
    <t xml:space="preserve"> 38.4216 </t>
  </si>
  <si>
    <t xml:space="preserve">C:\Users\andre\Desktop\REACTIV CEFAS\Anastrozole\Anastrozole/20201125_Cefas_Test7_Run2/Plate 1/@5/G5_01.tif </t>
  </si>
  <si>
    <t xml:space="preserve"> 34.409 </t>
  </si>
  <si>
    <t xml:space="preserve">C:\Users\andre\Desktop\REACTIV CEFAS\Anastrozole\Anastrozole/20201125_Cefas_Test7_Run2/Plate 1/@5/G5_02.tif </t>
  </si>
  <si>
    <t xml:space="preserve"> 14967.8871 </t>
  </si>
  <si>
    <t xml:space="preserve"> 31.8728 </t>
  </si>
  <si>
    <t xml:space="preserve">C:\Users\andre\Desktop\REACTIV CEFAS\Anastrozole\Anastrozole/20201125_Cefas_Test7_Run2/Plate 1/@5/G5_03.tif </t>
  </si>
  <si>
    <t xml:space="preserve"> 21759.674 </t>
  </si>
  <si>
    <t xml:space="preserve"> 34.2087 </t>
  </si>
  <si>
    <t xml:space="preserve">C:\Users\andre\Desktop\REACTIV CEFAS\Anastrozole\Anastrozole/20201125_Cefas_Test7_Run2/Plate 1/@5/H5_01.tif </t>
  </si>
  <si>
    <t xml:space="preserve"> 75098.9942 </t>
  </si>
  <si>
    <t xml:space="preserve"> 39.6604 </t>
  </si>
  <si>
    <t xml:space="preserve">C:\Users\andre\Desktop\REACTIV CEFAS\Anastrozole\Anastrozole/20201125_Cefas_Test7_Run2/Plate 1/@5/H5_02.tif </t>
  </si>
  <si>
    <t xml:space="preserve"> 76829.3857 </t>
  </si>
  <si>
    <t xml:space="preserve"> 41.0909 </t>
  </si>
  <si>
    <t xml:space="preserve">C:\Users\andre\Desktop\REACTIV CEFAS\Anastrozole\Anastrozole/20201125_Cefas_Test7_Run2/Plate 1/@5/H5_03.tif </t>
  </si>
  <si>
    <t xml:space="preserve"> 62423.8759 </t>
  </si>
  <si>
    <t xml:space="preserve"> 37.9615 </t>
  </si>
  <si>
    <t xml:space="preserve">C:\Users\andre\Desktop\REACTIV CEFAS\Anastrozole\Anastrozole/20201125_Cefas_Test7_Run2/Plate 1/@5/ </t>
  </si>
  <si>
    <t xml:space="preserve"> 34.8357 </t>
  </si>
  <si>
    <t xml:space="preserve"> 11.1335 </t>
  </si>
  <si>
    <t xml:space="preserve"> 1587408.83 </t>
  </si>
  <si>
    <t xml:space="preserve"> 841427.826 </t>
  </si>
  <si>
    <t xml:space="preserve">C:\Users\andre\Desktop\REACTIV CEFAS\Anastrozole\Anastrozole/20201125_Cefas_Test7_Run2/Plate 1/@6/A6_01.tif </t>
  </si>
  <si>
    <t xml:space="preserve"> 14794.8479 </t>
  </si>
  <si>
    <t xml:space="preserve"> 37.3947 </t>
  </si>
  <si>
    <t xml:space="preserve">C:\Users\andre\Desktop\REACTIV CEFAS\Anastrozole\Anastrozole/20201125_Cefas_Test7_Run2/Plate 1/@6/A6_02.tif </t>
  </si>
  <si>
    <t xml:space="preserve"> 34.508 </t>
  </si>
  <si>
    <t xml:space="preserve">C:\Users\andre\Desktop\REACTIV CEFAS\Anastrozole\Anastrozole/20201125_Cefas_Test7_Run2/Plate 1/@6/A6_03.tif </t>
  </si>
  <si>
    <t xml:space="preserve"> 8868.2568 </t>
  </si>
  <si>
    <t xml:space="preserve"> 34.661 </t>
  </si>
  <si>
    <t xml:space="preserve">C:\Users\andre\Desktop\REACTIV CEFAS\Anastrozole\Anastrozole/20201125_Cefas_Test7_Run2/Plate 1/@6/B6_01.tif </t>
  </si>
  <si>
    <t xml:space="preserve"> 79662.9019 </t>
  </si>
  <si>
    <t xml:space="preserve"> 43.7203 </t>
  </si>
  <si>
    <t xml:space="preserve">C:\Users\andre\Desktop\REACTIV CEFAS\Anastrozole\Anastrozole/20201125_Cefas_Test7_Run2/Plate 1/@6/B6_02.tif </t>
  </si>
  <si>
    <t xml:space="preserve"> 69929.4493 </t>
  </si>
  <si>
    <t xml:space="preserve"> 43.6421 </t>
  </si>
  <si>
    <t xml:space="preserve">C:\Users\andre\Desktop\REACTIV CEFAS\Anastrozole\Anastrozole/20201125_Cefas_Test7_Run2/Plate 1/@6/B6_03.tif </t>
  </si>
  <si>
    <t xml:space="preserve"> 71789.6203 </t>
  </si>
  <si>
    <t xml:space="preserve"> 42.1657 </t>
  </si>
  <si>
    <t xml:space="preserve">C:\Users\andre\Desktop\REACTIV CEFAS\Anastrozole\Anastrozole/20201125_Cefas_Test7_Run2/Plate 1/@6/C6_01.tif </t>
  </si>
  <si>
    <t xml:space="preserve"> 37527.8672 </t>
  </si>
  <si>
    <t xml:space="preserve"> 43.1879 </t>
  </si>
  <si>
    <t xml:space="preserve">C:\Users\andre\Desktop\REACTIV CEFAS\Anastrozole\Anastrozole/20201125_Cefas_Test7_Run2/Plate 1/@6/C6_02.tif </t>
  </si>
  <si>
    <t xml:space="preserve"> 36900.6002 </t>
  </si>
  <si>
    <t xml:space="preserve"> 43.9631 </t>
  </si>
  <si>
    <t xml:space="preserve">C:\Users\andre\Desktop\REACTIV CEFAS\Anastrozole\Anastrozole/20201125_Cefas_Test7_Run2/Plate 1/@6/C6_03.tif </t>
  </si>
  <si>
    <t xml:space="preserve"> 42805.5615 </t>
  </si>
  <si>
    <t xml:space="preserve"> 42.4275 </t>
  </si>
  <si>
    <t xml:space="preserve">C:\Users\andre\Desktop\REACTIV CEFAS\Anastrozole\Anastrozole/20201125_Cefas_Test7_Run2/Plate 1/@6/D6_01.tif </t>
  </si>
  <si>
    <t xml:space="preserve"> 44622.4726 </t>
  </si>
  <si>
    <t xml:space="preserve"> 36.2574 </t>
  </si>
  <si>
    <t xml:space="preserve">C:\Users\andre\Desktop\REACTIV CEFAS\Anastrozole\Anastrozole/20201125_Cefas_Test7_Run2/Plate 1/@6/D6_02.tif </t>
  </si>
  <si>
    <t xml:space="preserve"> 50159.7256 </t>
  </si>
  <si>
    <t xml:space="preserve"> 39.1259 </t>
  </si>
  <si>
    <t xml:space="preserve">C:\Users\andre\Desktop\REACTIV CEFAS\Anastrozole\Anastrozole/20201125_Cefas_Test7_Run2/Plate 1/@6/D6_03.tif </t>
  </si>
  <si>
    <t xml:space="preserve"> 19207.3464 </t>
  </si>
  <si>
    <t xml:space="preserve"> 33.4583 </t>
  </si>
  <si>
    <t xml:space="preserve">C:\Users\andre\Desktop\REACTIV CEFAS\Anastrozole\Anastrozole/20201125_Cefas_Test7_Run2/Plate 1/@6/E6_01.tif </t>
  </si>
  <si>
    <t xml:space="preserve"> 60412.2957 </t>
  </si>
  <si>
    <t xml:space="preserve"> 43.1078 </t>
  </si>
  <si>
    <t>C:\Users\andre\Desktop\REACTIV CEFAS\Anastrozole\Anastrozole/20201125_Cefas_Test7_Run2/Plate 1/@6/E6_02- exclu.tif</t>
  </si>
  <si>
    <t xml:space="preserve">C:\Users\andre\Desktop\REACTIV CEFAS\Anastrozole\Anastrozole/20201125_Cefas_Test7_Run2/Plate 1/@6/E6_03.tif </t>
  </si>
  <si>
    <t xml:space="preserve"> 77564.8021 </t>
  </si>
  <si>
    <t xml:space="preserve"> 47.7931 </t>
  </si>
  <si>
    <t xml:space="preserve">C:\Users\andre\Desktop\REACTIV CEFAS\Anastrozole\Anastrozole/20201125_Cefas_Test7_Run2/Plate 1/@6/F6_01.tif </t>
  </si>
  <si>
    <t xml:space="preserve"> 64219.1572 </t>
  </si>
  <si>
    <t xml:space="preserve"> 42.6278 </t>
  </si>
  <si>
    <t xml:space="preserve">C:\Users\andre\Desktop\REACTIV CEFAS\Anastrozole\Anastrozole/20201125_Cefas_Test7_Run2/Plate 1/@6/F6_02.tif </t>
  </si>
  <si>
    <t xml:space="preserve"> 63873.0788 </t>
  </si>
  <si>
    <t xml:space="preserve"> 43.3207 </t>
  </si>
  <si>
    <t xml:space="preserve">C:\Users\andre\Desktop\REACTIV CEFAS\Anastrozole\Anastrozole/20201125_Cefas_Test7_Run2/Plate 1/@6/F6_03.tif </t>
  </si>
  <si>
    <t xml:space="preserve"> 42.8704 </t>
  </si>
  <si>
    <t xml:space="preserve">C:\Users\andre\Desktop\REACTIV CEFAS\Anastrozole\Anastrozole/20201125_Cefas_Test7_Run2/Plate 1/@6/G6_01.tif </t>
  </si>
  <si>
    <t xml:space="preserve"> 44.3025 </t>
  </si>
  <si>
    <t xml:space="preserve">C:\Users\andre\Desktop\REACTIV CEFAS\Anastrozole\Anastrozole/20201125_Cefas_Test7_Run2/Plate 1/@6/G6_02.tif </t>
  </si>
  <si>
    <t xml:space="preserve"> 42026.8853 </t>
  </si>
  <si>
    <t xml:space="preserve"> 48.5409 </t>
  </si>
  <si>
    <t xml:space="preserve">C:\Users\andre\Desktop\REACTIV CEFAS\Anastrozole\Anastrozole/20201125_Cefas_Test7_Run2/Plate 1/@6/G6_03.tif </t>
  </si>
  <si>
    <t xml:space="preserve"> 37571.127 </t>
  </si>
  <si>
    <t xml:space="preserve"> 44.1952 </t>
  </si>
  <si>
    <t xml:space="preserve">C:\Users\andre\Desktop\REACTIV CEFAS\Anastrozole\Anastrozole/20201125_Cefas_Test7_Run2/Plate 1/@6/H6_01.tif </t>
  </si>
  <si>
    <t xml:space="preserve"> 39.1658 </t>
  </si>
  <si>
    <t xml:space="preserve">C:\Users\andre\Desktop\REACTIV CEFAS\Anastrozole\Anastrozole/20201125_Cefas_Test7_Run2/Plate 1/@6/H6_02.tif </t>
  </si>
  <si>
    <t xml:space="preserve"> 68177.4279 </t>
  </si>
  <si>
    <t xml:space="preserve"> 40.1129 </t>
  </si>
  <si>
    <t xml:space="preserve">C:\Users\andre\Desktop\REACTIV CEFAS\Anastrozole\Anastrozole/20201125_Cefas_Test7_Run2/Plate 1/@6/H6_03.tif </t>
  </si>
  <si>
    <t xml:space="preserve"> 56843.3631 </t>
  </si>
  <si>
    <t xml:space="preserve"> 38.3116 </t>
  </si>
  <si>
    <t xml:space="preserve">C:\Users\andre\Desktop\REACTIV CEFAS\Anastrozole\Anastrozole/20201125_Cefas_Test7_Run2/Plate 1/@6/ </t>
  </si>
  <si>
    <t xml:space="preserve"> 41.121 </t>
  </si>
  <si>
    <t xml:space="preserve"> 4.0077 </t>
  </si>
  <si>
    <t xml:space="preserve"> 2061520.83 </t>
  </si>
  <si>
    <t xml:space="preserve"> 947436.581 </t>
  </si>
  <si>
    <t xml:space="preserve">C:\Users\andre\Desktop\REACTIV CEFAS\Anastrozole\Anastrozole/20201125_Cefas_Test7_Run2/Plate 1/@7/A7_01.tif </t>
  </si>
  <si>
    <t xml:space="preserve"> 86000.461 </t>
  </si>
  <si>
    <t xml:space="preserve"> 56.7558 </t>
  </si>
  <si>
    <t xml:space="preserve">C:\Users\andre\Desktop\REACTIV CEFAS\Anastrozole\Anastrozole/20201125_Cefas_Test7_Run2/Plate 1/@7/A7_02.tif </t>
  </si>
  <si>
    <t xml:space="preserve"> 85221.7848 </t>
  </si>
  <si>
    <t xml:space="preserve"> 54.5635 </t>
  </si>
  <si>
    <t xml:space="preserve">C:\Users\andre\Desktop\REACTIV CEFAS\Anastrozole\Anastrozole/20201125_Cefas_Test7_Run2/Plate 1/@7/A7_03.tif </t>
  </si>
  <si>
    <t xml:space="preserve"> 82193.5996 </t>
  </si>
  <si>
    <t xml:space="preserve"> 54.6979 </t>
  </si>
  <si>
    <t>C:\Users\andre\Desktop\REACTIV CEFAS\Anastrozole\Anastrozole/20201125_Cefas_Test7_Run2/Plate 1/@7/B7_01- exclu.tif</t>
  </si>
  <si>
    <t>C:\Users\andre\Desktop\REACTIV CEFAS\Anastrozole\Anastrozole/20201125_Cefas_Test7_Run2/Plate 1/@7/B7_02- exclu.tif</t>
  </si>
  <si>
    <t>C:\Users\andre\Desktop\REACTIV CEFAS\Anastrozole\Anastrozole/20201125_Cefas_Test7_Run2/Plate 1/@7/B7_03- exclu.tif</t>
  </si>
  <si>
    <t xml:space="preserve">C:\Users\andre\Desktop\REACTIV CEFAS\Anastrozole\Anastrozole/20201125_Cefas_Test7_Run2/Plate 1/@7/C7_01.tif </t>
  </si>
  <si>
    <t xml:space="preserve"> 66749.8548 </t>
  </si>
  <si>
    <t xml:space="preserve"> 54.7168 </t>
  </si>
  <si>
    <t xml:space="preserve">C:\Users\andre\Desktop\REACTIV CEFAS\Anastrozole\Anastrozole/20201125_Cefas_Test7_Run2/Plate 1/@7/C7_02.tif </t>
  </si>
  <si>
    <t xml:space="preserve"> 73563.2716 </t>
  </si>
  <si>
    <t xml:space="preserve"> 51.6442 </t>
  </si>
  <si>
    <t xml:space="preserve">C:\Users\andre\Desktop\REACTIV CEFAS\Anastrozole\Anastrozole/20201125_Cefas_Test7_Run2/Plate 1/@7/C7_03.tif </t>
  </si>
  <si>
    <t xml:space="preserve"> 64543.6056 </t>
  </si>
  <si>
    <t xml:space="preserve"> 54.0697 </t>
  </si>
  <si>
    <t xml:space="preserve">C:\Users\andre\Desktop\REACTIV CEFAS\Anastrozole\Anastrozole/20201125_Cefas_Test7_Run2/Plate 1/@7/D7_01.tif </t>
  </si>
  <si>
    <t xml:space="preserve"> 58379.0856 </t>
  </si>
  <si>
    <t xml:space="preserve"> 55.0582 </t>
  </si>
  <si>
    <t xml:space="preserve">C:\Users\andre\Desktop\REACTIV CEFAS\Anastrozole\Anastrozole/20201125_Cefas_Test7_Run2/Plate 1/@7/D7_02.tif </t>
  </si>
  <si>
    <t xml:space="preserve"> 61234.2317 </t>
  </si>
  <si>
    <t xml:space="preserve"> 59.5878 </t>
  </si>
  <si>
    <t xml:space="preserve">C:\Users\andre\Desktop\REACTIV CEFAS\Anastrozole\Anastrozole/20201125_Cefas_Test7_Run2/Plate 1/@7/D7_03.tif </t>
  </si>
  <si>
    <t xml:space="preserve"> 56302.6157 </t>
  </si>
  <si>
    <t xml:space="preserve"> 53.2516 </t>
  </si>
  <si>
    <t xml:space="preserve">C:\Users\andre\Desktop\REACTIV CEFAS\Anastrozole\Anastrozole/20201125_Cefas_Test7_Run2/Plate 1/@7/E7_01.tif </t>
  </si>
  <si>
    <t xml:space="preserve"> 85632.7528 </t>
  </si>
  <si>
    <t xml:space="preserve"> 56.2064 </t>
  </si>
  <si>
    <t xml:space="preserve">C:\Users\andre\Desktop\REACTIV CEFAS\Anastrozole\Anastrozole/20201125_Cefas_Test7_Run2/Plate 1/@7/E7_02.tif </t>
  </si>
  <si>
    <t xml:space="preserve"> 86411.429 </t>
  </si>
  <si>
    <t xml:space="preserve"> 61.4711 </t>
  </si>
  <si>
    <t xml:space="preserve">C:\Users\andre\Desktop\REACTIV CEFAS\Anastrozole\Anastrozole/20201125_Cefas_Test7_Run2/Plate 1/@7/E7_03.tif </t>
  </si>
  <si>
    <t xml:space="preserve"> 78148.8093 </t>
  </si>
  <si>
    <t xml:space="preserve"> 57.1143 </t>
  </si>
  <si>
    <t xml:space="preserve">C:\Users\andre\Desktop\REACTIV CEFAS\Anastrozole\Anastrozole/20201125_Cefas_Test7_Run2/Plate 1/@7/F7_01.tif </t>
  </si>
  <si>
    <t xml:space="preserve"> 47542.5084 </t>
  </si>
  <si>
    <t xml:space="preserve"> 53.3385 </t>
  </si>
  <si>
    <t xml:space="preserve">C:\Users\andre\Desktop\REACTIV CEFAS\Anastrozole\Anastrozole/20201125_Cefas_Test7_Run2/Plate 1/@7/F7_02.tif </t>
  </si>
  <si>
    <t xml:space="preserve"> 52.3304 </t>
  </si>
  <si>
    <t xml:space="preserve">C:\Users\andre\Desktop\REACTIV CEFAS\Anastrozole\Anastrozole/20201125_Cefas_Test7_Run2/Plate 1/@7/F7_03.tif </t>
  </si>
  <si>
    <t xml:space="preserve"> 49986.6865 </t>
  </si>
  <si>
    <t xml:space="preserve"> 55.2627 </t>
  </si>
  <si>
    <t xml:space="preserve">C:\Users\andre\Desktop\REACTIV CEFAS\Anastrozole\Anastrozole/20201125_Cefas_Test7_Run2/Plate 1/@7/G7_01.tif </t>
  </si>
  <si>
    <t xml:space="preserve"> 66858.0043 </t>
  </si>
  <si>
    <t xml:space="preserve"> 60.8651 </t>
  </si>
  <si>
    <t xml:space="preserve">C:\Users\andre\Desktop\REACTIV CEFAS\Anastrozole\Anastrozole/20201125_Cefas_Test7_Run2/Plate 1/@7/G7_02.tif </t>
  </si>
  <si>
    <t xml:space="preserve"> 62683.4346 </t>
  </si>
  <si>
    <t xml:space="preserve"> 63.4275 </t>
  </si>
  <si>
    <t xml:space="preserve">C:\Users\andre\Desktop\REACTIV CEFAS\Anastrozole\Anastrozole/20201125_Cefas_Test7_Run2/Plate 1/@7/G7_03.tif </t>
  </si>
  <si>
    <t xml:space="preserve"> 69042.6237 </t>
  </si>
  <si>
    <t xml:space="preserve"> 59.8725 </t>
  </si>
  <si>
    <t xml:space="preserve">C:\Users\andre\Desktop\REACTIV CEFAS\Anastrozole\Anastrozole/20201125_Cefas_Test7_Run2/Plate 1/@7/H7_01.tif </t>
  </si>
  <si>
    <t xml:space="preserve"> 61731.7193 </t>
  </si>
  <si>
    <t xml:space="preserve"> 59.3563 </t>
  </si>
  <si>
    <t xml:space="preserve">C:\Users\andre\Desktop\REACTIV CEFAS\Anastrozole\Anastrozole/20201125_Cefas_Test7_Run2/Plate 1/@7/H7_02.tif </t>
  </si>
  <si>
    <t xml:space="preserve"> 66036.0683 </t>
  </si>
  <si>
    <t xml:space="preserve"> 55.734 </t>
  </si>
  <si>
    <t xml:space="preserve">C:\Users\andre\Desktop\REACTIV CEFAS\Anastrozole\Anastrozole/20201125_Cefas_Test7_Run2/Plate 1/@7/H7_03.tif </t>
  </si>
  <si>
    <t xml:space="preserve"> 57730.1888 </t>
  </si>
  <si>
    <t xml:space="preserve"> 61.2825 </t>
  </si>
  <si>
    <t xml:space="preserve">C:\Users\andre\Desktop\REACTIV CEFAS\Anastrozole\Anastrozole/20201125_Cefas_Test7_Run2/Plate 1/@7/ </t>
  </si>
  <si>
    <t xml:space="preserve"> 54.1366 </t>
  </si>
  <si>
    <t xml:space="preserve"> 7.5914 </t>
  </si>
  <si>
    <t xml:space="preserve"> 3446944.58 </t>
  </si>
  <si>
    <t xml:space="preserve"> 1236038.46 </t>
  </si>
  <si>
    <t xml:space="preserve">C:\Users\andre\Desktop\REACTIV CEFAS\Anastrozole\Anastrozole/20201125_Cefas_Test7_Run2/Plate 2/@10/A4_01.tif </t>
  </si>
  <si>
    <t xml:space="preserve"> 33.4561 </t>
  </si>
  <si>
    <t xml:space="preserve">C:\Users\andre\Desktop\REACTIV CEFAS\Anastrozole\Anastrozole/20201125_Cefas_Test7_Run2/Plate 2/@10/A4_02.tif </t>
  </si>
  <si>
    <t xml:space="preserve"> 32.7458 </t>
  </si>
  <si>
    <t xml:space="preserve">C:\Users\andre\Desktop\REACTIV CEFAS\Anastrozole\Anastrozole/20201125_Cefas_Test7_Run2/Plate 2/@10/A4_03.tif </t>
  </si>
  <si>
    <t xml:space="preserve"> 1081.4947 </t>
  </si>
  <si>
    <t xml:space="preserve"> 32.44 </t>
  </si>
  <si>
    <t xml:space="preserve">C:\Users\andre\Desktop\REACTIV CEFAS\Anastrozole\Anastrozole/20201125_Cefas_Test7_Run2/Plate 2/@10/B4_01.tif </t>
  </si>
  <si>
    <t xml:space="preserve"> 38.4297 </t>
  </si>
  <si>
    <t xml:space="preserve">C:\Users\andre\Desktop\REACTIV CEFAS\Anastrozole\Anastrozole/20201125_Cefas_Test7_Run2/Plate 2/@10/B4_02.tif </t>
  </si>
  <si>
    <t xml:space="preserve"> 6878.3065 </t>
  </si>
  <si>
    <t xml:space="preserve"> 39.8428 </t>
  </si>
  <si>
    <t xml:space="preserve">C:\Users\andre\Desktop\REACTIV CEFAS\Anastrozole\Anastrozole/20201125_Cefas_Test7_Run2/Plate 2/@10/B4_03.tif </t>
  </si>
  <si>
    <t xml:space="preserve"> 4823.4665 </t>
  </si>
  <si>
    <t xml:space="preserve"> 40.8117 </t>
  </si>
  <si>
    <t xml:space="preserve">C:\Users\andre\Desktop\REACTIV CEFAS\Anastrozole\Anastrozole/20201125_Cefas_Test7_Run2/Plate 2/@10/C4_01.tif </t>
  </si>
  <si>
    <t xml:space="preserve"> 605.637 </t>
  </si>
  <si>
    <t xml:space="preserve">C:\Users\andre\Desktop\REACTIV CEFAS\Anastrozole\Anastrozole/20201125_Cefas_Test7_Run2/Plate 2/@10/C4_02.tif </t>
  </si>
  <si>
    <t xml:space="preserve"> 37.8704 </t>
  </si>
  <si>
    <t xml:space="preserve">C:\Users\andre\Desktop\REACTIV CEFAS\Anastrozole\Anastrozole/20201125_Cefas_Test7_Run2/Plate 2/@10/C4_03.tif </t>
  </si>
  <si>
    <t xml:space="preserve"> 42.1107 </t>
  </si>
  <si>
    <t xml:space="preserve">C:\Users\andre\Desktop\REACTIV CEFAS\Anastrozole\Anastrozole/20201125_Cefas_Test7_Run2/Plate 2/@10/D4_01.tif </t>
  </si>
  <si>
    <t xml:space="preserve"> 36.4072 </t>
  </si>
  <si>
    <t xml:space="preserve">C:\Users\andre\Desktop\REACTIV CEFAS\Anastrozole\Anastrozole/20201125_Cefas_Test7_Run2/Plate 2/@10/D4_02.tif </t>
  </si>
  <si>
    <t xml:space="preserve"> 34.6554 </t>
  </si>
  <si>
    <t xml:space="preserve">C:\Users\andre\Desktop\REACTIV CEFAS\Anastrozole\Anastrozole/20201125_Cefas_Test7_Run2/Plate 2/@10/D4_03.tif </t>
  </si>
  <si>
    <t xml:space="preserve"> 33.9474 </t>
  </si>
  <si>
    <t xml:space="preserve">C:\Users\andre\Desktop\REACTIV CEFAS\Anastrozole\Anastrozole/20201125_Cefas_Test7_Run2/Plate 2/@10/E4_01.tif </t>
  </si>
  <si>
    <t xml:space="preserve">C:\Users\andre\Desktop\REACTIV CEFAS\Anastrozole\Anastrozole/20201125_Cefas_Test7_Run2/Plate 2/@10/E4_02.tif </t>
  </si>
  <si>
    <t xml:space="preserve"> 33.21 </t>
  </si>
  <si>
    <t xml:space="preserve">C:\Users\andre\Desktop\REACTIV CEFAS\Anastrozole\Anastrozole/20201125_Cefas_Test7_Run2/Plate 2/@10/E4_03.tif </t>
  </si>
  <si>
    <t xml:space="preserve"> 35.4301 </t>
  </si>
  <si>
    <t xml:space="preserve">C:\Users\andre\Desktop\REACTIV CEFAS\Anastrozole\Anastrozole/20201125_Cefas_Test7_Run2/Plate 2/@10/F4_01.tif </t>
  </si>
  <si>
    <t xml:space="preserve"> 35.1676 </t>
  </si>
  <si>
    <t xml:space="preserve">C:\Users\andre\Desktop\REACTIV CEFAS\Anastrozole\Anastrozole/20201125_Cefas_Test7_Run2/Plate 2/@10/F4_02.tif </t>
  </si>
  <si>
    <t xml:space="preserve"> 2530.6977 </t>
  </si>
  <si>
    <t xml:space="preserve"> 34.4701 </t>
  </si>
  <si>
    <t xml:space="preserve">C:\Users\andre\Desktop\REACTIV CEFAS\Anastrozole\Anastrozole/20201125_Cefas_Test7_Run2/Plate 2/@10/F4_03.tif </t>
  </si>
  <si>
    <t xml:space="preserve">C:\Users\andre\Desktop\REACTIV CEFAS\Anastrozole\Anastrozole/20201125_Cefas_Test7_Run2/Plate 2/@10/G4_01.tif </t>
  </si>
  <si>
    <t xml:space="preserve"> 40.117 </t>
  </si>
  <si>
    <t xml:space="preserve">C:\Users\andre\Desktop\REACTIV CEFAS\Anastrozole\Anastrozole/20201125_Cefas_Test7_Run2/Plate 2/@10/G4_02.tif </t>
  </si>
  <si>
    <t xml:space="preserve"> 42.9079 </t>
  </si>
  <si>
    <t xml:space="preserve">C:\Users\andre\Desktop\REACTIV CEFAS\Anastrozole\Anastrozole/20201125_Cefas_Test7_Run2/Plate 2/@10/G4_03.tif </t>
  </si>
  <si>
    <t xml:space="preserve"> 38.5551 </t>
  </si>
  <si>
    <t xml:space="preserve">C:\Users\andre\Desktop\REACTIV CEFAS\Anastrozole\Anastrozole/20201125_Cefas_Test7_Run2/Plate 2/@10/H4_01.tif </t>
  </si>
  <si>
    <t xml:space="preserve"> 237.9288 </t>
  </si>
  <si>
    <t xml:space="preserve"> 30.5455 </t>
  </si>
  <si>
    <t xml:space="preserve">C:\Users\andre\Desktop\REACTIV CEFAS\Anastrozole\Anastrozole/20201125_Cefas_Test7_Run2/Plate 2/@10/H4_02.tif </t>
  </si>
  <si>
    <t xml:space="preserve"> 32.0645 </t>
  </si>
  <si>
    <t xml:space="preserve">C:\Users\andre\Desktop\REACTIV CEFAS\Anastrozole\Anastrozole/20201125_Cefas_Test7_Run2/Plate 2/@10/H4_03.tif </t>
  </si>
  <si>
    <t xml:space="preserve"> 2422.5482 </t>
  </si>
  <si>
    <t xml:space="preserve"> 33.5625 </t>
  </si>
  <si>
    <t xml:space="preserve">C:\Users\andre\Desktop\REACTIV CEFAS\Anastrozole\Anastrozole/20201125_Cefas_Test7_Run2/Plate 2/@10/ </t>
  </si>
  <si>
    <t xml:space="preserve"> 34.3537 </t>
  </si>
  <si>
    <t xml:space="preserve"> 8.0883 </t>
  </si>
  <si>
    <t xml:space="preserve"> 134988.625 </t>
  </si>
  <si>
    <t xml:space="preserve"> 114125.981 </t>
  </si>
  <si>
    <t xml:space="preserve">C:\Users\andre\Desktop\REACTIV CEFAS\Anastrozole\Anastrozole/20201125_Cefas_Test7_Run2/Plate 2/@11/A5_01.tif </t>
  </si>
  <si>
    <t xml:space="preserve"> 1968.3204 </t>
  </si>
  <si>
    <t xml:space="preserve"> 32.8242 </t>
  </si>
  <si>
    <t xml:space="preserve">C:\Users\andre\Desktop\REACTIV CEFAS\Anastrozole\Anastrozole/20201125_Cefas_Test7_Run2/Plate 2/@11/A5_02.tif </t>
  </si>
  <si>
    <t xml:space="preserve"> 35.2445 </t>
  </si>
  <si>
    <t xml:space="preserve">C:\Users\andre\Desktop\REACTIV CEFAS\Anastrozole\Anastrozole/20201125_Cefas_Test7_Run2/Plate 2/@11/A5_03.tif </t>
  </si>
  <si>
    <t xml:space="preserve"> 36.8483 </t>
  </si>
  <si>
    <t xml:space="preserve">C:\Users\andre\Desktop\REACTIV CEFAS\Anastrozole\Anastrozole/20201125_Cefas_Test7_Run2/Plate 2/@11/B5_01.tif </t>
  </si>
  <si>
    <t xml:space="preserve"> 35.6256 </t>
  </si>
  <si>
    <t>C:\Users\andre\Desktop\REACTIV CEFAS\Anastrozole\Anastrozole/20201125_Cefas_Test7_Run2/Plate 2/@11/B5_02- exclu.tif</t>
  </si>
  <si>
    <t xml:space="preserve">C:\Users\andre\Desktop\REACTIV CEFAS\Anastrozole\Anastrozole/20201125_Cefas_Test7_Run2/Plate 2/@11/B5_03.tif </t>
  </si>
  <si>
    <t xml:space="preserve"> 3439.1532 </t>
  </si>
  <si>
    <t xml:space="preserve"> 35.9811 </t>
  </si>
  <si>
    <t>C:\Users\andre\Desktop\REACTIV CEFAS\Anastrozole\Anastrozole/20201125_Cefas_Test7_Run2/Plate 2/@11/C5_01- exclu.tif</t>
  </si>
  <si>
    <t>C:\Users\andre\Desktop\REACTIV CEFAS\Anastrozole\Anastrozole/20201125_Cefas_Test7_Run2/Plate 2/@11/C5_02- exclu.tif</t>
  </si>
  <si>
    <t>C:\Users\andre\Desktop\REACTIV CEFAS\Anastrozole\Anastrozole/20201125_Cefas_Test7_Run2/Plate 2/@11/C5_03- exclu.tif</t>
  </si>
  <si>
    <t xml:space="preserve">C:\Users\andre\Desktop\REACTIV CEFAS\Anastrozole\Anastrozole/20201125_Cefas_Test7_Run2/Plate 2/@11/D5_01.tif </t>
  </si>
  <si>
    <t xml:space="preserve"> 5472.3633 </t>
  </si>
  <si>
    <t xml:space="preserve"> 41.2055 </t>
  </si>
  <si>
    <t xml:space="preserve">C:\Users\andre\Desktop\REACTIV CEFAS\Anastrozole\Anastrozole/20201125_Cefas_Test7_Run2/Plate 2/@11/D5_02.tif </t>
  </si>
  <si>
    <t xml:space="preserve"> 10706.7978 </t>
  </si>
  <si>
    <t xml:space="preserve"> 40.9131 </t>
  </si>
  <si>
    <t xml:space="preserve">C:\Users\andre\Desktop\REACTIV CEFAS\Anastrozole\Anastrozole/20201125_Cefas_Test7_Run2/Plate 2/@11/D5_03.tif </t>
  </si>
  <si>
    <t xml:space="preserve"> 10339.0896 </t>
  </si>
  <si>
    <t xml:space="preserve"> 40.8326 </t>
  </si>
  <si>
    <t xml:space="preserve">C:\Users\andre\Desktop\REACTIV CEFAS\Anastrozole\Anastrozole/20201125_Cefas_Test7_Run2/Plate 2/@11/E5_01.tif </t>
  </si>
  <si>
    <t xml:space="preserve"> 36.4509 </t>
  </si>
  <si>
    <t xml:space="preserve">C:\Users\andre\Desktop\REACTIV CEFAS\Anastrozole\Anastrozole/20201125_Cefas_Test7_Run2/Plate 2/@11/E5_02.tif </t>
  </si>
  <si>
    <t xml:space="preserve"> 3244.4842 </t>
  </si>
  <si>
    <t xml:space="preserve"> 35.0533 </t>
  </si>
  <si>
    <t xml:space="preserve">C:\Users\andre\Desktop\REACTIV CEFAS\Anastrozole\Anastrozole/20201125_Cefas_Test7_Run2/Plate 2/@11/E5_03.tif </t>
  </si>
  <si>
    <t xml:space="preserve"> 3006.5554 </t>
  </si>
  <si>
    <t xml:space="preserve"> 37.259 </t>
  </si>
  <si>
    <t xml:space="preserve">C:\Users\andre\Desktop\REACTIV CEFAS\Anastrozole\Anastrozole/20201125_Cefas_Test7_Run2/Plate 2/@11/F5_01.tif </t>
  </si>
  <si>
    <t xml:space="preserve"> 31.6964 </t>
  </si>
  <si>
    <t xml:space="preserve">C:\Users\andre\Desktop\REACTIV CEFAS\Anastrozole\Anastrozole/20201125_Cefas_Test7_Run2/Plate 2/@11/F5_02.tif </t>
  </si>
  <si>
    <t xml:space="preserve"> 8305.8795 </t>
  </si>
  <si>
    <t xml:space="preserve"> 41.0807 </t>
  </si>
  <si>
    <t xml:space="preserve">C:\Users\andre\Desktop\REACTIV CEFAS\Anastrozole\Anastrozole/20201125_Cefas_Test7_Run2/Plate 2/@11/F5_03.tif </t>
  </si>
  <si>
    <t xml:space="preserve"> 10036.2711 </t>
  </si>
  <si>
    <t xml:space="preserve"> 43.7457 </t>
  </si>
  <si>
    <t xml:space="preserve">C:\Users\andre\Desktop\REACTIV CEFAS\Anastrozole\Anastrozole/20201125_Cefas_Test7_Run2/Plate 2/@11/G5_01.tif </t>
  </si>
  <si>
    <t xml:space="preserve"> 7116.2353 </t>
  </si>
  <si>
    <t xml:space="preserve"> 42.304 </t>
  </si>
  <si>
    <t xml:space="preserve">C:\Users\andre\Desktop\REACTIV CEFAS\Anastrozole\Anastrozole/20201125_Cefas_Test7_Run2/Plate 2/@11/G5_02.tif </t>
  </si>
  <si>
    <t xml:space="preserve"> 39.8966 </t>
  </si>
  <si>
    <t xml:space="preserve">C:\Users\andre\Desktop\REACTIV CEFAS\Anastrozole\Anastrozole/20201125_Cefas_Test7_Run2/Plate 2/@11/G5_03.tif </t>
  </si>
  <si>
    <t xml:space="preserve"> 11939.7018 </t>
  </si>
  <si>
    <t xml:space="preserve"> 42.1141 </t>
  </si>
  <si>
    <t xml:space="preserve">C:\Users\andre\Desktop\REACTIV CEFAS\Anastrozole\Anastrozole/20201125_Cefas_Test7_Run2/Plate 2/@11/H5_01.tif </t>
  </si>
  <si>
    <t xml:space="preserve"> 39.2244 </t>
  </si>
  <si>
    <t xml:space="preserve">C:\Users\andre\Desktop\REACTIV CEFAS\Anastrozole\Anastrozole/20201125_Cefas_Test7_Run2/Plate 2/@11/H5_02.tif </t>
  </si>
  <si>
    <t xml:space="preserve"> 38.3409 </t>
  </si>
  <si>
    <t xml:space="preserve">C:\Users\andre\Desktop\REACTIV CEFAS\Anastrozole\Anastrozole/20201125_Cefas_Test7_Run2/Plate 2/@11/H5_03.tif </t>
  </si>
  <si>
    <t xml:space="preserve"> 37.122 </t>
  </si>
  <si>
    <t xml:space="preserve">C:\Users\andre\Desktop\REACTIV CEFAS\Anastrozole\Anastrozole/20201125_Cefas_Test7_Run2/Plate 2/@11/ </t>
  </si>
  <si>
    <t xml:space="preserve"> 38.5756 </t>
  </si>
  <si>
    <t xml:space="preserve"> 3.506 </t>
  </si>
  <si>
    <t xml:space="preserve"> 254417.167 </t>
  </si>
  <si>
    <t xml:space="preserve"> 153150.131 </t>
  </si>
  <si>
    <t>C:\Users\andre\Desktop\REACTIV CEFAS\Anastrozole\Anastrozole/20201125_Cefas_Test7_Run2/Plate 2/@12/A6_01- exclu.tif</t>
  </si>
  <si>
    <t>C:\Users\andre\Desktop\REACTIV CEFAS\Anastrozole\Anastrozole/20201125_Cefas_Test7_Run2/Plate 2/@12/A6_02- exclu.tif</t>
  </si>
  <si>
    <t>C:\Users\andre\Desktop\REACTIV CEFAS\Anastrozole\Anastrozole/20201125_Cefas_Test7_Run2/Plate 2/@12/A6_03- exclu.tif</t>
  </si>
  <si>
    <t xml:space="preserve">C:\Users\andre\Desktop\REACTIV CEFAS\Anastrozole\Anastrozole/20201125_Cefas_Test7_Run2/Plate 2/@12/B6_01.tif </t>
  </si>
  <si>
    <t xml:space="preserve"> 6791.7869 </t>
  </si>
  <si>
    <t xml:space="preserve"> 38.0605 </t>
  </si>
  <si>
    <t xml:space="preserve">C:\Users\andre\Desktop\REACTIV CEFAS\Anastrozole\Anastrozole/20201125_Cefas_Test7_Run2/Plate 2/@12/B6_02.tif </t>
  </si>
  <si>
    <t xml:space="preserve"> 42.4185 </t>
  </si>
  <si>
    <t>C:\Users\andre\Desktop\REACTIV CEFAS\Anastrozole\Anastrozole/20201125_Cefas_Test7_Run2/Plate 2/@12/B6_03- exclu.tif</t>
  </si>
  <si>
    <t>C:\Users\andre\Desktop\REACTIV CEFAS\Anastrozole\Anastrozole/20201125_Cefas_Test7_Run2/Plate 2/@12/C6_01- exclu.tif</t>
  </si>
  <si>
    <t xml:space="preserve">C:\Users\andre\Desktop\REACTIV CEFAS\Anastrozole\Anastrozole/20201125_Cefas_Test7_Run2/Plate 2/@12/C6_02.tif </t>
  </si>
  <si>
    <t xml:space="preserve"> 11766.6627 </t>
  </si>
  <si>
    <t xml:space="preserve"> 47.8511 </t>
  </si>
  <si>
    <t>C:\Users\andre\Desktop\REACTIV CEFAS\Anastrozole\Anastrozole/20201125_Cefas_Test7_Run2/Plate 2/@12/C6_03- exclu.tif</t>
  </si>
  <si>
    <t xml:space="preserve">C:\Users\andre\Desktop\REACTIV CEFAS\Anastrozole\Anastrozole/20201125_Cefas_Test7_Run2/Plate 2/@12/D6_01.tif </t>
  </si>
  <si>
    <t xml:space="preserve"> 11161.0256 </t>
  </si>
  <si>
    <t xml:space="preserve"> 42.6492 </t>
  </si>
  <si>
    <t xml:space="preserve">C:\Users\andre\Desktop\REACTIV CEFAS\Anastrozole\Anastrozole/20201125_Cefas_Test7_Run2/Plate 2/@12/D6_02.tif </t>
  </si>
  <si>
    <t xml:space="preserve"> 42.5961 </t>
  </si>
  <si>
    <t>C:\Users\andre\Desktop\REACTIV CEFAS\Anastrozole\Anastrozole/20201125_Cefas_Test7_Run2/Plate 2/@12/D6_03- exclu.tif</t>
  </si>
  <si>
    <t xml:space="preserve">C:\Users\andre\Desktop\REACTIV CEFAS\Anastrozole\Anastrozole/20201125_Cefas_Test7_Run2/Plate 2/@12/E6_01.tif </t>
  </si>
  <si>
    <t xml:space="preserve"> 33.1161 </t>
  </si>
  <si>
    <t xml:space="preserve">C:\Users\andre\Desktop\REACTIV CEFAS\Anastrozole\Anastrozole/20201125_Cefas_Test7_Run2/Plate 2/@12/E6_02.tif </t>
  </si>
  <si>
    <t xml:space="preserve"> 31.1429 </t>
  </si>
  <si>
    <t xml:space="preserve">C:\Users\andre\Desktop\REACTIV CEFAS\Anastrozole\Anastrozole/20201125_Cefas_Test7_Run2/Plate 2/@12/E6_03.tif </t>
  </si>
  <si>
    <t xml:space="preserve"> 19034.3073 </t>
  </si>
  <si>
    <t xml:space="preserve"> 34.0216 </t>
  </si>
  <si>
    <t xml:space="preserve">C:\Users\andre\Desktop\REACTIV CEFAS\Anastrozole\Anastrozole/20201125_Cefas_Test7_Run2/Plate 2/@12/F6_01.tif </t>
  </si>
  <si>
    <t xml:space="preserve">C:\Users\andre\Desktop\REACTIV CEFAS\Anastrozole\Anastrozole/20201125_Cefas_Test7_Run2/Plate 2/@12/F6_02.tif </t>
  </si>
  <si>
    <t xml:space="preserve"> 31.9706 </t>
  </si>
  <si>
    <t xml:space="preserve">C:\Users\andre\Desktop\REACTIV CEFAS\Anastrozole\Anastrozole/20201125_Cefas_Test7_Run2/Plate 2/@12/F6_03.tif </t>
  </si>
  <si>
    <t xml:space="preserve"> 778.6762 </t>
  </si>
  <si>
    <t xml:space="preserve"> 32.9722 </t>
  </si>
  <si>
    <t xml:space="preserve">C:\Users\andre\Desktop\REACTIV CEFAS\Anastrozole\Anastrozole/20201125_Cefas_Test7_Run2/Plate 2/@12/G6_01.tif </t>
  </si>
  <si>
    <t xml:space="preserve"> 37.9419 </t>
  </si>
  <si>
    <t xml:space="preserve">C:\Users\andre\Desktop\REACTIV CEFAS\Anastrozole\Anastrozole/20201125_Cefas_Test7_Run2/Plate 2/@12/G6_02.tif </t>
  </si>
  <si>
    <t xml:space="preserve"> 7483.9435 </t>
  </si>
  <si>
    <t xml:space="preserve"> 38.2457 </t>
  </si>
  <si>
    <t xml:space="preserve">C:\Users\andre\Desktop\REACTIV CEFAS\Anastrozole\Anastrozole/20201125_Cefas_Test7_Run2/Plate 2/@12/G6_03.tif </t>
  </si>
  <si>
    <t xml:space="preserve"> 39.5549 </t>
  </si>
  <si>
    <t xml:space="preserve">C:\Users\andre\Desktop\REACTIV CEFAS\Anastrozole\Anastrozole/20201125_Cefas_Test7_Run2/Plate 2/@12/H6_01.tif </t>
  </si>
  <si>
    <t xml:space="preserve"> 35.6992 </t>
  </si>
  <si>
    <t xml:space="preserve">C:\Users\andre\Desktop\REACTIV CEFAS\Anastrozole\Anastrozole/20201125_Cefas_Test7_Run2/Plate 2/@12/H6_02.tif </t>
  </si>
  <si>
    <t xml:space="preserve"> 39.0543 </t>
  </si>
  <si>
    <t xml:space="preserve">C:\Users\andre\Desktop\REACTIV CEFAS\Anastrozole\Anastrozole/20201125_Cefas_Test7_Run2/Plate 2/@12/H6_03.tif </t>
  </si>
  <si>
    <t xml:space="preserve">C:\Users\andre\Desktop\REACTIV CEFAS\Anastrozole\Anastrozole/20201125_Cefas_Test7_Run2/Plate 2/@12/ </t>
  </si>
  <si>
    <t xml:space="preserve"> 34.1805 </t>
  </si>
  <si>
    <t xml:space="preserve"> 13.8633 </t>
  </si>
  <si>
    <t xml:space="preserve"> 313080.958 </t>
  </si>
  <si>
    <t xml:space="preserve"> 204910.321 </t>
  </si>
  <si>
    <t>C:\Users\andre\Desktop\REACTIV CEFAS\Anastrozole\Anastrozole/20201125_Cefas_Test7_Run2/Plate 2/@17/A8_01- exclu.tif</t>
  </si>
  <si>
    <t>C:\Users\andre\Desktop\REACTIV CEFAS\Anastrozole\Anastrozole/20201125_Cefas_Test7_Run2/Plate 2/@17/A8_02- exclu.tif</t>
  </si>
  <si>
    <t>C:\Users\andre\Desktop\REACTIV CEFAS\Anastrozole\Anastrozole/20201125_Cefas_Test7_Run2/Plate 2/@17/A8_03- exclu.tif</t>
  </si>
  <si>
    <t xml:space="preserve">C:\Users\andre\Desktop\REACTIV CEFAS\Anastrozole\Anastrozole/20201125_Cefas_Test7_Run2/Plate 2/@17/B8_01.tif </t>
  </si>
  <si>
    <t xml:space="preserve"> 35.0985 </t>
  </si>
  <si>
    <t xml:space="preserve">C:\Users\andre\Desktop\REACTIV CEFAS\Anastrozole\Anastrozole/20201125_Cefas_Test7_Run2/Plate 2/@17/B8_02.tif </t>
  </si>
  <si>
    <t xml:space="preserve">C:\Users\andre\Desktop\REACTIV CEFAS\Anastrozole\Anastrozole/20201125_Cefas_Test7_Run2/Plate 2/@17/B8_03.tif </t>
  </si>
  <si>
    <t xml:space="preserve"> 33.6538 </t>
  </si>
  <si>
    <t xml:space="preserve">C:\Users\andre\Desktop\REACTIV CEFAS\Anastrozole\Anastrozole/20201125_Cefas_Test7_Run2/Plate 2/@17/C8_01.tif </t>
  </si>
  <si>
    <t xml:space="preserve"> 9430.6341 </t>
  </si>
  <si>
    <t xml:space="preserve"> 38.4702 </t>
  </si>
  <si>
    <t xml:space="preserve">C:\Users\andre\Desktop\REACTIV CEFAS\Anastrozole\Anastrozole/20201125_Cefas_Test7_Run2/Plate 2/@17/C8_02.tif </t>
  </si>
  <si>
    <t xml:space="preserve"> 38.649 </t>
  </si>
  <si>
    <t xml:space="preserve">C:\Users\andre\Desktop\REACTIV CEFAS\Anastrozole\Anastrozole/20201125_Cefas_Test7_Run2/Plate 2/@17/C8_03.tif </t>
  </si>
  <si>
    <t xml:space="preserve"> 38.441 </t>
  </si>
  <si>
    <t xml:space="preserve">C:\Users\andre\Desktop\REACTIV CEFAS\Anastrozole\Anastrozole/20201125_Cefas_Test7_Run2/Plate 2/@17/D8_01.tif </t>
  </si>
  <si>
    <t xml:space="preserve"> 38.3333 </t>
  </si>
  <si>
    <t xml:space="preserve">C:\Users\andre\Desktop\REACTIV CEFAS\Anastrozole\Anastrozole/20201125_Cefas_Test7_Run2/Plate 2/@17/D8_02.tif </t>
  </si>
  <si>
    <t xml:space="preserve"> 5688.6623 </t>
  </si>
  <si>
    <t xml:space="preserve"> 40.2167 </t>
  </si>
  <si>
    <t xml:space="preserve">C:\Users\andre\Desktop\REACTIV CEFAS\Anastrozole\Anastrozole/20201125_Cefas_Test7_Run2/Plate 2/@17/D8_03.tif </t>
  </si>
  <si>
    <t xml:space="preserve"> 33.2692 </t>
  </si>
  <si>
    <t xml:space="preserve">C:\Users\andre\Desktop\REACTIV CEFAS\Anastrozole\Anastrozole/20201125_Cefas_Test7_Run2/Plate 2/@17/E8_01.tif </t>
  </si>
  <si>
    <t xml:space="preserve"> 3093.0749 </t>
  </si>
  <si>
    <t xml:space="preserve"> 36.5175 </t>
  </si>
  <si>
    <t xml:space="preserve">C:\Users\andre\Desktop\REACTIV CEFAS\Anastrozole\Anastrozole/20201125_Cefas_Test7_Run2/Plate 2/@17/E8_02.tif </t>
  </si>
  <si>
    <t xml:space="preserve"> 31.2222 </t>
  </si>
  <si>
    <t xml:space="preserve">C:\Users\andre\Desktop\REACTIV CEFAS\Anastrozole\Anastrozole/20201125_Cefas_Test7_Run2/Plate 2/@17/E8_03.tif </t>
  </si>
  <si>
    <t xml:space="preserve">C:\Users\andre\Desktop\REACTIV CEFAS\Anastrozole\Anastrozole/20201125_Cefas_Test7_Run2/Plate 2/@17/F8_01.tif </t>
  </si>
  <si>
    <t xml:space="preserve"> 7419.0539 </t>
  </si>
  <si>
    <t xml:space="preserve"> 39.2303 </t>
  </si>
  <si>
    <t xml:space="preserve">C:\Users\andre\Desktop\REACTIV CEFAS\Anastrozole\Anastrozole/20201125_Cefas_Test7_Run2/Plate 2/@17/F8_02.tif </t>
  </si>
  <si>
    <t xml:space="preserve"> 8954.7764 </t>
  </si>
  <si>
    <t xml:space="preserve"> 38.9855 </t>
  </si>
  <si>
    <t>C:\Users\andre\Desktop\REACTIV CEFAS\Anastrozole\Anastrozole/20201125_Cefas_Test7_Run2/Plate 2/@17/F8_03- exclu.tif</t>
  </si>
  <si>
    <t xml:space="preserve">C:\Users\andre\Desktop\REACTIV CEFAS\Anastrozole\Anastrozole/20201125_Cefas_Test7_Run2/Plate 2/@17/G8_01.tif </t>
  </si>
  <si>
    <t xml:space="preserve"> 31.8095 </t>
  </si>
  <si>
    <t xml:space="preserve">C:\Users\andre\Desktop\REACTIV CEFAS\Anastrozole\Anastrozole/20201125_Cefas_Test7_Run2/Plate 2/@17/G8_02.tif </t>
  </si>
  <si>
    <t xml:space="preserve"> 33.3455 </t>
  </si>
  <si>
    <t>C:\Users\andre\Desktop\REACTIV CEFAS\Anastrozole\Anastrozole/20201125_Cefas_Test7_Run2/Plate 2/@17/G8_03- exclu.tif</t>
  </si>
  <si>
    <t xml:space="preserve">C:\Users\andre\Desktop\REACTIV CEFAS\Anastrozole\Anastrozole/20201125_Cefas_Test7_Run2/Plate 2/@17/H8_01.tif </t>
  </si>
  <si>
    <t xml:space="preserve"> 37.4886 </t>
  </si>
  <si>
    <t xml:space="preserve">C:\Users\andre\Desktop\REACTIV CEFAS\Anastrozole\Anastrozole/20201125_Cefas_Test7_Run2/Plate 2/@17/H8_02.tif </t>
  </si>
  <si>
    <t xml:space="preserve"> 3352.6337 </t>
  </si>
  <si>
    <t xml:space="preserve">C:\Users\andre\Desktop\REACTIV CEFAS\Anastrozole\Anastrozole/20201125_Cefas_Test7_Run2/Plate 2/@17/H8_03.tif </t>
  </si>
  <si>
    <t xml:space="preserve"> 35.6989 </t>
  </si>
  <si>
    <t xml:space="preserve">C:\Users\andre\Desktop\REACTIV CEFAS\Anastrozole\Anastrozole/20201125_Cefas_Test7_Run2/Plate 2/@17/ </t>
  </si>
  <si>
    <t xml:space="preserve"> 36.1069 </t>
  </si>
  <si>
    <t xml:space="preserve"> 3.5834 </t>
  </si>
  <si>
    <t xml:space="preserve"> 181982.917 </t>
  </si>
  <si>
    <t xml:space="preserve"> 144106.733 </t>
  </si>
  <si>
    <t>C:\Users\andre\Desktop\REACTIV CEFAS\Anastrozole\Anastrozole/20201125_Cefas_Test7_Run2/Plate 2/@18/A9_01- exclu.tif</t>
  </si>
  <si>
    <t>C:\Users\andre\Desktop\REACTIV CEFAS\Anastrozole\Anastrozole/20201125_Cefas_Test7_Run2/Plate 2/@18/A9_02- exclu.tif</t>
  </si>
  <si>
    <t>C:\Users\andre\Desktop\REACTIV CEFAS\Anastrozole\Anastrozole/20201125_Cefas_Test7_Run2/Plate 2/@18/A9_03- exclu.tif</t>
  </si>
  <si>
    <t xml:space="preserve">C:\Users\andre\Desktop\REACTIV CEFAS\Anastrozole\Anastrozole/20201125_Cefas_Test7_Run2/Plate 2/@18/B9_01.tif </t>
  </si>
  <si>
    <t xml:space="preserve"> 42.6773 </t>
  </si>
  <si>
    <t xml:space="preserve">C:\Users\andre\Desktop\REACTIV CEFAS\Anastrozole\Anastrozole/20201125_Cefas_Test7_Run2/Plate 2/@18/B9_02.tif </t>
  </si>
  <si>
    <t xml:space="preserve"> 42.264 </t>
  </si>
  <si>
    <t>C:\Users\andre\Desktop\REACTIV CEFAS\Anastrozole\Anastrozole/20201125_Cefas_Test7_Run2/Plate 2/@18/B9_03- exclu.tif</t>
  </si>
  <si>
    <t xml:space="preserve">C:\Users\andre\Desktop\REACTIV CEFAS\Anastrozole\Anastrozole/20201125_Cefas_Test7_Run2/Plate 2/@18/C9_01.tif </t>
  </si>
  <si>
    <t xml:space="preserve"> 35.1064 </t>
  </si>
  <si>
    <t xml:space="preserve">C:\Users\andre\Desktop\REACTIV CEFAS\Anastrozole\Anastrozole/20201125_Cefas_Test7_Run2/Plate 2/@18/C9_02.tif </t>
  </si>
  <si>
    <t xml:space="preserve"> 2746.9966 </t>
  </si>
  <si>
    <t xml:space="preserve"> 35.6693 </t>
  </si>
  <si>
    <t xml:space="preserve">C:\Users\andre\Desktop\REACTIV CEFAS\Anastrozole\Anastrozole/20201125_Cefas_Test7_Run2/Plate 2/@18/C9_03.tif </t>
  </si>
  <si>
    <t xml:space="preserve"> 34.8095 </t>
  </si>
  <si>
    <t xml:space="preserve">C:\Users\andre\Desktop\REACTIV CEFAS\Anastrozole\Anastrozole/20201125_Cefas_Test7_Run2/Plate 2/@18/D9_01.tif </t>
  </si>
  <si>
    <t xml:space="preserve"> 3677.0821 </t>
  </si>
  <si>
    <t xml:space="preserve"> 35.9059 </t>
  </si>
  <si>
    <t xml:space="preserve">C:\Users\andre\Desktop\REACTIV CEFAS\Anastrozole\Anastrozole/20201125_Cefas_Test7_Run2/Plate 2/@18/D9_02.tif </t>
  </si>
  <si>
    <t xml:space="preserve"> 35.2925 </t>
  </si>
  <si>
    <t xml:space="preserve">C:\Users\andre\Desktop\REACTIV CEFAS\Anastrozole\Anastrozole/20201125_Cefas_Test7_Run2/Plate 2/@18/D9_03.tif </t>
  </si>
  <si>
    <t xml:space="preserve">C:\Users\andre\Desktop\REACTIV CEFAS\Anastrozole\Anastrozole/20201125_Cefas_Test7_Run2/Plate 2/@18/E9_01.tif </t>
  </si>
  <si>
    <t xml:space="preserve"> 40.5584 </t>
  </si>
  <si>
    <t xml:space="preserve">C:\Users\andre\Desktop\REACTIV CEFAS\Anastrozole\Anastrozole/20201125_Cefas_Test7_Run2/Plate 2/@18/E9_02.tif </t>
  </si>
  <si>
    <t xml:space="preserve"> 5147.9149 </t>
  </si>
  <si>
    <t xml:space="preserve"> 41.7269 </t>
  </si>
  <si>
    <t xml:space="preserve">C:\Users\andre\Desktop\REACTIV CEFAS\Anastrozole\Anastrozole/20201125_Cefas_Test7_Run2/Plate 2/@18/E9_03.tif </t>
  </si>
  <si>
    <t xml:space="preserve"> 39.9186 </t>
  </si>
  <si>
    <t xml:space="preserve">C:\Users\andre\Desktop\REACTIV CEFAS\Anastrozole\Anastrozole/20201125_Cefas_Test7_Run2/Plate 2/@18/F9_01.tif </t>
  </si>
  <si>
    <t xml:space="preserve"> 8695.2176 </t>
  </si>
  <si>
    <t xml:space="preserve"> 36.6169 </t>
  </si>
  <si>
    <t xml:space="preserve">C:\Users\andre\Desktop\REACTIV CEFAS\Anastrozole\Anastrozole/20201125_Cefas_Test7_Run2/Plate 2/@18/F9_02.tif </t>
  </si>
  <si>
    <t xml:space="preserve"> 7635.3528 </t>
  </si>
  <si>
    <t xml:space="preserve"> 36.6997 </t>
  </si>
  <si>
    <t>C:\Users\andre\Desktop\REACTIV CEFAS\Anastrozole\Anastrozole/20201125_Cefas_Test7_Run2/Plate 2/@18/F9_03- exclu.tif</t>
  </si>
  <si>
    <t xml:space="preserve">C:\Users\andre\Desktop\REACTIV CEFAS\Anastrozole\Anastrozole/20201125_Cefas_Test7_Run2/Plate 2/@18/G9_01.tif </t>
  </si>
  <si>
    <t xml:space="preserve"> 36.686 </t>
  </si>
  <si>
    <t xml:space="preserve">C:\Users\andre\Desktop\REACTIV CEFAS\Anastrozole\Anastrozole/20201125_Cefas_Test7_Run2/Plate 2/@18/G9_02.tif </t>
  </si>
  <si>
    <t xml:space="preserve"> 1427.573 </t>
  </si>
  <si>
    <t xml:space="preserve"> 32.8182 </t>
  </si>
  <si>
    <t xml:space="preserve">C:\Users\andre\Desktop\REACTIV CEFAS\Anastrozole\Anastrozole/20201125_Cefas_Test7_Run2/Plate 2/@18/G9_03.tif </t>
  </si>
  <si>
    <t xml:space="preserve"> 36.5321 </t>
  </si>
  <si>
    <t xml:space="preserve">C:\Users\andre\Desktop\REACTIV CEFAS\Anastrozole\Anastrozole/20201125_Cefas_Test7_Run2/Plate 2/@18/H9_01.tif </t>
  </si>
  <si>
    <t xml:space="preserve"> 35.6697 </t>
  </si>
  <si>
    <t xml:space="preserve">C:\Users\andre\Desktop\REACTIV CEFAS\Anastrozole\Anastrozole/20201125_Cefas_Test7_Run2/Plate 2/@18/H9_02.tif </t>
  </si>
  <si>
    <t xml:space="preserve"> 9733.4526 </t>
  </si>
  <si>
    <t xml:space="preserve"> 43.9067 </t>
  </si>
  <si>
    <t xml:space="preserve">C:\Users\andre\Desktop\REACTIV CEFAS\Anastrozole\Anastrozole/20201125_Cefas_Test7_Run2/Plate 2/@18/H9_03.tif </t>
  </si>
  <si>
    <t xml:space="preserve"> 45.2696 </t>
  </si>
  <si>
    <t xml:space="preserve">C:\Users\andre\Desktop\REACTIV CEFAS\Anastrozole\Anastrozole/20201125_Cefas_Test7_Run2/Plate 2/@18/ </t>
  </si>
  <si>
    <t xml:space="preserve"> 34.0231 </t>
  </si>
  <si>
    <t xml:space="preserve"> 11.2114 </t>
  </si>
  <si>
    <t xml:space="preserve"> 174562.208 </t>
  </si>
  <si>
    <t xml:space="preserve"> 136718.399 </t>
  </si>
  <si>
    <t xml:space="preserve">C:\Users\andre\Desktop\REACTIV CEFAS\Anastrozole\Anastrozole/20201125_Cefas_Test7_Run2/Plate 2/@19/A10_01.tif </t>
  </si>
  <si>
    <t xml:space="preserve"> 11009.6164 </t>
  </si>
  <si>
    <t xml:space="preserve"> 43.0923 </t>
  </si>
  <si>
    <t>C:\Users\andre\Desktop\REACTIV CEFAS\Anastrozole\Anastrozole/20201125_Cefas_Test7_Run2/Plate 2/@19/A10_02- exclu.tif</t>
  </si>
  <si>
    <t xml:space="preserve">C:\Users\andre\Desktop\REACTIV CEFAS\Anastrozole\Anastrozole/20201125_Cefas_Test7_Run2/Plate 2/@19/A10_03.tif </t>
  </si>
  <si>
    <t xml:space="preserve"> 15919.6024 </t>
  </si>
  <si>
    <t xml:space="preserve"> 48.2269 </t>
  </si>
  <si>
    <t xml:space="preserve">C:\Users\andre\Desktop\REACTIV CEFAS\Anastrozole\Anastrozole/20201125_Cefas_Test7_Run2/Plate 2/@19/B10_01.tif </t>
  </si>
  <si>
    <t xml:space="preserve"> 5083.0252 </t>
  </si>
  <si>
    <t xml:space="preserve">C:\Users\andre\Desktop\REACTIV CEFAS\Anastrozole\Anastrozole/20201125_Cefas_Test7_Run2/Plate 2/@19/B10_02.tif </t>
  </si>
  <si>
    <t xml:space="preserve">C:\Users\andre\Desktop\REACTIV CEFAS\Anastrozole\Anastrozole/20201125_Cefas_Test7_Run2/Plate 2/@19/B10_03.tif </t>
  </si>
  <si>
    <t xml:space="preserve"> 35.0556 </t>
  </si>
  <si>
    <t>C:\Users\andre\Desktop\REACTIV CEFAS\Anastrozole\Anastrozole/20201125_Cefas_Test7_Run2/Plate 2/@19/C10_01- exclu.tif</t>
  </si>
  <si>
    <t xml:space="preserve">C:\Users\andre\Desktop\REACTIV CEFAS\Anastrozole\Anastrozole/20201125_Cefas_Test7_Run2/Plate 2/@19/C10_02.tif </t>
  </si>
  <si>
    <t xml:space="preserve"> 35.376 </t>
  </si>
  <si>
    <t xml:space="preserve">C:\Users\andre\Desktop\REACTIV CEFAS\Anastrozole\Anastrozole/20201125_Cefas_Test7_Run2/Plate 2/@19/C10_03.tif </t>
  </si>
  <si>
    <t xml:space="preserve"> 35.2643 </t>
  </si>
  <si>
    <t xml:space="preserve">C:\Users\andre\Desktop\REACTIV CEFAS\Anastrozole\Anastrozole/20201125_Cefas_Test7_Run2/Plate 2/@19/D10_01.tif </t>
  </si>
  <si>
    <t xml:space="preserve">C:\Users\andre\Desktop\REACTIV CEFAS\Anastrozole\Anastrozole/20201125_Cefas_Test7_Run2/Plate 2/@19/D10_02.tif </t>
  </si>
  <si>
    <t xml:space="preserve"> 6164.52 </t>
  </si>
  <si>
    <t xml:space="preserve"> 34.7965 </t>
  </si>
  <si>
    <t xml:space="preserve">C:\Users\andre\Desktop\REACTIV CEFAS\Anastrozole\Anastrozole/20201125_Cefas_Test7_Run2/Plate 2/@19/D10_03.tif </t>
  </si>
  <si>
    <t xml:space="preserve">C:\Users\andre\Desktop\REACTIV CEFAS\Anastrozole\Anastrozole/20201125_Cefas_Test7_Run2/Plate 2/@19/E10_01.tif </t>
  </si>
  <si>
    <t xml:space="preserve"> 35.85 </t>
  </si>
  <si>
    <t xml:space="preserve">C:\Users\andre\Desktop\REACTIV CEFAS\Anastrozole\Anastrozole/20201125_Cefas_Test7_Run2/Plate 2/@19/E10_02.tif </t>
  </si>
  <si>
    <t xml:space="preserve"> 7072.9755 </t>
  </si>
  <si>
    <t xml:space="preserve"> 39.6177 </t>
  </si>
  <si>
    <t xml:space="preserve">C:\Users\andre\Desktop\REACTIV CEFAS\Anastrozole\Anastrozole/20201125_Cefas_Test7_Run2/Plate 2/@19/E10_03.tif </t>
  </si>
  <si>
    <t xml:space="preserve"> 41.0083 </t>
  </si>
  <si>
    <t>C:\Users\andre\Desktop\REACTIV CEFAS\Anastrozole\Anastrozole/20201125_Cefas_Test7_Run2/Plate 2/@19/F10_01- exclu.tif</t>
  </si>
  <si>
    <t>C:\Users\andre\Desktop\REACTIV CEFAS\Anastrozole\Anastrozole/20201125_Cefas_Test7_Run2/Plate 2/@19/F10_02- exclu.tif</t>
  </si>
  <si>
    <t>C:\Users\andre\Desktop\REACTIV CEFAS\Anastrozole\Anastrozole/20201125_Cefas_Test7_Run2/Plate 2/@19/F10_03- exclu.tif</t>
  </si>
  <si>
    <t xml:space="preserve">C:\Users\andre\Desktop\REACTIV CEFAS\Anastrozole\Anastrozole/20201125_Cefas_Test7_Run2/Plate 2/@19/G10_01.tif </t>
  </si>
  <si>
    <t xml:space="preserve"> 7505.5734 </t>
  </si>
  <si>
    <t xml:space="preserve"> 34.4582 </t>
  </si>
  <si>
    <t xml:space="preserve">C:\Users\andre\Desktop\REACTIV CEFAS\Anastrozole\Anastrozole/20201125_Cefas_Test7_Run2/Plate 2/@19/G10_02.tif </t>
  </si>
  <si>
    <t xml:space="preserve">C:\Users\andre\Desktop\REACTIV CEFAS\Anastrozole\Anastrozole/20201125_Cefas_Test7_Run2/Plate 2/@19/G10_03.tif </t>
  </si>
  <si>
    <t xml:space="preserve">C:\Users\andre\Desktop\REACTIV CEFAS\Anastrozole\Anastrozole/20201125_Cefas_Test7_Run2/Plate 2/@19/H10_01.tif </t>
  </si>
  <si>
    <t xml:space="preserve"> 648.8968 </t>
  </si>
  <si>
    <t xml:space="preserve"> 32.0333 </t>
  </si>
  <si>
    <t xml:space="preserve">C:\Users\andre\Desktop\REACTIV CEFAS\Anastrozole\Anastrozole/20201125_Cefas_Test7_Run2/Plate 2/@19/H10_02.tif </t>
  </si>
  <si>
    <t xml:space="preserve">C:\Users\andre\Desktop\REACTIV CEFAS\Anastrozole\Anastrozole/20201125_Cefas_Test7_Run2/Plate 2/@19/H10_03.tif </t>
  </si>
  <si>
    <t xml:space="preserve">C:\Users\andre\Desktop\REACTIV CEFAS\Anastrozole\Anastrozole/20201125_Cefas_Test7_Run2/Plate 2/@19/ </t>
  </si>
  <si>
    <t xml:space="preserve"> 28.9637 </t>
  </si>
  <si>
    <t xml:space="preserve"> 18.0199 </t>
  </si>
  <si>
    <t xml:space="preserve"> 231309.167 </t>
  </si>
  <si>
    <t xml:space="preserve"> 274772.238 </t>
  </si>
  <si>
    <t>C:\Users\andre\Desktop\REACTIV CEFAS\Anastrozole\Anastrozole/20201125_Cefas_Test7_Run2/Plate 2/@20/A11_01- exclu.tif</t>
  </si>
  <si>
    <t>C:\Users\andre\Desktop\REACTIV CEFAS\Anastrozole\Anastrozole/20201125_Cefas_Test7_Run2/Plate 2/@20/A11_02- exclu.tif</t>
  </si>
  <si>
    <t>C:\Users\andre\Desktop\REACTIV CEFAS\Anastrozole\Anastrozole/20201125_Cefas_Test7_Run2/Plate 2/@20/A11_03- exclu.tif</t>
  </si>
  <si>
    <t xml:space="preserve">C:\Users\andre\Desktop\REACTIV CEFAS\Anastrozole\Anastrozole/20201125_Cefas_Test7_Run2/Plate 2/@20/B11_01.tif </t>
  </si>
  <si>
    <t xml:space="preserve">C:\Users\andre\Desktop\REACTIV CEFAS\Anastrozole\Anastrozole/20201125_Cefas_Test7_Run2/Plate 2/@20/B11_02.tif </t>
  </si>
  <si>
    <t xml:space="preserve"> 2768.6265 </t>
  </si>
  <si>
    <t xml:space="preserve"> 33.1406 </t>
  </si>
  <si>
    <t xml:space="preserve">C:\Users\andre\Desktop\REACTIV CEFAS\Anastrozole\Anastrozole/20201125_Cefas_Test7_Run2/Plate 2/@20/B11_03.tif </t>
  </si>
  <si>
    <t xml:space="preserve"> 33.45 </t>
  </si>
  <si>
    <t xml:space="preserve">C:\Users\andre\Desktop\REACTIV CEFAS\Anastrozole\Anastrozole/20201125_Cefas_Test7_Run2/Plate 2/@20/C11_01.tif </t>
  </si>
  <si>
    <t xml:space="preserve"> 35.6706 </t>
  </si>
  <si>
    <t xml:space="preserve">C:\Users\andre\Desktop\REACTIV CEFAS\Anastrozole\Anastrozole/20201125_Cefas_Test7_Run2/Plate 2/@20/C11_02.tif </t>
  </si>
  <si>
    <t xml:space="preserve"> 10858.2071 </t>
  </si>
  <si>
    <t xml:space="preserve"> 38.3486 </t>
  </si>
  <si>
    <t xml:space="preserve">C:\Users\andre\Desktop\REACTIV CEFAS\Anastrozole\Anastrozole/20201125_Cefas_Test7_Run2/Plate 2/@20/C11_03.tif </t>
  </si>
  <si>
    <t xml:space="preserve"> 40.5745 </t>
  </si>
  <si>
    <t xml:space="preserve">C:\Users\andre\Desktop\REACTIV CEFAS\Anastrozole\Anastrozole/20201125_Cefas_Test7_Run2/Plate 2/@20/D11_01.tif </t>
  </si>
  <si>
    <t xml:space="preserve"> 5904.9612 </t>
  </si>
  <si>
    <t xml:space="preserve"> 34.8352 </t>
  </si>
  <si>
    <t xml:space="preserve">C:\Users\andre\Desktop\REACTIV CEFAS\Anastrozole\Anastrozole/20201125_Cefas_Test7_Run2/Plate 2/@20/D11_02.tif </t>
  </si>
  <si>
    <t xml:space="preserve"> 34.2842 </t>
  </si>
  <si>
    <t xml:space="preserve">C:\Users\andre\Desktop\REACTIV CEFAS\Anastrozole\Anastrozole/20201125_Cefas_Test7_Run2/Plate 2/@20/D11_03.tif </t>
  </si>
  <si>
    <t xml:space="preserve"> 6726.8972 </t>
  </si>
  <si>
    <t xml:space="preserve"> 33.2926 </t>
  </si>
  <si>
    <t xml:space="preserve">C:\Users\andre\Desktop\REACTIV CEFAS\Anastrozole\Anastrozole/20201125_Cefas_Test7_Run2/Plate 2/@20/E11_01.tif </t>
  </si>
  <si>
    <t xml:space="preserve"> 1189.6442 </t>
  </si>
  <si>
    <t xml:space="preserve"> 33.3636 </t>
  </si>
  <si>
    <t>C:\Users\andre\Desktop\REACTIV CEFAS\Anastrozole\Anastrozole/20201125_Cefas_Test7_Run2/Plate 2/@20/E11_02- exclu.tif</t>
  </si>
  <si>
    <t>C:\Users\andre\Desktop\REACTIV CEFAS\Anastrozole\Anastrozole/20201125_Cefas_Test7_Run2/Plate 2/@20/E11_03- exclu.tif</t>
  </si>
  <si>
    <t xml:space="preserve">C:\Users\andre\Desktop\REACTIV CEFAS\Anastrozole\Anastrozole/20201125_Cefas_Test7_Run2/Plate 2/@20/F11_01.tif </t>
  </si>
  <si>
    <t xml:space="preserve"> 31.5 </t>
  </si>
  <si>
    <t xml:space="preserve">C:\Users\andre\Desktop\REACTIV CEFAS\Anastrozole\Anastrozole/20201125_Cefas_Test7_Run2/Plate 2/@20/F11_02.tif </t>
  </si>
  <si>
    <t xml:space="preserve"> 33.119 </t>
  </si>
  <si>
    <t xml:space="preserve">C:\Users\andre\Desktop\REACTIV CEFAS\Anastrozole\Anastrozole/20201125_Cefas_Test7_Run2/Plate 2/@20/F11_03.tif </t>
  </si>
  <si>
    <t xml:space="preserve">C:\Users\andre\Desktop\REACTIV CEFAS\Anastrozole\Anastrozole/20201125_Cefas_Test7_Run2/Plate 2/@20/G11_01.tif </t>
  </si>
  <si>
    <t xml:space="preserve"> 34.0913 </t>
  </si>
  <si>
    <t xml:space="preserve">C:\Users\andre\Desktop\REACTIV CEFAS\Anastrozole\Anastrozole/20201125_Cefas_Test7_Run2/Plate 2/@20/G11_02.tif </t>
  </si>
  <si>
    <t xml:space="preserve"> 6488.9684 </t>
  </si>
  <si>
    <t xml:space="preserve"> 40.6767 </t>
  </si>
  <si>
    <t>C:\Users\andre\Desktop\REACTIV CEFAS\Anastrozole\Anastrozole/20201125_Cefas_Test7_Run2/Plate 2/@20/G11_03- exclu.tif</t>
  </si>
  <si>
    <t xml:space="preserve">C:\Users\andre\Desktop\REACTIV CEFAS\Anastrozole\Anastrozole/20201125_Cefas_Test7_Run2/Plate 2/@20/H11_01.tif </t>
  </si>
  <si>
    <t xml:space="preserve"> 12891.4172 </t>
  </si>
  <si>
    <t xml:space="preserve"> 41.8624 </t>
  </si>
  <si>
    <t xml:space="preserve">C:\Users\andre\Desktop\REACTIV CEFAS\Anastrozole\Anastrozole/20201125_Cefas_Test7_Run2/Plate 2/@20/H11_02.tif </t>
  </si>
  <si>
    <t xml:space="preserve"> 39.6217 </t>
  </si>
  <si>
    <t xml:space="preserve">C:\Users\andre\Desktop\REACTIV CEFAS\Anastrozole\Anastrozole/20201125_Cefas_Test7_Run2/Plate 2/@20/H11_03.tif </t>
  </si>
  <si>
    <t xml:space="preserve"> 41.8006 </t>
  </si>
  <si>
    <t xml:space="preserve">C:\Users\andre\Desktop\REACTIV CEFAS\Anastrozole\Anastrozole/20201125_Cefas_Test7_Run2/Plate 2/@20/ </t>
  </si>
  <si>
    <t xml:space="preserve"> 37.5084 </t>
  </si>
  <si>
    <t xml:space="preserve"> 5.21 </t>
  </si>
  <si>
    <t xml:space="preserve"> 246543.875 </t>
  </si>
  <si>
    <t xml:space="preserve"> 201772.613 </t>
  </si>
  <si>
    <t>C:\Users\andre\Desktop\REACTIV CEFAS\Anastrozole\Anastrozole/20201125_Cefas_Test7_Run2/Plate 2/@21/A12_01- exclu.tif</t>
  </si>
  <si>
    <t>C:\Users\andre\Desktop\REACTIV CEFAS\Anastrozole\Anastrozole/20201125_Cefas_Test7_Run2/Plate 2/@21/A12_02- exclu.tif</t>
  </si>
  <si>
    <t>C:\Users\andre\Desktop\REACTIV CEFAS\Anastrozole\Anastrozole/20201125_Cefas_Test7_Run2/Plate 2/@21/A12_03- exclu.tif</t>
  </si>
  <si>
    <t xml:space="preserve">C:\Users\andre\Desktop\REACTIV CEFAS\Anastrozole\Anastrozole/20201125_Cefas_Test7_Run2/Plate 2/@21/B12_01.tif </t>
  </si>
  <si>
    <t xml:space="preserve"> 30.25 </t>
  </si>
  <si>
    <t xml:space="preserve">C:\Users\andre\Desktop\REACTIV CEFAS\Anastrozole\Anastrozole/20201125_Cefas_Test7_Run2/Plate 2/@21/B12_02.tif </t>
  </si>
  <si>
    <t xml:space="preserve"> 33.1884 </t>
  </si>
  <si>
    <t xml:space="preserve">C:\Users\andre\Desktop\REACTIV CEFAS\Anastrozole\Anastrozole/20201125_Cefas_Test7_Run2/Plate 2/@21/B12_03.tif </t>
  </si>
  <si>
    <t xml:space="preserve"> 35.1111 </t>
  </si>
  <si>
    <t xml:space="preserve">C:\Users\andre\Desktop\REACTIV CEFAS\Anastrozole\Anastrozole/20201125_Cefas_Test7_Run2/Plate 2/@21/C12_01.tif </t>
  </si>
  <si>
    <t xml:space="preserve"> 5320.9541 </t>
  </si>
  <si>
    <t xml:space="preserve"> 34.8455 </t>
  </si>
  <si>
    <t xml:space="preserve">C:\Users\andre\Desktop\REACTIV CEFAS\Anastrozole\Anastrozole/20201125_Cefas_Test7_Run2/Plate 2/@21/C12_02.tif </t>
  </si>
  <si>
    <t xml:space="preserve"> 32.4103 </t>
  </si>
  <si>
    <t xml:space="preserve">C:\Users\andre\Desktop\REACTIV CEFAS\Anastrozole\Anastrozole/20201125_Cefas_Test7_Run2/Plate 2/@21/C12_03.tif </t>
  </si>
  <si>
    <t xml:space="preserve"> 6899.9364 </t>
  </si>
  <si>
    <t xml:space="preserve"> 34.7994 </t>
  </si>
  <si>
    <t xml:space="preserve">C:\Users\andre\Desktop\REACTIV CEFAS\Anastrozole\Anastrozole/20201125_Cefas_Test7_Run2/Plate 2/@21/D12_01.tif </t>
  </si>
  <si>
    <t xml:space="preserve"> 7894.9115 </t>
  </si>
  <si>
    <t xml:space="preserve"> 42.6548 </t>
  </si>
  <si>
    <t xml:space="preserve">C:\Users\andre\Desktop\REACTIV CEFAS\Anastrozole\Anastrozole/20201125_Cefas_Test7_Run2/Plate 2/@21/D12_02.tif </t>
  </si>
  <si>
    <t xml:space="preserve"> 37.3601 </t>
  </si>
  <si>
    <t xml:space="preserve">C:\Users\andre\Desktop\REACTIV CEFAS\Anastrozole\Anastrozole/20201125_Cefas_Test7_Run2/Plate 2/@21/D12_03.tif </t>
  </si>
  <si>
    <t xml:space="preserve"> 7137.8652 </t>
  </si>
  <si>
    <t xml:space="preserve"> 38.1788 </t>
  </si>
  <si>
    <t xml:space="preserve">C:\Users\andre\Desktop\REACTIV CEFAS\Anastrozole\Anastrozole/20201125_Cefas_Test7_Run2/Plate 2/@21/E12_01.tif </t>
  </si>
  <si>
    <t xml:space="preserve"> 7570.4631 </t>
  </si>
  <si>
    <t xml:space="preserve"> 36.9486 </t>
  </si>
  <si>
    <t xml:space="preserve">C:\Users\andre\Desktop\REACTIV CEFAS\Anastrozole\Anastrozole/20201125_Cefas_Test7_Run2/Plate 2/@21/E12_02.tif </t>
  </si>
  <si>
    <t xml:space="preserve"> 11247.5452 </t>
  </si>
  <si>
    <t xml:space="preserve"> 40.3404 </t>
  </si>
  <si>
    <t xml:space="preserve">C:\Users\andre\Desktop\REACTIV CEFAS\Anastrozole\Anastrozole/20201125_Cefas_Test7_Run2/Plate 2/@21/E12_03.tif </t>
  </si>
  <si>
    <t xml:space="preserve"> 39.646 </t>
  </si>
  <si>
    <t xml:space="preserve">C:\Users\andre\Desktop\REACTIV CEFAS\Anastrozole\Anastrozole/20201125_Cefas_Test7_Run2/Plate 2/@21/F12_01.tif </t>
  </si>
  <si>
    <t xml:space="preserve"> 35.6296 </t>
  </si>
  <si>
    <t xml:space="preserve">C:\Users\andre\Desktop\REACTIV CEFAS\Anastrozole\Anastrozole/20201125_Cefas_Test7_Run2/Plate 2/@21/F12_02.tif </t>
  </si>
  <si>
    <t xml:space="preserve"> 35.7286 </t>
  </si>
  <si>
    <t xml:space="preserve">C:\Users\andre\Desktop\REACTIV CEFAS\Anastrozole\Anastrozole/20201125_Cefas_Test7_Run2/Plate 2/@21/F12_03.tif </t>
  </si>
  <si>
    <t xml:space="preserve">C:\Users\andre\Desktop\REACTIV CEFAS\Anastrozole\Anastrozole/20201125_Cefas_Test7_Run2/Plate 2/@21/G12_01.tif </t>
  </si>
  <si>
    <t xml:space="preserve"> 10577.0185 </t>
  </si>
  <si>
    <t xml:space="preserve"> 45.3538 </t>
  </si>
  <si>
    <t xml:space="preserve">C:\Users\andre\Desktop\REACTIV CEFAS\Anastrozole\Anastrozole/20201125_Cefas_Test7_Run2/Plate 2/@21/G12_02.tif </t>
  </si>
  <si>
    <t xml:space="preserve"> 9300.8547 </t>
  </si>
  <si>
    <t xml:space="preserve"> 45.993 </t>
  </si>
  <si>
    <t xml:space="preserve">C:\Users\andre\Desktop\REACTIV CEFAS\Anastrozole\Anastrozole/20201125_Cefas_Test7_Run2/Plate 2/@21/G12_03.tif </t>
  </si>
  <si>
    <t xml:space="preserve"> 10879.837 </t>
  </si>
  <si>
    <t xml:space="preserve"> 47.004 </t>
  </si>
  <si>
    <t>C:\Users\andre\Desktop\REACTIV CEFAS\Anastrozole\Anastrozole/20201125_Cefas_Test7_Run2/Plate 2/@21/H12_01- exclu.tif</t>
  </si>
  <si>
    <t>C:\Users\andre\Desktop\REACTIV CEFAS\Anastrozole\Anastrozole/20201125_Cefas_Test7_Run2/Plate 2/@21/H12_02- exclu.tif</t>
  </si>
  <si>
    <t>C:\Users\andre\Desktop\REACTIV CEFAS\Anastrozole\Anastrozole/20201125_Cefas_Test7_Run2/Plate 2/@21/H12_03- exclu.tif</t>
  </si>
  <si>
    <t xml:space="preserve">C:\Users\andre\Desktop\REACTIV CEFAS\Anastrozole\Anastrozole/20201125_Cefas_Test7_Run2/Plate 2/@21/ </t>
  </si>
  <si>
    <t xml:space="preserve"> 33.9029 </t>
  </si>
  <si>
    <t xml:space="preserve"> 14.0282 </t>
  </si>
  <si>
    <t xml:space="preserve"> 248388.667 </t>
  </si>
  <si>
    <t xml:space="preserve"> 210369.718 </t>
  </si>
  <si>
    <t xml:space="preserve">C:\Users\andre\Desktop\REACTIV CEFAS\Anastrozole\Anastrozole/20201125_Cefas_Test7_Run2/Plate 2/@8/A2_01.tif </t>
  </si>
  <si>
    <t xml:space="preserve"> 33.7987 </t>
  </si>
  <si>
    <t xml:space="preserve">C:\Users\andre\Desktop\REACTIV CEFAS\Anastrozole\Anastrozole/20201125_Cefas_Test7_Run2/Plate 2/@8/A2_02.tif </t>
  </si>
  <si>
    <t xml:space="preserve"> 36.0913 </t>
  </si>
  <si>
    <t xml:space="preserve">C:\Users\andre\Desktop\REACTIV CEFAS\Anastrozole\Anastrozole/20201125_Cefas_Test7_Run2/Plate 2/@8/A2_03.tif </t>
  </si>
  <si>
    <t xml:space="preserve"> 35.151 </t>
  </si>
  <si>
    <t xml:space="preserve">C:\Users\andre\Desktop\REACTIV CEFAS\Anastrozole\Anastrozole/20201125_Cefas_Test7_Run2/Plate 2/@8/B2_01.tif </t>
  </si>
  <si>
    <t xml:space="preserve">C:\Users\andre\Desktop\REACTIV CEFAS\Anastrozole\Anastrozole/20201125_Cefas_Test7_Run2/Plate 2/@8/B2_02.tif </t>
  </si>
  <si>
    <t xml:space="preserve"> 32.0813 </t>
  </si>
  <si>
    <t xml:space="preserve">C:\Users\andre\Desktop\REACTIV CEFAS\Anastrozole\Anastrozole/20201125_Cefas_Test7_Run2/Plate 2/@8/B2_03.tif </t>
  </si>
  <si>
    <t xml:space="preserve"> 33.618 </t>
  </si>
  <si>
    <t xml:space="preserve">C:\Users\andre\Desktop\REACTIV CEFAS\Anastrozole\Anastrozole/20201125_Cefas_Test7_Run2/Plate 2/@8/C2_01.tif </t>
  </si>
  <si>
    <t xml:space="preserve"> 302.8185 </t>
  </si>
  <si>
    <t xml:space="preserve"> 30.4286 </t>
  </si>
  <si>
    <t xml:space="preserve">C:\Users\andre\Desktop\REACTIV CEFAS\Anastrozole\Anastrozole/20201125_Cefas_Test7_Run2/Plate 2/@8/C2_02.tif </t>
  </si>
  <si>
    <t xml:space="preserve"> 33.8173 </t>
  </si>
  <si>
    <t xml:space="preserve">C:\Users\andre\Desktop\REACTIV CEFAS\Anastrozole\Anastrozole/20201125_Cefas_Test7_Run2/Plate 2/@8/C2_03.tif </t>
  </si>
  <si>
    <t xml:space="preserve"> 1514.0926 </t>
  </si>
  <si>
    <t xml:space="preserve"> 32.6429 </t>
  </si>
  <si>
    <t xml:space="preserve">C:\Users\andre\Desktop\REACTIV CEFAS\Anastrozole\Anastrozole/20201125_Cefas_Test7_Run2/Plate 2/@8/D2_01.tif </t>
  </si>
  <si>
    <t xml:space="preserve"> 3417.5234 </t>
  </si>
  <si>
    <t xml:space="preserve"> 35.8165 </t>
  </si>
  <si>
    <t xml:space="preserve">C:\Users\andre\Desktop\REACTIV CEFAS\Anastrozole\Anastrozole/20201125_Cefas_Test7_Run2/Plate 2/@8/D2_02.tif </t>
  </si>
  <si>
    <t xml:space="preserve"> 36.6567 </t>
  </si>
  <si>
    <t xml:space="preserve">C:\Users\andre\Desktop\REACTIV CEFAS\Anastrozole\Anastrozole/20201125_Cefas_Test7_Run2/Plate 2/@8/D2_03.tif </t>
  </si>
  <si>
    <t xml:space="preserve"> 37.5246 </t>
  </si>
  <si>
    <t xml:space="preserve">C:\Users\andre\Desktop\REACTIV CEFAS\Anastrozole\Anastrozole/20201125_Cefas_Test7_Run2/Plate 2/@8/E2_01.tif </t>
  </si>
  <si>
    <t xml:space="preserve"> 34.1143 </t>
  </si>
  <si>
    <t xml:space="preserve">C:\Users\andre\Desktop\REACTIV CEFAS\Anastrozole\Anastrozole/20201125_Cefas_Test7_Run2/Plate 2/@8/E2_02.tif </t>
  </si>
  <si>
    <t xml:space="preserve"> 2206.2493 </t>
  </si>
  <si>
    <t xml:space="preserve"> 31.2255 </t>
  </si>
  <si>
    <t xml:space="preserve">C:\Users\andre\Desktop\REACTIV CEFAS\Anastrozole\Anastrozole/20201125_Cefas_Test7_Run2/Plate 2/@8/E2_03.tif </t>
  </si>
  <si>
    <t xml:space="preserve"> 35.75 </t>
  </si>
  <si>
    <t xml:space="preserve">C:\Users\andre\Desktop\REACTIV CEFAS\Anastrozole\Anastrozole/20201125_Cefas_Test7_Run2/Plate 2/@8/F2_01.tif </t>
  </si>
  <si>
    <t xml:space="preserve"> 7051.3456 </t>
  </si>
  <si>
    <t xml:space="preserve"> 39.1104 </t>
  </si>
  <si>
    <t xml:space="preserve">C:\Users\andre\Desktop\REACTIV CEFAS\Anastrozole\Anastrozole/20201125_Cefas_Test7_Run2/Plate 2/@8/F2_02.tif </t>
  </si>
  <si>
    <t xml:space="preserve"> 9495.5237 </t>
  </si>
  <si>
    <t xml:space="preserve"> 38.3941 </t>
  </si>
  <si>
    <t xml:space="preserve">C:\Users\andre\Desktop\REACTIV CEFAS\Anastrozole\Anastrozole/20201125_Cefas_Test7_Run2/Plate 2/@8/F2_03.tif </t>
  </si>
  <si>
    <t xml:space="preserve"> 35.6404 </t>
  </si>
  <si>
    <t xml:space="preserve">C:\Users\andre\Desktop\REACTIV CEFAS\Anastrozole\Anastrozole/20201125_Cefas_Test7_Run2/Plate 2/@8/G2_01.tif </t>
  </si>
  <si>
    <t xml:space="preserve"> 3287.744 </t>
  </si>
  <si>
    <t xml:space="preserve"> 33.8092 </t>
  </si>
  <si>
    <t xml:space="preserve">C:\Users\andre\Desktop\REACTIV CEFAS\Anastrozole\Anastrozole/20201125_Cefas_Test7_Run2/Plate 2/@8/G2_02.tif </t>
  </si>
  <si>
    <t xml:space="preserve"> 1600.6122 </t>
  </si>
  <si>
    <t xml:space="preserve"> 32.1486 </t>
  </si>
  <si>
    <t xml:space="preserve">C:\Users\andre\Desktop\REACTIV CEFAS\Anastrozole\Anastrozole/20201125_Cefas_Test7_Run2/Plate 2/@8/G2_03.tif </t>
  </si>
  <si>
    <t xml:space="preserve"> 33.6816 </t>
  </si>
  <si>
    <t xml:space="preserve">C:\Users\andre\Desktop\REACTIV CEFAS\Anastrozole\Anastrozole/20201125_Cefas_Test7_Run2/Plate 2/@8/H2_01.tif </t>
  </si>
  <si>
    <t xml:space="preserve">C:\Users\andre\Desktop\REACTIV CEFAS\Anastrozole\Anastrozole/20201125_Cefas_Test7_Run2/Plate 2/@8/H2_02.tif </t>
  </si>
  <si>
    <t xml:space="preserve"> 32.9762 </t>
  </si>
  <si>
    <t xml:space="preserve">C:\Users\andre\Desktop\REACTIV CEFAS\Anastrozole\Anastrozole/20201125_Cefas_Test7_Run2/Plate 2/@8/H2_03.tif </t>
  </si>
  <si>
    <t xml:space="preserve">C:\Users\andre\Desktop\REACTIV CEFAS\Anastrozole\Anastrozole/20201125_Cefas_Test7_Run2/Plate 2/@8/ </t>
  </si>
  <si>
    <t xml:space="preserve"> 32.8282 </t>
  </si>
  <si>
    <t xml:space="preserve"> 7.3552 </t>
  </si>
  <si>
    <t xml:space="preserve"> 115305.375 </t>
  </si>
  <si>
    <t xml:space="preserve"> 91686.7112 </t>
  </si>
  <si>
    <t xml:space="preserve">C:\Users\andre\Desktop\REACTIV CEFAS\Anastrozole\Anastrozole/20201125_Cefas_Test7_Run2/Plate 2/@9/A3_01.tif </t>
  </si>
  <si>
    <t xml:space="preserve"> 32.2 </t>
  </si>
  <si>
    <t>C:\Users\andre\Desktop\REACTIV CEFAS\Anastrozole\Anastrozole/20201125_Cefas_Test7_Run2/Plate 2/@9/A3_02- exclu.tif</t>
  </si>
  <si>
    <t xml:space="preserve">C:\Users\andre\Desktop\REACTIV CEFAS\Anastrozole\Anastrozole/20201125_Cefas_Test7_Run2/Plate 2/@9/A3_03.tif </t>
  </si>
  <si>
    <t xml:space="preserve"> 34.0595 </t>
  </si>
  <si>
    <t>C:\Users\andre\Desktop\REACTIV CEFAS\Anastrozole\Anastrozole/20201125_Cefas_Test7_Run2/Plate 2/@9/B3_01- exclu.tif</t>
  </si>
  <si>
    <t>C:\Users\andre\Desktop\REACTIV CEFAS\Anastrozole\Anastrozole/20201125_Cefas_Test7_Run2/Plate 2/@9/B3_02- exclu.tif</t>
  </si>
  <si>
    <t>C:\Users\andre\Desktop\REACTIV CEFAS\Anastrozole\Anastrozole/20201125_Cefas_Test7_Run2/Plate 2/@9/B3_03- exclu.tif</t>
  </si>
  <si>
    <t>C:\Users\andre\Desktop\REACTIV CEFAS\Anastrozole\Anastrozole/20201125_Cefas_Test7_Run2/Plate 2/@9/C3_01- exclu.tif</t>
  </si>
  <si>
    <t xml:space="preserve">C:\Users\andre\Desktop\REACTIV CEFAS\Anastrozole\Anastrozole/20201125_Cefas_Test7_Run2/Plate 2/@9/C3_02.tif </t>
  </si>
  <si>
    <t xml:space="preserve"> 35.3841 </t>
  </si>
  <si>
    <t>C:\Users\andre\Desktop\REACTIV CEFAS\Anastrozole\Anastrozole/20201125_Cefas_Test7_Run2/Plate 2/@9/C3_03- exclu.tif</t>
  </si>
  <si>
    <t xml:space="preserve">C:\Users\andre\Desktop\REACTIV CEFAS\Anastrozole\Anastrozole/20201125_Cefas_Test7_Run2/Plate 2/@9/D3_01.tif </t>
  </si>
  <si>
    <t xml:space="preserve"> 33.2123 </t>
  </si>
  <si>
    <t xml:space="preserve">C:\Users\andre\Desktop\REACTIV CEFAS\Anastrozole\Anastrozole/20201125_Cefas_Test7_Run2/Plate 2/@9/D3_02.tif </t>
  </si>
  <si>
    <t xml:space="preserve">C:\Users\andre\Desktop\REACTIV CEFAS\Anastrozole\Anastrozole/20201125_Cefas_Test7_Run2/Plate 2/@9/D3_03.tif </t>
  </si>
  <si>
    <t xml:space="preserve"> 34.269 </t>
  </si>
  <si>
    <t xml:space="preserve">C:\Users\andre\Desktop\REACTIV CEFAS\Anastrozole\Anastrozole/20201125_Cefas_Test7_Run2/Plate 2/@9/E3_01.tif </t>
  </si>
  <si>
    <t xml:space="preserve"> 12848.1574 </t>
  </si>
  <si>
    <t xml:space="preserve"> 40.6684 </t>
  </si>
  <si>
    <t xml:space="preserve">C:\Users\andre\Desktop\REACTIV CEFAS\Anastrozole\Anastrozole/20201125_Cefas_Test7_Run2/Plate 2/@9/E3_02.tif </t>
  </si>
  <si>
    <t xml:space="preserve"> 37.0096 </t>
  </si>
  <si>
    <t xml:space="preserve">C:\Users\andre\Desktop\REACTIV CEFAS\Anastrozole\Anastrozole/20201125_Cefas_Test7_Run2/Plate 2/@9/E3_03.tif </t>
  </si>
  <si>
    <t xml:space="preserve"> 31.0844 </t>
  </si>
  <si>
    <t xml:space="preserve">C:\Users\andre\Desktop\REACTIV CEFAS\Anastrozole\Anastrozole/20201125_Cefas_Test7_Run2/Plate 2/@9/F3_01.tif </t>
  </si>
  <si>
    <t xml:space="preserve"> 37.1359 </t>
  </si>
  <si>
    <t xml:space="preserve">C:\Users\andre\Desktop\REACTIV CEFAS\Anastrozole\Anastrozole/20201125_Cefas_Test7_Run2/Plate 2/@9/F3_02.tif </t>
  </si>
  <si>
    <t xml:space="preserve"> 32.9714 </t>
  </si>
  <si>
    <t xml:space="preserve">C:\Users\andre\Desktop\REACTIV CEFAS\Anastrozole\Anastrozole/20201125_Cefas_Test7_Run2/Plate 2/@9/F3_03.tif </t>
  </si>
  <si>
    <t xml:space="preserve"> 6553.8581 </t>
  </si>
  <si>
    <t xml:space="preserve"> 33.5875 </t>
  </si>
  <si>
    <t xml:space="preserve">C:\Users\andre\Desktop\REACTIV CEFAS\Anastrozole\Anastrozole/20201125_Cefas_Test7_Run2/Plate 2/@9/G3_01.tif </t>
  </si>
  <si>
    <t xml:space="preserve"> 3266.1141 </t>
  </si>
  <si>
    <t xml:space="preserve"> 37.5033 </t>
  </si>
  <si>
    <t xml:space="preserve">C:\Users\andre\Desktop\REACTIV CEFAS\Anastrozole\Anastrozole/20201125_Cefas_Test7_Run2/Plate 2/@9/G3_02.tif </t>
  </si>
  <si>
    <t xml:space="preserve">C:\Users\andre\Desktop\REACTIV CEFAS\Anastrozole\Anastrozole/20201125_Cefas_Test7_Run2/Plate 2/@9/G3_03.tif </t>
  </si>
  <si>
    <t xml:space="preserve"> 40.1274 </t>
  </si>
  <si>
    <t xml:space="preserve">C:\Users\andre\Desktop\REACTIV CEFAS\Anastrozole\Anastrozole/20201125_Cefas_Test7_Run2/Plate 2/@9/H3_01.tif </t>
  </si>
  <si>
    <t xml:space="preserve"> 39.0579 </t>
  </si>
  <si>
    <t xml:space="preserve">C:\Users\andre\Desktop\REACTIV CEFAS\Anastrozole\Anastrozole/20201125_Cefas_Test7_Run2/Plate 2/@9/H3_02.tif </t>
  </si>
  <si>
    <t xml:space="preserve"> 33.6 </t>
  </si>
  <si>
    <t xml:space="preserve">C:\Users\andre\Desktop\REACTIV CEFAS\Anastrozole\Anastrozole/20201125_Cefas_Test7_Run2/Plate 2/@9/H3_03.tif </t>
  </si>
  <si>
    <t xml:space="preserve"> 39.7288 </t>
  </si>
  <si>
    <t xml:space="preserve">C:\Users\andre\Desktop\REACTIV CEFAS\Anastrozole\Anastrozole/20201125_Cefas_Test7_Run2/Plate 2/@9/ </t>
  </si>
  <si>
    <t xml:space="preserve"> 26.6608 </t>
  </si>
  <si>
    <t xml:space="preserve"> 15.9342 </t>
  </si>
  <si>
    <t xml:space="preserve"> 128328.25 </t>
  </si>
  <si>
    <t xml:space="preserve"> 142231.205 </t>
  </si>
  <si>
    <t xml:space="preserve">C:\Users\andre\Desktop\REACTIV CEFAS\Anastrozole\Anastrozole/20201126_Cefas_Test7_Run3/Plate 1/@1/A10_01.tif </t>
  </si>
  <si>
    <t xml:space="preserve"> 34.4414 </t>
  </si>
  <si>
    <t xml:space="preserve">C:\Users\andre\Desktop\REACTIV CEFAS\Anastrozole\Anastrozole/20201126_Cefas_Test7_Run3/Plate 1/@1/A10_02.tif </t>
  </si>
  <si>
    <t xml:space="preserve"> 37.1063 </t>
  </si>
  <si>
    <t xml:space="preserve">C:\Users\andre\Desktop\REACTIV CEFAS\Anastrozole\Anastrozole/20201126_Cefas_Test7_Run3/Plate 1/@1/A10_03.tif </t>
  </si>
  <si>
    <t xml:space="preserve"> 8392.3991 </t>
  </si>
  <si>
    <t xml:space="preserve"> 36.3428 </t>
  </si>
  <si>
    <t xml:space="preserve">C:\Users\andre\Desktop\REACTIV CEFAS\Anastrozole\Anastrozole/20201126_Cefas_Test7_Run3/Plate 1/@1/B10_01.tif </t>
  </si>
  <si>
    <t xml:space="preserve"> 15443.7448 </t>
  </si>
  <si>
    <t xml:space="preserve"> 47.3165 </t>
  </si>
  <si>
    <t xml:space="preserve">C:\Users\andre\Desktop\REACTIV CEFAS\Anastrozole\Anastrozole/20201126_Cefas_Test7_Run3/Plate 1/@1/B10_02.tif </t>
  </si>
  <si>
    <t>C:\Users\andre\Desktop\REACTIV CEFAS\Anastrozole\Anastrozole/20201126_Cefas_Test7_Run3/Plate 1/@1/B10_03- exclu.tif</t>
  </si>
  <si>
    <t xml:space="preserve">C:\Users\andre\Desktop\REACTIV CEFAS\Anastrozole\Anastrozole/20201126_Cefas_Test7_Run3/Plate 1/@1/C10_01.tif </t>
  </si>
  <si>
    <t xml:space="preserve"> 31.3 </t>
  </si>
  <si>
    <t xml:space="preserve">C:\Users\andre\Desktop\REACTIV CEFAS\Anastrozole\Anastrozole/20201126_Cefas_Test7_Run3/Plate 1/@1/C10_02.tif </t>
  </si>
  <si>
    <t xml:space="preserve">C:\Users\andre\Desktop\REACTIV CEFAS\Anastrozole\Anastrozole/20201126_Cefas_Test7_Run3/Plate 1/@1/C10_03.tif </t>
  </si>
  <si>
    <t xml:space="preserve"> 7981.4311 </t>
  </si>
  <si>
    <t xml:space="preserve"> 38.4797 </t>
  </si>
  <si>
    <t xml:space="preserve">C:\Users\andre\Desktop\REACTIV CEFAS\Anastrozole\Anastrozole/20201126_Cefas_Test7_Run3/Plate 1/@1/D10_01.tif </t>
  </si>
  <si>
    <t xml:space="preserve"> 39.2392 </t>
  </si>
  <si>
    <t xml:space="preserve">C:\Users\andre\Desktop\REACTIV CEFAS\Anastrozole\Anastrozole/20201126_Cefas_Test7_Run3/Plate 1/@1/D10_02.tif </t>
  </si>
  <si>
    <t xml:space="preserve"> 37.8609 </t>
  </si>
  <si>
    <t xml:space="preserve">C:\Users\andre\Desktop\REACTIV CEFAS\Anastrozole\Anastrozole/20201126_Cefas_Test7_Run3/Plate 1/@1/D10_03.tif </t>
  </si>
  <si>
    <t xml:space="preserve"> 3979.9006 </t>
  </si>
  <si>
    <t xml:space="preserve"> 39.337 </t>
  </si>
  <si>
    <t xml:space="preserve">C:\Users\andre\Desktop\REACTIV CEFAS\Anastrozole\Anastrozole/20201126_Cefas_Test7_Run3/Plate 1/@1/E10_01.tif </t>
  </si>
  <si>
    <t xml:space="preserve"> 3374.2636 </t>
  </si>
  <si>
    <t xml:space="preserve"> 36.7628 </t>
  </si>
  <si>
    <t xml:space="preserve">C:\Users\andre\Desktop\REACTIV CEFAS\Anastrozole\Anastrozole/20201126_Cefas_Test7_Run3/Plate 1/@1/E10_02.tif </t>
  </si>
  <si>
    <t xml:space="preserve"> 3071.445 </t>
  </si>
  <si>
    <t xml:space="preserve"> 34.7746 </t>
  </si>
  <si>
    <t xml:space="preserve">C:\Users\andre\Desktop\REACTIV CEFAS\Anastrozole\Anastrozole/20201126_Cefas_Test7_Run3/Plate 1/@1/E10_03.tif </t>
  </si>
  <si>
    <t xml:space="preserve"> 33.2913 </t>
  </si>
  <si>
    <t xml:space="preserve">C:\Users\andre\Desktop\REACTIV CEFAS\Anastrozole\Anastrozole/20201126_Cefas_Test7_Run3/Plate 1/@1/F10_01.tif </t>
  </si>
  <si>
    <t xml:space="preserve"> 37.8473 </t>
  </si>
  <si>
    <t xml:space="preserve">C:\Users\andre\Desktop\REACTIV CEFAS\Anastrozole\Anastrozole/20201126_Cefas_Test7_Run3/Plate 1/@1/F10_02.tif </t>
  </si>
  <si>
    <t xml:space="preserve"> 10360.7195 </t>
  </si>
  <si>
    <t xml:space="preserve"> 38.6284 </t>
  </si>
  <si>
    <t xml:space="preserve">C:\Users\andre\Desktop\REACTIV CEFAS\Anastrozole\Anastrozole/20201126_Cefas_Test7_Run3/Plate 1/@1/F10_03.tif </t>
  </si>
  <si>
    <t xml:space="preserve"> 10468.869 </t>
  </si>
  <si>
    <t xml:space="preserve"> 36.8574 </t>
  </si>
  <si>
    <t xml:space="preserve">C:\Users\andre\Desktop\REACTIV CEFAS\Anastrozole\Anastrozole/20201126_Cefas_Test7_Run3/Plate 1/@1/G10_01.tif </t>
  </si>
  <si>
    <t xml:space="preserve"> 31.619 </t>
  </si>
  <si>
    <t xml:space="preserve">C:\Users\andre\Desktop\REACTIV CEFAS\Anastrozole\Anastrozole/20201126_Cefas_Test7_Run3/Plate 1/@1/G10_02.tif </t>
  </si>
  <si>
    <t xml:space="preserve"> 43.5269 </t>
  </si>
  <si>
    <t xml:space="preserve">C:\Users\andre\Desktop\REACTIV CEFAS\Anastrozole\Anastrozole/20201126_Cefas_Test7_Run3/Plate 1/@1/G10_03.tif </t>
  </si>
  <si>
    <t xml:space="preserve"> 8349.1393 </t>
  </si>
  <si>
    <t xml:space="preserve"> 45.1813 </t>
  </si>
  <si>
    <t xml:space="preserve">C:\Users\andre\Desktop\REACTIV CEFAS\Anastrozole\Anastrozole/20201126_Cefas_Test7_Run3/Plate 1/@1/H10_01.tif </t>
  </si>
  <si>
    <t xml:space="preserve"> 37.1193 </t>
  </si>
  <si>
    <t xml:space="preserve">C:\Users\andre\Desktop\REACTIV CEFAS\Anastrozole\Anastrozole/20201126_Cefas_Test7_Run3/Plate 1/@1/H10_02.tif </t>
  </si>
  <si>
    <t xml:space="preserve"> 5256.0644 </t>
  </si>
  <si>
    <t xml:space="preserve"> 38.7202 </t>
  </si>
  <si>
    <t xml:space="preserve">C:\Users\andre\Desktop\REACTIV CEFAS\Anastrozole\Anastrozole/20201126_Cefas_Test7_Run3/Plate 1/@1/H10_03.tif </t>
  </si>
  <si>
    <t xml:space="preserve"> 37.5506 </t>
  </si>
  <si>
    <t xml:space="preserve">C:\Users\andre\Desktop\REACTIV CEFAS\Anastrozole\Anastrozole/20201126_Cefas_Test7_Run3/Plate 1/@1/ </t>
  </si>
  <si>
    <t xml:space="preserve"> 37.668 </t>
  </si>
  <si>
    <t xml:space="preserve"> 4.8141 </t>
  </si>
  <si>
    <t xml:space="preserve"> 252321.667 </t>
  </si>
  <si>
    <t xml:space="preserve"> 202042.288 </t>
  </si>
  <si>
    <t xml:space="preserve">C:\Users\andre\Desktop\REACTIV CEFAS\Anastrozole\Anastrozole/20201126_Cefas_Test7_Run3/Plate 1/@13/A8_01.tif </t>
  </si>
  <si>
    <t xml:space="preserve"> 58530.4949 </t>
  </si>
  <si>
    <t xml:space="preserve"> 38.0333 </t>
  </si>
  <si>
    <t xml:space="preserve">C:\Users\andre\Desktop\REACTIV CEFAS\Anastrozole\Anastrozole/20201126_Cefas_Test7_Run3/Plate 1/@13/A8_02.tif </t>
  </si>
  <si>
    <t xml:space="preserve"> 70902.7946 </t>
  </si>
  <si>
    <t xml:space="preserve"> 41.7206 </t>
  </si>
  <si>
    <t xml:space="preserve">C:\Users\andre\Desktop\REACTIV CEFAS\Anastrozole\Anastrozole/20201126_Cefas_Test7_Run3/Plate 1/@13/A8_03.tif </t>
  </si>
  <si>
    <t xml:space="preserve"> 58292.566 </t>
  </si>
  <si>
    <t xml:space="preserve"> 40.4085 </t>
  </si>
  <si>
    <t xml:space="preserve">C:\Users\andre\Desktop\REACTIV CEFAS\Anastrozole\Anastrozole/20201126_Cefas_Test7_Run3/Plate 1/@13/B8_01.tif </t>
  </si>
  <si>
    <t xml:space="preserve"> 28378.4218 </t>
  </si>
  <si>
    <t xml:space="preserve"> 38.2691 </t>
  </si>
  <si>
    <t xml:space="preserve">C:\Users\andre\Desktop\REACTIV CEFAS\Anastrozole\Anastrozole/20201126_Cefas_Test7_Run3/Plate 1/@13/B8_02.tif </t>
  </si>
  <si>
    <t xml:space="preserve"> 21132.4071 </t>
  </si>
  <si>
    <t xml:space="preserve"> 37.2927 </t>
  </si>
  <si>
    <t xml:space="preserve">C:\Users\andre\Desktop\REACTIV CEFAS\Anastrozole\Anastrozole/20201126_Cefas_Test7_Run3/Plate 1/@13/B8_03.tif </t>
  </si>
  <si>
    <t xml:space="preserve"> 28573.0908 </t>
  </si>
  <si>
    <t xml:space="preserve"> 37.2483 </t>
  </si>
  <si>
    <t xml:space="preserve">C:\Users\andre\Desktop\REACTIV CEFAS\Anastrozole\Anastrozole/20201126_Cefas_Test7_Run3/Plate 1/@13/C8_01.tif </t>
  </si>
  <si>
    <t xml:space="preserve"> 44925.2911 </t>
  </si>
  <si>
    <t xml:space="preserve"> 37.0891 </t>
  </si>
  <si>
    <t xml:space="preserve">C:\Users\andre\Desktop\REACTIV CEFAS\Anastrozole\Anastrozole/20201126_Cefas_Test7_Run3/Plate 1/@13/C8_02.tif </t>
  </si>
  <si>
    <t xml:space="preserve"> 31341.7173 </t>
  </si>
  <si>
    <t xml:space="preserve"> 34.4589 </t>
  </si>
  <si>
    <t xml:space="preserve">C:\Users\andre\Desktop\REACTIV CEFAS\Anastrozole\Anastrozole/20201126_Cefas_Test7_Run3/Plate 1/@13/C8_03.tif </t>
  </si>
  <si>
    <t xml:space="preserve"> 30627.9308 </t>
  </si>
  <si>
    <t xml:space="preserve"> 35.9167 </t>
  </si>
  <si>
    <t xml:space="preserve">C:\Users\andre\Desktop\REACTIV CEFAS\Anastrozole\Anastrozole/20201126_Cefas_Test7_Run3/Plate 1/@13/D8_01.tif </t>
  </si>
  <si>
    <t xml:space="preserve"> 46763.8322 </t>
  </si>
  <si>
    <t xml:space="preserve"> 36.6138 </t>
  </si>
  <si>
    <t xml:space="preserve">C:\Users\andre\Desktop\REACTIV CEFAS\Anastrozole\Anastrozole/20201126_Cefas_Test7_Run3/Plate 1/@13/D8_02.tif </t>
  </si>
  <si>
    <t xml:space="preserve">C:\Users\andre\Desktop\REACTIV CEFAS\Anastrozole\Anastrozole/20201126_Cefas_Test7_Run3/Plate 1/@13/D8_03.tif </t>
  </si>
  <si>
    <t xml:space="preserve"> 71594.9512 </t>
  </si>
  <si>
    <t xml:space="preserve"> 42.2082 </t>
  </si>
  <si>
    <t xml:space="preserve">C:\Users\andre\Desktop\REACTIV CEFAS\Anastrozole\Anastrozole/20201126_Cefas_Test7_Run3/Plate 1/@13/E8_01.tif </t>
  </si>
  <si>
    <t xml:space="preserve"> 27707.895 </t>
  </si>
  <si>
    <t xml:space="preserve"> 35.007 </t>
  </si>
  <si>
    <t xml:space="preserve">C:\Users\andre\Desktop\REACTIV CEFAS\Anastrozole\Anastrozole/20201126_Cefas_Test7_Run3/Plate 1/@13/E8_02.tif </t>
  </si>
  <si>
    <t xml:space="preserve"> 21802.9338 </t>
  </si>
  <si>
    <t xml:space="preserve"> 33.6002 </t>
  </si>
  <si>
    <t xml:space="preserve">C:\Users\andre\Desktop\REACTIV CEFAS\Anastrozole\Anastrozole/20201126_Cefas_Test7_Run3/Plate 1/@13/E8_03.tif </t>
  </si>
  <si>
    <t xml:space="preserve"> 28313.5321 </t>
  </si>
  <si>
    <t xml:space="preserve"> 34.8793 </t>
  </si>
  <si>
    <t xml:space="preserve">C:\Users\andre\Desktop\REACTIV CEFAS\Anastrozole\Anastrozole/20201126_Cefas_Test7_Run3/Plate 1/@13/F8_01.tif </t>
  </si>
  <si>
    <t xml:space="preserve"> 40253.2339 </t>
  </si>
  <si>
    <t xml:space="preserve"> 40.4046 </t>
  </si>
  <si>
    <t xml:space="preserve">C:\Users\andre\Desktop\REACTIV CEFAS\Anastrozole\Anastrozole/20201126_Cefas_Test7_Run3/Plate 1/@13/F8_02.tif </t>
  </si>
  <si>
    <t xml:space="preserve"> 45487.6684 </t>
  </si>
  <si>
    <t xml:space="preserve"> 43.9643 </t>
  </si>
  <si>
    <t xml:space="preserve">C:\Users\andre\Desktop\REACTIV CEFAS\Anastrozole\Anastrozole/20201126_Cefas_Test7_Run3/Plate 1/@13/F8_03.tif </t>
  </si>
  <si>
    <t xml:space="preserve"> 41075.1699 </t>
  </si>
  <si>
    <t xml:space="preserve"> 40.5513 </t>
  </si>
  <si>
    <t xml:space="preserve">C:\Users\andre\Desktop\REACTIV CEFAS\Anastrozole\Anastrozole/20201126_Cefas_Test7_Run3/Plate 1/@13/G8_01.tif </t>
  </si>
  <si>
    <t xml:space="preserve"> 60152.737 </t>
  </si>
  <si>
    <t xml:space="preserve"> 40.6433 </t>
  </si>
  <si>
    <t xml:space="preserve">C:\Users\andre\Desktop\REACTIV CEFAS\Anastrozole\Anastrozole/20201126_Cefas_Test7_Run3/Plate 1/@13/G8_02.tif </t>
  </si>
  <si>
    <t xml:space="preserve"> 60066.2174 </t>
  </si>
  <si>
    <t xml:space="preserve"> 39.2683 </t>
  </si>
  <si>
    <t xml:space="preserve">C:\Users\andre\Desktop\REACTIV CEFAS\Anastrozole\Anastrozole/20201126_Cefas_Test7_Run3/Plate 1/@13/G8_03.tif </t>
  </si>
  <si>
    <t xml:space="preserve"> 67117.563 </t>
  </si>
  <si>
    <t xml:space="preserve"> 39.0187 </t>
  </si>
  <si>
    <t xml:space="preserve">C:\Users\andre\Desktop\REACTIV CEFAS\Anastrozole\Anastrozole/20201126_Cefas_Test7_Run3/Plate 1/@13/H8_01.tif </t>
  </si>
  <si>
    <t xml:space="preserve"> 26734.5498 </t>
  </si>
  <si>
    <t xml:space="preserve"> 38.1998 </t>
  </si>
  <si>
    <t xml:space="preserve">C:\Users\andre\Desktop\REACTIV CEFAS\Anastrozole\Anastrozole/20201126_Cefas_Test7_Run3/Plate 1/@13/H8_02.tif </t>
  </si>
  <si>
    <t xml:space="preserve"> 45703.9674 </t>
  </si>
  <si>
    <t xml:space="preserve"> 37.5125 </t>
  </si>
  <si>
    <t xml:space="preserve">C:\Users\andre\Desktop\REACTIV CEFAS\Anastrozole\Anastrozole/20201126_Cefas_Test7_Run3/Plate 1/@13/H8_03.tif </t>
  </si>
  <si>
    <t xml:space="preserve"> 33958.9346 </t>
  </si>
  <si>
    <t xml:space="preserve"> 39.5331 </t>
  </si>
  <si>
    <t xml:space="preserve">C:\Users\andre\Desktop\REACTIV CEFAS\Anastrozole\Anastrozole/20201126_Cefas_Test7_Run3/Plate 1/@13/ </t>
  </si>
  <si>
    <t xml:space="preserve"> 38.3283 </t>
  </si>
  <si>
    <t xml:space="preserve"> 2.5852 </t>
  </si>
  <si>
    <t xml:space="preserve"> 1697376.12 </t>
  </si>
  <si>
    <t xml:space="preserve"> 695804.138 </t>
  </si>
  <si>
    <t xml:space="preserve">C:\Users\andre\Desktop\REACTIV CEFAS\Anastrozole\Anastrozole/20201126_Cefas_Test7_Run3/Plate 1/@14/A9_01.tif </t>
  </si>
  <si>
    <t xml:space="preserve"> 21997.6028 </t>
  </si>
  <si>
    <t xml:space="preserve"> 36.9007 </t>
  </si>
  <si>
    <t xml:space="preserve">C:\Users\andre\Desktop\REACTIV CEFAS\Anastrozole\Anastrozole/20201126_Cefas_Test7_Run3/Plate 1/@14/A9_02.tif </t>
  </si>
  <si>
    <t xml:space="preserve"> 21781.3039 </t>
  </si>
  <si>
    <t xml:space="preserve"> 37.285 </t>
  </si>
  <si>
    <t xml:space="preserve">C:\Users\andre\Desktop\REACTIV CEFAS\Anastrozole\Anastrozole/20201126_Cefas_Test7_Run3/Plate 1/@14/A9_03.tif </t>
  </si>
  <si>
    <t xml:space="preserve"> 21521.7452 </t>
  </si>
  <si>
    <t xml:space="preserve"> 36.7578 </t>
  </si>
  <si>
    <t xml:space="preserve">C:\Users\andre\Desktop\REACTIV CEFAS\Anastrozole\Anastrozole/20201126_Cefas_Test7_Run3/Plate 1/@14/B9_01.tif </t>
  </si>
  <si>
    <t xml:space="preserve"> 43.4844 </t>
  </si>
  <si>
    <t xml:space="preserve">C:\Users\andre\Desktop\REACTIV CEFAS\Anastrozole\Anastrozole/20201126_Cefas_Test7_Run3/Plate 1/@14/B9_02.tif </t>
  </si>
  <si>
    <t xml:space="preserve"> 46698.9425 </t>
  </si>
  <si>
    <t xml:space="preserve"> 44.164 </t>
  </si>
  <si>
    <t xml:space="preserve">C:\Users\andre\Desktop\REACTIV CEFAS\Anastrozole\Anastrozole/20201126_Cefas_Test7_Run3/Plate 1/@14/B9_03.tif </t>
  </si>
  <si>
    <t xml:space="preserve"> 45898.6364 </t>
  </si>
  <si>
    <t xml:space="preserve"> 44.0975 </t>
  </si>
  <si>
    <t xml:space="preserve">C:\Users\andre\Desktop\REACTIV CEFAS\Anastrozole\Anastrozole/20201126_Cefas_Test7_Run3/Plate 1/@14/C9_01.tif </t>
  </si>
  <si>
    <t xml:space="preserve"> 33872.415 </t>
  </si>
  <si>
    <t xml:space="preserve"> 34.9662 </t>
  </si>
  <si>
    <t xml:space="preserve">C:\Users\andre\Desktop\REACTIV CEFAS\Anastrozole\Anastrozole/20201126_Cefas_Test7_Run3/Plate 1/@14/C9_02.tif </t>
  </si>
  <si>
    <t xml:space="preserve"> 43303.049 </t>
  </si>
  <si>
    <t xml:space="preserve"> 38.3856 </t>
  </si>
  <si>
    <t xml:space="preserve">C:\Users\andre\Desktop\REACTIV CEFAS\Anastrozole\Anastrozole/20201126_Cefas_Test7_Run3/Plate 1/@14/C9_03.tif </t>
  </si>
  <si>
    <t xml:space="preserve"> 37.5814 </t>
  </si>
  <si>
    <t xml:space="preserve">C:\Users\andre\Desktop\REACTIV CEFAS\Anastrozole\Anastrozole/20201126_Cefas_Test7_Run3/Plate 1/@14/D9_01.tif </t>
  </si>
  <si>
    <t xml:space="preserve"> 76223.7487 </t>
  </si>
  <si>
    <t xml:space="preserve"> 46.0715 </t>
  </si>
  <si>
    <t xml:space="preserve">C:\Users\andre\Desktop\REACTIV CEFAS\Anastrozole\Anastrozole/20201126_Cefas_Test7_Run3/Plate 1/@14/D9_02.tif </t>
  </si>
  <si>
    <t xml:space="preserve"> 43.3691 </t>
  </si>
  <si>
    <t xml:space="preserve">C:\Users\andre\Desktop\REACTIV CEFAS\Anastrozole\Anastrozole/20201126_Cefas_Test7_Run3/Plate 1/@14/D9_03.tif </t>
  </si>
  <si>
    <t xml:space="preserve"> 74925.955 </t>
  </si>
  <si>
    <t xml:space="preserve"> 47.3369 </t>
  </si>
  <si>
    <t xml:space="preserve">C:\Users\andre\Desktop\REACTIV CEFAS\Anastrozole\Anastrozole/20201126_Cefas_Test7_Run3/Plate 1/@14/E9_01.tif </t>
  </si>
  <si>
    <t xml:space="preserve"> 23684.7346 </t>
  </si>
  <si>
    <t xml:space="preserve"> 32.9836 </t>
  </si>
  <si>
    <t xml:space="preserve">C:\Users\andre\Desktop\REACTIV CEFAS\Anastrozole\Anastrozole/20201126_Cefas_Test7_Run3/Plate 1/@14/E9_02.tif </t>
  </si>
  <si>
    <t xml:space="preserve"> 32.5708 </t>
  </si>
  <si>
    <t xml:space="preserve">C:\Users\andre\Desktop\REACTIV CEFAS\Anastrozole\Anastrozole/20201126_Cefas_Test7_Run3/Plate 1/@14/E9_03.tif </t>
  </si>
  <si>
    <t xml:space="preserve"> 40339.7535 </t>
  </si>
  <si>
    <t xml:space="preserve"> 36.2702 </t>
  </si>
  <si>
    <t xml:space="preserve">C:\Users\andre\Desktop\REACTIV CEFAS\Anastrozole\Anastrozole/20201126_Cefas_Test7_Run3/Plate 1/@14/F9_01.tif </t>
  </si>
  <si>
    <t xml:space="preserve"> 87860.632 </t>
  </si>
  <si>
    <t xml:space="preserve"> 48.0202 </t>
  </si>
  <si>
    <t xml:space="preserve">C:\Users\andre\Desktop\REACTIV CEFAS\Anastrozole\Anastrozole/20201126_Cefas_Test7_Run3/Plate 1/@14/F9_02.tif </t>
  </si>
  <si>
    <t xml:space="preserve"> 77088.9445 </t>
  </si>
  <si>
    <t xml:space="preserve"> 49.3235 </t>
  </si>
  <si>
    <t xml:space="preserve">C:\Users\andre\Desktop\REACTIV CEFAS\Anastrozole\Anastrozole/20201126_Cefas_Test7_Run3/Plate 1/@14/F9_03.tif </t>
  </si>
  <si>
    <t xml:space="preserve"> 79922.4607 </t>
  </si>
  <si>
    <t xml:space="preserve"> 46.1215 </t>
  </si>
  <si>
    <t xml:space="preserve">C:\Users\andre\Desktop\REACTIV CEFAS\Anastrozole\Anastrozole/20201126_Cefas_Test7_Run3/Plate 1/@14/G9_01.tif </t>
  </si>
  <si>
    <t xml:space="preserve"> 59676.8793 </t>
  </si>
  <si>
    <t xml:space="preserve"> 39.0033 </t>
  </si>
  <si>
    <t xml:space="preserve">C:\Users\andre\Desktop\REACTIV CEFAS\Anastrozole\Anastrozole/20201126_Cefas_Test7_Run3/Plate 1/@14/G9_02.tif </t>
  </si>
  <si>
    <t xml:space="preserve"> 53252.8006 </t>
  </si>
  <si>
    <t xml:space="preserve"> 38.3907 </t>
  </si>
  <si>
    <t xml:space="preserve">C:\Users\andre\Desktop\REACTIV CEFAS\Anastrozole\Anastrozole/20201126_Cefas_Test7_Run3/Plate 1/@14/G9_03.tif </t>
  </si>
  <si>
    <t xml:space="preserve"> 54550.5943 </t>
  </si>
  <si>
    <t xml:space="preserve"> 38.3569 </t>
  </si>
  <si>
    <t xml:space="preserve">C:\Users\andre\Desktop\REACTIV CEFAS\Anastrozole\Anastrozole/20201126_Cefas_Test7_Run3/Plate 1/@14/H9_01.tif </t>
  </si>
  <si>
    <t xml:space="preserve"> 58357.4557 </t>
  </si>
  <si>
    <t xml:space="preserve"> 42.7309 </t>
  </si>
  <si>
    <t xml:space="preserve">C:\Users\andre\Desktop\REACTIV CEFAS\Anastrozole\Anastrozole/20201126_Cefas_Test7_Run3/Plate 1/@14/H9_02.tif </t>
  </si>
  <si>
    <t xml:space="preserve"> 41.5409 </t>
  </si>
  <si>
    <t xml:space="preserve">C:\Users\andre\Desktop\REACTIV CEFAS\Anastrozole\Anastrozole/20201126_Cefas_Test7_Run3/Plate 1/@14/H9_03.tif </t>
  </si>
  <si>
    <t xml:space="preserve"> 60455.5555 </t>
  </si>
  <si>
    <t xml:space="preserve"> 41.7624 </t>
  </si>
  <si>
    <t xml:space="preserve">C:\Users\andre\Desktop\REACTIV CEFAS\Anastrozole\Anastrozole/20201126_Cefas_Test7_Run3/Plate 1/@14/ </t>
  </si>
  <si>
    <t xml:space="preserve"> 40.7281 </t>
  </si>
  <si>
    <t xml:space="preserve"> 4.7693 </t>
  </si>
  <si>
    <t xml:space="preserve"> 2170953.71 </t>
  </si>
  <si>
    <t xml:space="preserve"> 1071576.12 </t>
  </si>
  <si>
    <t xml:space="preserve">C:\Users\andre\Desktop\REACTIV CEFAS\Anastrozole\Anastrozole/20201126_Cefas_Test7_Run3/Plate 1/@15/A11_01.tif </t>
  </si>
  <si>
    <t xml:space="preserve"> 79035.635 </t>
  </si>
  <si>
    <t xml:space="preserve"> 53.6708 </t>
  </si>
  <si>
    <t xml:space="preserve">C:\Users\andre\Desktop\REACTIV CEFAS\Anastrozole\Anastrozole/20201126_Cefas_Test7_Run3/Plate 1/@15/A11_02.tif </t>
  </si>
  <si>
    <t xml:space="preserve"> 76353.528 </t>
  </si>
  <si>
    <t xml:space="preserve"> 49.6915 </t>
  </si>
  <si>
    <t xml:space="preserve">C:\Users\andre\Desktop\REACTIV CEFAS\Anastrozole\Anastrozole/20201126_Cefas_Test7_Run3/Plate 1/@15/A11_03.tif </t>
  </si>
  <si>
    <t xml:space="preserve"> 73238.8232 </t>
  </si>
  <si>
    <t xml:space="preserve"> 51.5272 </t>
  </si>
  <si>
    <t xml:space="preserve">C:\Users\andre\Desktop\REACTIV CEFAS\Anastrozole\Anastrozole/20201126_Cefas_Test7_Run3/Plate 1/@15/B11_01.tif </t>
  </si>
  <si>
    <t xml:space="preserve"> 67204.0826 </t>
  </si>
  <si>
    <t xml:space="preserve"> 51.3338 </t>
  </si>
  <si>
    <t xml:space="preserve">C:\Users\andre\Desktop\REACTIV CEFAS\Anastrozole\Anastrozole/20201126_Cefas_Test7_Run3/Plate 1/@15/B11_02.tif </t>
  </si>
  <si>
    <t xml:space="preserve"> 64284.0468 </t>
  </si>
  <si>
    <t xml:space="preserve"> 47.644 </t>
  </si>
  <si>
    <t xml:space="preserve">C:\Users\andre\Desktop\REACTIV CEFAS\Anastrozole\Anastrozole/20201126_Cefas_Test7_Run3/Plate 1/@15/B11_03.tif </t>
  </si>
  <si>
    <t xml:space="preserve"> 64889.6839 </t>
  </si>
  <si>
    <t xml:space="preserve"> 49.562 </t>
  </si>
  <si>
    <t xml:space="preserve">C:\Users\andre\Desktop\REACTIV CEFAS\Anastrozole\Anastrozole/20201126_Cefas_Test7_Run3/Plate 1/@15/C11_01.tif </t>
  </si>
  <si>
    <t xml:space="preserve"> 53663.7686 </t>
  </si>
  <si>
    <t xml:space="preserve"> 39.7658 </t>
  </si>
  <si>
    <t xml:space="preserve">C:\Users\andre\Desktop\REACTIV CEFAS\Anastrozole\Anastrozole/20201126_Cefas_Test7_Run3/Plate 1/@15/C11_02.tif </t>
  </si>
  <si>
    <t xml:space="preserve"> 58249.3062 </t>
  </si>
  <si>
    <t xml:space="preserve"> 44.5065 </t>
  </si>
  <si>
    <t xml:space="preserve">C:\Users\andre\Desktop\REACTIV CEFAS\Anastrozole\Anastrozole/20201126_Cefas_Test7_Run3/Plate 1/@15/C11_03.tif </t>
  </si>
  <si>
    <t xml:space="preserve"> 52279.4553 </t>
  </si>
  <si>
    <t xml:space="preserve"> 43.6678 </t>
  </si>
  <si>
    <t>C:\Users\andre\Desktop\REACTIV CEFAS\Anastrozole\Anastrozole/20201126_Cefas_Test7_Run3/Plate 1/@15/D11_01- exclu.tif</t>
  </si>
  <si>
    <t>C:\Users\andre\Desktop\REACTIV CEFAS\Anastrozole\Anastrozole/20201126_Cefas_Test7_Run3/Plate 1/@15/D11_02- exclu.tif</t>
  </si>
  <si>
    <t>C:\Users\andre\Desktop\REACTIV CEFAS\Anastrozole\Anastrozole/20201126_Cefas_Test7_Run3/Plate 1/@15/D11_03- exclu.tif</t>
  </si>
  <si>
    <t xml:space="preserve">C:\Users\andre\Desktop\REACTIV CEFAS\Anastrozole\Anastrozole/20201126_Cefas_Test7_Run3/Plate 1/@15/E11_01.tif </t>
  </si>
  <si>
    <t xml:space="preserve"> 60109.4772 </t>
  </si>
  <si>
    <t xml:space="preserve"> 49.968 </t>
  </si>
  <si>
    <t xml:space="preserve">C:\Users\andre\Desktop\REACTIV CEFAS\Anastrozole\Anastrozole/20201126_Cefas_Test7_Run3/Plate 1/@15/E11_02.tif </t>
  </si>
  <si>
    <t xml:space="preserve"> 64262.4169 </t>
  </si>
  <si>
    <t xml:space="preserve"> 54.9566 </t>
  </si>
  <si>
    <t xml:space="preserve">C:\Users\andre\Desktop\REACTIV CEFAS\Anastrozole\Anastrozole/20201126_Cefas_Test7_Run3/Plate 1/@15/E11_03.tif </t>
  </si>
  <si>
    <t xml:space="preserve"> 61147.7121 </t>
  </si>
  <si>
    <t xml:space="preserve"> 52.4004 </t>
  </si>
  <si>
    <t xml:space="preserve">C:\Users\andre\Desktop\REACTIV CEFAS\Anastrozole\Anastrozole/20201126_Cefas_Test7_Run3/Plate 1/@15/F11_01.tif </t>
  </si>
  <si>
    <t xml:space="preserve"> 47.6836 </t>
  </si>
  <si>
    <t xml:space="preserve">C:\Users\andre\Desktop\REACTIV CEFAS\Anastrozole\Anastrozole/20201126_Cefas_Test7_Run3/Plate 1/@15/F11_02.tif </t>
  </si>
  <si>
    <t xml:space="preserve"> 62618.545 </t>
  </si>
  <si>
    <t xml:space="preserve"> 46.4722 </t>
  </si>
  <si>
    <t xml:space="preserve">C:\Users\andre\Desktop\REACTIV CEFAS\Anastrozole\Anastrozole/20201126_Cefas_Test7_Run3/Plate 1/@15/F11_03.tif </t>
  </si>
  <si>
    <t xml:space="preserve"> 67961.1289 </t>
  </si>
  <si>
    <t xml:space="preserve"> 50.8491 </t>
  </si>
  <si>
    <t xml:space="preserve">C:\Users\andre\Desktop\REACTIV CEFAS\Anastrozole\Anastrozole/20201126_Cefas_Test7_Run3/Plate 1/@15/G11_01.tif </t>
  </si>
  <si>
    <t xml:space="preserve"> 72871.115 </t>
  </si>
  <si>
    <t xml:space="preserve"> 43.4378 </t>
  </si>
  <si>
    <t xml:space="preserve">C:\Users\andre\Desktop\REACTIV CEFAS\Anastrozole\Anastrozole/20201126_Cefas_Test7_Run3/Plate 1/@15/G11_02.tif </t>
  </si>
  <si>
    <t xml:space="preserve"> 65711.6199 </t>
  </si>
  <si>
    <t xml:space="preserve"> 44.0932 </t>
  </si>
  <si>
    <t xml:space="preserve">C:\Users\andre\Desktop\REACTIV CEFAS\Anastrozole\Anastrozole/20201126_Cefas_Test7_Run3/Plate 1/@15/G11_03.tif </t>
  </si>
  <si>
    <t xml:space="preserve"> 65387.1715 </t>
  </si>
  <si>
    <t xml:space="preserve"> 45.0589 </t>
  </si>
  <si>
    <t xml:space="preserve">C:\Users\andre\Desktop\REACTIV CEFAS\Anastrozole\Anastrozole/20201126_Cefas_Test7_Run3/Plate 1/@15/H11_01.tif </t>
  </si>
  <si>
    <t xml:space="preserve"> 71335.3925 </t>
  </si>
  <si>
    <t xml:space="preserve"> 48.7438 </t>
  </si>
  <si>
    <t xml:space="preserve">C:\Users\andre\Desktop\REACTIV CEFAS\Anastrozole\Anastrozole/20201126_Cefas_Test7_Run3/Plate 1/@15/H11_02.tif </t>
  </si>
  <si>
    <t xml:space="preserve"> 71140.7234 </t>
  </si>
  <si>
    <t xml:space="preserve"> 50.4424 </t>
  </si>
  <si>
    <t xml:space="preserve">C:\Users\andre\Desktop\REACTIV CEFAS\Anastrozole\Anastrozole/20201126_Cefas_Test7_Run3/Plate 1/@15/H11_03.tif </t>
  </si>
  <si>
    <t xml:space="preserve"> 75747.891 </t>
  </si>
  <si>
    <t xml:space="preserve"> 49.7476 </t>
  </si>
  <si>
    <t xml:space="preserve">C:\Users\andre\Desktop\REACTIV CEFAS\Anastrozole\Anastrozole/20201126_Cefas_Test7_Run3/Plate 1/@15/ </t>
  </si>
  <si>
    <t xml:space="preserve"> 47.5223 </t>
  </si>
  <si>
    <t xml:space="preserve"> 6.0853 </t>
  </si>
  <si>
    <t xml:space="preserve"> 2849296.17 </t>
  </si>
  <si>
    <t xml:space="preserve"> 1100867.29 </t>
  </si>
  <si>
    <t xml:space="preserve">C:\Users\andre\Desktop\REACTIV CEFAS\Anastrozole\Anastrozole/20201126_Cefas_Test7_Run3/Plate 1/@16/A12_01.tif </t>
  </si>
  <si>
    <t>C:\Users\andre\Desktop\REACTIV CEFAS\Anastrozole\Anastrozole/20201126_Cefas_Test7_Run3/Plate 1/@16/A12_02- exclu.tif</t>
  </si>
  <si>
    <t>C:\Users\andre\Desktop\REACTIV CEFAS\Anastrozole\Anastrozole/20201126_Cefas_Test7_Run3/Plate 1/@16/A12_03- exclu.tif</t>
  </si>
  <si>
    <t xml:space="preserve">C:\Users\andre\Desktop\REACTIV CEFAS\Anastrozole\Anastrozole/20201126_Cefas_Test7_Run3/Plate 1/@16/B12_01.tif </t>
  </si>
  <si>
    <t xml:space="preserve"> 35.2651 </t>
  </si>
  <si>
    <t xml:space="preserve">C:\Users\andre\Desktop\REACTIV CEFAS\Anastrozole\Anastrozole/20201126_Cefas_Test7_Run3/Plate 1/@16/B12_02.tif </t>
  </si>
  <si>
    <t xml:space="preserve"> 7159.4951 </t>
  </si>
  <si>
    <t xml:space="preserve"> 38.1299 </t>
  </si>
  <si>
    <t xml:space="preserve">C:\Users\andre\Desktop\REACTIV CEFAS\Anastrozole\Anastrozole/20201126_Cefas_Test7_Run3/Plate 1/@16/B12_03.tif </t>
  </si>
  <si>
    <t xml:space="preserve"> 32.1982 </t>
  </si>
  <si>
    <t xml:space="preserve">C:\Users\andre\Desktop\REACTIV CEFAS\Anastrozole\Anastrozole/20201126_Cefas_Test7_Run3/Plate 1/@16/C12_01.tif </t>
  </si>
  <si>
    <t xml:space="preserve"> 8370.7692 </t>
  </si>
  <si>
    <t xml:space="preserve"> 37.9147 </t>
  </si>
  <si>
    <t xml:space="preserve">C:\Users\andre\Desktop\REACTIV CEFAS\Anastrozole\Anastrozole/20201126_Cefas_Test7_Run3/Plate 1/@16/C12_02.tif </t>
  </si>
  <si>
    <t xml:space="preserve"> 41.1485 </t>
  </si>
  <si>
    <t xml:space="preserve">C:\Users\andre\Desktop\REACTIV CEFAS\Anastrozole\Anastrozole/20201126_Cefas_Test7_Run3/Plate 1/@16/C12_03.tif </t>
  </si>
  <si>
    <t xml:space="preserve"> 5515.6231 </t>
  </si>
  <si>
    <t xml:space="preserve"> 37.0353 </t>
  </si>
  <si>
    <t xml:space="preserve">C:\Users\andre\Desktop\REACTIV CEFAS\Anastrozole\Anastrozole/20201126_Cefas_Test7_Run3/Plate 1/@16/D12_01.tif </t>
  </si>
  <si>
    <t xml:space="preserve"> 38.0054 </t>
  </si>
  <si>
    <t xml:space="preserve">C:\Users\andre\Desktop\REACTIV CEFAS\Anastrozole\Anastrozole/20201126_Cefas_Test7_Run3/Plate 1/@16/D12_02.tif </t>
  </si>
  <si>
    <t xml:space="preserve"> 16114.2715 </t>
  </si>
  <si>
    <t xml:space="preserve"> 39.6752 </t>
  </si>
  <si>
    <t xml:space="preserve">C:\Users\andre\Desktop\REACTIV CEFAS\Anastrozole\Anastrozole/20201126_Cefas_Test7_Run3/Plate 1/@16/D12_03.tif </t>
  </si>
  <si>
    <t xml:space="preserve"> 35.0882 </t>
  </si>
  <si>
    <t xml:space="preserve">C:\Users\andre\Desktop\REACTIV CEFAS\Anastrozole\Anastrozole/20201126_Cefas_Test7_Run3/Plate 1/@16/E12_01.tif </t>
  </si>
  <si>
    <t xml:space="preserve"> 39.1981 </t>
  </si>
  <si>
    <t xml:space="preserve">C:\Users\andre\Desktop\REACTIV CEFAS\Anastrozole\Anastrozole/20201126_Cefas_Test7_Run3/Plate 1/@16/E12_02.tif </t>
  </si>
  <si>
    <t xml:space="preserve"> 9798.3423 </t>
  </si>
  <si>
    <t xml:space="preserve"> 38.3046 </t>
  </si>
  <si>
    <t xml:space="preserve">C:\Users\andre\Desktop\REACTIV CEFAS\Anastrozole\Anastrozole/20201126_Cefas_Test7_Run3/Plate 1/@16/E12_03.tif </t>
  </si>
  <si>
    <t xml:space="preserve"> 10014.6412 </t>
  </si>
  <si>
    <t xml:space="preserve"> 37.6199 </t>
  </si>
  <si>
    <t xml:space="preserve">C:\Users\andre\Desktop\REACTIV CEFAS\Anastrozole\Anastrozole/20201126_Cefas_Test7_Run3/Plate 1/@16/F12_01.tif </t>
  </si>
  <si>
    <t xml:space="preserve"> 37.8315 </t>
  </si>
  <si>
    <t xml:space="preserve">C:\Users\andre\Desktop\REACTIV CEFAS\Anastrozole\Anastrozole/20201126_Cefas_Test7_Run3/Plate 1/@16/F12_02.tif </t>
  </si>
  <si>
    <t xml:space="preserve"> 37.8 </t>
  </si>
  <si>
    <t xml:space="preserve">C:\Users\andre\Desktop\REACTIV CEFAS\Anastrozole\Anastrozole/20201126_Cefas_Test7_Run3/Plate 1/@16/F12_03.tif </t>
  </si>
  <si>
    <t xml:space="preserve"> 35.3945 </t>
  </si>
  <si>
    <t xml:space="preserve">C:\Users\andre\Desktop\REACTIV CEFAS\Anastrozole\Anastrozole/20201126_Cefas_Test7_Run3/Plate 1/@16/G12_01.tif </t>
  </si>
  <si>
    <t xml:space="preserve"> 44.9663 </t>
  </si>
  <si>
    <t xml:space="preserve">C:\Users\andre\Desktop\REACTIV CEFAS\Anastrozole\Anastrozole/20201126_Cefas_Test7_Run3/Plate 1/@16/G12_02.tif </t>
  </si>
  <si>
    <t xml:space="preserve"> 43.2912 </t>
  </si>
  <si>
    <t xml:space="preserve">C:\Users\andre\Desktop\REACTIV CEFAS\Anastrozole\Anastrozole/20201126_Cefas_Test7_Run3/Plate 1/@16/G12_03.tif </t>
  </si>
  <si>
    <t xml:space="preserve"> 46.3412 </t>
  </si>
  <si>
    <t xml:space="preserve">C:\Users\andre\Desktop\REACTIV CEFAS\Anastrozole\Anastrozole/20201126_Cefas_Test7_Run3/Plate 1/@16/H12_01.tif </t>
  </si>
  <si>
    <t xml:space="preserve"> 38.7931 </t>
  </si>
  <si>
    <t xml:space="preserve">C:\Users\andre\Desktop\REACTIV CEFAS\Anastrozole\Anastrozole/20201126_Cefas_Test7_Run3/Plate 1/@16/H12_02.tif </t>
  </si>
  <si>
    <t xml:space="preserve"> 4217.8295 </t>
  </si>
  <si>
    <t xml:space="preserve"> 36.7436 </t>
  </si>
  <si>
    <t xml:space="preserve">C:\Users\andre\Desktop\REACTIV CEFAS\Anastrozole\Anastrozole/20201126_Cefas_Test7_Run3/Plate 1/@16/H12_03.tif </t>
  </si>
  <si>
    <t xml:space="preserve"> 3806.8615 </t>
  </si>
  <si>
    <t xml:space="preserve"> 36.375 </t>
  </si>
  <si>
    <t xml:space="preserve">C:\Users\andre\Desktop\REACTIV CEFAS\Anastrozole\Anastrozole/20201126_Cefas_Test7_Run3/Plate 1/@16/ </t>
  </si>
  <si>
    <t xml:space="preserve"> 38.6223 </t>
  </si>
  <si>
    <t xml:space="preserve"> 4.0338 </t>
  </si>
  <si>
    <t xml:space="preserve"> 309239.917 </t>
  </si>
  <si>
    <t xml:space="preserve"> 186810.833 </t>
  </si>
  <si>
    <t xml:space="preserve">C:\Users\andre\Desktop\REACTIV CEFAS\Anastrozole\Anastrozole/20201126_Cefas_Test7_Run3/Plate 1/@2/A2_01.tif </t>
  </si>
  <si>
    <t xml:space="preserve">C:\Users\andre\Desktop\REACTIV CEFAS\Anastrozole\Anastrozole/20201126_Cefas_Test7_Run3/Plate 1/@2/A2_02.tif </t>
  </si>
  <si>
    <t xml:space="preserve"> 11615.2534 </t>
  </si>
  <si>
    <t xml:space="preserve"> 38.1155 </t>
  </si>
  <si>
    <t xml:space="preserve">C:\Users\andre\Desktop\REACTIV CEFAS\Anastrozole\Anastrozole/20201126_Cefas_Test7_Run3/Plate 1/@2/A2_03.tif </t>
  </si>
  <si>
    <t xml:space="preserve"> 9019.6661 </t>
  </si>
  <si>
    <t xml:space="preserve"> 36.2446 </t>
  </si>
  <si>
    <t xml:space="preserve">C:\Users\andre\Desktop\REACTIV CEFAS\Anastrozole\Anastrozole/20201126_Cefas_Test7_Run3/Plate 1/@2/B2_01.tif </t>
  </si>
  <si>
    <t xml:space="preserve"> 33.4497 </t>
  </si>
  <si>
    <t xml:space="preserve">C:\Users\andre\Desktop\REACTIV CEFAS\Anastrozole\Anastrozole/20201126_Cefas_Test7_Run3/Plate 1/@2/B2_02.tif </t>
  </si>
  <si>
    <t xml:space="preserve"> 10252.5701 </t>
  </si>
  <si>
    <t xml:space="preserve"> 38.9325 </t>
  </si>
  <si>
    <t xml:space="preserve">C:\Users\andre\Desktop\REACTIV CEFAS\Anastrozole\Anastrozole/20201126_Cefas_Test7_Run3/Plate 1/@2/B2_03.tif </t>
  </si>
  <si>
    <t xml:space="preserve"> 35.6136 </t>
  </si>
  <si>
    <t xml:space="preserve">C:\Users\andre\Desktop\REACTIV CEFAS\Anastrozole\Anastrozole/20201126_Cefas_Test7_Run3/Plate 1/@2/C2_01.tif </t>
  </si>
  <si>
    <t xml:space="preserve"> 18861.2681 </t>
  </si>
  <si>
    <t xml:space="preserve"> 39.3108 </t>
  </si>
  <si>
    <t xml:space="preserve">C:\Users\andre\Desktop\REACTIV CEFAS\Anastrozole\Anastrozole/20201126_Cefas_Test7_Run3/Plate 1/@2/C2_02.tif </t>
  </si>
  <si>
    <t xml:space="preserve"> 16071.0117 </t>
  </si>
  <si>
    <t xml:space="preserve"> 43.0283 </t>
  </si>
  <si>
    <t xml:space="preserve">C:\Users\andre\Desktop\REACTIV CEFAS\Anastrozole\Anastrozole/20201126_Cefas_Test7_Run3/Plate 1/@2/C2_03.tif </t>
  </si>
  <si>
    <t xml:space="preserve"> 14773.218 </t>
  </si>
  <si>
    <t xml:space="preserve"> 42.9122 </t>
  </si>
  <si>
    <t xml:space="preserve">C:\Users\andre\Desktop\REACTIV CEFAS\Anastrozole\Anastrozole/20201126_Cefas_Test7_Run3/Plate 1/@2/D2_01.tif </t>
  </si>
  <si>
    <t xml:space="preserve"> 9106.1856 </t>
  </si>
  <si>
    <t xml:space="preserve"> 35.791 </t>
  </si>
  <si>
    <t xml:space="preserve">C:\Users\andre\Desktop\REACTIV CEFAS\Anastrozole\Anastrozole/20201126_Cefas_Test7_Run3/Plate 1/@2/D2_02.tif </t>
  </si>
  <si>
    <t xml:space="preserve"> 31.668 </t>
  </si>
  <si>
    <t xml:space="preserve">C:\Users\andre\Desktop\REACTIV CEFAS\Anastrozole\Anastrozole/20201126_Cefas_Test7_Run3/Plate 1/@2/D2_03.tif </t>
  </si>
  <si>
    <t xml:space="preserve"> 8522.1785 </t>
  </si>
  <si>
    <t xml:space="preserve"> 40.8782 </t>
  </si>
  <si>
    <t xml:space="preserve">C:\Users\andre\Desktop\REACTIV CEFAS\Anastrozole\Anastrozole/20201126_Cefas_Test7_Run3/Plate 1/@2/E2_01.tif </t>
  </si>
  <si>
    <t xml:space="preserve"> 31.3023 </t>
  </si>
  <si>
    <t xml:space="preserve">C:\Users\andre\Desktop\REACTIV CEFAS\Anastrozole\Anastrozole/20201126_Cefas_Test7_Run3/Plate 1/@2/E2_02.tif </t>
  </si>
  <si>
    <t xml:space="preserve">C:\Users\andre\Desktop\REACTIV CEFAS\Anastrozole\Anastrozole/20201126_Cefas_Test7_Run3/Plate 1/@2/E2_03.tif </t>
  </si>
  <si>
    <t xml:space="preserve"> 31.9091 </t>
  </si>
  <si>
    <t xml:space="preserve">C:\Users\andre\Desktop\REACTIV CEFAS\Anastrozole\Anastrozole/20201126_Cefas_Test7_Run3/Plate 1/@2/F2_01.tif </t>
  </si>
  <si>
    <t xml:space="preserve"> 4109.68 </t>
  </si>
  <si>
    <t xml:space="preserve"> 35.0105 </t>
  </si>
  <si>
    <t xml:space="preserve">C:\Users\andre\Desktop\REACTIV CEFAS\Anastrozole\Anastrozole/20201126_Cefas_Test7_Run3/Plate 1/@2/F2_02.tif </t>
  </si>
  <si>
    <t xml:space="preserve"> 34.5183 </t>
  </si>
  <si>
    <t xml:space="preserve">C:\Users\andre\Desktop\REACTIV CEFAS\Anastrozole\Anastrozole/20201126_Cefas_Test7_Run3/Plate 1/@2/G2_03.tif </t>
  </si>
  <si>
    <t xml:space="preserve"> 36.9256 </t>
  </si>
  <si>
    <t xml:space="preserve">C:\Users\andre\Desktop\REACTIV CEFAS\Anastrozole\Anastrozole/20201126_Cefas_Test7_Run3/Plate 1/@2/H2_01.tif </t>
  </si>
  <si>
    <t xml:space="preserve">C:\Users\andre\Desktop\REACTIV CEFAS\Anastrozole\Anastrozole/20201126_Cefas_Test7_Run3/Plate 1/@2/H2_02.tif </t>
  </si>
  <si>
    <t xml:space="preserve"> 39.2305 </t>
  </si>
  <si>
    <t xml:space="preserve">C:\Users\andre\Desktop\REACTIV CEFAS\Anastrozole\Anastrozole/20201126_Cefas_Test7_Run3/Plate 1/@2/H2_03.tif </t>
  </si>
  <si>
    <t xml:space="preserve"> 40.654 </t>
  </si>
  <si>
    <t xml:space="preserve">C:\Users\andre\Desktop\REACTIV CEFAS\Anastrozole\Anastrozole/20201126_Cefas_Test7_Run3/Plate 1/@2/ </t>
  </si>
  <si>
    <t xml:space="preserve"> 34.6023 </t>
  </si>
  <si>
    <t xml:space="preserve"> 8.8315 </t>
  </si>
  <si>
    <t xml:space="preserve"> 282344.286 </t>
  </si>
  <si>
    <t xml:space="preserve"> 227216.031 </t>
  </si>
  <si>
    <t xml:space="preserve">C:\Users\andre\Desktop\REACTIV CEFAS\Anastrozole\Anastrozole/20201126_Cefas_Test7_Run3/Plate 1/@3/A3_01.tif </t>
  </si>
  <si>
    <t xml:space="preserve"> 33.4242 </t>
  </si>
  <si>
    <t xml:space="preserve">C:\Users\andre\Desktop\REACTIV CEFAS\Anastrozole\Anastrozole/20201126_Cefas_Test7_Run3/Plate 1/@3/A3_02.tif </t>
  </si>
  <si>
    <t xml:space="preserve">C:\Users\andre\Desktop\REACTIV CEFAS\Anastrozole\Anastrozole/20201126_Cefas_Test7_Run3/Plate 1/@3/A3_03.tif </t>
  </si>
  <si>
    <t xml:space="preserve"> 33.0182 </t>
  </si>
  <si>
    <t xml:space="preserve">C:\Users\andre\Desktop\REACTIV CEFAS\Anastrozole\Anastrozole/20201126_Cefas_Test7_Run3/Plate 1/@3/B3_01.tif </t>
  </si>
  <si>
    <t xml:space="preserve"> 33.8458 </t>
  </si>
  <si>
    <t xml:space="preserve">C:\Users\andre\Desktop\REACTIV CEFAS\Anastrozole\Anastrozole/20201126_Cefas_Test7_Run3/Plate 1/@3/B3_02.tif </t>
  </si>
  <si>
    <t xml:space="preserve"> 32012.2441 </t>
  </si>
  <si>
    <t xml:space="preserve"> 35.3541 </t>
  </si>
  <si>
    <t xml:space="preserve">C:\Users\andre\Desktop\REACTIV CEFAS\Anastrozole\Anastrozole/20201126_Cefas_Test7_Run3/Plate 1/@3/B3_03.tif </t>
  </si>
  <si>
    <t xml:space="preserve"> 15162.5561 </t>
  </si>
  <si>
    <t xml:space="preserve"> 34.2725 </t>
  </si>
  <si>
    <t xml:space="preserve">C:\Users\andre\Desktop\REACTIV CEFAS\Anastrozole\Anastrozole/20201126_Cefas_Test7_Run3/Plate 1/@3/C3_01.tif </t>
  </si>
  <si>
    <t xml:space="preserve"> 12977.9368 </t>
  </si>
  <si>
    <t xml:space="preserve"> 34.7033 </t>
  </si>
  <si>
    <t xml:space="preserve">C:\Users\andre\Desktop\REACTIV CEFAS\Anastrozole\Anastrozole/20201126_Cefas_Test7_Run3/Plate 1/@3/C3_02.tif </t>
  </si>
  <si>
    <t xml:space="preserve"> 39.7559 </t>
  </si>
  <si>
    <t xml:space="preserve">C:\Users\andre\Desktop\REACTIV CEFAS\Anastrozole\Anastrozole/20201126_Cefas_Test7_Run3/Plate 1/@3/C3_03.tif </t>
  </si>
  <si>
    <t xml:space="preserve"> 8543.8084 </t>
  </si>
  <si>
    <t xml:space="preserve"> 33.2177 </t>
  </si>
  <si>
    <t xml:space="preserve">C:\Users\andre\Desktop\REACTIV CEFAS\Anastrozole\Anastrozole/20201126_Cefas_Test7_Run3/Plate 1/@3/D3_01.tif </t>
  </si>
  <si>
    <t xml:space="preserve"> 31.3511 </t>
  </si>
  <si>
    <t xml:space="preserve">C:\Users\andre\Desktop\REACTIV CEFAS\Anastrozole\Anastrozole/20201126_Cefas_Test7_Run3/Plate 1/@3/D3_02.tif </t>
  </si>
  <si>
    <t xml:space="preserve"> 34.25 </t>
  </si>
  <si>
    <t xml:space="preserve">C:\Users\andre\Desktop\REACTIV CEFAS\Anastrozole\Anastrozole/20201126_Cefas_Test7_Run3/Plate 1/@3/D3_03.tif </t>
  </si>
  <si>
    <t xml:space="preserve"> 31.0877 </t>
  </si>
  <si>
    <t xml:space="preserve">C:\Users\andre\Desktop\REACTIV CEFAS\Anastrozole\Anastrozole/20201126_Cefas_Test7_Run3/Plate 1/@3/E3_01.tif </t>
  </si>
  <si>
    <t xml:space="preserve"> 22689.7595 </t>
  </si>
  <si>
    <t xml:space="preserve"> 38.0153 </t>
  </si>
  <si>
    <t xml:space="preserve">C:\Users\andre\Desktop\REACTIV CEFAS\Anastrozole\Anastrozole/20201126_Cefas_Test7_Run3/Plate 1/@3/E3_02.tif </t>
  </si>
  <si>
    <t xml:space="preserve"> 15422.1149 </t>
  </si>
  <si>
    <t xml:space="preserve"> 41.2763 </t>
  </si>
  <si>
    <t>C:\Users\andre\Desktop\REACTIV CEFAS\Anastrozole\Anastrozole/20201126_Cefas_Test7_Run3/Plate 1/@3/E3_03- exclu.tif</t>
  </si>
  <si>
    <t xml:space="preserve">C:\Users\andre\Desktop\REACTIV CEFAS\Anastrozole\Anastrozole/20201126_Cefas_Test7_Run3/Plate 1/@3/F3_01.tif </t>
  </si>
  <si>
    <t xml:space="preserve"> 31.25 </t>
  </si>
  <si>
    <t xml:space="preserve">C:\Users\andre\Desktop\REACTIV CEFAS\Anastrozole\Anastrozole/20201126_Cefas_Test7_Run3/Plate 1/@3/F3_02.tif </t>
  </si>
  <si>
    <t xml:space="preserve"> 4845.0964 </t>
  </si>
  <si>
    <t xml:space="preserve"> 37.5759 </t>
  </si>
  <si>
    <t>C:\Users\andre\Desktop\REACTIV CEFAS\Anastrozole\Anastrozole/20201126_Cefas_Test7_Run3/Plate 1/@3/F3_03- exclu.tif</t>
  </si>
  <si>
    <t xml:space="preserve">C:\Users\andre\Desktop\REACTIV CEFAS\Anastrozole\Anastrozole/20201126_Cefas_Test7_Run3/Plate 1/@3/G3_01.tif </t>
  </si>
  <si>
    <t xml:space="preserve"> 5731.9221 </t>
  </si>
  <si>
    <t xml:space="preserve"> 37.1019 </t>
  </si>
  <si>
    <t xml:space="preserve">C:\Users\andre\Desktop\REACTIV CEFAS\Anastrozole\Anastrozole/20201126_Cefas_Test7_Run3/Plate 1/@3/G3_02.tif </t>
  </si>
  <si>
    <t xml:space="preserve"> 42.5146 </t>
  </si>
  <si>
    <t xml:space="preserve">C:\Users\andre\Desktop\REACTIV CEFAS\Anastrozole\Anastrozole/20201126_Cefas_Test7_Run3/Plate 1/@3/G3_03.tif </t>
  </si>
  <si>
    <t xml:space="preserve"> 43.5844 </t>
  </si>
  <si>
    <t xml:space="preserve">C:\Users\andre\Desktop\REACTIV CEFAS\Anastrozole\Anastrozole/20201126_Cefas_Test7_Run3/Plate 1/@3/H3_01.tif </t>
  </si>
  <si>
    <t xml:space="preserve"> 38.2738 </t>
  </si>
  <si>
    <t xml:space="preserve">C:\Users\andre\Desktop\REACTIV CEFAS\Anastrozole\Anastrozole/20201126_Cefas_Test7_Run3/Plate 1/@3/H3_02.tif </t>
  </si>
  <si>
    <t xml:space="preserve"> 40.0588 </t>
  </si>
  <si>
    <t xml:space="preserve">C:\Users\andre\Desktop\REACTIV CEFAS\Anastrozole\Anastrozole/20201126_Cefas_Test7_Run3/Plate 1/@3/H3_03.tif </t>
  </si>
  <si>
    <t xml:space="preserve"> 36.892 </t>
  </si>
  <si>
    <t xml:space="preserve">C:\Users\andre\Desktop\REACTIV CEFAS\Anastrozole\Anastrozole/20201126_Cefas_Test7_Run3/Plate 1/@3/ </t>
  </si>
  <si>
    <t xml:space="preserve"> 35.6586 </t>
  </si>
  <si>
    <t xml:space="preserve"> 3.7926 </t>
  </si>
  <si>
    <t xml:space="preserve"> 319308.708 </t>
  </si>
  <si>
    <t xml:space="preserve"> 289580.88 </t>
  </si>
  <si>
    <t xml:space="preserve">C:\Users\andre\Desktop\REACTIV CEFAS\Anastrozole\Anastrozole/20201126_Cefas_Test7_Run3/Plate 1/@4/A4_01.tif </t>
  </si>
  <si>
    <t xml:space="preserve"> 55848.3879 </t>
  </si>
  <si>
    <t xml:space="preserve"> 35.9729 </t>
  </si>
  <si>
    <t xml:space="preserve">C:\Users\andre\Desktop\REACTIV CEFAS\Anastrozole\Anastrozole/20201126_Cefas_Test7_Run3/Plate 1/@4/A4_02.tif </t>
  </si>
  <si>
    <t xml:space="preserve"> 37.3466 </t>
  </si>
  <si>
    <t xml:space="preserve">C:\Users\andre\Desktop\REACTIV CEFAS\Anastrozole\Anastrozole/20201126_Cefas_Test7_Run3/Plate 1/@4/A4_03.tif </t>
  </si>
  <si>
    <t xml:space="preserve"> 59287.5412 </t>
  </si>
  <si>
    <t xml:space="preserve"> 37.2112 </t>
  </si>
  <si>
    <t xml:space="preserve">C:\Users\andre\Desktop\REACTIV CEFAS\Anastrozole\Anastrozole/20201126_Cefas_Test7_Run3/Plate 1/@4/B4_01.tif </t>
  </si>
  <si>
    <t xml:space="preserve"> 15227.4458 </t>
  </si>
  <si>
    <t xml:space="preserve"> 38.8594 </t>
  </si>
  <si>
    <t xml:space="preserve">C:\Users\andre\Desktop\REACTIV CEFAS\Anastrozole\Anastrozole/20201126_Cefas_Test7_Run3/Plate 1/@4/B4_02.tif </t>
  </si>
  <si>
    <t xml:space="preserve"> 13561.9439 </t>
  </si>
  <si>
    <t xml:space="preserve"> 38.7911 </t>
  </si>
  <si>
    <t xml:space="preserve">C:\Users\andre\Desktop\REACTIV CEFAS\Anastrozole\Anastrozole/20201126_Cefas_Test7_Run3/Plate 1/@4/B4_03.tif </t>
  </si>
  <si>
    <t xml:space="preserve"> 16957.8374 </t>
  </si>
  <si>
    <t xml:space="preserve"> 39.7997 </t>
  </si>
  <si>
    <t>C:\Users\andre\Desktop\REACTIV CEFAS\Anastrozole\Anastrozole/20201126_Cefas_Test7_Run3/Plate 1/@4/C4_01- exclu.tif</t>
  </si>
  <si>
    <t>C:\Users\andre\Desktop\REACTIV CEFAS\Anastrozole\Anastrozole/20201126_Cefas_Test7_Run3/Plate 1/@4/C4_02- exclu.tif</t>
  </si>
  <si>
    <t>C:\Users\andre\Desktop\REACTIV CEFAS\Anastrozole\Anastrozole/20201126_Cefas_Test7_Run3/Plate 1/@4/C4_03- exclu.tif</t>
  </si>
  <si>
    <t xml:space="preserve">C:\Users\andre\Desktop\REACTIV CEFAS\Anastrozole\Anastrozole/20201126_Cefas_Test7_Run3/Plate 1/@4/D4_01.tif </t>
  </si>
  <si>
    <t xml:space="preserve"> 48256.2949 </t>
  </si>
  <si>
    <t xml:space="preserve"> 38.2308 </t>
  </si>
  <si>
    <t>C:\Users\andre\Desktop\REACTIV CEFAS\Anastrozole\Anastrozole/20201126_Cefas_Test7_Run3/Plate 1/@4/D4_02- exclu.tif</t>
  </si>
  <si>
    <t xml:space="preserve">C:\Users\andre\Desktop\REACTIV CEFAS\Anastrozole\Anastrozole/20201126_Cefas_Test7_Run3/Plate 1/@4/D4_03.tif </t>
  </si>
  <si>
    <t xml:space="preserve"> 24722.9696 </t>
  </si>
  <si>
    <t xml:space="preserve"> 37.385 </t>
  </si>
  <si>
    <t xml:space="preserve">C:\Users\andre\Desktop\REACTIV CEFAS\Anastrozole\Anastrozole/20201126_Cefas_Test7_Run3/Plate 1/@4/E4_01.tif </t>
  </si>
  <si>
    <t xml:space="preserve"> 15854.7128 </t>
  </si>
  <si>
    <t xml:space="preserve"> 38.3683 </t>
  </si>
  <si>
    <t xml:space="preserve">C:\Users\andre\Desktop\REACTIV CEFAS\Anastrozole\Anastrozole/20201126_Cefas_Test7_Run3/Plate 1/@4/E4_02.tif </t>
  </si>
  <si>
    <t xml:space="preserve"> 39539.4474 </t>
  </si>
  <si>
    <t xml:space="preserve"> 37.395 </t>
  </si>
  <si>
    <t xml:space="preserve">C:\Users\andre\Desktop\REACTIV CEFAS\Anastrozole\Anastrozole/20201126_Cefas_Test7_Run3/Plate 1/@4/E4_03.tif </t>
  </si>
  <si>
    <t xml:space="preserve"> 32.4122 </t>
  </si>
  <si>
    <t xml:space="preserve">C:\Users\andre\Desktop\REACTIV CEFAS\Anastrozole\Anastrozole/20201126_Cefas_Test7_Run3/Plate 1/@4/F4_01.tif </t>
  </si>
  <si>
    <t xml:space="preserve"> 46850.3518 </t>
  </si>
  <si>
    <t xml:space="preserve"> 35.7969 </t>
  </si>
  <si>
    <t xml:space="preserve">C:\Users\andre\Desktop\REACTIV CEFAS\Anastrozole\Anastrozole/20201126_Cefas_Test7_Run3/Plate 1/@4/F4_02.tif </t>
  </si>
  <si>
    <t xml:space="preserve"> 50549.0637 </t>
  </si>
  <si>
    <t xml:space="preserve"> 37.3577 </t>
  </si>
  <si>
    <t xml:space="preserve">C:\Users\andre\Desktop\REACTIV CEFAS\Anastrozole\Anastrozole/20201126_Cefas_Test7_Run3/Plate 1/@4/F4_03.tif </t>
  </si>
  <si>
    <t xml:space="preserve"> 46569.1631 </t>
  </si>
  <si>
    <t xml:space="preserve"> 35.7687 </t>
  </si>
  <si>
    <t xml:space="preserve">C:\Users\andre\Desktop\REACTIV CEFAS\Anastrozole\Anastrozole/20201126_Cefas_Test7_Run3/Plate 1/@4/G4_01.tif </t>
  </si>
  <si>
    <t xml:space="preserve"> 25588.1653 </t>
  </si>
  <si>
    <t xml:space="preserve"> 33.4894 </t>
  </si>
  <si>
    <t xml:space="preserve">C:\Users\andre\Desktop\REACTIV CEFAS\Anastrozole\Anastrozole/20201126_Cefas_Test7_Run3/Plate 1/@4/G4_02.tif </t>
  </si>
  <si>
    <t xml:space="preserve"> 23425.1759 </t>
  </si>
  <si>
    <t xml:space="preserve"> 33.9372 </t>
  </si>
  <si>
    <t xml:space="preserve">C:\Users\andre\Desktop\REACTIV CEFAS\Anastrozole\Anastrozole/20201126_Cefas_Test7_Run3/Plate 1/@4/G4_03.tif </t>
  </si>
  <si>
    <t xml:space="preserve"> 33.8664 </t>
  </si>
  <si>
    <t xml:space="preserve">C:\Users\andre\Desktop\REACTIV CEFAS\Anastrozole\Anastrozole/20201126_Cefas_Test7_Run3/Plate 1/@4/H4_01.tif </t>
  </si>
  <si>
    <t xml:space="preserve"> 25004.1582 </t>
  </si>
  <si>
    <t xml:space="preserve"> 35.25 </t>
  </si>
  <si>
    <t xml:space="preserve">C:\Users\andre\Desktop\REACTIV CEFAS\Anastrozole\Anastrozole/20201126_Cefas_Test7_Run3/Plate 1/@4/H4_02.tif </t>
  </si>
  <si>
    <t xml:space="preserve"> 14881.3675 </t>
  </si>
  <si>
    <t xml:space="preserve"> 35.8939 </t>
  </si>
  <si>
    <t xml:space="preserve">C:\Users\andre\Desktop\REACTIV CEFAS\Anastrozole\Anastrozole/20201126_Cefas_Test7_Run3/Plate 1/@4/H4_03.tif </t>
  </si>
  <si>
    <t xml:space="preserve"> 26280.322 </t>
  </si>
  <si>
    <t xml:space="preserve"> 37.0617 </t>
  </si>
  <si>
    <t xml:space="preserve">C:\Users\andre\Desktop\REACTIV CEFAS\Anastrozole\Anastrozole/20201126_Cefas_Test7_Run3/Plate 1/@4/ </t>
  </si>
  <si>
    <t xml:space="preserve"> 36.9751 </t>
  </si>
  <si>
    <t xml:space="preserve"> 3.7601 </t>
  </si>
  <si>
    <t xml:space="preserve"> 1149670.33 </t>
  </si>
  <si>
    <t xml:space="preserve"> 700889.149 </t>
  </si>
  <si>
    <t xml:space="preserve">C:\Users\andre\Desktop\REACTIV CEFAS\Anastrozole\Anastrozole/20201126_Cefas_Test7_Run3/Plate 1/@5/A5_01.tif </t>
  </si>
  <si>
    <t xml:space="preserve"> 38695.8815 </t>
  </si>
  <si>
    <t xml:space="preserve"> 39.0654 </t>
  </si>
  <si>
    <t xml:space="preserve">C:\Users\andre\Desktop\REACTIV CEFAS\Anastrozole\Anastrozole/20201126_Cefas_Test7_Run3/Plate 1/@5/A5_02.tif </t>
  </si>
  <si>
    <t xml:space="preserve"> 41010.2802 </t>
  </si>
  <si>
    <t xml:space="preserve"> 39.8845 </t>
  </si>
  <si>
    <t xml:space="preserve">C:\Users\andre\Desktop\REACTIV CEFAS\Anastrozole\Anastrozole/20201126_Cefas_Test7_Run3/Plate 1/@5/A5_03.tif </t>
  </si>
  <si>
    <t xml:space="preserve"> 46655.6827 </t>
  </si>
  <si>
    <t xml:space="preserve"> 38.7728 </t>
  </si>
  <si>
    <t xml:space="preserve">C:\Users\andre\Desktop\REACTIV CEFAS\Anastrozole\Anastrozole/20201126_Cefas_Test7_Run3/Plate 1/@5/B5_01.tif </t>
  </si>
  <si>
    <t xml:space="preserve"> 59611.9896 </t>
  </si>
  <si>
    <t xml:space="preserve"> 40.8284 </t>
  </si>
  <si>
    <t xml:space="preserve">C:\Users\andre\Desktop\REACTIV CEFAS\Anastrozole\Anastrozole/20201126_Cefas_Test7_Run3/Plate 1/@5/B5_02.tif </t>
  </si>
  <si>
    <t xml:space="preserve"> 60477.1854 </t>
  </si>
  <si>
    <t xml:space="preserve"> 44.0458 </t>
  </si>
  <si>
    <t xml:space="preserve">C:\Users\andre\Desktop\REACTIV CEFAS\Anastrozole\Anastrozole/20201126_Cefas_Test7_Run3/Plate 1/@5/B5_03.tif </t>
  </si>
  <si>
    <t xml:space="preserve"> 61493.7904 </t>
  </si>
  <si>
    <t xml:space="preserve"> 44.7985 </t>
  </si>
  <si>
    <t xml:space="preserve">C:\Users\andre\Desktop\REACTIV CEFAS\Anastrozole\Anastrozole/20201126_Cefas_Test7_Run3/Plate 1/@5/C5_01.tif </t>
  </si>
  <si>
    <t xml:space="preserve"> 53187.9109 </t>
  </si>
  <si>
    <t xml:space="preserve"> 37.2509 </t>
  </si>
  <si>
    <t xml:space="preserve">C:\Users\andre\Desktop\REACTIV CEFAS\Anastrozole\Anastrozole/20201126_Cefas_Test7_Run3/Plate 1/@5/C5_02.tif </t>
  </si>
  <si>
    <t xml:space="preserve"> 54009.8469 </t>
  </si>
  <si>
    <t xml:space="preserve"> 38.8258 </t>
  </si>
  <si>
    <t xml:space="preserve">C:\Users\andre\Desktop\REACTIV CEFAS\Anastrozole\Anastrozole/20201126_Cefas_Test7_Run3/Plate 1/@5/C5_03.tif </t>
  </si>
  <si>
    <t xml:space="preserve"> 47218.06 </t>
  </si>
  <si>
    <t xml:space="preserve"> 40.4443 </t>
  </si>
  <si>
    <t xml:space="preserve">C:\Users\andre\Desktop\REACTIV CEFAS\Anastrozole\Anastrozole/20201126_Cefas_Test7_Run3/Plate 1/@5/D5_01.tif </t>
  </si>
  <si>
    <t xml:space="preserve"> 56691.9538 </t>
  </si>
  <si>
    <t xml:space="preserve"> 36.9519 </t>
  </si>
  <si>
    <t xml:space="preserve">C:\Users\andre\Desktop\REACTIV CEFAS\Anastrozole\Anastrozole/20201126_Cefas_Test7_Run3/Plate 1/@5/D5_02.tif </t>
  </si>
  <si>
    <t xml:space="preserve"> 50613.9534 </t>
  </si>
  <si>
    <t xml:space="preserve"> 35.935 </t>
  </si>
  <si>
    <t xml:space="preserve">C:\Users\andre\Desktop\REACTIV CEFAS\Anastrozole\Anastrozole/20201126_Cefas_Test7_Run3/Plate 1/@5/D5_03.tif </t>
  </si>
  <si>
    <t xml:space="preserve"> 58725.1639 </t>
  </si>
  <si>
    <t xml:space="preserve"> 35.8718 </t>
  </si>
  <si>
    <t xml:space="preserve">C:\Users\andre\Desktop\REACTIV CEFAS\Anastrozole\Anastrozole/20201126_Cefas_Test7_Run3/Plate 1/@5/E5_01.tif </t>
  </si>
  <si>
    <t xml:space="preserve"> 60628.5946 </t>
  </si>
  <si>
    <t xml:space="preserve"> 39.7025 </t>
  </si>
  <si>
    <t xml:space="preserve">C:\Users\andre\Desktop\REACTIV CEFAS\Anastrozole\Anastrozole/20201126_Cefas_Test7_Run3/Plate 1/@5/E5_02.tif </t>
  </si>
  <si>
    <t xml:space="preserve"> 46871.9817 </t>
  </si>
  <si>
    <t xml:space="preserve"> 38.0854 </t>
  </si>
  <si>
    <t xml:space="preserve">C:\Users\andre\Desktop\REACTIV CEFAS\Anastrozole\Anastrozole/20201126_Cefas_Test7_Run3/Plate 1/@5/E5_03.tif </t>
  </si>
  <si>
    <t xml:space="preserve"> 43259.7893 </t>
  </si>
  <si>
    <t xml:space="preserve"> 35.251 </t>
  </si>
  <si>
    <t>C:\Users\andre\Desktop\REACTIV CEFAS\Anastrozole\Anastrozole/20201126_Cefas_Test7_Run3/Plate 1/@5/F5_01- exclu.tif</t>
  </si>
  <si>
    <t>C:\Users\andre\Desktop\REACTIV CEFAS\Anastrozole\Anastrozole/20201126_Cefas_Test7_Run3/Plate 1/@5/F5_02- exclu.tif</t>
  </si>
  <si>
    <t>C:\Users\andre\Desktop\REACTIV CEFAS\Anastrozole\Anastrozole/20201126_Cefas_Test7_Run3/Plate 1/@5/F5_03- exclu.tif</t>
  </si>
  <si>
    <t xml:space="preserve">C:\Users\andre\Desktop\REACTIV CEFAS\Anastrozole\Anastrozole/20201126_Cefas_Test7_Run3/Plate 1/@5/G5_01.tif </t>
  </si>
  <si>
    <t xml:space="preserve"> 65754.8797 </t>
  </si>
  <si>
    <t xml:space="preserve"> 40.9628 </t>
  </si>
  <si>
    <t xml:space="preserve">C:\Users\andre\Desktop\REACTIV CEFAS\Anastrozole\Anastrozole/20201126_Cefas_Test7_Run3/Plate 1/@5/G5_02.tif </t>
  </si>
  <si>
    <t xml:space="preserve"> 70059.2287 </t>
  </si>
  <si>
    <t xml:space="preserve"> 42.9568 </t>
  </si>
  <si>
    <t xml:space="preserve">C:\Users\andre\Desktop\REACTIV CEFAS\Anastrozole\Anastrozole/20201126_Cefas_Test7_Run3/Plate 1/@5/G5_03.tif </t>
  </si>
  <si>
    <t xml:space="preserve"> 66209.1075 </t>
  </si>
  <si>
    <t xml:space="preserve"> 44.8295 </t>
  </si>
  <si>
    <t xml:space="preserve">C:\Users\andre\Desktop\REACTIV CEFAS\Anastrozole\Anastrozole/20201126_Cefas_Test7_Run3/Plate 1/@5/H5_01.tif </t>
  </si>
  <si>
    <t xml:space="preserve"> 38133.5042 </t>
  </si>
  <si>
    <t xml:space="preserve"> 35.9433 </t>
  </si>
  <si>
    <t xml:space="preserve">C:\Users\andre\Desktop\REACTIV CEFAS\Anastrozole\Anastrozole/20201126_Cefas_Test7_Run3/Plate 1/@5/H5_02.tif </t>
  </si>
  <si>
    <t xml:space="preserve"> 20375.3607 </t>
  </si>
  <si>
    <t xml:space="preserve"> 32.5382 </t>
  </si>
  <si>
    <t xml:space="preserve">C:\Users\andre\Desktop\REACTIV CEFAS\Anastrozole\Anastrozole/20201126_Cefas_Test7_Run3/Plate 1/@5/H5_03.tif </t>
  </si>
  <si>
    <t xml:space="preserve"> 36121.924 </t>
  </si>
  <si>
    <t xml:space="preserve"> 35.2275 </t>
  </si>
  <si>
    <t xml:space="preserve">C:\Users\andre\Desktop\REACTIV CEFAS\Anastrozole\Anastrozole/20201126_Cefas_Test7_Run3/Plate 1/@5/ </t>
  </si>
  <si>
    <t xml:space="preserve"> 38.5258 </t>
  </si>
  <si>
    <t xml:space="preserve"> 3.4436 </t>
  </si>
  <si>
    <t xml:space="preserve"> 1812734.79 </t>
  </si>
  <si>
    <t xml:space="preserve"> 803041.215 </t>
  </si>
  <si>
    <t xml:space="preserve">C:\Users\andre\Desktop\REACTIV CEFAS\Anastrozole\Anastrozole/20201126_Cefas_Test7_Run3/Plate 1/@6/A6_01.tif </t>
  </si>
  <si>
    <t xml:space="preserve"> 69821.2999 </t>
  </si>
  <si>
    <t xml:space="preserve"> 49.9077 </t>
  </si>
  <si>
    <t xml:space="preserve">C:\Users\andre\Desktop\REACTIV CEFAS\Anastrozole\Anastrozole/20201126_Cefas_Test7_Run3/Plate 1/@6/A6_02.tif </t>
  </si>
  <si>
    <t xml:space="preserve"> 77110.5744 </t>
  </si>
  <si>
    <t xml:space="preserve"> 52.3593 </t>
  </si>
  <si>
    <t xml:space="preserve">C:\Users\andre\Desktop\REACTIV CEFAS\Anastrozole\Anastrozole/20201126_Cefas_Test7_Run3/Plate 1/@6/A6_03.tif </t>
  </si>
  <si>
    <t xml:space="preserve"> 76310.2683 </t>
  </si>
  <si>
    <t xml:space="preserve"> 48.3489 </t>
  </si>
  <si>
    <t xml:space="preserve">C:\Users\andre\Desktop\REACTIV CEFAS\Anastrozole\Anastrozole/20201126_Cefas_Test7_Run3/Plate 1/@6/B6_01.tif </t>
  </si>
  <si>
    <t xml:space="preserve"> 47.0851 </t>
  </si>
  <si>
    <t xml:space="preserve">C:\Users\andre\Desktop\REACTIV CEFAS\Anastrozole\Anastrozole/20201126_Cefas_Test7_Run3/Plate 1/@6/B6_02.tif </t>
  </si>
  <si>
    <t xml:space="preserve"> 44817.1417 </t>
  </si>
  <si>
    <t xml:space="preserve"> 45.4001 </t>
  </si>
  <si>
    <t>C:\Users\andre\Desktop\REACTIV CEFAS\Anastrozole\Anastrozole/20201126_Cefas_Test7_Run3/Plate 1/@6/B6_03- exclu.tif</t>
  </si>
  <si>
    <t xml:space="preserve">C:\Users\andre\Desktop\REACTIV CEFAS\Anastrozole\Anastrozole/20201126_Cefas_Test7_Run3/Plate 1/@6/C6_01.tif </t>
  </si>
  <si>
    <t xml:space="preserve"> 54983.1921 </t>
  </si>
  <si>
    <t xml:space="preserve"> 42.786 </t>
  </si>
  <si>
    <t xml:space="preserve">C:\Users\andre\Desktop\REACTIV CEFAS\Anastrozole\Anastrozole/20201126_Cefas_Test7_Run3/Plate 1/@6/C6_02.tif </t>
  </si>
  <si>
    <t xml:space="preserve"> 59309.1711 </t>
  </si>
  <si>
    <t xml:space="preserve"> 41.6251 </t>
  </si>
  <si>
    <t xml:space="preserve">C:\Users\andre\Desktop\REACTIV CEFAS\Anastrozole\Anastrozole/20201126_Cefas_Test7_Run3/Plate 1/@6/C6_03.tif </t>
  </si>
  <si>
    <t xml:space="preserve"> 57470.63 </t>
  </si>
  <si>
    <t xml:space="preserve"> 39.851 </t>
  </si>
  <si>
    <t>C:\Users\andre\Desktop\REACTIV CEFAS\Anastrozole\Anastrozole/20201126_Cefas_Test7_Run3/Plate 1/@6/D6_01- exclu.tif</t>
  </si>
  <si>
    <t>C:\Users\andre\Desktop\REACTIV CEFAS\Anastrozole\Anastrozole/20201126_Cefas_Test7_Run3/Plate 1/@6/D6_02- exclu.tif</t>
  </si>
  <si>
    <t>C:\Users\andre\Desktop\REACTIV CEFAS\Anastrozole\Anastrozole/20201126_Cefas_Test7_Run3/Plate 1/@6/D6_03- exclu.tif</t>
  </si>
  <si>
    <t xml:space="preserve">C:\Users\andre\Desktop\REACTIV CEFAS\Anastrozole\Anastrozole/20201126_Cefas_Test7_Run3/Plate 1/@6/E6_01.tif </t>
  </si>
  <si>
    <t xml:space="preserve"> 73649.7912 </t>
  </si>
  <si>
    <t xml:space="preserve"> 58.4235 </t>
  </si>
  <si>
    <t xml:space="preserve">C:\Users\andre\Desktop\REACTIV CEFAS\Anastrozole\Anastrozole/20201126_Cefas_Test7_Run3/Plate 1/@6/E6_02.tif </t>
  </si>
  <si>
    <t xml:space="preserve"> 70189.0081 </t>
  </si>
  <si>
    <t xml:space="preserve"> 54.1584 </t>
  </si>
  <si>
    <t xml:space="preserve">C:\Users\andre\Desktop\REACTIV CEFAS\Anastrozole\Anastrozole/20201126_Cefas_Test7_Run3/Plate 1/@6/E6_03.tif </t>
  </si>
  <si>
    <t xml:space="preserve"> 74774.5457 </t>
  </si>
  <si>
    <t xml:space="preserve"> 59.8522 </t>
  </si>
  <si>
    <t xml:space="preserve">C:\Users\andre\Desktop\REACTIV CEFAS\Anastrozole\Anastrozole/20201126_Cefas_Test7_Run3/Plate 1/@6/F6_01.tif </t>
  </si>
  <si>
    <t xml:space="preserve"> 68480.2464 </t>
  </si>
  <si>
    <t xml:space="preserve"> 49.7145 </t>
  </si>
  <si>
    <t xml:space="preserve">C:\Users\andre\Desktop\REACTIV CEFAS\Anastrozole\Anastrozole/20201126_Cefas_Test7_Run3/Plate 1/@6/F6_02.tif </t>
  </si>
  <si>
    <t xml:space="preserve"> 48.4425 </t>
  </si>
  <si>
    <t xml:space="preserve">C:\Users\andre\Desktop\REACTIV CEFAS\Anastrozole\Anastrozole/20201126_Cefas_Test7_Run3/Plate 1/@6/F6_03.tif </t>
  </si>
  <si>
    <t xml:space="preserve"> 70599.9761 </t>
  </si>
  <si>
    <t xml:space="preserve"> 47.8643 </t>
  </si>
  <si>
    <t xml:space="preserve">C:\Users\andre\Desktop\REACTIV CEFAS\Anastrozole\Anastrozole/20201126_Cefas_Test7_Run3/Plate 1/@6/G6_01.tif </t>
  </si>
  <si>
    <t xml:space="preserve"> 68220.6877 </t>
  </si>
  <si>
    <t xml:space="preserve"> 43.8494 </t>
  </si>
  <si>
    <t xml:space="preserve">C:\Users\andre\Desktop\REACTIV CEFAS\Anastrozole\Anastrozole/20201126_Cefas_Test7_Run3/Plate 1/@6/G6_02.tif </t>
  </si>
  <si>
    <t xml:space="preserve"> 69972.7091 </t>
  </si>
  <si>
    <t xml:space="preserve"> 42.3066 </t>
  </si>
  <si>
    <t xml:space="preserve">C:\Users\andre\Desktop\REACTIV CEFAS\Anastrozole\Anastrozole/20201126_Cefas_Test7_Run3/Plate 1/@6/G6_03.tif </t>
  </si>
  <si>
    <t xml:space="preserve"> 70535.0864 </t>
  </si>
  <si>
    <t xml:space="preserve"> 46.1178 </t>
  </si>
  <si>
    <t xml:space="preserve">C:\Users\andre\Desktop\REACTIV CEFAS\Anastrozole\Anastrozole/20201126_Cefas_Test7_Run3/Plate 1/@6/H6_01.tif </t>
  </si>
  <si>
    <t xml:space="preserve"> 64846.4241 </t>
  </si>
  <si>
    <t xml:space="preserve"> 47.9283 </t>
  </si>
  <si>
    <t xml:space="preserve">C:\Users\andre\Desktop\REACTIV CEFAS\Anastrozole\Anastrozole/20201126_Cefas_Test7_Run3/Plate 1/@6/H6_02.tif </t>
  </si>
  <si>
    <t xml:space="preserve"> 66468.6662 </t>
  </si>
  <si>
    <t xml:space="preserve"> 45.6154 </t>
  </si>
  <si>
    <t xml:space="preserve">C:\Users\andre\Desktop\REACTIV CEFAS\Anastrozole\Anastrozole/20201126_Cefas_Test7_Run3/Plate 1/@6/H6_03.tif </t>
  </si>
  <si>
    <t xml:space="preserve"> 68934.4742 </t>
  </si>
  <si>
    <t xml:space="preserve"> 46.4016 </t>
  </si>
  <si>
    <t xml:space="preserve">C:\Users\andre\Desktop\REACTIV CEFAS\Anastrozole\Anastrozole/20201126_Cefas_Test7_Run3/Plate 1/@6/ </t>
  </si>
  <si>
    <t xml:space="preserve"> 46.8341 </t>
  </si>
  <si>
    <t xml:space="preserve"> 5.4589 </t>
  </si>
  <si>
    <t xml:space="preserve"> 2857430.83 </t>
  </si>
  <si>
    <t xml:space="preserve"> 969025.573 </t>
  </si>
  <si>
    <t xml:space="preserve">C:\Users\andre\Desktop\REACTIV CEFAS\Anastrozole\Anastrozole/20201126_Cefas_Test7_Run3/Plate 1/@7/A7_01.tif </t>
  </si>
  <si>
    <t xml:space="preserve"> 62099.4275 </t>
  </si>
  <si>
    <t xml:space="preserve"> 41.3107 </t>
  </si>
  <si>
    <t xml:space="preserve">C:\Users\andre\Desktop\REACTIV CEFAS\Anastrozole\Anastrozole/20201126_Cefas_Test7_Run3/Plate 1/@7/A7_02.tif </t>
  </si>
  <si>
    <t xml:space="preserve"> 64500.3458 </t>
  </si>
  <si>
    <t xml:space="preserve"> 46.061 </t>
  </si>
  <si>
    <t xml:space="preserve">C:\Users\andre\Desktop\REACTIV CEFAS\Anastrozole\Anastrozole/20201126_Cefas_Test7_Run3/Plate 1/@7/A7_03.tif </t>
  </si>
  <si>
    <t xml:space="preserve"> 42.3003 </t>
  </si>
  <si>
    <t xml:space="preserve">C:\Users\andre\Desktop\REACTIV CEFAS\Anastrozole\Anastrozole/20201126_Cefas_Test7_Run3/Plate 1/@7/B7_01.tif </t>
  </si>
  <si>
    <t xml:space="preserve"> 48840.3021 </t>
  </si>
  <si>
    <t xml:space="preserve"> 42.8902 </t>
  </si>
  <si>
    <t xml:space="preserve">C:\Users\andre\Desktop\REACTIV CEFAS\Anastrozole\Anastrozole/20201126_Cefas_Test7_Run3/Plate 1/@7/B7_02.tif </t>
  </si>
  <si>
    <t xml:space="preserve"> 46050.0457 </t>
  </si>
  <si>
    <t xml:space="preserve"> 43.178 </t>
  </si>
  <si>
    <t xml:space="preserve">C:\Users\andre\Desktop\REACTIV CEFAS\Anastrozole\Anastrozole/20201126_Cefas_Test7_Run3/Plate 1/@7/B7_03.tif </t>
  </si>
  <si>
    <t xml:space="preserve"> 46720.5724 </t>
  </si>
  <si>
    <t xml:space="preserve"> 43.8616 </t>
  </si>
  <si>
    <t xml:space="preserve">C:\Users\andre\Desktop\REACTIV CEFAS\Anastrozole\Anastrozole/20201126_Cefas_Test7_Run3/Plate 1/@7/C7_01.tif </t>
  </si>
  <si>
    <t xml:space="preserve"> 74255.4283 </t>
  </si>
  <si>
    <t xml:space="preserve"> 57.5453 </t>
  </si>
  <si>
    <t xml:space="preserve">C:\Users\andre\Desktop\REACTIV CEFAS\Anastrozole\Anastrozole/20201126_Cefas_Test7_Run3/Plate 1/@7/C7_02.tif </t>
  </si>
  <si>
    <t xml:space="preserve"> 87406.4042 </t>
  </si>
  <si>
    <t xml:space="preserve"> 55.3779 </t>
  </si>
  <si>
    <t xml:space="preserve">C:\Users\andre\Desktop\REACTIV CEFAS\Anastrozole\Anastrozole/20201126_Cefas_Test7_Run3/Plate 1/@7/C7_03.tif </t>
  </si>
  <si>
    <t xml:space="preserve"> 83210.2046 </t>
  </si>
  <si>
    <t xml:space="preserve"> 53.908 </t>
  </si>
  <si>
    <t xml:space="preserve">C:\Users\andre\Desktop\REACTIV CEFAS\Anastrozole\Anastrozole/20201126_Cefas_Test7_Run3/Plate 1/@7/D7_01.tif </t>
  </si>
  <si>
    <t xml:space="preserve"> 73520.0118 </t>
  </si>
  <si>
    <t xml:space="preserve"> 49.4219 </t>
  </si>
  <si>
    <t xml:space="preserve">C:\Users\andre\Desktop\REACTIV CEFAS\Anastrozole\Anastrozole/20201126_Cefas_Test7_Run3/Plate 1/@7/D7_02.tif </t>
  </si>
  <si>
    <t xml:space="preserve"> 72719.7057 </t>
  </si>
  <si>
    <t xml:space="preserve"> 46.6074 </t>
  </si>
  <si>
    <t xml:space="preserve">C:\Users\andre\Desktop\REACTIV CEFAS\Anastrozole\Anastrozole/20201126_Cefas_Test7_Run3/Plate 1/@7/D7_03.tif </t>
  </si>
  <si>
    <t xml:space="preserve"> 75596.4817 </t>
  </si>
  <si>
    <t xml:space="preserve"> 52.1096 </t>
  </si>
  <si>
    <t xml:space="preserve">C:\Users\andre\Desktop\REACTIV CEFAS\Anastrozole\Anastrozole/20201126_Cefas_Test7_Run3/Plate 1/@7/E7_01.tif </t>
  </si>
  <si>
    <t xml:space="preserve"> 84140.2901 </t>
  </si>
  <si>
    <t xml:space="preserve"> 57.4319 </t>
  </si>
  <si>
    <t xml:space="preserve">C:\Users\andre\Desktop\REACTIV CEFAS\Anastrozole\Anastrozole/20201126_Cefas_Test7_Run3/Plate 1/@7/E7_02.tif </t>
  </si>
  <si>
    <t xml:space="preserve"> 83015.5356 </t>
  </si>
  <si>
    <t xml:space="preserve"> 56.7134 </t>
  </si>
  <si>
    <t xml:space="preserve">C:\Users\andre\Desktop\REACTIV CEFAS\Anastrozole\Anastrozole/20201126_Cefas_Test7_Run3/Plate 1/@7/E7_03.tif </t>
  </si>
  <si>
    <t xml:space="preserve"> 87882.2619 </t>
  </si>
  <si>
    <t xml:space="preserve"> 59.8996 </t>
  </si>
  <si>
    <t xml:space="preserve">C:\Users\andre\Desktop\REACTIV CEFAS\Anastrozole\Anastrozole/20201126_Cefas_Test7_Run3/Plate 1/@7/F7_01.tif </t>
  </si>
  <si>
    <t xml:space="preserve"> 83404.8737 </t>
  </si>
  <si>
    <t xml:space="preserve"> 53.347 </t>
  </si>
  <si>
    <t xml:space="preserve">C:\Users\andre\Desktop\REACTIV CEFAS\Anastrozole\Anastrozole/20201126_Cefas_Test7_Run3/Plate 1/@7/F7_02.tif </t>
  </si>
  <si>
    <t xml:space="preserve"> 81241.8842 </t>
  </si>
  <si>
    <t xml:space="preserve"> 50.2865 </t>
  </si>
  <si>
    <t xml:space="preserve">C:\Users\andre\Desktop\REACTIV CEFAS\Anastrozole\Anastrozole/20201126_Cefas_Test7_Run3/Plate 1/@7/F7_03.tif </t>
  </si>
  <si>
    <t xml:space="preserve"> 82171.9697 </t>
  </si>
  <si>
    <t xml:space="preserve"> 49.3088 </t>
  </si>
  <si>
    <t xml:space="preserve">C:\Users\andre\Desktop\REACTIV CEFAS\Anastrozole\Anastrozole/20201126_Cefas_Test7_Run3/Plate 1/@7/G7_01.tif </t>
  </si>
  <si>
    <t xml:space="preserve"> 63851.4489 </t>
  </si>
  <si>
    <t xml:space="preserve"> 49.8333 </t>
  </si>
  <si>
    <t xml:space="preserve">C:\Users\andre\Desktop\REACTIV CEFAS\Anastrozole\Anastrozole/20201126_Cefas_Test7_Run3/Plate 1/@7/G7_02.tif </t>
  </si>
  <si>
    <t xml:space="preserve"> 53.6619 </t>
  </si>
  <si>
    <t xml:space="preserve">C:\Users\andre\Desktop\REACTIV CEFAS\Anastrozole\Anastrozole/20201126_Cefas_Test7_Run3/Plate 1/@7/G7_03.tif </t>
  </si>
  <si>
    <t xml:space="preserve"> 69194.0329 </t>
  </si>
  <si>
    <t xml:space="preserve"> 51.3142 </t>
  </si>
  <si>
    <t xml:space="preserve">C:\Users\andre\Desktop\REACTIV CEFAS\Anastrozole\Anastrozole/20201126_Cefas_Test7_Run3/Plate 1/@7/H7_01.tif </t>
  </si>
  <si>
    <t xml:space="preserve"> 42.6098 </t>
  </si>
  <si>
    <t xml:space="preserve">C:\Users\andre\Desktop\REACTIV CEFAS\Anastrozole\Anastrozole/20201126_Cefas_Test7_Run3/Plate 1/@7/H7_02.tif </t>
  </si>
  <si>
    <t xml:space="preserve"> 67982.7588 </t>
  </si>
  <si>
    <t xml:space="preserve"> 43.7283 </t>
  </si>
  <si>
    <t xml:space="preserve">C:\Users\andre\Desktop\REACTIV CEFAS\Anastrozole\Anastrozole/20201126_Cefas_Test7_Run3/Plate 1/@7/H7_03.tif </t>
  </si>
  <si>
    <t xml:space="preserve"> 70859.5348 </t>
  </si>
  <si>
    <t xml:space="preserve"> 43.1087 </t>
  </si>
  <si>
    <t xml:space="preserve">C:\Users\andre\Desktop\REACTIV CEFAS\Anastrozole\Anastrozole/20201126_Cefas_Test7_Run3/Plate 1/@7/ </t>
  </si>
  <si>
    <t xml:space="preserve"> 49.409 </t>
  </si>
  <si>
    <t xml:space="preserve"> 5.7513 </t>
  </si>
  <si>
    <t xml:space="preserve"> 3574095.04 </t>
  </si>
  <si>
    <t xml:space="preserve"> 937267.295 </t>
  </si>
  <si>
    <t xml:space="preserve">C:\Users\andre\Desktop\REACTIV CEFAS\Anastrozole\Anastrozole/20201126_Cefas_Test7_Run3/Plate 2/@10/A4_01.tif </t>
  </si>
  <si>
    <t xml:space="preserve"> 9625.3031 </t>
  </si>
  <si>
    <t xml:space="preserve"> 35.7685 </t>
  </si>
  <si>
    <t xml:space="preserve">C:\Users\andre\Desktop\REACTIV CEFAS\Anastrozole\Anastrozole/20201126_Cefas_Test7_Run3/Plate 2/@10/A4_02.tif </t>
  </si>
  <si>
    <t xml:space="preserve"> 9517.1536 </t>
  </si>
  <si>
    <t xml:space="preserve"> 35.5795 </t>
  </si>
  <si>
    <t xml:space="preserve">C:\Users\andre\Desktop\REACTIV CEFAS\Anastrozole\Anastrozole/20201126_Cefas_Test7_Run3/Plate 2/@10/A4_03.tif </t>
  </si>
  <si>
    <t xml:space="preserve"> 36.9721 </t>
  </si>
  <si>
    <t xml:space="preserve">C:\Users\andre\Desktop\REACTIV CEFAS\Anastrozole\Anastrozole/20201126_Cefas_Test7_Run3/Plate 2/@10/B4_01.tif </t>
  </si>
  <si>
    <t xml:space="preserve"> 11636.8833 </t>
  </si>
  <si>
    <t xml:space="preserve"> 40.5223 </t>
  </si>
  <si>
    <t xml:space="preserve">C:\Users\andre\Desktop\REACTIV CEFAS\Anastrozole\Anastrozole/20201126_Cefas_Test7_Run3/Plate 2/@10/B4_02.tif </t>
  </si>
  <si>
    <t xml:space="preserve"> 9993.0113 </t>
  </si>
  <si>
    <t xml:space="preserve"> 35.9719 </t>
  </si>
  <si>
    <t xml:space="preserve">C:\Users\andre\Desktop\REACTIV CEFAS\Anastrozole\Anastrozole/20201126_Cefas_Test7_Run3/Plate 2/@10/B4_03.tif </t>
  </si>
  <si>
    <t xml:space="preserve"> 9322.4846 </t>
  </si>
  <si>
    <t xml:space="preserve"> 37.9049 </t>
  </si>
  <si>
    <t xml:space="preserve">C:\Users\andre\Desktop\REACTIV CEFAS\Anastrozole\Anastrozole/20201126_Cefas_Test7_Run3/Plate 2/@10/C4_01.tif </t>
  </si>
  <si>
    <t xml:space="preserve"> 31.9444 </t>
  </si>
  <si>
    <t xml:space="preserve">C:\Users\andre\Desktop\REACTIV CEFAS\Anastrozole\Anastrozole/20201126_Cefas_Test7_Run3/Plate 2/@10/C4_02.tif </t>
  </si>
  <si>
    <t xml:space="preserve"> 32.1556 </t>
  </si>
  <si>
    <t xml:space="preserve">C:\Users\andre\Desktop\REACTIV CEFAS\Anastrozole\Anastrozole/20201126_Cefas_Test7_Run3/Plate 2/@10/C4_03.tif </t>
  </si>
  <si>
    <t xml:space="preserve"> 34.8919 </t>
  </si>
  <si>
    <t xml:space="preserve">C:\Users\andre\Desktop\REACTIV CEFAS\Anastrozole\Anastrozole/20201126_Cefas_Test7_Run3/Plate 2/@10/D4_01.tif </t>
  </si>
  <si>
    <t xml:space="preserve"> 43.9832 </t>
  </si>
  <si>
    <t xml:space="preserve">C:\Users\andre\Desktop\REACTIV CEFAS\Anastrozole\Anastrozole/20201126_Cefas_Test7_Run3/Plate 2/@10/D4_02.tif </t>
  </si>
  <si>
    <t xml:space="preserve"> 40.785 </t>
  </si>
  <si>
    <t xml:space="preserve">C:\Users\andre\Desktop\REACTIV CEFAS\Anastrozole\Anastrozole/20201126_Cefas_Test7_Run3/Plate 2/@10/D4_03.tif </t>
  </si>
  <si>
    <t xml:space="preserve"> 9235.965 </t>
  </si>
  <si>
    <t xml:space="preserve"> 40.0023 </t>
  </si>
  <si>
    <t xml:space="preserve">C:\Users\andre\Desktop\REACTIV CEFAS\Anastrozole\Anastrozole/20201126_Cefas_Test7_Run3/Plate 2/@10/E4_01.tif </t>
  </si>
  <si>
    <t xml:space="preserve">C:\Users\andre\Desktop\REACTIV CEFAS\Anastrozole\Anastrozole/20201126_Cefas_Test7_Run3/Plate 2/@10/E4_02.tif </t>
  </si>
  <si>
    <t xml:space="preserve"> 86.5196 </t>
  </si>
  <si>
    <t xml:space="preserve">C:\Users\andre\Desktop\REACTIV CEFAS\Anastrozole\Anastrozole/20201126_Cefas_Test7_Run3/Plate 2/@10/E4_03.tif </t>
  </si>
  <si>
    <t xml:space="preserve"> 31.4737 </t>
  </si>
  <si>
    <t xml:space="preserve">C:\Users\andre\Desktop\REACTIV CEFAS\Anastrozole\Anastrozole/20201126_Cefas_Test7_Run3/Plate 2/@10/F4_01.tif </t>
  </si>
  <si>
    <t xml:space="preserve"> 33.5939 </t>
  </si>
  <si>
    <t xml:space="preserve">C:\Users\andre\Desktop\REACTIV CEFAS\Anastrozole\Anastrozole/20201126_Cefas_Test7_Run3/Plate 2/@10/F4_02.tif </t>
  </si>
  <si>
    <t xml:space="preserve"> 34.9234 </t>
  </si>
  <si>
    <t xml:space="preserve">C:\Users\andre\Desktop\REACTIV CEFAS\Anastrozole\Anastrozole/20201126_Cefas_Test7_Run3/Plate 2/@10/F4_03.tif </t>
  </si>
  <si>
    <t xml:space="preserve">C:\Users\andre\Desktop\REACTIV CEFAS\Anastrozole\Anastrozole/20201126_Cefas_Test7_Run3/Plate 2/@10/G4_01.tif </t>
  </si>
  <si>
    <t xml:space="preserve"> 34.0825 </t>
  </si>
  <si>
    <t xml:space="preserve">C:\Users\andre\Desktop\REACTIV CEFAS\Anastrozole\Anastrozole/20201126_Cefas_Test7_Run3/Plate 2/@10/G4_02.tif </t>
  </si>
  <si>
    <t xml:space="preserve"> 35.6383 </t>
  </si>
  <si>
    <t xml:space="preserve">C:\Users\andre\Desktop\REACTIV CEFAS\Anastrozole\Anastrozole/20201126_Cefas_Test7_Run3/Plate 2/@10/G4_03.tif </t>
  </si>
  <si>
    <t xml:space="preserve"> 38.1754 </t>
  </si>
  <si>
    <t xml:space="preserve">C:\Users\andre\Desktop\REACTIV CEFAS\Anastrozole\Anastrozole/20201126_Cefas_Test7_Run3/Plate 2/@10/H4_01.tif </t>
  </si>
  <si>
    <t xml:space="preserve"> 36.8674 </t>
  </si>
  <si>
    <t xml:space="preserve">C:\Users\andre\Desktop\REACTIV CEFAS\Anastrozole\Anastrozole/20201126_Cefas_Test7_Run3/Plate 2/@10/H4_02.tif </t>
  </si>
  <si>
    <t xml:space="preserve"> 33.2082 </t>
  </si>
  <si>
    <t xml:space="preserve">C:\Users\andre\Desktop\REACTIV CEFAS\Anastrozole\Anastrozole/20201126_Cefas_Test7_Run3/Plate 2/@10/H4_03.tif </t>
  </si>
  <si>
    <t xml:space="preserve"> 36.5243 </t>
  </si>
  <si>
    <t xml:space="preserve">C:\Users\andre\Desktop\REACTIV CEFAS\Anastrozole\Anastrozole/20201126_Cefas_Test7_Run3/Plate 2/@10/ </t>
  </si>
  <si>
    <t xml:space="preserve"> 32.957 </t>
  </si>
  <si>
    <t xml:space="preserve"> 10.6545 </t>
  </si>
  <si>
    <t xml:space="preserve"> 219376.75 </t>
  </si>
  <si>
    <t xml:space="preserve"> 164492.176 </t>
  </si>
  <si>
    <t xml:space="preserve">C:\Users\andre\Desktop\REACTIV CEFAS\Anastrozole\Anastrozole/20201126_Cefas_Test7_Run3/Plate 2/@11/A5_01.tif </t>
  </si>
  <si>
    <t xml:space="preserve"> 7310.9044 </t>
  </si>
  <si>
    <t xml:space="preserve"> 38.5414 </t>
  </si>
  <si>
    <t xml:space="preserve">C:\Users\andre\Desktop\REACTIV CEFAS\Anastrozole\Anastrozole/20201126_Cefas_Test7_Run3/Plate 2/@11/A5_02.tif </t>
  </si>
  <si>
    <t xml:space="preserve"> 40.3057 </t>
  </si>
  <si>
    <t xml:space="preserve">C:\Users\andre\Desktop\REACTIV CEFAS\Anastrozole\Anastrozole/20201126_Cefas_Test7_Run3/Plate 2/@11/A5_03.tif </t>
  </si>
  <si>
    <t xml:space="preserve"> 37.3909 </t>
  </si>
  <si>
    <t xml:space="preserve">C:\Users\andre\Desktop\REACTIV CEFAS\Anastrozole\Anastrozole/20201126_Cefas_Test7_Run3/Plate 2/@11/B5_01.tif </t>
  </si>
  <si>
    <t xml:space="preserve"> 4023.1604 </t>
  </si>
  <si>
    <t xml:space="preserve"> 35.0215 </t>
  </si>
  <si>
    <t xml:space="preserve">C:\Users\andre\Desktop\REACTIV CEFAS\Anastrozole\Anastrozole/20201126_Cefas_Test7_Run3/Plate 2/@11/B5_02.tif </t>
  </si>
  <si>
    <t xml:space="preserve"> 36.3111 </t>
  </si>
  <si>
    <t xml:space="preserve">C:\Users\andre\Desktop\REACTIV CEFAS\Anastrozole\Anastrozole/20201126_Cefas_Test7_Run3/Plate 2/@11/B5_03.tif </t>
  </si>
  <si>
    <t xml:space="preserve"> 5277.6943 </t>
  </si>
  <si>
    <t xml:space="preserve"> 37.2131 </t>
  </si>
  <si>
    <t xml:space="preserve">C:\Users\andre\Desktop\REACTIV CEFAS\Anastrozole\Anastrozole/20201126_Cefas_Test7_Run3/Plate 2/@11/C5_01.tif </t>
  </si>
  <si>
    <t xml:space="preserve"> 40.7596 </t>
  </si>
  <si>
    <t xml:space="preserve">C:\Users\andre\Desktop\REACTIV CEFAS\Anastrozole\Anastrozole/20201126_Cefas_Test7_Run3/Plate 2/@11/C5_02.tif </t>
  </si>
  <si>
    <t xml:space="preserve"> 35.5806 </t>
  </si>
  <si>
    <t xml:space="preserve">C:\Users\andre\Desktop\REACTIV CEFAS\Anastrozole\Anastrozole/20201126_Cefas_Test7_Run3/Plate 2/@11/C5_03.tif </t>
  </si>
  <si>
    <t xml:space="preserve"> 6748.5271 </t>
  </si>
  <si>
    <t xml:space="preserve"> 37.3686 </t>
  </si>
  <si>
    <t xml:space="preserve">C:\Users\andre\Desktop\REACTIV CEFAS\Anastrozole\Anastrozole/20201126_Cefas_Test7_Run3/Plate 2/@11/D5_01.tif </t>
  </si>
  <si>
    <t xml:space="preserve"> 36.0489 </t>
  </si>
  <si>
    <t xml:space="preserve">C:\Users\andre\Desktop\REACTIV CEFAS\Anastrozole\Anastrozole/20201126_Cefas_Test7_Run3/Plate 2/@11/D5_02.tif </t>
  </si>
  <si>
    <t xml:space="preserve"> 36.676 </t>
  </si>
  <si>
    <t xml:space="preserve">C:\Users\andre\Desktop\REACTIV CEFAS\Anastrozole\Anastrozole/20201126_Cefas_Test7_Run3/Plate 2/@11/D5_03.tif </t>
  </si>
  <si>
    <t xml:space="preserve"> 36.8475 </t>
  </si>
  <si>
    <t xml:space="preserve">C:\Users\andre\Desktop\REACTIV CEFAS\Anastrozole\Anastrozole/20201126_Cefas_Test7_Run3/Plate 2/@11/E5_01.tif </t>
  </si>
  <si>
    <t xml:space="preserve"> 35.2884 </t>
  </si>
  <si>
    <t xml:space="preserve">C:\Users\andre\Desktop\REACTIV CEFAS\Anastrozole\Anastrozole/20201126_Cefas_Test7_Run3/Plate 2/@11/E5_02.tif </t>
  </si>
  <si>
    <t xml:space="preserve"> 10447.2391 </t>
  </si>
  <si>
    <t xml:space="preserve"> 40.0207 </t>
  </si>
  <si>
    <t xml:space="preserve">C:\Users\andre\Desktop\REACTIV CEFAS\Anastrozole\Anastrozole/20201126_Cefas_Test7_Run3/Plate 2/@11/E5_03.tif </t>
  </si>
  <si>
    <t xml:space="preserve"> 37.1051 </t>
  </si>
  <si>
    <t xml:space="preserve">C:\Users\andre\Desktop\REACTIV CEFAS\Anastrozole\Anastrozole/20201126_Cefas_Test7_Run3/Plate 2/@11/F5_01.tif </t>
  </si>
  <si>
    <t xml:space="preserve"> 42.3355 </t>
  </si>
  <si>
    <t>C:\Users\andre\Desktop\REACTIV CEFAS\Anastrozole\Anastrozole/20201126_Cefas_Test7_Run3/Plate 2/@11/F5_02- exclu.tif</t>
  </si>
  <si>
    <t>C:\Users\andre\Desktop\REACTIV CEFAS\Anastrozole\Anastrozole/20201126_Cefas_Test7_Run3/Plate 2/@11/F5_03- exclu.tif</t>
  </si>
  <si>
    <t xml:space="preserve">C:\Users\andre\Desktop\REACTIV CEFAS\Anastrozole\Anastrozole/20201126_Cefas_Test7_Run3/Plate 2/@11/G5_01.tif </t>
  </si>
  <si>
    <t>C:\Users\andre\Desktop\REACTIV CEFAS\Anastrozole\Anastrozole/20201126_Cefas_Test7_Run3/Plate 2/@11/G5_02- exclu.tif</t>
  </si>
  <si>
    <t xml:space="preserve">C:\Users\andre\Desktop\REACTIV CEFAS\Anastrozole\Anastrozole/20201126_Cefas_Test7_Run3/Plate 2/@11/G5_03.tif </t>
  </si>
  <si>
    <t xml:space="preserve">C:\Users\andre\Desktop\REACTIV CEFAS\Anastrozole\Anastrozole/20201126_Cefas_Test7_Run3/Plate 2/@11/H5_01.tif </t>
  </si>
  <si>
    <t xml:space="preserve"> 41.7438 </t>
  </si>
  <si>
    <t xml:space="preserve">C:\Users\andre\Desktop\REACTIV CEFAS\Anastrozole\Anastrozole/20201126_Cefas_Test7_Run3/Plate 2/@11/H5_02.tif </t>
  </si>
  <si>
    <t xml:space="preserve"> 42.4482 </t>
  </si>
  <si>
    <t xml:space="preserve">C:\Users\andre\Desktop\REACTIV CEFAS\Anastrozole\Anastrozole/20201126_Cefas_Test7_Run3/Plate 2/@11/H5_03.tif </t>
  </si>
  <si>
    <t xml:space="preserve">C:\Users\andre\Desktop\REACTIV CEFAS\Anastrozole\Anastrozole/20201126_Cefas_Test7_Run3/Plate 2/@11/ </t>
  </si>
  <si>
    <t xml:space="preserve"> 35.8494 </t>
  </si>
  <si>
    <t xml:space="preserve"> 8.6965 </t>
  </si>
  <si>
    <t xml:space="preserve"> 181267.095 </t>
  </si>
  <si>
    <t xml:space="preserve">C:\Users\andre\Desktop\REACTIV CEFAS\Anastrozole\Anastrozole/20201126_Cefas_Test7_Run3/Plate 2/@12/A6_01.tif </t>
  </si>
  <si>
    <t xml:space="preserve"> 38.0317 </t>
  </si>
  <si>
    <t xml:space="preserve">C:\Users\andre\Desktop\REACTIV CEFAS\Anastrozole\Anastrozole/20201126_Cefas_Test7_Run3/Plate 2/@12/A6_02.tif </t>
  </si>
  <si>
    <t xml:space="preserve"> 10425.6092 </t>
  </si>
  <si>
    <t xml:space="preserve"> 40.471 </t>
  </si>
  <si>
    <t xml:space="preserve">C:\Users\andre\Desktop\REACTIV CEFAS\Anastrozole\Anastrozole/20201126_Cefas_Test7_Run3/Plate 2/@12/A6_03.tif </t>
  </si>
  <si>
    <t xml:space="preserve"> 38.1546 </t>
  </si>
  <si>
    <t xml:space="preserve">C:\Users\andre\Desktop\REACTIV CEFAS\Anastrozole\Anastrozole/20201126_Cefas_Test7_Run3/Plate 2/@12/B6_01.tif </t>
  </si>
  <si>
    <t xml:space="preserve">C:\Users\andre\Desktop\REACTIV CEFAS\Anastrozole\Anastrozole/20201126_Cefas_Test7_Run3/Plate 2/@12/B6_02.tif </t>
  </si>
  <si>
    <t xml:space="preserve"> 40.4236 </t>
  </si>
  <si>
    <t xml:space="preserve">C:\Users\andre\Desktop\REACTIV CEFAS\Anastrozole\Anastrozole/20201126_Cefas_Test7_Run3/Plate 2/@12/B6_03.tif </t>
  </si>
  <si>
    <t xml:space="preserve"> 37.1025 </t>
  </si>
  <si>
    <t xml:space="preserve">C:\Users\andre\Desktop\REACTIV CEFAS\Anastrozole\Anastrozole/20201126_Cefas_Test7_Run3/Plate 2/@12/C6_01.tif </t>
  </si>
  <si>
    <t>C:\Users\andre\Desktop\REACTIV CEFAS\Anastrozole\Anastrozole/20201126_Cefas_Test7_Run3/Plate 2/@12/C6_02- exclu.tif</t>
  </si>
  <si>
    <t>C:\Users\andre\Desktop\REACTIV CEFAS\Anastrozole\Anastrozole/20201126_Cefas_Test7_Run3/Plate 2/@12/C6_03- exclu.tif</t>
  </si>
  <si>
    <t xml:space="preserve">C:\Users\andre\Desktop\REACTIV CEFAS\Anastrozole\Anastrozole/20201126_Cefas_Test7_Run3/Plate 2/@12/D6_01.tif </t>
  </si>
  <si>
    <t xml:space="preserve"> 32.6923 </t>
  </si>
  <si>
    <t xml:space="preserve">C:\Users\andre\Desktop\REACTIV CEFAS\Anastrozole\Anastrozole/20201126_Cefas_Test7_Run3/Plate 2/@12/D6_02.tif </t>
  </si>
  <si>
    <t xml:space="preserve"> 33.35 </t>
  </si>
  <si>
    <t xml:space="preserve">C:\Users\andre\Desktop\REACTIV CEFAS\Anastrozole\Anastrozole/20201126_Cefas_Test7_Run3/Plate 2/@12/D6_03.tif </t>
  </si>
  <si>
    <t xml:space="preserve"> 34.1188 </t>
  </si>
  <si>
    <t xml:space="preserve">C:\Users\andre\Desktop\REACTIV CEFAS\Anastrozole\Anastrozole/20201126_Cefas_Test7_Run3/Plate 2/@12/E6_01.tif </t>
  </si>
  <si>
    <t xml:space="preserve"> 10490.4989 </t>
  </si>
  <si>
    <t xml:space="preserve"> 46.7155 </t>
  </si>
  <si>
    <t xml:space="preserve">C:\Users\andre\Desktop\REACTIV CEFAS\Anastrozole\Anastrozole/20201126_Cefas_Test7_Run3/Plate 2/@12/E6_02.tif </t>
  </si>
  <si>
    <t xml:space="preserve"> 11096.1359 </t>
  </si>
  <si>
    <t xml:space="preserve"> 45.7778 </t>
  </si>
  <si>
    <t xml:space="preserve">C:\Users\andre\Desktop\REACTIV CEFAS\Anastrozole\Anastrozole/20201126_Cefas_Test7_Run3/Plate 2/@12/E6_03.tif </t>
  </si>
  <si>
    <t xml:space="preserve"> 43.3704 </t>
  </si>
  <si>
    <t>C:\Users\andre\Desktop\REACTIV CEFAS\Anastrozole\Anastrozole/20201126_Cefas_Test7_Run3/Plate 2/@12/F6_01- exclu.tif</t>
  </si>
  <si>
    <t>C:\Users\andre\Desktop\REACTIV CEFAS\Anastrozole\Anastrozole/20201126_Cefas_Test7_Run3/Plate 2/@12/F6_02- exclu.tif</t>
  </si>
  <si>
    <t xml:space="preserve">C:\Users\andre\Desktop\REACTIV CEFAS\Anastrozole\Anastrozole/20201126_Cefas_Test7_Run3/Plate 2/@12/F6_03.tif </t>
  </si>
  <si>
    <t xml:space="preserve"> 11831.5524 </t>
  </si>
  <si>
    <t xml:space="preserve"> 41.1426 </t>
  </si>
  <si>
    <t xml:space="preserve">C:\Users\andre\Desktop\REACTIV CEFAS\Anastrozole\Anastrozole/20201126_Cefas_Test7_Run3/Plate 2/@12/G6_01.tif </t>
  </si>
  <si>
    <t xml:space="preserve"> 35.7571 </t>
  </si>
  <si>
    <t xml:space="preserve">C:\Users\andre\Desktop\REACTIV CEFAS\Anastrozole\Anastrozole/20201126_Cefas_Test7_Run3/Plate 2/@12/G6_02.tif </t>
  </si>
  <si>
    <t xml:space="preserve"> 32.2857 </t>
  </si>
  <si>
    <t xml:space="preserve">C:\Users\andre\Desktop\REACTIV CEFAS\Anastrozole\Anastrozole/20201126_Cefas_Test7_Run3/Plate 2/@12/G6_03.tif </t>
  </si>
  <si>
    <t xml:space="preserve"> 33.0638 </t>
  </si>
  <si>
    <t>C:\Users\andre\Desktop\REACTIV CEFAS\Anastrozole\Anastrozole/20201126_Cefas_Test7_Run3/Plate 2/@12/H6_01- exclu.tif</t>
  </si>
  <si>
    <t>C:\Users\andre\Desktop\REACTIV CEFAS\Anastrozole\Anastrozole/20201126_Cefas_Test7_Run3/Plate 2/@12/H6_02- exclu.tif</t>
  </si>
  <si>
    <t>C:\Users\andre\Desktop\REACTIV CEFAS\Anastrozole\Anastrozole/20201126_Cefas_Test7_Run3/Plate 2/@12/H6_03- exclu.tif</t>
  </si>
  <si>
    <t xml:space="preserve">C:\Users\andre\Desktop\REACTIV CEFAS\Anastrozole\Anastrozole/20201126_Cefas_Test7_Run3/Plate 2/@12/ </t>
  </si>
  <si>
    <t xml:space="preserve"> 33.893 </t>
  </si>
  <si>
    <t xml:space="preserve"> 13.8638 </t>
  </si>
  <si>
    <t xml:space="preserve"> 237489.958 </t>
  </si>
  <si>
    <t xml:space="preserve"> 206901.466 </t>
  </si>
  <si>
    <t>C:\Users\andre\Desktop\REACTIV CEFAS\Anastrozole\Anastrozole/20201126_Cefas_Test7_Run3/Plate 2/@17/A8_01- exclu.tif</t>
  </si>
  <si>
    <t xml:space="preserve">C:\Users\andre\Desktop\REACTIV CEFAS\Anastrozole\Anastrozole/20201126_Cefas_Test7_Run3/Plate 2/@17/A8_02.tif </t>
  </si>
  <si>
    <t xml:space="preserve"> 12004.5915 </t>
  </si>
  <si>
    <t xml:space="preserve"> 39.7333 </t>
  </si>
  <si>
    <t>C:\Users\andre\Desktop\REACTIV CEFAS\Anastrozole\Anastrozole/20201126_Cefas_Test7_Run3/Plate 2/@17/A8_03- exclu.tif</t>
  </si>
  <si>
    <t xml:space="preserve">C:\Users\andre\Desktop\REACTIV CEFAS\Anastrozole\Anastrozole/20201126_Cefas_Test7_Run3/Plate 2/@17/B8_01.tif </t>
  </si>
  <si>
    <t xml:space="preserve"> 33.3582 </t>
  </si>
  <si>
    <t>C:\Users\andre\Desktop\REACTIV CEFAS\Anastrozole\Anastrozole/20201126_Cefas_Test7_Run3/Plate 2/@17/B8_02- exclu.tif</t>
  </si>
  <si>
    <t>C:\Users\andre\Desktop\REACTIV CEFAS\Anastrozole\Anastrozole/20201126_Cefas_Test7_Run3/Plate 2/@17/B8_03- exclu.tif</t>
  </si>
  <si>
    <t xml:space="preserve">C:\Users\andre\Desktop\REACTIV CEFAS\Anastrozole\Anastrozole/20201126_Cefas_Test7_Run3/Plate 2/@17/C8_01.tif </t>
  </si>
  <si>
    <t xml:space="preserve"> 4152.9398 </t>
  </si>
  <si>
    <t xml:space="preserve"> 43.6042 </t>
  </si>
  <si>
    <t xml:space="preserve">C:\Users\andre\Desktop\REACTIV CEFAS\Anastrozole\Anastrozole/20201126_Cefas_Test7_Run3/Plate 2/@17/C8_02.tif </t>
  </si>
  <si>
    <t xml:space="preserve"> 12069.4812 </t>
  </si>
  <si>
    <t xml:space="preserve"> 44.2903 </t>
  </si>
  <si>
    <t xml:space="preserve">C:\Users\andre\Desktop\REACTIV CEFAS\Anastrozole\Anastrozole/20201126_Cefas_Test7_Run3/Plate 2/@17/C8_03.tif </t>
  </si>
  <si>
    <t xml:space="preserve"> 47.2706 </t>
  </si>
  <si>
    <t xml:space="preserve">C:\Users\andre\Desktop\REACTIV CEFAS\Anastrozole\Anastrozole/20201126_Cefas_Test7_Run3/Plate 2/@17/D8_01.tif </t>
  </si>
  <si>
    <t xml:space="preserve">C:\Users\andre\Desktop\REACTIV CEFAS\Anastrozole\Anastrozole/20201126_Cefas_Test7_Run3/Plate 2/@17/D8_02.tif </t>
  </si>
  <si>
    <t xml:space="preserve"> 36.4658 </t>
  </si>
  <si>
    <t>C:\Users\andre\Desktop\REACTIV CEFAS\Anastrozole\Anastrozole/20201126_Cefas_Test7_Run3/Plate 2/@17/D8_03- exclu.tif</t>
  </si>
  <si>
    <t xml:space="preserve">C:\Users\andre\Desktop\REACTIV CEFAS\Anastrozole\Anastrozole/20201126_Cefas_Test7_Run3/Plate 2/@17/E8_01.tif </t>
  </si>
  <si>
    <t xml:space="preserve"> 36.7718 </t>
  </si>
  <si>
    <t xml:space="preserve">C:\Users\andre\Desktop\REACTIV CEFAS\Anastrozole\Anastrozole/20201126_Cefas_Test7_Run3/Plate 2/@17/E8_02.tif </t>
  </si>
  <si>
    <t xml:space="preserve"> 8284.2496 </t>
  </si>
  <si>
    <t xml:space="preserve">C:\Users\andre\Desktop\REACTIV CEFAS\Anastrozole\Anastrozole/20201126_Cefas_Test7_Run3/Plate 2/@17/E8_03.tif </t>
  </si>
  <si>
    <t xml:space="preserve"> 2984.9255 </t>
  </si>
  <si>
    <t xml:space="preserve"> 35.2826 </t>
  </si>
  <si>
    <t xml:space="preserve">C:\Users\andre\Desktop\REACTIV CEFAS\Anastrozole\Anastrozole/20201126_Cefas_Test7_Run3/Plate 2/@17/F8_01.tif </t>
  </si>
  <si>
    <t xml:space="preserve"> 34.434 </t>
  </si>
  <si>
    <t xml:space="preserve">C:\Users\andre\Desktop\REACTIV CEFAS\Anastrozole\Anastrozole/20201126_Cefas_Test7_Run3/Plate 2/@17/F8_02.tif </t>
  </si>
  <si>
    <t xml:space="preserve"> 6078.0004 </t>
  </si>
  <si>
    <t xml:space="preserve"> 34.9253 </t>
  </si>
  <si>
    <t xml:space="preserve">C:\Users\andre\Desktop\REACTIV CEFAS\Anastrozole\Anastrozole/20201126_Cefas_Test7_Run3/Plate 2/@17/F8_03.tif </t>
  </si>
  <si>
    <t xml:space="preserve"> 34.2432 </t>
  </si>
  <si>
    <t xml:space="preserve">C:\Users\andre\Desktop\REACTIV CEFAS\Anastrozole\Anastrozole/20201126_Cefas_Test7_Run3/Plate 2/@17/G8_01.tif </t>
  </si>
  <si>
    <t xml:space="preserve"> 42.4165 </t>
  </si>
  <si>
    <t>C:\Users\andre\Desktop\REACTIV CEFAS\Anastrozole\Anastrozole/20201126_Cefas_Test7_Run3/Plate 2/@17/G8_02- exclu.tif</t>
  </si>
  <si>
    <t xml:space="preserve">C:\Users\andre\Desktop\REACTIV CEFAS\Anastrozole\Anastrozole/20201126_Cefas_Test7_Run3/Plate 2/@17/G8_03.tif </t>
  </si>
  <si>
    <t xml:space="preserve"> 8651.9579 </t>
  </si>
  <si>
    <t xml:space="preserve"> 44.555 </t>
  </si>
  <si>
    <t xml:space="preserve">C:\Users\andre\Desktop\REACTIV CEFAS\Anastrozole\Anastrozole/20201126_Cefas_Test7_Run3/Plate 2/@17/H8_01.tif </t>
  </si>
  <si>
    <t xml:space="preserve"> 33.6557 </t>
  </si>
  <si>
    <t xml:space="preserve">C:\Users\andre\Desktop\REACTIV CEFAS\Anastrozole\Anastrozole/20201126_Cefas_Test7_Run3/Plate 2/@17/H8_02.tif </t>
  </si>
  <si>
    <t xml:space="preserve"> 1254.5339 </t>
  </si>
  <si>
    <t xml:space="preserve"> 32.4828 </t>
  </si>
  <si>
    <t xml:space="preserve">C:\Users\andre\Desktop\REACTIV CEFAS\Anastrozole\Anastrozole/20201126_Cefas_Test7_Run3/Plate 2/@17/H8_03.tif </t>
  </si>
  <si>
    <t xml:space="preserve"> 32.75 </t>
  </si>
  <si>
    <t xml:space="preserve">C:\Users\andre\Desktop\REACTIV CEFAS\Anastrozole\Anastrozole/20201126_Cefas_Test7_Run3/Plate 2/@17/ </t>
  </si>
  <si>
    <t xml:space="preserve"> 29.6766 </t>
  </si>
  <si>
    <t xml:space="preserve"> 16.1241 </t>
  </si>
  <si>
    <t xml:space="preserve"> 173194.25 </t>
  </si>
  <si>
    <t xml:space="preserve"> 182633.187 </t>
  </si>
  <si>
    <t xml:space="preserve">C:\Users\andre\Desktop\REACTIV CEFAS\Anastrozole\Anastrozole/20201126_Cefas_Test7_Run3/Plate 2/@18/A9_01.tif </t>
  </si>
  <si>
    <t xml:space="preserve"> 44.871 </t>
  </si>
  <si>
    <t xml:space="preserve">C:\Users\andre\Desktop\REACTIV CEFAS\Anastrozole\Anastrozole/20201126_Cefas_Test7_Run3/Plate 2/@18/A9_02.tif </t>
  </si>
  <si>
    <t xml:space="preserve"> 7765.1322 </t>
  </si>
  <si>
    <t xml:space="preserve"> 38.0752 </t>
  </si>
  <si>
    <t xml:space="preserve">C:\Users\andre\Desktop\REACTIV CEFAS\Anastrozole\Anastrozole/20201126_Cefas_Test7_Run3/Plate 2/@18/A9_03.tif </t>
  </si>
  <si>
    <t xml:space="preserve"> 36.5616 </t>
  </si>
  <si>
    <t>C:\Users\andre\Desktop\REACTIV CEFAS\Anastrozole\Anastrozole/20201126_Cefas_Test7_Run3/Plate 2/@18/B9_01- exclu.tif</t>
  </si>
  <si>
    <t>C:\Users\andre\Desktop\REACTIV CEFAS\Anastrozole\Anastrozole/20201126_Cefas_Test7_Run3/Plate 2/@18/B9_02- exclu.tif</t>
  </si>
  <si>
    <t>C:\Users\andre\Desktop\REACTIV CEFAS\Anastrozole\Anastrozole/20201126_Cefas_Test7_Run3/Plate 2/@18/B9_03- exclu.tif</t>
  </si>
  <si>
    <t xml:space="preserve">C:\Users\andre\Desktop\REACTIV CEFAS\Anastrozole\Anastrozole/20201126_Cefas_Test7_Run3/Plate 2/@18/C9_01.tif </t>
  </si>
  <si>
    <t xml:space="preserve"> 32.625 </t>
  </si>
  <si>
    <t xml:space="preserve">C:\Users\andre\Desktop\REACTIV CEFAS\Anastrozole\Anastrozole/20201126_Cefas_Test7_Run3/Plate 2/@18/C9_02.tif </t>
  </si>
  <si>
    <t xml:space="preserve"> 36.18 </t>
  </si>
  <si>
    <t xml:space="preserve">C:\Users\andre\Desktop\REACTIV CEFAS\Anastrozole\Anastrozole/20201126_Cefas_Test7_Run3/Plate 2/@18/C9_03.tif </t>
  </si>
  <si>
    <t xml:space="preserve"> 37.0734 </t>
  </si>
  <si>
    <t xml:space="preserve">C:\Users\andre\Desktop\REACTIV CEFAS\Anastrozole\Anastrozole/20201126_Cefas_Test7_Run3/Plate 2/@18/D9_01.tif </t>
  </si>
  <si>
    <t xml:space="preserve"> 31.8818 </t>
  </si>
  <si>
    <t xml:space="preserve">C:\Users\andre\Desktop\REACTIV CEFAS\Anastrozole\Anastrozole/20201126_Cefas_Test7_Run3/Plate 2/@18/D9_02.tif </t>
  </si>
  <si>
    <t xml:space="preserve"> 34.2995 </t>
  </si>
  <si>
    <t xml:space="preserve">C:\Users\andre\Desktop\REACTIV CEFAS\Anastrozole\Anastrozole/20201126_Cefas_Test7_Run3/Plate 2/@18/D9_03.tif </t>
  </si>
  <si>
    <t xml:space="preserve"> 35.1286 </t>
  </si>
  <si>
    <t xml:space="preserve">C:\Users\andre\Desktop\REACTIV CEFAS\Anastrozole\Anastrozole/20201126_Cefas_Test7_Run3/Plate 2/@18/E9_01.tif </t>
  </si>
  <si>
    <t xml:space="preserve"> 9192.7052 </t>
  </si>
  <si>
    <t xml:space="preserve"> 41.1671 </t>
  </si>
  <si>
    <t xml:space="preserve">C:\Users\andre\Desktop\REACTIV CEFAS\Anastrozole\Anastrozole/20201126_Cefas_Test7_Run3/Plate 2/@18/E9_02.tif </t>
  </si>
  <si>
    <t xml:space="preserve"> 41.5478 </t>
  </si>
  <si>
    <t xml:space="preserve">C:\Users\andre\Desktop\REACTIV CEFAS\Anastrozole\Anastrozole/20201126_Cefas_Test7_Run3/Plate 2/@18/E9_03.tif </t>
  </si>
  <si>
    <t xml:space="preserve"> 15032.7768 </t>
  </si>
  <si>
    <t xml:space="preserve"> 46.0489 </t>
  </si>
  <si>
    <t xml:space="preserve">C:\Users\andre\Desktop\REACTIV CEFAS\Anastrozole\Anastrozole/20201126_Cefas_Test7_Run3/Plate 2/@18/F9_01.tif </t>
  </si>
  <si>
    <t xml:space="preserve"> 35.6918 </t>
  </si>
  <si>
    <t xml:space="preserve">C:\Users\andre\Desktop\REACTIV CEFAS\Anastrozole\Anastrozole/20201126_Cefas_Test7_Run3/Plate 2/@18/F9_02.tif </t>
  </si>
  <si>
    <t xml:space="preserve"> 2898.4059 </t>
  </si>
  <si>
    <t xml:space="preserve"> 34.7985 </t>
  </si>
  <si>
    <t xml:space="preserve">C:\Users\andre\Desktop\REACTIV CEFAS\Anastrozole\Anastrozole/20201126_Cefas_Test7_Run3/Plate 2/@18/F9_03.tif </t>
  </si>
  <si>
    <t xml:space="preserve"> 3655.4522 </t>
  </si>
  <si>
    <t xml:space="preserve"> 34.2189 </t>
  </si>
  <si>
    <t xml:space="preserve">C:\Users\andre\Desktop\REACTIV CEFAS\Anastrozole\Anastrozole/20201126_Cefas_Test7_Run3/Plate 2/@18/G9_01.tif </t>
  </si>
  <si>
    <t xml:space="preserve"> 41.4 </t>
  </si>
  <si>
    <t xml:space="preserve">C:\Users\andre\Desktop\REACTIV CEFAS\Anastrozole\Anastrozole/20201126_Cefas_Test7_Run3/Plate 2/@18/G9_02.tif </t>
  </si>
  <si>
    <t xml:space="preserve"> 40.7837 </t>
  </si>
  <si>
    <t>C:\Users\andre\Desktop\REACTIV CEFAS\Anastrozole\Anastrozole/20201126_Cefas_Test7_Run3/Plate 2/@18/G9_03- exclu.tif</t>
  </si>
  <si>
    <t xml:space="preserve">C:\Users\andre\Desktop\REACTIV CEFAS\Anastrozole\Anastrozole/20201126_Cefas_Test7_Run3/Plate 2/@18/H9_01.tif </t>
  </si>
  <si>
    <t xml:space="preserve"> 32.5079 </t>
  </si>
  <si>
    <t xml:space="preserve">C:\Users\andre\Desktop\REACTIV CEFAS\Anastrozole\Anastrozole/20201126_Cefas_Test7_Run3/Plate 2/@18/H9_02.tif </t>
  </si>
  <si>
    <t xml:space="preserve">C:\Users\andre\Desktop\REACTIV CEFAS\Anastrozole\Anastrozole/20201126_Cefas_Test7_Run3/Plate 2/@18/H9_03.tif </t>
  </si>
  <si>
    <t xml:space="preserve"> 35.8912 </t>
  </si>
  <si>
    <t xml:space="preserve">C:\Users\andre\Desktop\REACTIV CEFAS\Anastrozole\Anastrozole/20201126_Cefas_Test7_Run3/Plate 2/@18/ </t>
  </si>
  <si>
    <t xml:space="preserve"> 37.3818 </t>
  </si>
  <si>
    <t xml:space="preserve"> 4.1715 </t>
  </si>
  <si>
    <t xml:space="preserve"> 217229.875 </t>
  </si>
  <si>
    <t xml:space="preserve"> 168393.114 </t>
  </si>
  <si>
    <t xml:space="preserve">C:\Users\andre\Desktop\REACTIV CEFAS\Anastrozole\Anastrozole/20201126_Cefas_Test7_Run3/Plate 2/@19/A10_01.tif </t>
  </si>
  <si>
    <t xml:space="preserve"> 36.5266 </t>
  </si>
  <si>
    <t xml:space="preserve">C:\Users\andre\Desktop\REACTIV CEFAS\Anastrozole\Anastrozole/20201126_Cefas_Test7_Run3/Plate 2/@19/A10_02.tif </t>
  </si>
  <si>
    <t xml:space="preserve"> 10728.4277 </t>
  </si>
  <si>
    <t xml:space="preserve"> 39.2843 </t>
  </si>
  <si>
    <t xml:space="preserve">C:\Users\andre\Desktop\REACTIV CEFAS\Anastrozole\Anastrozole/20201126_Cefas_Test7_Run3/Plate 2/@19/A10_03.tif </t>
  </si>
  <si>
    <t xml:space="preserve"> 11507.1039 </t>
  </si>
  <si>
    <t xml:space="preserve"> 39.359 </t>
  </si>
  <si>
    <t>C:\Users\andre\Desktop\REACTIV CEFAS\Anastrozole\Anastrozole/20201126_Cefas_Test7_Run3/Plate 2/@19/B10_01- exclu.tif</t>
  </si>
  <si>
    <t xml:space="preserve">C:\Users\andre\Desktop\REACTIV CEFAS\Anastrozole\Anastrozole/20201126_Cefas_Test7_Run3/Plate 2/@19/B10_02.tif </t>
  </si>
  <si>
    <t xml:space="preserve"> 45.5613 </t>
  </si>
  <si>
    <t xml:space="preserve">C:\Users\andre\Desktop\REACTIV CEFAS\Anastrozole\Anastrozole/20201126_Cefas_Test7_Run3/Plate 2/@19/B10_03.tif </t>
  </si>
  <si>
    <t xml:space="preserve"> 32.5 </t>
  </si>
  <si>
    <t xml:space="preserve">C:\Users\andre\Desktop\REACTIV CEFAS\Anastrozole\Anastrozole/20201126_Cefas_Test7_Run3/Plate 2/@19/C10_01.tif </t>
  </si>
  <si>
    <t xml:space="preserve"> 34.8409 </t>
  </si>
  <si>
    <t>C:\Users\andre\Desktop\REACTIV CEFAS\Anastrozole\Anastrozole/20201126_Cefas_Test7_Run3/Plate 2/@19/C10_02- exclu.tif</t>
  </si>
  <si>
    <t>C:\Users\andre\Desktop\REACTIV CEFAS\Anastrozole\Anastrozole/20201126_Cefas_Test7_Run3/Plate 2/@19/C10_03- exclu.tif</t>
  </si>
  <si>
    <t xml:space="preserve">C:\Users\andre\Desktop\REACTIV CEFAS\Anastrozole\Anastrozole/20201126_Cefas_Test7_Run3/Plate 2/@19/D10_01.tif </t>
  </si>
  <si>
    <t xml:space="preserve"> 37.8436 </t>
  </si>
  <si>
    <t xml:space="preserve">C:\Users\andre\Desktop\REACTIV CEFAS\Anastrozole\Anastrozole/20201126_Cefas_Test7_Run3/Plate 2/@19/D10_02.tif </t>
  </si>
  <si>
    <t xml:space="preserve"> 37.8613 </t>
  </si>
  <si>
    <t xml:space="preserve">C:\Users\andre\Desktop\REACTIV CEFAS\Anastrozole\Anastrozole/20201126_Cefas_Test7_Run3/Plate 2/@19/D10_03.tif </t>
  </si>
  <si>
    <t xml:space="preserve"> 41.109 </t>
  </si>
  <si>
    <t xml:space="preserve">C:\Users\andre\Desktop\REACTIV CEFAS\Anastrozole\Anastrozole/20201126_Cefas_Test7_Run3/Plate 2/@19/E10_01.tif </t>
  </si>
  <si>
    <t xml:space="preserve"> 4888.3562 </t>
  </si>
  <si>
    <t xml:space="preserve"> 37.3717 </t>
  </si>
  <si>
    <t xml:space="preserve">C:\Users\andre\Desktop\REACTIV CEFAS\Anastrozole\Anastrozole/20201126_Cefas_Test7_Run3/Plate 2/@19/E10_02.tif </t>
  </si>
  <si>
    <t xml:space="preserve"> 39.6183 </t>
  </si>
  <si>
    <t xml:space="preserve">C:\Users\andre\Desktop\REACTIV CEFAS\Anastrozole\Anastrozole/20201126_Cefas_Test7_Run3/Plate 2/@19/E10_03.tif </t>
  </si>
  <si>
    <t xml:space="preserve"> 11809.9225 </t>
  </si>
  <si>
    <t xml:space="preserve"> 48.4542 </t>
  </si>
  <si>
    <t xml:space="preserve">C:\Users\andre\Desktop\REACTIV CEFAS\Anastrozole\Anastrozole/20201126_Cefas_Test7_Run3/Plate 2/@19/F10_01.tif </t>
  </si>
  <si>
    <t xml:space="preserve"> 36.8052 </t>
  </si>
  <si>
    <t xml:space="preserve">C:\Users\andre\Desktop\REACTIV CEFAS\Anastrozole\Anastrozole/20201126_Cefas_Test7_Run3/Plate 2/@19/F10_02.tif </t>
  </si>
  <si>
    <t xml:space="preserve"> 35.5612 </t>
  </si>
  <si>
    <t xml:space="preserve">C:\Users\andre\Desktop\REACTIV CEFAS\Anastrozole\Anastrozole/20201126_Cefas_Test7_Run3/Plate 2/@19/F10_03.tif </t>
  </si>
  <si>
    <t xml:space="preserve"> 36.1307 </t>
  </si>
  <si>
    <t xml:space="preserve">C:\Users\andre\Desktop\REACTIV CEFAS\Anastrozole\Anastrozole/20201126_Cefas_Test7_Run3/Plate 2/@19/G10_01.tif </t>
  </si>
  <si>
    <t xml:space="preserve"> 39.1268 </t>
  </si>
  <si>
    <t xml:space="preserve">C:\Users\andre\Desktop\REACTIV CEFAS\Anastrozole\Anastrozole/20201126_Cefas_Test7_Run3/Plate 2/@19/G10_02.tif </t>
  </si>
  <si>
    <t xml:space="preserve"> 10685.1679 </t>
  </si>
  <si>
    <t xml:space="preserve"> 47.1397 </t>
  </si>
  <si>
    <t xml:space="preserve">C:\Users\andre\Desktop\REACTIV CEFAS\Anastrozole\Anastrozole/20201126_Cefas_Test7_Run3/Plate 2/@19/G10_03.tif </t>
  </si>
  <si>
    <t xml:space="preserve"> 10598.6484 </t>
  </si>
  <si>
    <t xml:space="preserve"> 45.8184 </t>
  </si>
  <si>
    <t xml:space="preserve">C:\Users\andre\Desktop\REACTIV CEFAS\Anastrozole\Anastrozole/20201126_Cefas_Test7_Run3/Plate 2/@19/H10_01.tif </t>
  </si>
  <si>
    <t xml:space="preserve"> 41.4413 </t>
  </si>
  <si>
    <t xml:space="preserve">C:\Users\andre\Desktop\REACTIV CEFAS\Anastrozole\Anastrozole/20201126_Cefas_Test7_Run3/Plate 2/@19/H10_02.tif </t>
  </si>
  <si>
    <t xml:space="preserve"> 40.7196 </t>
  </si>
  <si>
    <t xml:space="preserve">C:\Users\andre\Desktop\REACTIV CEFAS\Anastrozole\Anastrozole/20201126_Cefas_Test7_Run3/Plate 2/@19/H10_03.tif </t>
  </si>
  <si>
    <t xml:space="preserve"> 14016.1717 </t>
  </si>
  <si>
    <t xml:space="preserve"> 42.1574 </t>
  </si>
  <si>
    <t xml:space="preserve">C:\Users\andre\Desktop\REACTIV CEFAS\Anastrozole\Anastrozole/20201126_Cefas_Test7_Run3/Plate 2/@19/ </t>
  </si>
  <si>
    <t xml:space="preserve"> 38.4119 </t>
  </si>
  <si>
    <t xml:space="preserve"> 9.1309 </t>
  </si>
  <si>
    <t xml:space="preserve"> 318571.25 </t>
  </si>
  <si>
    <t xml:space="preserve"> 167894.767 </t>
  </si>
  <si>
    <t xml:space="preserve">C:\Users\andre\Desktop\REACTIV CEFAS\Anastrozole\Anastrozole/20201126_Cefas_Test7_Run3/Plate 2/@20/A11_01.tif </t>
  </si>
  <si>
    <t xml:space="preserve"> 34.5686 </t>
  </si>
  <si>
    <t xml:space="preserve">C:\Users\andre\Desktop\REACTIV CEFAS\Anastrozole\Anastrozole/20201126_Cefas_Test7_Run3/Plate 2/@20/A11_02.tif </t>
  </si>
  <si>
    <t xml:space="preserve"> 33.3265 </t>
  </si>
  <si>
    <t xml:space="preserve">C:\Users\andre\Desktop\REACTIV CEFAS\Anastrozole\Anastrozole/20201126_Cefas_Test7_Run3/Plate 2/@20/A11_03.tif </t>
  </si>
  <si>
    <t xml:space="preserve"> 4369.2387 </t>
  </si>
  <si>
    <t xml:space="preserve"> 35.4901 </t>
  </si>
  <si>
    <t xml:space="preserve">C:\Users\andre\Desktop\REACTIV CEFAS\Anastrozole\Anastrozole/20201126_Cefas_Test7_Run3/Plate 2/@20/B11_01.tif </t>
  </si>
  <si>
    <t xml:space="preserve"> 40.0218 </t>
  </si>
  <si>
    <t xml:space="preserve">C:\Users\andre\Desktop\REACTIV CEFAS\Anastrozole\Anastrozole/20201126_Cefas_Test7_Run3/Plate 2/@20/B11_02.tif </t>
  </si>
  <si>
    <t xml:space="preserve"> 37.6167 </t>
  </si>
  <si>
    <t xml:space="preserve">C:\Users\andre\Desktop\REACTIV CEFAS\Anastrozole\Anastrozole/20201126_Cefas_Test7_Run3/Plate 2/@20/B11_03.tif </t>
  </si>
  <si>
    <t xml:space="preserve"> 38.7143 </t>
  </si>
  <si>
    <t xml:space="preserve">C:\Users\andre\Desktop\REACTIV CEFAS\Anastrozole\Anastrozole/20201126_Cefas_Test7_Run3/Plate 2/@20/C11_01.tif </t>
  </si>
  <si>
    <t xml:space="preserve"> 36.27 </t>
  </si>
  <si>
    <t xml:space="preserve">C:\Users\andre\Desktop\REACTIV CEFAS\Anastrozole\Anastrozole/20201126_Cefas_Test7_Run3/Plate 2/@20/C11_02.tif </t>
  </si>
  <si>
    <t xml:space="preserve"> 37.3988 </t>
  </si>
  <si>
    <t xml:space="preserve">C:\Users\andre\Desktop\REACTIV CEFAS\Anastrozole\Anastrozole/20201126_Cefas_Test7_Run3/Plate 2/@20/C11_03.tif </t>
  </si>
  <si>
    <t xml:space="preserve"> 35.9429 </t>
  </si>
  <si>
    <t xml:space="preserve">C:\Users\andre\Desktop\REACTIV CEFAS\Anastrozole\Anastrozole/20201126_Cefas_Test7_Run3/Plate 2/@20/D11_01.tif </t>
  </si>
  <si>
    <t xml:space="preserve"> 38.6475 </t>
  </si>
  <si>
    <t xml:space="preserve">C:\Users\andre\Desktop\REACTIV CEFAS\Anastrozole\Anastrozole/20201126_Cefas_Test7_Run3/Plate 2/@20/D11_02.tif </t>
  </si>
  <si>
    <t xml:space="preserve"> 37.1173 </t>
  </si>
  <si>
    <t xml:space="preserve">C:\Users\andre\Desktop\REACTIV CEFAS\Anastrozole\Anastrozole/20201126_Cefas_Test7_Run3/Plate 2/@20/D11_03.tif </t>
  </si>
  <si>
    <t xml:space="preserve"> 38.0219 </t>
  </si>
  <si>
    <t>C:\Users\andre\Desktop\REACTIV CEFAS\Anastrozole\Anastrozole/20201126_Cefas_Test7_Run3/Plate 2/@20/E11_01- exclu.tif</t>
  </si>
  <si>
    <t>C:\Users\andre\Desktop\REACTIV CEFAS\Anastrozole\Anastrozole/20201126_Cefas_Test7_Run3/Plate 2/@20/E11_02- exclu.tif</t>
  </si>
  <si>
    <t>C:\Users\andre\Desktop\REACTIV CEFAS\Anastrozole\Anastrozole/20201126_Cefas_Test7_Run3/Plate 2/@20/E11_03- exclu.tif</t>
  </si>
  <si>
    <t>C:\Users\andre\Desktop\REACTIV CEFAS\Anastrozole\Anastrozole/20201126_Cefas_Test7_Run3/Plate 2/@20/F11_01- exclu.tif</t>
  </si>
  <si>
    <t xml:space="preserve">C:\Users\andre\Desktop\REACTIV CEFAS\Anastrozole\Anastrozole/20201126_Cefas_Test7_Run3/Plate 2/@20/F11_02.tif </t>
  </si>
  <si>
    <t xml:space="preserve"> 38.4247 </t>
  </si>
  <si>
    <t xml:space="preserve">C:\Users\andre\Desktop\REACTIV CEFAS\Anastrozole\Anastrozole/20201126_Cefas_Test7_Run3/Plate 2/@20/F11_03.tif </t>
  </si>
  <si>
    <t xml:space="preserve"> 37.8531 </t>
  </si>
  <si>
    <t xml:space="preserve">C:\Users\andre\Desktop\REACTIV CEFAS\Anastrozole\Anastrozole/20201126_Cefas_Test7_Run3/Plate 2/@20/G11_01.tif </t>
  </si>
  <si>
    <t xml:space="preserve"> 43.1763 </t>
  </si>
  <si>
    <t xml:space="preserve">C:\Users\andre\Desktop\REACTIV CEFAS\Anastrozole\Anastrozole/20201126_Cefas_Test7_Run3/Plate 2/@20/G11_02.tif </t>
  </si>
  <si>
    <t xml:space="preserve"> 43.3326 </t>
  </si>
  <si>
    <t xml:space="preserve">C:\Users\andre\Desktop\REACTIV CEFAS\Anastrozole\Anastrozole/20201126_Cefas_Test7_Run3/Plate 2/@20/G11_03.tif </t>
  </si>
  <si>
    <t xml:space="preserve"> 45.0111 </t>
  </si>
  <si>
    <t xml:space="preserve">C:\Users\andre\Desktop\REACTIV CEFAS\Anastrozole\Anastrozole/20201126_Cefas_Test7_Run3/Plate 2/@20/H11_01.tif </t>
  </si>
  <si>
    <t xml:space="preserve"> 37.0872 </t>
  </si>
  <si>
    <t xml:space="preserve">C:\Users\andre\Desktop\REACTIV CEFAS\Anastrozole\Anastrozole/20201126_Cefas_Test7_Run3/Plate 2/@20/H11_02.tif </t>
  </si>
  <si>
    <t xml:space="preserve"> 34.9753 </t>
  </si>
  <si>
    <t xml:space="preserve">C:\Users\andre\Desktop\REACTIV CEFAS\Anastrozole\Anastrozole/20201126_Cefas_Test7_Run3/Plate 2/@20/H11_03.tif </t>
  </si>
  <si>
    <t xml:space="preserve"> 35.3333 </t>
  </si>
  <si>
    <t xml:space="preserve">C:\Users\andre\Desktop\REACTIV CEFAS\Anastrozole\Anastrozole/20201126_Cefas_Test7_Run3/Plate 2/@20/ </t>
  </si>
  <si>
    <t xml:space="preserve"> 36.5332 </t>
  </si>
  <si>
    <t xml:space="preserve"> 8.4902 </t>
  </si>
  <si>
    <t xml:space="preserve"> 246337.458 </t>
  </si>
  <si>
    <t xml:space="preserve"> 156664.104 </t>
  </si>
  <si>
    <t xml:space="preserve">C:\Users\andre\Desktop\REACTIV CEFAS\Anastrozole\Anastrozole/20201126_Cefas_Test7_Run3/Plate 2/@21/A12_01.tif </t>
  </si>
  <si>
    <t xml:space="preserve"> 9409.0042 </t>
  </si>
  <si>
    <t xml:space="preserve"> 40.4759 </t>
  </si>
  <si>
    <t xml:space="preserve">C:\Users\andre\Desktop\REACTIV CEFAS\Anastrozole\Anastrozole/20201126_Cefas_Test7_Run3/Plate 2/@21/A12_02.tif </t>
  </si>
  <si>
    <t xml:space="preserve"> 48.2376 </t>
  </si>
  <si>
    <t xml:space="preserve">C:\Users\andre\Desktop\REACTIV CEFAS\Anastrozole\Anastrozole/20201126_Cefas_Test7_Run3/Plate 2/@21/A12_03.tif </t>
  </si>
  <si>
    <t xml:space="preserve"> 40.4136 </t>
  </si>
  <si>
    <t xml:space="preserve">C:\Users\andre\Desktop\REACTIV CEFAS\Anastrozole\Anastrozole/20201126_Cefas_Test7_Run3/Plate 2/@21/B12_01.tif </t>
  </si>
  <si>
    <t xml:space="preserve"> 36.5963 </t>
  </si>
  <si>
    <t xml:space="preserve">C:\Users\andre\Desktop\REACTIV CEFAS\Anastrozole\Anastrozole/20201126_Cefas_Test7_Run3/Plate 2/@21/B12_02.tif </t>
  </si>
  <si>
    <t xml:space="preserve"> 36.5794 </t>
  </si>
  <si>
    <t xml:space="preserve">C:\Users\andre\Desktop\REACTIV CEFAS\Anastrozole\Anastrozole/20201126_Cefas_Test7_Run3/Plate 2/@21/B12_03.tif </t>
  </si>
  <si>
    <t xml:space="preserve"> 37.9424 </t>
  </si>
  <si>
    <t xml:space="preserve">C:\Users\andre\Desktop\REACTIV CEFAS\Anastrozole\Anastrozole/20201126_Cefas_Test7_Run3/Plate 2/@21/C12_01.tif </t>
  </si>
  <si>
    <t xml:space="preserve"> 39.6059 </t>
  </si>
  <si>
    <t xml:space="preserve">C:\Users\andre\Desktop\REACTIV CEFAS\Anastrozole\Anastrozole/20201126_Cefas_Test7_Run3/Plate 2/@21/C12_02.tif </t>
  </si>
  <si>
    <t xml:space="preserve"> 35.258 </t>
  </si>
  <si>
    <t xml:space="preserve">C:\Users\andre\Desktop\REACTIV CEFAS\Anastrozole\Anastrozole/20201126_Cefas_Test7_Run3/Plate 2/@21/C12_03.tif </t>
  </si>
  <si>
    <t xml:space="preserve"> 35.0421 </t>
  </si>
  <si>
    <t xml:space="preserve">C:\Users\andre\Desktop\REACTIV CEFAS\Anastrozole\Anastrozole/20201126_Cefas_Test7_Run3/Plate 2/@21/D12_01.tif </t>
  </si>
  <si>
    <t xml:space="preserve">C:\Users\andre\Desktop\REACTIV CEFAS\Anastrozole\Anastrozole/20201126_Cefas_Test7_Run3/Plate 2/@21/D12_02.tif </t>
  </si>
  <si>
    <t xml:space="preserve"> 11485.474 </t>
  </si>
  <si>
    <t xml:space="preserve"> 43.6497 </t>
  </si>
  <si>
    <t xml:space="preserve">C:\Users\andre\Desktop\REACTIV CEFAS\Anastrozole\Anastrozole/20201126_Cefas_Test7_Run3/Plate 2/@21/D12_03.tif </t>
  </si>
  <si>
    <t xml:space="preserve"> 12285.7801 </t>
  </si>
  <si>
    <t xml:space="preserve"> 47.7975 </t>
  </si>
  <si>
    <t xml:space="preserve">C:\Users\andre\Desktop\REACTIV CEFAS\Anastrozole\Anastrozole/20201126_Cefas_Test7_Run3/Plate 2/@21/E12_01.tif </t>
  </si>
  <si>
    <t xml:space="preserve">C:\Users\andre\Desktop\REACTIV CEFAS\Anastrozole\Anastrozole/20201126_Cefas_Test7_Run3/Plate 2/@21/E12_02.tif </t>
  </si>
  <si>
    <t xml:space="preserve"> 34.7358 </t>
  </si>
  <si>
    <t xml:space="preserve">C:\Users\andre\Desktop\REACTIV CEFAS\Anastrozole\Anastrozole/20201126_Cefas_Test7_Run3/Plate 2/@21/E12_03.tif </t>
  </si>
  <si>
    <t xml:space="preserve"> 36.3032 </t>
  </si>
  <si>
    <t xml:space="preserve">C:\Users\andre\Desktop\REACTIV CEFAS\Anastrozole\Anastrozole/20201126_Cefas_Test7_Run3/Plate 2/@21/F12_01.tif </t>
  </si>
  <si>
    <t xml:space="preserve">C:\Users\andre\Desktop\REACTIV CEFAS\Anastrozole\Anastrozole/20201126_Cefas_Test7_Run3/Plate 2/@21/F12_02.tif </t>
  </si>
  <si>
    <t xml:space="preserve"> 37.6872 </t>
  </si>
  <si>
    <t xml:space="preserve">C:\Users\andre\Desktop\REACTIV CEFAS\Anastrozole\Anastrozole/20201126_Cefas_Test7_Run3/Plate 2/@21/F12_03.tif </t>
  </si>
  <si>
    <t xml:space="preserve"> 8587.0682 </t>
  </si>
  <si>
    <t xml:space="preserve"> 38.9547 </t>
  </si>
  <si>
    <t xml:space="preserve">C:\Users\andre\Desktop\REACTIV CEFAS\Anastrozole\Anastrozole/20201126_Cefas_Test7_Run3/Plate 2/@21/G12_01.tif </t>
  </si>
  <si>
    <t xml:space="preserve"> 37.1709 </t>
  </si>
  <si>
    <t xml:space="preserve">C:\Users\andre\Desktop\REACTIV CEFAS\Anastrozole\Anastrozole/20201126_Cefas_Test7_Run3/Plate 2/@21/G12_02.tif </t>
  </si>
  <si>
    <t xml:space="preserve"> 37.2857 </t>
  </si>
  <si>
    <t xml:space="preserve">C:\Users\andre\Desktop\REACTIV CEFAS\Anastrozole\Anastrozole/20201126_Cefas_Test7_Run3/Plate 2/@21/G12_03.tif </t>
  </si>
  <si>
    <t xml:space="preserve"> 36.6602 </t>
  </si>
  <si>
    <t xml:space="preserve">C:\Users\andre\Desktop\REACTIV CEFAS\Anastrozole\Anastrozole/20201126_Cefas_Test7_Run3/Plate 2/@21/H12_01.tif </t>
  </si>
  <si>
    <t xml:space="preserve"> 5645.4025 </t>
  </si>
  <si>
    <t xml:space="preserve"> 37.0728 </t>
  </si>
  <si>
    <t xml:space="preserve">C:\Users\andre\Desktop\REACTIV CEFAS\Anastrozole\Anastrozole/20201126_Cefas_Test7_Run3/Plate 2/@21/H12_02.tif </t>
  </si>
  <si>
    <t xml:space="preserve"> 39.3237 </t>
  </si>
  <si>
    <t xml:space="preserve">C:\Users\andre\Desktop\REACTIV CEFAS\Anastrozole\Anastrozole/20201126_Cefas_Test7_Run3/Plate 2/@21/H12_03.tif </t>
  </si>
  <si>
    <t xml:space="preserve"> 5991.4808 </t>
  </si>
  <si>
    <t xml:space="preserve"> 37.7834 </t>
  </si>
  <si>
    <t xml:space="preserve">C:\Users\andre\Desktop\REACTIV CEFAS\Anastrozole\Anastrozole/20201126_Cefas_Test7_Run3/Plate 2/@21/ </t>
  </si>
  <si>
    <t xml:space="preserve"> 36.6698 </t>
  </si>
  <si>
    <t xml:space="preserve"> 8.7464 </t>
  </si>
  <si>
    <t xml:space="preserve"> 247387.417 </t>
  </si>
  <si>
    <t xml:space="preserve"> 168020.95 </t>
  </si>
  <si>
    <t xml:space="preserve">C:\Users\andre\Desktop\REACTIV CEFAS\Anastrozole\Anastrozole/20201126_Cefas_Test7_Run3/Plate 2/@8/A2_01.tif </t>
  </si>
  <si>
    <t xml:space="preserve"> 9041.296 </t>
  </si>
  <si>
    <t xml:space="preserve"> 39.0837 </t>
  </si>
  <si>
    <t xml:space="preserve">C:\Users\andre\Desktop\REACTIV CEFAS\Anastrozole\Anastrozole/20201126_Cefas_Test7_Run3/Plate 2/@8/A2_02.tif </t>
  </si>
  <si>
    <t xml:space="preserve"> 31.8018 </t>
  </si>
  <si>
    <t xml:space="preserve">C:\Users\andre\Desktop\REACTIV CEFAS\Anastrozole\Anastrozole/20201126_Cefas_Test7_Run3/Plate 2/@8/A2_03.tif </t>
  </si>
  <si>
    <t xml:space="preserve"> 8132.8404 </t>
  </si>
  <si>
    <t xml:space="preserve"> 37.9628 </t>
  </si>
  <si>
    <t xml:space="preserve">C:\Users\andre\Desktop\REACTIV CEFAS\Anastrozole\Anastrozole/20201126_Cefas_Test7_Run3/Plate 2/@8/B2_01.tif </t>
  </si>
  <si>
    <t xml:space="preserve"> 38.4206 </t>
  </si>
  <si>
    <t xml:space="preserve">C:\Users\andre\Desktop\REACTIV CEFAS\Anastrozole\Anastrozole/20201126_Cefas_Test7_Run3/Plate 2/@8/B2_02.tif </t>
  </si>
  <si>
    <t xml:space="preserve"> 37.1109 </t>
  </si>
  <si>
    <t xml:space="preserve">C:\Users\andre\Desktop\REACTIV CEFAS\Anastrozole\Anastrozole/20201126_Cefas_Test7_Run3/Plate 2/@8/B2_03.tif </t>
  </si>
  <si>
    <t xml:space="preserve"> 37.845 </t>
  </si>
  <si>
    <t xml:space="preserve">C:\Users\andre\Desktop\REACTIV CEFAS\Anastrozole\Anastrozole/20201126_Cefas_Test7_Run3/Plate 2/@8/C2_01.tif </t>
  </si>
  <si>
    <t xml:space="preserve"> 45.9237 </t>
  </si>
  <si>
    <t xml:space="preserve">C:\Users\andre\Desktop\REACTIV CEFAS\Anastrozole\Anastrozole/20201126_Cefas_Test7_Run3/Plate 2/@8/C2_02.tif </t>
  </si>
  <si>
    <t xml:space="preserve"> 43.0238 </t>
  </si>
  <si>
    <t xml:space="preserve">C:\Users\andre\Desktop\REACTIV CEFAS\Anastrozole\Anastrozole/20201126_Cefas_Test7_Run3/Plate 2/@8/C2_03.tif </t>
  </si>
  <si>
    <t xml:space="preserve"> 35.5094 </t>
  </si>
  <si>
    <t xml:space="preserve">C:\Users\andre\Desktop\REACTIV CEFAS\Anastrozole\Anastrozole/20201126_Cefas_Test7_Run3/Plate 2/@8/D2_01.tif </t>
  </si>
  <si>
    <t xml:space="preserve"> 32.6132 </t>
  </si>
  <si>
    <t xml:space="preserve">C:\Users\andre\Desktop\REACTIV CEFAS\Anastrozole\Anastrozole/20201126_Cefas_Test7_Run3/Plate 2/@8/D2_02.tif </t>
  </si>
  <si>
    <t xml:space="preserve"> 33.3702 </t>
  </si>
  <si>
    <t xml:space="preserve">C:\Users\andre\Desktop\REACTIV CEFAS\Anastrozole\Anastrozole/20201126_Cefas_Test7_Run3/Plate 2/@8/D2_03.tif </t>
  </si>
  <si>
    <t xml:space="preserve"> 33.0206 </t>
  </si>
  <si>
    <t xml:space="preserve">C:\Users\andre\Desktop\REACTIV CEFAS\Anastrozole\Anastrozole/20201126_Cefas_Test7_Run3/Plate 2/@8/E2_01.tif </t>
  </si>
  <si>
    <t xml:space="preserve"> 38.249 </t>
  </si>
  <si>
    <t xml:space="preserve">C:\Users\andre\Desktop\REACTIV CEFAS\Anastrozole\Anastrozole/20201126_Cefas_Test7_Run3/Plate 2/@8/E2_02.tif </t>
  </si>
  <si>
    <t xml:space="preserve"> 34.875 </t>
  </si>
  <si>
    <t xml:space="preserve">C:\Users\andre\Desktop\REACTIV CEFAS\Anastrozole\Anastrozole/20201126_Cefas_Test7_Run3/Plate 2/@8/E2_03.tif </t>
  </si>
  <si>
    <t xml:space="preserve"> 38.8005 </t>
  </si>
  <si>
    <t xml:space="preserve">C:\Users\andre\Desktop\REACTIV CEFAS\Anastrozole\Anastrozole/20201126_Cefas_Test7_Run3/Plate 2/@8/F2_01.tif </t>
  </si>
  <si>
    <t xml:space="preserve"> 39.8879 </t>
  </si>
  <si>
    <t xml:space="preserve">C:\Users\andre\Desktop\REACTIV CEFAS\Anastrozole\Anastrozole/20201126_Cefas_Test7_Run3/Plate 2/@8/F2_02.tif </t>
  </si>
  <si>
    <t xml:space="preserve"> 40.7124 </t>
  </si>
  <si>
    <t xml:space="preserve">C:\Users\andre\Desktop\REACTIV CEFAS\Anastrozole\Anastrozole/20201126_Cefas_Test7_Run3/Plate 2/@8/F2_03.tif </t>
  </si>
  <si>
    <t xml:space="preserve"> 37.365 </t>
  </si>
  <si>
    <t xml:space="preserve">C:\Users\andre\Desktop\REACTIV CEFAS\Anastrozole\Anastrozole/20201126_Cefas_Test7_Run3/Plate 2/@8/G2_01.tif </t>
  </si>
  <si>
    <t xml:space="preserve">C:\Users\andre\Desktop\REACTIV CEFAS\Anastrozole\Anastrozole/20201126_Cefas_Test7_Run3/Plate 2/@8/G2_02.tif </t>
  </si>
  <si>
    <t xml:space="preserve"> 39.1392 </t>
  </si>
  <si>
    <t xml:space="preserve">C:\Users\andre\Desktop\REACTIV CEFAS\Anastrozole\Anastrozole/20201126_Cefas_Test7_Run3/Plate 2/@8/G2_03.tif </t>
  </si>
  <si>
    <t xml:space="preserve"> 36.2824 </t>
  </si>
  <si>
    <t xml:space="preserve">C:\Users\andre\Desktop\REACTIV CEFAS\Anastrozole\Anastrozole/20201126_Cefas_Test7_Run3/Plate 2/@8/H2_01.tif </t>
  </si>
  <si>
    <t xml:space="preserve"> 39.4473 </t>
  </si>
  <si>
    <t xml:space="preserve">C:\Users\andre\Desktop\REACTIV CEFAS\Anastrozole\Anastrozole/20201126_Cefas_Test7_Run3/Plate 2/@8/H2_02.tif </t>
  </si>
  <si>
    <t xml:space="preserve"> 42.4893 </t>
  </si>
  <si>
    <t xml:space="preserve">C:\Users\andre\Desktop\REACTIV CEFAS\Anastrozole\Anastrozole/20201126_Cefas_Test7_Run3/Plate 2/@8/H2_03.tif </t>
  </si>
  <si>
    <t xml:space="preserve"> 41.2799 </t>
  </si>
  <si>
    <t xml:space="preserve">C:\Users\andre\Desktop\REACTIV CEFAS\Anastrozole\Anastrozole/20201126_Cefas_Test7_Run3/Plate 2/@8/ </t>
  </si>
  <si>
    <t xml:space="preserve"> 37.84 </t>
  </si>
  <si>
    <t xml:space="preserve"> 3.5196 </t>
  </si>
  <si>
    <t xml:space="preserve"> 231047.833 </t>
  </si>
  <si>
    <t xml:space="preserve"> 131758.158 </t>
  </si>
  <si>
    <t xml:space="preserve">C:\Users\andre\Desktop\REACTIV CEFAS\Anastrozole\Anastrozole/20201126_Cefas_Test7_Run3/Plate 2/@9/A3_01.tif </t>
  </si>
  <si>
    <t xml:space="preserve"> 40.201 </t>
  </si>
  <si>
    <t>C:\Users\andre\Desktop\REACTIV CEFAS\Anastrozole\Anastrozole/20201126_Cefas_Test7_Run3/Plate 2/@9/A3_02- exclu.tif</t>
  </si>
  <si>
    <t>C:\Users\andre\Desktop\REACTIV CEFAS\Anastrozole\Anastrozole/20201126_Cefas_Test7_Run3/Plate 2/@9/A3_03- exclu.tif</t>
  </si>
  <si>
    <t xml:space="preserve">C:\Users\andre\Desktop\REACTIV CEFAS\Anastrozole\Anastrozole/20201126_Cefas_Test7_Run3/Plate 2/@9/B3_01.tif </t>
  </si>
  <si>
    <t xml:space="preserve"> 41.6888 </t>
  </si>
  <si>
    <t xml:space="preserve">C:\Users\andre\Desktop\REACTIV CEFAS\Anastrozole\Anastrozole/20201126_Cefas_Test7_Run3/Plate 2/@9/B3_02.tif </t>
  </si>
  <si>
    <t xml:space="preserve"> 39.2933 </t>
  </si>
  <si>
    <t xml:space="preserve">C:\Users\andre\Desktop\REACTIV CEFAS\Anastrozole\Anastrozole/20201126_Cefas_Test7_Run3/Plate 2/@9/B3_03.tif </t>
  </si>
  <si>
    <t xml:space="preserve">C:\Users\andre\Desktop\REACTIV CEFAS\Anastrozole\Anastrozole/20201126_Cefas_Test7_Run3/Plate 2/@9/C3_01.tif </t>
  </si>
  <si>
    <t xml:space="preserve"> 6402.4488 </t>
  </si>
  <si>
    <t xml:space="preserve"> 34.2095 </t>
  </si>
  <si>
    <t xml:space="preserve">C:\Users\andre\Desktop\REACTIV CEFAS\Anastrozole\Anastrozole/20201126_Cefas_Test7_Run3/Plate 2/@9/C3_02.tif </t>
  </si>
  <si>
    <t xml:space="preserve"> 33.7953 </t>
  </si>
  <si>
    <t>C:\Users\andre\Desktop\REACTIV CEFAS\Anastrozole\Anastrozole/20201126_Cefas_Test7_Run3/Plate 2/@9/C3_03- exclu.tif</t>
  </si>
  <si>
    <t xml:space="preserve">C:\Users\andre\Desktop\REACTIV CEFAS\Anastrozole\Anastrozole/20201126_Cefas_Test7_Run3/Plate 2/@9/D3_01.tif </t>
  </si>
  <si>
    <t xml:space="preserve"> 13432.1646 </t>
  </si>
  <si>
    <t xml:space="preserve"> 43.7118 </t>
  </si>
  <si>
    <t xml:space="preserve">C:\Users\andre\Desktop\REACTIV CEFAS\Anastrozole\Anastrozole/20201126_Cefas_Test7_Run3/Plate 2/@9/D3_02.tif </t>
  </si>
  <si>
    <t xml:space="preserve"> 35.539 </t>
  </si>
  <si>
    <t xml:space="preserve">C:\Users\andre\Desktop\REACTIV CEFAS\Anastrozole\Anastrozole/20201126_Cefas_Test7_Run3/Plate 2/@9/D3_03.tif </t>
  </si>
  <si>
    <t xml:space="preserve"> 12523.709 </t>
  </si>
  <si>
    <t xml:space="preserve"> 42.1399 </t>
  </si>
  <si>
    <t xml:space="preserve">C:\Users\andre\Desktop\REACTIV CEFAS\Anastrozole\Anastrozole/20201126_Cefas_Test7_Run3/Plate 2/@9/E3_01.tif </t>
  </si>
  <si>
    <t xml:space="preserve"> 34.5899 </t>
  </si>
  <si>
    <t xml:space="preserve">C:\Users\andre\Desktop\REACTIV CEFAS\Anastrozole\Anastrozole/20201126_Cefas_Test7_Run3/Plate 2/@9/E3_02.tif </t>
  </si>
  <si>
    <t xml:space="preserve"> 35.1067 </t>
  </si>
  <si>
    <t xml:space="preserve">C:\Users\andre\Desktop\REACTIV CEFAS\Anastrozole\Anastrozole/20201126_Cefas_Test7_Run3/Plate 2/@9/E3_03.tif </t>
  </si>
  <si>
    <t xml:space="preserve"> 4520.648 </t>
  </si>
  <si>
    <t xml:space="preserve"> 35.8947 </t>
  </si>
  <si>
    <t xml:space="preserve">C:\Users\andre\Desktop\REACTIV CEFAS\Anastrozole\Anastrozole/20201126_Cefas_Test7_Run3/Plate 2/@9/F3_01.tif </t>
  </si>
  <si>
    <t xml:space="preserve"> 6510.5983 </t>
  </si>
  <si>
    <t xml:space="preserve"> 41.8904 </t>
  </si>
  <si>
    <t xml:space="preserve">C:\Users\andre\Desktop\REACTIV CEFAS\Anastrozole\Anastrozole/20201126_Cefas_Test7_Run3/Plate 2/@9/F3_02.tif </t>
  </si>
  <si>
    <t xml:space="preserve"> 11593.6235 </t>
  </si>
  <si>
    <t xml:space="preserve"> 42.153 </t>
  </si>
  <si>
    <t xml:space="preserve">C:\Users\andre\Desktop\REACTIV CEFAS\Anastrozole\Anastrozole/20201126_Cefas_Test7_Run3/Plate 2/@9/F3_03.tif </t>
  </si>
  <si>
    <t xml:space="preserve"> 11420.5844 </t>
  </si>
  <si>
    <t xml:space="preserve"> 41.3258 </t>
  </si>
  <si>
    <t xml:space="preserve">C:\Users\andre\Desktop\REACTIV CEFAS\Anastrozole\Anastrozole/20201126_Cefas_Test7_Run3/Plate 2/@9/G3_01.tif </t>
  </si>
  <si>
    <t xml:space="preserve"> 9971.3814 </t>
  </si>
  <si>
    <t xml:space="preserve"> 39.0933 </t>
  </si>
  <si>
    <t xml:space="preserve">C:\Users\andre\Desktop\REACTIV CEFAS\Anastrozole\Anastrozole/20201126_Cefas_Test7_Run3/Plate 2/@9/G3_02.tif </t>
  </si>
  <si>
    <t xml:space="preserve"> 32.16 </t>
  </si>
  <si>
    <t xml:space="preserve">C:\Users\andre\Desktop\REACTIV CEFAS\Anastrozole\Anastrozole/20201126_Cefas_Test7_Run3/Plate 2/@9/G3_03.tif </t>
  </si>
  <si>
    <t xml:space="preserve"> 31.5567 </t>
  </si>
  <si>
    <t xml:space="preserve">C:\Users\andre\Desktop\REACTIV CEFAS\Anastrozole\Anastrozole/20201126_Cefas_Test7_Run3/Plate 2/@9/H3_01.tif </t>
  </si>
  <si>
    <t xml:space="preserve"> 41.2989 </t>
  </si>
  <si>
    <t xml:space="preserve">C:\Users\andre\Desktop\REACTIV CEFAS\Anastrozole\Anastrozole/20201126_Cefas_Test7_Run3/Plate 2/@9/H3_02.tif </t>
  </si>
  <si>
    <t xml:space="preserve"> 42.761 </t>
  </si>
  <si>
    <t xml:space="preserve">C:\Users\andre\Desktop\REACTIV CEFAS\Anastrozole\Anastrozole/20201126_Cefas_Test7_Run3/Plate 2/@9/H3_03.tif </t>
  </si>
  <si>
    <t xml:space="preserve"> 12999.5667 </t>
  </si>
  <si>
    <t xml:space="preserve"> 45.8453 </t>
  </si>
  <si>
    <t xml:space="preserve">C:\Users\andre\Desktop\REACTIV CEFAS\Anastrozole\Anastrozole/20201126_Cefas_Test7_Run3/Plate 2/@9/ </t>
  </si>
  <si>
    <t xml:space="preserve"> 38.4667 </t>
  </si>
  <si>
    <t xml:space="preserve"> 5.1424 </t>
  </si>
  <si>
    <t xml:space="preserve"> 297702.083 </t>
  </si>
  <si>
    <t xml:space="preserve"> 206944.288 </t>
  </si>
  <si>
    <t>ns</t>
  </si>
  <si>
    <t>&gt;0,99</t>
  </si>
  <si>
    <t>*</t>
  </si>
  <si>
    <t>***</t>
  </si>
  <si>
    <t>&lt;0,001</t>
  </si>
  <si>
    <t>Kruskal-Wallis</t>
  </si>
  <si>
    <t>ANOVA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</si>
</sst>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pivotButton="1" applyAlignment="1">
      <alignment horizont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alignment horizontal="center"/>
    </dxf>
    <dxf>
      <alignment horizontal="center"/>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0.18386208076814539</c:v>
                  </c:pt>
                  <c:pt idx="2">
                    <c:v>0.19331220408133928</c:v>
                  </c:pt>
                  <c:pt idx="3">
                    <c:v>2.6052787633910078E-2</c:v>
                  </c:pt>
                  <c:pt idx="4">
                    <c:v>5.323483182953672E-2</c:v>
                  </c:pt>
                  <c:pt idx="5">
                    <c:v>2.4247201012498602E-2</c:v>
                  </c:pt>
                  <c:pt idx="6">
                    <c:v>2.9004670652293441E-2</c:v>
                  </c:pt>
                  <c:pt idx="7">
                    <c:v>2.5818306106412007E-2</c:v>
                  </c:pt>
                  <c:pt idx="8">
                    <c:v>1.9837198880053926E-2</c:v>
                  </c:pt>
                </c:numCache>
              </c:numRef>
            </c:plus>
            <c:minus>
              <c:numRef>
                <c:f>'R1'!$N$48:$V$48</c:f>
                <c:numCache>
                  <c:formatCode>General</c:formatCode>
                  <c:ptCount val="9"/>
                  <c:pt idx="0">
                    <c:v>0</c:v>
                  </c:pt>
                  <c:pt idx="1">
                    <c:v>0.18386208076814539</c:v>
                  </c:pt>
                  <c:pt idx="2">
                    <c:v>0.19331220408133928</c:v>
                  </c:pt>
                  <c:pt idx="3">
                    <c:v>2.6052787633910078E-2</c:v>
                  </c:pt>
                  <c:pt idx="4">
                    <c:v>5.323483182953672E-2</c:v>
                  </c:pt>
                  <c:pt idx="5">
                    <c:v>2.4247201012498602E-2</c:v>
                  </c:pt>
                  <c:pt idx="6">
                    <c:v>2.9004670652293441E-2</c:v>
                  </c:pt>
                  <c:pt idx="7">
                    <c:v>2.5818306106412007E-2</c:v>
                  </c:pt>
                  <c:pt idx="8">
                    <c:v>1.9837198880053926E-2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AN-0.18mg/L</c:v>
                </c:pt>
                <c:pt idx="8">
                  <c:v>AN-0.36mg/L</c:v>
                </c:pt>
                <c:pt idx="9">
                  <c:v>AN-0.73mg/L</c:v>
                </c:pt>
                <c:pt idx="10">
                  <c:v>AN-1.45mg/L</c:v>
                </c:pt>
                <c:pt idx="11">
                  <c:v>AN-2.9mg/L</c:v>
                </c:pt>
                <c:pt idx="13">
                  <c:v>Testo -30µg/L</c:v>
                </c:pt>
                <c:pt idx="14">
                  <c:v>Testo 30µg/L + EE2 -64ng/L</c:v>
                </c:pt>
                <c:pt idx="15">
                  <c:v>Testo 30µg/L + FAD-10mg/L</c:v>
                </c:pt>
                <c:pt idx="16">
                  <c:v>AN-0,18mg/L + Testostérone</c:v>
                </c:pt>
                <c:pt idx="17">
                  <c:v>AN-0,36mg/L + Testostérone</c:v>
                </c:pt>
                <c:pt idx="18">
                  <c:v>AN-0,73mg/L + Testostérone</c:v>
                </c:pt>
                <c:pt idx="19">
                  <c:v>AN-1,45mg/L + Testostérone</c:v>
                </c:pt>
                <c:pt idx="20">
                  <c:v>AN-2,9mg/L + Testostérone</c:v>
                </c:pt>
              </c:strCache>
            </c:strRef>
          </c:cat>
          <c:val>
            <c:numRef>
              <c:f>'R1'!$B$53:$V$53</c:f>
              <c:numCache>
                <c:formatCode>0.0000</c:formatCode>
                <c:ptCount val="21"/>
                <c:pt idx="0">
                  <c:v>0.11036781585308085</c:v>
                </c:pt>
                <c:pt idx="1">
                  <c:v>0.13336899930394627</c:v>
                </c:pt>
                <c:pt idx="2">
                  <c:v>6.7531125929509384E-2</c:v>
                </c:pt>
                <c:pt idx="3">
                  <c:v>0.30159458519550525</c:v>
                </c:pt>
                <c:pt idx="4">
                  <c:v>1.3489165508421341</c:v>
                </c:pt>
                <c:pt idx="5">
                  <c:v>1.6044891506844636</c:v>
                </c:pt>
                <c:pt idx="6">
                  <c:v>2.4302781117429593</c:v>
                </c:pt>
                <c:pt idx="7">
                  <c:v>7.25471934215033E-2</c:v>
                </c:pt>
                <c:pt idx="8">
                  <c:v>7.6190087750589497E-2</c:v>
                </c:pt>
                <c:pt idx="9">
                  <c:v>8.4972906379942065E-2</c:v>
                </c:pt>
                <c:pt idx="10">
                  <c:v>0.10538104914012122</c:v>
                </c:pt>
                <c:pt idx="11">
                  <c:v>7.2552878457885883E-2</c:v>
                </c:pt>
                <c:pt idx="13">
                  <c:v>1</c:v>
                </c:pt>
                <c:pt idx="14">
                  <c:v>2.4369516042169894</c:v>
                </c:pt>
                <c:pt idx="15">
                  <c:v>0.13050231970803294</c:v>
                </c:pt>
                <c:pt idx="16">
                  <c:v>0.15360538967031734</c:v>
                </c:pt>
                <c:pt idx="17">
                  <c:v>0.10588717811580621</c:v>
                </c:pt>
                <c:pt idx="18">
                  <c:v>0.12033190805786478</c:v>
                </c:pt>
                <c:pt idx="19">
                  <c:v>8.2744845871004682E-2</c:v>
                </c:pt>
                <c:pt idx="20">
                  <c:v>0.11351045659006498</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4.1061176253944204E-2</c:v>
                  </c:pt>
                  <c:pt idx="1">
                    <c:v>6.9638435479776967E-2</c:v>
                  </c:pt>
                  <c:pt idx="2">
                    <c:v>4.8680875976055256E-2</c:v>
                  </c:pt>
                  <c:pt idx="3">
                    <c:v>0.23452204391340875</c:v>
                  </c:pt>
                  <c:pt idx="4">
                    <c:v>0.24736871576310462</c:v>
                  </c:pt>
                  <c:pt idx="5">
                    <c:v>0.32558067784808692</c:v>
                  </c:pt>
                  <c:pt idx="6">
                    <c:v>0.28732964408023348</c:v>
                  </c:pt>
                  <c:pt idx="7">
                    <c:v>2.9251142311646851E-2</c:v>
                  </c:pt>
                  <c:pt idx="8">
                    <c:v>2.7524089487694744E-2</c:v>
                  </c:pt>
                  <c:pt idx="9">
                    <c:v>2.9989504512512987E-2</c:v>
                  </c:pt>
                  <c:pt idx="10">
                    <c:v>3.456178508955994E-2</c:v>
                  </c:pt>
                  <c:pt idx="11">
                    <c:v>6.4076218416865977E-2</c:v>
                  </c:pt>
                  <c:pt idx="13">
                    <c:v>0.17869100447860387</c:v>
                  </c:pt>
                  <c:pt idx="14">
                    <c:v>0.40359672418520665</c:v>
                  </c:pt>
                  <c:pt idx="15">
                    <c:v>4.9499890636947604E-2</c:v>
                  </c:pt>
                  <c:pt idx="16">
                    <c:v>4.1903274795572425E-2</c:v>
                  </c:pt>
                  <c:pt idx="17">
                    <c:v>3.7899866471236138E-2</c:v>
                  </c:pt>
                  <c:pt idx="18">
                    <c:v>7.7204558026064532E-2</c:v>
                  </c:pt>
                  <c:pt idx="19">
                    <c:v>4.826664807697692E-2</c:v>
                  </c:pt>
                  <c:pt idx="20">
                    <c:v>6.618715810892313E-2</c:v>
                  </c:pt>
                </c:numCache>
              </c:numRef>
            </c:plus>
            <c:minus>
              <c:numRef>
                <c:f>'R1'!$N$48:$V$48</c:f>
                <c:numCache>
                  <c:formatCode>General</c:formatCode>
                  <c:ptCount val="9"/>
                  <c:pt idx="0">
                    <c:v>0</c:v>
                  </c:pt>
                  <c:pt idx="1">
                    <c:v>0.18386208076814539</c:v>
                  </c:pt>
                  <c:pt idx="2">
                    <c:v>0.19331220408133928</c:v>
                  </c:pt>
                  <c:pt idx="3">
                    <c:v>2.6052787633910078E-2</c:v>
                  </c:pt>
                  <c:pt idx="4">
                    <c:v>5.323483182953672E-2</c:v>
                  </c:pt>
                  <c:pt idx="5">
                    <c:v>2.4247201012498602E-2</c:v>
                  </c:pt>
                  <c:pt idx="6">
                    <c:v>2.9004670652293441E-2</c:v>
                  </c:pt>
                  <c:pt idx="7">
                    <c:v>2.5818306106412007E-2</c:v>
                  </c:pt>
                  <c:pt idx="8">
                    <c:v>1.9837198880053926E-2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AN-0.18mg/L</c:v>
                </c:pt>
                <c:pt idx="8">
                  <c:v>AN-0.36mg/L</c:v>
                </c:pt>
                <c:pt idx="9">
                  <c:v>AN-0.73mg/L</c:v>
                </c:pt>
                <c:pt idx="10">
                  <c:v>AN-1.45mg/L</c:v>
                </c:pt>
                <c:pt idx="11">
                  <c:v>AN-2.9mg/L</c:v>
                </c:pt>
                <c:pt idx="13">
                  <c:v>Testo -30µg/L</c:v>
                </c:pt>
                <c:pt idx="14">
                  <c:v>Testo 30µg/L + EE2 -64ng/L</c:v>
                </c:pt>
                <c:pt idx="15">
                  <c:v>Testo 30µg/L + FAD-10mg/L</c:v>
                </c:pt>
                <c:pt idx="16">
                  <c:v>AN-0,18mg/L + Testostérone</c:v>
                </c:pt>
                <c:pt idx="17">
                  <c:v>AN-0,36mg/L + Testostérone</c:v>
                </c:pt>
                <c:pt idx="18">
                  <c:v>AN-0,73mg/L + Testostérone</c:v>
                </c:pt>
                <c:pt idx="19">
                  <c:v>AN-1,45mg/L + Testostérone</c:v>
                </c:pt>
                <c:pt idx="20">
                  <c:v>AN-2,9mg/L + Testostérone</c:v>
                </c:pt>
              </c:strCache>
            </c:strRef>
          </c:cat>
          <c:val>
            <c:numRef>
              <c:f>'R2'!$B$53:$V$53</c:f>
              <c:numCache>
                <c:formatCode>0.0000</c:formatCode>
                <c:ptCount val="21"/>
                <c:pt idx="0">
                  <c:v>0.2001901507846312</c:v>
                </c:pt>
                <c:pt idx="1">
                  <c:v>0.17785362333190982</c:v>
                </c:pt>
                <c:pt idx="2">
                  <c:v>0.18746566997144154</c:v>
                </c:pt>
                <c:pt idx="3">
                  <c:v>0.68661195390934526</c:v>
                </c:pt>
                <c:pt idx="4">
                  <c:v>1.7011239781513778</c:v>
                </c:pt>
                <c:pt idx="5">
                  <c:v>2.000096236853409</c:v>
                </c:pt>
                <c:pt idx="6">
                  <c:v>3.6187008359345954</c:v>
                </c:pt>
                <c:pt idx="7">
                  <c:v>0.10937426157107194</c:v>
                </c:pt>
                <c:pt idx="8">
                  <c:v>0.14982147978623161</c:v>
                </c:pt>
                <c:pt idx="9">
                  <c:v>0.12804503848904997</c:v>
                </c:pt>
                <c:pt idx="10">
                  <c:v>0.21890001070278714</c:v>
                </c:pt>
                <c:pt idx="11">
                  <c:v>0.29715531136639906</c:v>
                </c:pt>
                <c:pt idx="13">
                  <c:v>0.99999999999999978</c:v>
                </c:pt>
                <c:pt idx="14">
                  <c:v>2.8966358015934395</c:v>
                </c:pt>
                <c:pt idx="15">
                  <c:v>0.1647039610328207</c:v>
                </c:pt>
                <c:pt idx="16">
                  <c:v>0.14148409679711307</c:v>
                </c:pt>
                <c:pt idx="17">
                  <c:v>0.21839424664269833</c:v>
                </c:pt>
                <c:pt idx="18">
                  <c:v>0.17757908247657178</c:v>
                </c:pt>
                <c:pt idx="19">
                  <c:v>0.16478811200575499</c:v>
                </c:pt>
                <c:pt idx="20">
                  <c:v>0.22241421345074808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1.9712594214738061E-2</c:v>
                  </c:pt>
                  <c:pt idx="1">
                    <c:v>3.5211194236531344E-2</c:v>
                  </c:pt>
                  <c:pt idx="2">
                    <c:v>5.2924635219549925E-2</c:v>
                  </c:pt>
                  <c:pt idx="3">
                    <c:v>0.11131406608566702</c:v>
                  </c:pt>
                  <c:pt idx="4">
                    <c:v>0.11578037084141615</c:v>
                  </c:pt>
                  <c:pt idx="5">
                    <c:v>0.14224170561506297</c:v>
                  </c:pt>
                  <c:pt idx="6">
                    <c:v>0.17581371643084695</c:v>
                  </c:pt>
                  <c:pt idx="7">
                    <c:v>1.7832818341514442E-2</c:v>
                  </c:pt>
                  <c:pt idx="8">
                    <c:v>2.5187056032157786E-2</c:v>
                  </c:pt>
                  <c:pt idx="9">
                    <c:v>2.9984550074206813E-2</c:v>
                  </c:pt>
                  <c:pt idx="10">
                    <c:v>2.2586311373781646E-2</c:v>
                  </c:pt>
                  <c:pt idx="11">
                    <c:v>4.1307968989614224E-2</c:v>
                  </c:pt>
                  <c:pt idx="13">
                    <c:v>0.11803593582296638</c:v>
                  </c:pt>
                  <c:pt idx="14">
                    <c:v>9.7991459633174599E-2</c:v>
                  </c:pt>
                  <c:pt idx="15">
                    <c:v>2.7375559484098016E-2</c:v>
                  </c:pt>
                  <c:pt idx="16">
                    <c:v>2.9646178649652171E-2</c:v>
                  </c:pt>
                  <c:pt idx="17">
                    <c:v>2.273248426504533E-2</c:v>
                  </c:pt>
                  <c:pt idx="18">
                    <c:v>2.5430461284581391E-2</c:v>
                  </c:pt>
                  <c:pt idx="19">
                    <c:v>1.9552542894073783E-2</c:v>
                  </c:pt>
                  <c:pt idx="20">
                    <c:v>2.3315929899338346E-2</c:v>
                  </c:pt>
                </c:numCache>
              </c:numRef>
            </c:plus>
            <c:minus>
              <c:numRef>
                <c:f>'R1'!$N$48:$V$48</c:f>
                <c:numCache>
                  <c:formatCode>General</c:formatCode>
                  <c:ptCount val="9"/>
                  <c:pt idx="0">
                    <c:v>0</c:v>
                  </c:pt>
                  <c:pt idx="1">
                    <c:v>0.18386208076814539</c:v>
                  </c:pt>
                  <c:pt idx="2">
                    <c:v>0.19331220408133928</c:v>
                  </c:pt>
                  <c:pt idx="3">
                    <c:v>2.6052787633910078E-2</c:v>
                  </c:pt>
                  <c:pt idx="4">
                    <c:v>5.323483182953672E-2</c:v>
                  </c:pt>
                  <c:pt idx="5">
                    <c:v>2.4247201012498602E-2</c:v>
                  </c:pt>
                  <c:pt idx="6">
                    <c:v>2.9004670652293441E-2</c:v>
                  </c:pt>
                  <c:pt idx="7">
                    <c:v>2.5818306106412007E-2</c:v>
                  </c:pt>
                  <c:pt idx="8">
                    <c:v>1.9837198880053926E-2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AN-0.18mg/L</c:v>
                </c:pt>
                <c:pt idx="8">
                  <c:v>AN-0.36mg/L</c:v>
                </c:pt>
                <c:pt idx="9">
                  <c:v>AN-0.73mg/L</c:v>
                </c:pt>
                <c:pt idx="10">
                  <c:v>AN-1.45mg/L</c:v>
                </c:pt>
                <c:pt idx="11">
                  <c:v>AN-2.9mg/L</c:v>
                </c:pt>
                <c:pt idx="13">
                  <c:v>Testo -30µg/L</c:v>
                </c:pt>
                <c:pt idx="14">
                  <c:v>Testo 30µg/L + EE2 -64ng/L</c:v>
                </c:pt>
                <c:pt idx="15">
                  <c:v>Testo 30µg/L + FAD-10mg/L</c:v>
                </c:pt>
                <c:pt idx="16">
                  <c:v>AN-0,18mg/L + Testostérone</c:v>
                </c:pt>
                <c:pt idx="17">
                  <c:v>AN-0,36mg/L + Testostérone</c:v>
                </c:pt>
                <c:pt idx="18">
                  <c:v>AN-0,73mg/L + Testostérone</c:v>
                </c:pt>
                <c:pt idx="19">
                  <c:v>AN-1,45mg/L + Testostérone</c:v>
                </c:pt>
                <c:pt idx="20">
                  <c:v>AN-2,9mg/L + Testostérone</c:v>
                </c:pt>
              </c:strCache>
            </c:strRef>
          </c:cat>
          <c:val>
            <c:numRef>
              <c:f>'R3'!$B$53:$V$53</c:f>
              <c:numCache>
                <c:formatCode>0.0000</c:formatCode>
                <c:ptCount val="21"/>
                <c:pt idx="0">
                  <c:v>0.1225530837404032</c:v>
                </c:pt>
                <c:pt idx="1">
                  <c:v>0.14654218342894665</c:v>
                </c:pt>
                <c:pt idx="2">
                  <c:v>0.17932167237204305</c:v>
                </c:pt>
                <c:pt idx="3">
                  <c:v>0.61163280550269228</c:v>
                </c:pt>
                <c:pt idx="4">
                  <c:v>1.0466301338993642</c:v>
                </c:pt>
                <c:pt idx="5">
                  <c:v>1.6182714832640366</c:v>
                </c:pt>
                <c:pt idx="6">
                  <c:v>1.8478750239282851</c:v>
                </c:pt>
                <c:pt idx="7">
                  <c:v>0.11945611842216661</c:v>
                </c:pt>
                <c:pt idx="8">
                  <c:v>0.15262039875176103</c:v>
                </c:pt>
                <c:pt idx="9">
                  <c:v>0.11342194665492802</c:v>
                </c:pt>
                <c:pt idx="10">
                  <c:v>0.12865512502187099</c:v>
                </c:pt>
                <c:pt idx="11">
                  <c:v>0.12171811345209993</c:v>
                </c:pt>
                <c:pt idx="13">
                  <c:v>1</c:v>
                </c:pt>
                <c:pt idx="14">
                  <c:v>1.6603595006637935</c:v>
                </c:pt>
                <c:pt idx="15">
                  <c:v>0.13179615543814149</c:v>
                </c:pt>
                <c:pt idx="16">
                  <c:v>0.13185885476242784</c:v>
                </c:pt>
                <c:pt idx="17">
                  <c:v>0.10300109030073414</c:v>
                </c:pt>
                <c:pt idx="18">
                  <c:v>0.15114140129122908</c:v>
                </c:pt>
                <c:pt idx="19">
                  <c:v>0.12241544897563242</c:v>
                </c:pt>
                <c:pt idx="20">
                  <c:v>0.12790399336423353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5F99575E-925F-43EB-ABFA-829924BBE9C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2E881B9A-A4D7-4E77-B128-1B1902EA780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74017519-A7DD-4D2A-9542-44BA2A5D64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FFE0BB86-770D-4DA2-B433-698C9D68BD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4C28A31A-CDDA-4147-BE26-AED22BA9B9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A1E8360E-F7A9-46F7-9BF4-735DAFCB46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1E52041E-D00C-4A8E-B9A7-8258232743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09C18E55-7013-41B6-A002-DE3086531C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BC879A12-8F2A-4A7A-B95A-81F4DC5355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8121FCED-617D-46BA-812D-5778FE5209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835CFE7E-A6BD-4C44-AFB1-4BEFD7F569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EE094FBB-B24D-4BAF-81FF-54E51C22777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D2BAFFF2-EAAE-41EE-BCA9-85DE63485D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F65B2C42-D7E4-47BD-8C78-49C455385AD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077FA052-322E-434B-BACA-08DC807A321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5CD7F92E-6FFB-4229-8792-A5D7C23D3F2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4296F1BE-63AA-403D-AA86-EA19533111B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958D283B-9AF3-4CCC-A615-C457D1F007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1EB88A70-2367-4998-9BBF-B105EECECCD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17330413-4D07-4A07-AEF0-8C9DA91154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2.0298246589113982E-2</c:v>
                  </c:pt>
                  <c:pt idx="1">
                    <c:v>2.5850597842406269E-2</c:v>
                  </c:pt>
                  <c:pt idx="2">
                    <c:v>2.6502566298317039E-2</c:v>
                  </c:pt>
                  <c:pt idx="3">
                    <c:v>9.6001992281332674E-2</c:v>
                  </c:pt>
                  <c:pt idx="4">
                    <c:v>0.1306881408335393</c:v>
                  </c:pt>
                  <c:pt idx="5">
                    <c:v>0.15028097240531191</c:v>
                  </c:pt>
                  <c:pt idx="6">
                    <c:v>0.1975064653491235</c:v>
                  </c:pt>
                  <c:pt idx="7">
                    <c:v>1.5616719171114511E-2</c:v>
                  </c:pt>
                  <c:pt idx="8">
                    <c:v>1.5298896949720323E-2</c:v>
                  </c:pt>
                  <c:pt idx="9">
                    <c:v>1.5390019568728E-2</c:v>
                  </c:pt>
                  <c:pt idx="10">
                    <c:v>2.0349812818795519E-2</c:v>
                  </c:pt>
                  <c:pt idx="11">
                    <c:v>3.2326290832309187E-2</c:v>
                  </c:pt>
                  <c:pt idx="13">
                    <c:v>9.1017599504247801E-2</c:v>
                  </c:pt>
                  <c:pt idx="14">
                    <c:v>0.17907008855547116</c:v>
                  </c:pt>
                  <c:pt idx="15">
                    <c:v>1.9294725959008142E-2</c:v>
                  </c:pt>
                  <c:pt idx="16">
                    <c:v>2.3672902698199692E-2</c:v>
                  </c:pt>
                  <c:pt idx="17">
                    <c:v>1.9565377578026708E-2</c:v>
                  </c:pt>
                  <c:pt idx="18">
                    <c:v>2.6149167643992277E-2</c:v>
                  </c:pt>
                  <c:pt idx="19">
                    <c:v>1.9538513300581737E-2</c:v>
                  </c:pt>
                  <c:pt idx="20">
                    <c:v>2.2305918157464157E-2</c:v>
                  </c:pt>
                </c:numCache>
              </c:numRef>
            </c:plus>
            <c:minus>
              <c:numRef>
                <c:f>'pooled normalised values'!$B$76:$V$76</c:f>
                <c:numCache>
                  <c:formatCode>General</c:formatCode>
                  <c:ptCount val="21"/>
                  <c:pt idx="0">
                    <c:v>2.0298246589113982E-2</c:v>
                  </c:pt>
                  <c:pt idx="1">
                    <c:v>2.5850597842406269E-2</c:v>
                  </c:pt>
                  <c:pt idx="2">
                    <c:v>2.6502566298317039E-2</c:v>
                  </c:pt>
                  <c:pt idx="3">
                    <c:v>9.6001992281332674E-2</c:v>
                  </c:pt>
                  <c:pt idx="4">
                    <c:v>0.1306881408335393</c:v>
                  </c:pt>
                  <c:pt idx="5">
                    <c:v>0.15028097240531191</c:v>
                  </c:pt>
                  <c:pt idx="6">
                    <c:v>0.1975064653491235</c:v>
                  </c:pt>
                  <c:pt idx="7">
                    <c:v>1.5616719171114511E-2</c:v>
                  </c:pt>
                  <c:pt idx="8">
                    <c:v>1.5298896949720323E-2</c:v>
                  </c:pt>
                  <c:pt idx="9">
                    <c:v>1.5390019568728E-2</c:v>
                  </c:pt>
                  <c:pt idx="10">
                    <c:v>2.0349812818795519E-2</c:v>
                  </c:pt>
                  <c:pt idx="11">
                    <c:v>3.2326290832309187E-2</c:v>
                  </c:pt>
                  <c:pt idx="13">
                    <c:v>9.1017599504247801E-2</c:v>
                  </c:pt>
                  <c:pt idx="14">
                    <c:v>0.17907008855547116</c:v>
                  </c:pt>
                  <c:pt idx="15">
                    <c:v>1.9294725959008142E-2</c:v>
                  </c:pt>
                  <c:pt idx="16">
                    <c:v>2.3672902698199692E-2</c:v>
                  </c:pt>
                  <c:pt idx="17">
                    <c:v>1.9565377578026708E-2</c:v>
                  </c:pt>
                  <c:pt idx="18">
                    <c:v>2.6149167643992277E-2</c:v>
                  </c:pt>
                  <c:pt idx="19">
                    <c:v>1.9538513300581737E-2</c:v>
                  </c:pt>
                  <c:pt idx="20">
                    <c:v>2.2305918157464157E-2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AN-0.18mg/L</c:v>
                </c:pt>
                <c:pt idx="8">
                  <c:v>AN-0.36mg/L</c:v>
                </c:pt>
                <c:pt idx="9">
                  <c:v>AN-0.73mg/L</c:v>
                </c:pt>
                <c:pt idx="10">
                  <c:v>AN-1.45mg/L</c:v>
                </c:pt>
                <c:pt idx="11">
                  <c:v>AN-2.9mg/L</c:v>
                </c:pt>
                <c:pt idx="13">
                  <c:v>Testo -30µg/L</c:v>
                </c:pt>
                <c:pt idx="14">
                  <c:v>Testo 30µg/L + EE2 -64ng/L</c:v>
                </c:pt>
                <c:pt idx="15">
                  <c:v>Testo 30µg/L + FAD-10mg/L</c:v>
                </c:pt>
                <c:pt idx="16">
                  <c:v>AN-0,18mg/L + Testostérone</c:v>
                </c:pt>
                <c:pt idx="17">
                  <c:v>AN-0,36mg/L + Testostérone</c:v>
                </c:pt>
                <c:pt idx="18">
                  <c:v>AN-0,73mg/L + Testostérone</c:v>
                </c:pt>
                <c:pt idx="19">
                  <c:v>AN-1,45mg/L + Testostérone</c:v>
                </c:pt>
                <c:pt idx="20">
                  <c:v>AN-2,9mg/L + Testostérone</c:v>
                </c:pt>
              </c:strCache>
            </c:strRef>
          </c:cat>
          <c:val>
            <c:numRef>
              <c:f>'pooled normalised values'!$B$75:$V$75</c:f>
              <c:numCache>
                <c:formatCode>0.0000</c:formatCode>
                <c:ptCount val="21"/>
                <c:pt idx="0">
                  <c:v>0.14437035012603847</c:v>
                </c:pt>
                <c:pt idx="1">
                  <c:v>0.15148977500810923</c:v>
                </c:pt>
                <c:pt idx="2">
                  <c:v>0.14477282275766465</c:v>
                </c:pt>
                <c:pt idx="3">
                  <c:v>0.52987312831989786</c:v>
                </c:pt>
                <c:pt idx="4">
                  <c:v>1.3655568876309587</c:v>
                </c:pt>
                <c:pt idx="5">
                  <c:v>1.7462862383978803</c:v>
                </c:pt>
                <c:pt idx="6">
                  <c:v>2.5893969972570487</c:v>
                </c:pt>
                <c:pt idx="7">
                  <c:v>0.10045919113824726</c:v>
                </c:pt>
                <c:pt idx="8">
                  <c:v>0.12518409784880113</c:v>
                </c:pt>
                <c:pt idx="9">
                  <c:v>0.10881329717464004</c:v>
                </c:pt>
                <c:pt idx="10">
                  <c:v>0.14996401904887849</c:v>
                </c:pt>
                <c:pt idx="11">
                  <c:v>0.15966077279057186</c:v>
                </c:pt>
                <c:pt idx="13">
                  <c:v>0.99999999999999967</c:v>
                </c:pt>
                <c:pt idx="14">
                  <c:v>2.3361172704334798</c:v>
                </c:pt>
                <c:pt idx="15">
                  <c:v>0.14136154471300608</c:v>
                </c:pt>
                <c:pt idx="16">
                  <c:v>0.14235228839311967</c:v>
                </c:pt>
                <c:pt idx="17">
                  <c:v>0.14076658106956716</c:v>
                </c:pt>
                <c:pt idx="18">
                  <c:v>0.14847130661429359</c:v>
                </c:pt>
                <c:pt idx="19">
                  <c:v>0.12147198608353409</c:v>
                </c:pt>
                <c:pt idx="20">
                  <c:v>0.14844549456085807</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c:v>
                  </c:pt>
                  <c:pt idx="15">
                    <c:v>***</c:v>
                  </c:pt>
                  <c:pt idx="16">
                    <c:v>***</c:v>
                  </c:pt>
                  <c:pt idx="17">
                    <c:v>***</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AN-0,18mg/L : 0%</c:v>
                  </c:pt>
                  <c:pt idx="1">
                    <c:v>AN-0,36mg/L : 0%</c:v>
                  </c:pt>
                  <c:pt idx="2">
                    <c:v>AN-0,73mg/L : 0%</c:v>
                  </c:pt>
                  <c:pt idx="3">
                    <c:v>AN-1,45mg/L : 0%</c:v>
                  </c:pt>
                  <c:pt idx="4">
                    <c:v>AN-2,9mg/L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AN-0,18mg/L : 0%</c:v>
                  </c:pt>
                  <c:pt idx="1">
                    <c:v>AN-0,36mg/L : 0%</c:v>
                  </c:pt>
                  <c:pt idx="2">
                    <c:v>AN-0,73mg/L : 0%</c:v>
                  </c:pt>
                  <c:pt idx="3">
                    <c:v>AN-1,45mg/L : 0%</c:v>
                  </c:pt>
                  <c:pt idx="4">
                    <c:v>AN-2,9mg/L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AN-0.36mg/L</c:v>
                </c:pt>
                <c:pt idx="2">
                  <c:v>AN-0.73mg/L</c:v>
                </c:pt>
                <c:pt idx="3">
                  <c:v>AN-1.45mg/L</c:v>
                </c:pt>
                <c:pt idx="4">
                  <c:v>AN-2.9mg/L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AN-0.36mg/L</c:v>
                </c:pt>
                <c:pt idx="2">
                  <c:v>AN-0.73mg/L</c:v>
                </c:pt>
                <c:pt idx="3">
                  <c:v>AN-1.45mg/L</c:v>
                </c:pt>
                <c:pt idx="4">
                  <c:v>AN-2.9mg/L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AN-0.36mg/L</c:v>
                </c:pt>
                <c:pt idx="2">
                  <c:v>AN-0.73mg/L</c:v>
                </c:pt>
                <c:pt idx="3">
                  <c:v>AN-1.45mg/L</c:v>
                </c:pt>
                <c:pt idx="4">
                  <c:v>AN-2.9mg/L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349BFF56-C491-4678-AE34-61594589FE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934DFBE0-0126-4F50-92EE-C175001B28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6D0ADD73-49A4-4204-89DB-5DD43A9266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CD842EC7-4D29-4306-9EFA-26C8D9297E2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70BC7D4B-8D32-4C2A-AEA3-A7574376CF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EB4BB09A-82F9-4C03-8910-2C547DE4454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90B27197-FAA8-4B9E-93A5-A6751C0580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763BF916-9873-46F9-99C6-BAF6EB0CFE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04EA077C-079D-480F-84E6-8A26459B21E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64B4FF38-42F9-49A4-9E71-BB68F7427D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401C095E-75C7-4257-8BDC-B2C3AB0533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24469E38-E95C-4399-8DA4-7E5DA7A2E9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23662560-997F-48D7-8F4D-2837F86F6B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29F3607F-F264-44A5-8A44-29C30AAF72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1.5298896949720323E-2</c:v>
                  </c:pt>
                  <c:pt idx="2">
                    <c:v>1.5390019568728E-2</c:v>
                  </c:pt>
                  <c:pt idx="3">
                    <c:v>2.0349812818795519E-2</c:v>
                  </c:pt>
                  <c:pt idx="4">
                    <c:v>3.2326290832309187E-2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1.5298896949720323E-2</c:v>
                  </c:pt>
                  <c:pt idx="2">
                    <c:v>1.5390019568728E-2</c:v>
                  </c:pt>
                  <c:pt idx="3">
                    <c:v>2.0349812818795519E-2</c:v>
                  </c:pt>
                  <c:pt idx="4">
                    <c:v>3.2326290832309187E-2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AN-0.36mg/L</c:v>
                </c:pt>
                <c:pt idx="2">
                  <c:v>AN-0.73mg/L</c:v>
                </c:pt>
                <c:pt idx="3">
                  <c:v>AN-1.45mg/L</c:v>
                </c:pt>
                <c:pt idx="4">
                  <c:v>AN-2.9mg/L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0.12518409784880113</c:v>
                </c:pt>
                <c:pt idx="2">
                  <c:v>0.10881329717464004</c:v>
                </c:pt>
                <c:pt idx="3">
                  <c:v>0.14996401904887849</c:v>
                </c:pt>
                <c:pt idx="4">
                  <c:v>0.15966077279057186</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0.14437035012603847</c:v>
                </c:pt>
                <c:pt idx="1">
                  <c:v>0.14437035012603847</c:v>
                </c:pt>
                <c:pt idx="2">
                  <c:v>0.14437035012603847</c:v>
                </c:pt>
                <c:pt idx="3">
                  <c:v>0.14437035012603847</c:v>
                </c:pt>
                <c:pt idx="4">
                  <c:v>0.14437035012603847</c:v>
                </c:pt>
                <c:pt idx="5">
                  <c:v>0.14437035012603847</c:v>
                </c:pt>
                <c:pt idx="6">
                  <c:v>0.14437035012603847</c:v>
                </c:pt>
                <c:pt idx="7">
                  <c:v>0.14437035012603847</c:v>
                </c:pt>
                <c:pt idx="8">
                  <c:v>0.14437035012603847</c:v>
                </c:pt>
                <c:pt idx="9">
                  <c:v>0.14437035012603847</c:v>
                </c:pt>
                <c:pt idx="10">
                  <c:v>0.14437035012603847</c:v>
                </c:pt>
                <c:pt idx="11">
                  <c:v>0.14437035012603847</c:v>
                </c:pt>
                <c:pt idx="12">
                  <c:v>0.14437035012603847</c:v>
                </c:pt>
                <c:pt idx="13">
                  <c:v>0.14437035012603847</c:v>
                </c:pt>
                <c:pt idx="14">
                  <c:v>0.14437035012603847</c:v>
                </c:pt>
                <c:pt idx="15">
                  <c:v>0.14437035012603847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0.14136154471300608</c:v>
                </c:pt>
                <c:pt idx="1">
                  <c:v>0.14136154471300608</c:v>
                </c:pt>
                <c:pt idx="2">
                  <c:v>0.14136154471300608</c:v>
                </c:pt>
                <c:pt idx="3">
                  <c:v>0.14136154471300608</c:v>
                </c:pt>
                <c:pt idx="4">
                  <c:v>0.14136154471300608</c:v>
                </c:pt>
                <c:pt idx="5">
                  <c:v>0.14136154471300608</c:v>
                </c:pt>
                <c:pt idx="6">
                  <c:v>0.14136154471300608</c:v>
                </c:pt>
                <c:pt idx="7">
                  <c:v>0.14136154471300608</c:v>
                </c:pt>
                <c:pt idx="8">
                  <c:v>0.14136154471300608</c:v>
                </c:pt>
                <c:pt idx="9">
                  <c:v>0.14136154471300608</c:v>
                </c:pt>
                <c:pt idx="10">
                  <c:v>0.14136154471300608</c:v>
                </c:pt>
                <c:pt idx="11">
                  <c:v>0.14136154471300608</c:v>
                </c:pt>
                <c:pt idx="12">
                  <c:v>0.14136154471300608</c:v>
                </c:pt>
                <c:pt idx="13">
                  <c:v>0.14136154471300608</c:v>
                </c:pt>
                <c:pt idx="14">
                  <c:v>0.14136154471300608</c:v>
                </c:pt>
                <c:pt idx="15">
                  <c:v>0.14136154471300608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2.1947557257204737</c:v>
                </c:pt>
                <c:pt idx="1">
                  <c:v>2.1947557257204737</c:v>
                </c:pt>
                <c:pt idx="2">
                  <c:v>2.1947557257204737</c:v>
                </c:pt>
                <c:pt idx="3">
                  <c:v>2.1947557257204737</c:v>
                </c:pt>
                <c:pt idx="4">
                  <c:v>2.1947557257204737</c:v>
                </c:pt>
                <c:pt idx="5">
                  <c:v>2.1947557257204737</c:v>
                </c:pt>
                <c:pt idx="6">
                  <c:v>2.1947557257204737</c:v>
                </c:pt>
                <c:pt idx="7">
                  <c:v>2.1947557257204737</c:v>
                </c:pt>
                <c:pt idx="8">
                  <c:v>2.1947557257204737</c:v>
                </c:pt>
                <c:pt idx="9">
                  <c:v>2.1947557257204737</c:v>
                </c:pt>
                <c:pt idx="10">
                  <c:v>2.1947557257204737</c:v>
                </c:pt>
                <c:pt idx="11">
                  <c:v>2.1947557257204737</c:v>
                </c:pt>
                <c:pt idx="12">
                  <c:v>2.1947557257204737</c:v>
                </c:pt>
                <c:pt idx="13">
                  <c:v>2.1947557257204737</c:v>
                </c:pt>
                <c:pt idx="14">
                  <c:v>2.1947557257204737</c:v>
                </c:pt>
                <c:pt idx="15">
                  <c:v>2.1947557257204737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0.30524427427952627</c:v>
                </c:pt>
                <c:pt idx="1">
                  <c:v>0.30524427427952627</c:v>
                </c:pt>
                <c:pt idx="2">
                  <c:v>0.30524427427952627</c:v>
                </c:pt>
                <c:pt idx="3">
                  <c:v>0.30524427427952627</c:v>
                </c:pt>
                <c:pt idx="4">
                  <c:v>0.30524427427952627</c:v>
                </c:pt>
                <c:pt idx="5">
                  <c:v>0.30524427427952627</c:v>
                </c:pt>
                <c:pt idx="6">
                  <c:v>0.30524427427952627</c:v>
                </c:pt>
                <c:pt idx="7">
                  <c:v>0.30524427427952627</c:v>
                </c:pt>
                <c:pt idx="8">
                  <c:v>0.30524427427952627</c:v>
                </c:pt>
                <c:pt idx="9">
                  <c:v>0.30524427427952627</c:v>
                </c:pt>
                <c:pt idx="10">
                  <c:v>0.30524427427952627</c:v>
                </c:pt>
                <c:pt idx="11">
                  <c:v>0.30524427427952627</c:v>
                </c:pt>
                <c:pt idx="12">
                  <c:v>0.30524427427952627</c:v>
                </c:pt>
                <c:pt idx="13">
                  <c:v>0.30524427427952627</c:v>
                </c:pt>
                <c:pt idx="14">
                  <c:v>0.30524427427952627</c:v>
                </c:pt>
                <c:pt idx="15">
                  <c:v>0.30524427427952627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62C4524E-B60A-45B0-9DC9-5B191758A59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494BF0CE-4A67-42FE-AE3A-CC22462E03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4B95F4EC-0DBC-40FE-B65D-982A3F9A37A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9A0EDAE7-6C6E-4662-A3A1-6DD3874AF3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EECB6B56-5349-491A-865F-948FA173AE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E428AE9B-44C8-41D4-95E5-44C66C4EBBC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8FA4086D-8BB5-4BFA-A734-3DE4045A6C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05D8B6BB-6AA6-477B-9E1C-77E2E7087E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84962E0F-493C-4771-AB78-98B8C16A6A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D6502D85-1449-4C0C-AA57-9589BCBB1A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AEE98F67-0912-4777-8F0D-807F8EB06B3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80E060E0-2FAA-4475-9C9D-51EFDF7F33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DBBFB83F-02C9-4C40-B713-C6396F435B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CDA8DBF5-B3BA-4E75-BFD1-366D3357308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2.3672902698199692E-2</c:v>
                  </c:pt>
                  <c:pt idx="2">
                    <c:v>1.9565377578026708E-2</c:v>
                  </c:pt>
                  <c:pt idx="3">
                    <c:v>2.6149167643992277E-2</c:v>
                  </c:pt>
                  <c:pt idx="4">
                    <c:v>1.9538513300581737E-2</c:v>
                  </c:pt>
                  <c:pt idx="5">
                    <c:v>2.2305918157464157E-2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2.3672902698199692E-2</c:v>
                  </c:pt>
                  <c:pt idx="2">
                    <c:v>1.9565377578026708E-2</c:v>
                  </c:pt>
                  <c:pt idx="3">
                    <c:v>2.6149167643992277E-2</c:v>
                  </c:pt>
                  <c:pt idx="4">
                    <c:v>1.9538513300581737E-2</c:v>
                  </c:pt>
                  <c:pt idx="5">
                    <c:v>2.2305918157464157E-2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0.14235228839311967</c:v>
                </c:pt>
                <c:pt idx="2">
                  <c:v>0.14076658106956716</c:v>
                </c:pt>
                <c:pt idx="3">
                  <c:v>0.14847130661429359</c:v>
                </c:pt>
                <c:pt idx="4">
                  <c:v>0.12147198608353409</c:v>
                </c:pt>
                <c:pt idx="5">
                  <c:v>0.14844549456085807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AN-0.36mg/L</c:v>
                </c:pt>
                <c:pt idx="2">
                  <c:v>AN-0.73mg/L</c:v>
                </c:pt>
                <c:pt idx="3">
                  <c:v>AN-1.45mg/L</c:v>
                </c:pt>
                <c:pt idx="4">
                  <c:v>AN-2.9mg/L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AN-0.36mg/L</c:v>
                </c:pt>
                <c:pt idx="2">
                  <c:v>AN-0.73mg/L</c:v>
                </c:pt>
                <c:pt idx="3">
                  <c:v>AN-1.45mg/L</c:v>
                </c:pt>
                <c:pt idx="4">
                  <c:v>AN-2.9mg/L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AN-0.36mg/L</c:v>
                </c:pt>
                <c:pt idx="2">
                  <c:v>AN-0.73mg/L</c:v>
                </c:pt>
                <c:pt idx="3">
                  <c:v>AN-1.45mg/L</c:v>
                </c:pt>
                <c:pt idx="4">
                  <c:v>AN-2.9mg/L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0BB7507B-EC73-43F8-91BF-D0A5A72357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A4A82684-580D-4B68-9D35-46637FA825E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A03BF436-33AC-4979-8A2C-A687A2100B9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52D37357-8342-4BFB-85BA-CEA6A6BCCC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C4B5012D-00BD-4790-9F6E-AEF4BA6837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D250253F-6C96-43AB-8CFB-F17B037997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90896EAE-6602-4BD5-8962-751D33EA9AB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E41B3EFB-45DC-428A-BC38-7DAB33BBDB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DDDF5F0F-A311-4EC4-9B84-4BFFC0CFE4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5986ED9E-6688-437D-A9CD-EFC6055D85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F9FA89CD-69A7-4B50-AAFC-29FF00ED40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0F66B18D-CADE-4B2B-87E4-C80C9DF0BE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22E290D7-BB9C-4DEA-8C4C-D4A0226CC3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2FC9F1E8-160C-481E-A747-C6F0FAE076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1.5298896949720323E-2</c:v>
                  </c:pt>
                  <c:pt idx="2">
                    <c:v>1.5390019568728E-2</c:v>
                  </c:pt>
                  <c:pt idx="3">
                    <c:v>2.0349812818795519E-2</c:v>
                  </c:pt>
                  <c:pt idx="4">
                    <c:v>3.2326290832309187E-2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1.5298896949720323E-2</c:v>
                  </c:pt>
                  <c:pt idx="2">
                    <c:v>1.5390019568728E-2</c:v>
                  </c:pt>
                  <c:pt idx="3">
                    <c:v>2.0349812818795519E-2</c:v>
                  </c:pt>
                  <c:pt idx="4">
                    <c:v>3.2326290832309187E-2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AN-0.36mg/L</c:v>
                </c:pt>
                <c:pt idx="2">
                  <c:v>AN-0.73mg/L</c:v>
                </c:pt>
                <c:pt idx="3">
                  <c:v>AN-1.45mg/L</c:v>
                </c:pt>
                <c:pt idx="4">
                  <c:v>AN-2.9mg/L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0.12518409784880113</c:v>
                </c:pt>
                <c:pt idx="2">
                  <c:v>0.10881329717464004</c:v>
                </c:pt>
                <c:pt idx="3">
                  <c:v>0.14996401904887849</c:v>
                </c:pt>
                <c:pt idx="4">
                  <c:v>0.15966077279057186</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0.14437035012603847</c:v>
                </c:pt>
                <c:pt idx="1">
                  <c:v>0.14437035012603847</c:v>
                </c:pt>
                <c:pt idx="2">
                  <c:v>0.14437035012603847</c:v>
                </c:pt>
                <c:pt idx="3">
                  <c:v>0.14437035012603847</c:v>
                </c:pt>
                <c:pt idx="4">
                  <c:v>0.14437035012603847</c:v>
                </c:pt>
                <c:pt idx="5">
                  <c:v>0.14437035012603847</c:v>
                </c:pt>
                <c:pt idx="6">
                  <c:v>0.14437035012603847</c:v>
                </c:pt>
                <c:pt idx="7">
                  <c:v>0.14437035012603847</c:v>
                </c:pt>
                <c:pt idx="8">
                  <c:v>0.14437035012603847</c:v>
                </c:pt>
                <c:pt idx="9">
                  <c:v>0.14437035012603847</c:v>
                </c:pt>
                <c:pt idx="10">
                  <c:v>0.14437035012603847</c:v>
                </c:pt>
                <c:pt idx="11">
                  <c:v>0.14437035012603847</c:v>
                </c:pt>
                <c:pt idx="12">
                  <c:v>0.14437035012603847</c:v>
                </c:pt>
                <c:pt idx="13">
                  <c:v>0.14437035012603847</c:v>
                </c:pt>
                <c:pt idx="14">
                  <c:v>0.14437035012603847</c:v>
                </c:pt>
                <c:pt idx="15">
                  <c:v>0.14437035012603847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0.14136154471300608</c:v>
                </c:pt>
                <c:pt idx="1">
                  <c:v>0.14136154471300608</c:v>
                </c:pt>
                <c:pt idx="2">
                  <c:v>0.14136154471300608</c:v>
                </c:pt>
                <c:pt idx="3">
                  <c:v>0.14136154471300608</c:v>
                </c:pt>
                <c:pt idx="4">
                  <c:v>0.14136154471300608</c:v>
                </c:pt>
                <c:pt idx="5">
                  <c:v>0.14136154471300608</c:v>
                </c:pt>
                <c:pt idx="6">
                  <c:v>0.14136154471300608</c:v>
                </c:pt>
                <c:pt idx="7">
                  <c:v>0.14136154471300608</c:v>
                </c:pt>
                <c:pt idx="8">
                  <c:v>0.14136154471300608</c:v>
                </c:pt>
                <c:pt idx="9">
                  <c:v>0.14136154471300608</c:v>
                </c:pt>
                <c:pt idx="10">
                  <c:v>0.14136154471300608</c:v>
                </c:pt>
                <c:pt idx="11">
                  <c:v>0.14136154471300608</c:v>
                </c:pt>
                <c:pt idx="12">
                  <c:v>0.14136154471300608</c:v>
                </c:pt>
                <c:pt idx="13">
                  <c:v>0.14136154471300608</c:v>
                </c:pt>
                <c:pt idx="14">
                  <c:v>0.14136154471300608</c:v>
                </c:pt>
                <c:pt idx="15">
                  <c:v>0.14136154471300608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2.1947557257204737</c:v>
                </c:pt>
                <c:pt idx="1">
                  <c:v>2.1947557257204737</c:v>
                </c:pt>
                <c:pt idx="2">
                  <c:v>2.1947557257204737</c:v>
                </c:pt>
                <c:pt idx="3">
                  <c:v>2.1947557257204737</c:v>
                </c:pt>
                <c:pt idx="4">
                  <c:v>2.1947557257204737</c:v>
                </c:pt>
                <c:pt idx="5">
                  <c:v>2.1947557257204737</c:v>
                </c:pt>
                <c:pt idx="6">
                  <c:v>2.1947557257204737</c:v>
                </c:pt>
                <c:pt idx="7">
                  <c:v>2.1947557257204737</c:v>
                </c:pt>
                <c:pt idx="8">
                  <c:v>2.1947557257204737</c:v>
                </c:pt>
                <c:pt idx="9">
                  <c:v>2.1947557257204737</c:v>
                </c:pt>
                <c:pt idx="10">
                  <c:v>2.1947557257204737</c:v>
                </c:pt>
                <c:pt idx="11">
                  <c:v>2.1947557257204737</c:v>
                </c:pt>
                <c:pt idx="12">
                  <c:v>2.1947557257204737</c:v>
                </c:pt>
                <c:pt idx="13">
                  <c:v>2.1947557257204737</c:v>
                </c:pt>
                <c:pt idx="14">
                  <c:v>2.1947557257204737</c:v>
                </c:pt>
                <c:pt idx="15">
                  <c:v>2.1947557257204737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0.30524427427952627</c:v>
                </c:pt>
                <c:pt idx="1">
                  <c:v>0.30524427427952627</c:v>
                </c:pt>
                <c:pt idx="2">
                  <c:v>0.30524427427952627</c:v>
                </c:pt>
                <c:pt idx="3">
                  <c:v>0.30524427427952627</c:v>
                </c:pt>
                <c:pt idx="4">
                  <c:v>0.30524427427952627</c:v>
                </c:pt>
                <c:pt idx="5">
                  <c:v>0.30524427427952627</c:v>
                </c:pt>
                <c:pt idx="6">
                  <c:v>0.30524427427952627</c:v>
                </c:pt>
                <c:pt idx="7">
                  <c:v>0.30524427427952627</c:v>
                </c:pt>
                <c:pt idx="8">
                  <c:v>0.30524427427952627</c:v>
                </c:pt>
                <c:pt idx="9">
                  <c:v>0.30524427427952627</c:v>
                </c:pt>
                <c:pt idx="10">
                  <c:v>0.30524427427952627</c:v>
                </c:pt>
                <c:pt idx="11">
                  <c:v>0.30524427427952627</c:v>
                </c:pt>
                <c:pt idx="12">
                  <c:v>0.30524427427952627</c:v>
                </c:pt>
                <c:pt idx="13">
                  <c:v>0.30524427427952627</c:v>
                </c:pt>
                <c:pt idx="14">
                  <c:v>0.30524427427952627</c:v>
                </c:pt>
                <c:pt idx="15">
                  <c:v>0.30524427427952627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C457F4A3-8AFD-43DD-BD2D-4D976C61F7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2C0155CB-9664-402C-A51E-18D0587979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59A3BA6E-6F4C-490C-8A4E-508A7DE046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09664D0D-1100-4C29-95C2-B9171E5D2F3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694C8BE5-676E-4A4A-91B1-1E6F7846EA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F5955401-D6C4-4858-8DD3-816B9DDE4F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F957136A-CF26-4B08-A3DA-3A9612EF50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DD46DBE7-AE4F-4E3F-B4E4-1A391B3ADA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E6BB46C8-A489-4C39-99F6-B41EDBD560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75412F44-45B9-4EDA-8B63-ABDCFB3D38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FF33A6A0-A05B-49CB-8A84-80E216FD98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9998802C-38A1-4656-B924-0012C214268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2826D714-7CB1-47EC-94E7-AE598EB493D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4D7C0F9E-03BE-4DE2-BACB-E4C4FB8C795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2.3672902698199692E-2</c:v>
                  </c:pt>
                  <c:pt idx="2">
                    <c:v>1.9565377578026708E-2</c:v>
                  </c:pt>
                  <c:pt idx="3">
                    <c:v>2.6149167643992277E-2</c:v>
                  </c:pt>
                  <c:pt idx="4">
                    <c:v>1.9538513300581737E-2</c:v>
                  </c:pt>
                  <c:pt idx="5">
                    <c:v>2.2305918157464157E-2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2.3672902698199692E-2</c:v>
                  </c:pt>
                  <c:pt idx="2">
                    <c:v>1.9565377578026708E-2</c:v>
                  </c:pt>
                  <c:pt idx="3">
                    <c:v>2.6149167643992277E-2</c:v>
                  </c:pt>
                  <c:pt idx="4">
                    <c:v>1.9538513300581737E-2</c:v>
                  </c:pt>
                  <c:pt idx="5">
                    <c:v>2.2305918157464157E-2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0.14235228839311967</c:v>
                </c:pt>
                <c:pt idx="2">
                  <c:v>0.14076658106956716</c:v>
                </c:pt>
                <c:pt idx="3">
                  <c:v>0.14847130661429359</c:v>
                </c:pt>
                <c:pt idx="4">
                  <c:v>0.12147198608353409</c:v>
                </c:pt>
                <c:pt idx="5">
                  <c:v>0.14844549456085807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AN-0,18mg/L + Testostérone</c:v>
                </c:pt>
                <c:pt idx="2">
                  <c:v>AN-0,36mg/L + Testostérone</c:v>
                </c:pt>
                <c:pt idx="3">
                  <c:v>AN-0,73mg/L + Testostérone</c:v>
                </c:pt>
                <c:pt idx="4">
                  <c:v>AN-1,45mg/L + Testostérone</c:v>
                </c:pt>
                <c:pt idx="5">
                  <c:v>AN-2,9mg/L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AN-0.36mg/L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AN-0.36mg/L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AN-0.36mg/L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BDC9ABD5-40DD-4570-B884-C3B53180E3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08979911-1C80-41BE-882C-AA8562EB97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1.5298896949720323E-2</c:v>
                  </c:pt>
                </c:numCache>
              </c:numRef>
            </c:plus>
            <c:minus>
              <c:numRef>
                <c:f>'Graph format rapport CHG 1éch'!$E$4:$G$4</c:f>
                <c:numCache>
                  <c:formatCode>General</c:formatCode>
                  <c:ptCount val="3"/>
                  <c:pt idx="1">
                    <c:v>1.5298896949720323E-2</c:v>
                  </c:pt>
                </c:numCache>
              </c:numRef>
            </c:minus>
          </c:errBars>
          <c:cat>
            <c:strRef>
              <c:f>'Graph format rapport CHG 1éch'!$E$2:$G$2</c:f>
              <c:strCache>
                <c:ptCount val="2"/>
                <c:pt idx="1">
                  <c:v>AN-0.36mg/L</c:v>
                </c:pt>
              </c:strCache>
            </c:strRef>
          </c:cat>
          <c:val>
            <c:numRef>
              <c:f>'Graph format rapport CHG 1éch'!$E$3:$G$3</c:f>
              <c:numCache>
                <c:formatCode>General</c:formatCode>
                <c:ptCount val="3"/>
                <c:pt idx="1">
                  <c:v>0.12518409784880113</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0.14437035012603847</c:v>
                </c:pt>
                <c:pt idx="1">
                  <c:v>0.14437035012603847</c:v>
                </c:pt>
                <c:pt idx="2">
                  <c:v>0.14437035012603847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AN-0,18mg/L + Testostérone</c:v>
                </c:pt>
              </c:strCache>
            </c:strRef>
          </c:cat>
          <c:val>
            <c:numRef>
              <c:f>'Graph format rapport CHG 1éch'!$H$8:$J$8</c:f>
              <c:numCache>
                <c:formatCode>General</c:formatCode>
                <c:ptCount val="3"/>
                <c:pt idx="0">
                  <c:v>0.14136154471300608</c:v>
                </c:pt>
                <c:pt idx="1">
                  <c:v>0.14136154471300608</c:v>
                </c:pt>
                <c:pt idx="2">
                  <c:v>0.14136154471300608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AN-0,18mg/L + Testostérone</c:v>
                </c:pt>
              </c:strCache>
            </c:strRef>
          </c:cat>
          <c:val>
            <c:numRef>
              <c:f>'Graph format rapport CHG 1éch'!$H$9:$J$9</c:f>
              <c:numCache>
                <c:formatCode>General</c:formatCode>
                <c:ptCount val="3"/>
                <c:pt idx="0">
                  <c:v>2.1947557257204737</c:v>
                </c:pt>
                <c:pt idx="1">
                  <c:v>2.1947557257204737</c:v>
                </c:pt>
                <c:pt idx="2">
                  <c:v>2.1947557257204737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AN-0,18mg/L + Testostérone</c:v>
                </c:pt>
              </c:strCache>
            </c:strRef>
          </c:cat>
          <c:val>
            <c:numRef>
              <c:f>'Graph format rapport CHG 1éch'!$H$10:$J$10</c:f>
              <c:numCache>
                <c:formatCode>General</c:formatCode>
                <c:ptCount val="3"/>
                <c:pt idx="0">
                  <c:v>0.30524427427952627</c:v>
                </c:pt>
                <c:pt idx="1">
                  <c:v>0.30524427427952627</c:v>
                </c:pt>
                <c:pt idx="2">
                  <c:v>0.30524427427952627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9910FDD7-B7B2-4336-BBE0-6A49FB3C72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9F6574B5-809C-4925-AD2C-9A52F473E5B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2.3672902698199692E-2</c:v>
                  </c:pt>
                </c:numCache>
              </c:numRef>
            </c:plus>
            <c:minus>
              <c:numRef>
                <c:f>'Graph format rapport CHG 1éch'!$H$4:$J$4</c:f>
                <c:numCache>
                  <c:formatCode>General</c:formatCode>
                  <c:ptCount val="3"/>
                  <c:pt idx="1">
                    <c:v>2.3672902698199692E-2</c:v>
                  </c:pt>
                </c:numCache>
              </c:numRef>
            </c:minus>
          </c:errBars>
          <c:cat>
            <c:strRef>
              <c:f>'Graph format rapport CHG 1éch'!$H$2:$J$2</c:f>
              <c:strCache>
                <c:ptCount val="2"/>
                <c:pt idx="1">
                  <c:v>AN-0,18mg/L + Testostérone</c:v>
                </c:pt>
              </c:strCache>
            </c:strRef>
          </c:cat>
          <c:val>
            <c:numRef>
              <c:f>'Graph format rapport CHG 1éch'!$H$3:$J$3</c:f>
              <c:numCache>
                <c:formatCode>General</c:formatCode>
                <c:ptCount val="3"/>
                <c:pt idx="1">
                  <c:v>0.14235228839311967</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AN-0,18mg/L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AN-0.36mg/L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AN-0.36mg/L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AN-0.36mg/L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76C13545-65FA-40A2-BF73-027C814D21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05463D14-8862-48C6-8506-5A6016924E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1.5298896949720323E-2</c:v>
                  </c:pt>
                </c:numCache>
              </c:numRef>
            </c:plus>
            <c:minus>
              <c:numRef>
                <c:f>'Graph format rapport CHG 1éch'!$E$4:$G$4</c:f>
                <c:numCache>
                  <c:formatCode>General</c:formatCode>
                  <c:ptCount val="3"/>
                  <c:pt idx="1">
                    <c:v>1.5298896949720323E-2</c:v>
                  </c:pt>
                </c:numCache>
              </c:numRef>
            </c:minus>
          </c:errBars>
          <c:cat>
            <c:strRef>
              <c:f>'Graph format rapport CHG 1éch'!$E$2:$G$2</c:f>
              <c:strCache>
                <c:ptCount val="2"/>
                <c:pt idx="1">
                  <c:v>AN-0.36mg/L</c:v>
                </c:pt>
              </c:strCache>
            </c:strRef>
          </c:cat>
          <c:val>
            <c:numRef>
              <c:f>'Graph format rapport CHG 1éch'!$E$3:$G$3</c:f>
              <c:numCache>
                <c:formatCode>General</c:formatCode>
                <c:ptCount val="3"/>
                <c:pt idx="1">
                  <c:v>0.12518409784880113</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0.14437035012603847</c:v>
                </c:pt>
                <c:pt idx="1">
                  <c:v>0.14437035012603847</c:v>
                </c:pt>
                <c:pt idx="2">
                  <c:v>0.14437035012603847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AN-0,18mg/L + Testostérone</c:v>
                </c:pt>
              </c:strCache>
            </c:strRef>
          </c:cat>
          <c:val>
            <c:numRef>
              <c:f>'Graph format rapport CHG 1éch'!$H$8:$J$8</c:f>
              <c:numCache>
                <c:formatCode>General</c:formatCode>
                <c:ptCount val="3"/>
                <c:pt idx="0">
                  <c:v>0.14136154471300608</c:v>
                </c:pt>
                <c:pt idx="1">
                  <c:v>0.14136154471300608</c:v>
                </c:pt>
                <c:pt idx="2">
                  <c:v>0.14136154471300608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AN-0,18mg/L + Testostérone</c:v>
                </c:pt>
              </c:strCache>
            </c:strRef>
          </c:cat>
          <c:val>
            <c:numRef>
              <c:f>'Graph format rapport CHG 1éch'!$H$9:$J$9</c:f>
              <c:numCache>
                <c:formatCode>General</c:formatCode>
                <c:ptCount val="3"/>
                <c:pt idx="0">
                  <c:v>2.1947557257204737</c:v>
                </c:pt>
                <c:pt idx="1">
                  <c:v>2.1947557257204737</c:v>
                </c:pt>
                <c:pt idx="2">
                  <c:v>2.1947557257204737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AN-0,18mg/L + Testostérone</c:v>
                </c:pt>
              </c:strCache>
            </c:strRef>
          </c:cat>
          <c:val>
            <c:numRef>
              <c:f>'Graph format rapport CHG 1éch'!$H$10:$J$10</c:f>
              <c:numCache>
                <c:formatCode>General</c:formatCode>
                <c:ptCount val="3"/>
                <c:pt idx="0">
                  <c:v>0.30524427427952627</c:v>
                </c:pt>
                <c:pt idx="1">
                  <c:v>0.30524427427952627</c:v>
                </c:pt>
                <c:pt idx="2">
                  <c:v>0.30524427427952627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6025F1C7-76F7-44DB-8E90-00D69AF754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97546E05-D672-441F-8CC3-CDCECCA45E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2.3672902698199692E-2</c:v>
                  </c:pt>
                </c:numCache>
              </c:numRef>
            </c:plus>
            <c:minus>
              <c:numRef>
                <c:f>'Graph format rapport CHG 1éch'!$H$4:$J$4</c:f>
                <c:numCache>
                  <c:formatCode>General</c:formatCode>
                  <c:ptCount val="3"/>
                  <c:pt idx="1">
                    <c:v>2.3672902698199692E-2</c:v>
                  </c:pt>
                </c:numCache>
              </c:numRef>
            </c:minus>
          </c:errBars>
          <c:cat>
            <c:strRef>
              <c:f>'Graph format rapport CHG 1éch'!$H$2:$J$2</c:f>
              <c:strCache>
                <c:ptCount val="2"/>
                <c:pt idx="1">
                  <c:v>AN-0,18mg/L + Testostérone</c:v>
                </c:pt>
              </c:strCache>
            </c:strRef>
          </c:cat>
          <c:val>
            <c:numRef>
              <c:f>'Graph format rapport CHG 1éch'!$H$3:$J$3</c:f>
              <c:numCache>
                <c:formatCode>General</c:formatCode>
                <c:ptCount val="3"/>
                <c:pt idx="1">
                  <c:v>0.14235228839311967</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AN-0,18mg/L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6"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6"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479105092592" createdVersion="5" refreshedVersion="7" minRefreshableVersion="3" recordCount="1556" xr:uid="{00000000-000A-0000-FFFF-FFFF0C000000}">
  <cacheSource type="worksheet">
    <worksheetSource name="Tableau4"/>
  </cacheSource>
  <cacheFields count="9">
    <cacheField name="Nom groupe" numFmtId="0">
      <sharedItems containsBlank="1" count="23">
        <s v=""/>
        <s v="1"/>
        <s v="13"/>
        <s v="14"/>
        <s v="15"/>
        <s v="16"/>
        <s v="2"/>
        <s v="3"/>
        <s v="4"/>
        <s v="5"/>
        <s v="6"/>
        <s v="7"/>
        <s v="10"/>
        <s v="11"/>
        <s v="12"/>
        <s v="17"/>
        <s v="18"/>
        <s v="19"/>
        <s v="20"/>
        <s v="21"/>
        <s v="8"/>
        <s v="9"/>
        <m u="1"/>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2"/>
    </cacheField>
    <cacheField name=" " numFmtId="0">
      <sharedItems containsBlank="1" count="24">
        <s v=" "/>
        <m/>
        <s v=" SD mean fluo "/>
        <s v=" 10.8343 "/>
        <s v=" 4.3254 "/>
        <s v=" 10.0395 "/>
        <s v=" 3.9927 "/>
        <s v=" 11.1287 "/>
        <s v=" 3.3232 "/>
        <s v=" 9.8373 "/>
        <s v=" 2.53 "/>
        <s v=" 3.6832 "/>
        <s v=" 4.981 "/>
        <s v=" 3.5366 "/>
        <s v=" 3.2173 "/>
        <s v=" 15.4064 "/>
        <s v=" 2.7482 "/>
        <s v=" 5.8019 "/>
        <s v=" 3.7472 "/>
        <s v=" 11.5766 "/>
        <s v=" 12.6426 "/>
        <s v=" 8.0859 "/>
        <s v=" 13.2229 "/>
        <s v=" 10.5978 "/>
      </sharedItems>
    </cacheField>
    <cacheField name=" total fluorescence" numFmtId="0">
      <sharedItems containsBlank="1" containsMixedTypes="1" containsNumber="1" containsInteger="1" minValue="0" maxValue="5041842"/>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479105324077" createdVersion="5" refreshedVersion="7" minRefreshableVersion="3" recordCount="1530" xr:uid="{00000000-000A-0000-FFFF-FFFF10000000}">
  <cacheSource type="worksheet">
    <worksheetSource name="Tableau46"/>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7"/>
    </cacheField>
    <cacheField name=" " numFmtId="0">
      <sharedItems containsBlank="1" count="24">
        <s v=" "/>
        <m/>
        <s v=" SD mean fluo "/>
        <s v=" 7.9672 "/>
        <s v=" 4.1161 "/>
        <s v=" 13.7913 "/>
        <s v=" 4.0759 "/>
        <s v=" 12.0859 "/>
        <s v=" 3.7881 "/>
        <s v=" 4.6858 "/>
        <s v=" 2.8291 "/>
        <s v=" 11.1335 "/>
        <s v=" 4.0077 "/>
        <s v=" 7.5914 "/>
        <s v=" 8.0883 "/>
        <s v=" 3.506 "/>
        <s v=" 13.8633 "/>
        <s v=" 3.5834 "/>
        <s v=" 11.2114 "/>
        <s v=" 18.0199 "/>
        <s v=" 5.21 "/>
        <s v=" 14.0282 "/>
        <s v=" 7.3552 "/>
        <s v=" 15.9342 "/>
      </sharedItems>
    </cacheField>
    <cacheField name=" total fluorescence" numFmtId="0">
      <sharedItems containsBlank="1" containsMixedTypes="1" containsNumber="1" containsInteger="1" minValue="0" maxValue="5311805"/>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479105671293" createdVersion="5" refreshedVersion="7" minRefreshableVersion="3" recordCount="1710" xr:uid="{00000000-000A-0000-FFFF-FFFF14000000}">
  <cacheSource type="worksheet">
    <worksheetSource name="Tableau467"/>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9"/>
    </cacheField>
    <cacheField name=" " numFmtId="0">
      <sharedItems containsBlank="1" count="24">
        <s v=" "/>
        <m/>
        <s v=" SD mean fluo "/>
        <s v=" 4.8141 "/>
        <s v=" 2.5852 "/>
        <s v=" 4.7693 "/>
        <s v=" 6.0853 "/>
        <s v=" 4.0338 "/>
        <s v=" 8.8315 "/>
        <s v=" 3.7926 "/>
        <s v=" 3.7601 "/>
        <s v=" 3.4436 "/>
        <s v=" 5.4589 "/>
        <s v=" 5.7513 "/>
        <s v=" 10.6545 "/>
        <s v=" 8.6965 "/>
        <s v=" 13.8638 "/>
        <s v=" 16.1241 "/>
        <s v=" 4.1715 "/>
        <s v=" 9.1309 "/>
        <s v=" 8.4902 "/>
        <s v=" 8.7464 "/>
        <s v=" 3.5196 "/>
        <s v=" 5.1424 "/>
      </sharedItems>
    </cacheField>
    <cacheField name=" total fluorescence" numFmtId="0">
      <sharedItems containsBlank="1" containsMixedTypes="1" containsNumber="1" containsInteger="1" minValue="0" maxValue="5264111"/>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479106250001" createdVersion="6" refreshedVersion="7" minRefreshableVersion="3" recordCount="52" xr:uid="{8DEF666A-6C7D-4C16-AD6D-82242760D5D9}">
  <cacheSource type="worksheet">
    <worksheetSource name="liste_groupe"/>
  </cacheSource>
  <cacheFields count="6">
    <cacheField name="Nom sur le graphique" numFmtId="0">
      <sharedItems count="23">
        <s v="Témoin solvant"/>
        <s v="EE2-22,5ng/L"/>
        <s v="EE2-33,8ng/L"/>
        <s v="EE2-50,6ng/L"/>
        <s v="EE2-76ng/L"/>
        <s v="EE2-114ng/L"/>
        <s v="EE2-170,9ng/L"/>
        <s v="EE2-488ng/L"/>
        <s v="AN-0.18mg/L"/>
        <s v="AN-0.36mg/L"/>
        <s v="AN-0.73mg/L"/>
        <s v="AN-1.45mg/L"/>
        <s v="AN-2.9mg/L"/>
        <s v=" "/>
        <s v="Testo -30µg/L"/>
        <s v="Testo 30µg/L + EE2 -64ng/L"/>
        <s v="Testo 30µg/L + FAD-10mg/L"/>
        <s v="AN-0,18mg/L + Testostérone"/>
        <s v="AN-0,36mg/L + Testostérone"/>
        <s v="AN-0,73mg/L + Testostérone"/>
        <s v="AN-1,45mg/L + Testostérone"/>
        <s v="AN-2,9mg/L + Testostérone"/>
        <s v="0-00 + Testostérone"/>
      </sharedItems>
    </cacheField>
    <cacheField name="Code WF" numFmtId="0">
      <sharedItems containsBlank="1" containsMixedTypes="1" containsNumber="1" containsInteger="1" minValue="0" maxValue="0" count="4">
        <s v="Témoin"/>
        <s v="Chemical"/>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le name "/>
    <s v=" total area "/>
    <s v=" mean intensity "/>
    <x v="0"/>
    <s v=" total fluorescence"/>
    <m/>
    <m/>
  </r>
  <r>
    <x v="1"/>
    <x v="1"/>
    <s v="C:\Users\andre\Desktop\REACTIV CEFAS\Anastrozole\Anastrozole/20201124_Cefas_Test7_Run1/Plate 1/@1/A10_01.tif "/>
    <s v=" 1470.8328 "/>
    <s v=" 38.3529 "/>
    <x v="0"/>
    <n v="56411"/>
    <m/>
    <m/>
  </r>
  <r>
    <x v="1"/>
    <x v="1"/>
    <s v="C:\Users\andre\Desktop\REACTIV CEFAS\Anastrozole\Anastrozole/20201124_Cefas_Test7_Run1/Plate 1/@1/A10_02.tif "/>
    <s v=" 4196.1996 "/>
    <s v=" 39.1237 "/>
    <x v="0"/>
    <n v="164171"/>
    <m/>
    <m/>
  </r>
  <r>
    <x v="1"/>
    <x v="1"/>
    <s v="C:\Users\andre\Desktop\REACTIV CEFAS\Anastrozole\Anastrozole/20201124_Cefas_Test7_Run1/Plate 1/@1/A10_03.tif "/>
    <s v=" 6640.3777 "/>
    <s v=" 38.9837 "/>
    <x v="0"/>
    <n v="258867"/>
    <m/>
    <m/>
  </r>
  <r>
    <x v="1"/>
    <x v="2"/>
    <s v="C:\Users\andre\Desktop\REACTIV CEFAS\Anastrozole\Anastrozole/20201124_Cefas_Test7_Run1/Plate 1/@1/B10_01.tif "/>
    <s v=" 108.1495 "/>
    <n v="31"/>
    <x v="0"/>
    <n v="3353"/>
    <m/>
    <m/>
  </r>
  <r>
    <x v="1"/>
    <x v="2"/>
    <s v="C:\Users\andre\Desktop\REACTIV CEFAS\Anastrozole\Anastrozole/20201124_Cefas_Test7_Run1/Plate 1/@1/B10_02.tif "/>
    <n v="0"/>
    <n v="0"/>
    <x v="0"/>
    <n v="0"/>
    <m/>
    <m/>
  </r>
  <r>
    <x v="1"/>
    <x v="2"/>
    <s v="C:\Users\andre\Desktop\REACTIV CEFAS\Anastrozole\Anastrozole/20201124_Cefas_Test7_Run1/Plate 1/@1/B10_03.tif "/>
    <s v=" 367.7082 "/>
    <s v=" 31.5882 "/>
    <x v="0"/>
    <n v="11615"/>
    <m/>
    <m/>
  </r>
  <r>
    <x v="1"/>
    <x v="3"/>
    <s v="C:\Users\andre\Desktop\REACTIV CEFAS\Anastrozole\Anastrozole/20201124_Cefas_Test7_Run1/Plate 1/@1/C10_01.tif "/>
    <s v=" 6099.6303 "/>
    <s v=" 36.4929 "/>
    <x v="0"/>
    <n v="222593"/>
    <m/>
    <m/>
  </r>
  <r>
    <x v="1"/>
    <x v="3"/>
    <s v="C:\Users\andre\Desktop\REACTIV CEFAS\Anastrozole\Anastrozole/20201124_Cefas_Test7_Run1/Plate 1/@1/C10_02.tif "/>
    <s v=" 7592.093 "/>
    <s v=" 37.8689 "/>
    <x v="0"/>
    <n v="287505"/>
    <m/>
    <m/>
  </r>
  <r>
    <x v="1"/>
    <x v="3"/>
    <s v="C:\Users\andre\Desktop\REACTIV CEFAS\Anastrozole\Anastrozole/20201124_Cefas_Test7_Run1/Plate 1/@1/C10_03.tif "/>
    <s v=" 6705.2673 "/>
    <s v=" 35.8097 "/>
    <x v="0"/>
    <n v="240113"/>
    <m/>
    <m/>
  </r>
  <r>
    <x v="1"/>
    <x v="4"/>
    <s v="C:\Users\andre\Desktop\REACTIV CEFAS\Anastrozole\Anastrozole/20201124_Cefas_Test7_Run1/Plate 1/@1/D10_01.tif "/>
    <s v=" 6964.8261 "/>
    <s v=" 37.0248 "/>
    <x v="0"/>
    <n v="257872"/>
    <m/>
    <m/>
  </r>
  <r>
    <x v="1"/>
    <x v="4"/>
    <s v="C:\Users\andre\Desktop\REACTIV CEFAS\Anastrozole\Anastrozole/20201124_Cefas_Test7_Run1/Plate 1/@1/D10_02.tif "/>
    <s v=" 3049.8151 "/>
    <s v=" 32.7518 "/>
    <x v="0"/>
    <n v="99887"/>
    <m/>
    <m/>
  </r>
  <r>
    <x v="1"/>
    <x v="4"/>
    <s v="C:\Users\andre\Desktop\REACTIV CEFAS\Anastrozole\Anastrozole/20201124_Cefas_Test7_Run1/Plate 1/@1/D10_03.tif "/>
    <s v=" 5818.4417 "/>
    <s v=" 38.1115 "/>
    <x v="0"/>
    <n v="221750"/>
    <m/>
    <m/>
  </r>
  <r>
    <x v="1"/>
    <x v="5"/>
    <s v="C:\Users\andre\Desktop\REACTIV CEFAS\Anastrozole\Anastrozole/20201124_Cefas_Test7_Run1/Plate 1/@1/E10_01.tif "/>
    <s v=" 8197.7301 "/>
    <s v=" 39.2032 "/>
    <x v="0"/>
    <n v="321377"/>
    <m/>
    <m/>
  </r>
  <r>
    <x v="1"/>
    <x v="5"/>
    <s v="C:\Users\andre\Desktop\REACTIV CEFAS\Anastrozole\Anastrozole/20201124_Cefas_Test7_Run1/Plate 1/@1/E10_02.tif "/>
    <s v=" 15011.1469 "/>
    <s v=" 44.1844 "/>
    <x v="0"/>
    <n v="663259"/>
    <m/>
    <m/>
  </r>
  <r>
    <x v="1"/>
    <x v="5"/>
    <s v="C:\Users\andre\Desktop\REACTIV CEFAS\Anastrozole\Anastrozole/20201124_Cefas_Test7_Run1/Plate 1/@1/E10_03.tif "/>
    <s v=" 8154.4703 "/>
    <s v=" 42.7586 "/>
    <x v="0"/>
    <n v="348674"/>
    <m/>
    <m/>
  </r>
  <r>
    <x v="1"/>
    <x v="6"/>
    <s v="C:\Users\andre\Desktop\REACTIV CEFAS\Anastrozole\Anastrozole/20201124_Cefas_Test7_Run1/Plate 1/@1/F10_01.tif "/>
    <s v=" 3028.1852 "/>
    <s v=" 34.5786 "/>
    <x v="0"/>
    <n v="104710"/>
    <m/>
    <m/>
  </r>
  <r>
    <x v="1"/>
    <x v="6"/>
    <s v="C:\Users\andre\Desktop\REACTIV CEFAS\Anastrozole\Anastrozole/20201124_Cefas_Test7_Run1/Plate 1/@1/F10_02.tif "/>
    <s v=" 2509.0678 "/>
    <s v=" 32.7931 "/>
    <x v="0"/>
    <n v="82280"/>
    <m/>
    <m/>
  </r>
  <r>
    <x v="1"/>
    <x v="6"/>
    <s v="C:\Users\andre\Desktop\REACTIV CEFAS\Anastrozole\Anastrozole/20201124_Cefas_Test7_Run1/Plate 1/@1/F10_03.tif "/>
    <s v=" 1860.1709 "/>
    <s v=" 32.093 "/>
    <x v="0"/>
    <n v="59699"/>
    <m/>
    <m/>
  </r>
  <r>
    <x v="1"/>
    <x v="7"/>
    <s v="C:\Users\andre\Desktop\REACTIV CEFAS\Anastrozole\Anastrozole/20201124_Cefas_Test7_Run1/Plate 1/@1/G10_01.tif "/>
    <s v=" 6575.488 "/>
    <s v=" 40.5822 "/>
    <x v="0"/>
    <n v="266848"/>
    <m/>
    <m/>
  </r>
  <r>
    <x v="1"/>
    <x v="7"/>
    <s v="C:\Users\andre\Desktop\REACTIV CEFAS\Anastrozole\Anastrozole/20201124_Cefas_Test7_Run1/Plate 1/@1/G10_02.tif "/>
    <s v=" 64.8897 "/>
    <s v=" 31.6667 "/>
    <x v="0"/>
    <n v="2055"/>
    <m/>
    <m/>
  </r>
  <r>
    <x v="1"/>
    <x v="7"/>
    <s v="C:\Users\andre\Desktop\REACTIV CEFAS\Anastrozole\Anastrozole/20201124_Cefas_Test7_Run1/Plate 1/@1/G10_03.tif "/>
    <n v="0"/>
    <n v="0"/>
    <x v="0"/>
    <n v="0"/>
    <m/>
    <m/>
  </r>
  <r>
    <x v="1"/>
    <x v="8"/>
    <s v="C:\Users\andre\Desktop\REACTIV CEFAS\Anastrozole\Anastrozole/20201124_Cefas_Test7_Run1/Plate 1/@1/H10_01.tif "/>
    <s v=" 194.6691 "/>
    <n v="31"/>
    <x v="0"/>
    <n v="6035"/>
    <m/>
    <m/>
  </r>
  <r>
    <x v="1"/>
    <x v="8"/>
    <s v="C:\Users\andre\Desktop\REACTIV CEFAS\Anastrozole\Anastrozole/20201124_Cefas_Test7_Run1/Plate 1/@1/H10_02.tif "/>
    <s v=" 627.2669 "/>
    <s v=" 31.4828 "/>
    <x v="0"/>
    <n v="19748"/>
    <m/>
    <m/>
  </r>
  <r>
    <x v="1"/>
    <x v="8"/>
    <s v="C:\Users\andre\Desktop\REACTIV CEFAS\Anastrozole\Anastrozole/20201124_Cefas_Test7_Run1/Plate 1/@1/H10_03.tif "/>
    <s v=" 865.1958 "/>
    <s v=" 33.075 "/>
    <x v="0"/>
    <n v="28616"/>
    <m/>
    <m/>
  </r>
  <r>
    <x v="0"/>
    <x v="0"/>
    <s v=" "/>
    <m/>
    <m/>
    <x v="1"/>
    <m/>
    <m/>
    <m/>
  </r>
  <r>
    <x v="0"/>
    <x v="0"/>
    <s v="group "/>
    <s v=" "/>
    <s v=" mean of mean fluo "/>
    <x v="2"/>
    <s v=" mean of total fluo "/>
    <m/>
    <m/>
  </r>
  <r>
    <x v="1"/>
    <x v="9"/>
    <s v="C:\Users\andre\Desktop\REACTIV CEFAS\Anastrozole\Anastrozole/20201124_Cefas_Test7_Run1/Plate 1/@1/ "/>
    <s v=" "/>
    <s v=" 32.9386 "/>
    <x v="3"/>
    <s v=" 155309.917 "/>
    <m/>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Anastrozole\Anastrozole/20201124_Cefas_Test7_Run1/Plate 1/@13/A8_01.tif "/>
    <s v=" 2336.0286 "/>
    <s v=" 32.4722 "/>
    <x v="0"/>
    <n v="75856"/>
    <m/>
    <m/>
  </r>
  <r>
    <x v="2"/>
    <x v="1"/>
    <s v="C:\Users\andre\Desktop\REACTIV CEFAS\Anastrozole\Anastrozole/20201124_Cefas_Test7_Run1/Plate 1/@13/A8_02.tif "/>
    <s v=" 1578.9823 "/>
    <s v=" 31.589 "/>
    <x v="0"/>
    <n v="49879"/>
    <m/>
    <m/>
  </r>
  <r>
    <x v="2"/>
    <x v="1"/>
    <s v="C:\Users\andre\Desktop\REACTIV CEFAS\Anastrozole\Anastrozole/20201124_Cefas_Test7_Run1/Plate 1/@13/A8_03.tif "/>
    <s v=" 1687.1318 "/>
    <s v=" 32.6026 "/>
    <x v="0"/>
    <n v="55005"/>
    <m/>
    <m/>
  </r>
  <r>
    <x v="2"/>
    <x v="2"/>
    <s v="C:\Users\andre\Desktop\REACTIV CEFAS\Anastrozole\Anastrozole/20201124_Cefas_Test7_Run1/Plate 1/@13/B8_01.tif "/>
    <s v=" 1276.1638 "/>
    <s v=" 31.5763 "/>
    <x v="0"/>
    <n v="40296"/>
    <m/>
    <m/>
  </r>
  <r>
    <x v="2"/>
    <x v="2"/>
    <s v="C:\Users\andre\Desktop\REACTIV CEFAS\Anastrozole\Anastrozole/20201124_Cefas_Test7_Run1/Plate 1/@13/B8_02- exclu.tif"/>
    <m/>
    <m/>
    <x v="1"/>
    <m/>
    <m/>
    <m/>
  </r>
  <r>
    <x v="2"/>
    <x v="2"/>
    <s v="C:\Users\andre\Desktop\REACTIV CEFAS\Anastrozole\Anastrozole/20201124_Cefas_Test7_Run1/Plate 1/@13/B8_03- exclu.tif"/>
    <m/>
    <m/>
    <x v="1"/>
    <m/>
    <m/>
    <m/>
  </r>
  <r>
    <x v="2"/>
    <x v="3"/>
    <s v="C:\Users\andre\Desktop\REACTIV CEFAS\Anastrozole\Anastrozole/20201124_Cefas_Test7_Run1/Plate 1/@13/C8_01.tif "/>
    <s v=" 44644.1025 "/>
    <s v=" 39.0664 "/>
    <x v="0"/>
    <n v="1744083"/>
    <m/>
    <m/>
  </r>
  <r>
    <x v="2"/>
    <x v="3"/>
    <s v="C:\Users\andre\Desktop\REACTIV CEFAS\Anastrozole\Anastrozole/20201124_Cefas_Test7_Run1/Plate 1/@13/C8_02.tif "/>
    <s v=" 45292.9994 "/>
    <s v=" 37.7053 "/>
    <x v="0"/>
    <n v="1707788"/>
    <m/>
    <m/>
  </r>
  <r>
    <x v="2"/>
    <x v="3"/>
    <s v="C:\Users\andre\Desktop\REACTIV CEFAS\Anastrozole\Anastrozole/20201124_Cefas_Test7_Run1/Plate 1/@13/C8_03.tif "/>
    <s v=" 48580.7433 "/>
    <s v=" 39.0347 "/>
    <x v="0"/>
    <n v="1896336"/>
    <m/>
    <m/>
  </r>
  <r>
    <x v="2"/>
    <x v="4"/>
    <s v="C:\Users\andre\Desktop\REACTIV CEFAS\Anastrozole\Anastrozole/20201124_Cefas_Test7_Run1/Plate 1/@13/D8_01.tif "/>
    <s v=" 52084.7863 "/>
    <s v=" 41.1877 "/>
    <x v="0"/>
    <n v="2145253"/>
    <m/>
    <m/>
  </r>
  <r>
    <x v="2"/>
    <x v="4"/>
    <s v="C:\Users\andre\Desktop\REACTIV CEFAS\Anastrozole\Anastrozole/20201124_Cefas_Test7_Run1/Plate 1/@13/D8_02.tif "/>
    <s v=" 53815.1778 "/>
    <s v=" 43.1905 "/>
    <x v="0"/>
    <n v="2324305"/>
    <m/>
    <m/>
  </r>
  <r>
    <x v="2"/>
    <x v="4"/>
    <s v="C:\Users\andre\Desktop\REACTIV CEFAS\Anastrozole\Anastrozole/20201124_Cefas_Test7_Run1/Plate 1/@13/D8_03.tif "/>
    <s v=" 57449.0001 "/>
    <s v=" 45.4661 "/>
    <x v="0"/>
    <n v="2611983"/>
    <m/>
    <m/>
  </r>
  <r>
    <x v="2"/>
    <x v="5"/>
    <s v="C:\Users\andre\Desktop\REACTIV CEFAS\Anastrozole\Anastrozole/20201124_Cefas_Test7_Run1/Plate 1/@13/E8_01.tif "/>
    <s v=" 25393.4963 "/>
    <s v=" 34.2785 "/>
    <x v="0"/>
    <n v="870452"/>
    <m/>
    <m/>
  </r>
  <r>
    <x v="2"/>
    <x v="5"/>
    <s v="C:\Users\andre\Desktop\REACTIV CEFAS\Anastrozole\Anastrozole/20201124_Cefas_Test7_Run1/Plate 1/@13/E8_02.tif "/>
    <s v=" 24549.9304 "/>
    <s v=" 34.1427 "/>
    <x v="0"/>
    <n v="838202"/>
    <m/>
    <m/>
  </r>
  <r>
    <x v="2"/>
    <x v="5"/>
    <s v="C:\Users\andre\Desktop\REACTIV CEFAS\Anastrozole\Anastrozole/20201124_Cefas_Test7_Run1/Plate 1/@13/E8_03.tif "/>
    <s v=" 27989.0836 "/>
    <s v=" 35.2156 "/>
    <x v="0"/>
    <n v="985653"/>
    <m/>
    <m/>
  </r>
  <r>
    <x v="2"/>
    <x v="6"/>
    <s v="C:\Users\andre\Desktop\REACTIV CEFAS\Anastrozole\Anastrozole/20201124_Cefas_Test7_Run1/Plate 1/@13/F8_01.tif "/>
    <s v=" 19142.4567 "/>
    <s v=" 36.1073 "/>
    <x v="0"/>
    <n v="691183"/>
    <m/>
    <m/>
  </r>
  <r>
    <x v="2"/>
    <x v="6"/>
    <s v="C:\Users\andre\Desktop\REACTIV CEFAS\Anastrozole\Anastrozole/20201124_Cefas_Test7_Run1/Plate 1/@13/F8_02.tif "/>
    <s v=" 14902.9974 "/>
    <s v=" 44.7286 "/>
    <x v="0"/>
    <n v="666590"/>
    <m/>
    <m/>
  </r>
  <r>
    <x v="2"/>
    <x v="6"/>
    <s v="C:\Users\andre\Desktop\REACTIV CEFAS\Anastrozole\Anastrozole/20201124_Cefas_Test7_Run1/Plate 1/@13/F8_03.tif "/>
    <s v=" 22019.2327 "/>
    <s v=" 45.3271 "/>
    <x v="0"/>
    <n v="998068"/>
    <m/>
    <m/>
  </r>
  <r>
    <x v="2"/>
    <x v="7"/>
    <s v="C:\Users\andre\Desktop\REACTIV CEFAS\Anastrozole\Anastrozole/20201124_Cefas_Test7_Run1/Plate 1/@13/G8_01.tif "/>
    <s v=" 47737.1774 "/>
    <s v=" 39.3883 "/>
    <x v="0"/>
    <n v="1880287"/>
    <m/>
    <m/>
  </r>
  <r>
    <x v="2"/>
    <x v="7"/>
    <s v="C:\Users\andre\Desktop\REACTIV CEFAS\Anastrozole\Anastrozole/20201124_Cefas_Test7_Run1/Plate 1/@13/G8_02.tif "/>
    <s v=" 59785.0288 "/>
    <s v=" 42.504 "/>
    <x v="0"/>
    <n v="2541102"/>
    <m/>
    <m/>
  </r>
  <r>
    <x v="2"/>
    <x v="7"/>
    <s v="C:\Users\andre\Desktop\REACTIV CEFAS\Anastrozole\Anastrozole/20201124_Cefas_Test7_Run1/Plate 1/@13/G8_03.tif "/>
    <s v=" 58162.7867 "/>
    <s v=" 40.2793 "/>
    <x v="0"/>
    <n v="2342756"/>
    <m/>
    <m/>
  </r>
  <r>
    <x v="2"/>
    <x v="8"/>
    <s v="C:\Users\andre\Desktop\REACTIV CEFAS\Anastrozole\Anastrozole/20201124_Cefas_Test7_Run1/Plate 1/@13/H8_01.tif "/>
    <s v=" 45725.5972 "/>
    <s v=" 35.7526 "/>
    <x v="0"/>
    <n v="1634809"/>
    <m/>
    <m/>
  </r>
  <r>
    <x v="2"/>
    <x v="8"/>
    <s v="C:\Users\andre\Desktop\REACTIV CEFAS\Anastrozole\Anastrozole/20201124_Cefas_Test7_Run1/Plate 1/@13/H8_02.tif "/>
    <s v=" 54117.9964 "/>
    <s v=" 39.0847 "/>
    <x v="0"/>
    <n v="2115187"/>
    <m/>
    <m/>
  </r>
  <r>
    <x v="2"/>
    <x v="8"/>
    <s v="C:\Users\andre\Desktop\REACTIV CEFAS\Anastrozole\Anastrozole/20201124_Cefas_Test7_Run1/Plate 1/@13/H8_03.tif "/>
    <s v=" 43692.3872 "/>
    <s v=" 37.1238 "/>
    <x v="0"/>
    <n v="1622026"/>
    <m/>
    <m/>
  </r>
  <r>
    <x v="0"/>
    <x v="0"/>
    <s v=" "/>
    <m/>
    <m/>
    <x v="1"/>
    <m/>
    <m/>
    <m/>
  </r>
  <r>
    <x v="0"/>
    <x v="0"/>
    <s v="group "/>
    <s v=" "/>
    <s v=" mean of mean fluo "/>
    <x v="2"/>
    <s v=" mean of total fluo "/>
    <m/>
    <m/>
  </r>
  <r>
    <x v="2"/>
    <x v="9"/>
    <s v="C:\Users\andre\Desktop\REACTIV CEFAS\Anastrozole\Anastrozole/20201124_Cefas_Test7_Run1/Plate 1/@13/ "/>
    <s v=" "/>
    <s v=" 38.3374 "/>
    <x v="4"/>
    <s v=" 1328624.42 "/>
    <m/>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Anastrozole\Anastrozole/20201124_Cefas_Test7_Run1/Plate 1/@14/A9_01- exclu.tif"/>
    <m/>
    <m/>
    <x v="1"/>
    <m/>
    <m/>
    <m/>
  </r>
  <r>
    <x v="3"/>
    <x v="1"/>
    <s v="C:\Users\andre\Desktop\REACTIV CEFAS\Anastrozole\Anastrozole/20201124_Cefas_Test7_Run1/Plate 1/@14/A9_02- exclu.tif"/>
    <m/>
    <m/>
    <x v="1"/>
    <m/>
    <m/>
    <m/>
  </r>
  <r>
    <x v="3"/>
    <x v="1"/>
    <s v="C:\Users\andre\Desktop\REACTIV CEFAS\Anastrozole\Anastrozole/20201124_Cefas_Test7_Run1/Plate 1/@14/A9_03- exclu.tif"/>
    <m/>
    <m/>
    <x v="1"/>
    <m/>
    <m/>
    <m/>
  </r>
  <r>
    <x v="3"/>
    <x v="2"/>
    <s v="C:\Users\andre\Desktop\REACTIV CEFAS\Anastrozole\Anastrozole/20201124_Cefas_Test7_Run1/Plate 1/@14/B9_01.tif "/>
    <s v=" 32358.3224 "/>
    <s v=" 35.1364 "/>
    <x v="0"/>
    <n v="1136954"/>
    <m/>
    <m/>
  </r>
  <r>
    <x v="3"/>
    <x v="2"/>
    <s v="C:\Users\andre\Desktop\REACTIV CEFAS\Anastrozole\Anastrozole/20201124_Cefas_Test7_Run1/Plate 1/@14/B9_02.tif "/>
    <s v=" 28464.9413 "/>
    <s v=" 34.9719 "/>
    <x v="0"/>
    <n v="995473"/>
    <m/>
    <m/>
  </r>
  <r>
    <x v="3"/>
    <x v="2"/>
    <s v="C:\Users\andre\Desktop\REACTIV CEFAS\Anastrozole\Anastrozole/20201124_Cefas_Test7_Run1/Plate 1/@14/B9_03.tif "/>
    <s v=" 29719.4752 "/>
    <s v=" 35.2904 "/>
    <x v="0"/>
    <n v="1048812"/>
    <m/>
    <m/>
  </r>
  <r>
    <x v="3"/>
    <x v="3"/>
    <s v="C:\Users\andre\Desktop\REACTIV CEFAS\Anastrozole\Anastrozole/20201124_Cefas_Test7_Run1/Plate 1/@14/C9_01.tif "/>
    <s v=" 60693.4843 "/>
    <s v=" 45.3564 "/>
    <x v="0"/>
    <n v="2752837"/>
    <m/>
    <m/>
  </r>
  <r>
    <x v="3"/>
    <x v="3"/>
    <s v="C:\Users\andre\Desktop\REACTIV CEFAS\Anastrozole\Anastrozole/20201124_Cefas_Test7_Run1/Plate 1/@14/C9_02.tif "/>
    <s v=" 62034.5378 "/>
    <s v=" 43.5035 "/>
    <x v="0"/>
    <n v="2698719"/>
    <m/>
    <m/>
  </r>
  <r>
    <x v="3"/>
    <x v="3"/>
    <s v="C:\Users\andre\Desktop\REACTIV CEFAS\Anastrozole\Anastrozole/20201124_Cefas_Test7_Run1/Plate 1/@14/C9_03.tif "/>
    <s v=" 59958.0679 "/>
    <s v=" 41.2886 "/>
    <x v="0"/>
    <n v="2475585"/>
    <m/>
    <m/>
  </r>
  <r>
    <x v="3"/>
    <x v="4"/>
    <s v="C:\Users\andre\Desktop\REACTIV CEFAS\Anastrozole\Anastrozole/20201124_Cefas_Test7_Run1/Plate 1/@14/D9_01.tif "/>
    <s v=" 31536.3864 "/>
    <s v=" 46.3532 "/>
    <x v="0"/>
    <n v="1461813"/>
    <m/>
    <m/>
  </r>
  <r>
    <x v="3"/>
    <x v="4"/>
    <s v="C:\Users\andre\Desktop\REACTIV CEFAS\Anastrozole\Anastrozole/20201124_Cefas_Test7_Run1/Plate 1/@14/D9_02.tif "/>
    <s v=" 37311.5682 "/>
    <s v=" 47.8394 "/>
    <x v="0"/>
    <n v="1784964"/>
    <m/>
    <m/>
  </r>
  <r>
    <x v="3"/>
    <x v="4"/>
    <s v="C:\Users\andre\Desktop\REACTIV CEFAS\Anastrozole\Anastrozole/20201124_Cefas_Test7_Run1/Plate 1/@14/D9_03.tif "/>
    <s v=" 35473.0272 "/>
    <s v=" 45.914 "/>
    <x v="0"/>
    <n v="1628709"/>
    <m/>
    <m/>
  </r>
  <r>
    <x v="3"/>
    <x v="5"/>
    <s v="C:\Users\andre\Desktop\REACTIV CEFAS\Anastrozole\Anastrozole/20201124_Cefas_Test7_Run1/Plate 1/@14/E9_01.tif "/>
    <s v=" 74212.1685 "/>
    <s v=" 46.5887 "/>
    <x v="0"/>
    <n v="3457452"/>
    <m/>
    <m/>
  </r>
  <r>
    <x v="3"/>
    <x v="5"/>
    <s v="C:\Users\andre\Desktop\REACTIV CEFAS\Anastrozole\Anastrozole/20201124_Cefas_Test7_Run1/Plate 1/@14/E9_02- exclu.tif"/>
    <m/>
    <m/>
    <x v="1"/>
    <m/>
    <m/>
    <m/>
  </r>
  <r>
    <x v="3"/>
    <x v="5"/>
    <s v="C:\Users\andre\Desktop\REACTIV CEFAS\Anastrozole\Anastrozole/20201124_Cefas_Test7_Run1/Plate 1/@14/E9_03- exclu.tif"/>
    <m/>
    <m/>
    <x v="1"/>
    <m/>
    <m/>
    <m/>
  </r>
  <r>
    <x v="3"/>
    <x v="6"/>
    <s v="C:\Users\andre\Desktop\REACTIV CEFAS\Anastrozole\Anastrozole/20201124_Cefas_Test7_Run1/Plate 1/@14/F9_01.tif "/>
    <s v=" 41096.7998 "/>
    <s v=" 39.4295 "/>
    <x v="0"/>
    <n v="1620425"/>
    <m/>
    <m/>
  </r>
  <r>
    <x v="3"/>
    <x v="6"/>
    <s v="C:\Users\andre\Desktop\REACTIV CEFAS\Anastrozole\Anastrozole/20201124_Cefas_Test7_Run1/Plate 1/@14/F9_02.tif "/>
    <s v=" 28551.4609 "/>
    <s v=" 39.7068 "/>
    <x v="0"/>
    <n v="1133688"/>
    <m/>
    <m/>
  </r>
  <r>
    <x v="3"/>
    <x v="6"/>
    <s v="C:\Users\andre\Desktop\REACTIV CEFAS\Anastrozole\Anastrozole/20201124_Cefas_Test7_Run1/Plate 1/@14/F9_03.tif "/>
    <s v=" 28118.863 "/>
    <s v=" 39.9131 "/>
    <x v="0"/>
    <n v="1122310"/>
    <m/>
    <m/>
  </r>
  <r>
    <x v="3"/>
    <x v="7"/>
    <s v="C:\Users\andre\Desktop\REACTIV CEFAS\Anastrozole\Anastrozole/20201124_Cefas_Test7_Run1/Plate 1/@14/G9_01.tif "/>
    <s v=" 4131.3099 "/>
    <s v=" 39.4555 "/>
    <x v="0"/>
    <n v="163003"/>
    <m/>
    <m/>
  </r>
  <r>
    <x v="3"/>
    <x v="7"/>
    <s v="C:\Users\andre\Desktop\REACTIV CEFAS\Anastrozole\Anastrozole/20201124_Cefas_Test7_Run1/Plate 1/@14/G9_02.tif "/>
    <n v="0"/>
    <n v="0"/>
    <x v="0"/>
    <n v="0"/>
    <m/>
    <m/>
  </r>
  <r>
    <x v="3"/>
    <x v="7"/>
    <s v="C:\Users\andre\Desktop\REACTIV CEFAS\Anastrozole\Anastrozole/20201124_Cefas_Test7_Run1/Plate 1/@14/G9_03.tif "/>
    <s v=" 3763.6017 "/>
    <s v=" 39.6092 "/>
    <x v="0"/>
    <n v="149073"/>
    <m/>
    <m/>
  </r>
  <r>
    <x v="3"/>
    <x v="8"/>
    <s v="C:\Users\andre\Desktop\REACTIV CEFAS\Anastrozole\Anastrozole/20201124_Cefas_Test7_Run1/Plate 1/@14/H9_01.tif "/>
    <s v=" 25782.8344 "/>
    <s v=" 36.0319 "/>
    <x v="0"/>
    <n v="929004"/>
    <m/>
    <m/>
  </r>
  <r>
    <x v="3"/>
    <x v="8"/>
    <s v="C:\Users\andre\Desktop\REACTIV CEFAS\Anastrozole\Anastrozole/20201124_Cefas_Test7_Run1/Plate 1/@14/H9_02.tif "/>
    <s v=" 25847.7241 "/>
    <s v=" 35.954 "/>
    <x v="0"/>
    <n v="929328"/>
    <m/>
    <m/>
  </r>
  <r>
    <x v="3"/>
    <x v="8"/>
    <s v="C:\Users\andre\Desktop\REACTIV CEFAS\Anastrozole\Anastrozole/20201124_Cefas_Test7_Run1/Plate 1/@14/H9_03.tif "/>
    <s v=" 27816.0445 "/>
    <s v=" 36.0723 "/>
    <x v="0"/>
    <n v="1003389"/>
    <m/>
    <m/>
  </r>
  <r>
    <x v="0"/>
    <x v="0"/>
    <s v=" "/>
    <m/>
    <m/>
    <x v="1"/>
    <m/>
    <m/>
    <m/>
  </r>
  <r>
    <x v="0"/>
    <x v="0"/>
    <s v="group "/>
    <s v=" "/>
    <s v=" mean of mean fluo "/>
    <x v="2"/>
    <s v=" mean of total fluo "/>
    <m/>
    <m/>
  </r>
  <r>
    <x v="3"/>
    <x v="9"/>
    <s v="C:\Users\andre\Desktop\REACTIV CEFAS\Anastrozole\Anastrozole/20201124_Cefas_Test7_Run1/Plate 1/@14/ "/>
    <s v=" "/>
    <s v=" 39.8268 "/>
    <x v="5"/>
    <s v=" 1429516.17 "/>
    <m/>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Anastrozole\Anastrozole/20201124_Cefas_Test7_Run1/Plate 1/@15/A11_01.tif "/>
    <s v=" 72114.0687 "/>
    <s v=" 50.0033 "/>
    <x v="0"/>
    <n v="3605941"/>
    <m/>
    <m/>
  </r>
  <r>
    <x v="4"/>
    <x v="1"/>
    <s v="C:\Users\andre\Desktop\REACTIV CEFAS\Anastrozole\Anastrozole/20201124_Cefas_Test7_Run1/Plate 1/@15/A11_02.tif "/>
    <s v=" 73909.3499 "/>
    <s v=" 52.0421 "/>
    <x v="0"/>
    <n v="3846401"/>
    <m/>
    <m/>
  </r>
  <r>
    <x v="4"/>
    <x v="1"/>
    <s v="C:\Users\andre\Desktop\REACTIV CEFAS\Anastrozole\Anastrozole/20201124_Cefas_Test7_Run1/Plate 1/@15/A11_03.tif "/>
    <s v=" 62705.0645 "/>
    <s v=" 51.4232 "/>
    <x v="0"/>
    <n v="3224498"/>
    <m/>
    <m/>
  </r>
  <r>
    <x v="4"/>
    <x v="2"/>
    <s v="C:\Users\andre\Desktop\REACTIV CEFAS\Anastrozole\Anastrozole/20201124_Cefas_Test7_Run1/Plate 1/@15/B11_01.tif "/>
    <s v=" 70124.1184 "/>
    <s v=" 51.0074 "/>
    <x v="0"/>
    <n v="3576849"/>
    <m/>
    <m/>
  </r>
  <r>
    <x v="4"/>
    <x v="2"/>
    <s v="C:\Users\andre\Desktop\REACTIV CEFAS\Anastrozole\Anastrozole/20201124_Cefas_Test7_Run1/Plate 1/@15/B11_02.tif "/>
    <s v=" 76418.4177 "/>
    <s v=" 48.9901 "/>
    <x v="0"/>
    <n v="3743745"/>
    <m/>
    <m/>
  </r>
  <r>
    <x v="4"/>
    <x v="2"/>
    <s v="C:\Users\andre\Desktop\REACTIV CEFAS\Anastrozole\Anastrozole/20201124_Cefas_Test7_Run1/Plate 1/@15/B11_03.tif "/>
    <s v=" 80073.8699 "/>
    <s v=" 55.6545 "/>
    <x v="0"/>
    <n v="4456472"/>
    <m/>
    <m/>
  </r>
  <r>
    <x v="4"/>
    <x v="3"/>
    <s v="C:\Users\andre\Desktop\REACTIV CEFAS\Anastrozole\Anastrozole/20201124_Cefas_Test7_Run1/Plate 1/@15/C11_01.tif "/>
    <s v=" 60563.705 "/>
    <s v=" 48.7568 "/>
    <x v="0"/>
    <n v="2952892"/>
    <m/>
    <m/>
  </r>
  <r>
    <x v="4"/>
    <x v="3"/>
    <s v="C:\Users\andre\Desktop\REACTIV CEFAS\Anastrozole\Anastrozole/20201124_Cefas_Test7_Run1/Plate 1/@15/C11_02.tif "/>
    <s v=" 62034.5378 "/>
    <s v=" 48.3135 "/>
    <x v="0"/>
    <n v="2997103"/>
    <m/>
    <m/>
  </r>
  <r>
    <x v="4"/>
    <x v="3"/>
    <s v="C:\Users\andre\Desktop\REACTIV CEFAS\Anastrozole\Anastrozole/20201124_Cefas_Test7_Run1/Plate 1/@15/C11_03.tif "/>
    <s v=" 63137.6624 "/>
    <s v=" 47.0935 "/>
    <x v="0"/>
    <n v="2973375"/>
    <m/>
    <m/>
  </r>
  <r>
    <x v="4"/>
    <x v="4"/>
    <s v="C:\Users\andre\Desktop\REACTIV CEFAS\Anastrozole\Anastrozole/20201124_Cefas_Test7_Run1/Plate 1/@15/D11_01- exclu.tif"/>
    <m/>
    <m/>
    <x v="1"/>
    <m/>
    <m/>
    <m/>
  </r>
  <r>
    <x v="4"/>
    <x v="4"/>
    <s v="C:\Users\andre\Desktop\REACTIV CEFAS\Anastrozole\Anastrozole/20201124_Cefas_Test7_Run1/Plate 1/@15/D11_02.tif "/>
    <s v=" 55221.121 "/>
    <s v=" 47.8888 "/>
    <x v="0"/>
    <n v="2644471"/>
    <m/>
    <m/>
  </r>
  <r>
    <x v="4"/>
    <x v="4"/>
    <s v="C:\Users\andre\Desktop\REACTIV CEFAS\Anastrozole\Anastrozole/20201124_Cefas_Test7_Run1/Plate 1/@15/D11_03.tif "/>
    <s v=" 59958.0679 "/>
    <s v=" 43.7994 "/>
    <x v="0"/>
    <n v="2626129"/>
    <m/>
    <m/>
  </r>
  <r>
    <x v="4"/>
    <x v="5"/>
    <s v="C:\Users\andre\Desktop\REACTIV CEFAS\Anastrozole\Anastrozole/20201124_Cefas_Test7_Run1/Plate 1/@15/E11_01.tif "/>
    <s v=" 73282.083 "/>
    <s v=" 55.0732 "/>
    <x v="0"/>
    <n v="4035879"/>
    <m/>
    <m/>
  </r>
  <r>
    <x v="4"/>
    <x v="5"/>
    <s v="C:\Users\andre\Desktop\REACTIV CEFAS\Anastrozole\Anastrozole/20201124_Cefas_Test7_Run1/Plate 1/@15/E11_02.tif "/>
    <s v=" 76634.7167 "/>
    <s v=" 56.2904 "/>
    <x v="0"/>
    <n v="4313801"/>
    <m/>
    <m/>
  </r>
  <r>
    <x v="4"/>
    <x v="5"/>
    <s v="C:\Users\andre\Desktop\REACTIV CEFAS\Anastrozole\Anastrozole/20201124_Cefas_Test7_Run1/Plate 1/@15/E11_03.tif "/>
    <s v=" 87190.1052 "/>
    <s v=" 51.7948 "/>
    <x v="0"/>
    <n v="4515998"/>
    <m/>
    <m/>
  </r>
  <r>
    <x v="4"/>
    <x v="6"/>
    <s v="C:\Users\andre\Desktop\REACTIV CEFAS\Anastrozole\Anastrozole/20201124_Cefas_Test7_Run1/Plate 1/@15/F11_01.tif "/>
    <s v=" 75899.3003 "/>
    <s v=" 46.9364 "/>
    <x v="0"/>
    <n v="3562444"/>
    <m/>
    <m/>
  </r>
  <r>
    <x v="4"/>
    <x v="6"/>
    <s v="C:\Users\andre\Desktop\REACTIV CEFAS\Anastrozole\Anastrozole/20201124_Cefas_Test7_Run1/Plate 1/@15/F11_02.tif "/>
    <s v=" 70643.2359 "/>
    <s v=" 45.9198 "/>
    <x v="0"/>
    <n v="3243922"/>
    <m/>
    <m/>
  </r>
  <r>
    <x v="4"/>
    <x v="6"/>
    <s v="C:\Users\andre\Desktop\REACTIV CEFAS\Anastrozole\Anastrozole/20201124_Cefas_Test7_Run1/Plate 1/@15/F11_03.tif "/>
    <s v=" 68458.6165 "/>
    <s v=" 46.0821 "/>
    <x v="0"/>
    <n v="3154720"/>
    <m/>
    <m/>
  </r>
  <r>
    <x v="4"/>
    <x v="7"/>
    <s v="C:\Users\andre\Desktop\REACTIV CEFAS\Anastrozole\Anastrozole/20201124_Cefas_Test7_Run1/Plate 1/@15/G11_01.tif "/>
    <s v=" 83750.952 "/>
    <s v=" 51.0953 "/>
    <x v="0"/>
    <n v="4279280"/>
    <m/>
    <m/>
  </r>
  <r>
    <x v="4"/>
    <x v="7"/>
    <s v="C:\Users\andre\Desktop\REACTIV CEFAS\Anastrozole\Anastrozole/20201124_Cefas_Test7_Run1/Plate 1/@15/G11_02.tif "/>
    <s v=" 83102.0552 "/>
    <s v=" 55.1996 "/>
    <x v="0"/>
    <n v="4587203"/>
    <m/>
    <m/>
  </r>
  <r>
    <x v="4"/>
    <x v="7"/>
    <s v="C:\Users\andre\Desktop\REACTIV CEFAS\Anastrozole\Anastrozole/20201124_Cefas_Test7_Run1/Plate 1/@15/G11_03.tif "/>
    <s v=" 80030.6101 "/>
    <s v=" 55.4376 "/>
    <x v="0"/>
    <n v="4436702"/>
    <m/>
    <m/>
  </r>
  <r>
    <x v="4"/>
    <x v="8"/>
    <s v="C:\Users\andre\Desktop\REACTIV CEFAS\Anastrozole\Anastrozole/20201124_Cefas_Test7_Run1/Plate 1/@15/H11_01.tif "/>
    <s v=" 58206.0464 "/>
    <s v=" 44.9647 "/>
    <x v="0"/>
    <n v="2617217"/>
    <m/>
    <m/>
  </r>
  <r>
    <x v="4"/>
    <x v="8"/>
    <s v="C:\Users\andre\Desktop\REACTIV CEFAS\Anastrozole\Anastrozole/20201124_Cefas_Test7_Run1/Plate 1/@15/H11_02.tif "/>
    <s v=" 48688.8928 "/>
    <s v=" 45.7006 "/>
    <x v="0"/>
    <n v="2225111"/>
    <m/>
    <m/>
  </r>
  <r>
    <x v="4"/>
    <x v="8"/>
    <s v="C:\Users\andre\Desktop\REACTIV CEFAS\Anastrozole\Anastrozole/20201124_Cefas_Test7_Run1/Plate 1/@15/H11_03.tif "/>
    <s v=" 45314.6292 "/>
    <s v=" 45.1819 "/>
    <x v="0"/>
    <n v="2047399"/>
    <m/>
    <m/>
  </r>
  <r>
    <x v="0"/>
    <x v="0"/>
    <s v=" "/>
    <m/>
    <m/>
    <x v="1"/>
    <m/>
    <m/>
    <m/>
  </r>
  <r>
    <x v="0"/>
    <x v="0"/>
    <s v="group "/>
    <s v=" "/>
    <s v=" mean of mean fluo "/>
    <x v="2"/>
    <s v=" mean of total fluo "/>
    <m/>
    <m/>
  </r>
  <r>
    <x v="4"/>
    <x v="9"/>
    <s v="C:\Users\andre\Desktop\REACTIV CEFAS\Anastrozole\Anastrozole/20201124_Cefas_Test7_Run1/Plate 1/@15/ "/>
    <s v=" "/>
    <s v=" 49.5078 "/>
    <x v="6"/>
    <s v=" 3423853.67 "/>
    <m/>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Anastrozole\Anastrozole/20201124_Cefas_Test7_Run1/Plate 1/@16/A12_01.tif "/>
    <n v="0"/>
    <n v="0"/>
    <x v="0"/>
    <n v="0"/>
    <m/>
    <m/>
  </r>
  <r>
    <x v="5"/>
    <x v="1"/>
    <s v="C:\Users\andre\Desktop\REACTIV CEFAS\Anastrozole\Anastrozole/20201124_Cefas_Test7_Run1/Plate 1/@16/A12_02.tif "/>
    <n v="0"/>
    <n v="0"/>
    <x v="0"/>
    <n v="0"/>
    <m/>
    <m/>
  </r>
  <r>
    <x v="5"/>
    <x v="1"/>
    <s v="C:\Users\andre\Desktop\REACTIV CEFAS\Anastrozole\Anastrozole/20201124_Cefas_Test7_Run1/Plate 1/@16/A12_03.tif "/>
    <s v=" 21.6299 "/>
    <n v="30"/>
    <x v="0"/>
    <n v="649"/>
    <m/>
    <m/>
  </r>
  <r>
    <x v="5"/>
    <x v="2"/>
    <s v="C:\Users\andre\Desktop\REACTIV CEFAS\Anastrozole\Anastrozole/20201124_Cefas_Test7_Run1/Plate 1/@16/B12_01.tif "/>
    <s v=" 346.0783 "/>
    <s v=" 30.75 "/>
    <x v="0"/>
    <n v="10642"/>
    <m/>
    <m/>
  </r>
  <r>
    <x v="5"/>
    <x v="2"/>
    <s v="C:\Users\andre\Desktop\REACTIV CEFAS\Anastrozole\Anastrozole/20201124_Cefas_Test7_Run1/Plate 1/@16/B12_02.tif "/>
    <s v=" 3828.4913 "/>
    <s v=" 36.5537 "/>
    <x v="0"/>
    <n v="139945"/>
    <m/>
    <m/>
  </r>
  <r>
    <x v="5"/>
    <x v="2"/>
    <s v="C:\Users\andre\Desktop\REACTIV CEFAS\Anastrozole\Anastrozole/20201124_Cefas_Test7_Run1/Plate 1/@16/B12_03.tif "/>
    <s v=" 4931.616 "/>
    <s v=" 36.8684 "/>
    <x v="0"/>
    <n v="181821"/>
    <m/>
    <m/>
  </r>
  <r>
    <x v="5"/>
    <x v="3"/>
    <s v="C:\Users\andre\Desktop\REACTIV CEFAS\Anastrozole\Anastrozole/20201124_Cefas_Test7_Run1/Plate 1/@16/C12_01.tif "/>
    <s v=" 3936.6408 "/>
    <s v=" 35.3681 "/>
    <x v="0"/>
    <n v="139232"/>
    <m/>
    <m/>
  </r>
  <r>
    <x v="5"/>
    <x v="3"/>
    <s v="C:\Users\andre\Desktop\REACTIV CEFAS\Anastrozole\Anastrozole/20201124_Cefas_Test7_Run1/Plate 1/@16/C12_02.tif "/>
    <s v=" 6013.1107 "/>
    <s v=" 40.4532 "/>
    <x v="0"/>
    <n v="243250"/>
    <m/>
    <m/>
  </r>
  <r>
    <x v="5"/>
    <x v="3"/>
    <s v="C:\Users\andre\Desktop\REACTIV CEFAS\Anastrozole\Anastrozole/20201124_Cefas_Test7_Run1/Plate 1/@16/C12_03.tif "/>
    <s v=" 5039.7654 "/>
    <s v=" 36.6738 "/>
    <x v="0"/>
    <n v="184827"/>
    <m/>
    <m/>
  </r>
  <r>
    <x v="5"/>
    <x v="4"/>
    <s v="C:\Users\andre\Desktop\REACTIV CEFAS\Anastrozole\Anastrozole/20201124_Cefas_Test7_Run1/Plate 1/@16/D12_01.tif "/>
    <s v=" 4628.7975 "/>
    <s v=" 33.4579 "/>
    <x v="0"/>
    <n v="154870"/>
    <m/>
    <m/>
  </r>
  <r>
    <x v="5"/>
    <x v="4"/>
    <s v="C:\Users\andre\Desktop\REACTIV CEFAS\Anastrozole\Anastrozole/20201124_Cefas_Test7_Run1/Plate 1/@16/D12_02.tif "/>
    <s v=" 8998.0362 "/>
    <s v=" 41.3558 "/>
    <x v="0"/>
    <n v="372121"/>
    <m/>
    <m/>
  </r>
  <r>
    <x v="5"/>
    <x v="4"/>
    <s v="C:\Users\andre\Desktop\REACTIV CEFAS\Anastrozole\Anastrozole/20201124_Cefas_Test7_Run1/Plate 1/@16/D12_03.tif "/>
    <s v=" 6186.1499 "/>
    <s v=" 34.3881 "/>
    <x v="0"/>
    <n v="212730"/>
    <m/>
    <m/>
  </r>
  <r>
    <x v="5"/>
    <x v="5"/>
    <s v="C:\Users\andre\Desktop\REACTIV CEFAS\Anastrozole\Anastrozole/20201124_Cefas_Test7_Run1/Plate 1/@16/E12_01.tif "/>
    <s v=" 540.7474 "/>
    <s v=" 32.88 "/>
    <x v="0"/>
    <n v="17780"/>
    <m/>
    <m/>
  </r>
  <r>
    <x v="5"/>
    <x v="5"/>
    <s v="C:\Users\andre\Desktop\REACTIV CEFAS\Anastrozole\Anastrozole/20201124_Cefas_Test7_Run1/Plate 1/@16/E12_02.tif "/>
    <s v=" 4239.4593 "/>
    <s v=" 37.8724 "/>
    <x v="0"/>
    <n v="160559"/>
    <m/>
    <m/>
  </r>
  <r>
    <x v="5"/>
    <x v="5"/>
    <s v="C:\Users\andre\Desktop\REACTIV CEFAS\Anastrozole\Anastrozole/20201124_Cefas_Test7_Run1/Plate 1/@16/E12_03.tif "/>
    <s v=" 3633.8223 "/>
    <s v=" 37.7857 "/>
    <x v="0"/>
    <n v="137307"/>
    <m/>
    <m/>
  </r>
  <r>
    <x v="5"/>
    <x v="6"/>
    <s v="C:\Users\andre\Desktop\REACTIV CEFAS\Anastrozole\Anastrozole/20201124_Cefas_Test7_Run1/Plate 1/@16/F12_01.tif "/>
    <s v=" 9365.7444 "/>
    <s v=" 43.2771 "/>
    <x v="0"/>
    <n v="405323"/>
    <m/>
    <m/>
  </r>
  <r>
    <x v="5"/>
    <x v="6"/>
    <s v="C:\Users\andre\Desktop\REACTIV CEFAS\Anastrozole\Anastrozole/20201124_Cefas_Test7_Run1/Plate 1/@16/F12_02.tif "/>
    <s v=" 5385.8438 "/>
    <s v=" 44.502 "/>
    <x v="0"/>
    <n v="239681"/>
    <m/>
    <m/>
  </r>
  <r>
    <x v="5"/>
    <x v="6"/>
    <s v="C:\Users\andre\Desktop\REACTIV CEFAS\Anastrozole\Anastrozole/20201124_Cefas_Test7_Run1/Plate 1/@16/F12_03.tif "/>
    <s v=" 5299.3242 "/>
    <s v=" 40.5102 "/>
    <x v="0"/>
    <n v="214677"/>
    <m/>
    <m/>
  </r>
  <r>
    <x v="5"/>
    <x v="7"/>
    <s v="C:\Users\andre\Desktop\REACTIV CEFAS\Anastrozole\Anastrozole/20201124_Cefas_Test7_Run1/Plate 1/@16/G12_01.tif "/>
    <s v=" 8565.4383 "/>
    <s v=" 42.9318 "/>
    <x v="0"/>
    <n v="367730"/>
    <m/>
    <m/>
  </r>
  <r>
    <x v="5"/>
    <x v="7"/>
    <s v="C:\Users\andre\Desktop\REACTIV CEFAS\Anastrozole\Anastrozole/20201124_Cefas_Test7_Run1/Plate 1/@16/G12_02.tif "/>
    <s v=" 8803.3671 "/>
    <s v=" 38.3514 "/>
    <x v="0"/>
    <n v="337621"/>
    <m/>
    <m/>
  </r>
  <r>
    <x v="5"/>
    <x v="7"/>
    <s v="C:\Users\andre\Desktop\REACTIV CEFAS\Anastrozole\Anastrozole/20201124_Cefas_Test7_Run1/Plate 1/@16/G12_03.tif "/>
    <s v=" 5126.285 "/>
    <s v=" 37.2532 "/>
    <x v="0"/>
    <n v="190970"/>
    <m/>
    <m/>
  </r>
  <r>
    <x v="5"/>
    <x v="8"/>
    <s v="C:\Users\andre\Desktop\REACTIV CEFAS\Anastrozole\Anastrozole/20201124_Cefas_Test7_Run1/Plate 1/@16/H12_01.tif "/>
    <s v=" 4736.9469 "/>
    <s v=" 37.3288 "/>
    <x v="0"/>
    <n v="176824"/>
    <m/>
    <m/>
  </r>
  <r>
    <x v="5"/>
    <x v="8"/>
    <s v="C:\Users\andre\Desktop\REACTIV CEFAS\Anastrozole\Anastrozole/20201124_Cefas_Test7_Run1/Plate 1/@16/H12_02.tif "/>
    <s v=" 12112.741 "/>
    <s v=" 34.3804 "/>
    <x v="0"/>
    <n v="416440"/>
    <m/>
    <m/>
  </r>
  <r>
    <x v="5"/>
    <x v="8"/>
    <s v="C:\Users\andre\Desktop\REACTIV CEFAS\Anastrozole\Anastrozole/20201124_Cefas_Test7_Run1/Plate 1/@16/H12_03.tif "/>
    <s v=" 3049.8151 "/>
    <s v=" 33.5887 "/>
    <x v="0"/>
    <n v="102439"/>
    <m/>
    <m/>
  </r>
  <r>
    <x v="0"/>
    <x v="0"/>
    <s v=" "/>
    <m/>
    <m/>
    <x v="1"/>
    <m/>
    <m/>
    <m/>
  </r>
  <r>
    <x v="0"/>
    <x v="0"/>
    <s v="group "/>
    <s v=" "/>
    <s v=" mean of mean fluo "/>
    <x v="2"/>
    <s v=" mean of total fluo "/>
    <m/>
    <m/>
  </r>
  <r>
    <x v="5"/>
    <x v="9"/>
    <s v="C:\Users\andre\Desktop\REACTIV CEFAS\Anastrozole\Anastrozole/20201124_Cefas_Test7_Run1/Plate 1/@16/ "/>
    <s v=" "/>
    <s v=" 34.0221 "/>
    <x v="7"/>
    <s v=" 183643.25 "/>
    <m/>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Anastrozole\Anastrozole/20201124_Cefas_Test7_Run1/Plate 1/@2/A2_01.tif "/>
    <s v=" 886.8257 "/>
    <s v=" 34.5122 "/>
    <x v="0"/>
    <n v="30606"/>
    <m/>
    <m/>
  </r>
  <r>
    <x v="6"/>
    <x v="1"/>
    <s v="C:\Users\andre\Desktop\REACTIV CEFAS\Anastrozole\Anastrozole/20201124_Cefas_Test7_Run1/Plate 1/@2/A2_02.tif "/>
    <s v=" 973.3453 "/>
    <s v=" 32.4222 "/>
    <x v="0"/>
    <n v="31558"/>
    <m/>
    <m/>
  </r>
  <r>
    <x v="6"/>
    <x v="1"/>
    <s v="C:\Users\andre\Desktop\REACTIV CEFAS\Anastrozole\Anastrozole/20201124_Cefas_Test7_Run1/Plate 1/@2/A2_03.tif "/>
    <s v=" 1578.9823 "/>
    <s v=" 32.1781 "/>
    <x v="0"/>
    <n v="50809"/>
    <m/>
    <m/>
  </r>
  <r>
    <x v="6"/>
    <x v="2"/>
    <s v="C:\Users\andre\Desktop\REACTIV CEFAS\Anastrozole\Anastrozole/20201124_Cefas_Test7_Run1/Plate 1/@2/B2_01.tif "/>
    <s v=" 5948.221 "/>
    <s v=" 39.36 "/>
    <x v="0"/>
    <n v="234122"/>
    <m/>
    <m/>
  </r>
  <r>
    <x v="6"/>
    <x v="2"/>
    <s v="C:\Users\andre\Desktop\REACTIV CEFAS\Anastrozole\Anastrozole/20201124_Cefas_Test7_Run1/Plate 1/@2/B2_02.tif "/>
    <s v=" 10144.4206 "/>
    <s v=" 41.9957 "/>
    <x v="0"/>
    <n v="426022"/>
    <m/>
    <m/>
  </r>
  <r>
    <x v="6"/>
    <x v="2"/>
    <s v="C:\Users\andre\Desktop\REACTIV CEFAS\Anastrozole\Anastrozole/20201124_Cefas_Test7_Run1/Plate 1/@2/B2_03.tif "/>
    <s v=" 9171.0753 "/>
    <s v=" 40.5778 "/>
    <x v="0"/>
    <n v="372142"/>
    <m/>
    <m/>
  </r>
  <r>
    <x v="6"/>
    <x v="3"/>
    <s v="C:\Users\andre\Desktop\REACTIV CEFAS\Anastrozole\Anastrozole/20201124_Cefas_Test7_Run1/Plate 1/@2/C2_01.tif "/>
    <s v=" 8435.6589 "/>
    <s v=" 38.9154 "/>
    <x v="0"/>
    <n v="328277"/>
    <m/>
    <m/>
  </r>
  <r>
    <x v="6"/>
    <x v="3"/>
    <s v="C:\Users\andre\Desktop\REACTIV CEFAS\Anastrozole\Anastrozole/20201124_Cefas_Test7_Run1/Plate 1/@2/C2_02.tif "/>
    <s v=" 10555.3886 "/>
    <s v=" 41.6107 "/>
    <x v="0"/>
    <n v="439217"/>
    <m/>
    <m/>
  </r>
  <r>
    <x v="6"/>
    <x v="3"/>
    <s v="C:\Users\andre\Desktop\REACTIV CEFAS\Anastrozole\Anastrozole/20201124_Cefas_Test7_Run1/Plate 1/@2/C2_03.tif "/>
    <s v=" 9884.8618 "/>
    <s v=" 41.221 "/>
    <x v="0"/>
    <n v="407464"/>
    <m/>
    <m/>
  </r>
  <r>
    <x v="6"/>
    <x v="4"/>
    <s v="C:\Users\andre\Desktop\REACTIV CEFAS\Anastrozole\Anastrozole/20201124_Cefas_Test7_Run1/Plate 1/@2/D2_01.tif "/>
    <s v=" 2465.808 "/>
    <s v=" 32.8596 "/>
    <x v="0"/>
    <n v="81026"/>
    <m/>
    <m/>
  </r>
  <r>
    <x v="6"/>
    <x v="4"/>
    <s v="C:\Users\andre\Desktop\REACTIV CEFAS\Anastrozole\Anastrozole/20201124_Cefas_Test7_Run1/Plate 1/@2/D2_02- exclu.tif"/>
    <m/>
    <m/>
    <x v="1"/>
    <m/>
    <m/>
    <m/>
  </r>
  <r>
    <x v="6"/>
    <x v="4"/>
    <s v="C:\Users\andre\Desktop\REACTIV CEFAS\Anastrozole\Anastrozole/20201124_Cefas_Test7_Run1/Plate 1/@2/D2_03- exclu.tif"/>
    <m/>
    <m/>
    <x v="1"/>
    <m/>
    <m/>
    <m/>
  </r>
  <r>
    <x v="6"/>
    <x v="5"/>
    <s v="C:\Users\andre\Desktop\REACTIV CEFAS\Anastrozole\Anastrozole/20201124_Cefas_Test7_Run1/Plate 1/@2/E2_01.tif "/>
    <s v=" 3395.8935 "/>
    <s v=" 31.5287 "/>
    <x v="0"/>
    <n v="107068"/>
    <m/>
    <m/>
  </r>
  <r>
    <x v="6"/>
    <x v="5"/>
    <s v="C:\Users\andre\Desktop\REACTIV CEFAS\Anastrozole\Anastrozole/20201124_Cefas_Test7_Run1/Plate 1/@2/E2_02.tif "/>
    <s v=" 7267.6446 "/>
    <s v=" 37.1071 "/>
    <x v="0"/>
    <n v="269682"/>
    <m/>
    <m/>
  </r>
  <r>
    <x v="6"/>
    <x v="5"/>
    <s v="C:\Users\andre\Desktop\REACTIV CEFAS\Anastrozole\Anastrozole/20201124_Cefas_Test7_Run1/Plate 1/@2/E2_03.tif "/>
    <s v=" 8197.7301 "/>
    <s v=" 37.4776 "/>
    <x v="0"/>
    <n v="307231"/>
    <m/>
    <m/>
  </r>
  <r>
    <x v="6"/>
    <x v="6"/>
    <s v="C:\Users\andre\Desktop\REACTIV CEFAS\Anastrozole\Anastrozole/20201124_Cefas_Test7_Run1/Plate 1/@2/F2_01.tif "/>
    <s v=" 2076.4699 "/>
    <s v=" 34.1875 "/>
    <x v="0"/>
    <n v="70989"/>
    <m/>
    <m/>
  </r>
  <r>
    <x v="6"/>
    <x v="6"/>
    <s v="C:\Users\andre\Desktop\REACTIV CEFAS\Anastrozole\Anastrozole/20201124_Cefas_Test7_Run1/Plate 1/@2/F2_02.tif "/>
    <s v=" 3049.8151 "/>
    <s v=" 33.1418 "/>
    <x v="0"/>
    <n v="101076"/>
    <m/>
    <m/>
  </r>
  <r>
    <x v="6"/>
    <x v="6"/>
    <s v="C:\Users\andre\Desktop\REACTIV CEFAS\Anastrozole\Anastrozole/20201124_Cefas_Test7_Run1/Plate 1/@2/F2_03.tif "/>
    <s v=" 4542.2779 "/>
    <s v=" 33.1381 "/>
    <x v="0"/>
    <n v="150522"/>
    <m/>
    <m/>
  </r>
  <r>
    <x v="6"/>
    <x v="7"/>
    <s v="C:\Users\andre\Desktop\REACTIV CEFAS\Anastrozole\Anastrozole/20201124_Cefas_Test7_Run1/Plate 1/@2/G2_01.tif "/>
    <s v=" 6056.3705 "/>
    <s v=" 39.5929 "/>
    <x v="0"/>
    <n v="239789"/>
    <m/>
    <m/>
  </r>
  <r>
    <x v="6"/>
    <x v="7"/>
    <s v="C:\Users\andre\Desktop\REACTIV CEFAS\Anastrozole\Anastrozole/20201124_Cefas_Test7_Run1/Plate 1/@2/G2_02.tif "/>
    <s v=" 5191.1747 "/>
    <s v=" 36.4458 "/>
    <x v="0"/>
    <n v="189197"/>
    <m/>
    <m/>
  </r>
  <r>
    <x v="6"/>
    <x v="7"/>
    <s v="C:\Users\andre\Desktop\REACTIV CEFAS\Anastrozole\Anastrozole/20201124_Cefas_Test7_Run1/Plate 1/@2/G2_03.tif "/>
    <s v=" 4715.317 "/>
    <s v=" 34.7156 "/>
    <x v="0"/>
    <n v="163695"/>
    <m/>
    <m/>
  </r>
  <r>
    <x v="6"/>
    <x v="8"/>
    <s v="C:\Users\andre\Desktop\REACTIV CEFAS\Anastrozole\Anastrozole/20201124_Cefas_Test7_Run1/Plate 1/@2/H2_01.tif "/>
    <s v=" 2162.9895 "/>
    <s v=" 36.81 "/>
    <x v="0"/>
    <n v="79620"/>
    <m/>
    <m/>
  </r>
  <r>
    <x v="6"/>
    <x v="8"/>
    <s v="C:\Users\andre\Desktop\REACTIV CEFAS\Anastrozole\Anastrozole/20201124_Cefas_Test7_Run1/Plate 1/@2/H2_02.tif "/>
    <s v=" 4455.7583 "/>
    <s v=" 39.7864 "/>
    <x v="0"/>
    <n v="177279"/>
    <m/>
    <m/>
  </r>
  <r>
    <x v="6"/>
    <x v="8"/>
    <s v="C:\Users\andre\Desktop\REACTIV CEFAS\Anastrozole\Anastrozole/20201124_Cefas_Test7_Run1/Plate 1/@2/H2_03.tif "/>
    <s v=" 2400.9183 "/>
    <s v=" 35.3243 "/>
    <x v="0"/>
    <n v="84811"/>
    <m/>
    <m/>
  </r>
  <r>
    <x v="0"/>
    <x v="0"/>
    <s v=" "/>
    <m/>
    <m/>
    <x v="1"/>
    <m/>
    <m/>
    <m/>
  </r>
  <r>
    <x v="0"/>
    <x v="0"/>
    <s v="group "/>
    <s v=" "/>
    <s v=" mean of mean fluo "/>
    <x v="2"/>
    <s v=" mean of total fluo "/>
    <m/>
    <m/>
  </r>
  <r>
    <x v="6"/>
    <x v="9"/>
    <s v="C:\Users\andre\Desktop\REACTIV CEFAS\Anastrozole\Anastrozole/20201124_Cefas_Test7_Run1/Plate 1/@2/ "/>
    <s v=" "/>
    <s v=" 36.3657 "/>
    <x v="8"/>
    <s v=" 194740.25 "/>
    <m/>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Anastrozole\Anastrozole/20201124_Cefas_Test7_Run1/Plate 1/@3/A3_01.tif "/>
    <s v=" 584.0072 "/>
    <s v=" 31.6667 "/>
    <x v="0"/>
    <n v="18494"/>
    <m/>
    <m/>
  </r>
  <r>
    <x v="7"/>
    <x v="1"/>
    <s v="C:\Users\andre\Desktop\REACTIV CEFAS\Anastrozole\Anastrozole/20201124_Cefas_Test7_Run1/Plate 1/@3/A3_02.tif "/>
    <s v=" 2855.1461 "/>
    <s v=" 31.8106 "/>
    <x v="0"/>
    <n v="90824"/>
    <m/>
    <m/>
  </r>
  <r>
    <x v="7"/>
    <x v="1"/>
    <s v="C:\Users\andre\Desktop\REACTIV CEFAS\Anastrozole\Anastrozole/20201124_Cefas_Test7_Run1/Plate 1/@3/A3_03.tif "/>
    <s v=" 670.5267 "/>
    <s v=" 32.2258 "/>
    <x v="0"/>
    <n v="21608"/>
    <m/>
    <m/>
  </r>
  <r>
    <x v="7"/>
    <x v="2"/>
    <s v="C:\Users\andre\Desktop\REACTIV CEFAS\Anastrozole\Anastrozole/20201124_Cefas_Test7_Run1/Plate 1/@3/B3_01.tif "/>
    <s v=" 64.8897 "/>
    <s v=" 31.3333 "/>
    <x v="0"/>
    <n v="2033"/>
    <m/>
    <m/>
  </r>
  <r>
    <x v="7"/>
    <x v="2"/>
    <s v="C:\Users\andre\Desktop\REACTIV CEFAS\Anastrozole\Anastrozole/20201124_Cefas_Test7_Run1/Plate 1/@3/B3_02.tif "/>
    <s v=" 259.5587 "/>
    <s v=" 30.4167 "/>
    <x v="0"/>
    <n v="7895"/>
    <m/>
    <m/>
  </r>
  <r>
    <x v="7"/>
    <x v="2"/>
    <s v="C:\Users\andre\Desktop\REACTIV CEFAS\Anastrozole\Anastrozole/20201124_Cefas_Test7_Run1/Plate 1/@3/B3_03.tif "/>
    <s v=" 3309.3739 "/>
    <s v=" 35.5948 "/>
    <x v="0"/>
    <n v="117796"/>
    <m/>
    <m/>
  </r>
  <r>
    <x v="7"/>
    <x v="3"/>
    <s v="C:\Users\andre\Desktop\REACTIV CEFAS\Anastrozole\Anastrozole/20201124_Cefas_Test7_Run1/Plate 1/@3/C3_01.tif "/>
    <s v=" 2314.3987 "/>
    <s v=" 35.4206 "/>
    <x v="0"/>
    <n v="81977"/>
    <m/>
    <m/>
  </r>
  <r>
    <x v="7"/>
    <x v="3"/>
    <s v="C:\Users\andre\Desktop\REACTIV CEFAS\Anastrozole\Anastrozole/20201124_Cefas_Test7_Run1/Plate 1/@3/C3_02.tif "/>
    <s v=" 4953.2459 "/>
    <s v=" 39.0175 "/>
    <x v="0"/>
    <n v="193263"/>
    <m/>
    <m/>
  </r>
  <r>
    <x v="7"/>
    <x v="3"/>
    <s v="C:\Users\andre\Desktop\REACTIV CEFAS\Anastrozole\Anastrozole/20201124_Cefas_Test7_Run1/Plate 1/@3/C3_03.tif "/>
    <s v=" 194.6691 "/>
    <s v=" 31.7778 "/>
    <x v="0"/>
    <n v="6186"/>
    <m/>
    <m/>
  </r>
  <r>
    <x v="7"/>
    <x v="4"/>
    <s v="C:\Users\andre\Desktop\REACTIV CEFAS\Anastrozole\Anastrozole/20201124_Cefas_Test7_Run1/Plate 1/@3/D3_01.tif "/>
    <s v=" 1622.2421 "/>
    <s v=" 32.24 "/>
    <x v="0"/>
    <n v="52301"/>
    <m/>
    <m/>
  </r>
  <r>
    <x v="7"/>
    <x v="4"/>
    <s v="C:\Users\andre\Desktop\REACTIV CEFAS\Anastrozole\Anastrozole/20201124_Cefas_Test7_Run1/Plate 1/@3/D3_02.tif "/>
    <s v=" 1016.605 "/>
    <s v=" 32.1277 "/>
    <x v="0"/>
    <n v="32661"/>
    <m/>
    <m/>
  </r>
  <r>
    <x v="7"/>
    <x v="4"/>
    <s v="C:\Users\andre\Desktop\REACTIV CEFAS\Anastrozole\Anastrozole/20201124_Cefas_Test7_Run1/Plate 1/@3/D3_03.tif "/>
    <s v=" 1622.2421 "/>
    <s v=" 33.1733 "/>
    <x v="0"/>
    <n v="53815"/>
    <m/>
    <m/>
  </r>
  <r>
    <x v="7"/>
    <x v="5"/>
    <s v="C:\Users\andre\Desktop\REACTIV CEFAS\Anastrozole\Anastrozole/20201124_Cefas_Test7_Run1/Plate 1/@3/E3_01.tif "/>
    <n v="0"/>
    <n v="0"/>
    <x v="0"/>
    <n v="0"/>
    <m/>
    <m/>
  </r>
  <r>
    <x v="7"/>
    <x v="5"/>
    <s v="C:\Users\andre\Desktop\REACTIV CEFAS\Anastrozole\Anastrozole/20201124_Cefas_Test7_Run1/Plate 1/@3/E3_02.tif "/>
    <s v=" 21.6299 "/>
    <n v="30"/>
    <x v="0"/>
    <n v="649"/>
    <m/>
    <m/>
  </r>
  <r>
    <x v="7"/>
    <x v="5"/>
    <s v="C:\Users\andre\Desktop\REACTIV CEFAS\Anastrozole\Anastrozole/20201124_Cefas_Test7_Run1/Plate 1/@3/E3_03.tif "/>
    <s v=" 21.6299 "/>
    <n v="31"/>
    <x v="0"/>
    <n v="671"/>
    <m/>
    <m/>
  </r>
  <r>
    <x v="7"/>
    <x v="6"/>
    <s v="C:\Users\andre\Desktop\REACTIV CEFAS\Anastrozole\Anastrozole/20201124_Cefas_Test7_Run1/Plate 1/@3/F3_01.tif "/>
    <s v=" 843.5659 "/>
    <s v=" 31.2564 "/>
    <x v="0"/>
    <n v="26367"/>
    <m/>
    <m/>
  </r>
  <r>
    <x v="7"/>
    <x v="6"/>
    <s v="C:\Users\andre\Desktop\REACTIV CEFAS\Anastrozole\Anastrozole/20201124_Cefas_Test7_Run1/Plate 1/@3/F3_02.tif "/>
    <s v=" 1578.9823 "/>
    <s v=" 32.5616 "/>
    <x v="0"/>
    <n v="51414"/>
    <m/>
    <m/>
  </r>
  <r>
    <x v="7"/>
    <x v="6"/>
    <s v="C:\Users\andre\Desktop\REACTIV CEFAS\Anastrozole\Anastrozole/20201124_Cefas_Test7_Run1/Plate 1/@3/F3_03.tif "/>
    <s v=" 4693.6871 "/>
    <s v=" 33.6959 "/>
    <x v="0"/>
    <n v="158158"/>
    <m/>
    <m/>
  </r>
  <r>
    <x v="7"/>
    <x v="7"/>
    <s v="C:\Users\andre\Desktop\REACTIV CEFAS\Anastrozole\Anastrozole/20201124_Cefas_Test7_Run1/Plate 1/@3/G3_01.tif "/>
    <s v=" 8262.6197 "/>
    <s v=" 41.1283 "/>
    <x v="0"/>
    <n v="339827"/>
    <m/>
    <m/>
  </r>
  <r>
    <x v="7"/>
    <x v="7"/>
    <s v="C:\Users\andre\Desktop\REACTIV CEFAS\Anastrozole\Anastrozole/20201124_Cefas_Test7_Run1/Plate 1/@3/G3_02.tif "/>
    <s v=" 8219.36 "/>
    <s v=" 35.2711 "/>
    <x v="0"/>
    <n v="289905"/>
    <m/>
    <m/>
  </r>
  <r>
    <x v="7"/>
    <x v="7"/>
    <s v="C:\Users\andre\Desktop\REACTIV CEFAS\Anastrozole\Anastrozole/20201124_Cefas_Test7_Run1/Plate 1/@3/G3_03.tif "/>
    <s v=" 1773.6514 "/>
    <s v=" 33.061 "/>
    <x v="0"/>
    <n v="58639"/>
    <m/>
    <m/>
  </r>
  <r>
    <x v="7"/>
    <x v="8"/>
    <s v="C:\Users\andre\Desktop\REACTIV CEFAS\Anastrozole\Anastrozole/20201124_Cefas_Test7_Run1/Plate 1/@3/H3_01.tif "/>
    <s v=" 13972.9119 "/>
    <s v=" 34.4009 "/>
    <x v="0"/>
    <n v="480681"/>
    <m/>
    <m/>
  </r>
  <r>
    <x v="7"/>
    <x v="8"/>
    <s v="C:\Users\andre\Desktop\REACTIV CEFAS\Anastrozole\Anastrozole/20201124_Cefas_Test7_Run1/Plate 1/@3/H3_02.tif "/>
    <n v="0"/>
    <n v="0"/>
    <x v="0"/>
    <n v="0"/>
    <m/>
    <m/>
  </r>
  <r>
    <x v="7"/>
    <x v="8"/>
    <s v="C:\Users\andre\Desktop\REACTIV CEFAS\Anastrozole\Anastrozole/20201124_Cefas_Test7_Run1/Plate 1/@3/H3_03.tif "/>
    <s v=" 5212.8046 "/>
    <s v=" 37.5145 "/>
    <x v="0"/>
    <n v="195556"/>
    <m/>
    <m/>
  </r>
  <r>
    <x v="0"/>
    <x v="0"/>
    <s v=" "/>
    <m/>
    <m/>
    <x v="1"/>
    <m/>
    <m/>
    <m/>
  </r>
  <r>
    <x v="0"/>
    <x v="0"/>
    <s v="group "/>
    <s v=" "/>
    <s v=" mean of mean fluo "/>
    <x v="2"/>
    <s v=" mean of total fluo "/>
    <m/>
    <m/>
  </r>
  <r>
    <x v="7"/>
    <x v="9"/>
    <s v="C:\Users\andre\Desktop\REACTIV CEFAS\Anastrozole\Anastrozole/20201124_Cefas_Test7_Run1/Plate 1/@3/ "/>
    <s v=" "/>
    <s v=" 30.6956 "/>
    <x v="9"/>
    <n v="95030"/>
    <m/>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Anastrozole\Anastrozole/20201124_Cefas_Test7_Run1/Plate 1/@4/A4_01.tif "/>
    <s v=" 6662.0075 "/>
    <s v=" 34.8539 "/>
    <x v="0"/>
    <n v="232197"/>
    <m/>
    <m/>
  </r>
  <r>
    <x v="8"/>
    <x v="1"/>
    <s v="C:\Users\andre\Desktop\REACTIV CEFAS\Anastrozole\Anastrozole/20201124_Cefas_Test7_Run1/Plate 1/@4/A4_02.tif "/>
    <s v=" 2292.7688 "/>
    <s v=" 32.2547 "/>
    <x v="0"/>
    <n v="73953"/>
    <m/>
    <m/>
  </r>
  <r>
    <x v="8"/>
    <x v="1"/>
    <s v="C:\Users\andre\Desktop\REACTIV CEFAS\Anastrozole\Anastrozole/20201124_Cefas_Test7_Run1/Plate 1/@4/A4_03.tif "/>
    <s v=" 5061.3953 "/>
    <s v=" 35.5897 "/>
    <x v="0"/>
    <n v="180134"/>
    <m/>
    <m/>
  </r>
  <r>
    <x v="8"/>
    <x v="2"/>
    <s v="C:\Users\andre\Desktop\REACTIV CEFAS\Anastrozole\Anastrozole/20201124_Cefas_Test7_Run1/Plate 1/@4/B4_01.tif "/>
    <s v=" 28962.4289 "/>
    <s v=" 35.289 "/>
    <x v="0"/>
    <n v="1022056"/>
    <m/>
    <m/>
  </r>
  <r>
    <x v="8"/>
    <x v="2"/>
    <s v="C:\Users\andre\Desktop\REACTIV CEFAS\Anastrozole\Anastrozole/20201124_Cefas_Test7_Run1/Plate 1/@4/B4_02.tif "/>
    <s v=" 34953.9097 "/>
    <s v=" 37.5835 "/>
    <x v="0"/>
    <n v="1313692"/>
    <m/>
    <m/>
  </r>
  <r>
    <x v="8"/>
    <x v="2"/>
    <s v="C:\Users\andre\Desktop\REACTIV CEFAS\Anastrozole\Anastrozole/20201124_Cefas_Test7_Run1/Plate 1/@4/B4_03.tif "/>
    <s v=" 31795.9451 "/>
    <s v=" 36.0327 "/>
    <x v="0"/>
    <n v="1145692"/>
    <m/>
    <m/>
  </r>
  <r>
    <x v="8"/>
    <x v="3"/>
    <s v="C:\Users\andre\Desktop\REACTIV CEFAS\Anastrozole\Anastrozole/20201124_Cefas_Test7_Run1/Plate 1/@4/C4_01.tif "/>
    <s v=" 18882.898 "/>
    <s v=" 39.7652 "/>
    <x v="0"/>
    <n v="750882"/>
    <m/>
    <m/>
  </r>
  <r>
    <x v="8"/>
    <x v="3"/>
    <s v="C:\Users\andre\Desktop\REACTIV CEFAS\Anastrozole\Anastrozole/20201124_Cefas_Test7_Run1/Plate 1/@4/C4_02.tif "/>
    <s v=" 21954.343 "/>
    <s v=" 37.9458 "/>
    <x v="0"/>
    <n v="833075"/>
    <m/>
    <m/>
  </r>
  <r>
    <x v="8"/>
    <x v="3"/>
    <s v="C:\Users\andre\Desktop\REACTIV CEFAS\Anastrozole\Anastrozole/20201124_Cefas_Test7_Run1/Plate 1/@4/C4_03.tif "/>
    <s v=" 12091.1111 "/>
    <s v=" 38.7013 "/>
    <x v="0"/>
    <n v="467941"/>
    <m/>
    <m/>
  </r>
  <r>
    <x v="8"/>
    <x v="4"/>
    <s v="C:\Users\andre\Desktop\REACTIV CEFAS\Anastrozole\Anastrozole/20201124_Cefas_Test7_Run1/Plate 1/@4/D4_01.tif "/>
    <s v=" 4131.3099 "/>
    <s v=" 33.0733 "/>
    <x v="0"/>
    <n v="136636"/>
    <m/>
    <m/>
  </r>
  <r>
    <x v="8"/>
    <x v="4"/>
    <s v="C:\Users\andre\Desktop\REACTIV CEFAS\Anastrozole\Anastrozole/20201124_Cefas_Test7_Run1/Plate 1/@4/D4_02.tif "/>
    <s v=" 16763.1683 "/>
    <s v=" 34.0929 "/>
    <x v="0"/>
    <n v="571505"/>
    <m/>
    <m/>
  </r>
  <r>
    <x v="8"/>
    <x v="4"/>
    <s v="C:\Users\andre\Desktop\REACTIV CEFAS\Anastrozole\Anastrozole/20201124_Cefas_Test7_Run1/Plate 1/@4/D4_03.tif "/>
    <s v=" 7959.8012 "/>
    <s v=" 33.0245 "/>
    <x v="0"/>
    <n v="262868"/>
    <m/>
    <m/>
  </r>
  <r>
    <x v="8"/>
    <x v="5"/>
    <s v="C:\Users\andre\Desktop\REACTIV CEFAS\Anastrozole\Anastrozole/20201124_Cefas_Test7_Run1/Plate 1/@4/E4_01.tif "/>
    <s v=" 5667.0324 "/>
    <s v=" 31.6107 "/>
    <x v="0"/>
    <n v="179139"/>
    <m/>
    <m/>
  </r>
  <r>
    <x v="8"/>
    <x v="5"/>
    <s v="C:\Users\andre\Desktop\REACTIV CEFAS\Anastrozole\Anastrozole/20201124_Cefas_Test7_Run1/Plate 1/@4/E4_02.tif "/>
    <s v=" 7440.6838 "/>
    <s v=" 32.0727 "/>
    <x v="0"/>
    <n v="238643"/>
    <m/>
    <m/>
  </r>
  <r>
    <x v="8"/>
    <x v="5"/>
    <s v="C:\Users\andre\Desktop\REACTIV CEFAS\Anastrozole\Anastrozole/20201124_Cefas_Test7_Run1/Plate 1/@4/E4_03.tif "/>
    <s v=" 8608.6981 "/>
    <s v=" 31.3291 "/>
    <x v="0"/>
    <n v="269703"/>
    <m/>
    <m/>
  </r>
  <r>
    <x v="8"/>
    <x v="6"/>
    <s v="C:\Users\andre\Desktop\REACTIV CEFAS\Anastrozole\Anastrozole/20201124_Cefas_Test7_Run1/Plate 1/@4/F4_01.tif "/>
    <s v=" 5926.5911 "/>
    <s v=" 31.3321 "/>
    <x v="0"/>
    <n v="185693"/>
    <m/>
    <m/>
  </r>
  <r>
    <x v="8"/>
    <x v="6"/>
    <s v="C:\Users\andre\Desktop\REACTIV CEFAS\Anastrozole\Anastrozole/20201124_Cefas_Test7_Run1/Plate 1/@4/F4_02.tif "/>
    <s v=" 15292.3355 "/>
    <s v=" 32.7765 "/>
    <x v="0"/>
    <n v="501230"/>
    <m/>
    <m/>
  </r>
  <r>
    <x v="8"/>
    <x v="6"/>
    <s v="C:\Users\andre\Desktop\REACTIV CEFAS\Anastrozole\Anastrozole/20201124_Cefas_Test7_Run1/Plate 1/@4/F4_03.tif "/>
    <s v=" 2098.0998 "/>
    <s v=" 31.433 "/>
    <x v="0"/>
    <n v="65950"/>
    <m/>
    <m/>
  </r>
  <r>
    <x v="8"/>
    <x v="7"/>
    <s v="C:\Users\andre\Desktop\REACTIV CEFAS\Anastrozole\Anastrozole/20201124_Cefas_Test7_Run1/Plate 1/@4/G4_01.tif "/>
    <s v=" 7354.1642 "/>
    <s v=" 32.4147 "/>
    <x v="0"/>
    <n v="238383"/>
    <m/>
    <m/>
  </r>
  <r>
    <x v="8"/>
    <x v="7"/>
    <s v="C:\Users\andre\Desktop\REACTIV CEFAS\Anastrozole\Anastrozole/20201124_Cefas_Test7_Run1/Plate 1/@4/G4_02.tif "/>
    <s v=" 10209.3103 "/>
    <s v=" 32.553 "/>
    <x v="0"/>
    <n v="332343"/>
    <m/>
    <m/>
  </r>
  <r>
    <x v="8"/>
    <x v="7"/>
    <s v="C:\Users\andre\Desktop\REACTIV CEFAS\Anastrozole\Anastrozole/20201124_Cefas_Test7_Run1/Plate 1/@4/G4_03.tif "/>
    <s v=" 4239.4593 "/>
    <s v=" 31.9184 "/>
    <x v="0"/>
    <n v="135317"/>
    <m/>
    <m/>
  </r>
  <r>
    <x v="8"/>
    <x v="8"/>
    <s v="C:\Users\andre\Desktop\REACTIV CEFAS\Anastrozole\Anastrozole/20201124_Cefas_Test7_Run1/Plate 1/@4/H4_01.tif "/>
    <s v=" 10057.901 "/>
    <s v=" 34.7548 "/>
    <x v="0"/>
    <n v="349561"/>
    <m/>
    <m/>
  </r>
  <r>
    <x v="8"/>
    <x v="8"/>
    <s v="C:\Users\andre\Desktop\REACTIV CEFAS\Anastrozole\Anastrozole/20201124_Cefas_Test7_Run1/Plate 1/@4/H4_02- exclu.tif"/>
    <m/>
    <m/>
    <x v="1"/>
    <m/>
    <m/>
    <m/>
  </r>
  <r>
    <x v="8"/>
    <x v="8"/>
    <s v="C:\Users\andre\Desktop\REACTIV CEFAS\Anastrozole\Anastrozole/20201124_Cefas_Test7_Run1/Plate 1/@4/H4_03- exclu.tif"/>
    <m/>
    <m/>
    <x v="1"/>
    <m/>
    <m/>
    <m/>
  </r>
  <r>
    <x v="0"/>
    <x v="0"/>
    <s v=" "/>
    <m/>
    <m/>
    <x v="1"/>
    <m/>
    <m/>
    <m/>
  </r>
  <r>
    <x v="0"/>
    <x v="0"/>
    <s v="group "/>
    <s v=" "/>
    <s v=" mean of mean fluo "/>
    <x v="2"/>
    <s v=" mean of total fluo "/>
    <m/>
    <m/>
  </r>
  <r>
    <x v="8"/>
    <x v="9"/>
    <s v="C:\Users\andre\Desktop\REACTIV CEFAS\Anastrozole\Anastrozole/20201124_Cefas_Test7_Run1/Plate 1/@4/ "/>
    <s v=" "/>
    <s v=" 34.2111 "/>
    <x v="10"/>
    <s v=" 417661.625 "/>
    <m/>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Anastrozole\Anastrozole/20201124_Cefas_Test7_Run1/Plate 1/@5/A5_01- exclu.tif"/>
    <m/>
    <m/>
    <x v="1"/>
    <m/>
    <m/>
    <m/>
  </r>
  <r>
    <x v="9"/>
    <x v="1"/>
    <s v="C:\Users\andre\Desktop\REACTIV CEFAS\Anastrozole\Anastrozole/20201124_Cefas_Test7_Run1/Plate 1/@5/A5_02- exclu.tif"/>
    <m/>
    <m/>
    <x v="1"/>
    <m/>
    <m/>
    <m/>
  </r>
  <r>
    <x v="9"/>
    <x v="1"/>
    <s v="C:\Users\andre\Desktop\REACTIV CEFAS\Anastrozole\Anastrozole/20201124_Cefas_Test7_Run1/Plate 1/@5/A5_03- exclu.tif"/>
    <m/>
    <m/>
    <x v="1"/>
    <m/>
    <m/>
    <m/>
  </r>
  <r>
    <x v="9"/>
    <x v="2"/>
    <s v="C:\Users\andre\Desktop\REACTIV CEFAS\Anastrozole\Anastrozole/20201124_Cefas_Test7_Run1/Plate 1/@5/B5_01.tif "/>
    <s v=" 2054.84 "/>
    <s v=" 35.4 "/>
    <x v="0"/>
    <n v="72741"/>
    <m/>
    <m/>
  </r>
  <r>
    <x v="9"/>
    <x v="2"/>
    <s v="C:\Users\andre\Desktop\REACTIV CEFAS\Anastrozole\Anastrozole/20201124_Cefas_Test7_Run1/Plate 1/@5/B5_02.tif "/>
    <s v=" 3568.9326 "/>
    <s v=" 35.1879 "/>
    <x v="0"/>
    <n v="125583"/>
    <m/>
    <m/>
  </r>
  <r>
    <x v="9"/>
    <x v="2"/>
    <s v="C:\Users\andre\Desktop\REACTIV CEFAS\Anastrozole\Anastrozole/20201124_Cefas_Test7_Run1/Plate 1/@5/B5_03.tif "/>
    <s v=" 2400.9183 "/>
    <s v=" 35.4324 "/>
    <x v="0"/>
    <n v="85070"/>
    <m/>
    <m/>
  </r>
  <r>
    <x v="9"/>
    <x v="3"/>
    <s v="C:\Users\andre\Desktop\REACTIV CEFAS\Anastrozole\Anastrozole/20201124_Cefas_Test7_Run1/Plate 1/@5/C5_01.tif "/>
    <s v=" 65992.8085 "/>
    <s v=" 42.6958 "/>
    <x v="0"/>
    <n v="2817618"/>
    <m/>
    <m/>
  </r>
  <r>
    <x v="9"/>
    <x v="3"/>
    <s v="C:\Users\andre\Desktop\REACTIV CEFAS\Anastrozole\Anastrozole/20201124_Cefas_Test7_Run1/Plate 1/@5/C5_02.tif "/>
    <s v=" 55372.5302 "/>
    <s v=" 37.8359 "/>
    <x v="0"/>
    <n v="2095072"/>
    <m/>
    <m/>
  </r>
  <r>
    <x v="9"/>
    <x v="3"/>
    <s v="C:\Users\andre\Desktop\REACTIV CEFAS\Anastrozole\Anastrozole/20201124_Cefas_Test7_Run1/Plate 1/@5/C5_03.tif "/>
    <s v=" 50527.4339 "/>
    <s v=" 37.3536 "/>
    <x v="0"/>
    <n v="1887381"/>
    <m/>
    <m/>
  </r>
  <r>
    <x v="9"/>
    <x v="4"/>
    <s v="C:\Users\andre\Desktop\REACTIV CEFAS\Anastrozole\Anastrozole/20201124_Cefas_Test7_Run1/Plate 1/@5/D5_01.tif "/>
    <s v=" 61861.4986 "/>
    <s v=" 40.5941 "/>
    <x v="0"/>
    <n v="2511209"/>
    <m/>
    <m/>
  </r>
  <r>
    <x v="9"/>
    <x v="4"/>
    <s v="C:\Users\andre\Desktop\REACTIV CEFAS\Anastrozole\Anastrozole/20201124_Cefas_Test7_Run1/Plate 1/@5/D5_02.tif "/>
    <s v=" 58011.3774 "/>
    <s v=" 41.5969 "/>
    <x v="0"/>
    <n v="2413096"/>
    <m/>
    <m/>
  </r>
  <r>
    <x v="9"/>
    <x v="4"/>
    <s v="C:\Users\andre\Desktop\REACTIV CEFAS\Anastrozole\Anastrozole/20201124_Cefas_Test7_Run1/Plate 1/@5/D5_03.tif "/>
    <s v=" 53209.5408 "/>
    <s v=" 41.9073 "/>
    <x v="0"/>
    <n v="2229869"/>
    <m/>
    <m/>
  </r>
  <r>
    <x v="9"/>
    <x v="5"/>
    <s v="C:\Users\andre\Desktop\REACTIV CEFAS\Anastrozole\Anastrozole/20201124_Cefas_Test7_Run1/Plate 1/@5/E5_01.tif "/>
    <s v=" 47109.9105 "/>
    <s v=" 34.5964 "/>
    <x v="0"/>
    <n v="1629834"/>
    <m/>
    <m/>
  </r>
  <r>
    <x v="9"/>
    <x v="5"/>
    <s v="C:\Users\andre\Desktop\REACTIV CEFAS\Anastrozole\Anastrozole/20201124_Cefas_Test7_Run1/Plate 1/@5/E5_02.tif "/>
    <s v=" 48169.7753 "/>
    <s v=" 35.1208 "/>
    <x v="0"/>
    <n v="1691761"/>
    <m/>
    <m/>
  </r>
  <r>
    <x v="9"/>
    <x v="5"/>
    <s v="C:\Users\andre\Desktop\REACTIV CEFAS\Anastrozole\Anastrozole/20201124_Cefas_Test7_Run1/Plate 1/@5/E5_03.tif "/>
    <s v=" 44644.1025 "/>
    <s v=" 35.3624 "/>
    <x v="0"/>
    <n v="1578723"/>
    <m/>
    <m/>
  </r>
  <r>
    <x v="9"/>
    <x v="6"/>
    <s v="C:\Users\andre\Desktop\REACTIV CEFAS\Anastrozole\Anastrozole/20201124_Cefas_Test7_Run1/Plate 1/@5/F5_01.tif "/>
    <s v=" 62834.8439 "/>
    <s v=" 38.8076 "/>
    <x v="0"/>
    <n v="2438468"/>
    <m/>
    <m/>
  </r>
  <r>
    <x v="9"/>
    <x v="6"/>
    <s v="C:\Users\andre\Desktop\REACTIV CEFAS\Anastrozole\Anastrozole/20201124_Cefas_Test7_Run1/Plate 1/@5/F5_02.tif "/>
    <s v=" 64803.1643 "/>
    <s v=" 39.9249 "/>
    <x v="0"/>
    <n v="2587260"/>
    <m/>
    <m/>
  </r>
  <r>
    <x v="9"/>
    <x v="6"/>
    <s v="C:\Users\andre\Desktop\REACTIV CEFAS\Anastrozole\Anastrozole/20201124_Cefas_Test7_Run1/Plate 1/@5/F5_03.tif "/>
    <s v=" 55761.8684 "/>
    <s v=" 37.0326 "/>
    <x v="0"/>
    <n v="2065006"/>
    <m/>
    <m/>
  </r>
  <r>
    <x v="9"/>
    <x v="7"/>
    <s v="C:\Users\andre\Desktop\REACTIV CEFAS\Anastrozole\Anastrozole/20201124_Cefas_Test7_Run1/Plate 1/@5/G5_01.tif "/>
    <s v=" 43108.38 "/>
    <s v=" 36.585 "/>
    <x v="0"/>
    <n v="1577122"/>
    <m/>
    <m/>
  </r>
  <r>
    <x v="9"/>
    <x v="7"/>
    <s v="C:\Users\andre\Desktop\REACTIV CEFAS\Anastrozole\Anastrozole/20201124_Cefas_Test7_Run1/Plate 1/@5/G5_02- exclu.tif"/>
    <m/>
    <m/>
    <x v="1"/>
    <m/>
    <m/>
    <m/>
  </r>
  <r>
    <x v="9"/>
    <x v="7"/>
    <s v="C:\Users\andre\Desktop\REACTIV CEFAS\Anastrozole\Anastrozole/20201124_Cefas_Test7_Run1/Plate 1/@5/G5_03.tif "/>
    <s v=" 43692.3872 "/>
    <s v=" 38.3634 "/>
    <x v="0"/>
    <n v="1676187"/>
    <m/>
    <m/>
  </r>
  <r>
    <x v="9"/>
    <x v="8"/>
    <s v="C:\Users\andre\Desktop\REACTIV CEFAS\Anastrozole\Anastrozole/20201124_Cefas_Test7_Run1/Plate 1/@5/H5_01.tif "/>
    <s v=" 65170.8725 "/>
    <s v=" 42.1829 "/>
    <x v="0"/>
    <n v="2749095"/>
    <m/>
    <m/>
  </r>
  <r>
    <x v="9"/>
    <x v="8"/>
    <s v="C:\Users\andre\Desktop\REACTIV CEFAS\Anastrozole\Anastrozole/20201124_Cefas_Test7_Run1/Plate 1/@5/H5_02.tif "/>
    <s v=" 69626.6308 "/>
    <s v=" 40.1429 "/>
    <x v="0"/>
    <n v="2795015"/>
    <m/>
    <m/>
  </r>
  <r>
    <x v="9"/>
    <x v="8"/>
    <s v="C:\Users\andre\Desktop\REACTIV CEFAS\Anastrozole\Anastrozole/20201124_Cefas_Test7_Run1/Plate 1/@5/H5_03.tif "/>
    <s v=" 70881.1647 "/>
    <s v=" 45.2789 "/>
    <x v="0"/>
    <n v="3209422"/>
    <m/>
    <m/>
  </r>
  <r>
    <x v="0"/>
    <x v="0"/>
    <s v=" "/>
    <m/>
    <m/>
    <x v="1"/>
    <m/>
    <m/>
    <m/>
  </r>
  <r>
    <x v="0"/>
    <x v="0"/>
    <s v="group "/>
    <s v=" "/>
    <s v=" mean of mean fluo "/>
    <x v="2"/>
    <s v=" mean of total fluo "/>
    <m/>
    <m/>
  </r>
  <r>
    <x v="9"/>
    <x v="9"/>
    <s v="C:\Users\andre\Desktop\REACTIV CEFAS\Anastrozole\Anastrozole/20201124_Cefas_Test7_Run1/Plate 1/@5/ "/>
    <s v=" "/>
    <s v=" 37.5395 "/>
    <x v="11"/>
    <s v=" 1639029.62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Anastrozole\Anastrozole/20201124_Cefas_Test7_Run1/Plate 1/@6/A6_01.tif "/>
    <s v=" 9776.7124 "/>
    <s v=" 36.9646 "/>
    <x v="0"/>
    <n v="361392"/>
    <m/>
    <m/>
  </r>
  <r>
    <x v="10"/>
    <x v="1"/>
    <s v="C:\Users\andre\Desktop\REACTIV CEFAS\Anastrozole\Anastrozole/20201124_Cefas_Test7_Run1/Plate 1/@6/A6_02.tif "/>
    <s v=" 14081.0614 "/>
    <s v=" 38.2519 "/>
    <x v="0"/>
    <n v="538628"/>
    <m/>
    <m/>
  </r>
  <r>
    <x v="10"/>
    <x v="1"/>
    <s v="C:\Users\andre\Desktop\REACTIV CEFAS\Anastrozole\Anastrozole/20201124_Cefas_Test7_Run1/Plate 1/@6/A6_03- exclu.tif"/>
    <m/>
    <m/>
    <x v="1"/>
    <m/>
    <m/>
    <m/>
  </r>
  <r>
    <x v="10"/>
    <x v="2"/>
    <s v="C:\Users\andre\Desktop\REACTIV CEFAS\Anastrozole\Anastrozole/20201124_Cefas_Test7_Run1/Plate 1/@6/B6_01.tif "/>
    <s v=" 23230.5068 "/>
    <s v=" 37.6778 "/>
    <x v="0"/>
    <n v="875275"/>
    <m/>
    <m/>
  </r>
  <r>
    <x v="10"/>
    <x v="2"/>
    <s v="C:\Users\andre\Desktop\REACTIV CEFAS\Anastrozole\Anastrozole/20201124_Cefas_Test7_Run1/Plate 1/@6/B6_02.tif "/>
    <s v=" 25198.8272 "/>
    <s v=" 36.9039 "/>
    <x v="0"/>
    <n v="929934"/>
    <m/>
    <m/>
  </r>
  <r>
    <x v="10"/>
    <x v="2"/>
    <s v="C:\Users\andre\Desktop\REACTIV CEFAS\Anastrozole\Anastrozole/20201124_Cefas_Test7_Run1/Plate 1/@6/B6_03.tif "/>
    <s v=" 22343.6812 "/>
    <s v=" 39.1946 "/>
    <x v="0"/>
    <n v="875751"/>
    <m/>
    <m/>
  </r>
  <r>
    <x v="10"/>
    <x v="3"/>
    <s v="C:\Users\andre\Desktop\REACTIV CEFAS\Anastrozole\Anastrozole/20201124_Cefas_Test7_Run1/Plate 1/@6/C6_01.tif "/>
    <s v=" 64781.5344 "/>
    <s v=" 45.8467 "/>
    <x v="0"/>
    <n v="2970022"/>
    <m/>
    <m/>
  </r>
  <r>
    <x v="10"/>
    <x v="3"/>
    <s v="C:\Users\andre\Desktop\REACTIV CEFAS\Anastrozole\Anastrozole/20201124_Cefas_Test7_Run1/Plate 1/@6/C6_02.tif "/>
    <s v=" 60174.3669 "/>
    <s v=" 44.2617 "/>
    <x v="0"/>
    <n v="2663419"/>
    <m/>
    <m/>
  </r>
  <r>
    <x v="10"/>
    <x v="3"/>
    <s v="C:\Users\andre\Desktop\REACTIV CEFAS\Anastrozole\Anastrozole/20201124_Cefas_Test7_Run1/Plate 1/@6/C6_03.tif "/>
    <s v=" 66879.6342 "/>
    <s v=" 45.8373 "/>
    <x v="0"/>
    <n v="3065583"/>
    <m/>
    <m/>
  </r>
  <r>
    <x v="10"/>
    <x v="4"/>
    <s v="C:\Users\andre\Desktop\REACTIV CEFAS\Anastrozole\Anastrozole/20201124_Cefas_Test7_Run1/Plate 1/@6/D6_01.tif "/>
    <s v=" 54312.6654 "/>
    <s v=" 50.6551 "/>
    <x v="0"/>
    <n v="2751214"/>
    <m/>
    <m/>
  </r>
  <r>
    <x v="10"/>
    <x v="4"/>
    <s v="C:\Users\andre\Desktop\REACTIV CEFAS\Anastrozole\Anastrozole/20201124_Cefas_Test7_Run1/Plate 1/@6/D6_02.tif "/>
    <s v=" 52149.676 "/>
    <s v=" 48.8693 "/>
    <x v="0"/>
    <n v="2548521"/>
    <m/>
    <m/>
  </r>
  <r>
    <x v="10"/>
    <x v="4"/>
    <s v="C:\Users\andre\Desktop\REACTIV CEFAS\Anastrozole\Anastrozole/20201124_Cefas_Test7_Run1/Plate 1/@6/D6_03.tif "/>
    <s v=" 49186.3804 "/>
    <s v=" 46.8074 "/>
    <x v="0"/>
    <n v="2302286"/>
    <m/>
    <m/>
  </r>
  <r>
    <x v="10"/>
    <x v="5"/>
    <s v="C:\Users\andre\Desktop\REACTIV CEFAS\Anastrozole\Anastrozole/20201124_Cefas_Test7_Run1/Plate 1/@6/E6_01- exclu.tif"/>
    <m/>
    <m/>
    <x v="1"/>
    <m/>
    <m/>
    <m/>
  </r>
  <r>
    <x v="10"/>
    <x v="5"/>
    <s v="C:\Users\andre\Desktop\REACTIV CEFAS\Anastrozole\Anastrozole/20201124_Cefas_Test7_Run1/Plate 1/@6/E6_02.tif "/>
    <s v=" 66771.4847 "/>
    <s v=" 45.955 "/>
    <x v="0"/>
    <n v="3068482"/>
    <m/>
    <m/>
  </r>
  <r>
    <x v="10"/>
    <x v="5"/>
    <s v="C:\Users\andre\Desktop\REACTIV CEFAS\Anastrozole\Anastrozole/20201124_Cefas_Test7_Run1/Plate 1/@6/E6_03- exclu.tif"/>
    <m/>
    <m/>
    <x v="1"/>
    <m/>
    <m/>
    <m/>
  </r>
  <r>
    <x v="10"/>
    <x v="6"/>
    <s v="C:\Users\andre\Desktop\REACTIV CEFAS\Anastrozole\Anastrozole/20201124_Cefas_Test7_Run1/Plate 1/@6/F6_01.tif "/>
    <s v=" 63570.2603 "/>
    <s v=" 48.673 "/>
    <x v="0"/>
    <n v="3094156"/>
    <m/>
    <m/>
  </r>
  <r>
    <x v="10"/>
    <x v="6"/>
    <s v="C:\Users\andre\Desktop\REACTIV CEFAS\Anastrozole\Anastrozole/20201124_Cefas_Test7_Run1/Plate 1/@6/F6_02.tif "/>
    <s v=" 63375.5913 "/>
    <s v=" 47.9027 "/>
    <x v="0"/>
    <n v="3035864"/>
    <m/>
    <m/>
  </r>
  <r>
    <x v="10"/>
    <x v="6"/>
    <s v="C:\Users\andre\Desktop\REACTIV CEFAS\Anastrozole\Anastrozole/20201124_Cefas_Test7_Run1/Plate 1/@6/F6_03.tif "/>
    <s v=" 69886.1895 "/>
    <s v=" 49.0275 "/>
    <x v="0"/>
    <n v="3426348"/>
    <m/>
    <m/>
  </r>
  <r>
    <x v="10"/>
    <x v="7"/>
    <s v="C:\Users\andre\Desktop\REACTIV CEFAS\Anastrozole\Anastrozole/20201124_Cefas_Test7_Run1/Plate 1/@6/G6_01.tif "/>
    <s v=" 57211.0713 "/>
    <s v=" 49.9399 "/>
    <x v="0"/>
    <n v="2857114"/>
    <m/>
    <m/>
  </r>
  <r>
    <x v="10"/>
    <x v="7"/>
    <s v="C:\Users\andre\Desktop\REACTIV CEFAS\Anastrozole\Anastrozole/20201124_Cefas_Test7_Run1/Plate 1/@6/G6_02.tif "/>
    <s v=" 61753.3492 "/>
    <s v=" 52.3391 "/>
    <x v="0"/>
    <n v="3232112"/>
    <m/>
    <m/>
  </r>
  <r>
    <x v="10"/>
    <x v="7"/>
    <s v="C:\Users\andre\Desktop\REACTIV CEFAS\Anastrozole\Anastrozole/20201124_Cefas_Test7_Run1/Plate 1/@6/G6_03.tif "/>
    <s v=" 56043.057 "/>
    <s v=" 48.6442 "/>
    <x v="0"/>
    <n v="2726167"/>
    <m/>
    <m/>
  </r>
  <r>
    <x v="10"/>
    <x v="8"/>
    <s v="C:\Users\andre\Desktop\REACTIV CEFAS\Anastrozole\Anastrozole/20201124_Cefas_Test7_Run1/Plate 1/@6/H6_01.tif "/>
    <s v=" 42481.1131 "/>
    <s v=" 44.0407 "/>
    <x v="0"/>
    <n v="1870899"/>
    <m/>
    <m/>
  </r>
  <r>
    <x v="10"/>
    <x v="8"/>
    <s v="C:\Users\andre\Desktop\REACTIV CEFAS\Anastrozole\Anastrozole/20201124_Cefas_Test7_Run1/Plate 1/@6/H6_02.tif "/>
    <s v=" 40469.5329 "/>
    <s v=" 49.147 "/>
    <x v="0"/>
    <n v="1988955"/>
    <m/>
    <m/>
  </r>
  <r>
    <x v="10"/>
    <x v="8"/>
    <s v="C:\Users\andre\Desktop\REACTIV CEFAS\Anastrozole\Anastrozole/20201124_Cefas_Test7_Run1/Plate 1/@6/H6_03.tif "/>
    <s v=" 53598.8789 "/>
    <s v=" 45.1336 "/>
    <x v="0"/>
    <n v="2419109"/>
    <m/>
    <m/>
  </r>
  <r>
    <x v="0"/>
    <x v="0"/>
    <s v=" "/>
    <m/>
    <m/>
    <x v="1"/>
    <m/>
    <m/>
    <m/>
  </r>
  <r>
    <x v="0"/>
    <x v="0"/>
    <s v="group "/>
    <s v=" "/>
    <s v=" mean of mean fluo "/>
    <x v="2"/>
    <s v=" mean of total fluo "/>
    <m/>
    <m/>
  </r>
  <r>
    <x v="10"/>
    <x v="9"/>
    <s v="C:\Users\andre\Desktop\REACTIV CEFAS\Anastrozole\Anastrozole/20201124_Cefas_Test7_Run1/Plate 1/@6/ "/>
    <s v=" "/>
    <s v=" 45.344 "/>
    <x v="12"/>
    <s v=" 2171305.12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Anastrozole\Anastrozole/20201124_Cefas_Test7_Run1/Plate 1/@7/A7_01.tif "/>
    <s v=" 45725.5972 "/>
    <s v=" 51.2621 "/>
    <x v="0"/>
    <n v="2343988"/>
    <m/>
    <m/>
  </r>
  <r>
    <x v="11"/>
    <x v="1"/>
    <s v="C:\Users\andre\Desktop\REACTIV CEFAS\Anastrozole\Anastrozole/20201124_Cefas_Test7_Run1/Plate 1/@7/A7_02.tif "/>
    <s v=" 53014.8717 "/>
    <s v=" 53.6944 "/>
    <x v="0"/>
    <n v="2846602"/>
    <m/>
    <m/>
  </r>
  <r>
    <x v="11"/>
    <x v="1"/>
    <s v="C:\Users\andre\Desktop\REACTIV CEFAS\Anastrozole\Anastrozole/20201124_Cefas_Test7_Run1/Plate 1/@7/A7_03.tif "/>
    <s v=" 47650.6579 "/>
    <s v=" 52.227 "/>
    <x v="0"/>
    <n v="2488649"/>
    <m/>
    <m/>
  </r>
  <r>
    <x v="11"/>
    <x v="2"/>
    <s v="C:\Users\andre\Desktop\REACTIV CEFAS\Anastrozole\Anastrozole/20201124_Cefas_Test7_Run1/Plate 1/@7/B7_01.tif "/>
    <s v=" 50138.0957 "/>
    <s v=" 51.9202 "/>
    <x v="0"/>
    <n v="2603179"/>
    <m/>
    <m/>
  </r>
  <r>
    <x v="11"/>
    <x v="2"/>
    <s v="C:\Users\andre\Desktop\REACTIV CEFAS\Anastrozole\Anastrozole/20201124_Cefas_Test7_Run1/Plate 1/@7/B7_02.tif "/>
    <s v=" 54896.6726 "/>
    <s v=" 53.9232 "/>
    <x v="0"/>
    <n v="2960202"/>
    <m/>
    <m/>
  </r>
  <r>
    <x v="11"/>
    <x v="2"/>
    <s v="C:\Users\andre\Desktop\REACTIV CEFAS\Anastrozole\Anastrozole/20201124_Cefas_Test7_Run1/Plate 1/@7/B7_03.tif "/>
    <s v=" 61883.1285 "/>
    <s v=" 51.9969 "/>
    <x v="0"/>
    <n v="3217728"/>
    <m/>
    <m/>
  </r>
  <r>
    <x v="11"/>
    <x v="3"/>
    <s v="C:\Users\andre\Desktop\REACTIV CEFAS\Anastrozole\Anastrozole/20201124_Cefas_Test7_Run1/Plate 1/@7/C7_01.tif "/>
    <s v=" 41961.9956 "/>
    <s v=" 55.5763 "/>
    <x v="0"/>
    <n v="2332092"/>
    <m/>
    <m/>
  </r>
  <r>
    <x v="11"/>
    <x v="3"/>
    <s v="C:\Users\andre\Desktop\REACTIV CEFAS\Anastrozole\Anastrozole/20201124_Cefas_Test7_Run1/Plate 1/@7/C7_02.tif "/>
    <s v=" 44860.4015 "/>
    <s v=" 61.161 "/>
    <x v="0"/>
    <n v="2743709"/>
    <m/>
    <m/>
  </r>
  <r>
    <x v="11"/>
    <x v="3"/>
    <s v="C:\Users\andre\Desktop\REACTIV CEFAS\Anastrozole\Anastrozole/20201124_Cefas_Test7_Run1/Plate 1/@7/C7_03.tif "/>
    <s v=" 43562.6078 "/>
    <s v=" 58.5 "/>
    <x v="0"/>
    <n v="2548413"/>
    <m/>
    <m/>
  </r>
  <r>
    <x v="11"/>
    <x v="4"/>
    <s v="C:\Users\andre\Desktop\REACTIV CEFAS\Anastrozole\Anastrozole/20201124_Cefas_Test7_Run1/Plate 1/@7/D7_01.tif "/>
    <s v=" 66987.7837 "/>
    <s v=" 52.3264 "/>
    <x v="0"/>
    <n v="3505233"/>
    <m/>
    <m/>
  </r>
  <r>
    <x v="11"/>
    <x v="4"/>
    <s v="C:\Users\andre\Desktop\REACTIV CEFAS\Anastrozole\Anastrozole/20201124_Cefas_Test7_Run1/Plate 1/@7/D7_02.tif "/>
    <s v=" 70578.3462 "/>
    <s v=" 52.8026 "/>
    <x v="0"/>
    <n v="3726723"/>
    <m/>
    <m/>
  </r>
  <r>
    <x v="11"/>
    <x v="4"/>
    <s v="C:\Users\andre\Desktop\REACTIV CEFAS\Anastrozole\Anastrozole/20201124_Cefas_Test7_Run1/Plate 1/@7/D7_03.tif "/>
    <s v=" 73368.6026 "/>
    <s v=" 52.5363 "/>
    <x v="0"/>
    <n v="3854512"/>
    <m/>
    <m/>
  </r>
  <r>
    <x v="11"/>
    <x v="5"/>
    <s v="C:\Users\andre\Desktop\REACTIV CEFAS\Anastrozole\Anastrozole/20201124_Cefas_Test7_Run1/Plate 1/@7/E7_01.tif "/>
    <s v=" 77694.5815 "/>
    <s v=" 56.7099 "/>
    <x v="0"/>
    <n v="4406053"/>
    <m/>
    <m/>
  </r>
  <r>
    <x v="11"/>
    <x v="5"/>
    <s v="C:\Users\andre\Desktop\REACTIV CEFAS\Anastrozole\Anastrozole/20201124_Cefas_Test7_Run1/Plate 1/@7/E7_02.tif "/>
    <s v=" 84378.2189 "/>
    <s v=" 59.7529 "/>
    <x v="0"/>
    <n v="5041842"/>
    <m/>
    <m/>
  </r>
  <r>
    <x v="11"/>
    <x v="5"/>
    <s v="C:\Users\andre\Desktop\REACTIV CEFAS\Anastrozole\Anastrozole/20201124_Cefas_Test7_Run1/Plate 1/@7/E7_03.tif "/>
    <s v=" 79965.7204 "/>
    <s v=" 58.3381 "/>
    <x v="0"/>
    <n v="4665049"/>
    <m/>
    <m/>
  </r>
  <r>
    <x v="11"/>
    <x v="6"/>
    <s v="C:\Users\andre\Desktop\REACTIV CEFAS\Anastrozole\Anastrozole/20201124_Cefas_Test7_Run1/Plate 1/@7/F7_01.tif "/>
    <s v=" 43432.8284 "/>
    <s v=" 57.1738 "/>
    <x v="0"/>
    <n v="2483220"/>
    <m/>
    <m/>
  </r>
  <r>
    <x v="11"/>
    <x v="6"/>
    <s v="C:\Users\andre\Desktop\REACTIV CEFAS\Anastrozole\Anastrozole/20201124_Cefas_Test7_Run1/Plate 1/@7/F7_02.tif "/>
    <s v=" 45682.3375 "/>
    <s v=" 61.2301 "/>
    <x v="0"/>
    <n v="2797135"/>
    <m/>
    <m/>
  </r>
  <r>
    <x v="11"/>
    <x v="6"/>
    <s v="C:\Users\andre\Desktop\REACTIV CEFAS\Anastrozole\Anastrozole/20201124_Cefas_Test7_Run1/Plate 1/@7/F7_03.tif "/>
    <s v=" 46915.2415 "/>
    <s v=" 61.2218 "/>
    <x v="0"/>
    <n v="2872234"/>
    <m/>
    <m/>
  </r>
  <r>
    <x v="11"/>
    <x v="7"/>
    <s v="C:\Users\andre\Desktop\REACTIV CEFAS\Anastrozole\Anastrozole/20201124_Cefas_Test7_Run1/Plate 1/@7/G7_01.tif "/>
    <s v=" 77889.2506 "/>
    <s v=" 51.0053 "/>
    <x v="0"/>
    <n v="3972763"/>
    <m/>
    <m/>
  </r>
  <r>
    <x v="11"/>
    <x v="7"/>
    <s v="C:\Users\andre\Desktop\REACTIV CEFAS\Anastrozole\Anastrozole/20201124_Cefas_Test7_Run1/Plate 1/@7/G7_02.tif "/>
    <s v=" 77867.6207 "/>
    <s v=" 52.1478 "/>
    <x v="0"/>
    <n v="4060623"/>
    <m/>
    <m/>
  </r>
  <r>
    <x v="11"/>
    <x v="7"/>
    <s v="C:\Users\andre\Desktop\REACTIV CEFAS\Anastrozole\Anastrozole/20201124_Cefas_Test7_Run1/Plate 1/@7/G7_03.tif "/>
    <s v=" 83534.6531 "/>
    <s v=" 58.3949 "/>
    <x v="0"/>
    <n v="4877995"/>
    <m/>
    <m/>
  </r>
  <r>
    <x v="11"/>
    <x v="8"/>
    <s v="C:\Users\andre\Desktop\REACTIV CEFAS\Anastrozole\Anastrozole/20201124_Cefas_Test7_Run1/Plate 1/@7/H7_01.tif "/>
    <s v=" 65668.3601 "/>
    <s v=" 60.1884 "/>
    <x v="0"/>
    <n v="3952474"/>
    <m/>
    <m/>
  </r>
  <r>
    <x v="11"/>
    <x v="8"/>
    <s v="C:\Users\andre\Desktop\REACTIV CEFAS\Anastrozole\Anastrozole/20201124_Cefas_Test7_Run1/Plate 1/@7/H7_02.tif "/>
    <s v=" 65473.691 "/>
    <s v=" 55.7681 "/>
    <x v="0"/>
    <n v="3651343"/>
    <m/>
    <m/>
  </r>
  <r>
    <x v="11"/>
    <x v="8"/>
    <s v="C:\Users\andre\Desktop\REACTIV CEFAS\Anastrozole\Anastrozole/20201124_Cefas_Test7_Run1/Plate 1/@7/H7_03.tif "/>
    <s v=" 71638.211 "/>
    <s v=" 57.5909 "/>
    <x v="0"/>
    <n v="4125708"/>
    <m/>
    <m/>
  </r>
  <r>
    <x v="0"/>
    <x v="0"/>
    <s v=" "/>
    <m/>
    <m/>
    <x v="1"/>
    <m/>
    <m/>
    <m/>
  </r>
  <r>
    <x v="0"/>
    <x v="0"/>
    <s v="group "/>
    <s v=" "/>
    <s v=" mean of mean fluo "/>
    <x v="2"/>
    <s v=" mean of total fluo "/>
    <m/>
    <m/>
  </r>
  <r>
    <x v="11"/>
    <x v="9"/>
    <s v="C:\Users\andre\Desktop\REACTIV CEFAS\Anastrozole\Anastrozole/20201124_Cefas_Test7_Run1/Plate 1/@7/ "/>
    <s v=" "/>
    <s v=" 55.727 "/>
    <x v="13"/>
    <s v=" 3419894.54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Anastrozole\Anastrozole/20201124_Cefas_Test7_Run1/Plate 2/@10/A4_01.tif "/>
    <s v=" 497.4876 "/>
    <n v="32"/>
    <x v="0"/>
    <n v="15920"/>
    <m/>
    <m/>
  </r>
  <r>
    <x v="12"/>
    <x v="1"/>
    <s v="C:\Users\andre\Desktop\REACTIV CEFAS\Anastrozole\Anastrozole/20201124_Cefas_Test7_Run1/Plate 2/@10/A4_02.tif "/>
    <s v=" 432.5979 "/>
    <s v=" 32.9 "/>
    <x v="0"/>
    <n v="14232"/>
    <m/>
    <m/>
  </r>
  <r>
    <x v="12"/>
    <x v="1"/>
    <s v="C:\Users\andre\Desktop\REACTIV CEFAS\Anastrozole\Anastrozole/20201124_Cefas_Test7_Run1/Plate 2/@10/A4_03.tif "/>
    <s v=" 1362.6834 "/>
    <s v=" 34.1587 "/>
    <x v="0"/>
    <n v="46548"/>
    <m/>
    <m/>
  </r>
  <r>
    <x v="12"/>
    <x v="2"/>
    <s v="C:\Users\andre\Desktop\REACTIV CEFAS\Anastrozole\Anastrozole/20201124_Cefas_Test7_Run1/Plate 2/@10/B4_01- exclu.tif"/>
    <m/>
    <m/>
    <x v="1"/>
    <m/>
    <m/>
    <m/>
  </r>
  <r>
    <x v="12"/>
    <x v="2"/>
    <s v="C:\Users\andre\Desktop\REACTIV CEFAS\Anastrozole\Anastrozole/20201124_Cefas_Test7_Run1/Plate 2/@10/B4_02.tif "/>
    <s v=" 5018.1356 "/>
    <s v=" 35.5302 "/>
    <x v="0"/>
    <n v="178295"/>
    <m/>
    <m/>
  </r>
  <r>
    <x v="12"/>
    <x v="2"/>
    <s v="C:\Users\andre\Desktop\REACTIV CEFAS\Anastrozole\Anastrozole/20201124_Cefas_Test7_Run1/Plate 2/@10/B4_03.tif "/>
    <s v=" 4693.6871 "/>
    <s v=" 35.5484 "/>
    <x v="0"/>
    <n v="166853"/>
    <m/>
    <m/>
  </r>
  <r>
    <x v="12"/>
    <x v="3"/>
    <s v="C:\Users\andre\Desktop\REACTIV CEFAS\Anastrozole\Anastrozole/20201124_Cefas_Test7_Run1/Plate 2/@10/C4_01.tif "/>
    <s v=" 3028.1852 "/>
    <s v=" 34.5286 "/>
    <x v="0"/>
    <n v="104559"/>
    <m/>
    <m/>
  </r>
  <r>
    <x v="12"/>
    <x v="3"/>
    <s v="C:\Users\andre\Desktop\REACTIV CEFAS\Anastrozole\Anastrozole/20201124_Cefas_Test7_Run1/Plate 2/@10/C4_02.tif "/>
    <s v=" 930.0855 "/>
    <s v=" 34.907 "/>
    <x v="0"/>
    <n v="32466"/>
    <m/>
    <m/>
  </r>
  <r>
    <x v="12"/>
    <x v="3"/>
    <s v="C:\Users\andre\Desktop\REACTIV CEFAS\Anastrozole\Anastrozole/20201124_Cefas_Test7_Run1/Plate 2/@10/C4_03.tif "/>
    <s v=" 3612.1924 "/>
    <s v=" 36.5569 "/>
    <x v="0"/>
    <n v="132051"/>
    <m/>
    <m/>
  </r>
  <r>
    <x v="12"/>
    <x v="4"/>
    <s v="C:\Users\andre\Desktop\REACTIV CEFAS\Anastrozole\Anastrozole/20201124_Cefas_Test7_Run1/Plate 2/@10/D4_01.tif "/>
    <s v=" 151.4093 "/>
    <s v=" 30.5714 "/>
    <x v="0"/>
    <n v="4629"/>
    <m/>
    <m/>
  </r>
  <r>
    <x v="12"/>
    <x v="4"/>
    <s v="C:\Users\andre\Desktop\REACTIV CEFAS\Anastrozole\Anastrozole/20201124_Cefas_Test7_Run1/Plate 2/@10/D4_02.tif "/>
    <s v=" 2249.509 "/>
    <s v=" 32.9519 "/>
    <x v="0"/>
    <n v="74126"/>
    <m/>
    <m/>
  </r>
  <r>
    <x v="12"/>
    <x v="4"/>
    <s v="C:\Users\andre\Desktop\REACTIV CEFAS\Anastrozole\Anastrozole/20201124_Cefas_Test7_Run1/Plate 2/@10/D4_03.tif "/>
    <s v=" 1276.1638 "/>
    <s v=" 34.6441 "/>
    <x v="0"/>
    <n v="44212"/>
    <m/>
    <m/>
  </r>
  <r>
    <x v="12"/>
    <x v="5"/>
    <s v="C:\Users\andre\Desktop\REACTIV CEFAS\Anastrozole\Anastrozole/20201124_Cefas_Test7_Run1/Plate 2/@10/E4_01.tif "/>
    <s v=" 1103.1246 "/>
    <s v=" 35.1569 "/>
    <x v="0"/>
    <n v="38782"/>
    <m/>
    <m/>
  </r>
  <r>
    <x v="12"/>
    <x v="5"/>
    <s v="C:\Users\andre\Desktop\REACTIV CEFAS\Anastrozole\Anastrozole/20201124_Cefas_Test7_Run1/Plate 2/@10/E4_02.tif "/>
    <s v=" 1362.6834 "/>
    <s v=" 32.2698 "/>
    <x v="0"/>
    <n v="43974"/>
    <m/>
    <m/>
  </r>
  <r>
    <x v="12"/>
    <x v="5"/>
    <s v="C:\Users\andre\Desktop\REACTIV CEFAS\Anastrozole\Anastrozole/20201124_Cefas_Test7_Run1/Plate 2/@10/E4_03.tif "/>
    <s v=" 1038.2349 "/>
    <s v=" 31.7083 "/>
    <x v="0"/>
    <n v="32921"/>
    <m/>
    <m/>
  </r>
  <r>
    <x v="12"/>
    <x v="6"/>
    <s v="C:\Users\andre\Desktop\REACTIV CEFAS\Anastrozole\Anastrozole/20201124_Cefas_Test7_Run1/Plate 2/@10/F4_01.tif "/>
    <s v=" 5948.221 "/>
    <s v=" 35.8218 "/>
    <x v="0"/>
    <n v="213076"/>
    <m/>
    <m/>
  </r>
  <r>
    <x v="12"/>
    <x v="6"/>
    <s v="C:\Users\andre\Desktop\REACTIV CEFAS\Anastrozole\Anastrozole/20201124_Cefas_Test7_Run1/Plate 2/@10/F4_02.tif "/>
    <s v=" 2963.2956 "/>
    <s v=" 33.438 "/>
    <x v="0"/>
    <n v="99087"/>
    <m/>
    <m/>
  </r>
  <r>
    <x v="12"/>
    <x v="6"/>
    <s v="C:\Users\andre\Desktop\REACTIV CEFAS\Anastrozole\Anastrozole/20201124_Cefas_Test7_Run1/Plate 2/@10/F4_03.tif "/>
    <s v=" 6986.456 "/>
    <s v=" 35.3901 "/>
    <x v="0"/>
    <n v="247251"/>
    <m/>
    <m/>
  </r>
  <r>
    <x v="12"/>
    <x v="7"/>
    <s v="C:\Users\andre\Desktop\REACTIV CEFAS\Anastrozole\Anastrozole/20201124_Cefas_Test7_Run1/Plate 2/@10/G4_01.tif "/>
    <s v=" 4693.6871 "/>
    <s v=" 37.2166 "/>
    <x v="0"/>
    <n v="174683"/>
    <m/>
    <m/>
  </r>
  <r>
    <x v="12"/>
    <x v="7"/>
    <s v="C:\Users\andre\Desktop\REACTIV CEFAS\Anastrozole\Anastrozole/20201124_Cefas_Test7_Run1/Plate 2/@10/G4_02.tif "/>
    <s v=" 4996.5057 "/>
    <s v=" 38.29 "/>
    <x v="0"/>
    <n v="191316"/>
    <m/>
    <m/>
  </r>
  <r>
    <x v="12"/>
    <x v="7"/>
    <s v="C:\Users\andre\Desktop\REACTIV CEFAS\Anastrozole\Anastrozole/20201124_Cefas_Test7_Run1/Plate 2/@10/G4_03.tif "/>
    <s v=" 4412.4985 "/>
    <s v=" 37.7941 "/>
    <x v="0"/>
    <n v="166766"/>
    <m/>
    <m/>
  </r>
  <r>
    <x v="12"/>
    <x v="8"/>
    <s v="C:\Users\andre\Desktop\REACTIV CEFAS\Anastrozole\Anastrozole/20201124_Cefas_Test7_Run1/Plate 2/@10/H4_01.tif "/>
    <s v=" 7743.5023 "/>
    <s v=" 42.405 "/>
    <x v="0"/>
    <n v="328363"/>
    <m/>
    <m/>
  </r>
  <r>
    <x v="12"/>
    <x v="8"/>
    <s v="C:\Users\andre\Desktop\REACTIV CEFAS\Anastrozole\Anastrozole/20201124_Cefas_Test7_Run1/Plate 2/@10/H4_02.tif "/>
    <s v=" 1276.1638 "/>
    <s v=" 33.2881 "/>
    <x v="0"/>
    <n v="42481"/>
    <m/>
    <m/>
  </r>
  <r>
    <x v="12"/>
    <x v="8"/>
    <s v="C:\Users\andre\Desktop\REACTIV CEFAS\Anastrozole\Anastrozole/20201124_Cefas_Test7_Run1/Plate 2/@10/H4_03.tif "/>
    <s v=" 7008.0859 "/>
    <s v=" 43.466 "/>
    <x v="0"/>
    <n v="304614"/>
    <m/>
    <m/>
  </r>
  <r>
    <x v="0"/>
    <x v="0"/>
    <s v=" "/>
    <m/>
    <m/>
    <x v="1"/>
    <m/>
    <m/>
    <m/>
  </r>
  <r>
    <x v="0"/>
    <x v="0"/>
    <s v="group "/>
    <s v=" "/>
    <s v=" mean of mean fluo "/>
    <x v="2"/>
    <s v=" mean of total fluo "/>
    <m/>
    <m/>
  </r>
  <r>
    <x v="12"/>
    <x v="9"/>
    <s v="C:\Users\andre\Desktop\REACTIV CEFAS\Anastrozole\Anastrozole/20201124_Cefas_Test7_Run1/Plate 2/@10/ "/>
    <s v=" "/>
    <s v=" 35.4475 "/>
    <x v="14"/>
    <s v=" 124411.583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Anastrozole\Anastrozole/20201124_Cefas_Test7_Run1/Plate 2/@11/A5_01.tif "/>
    <n v="0"/>
    <n v="0"/>
    <x v="0"/>
    <n v="0"/>
    <m/>
    <m/>
  </r>
  <r>
    <x v="13"/>
    <x v="1"/>
    <s v="C:\Users\andre\Desktop\REACTIV CEFAS\Anastrozole\Anastrozole/20201124_Cefas_Test7_Run1/Plate 2/@11/A5_02.tif "/>
    <n v="0"/>
    <n v="0"/>
    <x v="0"/>
    <n v="0"/>
    <m/>
    <m/>
  </r>
  <r>
    <x v="13"/>
    <x v="1"/>
    <s v="C:\Users\andre\Desktop\REACTIV CEFAS\Anastrozole\Anastrozole/20201124_Cefas_Test7_Run1/Plate 2/@11/A5_03.tif "/>
    <s v=" 908.4556 "/>
    <s v=" 31.5714 "/>
    <x v="0"/>
    <n v="28681"/>
    <m/>
    <m/>
  </r>
  <r>
    <x v="13"/>
    <x v="2"/>
    <s v="C:\Users\andre\Desktop\REACTIV CEFAS\Anastrozole\Anastrozole/20201124_Cefas_Test7_Run1/Plate 2/@11/B5_01.tif "/>
    <s v=" 6618.7478 "/>
    <s v=" 40.9444 "/>
    <x v="0"/>
    <n v="271001"/>
    <m/>
    <m/>
  </r>
  <r>
    <x v="13"/>
    <x v="2"/>
    <s v="C:\Users\andre\Desktop\REACTIV CEFAS\Anastrozole\Anastrozole/20201124_Cefas_Test7_Run1/Plate 2/@11/B5_02.tif "/>
    <s v=" 7592.093 "/>
    <s v=" 39.2393 "/>
    <x v="0"/>
    <n v="297909"/>
    <m/>
    <m/>
  </r>
  <r>
    <x v="13"/>
    <x v="2"/>
    <s v="C:\Users\andre\Desktop\REACTIV CEFAS\Anastrozole\Anastrozole/20201124_Cefas_Test7_Run1/Plate 2/@11/B5_03.tif "/>
    <s v=" 5450.7334 "/>
    <s v=" 39.0992 "/>
    <x v="0"/>
    <n v="213119"/>
    <m/>
    <m/>
  </r>
  <r>
    <x v="13"/>
    <x v="3"/>
    <s v="C:\Users\andre\Desktop\REACTIV CEFAS\Anastrozole\Anastrozole/20201124_Cefas_Test7_Run1/Plate 2/@11/C5_01.tif "/>
    <n v="0"/>
    <n v="0"/>
    <x v="0"/>
    <n v="0"/>
    <m/>
    <m/>
  </r>
  <r>
    <x v="13"/>
    <x v="3"/>
    <s v="C:\Users\andre\Desktop\REACTIV CEFAS\Anastrozole\Anastrozole/20201124_Cefas_Test7_Run1/Plate 2/@11/C5_02.tif "/>
    <n v="0"/>
    <n v="0"/>
    <x v="0"/>
    <n v="0"/>
    <m/>
    <m/>
  </r>
  <r>
    <x v="13"/>
    <x v="3"/>
    <s v="C:\Users\andre\Desktop\REACTIV CEFAS\Anastrozole\Anastrozole/20201124_Cefas_Test7_Run1/Plate 2/@11/C5_03.tif "/>
    <s v=" 6121.2602 "/>
    <s v=" 34.4382 "/>
    <x v="0"/>
    <n v="210805"/>
    <m/>
    <m/>
  </r>
  <r>
    <x v="13"/>
    <x v="4"/>
    <s v="C:\Users\andre\Desktop\REACTIV CEFAS\Anastrozole\Anastrozole/20201124_Cefas_Test7_Run1/Plate 2/@11/D5_01.tif "/>
    <s v=" 10382.3494 "/>
    <s v=" 33.9958 "/>
    <x v="0"/>
    <n v="352957"/>
    <m/>
    <m/>
  </r>
  <r>
    <x v="13"/>
    <x v="4"/>
    <s v="C:\Users\andre\Desktop\REACTIV CEFAS\Anastrozole\Anastrozole/20201124_Cefas_Test7_Run1/Plate 2/@11/D5_02.tif "/>
    <s v=" 7808.392 "/>
    <s v=" 36.7036 "/>
    <x v="0"/>
    <n v="286596"/>
    <m/>
    <m/>
  </r>
  <r>
    <x v="13"/>
    <x v="4"/>
    <s v="C:\Users\andre\Desktop\REACTIV CEFAS\Anastrozole\Anastrozole/20201124_Cefas_Test7_Run1/Plate 2/@11/D5_03.tif "/>
    <s v=" 7224.3848 "/>
    <s v=" 36.7126 "/>
    <x v="0"/>
    <n v="265226"/>
    <m/>
    <m/>
  </r>
  <r>
    <x v="13"/>
    <x v="5"/>
    <s v="C:\Users\andre\Desktop\REACTIV CEFAS\Anastrozole\Anastrozole/20201124_Cefas_Test7_Run1/Plate 2/@11/E5_01.tif "/>
    <s v=" 6813.4168 "/>
    <s v=" 39.7175 "/>
    <x v="0"/>
    <n v="270612"/>
    <m/>
    <m/>
  </r>
  <r>
    <x v="13"/>
    <x v="5"/>
    <s v="C:\Users\andre\Desktop\REACTIV CEFAS\Anastrozole\Anastrozole/20201124_Cefas_Test7_Run1/Plate 2/@11/E5_02.tif "/>
    <s v=" 8176.1002 "/>
    <s v=" 39.254 "/>
    <x v="0"/>
    <n v="320944"/>
    <m/>
    <m/>
  </r>
  <r>
    <x v="13"/>
    <x v="5"/>
    <s v="C:\Users\andre\Desktop\REACTIV CEFAS\Anastrozole\Anastrozole/20201124_Cefas_Test7_Run1/Plate 2/@11/E5_03.tif "/>
    <s v=" 9084.5557 "/>
    <s v=" 43.3286 "/>
    <x v="0"/>
    <n v="393621"/>
    <m/>
    <m/>
  </r>
  <r>
    <x v="13"/>
    <x v="6"/>
    <s v="C:\Users\andre\Desktop\REACTIV CEFAS\Anastrozole\Anastrozole/20201124_Cefas_Test7_Run1/Plate 2/@11/F5_01.tif "/>
    <s v=" 1752.0215 "/>
    <s v=" 35.3704 "/>
    <x v="0"/>
    <n v="61970"/>
    <m/>
    <m/>
  </r>
  <r>
    <x v="13"/>
    <x v="6"/>
    <s v="C:\Users\andre\Desktop\REACTIV CEFAS\Anastrozole\Anastrozole/20201124_Cefas_Test7_Run1/Plate 2/@11/F5_02.tif "/>
    <s v=" 2552.3276 "/>
    <s v=" 36.1017 "/>
    <x v="0"/>
    <n v="92143"/>
    <m/>
    <m/>
  </r>
  <r>
    <x v="13"/>
    <x v="6"/>
    <s v="C:\Users\andre\Desktop\REACTIV CEFAS\Anastrozole\Anastrozole/20201124_Cefas_Test7_Run1/Plate 2/@11/F5_03.tif "/>
    <s v=" 1384.3133 "/>
    <s v=" 33.6562 "/>
    <x v="0"/>
    <n v="46591"/>
    <m/>
    <m/>
  </r>
  <r>
    <x v="13"/>
    <x v="7"/>
    <s v="C:\Users\andre\Desktop\REACTIV CEFAS\Anastrozole\Anastrozole/20201124_Cefas_Test7_Run1/Plate 2/@11/G5_01- exclu.tif"/>
    <m/>
    <m/>
    <x v="1"/>
    <m/>
    <m/>
    <m/>
  </r>
  <r>
    <x v="13"/>
    <x v="7"/>
    <s v="C:\Users\andre\Desktop\REACTIV CEFAS\Anastrozole\Anastrozole/20201124_Cefas_Test7_Run1/Plate 2/@11/G5_02- exclu.tif"/>
    <m/>
    <m/>
    <x v="1"/>
    <m/>
    <m/>
    <m/>
  </r>
  <r>
    <x v="13"/>
    <x v="7"/>
    <s v="C:\Users\andre\Desktop\REACTIV CEFAS\Anastrozole\Anastrozole/20201124_Cefas_Test7_Run1/Plate 2/@11/G5_03- exclu.tif"/>
    <m/>
    <m/>
    <x v="1"/>
    <m/>
    <m/>
    <m/>
  </r>
  <r>
    <x v="13"/>
    <x v="8"/>
    <s v="C:\Users\andre\Desktop\REACTIV CEFAS\Anastrozole\Anastrozole/20201124_Cefas_Test7_Run1/Plate 2/@11/H5_01.tif "/>
    <n v="0"/>
    <n v="0"/>
    <x v="0"/>
    <n v="0"/>
    <m/>
    <m/>
  </r>
  <r>
    <x v="13"/>
    <x v="8"/>
    <s v="C:\Users\andre\Desktop\REACTIV CEFAS\Anastrozole\Anastrozole/20201124_Cefas_Test7_Run1/Plate 2/@11/H5_02.tif "/>
    <s v=" 21.6299 "/>
    <n v="30"/>
    <x v="0"/>
    <n v="649"/>
    <m/>
    <m/>
  </r>
  <r>
    <x v="13"/>
    <x v="8"/>
    <s v="C:\Users\andre\Desktop\REACTIV CEFAS\Anastrozole\Anastrozole/20201124_Cefas_Test7_Run1/Plate 2/@11/H5_03.tif "/>
    <s v=" 43.2598 "/>
    <s v=" 30.5 "/>
    <x v="0"/>
    <n v="1319"/>
    <m/>
    <m/>
  </r>
  <r>
    <x v="0"/>
    <x v="0"/>
    <s v=" "/>
    <m/>
    <m/>
    <x v="1"/>
    <m/>
    <m/>
    <m/>
  </r>
  <r>
    <x v="0"/>
    <x v="0"/>
    <s v="group "/>
    <s v=" "/>
    <s v=" mean of mean fluo "/>
    <x v="2"/>
    <s v=" mean of total fluo "/>
    <m/>
    <m/>
  </r>
  <r>
    <x v="13"/>
    <x v="9"/>
    <s v="C:\Users\andre\Desktop\REACTIV CEFAS\Anastrozole\Anastrozole/20201124_Cefas_Test7_Run1/Plate 2/@11/ "/>
    <s v=" "/>
    <s v=" 28.7702 "/>
    <x v="15"/>
    <s v=" 154747.5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Anastrozole\Anastrozole/20201124_Cefas_Test7_Run1/Plate 2/@12/A6_01.tif "/>
    <s v=" 3698.712 "/>
    <s v=" 33.4211 "/>
    <x v="0"/>
    <n v="123615"/>
    <m/>
    <m/>
  </r>
  <r>
    <x v="14"/>
    <x v="1"/>
    <s v="C:\Users\andre\Desktop\REACTIV CEFAS\Anastrozole\Anastrozole/20201124_Cefas_Test7_Run1/Plate 2/@12/A6_02.tif "/>
    <s v=" 865.1958 "/>
    <s v=" 32.725 "/>
    <x v="0"/>
    <n v="28314"/>
    <m/>
    <m/>
  </r>
  <r>
    <x v="14"/>
    <x v="1"/>
    <s v="C:\Users\andre\Desktop\REACTIV CEFAS\Anastrozole\Anastrozole/20201124_Cefas_Test7_Run1/Plate 2/@12/A6_03.tif "/>
    <s v=" 2400.9183 "/>
    <s v=" 35.3694 "/>
    <x v="0"/>
    <n v="84919"/>
    <m/>
    <m/>
  </r>
  <r>
    <x v="14"/>
    <x v="2"/>
    <s v="C:\Users\andre\Desktop\REACTIV CEFAS\Anastrozole\Anastrozole/20201124_Cefas_Test7_Run1/Plate 2/@12/B6_01.tif "/>
    <s v=" 3871.7511 "/>
    <s v=" 35.7318 "/>
    <x v="0"/>
    <n v="138345"/>
    <m/>
    <m/>
  </r>
  <r>
    <x v="14"/>
    <x v="2"/>
    <s v="C:\Users\andre\Desktop\REACTIV CEFAS\Anastrozole\Anastrozole/20201124_Cefas_Test7_Run1/Plate 2/@12/B6_02.tif "/>
    <s v=" 2552.3276 "/>
    <s v=" 34.7034 "/>
    <x v="0"/>
    <n v="88574"/>
    <m/>
    <m/>
  </r>
  <r>
    <x v="14"/>
    <x v="2"/>
    <s v="C:\Users\andre\Desktop\REACTIV CEFAS\Anastrozole\Anastrozole/20201124_Cefas_Test7_Run1/Plate 2/@12/B6_03.tif "/>
    <s v=" 2033.2101 "/>
    <s v=" 36.1809 "/>
    <x v="0"/>
    <n v="73563"/>
    <m/>
    <m/>
  </r>
  <r>
    <x v="14"/>
    <x v="3"/>
    <s v="C:\Users\andre\Desktop\REACTIV CEFAS\Anastrozole\Anastrozole/20201124_Cefas_Test7_Run1/Plate 2/@12/C6_01.tif "/>
    <s v=" 6770.157 "/>
    <s v=" 39.4217 "/>
    <x v="0"/>
    <n v="266891"/>
    <m/>
    <m/>
  </r>
  <r>
    <x v="14"/>
    <x v="3"/>
    <s v="C:\Users\andre\Desktop\REACTIV CEFAS\Anastrozole\Anastrozole/20201124_Cefas_Test7_Run1/Plate 2/@12/C6_02.tif "/>
    <s v=" 5775.1819 "/>
    <s v=" 37.6105 "/>
    <x v="0"/>
    <n v="217207"/>
    <m/>
    <m/>
  </r>
  <r>
    <x v="14"/>
    <x v="3"/>
    <s v="C:\Users\andre\Desktop\REACTIV CEFAS\Anastrozole\Anastrozole/20201124_Cefas_Test7_Run1/Plate 2/@12/C6_03.tif "/>
    <s v=" 6294.2993 "/>
    <s v=" 40.1203 "/>
    <x v="0"/>
    <n v="252529"/>
    <m/>
    <m/>
  </r>
  <r>
    <x v="14"/>
    <x v="4"/>
    <s v="C:\Users\andre\Desktop\REACTIV CEFAS\Anastrozole\Anastrozole/20201124_Cefas_Test7_Run1/Plate 2/@12/D6_01- exclu.tif"/>
    <m/>
    <m/>
    <x v="1"/>
    <m/>
    <m/>
    <m/>
  </r>
  <r>
    <x v="14"/>
    <x v="4"/>
    <s v="C:\Users\andre\Desktop\REACTIV CEFAS\Anastrozole\Anastrozole/20201124_Cefas_Test7_Run1/Plate 2/@12/D6_02.tif "/>
    <s v=" 129.7794 "/>
    <s v=" 30.3333 "/>
    <x v="0"/>
    <n v="3937"/>
    <m/>
    <m/>
  </r>
  <r>
    <x v="14"/>
    <x v="4"/>
    <s v="C:\Users\andre\Desktop\REACTIV CEFAS\Anastrozole\Anastrozole/20201124_Cefas_Test7_Run1/Plate 2/@12/D6_03.tif "/>
    <s v=" 108.1495 "/>
    <s v=" 31.8 "/>
    <x v="0"/>
    <n v="3439"/>
    <m/>
    <m/>
  </r>
  <r>
    <x v="14"/>
    <x v="5"/>
    <s v="C:\Users\andre\Desktop\REACTIV CEFAS\Anastrozole\Anastrozole/20201124_Cefas_Test7_Run1/Plate 2/@12/E6_01.tif "/>
    <s v=" 6142.8901 "/>
    <s v=" 33.5563 "/>
    <x v="0"/>
    <n v="206133"/>
    <m/>
    <m/>
  </r>
  <r>
    <x v="14"/>
    <x v="5"/>
    <s v="C:\Users\andre\Desktop\REACTIV CEFAS\Anastrozole\Anastrozole/20201124_Cefas_Test7_Run1/Plate 2/@12/E6_02.tif "/>
    <s v=" 10793.3174 "/>
    <s v=" 34.4008 "/>
    <x v="0"/>
    <n v="371299"/>
    <m/>
    <m/>
  </r>
  <r>
    <x v="14"/>
    <x v="5"/>
    <s v="C:\Users\andre\Desktop\REACTIV CEFAS\Anastrozole\Anastrozole/20201124_Cefas_Test7_Run1/Plate 2/@12/E6_03.tif "/>
    <s v=" 5775.1819 "/>
    <s v=" 35.03 "/>
    <x v="0"/>
    <n v="202304"/>
    <m/>
    <m/>
  </r>
  <r>
    <x v="14"/>
    <x v="6"/>
    <s v="C:\Users\andre\Desktop\REACTIV CEFAS\Anastrozole\Anastrozole/20201124_Cefas_Test7_Run1/Plate 2/@12/F6_01.tif "/>
    <s v=" 410.968 "/>
    <s v=" 31.4211 "/>
    <x v="0"/>
    <n v="12913"/>
    <m/>
    <m/>
  </r>
  <r>
    <x v="14"/>
    <x v="6"/>
    <s v="C:\Users\andre\Desktop\REACTIV CEFAS\Anastrozole\Anastrozole/20201124_Cefas_Test7_Run1/Plate 2/@12/F6_02.tif "/>
    <s v=" 64.8897 "/>
    <n v="32"/>
    <x v="0"/>
    <n v="2076"/>
    <m/>
    <m/>
  </r>
  <r>
    <x v="14"/>
    <x v="6"/>
    <s v="C:\Users\andre\Desktop\REACTIV CEFAS\Anastrozole\Anastrozole/20201124_Cefas_Test7_Run1/Plate 2/@12/F6_03.tif "/>
    <s v=" 2444.1781 "/>
    <s v=" 32.469 "/>
    <x v="0"/>
    <n v="79360"/>
    <m/>
    <m/>
  </r>
  <r>
    <x v="14"/>
    <x v="7"/>
    <s v="C:\Users\andre\Desktop\REACTIV CEFAS\Anastrozole\Anastrozole/20201124_Cefas_Test7_Run1/Plate 2/@12/G6_01.tif "/>
    <s v=" 281.1886 "/>
    <n v="32"/>
    <x v="0"/>
    <n v="8998"/>
    <m/>
    <m/>
  </r>
  <r>
    <x v="14"/>
    <x v="7"/>
    <s v="C:\Users\andre\Desktop\REACTIV CEFAS\Anastrozole\Anastrozole/20201124_Cefas_Test7_Run1/Plate 2/@12/G6_02.tif "/>
    <s v=" 21.6299 "/>
    <n v="30"/>
    <x v="0"/>
    <n v="649"/>
    <m/>
    <m/>
  </r>
  <r>
    <x v="14"/>
    <x v="7"/>
    <s v="C:\Users\andre\Desktop\REACTIV CEFAS\Anastrozole\Anastrozole/20201124_Cefas_Test7_Run1/Plate 2/@12/G6_03.tif "/>
    <s v=" 64.8897 "/>
    <s v=" 30.6667 "/>
    <x v="0"/>
    <n v="1990"/>
    <m/>
    <m/>
  </r>
  <r>
    <x v="14"/>
    <x v="8"/>
    <s v="C:\Users\andre\Desktop\REACTIV CEFAS\Anastrozole\Anastrozole/20201124_Cefas_Test7_Run1/Plate 2/@12/H6_01.tif "/>
    <s v=" 1752.0215 "/>
    <s v=" 32.7407 "/>
    <x v="0"/>
    <n v="57362"/>
    <m/>
    <m/>
  </r>
  <r>
    <x v="14"/>
    <x v="8"/>
    <s v="C:\Users\andre\Desktop\REACTIV CEFAS\Anastrozole\Anastrozole/20201124_Cefas_Test7_Run1/Plate 2/@12/H6_02- exclu.tif"/>
    <m/>
    <m/>
    <x v="1"/>
    <m/>
    <m/>
    <m/>
  </r>
  <r>
    <x v="14"/>
    <x v="8"/>
    <s v="C:\Users\andre\Desktop\REACTIV CEFAS\Anastrozole\Anastrozole/20201124_Cefas_Test7_Run1/Plate 2/@12/H6_03.tif "/>
    <s v=" 3850.1212 "/>
    <s v=" 33.5112 "/>
    <x v="0"/>
    <n v="129022"/>
    <m/>
    <m/>
  </r>
  <r>
    <x v="0"/>
    <x v="0"/>
    <s v=" "/>
    <m/>
    <m/>
    <x v="1"/>
    <m/>
    <m/>
    <m/>
  </r>
  <r>
    <x v="0"/>
    <x v="0"/>
    <s v="group "/>
    <s v=" "/>
    <s v=" mean of mean fluo "/>
    <x v="2"/>
    <s v=" mean of total fluo "/>
    <m/>
    <m/>
  </r>
  <r>
    <x v="14"/>
    <x v="9"/>
    <s v="C:\Users\andre\Desktop\REACTIV CEFAS\Anastrozole\Anastrozole/20201124_Cefas_Test7_Run1/Plate 2/@12/ "/>
    <s v=" "/>
    <s v=" 33.6262 "/>
    <x v="16"/>
    <s v=" 98706.1667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Anastrozole\Anastrozole/20201124_Cefas_Test7_Run1/Plate 2/@17/A8_01.tif "/>
    <s v=" 173.0392 "/>
    <s v=" 30.375 "/>
    <x v="0"/>
    <n v="5256"/>
    <m/>
    <m/>
  </r>
  <r>
    <x v="15"/>
    <x v="1"/>
    <s v="C:\Users\andre\Desktop\REACTIV CEFAS\Anastrozole\Anastrozole/20201124_Cefas_Test7_Run1/Plate 2/@17/A8_02.tif "/>
    <s v=" 497.4876 "/>
    <s v=" 32.3913 "/>
    <x v="0"/>
    <n v="16114"/>
    <m/>
    <m/>
  </r>
  <r>
    <x v="15"/>
    <x v="1"/>
    <s v="C:\Users\andre\Desktop\REACTIV CEFAS\Anastrozole\Anastrozole/20201124_Cefas_Test7_Run1/Plate 2/@17/A8_03.tif "/>
    <s v=" 1773.6514 "/>
    <s v=" 33.6829 "/>
    <x v="0"/>
    <n v="59742"/>
    <m/>
    <m/>
  </r>
  <r>
    <x v="15"/>
    <x v="2"/>
    <s v="C:\Users\andre\Desktop\REACTIV CEFAS\Anastrozole\Anastrozole/20201124_Cefas_Test7_Run1/Plate 2/@17/B8_01.tif "/>
    <s v=" 1730.3916 "/>
    <s v=" 33.4375 "/>
    <x v="0"/>
    <n v="57860"/>
    <m/>
    <m/>
  </r>
  <r>
    <x v="15"/>
    <x v="2"/>
    <s v="C:\Users\andre\Desktop\REACTIV CEFAS\Anastrozole\Anastrozole/20201124_Cefas_Test7_Run1/Plate 2/@17/B8_02.tif "/>
    <s v=" 2098.0998 "/>
    <s v=" 35.5155 "/>
    <x v="0"/>
    <n v="74515"/>
    <m/>
    <m/>
  </r>
  <r>
    <x v="15"/>
    <x v="2"/>
    <s v="C:\Users\andre\Desktop\REACTIV CEFAS\Anastrozole\Anastrozole/20201124_Cefas_Test7_Run1/Plate 2/@17/B8_03.tif "/>
    <s v=" 1903.4307 "/>
    <s v=" 32.6591 "/>
    <x v="0"/>
    <n v="62164"/>
    <m/>
    <m/>
  </r>
  <r>
    <x v="15"/>
    <x v="3"/>
    <s v="C:\Users\andre\Desktop\REACTIV CEFAS\Anastrozole\Anastrozole/20201124_Cefas_Test7_Run1/Plate 2/@17/C8_01.tif "/>
    <s v=" 6683.6374 "/>
    <s v=" 34.8123 "/>
    <x v="0"/>
    <n v="232673"/>
    <m/>
    <m/>
  </r>
  <r>
    <x v="15"/>
    <x v="3"/>
    <s v="C:\Users\andre\Desktop\REACTIV CEFAS\Anastrozole\Anastrozole/20201124_Cefas_Test7_Run1/Plate 2/@17/C8_02.tif "/>
    <s v=" 6445.7086 "/>
    <s v=" 39.2718 "/>
    <x v="0"/>
    <n v="253135"/>
    <m/>
    <m/>
  </r>
  <r>
    <x v="15"/>
    <x v="3"/>
    <s v="C:\Users\andre\Desktop\REACTIV CEFAS\Anastrozole\Anastrozole/20201124_Cefas_Test7_Run1/Plate 2/@17/C8_03.tif "/>
    <s v=" 6380.8189 "/>
    <s v=" 35.4034 "/>
    <x v="0"/>
    <n v="225903"/>
    <m/>
    <m/>
  </r>
  <r>
    <x v="15"/>
    <x v="4"/>
    <s v="C:\Users\andre\Desktop\REACTIV CEFAS\Anastrozole\Anastrozole/20201124_Cefas_Test7_Run1/Plate 2/@17/D8_01.tif "/>
    <s v=" 3958.2707 "/>
    <s v=" 34.3989 "/>
    <x v="0"/>
    <n v="136160"/>
    <m/>
    <m/>
  </r>
  <r>
    <x v="15"/>
    <x v="4"/>
    <s v="C:\Users\andre\Desktop\REACTIV CEFAS\Anastrozole\Anastrozole/20201124_Cefas_Test7_Run1/Plate 2/@17/D8_02.tif "/>
    <s v=" 3331.0038 "/>
    <s v=" 33.8571 "/>
    <x v="0"/>
    <n v="112778"/>
    <m/>
    <m/>
  </r>
  <r>
    <x v="15"/>
    <x v="4"/>
    <s v="C:\Users\andre\Desktop\REACTIV CEFAS\Anastrozole\Anastrozole/20201124_Cefas_Test7_Run1/Plate 2/@17/D8_03.tif "/>
    <s v=" 4607.1676 "/>
    <s v=" 35.723 "/>
    <x v="0"/>
    <n v="164582"/>
    <m/>
    <m/>
  </r>
  <r>
    <x v="15"/>
    <x v="5"/>
    <s v="C:\Users\andre\Desktop\REACTIV CEFAS\Anastrozole\Anastrozole/20201124_Cefas_Test7_Run1/Plate 2/@17/E8_01.tif "/>
    <s v=" 16525.2395 "/>
    <s v=" 41.6466 "/>
    <x v="0"/>
    <n v="688220"/>
    <m/>
    <m/>
  </r>
  <r>
    <x v="15"/>
    <x v="5"/>
    <s v="C:\Users\andre\Desktop\REACTIV CEFAS\Anastrozole\Anastrozole/20201124_Cefas_Test7_Run1/Plate 2/@17/E8_02- exclu.tif"/>
    <m/>
    <m/>
    <x v="1"/>
    <m/>
    <m/>
    <m/>
  </r>
  <r>
    <x v="15"/>
    <x v="5"/>
    <s v="C:\Users\andre\Desktop\REACTIV CEFAS\Anastrozole\Anastrozole/20201124_Cefas_Test7_Run1/Plate 2/@17/E8_03- exclu.tif"/>
    <m/>
    <m/>
    <x v="1"/>
    <m/>
    <m/>
    <m/>
  </r>
  <r>
    <x v="15"/>
    <x v="6"/>
    <s v="C:\Users\andre\Desktop\REACTIV CEFAS\Anastrozole\Anastrozole/20201124_Cefas_Test7_Run1/Plate 2/@17/F8_01.tif "/>
    <s v=" 2855.1461 "/>
    <s v=" 35.1742 "/>
    <x v="0"/>
    <n v="100428"/>
    <m/>
    <m/>
  </r>
  <r>
    <x v="15"/>
    <x v="6"/>
    <s v="C:\Users\andre\Desktop\REACTIV CEFAS\Anastrozole\Anastrozole/20201124_Cefas_Test7_Run1/Plate 2/@17/F8_02.tif "/>
    <s v=" 2271.1389 "/>
    <s v=" 34.9048 "/>
    <x v="0"/>
    <n v="79274"/>
    <m/>
    <m/>
  </r>
  <r>
    <x v="15"/>
    <x v="6"/>
    <s v="C:\Users\andre\Desktop\REACTIV CEFAS\Anastrozole\Anastrozole/20201124_Cefas_Test7_Run1/Plate 2/@17/F8_03.tif "/>
    <s v=" 389.3381 "/>
    <s v=" 31.4444 "/>
    <x v="0"/>
    <n v="12243"/>
    <m/>
    <m/>
  </r>
  <r>
    <x v="15"/>
    <x v="7"/>
    <s v="C:\Users\andre\Desktop\REACTIV CEFAS\Anastrozole\Anastrozole/20201124_Cefas_Test7_Run1/Plate 2/@17/G8_01.tif "/>
    <s v=" 6034.7406 "/>
    <s v=" 40.086 "/>
    <x v="0"/>
    <n v="241909"/>
    <m/>
    <m/>
  </r>
  <r>
    <x v="15"/>
    <x v="7"/>
    <s v="C:\Users\andre\Desktop\REACTIV CEFAS\Anastrozole\Anastrozole/20201124_Cefas_Test7_Run1/Plate 2/@17/G8_02.tif "/>
    <s v=" 6662.0075 "/>
    <s v=" 40.4253 "/>
    <x v="0"/>
    <n v="269314"/>
    <m/>
    <m/>
  </r>
  <r>
    <x v="15"/>
    <x v="7"/>
    <s v="C:\Users\andre\Desktop\REACTIV CEFAS\Anastrozole\Anastrozole/20201124_Cefas_Test7_Run1/Plate 2/@17/G8_03.tif "/>
    <s v=" 6424.0787 "/>
    <s v=" 39.6599 "/>
    <x v="0"/>
    <n v="254779"/>
    <m/>
    <m/>
  </r>
  <r>
    <x v="15"/>
    <x v="8"/>
    <s v="C:\Users\andre\Desktop\REACTIV CEFAS\Anastrozole\Anastrozole/20201124_Cefas_Test7_Run1/Plate 2/@17/H8_01.tif "/>
    <s v=" 7786.7621 "/>
    <s v=" 37.6361 "/>
    <x v="0"/>
    <n v="293063"/>
    <m/>
    <m/>
  </r>
  <r>
    <x v="15"/>
    <x v="8"/>
    <s v="C:\Users\andre\Desktop\REACTIV CEFAS\Anastrozole\Anastrozole/20201124_Cefas_Test7_Run1/Plate 2/@17/H8_02.tif "/>
    <s v=" 8003.061 "/>
    <s v=" 38.9459 "/>
    <x v="0"/>
    <n v="311687"/>
    <m/>
    <m/>
  </r>
  <r>
    <x v="15"/>
    <x v="8"/>
    <s v="C:\Users\andre\Desktop\REACTIV CEFAS\Anastrozole\Anastrozole/20201124_Cefas_Test7_Run1/Plate 2/@17/H8_03.tif "/>
    <s v=" 4239.4593 "/>
    <s v=" 37.6122 "/>
    <x v="0"/>
    <n v="159456"/>
    <m/>
    <m/>
  </r>
  <r>
    <x v="0"/>
    <x v="0"/>
    <s v=" "/>
    <m/>
    <m/>
    <x v="1"/>
    <m/>
    <m/>
    <m/>
  </r>
  <r>
    <x v="0"/>
    <x v="0"/>
    <s v="group "/>
    <s v=" "/>
    <s v=" mean of mean fluo "/>
    <x v="2"/>
    <s v=" mean of total fluo "/>
    <m/>
    <m/>
  </r>
  <r>
    <x v="15"/>
    <x v="9"/>
    <s v="C:\Users\andre\Desktop\REACTIV CEFAS\Anastrozole\Anastrozole/20201124_Cefas_Test7_Run1/Plate 2/@17/ "/>
    <s v=" "/>
    <s v=" 37.076 "/>
    <x v="17"/>
    <n v="223637"/>
    <m/>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Anastrozole\Anastrozole/20201124_Cefas_Test7_Run1/Plate 2/@18/A9_01.tif "/>
    <s v=" 5667.0324 "/>
    <s v=" 36.7824 "/>
    <x v="0"/>
    <n v="208447"/>
    <m/>
    <m/>
  </r>
  <r>
    <x v="16"/>
    <x v="1"/>
    <s v="C:\Users\andre\Desktop\REACTIV CEFAS\Anastrozole\Anastrozole/20201124_Cefas_Test7_Run1/Plate 2/@18/A9_02.tif "/>
    <s v=" 4672.0572 "/>
    <s v=" 39.3519 "/>
    <x v="0"/>
    <n v="183854"/>
    <m/>
    <m/>
  </r>
  <r>
    <x v="16"/>
    <x v="1"/>
    <s v="C:\Users\andre\Desktop\REACTIV CEFAS\Anastrozole\Anastrozole/20201124_Cefas_Test7_Run1/Plate 2/@18/A9_03.tif "/>
    <s v=" 4974.8758 "/>
    <s v=" 42.5435 "/>
    <x v="0"/>
    <n v="211649"/>
    <m/>
    <m/>
  </r>
  <r>
    <x v="16"/>
    <x v="2"/>
    <s v="C:\Users\andre\Desktop\REACTIV CEFAS\Anastrozole\Anastrozole/20201124_Cefas_Test7_Run1/Plate 2/@18/B9_01.tif "/>
    <s v=" 7202.7549 "/>
    <s v=" 36.1922 "/>
    <x v="0"/>
    <n v="260683"/>
    <m/>
    <m/>
  </r>
  <r>
    <x v="16"/>
    <x v="2"/>
    <s v="C:\Users\andre\Desktop\REACTIV CEFAS\Anastrozole\Anastrozole/20201124_Cefas_Test7_Run1/Plate 2/@18/B9_02.tif "/>
    <s v=" 9560.4134 "/>
    <s v=" 42.052 "/>
    <x v="0"/>
    <n v="402035"/>
    <m/>
    <m/>
  </r>
  <r>
    <x v="16"/>
    <x v="2"/>
    <s v="C:\Users\andre\Desktop\REACTIV CEFAS\Anastrozole\Anastrozole/20201124_Cefas_Test7_Run1/Plate 2/@18/B9_03.tif "/>
    <s v=" 6467.3385 "/>
    <s v=" 43.4615 "/>
    <x v="0"/>
    <n v="281080"/>
    <m/>
    <m/>
  </r>
  <r>
    <x v="16"/>
    <x v="3"/>
    <s v="C:\Users\andre\Desktop\REACTIV CEFAS\Anastrozole\Anastrozole/20201124_Cefas_Test7_Run1/Plate 2/@18/C9_01.tif "/>
    <s v=" 6251.0395 "/>
    <s v=" 37.2595 "/>
    <x v="0"/>
    <n v="232911"/>
    <m/>
    <m/>
  </r>
  <r>
    <x v="16"/>
    <x v="3"/>
    <s v="C:\Users\andre\Desktop\REACTIV CEFAS\Anastrozole\Anastrozole/20201124_Cefas_Test7_Run1/Plate 2/@18/C9_02.tif "/>
    <s v=" 4801.8366 "/>
    <s v=" 39.2387 "/>
    <x v="0"/>
    <n v="188418"/>
    <m/>
    <m/>
  </r>
  <r>
    <x v="16"/>
    <x v="3"/>
    <s v="C:\Users\andre\Desktop\REACTIV CEFAS\Anastrozole\Anastrozole/20201124_Cefas_Test7_Run1/Plate 2/@18/C9_03.tif "/>
    <s v=" 7354.1642 "/>
    <s v=" 39.7088 "/>
    <x v="0"/>
    <n v="292025"/>
    <m/>
    <m/>
  </r>
  <r>
    <x v="16"/>
    <x v="4"/>
    <s v="C:\Users\andre\Desktop\REACTIV CEFAS\Anastrozole\Anastrozole/20201124_Cefas_Test7_Run1/Plate 2/@18/D9_01.tif "/>
    <s v=" 2141.3596 "/>
    <s v=" 31.4747 "/>
    <x v="0"/>
    <n v="67399"/>
    <m/>
    <m/>
  </r>
  <r>
    <x v="16"/>
    <x v="4"/>
    <s v="C:\Users\andre\Desktop\REACTIV CEFAS\Anastrozole\Anastrozole/20201124_Cefas_Test7_Run1/Plate 2/@18/D9_02- exclu.tif"/>
    <m/>
    <m/>
    <x v="1"/>
    <m/>
    <m/>
    <m/>
  </r>
  <r>
    <x v="16"/>
    <x v="4"/>
    <s v="C:\Users\andre\Desktop\REACTIV CEFAS\Anastrozole\Anastrozole/20201124_Cefas_Test7_Run1/Plate 2/@18/D9_03- exclu.tif"/>
    <m/>
    <m/>
    <x v="1"/>
    <m/>
    <m/>
    <m/>
  </r>
  <r>
    <x v="16"/>
    <x v="5"/>
    <s v="C:\Users\andre\Desktop\REACTIV CEFAS\Anastrozole\Anastrozole/20201124_Cefas_Test7_Run1/Plate 2/@18/E9_01.tif "/>
    <s v=" 2573.9575 "/>
    <s v=" 35.042 "/>
    <x v="0"/>
    <n v="90197"/>
    <m/>
    <m/>
  </r>
  <r>
    <x v="16"/>
    <x v="5"/>
    <s v="C:\Users\andre\Desktop\REACTIV CEFAS\Anastrozole\Anastrozole/20201124_Cefas_Test7_Run1/Plate 2/@18/E9_02.tif "/>
    <s v=" 3720.3419 "/>
    <s v=" 37.7442 "/>
    <x v="0"/>
    <n v="140421"/>
    <m/>
    <m/>
  </r>
  <r>
    <x v="16"/>
    <x v="5"/>
    <s v="C:\Users\andre\Desktop\REACTIV CEFAS\Anastrozole\Anastrozole/20201124_Cefas_Test7_Run1/Plate 2/@18/E9_03.tif "/>
    <s v=" 2465.808 "/>
    <s v=" 38.3772 "/>
    <x v="0"/>
    <n v="94631"/>
    <m/>
    <m/>
  </r>
  <r>
    <x v="16"/>
    <x v="6"/>
    <s v="C:\Users\andre\Desktop\REACTIV CEFAS\Anastrozole\Anastrozole/20201124_Cefas_Test7_Run1/Plate 2/@18/F9_01.tif "/>
    <s v=" 2595.5874 "/>
    <s v=" 34.7417 "/>
    <x v="0"/>
    <n v="90175"/>
    <m/>
    <m/>
  </r>
  <r>
    <x v="16"/>
    <x v="6"/>
    <s v="C:\Users\andre\Desktop\REACTIV CEFAS\Anastrozole\Anastrozole/20201124_Cefas_Test7_Run1/Plate 2/@18/F9_02.tif "/>
    <s v=" 2119.7297 "/>
    <s v=" 32.0918 "/>
    <x v="0"/>
    <n v="68026"/>
    <m/>
    <m/>
  </r>
  <r>
    <x v="16"/>
    <x v="6"/>
    <s v="C:\Users\andre\Desktop\REACTIV CEFAS\Anastrozole\Anastrozole/20201124_Cefas_Test7_Run1/Plate 2/@18/F9_03.tif "/>
    <s v=" 367.7082 "/>
    <s v=" 31.4706 "/>
    <x v="0"/>
    <n v="11572"/>
    <m/>
    <m/>
  </r>
  <r>
    <x v="16"/>
    <x v="7"/>
    <s v="C:\Users\andre\Desktop\REACTIV CEFAS\Anastrozole\Anastrozole/20201124_Cefas_Test7_Run1/Plate 2/@18/G9_01.tif "/>
    <s v=" 4866.7263 "/>
    <s v=" 35.2978 "/>
    <x v="0"/>
    <n v="171785"/>
    <m/>
    <m/>
  </r>
  <r>
    <x v="16"/>
    <x v="7"/>
    <s v="C:\Users\andre\Desktop\REACTIV CEFAS\Anastrozole\Anastrozole/20201124_Cefas_Test7_Run1/Plate 2/@18/G9_02.tif "/>
    <s v=" 4585.5377 "/>
    <s v=" 35.4528 "/>
    <x v="0"/>
    <n v="162570"/>
    <m/>
    <m/>
  </r>
  <r>
    <x v="16"/>
    <x v="7"/>
    <s v="C:\Users\andre\Desktop\REACTIV CEFAS\Anastrozole\Anastrozole/20201124_Cefas_Test7_Run1/Plate 2/@18/G9_03.tif "/>
    <s v=" 3871.7511 "/>
    <s v=" 36.1117 "/>
    <x v="0"/>
    <n v="139816"/>
    <m/>
    <m/>
  </r>
  <r>
    <x v="16"/>
    <x v="8"/>
    <s v="C:\Users\andre\Desktop\REACTIV CEFAS\Anastrozole\Anastrozole/20201124_Cefas_Test7_Run1/Plate 2/@18/H9_01.tif "/>
    <s v=" 1838.541 "/>
    <s v=" 34.4941 "/>
    <x v="0"/>
    <n v="63419"/>
    <m/>
    <m/>
  </r>
  <r>
    <x v="16"/>
    <x v="8"/>
    <s v="C:\Users\andre\Desktop\REACTIV CEFAS\Anastrozole\Anastrozole/20201124_Cefas_Test7_Run1/Plate 2/@18/H9_02.tif "/>
    <s v=" 627.2669 "/>
    <s v=" 31.4483 "/>
    <x v="0"/>
    <n v="19726"/>
    <m/>
    <m/>
  </r>
  <r>
    <x v="16"/>
    <x v="8"/>
    <s v="C:\Users\andre\Desktop\REACTIV CEFAS\Anastrozole\Anastrozole/20201124_Cefas_Test7_Run1/Plate 2/@18/H9_03.tif "/>
    <s v=" 1860.1709 "/>
    <s v=" 32.5116 "/>
    <x v="0"/>
    <n v="60477"/>
    <m/>
    <m/>
  </r>
  <r>
    <x v="0"/>
    <x v="0"/>
    <s v=" "/>
    <m/>
    <m/>
    <x v="1"/>
    <m/>
    <m/>
    <m/>
  </r>
  <r>
    <x v="0"/>
    <x v="0"/>
    <s v="group "/>
    <s v=" "/>
    <s v=" mean of mean fluo "/>
    <x v="2"/>
    <s v=" mean of total fluo "/>
    <m/>
    <m/>
  </r>
  <r>
    <x v="16"/>
    <x v="9"/>
    <s v="C:\Users\andre\Desktop\REACTIV CEFAS\Anastrozole\Anastrozole/20201124_Cefas_Test7_Run1/Plate 2/@18/ "/>
    <s v=" "/>
    <s v=" 36.7231 "/>
    <x v="18"/>
    <s v=" 171335.792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Anastrozole\Anastrozole/20201124_Cefas_Test7_Run1/Plate 2/@19/A10_01- exclu.tif"/>
    <m/>
    <m/>
    <x v="1"/>
    <m/>
    <m/>
    <m/>
  </r>
  <r>
    <x v="17"/>
    <x v="1"/>
    <s v="C:\Users\andre\Desktop\REACTIV CEFAS\Anastrozole\Anastrozole/20201124_Cefas_Test7_Run1/Plate 2/@19/A10_02.tif "/>
    <s v=" 1059.8648 "/>
    <s v=" 32.6939 "/>
    <x v="0"/>
    <n v="34651"/>
    <m/>
    <m/>
  </r>
  <r>
    <x v="17"/>
    <x v="1"/>
    <s v="C:\Users\andre\Desktop\REACTIV CEFAS\Anastrozole\Anastrozole/20201124_Cefas_Test7_Run1/Plate 2/@19/A10_03- exclu.tif"/>
    <m/>
    <m/>
    <x v="1"/>
    <m/>
    <m/>
    <m/>
  </r>
  <r>
    <x v="17"/>
    <x v="2"/>
    <s v="C:\Users\andre\Desktop\REACTIV CEFAS\Anastrozole\Anastrozole/20201124_Cefas_Test7_Run1/Plate 2/@19/B10_01.tif "/>
    <s v=" 10382.3494 "/>
    <s v=" 36.6417 "/>
    <x v="0"/>
    <n v="380427"/>
    <m/>
    <m/>
  </r>
  <r>
    <x v="17"/>
    <x v="2"/>
    <s v="C:\Users\andre\Desktop\REACTIV CEFAS\Anastrozole\Anastrozole/20201124_Cefas_Test7_Run1/Plate 2/@19/B10_02.tif "/>
    <s v=" 10101.1608 "/>
    <s v=" 38.0535 "/>
    <x v="0"/>
    <n v="384385"/>
    <m/>
    <m/>
  </r>
  <r>
    <x v="17"/>
    <x v="2"/>
    <s v="C:\Users\andre\Desktop\REACTIV CEFAS\Anastrozole\Anastrozole/20201124_Cefas_Test7_Run1/Plate 2/@19/B10_03.tif "/>
    <s v=" 8089.5806 "/>
    <s v=" 35.508 "/>
    <x v="0"/>
    <n v="287245"/>
    <m/>
    <m/>
  </r>
  <r>
    <x v="17"/>
    <x v="3"/>
    <s v="C:\Users\andre\Desktop\REACTIV CEFAS\Anastrozole\Anastrozole/20201124_Cefas_Test7_Run1/Plate 2/@19/C10_01.tif "/>
    <s v=" 1622.2421 "/>
    <s v=" 32.6 "/>
    <x v="0"/>
    <n v="52885"/>
    <m/>
    <m/>
  </r>
  <r>
    <x v="17"/>
    <x v="3"/>
    <s v="C:\Users\andre\Desktop\REACTIV CEFAS\Anastrozole\Anastrozole/20201124_Cefas_Test7_Run1/Plate 2/@19/C10_02.tif "/>
    <s v=" 5602.1427 "/>
    <s v=" 41.5135 "/>
    <x v="0"/>
    <n v="232565"/>
    <m/>
    <m/>
  </r>
  <r>
    <x v="17"/>
    <x v="3"/>
    <s v="C:\Users\andre\Desktop\REACTIV CEFAS\Anastrozole\Anastrozole/20201124_Cefas_Test7_Run1/Plate 2/@19/C10_03.tif "/>
    <s v=" 1773.6514 "/>
    <s v=" 33.622 "/>
    <x v="0"/>
    <n v="59634"/>
    <m/>
    <m/>
  </r>
  <r>
    <x v="17"/>
    <x v="4"/>
    <s v="C:\Users\andre\Desktop\REACTIV CEFAS\Anastrozole\Anastrozole/20201124_Cefas_Test7_Run1/Plate 2/@19/D10_01.tif "/>
    <s v=" 5537.253 "/>
    <s v=" 38.5547 "/>
    <x v="0"/>
    <n v="213487"/>
    <m/>
    <m/>
  </r>
  <r>
    <x v="17"/>
    <x v="4"/>
    <s v="C:\Users\andre\Desktop\REACTIV CEFAS\Anastrozole\Anastrozole/20201124_Cefas_Test7_Run1/Plate 2/@19/D10_02.tif "/>
    <s v=" 6856.6766 "/>
    <s v=" 38.6562 "/>
    <x v="0"/>
    <n v="265053"/>
    <m/>
    <m/>
  </r>
  <r>
    <x v="17"/>
    <x v="4"/>
    <s v="C:\Users\andre\Desktop\REACTIV CEFAS\Anastrozole\Anastrozole/20201124_Cefas_Test7_Run1/Plate 2/@19/D10_03.tif "/>
    <n v="0"/>
    <n v="0"/>
    <x v="0"/>
    <n v="0"/>
    <m/>
    <m/>
  </r>
  <r>
    <x v="17"/>
    <x v="5"/>
    <s v="C:\Users\andre\Desktop\REACTIV CEFAS\Anastrozole\Anastrozole/20201124_Cefas_Test7_Run1/Plate 2/@19/E10_01.tif "/>
    <s v=" 4628.7975 "/>
    <s v=" 32.486 "/>
    <x v="0"/>
    <n v="150371"/>
    <m/>
    <m/>
  </r>
  <r>
    <x v="17"/>
    <x v="5"/>
    <s v="C:\Users\andre\Desktop\REACTIV CEFAS\Anastrozole\Anastrozole/20201124_Cefas_Test7_Run1/Plate 2/@19/E10_02.tif "/>
    <s v=" 735.4164 "/>
    <s v=" 31.7059 "/>
    <x v="0"/>
    <n v="23317"/>
    <m/>
    <m/>
  </r>
  <r>
    <x v="17"/>
    <x v="5"/>
    <s v="C:\Users\andre\Desktop\REACTIV CEFAS\Anastrozole\Anastrozole/20201124_Cefas_Test7_Run1/Plate 2/@19/E10_03.tif "/>
    <s v=" 2227.8791 "/>
    <s v=" 33.9417 "/>
    <x v="0"/>
    <n v="75618"/>
    <m/>
    <m/>
  </r>
  <r>
    <x v="17"/>
    <x v="6"/>
    <s v="C:\Users\andre\Desktop\REACTIV CEFAS\Anastrozole\Anastrozole/20201124_Cefas_Test7_Run1/Plate 2/@19/F10_01- exclu.tif"/>
    <m/>
    <m/>
    <x v="1"/>
    <m/>
    <m/>
    <m/>
  </r>
  <r>
    <x v="17"/>
    <x v="6"/>
    <s v="C:\Users\andre\Desktop\REACTIV CEFAS\Anastrozole\Anastrozole/20201124_Cefas_Test7_Run1/Plate 2/@19/F10_02- exclu.tif"/>
    <m/>
    <m/>
    <x v="1"/>
    <m/>
    <m/>
    <m/>
  </r>
  <r>
    <x v="17"/>
    <x v="6"/>
    <s v="C:\Users\andre\Desktop\REACTIV CEFAS\Anastrozole\Anastrozole/20201124_Cefas_Test7_Run1/Plate 2/@19/F10_03.tif "/>
    <s v=" 5796.8118 "/>
    <s v=" 40.2537 "/>
    <x v="0"/>
    <n v="233343"/>
    <m/>
    <m/>
  </r>
  <r>
    <x v="17"/>
    <x v="7"/>
    <s v="C:\Users\andre\Desktop\REACTIV CEFAS\Anastrozole\Anastrozole/20201124_Cefas_Test7_Run1/Plate 2/@19/G10_01.tif "/>
    <n v="0"/>
    <n v="0"/>
    <x v="0"/>
    <n v="0"/>
    <m/>
    <m/>
  </r>
  <r>
    <x v="17"/>
    <x v="7"/>
    <s v="C:\Users\andre\Desktop\REACTIV CEFAS\Anastrozole\Anastrozole/20201124_Cefas_Test7_Run1/Plate 2/@19/G10_02.tif "/>
    <s v=" 3179.5945 "/>
    <s v=" 34.0272 "/>
    <x v="0"/>
    <n v="108193"/>
    <m/>
    <m/>
  </r>
  <r>
    <x v="17"/>
    <x v="7"/>
    <s v="C:\Users\andre\Desktop\REACTIV CEFAS\Anastrozole\Anastrozole/20201124_Cefas_Test7_Run1/Plate 2/@19/G10_03.tif "/>
    <s v=" 3157.9646 "/>
    <s v=" 35.274 "/>
    <x v="0"/>
    <n v="111394"/>
    <m/>
    <m/>
  </r>
  <r>
    <x v="17"/>
    <x v="8"/>
    <s v="C:\Users\andre\Desktop\REACTIV CEFAS\Anastrozole\Anastrozole/20201124_Cefas_Test7_Run1/Plate 2/@19/H10_01.tif "/>
    <s v=" 13150.9759 "/>
    <s v=" 38.102 "/>
    <x v="0"/>
    <n v="501078"/>
    <m/>
    <m/>
  </r>
  <r>
    <x v="17"/>
    <x v="8"/>
    <s v="C:\Users\andre\Desktop\REACTIV CEFAS\Anastrozole\Anastrozole/20201124_Cefas_Test7_Run1/Plate 2/@19/H10_02.tif "/>
    <s v=" 6683.6374 "/>
    <s v=" 41.1456 "/>
    <x v="0"/>
    <n v="275002"/>
    <m/>
    <m/>
  </r>
  <r>
    <x v="17"/>
    <x v="8"/>
    <s v="C:\Users\andre\Desktop\REACTIV CEFAS\Anastrozole\Anastrozole/20201124_Cefas_Test7_Run1/Plate 2/@19/H10_03.tif "/>
    <s v=" 4131.3099 "/>
    <s v=" 33.7225 "/>
    <x v="0"/>
    <n v="139318"/>
    <m/>
    <m/>
  </r>
  <r>
    <x v="0"/>
    <x v="0"/>
    <s v=" "/>
    <m/>
    <m/>
    <x v="1"/>
    <m/>
    <m/>
    <m/>
  </r>
  <r>
    <x v="0"/>
    <x v="0"/>
    <s v="group "/>
    <s v=" "/>
    <s v=" mean of mean fluo "/>
    <x v="2"/>
    <s v=" mean of total fluo "/>
    <m/>
    <m/>
  </r>
  <r>
    <x v="17"/>
    <x v="9"/>
    <s v="C:\Users\andre\Desktop\REACTIV CEFAS\Anastrozole\Anastrozole/20201124_Cefas_Test7_Run1/Plate 2/@19/ "/>
    <s v=" "/>
    <s v=" 34.4374 "/>
    <x v="19"/>
    <s v=" 238557.917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Anastrozole\Anastrozole/20201124_Cefas_Test7_Run1/Plate 2/@20/A11_01.tif "/>
    <s v=" 5926.5911 "/>
    <s v=" 38.4854 "/>
    <x v="0"/>
    <n v="228087"/>
    <m/>
    <m/>
  </r>
  <r>
    <x v="18"/>
    <x v="1"/>
    <s v="C:\Users\andre\Desktop\REACTIV CEFAS\Anastrozole\Anastrozole/20201124_Cefas_Test7_Run1/Plate 2/@20/A11_02.tif "/>
    <s v=" 5926.5911 "/>
    <s v=" 39.5182 "/>
    <x v="0"/>
    <n v="234208"/>
    <m/>
    <m/>
  </r>
  <r>
    <x v="18"/>
    <x v="1"/>
    <s v="C:\Users\andre\Desktop\REACTIV CEFAS\Anastrozole\Anastrozole/20201124_Cefas_Test7_Run1/Plate 2/@20/A11_03.tif "/>
    <s v=" 9755.0825 "/>
    <s v=" 41.7894 "/>
    <x v="0"/>
    <n v="407659"/>
    <m/>
    <m/>
  </r>
  <r>
    <x v="18"/>
    <x v="2"/>
    <s v="C:\Users\andre\Desktop\REACTIV CEFAS\Anastrozole\Anastrozole/20201124_Cefas_Test7_Run1/Plate 2/@20/B11_01.tif "/>
    <s v=" 1384.3133 "/>
    <s v=" 32.7969 "/>
    <x v="0"/>
    <n v="45401"/>
    <m/>
    <m/>
  </r>
  <r>
    <x v="18"/>
    <x v="2"/>
    <s v="C:\Users\andre\Desktop\REACTIV CEFAS\Anastrozole\Anastrozole/20201124_Cefas_Test7_Run1/Plate 2/@20/B11_02.tif "/>
    <s v=" 21.6299 "/>
    <n v="32"/>
    <x v="0"/>
    <n v="692"/>
    <m/>
    <m/>
  </r>
  <r>
    <x v="18"/>
    <x v="2"/>
    <s v="C:\Users\andre\Desktop\REACTIV CEFAS\Anastrozole\Anastrozole/20201124_Cefas_Test7_Run1/Plate 2/@20/B11_03.tif "/>
    <s v=" 3547.3027 "/>
    <s v=" 34.9329 "/>
    <x v="0"/>
    <n v="123918"/>
    <m/>
    <m/>
  </r>
  <r>
    <x v="18"/>
    <x v="3"/>
    <s v="C:\Users\andre\Desktop\REACTIV CEFAS\Anastrozole\Anastrozole/20201124_Cefas_Test7_Run1/Plate 2/@20/C11_01.tif "/>
    <s v=" 5169.5448 "/>
    <s v=" 38.0586 "/>
    <x v="0"/>
    <n v="196746"/>
    <m/>
    <m/>
  </r>
  <r>
    <x v="18"/>
    <x v="3"/>
    <s v="C:\Users\andre\Desktop\REACTIV CEFAS\Anastrozole\Anastrozole/20201124_Cefas_Test7_Run1/Plate 2/@20/C11_02.tif "/>
    <s v=" 6532.2282 "/>
    <s v=" 41.6954 "/>
    <x v="0"/>
    <n v="272364"/>
    <m/>
    <m/>
  </r>
  <r>
    <x v="18"/>
    <x v="3"/>
    <s v="C:\Users\andre\Desktop\REACTIV CEFAS\Anastrozole\Anastrozole/20201124_Cefas_Test7_Run1/Plate 2/@20/C11_03- exclu.tif"/>
    <m/>
    <m/>
    <x v="1"/>
    <m/>
    <m/>
    <m/>
  </r>
  <r>
    <x v="18"/>
    <x v="4"/>
    <s v="C:\Users\andre\Desktop\REACTIV CEFAS\Anastrozole\Anastrozole/20201124_Cefas_Test7_Run1/Plate 2/@20/D11_01.tif "/>
    <n v="0"/>
    <n v="0"/>
    <x v="0"/>
    <n v="0"/>
    <m/>
    <m/>
  </r>
  <r>
    <x v="18"/>
    <x v="4"/>
    <s v="C:\Users\andre\Desktop\REACTIV CEFAS\Anastrozole\Anastrozole/20201124_Cefas_Test7_Run1/Plate 2/@20/D11_02.tif "/>
    <n v="0"/>
    <n v="0"/>
    <x v="0"/>
    <n v="0"/>
    <m/>
    <m/>
  </r>
  <r>
    <x v="18"/>
    <x v="4"/>
    <s v="C:\Users\andre\Desktop\REACTIV CEFAS\Anastrozole\Anastrozole/20201124_Cefas_Test7_Run1/Plate 2/@20/D11_03.tif "/>
    <n v="0"/>
    <n v="0"/>
    <x v="0"/>
    <n v="0"/>
    <m/>
    <m/>
  </r>
  <r>
    <x v="18"/>
    <x v="5"/>
    <s v="C:\Users\andre\Desktop\REACTIV CEFAS\Anastrozole\Anastrozole/20201124_Cefas_Test7_Run1/Plate 2/@20/E11_01.tif "/>
    <s v=" 1470.8328 "/>
    <s v=" 34.5441 "/>
    <x v="0"/>
    <n v="50809"/>
    <m/>
    <m/>
  </r>
  <r>
    <x v="18"/>
    <x v="5"/>
    <s v="C:\Users\andre\Desktop\REACTIV CEFAS\Anastrozole\Anastrozole/20201124_Cefas_Test7_Run1/Plate 2/@20/E11_02.tif "/>
    <s v=" 4066.4202 "/>
    <s v=" 39.4574 "/>
    <x v="0"/>
    <n v="160451"/>
    <m/>
    <m/>
  </r>
  <r>
    <x v="18"/>
    <x v="5"/>
    <s v="C:\Users\andre\Desktop\REACTIV CEFAS\Anastrozole\Anastrozole/20201124_Cefas_Test7_Run1/Plate 2/@20/E11_03.tif "/>
    <s v=" 3201.2244 "/>
    <s v=" 36.0743 "/>
    <x v="0"/>
    <n v="115482"/>
    <m/>
    <m/>
  </r>
  <r>
    <x v="18"/>
    <x v="6"/>
    <s v="C:\Users\andre\Desktop\REACTIV CEFAS\Anastrozole\Anastrozole/20201124_Cefas_Test7_Run1/Plate 2/@20/F11_01.tif "/>
    <s v=" 4261.0892 "/>
    <s v=" 36.6396 "/>
    <x v="0"/>
    <n v="156125"/>
    <m/>
    <m/>
  </r>
  <r>
    <x v="18"/>
    <x v="6"/>
    <s v="C:\Users\andre\Desktop\REACTIV CEFAS\Anastrozole\Anastrozole/20201124_Cefas_Test7_Run1/Plate 2/@20/F11_02.tif "/>
    <s v=" 4325.9789 "/>
    <s v=" 35.975 "/>
    <x v="0"/>
    <n v="155627"/>
    <m/>
    <m/>
  </r>
  <r>
    <x v="18"/>
    <x v="6"/>
    <s v="C:\Users\andre\Desktop\REACTIV CEFAS\Anastrozole\Anastrozole/20201124_Cefas_Test7_Run1/Plate 2/@20/F11_03- exclu.tif"/>
    <m/>
    <m/>
    <x v="1"/>
    <m/>
    <m/>
    <m/>
  </r>
  <r>
    <x v="18"/>
    <x v="7"/>
    <s v="C:\Users\andre\Desktop\REACTIV CEFAS\Anastrozole\Anastrozole/20201124_Cefas_Test7_Run1/Plate 2/@20/G11_01.tif "/>
    <s v=" 692.1566 "/>
    <s v=" 31.75 "/>
    <x v="0"/>
    <n v="21976"/>
    <m/>
    <m/>
  </r>
  <r>
    <x v="18"/>
    <x v="7"/>
    <s v="C:\Users\andre\Desktop\REACTIV CEFAS\Anastrozole\Anastrozole/20201124_Cefas_Test7_Run1/Plate 2/@20/G11_02.tif "/>
    <s v=" 2357.6585 "/>
    <s v=" 33.9358 "/>
    <x v="0"/>
    <n v="80009"/>
    <m/>
    <m/>
  </r>
  <r>
    <x v="18"/>
    <x v="7"/>
    <s v="C:\Users\andre\Desktop\REACTIV CEFAS\Anastrozole\Anastrozole/20201124_Cefas_Test7_Run1/Plate 2/@20/G11_03.tif "/>
    <s v=" 1816.9111 "/>
    <s v=" 32.881 "/>
    <x v="0"/>
    <n v="59742"/>
    <m/>
    <m/>
  </r>
  <r>
    <x v="18"/>
    <x v="8"/>
    <s v="C:\Users\andre\Desktop\REACTIV CEFAS\Anastrozole\Anastrozole/20201124_Cefas_Test7_Run1/Plate 2/@20/H11_01.tif "/>
    <s v=" 1232.904 "/>
    <s v=" 32.8596 "/>
    <x v="0"/>
    <n v="40513"/>
    <m/>
    <m/>
  </r>
  <r>
    <x v="18"/>
    <x v="8"/>
    <s v="C:\Users\andre\Desktop\REACTIV CEFAS\Anastrozole\Anastrozole/20201124_Cefas_Test7_Run1/Plate 2/@20/H11_02.tif "/>
    <s v=" 865.1958 "/>
    <s v=" 33.1 "/>
    <x v="0"/>
    <n v="28638"/>
    <m/>
    <m/>
  </r>
  <r>
    <x v="18"/>
    <x v="8"/>
    <s v="C:\Users\andre\Desktop\REACTIV CEFAS\Anastrozole\Anastrozole/20201124_Cefas_Test7_Run1/Plate 2/@20/H11_03.tif "/>
    <s v=" 800.3061 "/>
    <s v=" 32.0541 "/>
    <x v="0"/>
    <n v="25653"/>
    <m/>
    <m/>
  </r>
  <r>
    <x v="0"/>
    <x v="0"/>
    <s v=" "/>
    <m/>
    <m/>
    <x v="1"/>
    <m/>
    <m/>
    <m/>
  </r>
  <r>
    <x v="0"/>
    <x v="0"/>
    <s v="group "/>
    <s v=" "/>
    <s v=" mean of mean fluo "/>
    <x v="2"/>
    <s v=" mean of total fluo "/>
    <m/>
    <m/>
  </r>
  <r>
    <x v="18"/>
    <x v="9"/>
    <s v="C:\Users\andre\Desktop\REACTIV CEFAS\Anastrozole\Anastrozole/20201124_Cefas_Test7_Run1/Plate 2/@20/ "/>
    <s v=" "/>
    <s v=" 31.6613 "/>
    <x v="20"/>
    <s v=" 129632.542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Anastrozole\Anastrozole/20201124_Cefas_Test7_Run1/Plate 2/@21/A12_01.tif "/>
    <s v=" 5753.552 "/>
    <s v=" 35.4211 "/>
    <x v="0"/>
    <n v="203797"/>
    <m/>
    <m/>
  </r>
  <r>
    <x v="19"/>
    <x v="1"/>
    <s v="C:\Users\andre\Desktop\REACTIV CEFAS\Anastrozole\Anastrozole/20201124_Cefas_Test7_Run1/Plate 2/@21/A12_02.tif "/>
    <s v=" 6921.5663 "/>
    <s v=" 34.7844 "/>
    <x v="0"/>
    <n v="240762"/>
    <m/>
    <m/>
  </r>
  <r>
    <x v="19"/>
    <x v="1"/>
    <s v="C:\Users\andre\Desktop\REACTIV CEFAS\Anastrozole\Anastrozole/20201124_Cefas_Test7_Run1/Plate 2/@21/A12_03.tif "/>
    <s v=" 7289.2745 "/>
    <s v=" 35.0178 "/>
    <x v="0"/>
    <n v="255254"/>
    <m/>
    <m/>
  </r>
  <r>
    <x v="19"/>
    <x v="2"/>
    <s v="C:\Users\andre\Desktop\REACTIV CEFAS\Anastrozole\Anastrozole/20201124_Cefas_Test7_Run1/Plate 2/@21/B12_01.tif "/>
    <s v=" 908.4556 "/>
    <s v=" 33.5714 "/>
    <x v="0"/>
    <n v="30498"/>
    <m/>
    <m/>
  </r>
  <r>
    <x v="19"/>
    <x v="2"/>
    <s v="C:\Users\andre\Desktop\REACTIV CEFAS\Anastrozole\Anastrozole/20201124_Cefas_Test7_Run1/Plate 2/@21/B12_02.tif "/>
    <s v=" 1903.4307 "/>
    <s v=" 34.3977 "/>
    <x v="0"/>
    <n v="65474"/>
    <m/>
    <m/>
  </r>
  <r>
    <x v="19"/>
    <x v="2"/>
    <s v="C:\Users\andre\Desktop\REACTIV CEFAS\Anastrozole\Anastrozole/20201124_Cefas_Test7_Run1/Plate 2/@21/B12_03.tif "/>
    <s v=" 4001.5305 "/>
    <s v=" 34.3405 "/>
    <x v="0"/>
    <n v="137415"/>
    <m/>
    <m/>
  </r>
  <r>
    <x v="19"/>
    <x v="3"/>
    <s v="C:\Users\andre\Desktop\REACTIV CEFAS\Anastrozole\Anastrozole/20201124_Cefas_Test7_Run1/Plate 2/@21/C12_01.tif "/>
    <s v=" 6921.5663 "/>
    <s v=" 35.9312 "/>
    <x v="0"/>
    <n v="248701"/>
    <m/>
    <m/>
  </r>
  <r>
    <x v="19"/>
    <x v="3"/>
    <s v="C:\Users\andre\Desktop\REACTIV CEFAS\Anastrozole\Anastrozole/20201124_Cefas_Test7_Run1/Plate 2/@21/C12_02.tif "/>
    <s v=" 8046.3208 "/>
    <s v=" 43.8199 "/>
    <x v="0"/>
    <n v="352589"/>
    <m/>
    <m/>
  </r>
  <r>
    <x v="19"/>
    <x v="3"/>
    <s v="C:\Users\andre\Desktop\REACTIV CEFAS\Anastrozole\Anastrozole/20201124_Cefas_Test7_Run1/Plate 2/@21/C12_03.tif "/>
    <s v=" 973.3453 "/>
    <s v=" 31.5778 "/>
    <x v="0"/>
    <n v="30736"/>
    <m/>
    <m/>
  </r>
  <r>
    <x v="19"/>
    <x v="4"/>
    <s v="C:\Users\andre\Desktop\REACTIV CEFAS\Anastrozole\Anastrozole/20201124_Cefas_Test7_Run1/Plate 2/@21/D12_01.tif "/>
    <s v=" 1665.5019 "/>
    <s v=" 33.0779 "/>
    <x v="0"/>
    <n v="55091"/>
    <m/>
    <m/>
  </r>
  <r>
    <x v="19"/>
    <x v="4"/>
    <s v="C:\Users\andre\Desktop\REACTIV CEFAS\Anastrozole\Anastrozole/20201124_Cefas_Test7_Run1/Plate 2/@21/D12_02.tif "/>
    <s v=" 1341.0535 "/>
    <s v=" 32.129 "/>
    <x v="0"/>
    <n v="43087"/>
    <m/>
    <m/>
  </r>
  <r>
    <x v="19"/>
    <x v="4"/>
    <s v="C:\Users\andre\Desktop\REACTIV CEFAS\Anastrozole\Anastrozole/20201124_Cefas_Test7_Run1/Plate 2/@21/D12_03- exclu.tif"/>
    <m/>
    <m/>
    <x v="1"/>
    <m/>
    <m/>
    <m/>
  </r>
  <r>
    <x v="19"/>
    <x v="5"/>
    <s v="C:\Users\andre\Desktop\REACTIV CEFAS\Anastrozole\Anastrozole/20201124_Cefas_Test7_Run1/Plate 2/@21/E12_01.tif "/>
    <s v=" 5667.0324 "/>
    <s v=" 40.3969 "/>
    <x v="0"/>
    <n v="228931"/>
    <m/>
    <m/>
  </r>
  <r>
    <x v="19"/>
    <x v="5"/>
    <s v="C:\Users\andre\Desktop\REACTIV CEFAS\Anastrozole\Anastrozole/20201124_Cefas_Test7_Run1/Plate 2/@21/E12_02.tif "/>
    <s v=" 7397.424 "/>
    <s v=" 37.5994 "/>
    <x v="0"/>
    <n v="278139"/>
    <m/>
    <m/>
  </r>
  <r>
    <x v="19"/>
    <x v="5"/>
    <s v="C:\Users\andre\Desktop\REACTIV CEFAS\Anastrozole\Anastrozole/20201124_Cefas_Test7_Run1/Plate 2/@21/E12_03.tif "/>
    <s v=" 3915.0109 "/>
    <s v=" 36.7072 "/>
    <x v="0"/>
    <n v="143709"/>
    <m/>
    <m/>
  </r>
  <r>
    <x v="19"/>
    <x v="6"/>
    <s v="C:\Users\andre\Desktop\REACTIV CEFAS\Anastrozole\Anastrozole/20201124_Cefas_Test7_Run1/Plate 2/@21/F12_01.tif "/>
    <s v=" 11334.0648 "/>
    <s v=" 36.3416 "/>
    <x v="0"/>
    <n v="411898"/>
    <m/>
    <m/>
  </r>
  <r>
    <x v="19"/>
    <x v="6"/>
    <s v="C:\Users\andre\Desktop\REACTIV CEFAS\Anastrozole\Anastrozole/20201124_Cefas_Test7_Run1/Plate 2/@21/F12_02.tif "/>
    <s v=" 7202.7549 "/>
    <s v=" 42.7327 "/>
    <x v="0"/>
    <n v="307793"/>
    <m/>
    <m/>
  </r>
  <r>
    <x v="19"/>
    <x v="6"/>
    <s v="C:\Users\andre\Desktop\REACTIV CEFAS\Anastrozole\Anastrozole/20201124_Cefas_Test7_Run1/Plate 2/@21/F12_03.tif "/>
    <s v=" 1405.9432 "/>
    <s v=" 34.0308 "/>
    <x v="0"/>
    <n v="47845"/>
    <m/>
    <m/>
  </r>
  <r>
    <x v="19"/>
    <x v="7"/>
    <s v="C:\Users\andre\Desktop\REACTIV CEFAS\Anastrozole\Anastrozole/20201124_Cefas_Test7_Run1/Plate 2/@21/G12_01.tif "/>
    <s v=" 2660.477 "/>
    <s v=" 34.2683 "/>
    <x v="0"/>
    <n v="91170"/>
    <m/>
    <m/>
  </r>
  <r>
    <x v="19"/>
    <x v="7"/>
    <s v="C:\Users\andre\Desktop\REACTIV CEFAS\Anastrozole\Anastrozole/20201124_Cefas_Test7_Run1/Plate 2/@21/G12_02- exclu.tif"/>
    <m/>
    <m/>
    <x v="1"/>
    <m/>
    <m/>
    <m/>
  </r>
  <r>
    <x v="19"/>
    <x v="7"/>
    <s v="C:\Users\andre\Desktop\REACTIV CEFAS\Anastrozole\Anastrozole/20201124_Cefas_Test7_Run1/Plate 2/@21/G12_03.tif "/>
    <s v=" 3114.7048 "/>
    <s v=" 35.3889 "/>
    <x v="0"/>
    <n v="110226"/>
    <m/>
    <m/>
  </r>
  <r>
    <x v="19"/>
    <x v="8"/>
    <s v="C:\Users\andre\Desktop\REACTIV CEFAS\Anastrozole\Anastrozole/20201124_Cefas_Test7_Run1/Plate 2/@21/H12_01.tif "/>
    <s v=" 475.8577 "/>
    <s v=" 32.6818 "/>
    <x v="0"/>
    <n v="15552"/>
    <m/>
    <m/>
  </r>
  <r>
    <x v="19"/>
    <x v="8"/>
    <s v="C:\Users\andre\Desktop\REACTIV CEFAS\Anastrozole\Anastrozole/20201124_Cefas_Test7_Run1/Plate 2/@21/H12_02.tif "/>
    <s v=" 5775.1819 "/>
    <s v=" 42.1948 "/>
    <x v="0"/>
    <n v="243682"/>
    <m/>
    <m/>
  </r>
  <r>
    <x v="19"/>
    <x v="8"/>
    <s v="C:\Users\andre\Desktop\REACTIV CEFAS\Anastrozole\Anastrozole/20201124_Cefas_Test7_Run1/Plate 2/@21/H12_03.tif "/>
    <s v=" 3633.8223 "/>
    <s v=" 38.9226 "/>
    <x v="0"/>
    <n v="141438"/>
    <m/>
    <m/>
  </r>
  <r>
    <x v="0"/>
    <x v="0"/>
    <s v=" "/>
    <m/>
    <m/>
    <x v="1"/>
    <m/>
    <m/>
    <m/>
  </r>
  <r>
    <x v="0"/>
    <x v="0"/>
    <s v="group "/>
    <s v=" "/>
    <s v=" mean of mean fluo "/>
    <x v="2"/>
    <s v=" mean of total fluo "/>
    <m/>
    <m/>
  </r>
  <r>
    <x v="19"/>
    <x v="9"/>
    <s v="C:\Users\andre\Desktop\REACTIV CEFAS\Anastrozole\Anastrozole/20201124_Cefas_Test7_Run1/Plate 2/@21/ "/>
    <s v=" "/>
    <s v=" 34.6527 "/>
    <x v="21"/>
    <s v=" 160891.25 "/>
    <m/>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Anastrozole\Anastrozole/20201124_Cefas_Test7_Run1/Plate 2/@8/A2_01.tif "/>
    <s v=" 216.2989 "/>
    <s v=" 31.1 "/>
    <x v="0"/>
    <n v="6727"/>
    <m/>
    <m/>
  </r>
  <r>
    <x v="20"/>
    <x v="1"/>
    <s v="C:\Users\andre\Desktop\REACTIV CEFAS\Anastrozole\Anastrozole/20201124_Cefas_Test7_Run1/Plate 2/@8/A2_02.tif "/>
    <s v=" 973.3453 "/>
    <s v=" 31.9333 "/>
    <x v="0"/>
    <n v="31082"/>
    <m/>
    <m/>
  </r>
  <r>
    <x v="20"/>
    <x v="1"/>
    <s v="C:\Users\andre\Desktop\REACTIV CEFAS\Anastrozole\Anastrozole/20201124_Cefas_Test7_Run1/Plate 2/@8/A2_03.tif "/>
    <s v=" 1816.9111 "/>
    <s v=" 34.131 "/>
    <x v="0"/>
    <n v="62013"/>
    <m/>
    <m/>
  </r>
  <r>
    <x v="20"/>
    <x v="2"/>
    <s v="C:\Users\andre\Desktop\REACTIV CEFAS\Anastrozole\Anastrozole/20201124_Cefas_Test7_Run1/Plate 2/@8/B2_01.tif "/>
    <s v=" 43.2598 "/>
    <s v=" 30.5 "/>
    <x v="0"/>
    <n v="1319"/>
    <m/>
    <m/>
  </r>
  <r>
    <x v="20"/>
    <x v="2"/>
    <s v="C:\Users\andre\Desktop\REACTIV CEFAS\Anastrozole\Anastrozole/20201124_Cefas_Test7_Run1/Plate 2/@8/B2_02.tif "/>
    <s v=" 3309.3739 "/>
    <s v=" 32.8235 "/>
    <x v="0"/>
    <n v="108625"/>
    <m/>
    <m/>
  </r>
  <r>
    <x v="20"/>
    <x v="2"/>
    <s v="C:\Users\andre\Desktop\REACTIV CEFAS\Anastrozole\Anastrozole/20201124_Cefas_Test7_Run1/Plate 2/@8/B2_03.tif "/>
    <n v="0"/>
    <n v="0"/>
    <x v="0"/>
    <n v="0"/>
    <m/>
    <m/>
  </r>
  <r>
    <x v="20"/>
    <x v="3"/>
    <s v="C:\Users\andre\Desktop\REACTIV CEFAS\Anastrozole\Anastrozole/20201124_Cefas_Test7_Run1/Plate 2/@8/C2_01.tif "/>
    <s v=" 5840.0715 "/>
    <s v=" 37.3037 "/>
    <x v="0"/>
    <n v="217856"/>
    <m/>
    <m/>
  </r>
  <r>
    <x v="20"/>
    <x v="3"/>
    <s v="C:\Users\andre\Desktop\REACTIV CEFAS\Anastrozole\Anastrozole/20201124_Cefas_Test7_Run1/Plate 2/@8/C2_02.tif "/>
    <s v=" 3525.6728 "/>
    <s v=" 38.9141 "/>
    <x v="0"/>
    <n v="137198"/>
    <m/>
    <m/>
  </r>
  <r>
    <x v="20"/>
    <x v="3"/>
    <s v="C:\Users\andre\Desktop\REACTIV CEFAS\Anastrozole\Anastrozole/20201124_Cefas_Test7_Run1/Plate 2/@8/C2_03.tif "/>
    <s v=" 6359.189 "/>
    <s v=" 37.8946 "/>
    <x v="0"/>
    <n v="240979"/>
    <m/>
    <m/>
  </r>
  <r>
    <x v="20"/>
    <x v="4"/>
    <s v="C:\Users\andre\Desktop\REACTIV CEFAS\Anastrozole\Anastrozole/20201124_Cefas_Test7_Run1/Plate 2/@8/D2_01.tif "/>
    <s v=" 108.1495 "/>
    <s v=" 31.6 "/>
    <x v="0"/>
    <n v="3418"/>
    <m/>
    <m/>
  </r>
  <r>
    <x v="20"/>
    <x v="4"/>
    <s v="C:\Users\andre\Desktop\REACTIV CEFAS\Anastrozole\Anastrozole/20201124_Cefas_Test7_Run1/Plate 2/@8/D2_02.tif "/>
    <s v=" 43.2598 "/>
    <n v="31"/>
    <x v="0"/>
    <n v="1341"/>
    <m/>
    <m/>
  </r>
  <r>
    <x v="20"/>
    <x v="4"/>
    <s v="C:\Users\andre\Desktop\REACTIV CEFAS\Anastrozole\Anastrozole/20201124_Cefas_Test7_Run1/Plate 2/@8/D2_03.tif "/>
    <s v=" 21.6299 "/>
    <n v="30"/>
    <x v="0"/>
    <n v="649"/>
    <m/>
    <m/>
  </r>
  <r>
    <x v="20"/>
    <x v="5"/>
    <s v="C:\Users\andre\Desktop\REACTIV CEFAS\Anastrozole\Anastrozole/20201124_Cefas_Test7_Run1/Plate 2/@8/E2_01- exclu.tif"/>
    <m/>
    <m/>
    <x v="1"/>
    <m/>
    <m/>
    <m/>
  </r>
  <r>
    <x v="20"/>
    <x v="5"/>
    <s v="C:\Users\andre\Desktop\REACTIV CEFAS\Anastrozole\Anastrozole/20201124_Cefas_Test7_Run1/Plate 2/@8/E2_02- exclu.tif"/>
    <m/>
    <m/>
    <x v="1"/>
    <m/>
    <m/>
    <m/>
  </r>
  <r>
    <x v="20"/>
    <x v="5"/>
    <s v="C:\Users\andre\Desktop\REACTIV CEFAS\Anastrozole\Anastrozole/20201124_Cefas_Test7_Run1/Plate 2/@8/E2_03.tif "/>
    <s v=" 9257.5949 "/>
    <s v=" 41.8575 "/>
    <x v="0"/>
    <n v="387500"/>
    <m/>
    <m/>
  </r>
  <r>
    <x v="20"/>
    <x v="6"/>
    <s v="C:\Users\andre\Desktop\REACTIV CEFAS\Anastrozole\Anastrozole/20201124_Cefas_Test7_Run1/Plate 2/@8/F2_01.tif "/>
    <s v=" 129.7794 "/>
    <s v=" 30.5 "/>
    <x v="0"/>
    <n v="3958"/>
    <m/>
    <m/>
  </r>
  <r>
    <x v="20"/>
    <x v="6"/>
    <s v="C:\Users\andre\Desktop\REACTIV CEFAS\Anastrozole\Anastrozole/20201124_Cefas_Test7_Run1/Plate 2/@8/F2_02.tif "/>
    <s v=" 2617.2173 "/>
    <s v=" 36.5124 "/>
    <x v="0"/>
    <n v="95561"/>
    <m/>
    <m/>
  </r>
  <r>
    <x v="20"/>
    <x v="6"/>
    <s v="C:\Users\andre\Desktop\REACTIV CEFAS\Anastrozole\Anastrozole/20201124_Cefas_Test7_Run1/Plate 2/@8/F2_03.tif "/>
    <s v=" 1881.8008 "/>
    <s v=" 34.3333 "/>
    <x v="0"/>
    <n v="64608"/>
    <m/>
    <m/>
  </r>
  <r>
    <x v="20"/>
    <x v="7"/>
    <s v="C:\Users\andre\Desktop\REACTIV CEFAS\Anastrozole\Anastrozole/20201124_Cefas_Test7_Run1/Plate 2/@8/G2_01.tif "/>
    <s v=" 1470.8328 "/>
    <s v=" 32.3824 "/>
    <x v="0"/>
    <n v="47629"/>
    <m/>
    <m/>
  </r>
  <r>
    <x v="20"/>
    <x v="7"/>
    <s v="C:\Users\andre\Desktop\REACTIV CEFAS\Anastrozole\Anastrozole/20201124_Cefas_Test7_Run1/Plate 2/@8/G2_02.tif "/>
    <s v=" 1557.3524 "/>
    <s v=" 33.7778 "/>
    <x v="0"/>
    <n v="52604"/>
    <m/>
    <m/>
  </r>
  <r>
    <x v="20"/>
    <x v="7"/>
    <s v="C:\Users\andre\Desktop\REACTIV CEFAS\Anastrozole\Anastrozole/20201124_Cefas_Test7_Run1/Plate 2/@8/G2_03.tif "/>
    <s v=" 1665.5019 "/>
    <s v=" 33.1688 "/>
    <x v="0"/>
    <n v="55243"/>
    <m/>
    <m/>
  </r>
  <r>
    <x v="20"/>
    <x v="8"/>
    <s v="C:\Users\andre\Desktop\REACTIV CEFAS\Anastrozole\Anastrozole/20201124_Cefas_Test7_Run1/Plate 2/@8/H2_01.tif "/>
    <n v="0"/>
    <n v="0"/>
    <x v="0"/>
    <n v="0"/>
    <m/>
    <m/>
  </r>
  <r>
    <x v="20"/>
    <x v="8"/>
    <s v="C:\Users\andre\Desktop\REACTIV CEFAS\Anastrozole\Anastrozole/20201124_Cefas_Test7_Run1/Plate 2/@8/H2_02.tif "/>
    <s v=" 2703.7368 "/>
    <s v=" 34.648 "/>
    <x v="0"/>
    <n v="93679"/>
    <m/>
    <m/>
  </r>
  <r>
    <x v="20"/>
    <x v="8"/>
    <s v="C:\Users\andre\Desktop\REACTIV CEFAS\Anastrozole\Anastrozole/20201124_Cefas_Test7_Run1/Plate 2/@8/H2_03.tif "/>
    <s v=" 1881.8008 "/>
    <s v=" 33.5517 "/>
    <x v="0"/>
    <n v="63138"/>
    <m/>
    <m/>
  </r>
  <r>
    <x v="0"/>
    <x v="0"/>
    <s v=" "/>
    <m/>
    <m/>
    <x v="1"/>
    <m/>
    <m/>
    <m/>
  </r>
  <r>
    <x v="0"/>
    <x v="0"/>
    <s v="group "/>
    <s v=" "/>
    <s v=" mean of mean fluo "/>
    <x v="2"/>
    <s v=" mean of total fluo "/>
    <m/>
    <m/>
  </r>
  <r>
    <x v="20"/>
    <x v="9"/>
    <s v="C:\Users\andre\Desktop\REACTIV CEFAS\Anastrozole\Anastrozole/20201124_Cefas_Test7_Run1/Plate 2/@8/ "/>
    <s v=" "/>
    <s v=" 28.2472 "/>
    <x v="22"/>
    <s v=" 69796.9583 "/>
    <m/>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Anastrozole\Anastrozole/20201124_Cefas_Test7_Run1/Plate 2/@9/A3_01.tif "/>
    <s v=" 4347.6088 "/>
    <s v=" 37.0299 "/>
    <x v="0"/>
    <n v="160991"/>
    <m/>
    <m/>
  </r>
  <r>
    <x v="21"/>
    <x v="1"/>
    <s v="C:\Users\andre\Desktop\REACTIV CEFAS\Anastrozole\Anastrozole/20201124_Cefas_Test7_Run1/Plate 2/@9/A3_02.tif "/>
    <s v=" 5948.221 "/>
    <s v=" 36.9673 "/>
    <x v="0"/>
    <n v="219890"/>
    <m/>
    <m/>
  </r>
  <r>
    <x v="21"/>
    <x v="1"/>
    <s v="C:\Users\andre\Desktop\REACTIV CEFAS\Anastrozole\Anastrozole/20201124_Cefas_Test7_Run1/Plate 2/@9/A3_03.tif "/>
    <s v=" 3504.0429 "/>
    <s v=" 34.5432 "/>
    <x v="0"/>
    <n v="121041"/>
    <m/>
    <m/>
  </r>
  <r>
    <x v="21"/>
    <x v="2"/>
    <s v="C:\Users\andre\Desktop\REACTIV CEFAS\Anastrozole\Anastrozole/20201124_Cefas_Test7_Run1/Plate 2/@9/B3_01.tif "/>
    <s v=" 1146.3844 "/>
    <s v=" 32.2075 "/>
    <x v="0"/>
    <n v="36922"/>
    <m/>
    <m/>
  </r>
  <r>
    <x v="21"/>
    <x v="2"/>
    <s v="C:\Users\andre\Desktop\REACTIV CEFAS\Anastrozole\Anastrozole/20201124_Cefas_Test7_Run1/Plate 2/@9/B3_02.tif "/>
    <s v=" 1492.4627 "/>
    <s v=" 33.6667 "/>
    <x v="0"/>
    <n v="50246"/>
    <m/>
    <m/>
  </r>
  <r>
    <x v="21"/>
    <x v="2"/>
    <s v="C:\Users\andre\Desktop\REACTIV CEFAS\Anastrozole\Anastrozole/20201124_Cefas_Test7_Run1/Plate 2/@9/B3_03.tif "/>
    <s v=" 886.8257 "/>
    <s v=" 32.4878 "/>
    <x v="0"/>
    <n v="28811"/>
    <m/>
    <m/>
  </r>
  <r>
    <x v="21"/>
    <x v="3"/>
    <s v="C:\Users\andre\Desktop\REACTIV CEFAS\Anastrozole\Anastrozole/20201124_Cefas_Test7_Run1/Plate 2/@9/C3_01.tif "/>
    <n v="0"/>
    <n v="0"/>
    <x v="0"/>
    <n v="0"/>
    <m/>
    <m/>
  </r>
  <r>
    <x v="21"/>
    <x v="3"/>
    <s v="C:\Users\andre\Desktop\REACTIV CEFAS\Anastrozole\Anastrozole/20201124_Cefas_Test7_Run1/Plate 2/@9/C3_02.tif "/>
    <n v="0"/>
    <n v="0"/>
    <x v="0"/>
    <n v="0"/>
    <m/>
    <m/>
  </r>
  <r>
    <x v="21"/>
    <x v="3"/>
    <s v="C:\Users\andre\Desktop\REACTIV CEFAS\Anastrozole\Anastrozole/20201124_Cefas_Test7_Run1/Plate 2/@9/C3_03.tif "/>
    <s v=" 4477.3882 "/>
    <s v=" 41.0097 "/>
    <x v="0"/>
    <n v="183616"/>
    <m/>
    <m/>
  </r>
  <r>
    <x v="21"/>
    <x v="4"/>
    <s v="C:\Users\andre\Desktop\REACTIV CEFAS\Anastrozole\Anastrozole/20201124_Cefas_Test7_Run1/Plate 2/@9/D3_01.tif "/>
    <s v=" 3893.381 "/>
    <s v=" 38.1722 "/>
    <x v="0"/>
    <n v="148619"/>
    <m/>
    <m/>
  </r>
  <r>
    <x v="21"/>
    <x v="4"/>
    <s v="C:\Users\andre\Desktop\REACTIV CEFAS\Anastrozole\Anastrozole/20201124_Cefas_Test7_Run1/Plate 2/@9/D3_02.tif "/>
    <s v=" 7678.6126 "/>
    <s v=" 39.738 "/>
    <x v="0"/>
    <n v="305133"/>
    <m/>
    <m/>
  </r>
  <r>
    <x v="21"/>
    <x v="4"/>
    <s v="C:\Users\andre\Desktop\REACTIV CEFAS\Anastrozole\Anastrozole/20201124_Cefas_Test7_Run1/Plate 2/@9/D3_03.tif "/>
    <s v=" 5385.8438 "/>
    <s v=" 42.6305 "/>
    <x v="0"/>
    <n v="229601"/>
    <m/>
    <m/>
  </r>
  <r>
    <x v="21"/>
    <x v="5"/>
    <s v="C:\Users\andre\Desktop\REACTIV CEFAS\Anastrozole\Anastrozole/20201124_Cefas_Test7_Run1/Plate 2/@9/E3_01.tif "/>
    <s v=" 4996.5057 "/>
    <s v=" 40.0216 "/>
    <x v="0"/>
    <n v="199968"/>
    <m/>
    <m/>
  </r>
  <r>
    <x v="21"/>
    <x v="5"/>
    <s v="C:\Users\andre\Desktop\REACTIV CEFAS\Anastrozole\Anastrozole/20201124_Cefas_Test7_Run1/Plate 2/@9/E3_02.tif "/>
    <s v=" 3201.2244 "/>
    <s v=" 36.7365 "/>
    <x v="0"/>
    <n v="117602"/>
    <m/>
    <m/>
  </r>
  <r>
    <x v="21"/>
    <x v="5"/>
    <s v="C:\Users\andre\Desktop\REACTIV CEFAS\Anastrozole\Anastrozole/20201124_Cefas_Test7_Run1/Plate 2/@9/E3_03.tif "/>
    <s v=" 3590.5625 "/>
    <s v=" 37.6506 "/>
    <x v="0"/>
    <n v="135187"/>
    <m/>
    <m/>
  </r>
  <r>
    <x v="21"/>
    <x v="6"/>
    <s v="C:\Users\andre\Desktop\REACTIV CEFAS\Anastrozole\Anastrozole/20201124_Cefas_Test7_Run1/Plate 2/@9/F3_01.tif "/>
    <s v=" 21.6299 "/>
    <n v="31"/>
    <x v="0"/>
    <n v="671"/>
    <m/>
    <m/>
  </r>
  <r>
    <x v="21"/>
    <x v="6"/>
    <s v="C:\Users\andre\Desktop\REACTIV CEFAS\Anastrozole\Anastrozole/20201124_Cefas_Test7_Run1/Plate 2/@9/F3_02.tif "/>
    <s v=" 194.6691 "/>
    <s v=" 32.3333 "/>
    <x v="0"/>
    <n v="6294"/>
    <m/>
    <m/>
  </r>
  <r>
    <x v="21"/>
    <x v="6"/>
    <s v="C:\Users\andre\Desktop\REACTIV CEFAS\Anastrozole\Anastrozole/20201124_Cefas_Test7_Run1/Plate 2/@9/F3_03.tif "/>
    <s v=" 1795.2813 "/>
    <s v=" 33.9639 "/>
    <x v="0"/>
    <n v="60975"/>
    <m/>
    <m/>
  </r>
  <r>
    <x v="21"/>
    <x v="7"/>
    <s v="C:\Users\andre\Desktop\REACTIV CEFAS\Anastrozole\Anastrozole/20201124_Cefas_Test7_Run1/Plate 2/@9/G3_01.tif "/>
    <s v=" 2011.5802 "/>
    <s v=" 35.4839 "/>
    <x v="0"/>
    <n v="71379"/>
    <m/>
    <m/>
  </r>
  <r>
    <x v="21"/>
    <x v="7"/>
    <s v="C:\Users\andre\Desktop\REACTIV CEFAS\Anastrozole\Anastrozole/20201124_Cefas_Test7_Run1/Plate 2/@9/G3_02.tif "/>
    <s v=" 4780.2067 "/>
    <s v=" 37.4842 "/>
    <x v="0"/>
    <n v="179182"/>
    <m/>
    <m/>
  </r>
  <r>
    <x v="21"/>
    <x v="7"/>
    <s v="C:\Users\andre\Desktop\REACTIV CEFAS\Anastrozole\Anastrozole/20201124_Cefas_Test7_Run1/Plate 2/@9/G3_03.tif "/>
    <s v=" 6056.3705 "/>
    <s v=" 37.6964 "/>
    <x v="0"/>
    <n v="228304"/>
    <m/>
    <m/>
  </r>
  <r>
    <x v="21"/>
    <x v="8"/>
    <s v="C:\Users\andre\Desktop\REACTIV CEFAS\Anastrozole\Anastrozole/20201124_Cefas_Test7_Run1/Plate 2/@9/H3_01.tif "/>
    <s v=" 1276.1638 "/>
    <s v=" 32.8475 "/>
    <x v="0"/>
    <n v="41919"/>
    <m/>
    <m/>
  </r>
  <r>
    <x v="21"/>
    <x v="8"/>
    <s v="C:\Users\andre\Desktop\REACTIV CEFAS\Anastrozole\Anastrozole/20201124_Cefas_Test7_Run1/Plate 2/@9/H3_02.tif "/>
    <s v=" 259.5587 "/>
    <s v=" 31.6667 "/>
    <x v="0"/>
    <n v="8219"/>
    <m/>
    <m/>
  </r>
  <r>
    <x v="21"/>
    <x v="8"/>
    <s v="C:\Users\andre\Desktop\REACTIV CEFAS\Anastrozole\Anastrozole/20201124_Cefas_Test7_Run1/Plate 2/@9/H3_03.tif "/>
    <s v=" 1146.3844 "/>
    <s v=" 33.6604 "/>
    <x v="0"/>
    <n v="38588"/>
    <m/>
    <m/>
  </r>
  <r>
    <x v="0"/>
    <x v="0"/>
    <s v=" "/>
    <m/>
    <m/>
    <x v="1"/>
    <m/>
    <m/>
    <m/>
  </r>
  <r>
    <x v="0"/>
    <x v="0"/>
    <s v="group "/>
    <s v=" "/>
    <s v=" mean of mean fluo "/>
    <x v="2"/>
    <s v=" mean of total fluo "/>
    <m/>
    <m/>
  </r>
  <r>
    <x v="21"/>
    <x v="9"/>
    <s v="C:\Users\andre\Desktop\REACTIV CEFAS\Anastrozole\Anastrozole/20201124_Cefas_Test7_Run1/Plate 2/@9/ "/>
    <s v=" "/>
    <s v=" 32.8749 "/>
    <x v="23"/>
    <s v=" 107214.917 "/>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le name "/>
    <s v=" total area "/>
    <s v=" mean intensity "/>
    <x v="0"/>
    <s v=" total fluorescence"/>
    <m/>
    <m/>
  </r>
  <r>
    <x v="1"/>
    <x v="1"/>
    <s v="C:\Users\andre\Desktop\REACTIV CEFAS\Anastrozole\Anastrozole/20201125_Cefas_Test7_Run2/Plate 1/@1/A10_01.tif "/>
    <s v=" 8889.8867 "/>
    <s v=" 36.3552 "/>
    <x v="0"/>
    <n v="323194"/>
    <m/>
    <m/>
  </r>
  <r>
    <x v="1"/>
    <x v="1"/>
    <s v="C:\Users\andre\Desktop\REACTIV CEFAS\Anastrozole\Anastrozole/20201125_Cefas_Test7_Run2/Plate 1/@1/A10_02.tif "/>
    <s v=" 9062.9258 "/>
    <s v=" 35.9332 "/>
    <x v="0"/>
    <n v="325660"/>
    <m/>
    <m/>
  </r>
  <r>
    <x v="1"/>
    <x v="1"/>
    <s v="C:\Users\andre\Desktop\REACTIV CEFAS\Anastrozole\Anastrozole/20201125_Cefas_Test7_Run2/Plate 1/@1/A10_03.tif "/>
    <s v=" 7224.3848 "/>
    <s v=" 37.6557 "/>
    <x v="0"/>
    <n v="272039"/>
    <m/>
    <m/>
  </r>
  <r>
    <x v="1"/>
    <x v="2"/>
    <s v="C:\Users\andre\Desktop\REACTIV CEFAS\Anastrozole\Anastrozole/20201125_Cefas_Test7_Run2/Plate 1/@1/B10_01.tif "/>
    <s v=" 6532.2282 "/>
    <s v=" 37.0596 "/>
    <x v="0"/>
    <n v="242082"/>
    <m/>
    <m/>
  </r>
  <r>
    <x v="1"/>
    <x v="2"/>
    <s v="C:\Users\andre\Desktop\REACTIV CEFAS\Anastrozole\Anastrozole/20201125_Cefas_Test7_Run2/Plate 1/@1/B10_02.tif "/>
    <s v=" 8478.9187 "/>
    <s v=" 38.375 "/>
    <x v="0"/>
    <n v="325379"/>
    <m/>
    <m/>
  </r>
  <r>
    <x v="1"/>
    <x v="2"/>
    <s v="C:\Users\andre\Desktop\REACTIV CEFAS\Anastrozole\Anastrozole/20201125_Cefas_Test7_Run2/Plate 1/@1/B10_03.tif "/>
    <s v=" 4996.5057 "/>
    <s v=" 38.7922 "/>
    <x v="0"/>
    <n v="193825"/>
    <m/>
    <m/>
  </r>
  <r>
    <x v="1"/>
    <x v="3"/>
    <s v="C:\Users\andre\Desktop\REACTIV CEFAS\Anastrozole\Anastrozole/20201125_Cefas_Test7_Run2/Plate 1/@1/C10_01- exclu.tif"/>
    <m/>
    <m/>
    <x v="1"/>
    <m/>
    <m/>
    <m/>
  </r>
  <r>
    <x v="1"/>
    <x v="3"/>
    <s v="C:\Users\andre\Desktop\REACTIV CEFAS\Anastrozole\Anastrozole/20201125_Cefas_Test7_Run2/Plate 1/@1/C10_02.tif "/>
    <s v=" 10512.1288 "/>
    <s v=" 36.6543 "/>
    <x v="0"/>
    <n v="385315"/>
    <m/>
    <m/>
  </r>
  <r>
    <x v="1"/>
    <x v="3"/>
    <s v="C:\Users\andre\Desktop\REACTIV CEFAS\Anastrozole\Anastrozole/20201125_Cefas_Test7_Run2/Plate 1/@1/C10_03.tif "/>
    <s v=" 8933.1465 "/>
    <s v=" 39.2082 "/>
    <x v="0"/>
    <n v="350253"/>
    <m/>
    <m/>
  </r>
  <r>
    <x v="1"/>
    <x v="4"/>
    <s v="C:\Users\andre\Desktop\REACTIV CEFAS\Anastrozole\Anastrozole/20201125_Cefas_Test7_Run2/Plate 1/@1/D10_01.tif "/>
    <s v=" 10166.0505 "/>
    <s v=" 41.9936 "/>
    <x v="0"/>
    <n v="426909"/>
    <m/>
    <m/>
  </r>
  <r>
    <x v="1"/>
    <x v="4"/>
    <s v="C:\Users\andre\Desktop\REACTIV CEFAS\Anastrozole\Anastrozole/20201125_Cefas_Test7_Run2/Plate 1/@1/D10_02.tif "/>
    <s v=" 10057.901 "/>
    <s v=" 42.2495 "/>
    <x v="0"/>
    <n v="424941"/>
    <m/>
    <m/>
  </r>
  <r>
    <x v="1"/>
    <x v="4"/>
    <s v="C:\Users\andre\Desktop\REACTIV CEFAS\Anastrozole\Anastrozole/20201125_Cefas_Test7_Run2/Plate 1/@1/D10_03.tif "/>
    <s v=" 281.1886 "/>
    <s v=" 31.1538 "/>
    <x v="0"/>
    <n v="8760"/>
    <m/>
    <m/>
  </r>
  <r>
    <x v="1"/>
    <x v="5"/>
    <s v="C:\Users\andre\Desktop\REACTIV CEFAS\Anastrozole\Anastrozole/20201125_Cefas_Test7_Run2/Plate 1/@1/E10_01.tif "/>
    <s v=" 8046.3208 "/>
    <s v=" 36.672 "/>
    <x v="0"/>
    <n v="295075"/>
    <m/>
    <m/>
  </r>
  <r>
    <x v="1"/>
    <x v="5"/>
    <s v="C:\Users\andre\Desktop\REACTIV CEFAS\Anastrozole\Anastrozole/20201125_Cefas_Test7_Run2/Plate 1/@1/E10_02.tif "/>
    <s v=" 5948.221 "/>
    <s v=" 34.8182 "/>
    <x v="0"/>
    <n v="207106"/>
    <m/>
    <m/>
  </r>
  <r>
    <x v="1"/>
    <x v="5"/>
    <s v="C:\Users\andre\Desktop\REACTIV CEFAS\Anastrozole\Anastrozole/20201125_Cefas_Test7_Run2/Plate 1/@1/E10_03.tif "/>
    <s v=" 7916.5414 "/>
    <s v=" 36.1557 "/>
    <x v="0"/>
    <n v="286228"/>
    <m/>
    <m/>
  </r>
  <r>
    <x v="1"/>
    <x v="6"/>
    <s v="C:\Users\andre\Desktop\REACTIV CEFAS\Anastrozole\Anastrozole/20201125_Cefas_Test7_Run2/Plate 1/@1/F10_01.tif "/>
    <s v=" 5061.3953 "/>
    <s v=" 34.8462 "/>
    <x v="0"/>
    <n v="176370"/>
    <m/>
    <m/>
  </r>
  <r>
    <x v="1"/>
    <x v="6"/>
    <s v="C:\Users\andre\Desktop\REACTIV CEFAS\Anastrozole\Anastrozole/20201125_Cefas_Test7_Run2/Plate 1/@1/F10_02.tif "/>
    <s v=" 2379.2884 "/>
    <s v=" 32.7909 "/>
    <x v="0"/>
    <n v="78019"/>
    <m/>
    <m/>
  </r>
  <r>
    <x v="1"/>
    <x v="6"/>
    <s v="C:\Users\andre\Desktop\REACTIV CEFAS\Anastrozole\Anastrozole/20201125_Cefas_Test7_Run2/Plate 1/@1/F10_03.tif "/>
    <s v=" 1211.2741 "/>
    <s v=" 33.9643 "/>
    <x v="0"/>
    <n v="41140"/>
    <m/>
    <m/>
  </r>
  <r>
    <x v="1"/>
    <x v="7"/>
    <s v="C:\Users\andre\Desktop\REACTIV CEFAS\Anastrozole\Anastrozole/20201125_Cefas_Test7_Run2/Plate 1/@1/G10_01.tif "/>
    <s v=" 4542.2779 "/>
    <s v=" 37.7714 "/>
    <x v="0"/>
    <n v="171568"/>
    <m/>
    <m/>
  </r>
  <r>
    <x v="1"/>
    <x v="7"/>
    <s v="C:\Users\andre\Desktop\REACTIV CEFAS\Anastrozole\Anastrozole/20201125_Cefas_Test7_Run2/Plate 1/@1/G10_02.tif "/>
    <s v=" 21.6299 "/>
    <n v="30"/>
    <x v="0"/>
    <n v="649"/>
    <m/>
    <m/>
  </r>
  <r>
    <x v="1"/>
    <x v="7"/>
    <s v="C:\Users\andre\Desktop\REACTIV CEFAS\Anastrozole\Anastrozole/20201125_Cefas_Test7_Run2/Plate 1/@1/G10_03.tif "/>
    <s v=" 432.5979 "/>
    <s v=" 30.5 "/>
    <x v="0"/>
    <n v="13194"/>
    <m/>
    <m/>
  </r>
  <r>
    <x v="1"/>
    <x v="8"/>
    <s v="C:\Users\andre\Desktop\REACTIV CEFAS\Anastrozole\Anastrozole/20201125_Cefas_Test7_Run2/Plate 1/@1/H10_01.tif "/>
    <s v=" 43.2598 "/>
    <s v=" 33.5 "/>
    <x v="0"/>
    <n v="1449"/>
    <m/>
    <m/>
  </r>
  <r>
    <x v="1"/>
    <x v="8"/>
    <s v="C:\Users\andre\Desktop\REACTIV CEFAS\Anastrozole\Anastrozole/20201125_Cefas_Test7_Run2/Plate 1/@1/H10_02.tif "/>
    <s v=" 2725.3667 "/>
    <s v=" 35.3889 "/>
    <x v="0"/>
    <n v="96448"/>
    <m/>
    <m/>
  </r>
  <r>
    <x v="1"/>
    <x v="8"/>
    <s v="C:\Users\andre\Desktop\REACTIV CEFAS\Anastrozole\Anastrozole/20201125_Cefas_Test7_Run2/Plate 1/@1/H10_03.tif "/>
    <s v=" 1535.7225 "/>
    <s v=" 33.6761 "/>
    <x v="0"/>
    <n v="51717"/>
    <m/>
    <m/>
  </r>
  <r>
    <x v="0"/>
    <x v="0"/>
    <s v=" "/>
    <m/>
    <m/>
    <x v="1"/>
    <m/>
    <m/>
    <m/>
  </r>
  <r>
    <x v="0"/>
    <x v="0"/>
    <s v="group "/>
    <s v=" "/>
    <s v=" mean of mean fluo "/>
    <x v="2"/>
    <s v=" mean of total fluo "/>
    <s v=" SD total fluo "/>
    <m/>
  </r>
  <r>
    <x v="1"/>
    <x v="9"/>
    <s v="C:\Users\andre\Desktop\REACTIV CEFAS\Anastrozole\Anastrozole/20201125_Cefas_Test7_Run2/Plate 1/@1/ "/>
    <s v=" "/>
    <s v=" 34.3964 "/>
    <x v="3"/>
    <s v=" 195721.667 "/>
    <s v=" 146495.47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Anastrozole\Anastrozole/20201125_Cefas_Test7_Run2/Plate 1/@13/A8_01.tif "/>
    <s v=" 41486.1379 "/>
    <s v=" 35.5448 "/>
    <x v="0"/>
    <n v="1474618"/>
    <m/>
    <m/>
  </r>
  <r>
    <x v="2"/>
    <x v="1"/>
    <s v="C:\Users\andre\Desktop\REACTIV CEFAS\Anastrozole\Anastrozole/20201125_Cefas_Test7_Run2/Plate 1/@13/A8_02.tif "/>
    <s v=" 34434.7922 "/>
    <s v=" 35.1445 "/>
    <x v="0"/>
    <n v="1210193"/>
    <m/>
    <m/>
  </r>
  <r>
    <x v="2"/>
    <x v="1"/>
    <s v="C:\Users\andre\Desktop\REACTIV CEFAS\Anastrozole\Anastrozole/20201125_Cefas_Test7_Run2/Plate 1/@13/A8_03.tif "/>
    <s v=" 29524.8062 "/>
    <s v=" 35.1538 "/>
    <x v="0"/>
    <n v="1037910"/>
    <m/>
    <m/>
  </r>
  <r>
    <x v="2"/>
    <x v="2"/>
    <s v="C:\Users\andre\Desktop\REACTIV CEFAS\Anastrozole\Anastrozole/20201125_Cefas_Test7_Run2/Plate 1/@13/B8_01- exclu.tif"/>
    <m/>
    <m/>
    <x v="1"/>
    <m/>
    <m/>
    <m/>
  </r>
  <r>
    <x v="2"/>
    <x v="2"/>
    <s v="C:\Users\andre\Desktop\REACTIV CEFAS\Anastrozole\Anastrozole/20201125_Cefas_Test7_Run2/Plate 1/@13/B8_02.tif "/>
    <s v=" 56800.1033 "/>
    <s v=" 47.1329 "/>
    <x v="0"/>
    <n v="2677154"/>
    <m/>
    <m/>
  </r>
  <r>
    <x v="2"/>
    <x v="2"/>
    <s v="C:\Users\andre\Desktop\REACTIV CEFAS\Anastrozole\Anastrozole/20201125_Cefas_Test7_Run2/Plate 1/@13/B8_03.tif "/>
    <s v=" 53447.4696 "/>
    <s v=" 45.2036 "/>
    <x v="0"/>
    <n v="2416016"/>
    <m/>
    <m/>
  </r>
  <r>
    <x v="2"/>
    <x v="3"/>
    <s v="C:\Users\andre\Desktop\REACTIV CEFAS\Anastrozole\Anastrozole/20201125_Cefas_Test7_Run2/Plate 1/@13/C8_01.tif "/>
    <s v=" 19402.0155 "/>
    <s v=" 35.2497 "/>
    <x v="0"/>
    <n v="683916"/>
    <m/>
    <m/>
  </r>
  <r>
    <x v="2"/>
    <x v="3"/>
    <s v="C:\Users\andre\Desktop\REACTIV CEFAS\Anastrozole\Anastrozole/20201125_Cefas_Test7_Run2/Plate 1/@13/C8_02.tif "/>
    <s v=" 20483.5102 "/>
    <s v=" 36.2196 "/>
    <x v="0"/>
    <n v="741905"/>
    <m/>
    <m/>
  </r>
  <r>
    <x v="2"/>
    <x v="3"/>
    <s v="C:\Users\andre\Desktop\REACTIV CEFAS\Anastrozole\Anastrozole/20201125_Cefas_Test7_Run2/Plate 1/@13/C8_03.tif "/>
    <s v=" 18882.898 "/>
    <s v=" 35.4215 "/>
    <x v="0"/>
    <n v="668861"/>
    <m/>
    <m/>
  </r>
  <r>
    <x v="2"/>
    <x v="4"/>
    <s v="C:\Users\andre\Desktop\REACTIV CEFAS\Anastrozole\Anastrozole/20201125_Cefas_Test7_Run2/Plate 1/@13/D8_01.tif "/>
    <s v=" 37787.4259 "/>
    <s v=" 41.0246 "/>
    <x v="0"/>
    <n v="1550215"/>
    <m/>
    <m/>
  </r>
  <r>
    <x v="2"/>
    <x v="4"/>
    <s v="C:\Users\andre\Desktop\REACTIV CEFAS\Anastrozole\Anastrozole/20201125_Cefas_Test7_Run2/Plate 1/@13/D8_02.tif "/>
    <s v=" 48818.6722 "/>
    <s v=" 42.8285 "/>
    <x v="0"/>
    <n v="2090832"/>
    <m/>
    <m/>
  </r>
  <r>
    <x v="2"/>
    <x v="4"/>
    <s v="C:\Users\andre\Desktop\REACTIV CEFAS\Anastrozole\Anastrozole/20201125_Cefas_Test7_Run2/Plate 1/@13/D8_03.tif "/>
    <s v=" 46807.092 "/>
    <s v=" 42.3757 "/>
    <x v="0"/>
    <n v="1983483"/>
    <m/>
    <m/>
  </r>
  <r>
    <x v="2"/>
    <x v="5"/>
    <s v="C:\Users\andre\Desktop\REACTIV CEFAS\Anastrozole\Anastrozole/20201125_Cefas_Test7_Run2/Plate 1/@13/E8_01.tif "/>
    <s v=" 17779.7734 "/>
    <s v=" 35.8358 "/>
    <x v="0"/>
    <n v="637152"/>
    <m/>
    <m/>
  </r>
  <r>
    <x v="2"/>
    <x v="5"/>
    <s v="C:\Users\andre\Desktop\REACTIV CEFAS\Anastrozole\Anastrozole/20201125_Cefas_Test7_Run2/Plate 1/@13/E8_02.tif "/>
    <s v=" 18212.3713 "/>
    <s v=" 36.7114 "/>
    <x v="0"/>
    <n v="668602"/>
    <m/>
    <m/>
  </r>
  <r>
    <x v="2"/>
    <x v="5"/>
    <s v="C:\Users\andre\Desktop\REACTIV CEFAS\Anastrozole\Anastrozole/20201125_Cefas_Test7_Run2/Plate 1/@13/E8_03.tif "/>
    <s v=" 13929.6521 "/>
    <s v=" 33.9224 "/>
    <x v="0"/>
    <n v="472527"/>
    <m/>
    <m/>
  </r>
  <r>
    <x v="2"/>
    <x v="6"/>
    <s v="C:\Users\andre\Desktop\REACTIV CEFAS\Anastrozole\Anastrozole/20201125_Cefas_Test7_Run2/Plate 1/@13/F8_01.tif "/>
    <s v=" 12264.1503 "/>
    <s v=" 33.9312 "/>
    <x v="0"/>
    <n v="416138"/>
    <m/>
    <m/>
  </r>
  <r>
    <x v="2"/>
    <x v="6"/>
    <s v="C:\Users\andre\Desktop\REACTIV CEFAS\Anastrozole\Anastrozole/20201125_Cefas_Test7_Run2/Plate 1/@13/F8_02.tif "/>
    <s v=" 16784.7982 "/>
    <s v=" 34.2758 "/>
    <x v="0"/>
    <n v="575312"/>
    <m/>
    <m/>
  </r>
  <r>
    <x v="2"/>
    <x v="6"/>
    <s v="C:\Users\andre\Desktop\REACTIV CEFAS\Anastrozole\Anastrozole/20201125_Cefas_Test7_Run2/Plate 1/@13/F8_03.tif "/>
    <s v=" 13951.282 "/>
    <s v=" 34.1411 "/>
    <x v="0"/>
    <n v="476312"/>
    <m/>
    <m/>
  </r>
  <r>
    <x v="2"/>
    <x v="7"/>
    <s v="C:\Users\andre\Desktop\REACTIV CEFAS\Anastrozole\Anastrozole/20201125_Cefas_Test7_Run2/Plate 1/@13/G8_01.tif "/>
    <s v=" 627.2669 "/>
    <s v=" 30.931 "/>
    <x v="0"/>
    <n v="19402"/>
    <m/>
    <m/>
  </r>
  <r>
    <x v="2"/>
    <x v="7"/>
    <s v="C:\Users\andre\Desktop\REACTIV CEFAS\Anastrozole\Anastrozole/20201125_Cefas_Test7_Run2/Plate 1/@13/G8_02.tif "/>
    <s v=" 2184.6194 "/>
    <s v=" 33.2475 "/>
    <x v="0"/>
    <n v="72633"/>
    <m/>
    <m/>
  </r>
  <r>
    <x v="2"/>
    <x v="7"/>
    <s v="C:\Users\andre\Desktop\REACTIV CEFAS\Anastrozole\Anastrozole/20201125_Cefas_Test7_Run2/Plate 1/@13/G8_03.tif "/>
    <s v=" 2076.4699 "/>
    <s v=" 34.3542 "/>
    <x v="0"/>
    <n v="71335"/>
    <m/>
    <m/>
  </r>
  <r>
    <x v="2"/>
    <x v="8"/>
    <s v="C:\Users\andre\Desktop\REACTIV CEFAS\Anastrozole\Anastrozole/20201125_Cefas_Test7_Run2/Plate 1/@13/H8_01.tif "/>
    <s v=" 40209.9741 "/>
    <s v=" 40.1372 "/>
    <x v="0"/>
    <n v="1613915"/>
    <m/>
    <m/>
  </r>
  <r>
    <x v="2"/>
    <x v="8"/>
    <s v="C:\Users\andre\Desktop\REACTIV CEFAS\Anastrozole\Anastrozole/20201125_Cefas_Test7_Run2/Plate 1/@13/H8_02.tif "/>
    <s v=" 39604.3371 "/>
    <s v=" 39.7739 "/>
    <x v="0"/>
    <n v="1575219"/>
    <m/>
    <m/>
  </r>
  <r>
    <x v="2"/>
    <x v="8"/>
    <s v="C:\Users\andre\Desktop\REACTIV CEFAS\Anastrozole\Anastrozole/20201125_Cefas_Test7_Run2/Plate 1/@13/H8_03.tif "/>
    <s v=" 34845.7602 "/>
    <s v=" 39.7381 "/>
    <x v="0"/>
    <n v="1384703"/>
    <m/>
    <m/>
  </r>
  <r>
    <x v="0"/>
    <x v="0"/>
    <s v=" "/>
    <m/>
    <m/>
    <x v="1"/>
    <m/>
    <m/>
    <m/>
  </r>
  <r>
    <x v="0"/>
    <x v="0"/>
    <s v="group "/>
    <s v=" "/>
    <s v=" mean of mean fluo "/>
    <x v="2"/>
    <s v=" mean of total fluo "/>
    <s v=" SD total fluo "/>
    <m/>
  </r>
  <r>
    <x v="2"/>
    <x v="9"/>
    <s v="C:\Users\andre\Desktop\REACTIV CEFAS\Anastrozole\Anastrozole/20201125_Cefas_Test7_Run2/Plate 1/@13/ "/>
    <s v=" "/>
    <s v=" 37.4447 "/>
    <x v="4"/>
    <s v=" 1102193.75 "/>
    <s v=" 760495.783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Anastrozole\Anastrozole/20201125_Cefas_Test7_Run2/Plate 1/@14/A9_01.tif "/>
    <s v=" 454.2278 "/>
    <s v=" 33.0952 "/>
    <x v="0"/>
    <n v="15033"/>
    <m/>
    <m/>
  </r>
  <r>
    <x v="3"/>
    <x v="1"/>
    <s v="C:\Users\andre\Desktop\REACTIV CEFAS\Anastrozole\Anastrozole/20201125_Cefas_Test7_Run2/Plate 1/@14/A9_02.tif "/>
    <s v=" 3785.2316 "/>
    <s v=" 33.04 "/>
    <x v="0"/>
    <n v="125064"/>
    <m/>
    <m/>
  </r>
  <r>
    <x v="3"/>
    <x v="1"/>
    <s v="C:\Users\andre\Desktop\REACTIV CEFAS\Anastrozole\Anastrozole/20201125_Cefas_Test7_Run2/Plate 1/@14/A9_03- exclu.tif"/>
    <m/>
    <m/>
    <x v="1"/>
    <m/>
    <m/>
    <m/>
  </r>
  <r>
    <x v="3"/>
    <x v="2"/>
    <s v="C:\Users\andre\Desktop\REACTIV CEFAS\Anastrozole\Anastrozole/20201125_Cefas_Test7_Run2/Plate 1/@14/B9_01.tif "/>
    <s v=" 18666.5991 "/>
    <s v=" 34.7671 "/>
    <x v="0"/>
    <n v="648983"/>
    <m/>
    <m/>
  </r>
  <r>
    <x v="3"/>
    <x v="2"/>
    <s v="C:\Users\andre\Desktop\REACTIV CEFAS\Anastrozole\Anastrozole/20201125_Cefas_Test7_Run2/Plate 1/@14/B9_02.tif "/>
    <s v=" 16633.389 "/>
    <s v=" 34.7321 "/>
    <x v="0"/>
    <n v="577713"/>
    <m/>
    <m/>
  </r>
  <r>
    <x v="3"/>
    <x v="2"/>
    <s v="C:\Users\andre\Desktop\REACTIV CEFAS\Anastrozole\Anastrozole/20201125_Cefas_Test7_Run2/Plate 1/@14/B9_03.tif "/>
    <s v=" 8673.5877 "/>
    <s v=" 34.606 "/>
    <x v="0"/>
    <n v="300158"/>
    <m/>
    <m/>
  </r>
  <r>
    <x v="3"/>
    <x v="3"/>
    <s v="C:\Users\andre\Desktop\REACTIV CEFAS\Anastrozole\Anastrozole/20201125_Cefas_Test7_Run2/Plate 1/@14/C9_01.tif "/>
    <s v=" 30130.4432 "/>
    <s v=" 36.9655 "/>
    <x v="0"/>
    <n v="1113788"/>
    <m/>
    <m/>
  </r>
  <r>
    <x v="3"/>
    <x v="3"/>
    <s v="C:\Users\andre\Desktop\REACTIV CEFAS\Anastrozole\Anastrozole/20201125_Cefas_Test7_Run2/Plate 1/@14/C9_02.tif "/>
    <s v=" 23381.9161 "/>
    <s v=" 35.5791 "/>
    <x v="0"/>
    <n v="831907"/>
    <m/>
    <m/>
  </r>
  <r>
    <x v="3"/>
    <x v="3"/>
    <s v="C:\Users\andre\Desktop\REACTIV CEFAS\Anastrozole\Anastrozole/20201125_Cefas_Test7_Run2/Plate 1/@14/C9_03.tif "/>
    <s v=" 28551.4609 "/>
    <s v=" 36.1 "/>
    <x v="0"/>
    <n v="1030708"/>
    <m/>
    <m/>
  </r>
  <r>
    <x v="3"/>
    <x v="4"/>
    <s v="C:\Users\andre\Desktop\REACTIV CEFAS\Anastrozole\Anastrozole/20201125_Cefas_Test7_Run2/Plate 1/@14/D9_01.tif "/>
    <s v=" 30563.0411 "/>
    <s v=" 36.6362 "/>
    <x v="0"/>
    <n v="1119715"/>
    <m/>
    <m/>
  </r>
  <r>
    <x v="3"/>
    <x v="4"/>
    <s v="C:\Users\andre\Desktop\REACTIV CEFAS\Anastrozole\Anastrozole/20201125_Cefas_Test7_Run2/Plate 1/@14/D9_02.tif "/>
    <s v=" 30476.5215 "/>
    <s v=" 40.401 "/>
    <x v="0"/>
    <n v="1231282"/>
    <m/>
    <m/>
  </r>
  <r>
    <x v="3"/>
    <x v="4"/>
    <s v="C:\Users\andre\Desktop\REACTIV CEFAS\Anastrozole\Anastrozole/20201125_Cefas_Test7_Run2/Plate 1/@14/D9_03- exclu.tif"/>
    <m/>
    <m/>
    <x v="1"/>
    <m/>
    <m/>
    <m/>
  </r>
  <r>
    <x v="3"/>
    <x v="5"/>
    <s v="C:\Users\andre\Desktop\REACTIV CEFAS\Anastrozole\Anastrozole/20201125_Cefas_Test7_Run2/Plate 1/@14/E9_01.tif "/>
    <s v=" 52019.8966 "/>
    <s v=" 39.4316 "/>
    <x v="0"/>
    <n v="2051228"/>
    <m/>
    <m/>
  </r>
  <r>
    <x v="3"/>
    <x v="5"/>
    <s v="C:\Users\andre\Desktop\REACTIV CEFAS\Anastrozole\Anastrozole/20201125_Cefas_Test7_Run2/Plate 1/@14/E9_02.tif "/>
    <s v=" 52928.3522 "/>
    <s v=" 37.6984 "/>
    <x v="0"/>
    <n v="1995315"/>
    <m/>
    <m/>
  </r>
  <r>
    <x v="3"/>
    <x v="5"/>
    <s v="C:\Users\andre\Desktop\REACTIV CEFAS\Anastrozole\Anastrozole/20201125_Cefas_Test7_Run2/Plate 1/@14/E9_03.tif "/>
    <s v=" 45314.6292 "/>
    <s v=" 40.2029 "/>
    <x v="0"/>
    <n v="1821778"/>
    <m/>
    <m/>
  </r>
  <r>
    <x v="3"/>
    <x v="6"/>
    <s v="C:\Users\andre\Desktop\REACTIV CEFAS\Anastrozole\Anastrozole/20201125_Cefas_Test7_Run2/Plate 1/@14/F9_01- exclu.tif"/>
    <m/>
    <m/>
    <x v="1"/>
    <m/>
    <m/>
    <m/>
  </r>
  <r>
    <x v="3"/>
    <x v="6"/>
    <s v="C:\Users\andre\Desktop\REACTIV CEFAS\Anastrozole\Anastrozole/20201125_Cefas_Test7_Run2/Plate 1/@14/F9_02- exclu.tif"/>
    <m/>
    <m/>
    <x v="1"/>
    <m/>
    <m/>
    <m/>
  </r>
  <r>
    <x v="3"/>
    <x v="6"/>
    <s v="C:\Users\andre\Desktop\REACTIV CEFAS\Anastrozole\Anastrozole/20201125_Cefas_Test7_Run2/Plate 1/@14/F9_03- exclu.tif"/>
    <m/>
    <m/>
    <x v="1"/>
    <m/>
    <m/>
    <m/>
  </r>
  <r>
    <x v="3"/>
    <x v="7"/>
    <s v="C:\Users\andre\Desktop\REACTIV CEFAS\Anastrozole\Anastrozole/20201125_Cefas_Test7_Run2/Plate 1/@14/G9_01.tif "/>
    <s v=" 40318.1236 "/>
    <s v=" 36.3256 "/>
    <x v="0"/>
    <n v="1464582"/>
    <m/>
    <m/>
  </r>
  <r>
    <x v="3"/>
    <x v="7"/>
    <s v="C:\Users\andre\Desktop\REACTIV CEFAS\Anastrozole\Anastrozole/20201125_Cefas_Test7_Run2/Plate 1/@14/G9_02.tif "/>
    <s v=" 46006.7859 "/>
    <s v=" 36.4725 "/>
    <x v="0"/>
    <n v="1677982"/>
    <m/>
    <m/>
  </r>
  <r>
    <x v="3"/>
    <x v="7"/>
    <s v="C:\Users\andre\Desktop\REACTIV CEFAS\Anastrozole\Anastrozole/20201125_Cefas_Test7_Run2/Plate 1/@14/G9_03.tif "/>
    <s v=" 43605.8676 "/>
    <s v=" 35.5154 "/>
    <x v="0"/>
    <n v="1548679"/>
    <m/>
    <m/>
  </r>
  <r>
    <x v="3"/>
    <x v="8"/>
    <s v="C:\Users\andre\Desktop\REACTIV CEFAS\Anastrozole\Anastrozole/20201125_Cefas_Test7_Run2/Plate 1/@14/H9_01.tif "/>
    <s v=" 20050.9123 "/>
    <s v=" 33.7789 "/>
    <x v="0"/>
    <n v="677297"/>
    <m/>
    <m/>
  </r>
  <r>
    <x v="3"/>
    <x v="8"/>
    <s v="C:\Users\andre\Desktop\REACTIV CEFAS\Anastrozole\Anastrozole/20201125_Cefas_Test7_Run2/Plate 1/@14/H9_02.tif "/>
    <s v=" 13843.1326 "/>
    <s v=" 35.4922 "/>
    <x v="0"/>
    <n v="491323"/>
    <m/>
    <m/>
  </r>
  <r>
    <x v="3"/>
    <x v="8"/>
    <s v="C:\Users\andre\Desktop\REACTIV CEFAS\Anastrozole\Anastrozole/20201125_Cefas_Test7_Run2/Plate 1/@14/H9_03.tif "/>
    <s v=" 12199.2606 "/>
    <s v=" 33.3812 "/>
    <x v="0"/>
    <n v="407226"/>
    <m/>
    <m/>
  </r>
  <r>
    <x v="0"/>
    <x v="0"/>
    <s v=" "/>
    <m/>
    <m/>
    <x v="1"/>
    <m/>
    <m/>
    <m/>
  </r>
  <r>
    <x v="0"/>
    <x v="0"/>
    <s v="group "/>
    <s v=" "/>
    <s v=" mean of mean fluo "/>
    <x v="2"/>
    <s v=" mean of total fluo "/>
    <s v=" SD total fluo "/>
    <m/>
  </r>
  <r>
    <x v="3"/>
    <x v="9"/>
    <s v="C:\Users\andre\Desktop\REACTIV CEFAS\Anastrozole\Anastrozole/20201125_Cefas_Test7_Run2/Plate 1/@14/ "/>
    <s v=" "/>
    <s v=" 29.7975 "/>
    <x v="5"/>
    <s v=" 797770.042 "/>
    <s v=" 694203.93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Anastrozole\Anastrozole/20201125_Cefas_Test7_Run2/Plate 1/@15/A11_01- exclu.tif"/>
    <m/>
    <m/>
    <x v="1"/>
    <m/>
    <m/>
    <m/>
  </r>
  <r>
    <x v="4"/>
    <x v="1"/>
    <s v="C:\Users\andre\Desktop\REACTIV CEFAS\Anastrozole\Anastrozole/20201125_Cefas_Test7_Run2/Plate 1/@15/A11_02- exclu.tif"/>
    <m/>
    <m/>
    <x v="1"/>
    <m/>
    <m/>
    <m/>
  </r>
  <r>
    <x v="4"/>
    <x v="1"/>
    <s v="C:\Users\andre\Desktop\REACTIV CEFAS\Anastrozole\Anastrozole/20201125_Cefas_Test7_Run2/Plate 1/@15/A11_03- exclu.tif"/>
    <m/>
    <m/>
    <x v="1"/>
    <m/>
    <m/>
    <m/>
  </r>
  <r>
    <x v="4"/>
    <x v="2"/>
    <s v="C:\Users\andre\Desktop\REACTIV CEFAS\Anastrozole\Anastrozole/20201125_Cefas_Test7_Run2/Plate 1/@15/B11_01.tif "/>
    <s v=" 64413.8262 "/>
    <s v=" 49.4389 "/>
    <x v="0"/>
    <n v="3184548"/>
    <m/>
    <m/>
  </r>
  <r>
    <x v="4"/>
    <x v="2"/>
    <s v="C:\Users\andre\Desktop\REACTIV CEFAS\Anastrozole\Anastrozole/20201125_Cefas_Test7_Run2/Plate 1/@15/B11_02- exclu.tif"/>
    <m/>
    <m/>
    <x v="1"/>
    <m/>
    <m/>
    <m/>
  </r>
  <r>
    <x v="4"/>
    <x v="2"/>
    <s v="C:\Users\andre\Desktop\REACTIV CEFAS\Anastrozole\Anastrozole/20201125_Cefas_Test7_Run2/Plate 1/@15/B11_03- exclu.tif"/>
    <m/>
    <m/>
    <x v="1"/>
    <m/>
    <m/>
    <m/>
  </r>
  <r>
    <x v="4"/>
    <x v="3"/>
    <s v="C:\Users\andre\Desktop\REACTIV CEFAS\Anastrozole\Anastrozole/20201125_Cefas_Test7_Run2/Plate 1/@15/C11_01.tif "/>
    <s v=" 23317.0264 "/>
    <s v=" 46.2727 "/>
    <x v="0"/>
    <n v="1078942"/>
    <m/>
    <m/>
  </r>
  <r>
    <x v="4"/>
    <x v="3"/>
    <s v="C:\Users\andre\Desktop\REACTIV CEFAS\Anastrozole\Anastrozole/20201125_Cefas_Test7_Run2/Plate 1/@15/C11_02.tif "/>
    <s v=" 20505.1401 "/>
    <s v=" 45.8914 "/>
    <x v="0"/>
    <n v="941009"/>
    <m/>
    <m/>
  </r>
  <r>
    <x v="4"/>
    <x v="3"/>
    <s v="C:\Users\andre\Desktop\REACTIV CEFAS\Anastrozole\Anastrozole/20201125_Cefas_Test7_Run2/Plate 1/@15/C11_03.tif "/>
    <s v=" 16806.4281 "/>
    <s v=" 46.3668 "/>
    <x v="0"/>
    <n v="779260"/>
    <m/>
    <m/>
  </r>
  <r>
    <x v="4"/>
    <x v="4"/>
    <s v="C:\Users\andre\Desktop\REACTIV CEFAS\Anastrozole\Anastrozole/20201125_Cefas_Test7_Run2/Plate 1/@15/D11_01.tif "/>
    <s v=" 88617.6783 "/>
    <s v=" 47.8584 "/>
    <x v="0"/>
    <n v="4241103"/>
    <m/>
    <m/>
  </r>
  <r>
    <x v="4"/>
    <x v="4"/>
    <s v="C:\Users\andre\Desktop\REACTIV CEFAS\Anastrozole\Anastrozole/20201125_Cefas_Test7_Run2/Plate 1/@15/D11_02.tif "/>
    <s v=" 86757.5074 "/>
    <s v=" 51.1149 "/>
    <x v="0"/>
    <n v="4434604"/>
    <m/>
    <m/>
  </r>
  <r>
    <x v="4"/>
    <x v="4"/>
    <s v="C:\Users\andre\Desktop\REACTIV CEFAS\Anastrozole\Anastrozole/20201125_Cefas_Test7_Run2/Plate 1/@15/D11_03.tif "/>
    <s v=" 83686.0623 "/>
    <s v=" 47.5348 "/>
    <x v="0"/>
    <n v="3977997"/>
    <m/>
    <m/>
  </r>
  <r>
    <x v="4"/>
    <x v="5"/>
    <s v="C:\Users\andre\Desktop\REACTIV CEFAS\Anastrozole\Anastrozole/20201125_Cefas_Test7_Run2/Plate 1/@15/E11_01.tif "/>
    <s v=" 60044.5875 "/>
    <s v=" 43.4143 "/>
    <x v="0"/>
    <n v="2606792"/>
    <m/>
    <m/>
  </r>
  <r>
    <x v="4"/>
    <x v="5"/>
    <s v="C:\Users\andre\Desktop\REACTIV CEFAS\Anastrozole\Anastrozole/20201125_Cefas_Test7_Run2/Plate 1/@15/E11_02.tif "/>
    <s v=" 63116.0325 "/>
    <s v=" 46.9469 "/>
    <x v="0"/>
    <n v="2963101"/>
    <m/>
    <m/>
  </r>
  <r>
    <x v="4"/>
    <x v="5"/>
    <s v="C:\Users\andre\Desktop\REACTIV CEFAS\Anastrozole\Anastrozole/20201125_Cefas_Test7_Run2/Plate 1/@15/E11_03.tif "/>
    <s v=" 63591.8902 "/>
    <s v=" 45.9776 "/>
    <x v="0"/>
    <n v="2923799"/>
    <m/>
    <m/>
  </r>
  <r>
    <x v="4"/>
    <x v="6"/>
    <s v="C:\Users\andre\Desktop\REACTIV CEFAS\Anastrozole\Anastrozole/20201125_Cefas_Test7_Run2/Plate 1/@15/F11_01.tif "/>
    <s v=" 81263.5141 "/>
    <s v=" 54.4913 "/>
    <x v="0"/>
    <n v="4428159"/>
    <m/>
    <m/>
  </r>
  <r>
    <x v="4"/>
    <x v="6"/>
    <s v="C:\Users\andre\Desktop\REACTIV CEFAS\Anastrozole\Anastrozole/20201125_Cefas_Test7_Run2/Plate 1/@15/F11_02.tif "/>
    <s v=" 83750.952 "/>
    <s v=" 54.8802 "/>
    <x v="0"/>
    <n v="4596266"/>
    <m/>
    <m/>
  </r>
  <r>
    <x v="4"/>
    <x v="6"/>
    <s v="C:\Users\andre\Desktop\REACTIV CEFAS\Anastrozole\Anastrozole/20201125_Cefas_Test7_Run2/Plate 1/@15/F11_03.tif "/>
    <s v=" 76894.2754 "/>
    <s v=" 51.2515 "/>
    <x v="0"/>
    <n v="3940945"/>
    <m/>
    <m/>
  </r>
  <r>
    <x v="4"/>
    <x v="7"/>
    <s v="C:\Users\andre\Desktop\REACTIV CEFAS\Anastrozole\Anastrozole/20201125_Cefas_Test7_Run2/Plate 1/@15/G11_01.tif "/>
    <s v=" 60239.2565 "/>
    <s v=" 52.4977 "/>
    <x v="0"/>
    <n v="3162420"/>
    <m/>
    <m/>
  </r>
  <r>
    <x v="4"/>
    <x v="7"/>
    <s v="C:\Users\andre\Desktop\REACTIV CEFAS\Anastrozole\Anastrozole/20201125_Cefas_Test7_Run2/Plate 1/@15/G11_02.tif "/>
    <s v=" 57167.8115 "/>
    <s v=" 48.4268 "/>
    <x v="0"/>
    <n v="2768453"/>
    <m/>
    <m/>
  </r>
  <r>
    <x v="4"/>
    <x v="7"/>
    <s v="C:\Users\andre\Desktop\REACTIV CEFAS\Anastrozole\Anastrozole/20201125_Cefas_Test7_Run2/Plate 1/@15/G11_03.tif "/>
    <s v=" 65668.3601 "/>
    <s v=" 51.5471 "/>
    <x v="0"/>
    <n v="3385014"/>
    <m/>
    <m/>
  </r>
  <r>
    <x v="4"/>
    <x v="8"/>
    <s v="C:\Users\andre\Desktop\REACTIV CEFAS\Anastrozole\Anastrozole/20201125_Cefas_Test7_Run2/Plate 1/@15/H11_01.tif "/>
    <s v=" 53988.217 "/>
    <s v=" 52.3922 "/>
    <x v="0"/>
    <n v="2828563"/>
    <m/>
    <m/>
  </r>
  <r>
    <x v="4"/>
    <x v="8"/>
    <s v="C:\Users\andre\Desktop\REACTIV CEFAS\Anastrozole\Anastrozole/20201125_Cefas_Test7_Run2/Plate 1/@15/H11_02.tif "/>
    <s v=" 53166.281 "/>
    <s v=" 55.2823 "/>
    <x v="0"/>
    <n v="2939157"/>
    <m/>
    <m/>
  </r>
  <r>
    <x v="4"/>
    <x v="8"/>
    <s v="C:\Users\andre\Desktop\REACTIV CEFAS\Anastrozole\Anastrozole/20201125_Cefas_Test7_Run2/Plate 1/@15/H11_03.tif "/>
    <s v=" 49489.1989 "/>
    <s v=" 52.1075 "/>
    <x v="0"/>
    <n v="2578759"/>
    <m/>
    <m/>
  </r>
  <r>
    <x v="0"/>
    <x v="0"/>
    <s v=" "/>
    <m/>
    <m/>
    <x v="1"/>
    <m/>
    <m/>
    <m/>
  </r>
  <r>
    <x v="0"/>
    <x v="0"/>
    <s v="group "/>
    <s v=" "/>
    <s v=" mean of mean fluo "/>
    <x v="2"/>
    <s v=" mean of total fluo "/>
    <s v=" SD total fluo "/>
    <m/>
  </r>
  <r>
    <x v="4"/>
    <x v="9"/>
    <s v="C:\Users\andre\Desktop\REACTIV CEFAS\Anastrozole\Anastrozole/20201125_Cefas_Test7_Run2/Plate 1/@15/ "/>
    <s v=" "/>
    <s v=" 50.417 "/>
    <x v="6"/>
    <s v=" 3003694.75 "/>
    <s v=" 1073057.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Anastrozole\Anastrozole/20201125_Cefas_Test7_Run2/Plate 1/@16/A12_01- exclu.tif"/>
    <m/>
    <m/>
    <x v="1"/>
    <m/>
    <m/>
    <m/>
  </r>
  <r>
    <x v="5"/>
    <x v="1"/>
    <s v="C:\Users\andre\Desktop\REACTIV CEFAS\Anastrozole\Anastrozole/20201125_Cefas_Test7_Run2/Plate 1/@16/A12_02- exclu.tif"/>
    <m/>
    <m/>
    <x v="1"/>
    <m/>
    <m/>
    <m/>
  </r>
  <r>
    <x v="5"/>
    <x v="1"/>
    <s v="C:\Users\andre\Desktop\REACTIV CEFAS\Anastrozole\Anastrozole/20201125_Cefas_Test7_Run2/Plate 1/@16/A12_03- exclu.tif"/>
    <m/>
    <m/>
    <x v="1"/>
    <m/>
    <m/>
    <m/>
  </r>
  <r>
    <x v="5"/>
    <x v="2"/>
    <s v="C:\Users\andre\Desktop\REACTIV CEFAS\Anastrozole\Anastrozole/20201125_Cefas_Test7_Run2/Plate 1/@16/B12_01.tif "/>
    <s v=" 540.7474 "/>
    <s v=" 33.16 "/>
    <x v="0"/>
    <n v="17931"/>
    <m/>
    <m/>
  </r>
  <r>
    <x v="5"/>
    <x v="2"/>
    <s v="C:\Users\andre\Desktop\REACTIV CEFAS\Anastrozole\Anastrozole/20201125_Cefas_Test7_Run2/Plate 1/@16/B12_02.tif "/>
    <n v="0"/>
    <n v="0"/>
    <x v="0"/>
    <n v="0"/>
    <m/>
    <m/>
  </r>
  <r>
    <x v="5"/>
    <x v="2"/>
    <s v="C:\Users\andre\Desktop\REACTIV CEFAS\Anastrozole\Anastrozole/20201125_Cefas_Test7_Run2/Plate 1/@16/B12_03.tif "/>
    <s v=" 4628.7975 "/>
    <s v=" 34.3364 "/>
    <x v="0"/>
    <n v="158936"/>
    <m/>
    <m/>
  </r>
  <r>
    <x v="5"/>
    <x v="3"/>
    <s v="C:\Users\andre\Desktop\REACTIV CEFAS\Anastrozole\Anastrozole/20201125_Cefas_Test7_Run2/Plate 1/@16/C12_01.tif "/>
    <s v=" 4736.9469 "/>
    <s v=" 33.9041 "/>
    <x v="0"/>
    <n v="160602"/>
    <m/>
    <m/>
  </r>
  <r>
    <x v="5"/>
    <x v="3"/>
    <s v="C:\Users\andre\Desktop\REACTIV CEFAS\Anastrozole\Anastrozole/20201125_Cefas_Test7_Run2/Plate 1/@16/C12_02.tif "/>
    <s v=" 2054.84 "/>
    <s v=" 32.3053 "/>
    <x v="0"/>
    <n v="66382"/>
    <m/>
    <m/>
  </r>
  <r>
    <x v="5"/>
    <x v="3"/>
    <s v="C:\Users\andre\Desktop\REACTIV CEFAS\Anastrozole\Anastrozole/20201125_Cefas_Test7_Run2/Plate 1/@16/C12_03.tif "/>
    <s v=" 5753.552 "/>
    <s v=" 34.9887 "/>
    <x v="0"/>
    <n v="201309"/>
    <m/>
    <m/>
  </r>
  <r>
    <x v="5"/>
    <x v="4"/>
    <s v="C:\Users\andre\Desktop\REACTIV CEFAS\Anastrozole\Anastrozole/20201125_Cefas_Test7_Run2/Plate 1/@16/D12_01.tif "/>
    <s v=" 7202.7549 "/>
    <s v=" 42.1862 "/>
    <x v="0"/>
    <n v="303857"/>
    <m/>
    <m/>
  </r>
  <r>
    <x v="5"/>
    <x v="4"/>
    <s v="C:\Users\andre\Desktop\REACTIV CEFAS\Anastrozole\Anastrozole/20201125_Cefas_Test7_Run2/Plate 1/@16/D12_02.tif "/>
    <s v=" 9062.9258 "/>
    <s v=" 42.4726 "/>
    <x v="0"/>
    <n v="384926"/>
    <m/>
    <m/>
  </r>
  <r>
    <x v="5"/>
    <x v="4"/>
    <s v="C:\Users\andre\Desktop\REACTIV CEFAS\Anastrozole\Anastrozole/20201125_Cefas_Test7_Run2/Plate 1/@16/D12_03.tif "/>
    <s v=" 6640.3777 "/>
    <s v=" 40.5765 "/>
    <x v="0"/>
    <n v="269444"/>
    <m/>
    <m/>
  </r>
  <r>
    <x v="5"/>
    <x v="5"/>
    <s v="C:\Users\andre\Desktop\REACTIV CEFAS\Anastrozole\Anastrozole/20201125_Cefas_Test7_Run2/Plate 1/@16/E12_01.tif "/>
    <s v=" 4239.4593 "/>
    <s v=" 34.4031 "/>
    <x v="0"/>
    <n v="145850"/>
    <m/>
    <m/>
  </r>
  <r>
    <x v="5"/>
    <x v="5"/>
    <s v="C:\Users\andre\Desktop\REACTIV CEFAS\Anastrozole\Anastrozole/20201125_Cefas_Test7_Run2/Plate 1/@16/E12_02.tif "/>
    <s v=" 1103.1246 "/>
    <n v="33"/>
    <x v="0"/>
    <n v="36403"/>
    <m/>
    <m/>
  </r>
  <r>
    <x v="5"/>
    <x v="5"/>
    <s v="C:\Users\andre\Desktop\REACTIV CEFAS\Anastrozole\Anastrozole/20201125_Cefas_Test7_Run2/Plate 1/@16/E12_03.tif "/>
    <s v=" 1124.7545 "/>
    <s v=" 34.1538 "/>
    <x v="0"/>
    <n v="38415"/>
    <m/>
    <m/>
  </r>
  <r>
    <x v="5"/>
    <x v="6"/>
    <s v="C:\Users\andre\Desktop\REACTIV CEFAS\Anastrozole\Anastrozole/20201125_Cefas_Test7_Run2/Plate 1/@16/F12_01.tif "/>
    <s v=" 10403.9793 "/>
    <s v=" 45.7214 "/>
    <x v="0"/>
    <n v="475685"/>
    <m/>
    <m/>
  </r>
  <r>
    <x v="5"/>
    <x v="6"/>
    <s v="C:\Users\andre\Desktop\REACTIV CEFAS\Anastrozole\Anastrozole/20201125_Cefas_Test7_Run2/Plate 1/@16/F12_02.tif "/>
    <s v=" 10209.3103 "/>
    <s v=" 47.9153 "/>
    <x v="0"/>
    <n v="489182"/>
    <m/>
    <m/>
  </r>
  <r>
    <x v="5"/>
    <x v="6"/>
    <s v="C:\Users\andre\Desktop\REACTIV CEFAS\Anastrozole\Anastrozole/20201125_Cefas_Test7_Run2/Plate 1/@16/F12_03.tif "/>
    <s v=" 7029.7158 "/>
    <s v=" 39.1723 "/>
    <x v="0"/>
    <n v="275370"/>
    <m/>
    <m/>
  </r>
  <r>
    <x v="5"/>
    <x v="7"/>
    <s v="C:\Users\andre\Desktop\REACTIV CEFAS\Anastrozole\Anastrozole/20201125_Cefas_Test7_Run2/Plate 1/@16/G12_01.tif "/>
    <s v=" 4563.9078 "/>
    <s v=" 39.436 "/>
    <x v="0"/>
    <n v="179982"/>
    <m/>
    <m/>
  </r>
  <r>
    <x v="5"/>
    <x v="7"/>
    <s v="C:\Users\andre\Desktop\REACTIV CEFAS\Anastrozole\Anastrozole/20201125_Cefas_Test7_Run2/Plate 1/@16/G12_02.tif "/>
    <s v=" 4412.4985 "/>
    <s v=" 39.8873 "/>
    <x v="0"/>
    <n v="176002"/>
    <m/>
    <m/>
  </r>
  <r>
    <x v="5"/>
    <x v="7"/>
    <s v="C:\Users\andre\Desktop\REACTIV CEFAS\Anastrozole\Anastrozole/20201125_Cefas_Test7_Run2/Plate 1/@16/G12_03.tif "/>
    <s v=" 1297.7937 "/>
    <s v=" 33.1833 "/>
    <x v="0"/>
    <n v="43065"/>
    <m/>
    <m/>
  </r>
  <r>
    <x v="5"/>
    <x v="8"/>
    <s v="C:\Users\andre\Desktop\REACTIV CEFAS\Anastrozole\Anastrozole/20201125_Cefas_Test7_Run2/Plate 1/@16/H12_01.tif "/>
    <s v=" 2617.2173 "/>
    <s v=" 32.4959 "/>
    <x v="0"/>
    <n v="85049"/>
    <m/>
    <m/>
  </r>
  <r>
    <x v="5"/>
    <x v="8"/>
    <s v="C:\Users\andre\Desktop\REACTIV CEFAS\Anastrozole\Anastrozole/20201125_Cefas_Test7_Run2/Plate 1/@16/H12_02.tif "/>
    <n v="0"/>
    <n v="0"/>
    <x v="0"/>
    <n v="0"/>
    <m/>
    <m/>
  </r>
  <r>
    <x v="5"/>
    <x v="8"/>
    <s v="C:\Users\andre\Desktop\REACTIV CEFAS\Anastrozole\Anastrozole/20201125_Cefas_Test7_Run2/Plate 1/@16/H12_03.tif "/>
    <s v=" 3612.1924 "/>
    <s v=" 38.1916 "/>
    <x v="0"/>
    <n v="137955"/>
    <m/>
    <m/>
  </r>
  <r>
    <x v="0"/>
    <x v="0"/>
    <s v=" "/>
    <m/>
    <m/>
    <x v="1"/>
    <m/>
    <m/>
    <m/>
  </r>
  <r>
    <x v="0"/>
    <x v="0"/>
    <s v="group "/>
    <s v=" "/>
    <s v=" mean of mean fluo "/>
    <x v="2"/>
    <s v=" mean of total fluo "/>
    <s v=" SD total fluo "/>
    <m/>
  </r>
  <r>
    <x v="5"/>
    <x v="9"/>
    <s v="C:\Users\andre\Desktop\REACTIV CEFAS\Anastrozole\Anastrozole/20201125_Cefas_Test7_Run2/Plate 1/@16/ "/>
    <s v=" "/>
    <s v=" 35.4494 "/>
    <x v="7"/>
    <s v=" 245550.667 "/>
    <s v=" 237990.303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Anastrozole\Anastrozole/20201125_Cefas_Test7_Run2/Plate 1/@2/A2_01- exclu.tif"/>
    <m/>
    <m/>
    <x v="1"/>
    <m/>
    <m/>
    <m/>
  </r>
  <r>
    <x v="6"/>
    <x v="1"/>
    <s v="C:\Users\andre\Desktop\REACTIV CEFAS\Anastrozole\Anastrozole/20201125_Cefas_Test7_Run2/Plate 1/@2/A2_02- exclu.tif"/>
    <m/>
    <m/>
    <x v="1"/>
    <m/>
    <m/>
    <m/>
  </r>
  <r>
    <x v="6"/>
    <x v="1"/>
    <s v="C:\Users\andre\Desktop\REACTIV CEFAS\Anastrozole\Anastrozole/20201125_Cefas_Test7_Run2/Plate 1/@2/A2_03- exclu.tif"/>
    <m/>
    <m/>
    <x v="1"/>
    <m/>
    <m/>
    <m/>
  </r>
  <r>
    <x v="6"/>
    <x v="2"/>
    <s v="C:\Users\andre\Desktop\REACTIV CEFAS\Anastrozole\Anastrozole/20201125_Cefas_Test7_Run2/Plate 1/@2/B2_01.tif "/>
    <s v=" 108.1495 "/>
    <s v=" 30.4 "/>
    <x v="0"/>
    <n v="3288"/>
    <m/>
    <m/>
  </r>
  <r>
    <x v="6"/>
    <x v="2"/>
    <s v="C:\Users\andre\Desktop\REACTIV CEFAS\Anastrozole\Anastrozole/20201125_Cefas_Test7_Run2/Plate 1/@2/B2_02.tif "/>
    <s v=" 2292.7688 "/>
    <n v="33"/>
    <x v="0"/>
    <n v="75661"/>
    <m/>
    <m/>
  </r>
  <r>
    <x v="6"/>
    <x v="2"/>
    <s v="C:\Users\andre\Desktop\REACTIV CEFAS\Anastrozole\Anastrozole/20201125_Cefas_Test7_Run2/Plate 1/@2/B2_03.tif "/>
    <s v=" 3482.413 "/>
    <s v=" 33.3975 "/>
    <x v="0"/>
    <n v="116304"/>
    <m/>
    <m/>
  </r>
  <r>
    <x v="6"/>
    <x v="3"/>
    <s v="C:\Users\andre\Desktop\REACTIV CEFAS\Anastrozole\Anastrozole/20201125_Cefas_Test7_Run2/Plate 1/@2/C2_01- exclu.tif"/>
    <m/>
    <m/>
    <x v="1"/>
    <m/>
    <m/>
    <m/>
  </r>
  <r>
    <x v="6"/>
    <x v="3"/>
    <s v="C:\Users\andre\Desktop\REACTIV CEFAS\Anastrozole\Anastrozole/20201125_Cefas_Test7_Run2/Plate 1/@2/C2_02.tif "/>
    <s v=" 12177.6307 "/>
    <s v=" 36.4281 "/>
    <x v="0"/>
    <n v="443608"/>
    <m/>
    <m/>
  </r>
  <r>
    <x v="6"/>
    <x v="3"/>
    <s v="C:\Users\andre\Desktop\REACTIV CEFAS\Anastrozole\Anastrozole/20201125_Cefas_Test7_Run2/Plate 1/@2/C2_03.tif "/>
    <s v=" 3504.0429 "/>
    <s v=" 33.1049 "/>
    <x v="0"/>
    <n v="116001"/>
    <m/>
    <m/>
  </r>
  <r>
    <x v="6"/>
    <x v="4"/>
    <s v="C:\Users\andre\Desktop\REACTIV CEFAS\Anastrozole\Anastrozole/20201125_Cefas_Test7_Run2/Plate 1/@2/D2_01.tif "/>
    <s v=" 475.8577 "/>
    <s v=" 31.8636 "/>
    <x v="0"/>
    <n v="15163"/>
    <m/>
    <m/>
  </r>
  <r>
    <x v="6"/>
    <x v="4"/>
    <s v="C:\Users\andre\Desktop\REACTIV CEFAS\Anastrozole\Anastrozole/20201125_Cefas_Test7_Run2/Plate 1/@2/D2_02.tif "/>
    <s v=" 562.3773 "/>
    <s v=" 31.8846 "/>
    <x v="0"/>
    <n v="17931"/>
    <m/>
    <m/>
  </r>
  <r>
    <x v="6"/>
    <x v="4"/>
    <s v="C:\Users\andre\Desktop\REACTIV CEFAS\Anastrozole\Anastrozole/20201125_Cefas_Test7_Run2/Plate 1/@2/D2_03.tif "/>
    <s v=" 173.0392 "/>
    <s v=" 35.5 "/>
    <x v="0"/>
    <n v="6143"/>
    <m/>
    <m/>
  </r>
  <r>
    <x v="6"/>
    <x v="5"/>
    <s v="C:\Users\andre\Desktop\REACTIV CEFAS\Anastrozole\Anastrozole/20201125_Cefas_Test7_Run2/Plate 1/@2/E2_01.tif "/>
    <s v=" 757.0463 "/>
    <s v=" 33.5429 "/>
    <x v="0"/>
    <n v="25393"/>
    <m/>
    <m/>
  </r>
  <r>
    <x v="6"/>
    <x v="5"/>
    <s v="C:\Users\andre\Desktop\REACTIV CEFAS\Anastrozole\Anastrozole/20201125_Cefas_Test7_Run2/Plate 1/@2/E2_02.tif "/>
    <s v=" 2292.7688 "/>
    <s v=" 35.1321 "/>
    <x v="0"/>
    <n v="80550"/>
    <m/>
    <m/>
  </r>
  <r>
    <x v="6"/>
    <x v="5"/>
    <s v="C:\Users\andre\Desktop\REACTIV CEFAS\Anastrozole\Anastrozole/20201125_Cefas_Test7_Run2/Plate 1/@2/E2_03.tif "/>
    <s v=" 1643.872 "/>
    <s v=" 34.0263 "/>
    <x v="0"/>
    <n v="55935"/>
    <m/>
    <m/>
  </r>
  <r>
    <x v="6"/>
    <x v="6"/>
    <s v="C:\Users\andre\Desktop\REACTIV CEFAS\Anastrozole\Anastrozole/20201125_Cefas_Test7_Run2/Plate 1/@2/F2_01.tif "/>
    <s v=" 16027.7519 "/>
    <s v=" 44.4224 "/>
    <x v="0"/>
    <n v="711991"/>
    <m/>
    <m/>
  </r>
  <r>
    <x v="6"/>
    <x v="6"/>
    <s v="C:\Users\andre\Desktop\REACTIV CEFAS\Anastrozole\Anastrozole/20201125_Cefas_Test7_Run2/Plate 1/@2/F2_02.tif "/>
    <s v=" 14145.9511 "/>
    <s v=" 41.3135 "/>
    <x v="0"/>
    <n v="584418"/>
    <m/>
    <m/>
  </r>
  <r>
    <x v="6"/>
    <x v="6"/>
    <s v="C:\Users\andre\Desktop\REACTIV CEFAS\Anastrozole\Anastrozole/20201125_Cefas_Test7_Run2/Plate 1/@2/F2_03.tif "/>
    <s v=" 9582.0433 "/>
    <s v=" 39.4673 "/>
    <x v="0"/>
    <n v="378177"/>
    <m/>
    <m/>
  </r>
  <r>
    <x v="6"/>
    <x v="7"/>
    <s v="C:\Users\andre\Desktop\REACTIV CEFAS\Anastrozole\Anastrozole/20201125_Cefas_Test7_Run2/Plate 1/@2/G2_01.tif "/>
    <s v=" 6337.5591 "/>
    <s v=" 36.5563 "/>
    <x v="0"/>
    <n v="231678"/>
    <m/>
    <m/>
  </r>
  <r>
    <x v="6"/>
    <x v="7"/>
    <s v="C:\Users\andre\Desktop\REACTIV CEFAS\Anastrozole\Anastrozole/20201125_Cefas_Test7_Run2/Plate 1/@2/G2_02.tif "/>
    <s v=" 108.1495 "/>
    <n v="31"/>
    <x v="0"/>
    <n v="3353"/>
    <m/>
    <m/>
  </r>
  <r>
    <x v="6"/>
    <x v="7"/>
    <s v="C:\Users\andre\Desktop\REACTIV CEFAS\Anastrozole\Anastrozole/20201125_Cefas_Test7_Run2/Plate 1/@2/G2_03.tif "/>
    <s v=" 12869.7873 "/>
    <s v=" 42.916 "/>
    <x v="0"/>
    <n v="552319"/>
    <m/>
    <m/>
  </r>
  <r>
    <x v="6"/>
    <x v="8"/>
    <s v="C:\Users\andre\Desktop\REACTIV CEFAS\Anastrozole\Anastrozole/20201125_Cefas_Test7_Run2/Plate 1/@2/H2_01.tif "/>
    <s v=" 1925.0606 "/>
    <s v=" 34.1124 "/>
    <x v="0"/>
    <n v="65668"/>
    <m/>
    <m/>
  </r>
  <r>
    <x v="6"/>
    <x v="8"/>
    <s v="C:\Users\andre\Desktop\REACTIV CEFAS\Anastrozole\Anastrozole/20201125_Cefas_Test7_Run2/Plate 1/@2/H2_02.tif "/>
    <s v=" 3741.9718 "/>
    <s v=" 38.3526 "/>
    <x v="0"/>
    <n v="143514"/>
    <m/>
    <m/>
  </r>
  <r>
    <x v="6"/>
    <x v="8"/>
    <s v="C:\Users\andre\Desktop\REACTIV CEFAS\Anastrozole\Anastrozole/20201125_Cefas_Test7_Run2/Plate 1/@2/H2_03.tif "/>
    <s v=" 973.3453 "/>
    <s v=" 31.4 "/>
    <x v="0"/>
    <n v="30563"/>
    <m/>
    <m/>
  </r>
  <r>
    <x v="0"/>
    <x v="0"/>
    <s v=" "/>
    <m/>
    <m/>
    <x v="1"/>
    <m/>
    <m/>
    <m/>
  </r>
  <r>
    <x v="0"/>
    <x v="0"/>
    <s v="group "/>
    <s v=" "/>
    <s v=" mean of mean fluo "/>
    <x v="2"/>
    <s v=" mean of total fluo "/>
    <s v=" SD total fluo "/>
    <m/>
  </r>
  <r>
    <x v="6"/>
    <x v="9"/>
    <s v="C:\Users\andre\Desktop\REACTIV CEFAS\Anastrozole\Anastrozole/20201125_Cefas_Test7_Run2/Plate 1/@2/ "/>
    <s v=" "/>
    <s v=" 34.9813 "/>
    <x v="8"/>
    <s v=" 176882.958 "/>
    <s v=" 205798.90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Anastrozole\Anastrozole/20201125_Cefas_Test7_Run2/Plate 1/@3/A3_01.tif "/>
    <s v=" 1470.8328 "/>
    <s v=" 32.9118 "/>
    <x v="0"/>
    <n v="48408"/>
    <m/>
    <m/>
  </r>
  <r>
    <x v="7"/>
    <x v="1"/>
    <s v="C:\Users\andre\Desktop\REACTIV CEFAS\Anastrozole\Anastrozole/20201125_Cefas_Test7_Run2/Plate 1/@3/A3_02.tif "/>
    <s v=" 1925.0606 "/>
    <s v=" 33.1348 "/>
    <x v="0"/>
    <n v="63787"/>
    <m/>
    <m/>
  </r>
  <r>
    <x v="7"/>
    <x v="1"/>
    <s v="C:\Users\andre\Desktop\REACTIV CEFAS\Anastrozole\Anastrozole/20201125_Cefas_Test7_Run2/Plate 1/@3/A3_03.tif "/>
    <s v=" 324.4484 "/>
    <s v=" 33.3333 "/>
    <x v="0"/>
    <n v="10815"/>
    <m/>
    <m/>
  </r>
  <r>
    <x v="7"/>
    <x v="2"/>
    <s v="C:\Users\andre\Desktop\REACTIV CEFAS\Anastrozole\Anastrozole/20201125_Cefas_Test7_Run2/Plate 1/@3/B3_01.tif "/>
    <s v=" 4693.6871 "/>
    <s v=" 34.8065 "/>
    <x v="0"/>
    <n v="163371"/>
    <m/>
    <m/>
  </r>
  <r>
    <x v="7"/>
    <x v="2"/>
    <s v="C:\Users\andre\Desktop\REACTIV CEFAS\Anastrozole\Anastrozole/20201125_Cefas_Test7_Run2/Plate 1/@3/B3_02.tif "/>
    <s v=" 281.1886 "/>
    <s v=" 31.4615 "/>
    <x v="0"/>
    <n v="8847"/>
    <m/>
    <m/>
  </r>
  <r>
    <x v="7"/>
    <x v="2"/>
    <s v="C:\Users\andre\Desktop\REACTIV CEFAS\Anastrozole\Anastrozole/20201125_Cefas_Test7_Run2/Plate 1/@3/B3_03.tif "/>
    <s v=" 43.2598 "/>
    <n v="30"/>
    <x v="0"/>
    <n v="1298"/>
    <m/>
    <m/>
  </r>
  <r>
    <x v="7"/>
    <x v="3"/>
    <s v="C:\Users\andre\Desktop\REACTIV CEFAS\Anastrozole\Anastrozole/20201125_Cefas_Test7_Run2/Plate 1/@3/C3_01.tif "/>
    <s v=" 2076.4699 "/>
    <s v=" 32.2708 "/>
    <x v="0"/>
    <n v="67009"/>
    <m/>
    <m/>
  </r>
  <r>
    <x v="7"/>
    <x v="3"/>
    <s v="C:\Users\andre\Desktop\REACTIV CEFAS\Anastrozole\Anastrozole/20201125_Cefas_Test7_Run2/Plate 1/@3/C3_02.tif "/>
    <s v=" 9928.1216 "/>
    <s v=" 46.3312 "/>
    <x v="0"/>
    <n v="459981"/>
    <m/>
    <m/>
  </r>
  <r>
    <x v="7"/>
    <x v="3"/>
    <s v="C:\Users\andre\Desktop\REACTIV CEFAS\Anastrozole\Anastrozole/20201125_Cefas_Test7_Run2/Plate 1/@3/C3_03.tif "/>
    <s v=" 3201.2244 "/>
    <s v=" 39.0676 "/>
    <x v="0"/>
    <n v="125064"/>
    <m/>
    <m/>
  </r>
  <r>
    <x v="7"/>
    <x v="4"/>
    <s v="C:\Users\andre\Desktop\REACTIV CEFAS\Anastrozole\Anastrozole/20201125_Cefas_Test7_Run2/Plate 1/@3/D3_01.tif "/>
    <s v=" 6943.1962 "/>
    <s v=" 31.9813 "/>
    <x v="0"/>
    <n v="222052"/>
    <m/>
    <m/>
  </r>
  <r>
    <x v="7"/>
    <x v="4"/>
    <s v="C:\Users\andre\Desktop\REACTIV CEFAS\Anastrozole\Anastrozole/20201125_Cefas_Test7_Run2/Plate 1/@3/D3_02.tif "/>
    <s v=" 3612.1924 "/>
    <s v=" 32.7186 "/>
    <x v="0"/>
    <n v="118186"/>
    <m/>
    <m/>
  </r>
  <r>
    <x v="7"/>
    <x v="4"/>
    <s v="C:\Users\andre\Desktop\REACTIV CEFAS\Anastrozole\Anastrozole/20201125_Cefas_Test7_Run2/Plate 1/@3/D3_03.tif "/>
    <s v=" 9127.8155 "/>
    <s v=" 32.372 "/>
    <x v="0"/>
    <n v="295486"/>
    <m/>
    <m/>
  </r>
  <r>
    <x v="7"/>
    <x v="5"/>
    <s v="C:\Users\andre\Desktop\REACTIV CEFAS\Anastrozole\Anastrozole/20201125_Cefas_Test7_Run2/Plate 1/@3/E3_01.tif "/>
    <s v=" 1946.6905 "/>
    <s v=" 33.5667 "/>
    <x v="0"/>
    <n v="65344"/>
    <m/>
    <m/>
  </r>
  <r>
    <x v="7"/>
    <x v="5"/>
    <s v="C:\Users\andre\Desktop\REACTIV CEFAS\Anastrozole\Anastrozole/20201125_Cefas_Test7_Run2/Plate 1/@3/E3_02.tif "/>
    <s v=" 3136.3347 "/>
    <s v=" 36.531 "/>
    <x v="0"/>
    <n v="114574"/>
    <m/>
    <m/>
  </r>
  <r>
    <x v="7"/>
    <x v="5"/>
    <s v="C:\Users\andre\Desktop\REACTIV CEFAS\Anastrozole\Anastrozole/20201125_Cefas_Test7_Run2/Plate 1/@3/E3_03.tif "/>
    <s v=" 3568.9326 "/>
    <s v=" 33.9333 "/>
    <x v="0"/>
    <n v="121106"/>
    <m/>
    <m/>
  </r>
  <r>
    <x v="7"/>
    <x v="6"/>
    <s v="C:\Users\andre\Desktop\REACTIV CEFAS\Anastrozole\Anastrozole/20201125_Cefas_Test7_Run2/Plate 1/@3/F3_01.tif "/>
    <s v=" 7224.3848 "/>
    <s v=" 35.7425 "/>
    <x v="0"/>
    <n v="258218"/>
    <m/>
    <m/>
  </r>
  <r>
    <x v="7"/>
    <x v="6"/>
    <s v="C:\Users\andre\Desktop\REACTIV CEFAS\Anastrozole\Anastrozole/20201125_Cefas_Test7_Run2/Plate 1/@3/F3_02.tif "/>
    <s v=" 4909.9861 "/>
    <s v=" 33.9207 "/>
    <x v="0"/>
    <n v="166550"/>
    <m/>
    <m/>
  </r>
  <r>
    <x v="7"/>
    <x v="6"/>
    <s v="C:\Users\andre\Desktop\REACTIV CEFAS\Anastrozole\Anastrozole/20201125_Cefas_Test7_Run2/Plate 1/@3/F3_03.tif "/>
    <s v=" 2855.1461 "/>
    <s v=" 32.0909 "/>
    <x v="0"/>
    <n v="91624"/>
    <m/>
    <m/>
  </r>
  <r>
    <x v="7"/>
    <x v="7"/>
    <s v="C:\Users\andre\Desktop\REACTIV CEFAS\Anastrozole\Anastrozole/20201125_Cefas_Test7_Run2/Plate 1/@3/G3_01.tif "/>
    <s v=" 5493.9932 "/>
    <s v=" 39.7953 "/>
    <x v="0"/>
    <n v="218635"/>
    <m/>
    <m/>
  </r>
  <r>
    <x v="7"/>
    <x v="7"/>
    <s v="C:\Users\andre\Desktop\REACTIV CEFAS\Anastrozole\Anastrozole/20201125_Cefas_Test7_Run2/Plate 1/@3/G3_02.tif "/>
    <s v=" 7354.1642 "/>
    <s v=" 44.2559 "/>
    <x v="0"/>
    <n v="325465"/>
    <m/>
    <m/>
  </r>
  <r>
    <x v="7"/>
    <x v="7"/>
    <s v="C:\Users\andre\Desktop\REACTIV CEFAS\Anastrozole\Anastrozole/20201125_Cefas_Test7_Run2/Plate 1/@3/G3_03.tif "/>
    <s v=" 7527.2033 "/>
    <s v=" 44.8994 "/>
    <x v="0"/>
    <n v="337967"/>
    <m/>
    <m/>
  </r>
  <r>
    <x v="7"/>
    <x v="8"/>
    <s v="C:\Users\andre\Desktop\REACTIV CEFAS\Anastrozole\Anastrozole/20201125_Cefas_Test7_Run2/Plate 1/@3/H3_01.tif "/>
    <s v=" 12783.2677 "/>
    <s v=" 40.5939 "/>
    <x v="0"/>
    <n v="518923"/>
    <m/>
    <m/>
  </r>
  <r>
    <x v="7"/>
    <x v="8"/>
    <s v="C:\Users\andre\Desktop\REACTIV CEFAS\Anastrozole\Anastrozole/20201125_Cefas_Test7_Run2/Plate 1/@3/H3_02.tif "/>
    <s v=" 11139.3957 "/>
    <s v=" 38.9592 "/>
    <x v="0"/>
    <n v="433982"/>
    <m/>
    <m/>
  </r>
  <r>
    <x v="7"/>
    <x v="8"/>
    <s v="C:\Users\andre\Desktop\REACTIV CEFAS\Anastrozole\Anastrozole/20201125_Cefas_Test7_Run2/Plate 1/@3/H3_03.tif "/>
    <s v=" 12199.2606 "/>
    <s v=" 41.516 "/>
    <x v="0"/>
    <n v="506464"/>
    <m/>
    <m/>
  </r>
  <r>
    <x v="0"/>
    <x v="0"/>
    <s v=" "/>
    <m/>
    <m/>
    <x v="1"/>
    <m/>
    <m/>
    <m/>
  </r>
  <r>
    <x v="0"/>
    <x v="0"/>
    <s v="group "/>
    <s v=" "/>
    <s v=" mean of mean fluo "/>
    <x v="2"/>
    <s v=" mean of total fluo "/>
    <s v=" SD total fluo "/>
    <m/>
  </r>
  <r>
    <x v="7"/>
    <x v="9"/>
    <s v="C:\Users\andre\Desktop\REACTIV CEFAS\Anastrozole\Anastrozole/20201125_Cefas_Test7_Run2/Plate 1/@3/ "/>
    <s v=" "/>
    <s v=" 36.0914 "/>
    <x v="9"/>
    <s v=" 197631.5 "/>
    <s v=" 160861.076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Anastrozole\Anastrozole/20201125_Cefas_Test7_Run2/Plate 1/@4/A4_01.tif "/>
    <s v=" 44882.0314 "/>
    <s v=" 37.7142 "/>
    <x v="0"/>
    <n v="1692691"/>
    <m/>
    <m/>
  </r>
  <r>
    <x v="8"/>
    <x v="1"/>
    <s v="C:\Users\andre\Desktop\REACTIV CEFAS\Anastrozole\Anastrozole/20201125_Cefas_Test7_Run2/Plate 1/@4/A4_02.tif "/>
    <s v=" 52387.6048 "/>
    <s v=" 40.5879 "/>
    <x v="0"/>
    <n v="2126305"/>
    <m/>
    <m/>
  </r>
  <r>
    <x v="8"/>
    <x v="1"/>
    <s v="C:\Users\andre\Desktop\REACTIV CEFAS\Anastrozole\Anastrozole/20201125_Cefas_Test7_Run2/Plate 1/@4/A4_03.tif "/>
    <s v=" 56821.7332 "/>
    <s v=" 38.804 "/>
    <x v="0"/>
    <n v="2204908"/>
    <m/>
    <m/>
  </r>
  <r>
    <x v="8"/>
    <x v="2"/>
    <s v="C:\Users\andre\Desktop\REACTIV CEFAS\Anastrozole\Anastrozole/20201125_Cefas_Test7_Run2/Plate 1/@4/B4_01.tif "/>
    <s v=" 43973.5758 "/>
    <s v=" 35.2691 "/>
    <x v="0"/>
    <n v="1550907"/>
    <m/>
    <m/>
  </r>
  <r>
    <x v="8"/>
    <x v="2"/>
    <s v="C:\Users\andre\Desktop\REACTIV CEFAS\Anastrozole\Anastrozole/20201125_Cefas_Test7_Run2/Plate 1/@4/B4_02.tif "/>
    <s v=" 46547.5332 "/>
    <s v=" 37.0028 "/>
    <x v="0"/>
    <n v="1722389"/>
    <m/>
    <m/>
  </r>
  <r>
    <x v="8"/>
    <x v="2"/>
    <s v="C:\Users\andre\Desktop\REACTIV CEFAS\Anastrozole\Anastrozole/20201125_Cefas_Test7_Run2/Plate 1/@4/B4_03.tif "/>
    <s v=" 42372.9636 "/>
    <s v=" 35.5539 "/>
    <x v="0"/>
    <n v="1506522"/>
    <m/>
    <m/>
  </r>
  <r>
    <x v="8"/>
    <x v="3"/>
    <s v="C:\Users\andre\Desktop\REACTIV CEFAS\Anastrozole\Anastrozole/20201125_Cefas_Test7_Run2/Plate 1/@4/C4_01.tif "/>
    <s v=" 3201.2244 "/>
    <s v=" 32.6149 "/>
    <x v="0"/>
    <n v="104408"/>
    <m/>
    <m/>
  </r>
  <r>
    <x v="8"/>
    <x v="3"/>
    <s v="C:\Users\andre\Desktop\REACTIV CEFAS\Anastrozole\Anastrozole/20201125_Cefas_Test7_Run2/Plate 1/@4/C4_02.tif "/>
    <s v=" 3612.1924 "/>
    <s v=" 32.6826 "/>
    <x v="0"/>
    <n v="118056"/>
    <m/>
    <m/>
  </r>
  <r>
    <x v="8"/>
    <x v="3"/>
    <s v="C:\Users\andre\Desktop\REACTIV CEFAS\Anastrozole\Anastrozole/20201125_Cefas_Test7_Run2/Plate 1/@4/C4_03.tif "/>
    <s v=" 713.7865 "/>
    <s v=" 31.8788 "/>
    <x v="0"/>
    <n v="22755"/>
    <m/>
    <m/>
  </r>
  <r>
    <x v="8"/>
    <x v="4"/>
    <s v="C:\Users\andre\Desktop\REACTIV CEFAS\Anastrozole\Anastrozole/20201125_Cefas_Test7_Run2/Plate 1/@4/D4_01.tif "/>
    <s v=" 3157.9646 "/>
    <s v=" 32.5822 "/>
    <x v="0"/>
    <n v="102893"/>
    <m/>
    <m/>
  </r>
  <r>
    <x v="8"/>
    <x v="4"/>
    <s v="C:\Users\andre\Desktop\REACTIV CEFAS\Anastrozole\Anastrozole/20201125_Cefas_Test7_Run2/Plate 1/@4/D4_02.tif "/>
    <s v=" 10403.9793 "/>
    <s v=" 37.4137 "/>
    <x v="0"/>
    <n v="389252"/>
    <m/>
    <m/>
  </r>
  <r>
    <x v="8"/>
    <x v="4"/>
    <s v="C:\Users\andre\Desktop\REACTIV CEFAS\Anastrozole\Anastrozole/20201125_Cefas_Test7_Run2/Plate 1/@4/D4_03.tif "/>
    <s v=" 12026.2214 "/>
    <s v=" 41.2104 "/>
    <x v="0"/>
    <n v="495606"/>
    <m/>
    <m/>
  </r>
  <r>
    <x v="8"/>
    <x v="5"/>
    <s v="C:\Users\andre\Desktop\REACTIV CEFAS\Anastrozole\Anastrozole/20201125_Cefas_Test7_Run2/Plate 1/@4/E4_01.tif "/>
    <s v=" 18212.3713 "/>
    <s v=" 33.9074 "/>
    <x v="0"/>
    <n v="617533"/>
    <m/>
    <m/>
  </r>
  <r>
    <x v="8"/>
    <x v="5"/>
    <s v="C:\Users\andre\Desktop\REACTIV CEFAS\Anastrozole\Anastrozole/20201125_Cefas_Test7_Run2/Plate 1/@4/E4_02.tif "/>
    <s v=" 22841.1687 "/>
    <s v=" 37.392 "/>
    <x v="0"/>
    <n v="854078"/>
    <m/>
    <m/>
  </r>
  <r>
    <x v="8"/>
    <x v="5"/>
    <s v="C:\Users\andre\Desktop\REACTIV CEFAS\Anastrozole\Anastrozole/20201125_Cefas_Test7_Run2/Plate 1/@4/E4_03.tif "/>
    <s v=" 12307.41 "/>
    <s v=" 33.3058 "/>
    <x v="0"/>
    <n v="409908"/>
    <m/>
    <m/>
  </r>
  <r>
    <x v="8"/>
    <x v="6"/>
    <s v="C:\Users\andre\Desktop\REACTIV CEFAS\Anastrozole\Anastrozole/20201125_Cefas_Test7_Run2/Plate 1/@4/F4_01.tif "/>
    <s v=" 14297.3603 "/>
    <s v=" 34.7882 "/>
    <x v="0"/>
    <n v="497379"/>
    <m/>
    <m/>
  </r>
  <r>
    <x v="8"/>
    <x v="6"/>
    <s v="C:\Users\andre\Desktop\REACTIV CEFAS\Anastrozole\Anastrozole/20201125_Cefas_Test7_Run2/Plate 1/@4/F4_02.tif "/>
    <s v=" 13518.6841 "/>
    <s v=" 33.0992 "/>
    <x v="0"/>
    <n v="447458"/>
    <m/>
    <m/>
  </r>
  <r>
    <x v="8"/>
    <x v="6"/>
    <s v="C:\Users\andre\Desktop\REACTIV CEFAS\Anastrozole\Anastrozole/20201125_Cefas_Test7_Run2/Plate 1/@4/F4_03.tif "/>
    <s v=" 18017.7022 "/>
    <s v=" 35.6639 "/>
    <x v="0"/>
    <n v="642581"/>
    <m/>
    <m/>
  </r>
  <r>
    <x v="8"/>
    <x v="7"/>
    <s v="C:\Users\andre\Desktop\REACTIV CEFAS\Anastrozole\Anastrozole/20201125_Cefas_Test7_Run2/Plate 1/@4/G4_01.tif "/>
    <s v=" 4261.0892 "/>
    <s v=" 35.0558 "/>
    <x v="0"/>
    <n v="149376"/>
    <m/>
    <m/>
  </r>
  <r>
    <x v="8"/>
    <x v="7"/>
    <s v="C:\Users\andre\Desktop\REACTIV CEFAS\Anastrozole\Anastrozole/20201125_Cefas_Test7_Run2/Plate 1/@4/G4_02.tif "/>
    <s v=" 4715.317 "/>
    <s v=" 38.2569 "/>
    <x v="0"/>
    <n v="180393"/>
    <m/>
    <m/>
  </r>
  <r>
    <x v="8"/>
    <x v="7"/>
    <s v="C:\Users\andre\Desktop\REACTIV CEFAS\Anastrozole\Anastrozole/20201125_Cefas_Test7_Run2/Plate 1/@4/G4_03.tif "/>
    <s v=" 2400.9183 "/>
    <s v=" 30.8559 "/>
    <x v="0"/>
    <n v="74082"/>
    <m/>
    <m/>
  </r>
  <r>
    <x v="8"/>
    <x v="8"/>
    <s v="C:\Users\andre\Desktop\REACTIV CEFAS\Anastrozole\Anastrozole/20201125_Cefas_Test7_Run2/Plate 1/@4/H4_01.tif "/>
    <s v=" 15530.2643 "/>
    <s v=" 33.6783 "/>
    <x v="0"/>
    <n v="523032"/>
    <m/>
    <m/>
  </r>
  <r>
    <x v="8"/>
    <x v="8"/>
    <s v="C:\Users\andre\Desktop\REACTIV CEFAS\Anastrozole\Anastrozole/20201125_Cefas_Test7_Run2/Plate 1/@4/H4_02.tif "/>
    <s v=" 10966.3566 "/>
    <s v=" 35.8876 "/>
    <x v="0"/>
    <n v="393556"/>
    <m/>
    <m/>
  </r>
  <r>
    <x v="8"/>
    <x v="8"/>
    <s v="C:\Users\andre\Desktop\REACTIV CEFAS\Anastrozole\Anastrozole/20201125_Cefas_Test7_Run2/Plate 1/@4/H4_03.tif "/>
    <s v=" 13821.5027 "/>
    <s v=" 39.5196 "/>
    <x v="0"/>
    <n v="546220"/>
    <m/>
    <m/>
  </r>
  <r>
    <x v="0"/>
    <x v="0"/>
    <s v=" "/>
    <m/>
    <m/>
    <x v="1"/>
    <m/>
    <m/>
    <m/>
  </r>
  <r>
    <x v="0"/>
    <x v="0"/>
    <s v="group "/>
    <s v=" "/>
    <s v=" mean of mean fluo "/>
    <x v="2"/>
    <s v=" mean of total fluo "/>
    <s v=" SD total fluo "/>
    <m/>
  </r>
  <r>
    <x v="8"/>
    <x v="9"/>
    <s v="C:\Users\andre\Desktop\REACTIV CEFAS\Anastrozole\Anastrozole/20201125_Cefas_Test7_Run2/Plate 1/@4/ "/>
    <s v=" "/>
    <s v=" 35.6135 "/>
    <x v="10"/>
    <s v=" 723845.333 "/>
    <s v=" 681247.563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Anastrozole\Anastrozole/20201125_Cefas_Test7_Run2/Plate 1/@5/A5_01.tif "/>
    <s v=" 62769.9542 "/>
    <s v=" 43.948 "/>
    <x v="0"/>
    <n v="2758612"/>
    <m/>
    <m/>
  </r>
  <r>
    <x v="9"/>
    <x v="1"/>
    <s v="C:\Users\andre\Desktop\REACTIV CEFAS\Anastrozole\Anastrozole/20201125_Cefas_Test7_Run2/Plate 1/@5/A5_02.tif "/>
    <s v=" 58227.6763 "/>
    <s v=" 40.3804 "/>
    <x v="0"/>
    <n v="2351256"/>
    <m/>
    <m/>
  </r>
  <r>
    <x v="9"/>
    <x v="1"/>
    <s v="C:\Users\andre\Desktop\REACTIV CEFAS\Anastrozole\Anastrozole/20201125_Cefas_Test7_Run2/Plate 1/@5/A5_03.tif "/>
    <s v=" 55156.2313 "/>
    <s v=" 43.2216 "/>
    <x v="0"/>
    <n v="2383939"/>
    <m/>
    <m/>
  </r>
  <r>
    <x v="9"/>
    <x v="2"/>
    <s v="C:\Users\andre\Desktop\REACTIV CEFAS\Anastrozole\Anastrozole/20201125_Cefas_Test7_Run2/Plate 1/@5/B5_01.tif "/>
    <s v=" 32315.0626 "/>
    <s v=" 37.4177 "/>
    <x v="0"/>
    <n v="1209154"/>
    <m/>
    <m/>
  </r>
  <r>
    <x v="9"/>
    <x v="2"/>
    <s v="C:\Users\andre\Desktop\REACTIV CEFAS\Anastrozole\Anastrozole/20201125_Cefas_Test7_Run2/Plate 1/@5/B5_02.tif "/>
    <s v=" 36359.8529 "/>
    <s v=" 36.5776 "/>
    <x v="0"/>
    <n v="1329957"/>
    <m/>
    <m/>
  </r>
  <r>
    <x v="9"/>
    <x v="2"/>
    <s v="C:\Users\andre\Desktop\REACTIV CEFAS\Anastrozole\Anastrozole/20201125_Cefas_Test7_Run2/Plate 1/@5/B5_03.tif "/>
    <s v=" 43108.38 "/>
    <s v=" 35.8294 "/>
    <x v="0"/>
    <n v="1544548"/>
    <m/>
    <m/>
  </r>
  <r>
    <x v="9"/>
    <x v="3"/>
    <s v="C:\Users\andre\Desktop\REACTIV CEFAS\Anastrozole\Anastrozole/20201125_Cefas_Test7_Run2/Plate 1/@5/C5_01- exclu.tif"/>
    <m/>
    <m/>
    <x v="1"/>
    <m/>
    <m/>
    <m/>
  </r>
  <r>
    <x v="9"/>
    <x v="3"/>
    <s v="C:\Users\andre\Desktop\REACTIV CEFAS\Anastrozole\Anastrozole/20201125_Cefas_Test7_Run2/Plate 1/@5/C5_02- exclu.tif"/>
    <m/>
    <m/>
    <x v="1"/>
    <m/>
    <m/>
    <m/>
  </r>
  <r>
    <x v="9"/>
    <x v="3"/>
    <s v="C:\Users\andre\Desktop\REACTIV CEFAS\Anastrozole\Anastrozole/20201125_Cefas_Test7_Run2/Plate 1/@5/C5_03- exclu.tif"/>
    <m/>
    <m/>
    <x v="1"/>
    <m/>
    <m/>
    <m/>
  </r>
  <r>
    <x v="9"/>
    <x v="4"/>
    <s v="C:\Users\andre\Desktop\REACTIV CEFAS\Anastrozole\Anastrozole/20201125_Cefas_Test7_Run2/Plate 1/@5/D5_01.tif "/>
    <s v=" 55394.1601 "/>
    <s v=" 38.0894 "/>
    <x v="0"/>
    <n v="2109931"/>
    <m/>
    <m/>
  </r>
  <r>
    <x v="9"/>
    <x v="4"/>
    <s v="C:\Users\andre\Desktop\REACTIV CEFAS\Anastrozole\Anastrozole/20201125_Cefas_Test7_Run2/Plate 1/@5/D5_02.tif "/>
    <s v=" 47282.9497 "/>
    <s v=" 39.0206 "/>
    <x v="0"/>
    <n v="1845008"/>
    <m/>
    <m/>
  </r>
  <r>
    <x v="9"/>
    <x v="4"/>
    <s v="C:\Users\andre\Desktop\REACTIV CEFAS\Anastrozole\Anastrozole/20201125_Cefas_Test7_Run2/Plate 1/@5/D5_03.tif "/>
    <s v=" 47326.2094 "/>
    <s v=" 37.3167 "/>
    <x v="0"/>
    <n v="1766059"/>
    <m/>
    <m/>
  </r>
  <r>
    <x v="9"/>
    <x v="5"/>
    <s v="C:\Users\andre\Desktop\REACTIV CEFAS\Anastrozole\Anastrozole/20201125_Cefas_Test7_Run2/Plate 1/@5/E5_01.tif "/>
    <s v=" 48018.3661 "/>
    <s v=" 38.0378 "/>
    <x v="0"/>
    <n v="1826515"/>
    <m/>
    <m/>
  </r>
  <r>
    <x v="9"/>
    <x v="5"/>
    <s v="C:\Users\andre\Desktop\REACTIV CEFAS\Anastrozole\Anastrozole/20201125_Cefas_Test7_Run2/Plate 1/@5/E5_02.tif "/>
    <s v=" 43324.6789 "/>
    <s v=" 35.8183 "/>
    <x v="0"/>
    <n v="1551815"/>
    <m/>
    <m/>
  </r>
  <r>
    <x v="9"/>
    <x v="5"/>
    <s v="C:\Users\andre\Desktop\REACTIV CEFAS\Anastrozole\Anastrozole/20201125_Cefas_Test7_Run2/Plate 1/@5/E5_03.tif "/>
    <s v=" 42524.3728 "/>
    <s v=" 35.4736 "/>
    <x v="0"/>
    <n v="1508490"/>
    <m/>
    <m/>
  </r>
  <r>
    <x v="9"/>
    <x v="6"/>
    <s v="C:\Users\andre\Desktop\REACTIV CEFAS\Anastrozole\Anastrozole/20201125_Cefas_Test7_Run2/Plate 1/@5/F5_01.tif "/>
    <s v=" 37052.0095 "/>
    <s v=" 37.5902 "/>
    <x v="0"/>
    <n v="1392792"/>
    <m/>
    <m/>
  </r>
  <r>
    <x v="9"/>
    <x v="6"/>
    <s v="C:\Users\andre\Desktop\REACTIV CEFAS\Anastrozole\Anastrozole/20201125_Cefas_Test7_Run2/Plate 1/@5/F5_02- exclu.tif"/>
    <m/>
    <m/>
    <x v="1"/>
    <m/>
    <m/>
    <m/>
  </r>
  <r>
    <x v="9"/>
    <x v="6"/>
    <s v="C:\Users\andre\Desktop\REACTIV CEFAS\Anastrozole\Anastrozole/20201125_Cefas_Test7_Run2/Plate 1/@5/F5_03.tif "/>
    <s v=" 42632.5223 "/>
    <s v=" 38.4216 "/>
    <x v="0"/>
    <n v="1638010"/>
    <m/>
    <m/>
  </r>
  <r>
    <x v="9"/>
    <x v="7"/>
    <s v="C:\Users\andre\Desktop\REACTIV CEFAS\Anastrozole\Anastrozole/20201125_Cefas_Test7_Run2/Plate 1/@5/G5_01.tif "/>
    <s v=" 34953.9097 "/>
    <s v=" 34.409 "/>
    <x v="0"/>
    <n v="1202730"/>
    <m/>
    <m/>
  </r>
  <r>
    <x v="9"/>
    <x v="7"/>
    <s v="C:\Users\andre\Desktop\REACTIV CEFAS\Anastrozole\Anastrozole/20201125_Cefas_Test7_Run2/Plate 1/@5/G5_02.tif "/>
    <s v=" 14967.8871 "/>
    <s v=" 31.8728 "/>
    <x v="0"/>
    <n v="477069"/>
    <m/>
    <m/>
  </r>
  <r>
    <x v="9"/>
    <x v="7"/>
    <s v="C:\Users\andre\Desktop\REACTIV CEFAS\Anastrozole\Anastrozole/20201125_Cefas_Test7_Run2/Plate 1/@5/G5_03.tif "/>
    <s v=" 21759.674 "/>
    <s v=" 34.2087 "/>
    <x v="0"/>
    <n v="744371"/>
    <m/>
    <m/>
  </r>
  <r>
    <x v="9"/>
    <x v="8"/>
    <s v="C:\Users\andre\Desktop\REACTIV CEFAS\Anastrozole\Anastrozole/20201125_Cefas_Test7_Run2/Plate 1/@5/H5_01.tif "/>
    <s v=" 75098.9942 "/>
    <s v=" 39.6604 "/>
    <x v="0"/>
    <n v="2978458"/>
    <m/>
    <m/>
  </r>
  <r>
    <x v="9"/>
    <x v="8"/>
    <s v="C:\Users\andre\Desktop\REACTIV CEFAS\Anastrozole\Anastrozole/20201125_Cefas_Test7_Run2/Plate 1/@5/H5_02.tif "/>
    <s v=" 76829.3857 "/>
    <s v=" 41.0909 "/>
    <x v="0"/>
    <n v="3156991"/>
    <m/>
    <m/>
  </r>
  <r>
    <x v="9"/>
    <x v="8"/>
    <s v="C:\Users\andre\Desktop\REACTIV CEFAS\Anastrozole\Anastrozole/20201125_Cefas_Test7_Run2/Plate 1/@5/H5_03.tif "/>
    <s v=" 62423.8759 "/>
    <s v=" 37.9615 "/>
    <x v="0"/>
    <n v="2369706"/>
    <m/>
    <m/>
  </r>
  <r>
    <x v="0"/>
    <x v="0"/>
    <s v=" "/>
    <m/>
    <m/>
    <x v="1"/>
    <m/>
    <m/>
    <m/>
  </r>
  <r>
    <x v="0"/>
    <x v="0"/>
    <s v="group "/>
    <s v=" "/>
    <s v=" mean of mean fluo "/>
    <x v="2"/>
    <s v=" mean of total fluo "/>
    <s v=" SD total fluo "/>
    <m/>
  </r>
  <r>
    <x v="9"/>
    <x v="9"/>
    <s v="C:\Users\andre\Desktop\REACTIV CEFAS\Anastrozole\Anastrozole/20201125_Cefas_Test7_Run2/Plate 1/@5/ "/>
    <s v=" "/>
    <s v=" 34.8357 "/>
    <x v="11"/>
    <s v=" 1587408.83 "/>
    <s v=" 841427.826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Anastrozole\Anastrozole/20201125_Cefas_Test7_Run2/Plate 1/@6/A6_01.tif "/>
    <s v=" 14794.8479 "/>
    <s v=" 37.3947 "/>
    <x v="0"/>
    <n v="553249"/>
    <m/>
    <m/>
  </r>
  <r>
    <x v="10"/>
    <x v="1"/>
    <s v="C:\Users\andre\Desktop\REACTIV CEFAS\Anastrozole\Anastrozole/20201125_Cefas_Test7_Run2/Plate 1/@6/A6_02.tif "/>
    <s v=" 6770.157 "/>
    <s v=" 34.508 "/>
    <x v="0"/>
    <n v="233624"/>
    <m/>
    <m/>
  </r>
  <r>
    <x v="10"/>
    <x v="1"/>
    <s v="C:\Users\andre\Desktop\REACTIV CEFAS\Anastrozole\Anastrozole/20201125_Cefas_Test7_Run2/Plate 1/@6/A6_03.tif "/>
    <s v=" 8868.2568 "/>
    <s v=" 34.661 "/>
    <x v="0"/>
    <n v="307382"/>
    <m/>
    <m/>
  </r>
  <r>
    <x v="10"/>
    <x v="2"/>
    <s v="C:\Users\andre\Desktop\REACTIV CEFAS\Anastrozole\Anastrozole/20201125_Cefas_Test7_Run2/Plate 1/@6/B6_01.tif "/>
    <s v=" 79662.9019 "/>
    <s v=" 43.7203 "/>
    <x v="0"/>
    <n v="3482889"/>
    <m/>
    <m/>
  </r>
  <r>
    <x v="10"/>
    <x v="2"/>
    <s v="C:\Users\andre\Desktop\REACTIV CEFAS\Anastrozole\Anastrozole/20201125_Cefas_Test7_Run2/Plate 1/@6/B6_02.tif "/>
    <s v=" 69929.4493 "/>
    <s v=" 43.6421 "/>
    <x v="0"/>
    <n v="3051870"/>
    <m/>
    <m/>
  </r>
  <r>
    <x v="10"/>
    <x v="2"/>
    <s v="C:\Users\andre\Desktop\REACTIV CEFAS\Anastrozole\Anastrozole/20201125_Cefas_Test7_Run2/Plate 1/@6/B6_03.tif "/>
    <s v=" 71789.6203 "/>
    <s v=" 42.1657 "/>
    <x v="0"/>
    <n v="3027060"/>
    <m/>
    <m/>
  </r>
  <r>
    <x v="10"/>
    <x v="3"/>
    <s v="C:\Users\andre\Desktop\REACTIV CEFAS\Anastrozole\Anastrozole/20201125_Cefas_Test7_Run2/Plate 1/@6/C6_01.tif "/>
    <s v=" 37527.8672 "/>
    <s v=" 43.1879 "/>
    <x v="0"/>
    <n v="1620750"/>
    <m/>
    <m/>
  </r>
  <r>
    <x v="10"/>
    <x v="3"/>
    <s v="C:\Users\andre\Desktop\REACTIV CEFAS\Anastrozole\Anastrozole/20201125_Cefas_Test7_Run2/Plate 1/@6/C6_02.tif "/>
    <s v=" 36900.6002 "/>
    <s v=" 43.9631 "/>
    <x v="0"/>
    <n v="1622264"/>
    <m/>
    <m/>
  </r>
  <r>
    <x v="10"/>
    <x v="3"/>
    <s v="C:\Users\andre\Desktop\REACTIV CEFAS\Anastrozole\Anastrozole/20201125_Cefas_Test7_Run2/Plate 1/@6/C6_03.tif "/>
    <s v=" 42805.5615 "/>
    <s v=" 42.4275 "/>
    <x v="0"/>
    <n v="1816132"/>
    <m/>
    <m/>
  </r>
  <r>
    <x v="10"/>
    <x v="4"/>
    <s v="C:\Users\andre\Desktop\REACTIV CEFAS\Anastrozole\Anastrozole/20201125_Cefas_Test7_Run2/Plate 1/@6/D6_01.tif "/>
    <s v=" 44622.4726 "/>
    <s v=" 36.2574 "/>
    <x v="0"/>
    <n v="1617894"/>
    <m/>
    <m/>
  </r>
  <r>
    <x v="10"/>
    <x v="4"/>
    <s v="C:\Users\andre\Desktop\REACTIV CEFAS\Anastrozole\Anastrozole/20201125_Cefas_Test7_Run2/Plate 1/@6/D6_02.tif "/>
    <s v=" 50159.7256 "/>
    <s v=" 39.1259 "/>
    <x v="0"/>
    <n v="1962545"/>
    <m/>
    <m/>
  </r>
  <r>
    <x v="10"/>
    <x v="4"/>
    <s v="C:\Users\andre\Desktop\REACTIV CEFAS\Anastrozole\Anastrozole/20201125_Cefas_Test7_Run2/Plate 1/@6/D6_03.tif "/>
    <s v=" 19207.3464 "/>
    <s v=" 33.4583 "/>
    <x v="0"/>
    <n v="642646"/>
    <m/>
    <m/>
  </r>
  <r>
    <x v="10"/>
    <x v="5"/>
    <s v="C:\Users\andre\Desktop\REACTIV CEFAS\Anastrozole\Anastrozole/20201125_Cefas_Test7_Run2/Plate 1/@6/E6_01.tif "/>
    <s v=" 60412.2957 "/>
    <s v=" 43.1078 "/>
    <x v="0"/>
    <n v="2604239"/>
    <m/>
    <m/>
  </r>
  <r>
    <x v="10"/>
    <x v="5"/>
    <s v="C:\Users\andre\Desktop\REACTIV CEFAS\Anastrozole\Anastrozole/20201125_Cefas_Test7_Run2/Plate 1/@6/E6_02- exclu.tif"/>
    <m/>
    <m/>
    <x v="1"/>
    <m/>
    <m/>
    <m/>
  </r>
  <r>
    <x v="10"/>
    <x v="5"/>
    <s v="C:\Users\andre\Desktop\REACTIV CEFAS\Anastrozole\Anastrozole/20201125_Cefas_Test7_Run2/Plate 1/@6/E6_03.tif "/>
    <s v=" 77564.8021 "/>
    <s v=" 47.7931 "/>
    <x v="0"/>
    <n v="3707061"/>
    <m/>
    <m/>
  </r>
  <r>
    <x v="10"/>
    <x v="6"/>
    <s v="C:\Users\andre\Desktop\REACTIV CEFAS\Anastrozole\Anastrozole/20201125_Cefas_Test7_Run2/Plate 1/@6/F6_01.tif "/>
    <s v=" 64219.1572 "/>
    <s v=" 42.6278 "/>
    <x v="0"/>
    <n v="2737523"/>
    <m/>
    <m/>
  </r>
  <r>
    <x v="10"/>
    <x v="6"/>
    <s v="C:\Users\andre\Desktop\REACTIV CEFAS\Anastrozole\Anastrozole/20201125_Cefas_Test7_Run2/Plate 1/@6/F6_02.tif "/>
    <s v=" 63873.0788 "/>
    <s v=" 43.3207 "/>
    <x v="0"/>
    <n v="2767026"/>
    <m/>
    <m/>
  </r>
  <r>
    <x v="10"/>
    <x v="6"/>
    <s v="C:\Users\andre\Desktop\REACTIV CEFAS\Anastrozole\Anastrozole/20201125_Cefas_Test7_Run2/Plate 1/@6/F6_03.tif "/>
    <s v=" 63570.2603 "/>
    <s v=" 42.8704 "/>
    <x v="0"/>
    <n v="2725280"/>
    <m/>
    <m/>
  </r>
  <r>
    <x v="10"/>
    <x v="7"/>
    <s v="C:\Users\andre\Desktop\REACTIV CEFAS\Anastrozole\Anastrozole/20201125_Cefas_Test7_Run2/Plate 1/@6/G6_01.tif "/>
    <s v=" 40469.5329 "/>
    <s v=" 44.3025 "/>
    <x v="0"/>
    <n v="1792902"/>
    <m/>
    <m/>
  </r>
  <r>
    <x v="10"/>
    <x v="7"/>
    <s v="C:\Users\andre\Desktop\REACTIV CEFAS\Anastrozole\Anastrozole/20201125_Cefas_Test7_Run2/Plate 1/@6/G6_02.tif "/>
    <s v=" 42026.8853 "/>
    <s v=" 48.5409 "/>
    <x v="0"/>
    <n v="2040024"/>
    <m/>
    <m/>
  </r>
  <r>
    <x v="10"/>
    <x v="7"/>
    <s v="C:\Users\andre\Desktop\REACTIV CEFAS\Anastrozole\Anastrozole/20201125_Cefas_Test7_Run2/Plate 1/@6/G6_03.tif "/>
    <s v=" 37571.127 "/>
    <s v=" 44.1952 "/>
    <x v="0"/>
    <n v="1660462"/>
    <m/>
    <m/>
  </r>
  <r>
    <x v="10"/>
    <x v="8"/>
    <s v="C:\Users\andre\Desktop\REACTIV CEFAS\Anastrozole\Anastrozole/20201125_Cefas_Test7_Run2/Plate 1/@6/H6_01.tif "/>
    <s v=" 65473.691 "/>
    <s v=" 39.1658 "/>
    <x v="0"/>
    <n v="2564332"/>
    <m/>
    <m/>
  </r>
  <r>
    <x v="10"/>
    <x v="8"/>
    <s v="C:\Users\andre\Desktop\REACTIV CEFAS\Anastrozole\Anastrozole/20201125_Cefas_Test7_Run2/Plate 1/@6/H6_02.tif "/>
    <s v=" 68177.4279 "/>
    <s v=" 40.1129 "/>
    <x v="0"/>
    <n v="2734797"/>
    <m/>
    <m/>
  </r>
  <r>
    <x v="10"/>
    <x v="8"/>
    <s v="C:\Users\andre\Desktop\REACTIV CEFAS\Anastrozole\Anastrozole/20201125_Cefas_Test7_Run2/Plate 1/@6/H6_03.tif "/>
    <s v=" 56843.3631 "/>
    <s v=" 38.3116 "/>
    <x v="0"/>
    <n v="2177763"/>
    <m/>
    <m/>
  </r>
  <r>
    <x v="0"/>
    <x v="0"/>
    <s v=" "/>
    <m/>
    <m/>
    <x v="1"/>
    <m/>
    <m/>
    <m/>
  </r>
  <r>
    <x v="0"/>
    <x v="0"/>
    <s v="group "/>
    <s v=" "/>
    <s v=" mean of mean fluo "/>
    <x v="2"/>
    <s v=" mean of total fluo "/>
    <s v=" SD total fluo "/>
    <m/>
  </r>
  <r>
    <x v="10"/>
    <x v="9"/>
    <s v="C:\Users\andre\Desktop\REACTIV CEFAS\Anastrozole\Anastrozole/20201125_Cefas_Test7_Run2/Plate 1/@6/ "/>
    <s v=" "/>
    <s v=" 41.121 "/>
    <x v="12"/>
    <s v=" 2061520.83 "/>
    <s v=" 947436.581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Anastrozole\Anastrozole/20201125_Cefas_Test7_Run2/Plate 1/@7/A7_01.tif "/>
    <s v=" 86000.461 "/>
    <s v=" 56.7558 "/>
    <x v="0"/>
    <n v="4881024"/>
    <m/>
    <m/>
  </r>
  <r>
    <x v="11"/>
    <x v="1"/>
    <s v="C:\Users\andre\Desktop\REACTIV CEFAS\Anastrozole\Anastrozole/20201125_Cefas_Test7_Run2/Plate 1/@7/A7_02.tif "/>
    <s v=" 85221.7848 "/>
    <s v=" 54.5635 "/>
    <x v="0"/>
    <n v="4649995"/>
    <m/>
    <m/>
  </r>
  <r>
    <x v="11"/>
    <x v="1"/>
    <s v="C:\Users\andre\Desktop\REACTIV CEFAS\Anastrozole\Anastrozole/20201125_Cefas_Test7_Run2/Plate 1/@7/A7_03.tif "/>
    <s v=" 82193.5996 "/>
    <s v=" 54.6979 "/>
    <x v="0"/>
    <n v="4495817"/>
    <m/>
    <m/>
  </r>
  <r>
    <x v="11"/>
    <x v="2"/>
    <s v="C:\Users\andre\Desktop\REACTIV CEFAS\Anastrozole\Anastrozole/20201125_Cefas_Test7_Run2/Plate 1/@7/B7_01- exclu.tif"/>
    <m/>
    <m/>
    <x v="1"/>
    <m/>
    <m/>
    <m/>
  </r>
  <r>
    <x v="11"/>
    <x v="2"/>
    <s v="C:\Users\andre\Desktop\REACTIV CEFAS\Anastrozole\Anastrozole/20201125_Cefas_Test7_Run2/Plate 1/@7/B7_02- exclu.tif"/>
    <m/>
    <m/>
    <x v="1"/>
    <m/>
    <m/>
    <m/>
  </r>
  <r>
    <x v="11"/>
    <x v="2"/>
    <s v="C:\Users\andre\Desktop\REACTIV CEFAS\Anastrozole\Anastrozole/20201125_Cefas_Test7_Run2/Plate 1/@7/B7_03- exclu.tif"/>
    <m/>
    <m/>
    <x v="1"/>
    <m/>
    <m/>
    <m/>
  </r>
  <r>
    <x v="11"/>
    <x v="3"/>
    <s v="C:\Users\andre\Desktop\REACTIV CEFAS\Anastrozole\Anastrozole/20201125_Cefas_Test7_Run2/Plate 1/@7/C7_01.tif "/>
    <s v=" 66749.8548 "/>
    <s v=" 54.7168 "/>
    <x v="0"/>
    <n v="3652337"/>
    <m/>
    <m/>
  </r>
  <r>
    <x v="11"/>
    <x v="3"/>
    <s v="C:\Users\andre\Desktop\REACTIV CEFAS\Anastrozole\Anastrozole/20201125_Cefas_Test7_Run2/Plate 1/@7/C7_02.tif "/>
    <s v=" 73563.2716 "/>
    <s v=" 51.6442 "/>
    <x v="0"/>
    <n v="3799118"/>
    <m/>
    <m/>
  </r>
  <r>
    <x v="11"/>
    <x v="3"/>
    <s v="C:\Users\andre\Desktop\REACTIV CEFAS\Anastrozole\Anastrozole/20201125_Cefas_Test7_Run2/Plate 1/@7/C7_03.tif "/>
    <s v=" 64543.6056 "/>
    <s v=" 54.0697 "/>
    <x v="0"/>
    <n v="3489854"/>
    <m/>
    <m/>
  </r>
  <r>
    <x v="11"/>
    <x v="4"/>
    <s v="C:\Users\andre\Desktop\REACTIV CEFAS\Anastrozole\Anastrozole/20201125_Cefas_Test7_Run2/Plate 1/@7/D7_01.tif "/>
    <s v=" 58379.0856 "/>
    <s v=" 55.0582 "/>
    <x v="0"/>
    <n v="3214246"/>
    <m/>
    <m/>
  </r>
  <r>
    <x v="11"/>
    <x v="4"/>
    <s v="C:\Users\andre\Desktop\REACTIV CEFAS\Anastrozole\Anastrozole/20201125_Cefas_Test7_Run2/Plate 1/@7/D7_02.tif "/>
    <s v=" 61234.2317 "/>
    <s v=" 59.5878 "/>
    <x v="0"/>
    <n v="3648812"/>
    <m/>
    <m/>
  </r>
  <r>
    <x v="11"/>
    <x v="4"/>
    <s v="C:\Users\andre\Desktop\REACTIV CEFAS\Anastrozole\Anastrozole/20201125_Cefas_Test7_Run2/Plate 1/@7/D7_03.tif "/>
    <s v=" 56302.6157 "/>
    <s v=" 53.2516 "/>
    <x v="0"/>
    <n v="2998206"/>
    <m/>
    <m/>
  </r>
  <r>
    <x v="11"/>
    <x v="5"/>
    <s v="C:\Users\andre\Desktop\REACTIV CEFAS\Anastrozole\Anastrozole/20201125_Cefas_Test7_Run2/Plate 1/@7/E7_01.tif "/>
    <s v=" 85632.7528 "/>
    <s v=" 56.2064 "/>
    <x v="0"/>
    <n v="4813106"/>
    <m/>
    <m/>
  </r>
  <r>
    <x v="11"/>
    <x v="5"/>
    <s v="C:\Users\andre\Desktop\REACTIV CEFAS\Anastrozole\Anastrozole/20201125_Cefas_Test7_Run2/Plate 1/@7/E7_02.tif "/>
    <s v=" 86411.429 "/>
    <s v=" 61.4711 "/>
    <x v="0"/>
    <n v="5311805"/>
    <m/>
    <m/>
  </r>
  <r>
    <x v="11"/>
    <x v="5"/>
    <s v="C:\Users\andre\Desktop\REACTIV CEFAS\Anastrozole\Anastrozole/20201125_Cefas_Test7_Run2/Plate 1/@7/E7_03.tif "/>
    <s v=" 78148.8093 "/>
    <s v=" 57.1143 "/>
    <x v="0"/>
    <n v="4463415"/>
    <m/>
    <m/>
  </r>
  <r>
    <x v="11"/>
    <x v="6"/>
    <s v="C:\Users\andre\Desktop\REACTIV CEFAS\Anastrozole\Anastrozole/20201125_Cefas_Test7_Run2/Plate 1/@7/F7_01.tif "/>
    <s v=" 47542.5084 "/>
    <s v=" 53.3385 "/>
    <x v="0"/>
    <n v="2535846"/>
    <m/>
    <m/>
  </r>
  <r>
    <x v="11"/>
    <x v="6"/>
    <s v="C:\Users\andre\Desktop\REACTIV CEFAS\Anastrozole\Anastrozole/20201125_Cefas_Test7_Run2/Plate 1/@7/F7_02.tif "/>
    <s v=" 44644.1025 "/>
    <s v=" 52.3304 "/>
    <x v="0"/>
    <n v="2336245"/>
    <m/>
    <m/>
  </r>
  <r>
    <x v="11"/>
    <x v="6"/>
    <s v="C:\Users\andre\Desktop\REACTIV CEFAS\Anastrozole\Anastrozole/20201125_Cefas_Test7_Run2/Plate 1/@7/F7_03.tif "/>
    <s v=" 49986.6865 "/>
    <s v=" 55.2627 "/>
    <x v="0"/>
    <n v="2762397"/>
    <m/>
    <m/>
  </r>
  <r>
    <x v="11"/>
    <x v="7"/>
    <s v="C:\Users\andre\Desktop\REACTIV CEFAS\Anastrozole\Anastrozole/20201125_Cefas_Test7_Run2/Plate 1/@7/G7_01.tif "/>
    <s v=" 66858.0043 "/>
    <s v=" 60.8651 "/>
    <x v="0"/>
    <n v="4069319"/>
    <m/>
    <m/>
  </r>
  <r>
    <x v="11"/>
    <x v="7"/>
    <s v="C:\Users\andre\Desktop\REACTIV CEFAS\Anastrozole\Anastrozole/20201125_Cefas_Test7_Run2/Plate 1/@7/G7_02.tif "/>
    <s v=" 62683.4346 "/>
    <s v=" 63.4275 "/>
    <x v="0"/>
    <n v="3975856"/>
    <m/>
    <m/>
  </r>
  <r>
    <x v="11"/>
    <x v="7"/>
    <s v="C:\Users\andre\Desktop\REACTIV CEFAS\Anastrozole\Anastrozole/20201125_Cefas_Test7_Run2/Plate 1/@7/G7_03.tif "/>
    <s v=" 69042.6237 "/>
    <s v=" 59.8725 "/>
    <x v="0"/>
    <n v="4133754"/>
    <m/>
    <m/>
  </r>
  <r>
    <x v="11"/>
    <x v="8"/>
    <s v="C:\Users\andre\Desktop\REACTIV CEFAS\Anastrozole\Anastrozole/20201125_Cefas_Test7_Run2/Plate 1/@7/H7_01.tif "/>
    <s v=" 61731.7193 "/>
    <s v=" 59.3563 "/>
    <x v="0"/>
    <n v="3664169"/>
    <m/>
    <m/>
  </r>
  <r>
    <x v="11"/>
    <x v="8"/>
    <s v="C:\Users\andre\Desktop\REACTIV CEFAS\Anastrozole\Anastrozole/20201125_Cefas_Test7_Run2/Plate 1/@7/H7_02.tif "/>
    <s v=" 66036.0683 "/>
    <s v=" 55.734 "/>
    <x v="0"/>
    <n v="3680456"/>
    <m/>
    <m/>
  </r>
  <r>
    <x v="11"/>
    <x v="8"/>
    <s v="C:\Users\andre\Desktop\REACTIV CEFAS\Anastrozole\Anastrozole/20201125_Cefas_Test7_Run2/Plate 1/@7/H7_03.tif "/>
    <s v=" 57730.1888 "/>
    <s v=" 61.2825 "/>
    <x v="0"/>
    <n v="3537850"/>
    <m/>
    <m/>
  </r>
  <r>
    <x v="0"/>
    <x v="0"/>
    <s v=" "/>
    <m/>
    <m/>
    <x v="1"/>
    <m/>
    <m/>
    <m/>
  </r>
  <r>
    <x v="0"/>
    <x v="0"/>
    <s v="group "/>
    <s v=" "/>
    <s v=" mean of mean fluo "/>
    <x v="2"/>
    <s v=" mean of total fluo "/>
    <s v=" SD total fluo "/>
    <m/>
  </r>
  <r>
    <x v="11"/>
    <x v="9"/>
    <s v="C:\Users\andre\Desktop\REACTIV CEFAS\Anastrozole\Anastrozole/20201125_Cefas_Test7_Run2/Plate 1/@7/ "/>
    <s v=" "/>
    <s v=" 54.1366 "/>
    <x v="13"/>
    <s v=" 3446944.58 "/>
    <s v=" 1236038.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Anastrozole\Anastrozole/20201125_Cefas_Test7_Run2/Plate 2/@10/A4_01.tif "/>
    <s v=" 3698.712 "/>
    <s v=" 33.4561 "/>
    <x v="0"/>
    <n v="123745"/>
    <m/>
    <m/>
  </r>
  <r>
    <x v="12"/>
    <x v="1"/>
    <s v="C:\Users\andre\Desktop\REACTIV CEFAS\Anastrozole\Anastrozole/20201125_Cefas_Test7_Run2/Plate 2/@10/A4_02.tif "/>
    <s v=" 1276.1638 "/>
    <s v=" 32.7458 "/>
    <x v="0"/>
    <n v="41789"/>
    <m/>
    <m/>
  </r>
  <r>
    <x v="12"/>
    <x v="1"/>
    <s v="C:\Users\andre\Desktop\REACTIV CEFAS\Anastrozole\Anastrozole/20201125_Cefas_Test7_Run2/Plate 2/@10/A4_03.tif "/>
    <s v=" 1081.4947 "/>
    <s v=" 32.44 "/>
    <x v="0"/>
    <n v="35084"/>
    <m/>
    <m/>
  </r>
  <r>
    <x v="12"/>
    <x v="2"/>
    <s v="C:\Users\andre\Desktop\REACTIV CEFAS\Anastrozole\Anastrozole/20201125_Cefas_Test7_Run2/Plate 2/@10/B4_01.tif "/>
    <s v=" 5385.8438 "/>
    <s v=" 38.4297 "/>
    <x v="0"/>
    <n v="206976"/>
    <m/>
    <m/>
  </r>
  <r>
    <x v="12"/>
    <x v="2"/>
    <s v="C:\Users\andre\Desktop\REACTIV CEFAS\Anastrozole\Anastrozole/20201125_Cefas_Test7_Run2/Plate 2/@10/B4_02.tif "/>
    <s v=" 6878.3065 "/>
    <s v=" 39.8428 "/>
    <x v="0"/>
    <n v="274051"/>
    <m/>
    <m/>
  </r>
  <r>
    <x v="12"/>
    <x v="2"/>
    <s v="C:\Users\andre\Desktop\REACTIV CEFAS\Anastrozole\Anastrozole/20201125_Cefas_Test7_Run2/Plate 2/@10/B4_03.tif "/>
    <s v=" 4823.4665 "/>
    <s v=" 40.8117 "/>
    <x v="0"/>
    <n v="196854"/>
    <m/>
    <m/>
  </r>
  <r>
    <x v="12"/>
    <x v="3"/>
    <s v="C:\Users\andre\Desktop\REACTIV CEFAS\Anastrozole\Anastrozole/20201125_Cefas_Test7_Run2/Plate 2/@10/C4_01.tif "/>
    <s v=" 605.637 "/>
    <n v="33"/>
    <x v="0"/>
    <n v="19986"/>
    <m/>
    <m/>
  </r>
  <r>
    <x v="12"/>
    <x v="3"/>
    <s v="C:\Users\andre\Desktop\REACTIV CEFAS\Anastrozole\Anastrozole/20201125_Cefas_Test7_Run2/Plate 2/@10/C4_02.tif "/>
    <s v=" 8176.1002 "/>
    <s v=" 37.8704 "/>
    <x v="0"/>
    <n v="309632"/>
    <m/>
    <m/>
  </r>
  <r>
    <x v="12"/>
    <x v="3"/>
    <s v="C:\Users\andre\Desktop\REACTIV CEFAS\Anastrozole\Anastrozole/20201125_Cefas_Test7_Run2/Plate 2/@10/C4_03.tif "/>
    <s v=" 10555.3886 "/>
    <s v=" 42.1107 "/>
    <x v="0"/>
    <n v="444494"/>
    <m/>
    <m/>
  </r>
  <r>
    <x v="12"/>
    <x v="4"/>
    <s v="C:\Users\andre\Desktop\REACTIV CEFAS\Anastrozole\Anastrozole/20201125_Cefas_Test7_Run2/Plate 2/@10/D4_01.tif "/>
    <s v=" 4780.2067 "/>
    <s v=" 36.4072 "/>
    <x v="0"/>
    <n v="174034"/>
    <m/>
    <m/>
  </r>
  <r>
    <x v="12"/>
    <x v="4"/>
    <s v="C:\Users\andre\Desktop\REACTIV CEFAS\Anastrozole\Anastrozole/20201125_Cefas_Test7_Run2/Plate 2/@10/D4_02.tif "/>
    <s v=" 5775.1819 "/>
    <s v=" 34.6554 "/>
    <x v="0"/>
    <n v="200141"/>
    <m/>
    <m/>
  </r>
  <r>
    <x v="12"/>
    <x v="4"/>
    <s v="C:\Users\andre\Desktop\REACTIV CEFAS\Anastrozole\Anastrozole/20201125_Cefas_Test7_Run2/Plate 2/@10/D4_03.tif "/>
    <s v=" 1232.904 "/>
    <s v=" 33.9474 "/>
    <x v="0"/>
    <n v="41854"/>
    <m/>
    <m/>
  </r>
  <r>
    <x v="12"/>
    <x v="5"/>
    <s v="C:\Users\andre\Desktop\REACTIV CEFAS\Anastrozole\Anastrozole/20201125_Cefas_Test7_Run2/Plate 2/@10/E4_01.tif "/>
    <n v="0"/>
    <n v="0"/>
    <x v="0"/>
    <n v="0"/>
    <m/>
    <m/>
  </r>
  <r>
    <x v="12"/>
    <x v="5"/>
    <s v="C:\Users\andre\Desktop\REACTIV CEFAS\Anastrozole\Anastrozole/20201125_Cefas_Test7_Run2/Plate 2/@10/E4_02.tif "/>
    <s v=" 2162.9895 "/>
    <s v=" 33.21 "/>
    <x v="0"/>
    <n v="71833"/>
    <m/>
    <m/>
  </r>
  <r>
    <x v="12"/>
    <x v="5"/>
    <s v="C:\Users\andre\Desktop\REACTIV CEFAS\Anastrozole\Anastrozole/20201125_Cefas_Test7_Run2/Plate 2/@10/E4_03.tif "/>
    <s v=" 2011.5802 "/>
    <s v=" 35.4301 "/>
    <x v="0"/>
    <n v="71271"/>
    <m/>
    <m/>
  </r>
  <r>
    <x v="12"/>
    <x v="6"/>
    <s v="C:\Users\andre\Desktop\REACTIV CEFAS\Anastrozole\Anastrozole/20201125_Cefas_Test7_Run2/Plate 2/@10/F4_01.tif "/>
    <s v=" 4001.5305 "/>
    <s v=" 35.1676 "/>
    <x v="0"/>
    <n v="140724"/>
    <m/>
    <m/>
  </r>
  <r>
    <x v="12"/>
    <x v="6"/>
    <s v="C:\Users\andre\Desktop\REACTIV CEFAS\Anastrozole\Anastrozole/20201125_Cefas_Test7_Run2/Plate 2/@10/F4_02.tif "/>
    <s v=" 2530.6977 "/>
    <s v=" 34.4701 "/>
    <x v="0"/>
    <n v="87233"/>
    <m/>
    <m/>
  </r>
  <r>
    <x v="12"/>
    <x v="6"/>
    <s v="C:\Users\andre\Desktop\REACTIV CEFAS\Anastrozole\Anastrozole/20201125_Cefas_Test7_Run2/Plate 2/@10/F4_03.tif "/>
    <s v=" 584.0072 "/>
    <s v=" 32.7407 "/>
    <x v="0"/>
    <n v="19121"/>
    <m/>
    <m/>
  </r>
  <r>
    <x v="12"/>
    <x v="7"/>
    <s v="C:\Users\andre\Desktop\REACTIV CEFAS\Anastrozole\Anastrozole/20201125_Cefas_Test7_Run2/Plate 2/@10/G4_01.tif "/>
    <s v=" 6099.6303 "/>
    <s v=" 40.117 "/>
    <x v="0"/>
    <n v="244699"/>
    <m/>
    <m/>
  </r>
  <r>
    <x v="12"/>
    <x v="7"/>
    <s v="C:\Users\andre\Desktop\REACTIV CEFAS\Anastrozole\Anastrozole/20201125_Cefas_Test7_Run2/Plate 2/@10/G4_02.tif "/>
    <s v=" 5169.5448 "/>
    <s v=" 42.9079 "/>
    <x v="0"/>
    <n v="221815"/>
    <m/>
    <m/>
  </r>
  <r>
    <x v="12"/>
    <x v="7"/>
    <s v="C:\Users\andre\Desktop\REACTIV CEFAS\Anastrozole\Anastrozole/20201125_Cefas_Test7_Run2/Plate 2/@10/G4_03.tif "/>
    <s v=" 5299.3242 "/>
    <s v=" 38.5551 "/>
    <x v="0"/>
    <n v="204316"/>
    <m/>
    <m/>
  </r>
  <r>
    <x v="12"/>
    <x v="8"/>
    <s v="C:\Users\andre\Desktop\REACTIV CEFAS\Anastrozole\Anastrozole/20201125_Cefas_Test7_Run2/Plate 2/@10/H4_01.tif "/>
    <s v=" 237.9288 "/>
    <s v=" 30.5455 "/>
    <x v="0"/>
    <n v="7268"/>
    <m/>
    <m/>
  </r>
  <r>
    <x v="12"/>
    <x v="8"/>
    <s v="C:\Users\andre\Desktop\REACTIV CEFAS\Anastrozole\Anastrozole/20201125_Cefas_Test7_Run2/Plate 2/@10/H4_02.tif "/>
    <s v=" 670.5267 "/>
    <s v=" 32.0645 "/>
    <x v="0"/>
    <n v="21500"/>
    <m/>
    <m/>
  </r>
  <r>
    <x v="12"/>
    <x v="8"/>
    <s v="C:\Users\andre\Desktop\REACTIV CEFAS\Anastrozole\Anastrozole/20201125_Cefas_Test7_Run2/Plate 2/@10/H4_03.tif "/>
    <s v=" 2422.5482 "/>
    <s v=" 33.5625 "/>
    <x v="0"/>
    <n v="81307"/>
    <m/>
    <m/>
  </r>
  <r>
    <x v="0"/>
    <x v="0"/>
    <s v=" "/>
    <m/>
    <m/>
    <x v="1"/>
    <m/>
    <m/>
    <m/>
  </r>
  <r>
    <x v="0"/>
    <x v="0"/>
    <s v="group "/>
    <s v=" "/>
    <s v=" mean of mean fluo "/>
    <x v="2"/>
    <s v=" mean of total fluo "/>
    <s v=" SD total fluo "/>
    <m/>
  </r>
  <r>
    <x v="12"/>
    <x v="9"/>
    <s v="C:\Users\andre\Desktop\REACTIV CEFAS\Anastrozole\Anastrozole/20201125_Cefas_Test7_Run2/Plate 2/@10/ "/>
    <s v=" "/>
    <s v=" 34.3537 "/>
    <x v="14"/>
    <s v=" 134988.625 "/>
    <s v=" 114125.981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Anastrozole\Anastrozole/20201125_Cefas_Test7_Run2/Plate 2/@11/A5_01.tif "/>
    <s v=" 1968.3204 "/>
    <s v=" 32.8242 "/>
    <x v="0"/>
    <n v="64608"/>
    <m/>
    <m/>
  </r>
  <r>
    <x v="13"/>
    <x v="1"/>
    <s v="C:\Users\andre\Desktop\REACTIV CEFAS\Anastrozole\Anastrozole/20201125_Cefas_Test7_Run2/Plate 2/@11/A5_02.tif "/>
    <s v=" 5926.5911 "/>
    <s v=" 35.2445 "/>
    <x v="0"/>
    <n v="208880"/>
    <m/>
    <m/>
  </r>
  <r>
    <x v="13"/>
    <x v="1"/>
    <s v="C:\Users\andre\Desktop\REACTIV CEFAS\Anastrozole\Anastrozole/20201125_Cefas_Test7_Run2/Plate 2/@11/A5_03.tif "/>
    <s v=" 3850.1212 "/>
    <s v=" 36.8483 "/>
    <x v="0"/>
    <n v="141870"/>
    <m/>
    <m/>
  </r>
  <r>
    <x v="13"/>
    <x v="2"/>
    <s v="C:\Users\andre\Desktop\REACTIV CEFAS\Anastrozole\Anastrozole/20201125_Cefas_Test7_Run2/Plate 2/@11/B5_01.tif "/>
    <s v=" 4563.9078 "/>
    <s v=" 35.6256 "/>
    <x v="0"/>
    <n v="162592"/>
    <m/>
    <m/>
  </r>
  <r>
    <x v="13"/>
    <x v="2"/>
    <s v="C:\Users\andre\Desktop\REACTIV CEFAS\Anastrozole\Anastrozole/20201125_Cefas_Test7_Run2/Plate 2/@11/B5_02- exclu.tif"/>
    <m/>
    <m/>
    <x v="1"/>
    <m/>
    <m/>
    <m/>
  </r>
  <r>
    <x v="13"/>
    <x v="2"/>
    <s v="C:\Users\andre\Desktop\REACTIV CEFAS\Anastrozole\Anastrozole/20201125_Cefas_Test7_Run2/Plate 2/@11/B5_03.tif "/>
    <s v=" 3439.1532 "/>
    <s v=" 35.9811 "/>
    <x v="0"/>
    <n v="123745"/>
    <m/>
    <m/>
  </r>
  <r>
    <x v="13"/>
    <x v="3"/>
    <s v="C:\Users\andre\Desktop\REACTIV CEFAS\Anastrozole\Anastrozole/20201125_Cefas_Test7_Run2/Plate 2/@11/C5_01- exclu.tif"/>
    <m/>
    <m/>
    <x v="1"/>
    <m/>
    <m/>
    <m/>
  </r>
  <r>
    <x v="13"/>
    <x v="3"/>
    <s v="C:\Users\andre\Desktop\REACTIV CEFAS\Anastrozole\Anastrozole/20201125_Cefas_Test7_Run2/Plate 2/@11/C5_02- exclu.tif"/>
    <m/>
    <m/>
    <x v="1"/>
    <m/>
    <m/>
    <m/>
  </r>
  <r>
    <x v="13"/>
    <x v="3"/>
    <s v="C:\Users\andre\Desktop\REACTIV CEFAS\Anastrozole\Anastrozole/20201125_Cefas_Test7_Run2/Plate 2/@11/C5_03- exclu.tif"/>
    <m/>
    <m/>
    <x v="1"/>
    <m/>
    <m/>
    <m/>
  </r>
  <r>
    <x v="13"/>
    <x v="4"/>
    <s v="C:\Users\andre\Desktop\REACTIV CEFAS\Anastrozole\Anastrozole/20201125_Cefas_Test7_Run2/Plate 2/@11/D5_01.tif "/>
    <s v=" 5472.3633 "/>
    <s v=" 41.2055 "/>
    <x v="0"/>
    <n v="225492"/>
    <m/>
    <m/>
  </r>
  <r>
    <x v="13"/>
    <x v="4"/>
    <s v="C:\Users\andre\Desktop\REACTIV CEFAS\Anastrozole\Anastrozole/20201125_Cefas_Test7_Run2/Plate 2/@11/D5_02.tif "/>
    <s v=" 10706.7978 "/>
    <s v=" 40.9131 "/>
    <x v="0"/>
    <n v="438049"/>
    <m/>
    <m/>
  </r>
  <r>
    <x v="13"/>
    <x v="4"/>
    <s v="C:\Users\andre\Desktop\REACTIV CEFAS\Anastrozole\Anastrozole/20201125_Cefas_Test7_Run2/Plate 2/@11/D5_03.tif "/>
    <s v=" 10339.0896 "/>
    <s v=" 40.8326 "/>
    <x v="0"/>
    <n v="422172"/>
    <m/>
    <m/>
  </r>
  <r>
    <x v="13"/>
    <x v="5"/>
    <s v="C:\Users\andre\Desktop\REACTIV CEFAS\Anastrozole\Anastrozole/20201125_Cefas_Test7_Run2/Plate 2/@11/E5_01.tif "/>
    <s v=" 3741.9718 "/>
    <s v=" 36.4509 "/>
    <x v="0"/>
    <n v="136398"/>
    <m/>
    <m/>
  </r>
  <r>
    <x v="13"/>
    <x v="5"/>
    <s v="C:\Users\andre\Desktop\REACTIV CEFAS\Anastrozole\Anastrozole/20201125_Cefas_Test7_Run2/Plate 2/@11/E5_02.tif "/>
    <s v=" 3244.4842 "/>
    <s v=" 35.0533 "/>
    <x v="0"/>
    <n v="113730"/>
    <m/>
    <m/>
  </r>
  <r>
    <x v="13"/>
    <x v="5"/>
    <s v="C:\Users\andre\Desktop\REACTIV CEFAS\Anastrozole\Anastrozole/20201125_Cefas_Test7_Run2/Plate 2/@11/E5_03.tif "/>
    <s v=" 3006.5554 "/>
    <s v=" 37.259 "/>
    <x v="0"/>
    <n v="112021"/>
    <m/>
    <m/>
  </r>
  <r>
    <x v="13"/>
    <x v="6"/>
    <s v="C:\Users\andre\Desktop\REACTIV CEFAS\Anastrozole\Anastrozole/20201125_Cefas_Test7_Run2/Plate 2/@11/F5_01.tif "/>
    <s v=" 1211.2741 "/>
    <s v=" 31.6964 "/>
    <x v="0"/>
    <n v="38393"/>
    <m/>
    <m/>
  </r>
  <r>
    <x v="13"/>
    <x v="6"/>
    <s v="C:\Users\andre\Desktop\REACTIV CEFAS\Anastrozole\Anastrozole/20201125_Cefas_Test7_Run2/Plate 2/@11/F5_02.tif "/>
    <s v=" 8305.8795 "/>
    <s v=" 41.0807 "/>
    <x v="0"/>
    <n v="341212"/>
    <m/>
    <m/>
  </r>
  <r>
    <x v="13"/>
    <x v="6"/>
    <s v="C:\Users\andre\Desktop\REACTIV CEFAS\Anastrozole\Anastrozole/20201125_Cefas_Test7_Run2/Plate 2/@11/F5_03.tif "/>
    <s v=" 10036.2711 "/>
    <s v=" 43.7457 "/>
    <x v="0"/>
    <n v="439044"/>
    <m/>
    <m/>
  </r>
  <r>
    <x v="13"/>
    <x v="7"/>
    <s v="C:\Users\andre\Desktop\REACTIV CEFAS\Anastrozole\Anastrozole/20201125_Cefas_Test7_Run2/Plate 2/@11/G5_01.tif "/>
    <s v=" 7116.2353 "/>
    <s v=" 42.304 "/>
    <x v="0"/>
    <n v="301045"/>
    <m/>
    <m/>
  </r>
  <r>
    <x v="13"/>
    <x v="7"/>
    <s v="C:\Users\andre\Desktop\REACTIV CEFAS\Anastrozole\Anastrozole/20201125_Cefas_Test7_Run2/Plate 2/@11/G5_02.tif "/>
    <s v=" 3763.6017 "/>
    <s v=" 39.8966 "/>
    <x v="0"/>
    <n v="150155"/>
    <m/>
    <m/>
  </r>
  <r>
    <x v="13"/>
    <x v="7"/>
    <s v="C:\Users\andre\Desktop\REACTIV CEFAS\Anastrozole\Anastrozole/20201125_Cefas_Test7_Run2/Plate 2/@11/G5_03.tif "/>
    <s v=" 11939.7018 "/>
    <s v=" 42.1141 "/>
    <x v="0"/>
    <n v="502830"/>
    <m/>
    <m/>
  </r>
  <r>
    <x v="13"/>
    <x v="8"/>
    <s v="C:\Users\andre\Desktop\REACTIV CEFAS\Anastrozole\Anastrozole/20201125_Cefas_Test7_Run2/Plate 2/@11/H5_01.tif "/>
    <s v=" 5493.9932 "/>
    <s v=" 39.2244 "/>
    <x v="0"/>
    <n v="215499"/>
    <m/>
    <m/>
  </r>
  <r>
    <x v="13"/>
    <x v="8"/>
    <s v="C:\Users\andre\Desktop\REACTIV CEFAS\Anastrozole\Anastrozole/20201125_Cefas_Test7_Run2/Plate 2/@11/H5_02.tif "/>
    <s v=" 8565.4383 "/>
    <s v=" 38.3409 "/>
    <x v="0"/>
    <n v="328407"/>
    <m/>
    <m/>
  </r>
  <r>
    <x v="13"/>
    <x v="8"/>
    <s v="C:\Users\andre\Desktop\REACTIV CEFAS\Anastrozole\Anastrozole/20201125_Cefas_Test7_Run2/Plate 2/@11/H5_03.tif "/>
    <s v=" 6380.8189 "/>
    <s v=" 37.122 "/>
    <x v="0"/>
    <n v="236869"/>
    <m/>
    <m/>
  </r>
  <r>
    <x v="0"/>
    <x v="0"/>
    <s v=" "/>
    <m/>
    <m/>
    <x v="1"/>
    <m/>
    <m/>
    <m/>
  </r>
  <r>
    <x v="0"/>
    <x v="0"/>
    <s v="group "/>
    <s v=" "/>
    <s v=" mean of mean fluo "/>
    <x v="2"/>
    <s v=" mean of total fluo "/>
    <s v=" SD total fluo "/>
    <m/>
  </r>
  <r>
    <x v="13"/>
    <x v="9"/>
    <s v="C:\Users\andre\Desktop\REACTIV CEFAS\Anastrozole\Anastrozole/20201125_Cefas_Test7_Run2/Plate 2/@11/ "/>
    <s v=" "/>
    <s v=" 38.5756 "/>
    <x v="15"/>
    <s v=" 254417.167 "/>
    <s v=" 153150.131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Anastrozole\Anastrozole/20201125_Cefas_Test7_Run2/Plate 2/@12/A6_01- exclu.tif"/>
    <m/>
    <m/>
    <x v="1"/>
    <m/>
    <m/>
    <m/>
  </r>
  <r>
    <x v="14"/>
    <x v="1"/>
    <s v="C:\Users\andre\Desktop\REACTIV CEFAS\Anastrozole\Anastrozole/20201125_Cefas_Test7_Run2/Plate 2/@12/A6_02- exclu.tif"/>
    <m/>
    <m/>
    <x v="1"/>
    <m/>
    <m/>
    <m/>
  </r>
  <r>
    <x v="14"/>
    <x v="1"/>
    <s v="C:\Users\andre\Desktop\REACTIV CEFAS\Anastrozole\Anastrozole/20201125_Cefas_Test7_Run2/Plate 2/@12/A6_03- exclu.tif"/>
    <m/>
    <m/>
    <x v="1"/>
    <m/>
    <m/>
    <m/>
  </r>
  <r>
    <x v="14"/>
    <x v="2"/>
    <s v="C:\Users\andre\Desktop\REACTIV CEFAS\Anastrozole\Anastrozole/20201125_Cefas_Test7_Run2/Plate 2/@12/B6_01.tif "/>
    <s v=" 6791.7869 "/>
    <s v=" 38.0605 "/>
    <x v="0"/>
    <n v="258499"/>
    <m/>
    <m/>
  </r>
  <r>
    <x v="14"/>
    <x v="2"/>
    <s v="C:\Users\andre\Desktop\REACTIV CEFAS\Anastrozole\Anastrozole/20201125_Cefas_Test7_Run2/Plate 2/@12/B6_02.tif "/>
    <s v=" 8889.8867 "/>
    <s v=" 42.4185 "/>
    <x v="0"/>
    <n v="377096"/>
    <m/>
    <m/>
  </r>
  <r>
    <x v="14"/>
    <x v="2"/>
    <s v="C:\Users\andre\Desktop\REACTIV CEFAS\Anastrozole\Anastrozole/20201125_Cefas_Test7_Run2/Plate 2/@12/B6_03- exclu.tif"/>
    <m/>
    <m/>
    <x v="1"/>
    <m/>
    <m/>
    <m/>
  </r>
  <r>
    <x v="14"/>
    <x v="3"/>
    <s v="C:\Users\andre\Desktop\REACTIV CEFAS\Anastrozole\Anastrozole/20201125_Cefas_Test7_Run2/Plate 2/@12/C6_01- exclu.tif"/>
    <m/>
    <m/>
    <x v="1"/>
    <m/>
    <m/>
    <m/>
  </r>
  <r>
    <x v="14"/>
    <x v="3"/>
    <s v="C:\Users\andre\Desktop\REACTIV CEFAS\Anastrozole\Anastrozole/20201125_Cefas_Test7_Run2/Plate 2/@12/C6_02.tif "/>
    <s v=" 11766.6627 "/>
    <s v=" 47.8511 "/>
    <x v="0"/>
    <n v="563048"/>
    <m/>
    <m/>
  </r>
  <r>
    <x v="14"/>
    <x v="3"/>
    <s v="C:\Users\andre\Desktop\REACTIV CEFAS\Anastrozole\Anastrozole/20201125_Cefas_Test7_Run2/Plate 2/@12/C6_03- exclu.tif"/>
    <m/>
    <m/>
    <x v="1"/>
    <m/>
    <m/>
    <m/>
  </r>
  <r>
    <x v="14"/>
    <x v="4"/>
    <s v="C:\Users\andre\Desktop\REACTIV CEFAS\Anastrozole\Anastrozole/20201125_Cefas_Test7_Run2/Plate 2/@12/D6_01.tif "/>
    <s v=" 11161.0256 "/>
    <s v=" 42.6492 "/>
    <x v="0"/>
    <n v="476009"/>
    <m/>
    <m/>
  </r>
  <r>
    <x v="14"/>
    <x v="4"/>
    <s v="C:\Users\andre\Desktop\REACTIV CEFAS\Anastrozole\Anastrozole/20201125_Cefas_Test7_Run2/Plate 2/@12/D6_02.tif "/>
    <s v=" 11139.3957 "/>
    <s v=" 42.5961 "/>
    <x v="0"/>
    <n v="474495"/>
    <m/>
    <m/>
  </r>
  <r>
    <x v="14"/>
    <x v="4"/>
    <s v="C:\Users\andre\Desktop\REACTIV CEFAS\Anastrozole\Anastrozole/20201125_Cefas_Test7_Run2/Plate 2/@12/D6_03- exclu.tif"/>
    <m/>
    <m/>
    <x v="1"/>
    <m/>
    <m/>
    <m/>
  </r>
  <r>
    <x v="14"/>
    <x v="5"/>
    <s v="C:\Users\andre\Desktop\REACTIV CEFAS\Anastrozole\Anastrozole/20201125_Cefas_Test7_Run2/Plate 2/@12/E6_01.tif "/>
    <s v=" 9127.8155 "/>
    <s v=" 33.1161 "/>
    <x v="0"/>
    <n v="302278"/>
    <m/>
    <m/>
  </r>
  <r>
    <x v="14"/>
    <x v="5"/>
    <s v="C:\Users\andre\Desktop\REACTIV CEFAS\Anastrozole\Anastrozole/20201125_Cefas_Test7_Run2/Plate 2/@12/E6_02.tif "/>
    <s v=" 1059.8648 "/>
    <s v=" 31.1429 "/>
    <x v="0"/>
    <n v="33007"/>
    <m/>
    <m/>
  </r>
  <r>
    <x v="14"/>
    <x v="5"/>
    <s v="C:\Users\andre\Desktop\REACTIV CEFAS\Anastrozole\Anastrozole/20201125_Cefas_Test7_Run2/Plate 2/@12/E6_03.tif "/>
    <s v=" 19034.3073 "/>
    <s v=" 34.0216 "/>
    <x v="0"/>
    <n v="647577"/>
    <m/>
    <m/>
  </r>
  <r>
    <x v="14"/>
    <x v="6"/>
    <s v="C:\Users\andre\Desktop\REACTIV CEFAS\Anastrozole\Anastrozole/20201125_Cefas_Test7_Run2/Plate 2/@12/F6_01.tif "/>
    <n v="0"/>
    <n v="0"/>
    <x v="0"/>
    <n v="0"/>
    <m/>
    <m/>
  </r>
  <r>
    <x v="14"/>
    <x v="6"/>
    <s v="C:\Users\andre\Desktop\REACTIV CEFAS\Anastrozole\Anastrozole/20201125_Cefas_Test7_Run2/Plate 2/@12/F6_02.tif "/>
    <s v=" 735.4164 "/>
    <s v=" 31.9706 "/>
    <x v="0"/>
    <n v="23512"/>
    <m/>
    <m/>
  </r>
  <r>
    <x v="14"/>
    <x v="6"/>
    <s v="C:\Users\andre\Desktop\REACTIV CEFAS\Anastrozole\Anastrozole/20201125_Cefas_Test7_Run2/Plate 2/@12/F6_03.tif "/>
    <s v=" 778.6762 "/>
    <s v=" 32.9722 "/>
    <x v="0"/>
    <n v="25675"/>
    <m/>
    <m/>
  </r>
  <r>
    <x v="14"/>
    <x v="7"/>
    <s v="C:\Users\andre\Desktop\REACTIV CEFAS\Anastrozole\Anastrozole/20201125_Cefas_Test7_Run2/Plate 2/@12/G6_01.tif "/>
    <s v=" 8565.4383 "/>
    <s v=" 37.9419 "/>
    <x v="0"/>
    <n v="324989"/>
    <m/>
    <m/>
  </r>
  <r>
    <x v="14"/>
    <x v="7"/>
    <s v="C:\Users\andre\Desktop\REACTIV CEFAS\Anastrozole\Anastrozole/20201125_Cefas_Test7_Run2/Plate 2/@12/G6_02.tif "/>
    <s v=" 7483.9435 "/>
    <s v=" 38.2457 "/>
    <x v="0"/>
    <n v="286228"/>
    <m/>
    <m/>
  </r>
  <r>
    <x v="14"/>
    <x v="7"/>
    <s v="C:\Users\andre\Desktop\REACTIV CEFAS\Anastrozole\Anastrozole/20201125_Cefas_Test7_Run2/Plate 2/@12/G6_03.tif "/>
    <s v=" 7289.2745 "/>
    <s v=" 39.5549 "/>
    <x v="0"/>
    <n v="288326"/>
    <m/>
    <m/>
  </r>
  <r>
    <x v="14"/>
    <x v="8"/>
    <s v="C:\Users\andre\Desktop\REACTIV CEFAS\Anastrozole\Anastrozole/20201125_Cefas_Test7_Run2/Plate 2/@12/H6_01.tif "/>
    <s v=" 5753.552 "/>
    <s v=" 35.6992 "/>
    <x v="0"/>
    <n v="205397"/>
    <m/>
    <m/>
  </r>
  <r>
    <x v="14"/>
    <x v="8"/>
    <s v="C:\Users\andre\Desktop\REACTIV CEFAS\Anastrozole\Anastrozole/20201125_Cefas_Test7_Run2/Plate 2/@12/H6_02.tif "/>
    <s v=" 9560.4134 "/>
    <s v=" 39.0543 "/>
    <x v="0"/>
    <n v="373375"/>
    <m/>
    <m/>
  </r>
  <r>
    <x v="14"/>
    <x v="8"/>
    <s v="C:\Users\andre\Desktop\REACTIV CEFAS\Anastrozole\Anastrozole/20201125_Cefas_Test7_Run2/Plate 2/@12/H6_03.tif "/>
    <n v="0"/>
    <n v="0"/>
    <x v="0"/>
    <n v="0"/>
    <m/>
    <m/>
  </r>
  <r>
    <x v="0"/>
    <x v="0"/>
    <s v=" "/>
    <m/>
    <m/>
    <x v="1"/>
    <m/>
    <m/>
    <m/>
  </r>
  <r>
    <x v="0"/>
    <x v="0"/>
    <s v="group "/>
    <s v=" "/>
    <s v=" mean of mean fluo "/>
    <x v="2"/>
    <s v=" mean of total fluo "/>
    <s v=" SD total fluo "/>
    <m/>
  </r>
  <r>
    <x v="14"/>
    <x v="9"/>
    <s v="C:\Users\andre\Desktop\REACTIV CEFAS\Anastrozole\Anastrozole/20201125_Cefas_Test7_Run2/Plate 2/@12/ "/>
    <s v=" "/>
    <s v=" 34.1805 "/>
    <x v="16"/>
    <s v=" 313080.958 "/>
    <s v=" 204910.321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Anastrozole\Anastrozole/20201125_Cefas_Test7_Run2/Plate 2/@17/A8_01- exclu.tif"/>
    <m/>
    <m/>
    <x v="1"/>
    <m/>
    <m/>
    <m/>
  </r>
  <r>
    <x v="15"/>
    <x v="1"/>
    <s v="C:\Users\andre\Desktop\REACTIV CEFAS\Anastrozole\Anastrozole/20201125_Cefas_Test7_Run2/Plate 2/@17/A8_02- exclu.tif"/>
    <m/>
    <m/>
    <x v="1"/>
    <m/>
    <m/>
    <m/>
  </r>
  <r>
    <x v="15"/>
    <x v="1"/>
    <s v="C:\Users\andre\Desktop\REACTIV CEFAS\Anastrozole\Anastrozole/20201125_Cefas_Test7_Run2/Plate 2/@17/A8_03- exclu.tif"/>
    <m/>
    <m/>
    <x v="1"/>
    <m/>
    <m/>
    <m/>
  </r>
  <r>
    <x v="15"/>
    <x v="2"/>
    <s v="C:\Users\andre\Desktop\REACTIV CEFAS\Anastrozole\Anastrozole/20201125_Cefas_Test7_Run2/Plate 2/@17/B8_01.tif "/>
    <s v=" 2855.1461 "/>
    <s v=" 35.0985 "/>
    <x v="0"/>
    <n v="100211"/>
    <m/>
    <m/>
  </r>
  <r>
    <x v="15"/>
    <x v="2"/>
    <s v="C:\Users\andre\Desktop\REACTIV CEFAS\Anastrozole\Anastrozole/20201125_Cefas_Test7_Run2/Plate 2/@17/B8_02.tif "/>
    <s v=" 43.2598 "/>
    <n v="32"/>
    <x v="0"/>
    <n v="1384"/>
    <m/>
    <m/>
  </r>
  <r>
    <x v="15"/>
    <x v="2"/>
    <s v="C:\Users\andre\Desktop\REACTIV CEFAS\Anastrozole\Anastrozole/20201125_Cefas_Test7_Run2/Plate 2/@17/B8_03.tif "/>
    <s v=" 1687.1318 "/>
    <s v=" 33.6538 "/>
    <x v="0"/>
    <n v="56778"/>
    <m/>
    <m/>
  </r>
  <r>
    <x v="15"/>
    <x v="3"/>
    <s v="C:\Users\andre\Desktop\REACTIV CEFAS\Anastrozole\Anastrozole/20201125_Cefas_Test7_Run2/Plate 2/@17/C8_01.tif "/>
    <s v=" 9430.6341 "/>
    <s v=" 38.4702 "/>
    <x v="0"/>
    <n v="362798"/>
    <m/>
    <m/>
  </r>
  <r>
    <x v="15"/>
    <x v="3"/>
    <s v="C:\Users\andre\Desktop\REACTIV CEFAS\Anastrozole\Anastrozole/20201125_Cefas_Test7_Run2/Plate 2/@17/C8_02.tif "/>
    <s v=" 6532.2282 "/>
    <s v=" 38.649 "/>
    <x v="0"/>
    <n v="252464"/>
    <m/>
    <m/>
  </r>
  <r>
    <x v="15"/>
    <x v="3"/>
    <s v="C:\Users\andre\Desktop\REACTIV CEFAS\Anastrozole\Anastrozole/20201125_Cefas_Test7_Run2/Plate 2/@17/C8_03.tif "/>
    <s v=" 6964.8261 "/>
    <s v=" 38.441 "/>
    <x v="0"/>
    <n v="267735"/>
    <m/>
    <m/>
  </r>
  <r>
    <x v="15"/>
    <x v="4"/>
    <s v="C:\Users\andre\Desktop\REACTIV CEFAS\Anastrozole\Anastrozole/20201125_Cefas_Test7_Run2/Plate 2/@17/D8_01.tif "/>
    <s v=" 4801.8366 "/>
    <s v=" 38.3333 "/>
    <x v="0"/>
    <n v="184070"/>
    <m/>
    <m/>
  </r>
  <r>
    <x v="15"/>
    <x v="4"/>
    <s v="C:\Users\andre\Desktop\REACTIV CEFAS\Anastrozole\Anastrozole/20201125_Cefas_Test7_Run2/Plate 2/@17/D8_02.tif "/>
    <s v=" 5688.6623 "/>
    <s v=" 40.2167 "/>
    <x v="0"/>
    <n v="228779"/>
    <m/>
    <m/>
  </r>
  <r>
    <x v="15"/>
    <x v="4"/>
    <s v="C:\Users\andre\Desktop\REACTIV CEFAS\Anastrozole\Anastrozole/20201125_Cefas_Test7_Run2/Plate 2/@17/D8_03.tif "/>
    <s v=" 562.3773 "/>
    <s v=" 33.2692 "/>
    <x v="0"/>
    <n v="18710"/>
    <m/>
    <m/>
  </r>
  <r>
    <x v="15"/>
    <x v="5"/>
    <s v="C:\Users\andre\Desktop\REACTIV CEFAS\Anastrozole\Anastrozole/20201125_Cefas_Test7_Run2/Plate 2/@17/E8_01.tif "/>
    <s v=" 3093.0749 "/>
    <s v=" 36.5175 "/>
    <x v="0"/>
    <n v="112951"/>
    <m/>
    <m/>
  </r>
  <r>
    <x v="15"/>
    <x v="5"/>
    <s v="C:\Users\andre\Desktop\REACTIV CEFAS\Anastrozole\Anastrozole/20201125_Cefas_Test7_Run2/Plate 2/@17/E8_02.tif "/>
    <s v=" 194.6691 "/>
    <s v=" 31.2222 "/>
    <x v="0"/>
    <n v="6078"/>
    <m/>
    <m/>
  </r>
  <r>
    <x v="15"/>
    <x v="5"/>
    <s v="C:\Users\andre\Desktop\REACTIV CEFAS\Anastrozole\Anastrozole/20201125_Cefas_Test7_Run2/Plate 2/@17/E8_03.tif "/>
    <s v=" 43.2598 "/>
    <s v=" 30.5 "/>
    <x v="0"/>
    <n v="1319"/>
    <m/>
    <m/>
  </r>
  <r>
    <x v="15"/>
    <x v="6"/>
    <s v="C:\Users\andre\Desktop\REACTIV CEFAS\Anastrozole\Anastrozole/20201125_Cefas_Test7_Run2/Plate 2/@17/F8_01.tif "/>
    <s v=" 7419.0539 "/>
    <s v=" 39.2303 "/>
    <x v="0"/>
    <n v="291052"/>
    <m/>
    <m/>
  </r>
  <r>
    <x v="15"/>
    <x v="6"/>
    <s v="C:\Users\andre\Desktop\REACTIV CEFAS\Anastrozole\Anastrozole/20201125_Cefas_Test7_Run2/Plate 2/@17/F8_02.tif "/>
    <s v=" 8954.7764 "/>
    <s v=" 38.9855 "/>
    <x v="0"/>
    <n v="349106"/>
    <m/>
    <m/>
  </r>
  <r>
    <x v="15"/>
    <x v="6"/>
    <s v="C:\Users\andre\Desktop\REACTIV CEFAS\Anastrozole\Anastrozole/20201125_Cefas_Test7_Run2/Plate 2/@17/F8_03- exclu.tif"/>
    <m/>
    <m/>
    <x v="1"/>
    <m/>
    <m/>
    <m/>
  </r>
  <r>
    <x v="15"/>
    <x v="7"/>
    <s v="C:\Users\andre\Desktop\REACTIV CEFAS\Anastrozole\Anastrozole/20201125_Cefas_Test7_Run2/Plate 2/@17/G8_01.tif "/>
    <s v=" 454.2278 "/>
    <s v=" 31.8095 "/>
    <x v="0"/>
    <n v="14449"/>
    <m/>
    <m/>
  </r>
  <r>
    <x v="15"/>
    <x v="7"/>
    <s v="C:\Users\andre\Desktop\REACTIV CEFAS\Anastrozole\Anastrozole/20201125_Cefas_Test7_Run2/Plate 2/@17/G8_02.tif "/>
    <s v=" 2379.2884 "/>
    <s v=" 33.3455 "/>
    <x v="0"/>
    <n v="79338"/>
    <m/>
    <m/>
  </r>
  <r>
    <x v="15"/>
    <x v="7"/>
    <s v="C:\Users\andre\Desktop\REACTIV CEFAS\Anastrozole\Anastrozole/20201125_Cefas_Test7_Run2/Plate 2/@17/G8_03- exclu.tif"/>
    <m/>
    <m/>
    <x v="1"/>
    <m/>
    <m/>
    <m/>
  </r>
  <r>
    <x v="15"/>
    <x v="8"/>
    <s v="C:\Users\andre\Desktop\REACTIV CEFAS\Anastrozole\Anastrozole/20201125_Cefas_Test7_Run2/Plate 2/@17/H8_01.tif "/>
    <s v=" 6640.3777 "/>
    <s v=" 37.4886 "/>
    <x v="0"/>
    <n v="248938"/>
    <m/>
    <m/>
  </r>
  <r>
    <x v="15"/>
    <x v="8"/>
    <s v="C:\Users\andre\Desktop\REACTIV CEFAS\Anastrozole\Anastrozole/20201125_Cefas_Test7_Run2/Plate 2/@17/H8_02.tif "/>
    <s v=" 3352.6337 "/>
    <n v="35"/>
    <x v="0"/>
    <n v="117342"/>
    <m/>
    <m/>
  </r>
  <r>
    <x v="15"/>
    <x v="8"/>
    <s v="C:\Users\andre\Desktop\REACTIV CEFAS\Anastrozole\Anastrozole/20201125_Cefas_Test7_Run2/Plate 2/@17/H8_03.tif "/>
    <s v=" 2011.5802 "/>
    <s v=" 35.6989 "/>
    <x v="0"/>
    <n v="71811"/>
    <m/>
    <m/>
  </r>
  <r>
    <x v="0"/>
    <x v="0"/>
    <s v=" "/>
    <m/>
    <m/>
    <x v="1"/>
    <m/>
    <m/>
    <m/>
  </r>
  <r>
    <x v="0"/>
    <x v="0"/>
    <s v="group "/>
    <s v=" "/>
    <s v=" mean of mean fluo "/>
    <x v="2"/>
    <s v=" mean of total fluo "/>
    <s v=" SD total fluo "/>
    <m/>
  </r>
  <r>
    <x v="15"/>
    <x v="9"/>
    <s v="C:\Users\andre\Desktop\REACTIV CEFAS\Anastrozole\Anastrozole/20201125_Cefas_Test7_Run2/Plate 2/@17/ "/>
    <s v=" "/>
    <s v=" 36.1069 "/>
    <x v="17"/>
    <s v=" 181982.917 "/>
    <s v=" 144106.733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Anastrozole\Anastrozole/20201125_Cefas_Test7_Run2/Plate 2/@18/A9_01- exclu.tif"/>
    <m/>
    <m/>
    <x v="1"/>
    <m/>
    <m/>
    <m/>
  </r>
  <r>
    <x v="16"/>
    <x v="1"/>
    <s v="C:\Users\andre\Desktop\REACTIV CEFAS\Anastrozole\Anastrozole/20201125_Cefas_Test7_Run2/Plate 2/@18/A9_02- exclu.tif"/>
    <m/>
    <m/>
    <x v="1"/>
    <m/>
    <m/>
    <m/>
  </r>
  <r>
    <x v="16"/>
    <x v="1"/>
    <s v="C:\Users\andre\Desktop\REACTIV CEFAS\Anastrozole\Anastrozole/20201125_Cefas_Test7_Run2/Plate 2/@18/A9_03- exclu.tif"/>
    <m/>
    <m/>
    <x v="1"/>
    <m/>
    <m/>
    <m/>
  </r>
  <r>
    <x v="16"/>
    <x v="2"/>
    <s v="C:\Users\andre\Desktop\REACTIV CEFAS\Anastrozole\Anastrozole/20201125_Cefas_Test7_Run2/Plate 2/@18/B9_01.tif "/>
    <s v=" 7440.6838 "/>
    <s v=" 42.6773 "/>
    <x v="0"/>
    <n v="317548"/>
    <m/>
    <m/>
  </r>
  <r>
    <x v="16"/>
    <x v="2"/>
    <s v="C:\Users\andre\Desktop\REACTIV CEFAS\Anastrozole\Anastrozole/20201125_Cefas_Test7_Run2/Plate 2/@18/B9_02.tif "/>
    <s v=" 10403.9793 "/>
    <s v=" 42.264 "/>
    <x v="0"/>
    <n v="439714"/>
    <m/>
    <m/>
  </r>
  <r>
    <x v="16"/>
    <x v="2"/>
    <s v="C:\Users\andre\Desktop\REACTIV CEFAS\Anastrozole\Anastrozole/20201125_Cefas_Test7_Run2/Plate 2/@18/B9_03- exclu.tif"/>
    <m/>
    <m/>
    <x v="1"/>
    <m/>
    <m/>
    <m/>
  </r>
  <r>
    <x v="16"/>
    <x v="3"/>
    <s v="C:\Users\andre\Desktop\REACTIV CEFAS\Anastrozole\Anastrozole/20201125_Cefas_Test7_Run2/Plate 2/@18/C9_01.tif "/>
    <s v=" 3049.8151 "/>
    <s v=" 35.1064 "/>
    <x v="0"/>
    <n v="107068"/>
    <m/>
    <m/>
  </r>
  <r>
    <x v="16"/>
    <x v="3"/>
    <s v="C:\Users\andre\Desktop\REACTIV CEFAS\Anastrozole\Anastrozole/20201125_Cefas_Test7_Run2/Plate 2/@18/C9_02.tif "/>
    <s v=" 2746.9966 "/>
    <s v=" 35.6693 "/>
    <x v="0"/>
    <n v="97983"/>
    <m/>
    <m/>
  </r>
  <r>
    <x v="16"/>
    <x v="3"/>
    <s v="C:\Users\andre\Desktop\REACTIV CEFAS\Anastrozole\Anastrozole/20201125_Cefas_Test7_Run2/Plate 2/@18/C9_03.tif "/>
    <s v=" 3633.8223 "/>
    <s v=" 34.8095 "/>
    <x v="0"/>
    <n v="126492"/>
    <m/>
    <m/>
  </r>
  <r>
    <x v="16"/>
    <x v="4"/>
    <s v="C:\Users\andre\Desktop\REACTIV CEFAS\Anastrozole\Anastrozole/20201125_Cefas_Test7_Run2/Plate 2/@18/D9_01.tif "/>
    <s v=" 3677.0821 "/>
    <s v=" 35.9059 "/>
    <x v="0"/>
    <n v="132029"/>
    <m/>
    <m/>
  </r>
  <r>
    <x v="16"/>
    <x v="4"/>
    <s v="C:\Users\andre\Desktop\REACTIV CEFAS\Anastrozole\Anastrozole/20201125_Cefas_Test7_Run2/Plate 2/@18/D9_02.tif "/>
    <s v=" 4585.5377 "/>
    <s v=" 35.2925 "/>
    <x v="0"/>
    <n v="161835"/>
    <m/>
    <m/>
  </r>
  <r>
    <x v="16"/>
    <x v="4"/>
    <s v="C:\Users\andre\Desktop\REACTIV CEFAS\Anastrozole\Anastrozole/20201125_Cefas_Test7_Run2/Plate 2/@18/D9_03.tif "/>
    <s v=" 3504.0429 "/>
    <s v=" 35.5 "/>
    <x v="0"/>
    <n v="124394"/>
    <m/>
    <m/>
  </r>
  <r>
    <x v="16"/>
    <x v="5"/>
    <s v="C:\Users\andre\Desktop\REACTIV CEFAS\Anastrozole\Anastrozole/20201125_Cefas_Test7_Run2/Plate 2/@18/E9_01.tif "/>
    <s v=" 6662.0075 "/>
    <s v=" 40.5584 "/>
    <x v="0"/>
    <n v="270201"/>
    <m/>
    <m/>
  </r>
  <r>
    <x v="16"/>
    <x v="5"/>
    <s v="C:\Users\andre\Desktop\REACTIV CEFAS\Anastrozole\Anastrozole/20201125_Cefas_Test7_Run2/Plate 2/@18/E9_02.tif "/>
    <s v=" 5147.9149 "/>
    <s v=" 41.7269 "/>
    <x v="0"/>
    <n v="214806"/>
    <m/>
    <m/>
  </r>
  <r>
    <x v="16"/>
    <x v="5"/>
    <s v="C:\Users\andre\Desktop\REACTIV CEFAS\Anastrozole\Anastrozole/20201125_Cefas_Test7_Run2/Plate 2/@18/E9_03.tif "/>
    <s v=" 4780.2067 "/>
    <s v=" 39.9186 "/>
    <x v="0"/>
    <n v="190819"/>
    <m/>
    <m/>
  </r>
  <r>
    <x v="16"/>
    <x v="6"/>
    <s v="C:\Users\andre\Desktop\REACTIV CEFAS\Anastrozole\Anastrozole/20201125_Cefas_Test7_Run2/Plate 2/@18/F9_01.tif "/>
    <s v=" 8695.2176 "/>
    <s v=" 36.6169 "/>
    <x v="0"/>
    <n v="318392"/>
    <m/>
    <m/>
  </r>
  <r>
    <x v="16"/>
    <x v="6"/>
    <s v="C:\Users\andre\Desktop\REACTIV CEFAS\Anastrozole\Anastrozole/20201125_Cefas_Test7_Run2/Plate 2/@18/F9_02.tif "/>
    <s v=" 7635.3528 "/>
    <s v=" 36.6997 "/>
    <x v="0"/>
    <n v="280215"/>
    <m/>
    <m/>
  </r>
  <r>
    <x v="16"/>
    <x v="6"/>
    <s v="C:\Users\andre\Desktop\REACTIV CEFAS\Anastrozole\Anastrozole/20201125_Cefas_Test7_Run2/Plate 2/@18/F9_03- exclu.tif"/>
    <m/>
    <m/>
    <x v="1"/>
    <m/>
    <m/>
    <m/>
  </r>
  <r>
    <x v="16"/>
    <x v="7"/>
    <s v="C:\Users\andre\Desktop\REACTIV CEFAS\Anastrozole\Anastrozole/20201125_Cefas_Test7_Run2/Plate 2/@18/G9_01.tif "/>
    <s v=" 7440.6838 "/>
    <s v=" 36.686 "/>
    <x v="0"/>
    <n v="272969"/>
    <m/>
    <m/>
  </r>
  <r>
    <x v="16"/>
    <x v="7"/>
    <s v="C:\Users\andre\Desktop\REACTIV CEFAS\Anastrozole\Anastrozole/20201125_Cefas_Test7_Run2/Plate 2/@18/G9_02.tif "/>
    <s v=" 1427.573 "/>
    <s v=" 32.8182 "/>
    <x v="0"/>
    <n v="46850"/>
    <m/>
    <m/>
  </r>
  <r>
    <x v="16"/>
    <x v="7"/>
    <s v="C:\Users\andre\Desktop\REACTIV CEFAS\Anastrozole\Anastrozole/20201125_Cefas_Test7_Run2/Plate 2/@18/G9_03.tif "/>
    <s v=" 2357.6585 "/>
    <s v=" 36.5321 "/>
    <x v="0"/>
    <n v="86130"/>
    <m/>
    <m/>
  </r>
  <r>
    <x v="16"/>
    <x v="8"/>
    <s v="C:\Users\andre\Desktop\REACTIV CEFAS\Anastrozole\Anastrozole/20201125_Cefas_Test7_Run2/Plate 2/@18/H9_01.tif "/>
    <s v=" 4715.317 "/>
    <s v=" 35.6697 "/>
    <x v="0"/>
    <n v="168194"/>
    <m/>
    <m/>
  </r>
  <r>
    <x v="16"/>
    <x v="8"/>
    <s v="C:\Users\andre\Desktop\REACTIV CEFAS\Anastrozole\Anastrozole/20201125_Cefas_Test7_Run2/Plate 2/@18/H9_02.tif "/>
    <s v=" 9733.4526 "/>
    <s v=" 43.9067 "/>
    <x v="0"/>
    <n v="427363"/>
    <m/>
    <m/>
  </r>
  <r>
    <x v="16"/>
    <x v="8"/>
    <s v="C:\Users\andre\Desktop\REACTIV CEFAS\Anastrozole\Anastrozole/20201125_Cefas_Test7_Run2/Plate 2/@18/H9_03.tif "/>
    <s v=" 8262.6197 "/>
    <s v=" 45.2696 "/>
    <x v="0"/>
    <n v="374046"/>
    <m/>
    <m/>
  </r>
  <r>
    <x v="0"/>
    <x v="0"/>
    <s v=" "/>
    <m/>
    <m/>
    <x v="1"/>
    <m/>
    <m/>
    <m/>
  </r>
  <r>
    <x v="0"/>
    <x v="0"/>
    <s v="group "/>
    <s v=" "/>
    <s v=" mean of mean fluo "/>
    <x v="2"/>
    <s v=" mean of total fluo "/>
    <s v=" SD total fluo "/>
    <m/>
  </r>
  <r>
    <x v="16"/>
    <x v="9"/>
    <s v="C:\Users\andre\Desktop\REACTIV CEFAS\Anastrozole\Anastrozole/20201125_Cefas_Test7_Run2/Plate 2/@18/ "/>
    <s v=" "/>
    <s v=" 34.0231 "/>
    <x v="18"/>
    <s v=" 174562.208 "/>
    <s v=" 136718.399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Anastrozole\Anastrozole/20201125_Cefas_Test7_Run2/Plate 2/@19/A10_01.tif "/>
    <s v=" 11009.6164 "/>
    <s v=" 43.0923 "/>
    <x v="0"/>
    <n v="474430"/>
    <m/>
    <m/>
  </r>
  <r>
    <x v="17"/>
    <x v="1"/>
    <s v="C:\Users\andre\Desktop\REACTIV CEFAS\Anastrozole\Anastrozole/20201125_Cefas_Test7_Run2/Plate 2/@19/A10_02- exclu.tif"/>
    <m/>
    <m/>
    <x v="1"/>
    <m/>
    <m/>
    <m/>
  </r>
  <r>
    <x v="17"/>
    <x v="1"/>
    <s v="C:\Users\andre\Desktop\REACTIV CEFAS\Anastrozole\Anastrozole/20201125_Cefas_Test7_Run2/Plate 2/@19/A10_03.tif "/>
    <s v=" 15919.6024 "/>
    <s v=" 48.2269 "/>
    <x v="0"/>
    <n v="767753"/>
    <m/>
    <m/>
  </r>
  <r>
    <x v="17"/>
    <x v="2"/>
    <s v="C:\Users\andre\Desktop\REACTIV CEFAS\Anastrozole\Anastrozole/20201125_Cefas_Test7_Run2/Plate 2/@19/B10_01.tif "/>
    <s v=" 5083.0252 "/>
    <n v="37"/>
    <x v="0"/>
    <n v="188072"/>
    <m/>
    <m/>
  </r>
  <r>
    <x v="17"/>
    <x v="2"/>
    <s v="C:\Users\andre\Desktop\REACTIV CEFAS\Anastrozole\Anastrozole/20201125_Cefas_Test7_Run2/Plate 2/@19/B10_02.tif "/>
    <n v="0"/>
    <n v="0"/>
    <x v="0"/>
    <n v="0"/>
    <m/>
    <m/>
  </r>
  <r>
    <x v="17"/>
    <x v="2"/>
    <s v="C:\Users\andre\Desktop\REACTIV CEFAS\Anastrozole\Anastrozole/20201125_Cefas_Test7_Run2/Plate 2/@19/B10_03.tif "/>
    <s v=" 3114.7048 "/>
    <s v=" 35.0556 "/>
    <x v="0"/>
    <n v="109188"/>
    <m/>
    <m/>
  </r>
  <r>
    <x v="17"/>
    <x v="3"/>
    <s v="C:\Users\andre\Desktop\REACTIV CEFAS\Anastrozole\Anastrozole/20201125_Cefas_Test7_Run2/Plate 2/@19/C10_01- exclu.tif"/>
    <m/>
    <m/>
    <x v="1"/>
    <m/>
    <m/>
    <m/>
  </r>
  <r>
    <x v="17"/>
    <x v="3"/>
    <s v="C:\Users\andre\Desktop\REACTIV CEFAS\Anastrozole\Anastrozole/20201125_Cefas_Test7_Run2/Plate 2/@19/C10_02.tif "/>
    <s v=" 2703.7368 "/>
    <s v=" 35.376 "/>
    <x v="0"/>
    <n v="95647"/>
    <m/>
    <m/>
  </r>
  <r>
    <x v="17"/>
    <x v="3"/>
    <s v="C:\Users\andre\Desktop\REACTIV CEFAS\Anastrozole\Anastrozole/20201125_Cefas_Test7_Run2/Plate 2/@19/C10_03.tif "/>
    <s v=" 3028.1852 "/>
    <s v=" 35.2643 "/>
    <x v="0"/>
    <n v="106787"/>
    <m/>
    <m/>
  </r>
  <r>
    <x v="17"/>
    <x v="4"/>
    <s v="C:\Users\andre\Desktop\REACTIV CEFAS\Anastrozole\Anastrozole/20201125_Cefas_Test7_Run2/Plate 2/@19/D10_01.tif "/>
    <n v="0"/>
    <n v="0"/>
    <x v="0"/>
    <n v="0"/>
    <m/>
    <m/>
  </r>
  <r>
    <x v="17"/>
    <x v="4"/>
    <s v="C:\Users\andre\Desktop\REACTIV CEFAS\Anastrozole\Anastrozole/20201125_Cefas_Test7_Run2/Plate 2/@19/D10_02.tif "/>
    <s v=" 6164.52 "/>
    <s v=" 34.7965 "/>
    <x v="0"/>
    <n v="214504"/>
    <m/>
    <m/>
  </r>
  <r>
    <x v="17"/>
    <x v="4"/>
    <s v="C:\Users\andre\Desktop\REACTIV CEFAS\Anastrozole\Anastrozole/20201125_Cefas_Test7_Run2/Plate 2/@19/D10_03.tif "/>
    <n v="0"/>
    <n v="0"/>
    <x v="0"/>
    <n v="0"/>
    <m/>
    <m/>
  </r>
  <r>
    <x v="17"/>
    <x v="5"/>
    <s v="C:\Users\andre\Desktop\REACTIV CEFAS\Anastrozole\Anastrozole/20201125_Cefas_Test7_Run2/Plate 2/@19/E10_01.tif "/>
    <s v=" 10382.3494 "/>
    <s v=" 35.85 "/>
    <x v="0"/>
    <n v="372207"/>
    <m/>
    <m/>
  </r>
  <r>
    <x v="17"/>
    <x v="5"/>
    <s v="C:\Users\andre\Desktop\REACTIV CEFAS\Anastrozole\Anastrozole/20201125_Cefas_Test7_Run2/Plate 2/@19/E10_02.tif "/>
    <s v=" 7072.9755 "/>
    <s v=" 39.6177 "/>
    <x v="0"/>
    <n v="280215"/>
    <m/>
    <m/>
  </r>
  <r>
    <x v="17"/>
    <x v="5"/>
    <s v="C:\Users\andre\Desktop\REACTIV CEFAS\Anastrozole\Anastrozole/20201125_Cefas_Test7_Run2/Plate 2/@19/E10_03.tif "/>
    <s v=" 7808.392 "/>
    <s v=" 41.0083 "/>
    <x v="0"/>
    <n v="320209"/>
    <m/>
    <m/>
  </r>
  <r>
    <x v="17"/>
    <x v="6"/>
    <s v="C:\Users\andre\Desktop\REACTIV CEFAS\Anastrozole\Anastrozole/20201125_Cefas_Test7_Run2/Plate 2/@19/F10_01- exclu.tif"/>
    <m/>
    <m/>
    <x v="1"/>
    <m/>
    <m/>
    <m/>
  </r>
  <r>
    <x v="17"/>
    <x v="6"/>
    <s v="C:\Users\andre\Desktop\REACTIV CEFAS\Anastrozole\Anastrozole/20201125_Cefas_Test7_Run2/Plate 2/@19/F10_02- exclu.tif"/>
    <m/>
    <m/>
    <x v="1"/>
    <m/>
    <m/>
    <m/>
  </r>
  <r>
    <x v="17"/>
    <x v="6"/>
    <s v="C:\Users\andre\Desktop\REACTIV CEFAS\Anastrozole\Anastrozole/20201125_Cefas_Test7_Run2/Plate 2/@19/F10_03- exclu.tif"/>
    <m/>
    <m/>
    <x v="1"/>
    <m/>
    <m/>
    <m/>
  </r>
  <r>
    <x v="17"/>
    <x v="7"/>
    <s v="C:\Users\andre\Desktop\REACTIV CEFAS\Anastrozole\Anastrozole/20201125_Cefas_Test7_Run2/Plate 2/@19/G10_01.tif "/>
    <s v=" 7505.5734 "/>
    <s v=" 34.4582 "/>
    <x v="0"/>
    <n v="258629"/>
    <m/>
    <m/>
  </r>
  <r>
    <x v="17"/>
    <x v="7"/>
    <s v="C:\Users\andre\Desktop\REACTIV CEFAS\Anastrozole\Anastrozole/20201125_Cefas_Test7_Run2/Plate 2/@19/G10_02.tif "/>
    <s v=" 21.6299 "/>
    <n v="30"/>
    <x v="0"/>
    <n v="649"/>
    <m/>
    <m/>
  </r>
  <r>
    <x v="17"/>
    <x v="7"/>
    <s v="C:\Users\andre\Desktop\REACTIV CEFAS\Anastrozole\Anastrozole/20201125_Cefas_Test7_Run2/Plate 2/@19/G10_03.tif "/>
    <n v="0"/>
    <n v="0"/>
    <x v="0"/>
    <n v="0"/>
    <m/>
    <m/>
  </r>
  <r>
    <x v="17"/>
    <x v="8"/>
    <s v="C:\Users\andre\Desktop\REACTIV CEFAS\Anastrozole\Anastrozole/20201125_Cefas_Test7_Run2/Plate 2/@19/H10_01.tif "/>
    <s v=" 648.8968 "/>
    <s v=" 32.0333 "/>
    <x v="0"/>
    <n v="20786"/>
    <m/>
    <m/>
  </r>
  <r>
    <x v="17"/>
    <x v="8"/>
    <s v="C:\Users\andre\Desktop\REACTIV CEFAS\Anastrozole\Anastrozole/20201125_Cefas_Test7_Run2/Plate 2/@19/H10_02.tif "/>
    <n v="0"/>
    <n v="0"/>
    <x v="0"/>
    <n v="0"/>
    <m/>
    <m/>
  </r>
  <r>
    <x v="17"/>
    <x v="8"/>
    <s v="C:\Users\andre\Desktop\REACTIV CEFAS\Anastrozole\Anastrozole/20201125_Cefas_Test7_Run2/Plate 2/@19/H10_03.tif "/>
    <n v="0"/>
    <n v="0"/>
    <x v="0"/>
    <n v="0"/>
    <m/>
    <m/>
  </r>
  <r>
    <x v="0"/>
    <x v="0"/>
    <s v=" "/>
    <m/>
    <m/>
    <x v="1"/>
    <m/>
    <m/>
    <m/>
  </r>
  <r>
    <x v="0"/>
    <x v="0"/>
    <s v="group "/>
    <s v=" "/>
    <s v=" mean of mean fluo "/>
    <x v="2"/>
    <s v=" mean of total fluo "/>
    <s v=" SD total fluo "/>
    <m/>
  </r>
  <r>
    <x v="17"/>
    <x v="9"/>
    <s v="C:\Users\andre\Desktop\REACTIV CEFAS\Anastrozole\Anastrozole/20201125_Cefas_Test7_Run2/Plate 2/@19/ "/>
    <s v=" "/>
    <s v=" 28.9637 "/>
    <x v="19"/>
    <s v=" 231309.167 "/>
    <s v=" 274772.238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Anastrozole\Anastrozole/20201125_Cefas_Test7_Run2/Plate 2/@20/A11_01- exclu.tif"/>
    <m/>
    <m/>
    <x v="1"/>
    <m/>
    <m/>
    <m/>
  </r>
  <r>
    <x v="18"/>
    <x v="1"/>
    <s v="C:\Users\andre\Desktop\REACTIV CEFAS\Anastrozole\Anastrozole/20201125_Cefas_Test7_Run2/Plate 2/@20/A11_02- exclu.tif"/>
    <m/>
    <m/>
    <x v="1"/>
    <m/>
    <m/>
    <m/>
  </r>
  <r>
    <x v="18"/>
    <x v="1"/>
    <s v="C:\Users\andre\Desktop\REACTIV CEFAS\Anastrozole\Anastrozole/20201125_Cefas_Test7_Run2/Plate 2/@20/A11_03- exclu.tif"/>
    <m/>
    <m/>
    <x v="1"/>
    <m/>
    <m/>
    <m/>
  </r>
  <r>
    <x v="18"/>
    <x v="2"/>
    <s v="C:\Users\andre\Desktop\REACTIV CEFAS\Anastrozole\Anastrozole/20201125_Cefas_Test7_Run2/Plate 2/@20/B11_01.tif "/>
    <s v=" 21.6299 "/>
    <n v="30"/>
    <x v="0"/>
    <n v="649"/>
    <m/>
    <m/>
  </r>
  <r>
    <x v="18"/>
    <x v="2"/>
    <s v="C:\Users\andre\Desktop\REACTIV CEFAS\Anastrozole\Anastrozole/20201125_Cefas_Test7_Run2/Plate 2/@20/B11_02.tif "/>
    <s v=" 2768.6265 "/>
    <s v=" 33.1406 "/>
    <x v="0"/>
    <n v="91754"/>
    <m/>
    <m/>
  </r>
  <r>
    <x v="18"/>
    <x v="2"/>
    <s v="C:\Users\andre\Desktop\REACTIV CEFAS\Anastrozole\Anastrozole/20201125_Cefas_Test7_Run2/Plate 2/@20/B11_03.tif "/>
    <s v=" 1730.3916 "/>
    <s v=" 33.45 "/>
    <x v="0"/>
    <n v="57882"/>
    <m/>
    <m/>
  </r>
  <r>
    <x v="18"/>
    <x v="3"/>
    <s v="C:\Users\andre\Desktop\REACTIV CEFAS\Anastrozole\Anastrozole/20201125_Cefas_Test7_Run2/Plate 2/@20/C11_01.tif "/>
    <s v=" 1838.541 "/>
    <s v=" 35.6706 "/>
    <x v="0"/>
    <n v="65582"/>
    <m/>
    <m/>
  </r>
  <r>
    <x v="18"/>
    <x v="3"/>
    <s v="C:\Users\andre\Desktop\REACTIV CEFAS\Anastrozole\Anastrozole/20201125_Cefas_Test7_Run2/Plate 2/@20/C11_02.tif "/>
    <s v=" 10858.2071 "/>
    <s v=" 38.3486 "/>
    <x v="0"/>
    <n v="416397"/>
    <m/>
    <m/>
  </r>
  <r>
    <x v="18"/>
    <x v="3"/>
    <s v="C:\Users\andre\Desktop\REACTIV CEFAS\Anastrozole\Anastrozole/20201125_Cefas_Test7_Run2/Plate 2/@20/C11_03.tif "/>
    <s v=" 8998.0362 "/>
    <s v=" 40.5745 "/>
    <x v="0"/>
    <n v="365091"/>
    <m/>
    <m/>
  </r>
  <r>
    <x v="18"/>
    <x v="4"/>
    <s v="C:\Users\andre\Desktop\REACTIV CEFAS\Anastrozole\Anastrozole/20201125_Cefas_Test7_Run2/Plate 2/@20/D11_01.tif "/>
    <s v=" 5904.9612 "/>
    <s v=" 34.8352 "/>
    <x v="0"/>
    <n v="205700"/>
    <m/>
    <m/>
  </r>
  <r>
    <x v="18"/>
    <x v="4"/>
    <s v="C:\Users\andre\Desktop\REACTIV CEFAS\Anastrozole\Anastrozole/20201125_Cefas_Test7_Run2/Plate 2/@20/D11_02.tif "/>
    <s v=" 2054.84 "/>
    <s v=" 34.2842 "/>
    <x v="0"/>
    <n v="70449"/>
    <m/>
    <m/>
  </r>
  <r>
    <x v="18"/>
    <x v="4"/>
    <s v="C:\Users\andre\Desktop\REACTIV CEFAS\Anastrozole\Anastrozole/20201125_Cefas_Test7_Run2/Plate 2/@20/D11_03.tif "/>
    <s v=" 6726.8972 "/>
    <s v=" 33.2926 "/>
    <x v="0"/>
    <n v="223956"/>
    <m/>
    <m/>
  </r>
  <r>
    <x v="18"/>
    <x v="5"/>
    <s v="C:\Users\andre\Desktop\REACTIV CEFAS\Anastrozole\Anastrozole/20201125_Cefas_Test7_Run2/Plate 2/@20/E11_01.tif "/>
    <s v=" 1189.6442 "/>
    <s v=" 33.3636 "/>
    <x v="0"/>
    <n v="39691"/>
    <m/>
    <m/>
  </r>
  <r>
    <x v="18"/>
    <x v="5"/>
    <s v="C:\Users\andre\Desktop\REACTIV CEFAS\Anastrozole\Anastrozole/20201125_Cefas_Test7_Run2/Plate 2/@20/E11_02- exclu.tif"/>
    <m/>
    <m/>
    <x v="1"/>
    <m/>
    <m/>
    <m/>
  </r>
  <r>
    <x v="18"/>
    <x v="5"/>
    <s v="C:\Users\andre\Desktop\REACTIV CEFAS\Anastrozole\Anastrozole/20201125_Cefas_Test7_Run2/Plate 2/@20/E11_03- exclu.tif"/>
    <m/>
    <m/>
    <x v="1"/>
    <m/>
    <m/>
    <m/>
  </r>
  <r>
    <x v="18"/>
    <x v="6"/>
    <s v="C:\Users\andre\Desktop\REACTIV CEFAS\Anastrozole\Anastrozole/20201125_Cefas_Test7_Run2/Plate 2/@20/F11_01.tif "/>
    <s v=" 1643.872 "/>
    <s v=" 31.5 "/>
    <x v="0"/>
    <n v="51782"/>
    <m/>
    <m/>
  </r>
  <r>
    <x v="18"/>
    <x v="6"/>
    <s v="C:\Users\andre\Desktop\REACTIV CEFAS\Anastrozole\Anastrozole/20201125_Cefas_Test7_Run2/Plate 2/@20/F11_02.tif "/>
    <s v=" 1816.9111 "/>
    <s v=" 33.119 "/>
    <x v="0"/>
    <n v="60174"/>
    <m/>
    <m/>
  </r>
  <r>
    <x v="18"/>
    <x v="6"/>
    <s v="C:\Users\andre\Desktop\REACTIV CEFAS\Anastrozole\Anastrozole/20201125_Cefas_Test7_Run2/Plate 2/@20/F11_03.tif "/>
    <s v=" 2379.2884 "/>
    <s v=" 33.3636 "/>
    <x v="0"/>
    <n v="79382"/>
    <m/>
    <m/>
  </r>
  <r>
    <x v="18"/>
    <x v="7"/>
    <s v="C:\Users\andre\Desktop\REACTIV CEFAS\Anastrozole\Anastrozole/20201125_Cefas_Test7_Run2/Plate 2/@20/G11_01.tif "/>
    <s v=" 4974.8758 "/>
    <s v=" 34.0913 "/>
    <x v="0"/>
    <n v="169600"/>
    <m/>
    <m/>
  </r>
  <r>
    <x v="18"/>
    <x v="7"/>
    <s v="C:\Users\andre\Desktop\REACTIV CEFAS\Anastrozole\Anastrozole/20201125_Cefas_Test7_Run2/Plate 2/@20/G11_02.tif "/>
    <s v=" 6488.9684 "/>
    <s v=" 40.6767 "/>
    <x v="0"/>
    <n v="263950"/>
    <m/>
    <m/>
  </r>
  <r>
    <x v="18"/>
    <x v="7"/>
    <s v="C:\Users\andre\Desktop\REACTIV CEFAS\Anastrozole\Anastrozole/20201125_Cefas_Test7_Run2/Plate 2/@20/G11_03- exclu.tif"/>
    <m/>
    <m/>
    <x v="1"/>
    <m/>
    <m/>
    <m/>
  </r>
  <r>
    <x v="18"/>
    <x v="8"/>
    <s v="C:\Users\andre\Desktop\REACTIV CEFAS\Anastrozole\Anastrozole/20201125_Cefas_Test7_Run2/Plate 2/@20/H11_01.tif "/>
    <s v=" 12891.4172 "/>
    <s v=" 41.8624 "/>
    <x v="0"/>
    <n v="539666"/>
    <m/>
    <m/>
  </r>
  <r>
    <x v="18"/>
    <x v="8"/>
    <s v="C:\Users\andre\Desktop\REACTIV CEFAS\Anastrozole\Anastrozole/20201125_Cefas_Test7_Run2/Plate 2/@20/H11_02.tif "/>
    <s v=" 8176.1002 "/>
    <s v=" 39.6217 "/>
    <x v="0"/>
    <n v="323951"/>
    <m/>
    <m/>
  </r>
  <r>
    <x v="18"/>
    <x v="8"/>
    <s v="C:\Users\andre\Desktop\REACTIV CEFAS\Anastrozole\Anastrozole/20201125_Cefas_Test7_Run2/Plate 2/@20/H11_03.tif "/>
    <s v=" 7808.392 "/>
    <s v=" 41.8006 "/>
    <x v="0"/>
    <n v="326395"/>
    <m/>
    <m/>
  </r>
  <r>
    <x v="0"/>
    <x v="0"/>
    <s v=" "/>
    <m/>
    <m/>
    <x v="1"/>
    <m/>
    <m/>
    <m/>
  </r>
  <r>
    <x v="0"/>
    <x v="0"/>
    <s v="group "/>
    <s v=" "/>
    <s v=" mean of mean fluo "/>
    <x v="2"/>
    <s v=" mean of total fluo "/>
    <s v=" SD total fluo "/>
    <m/>
  </r>
  <r>
    <x v="18"/>
    <x v="9"/>
    <s v="C:\Users\andre\Desktop\REACTIV CEFAS\Anastrozole\Anastrozole/20201125_Cefas_Test7_Run2/Plate 2/@20/ "/>
    <s v=" "/>
    <s v=" 37.5084 "/>
    <x v="20"/>
    <s v=" 246543.875 "/>
    <s v=" 201772.613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Anastrozole\Anastrozole/20201125_Cefas_Test7_Run2/Plate 2/@21/A12_01- exclu.tif"/>
    <m/>
    <m/>
    <x v="1"/>
    <m/>
    <m/>
    <m/>
  </r>
  <r>
    <x v="19"/>
    <x v="1"/>
    <s v="C:\Users\andre\Desktop\REACTIV CEFAS\Anastrozole\Anastrozole/20201125_Cefas_Test7_Run2/Plate 2/@21/A12_02- exclu.tif"/>
    <m/>
    <m/>
    <x v="1"/>
    <m/>
    <m/>
    <m/>
  </r>
  <r>
    <x v="19"/>
    <x v="1"/>
    <s v="C:\Users\andre\Desktop\REACTIV CEFAS\Anastrozole\Anastrozole/20201125_Cefas_Test7_Run2/Plate 2/@21/A12_03- exclu.tif"/>
    <m/>
    <m/>
    <x v="1"/>
    <m/>
    <m/>
    <m/>
  </r>
  <r>
    <x v="19"/>
    <x v="2"/>
    <s v="C:\Users\andre\Desktop\REACTIV CEFAS\Anastrozole\Anastrozole/20201125_Cefas_Test7_Run2/Plate 2/@21/B12_01.tif "/>
    <s v=" 173.0392 "/>
    <s v=" 30.25 "/>
    <x v="0"/>
    <n v="5234"/>
    <m/>
    <m/>
  </r>
  <r>
    <x v="19"/>
    <x v="2"/>
    <s v="C:\Users\andre\Desktop\REACTIV CEFAS\Anastrozole\Anastrozole/20201125_Cefas_Test7_Run2/Plate 2/@21/B12_02.tif "/>
    <s v=" 1492.4627 "/>
    <s v=" 33.1884 "/>
    <x v="0"/>
    <n v="49532"/>
    <m/>
    <m/>
  </r>
  <r>
    <x v="19"/>
    <x v="2"/>
    <s v="C:\Users\andre\Desktop\REACTIV CEFAS\Anastrozole\Anastrozole/20201125_Cefas_Test7_Run2/Plate 2/@21/B12_03.tif "/>
    <s v=" 3309.3739 "/>
    <s v=" 35.1111 "/>
    <x v="0"/>
    <n v="116196"/>
    <m/>
    <m/>
  </r>
  <r>
    <x v="19"/>
    <x v="3"/>
    <s v="C:\Users\andre\Desktop\REACTIV CEFAS\Anastrozole\Anastrozole/20201125_Cefas_Test7_Run2/Plate 2/@21/C12_01.tif "/>
    <s v=" 5320.9541 "/>
    <s v=" 34.8455 "/>
    <x v="0"/>
    <n v="185411"/>
    <m/>
    <m/>
  </r>
  <r>
    <x v="19"/>
    <x v="3"/>
    <s v="C:\Users\andre\Desktop\REACTIV CEFAS\Anastrozole\Anastrozole/20201125_Cefas_Test7_Run2/Plate 2/@21/C12_02.tif "/>
    <s v=" 843.5659 "/>
    <s v=" 32.4103 "/>
    <x v="0"/>
    <n v="27340"/>
    <m/>
    <m/>
  </r>
  <r>
    <x v="19"/>
    <x v="3"/>
    <s v="C:\Users\andre\Desktop\REACTIV CEFAS\Anastrozole\Anastrozole/20201125_Cefas_Test7_Run2/Plate 2/@21/C12_03.tif "/>
    <s v=" 6899.9364 "/>
    <s v=" 34.7994 "/>
    <x v="0"/>
    <n v="240113"/>
    <m/>
    <m/>
  </r>
  <r>
    <x v="19"/>
    <x v="4"/>
    <s v="C:\Users\andre\Desktop\REACTIV CEFAS\Anastrozole\Anastrozole/20201125_Cefas_Test7_Run2/Plate 2/@21/D12_01.tif "/>
    <s v=" 7894.9115 "/>
    <s v=" 42.6548 "/>
    <x v="0"/>
    <n v="336756"/>
    <m/>
    <m/>
  </r>
  <r>
    <x v="19"/>
    <x v="4"/>
    <s v="C:\Users\andre\Desktop\REACTIV CEFAS\Anastrozole\Anastrozole/20201125_Cefas_Test7_Run2/Plate 2/@21/D12_02.tif "/>
    <s v=" 6726.8972 "/>
    <s v=" 37.3601 "/>
    <x v="0"/>
    <n v="251318"/>
    <m/>
    <m/>
  </r>
  <r>
    <x v="19"/>
    <x v="4"/>
    <s v="C:\Users\andre\Desktop\REACTIV CEFAS\Anastrozole\Anastrozole/20201125_Cefas_Test7_Run2/Plate 2/@21/D12_03.tif "/>
    <s v=" 7137.8652 "/>
    <s v=" 38.1788 "/>
    <x v="0"/>
    <n v="272515"/>
    <m/>
    <m/>
  </r>
  <r>
    <x v="19"/>
    <x v="5"/>
    <s v="C:\Users\andre\Desktop\REACTIV CEFAS\Anastrozole\Anastrozole/20201125_Cefas_Test7_Run2/Plate 2/@21/E12_01.tif "/>
    <s v=" 7570.4631 "/>
    <s v=" 36.9486 "/>
    <x v="0"/>
    <n v="279718"/>
    <m/>
    <m/>
  </r>
  <r>
    <x v="19"/>
    <x v="5"/>
    <s v="C:\Users\andre\Desktop\REACTIV CEFAS\Anastrozole\Anastrozole/20201125_Cefas_Test7_Run2/Plate 2/@21/E12_02.tif "/>
    <s v=" 11247.5452 "/>
    <s v=" 40.3404 "/>
    <x v="0"/>
    <n v="453730"/>
    <m/>
    <m/>
  </r>
  <r>
    <x v="19"/>
    <x v="5"/>
    <s v="C:\Users\andre\Desktop\REACTIV CEFAS\Anastrozole\Anastrozole/20201125_Cefas_Test7_Run2/Plate 2/@21/E12_03.tif "/>
    <s v=" 9776.7124 "/>
    <s v=" 39.646 "/>
    <x v="0"/>
    <n v="387608"/>
    <m/>
    <m/>
  </r>
  <r>
    <x v="19"/>
    <x v="6"/>
    <s v="C:\Users\andre\Desktop\REACTIV CEFAS\Anastrozole\Anastrozole/20201125_Cefas_Test7_Run2/Plate 2/@21/F12_01.tif "/>
    <s v=" 2336.0286 "/>
    <s v=" 35.6296 "/>
    <x v="0"/>
    <n v="83232"/>
    <m/>
    <m/>
  </r>
  <r>
    <x v="19"/>
    <x v="6"/>
    <s v="C:\Users\andre\Desktop\REACTIV CEFAS\Anastrozole\Anastrozole/20201125_Cefas_Test7_Run2/Plate 2/@21/F12_02.tif "/>
    <s v=" 3028.1852 "/>
    <s v=" 35.7286 "/>
    <x v="0"/>
    <n v="108193"/>
    <m/>
    <m/>
  </r>
  <r>
    <x v="19"/>
    <x v="6"/>
    <s v="C:\Users\andre\Desktop\REACTIV CEFAS\Anastrozole\Anastrozole/20201125_Cefas_Test7_Run2/Plate 2/@21/F12_03.tif "/>
    <s v=" 151.4093 "/>
    <s v=" 31.5714 "/>
    <x v="0"/>
    <n v="4780"/>
    <m/>
    <m/>
  </r>
  <r>
    <x v="19"/>
    <x v="7"/>
    <s v="C:\Users\andre\Desktop\REACTIV CEFAS\Anastrozole\Anastrozole/20201125_Cefas_Test7_Run2/Plate 2/@21/G12_01.tif "/>
    <s v=" 10577.0185 "/>
    <s v=" 45.3538 "/>
    <x v="0"/>
    <n v="479708"/>
    <m/>
    <m/>
  </r>
  <r>
    <x v="19"/>
    <x v="7"/>
    <s v="C:\Users\andre\Desktop\REACTIV CEFAS\Anastrozole\Anastrozole/20201125_Cefas_Test7_Run2/Plate 2/@21/G12_02.tif "/>
    <s v=" 9300.8547 "/>
    <s v=" 45.993 "/>
    <x v="0"/>
    <n v="427774"/>
    <m/>
    <m/>
  </r>
  <r>
    <x v="19"/>
    <x v="7"/>
    <s v="C:\Users\andre\Desktop\REACTIV CEFAS\Anastrozole\Anastrozole/20201125_Cefas_Test7_Run2/Plate 2/@21/G12_03.tif "/>
    <s v=" 10879.837 "/>
    <s v=" 47.004 "/>
    <x v="0"/>
    <n v="511396"/>
    <m/>
    <m/>
  </r>
  <r>
    <x v="19"/>
    <x v="8"/>
    <s v="C:\Users\andre\Desktop\REACTIV CEFAS\Anastrozole\Anastrozole/20201125_Cefas_Test7_Run2/Plate 2/@21/H12_01- exclu.tif"/>
    <m/>
    <m/>
    <x v="1"/>
    <m/>
    <m/>
    <m/>
  </r>
  <r>
    <x v="19"/>
    <x v="8"/>
    <s v="C:\Users\andre\Desktop\REACTIV CEFAS\Anastrozole\Anastrozole/20201125_Cefas_Test7_Run2/Plate 2/@21/H12_02- exclu.tif"/>
    <m/>
    <m/>
    <x v="1"/>
    <m/>
    <m/>
    <m/>
  </r>
  <r>
    <x v="19"/>
    <x v="8"/>
    <s v="C:\Users\andre\Desktop\REACTIV CEFAS\Anastrozole\Anastrozole/20201125_Cefas_Test7_Run2/Plate 2/@21/H12_03- exclu.tif"/>
    <m/>
    <m/>
    <x v="1"/>
    <m/>
    <m/>
    <m/>
  </r>
  <r>
    <x v="0"/>
    <x v="0"/>
    <s v=" "/>
    <m/>
    <m/>
    <x v="1"/>
    <m/>
    <m/>
    <m/>
  </r>
  <r>
    <x v="0"/>
    <x v="0"/>
    <s v="group "/>
    <s v=" "/>
    <s v=" mean of mean fluo "/>
    <x v="2"/>
    <s v=" mean of total fluo "/>
    <s v=" SD total fluo "/>
    <m/>
  </r>
  <r>
    <x v="19"/>
    <x v="9"/>
    <s v="C:\Users\andre\Desktop\REACTIV CEFAS\Anastrozole\Anastrozole/20201125_Cefas_Test7_Run2/Plate 2/@21/ "/>
    <s v=" "/>
    <s v=" 33.9029 "/>
    <x v="21"/>
    <s v=" 248388.667 "/>
    <s v=" 210369.718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Anastrozole\Anastrozole/20201125_Cefas_Test7_Run2/Plate 2/@8/A2_01.tif "/>
    <s v=" 3439.1532 "/>
    <s v=" 33.7987 "/>
    <x v="0"/>
    <n v="116239"/>
    <m/>
    <m/>
  </r>
  <r>
    <x v="20"/>
    <x v="1"/>
    <s v="C:\Users\andre\Desktop\REACTIV CEFAS\Anastrozole\Anastrozole/20201125_Cefas_Test7_Run2/Plate 2/@8/A2_02.tif "/>
    <s v=" 5450.7334 "/>
    <s v=" 36.0913 "/>
    <x v="0"/>
    <n v="196724"/>
    <m/>
    <m/>
  </r>
  <r>
    <x v="20"/>
    <x v="1"/>
    <s v="C:\Users\andre\Desktop\REACTIV CEFAS\Anastrozole\Anastrozole/20201125_Cefas_Test7_Run2/Plate 2/@8/A2_03.tif "/>
    <s v=" 5299.3242 "/>
    <s v=" 35.151 "/>
    <x v="0"/>
    <n v="186277"/>
    <m/>
    <m/>
  </r>
  <r>
    <x v="20"/>
    <x v="2"/>
    <s v="C:\Users\andre\Desktop\REACTIV CEFAS\Anastrozole\Anastrozole/20201125_Cefas_Test7_Run2/Plate 2/@8/B2_01.tif "/>
    <s v=" 432.5979 "/>
    <s v=" 31.4 "/>
    <x v="0"/>
    <n v="13584"/>
    <m/>
    <m/>
  </r>
  <r>
    <x v="20"/>
    <x v="2"/>
    <s v="C:\Users\andre\Desktop\REACTIV CEFAS\Anastrozole\Anastrozole/20201125_Cefas_Test7_Run2/Plate 2/@8/B2_02.tif "/>
    <s v=" 2660.477 "/>
    <s v=" 32.0813 "/>
    <x v="0"/>
    <n v="85352"/>
    <m/>
    <m/>
  </r>
  <r>
    <x v="20"/>
    <x v="2"/>
    <s v="C:\Users\andre\Desktop\REACTIV CEFAS\Anastrozole\Anastrozole/20201125_Cefas_Test7_Run2/Plate 2/@8/B2_03.tif "/>
    <s v=" 1925.0606 "/>
    <s v=" 33.618 "/>
    <x v="0"/>
    <n v="64717"/>
    <m/>
    <m/>
  </r>
  <r>
    <x v="20"/>
    <x v="3"/>
    <s v="C:\Users\andre\Desktop\REACTIV CEFAS\Anastrozole\Anastrozole/20201125_Cefas_Test7_Run2/Plate 2/@8/C2_01.tif "/>
    <s v=" 302.8185 "/>
    <s v=" 30.4286 "/>
    <x v="0"/>
    <n v="9214"/>
    <m/>
    <m/>
  </r>
  <r>
    <x v="20"/>
    <x v="3"/>
    <s v="C:\Users\andre\Desktop\REACTIV CEFAS\Anastrozole\Anastrozole/20201125_Cefas_Test7_Run2/Plate 2/@8/C2_02.tif "/>
    <s v=" 2249.509 "/>
    <s v=" 33.8173 "/>
    <x v="0"/>
    <n v="76072"/>
    <m/>
    <m/>
  </r>
  <r>
    <x v="20"/>
    <x v="3"/>
    <s v="C:\Users\andre\Desktop\REACTIV CEFAS\Anastrozole\Anastrozole/20201125_Cefas_Test7_Run2/Plate 2/@8/C2_03.tif "/>
    <s v=" 1514.0926 "/>
    <s v=" 32.6429 "/>
    <x v="0"/>
    <n v="49424"/>
    <m/>
    <m/>
  </r>
  <r>
    <x v="20"/>
    <x v="4"/>
    <s v="C:\Users\andre\Desktop\REACTIV CEFAS\Anastrozole\Anastrozole/20201125_Cefas_Test7_Run2/Plate 2/@8/D2_01.tif "/>
    <s v=" 3417.5234 "/>
    <s v=" 35.8165 "/>
    <x v="0"/>
    <n v="122404"/>
    <m/>
    <m/>
  </r>
  <r>
    <x v="20"/>
    <x v="4"/>
    <s v="C:\Users\andre\Desktop\REACTIV CEFAS\Anastrozole\Anastrozole/20201125_Cefas_Test7_Run2/Plate 2/@8/D2_02.tif "/>
    <s v=" 4347.6088 "/>
    <s v=" 36.6567 "/>
    <x v="0"/>
    <n v="159369"/>
    <m/>
    <m/>
  </r>
  <r>
    <x v="20"/>
    <x v="4"/>
    <s v="C:\Users\andre\Desktop\REACTIV CEFAS\Anastrozole\Anastrozole/20201125_Cefas_Test7_Run2/Plate 2/@8/D2_03.tif "/>
    <s v=" 6142.8901 "/>
    <s v=" 37.5246 "/>
    <x v="0"/>
    <n v="230510"/>
    <m/>
    <m/>
  </r>
  <r>
    <x v="20"/>
    <x v="5"/>
    <s v="C:\Users\andre\Desktop\REACTIV CEFAS\Anastrozole\Anastrozole/20201125_Cefas_Test7_Run2/Plate 2/@8/E2_01.tif "/>
    <s v=" 2271.1389 "/>
    <s v=" 34.1143 "/>
    <x v="0"/>
    <n v="77478"/>
    <m/>
    <m/>
  </r>
  <r>
    <x v="20"/>
    <x v="5"/>
    <s v="C:\Users\andre\Desktop\REACTIV CEFAS\Anastrozole\Anastrozole/20201125_Cefas_Test7_Run2/Plate 2/@8/E2_02.tif "/>
    <s v=" 2206.2493 "/>
    <s v=" 31.2255 "/>
    <x v="0"/>
    <n v="68891"/>
    <m/>
    <m/>
  </r>
  <r>
    <x v="20"/>
    <x v="5"/>
    <s v="C:\Users\andre\Desktop\REACTIV CEFAS\Anastrozole\Anastrozole/20201125_Cefas_Test7_Run2/Plate 2/@8/E2_03.tif "/>
    <s v=" 3114.7048 "/>
    <s v=" 35.75 "/>
    <x v="0"/>
    <n v="111351"/>
    <m/>
    <m/>
  </r>
  <r>
    <x v="20"/>
    <x v="6"/>
    <s v="C:\Users\andre\Desktop\REACTIV CEFAS\Anastrozole\Anastrozole/20201125_Cefas_Test7_Run2/Plate 2/@8/F2_01.tif "/>
    <s v=" 7051.3456 "/>
    <s v=" 39.1104 "/>
    <x v="0"/>
    <n v="275781"/>
    <m/>
    <m/>
  </r>
  <r>
    <x v="20"/>
    <x v="6"/>
    <s v="C:\Users\andre\Desktop\REACTIV CEFAS\Anastrozole\Anastrozole/20201125_Cefas_Test7_Run2/Plate 2/@8/F2_02.tif "/>
    <s v=" 9495.5237 "/>
    <s v=" 38.3941 "/>
    <x v="0"/>
    <n v="364572"/>
    <m/>
    <m/>
  </r>
  <r>
    <x v="20"/>
    <x v="6"/>
    <s v="C:\Users\andre\Desktop\REACTIV CEFAS\Anastrozole\Anastrozole/20201125_Cefas_Test7_Run2/Plate 2/@8/F2_03.tif "/>
    <s v=" 5775.1819 "/>
    <s v=" 35.6404 "/>
    <x v="0"/>
    <n v="205830"/>
    <m/>
    <m/>
  </r>
  <r>
    <x v="20"/>
    <x v="7"/>
    <s v="C:\Users\andre\Desktop\REACTIV CEFAS\Anastrozole\Anastrozole/20201125_Cefas_Test7_Run2/Plate 2/@8/G2_01.tif "/>
    <s v=" 3287.744 "/>
    <s v=" 33.8092 "/>
    <x v="0"/>
    <n v="111156"/>
    <m/>
    <m/>
  </r>
  <r>
    <x v="20"/>
    <x v="7"/>
    <s v="C:\Users\andre\Desktop\REACTIV CEFAS\Anastrozole\Anastrozole/20201125_Cefas_Test7_Run2/Plate 2/@8/G2_02.tif "/>
    <s v=" 1600.6122 "/>
    <s v=" 32.1486 "/>
    <x v="0"/>
    <n v="51458"/>
    <m/>
    <m/>
  </r>
  <r>
    <x v="20"/>
    <x v="7"/>
    <s v="C:\Users\andre\Desktop\REACTIV CEFAS\Anastrozole\Anastrozole/20201125_Cefas_Test7_Run2/Plate 2/@8/G2_03.tif "/>
    <s v=" 4347.6088 "/>
    <s v=" 33.6816 "/>
    <x v="0"/>
    <n v="146434"/>
    <m/>
    <m/>
  </r>
  <r>
    <x v="20"/>
    <x v="8"/>
    <s v="C:\Users\andre\Desktop\REACTIV CEFAS\Anastrozole\Anastrozole/20201125_Cefas_Test7_Run2/Plate 2/@8/H2_01.tif "/>
    <s v=" 454.2278 "/>
    <n v="32"/>
    <x v="0"/>
    <n v="14535"/>
    <m/>
    <m/>
  </r>
  <r>
    <x v="20"/>
    <x v="8"/>
    <s v="C:\Users\andre\Desktop\REACTIV CEFAS\Anastrozole\Anastrozole/20201125_Cefas_Test7_Run2/Plate 2/@8/H2_02.tif "/>
    <s v=" 908.4556 "/>
    <s v=" 32.9762 "/>
    <x v="0"/>
    <n v="29957"/>
    <m/>
    <m/>
  </r>
  <r>
    <x v="20"/>
    <x v="8"/>
    <s v="C:\Users\andre\Desktop\REACTIV CEFAS\Anastrozole\Anastrozole/20201125_Cefas_Test7_Run2/Plate 2/@8/H2_03.tif "/>
    <n v="0"/>
    <n v="0"/>
    <x v="0"/>
    <n v="0"/>
    <m/>
    <m/>
  </r>
  <r>
    <x v="0"/>
    <x v="0"/>
    <s v=" "/>
    <m/>
    <m/>
    <x v="1"/>
    <m/>
    <m/>
    <m/>
  </r>
  <r>
    <x v="0"/>
    <x v="0"/>
    <s v="group "/>
    <s v=" "/>
    <s v=" mean of mean fluo "/>
    <x v="2"/>
    <s v=" mean of total fluo "/>
    <s v=" SD total fluo "/>
    <m/>
  </r>
  <r>
    <x v="20"/>
    <x v="9"/>
    <s v="C:\Users\andre\Desktop\REACTIV CEFAS\Anastrozole\Anastrozole/20201125_Cefas_Test7_Run2/Plate 2/@8/ "/>
    <s v=" "/>
    <s v=" 32.8282 "/>
    <x v="22"/>
    <s v=" 115305.375 "/>
    <s v=" 91686.7112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Anastrozole\Anastrozole/20201125_Cefas_Test7_Run2/Plate 2/@9/A3_01.tif "/>
    <s v=" 108.1495 "/>
    <s v=" 32.2 "/>
    <x v="0"/>
    <n v="3482"/>
    <m/>
    <m/>
  </r>
  <r>
    <x v="21"/>
    <x v="1"/>
    <s v="C:\Users\andre\Desktop\REACTIV CEFAS\Anastrozole\Anastrozole/20201125_Cefas_Test7_Run2/Plate 2/@9/A3_02- exclu.tif"/>
    <m/>
    <m/>
    <x v="1"/>
    <m/>
    <m/>
    <m/>
  </r>
  <r>
    <x v="21"/>
    <x v="1"/>
    <s v="C:\Users\andre\Desktop\REACTIV CEFAS\Anastrozole\Anastrozole/20201125_Cefas_Test7_Run2/Plate 2/@9/A3_03.tif "/>
    <s v=" 3633.8223 "/>
    <s v=" 34.0595 "/>
    <x v="0"/>
    <n v="123766"/>
    <m/>
    <m/>
  </r>
  <r>
    <x v="21"/>
    <x v="2"/>
    <s v="C:\Users\andre\Desktop\REACTIV CEFAS\Anastrozole\Anastrozole/20201125_Cefas_Test7_Run2/Plate 2/@9/B3_01- exclu.tif"/>
    <m/>
    <m/>
    <x v="1"/>
    <m/>
    <m/>
    <m/>
  </r>
  <r>
    <x v="21"/>
    <x v="2"/>
    <s v="C:\Users\andre\Desktop\REACTIV CEFAS\Anastrozole\Anastrozole/20201125_Cefas_Test7_Run2/Plate 2/@9/B3_02- exclu.tif"/>
    <m/>
    <m/>
    <x v="1"/>
    <m/>
    <m/>
    <m/>
  </r>
  <r>
    <x v="21"/>
    <x v="2"/>
    <s v="C:\Users\andre\Desktop\REACTIV CEFAS\Anastrozole\Anastrozole/20201125_Cefas_Test7_Run2/Plate 2/@9/B3_03- exclu.tif"/>
    <m/>
    <m/>
    <x v="1"/>
    <m/>
    <m/>
    <m/>
  </r>
  <r>
    <x v="21"/>
    <x v="3"/>
    <s v="C:\Users\andre\Desktop\REACTIV CEFAS\Anastrozole\Anastrozole/20201125_Cefas_Test7_Run2/Plate 2/@9/C3_01- exclu.tif"/>
    <m/>
    <m/>
    <x v="1"/>
    <m/>
    <m/>
    <m/>
  </r>
  <r>
    <x v="21"/>
    <x v="3"/>
    <s v="C:\Users\andre\Desktop\REACTIV CEFAS\Anastrozole\Anastrozole/20201125_Cefas_Test7_Run2/Plate 2/@9/C3_02.tif "/>
    <s v=" 6251.0395 "/>
    <s v=" 35.3841 "/>
    <x v="0"/>
    <n v="221187"/>
    <m/>
    <m/>
  </r>
  <r>
    <x v="21"/>
    <x v="3"/>
    <s v="C:\Users\andre\Desktop\REACTIV CEFAS\Anastrozole\Anastrozole/20201125_Cefas_Test7_Run2/Plate 2/@9/C3_03- exclu.tif"/>
    <m/>
    <m/>
    <x v="1"/>
    <m/>
    <m/>
    <m/>
  </r>
  <r>
    <x v="21"/>
    <x v="4"/>
    <s v="C:\Users\andre\Desktop\REACTIV CEFAS\Anastrozole\Anastrozole/20201125_Cefas_Test7_Run2/Plate 2/@9/D3_01.tif "/>
    <s v=" 3157.9646 "/>
    <s v=" 33.2123 "/>
    <x v="0"/>
    <n v="104883"/>
    <m/>
    <m/>
  </r>
  <r>
    <x v="21"/>
    <x v="4"/>
    <s v="C:\Users\andre\Desktop\REACTIV CEFAS\Anastrozole\Anastrozole/20201125_Cefas_Test7_Run2/Plate 2/@9/D3_02.tif "/>
    <s v=" 324.4484 "/>
    <n v="32"/>
    <x v="0"/>
    <n v="10382"/>
    <m/>
    <m/>
  </r>
  <r>
    <x v="21"/>
    <x v="4"/>
    <s v="C:\Users\andre\Desktop\REACTIV CEFAS\Anastrozole\Anastrozole/20201125_Cefas_Test7_Run2/Plate 2/@9/D3_03.tif "/>
    <s v=" 3136.3347 "/>
    <s v=" 34.269 "/>
    <x v="0"/>
    <n v="107479"/>
    <m/>
    <m/>
  </r>
  <r>
    <x v="21"/>
    <x v="5"/>
    <s v="C:\Users\andre\Desktop\REACTIV CEFAS\Anastrozole\Anastrozole/20201125_Cefas_Test7_Run2/Plate 2/@9/E3_01.tif "/>
    <s v=" 12848.1574 "/>
    <s v=" 40.6684 "/>
    <x v="0"/>
    <n v="522513"/>
    <m/>
    <m/>
  </r>
  <r>
    <x v="21"/>
    <x v="5"/>
    <s v="C:\Users\andre\Desktop\REACTIV CEFAS\Anastrozole\Anastrozole/20201125_Cefas_Test7_Run2/Plate 2/@9/E3_02.tif "/>
    <s v=" 2249.509 "/>
    <s v=" 37.0096 "/>
    <x v="0"/>
    <n v="83253"/>
    <m/>
    <m/>
  </r>
  <r>
    <x v="21"/>
    <x v="5"/>
    <s v="C:\Users\andre\Desktop\REACTIV CEFAS\Anastrozole\Anastrozole/20201125_Cefas_Test7_Run2/Plate 2/@9/E3_03.tif "/>
    <s v=" 3331.0038 "/>
    <s v=" 31.0844 "/>
    <x v="0"/>
    <n v="103542"/>
    <m/>
    <m/>
  </r>
  <r>
    <x v="21"/>
    <x v="6"/>
    <s v="C:\Users\andre\Desktop\REACTIV CEFAS\Anastrozole\Anastrozole/20201125_Cefas_Test7_Run2/Plate 2/@9/F3_01.tif "/>
    <s v=" 6683.6374 "/>
    <s v=" 37.1359 "/>
    <x v="0"/>
    <n v="248203"/>
    <m/>
    <m/>
  </r>
  <r>
    <x v="21"/>
    <x v="6"/>
    <s v="C:\Users\andre\Desktop\REACTIV CEFAS\Anastrozole\Anastrozole/20201125_Cefas_Test7_Run2/Plate 2/@9/F3_02.tif "/>
    <s v=" 1514.0926 "/>
    <s v=" 32.9714 "/>
    <x v="0"/>
    <n v="49922"/>
    <m/>
    <m/>
  </r>
  <r>
    <x v="21"/>
    <x v="6"/>
    <s v="C:\Users\andre\Desktop\REACTIV CEFAS\Anastrozole\Anastrozole/20201125_Cefas_Test7_Run2/Plate 2/@9/F3_03.tif "/>
    <s v=" 6553.8581 "/>
    <s v=" 33.5875 "/>
    <x v="0"/>
    <n v="220127"/>
    <m/>
    <m/>
  </r>
  <r>
    <x v="21"/>
    <x v="7"/>
    <s v="C:\Users\andre\Desktop\REACTIV CEFAS\Anastrozole\Anastrozole/20201125_Cefas_Test7_Run2/Plate 2/@9/G3_01.tif "/>
    <s v=" 3266.1141 "/>
    <s v=" 37.5033 "/>
    <x v="0"/>
    <n v="122490"/>
    <m/>
    <m/>
  </r>
  <r>
    <x v="21"/>
    <x v="7"/>
    <s v="C:\Users\andre\Desktop\REACTIV CEFAS\Anastrozole\Anastrozole/20201125_Cefas_Test7_Run2/Plate 2/@9/G3_02.tif "/>
    <n v="0"/>
    <n v="0"/>
    <x v="0"/>
    <n v="0"/>
    <m/>
    <m/>
  </r>
  <r>
    <x v="21"/>
    <x v="7"/>
    <s v="C:\Users\andre\Desktop\REACTIV CEFAS\Anastrozole\Anastrozole/20201125_Cefas_Test7_Run2/Plate 2/@9/G3_03.tif "/>
    <s v=" 4585.5377 "/>
    <s v=" 40.1274 "/>
    <x v="0"/>
    <n v="184006"/>
    <m/>
    <m/>
  </r>
  <r>
    <x v="21"/>
    <x v="8"/>
    <s v="C:\Users\andre\Desktop\REACTIV CEFAS\Anastrozole\Anastrozole/20201125_Cefas_Test7_Run2/Plate 2/@9/H3_01.tif "/>
    <s v=" 5602.1427 "/>
    <s v=" 39.0579 "/>
    <x v="0"/>
    <n v="218808"/>
    <m/>
    <m/>
  </r>
  <r>
    <x v="21"/>
    <x v="8"/>
    <s v="C:\Users\andre\Desktop\REACTIV CEFAS\Anastrozole\Anastrozole/20201125_Cefas_Test7_Run2/Plate 2/@9/H3_02.tif "/>
    <s v=" 1189.6442 "/>
    <s v=" 33.6 "/>
    <x v="0"/>
    <n v="39972"/>
    <m/>
    <m/>
  </r>
  <r>
    <x v="21"/>
    <x v="8"/>
    <s v="C:\Users\andre\Desktop\REACTIV CEFAS\Anastrozole\Anastrozole/20201125_Cefas_Test7_Run2/Plate 2/@9/H3_03.tif "/>
    <s v=" 11247.5452 "/>
    <s v=" 39.7288 "/>
    <x v="0"/>
    <n v="446852"/>
    <m/>
    <m/>
  </r>
  <r>
    <x v="0"/>
    <x v="0"/>
    <s v=" "/>
    <m/>
    <m/>
    <x v="1"/>
    <m/>
    <m/>
    <m/>
  </r>
  <r>
    <x v="0"/>
    <x v="0"/>
    <s v="group "/>
    <s v=" "/>
    <s v=" mean of mean fluo "/>
    <x v="2"/>
    <s v=" mean of total fluo "/>
    <s v=" SD total fluo "/>
    <m/>
  </r>
  <r>
    <x v="21"/>
    <x v="9"/>
    <s v="C:\Users\andre\Desktop\REACTIV CEFAS\Anastrozole\Anastrozole/20201125_Cefas_Test7_Run2/Plate 2/@9/ "/>
    <s v=" "/>
    <s v=" 26.6608 "/>
    <x v="23"/>
    <s v=" 128328.25 "/>
    <s v=" 142231.205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le name "/>
    <s v=" total area "/>
    <s v=" mean intensity "/>
    <x v="0"/>
    <s v=" total fluorescence"/>
    <m/>
    <m/>
  </r>
  <r>
    <x v="1"/>
    <x v="1"/>
    <s v="C:\Users\andre\Desktop\REACTIV CEFAS\Anastrozole\Anastrozole/20201126_Cefas_Test7_Run3/Plate 1/@1/A10_01.tif "/>
    <s v=" 4801.8366 "/>
    <s v=" 34.4414 "/>
    <x v="0"/>
    <n v="165382"/>
    <m/>
    <m/>
  </r>
  <r>
    <x v="1"/>
    <x v="1"/>
    <s v="C:\Users\andre\Desktop\REACTIV CEFAS\Anastrozole\Anastrozole/20201126_Cefas_Test7_Run3/Plate 1/@1/A10_02.tif "/>
    <s v=" 6921.5663 "/>
    <s v=" 37.1063 "/>
    <x v="0"/>
    <n v="256833"/>
    <m/>
    <m/>
  </r>
  <r>
    <x v="1"/>
    <x v="1"/>
    <s v="C:\Users\andre\Desktop\REACTIV CEFAS\Anastrozole\Anastrozole/20201126_Cefas_Test7_Run3/Plate 1/@1/A10_03.tif "/>
    <s v=" 8392.3991 "/>
    <s v=" 36.3428 "/>
    <x v="0"/>
    <n v="305003"/>
    <m/>
    <m/>
  </r>
  <r>
    <x v="1"/>
    <x v="2"/>
    <s v="C:\Users\andre\Desktop\REACTIV CEFAS\Anastrozole\Anastrozole/20201126_Cefas_Test7_Run3/Plate 1/@1/B10_01.tif "/>
    <s v=" 15443.7448 "/>
    <s v=" 47.3165 "/>
    <x v="0"/>
    <n v="730744"/>
    <m/>
    <m/>
  </r>
  <r>
    <x v="1"/>
    <x v="2"/>
    <s v="C:\Users\andre\Desktop\REACTIV CEFAS\Anastrozole\Anastrozole/20201126_Cefas_Test7_Run3/Plate 1/@1/B10_02.tif "/>
    <s v=" 173.0392 "/>
    <s v=" 30.375 "/>
    <x v="0"/>
    <n v="5256"/>
    <m/>
    <m/>
  </r>
  <r>
    <x v="1"/>
    <x v="2"/>
    <s v="C:\Users\andre\Desktop\REACTIV CEFAS\Anastrozole\Anastrozole/20201126_Cefas_Test7_Run3/Plate 1/@1/B10_03- exclu.tif"/>
    <m/>
    <m/>
    <x v="1"/>
    <m/>
    <m/>
    <m/>
  </r>
  <r>
    <x v="1"/>
    <x v="3"/>
    <s v="C:\Users\andre\Desktop\REACTIV CEFAS\Anastrozole\Anastrozole/20201126_Cefas_Test7_Run3/Plate 1/@1/C10_01.tif "/>
    <s v=" 216.2989 "/>
    <s v=" 31.3 "/>
    <x v="0"/>
    <n v="6770"/>
    <m/>
    <m/>
  </r>
  <r>
    <x v="1"/>
    <x v="3"/>
    <s v="C:\Users\andre\Desktop\REACTIV CEFAS\Anastrozole\Anastrozole/20201126_Cefas_Test7_Run3/Plate 1/@1/C10_02.tif "/>
    <s v=" 64.8897 "/>
    <s v=" 31.3333 "/>
    <x v="0"/>
    <n v="2033"/>
    <m/>
    <m/>
  </r>
  <r>
    <x v="1"/>
    <x v="3"/>
    <s v="C:\Users\andre\Desktop\REACTIV CEFAS\Anastrozole\Anastrozole/20201126_Cefas_Test7_Run3/Plate 1/@1/C10_03.tif "/>
    <s v=" 7981.4311 "/>
    <s v=" 38.4797 "/>
    <x v="0"/>
    <n v="307123"/>
    <m/>
    <m/>
  </r>
  <r>
    <x v="1"/>
    <x v="4"/>
    <s v="C:\Users\andre\Desktop\REACTIV CEFAS\Anastrozole\Anastrozole/20201126_Cefas_Test7_Run3/Plate 1/@1/D10_01.tif "/>
    <s v=" 9495.5237 "/>
    <s v=" 39.2392 "/>
    <x v="0"/>
    <n v="372597"/>
    <m/>
    <m/>
  </r>
  <r>
    <x v="1"/>
    <x v="4"/>
    <s v="C:\Users\andre\Desktop\REACTIV CEFAS\Anastrozole\Anastrozole/20201126_Cefas_Test7_Run3/Plate 1/@1/D10_02.tif "/>
    <s v=" 4974.8758 "/>
    <s v=" 37.8609 "/>
    <x v="0"/>
    <n v="188353"/>
    <m/>
    <m/>
  </r>
  <r>
    <x v="1"/>
    <x v="4"/>
    <s v="C:\Users\andre\Desktop\REACTIV CEFAS\Anastrozole\Anastrozole/20201126_Cefas_Test7_Run3/Plate 1/@1/D10_03.tif "/>
    <s v=" 3979.9006 "/>
    <s v=" 39.337 "/>
    <x v="0"/>
    <n v="156557"/>
    <m/>
    <m/>
  </r>
  <r>
    <x v="1"/>
    <x v="5"/>
    <s v="C:\Users\andre\Desktop\REACTIV CEFAS\Anastrozole\Anastrozole/20201126_Cefas_Test7_Run3/Plate 1/@1/E10_01.tif "/>
    <s v=" 3374.2636 "/>
    <s v=" 36.7628 "/>
    <x v="0"/>
    <n v="124047"/>
    <m/>
    <m/>
  </r>
  <r>
    <x v="1"/>
    <x v="5"/>
    <s v="C:\Users\andre\Desktop\REACTIV CEFAS\Anastrozole\Anastrozole/20201126_Cefas_Test7_Run3/Plate 1/@1/E10_02.tif "/>
    <s v=" 3071.445 "/>
    <s v=" 34.7746 "/>
    <x v="0"/>
    <n v="106808"/>
    <m/>
    <m/>
  </r>
  <r>
    <x v="1"/>
    <x v="5"/>
    <s v="C:\Users\andre\Desktop\REACTIV CEFAS\Anastrozole\Anastrozole/20201126_Cefas_Test7_Run3/Plate 1/@1/E10_03.tif "/>
    <s v=" 2227.8791 "/>
    <s v=" 33.2913 "/>
    <x v="0"/>
    <n v="74169"/>
    <m/>
    <m/>
  </r>
  <r>
    <x v="1"/>
    <x v="6"/>
    <s v="C:\Users\andre\Desktop\REACTIV CEFAS\Anastrozole\Anastrozole/20201126_Cefas_Test7_Run3/Plate 1/@1/F10_01.tif "/>
    <s v=" 10057.901 "/>
    <s v=" 37.8473 "/>
    <x v="0"/>
    <n v="380665"/>
    <m/>
    <m/>
  </r>
  <r>
    <x v="1"/>
    <x v="6"/>
    <s v="C:\Users\andre\Desktop\REACTIV CEFAS\Anastrozole\Anastrozole/20201126_Cefas_Test7_Run3/Plate 1/@1/F10_02.tif "/>
    <s v=" 10360.7195 "/>
    <s v=" 38.6284 "/>
    <x v="0"/>
    <n v="400218"/>
    <m/>
    <m/>
  </r>
  <r>
    <x v="1"/>
    <x v="6"/>
    <s v="C:\Users\andre\Desktop\REACTIV CEFAS\Anastrozole\Anastrozole/20201126_Cefas_Test7_Run3/Plate 1/@1/F10_03.tif "/>
    <s v=" 10468.869 "/>
    <s v=" 36.8574 "/>
    <x v="0"/>
    <n v="385856"/>
    <m/>
    <m/>
  </r>
  <r>
    <x v="1"/>
    <x v="7"/>
    <s v="C:\Users\andre\Desktop\REACTIV CEFAS\Anastrozole\Anastrozole/20201126_Cefas_Test7_Run3/Plate 1/@1/G10_01.tif "/>
    <s v=" 454.2278 "/>
    <s v=" 31.619 "/>
    <x v="0"/>
    <n v="14362"/>
    <m/>
    <m/>
  </r>
  <r>
    <x v="1"/>
    <x v="7"/>
    <s v="C:\Users\andre\Desktop\REACTIV CEFAS\Anastrozole\Anastrozole/20201126_Cefas_Test7_Run3/Plate 1/@1/G10_02.tif "/>
    <s v=" 10057.901 "/>
    <s v=" 43.5269 "/>
    <x v="0"/>
    <n v="437789"/>
    <m/>
    <m/>
  </r>
  <r>
    <x v="1"/>
    <x v="7"/>
    <s v="C:\Users\andre\Desktop\REACTIV CEFAS\Anastrozole\Anastrozole/20201126_Cefas_Test7_Run3/Plate 1/@1/G10_03.tif "/>
    <s v=" 8349.1393 "/>
    <s v=" 45.1813 "/>
    <x v="0"/>
    <n v="377225"/>
    <m/>
    <m/>
  </r>
  <r>
    <x v="1"/>
    <x v="8"/>
    <s v="C:\Users\andre\Desktop\REACTIV CEFAS\Anastrozole\Anastrozole/20201126_Cefas_Test7_Run3/Plate 1/@1/H10_01.tif "/>
    <s v=" 4715.317 "/>
    <s v=" 37.1193 "/>
    <x v="0"/>
    <n v="175029"/>
    <m/>
    <m/>
  </r>
  <r>
    <x v="1"/>
    <x v="8"/>
    <s v="C:\Users\andre\Desktop\REACTIV CEFAS\Anastrozole\Anastrozole/20201126_Cefas_Test7_Run3/Plate 1/@1/H10_02.tif "/>
    <s v=" 5256.0644 "/>
    <s v=" 38.7202 "/>
    <x v="0"/>
    <n v="203516"/>
    <m/>
    <m/>
  </r>
  <r>
    <x v="1"/>
    <x v="8"/>
    <s v="C:\Users\andre\Desktop\REACTIV CEFAS\Anastrozole\Anastrozole/20201126_Cefas_Test7_Run3/Plate 1/@1/H10_03.tif "/>
    <s v=" 3850.1212 "/>
    <s v=" 37.5506 "/>
    <x v="0"/>
    <n v="144574"/>
    <m/>
    <m/>
  </r>
  <r>
    <x v="0"/>
    <x v="0"/>
    <s v=" "/>
    <m/>
    <m/>
    <x v="1"/>
    <m/>
    <m/>
    <m/>
  </r>
  <r>
    <x v="0"/>
    <x v="0"/>
    <s v="group "/>
    <s v=" "/>
    <s v=" mean of mean fluo "/>
    <x v="2"/>
    <s v=" mean of total fluo "/>
    <s v=" SD total fluo "/>
    <m/>
  </r>
  <r>
    <x v="1"/>
    <x v="9"/>
    <s v="C:\Users\andre\Desktop\REACTIV CEFAS\Anastrozole\Anastrozole/20201126_Cefas_Test7_Run3/Plate 1/@1/ "/>
    <s v=" "/>
    <s v=" 37.668 "/>
    <x v="3"/>
    <s v=" 252321.667 "/>
    <s v=" 202042.288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Anastrozole\Anastrozole/20201126_Cefas_Test7_Run3/Plate 1/@13/A8_01.tif "/>
    <s v=" 58530.4949 "/>
    <s v=" 38.0333 "/>
    <x v="0"/>
    <n v="2226105"/>
    <m/>
    <m/>
  </r>
  <r>
    <x v="2"/>
    <x v="1"/>
    <s v="C:\Users\andre\Desktop\REACTIV CEFAS\Anastrozole\Anastrozole/20201126_Cefas_Test7_Run3/Plate 1/@13/A8_02.tif "/>
    <s v=" 70902.7946 "/>
    <s v=" 41.7206 "/>
    <x v="0"/>
    <n v="2958104"/>
    <m/>
    <m/>
  </r>
  <r>
    <x v="2"/>
    <x v="1"/>
    <s v="C:\Users\andre\Desktop\REACTIV CEFAS\Anastrozole\Anastrozole/20201126_Cefas_Test7_Run3/Plate 1/@13/A8_03.tif "/>
    <s v=" 58292.566 "/>
    <s v=" 40.4085 "/>
    <x v="0"/>
    <n v="2355517"/>
    <m/>
    <m/>
  </r>
  <r>
    <x v="2"/>
    <x v="2"/>
    <s v="C:\Users\andre\Desktop\REACTIV CEFAS\Anastrozole\Anastrozole/20201126_Cefas_Test7_Run3/Plate 1/@13/B8_01.tif "/>
    <s v=" 28378.4218 "/>
    <s v=" 38.2691 "/>
    <x v="0"/>
    <n v="1086015"/>
    <m/>
    <m/>
  </r>
  <r>
    <x v="2"/>
    <x v="2"/>
    <s v="C:\Users\andre\Desktop\REACTIV CEFAS\Anastrozole\Anastrozole/20201126_Cefas_Test7_Run3/Plate 1/@13/B8_02.tif "/>
    <s v=" 21132.4071 "/>
    <s v=" 37.2927 "/>
    <x v="0"/>
    <n v="788085"/>
    <m/>
    <m/>
  </r>
  <r>
    <x v="2"/>
    <x v="2"/>
    <s v="C:\Users\andre\Desktop\REACTIV CEFAS\Anastrozole\Anastrozole/20201126_Cefas_Test7_Run3/Plate 1/@13/B8_03.tif "/>
    <s v=" 28573.0908 "/>
    <s v=" 37.2483 "/>
    <x v="0"/>
    <n v="1064299"/>
    <m/>
    <m/>
  </r>
  <r>
    <x v="2"/>
    <x v="3"/>
    <s v="C:\Users\andre\Desktop\REACTIV CEFAS\Anastrozole\Anastrozole/20201126_Cefas_Test7_Run3/Plate 1/@13/C8_01.tif "/>
    <s v=" 44925.2911 "/>
    <s v=" 37.0891 "/>
    <x v="0"/>
    <n v="1666237"/>
    <m/>
    <m/>
  </r>
  <r>
    <x v="2"/>
    <x v="3"/>
    <s v="C:\Users\andre\Desktop\REACTIV CEFAS\Anastrozole\Anastrozole/20201126_Cefas_Test7_Run3/Plate 1/@13/C8_02.tif "/>
    <s v=" 31341.7173 "/>
    <s v=" 34.4589 "/>
    <x v="0"/>
    <n v="1080002"/>
    <m/>
    <m/>
  </r>
  <r>
    <x v="2"/>
    <x v="3"/>
    <s v="C:\Users\andre\Desktop\REACTIV CEFAS\Anastrozole\Anastrozole/20201126_Cefas_Test7_Run3/Plate 1/@13/C8_03.tif "/>
    <s v=" 30627.9308 "/>
    <s v=" 35.9167 "/>
    <x v="0"/>
    <n v="1100053"/>
    <m/>
    <m/>
  </r>
  <r>
    <x v="2"/>
    <x v="4"/>
    <s v="C:\Users\andre\Desktop\REACTIV CEFAS\Anastrozole\Anastrozole/20201126_Cefas_Test7_Run3/Plate 1/@13/D8_01.tif "/>
    <s v=" 46763.8322 "/>
    <s v=" 36.6138 "/>
    <x v="0"/>
    <n v="1712201"/>
    <m/>
    <m/>
  </r>
  <r>
    <x v="2"/>
    <x v="4"/>
    <s v="C:\Users\andre\Desktop\REACTIV CEFAS\Anastrozole\Anastrozole/20201126_Cefas_Test7_Run3/Plate 1/@13/D8_02.tif "/>
    <s v=" 57730.1888 "/>
    <s v=" 38.0378 "/>
    <x v="0"/>
    <n v="2195932"/>
    <m/>
    <m/>
  </r>
  <r>
    <x v="2"/>
    <x v="4"/>
    <s v="C:\Users\andre\Desktop\REACTIV CEFAS\Anastrozole\Anastrozole/20201126_Cefas_Test7_Run3/Plate 1/@13/D8_03.tif "/>
    <s v=" 71594.9512 "/>
    <s v=" 42.2082 "/>
    <x v="0"/>
    <n v="3021891"/>
    <m/>
    <m/>
  </r>
  <r>
    <x v="2"/>
    <x v="5"/>
    <s v="C:\Users\andre\Desktop\REACTIV CEFAS\Anastrozole\Anastrozole/20201126_Cefas_Test7_Run3/Plate 1/@13/E8_01.tif "/>
    <s v=" 27707.895 "/>
    <s v=" 35.007 "/>
    <x v="0"/>
    <n v="969971"/>
    <m/>
    <m/>
  </r>
  <r>
    <x v="2"/>
    <x v="5"/>
    <s v="C:\Users\andre\Desktop\REACTIV CEFAS\Anastrozole\Anastrozole/20201126_Cefas_Test7_Run3/Plate 1/@13/E8_02.tif "/>
    <s v=" 21802.9338 "/>
    <s v=" 33.6002 "/>
    <x v="0"/>
    <n v="732583"/>
    <m/>
    <m/>
  </r>
  <r>
    <x v="2"/>
    <x v="5"/>
    <s v="C:\Users\andre\Desktop\REACTIV CEFAS\Anastrozole\Anastrozole/20201126_Cefas_Test7_Run3/Plate 1/@13/E8_03.tif "/>
    <s v=" 28313.5321 "/>
    <s v=" 34.8793 "/>
    <x v="0"/>
    <n v="987556"/>
    <m/>
    <m/>
  </r>
  <r>
    <x v="2"/>
    <x v="6"/>
    <s v="C:\Users\andre\Desktop\REACTIV CEFAS\Anastrozole\Anastrozole/20201126_Cefas_Test7_Run3/Plate 1/@13/F8_01.tif "/>
    <s v=" 40253.2339 "/>
    <s v=" 40.4046 "/>
    <x v="0"/>
    <n v="1626417"/>
    <m/>
    <m/>
  </r>
  <r>
    <x v="2"/>
    <x v="6"/>
    <s v="C:\Users\andre\Desktop\REACTIV CEFAS\Anastrozole\Anastrozole/20201126_Cefas_Test7_Run3/Plate 1/@13/F8_02.tif "/>
    <s v=" 45487.6684 "/>
    <s v=" 43.9643 "/>
    <x v="0"/>
    <n v="1999835"/>
    <m/>
    <m/>
  </r>
  <r>
    <x v="2"/>
    <x v="6"/>
    <s v="C:\Users\andre\Desktop\REACTIV CEFAS\Anastrozole\Anastrozole/20201126_Cefas_Test7_Run3/Plate 1/@13/F8_03.tif "/>
    <s v=" 41075.1699 "/>
    <s v=" 40.5513 "/>
    <x v="0"/>
    <n v="1665653"/>
    <m/>
    <m/>
  </r>
  <r>
    <x v="2"/>
    <x v="7"/>
    <s v="C:\Users\andre\Desktop\REACTIV CEFAS\Anastrozole\Anastrozole/20201126_Cefas_Test7_Run3/Plate 1/@13/G8_01.tif "/>
    <s v=" 60152.737 "/>
    <s v=" 40.6433 "/>
    <x v="0"/>
    <n v="2444805"/>
    <m/>
    <m/>
  </r>
  <r>
    <x v="2"/>
    <x v="7"/>
    <s v="C:\Users\andre\Desktop\REACTIV CEFAS\Anastrozole\Anastrozole/20201126_Cefas_Test7_Run3/Plate 1/@13/G8_02.tif "/>
    <s v=" 60066.2174 "/>
    <s v=" 39.2683 "/>
    <x v="0"/>
    <n v="2358697"/>
    <m/>
    <m/>
  </r>
  <r>
    <x v="2"/>
    <x v="7"/>
    <s v="C:\Users\andre\Desktop\REACTIV CEFAS\Anastrozole\Anastrozole/20201126_Cefas_Test7_Run3/Plate 1/@13/G8_03.tif "/>
    <s v=" 67117.563 "/>
    <s v=" 39.0187 "/>
    <x v="0"/>
    <n v="2618839"/>
    <m/>
    <m/>
  </r>
  <r>
    <x v="2"/>
    <x v="8"/>
    <s v="C:\Users\andre\Desktop\REACTIV CEFAS\Anastrozole\Anastrozole/20201126_Cefas_Test7_Run3/Plate 1/@13/H8_01.tif "/>
    <s v=" 26734.5498 "/>
    <s v=" 38.1998 "/>
    <x v="0"/>
    <n v="1021255"/>
    <m/>
    <m/>
  </r>
  <r>
    <x v="2"/>
    <x v="8"/>
    <s v="C:\Users\andre\Desktop\REACTIV CEFAS\Anastrozole\Anastrozole/20201126_Cefas_Test7_Run3/Plate 1/@13/H8_02.tif "/>
    <s v=" 45703.9674 "/>
    <s v=" 37.5125 "/>
    <x v="0"/>
    <n v="1714472"/>
    <m/>
    <m/>
  </r>
  <r>
    <x v="2"/>
    <x v="8"/>
    <s v="C:\Users\andre\Desktop\REACTIV CEFAS\Anastrozole\Anastrozole/20201126_Cefas_Test7_Run3/Plate 1/@13/H8_03.tif "/>
    <s v=" 33958.9346 "/>
    <s v=" 39.5331 "/>
    <x v="0"/>
    <n v="1342503"/>
    <m/>
    <m/>
  </r>
  <r>
    <x v="0"/>
    <x v="0"/>
    <s v=" "/>
    <m/>
    <m/>
    <x v="1"/>
    <m/>
    <m/>
    <m/>
  </r>
  <r>
    <x v="0"/>
    <x v="0"/>
    <s v="group "/>
    <s v=" "/>
    <s v=" mean of mean fluo "/>
    <x v="2"/>
    <s v=" mean of total fluo "/>
    <s v=" SD total fluo "/>
    <m/>
  </r>
  <r>
    <x v="2"/>
    <x v="9"/>
    <s v="C:\Users\andre\Desktop\REACTIV CEFAS\Anastrozole\Anastrozole/20201126_Cefas_Test7_Run3/Plate 1/@13/ "/>
    <s v=" "/>
    <s v=" 38.3283 "/>
    <x v="4"/>
    <s v=" 1697376.12 "/>
    <s v=" 695804.138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Anastrozole\Anastrozole/20201126_Cefas_Test7_Run3/Plate 1/@14/A9_01.tif "/>
    <s v=" 21997.6028 "/>
    <s v=" 36.9007 "/>
    <x v="0"/>
    <n v="811727"/>
    <m/>
    <m/>
  </r>
  <r>
    <x v="3"/>
    <x v="1"/>
    <s v="C:\Users\andre\Desktop\REACTIV CEFAS\Anastrozole\Anastrozole/20201126_Cefas_Test7_Run3/Plate 1/@14/A9_02.tif "/>
    <s v=" 21781.3039 "/>
    <s v=" 37.285 "/>
    <x v="0"/>
    <n v="812116"/>
    <m/>
    <m/>
  </r>
  <r>
    <x v="3"/>
    <x v="1"/>
    <s v="C:\Users\andre\Desktop\REACTIV CEFAS\Anastrozole\Anastrozole/20201126_Cefas_Test7_Run3/Plate 1/@14/A9_03.tif "/>
    <s v=" 21521.7452 "/>
    <s v=" 36.7578 "/>
    <x v="0"/>
    <n v="791092"/>
    <m/>
    <m/>
  </r>
  <r>
    <x v="3"/>
    <x v="2"/>
    <s v="C:\Users\andre\Desktop\REACTIV CEFAS\Anastrozole\Anastrozole/20201126_Cefas_Test7_Run3/Plate 1/@14/B9_01.tif "/>
    <s v=" 53447.4696 "/>
    <s v=" 43.4844 "/>
    <x v="0"/>
    <n v="2324132"/>
    <m/>
    <m/>
  </r>
  <r>
    <x v="3"/>
    <x v="2"/>
    <s v="C:\Users\andre\Desktop\REACTIV CEFAS\Anastrozole\Anastrozole/20201126_Cefas_Test7_Run3/Plate 1/@14/B9_02.tif "/>
    <s v=" 46698.9425 "/>
    <s v=" 44.164 "/>
    <x v="0"/>
    <n v="2062410"/>
    <m/>
    <m/>
  </r>
  <r>
    <x v="3"/>
    <x v="2"/>
    <s v="C:\Users\andre\Desktop\REACTIV CEFAS\Anastrozole\Anastrozole/20201126_Cefas_Test7_Run3/Plate 1/@14/B9_03.tif "/>
    <s v=" 45898.6364 "/>
    <s v=" 44.0975 "/>
    <x v="0"/>
    <n v="2024017"/>
    <m/>
    <m/>
  </r>
  <r>
    <x v="3"/>
    <x v="3"/>
    <s v="C:\Users\andre\Desktop\REACTIV CEFAS\Anastrozole\Anastrozole/20201126_Cefas_Test7_Run3/Plate 1/@14/C9_01.tif "/>
    <s v=" 33872.415 "/>
    <s v=" 34.9662 "/>
    <x v="0"/>
    <n v="1184388"/>
    <m/>
    <m/>
  </r>
  <r>
    <x v="3"/>
    <x v="3"/>
    <s v="C:\Users\andre\Desktop\REACTIV CEFAS\Anastrozole\Anastrozole/20201126_Cefas_Test7_Run3/Plate 1/@14/C9_02.tif "/>
    <s v=" 43303.049 "/>
    <s v=" 38.3856 "/>
    <x v="0"/>
    <n v="1662214"/>
    <m/>
    <m/>
  </r>
  <r>
    <x v="3"/>
    <x v="3"/>
    <s v="C:\Users\andre\Desktop\REACTIV CEFAS\Anastrozole\Anastrozole/20201126_Cefas_Test7_Run3/Plate 1/@14/C9_03.tif "/>
    <s v=" 43973.5758 "/>
    <s v=" 37.5814 "/>
    <x v="0"/>
    <n v="1652589"/>
    <m/>
    <m/>
  </r>
  <r>
    <x v="3"/>
    <x v="4"/>
    <s v="C:\Users\andre\Desktop\REACTIV CEFAS\Anastrozole\Anastrozole/20201126_Cefas_Test7_Run3/Plate 1/@14/D9_01.tif "/>
    <s v=" 76223.7487 "/>
    <s v=" 46.0715 "/>
    <x v="0"/>
    <n v="3511743"/>
    <m/>
    <m/>
  </r>
  <r>
    <x v="3"/>
    <x v="4"/>
    <s v="C:\Users\andre\Desktop\REACTIV CEFAS\Anastrozole\Anastrozole/20201126_Cefas_Test7_Run3/Plate 1/@14/D9_02.tif "/>
    <s v=" 76418.4177 "/>
    <s v=" 43.3691 "/>
    <x v="0"/>
    <n v="3314197"/>
    <m/>
    <m/>
  </r>
  <r>
    <x v="3"/>
    <x v="4"/>
    <s v="C:\Users\andre\Desktop\REACTIV CEFAS\Anastrozole\Anastrozole/20201126_Cefas_Test7_Run3/Plate 1/@14/D9_03.tif "/>
    <s v=" 74925.955 "/>
    <s v=" 47.3369 "/>
    <x v="0"/>
    <n v="3546762"/>
    <m/>
    <m/>
  </r>
  <r>
    <x v="3"/>
    <x v="5"/>
    <s v="C:\Users\andre\Desktop\REACTIV CEFAS\Anastrozole\Anastrozole/20201126_Cefas_Test7_Run3/Plate 1/@14/E9_01.tif "/>
    <s v=" 23684.7346 "/>
    <s v=" 32.9836 "/>
    <x v="0"/>
    <n v="781207"/>
    <m/>
    <m/>
  </r>
  <r>
    <x v="3"/>
    <x v="5"/>
    <s v="C:\Users\andre\Desktop\REACTIV CEFAS\Anastrozole\Anastrozole/20201126_Cefas_Test7_Run3/Plate 1/@14/E9_02.tif "/>
    <s v=" 19402.0155 "/>
    <s v=" 32.5708 "/>
    <x v="0"/>
    <n v="631939"/>
    <m/>
    <m/>
  </r>
  <r>
    <x v="3"/>
    <x v="5"/>
    <s v="C:\Users\andre\Desktop\REACTIV CEFAS\Anastrozole\Anastrozole/20201126_Cefas_Test7_Run3/Plate 1/@14/E9_03.tif "/>
    <s v=" 40339.7535 "/>
    <s v=" 36.2702 "/>
    <x v="0"/>
    <n v="1463133"/>
    <m/>
    <m/>
  </r>
  <r>
    <x v="3"/>
    <x v="6"/>
    <s v="C:\Users\andre\Desktop\REACTIV CEFAS\Anastrozole\Anastrozole/20201126_Cefas_Test7_Run3/Plate 1/@14/F9_01.tif "/>
    <s v=" 87860.632 "/>
    <s v=" 48.0202 "/>
    <x v="0"/>
    <n v="4219084"/>
    <m/>
    <m/>
  </r>
  <r>
    <x v="3"/>
    <x v="6"/>
    <s v="C:\Users\andre\Desktop\REACTIV CEFAS\Anastrozole\Anastrozole/20201126_Cefas_Test7_Run3/Plate 1/@14/F9_02.tif "/>
    <s v=" 77088.9445 "/>
    <s v=" 49.3235 "/>
    <x v="0"/>
    <n v="3802298"/>
    <m/>
    <m/>
  </r>
  <r>
    <x v="3"/>
    <x v="6"/>
    <s v="C:\Users\andre\Desktop\REACTIV CEFAS\Anastrozole\Anastrozole/20201126_Cefas_Test7_Run3/Plate 1/@14/F9_03.tif "/>
    <s v=" 79922.4607 "/>
    <s v=" 46.1215 "/>
    <x v="0"/>
    <n v="3686145"/>
    <m/>
    <m/>
  </r>
  <r>
    <x v="3"/>
    <x v="7"/>
    <s v="C:\Users\andre\Desktop\REACTIV CEFAS\Anastrozole\Anastrozole/20201126_Cefas_Test7_Run3/Plate 1/@14/G9_01.tif "/>
    <s v=" 59676.8793 "/>
    <s v=" 39.0033 "/>
    <x v="0"/>
    <n v="2327593"/>
    <m/>
    <m/>
  </r>
  <r>
    <x v="3"/>
    <x v="7"/>
    <s v="C:\Users\andre\Desktop\REACTIV CEFAS\Anastrozole\Anastrozole/20201126_Cefas_Test7_Run3/Plate 1/@14/G9_02.tif "/>
    <s v=" 53252.8006 "/>
    <s v=" 38.3907 "/>
    <x v="0"/>
    <n v="2044414"/>
    <m/>
    <m/>
  </r>
  <r>
    <x v="3"/>
    <x v="7"/>
    <s v="C:\Users\andre\Desktop\REACTIV CEFAS\Anastrozole\Anastrozole/20201126_Cefas_Test7_Run3/Plate 1/@14/G9_03.tif "/>
    <s v=" 54550.5943 "/>
    <s v=" 38.3569 "/>
    <x v="0"/>
    <n v="2092389"/>
    <m/>
    <m/>
  </r>
  <r>
    <x v="3"/>
    <x v="8"/>
    <s v="C:\Users\andre\Desktop\REACTIV CEFAS\Anastrozole\Anastrozole/20201126_Cefas_Test7_Run3/Plate 1/@14/H9_01.tif "/>
    <s v=" 58357.4557 "/>
    <s v=" 42.7309 "/>
    <x v="0"/>
    <n v="2493667"/>
    <m/>
    <m/>
  </r>
  <r>
    <x v="3"/>
    <x v="8"/>
    <s v="C:\Users\andre\Desktop\REACTIV CEFAS\Anastrozole\Anastrozole/20201126_Cefas_Test7_Run3/Plate 1/@14/H9_02.tif "/>
    <s v=" 56302.6157 "/>
    <s v=" 41.5409 "/>
    <x v="0"/>
    <n v="2338862"/>
    <m/>
    <m/>
  </r>
  <r>
    <x v="3"/>
    <x v="8"/>
    <s v="C:\Users\andre\Desktop\REACTIV CEFAS\Anastrozole\Anastrozole/20201126_Cefas_Test7_Run3/Plate 1/@14/H9_03.tif "/>
    <s v=" 60455.5555 "/>
    <s v=" 41.7624 "/>
    <x v="0"/>
    <n v="2524771"/>
    <m/>
    <m/>
  </r>
  <r>
    <x v="0"/>
    <x v="0"/>
    <s v=" "/>
    <m/>
    <m/>
    <x v="1"/>
    <m/>
    <m/>
    <m/>
  </r>
  <r>
    <x v="0"/>
    <x v="0"/>
    <s v="group "/>
    <s v=" "/>
    <s v=" mean of mean fluo "/>
    <x v="2"/>
    <s v=" mean of total fluo "/>
    <s v=" SD total fluo "/>
    <m/>
  </r>
  <r>
    <x v="3"/>
    <x v="9"/>
    <s v="C:\Users\andre\Desktop\REACTIV CEFAS\Anastrozole\Anastrozole/20201126_Cefas_Test7_Run3/Plate 1/@14/ "/>
    <s v=" "/>
    <s v=" 40.7281 "/>
    <x v="5"/>
    <s v=" 2170953.71 "/>
    <s v=" 1071576.12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Anastrozole\Anastrozole/20201126_Cefas_Test7_Run3/Plate 1/@15/A11_01.tif "/>
    <s v=" 79035.635 "/>
    <s v=" 53.6708 "/>
    <x v="0"/>
    <n v="4241904"/>
    <m/>
    <m/>
  </r>
  <r>
    <x v="4"/>
    <x v="1"/>
    <s v="C:\Users\andre\Desktop\REACTIV CEFAS\Anastrozole\Anastrozole/20201126_Cefas_Test7_Run3/Plate 1/@15/A11_02.tif "/>
    <s v=" 76353.528 "/>
    <s v=" 49.6915 "/>
    <x v="0"/>
    <n v="3794121"/>
    <m/>
    <m/>
  </r>
  <r>
    <x v="4"/>
    <x v="1"/>
    <s v="C:\Users\andre\Desktop\REACTIV CEFAS\Anastrozole\Anastrozole/20201126_Cefas_Test7_Run3/Plate 1/@15/A11_03.tif "/>
    <s v=" 73238.8232 "/>
    <s v=" 51.5272 "/>
    <x v="0"/>
    <n v="3773789"/>
    <m/>
    <m/>
  </r>
  <r>
    <x v="4"/>
    <x v="2"/>
    <s v="C:\Users\andre\Desktop\REACTIV CEFAS\Anastrozole\Anastrozole/20201126_Cefas_Test7_Run3/Plate 1/@15/B11_01.tif "/>
    <s v=" 67204.0826 "/>
    <s v=" 51.3338 "/>
    <x v="0"/>
    <n v="3449838"/>
    <m/>
    <m/>
  </r>
  <r>
    <x v="4"/>
    <x v="2"/>
    <s v="C:\Users\andre\Desktop\REACTIV CEFAS\Anastrozole\Anastrozole/20201126_Cefas_Test7_Run3/Plate 1/@15/B11_02.tif "/>
    <s v=" 64284.0468 "/>
    <s v=" 47.644 "/>
    <x v="0"/>
    <n v="3062750"/>
    <m/>
    <m/>
  </r>
  <r>
    <x v="4"/>
    <x v="2"/>
    <s v="C:\Users\andre\Desktop\REACTIV CEFAS\Anastrozole\Anastrozole/20201126_Cefas_Test7_Run3/Plate 1/@15/B11_03.tif "/>
    <s v=" 64889.6839 "/>
    <s v=" 49.562 "/>
    <x v="0"/>
    <n v="3216063"/>
    <m/>
    <m/>
  </r>
  <r>
    <x v="4"/>
    <x v="3"/>
    <s v="C:\Users\andre\Desktop\REACTIV CEFAS\Anastrozole\Anastrozole/20201126_Cefas_Test7_Run3/Plate 1/@15/C11_01.tif "/>
    <s v=" 53663.7686 "/>
    <s v=" 39.7658 "/>
    <x v="0"/>
    <n v="2133984"/>
    <m/>
    <m/>
  </r>
  <r>
    <x v="4"/>
    <x v="3"/>
    <s v="C:\Users\andre\Desktop\REACTIV CEFAS\Anastrozole\Anastrozole/20201126_Cefas_Test7_Run3/Plate 1/@15/C11_02.tif "/>
    <s v=" 58249.3062 "/>
    <s v=" 44.5065 "/>
    <x v="0"/>
    <n v="2592473"/>
    <m/>
    <m/>
  </r>
  <r>
    <x v="4"/>
    <x v="3"/>
    <s v="C:\Users\andre\Desktop\REACTIV CEFAS\Anastrozole\Anastrozole/20201126_Cefas_Test7_Run3/Plate 1/@15/C11_03.tif "/>
    <s v=" 52279.4553 "/>
    <s v=" 43.6678 "/>
    <x v="0"/>
    <n v="2282927"/>
    <m/>
    <m/>
  </r>
  <r>
    <x v="4"/>
    <x v="4"/>
    <s v="C:\Users\andre\Desktop\REACTIV CEFAS\Anastrozole\Anastrozole/20201126_Cefas_Test7_Run3/Plate 1/@15/D11_01- exclu.tif"/>
    <m/>
    <m/>
    <x v="1"/>
    <m/>
    <m/>
    <m/>
  </r>
  <r>
    <x v="4"/>
    <x v="4"/>
    <s v="C:\Users\andre\Desktop\REACTIV CEFAS\Anastrozole\Anastrozole/20201126_Cefas_Test7_Run3/Plate 1/@15/D11_02- exclu.tif"/>
    <m/>
    <m/>
    <x v="1"/>
    <m/>
    <m/>
    <m/>
  </r>
  <r>
    <x v="4"/>
    <x v="4"/>
    <s v="C:\Users\andre\Desktop\REACTIV CEFAS\Anastrozole\Anastrozole/20201126_Cefas_Test7_Run3/Plate 1/@15/D11_03- exclu.tif"/>
    <m/>
    <m/>
    <x v="1"/>
    <m/>
    <m/>
    <m/>
  </r>
  <r>
    <x v="4"/>
    <x v="5"/>
    <s v="C:\Users\andre\Desktop\REACTIV CEFAS\Anastrozole\Anastrozole/20201126_Cefas_Test7_Run3/Plate 1/@15/E11_01.tif "/>
    <s v=" 60109.4772 "/>
    <s v=" 49.968 "/>
    <x v="0"/>
    <n v="3003549"/>
    <m/>
    <m/>
  </r>
  <r>
    <x v="4"/>
    <x v="5"/>
    <s v="C:\Users\andre\Desktop\REACTIV CEFAS\Anastrozole\Anastrozole/20201126_Cefas_Test7_Run3/Plate 1/@15/E11_02.tif "/>
    <s v=" 64262.4169 "/>
    <s v=" 54.9566 "/>
    <x v="0"/>
    <n v="3531643"/>
    <m/>
    <m/>
  </r>
  <r>
    <x v="4"/>
    <x v="5"/>
    <s v="C:\Users\andre\Desktop\REACTIV CEFAS\Anastrozole\Anastrozole/20201126_Cefas_Test7_Run3/Plate 1/@15/E11_03.tif "/>
    <s v=" 61147.7121 "/>
    <s v=" 52.4004 "/>
    <x v="0"/>
    <n v="3204166"/>
    <m/>
    <m/>
  </r>
  <r>
    <x v="4"/>
    <x v="6"/>
    <s v="C:\Users\andre\Desktop\REACTIV CEFAS\Anastrozole\Anastrozole/20201126_Cefas_Test7_Run3/Plate 1/@15/F11_01.tif "/>
    <s v=" 61731.7193 "/>
    <s v=" 47.6836 "/>
    <x v="0"/>
    <n v="2943591"/>
    <m/>
    <m/>
  </r>
  <r>
    <x v="4"/>
    <x v="6"/>
    <s v="C:\Users\andre\Desktop\REACTIV CEFAS\Anastrozole\Anastrozole/20201126_Cefas_Test7_Run3/Plate 1/@15/F11_02.tif "/>
    <s v=" 62618.545 "/>
    <s v=" 46.4722 "/>
    <x v="0"/>
    <n v="2910021"/>
    <m/>
    <m/>
  </r>
  <r>
    <x v="4"/>
    <x v="6"/>
    <s v="C:\Users\andre\Desktop\REACTIV CEFAS\Anastrozole\Anastrozole/20201126_Cefas_Test7_Run3/Plate 1/@15/F11_03.tif "/>
    <s v=" 67961.1289 "/>
    <s v=" 50.8491 "/>
    <x v="0"/>
    <n v="3455765"/>
    <m/>
    <m/>
  </r>
  <r>
    <x v="4"/>
    <x v="7"/>
    <s v="C:\Users\andre\Desktop\REACTIV CEFAS\Anastrozole\Anastrozole/20201126_Cefas_Test7_Run3/Plate 1/@15/G11_01.tif "/>
    <s v=" 72871.115 "/>
    <s v=" 43.4378 "/>
    <x v="0"/>
    <n v="3165362"/>
    <m/>
    <m/>
  </r>
  <r>
    <x v="4"/>
    <x v="7"/>
    <s v="C:\Users\andre\Desktop\REACTIV CEFAS\Anastrozole\Anastrozole/20201126_Cefas_Test7_Run3/Plate 1/@15/G11_02.tif "/>
    <s v=" 65711.6199 "/>
    <s v=" 44.0932 "/>
    <x v="0"/>
    <n v="2897433"/>
    <m/>
    <m/>
  </r>
  <r>
    <x v="4"/>
    <x v="7"/>
    <s v="C:\Users\andre\Desktop\REACTIV CEFAS\Anastrozole\Anastrozole/20201126_Cefas_Test7_Run3/Plate 1/@15/G11_03.tif "/>
    <s v=" 65387.1715 "/>
    <s v=" 45.0589 "/>
    <x v="0"/>
    <n v="2946273"/>
    <m/>
    <m/>
  </r>
  <r>
    <x v="4"/>
    <x v="8"/>
    <s v="C:\Users\andre\Desktop\REACTIV CEFAS\Anastrozole\Anastrozole/20201126_Cefas_Test7_Run3/Plate 1/@15/H11_01.tif "/>
    <s v=" 71335.3925 "/>
    <s v=" 48.7438 "/>
    <x v="0"/>
    <n v="3477157"/>
    <m/>
    <m/>
  </r>
  <r>
    <x v="4"/>
    <x v="8"/>
    <s v="C:\Users\andre\Desktop\REACTIV CEFAS\Anastrozole\Anastrozole/20201126_Cefas_Test7_Run3/Plate 1/@15/H11_02.tif "/>
    <s v=" 71140.7234 "/>
    <s v=" 50.4424 "/>
    <x v="0"/>
    <n v="3588508"/>
    <m/>
    <m/>
  </r>
  <r>
    <x v="4"/>
    <x v="8"/>
    <s v="C:\Users\andre\Desktop\REACTIV CEFAS\Anastrozole\Anastrozole/20201126_Cefas_Test7_Run3/Plate 1/@15/H11_03.tif "/>
    <s v=" 75747.891 "/>
    <s v=" 49.7476 "/>
    <x v="0"/>
    <n v="3768274"/>
    <m/>
    <m/>
  </r>
  <r>
    <x v="0"/>
    <x v="0"/>
    <s v=" "/>
    <m/>
    <m/>
    <x v="1"/>
    <m/>
    <m/>
    <m/>
  </r>
  <r>
    <x v="0"/>
    <x v="0"/>
    <s v="group "/>
    <s v=" "/>
    <s v=" mean of mean fluo "/>
    <x v="2"/>
    <s v=" mean of total fluo "/>
    <s v=" SD total fluo "/>
    <m/>
  </r>
  <r>
    <x v="4"/>
    <x v="9"/>
    <s v="C:\Users\andre\Desktop\REACTIV CEFAS\Anastrozole\Anastrozole/20201126_Cefas_Test7_Run3/Plate 1/@15/ "/>
    <s v=" "/>
    <s v=" 47.5223 "/>
    <x v="6"/>
    <s v=" 2849296.17 "/>
    <s v=" 1100867.29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Anastrozole\Anastrozole/20201126_Cefas_Test7_Run3/Plate 1/@16/A12_01.tif "/>
    <s v=" 129.7794 "/>
    <n v="30"/>
    <x v="0"/>
    <n v="3893"/>
    <m/>
    <m/>
  </r>
  <r>
    <x v="5"/>
    <x v="1"/>
    <s v="C:\Users\andre\Desktop\REACTIV CEFAS\Anastrozole\Anastrozole/20201126_Cefas_Test7_Run3/Plate 1/@16/A12_02- exclu.tif"/>
    <m/>
    <m/>
    <x v="1"/>
    <m/>
    <m/>
    <m/>
  </r>
  <r>
    <x v="5"/>
    <x v="1"/>
    <s v="C:\Users\andre\Desktop\REACTIV CEFAS\Anastrozole\Anastrozole/20201126_Cefas_Test7_Run3/Plate 1/@16/A12_03- exclu.tif"/>
    <m/>
    <m/>
    <x v="1"/>
    <m/>
    <m/>
    <m/>
  </r>
  <r>
    <x v="5"/>
    <x v="2"/>
    <s v="C:\Users\andre\Desktop\REACTIV CEFAS\Anastrozole\Anastrozole/20201126_Cefas_Test7_Run3/Plate 1/@16/B12_01.tif "/>
    <s v=" 3590.5625 "/>
    <s v=" 35.2651 "/>
    <x v="0"/>
    <n v="126621"/>
    <m/>
    <m/>
  </r>
  <r>
    <x v="5"/>
    <x v="2"/>
    <s v="C:\Users\andre\Desktop\REACTIV CEFAS\Anastrozole\Anastrozole/20201126_Cefas_Test7_Run3/Plate 1/@16/B12_02.tif "/>
    <s v=" 7159.4951 "/>
    <s v=" 38.1299 "/>
    <x v="0"/>
    <n v="272991"/>
    <m/>
    <m/>
  </r>
  <r>
    <x v="5"/>
    <x v="2"/>
    <s v="C:\Users\andre\Desktop\REACTIV CEFAS\Anastrozole\Anastrozole/20201126_Cefas_Test7_Run3/Plate 1/@16/B12_03.tif "/>
    <s v=" 4693.6871 "/>
    <s v=" 32.1982 "/>
    <x v="0"/>
    <n v="151128"/>
    <m/>
    <m/>
  </r>
  <r>
    <x v="5"/>
    <x v="3"/>
    <s v="C:\Users\andre\Desktop\REACTIV CEFAS\Anastrozole\Anastrozole/20201126_Cefas_Test7_Run3/Plate 1/@16/C12_01.tif "/>
    <s v=" 8370.7692 "/>
    <s v=" 37.9147 "/>
    <x v="0"/>
    <n v="317375"/>
    <m/>
    <m/>
  </r>
  <r>
    <x v="5"/>
    <x v="3"/>
    <s v="C:\Users\andre\Desktop\REACTIV CEFAS\Anastrozole\Anastrozole/20201126_Cefas_Test7_Run3/Plate 1/@16/C12_02.tif "/>
    <s v=" 8154.4703 "/>
    <s v=" 41.1485 "/>
    <x v="0"/>
    <n v="335545"/>
    <m/>
    <m/>
  </r>
  <r>
    <x v="5"/>
    <x v="3"/>
    <s v="C:\Users\andre\Desktop\REACTIV CEFAS\Anastrozole\Anastrozole/20201126_Cefas_Test7_Run3/Plate 1/@16/C12_03.tif "/>
    <s v=" 5515.6231 "/>
    <s v=" 37.0353 "/>
    <x v="0"/>
    <n v="204273"/>
    <m/>
    <m/>
  </r>
  <r>
    <x v="5"/>
    <x v="4"/>
    <s v="C:\Users\andre\Desktop\REACTIV CEFAS\Anastrozole\Anastrozole/20201126_Cefas_Test7_Run3/Plate 1/@16/D12_01.tif "/>
    <s v=" 8003.061 "/>
    <s v=" 38.0054 "/>
    <x v="0"/>
    <n v="304160"/>
    <m/>
    <m/>
  </r>
  <r>
    <x v="5"/>
    <x v="4"/>
    <s v="C:\Users\andre\Desktop\REACTIV CEFAS\Anastrozole\Anastrozole/20201126_Cefas_Test7_Run3/Plate 1/@16/D12_02.tif "/>
    <s v=" 16114.2715 "/>
    <s v=" 39.6752 "/>
    <x v="0"/>
    <n v="639336"/>
    <m/>
    <m/>
  </r>
  <r>
    <x v="5"/>
    <x v="4"/>
    <s v="C:\Users\andre\Desktop\REACTIV CEFAS\Anastrozole\Anastrozole/20201126_Cefas_Test7_Run3/Plate 1/@16/D12_03.tif "/>
    <s v=" 4412.4985 "/>
    <s v=" 35.0882 "/>
    <x v="0"/>
    <n v="154827"/>
    <m/>
    <m/>
  </r>
  <r>
    <x v="5"/>
    <x v="5"/>
    <s v="C:\Users\andre\Desktop\REACTIV CEFAS\Anastrozole\Anastrozole/20201126_Cefas_Test7_Run3/Plate 1/@16/E12_01.tif "/>
    <s v=" 13972.9119 "/>
    <s v=" 39.1981 "/>
    <x v="0"/>
    <n v="547712"/>
    <m/>
    <m/>
  </r>
  <r>
    <x v="5"/>
    <x v="5"/>
    <s v="C:\Users\andre\Desktop\REACTIV CEFAS\Anastrozole\Anastrozole/20201126_Cefas_Test7_Run3/Plate 1/@16/E12_02.tif "/>
    <s v=" 9798.3423 "/>
    <s v=" 38.3046 "/>
    <x v="0"/>
    <n v="375322"/>
    <m/>
    <m/>
  </r>
  <r>
    <x v="5"/>
    <x v="5"/>
    <s v="C:\Users\andre\Desktop\REACTIV CEFAS\Anastrozole\Anastrozole/20201126_Cefas_Test7_Run3/Plate 1/@16/E12_03.tif "/>
    <s v=" 10014.6412 "/>
    <s v=" 37.6199 "/>
    <x v="0"/>
    <n v="376750"/>
    <m/>
    <m/>
  </r>
  <r>
    <x v="5"/>
    <x v="6"/>
    <s v="C:\Users\andre\Desktop\REACTIV CEFAS\Anastrozole\Anastrozole/20201126_Cefas_Test7_Run3/Plate 1/@16/F12_01.tif "/>
    <s v=" 6034.7406 "/>
    <s v=" 37.8315 "/>
    <x v="0"/>
    <n v="228304"/>
    <m/>
    <m/>
  </r>
  <r>
    <x v="5"/>
    <x v="6"/>
    <s v="C:\Users\andre\Desktop\REACTIV CEFAS\Anastrozole\Anastrozole/20201126_Cefas_Test7_Run3/Plate 1/@16/F12_02.tif "/>
    <s v=" 4001.5305 "/>
    <s v=" 37.8 "/>
    <x v="0"/>
    <n v="151258"/>
    <m/>
    <m/>
  </r>
  <r>
    <x v="5"/>
    <x v="6"/>
    <s v="C:\Users\andre\Desktop\REACTIV CEFAS\Anastrozole\Anastrozole/20201126_Cefas_Test7_Run3/Plate 1/@16/F12_03.tif "/>
    <s v=" 2357.6585 "/>
    <s v=" 35.3945 "/>
    <x v="0"/>
    <n v="83448"/>
    <m/>
    <m/>
  </r>
  <r>
    <x v="5"/>
    <x v="7"/>
    <s v="C:\Users\andre\Desktop\REACTIV CEFAS\Anastrozole\Anastrozole/20201126_Cefas_Test7_Run3/Plate 1/@16/G12_01.tif "/>
    <s v=" 8998.0362 "/>
    <s v=" 44.9663 "/>
    <x v="0"/>
    <n v="404609"/>
    <m/>
    <m/>
  </r>
  <r>
    <x v="5"/>
    <x v="7"/>
    <s v="C:\Users\andre\Desktop\REACTIV CEFAS\Anastrozole\Anastrozole/20201126_Cefas_Test7_Run3/Plate 1/@16/G12_02.tif "/>
    <s v=" 8392.3991 "/>
    <s v=" 43.2912 "/>
    <x v="0"/>
    <n v="363317"/>
    <m/>
    <m/>
  </r>
  <r>
    <x v="5"/>
    <x v="7"/>
    <s v="C:\Users\andre\Desktop\REACTIV CEFAS\Anastrozole\Anastrozole/20201126_Cefas_Test7_Run3/Plate 1/@16/G12_03.tif "/>
    <s v=" 10966.3566 "/>
    <s v=" 46.3412 "/>
    <x v="0"/>
    <n v="508194"/>
    <m/>
    <m/>
  </r>
  <r>
    <x v="5"/>
    <x v="8"/>
    <s v="C:\Users\andre\Desktop\REACTIV CEFAS\Anastrozole\Anastrozole/20201126_Cefas_Test7_Run3/Plate 1/@16/H12_01.tif "/>
    <s v=" 6899.9364 "/>
    <s v=" 38.7931 "/>
    <x v="0"/>
    <n v="267670"/>
    <m/>
    <m/>
  </r>
  <r>
    <x v="5"/>
    <x v="8"/>
    <s v="C:\Users\andre\Desktop\REACTIV CEFAS\Anastrozole\Anastrozole/20201126_Cefas_Test7_Run3/Plate 1/@16/H12_02.tif "/>
    <s v=" 4217.8295 "/>
    <s v=" 36.7436 "/>
    <x v="0"/>
    <n v="154978"/>
    <m/>
    <m/>
  </r>
  <r>
    <x v="5"/>
    <x v="8"/>
    <s v="C:\Users\andre\Desktop\REACTIV CEFAS\Anastrozole\Anastrozole/20201126_Cefas_Test7_Run3/Plate 1/@16/H12_03.tif "/>
    <s v=" 3806.8615 "/>
    <s v=" 36.375 "/>
    <x v="0"/>
    <n v="138475"/>
    <m/>
    <m/>
  </r>
  <r>
    <x v="0"/>
    <x v="0"/>
    <s v=" "/>
    <m/>
    <m/>
    <x v="1"/>
    <m/>
    <m/>
    <m/>
  </r>
  <r>
    <x v="0"/>
    <x v="0"/>
    <s v="group "/>
    <s v=" "/>
    <s v=" mean of mean fluo "/>
    <x v="2"/>
    <s v=" mean of total fluo "/>
    <s v=" SD total fluo "/>
    <m/>
  </r>
  <r>
    <x v="5"/>
    <x v="9"/>
    <s v="C:\Users\andre\Desktop\REACTIV CEFAS\Anastrozole\Anastrozole/20201126_Cefas_Test7_Run3/Plate 1/@16/ "/>
    <s v=" "/>
    <s v=" 38.6223 "/>
    <x v="7"/>
    <s v=" 309239.917 "/>
    <s v=" 186810.833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Anastrozole\Anastrozole/20201126_Cefas_Test7_Run3/Plate 1/@2/A2_01.tif "/>
    <n v="0"/>
    <n v="0"/>
    <x v="0"/>
    <n v="0"/>
    <m/>
    <m/>
  </r>
  <r>
    <x v="6"/>
    <x v="1"/>
    <s v="C:\Users\andre\Desktop\REACTIV CEFAS\Anastrozole\Anastrozole/20201126_Cefas_Test7_Run3/Plate 1/@2/A2_02.tif "/>
    <s v=" 11615.2534 "/>
    <s v=" 38.1155 "/>
    <x v="0"/>
    <n v="442721"/>
    <m/>
    <m/>
  </r>
  <r>
    <x v="6"/>
    <x v="1"/>
    <s v="C:\Users\andre\Desktop\REACTIV CEFAS\Anastrozole\Anastrozole/20201126_Cefas_Test7_Run3/Plate 1/@2/A2_03.tif "/>
    <s v=" 9019.6661 "/>
    <s v=" 36.2446 "/>
    <x v="0"/>
    <n v="326914"/>
    <m/>
    <m/>
  </r>
  <r>
    <x v="6"/>
    <x v="2"/>
    <s v="C:\Users\andre\Desktop\REACTIV CEFAS\Anastrozole\Anastrozole/20201126_Cefas_Test7_Run3/Plate 1/@2/B2_01.tif "/>
    <s v=" 8176.1002 "/>
    <s v=" 33.4497 "/>
    <x v="0"/>
    <n v="273488"/>
    <m/>
    <m/>
  </r>
  <r>
    <x v="6"/>
    <x v="2"/>
    <s v="C:\Users\andre\Desktop\REACTIV CEFAS\Anastrozole\Anastrozole/20201126_Cefas_Test7_Run3/Plate 1/@2/B2_02.tif "/>
    <s v=" 10252.5701 "/>
    <s v=" 38.9325 "/>
    <x v="0"/>
    <n v="399158"/>
    <m/>
    <m/>
  </r>
  <r>
    <x v="6"/>
    <x v="2"/>
    <s v="C:\Users\andre\Desktop\REACTIV CEFAS\Anastrozole\Anastrozole/20201126_Cefas_Test7_Run3/Plate 1/@2/B2_03.tif "/>
    <s v=" 1903.4307 "/>
    <s v=" 35.6136 "/>
    <x v="0"/>
    <n v="67788"/>
    <m/>
    <m/>
  </r>
  <r>
    <x v="6"/>
    <x v="3"/>
    <s v="C:\Users\andre\Desktop\REACTIV CEFAS\Anastrozole\Anastrozole/20201126_Cefas_Test7_Run3/Plate 1/@2/C2_01.tif "/>
    <s v=" 18861.2681 "/>
    <s v=" 39.3108 "/>
    <x v="0"/>
    <n v="741451"/>
    <m/>
    <m/>
  </r>
  <r>
    <x v="6"/>
    <x v="3"/>
    <s v="C:\Users\andre\Desktop\REACTIV CEFAS\Anastrozole\Anastrozole/20201126_Cefas_Test7_Run3/Plate 1/@2/C2_02.tif "/>
    <s v=" 16071.0117 "/>
    <s v=" 43.0283 "/>
    <x v="0"/>
    <n v="691508"/>
    <m/>
    <m/>
  </r>
  <r>
    <x v="6"/>
    <x v="3"/>
    <s v="C:\Users\andre\Desktop\REACTIV CEFAS\Anastrozole\Anastrozole/20201126_Cefas_Test7_Run3/Plate 1/@2/C2_03.tif "/>
    <s v=" 14773.218 "/>
    <s v=" 42.9122 "/>
    <x v="0"/>
    <n v="633951"/>
    <m/>
    <m/>
  </r>
  <r>
    <x v="6"/>
    <x v="4"/>
    <s v="C:\Users\andre\Desktop\REACTIV CEFAS\Anastrozole\Anastrozole/20201126_Cefas_Test7_Run3/Plate 1/@2/D2_01.tif "/>
    <s v=" 9106.1856 "/>
    <s v=" 35.791 "/>
    <x v="0"/>
    <n v="325919"/>
    <m/>
    <m/>
  </r>
  <r>
    <x v="6"/>
    <x v="4"/>
    <s v="C:\Users\andre\Desktop\REACTIV CEFAS\Anastrozole\Anastrozole/20201126_Cefas_Test7_Run3/Plate 1/@2/D2_02.tif "/>
    <s v=" 5537.253 "/>
    <s v=" 31.668 "/>
    <x v="0"/>
    <n v="175354"/>
    <m/>
    <m/>
  </r>
  <r>
    <x v="6"/>
    <x v="4"/>
    <s v="C:\Users\andre\Desktop\REACTIV CEFAS\Anastrozole\Anastrozole/20201126_Cefas_Test7_Run3/Plate 1/@2/D2_03.tif "/>
    <s v=" 8522.1785 "/>
    <s v=" 40.8782 "/>
    <x v="0"/>
    <n v="348371"/>
    <m/>
    <m/>
  </r>
  <r>
    <x v="6"/>
    <x v="5"/>
    <s v="C:\Users\andre\Desktop\REACTIV CEFAS\Anastrozole\Anastrozole/20201126_Cefas_Test7_Run3/Plate 1/@2/E2_01.tif "/>
    <s v=" 930.0855 "/>
    <s v=" 31.3023 "/>
    <x v="0"/>
    <n v="29114"/>
    <m/>
    <m/>
  </r>
  <r>
    <x v="6"/>
    <x v="5"/>
    <s v="C:\Users\andre\Desktop\REACTIV CEFAS\Anastrozole\Anastrozole/20201126_Cefas_Test7_Run3/Plate 1/@2/E2_02.tif "/>
    <s v=" 843.5659 "/>
    <s v=" 31.1538 "/>
    <x v="0"/>
    <n v="26280"/>
    <m/>
    <m/>
  </r>
  <r>
    <x v="6"/>
    <x v="5"/>
    <s v="C:\Users\andre\Desktop\REACTIV CEFAS\Anastrozole\Anastrozole/20201126_Cefas_Test7_Run3/Plate 1/@2/E2_03.tif "/>
    <s v=" 713.7865 "/>
    <s v=" 31.9091 "/>
    <x v="0"/>
    <n v="22776"/>
    <m/>
    <m/>
  </r>
  <r>
    <x v="6"/>
    <x v="6"/>
    <s v="C:\Users\andre\Desktop\REACTIV CEFAS\Anastrozole\Anastrozole/20201126_Cefas_Test7_Run3/Plate 1/@2/F2_01.tif "/>
    <s v=" 4109.68 "/>
    <s v=" 35.0105 "/>
    <x v="0"/>
    <n v="143882"/>
    <m/>
    <m/>
  </r>
  <r>
    <x v="6"/>
    <x v="6"/>
    <s v="C:\Users\andre\Desktop\REACTIV CEFAS\Anastrozole\Anastrozole/20201126_Cefas_Test7_Run3/Plate 1/@2/F2_02.tif "/>
    <s v=" 4131.3099 "/>
    <s v=" 34.5183 "/>
    <x v="0"/>
    <n v="142606"/>
    <m/>
    <m/>
  </r>
  <r>
    <x v="6"/>
    <x v="7"/>
    <s v="C:\Users\andre\Desktop\REACTIV CEFAS\Anastrozole\Anastrozole/20201126_Cefas_Test7_Run3/Plate 1/@2/G2_03.tif "/>
    <s v=" 9884.8618 "/>
    <s v=" 36.9256 "/>
    <x v="0"/>
    <n v="365004"/>
    <m/>
    <m/>
  </r>
  <r>
    <x v="6"/>
    <x v="8"/>
    <s v="C:\Users\andre\Desktop\REACTIV CEFAS\Anastrozole\Anastrozole/20201126_Cefas_Test7_Run3/Plate 1/@2/H2_01.tif "/>
    <s v=" 43.2598 "/>
    <n v="30"/>
    <x v="0"/>
    <n v="1298"/>
    <m/>
    <m/>
  </r>
  <r>
    <x v="6"/>
    <x v="8"/>
    <s v="C:\Users\andre\Desktop\REACTIV CEFAS\Anastrozole\Anastrozole/20201126_Cefas_Test7_Run3/Plate 1/@2/H2_02.tif "/>
    <s v=" 10793.3174 "/>
    <s v=" 39.2305 "/>
    <x v="0"/>
    <n v="423427"/>
    <m/>
    <m/>
  </r>
  <r>
    <x v="6"/>
    <x v="8"/>
    <s v="C:\Users\andre\Desktop\REACTIV CEFAS\Anastrozole\Anastrozole/20201126_Cefas_Test7_Run3/Plate 1/@2/H2_03.tif "/>
    <s v=" 8565.4383 "/>
    <s v=" 40.654 "/>
    <x v="0"/>
    <n v="348220"/>
    <m/>
    <m/>
  </r>
  <r>
    <x v="0"/>
    <x v="0"/>
    <s v=" "/>
    <m/>
    <m/>
    <x v="1"/>
    <m/>
    <m/>
    <m/>
  </r>
  <r>
    <x v="0"/>
    <x v="0"/>
    <s v="group "/>
    <s v=" "/>
    <s v=" mean of mean fluo "/>
    <x v="2"/>
    <s v=" mean of total fluo "/>
    <s v=" SD total fluo "/>
    <m/>
  </r>
  <r>
    <x v="6"/>
    <x v="9"/>
    <s v="C:\Users\andre\Desktop\REACTIV CEFAS\Anastrozole\Anastrozole/20201126_Cefas_Test7_Run3/Plate 1/@2/ "/>
    <s v=" "/>
    <s v=" 34.6023 "/>
    <x v="8"/>
    <s v=" 282344.286 "/>
    <s v=" 227216.031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Anastrozole\Anastrozole/20201126_Cefas_Test7_Run3/Plate 1/@3/A3_01.tif "/>
    <s v=" 3568.9326 "/>
    <s v=" 33.4242 "/>
    <x v="0"/>
    <n v="119289"/>
    <m/>
    <m/>
  </r>
  <r>
    <x v="7"/>
    <x v="1"/>
    <s v="C:\Users\andre\Desktop\REACTIV CEFAS\Anastrozole\Anastrozole/20201126_Cefas_Test7_Run3/Plate 1/@3/A3_02.tif "/>
    <s v=" 259.5587 "/>
    <s v=" 31.3333 "/>
    <x v="0"/>
    <n v="8133"/>
    <m/>
    <m/>
  </r>
  <r>
    <x v="7"/>
    <x v="1"/>
    <s v="C:\Users\andre\Desktop\REACTIV CEFAS\Anastrozole\Anastrozole/20201126_Cefas_Test7_Run3/Plate 1/@3/A3_03.tif "/>
    <s v=" 2379.2884 "/>
    <s v=" 33.0182 "/>
    <x v="0"/>
    <n v="78560"/>
    <m/>
    <m/>
  </r>
  <r>
    <x v="7"/>
    <x v="2"/>
    <s v="C:\Users\andre\Desktop\REACTIV CEFAS\Anastrozole\Anastrozole/20201126_Cefas_Test7_Run3/Plate 1/@3/B3_01.tif "/>
    <s v=" 21456.8555 "/>
    <s v=" 33.8458 "/>
    <x v="0"/>
    <n v="726224"/>
    <m/>
    <m/>
  </r>
  <r>
    <x v="7"/>
    <x v="2"/>
    <s v="C:\Users\andre\Desktop\REACTIV CEFAS\Anastrozole\Anastrozole/20201126_Cefas_Test7_Run3/Plate 1/@3/B3_02.tif "/>
    <s v=" 32012.2441 "/>
    <s v=" 35.3541 "/>
    <x v="0"/>
    <n v="1131763"/>
    <m/>
    <m/>
  </r>
  <r>
    <x v="7"/>
    <x v="2"/>
    <s v="C:\Users\andre\Desktop\REACTIV CEFAS\Anastrozole\Anastrozole/20201126_Cefas_Test7_Run3/Plate 1/@3/B3_03.tif "/>
    <s v=" 15162.5561 "/>
    <s v=" 34.2725 "/>
    <x v="0"/>
    <n v="519658"/>
    <m/>
    <m/>
  </r>
  <r>
    <x v="7"/>
    <x v="3"/>
    <s v="C:\Users\andre\Desktop\REACTIV CEFAS\Anastrozole\Anastrozole/20201126_Cefas_Test7_Run3/Plate 1/@3/C3_01.tif "/>
    <s v=" 12977.9368 "/>
    <s v=" 34.7033 "/>
    <x v="0"/>
    <n v="450378"/>
    <m/>
    <m/>
  </r>
  <r>
    <x v="7"/>
    <x v="3"/>
    <s v="C:\Users\andre\Desktop\REACTIV CEFAS\Anastrozole\Anastrozole/20201126_Cefas_Test7_Run3/Plate 1/@3/C3_02.tif "/>
    <s v=" 10101.1608 "/>
    <s v=" 39.7559 "/>
    <x v="0"/>
    <n v="401581"/>
    <m/>
    <m/>
  </r>
  <r>
    <x v="7"/>
    <x v="3"/>
    <s v="C:\Users\andre\Desktop\REACTIV CEFAS\Anastrozole\Anastrozole/20201126_Cefas_Test7_Run3/Plate 1/@3/C3_03.tif "/>
    <s v=" 8543.8084 "/>
    <s v=" 33.2177 "/>
    <x v="0"/>
    <n v="283806"/>
    <m/>
    <m/>
  </r>
  <r>
    <x v="7"/>
    <x v="4"/>
    <s v="C:\Users\andre\Desktop\REACTIV CEFAS\Anastrozole\Anastrozole/20201126_Cefas_Test7_Run3/Plate 1/@3/D3_01.tif "/>
    <s v=" 2033.2101 "/>
    <s v=" 31.3511 "/>
    <x v="0"/>
    <n v="63743"/>
    <m/>
    <m/>
  </r>
  <r>
    <x v="7"/>
    <x v="4"/>
    <s v="C:\Users\andre\Desktop\REACTIV CEFAS\Anastrozole\Anastrozole/20201126_Cefas_Test7_Run3/Plate 1/@3/D3_02.tif "/>
    <s v=" 2595.5874 "/>
    <s v=" 34.25 "/>
    <x v="0"/>
    <n v="88899"/>
    <m/>
    <m/>
  </r>
  <r>
    <x v="7"/>
    <x v="4"/>
    <s v="C:\Users\andre\Desktop\REACTIV CEFAS\Anastrozole\Anastrozole/20201126_Cefas_Test7_Run3/Plate 1/@3/D3_03.tif "/>
    <s v=" 1232.904 "/>
    <s v=" 31.0877 "/>
    <x v="0"/>
    <n v="38328"/>
    <m/>
    <m/>
  </r>
  <r>
    <x v="7"/>
    <x v="5"/>
    <s v="C:\Users\andre\Desktop\REACTIV CEFAS\Anastrozole\Anastrozole/20201126_Cefas_Test7_Run3/Plate 1/@3/E3_01.tif "/>
    <s v=" 22689.7595 "/>
    <s v=" 38.0153 "/>
    <x v="0"/>
    <n v="862557"/>
    <m/>
    <m/>
  </r>
  <r>
    <x v="7"/>
    <x v="5"/>
    <s v="C:\Users\andre\Desktop\REACTIV CEFAS\Anastrozole\Anastrozole/20201126_Cefas_Test7_Run3/Plate 1/@3/E3_02.tif "/>
    <s v=" 15422.1149 "/>
    <s v=" 41.2763 "/>
    <x v="0"/>
    <n v="636568"/>
    <m/>
    <m/>
  </r>
  <r>
    <x v="7"/>
    <x v="5"/>
    <s v="C:\Users\andre\Desktop\REACTIV CEFAS\Anastrozole\Anastrozole/20201126_Cefas_Test7_Run3/Plate 1/@3/E3_03- exclu.tif"/>
    <m/>
    <m/>
    <x v="1"/>
    <m/>
    <m/>
    <m/>
  </r>
  <r>
    <x v="7"/>
    <x v="6"/>
    <s v="C:\Users\andre\Desktop\REACTIV CEFAS\Anastrozole\Anastrozole/20201126_Cefas_Test7_Run3/Plate 1/@3/F3_01.tif "/>
    <s v=" 173.0392 "/>
    <s v=" 31.25 "/>
    <x v="0"/>
    <n v="5407"/>
    <m/>
    <m/>
  </r>
  <r>
    <x v="7"/>
    <x v="6"/>
    <s v="C:\Users\andre\Desktop\REACTIV CEFAS\Anastrozole\Anastrozole/20201126_Cefas_Test7_Run3/Plate 1/@3/F3_02.tif "/>
    <s v=" 4845.0964 "/>
    <s v=" 37.5759 "/>
    <x v="0"/>
    <n v="182059"/>
    <m/>
    <m/>
  </r>
  <r>
    <x v="7"/>
    <x v="6"/>
    <s v="C:\Users\andre\Desktop\REACTIV CEFAS\Anastrozole\Anastrozole/20201126_Cefas_Test7_Run3/Plate 1/@3/F3_03- exclu.tif"/>
    <m/>
    <m/>
    <x v="1"/>
    <m/>
    <m/>
    <m/>
  </r>
  <r>
    <x v="7"/>
    <x v="7"/>
    <s v="C:\Users\andre\Desktop\REACTIV CEFAS\Anastrozole\Anastrozole/20201126_Cefas_Test7_Run3/Plate 1/@3/G3_01.tif "/>
    <s v=" 5731.9221 "/>
    <s v=" 37.1019 "/>
    <x v="0"/>
    <n v="212665"/>
    <m/>
    <m/>
  </r>
  <r>
    <x v="7"/>
    <x v="7"/>
    <s v="C:\Users\andre\Desktop\REACTIV CEFAS\Anastrozole\Anastrozole/20201126_Cefas_Test7_Run3/Plate 1/@3/G3_02.tif "/>
    <s v=" 8868.2568 "/>
    <s v=" 42.5146 "/>
    <x v="0"/>
    <n v="377031"/>
    <m/>
    <m/>
  </r>
  <r>
    <x v="7"/>
    <x v="7"/>
    <s v="C:\Users\andre\Desktop\REACTIV CEFAS\Anastrozole\Anastrozole/20201126_Cefas_Test7_Run3/Plate 1/@3/G3_03.tif "/>
    <s v=" 9733.4526 "/>
    <s v=" 43.5844 "/>
    <x v="0"/>
    <n v="424227"/>
    <m/>
    <m/>
  </r>
  <r>
    <x v="7"/>
    <x v="8"/>
    <s v="C:\Users\andre\Desktop\REACTIV CEFAS\Anastrozole\Anastrozole/20201126_Cefas_Test7_Run3/Plate 1/@3/H3_01.tif "/>
    <s v=" 7505.5734 "/>
    <s v=" 38.2738 "/>
    <x v="0"/>
    <n v="287267"/>
    <m/>
    <m/>
  </r>
  <r>
    <x v="7"/>
    <x v="8"/>
    <s v="C:\Users\andre\Desktop\REACTIV CEFAS\Anastrozole\Anastrozole/20201126_Cefas_Test7_Run3/Plate 1/@3/H3_02.tif "/>
    <s v=" 7354.1642 "/>
    <s v=" 40.0588 "/>
    <x v="0"/>
    <n v="294599"/>
    <m/>
    <m/>
  </r>
  <r>
    <x v="7"/>
    <x v="8"/>
    <s v="C:\Users\andre\Desktop\REACTIV CEFAS\Anastrozole\Anastrozole/20201126_Cefas_Test7_Run3/Plate 1/@3/H3_03.tif "/>
    <s v=" 7808.392 "/>
    <s v=" 36.892 "/>
    <x v="0"/>
    <n v="288067"/>
    <m/>
    <m/>
  </r>
  <r>
    <x v="0"/>
    <x v="0"/>
    <s v=" "/>
    <m/>
    <m/>
    <x v="1"/>
    <m/>
    <m/>
    <m/>
  </r>
  <r>
    <x v="0"/>
    <x v="0"/>
    <s v="group "/>
    <s v=" "/>
    <s v=" mean of mean fluo "/>
    <x v="2"/>
    <s v=" mean of total fluo "/>
    <s v=" SD total fluo "/>
    <m/>
  </r>
  <r>
    <x v="7"/>
    <x v="9"/>
    <s v="C:\Users\andre\Desktop\REACTIV CEFAS\Anastrozole\Anastrozole/20201126_Cefas_Test7_Run3/Plate 1/@3/ "/>
    <s v=" "/>
    <s v=" 35.6586 "/>
    <x v="9"/>
    <s v=" 319308.708 "/>
    <s v=" 289580.88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Anastrozole\Anastrozole/20201126_Cefas_Test7_Run3/Plate 1/@4/A4_01.tif "/>
    <s v=" 55848.3879 "/>
    <s v=" 35.9729 "/>
    <x v="0"/>
    <n v="2009028"/>
    <m/>
    <m/>
  </r>
  <r>
    <x v="8"/>
    <x v="1"/>
    <s v="C:\Users\andre\Desktop\REACTIV CEFAS\Anastrozole\Anastrozole/20201126_Cefas_Test7_Run3/Plate 1/@4/A4_02.tif "/>
    <s v=" 56043.057 "/>
    <s v=" 37.3466 "/>
    <x v="0"/>
    <n v="2093017"/>
    <m/>
    <m/>
  </r>
  <r>
    <x v="8"/>
    <x v="1"/>
    <s v="C:\Users\andre\Desktop\REACTIV CEFAS\Anastrozole\Anastrozole/20201126_Cefas_Test7_Run3/Plate 1/@4/A4_03.tif "/>
    <s v=" 59287.5412 "/>
    <s v=" 37.2112 "/>
    <x v="0"/>
    <n v="2206163"/>
    <m/>
    <m/>
  </r>
  <r>
    <x v="8"/>
    <x v="2"/>
    <s v="C:\Users\andre\Desktop\REACTIV CEFAS\Anastrozole\Anastrozole/20201126_Cefas_Test7_Run3/Plate 1/@4/B4_01.tif "/>
    <s v=" 15227.4458 "/>
    <s v=" 38.8594 "/>
    <x v="0"/>
    <n v="591729"/>
    <m/>
    <m/>
  </r>
  <r>
    <x v="8"/>
    <x v="2"/>
    <s v="C:\Users\andre\Desktop\REACTIV CEFAS\Anastrozole\Anastrozole/20201126_Cefas_Test7_Run3/Plate 1/@4/B4_02.tif "/>
    <s v=" 13561.9439 "/>
    <s v=" 38.7911 "/>
    <x v="0"/>
    <n v="526082"/>
    <m/>
    <m/>
  </r>
  <r>
    <x v="8"/>
    <x v="2"/>
    <s v="C:\Users\andre\Desktop\REACTIV CEFAS\Anastrozole\Anastrozole/20201126_Cefas_Test7_Run3/Plate 1/@4/B4_03.tif "/>
    <s v=" 16957.8374 "/>
    <s v=" 39.7997 "/>
    <x v="0"/>
    <n v="674918"/>
    <m/>
    <m/>
  </r>
  <r>
    <x v="8"/>
    <x v="3"/>
    <s v="C:\Users\andre\Desktop\REACTIV CEFAS\Anastrozole\Anastrozole/20201126_Cefas_Test7_Run3/Plate 1/@4/C4_01- exclu.tif"/>
    <m/>
    <m/>
    <x v="1"/>
    <m/>
    <m/>
    <m/>
  </r>
  <r>
    <x v="8"/>
    <x v="3"/>
    <s v="C:\Users\andre\Desktop\REACTIV CEFAS\Anastrozole\Anastrozole/20201126_Cefas_Test7_Run3/Plate 1/@4/C4_02- exclu.tif"/>
    <m/>
    <m/>
    <x v="1"/>
    <m/>
    <m/>
    <m/>
  </r>
  <r>
    <x v="8"/>
    <x v="3"/>
    <s v="C:\Users\andre\Desktop\REACTIV CEFAS\Anastrozole\Anastrozole/20201126_Cefas_Test7_Run3/Plate 1/@4/C4_03- exclu.tif"/>
    <m/>
    <m/>
    <x v="1"/>
    <m/>
    <m/>
    <m/>
  </r>
  <r>
    <x v="8"/>
    <x v="4"/>
    <s v="C:\Users\andre\Desktop\REACTIV CEFAS\Anastrozole\Anastrozole/20201126_Cefas_Test7_Run3/Plate 1/@4/D4_01.tif "/>
    <s v=" 48256.2949 "/>
    <s v=" 38.2308 "/>
    <x v="0"/>
    <n v="1844879"/>
    <m/>
    <m/>
  </r>
  <r>
    <x v="8"/>
    <x v="4"/>
    <s v="C:\Users\andre\Desktop\REACTIV CEFAS\Anastrozole\Anastrozole/20201126_Cefas_Test7_Run3/Plate 1/@4/D4_02- exclu.tif"/>
    <m/>
    <m/>
    <x v="1"/>
    <m/>
    <m/>
    <m/>
  </r>
  <r>
    <x v="8"/>
    <x v="4"/>
    <s v="C:\Users\andre\Desktop\REACTIV CEFAS\Anastrozole\Anastrozole/20201126_Cefas_Test7_Run3/Plate 1/@4/D4_03.tif "/>
    <s v=" 24722.9696 "/>
    <s v=" 37.385 "/>
    <x v="0"/>
    <n v="924267"/>
    <m/>
    <m/>
  </r>
  <r>
    <x v="8"/>
    <x v="5"/>
    <s v="C:\Users\andre\Desktop\REACTIV CEFAS\Anastrozole\Anastrozole/20201126_Cefas_Test7_Run3/Plate 1/@4/E4_01.tif "/>
    <s v=" 15854.7128 "/>
    <s v=" 38.3683 "/>
    <x v="0"/>
    <n v="608319"/>
    <m/>
    <m/>
  </r>
  <r>
    <x v="8"/>
    <x v="5"/>
    <s v="C:\Users\andre\Desktop\REACTIV CEFAS\Anastrozole\Anastrozole/20201126_Cefas_Test7_Run3/Plate 1/@4/E4_02.tif "/>
    <s v=" 39539.4474 "/>
    <s v=" 37.395 "/>
    <x v="0"/>
    <n v="1478576"/>
    <m/>
    <m/>
  </r>
  <r>
    <x v="8"/>
    <x v="5"/>
    <s v="C:\Users\andre\Desktop\REACTIV CEFAS\Anastrozole\Anastrozole/20201126_Cefas_Test7_Run3/Plate 1/@4/E4_03.tif "/>
    <s v=" 14902.9974 "/>
    <s v=" 32.4122 "/>
    <x v="0"/>
    <n v="483039"/>
    <m/>
    <m/>
  </r>
  <r>
    <x v="8"/>
    <x v="6"/>
    <s v="C:\Users\andre\Desktop\REACTIV CEFAS\Anastrozole\Anastrozole/20201126_Cefas_Test7_Run3/Plate 1/@4/F4_01.tif "/>
    <s v=" 46850.3518 "/>
    <s v=" 35.7969 "/>
    <x v="0"/>
    <n v="1677096"/>
    <m/>
    <m/>
  </r>
  <r>
    <x v="8"/>
    <x v="6"/>
    <s v="C:\Users\andre\Desktop\REACTIV CEFAS\Anastrozole\Anastrozole/20201126_Cefas_Test7_Run3/Plate 1/@4/F4_02.tif "/>
    <s v=" 50549.0637 "/>
    <s v=" 37.3577 "/>
    <x v="0"/>
    <n v="1888398"/>
    <m/>
    <m/>
  </r>
  <r>
    <x v="8"/>
    <x v="6"/>
    <s v="C:\Users\andre\Desktop\REACTIV CEFAS\Anastrozole\Anastrozole/20201126_Cefas_Test7_Run3/Plate 1/@4/F4_03.tif "/>
    <s v=" 46569.1631 "/>
    <s v=" 35.7687 "/>
    <x v="0"/>
    <n v="1665718"/>
    <m/>
    <m/>
  </r>
  <r>
    <x v="8"/>
    <x v="7"/>
    <s v="C:\Users\andre\Desktop\REACTIV CEFAS\Anastrozole\Anastrozole/20201126_Cefas_Test7_Run3/Plate 1/@4/G4_01.tif "/>
    <s v=" 25588.1653 "/>
    <s v=" 33.4894 "/>
    <x v="0"/>
    <n v="856933"/>
    <m/>
    <m/>
  </r>
  <r>
    <x v="8"/>
    <x v="7"/>
    <s v="C:\Users\andre\Desktop\REACTIV CEFAS\Anastrozole\Anastrozole/20201126_Cefas_Test7_Run3/Plate 1/@4/G4_02.tif "/>
    <s v=" 23425.1759 "/>
    <s v=" 33.9372 "/>
    <x v="0"/>
    <n v="794985"/>
    <m/>
    <m/>
  </r>
  <r>
    <x v="8"/>
    <x v="7"/>
    <s v="C:\Users\andre\Desktop\REACTIV CEFAS\Anastrozole\Anastrozole/20201126_Cefas_Test7_Run3/Plate 1/@4/G4_03.tif "/>
    <s v=" 22019.2327 "/>
    <s v=" 33.8664 "/>
    <x v="0"/>
    <n v="745712"/>
    <m/>
    <m/>
  </r>
  <r>
    <x v="8"/>
    <x v="8"/>
    <s v="C:\Users\andre\Desktop\REACTIV CEFAS\Anastrozole\Anastrozole/20201126_Cefas_Test7_Run3/Plate 1/@4/H4_01.tif "/>
    <s v=" 25004.1582 "/>
    <s v=" 35.25 "/>
    <x v="0"/>
    <n v="881397"/>
    <m/>
    <m/>
  </r>
  <r>
    <x v="8"/>
    <x v="8"/>
    <s v="C:\Users\andre\Desktop\REACTIV CEFAS\Anastrozole\Anastrozole/20201126_Cefas_Test7_Run3/Plate 1/@4/H4_02.tif "/>
    <s v=" 14881.3675 "/>
    <s v=" 35.8939 "/>
    <x v="0"/>
    <n v="534150"/>
    <m/>
    <m/>
  </r>
  <r>
    <x v="8"/>
    <x v="8"/>
    <s v="C:\Users\andre\Desktop\REACTIV CEFAS\Anastrozole\Anastrozole/20201126_Cefas_Test7_Run3/Plate 1/@4/H4_03.tif "/>
    <s v=" 26280.322 "/>
    <s v=" 37.0617 "/>
    <x v="0"/>
    <n v="973994"/>
    <m/>
    <m/>
  </r>
  <r>
    <x v="0"/>
    <x v="0"/>
    <s v=" "/>
    <m/>
    <m/>
    <x v="1"/>
    <m/>
    <m/>
    <m/>
  </r>
  <r>
    <x v="0"/>
    <x v="0"/>
    <s v="group "/>
    <s v=" "/>
    <s v=" mean of mean fluo "/>
    <x v="2"/>
    <s v=" mean of total fluo "/>
    <s v=" SD total fluo "/>
    <m/>
  </r>
  <r>
    <x v="8"/>
    <x v="9"/>
    <s v="C:\Users\andre\Desktop\REACTIV CEFAS\Anastrozole\Anastrozole/20201126_Cefas_Test7_Run3/Plate 1/@4/ "/>
    <s v=" "/>
    <s v=" 36.9751 "/>
    <x v="10"/>
    <s v=" 1149670.33 "/>
    <s v=" 700889.149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Anastrozole\Anastrozole/20201126_Cefas_Test7_Run3/Plate 1/@5/A5_01.tif "/>
    <s v=" 38695.8815 "/>
    <s v=" 39.0654 "/>
    <x v="0"/>
    <n v="1511670"/>
    <m/>
    <m/>
  </r>
  <r>
    <x v="9"/>
    <x v="1"/>
    <s v="C:\Users\andre\Desktop\REACTIV CEFAS\Anastrozole\Anastrozole/20201126_Cefas_Test7_Run3/Plate 1/@5/A5_02.tif "/>
    <s v=" 41010.2802 "/>
    <s v=" 39.8845 "/>
    <x v="0"/>
    <n v="1635674"/>
    <m/>
    <m/>
  </r>
  <r>
    <x v="9"/>
    <x v="1"/>
    <s v="C:\Users\andre\Desktop\REACTIV CEFAS\Anastrozole\Anastrozole/20201126_Cefas_Test7_Run3/Plate 1/@5/A5_03.tif "/>
    <s v=" 46655.6827 "/>
    <s v=" 38.7728 "/>
    <x v="0"/>
    <n v="1808973"/>
    <m/>
    <m/>
  </r>
  <r>
    <x v="9"/>
    <x v="2"/>
    <s v="C:\Users\andre\Desktop\REACTIV CEFAS\Anastrozole\Anastrozole/20201126_Cefas_Test7_Run3/Plate 1/@5/B5_01.tif "/>
    <s v=" 59611.9896 "/>
    <s v=" 40.8284 "/>
    <x v="0"/>
    <n v="2433861"/>
    <m/>
    <m/>
  </r>
  <r>
    <x v="9"/>
    <x v="2"/>
    <s v="C:\Users\andre\Desktop\REACTIV CEFAS\Anastrozole\Anastrozole/20201126_Cefas_Test7_Run3/Plate 1/@5/B5_02.tif "/>
    <s v=" 60477.1854 "/>
    <s v=" 44.0458 "/>
    <x v="0"/>
    <n v="2663765"/>
    <m/>
    <m/>
  </r>
  <r>
    <x v="9"/>
    <x v="2"/>
    <s v="C:\Users\andre\Desktop\REACTIV CEFAS\Anastrozole\Anastrozole/20201126_Cefas_Test7_Run3/Plate 1/@5/B5_03.tif "/>
    <s v=" 61493.7904 "/>
    <s v=" 44.7985 "/>
    <x v="0"/>
    <n v="2754827"/>
    <m/>
    <m/>
  </r>
  <r>
    <x v="9"/>
    <x v="3"/>
    <s v="C:\Users\andre\Desktop\REACTIV CEFAS\Anastrozole\Anastrozole/20201126_Cefas_Test7_Run3/Plate 1/@5/C5_01.tif "/>
    <s v=" 53187.9109 "/>
    <s v=" 37.2509 "/>
    <x v="0"/>
    <n v="1981298"/>
    <m/>
    <m/>
  </r>
  <r>
    <x v="9"/>
    <x v="3"/>
    <s v="C:\Users\andre\Desktop\REACTIV CEFAS\Anastrozole\Anastrozole/20201126_Cefas_Test7_Run3/Plate 1/@5/C5_02.tif "/>
    <s v=" 54009.8469 "/>
    <s v=" 38.8258 "/>
    <x v="0"/>
    <n v="2096975"/>
    <m/>
    <m/>
  </r>
  <r>
    <x v="9"/>
    <x v="3"/>
    <s v="C:\Users\andre\Desktop\REACTIV CEFAS\Anastrozole\Anastrozole/20201126_Cefas_Test7_Run3/Plate 1/@5/C5_03.tif "/>
    <s v=" 47218.06 "/>
    <s v=" 40.4443 "/>
    <x v="0"/>
    <n v="1909703"/>
    <m/>
    <m/>
  </r>
  <r>
    <x v="9"/>
    <x v="4"/>
    <s v="C:\Users\andre\Desktop\REACTIV CEFAS\Anastrozole\Anastrozole/20201126_Cefas_Test7_Run3/Plate 1/@5/D5_01.tif "/>
    <s v=" 56691.9538 "/>
    <s v=" 36.9519 "/>
    <x v="0"/>
    <n v="2094877"/>
    <m/>
    <m/>
  </r>
  <r>
    <x v="9"/>
    <x v="4"/>
    <s v="C:\Users\andre\Desktop\REACTIV CEFAS\Anastrozole\Anastrozole/20201126_Cefas_Test7_Run3/Plate 1/@5/D5_02.tif "/>
    <s v=" 50613.9534 "/>
    <s v=" 35.935 "/>
    <x v="0"/>
    <n v="1818815"/>
    <m/>
    <m/>
  </r>
  <r>
    <x v="9"/>
    <x v="4"/>
    <s v="C:\Users\andre\Desktop\REACTIV CEFAS\Anastrozole\Anastrozole/20201126_Cefas_Test7_Run3/Plate 1/@5/D5_03.tif "/>
    <s v=" 58725.1639 "/>
    <s v=" 35.8718 "/>
    <x v="0"/>
    <n v="2106579"/>
    <m/>
    <m/>
  </r>
  <r>
    <x v="9"/>
    <x v="5"/>
    <s v="C:\Users\andre\Desktop\REACTIV CEFAS\Anastrozole\Anastrozole/20201126_Cefas_Test7_Run3/Plate 1/@5/E5_01.tif "/>
    <s v=" 60628.5946 "/>
    <s v=" 39.7025 "/>
    <x v="0"/>
    <n v="2407104"/>
    <m/>
    <m/>
  </r>
  <r>
    <x v="9"/>
    <x v="5"/>
    <s v="C:\Users\andre\Desktop\REACTIV CEFAS\Anastrozole\Anastrozole/20201126_Cefas_Test7_Run3/Plate 1/@5/E5_02.tif "/>
    <s v=" 46871.9817 "/>
    <s v=" 38.0854 "/>
    <x v="0"/>
    <n v="1785137"/>
    <m/>
    <m/>
  </r>
  <r>
    <x v="9"/>
    <x v="5"/>
    <s v="C:\Users\andre\Desktop\REACTIV CEFAS\Anastrozole\Anastrozole/20201126_Cefas_Test7_Run3/Plate 1/@5/E5_03.tif "/>
    <s v=" 43259.7893 "/>
    <s v=" 35.251 "/>
    <x v="0"/>
    <n v="1524951"/>
    <m/>
    <m/>
  </r>
  <r>
    <x v="9"/>
    <x v="6"/>
    <s v="C:\Users\andre\Desktop\REACTIV CEFAS\Anastrozole\Anastrozole/20201126_Cefas_Test7_Run3/Plate 1/@5/F5_01- exclu.tif"/>
    <m/>
    <m/>
    <x v="1"/>
    <m/>
    <m/>
    <m/>
  </r>
  <r>
    <x v="9"/>
    <x v="6"/>
    <s v="C:\Users\andre\Desktop\REACTIV CEFAS\Anastrozole\Anastrozole/20201126_Cefas_Test7_Run3/Plate 1/@5/F5_02- exclu.tif"/>
    <m/>
    <m/>
    <x v="1"/>
    <m/>
    <m/>
    <m/>
  </r>
  <r>
    <x v="9"/>
    <x v="6"/>
    <s v="C:\Users\andre\Desktop\REACTIV CEFAS\Anastrozole\Anastrozole/20201126_Cefas_Test7_Run3/Plate 1/@5/F5_03- exclu.tif"/>
    <m/>
    <m/>
    <x v="1"/>
    <m/>
    <m/>
    <m/>
  </r>
  <r>
    <x v="9"/>
    <x v="7"/>
    <s v="C:\Users\andre\Desktop\REACTIV CEFAS\Anastrozole\Anastrozole/20201126_Cefas_Test7_Run3/Plate 1/@5/G5_01.tif "/>
    <s v=" 65754.8797 "/>
    <s v=" 40.9628 "/>
    <x v="0"/>
    <n v="2693506"/>
    <m/>
    <m/>
  </r>
  <r>
    <x v="9"/>
    <x v="7"/>
    <s v="C:\Users\andre\Desktop\REACTIV CEFAS\Anastrozole\Anastrozole/20201126_Cefas_Test7_Run3/Plate 1/@5/G5_02.tif "/>
    <s v=" 70059.2287 "/>
    <s v=" 42.9568 "/>
    <x v="0"/>
    <n v="3009519"/>
    <m/>
    <m/>
  </r>
  <r>
    <x v="9"/>
    <x v="7"/>
    <s v="C:\Users\andre\Desktop\REACTIV CEFAS\Anastrozole\Anastrozole/20201126_Cefas_Test7_Run3/Plate 1/@5/G5_03.tif "/>
    <s v=" 66209.1075 "/>
    <s v=" 44.8295 "/>
    <x v="0"/>
    <n v="2968119"/>
    <m/>
    <m/>
  </r>
  <r>
    <x v="9"/>
    <x v="8"/>
    <s v="C:\Users\andre\Desktop\REACTIV CEFAS\Anastrozole\Anastrozole/20201126_Cefas_Test7_Run3/Plate 1/@5/H5_01.tif "/>
    <s v=" 38133.5042 "/>
    <s v=" 35.9433 "/>
    <x v="0"/>
    <n v="1370643"/>
    <m/>
    <m/>
  </r>
  <r>
    <x v="9"/>
    <x v="8"/>
    <s v="C:\Users\andre\Desktop\REACTIV CEFAS\Anastrozole\Anastrozole/20201126_Cefas_Test7_Run3/Plate 1/@5/H5_02.tif "/>
    <s v=" 20375.3607 "/>
    <s v=" 32.5382 "/>
    <x v="0"/>
    <n v="662978"/>
    <m/>
    <m/>
  </r>
  <r>
    <x v="9"/>
    <x v="8"/>
    <s v="C:\Users\andre\Desktop\REACTIV CEFAS\Anastrozole\Anastrozole/20201126_Cefas_Test7_Run3/Plate 1/@5/H5_03.tif "/>
    <s v=" 36121.924 "/>
    <s v=" 35.2275 "/>
    <x v="0"/>
    <n v="1272487"/>
    <m/>
    <m/>
  </r>
  <r>
    <x v="0"/>
    <x v="0"/>
    <s v=" "/>
    <m/>
    <m/>
    <x v="1"/>
    <m/>
    <m/>
    <m/>
  </r>
  <r>
    <x v="0"/>
    <x v="0"/>
    <s v="group "/>
    <s v=" "/>
    <s v=" mean of mean fluo "/>
    <x v="2"/>
    <s v=" mean of total fluo "/>
    <s v=" SD total fluo "/>
    <m/>
  </r>
  <r>
    <x v="9"/>
    <x v="9"/>
    <s v="C:\Users\andre\Desktop\REACTIV CEFAS\Anastrozole\Anastrozole/20201126_Cefas_Test7_Run3/Plate 1/@5/ "/>
    <s v=" "/>
    <s v=" 38.5258 "/>
    <x v="11"/>
    <s v=" 1812734.79 "/>
    <s v=" 803041.215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Anastrozole\Anastrozole/20201126_Cefas_Test7_Run3/Plate 1/@6/A6_01.tif "/>
    <s v=" 69821.2999 "/>
    <s v=" 49.9077 "/>
    <x v="0"/>
    <n v="3484619"/>
    <m/>
    <m/>
  </r>
  <r>
    <x v="10"/>
    <x v="1"/>
    <s v="C:\Users\andre\Desktop\REACTIV CEFAS\Anastrozole\Anastrozole/20201126_Cefas_Test7_Run3/Plate 1/@6/A6_02.tif "/>
    <s v=" 77110.5744 "/>
    <s v=" 52.3593 "/>
    <x v="0"/>
    <n v="4037458"/>
    <m/>
    <m/>
  </r>
  <r>
    <x v="10"/>
    <x v="1"/>
    <s v="C:\Users\andre\Desktop\REACTIV CEFAS\Anastrozole\Anastrozole/20201126_Cefas_Test7_Run3/Plate 1/@6/A6_03.tif "/>
    <s v=" 76310.2683 "/>
    <s v=" 48.3489 "/>
    <x v="0"/>
    <n v="3689519"/>
    <m/>
    <m/>
  </r>
  <r>
    <x v="10"/>
    <x v="2"/>
    <s v="C:\Users\andre\Desktop\REACTIV CEFAS\Anastrozole\Anastrozole/20201126_Cefas_Test7_Run3/Plate 1/@6/B6_01.tif "/>
    <s v=" 46006.7859 "/>
    <s v=" 47.0851 "/>
    <x v="0"/>
    <n v="2166234"/>
    <m/>
    <m/>
  </r>
  <r>
    <x v="10"/>
    <x v="2"/>
    <s v="C:\Users\andre\Desktop\REACTIV CEFAS\Anastrozole\Anastrozole/20201126_Cefas_Test7_Run3/Plate 1/@6/B6_02.tif "/>
    <s v=" 44817.1417 "/>
    <s v=" 45.4001 "/>
    <x v="0"/>
    <n v="2034703"/>
    <m/>
    <m/>
  </r>
  <r>
    <x v="10"/>
    <x v="2"/>
    <s v="C:\Users\andre\Desktop\REACTIV CEFAS\Anastrozole\Anastrozole/20201126_Cefas_Test7_Run3/Plate 1/@6/B6_03- exclu.tif"/>
    <m/>
    <m/>
    <x v="1"/>
    <m/>
    <m/>
    <m/>
  </r>
  <r>
    <x v="10"/>
    <x v="3"/>
    <s v="C:\Users\andre\Desktop\REACTIV CEFAS\Anastrozole\Anastrozole/20201126_Cefas_Test7_Run3/Plate 1/@6/C6_01.tif "/>
    <s v=" 54983.1921 "/>
    <s v=" 42.786 "/>
    <x v="0"/>
    <n v="2352511"/>
    <m/>
    <m/>
  </r>
  <r>
    <x v="10"/>
    <x v="3"/>
    <s v="C:\Users\andre\Desktop\REACTIV CEFAS\Anastrozole\Anastrozole/20201126_Cefas_Test7_Run3/Plate 1/@6/C6_02.tif "/>
    <s v=" 59309.1711 "/>
    <s v=" 41.6251 "/>
    <x v="0"/>
    <n v="2468750"/>
    <m/>
    <m/>
  </r>
  <r>
    <x v="10"/>
    <x v="3"/>
    <s v="C:\Users\andre\Desktop\REACTIV CEFAS\Anastrozole\Anastrozole/20201126_Cefas_Test7_Run3/Plate 1/@6/C6_03.tif "/>
    <s v=" 57470.63 "/>
    <s v=" 39.851 "/>
    <x v="0"/>
    <n v="2290260"/>
    <m/>
    <m/>
  </r>
  <r>
    <x v="10"/>
    <x v="4"/>
    <s v="C:\Users\andre\Desktop\REACTIV CEFAS\Anastrozole\Anastrozole/20201126_Cefas_Test7_Run3/Plate 1/@6/D6_01- exclu.tif"/>
    <m/>
    <m/>
    <x v="1"/>
    <m/>
    <m/>
    <m/>
  </r>
  <r>
    <x v="10"/>
    <x v="4"/>
    <s v="C:\Users\andre\Desktop\REACTIV CEFAS\Anastrozole\Anastrozole/20201126_Cefas_Test7_Run3/Plate 1/@6/D6_02- exclu.tif"/>
    <m/>
    <m/>
    <x v="1"/>
    <m/>
    <m/>
    <m/>
  </r>
  <r>
    <x v="10"/>
    <x v="4"/>
    <s v="C:\Users\andre\Desktop\REACTIV CEFAS\Anastrozole\Anastrozole/20201126_Cefas_Test7_Run3/Plate 1/@6/D6_03- exclu.tif"/>
    <m/>
    <m/>
    <x v="1"/>
    <m/>
    <m/>
    <m/>
  </r>
  <r>
    <x v="10"/>
    <x v="5"/>
    <s v="C:\Users\andre\Desktop\REACTIV CEFAS\Anastrozole\Anastrozole/20201126_Cefas_Test7_Run3/Plate 1/@6/E6_01.tif "/>
    <s v=" 73649.7912 "/>
    <s v=" 58.4235 "/>
    <x v="0"/>
    <n v="4302878"/>
    <m/>
    <m/>
  </r>
  <r>
    <x v="10"/>
    <x v="5"/>
    <s v="C:\Users\andre\Desktop\REACTIV CEFAS\Anastrozole\Anastrozole/20201126_Cefas_Test7_Run3/Plate 1/@6/E6_02.tif "/>
    <s v=" 70189.0081 "/>
    <s v=" 54.1584 "/>
    <x v="0"/>
    <n v="3801324"/>
    <m/>
    <m/>
  </r>
  <r>
    <x v="10"/>
    <x v="5"/>
    <s v="C:\Users\andre\Desktop\REACTIV CEFAS\Anastrozole\Anastrozole/20201126_Cefas_Test7_Run3/Plate 1/@6/E6_03.tif "/>
    <s v=" 74774.5457 "/>
    <s v=" 59.8522 "/>
    <x v="0"/>
    <n v="4475420"/>
    <m/>
    <m/>
  </r>
  <r>
    <x v="10"/>
    <x v="6"/>
    <s v="C:\Users\andre\Desktop\REACTIV CEFAS\Anastrozole\Anastrozole/20201126_Cefas_Test7_Run3/Plate 1/@6/F6_01.tif "/>
    <s v=" 68480.2464 "/>
    <s v=" 49.7145 "/>
    <x v="0"/>
    <n v="3404459"/>
    <m/>
    <m/>
  </r>
  <r>
    <x v="10"/>
    <x v="6"/>
    <s v="C:\Users\andre\Desktop\REACTIV CEFAS\Anastrozole\Anastrozole/20201126_Cefas_Test7_Run3/Plate 1/@6/F6_02.tif "/>
    <s v=" 66036.0683 "/>
    <s v=" 48.4425 "/>
    <x v="0"/>
    <n v="3198953"/>
    <m/>
    <m/>
  </r>
  <r>
    <x v="10"/>
    <x v="6"/>
    <s v="C:\Users\andre\Desktop\REACTIV CEFAS\Anastrozole\Anastrozole/20201126_Cefas_Test7_Run3/Plate 1/@6/F6_03.tif "/>
    <s v=" 70599.9761 "/>
    <s v=" 47.8643 "/>
    <x v="0"/>
    <n v="3379217"/>
    <m/>
    <m/>
  </r>
  <r>
    <x v="10"/>
    <x v="7"/>
    <s v="C:\Users\andre\Desktop\REACTIV CEFAS\Anastrozole\Anastrozole/20201126_Cefas_Test7_Run3/Plate 1/@6/G6_01.tif "/>
    <s v=" 68220.6877 "/>
    <s v=" 43.8494 "/>
    <x v="0"/>
    <n v="2991436"/>
    <m/>
    <m/>
  </r>
  <r>
    <x v="10"/>
    <x v="7"/>
    <s v="C:\Users\andre\Desktop\REACTIV CEFAS\Anastrozole\Anastrozole/20201126_Cefas_Test7_Run3/Plate 1/@6/G6_02.tif "/>
    <s v=" 69972.7091 "/>
    <s v=" 42.3066 "/>
    <x v="0"/>
    <n v="2960311"/>
    <m/>
    <m/>
  </r>
  <r>
    <x v="10"/>
    <x v="7"/>
    <s v="C:\Users\andre\Desktop\REACTIV CEFAS\Anastrozole\Anastrozole/20201126_Cefas_Test7_Run3/Plate 1/@6/G6_03.tif "/>
    <s v=" 70535.0864 "/>
    <s v=" 46.1178 "/>
    <x v="0"/>
    <n v="3252920"/>
    <m/>
    <m/>
  </r>
  <r>
    <x v="10"/>
    <x v="8"/>
    <s v="C:\Users\andre\Desktop\REACTIV CEFAS\Anastrozole\Anastrozole/20201126_Cefas_Test7_Run3/Plate 1/@6/H6_01.tif "/>
    <s v=" 64846.4241 "/>
    <s v=" 47.9283 "/>
    <x v="0"/>
    <n v="3107978"/>
    <m/>
    <m/>
  </r>
  <r>
    <x v="10"/>
    <x v="8"/>
    <s v="C:\Users\andre\Desktop\REACTIV CEFAS\Anastrozole\Anastrozole/20201126_Cefas_Test7_Run3/Plate 1/@6/H6_02.tif "/>
    <s v=" 66468.6662 "/>
    <s v=" 45.6154 "/>
    <x v="0"/>
    <n v="3031992"/>
    <m/>
    <m/>
  </r>
  <r>
    <x v="10"/>
    <x v="8"/>
    <s v="C:\Users\andre\Desktop\REACTIV CEFAS\Anastrozole\Anastrozole/20201126_Cefas_Test7_Run3/Plate 1/@6/H6_03.tif "/>
    <s v=" 68934.4742 "/>
    <s v=" 46.4016 "/>
    <x v="0"/>
    <n v="3198672"/>
    <m/>
    <m/>
  </r>
  <r>
    <x v="0"/>
    <x v="0"/>
    <s v=" "/>
    <m/>
    <m/>
    <x v="1"/>
    <m/>
    <m/>
    <m/>
  </r>
  <r>
    <x v="0"/>
    <x v="0"/>
    <s v="group "/>
    <s v=" "/>
    <s v=" mean of mean fluo "/>
    <x v="2"/>
    <s v=" mean of total fluo "/>
    <s v=" SD total fluo "/>
    <m/>
  </r>
  <r>
    <x v="10"/>
    <x v="9"/>
    <s v="C:\Users\andre\Desktop\REACTIV CEFAS\Anastrozole\Anastrozole/20201126_Cefas_Test7_Run3/Plate 1/@6/ "/>
    <s v=" "/>
    <s v=" 46.8341 "/>
    <x v="12"/>
    <s v=" 2857430.83 "/>
    <s v=" 969025.573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Anastrozole\Anastrozole/20201126_Cefas_Test7_Run3/Plate 1/@7/A7_01.tif "/>
    <s v=" 62099.4275 "/>
    <s v=" 41.3107 "/>
    <x v="0"/>
    <n v="2565370"/>
    <m/>
    <m/>
  </r>
  <r>
    <x v="11"/>
    <x v="1"/>
    <s v="C:\Users\andre\Desktop\REACTIV CEFAS\Anastrozole\Anastrozole/20201126_Cefas_Test7_Run3/Plate 1/@7/A7_02.tif "/>
    <s v=" 64500.3458 "/>
    <s v=" 46.061 "/>
    <x v="0"/>
    <n v="2970953"/>
    <m/>
    <m/>
  </r>
  <r>
    <x v="11"/>
    <x v="1"/>
    <s v="C:\Users\andre\Desktop\REACTIV CEFAS\Anastrozole\Anastrozole/20201126_Cefas_Test7_Run3/Plate 1/@7/A7_03.tif "/>
    <s v=" 65754.8797 "/>
    <s v=" 42.3003 "/>
    <x v="0"/>
    <n v="2781453"/>
    <m/>
    <m/>
  </r>
  <r>
    <x v="11"/>
    <x v="2"/>
    <s v="C:\Users\andre\Desktop\REACTIV CEFAS\Anastrozole\Anastrozole/20201126_Cefas_Test7_Run3/Plate 1/@7/B7_01.tif "/>
    <s v=" 48840.3021 "/>
    <s v=" 42.8902 "/>
    <x v="0"/>
    <n v="2094769"/>
    <m/>
    <m/>
  </r>
  <r>
    <x v="11"/>
    <x v="2"/>
    <s v="C:\Users\andre\Desktop\REACTIV CEFAS\Anastrozole\Anastrozole/20201126_Cefas_Test7_Run3/Plate 1/@7/B7_02.tif "/>
    <s v=" 46050.0457 "/>
    <s v=" 43.178 "/>
    <x v="0"/>
    <n v="1988350"/>
    <m/>
    <m/>
  </r>
  <r>
    <x v="11"/>
    <x v="2"/>
    <s v="C:\Users\andre\Desktop\REACTIV CEFAS\Anastrozole\Anastrozole/20201126_Cefas_Test7_Run3/Plate 1/@7/B7_03.tif "/>
    <s v=" 46720.5724 "/>
    <s v=" 43.8616 "/>
    <x v="0"/>
    <n v="2049238"/>
    <m/>
    <m/>
  </r>
  <r>
    <x v="11"/>
    <x v="3"/>
    <s v="C:\Users\andre\Desktop\REACTIV CEFAS\Anastrozole\Anastrozole/20201126_Cefas_Test7_Run3/Plate 1/@7/C7_01.tif "/>
    <s v=" 74255.4283 "/>
    <s v=" 57.5453 "/>
    <x v="0"/>
    <n v="4273051"/>
    <m/>
    <m/>
  </r>
  <r>
    <x v="11"/>
    <x v="3"/>
    <s v="C:\Users\andre\Desktop\REACTIV CEFAS\Anastrozole\Anastrozole/20201126_Cefas_Test7_Run3/Plate 1/@7/C7_02.tif "/>
    <s v=" 87406.4042 "/>
    <s v=" 55.3779 "/>
    <x v="0"/>
    <n v="4840381"/>
    <m/>
    <m/>
  </r>
  <r>
    <x v="11"/>
    <x v="3"/>
    <s v="C:\Users\andre\Desktop\REACTIV CEFAS\Anastrozole\Anastrozole/20201126_Cefas_Test7_Run3/Plate 1/@7/C7_03.tif "/>
    <s v=" 83210.2046 "/>
    <s v=" 53.908 "/>
    <x v="0"/>
    <n v="4485694"/>
    <m/>
    <m/>
  </r>
  <r>
    <x v="11"/>
    <x v="4"/>
    <s v="C:\Users\andre\Desktop\REACTIV CEFAS\Anastrozole\Anastrozole/20201126_Cefas_Test7_Run3/Plate 1/@7/D7_01.tif "/>
    <s v=" 73520.0118 "/>
    <s v=" 49.4219 "/>
    <x v="0"/>
    <n v="3633498"/>
    <m/>
    <m/>
  </r>
  <r>
    <x v="11"/>
    <x v="4"/>
    <s v="C:\Users\andre\Desktop\REACTIV CEFAS\Anastrozole\Anastrozole/20201126_Cefas_Test7_Run3/Plate 1/@7/D7_02.tif "/>
    <s v=" 72719.7057 "/>
    <s v=" 46.6074 "/>
    <x v="0"/>
    <n v="3389275"/>
    <m/>
    <m/>
  </r>
  <r>
    <x v="11"/>
    <x v="4"/>
    <s v="C:\Users\andre\Desktop\REACTIV CEFAS\Anastrozole\Anastrozole/20201126_Cefas_Test7_Run3/Plate 1/@7/D7_03.tif "/>
    <s v=" 75596.4817 "/>
    <s v=" 52.1096 "/>
    <x v="0"/>
    <n v="3939301"/>
    <m/>
    <m/>
  </r>
  <r>
    <x v="11"/>
    <x v="5"/>
    <s v="C:\Users\andre\Desktop\REACTIV CEFAS\Anastrozole\Anastrozole/20201126_Cefas_Test7_Run3/Plate 1/@7/E7_01.tif "/>
    <s v=" 84140.2901 "/>
    <s v=" 57.4319 "/>
    <x v="0"/>
    <n v="4832335"/>
    <m/>
    <m/>
  </r>
  <r>
    <x v="11"/>
    <x v="5"/>
    <s v="C:\Users\andre\Desktop\REACTIV CEFAS\Anastrozole\Anastrozole/20201126_Cefas_Test7_Run3/Plate 1/@7/E7_02.tif "/>
    <s v=" 83015.5356 "/>
    <s v=" 56.7134 "/>
    <x v="0"/>
    <n v="4708093"/>
    <m/>
    <m/>
  </r>
  <r>
    <x v="11"/>
    <x v="5"/>
    <s v="C:\Users\andre\Desktop\REACTIV CEFAS\Anastrozole\Anastrozole/20201126_Cefas_Test7_Run3/Plate 1/@7/E7_03.tif "/>
    <s v=" 87882.2619 "/>
    <s v=" 59.8996 "/>
    <x v="0"/>
    <n v="5264111"/>
    <m/>
    <m/>
  </r>
  <r>
    <x v="11"/>
    <x v="6"/>
    <s v="C:\Users\andre\Desktop\REACTIV CEFAS\Anastrozole\Anastrozole/20201126_Cefas_Test7_Run3/Plate 1/@7/F7_01.tif "/>
    <s v=" 83404.8737 "/>
    <s v=" 53.347 "/>
    <x v="0"/>
    <n v="4449399"/>
    <m/>
    <m/>
  </r>
  <r>
    <x v="11"/>
    <x v="6"/>
    <s v="C:\Users\andre\Desktop\REACTIV CEFAS\Anastrozole\Anastrozole/20201126_Cefas_Test7_Run3/Plate 1/@7/F7_02.tif "/>
    <s v=" 81241.8842 "/>
    <s v=" 50.2865 "/>
    <x v="0"/>
    <n v="4085368"/>
    <m/>
    <m/>
  </r>
  <r>
    <x v="11"/>
    <x v="6"/>
    <s v="C:\Users\andre\Desktop\REACTIV CEFAS\Anastrozole\Anastrozole/20201126_Cefas_Test7_Run3/Plate 1/@7/F7_03.tif "/>
    <s v=" 82171.9697 "/>
    <s v=" 49.3088 "/>
    <x v="0"/>
    <n v="4051798"/>
    <m/>
    <m/>
  </r>
  <r>
    <x v="11"/>
    <x v="7"/>
    <s v="C:\Users\andre\Desktop\REACTIV CEFAS\Anastrozole\Anastrozole/20201126_Cefas_Test7_Run3/Plate 1/@7/G7_01.tif "/>
    <s v=" 63851.4489 "/>
    <s v=" 49.8333 "/>
    <x v="0"/>
    <n v="3181931"/>
    <m/>
    <m/>
  </r>
  <r>
    <x v="11"/>
    <x v="7"/>
    <s v="C:\Users\andre\Desktop\REACTIV CEFAS\Anastrozole\Anastrozole/20201126_Cefas_Test7_Run3/Plate 1/@7/G7_02.tif "/>
    <s v=" 66987.7837 "/>
    <s v=" 53.6619 "/>
    <x v="0"/>
    <n v="3594694"/>
    <m/>
    <m/>
  </r>
  <r>
    <x v="11"/>
    <x v="7"/>
    <s v="C:\Users\andre\Desktop\REACTIV CEFAS\Anastrozole\Anastrozole/20201126_Cefas_Test7_Run3/Plate 1/@7/G7_03.tif "/>
    <s v=" 69194.0329 "/>
    <s v=" 51.3142 "/>
    <x v="0"/>
    <n v="3550634"/>
    <m/>
    <m/>
  </r>
  <r>
    <x v="11"/>
    <x v="8"/>
    <s v="C:\Users\andre\Desktop\REACTIV CEFAS\Anastrozole\Anastrozole/20201126_Cefas_Test7_Run3/Plate 1/@7/H7_01.tif "/>
    <s v=" 70902.7946 "/>
    <s v=" 42.6098 "/>
    <x v="0"/>
    <n v="3021156"/>
    <m/>
    <m/>
  </r>
  <r>
    <x v="11"/>
    <x v="8"/>
    <s v="C:\Users\andre\Desktop\REACTIV CEFAS\Anastrozole\Anastrozole/20201126_Cefas_Test7_Run3/Plate 1/@7/H7_02.tif "/>
    <s v=" 67982.7588 "/>
    <s v=" 43.7283 "/>
    <x v="0"/>
    <n v="2972769"/>
    <m/>
    <m/>
  </r>
  <r>
    <x v="11"/>
    <x v="8"/>
    <s v="C:\Users\andre\Desktop\REACTIV CEFAS\Anastrozole\Anastrozole/20201126_Cefas_Test7_Run3/Plate 1/@7/H7_03.tif "/>
    <s v=" 70859.5348 "/>
    <s v=" 43.1087 "/>
    <x v="0"/>
    <n v="3054660"/>
    <m/>
    <m/>
  </r>
  <r>
    <x v="0"/>
    <x v="0"/>
    <s v=" "/>
    <m/>
    <m/>
    <x v="1"/>
    <m/>
    <m/>
    <m/>
  </r>
  <r>
    <x v="0"/>
    <x v="0"/>
    <s v="group "/>
    <s v=" "/>
    <s v=" mean of mean fluo "/>
    <x v="2"/>
    <s v=" mean of total fluo "/>
    <s v=" SD total fluo "/>
    <m/>
  </r>
  <r>
    <x v="11"/>
    <x v="9"/>
    <s v="C:\Users\andre\Desktop\REACTIV CEFAS\Anastrozole\Anastrozole/20201126_Cefas_Test7_Run3/Plate 1/@7/ "/>
    <s v=" "/>
    <s v=" 49.409 "/>
    <x v="13"/>
    <s v=" 3574095.04 "/>
    <s v=" 937267.295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Anastrozole\Anastrozole/20201126_Cefas_Test7_Run3/Plate 2/@10/A4_01.tif "/>
    <s v=" 9625.3031 "/>
    <s v=" 35.7685 "/>
    <x v="0"/>
    <n v="344283"/>
    <m/>
    <m/>
  </r>
  <r>
    <x v="12"/>
    <x v="1"/>
    <s v="C:\Users\andre\Desktop\REACTIV CEFAS\Anastrozole\Anastrozole/20201126_Cefas_Test7_Run3/Plate 2/@10/A4_02.tif "/>
    <s v=" 9517.1536 "/>
    <s v=" 35.5795 "/>
    <x v="0"/>
    <n v="338616"/>
    <m/>
    <m/>
  </r>
  <r>
    <x v="12"/>
    <x v="1"/>
    <s v="C:\Users\andre\Desktop\REACTIV CEFAS\Anastrozole\Anastrozole/20201126_Cefas_Test7_Run3/Plate 2/@10/A4_03.tif "/>
    <s v=" 8522.1785 "/>
    <s v=" 36.9721 "/>
    <x v="0"/>
    <n v="315083"/>
    <m/>
    <m/>
  </r>
  <r>
    <x v="12"/>
    <x v="2"/>
    <s v="C:\Users\andre\Desktop\REACTIV CEFAS\Anastrozole\Anastrozole/20201126_Cefas_Test7_Run3/Plate 2/@10/B4_01.tif "/>
    <s v=" 11636.8833 "/>
    <s v=" 40.5223 "/>
    <x v="0"/>
    <n v="471553"/>
    <m/>
    <m/>
  </r>
  <r>
    <x v="12"/>
    <x v="2"/>
    <s v="C:\Users\andre\Desktop\REACTIV CEFAS\Anastrozole\Anastrozole/20201126_Cefas_Test7_Run3/Plate 2/@10/B4_02.tif "/>
    <s v=" 9993.0113 "/>
    <s v=" 35.9719 "/>
    <x v="0"/>
    <n v="359467"/>
    <m/>
    <m/>
  </r>
  <r>
    <x v="12"/>
    <x v="2"/>
    <s v="C:\Users\andre\Desktop\REACTIV CEFAS\Anastrozole\Anastrozole/20201126_Cefas_Test7_Run3/Plate 2/@10/B4_03.tif "/>
    <s v=" 9322.4846 "/>
    <s v=" 37.9049 "/>
    <x v="0"/>
    <n v="353368"/>
    <m/>
    <m/>
  </r>
  <r>
    <x v="12"/>
    <x v="3"/>
    <s v="C:\Users\andre\Desktop\REACTIV CEFAS\Anastrozole\Anastrozole/20201126_Cefas_Test7_Run3/Plate 2/@10/C4_01.tif "/>
    <s v=" 778.6762 "/>
    <s v=" 31.9444 "/>
    <x v="0"/>
    <n v="24874"/>
    <m/>
    <m/>
  </r>
  <r>
    <x v="12"/>
    <x v="3"/>
    <s v="C:\Users\andre\Desktop\REACTIV CEFAS\Anastrozole\Anastrozole/20201126_Cefas_Test7_Run3/Plate 2/@10/C4_02.tif "/>
    <s v=" 973.3453 "/>
    <s v=" 32.1556 "/>
    <x v="0"/>
    <n v="31298"/>
    <m/>
    <m/>
  </r>
  <r>
    <x v="12"/>
    <x v="3"/>
    <s v="C:\Users\andre\Desktop\REACTIV CEFAS\Anastrozole\Anastrozole/20201126_Cefas_Test7_Run3/Plate 2/@10/C4_03.tif "/>
    <s v=" 3201.2244 "/>
    <s v=" 34.8919 "/>
    <x v="0"/>
    <n v="111697"/>
    <m/>
    <m/>
  </r>
  <r>
    <x v="12"/>
    <x v="4"/>
    <s v="C:\Users\andre\Desktop\REACTIV CEFAS\Anastrozole\Anastrozole/20201126_Cefas_Test7_Run3/Plate 2/@10/D4_01.tif "/>
    <s v=" 12848.1574 "/>
    <s v=" 43.9832 "/>
    <x v="0"/>
    <n v="565103"/>
    <m/>
    <m/>
  </r>
  <r>
    <x v="12"/>
    <x v="4"/>
    <s v="C:\Users\andre\Desktop\REACTIV CEFAS\Anastrozole\Anastrozole/20201126_Cefas_Test7_Run3/Plate 2/@10/D4_02.tif "/>
    <s v=" 10360.7195 "/>
    <s v=" 40.785 "/>
    <x v="0"/>
    <n v="422562"/>
    <m/>
    <m/>
  </r>
  <r>
    <x v="12"/>
    <x v="4"/>
    <s v="C:\Users\andre\Desktop\REACTIV CEFAS\Anastrozole\Anastrozole/20201126_Cefas_Test7_Run3/Plate 2/@10/D4_03.tif "/>
    <s v=" 9235.965 "/>
    <s v=" 40.0023 "/>
    <x v="0"/>
    <n v="369460"/>
    <m/>
    <m/>
  </r>
  <r>
    <x v="12"/>
    <x v="5"/>
    <s v="C:\Users\andre\Desktop\REACTIV CEFAS\Anastrozole\Anastrozole/20201126_Cefas_Test7_Run3/Plate 2/@10/E4_01.tif "/>
    <n v="0"/>
    <n v="0"/>
    <x v="0"/>
    <n v="0"/>
    <m/>
    <m/>
  </r>
  <r>
    <x v="12"/>
    <x v="5"/>
    <s v="C:\Users\andre\Desktop\REACTIV CEFAS\Anastrozole\Anastrozole/20201126_Cefas_Test7_Run3/Plate 2/@10/E4_02.tif "/>
    <s v=" 86.5196 "/>
    <n v="30"/>
    <x v="0"/>
    <n v="2596"/>
    <m/>
    <m/>
  </r>
  <r>
    <x v="12"/>
    <x v="5"/>
    <s v="C:\Users\andre\Desktop\REACTIV CEFAS\Anastrozole\Anastrozole/20201126_Cefas_Test7_Run3/Plate 2/@10/E4_03.tif "/>
    <s v=" 410.968 "/>
    <s v=" 31.4737 "/>
    <x v="0"/>
    <n v="12935"/>
    <m/>
    <m/>
  </r>
  <r>
    <x v="12"/>
    <x v="6"/>
    <s v="C:\Users\andre\Desktop\REACTIV CEFAS\Anastrozole\Anastrozole/20201126_Cefas_Test7_Run3/Plate 2/@10/F4_01.tif "/>
    <s v=" 3568.9326 "/>
    <s v=" 33.5939 "/>
    <x v="0"/>
    <n v="119895"/>
    <m/>
    <m/>
  </r>
  <r>
    <x v="12"/>
    <x v="6"/>
    <s v="C:\Users\andre\Desktop\REACTIV CEFAS\Anastrozole\Anastrozole/20201126_Cefas_Test7_Run3/Plate 2/@10/F4_02.tif "/>
    <s v=" 4801.8366 "/>
    <s v=" 34.9234 "/>
    <x v="0"/>
    <n v="167697"/>
    <m/>
    <m/>
  </r>
  <r>
    <x v="12"/>
    <x v="6"/>
    <s v="C:\Users\andre\Desktop\REACTIV CEFAS\Anastrozole\Anastrozole/20201126_Cefas_Test7_Run3/Plate 2/@10/F4_03.tif "/>
    <n v="0"/>
    <n v="0"/>
    <x v="0"/>
    <n v="0"/>
    <m/>
    <m/>
  </r>
  <r>
    <x v="12"/>
    <x v="7"/>
    <s v="C:\Users\andre\Desktop\REACTIV CEFAS\Anastrozole\Anastrozole/20201126_Cefas_Test7_Run3/Plate 2/@10/G4_01.tif "/>
    <s v=" 4196.1996 "/>
    <s v=" 34.0825 "/>
    <x v="0"/>
    <n v="143017"/>
    <m/>
    <m/>
  </r>
  <r>
    <x v="12"/>
    <x v="7"/>
    <s v="C:\Users\andre\Desktop\REACTIV CEFAS\Anastrozole\Anastrozole/20201126_Cefas_Test7_Run3/Plate 2/@10/G4_02.tif "/>
    <s v=" 4066.4202 "/>
    <s v=" 35.6383 "/>
    <x v="0"/>
    <n v="144920"/>
    <m/>
    <m/>
  </r>
  <r>
    <x v="12"/>
    <x v="7"/>
    <s v="C:\Users\andre\Desktop\REACTIV CEFAS\Anastrozole\Anastrozole/20201126_Cefas_Test7_Run3/Plate 2/@10/G4_03.tif "/>
    <s v=" 6164.52 "/>
    <s v=" 38.1754 "/>
    <x v="0"/>
    <n v="235333"/>
    <m/>
    <m/>
  </r>
  <r>
    <x v="12"/>
    <x v="8"/>
    <s v="C:\Users\andre\Desktop\REACTIV CEFAS\Anastrozole\Anastrozole/20201126_Cefas_Test7_Run3/Plate 2/@10/H4_01.tif "/>
    <s v=" 7505.5734 "/>
    <s v=" 36.8674 "/>
    <x v="0"/>
    <n v="276711"/>
    <m/>
    <m/>
  </r>
  <r>
    <x v="12"/>
    <x v="8"/>
    <s v="C:\Users\andre\Desktop\REACTIV CEFAS\Anastrozole\Anastrozole/20201126_Cefas_Test7_Run3/Plate 2/@10/H4_02.tif "/>
    <s v=" 6337.5591 "/>
    <s v=" 33.2082 "/>
    <x v="0"/>
    <n v="210459"/>
    <m/>
    <m/>
  </r>
  <r>
    <x v="12"/>
    <x v="8"/>
    <s v="C:\Users\andre\Desktop\REACTIV CEFAS\Anastrozole\Anastrozole/20201126_Cefas_Test7_Run3/Plate 2/@10/H4_03.tif "/>
    <s v=" 6683.6374 "/>
    <s v=" 36.5243 "/>
    <x v="0"/>
    <n v="244115"/>
    <m/>
    <m/>
  </r>
  <r>
    <x v="0"/>
    <x v="0"/>
    <s v=" "/>
    <m/>
    <m/>
    <x v="1"/>
    <m/>
    <m/>
    <m/>
  </r>
  <r>
    <x v="0"/>
    <x v="0"/>
    <s v="group "/>
    <s v=" "/>
    <s v=" mean of mean fluo "/>
    <x v="2"/>
    <s v=" mean of total fluo "/>
    <s v=" SD total fluo "/>
    <m/>
  </r>
  <r>
    <x v="12"/>
    <x v="9"/>
    <s v="C:\Users\andre\Desktop\REACTIV CEFAS\Anastrozole\Anastrozole/20201126_Cefas_Test7_Run3/Plate 2/@10/ "/>
    <s v=" "/>
    <s v=" 32.957 "/>
    <x v="14"/>
    <s v=" 219376.75 "/>
    <s v=" 164492.176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Anastrozole\Anastrozole/20201126_Cefas_Test7_Run3/Plate 2/@11/A5_01.tif "/>
    <s v=" 7310.9044 "/>
    <s v=" 38.5414 "/>
    <x v="0"/>
    <n v="281773"/>
    <m/>
    <m/>
  </r>
  <r>
    <x v="13"/>
    <x v="1"/>
    <s v="C:\Users\andre\Desktop\REACTIV CEFAS\Anastrozole\Anastrozole/20201126_Cefas_Test7_Run3/Plate 2/@11/A5_02.tif "/>
    <s v=" 10966.3566 "/>
    <s v=" 40.3057 "/>
    <x v="0"/>
    <n v="442007"/>
    <m/>
    <m/>
  </r>
  <r>
    <x v="13"/>
    <x v="1"/>
    <s v="C:\Users\andre\Desktop\REACTIV CEFAS\Anastrozole\Anastrozole/20201126_Cefas_Test7_Run3/Plate 2/@11/A5_03.tif "/>
    <s v=" 6640.3777 "/>
    <s v=" 37.3909 "/>
    <x v="0"/>
    <n v="248290"/>
    <m/>
    <m/>
  </r>
  <r>
    <x v="13"/>
    <x v="2"/>
    <s v="C:\Users\andre\Desktop\REACTIV CEFAS\Anastrozole\Anastrozole/20201126_Cefas_Test7_Run3/Plate 2/@11/B5_01.tif "/>
    <s v=" 4023.1604 "/>
    <s v=" 35.0215 "/>
    <x v="0"/>
    <n v="140897"/>
    <m/>
    <m/>
  </r>
  <r>
    <x v="13"/>
    <x v="2"/>
    <s v="C:\Users\andre\Desktop\REACTIV CEFAS\Anastrozole\Anastrozole/20201126_Cefas_Test7_Run3/Plate 2/@11/B5_02.tif "/>
    <s v=" 5840.0715 "/>
    <s v=" 36.3111 "/>
    <x v="0"/>
    <n v="212059"/>
    <m/>
    <m/>
  </r>
  <r>
    <x v="13"/>
    <x v="2"/>
    <s v="C:\Users\andre\Desktop\REACTIV CEFAS\Anastrozole\Anastrozole/20201126_Cefas_Test7_Run3/Plate 2/@11/B5_03.tif "/>
    <s v=" 5277.6943 "/>
    <s v=" 37.2131 "/>
    <x v="0"/>
    <n v="196399"/>
    <m/>
    <m/>
  </r>
  <r>
    <x v="13"/>
    <x v="3"/>
    <s v="C:\Users\andre\Desktop\REACTIV CEFAS\Anastrozole\Anastrozole/20201126_Cefas_Test7_Run3/Plate 2/@11/C5_01.tif "/>
    <s v=" 7916.5414 "/>
    <s v=" 40.7596 "/>
    <x v="0"/>
    <n v="322675"/>
    <m/>
    <m/>
  </r>
  <r>
    <x v="13"/>
    <x v="3"/>
    <s v="C:\Users\andre\Desktop\REACTIV CEFAS\Anastrozole\Anastrozole/20201126_Cefas_Test7_Run3/Plate 2/@11/C5_02.tif "/>
    <s v=" 6034.7406 "/>
    <s v=" 35.5806 "/>
    <x v="0"/>
    <n v="214720"/>
    <m/>
    <m/>
  </r>
  <r>
    <x v="13"/>
    <x v="3"/>
    <s v="C:\Users\andre\Desktop\REACTIV CEFAS\Anastrozole\Anastrozole/20201126_Cefas_Test7_Run3/Plate 2/@11/C5_03.tif "/>
    <s v=" 6748.5271 "/>
    <s v=" 37.3686 "/>
    <x v="0"/>
    <n v="252183"/>
    <m/>
    <m/>
  </r>
  <r>
    <x v="13"/>
    <x v="4"/>
    <s v="C:\Users\andre\Desktop\REACTIV CEFAS\Anastrozole\Anastrozole/20201126_Cefas_Test7_Run3/Plate 2/@11/D5_01.tif "/>
    <s v=" 3979.9006 "/>
    <s v=" 36.0489 "/>
    <x v="0"/>
    <n v="143471"/>
    <m/>
    <m/>
  </r>
  <r>
    <x v="13"/>
    <x v="4"/>
    <s v="C:\Users\andre\Desktop\REACTIV CEFAS\Anastrozole\Anastrozole/20201126_Cefas_Test7_Run3/Plate 2/@11/D5_02.tif "/>
    <s v=" 8478.9187 "/>
    <s v=" 36.676 "/>
    <x v="0"/>
    <n v="310973"/>
    <m/>
    <m/>
  </r>
  <r>
    <x v="13"/>
    <x v="4"/>
    <s v="C:\Users\andre\Desktop\REACTIV CEFAS\Anastrozole\Anastrozole/20201126_Cefas_Test7_Run3/Plate 2/@11/D5_03.tif "/>
    <s v=" 6380.8189 "/>
    <s v=" 36.8475 "/>
    <x v="0"/>
    <n v="235117"/>
    <m/>
    <m/>
  </r>
  <r>
    <x v="13"/>
    <x v="5"/>
    <s v="C:\Users\andre\Desktop\REACTIV CEFAS\Anastrozole\Anastrozole/20201126_Cefas_Test7_Run3/Plate 2/@11/E5_01.tif "/>
    <s v=" 6899.9364 "/>
    <s v=" 35.2884 "/>
    <x v="0"/>
    <n v="243488"/>
    <m/>
    <m/>
  </r>
  <r>
    <x v="13"/>
    <x v="5"/>
    <s v="C:\Users\andre\Desktop\REACTIV CEFAS\Anastrozole\Anastrozole/20201126_Cefas_Test7_Run3/Plate 2/@11/E5_02.tif "/>
    <s v=" 10447.2391 "/>
    <s v=" 40.0207 "/>
    <x v="0"/>
    <n v="418106"/>
    <m/>
    <m/>
  </r>
  <r>
    <x v="13"/>
    <x v="5"/>
    <s v="C:\Users\andre\Desktop\REACTIV CEFAS\Anastrozole\Anastrozole/20201126_Cefas_Test7_Run3/Plate 2/@11/E5_03.tif "/>
    <s v=" 9257.5949 "/>
    <s v=" 37.1051 "/>
    <x v="0"/>
    <n v="343504"/>
    <m/>
    <m/>
  </r>
  <r>
    <x v="13"/>
    <x v="6"/>
    <s v="C:\Users\andre\Desktop\REACTIV CEFAS\Anastrozole\Anastrozole/20201126_Cefas_Test7_Run3/Plate 2/@11/F5_01.tif "/>
    <s v=" 9798.3423 "/>
    <s v=" 42.3355 "/>
    <x v="0"/>
    <n v="414818"/>
    <m/>
    <m/>
  </r>
  <r>
    <x v="13"/>
    <x v="6"/>
    <s v="C:\Users\andre\Desktop\REACTIV CEFAS\Anastrozole\Anastrozole/20201126_Cefas_Test7_Run3/Plate 2/@11/F5_02- exclu.tif"/>
    <m/>
    <m/>
    <x v="1"/>
    <m/>
    <m/>
    <m/>
  </r>
  <r>
    <x v="13"/>
    <x v="6"/>
    <s v="C:\Users\andre\Desktop\REACTIV CEFAS\Anastrozole\Anastrozole/20201126_Cefas_Test7_Run3/Plate 2/@11/F5_03- exclu.tif"/>
    <m/>
    <m/>
    <x v="1"/>
    <m/>
    <m/>
    <m/>
  </r>
  <r>
    <x v="13"/>
    <x v="7"/>
    <s v="C:\Users\andre\Desktop\REACTIV CEFAS\Anastrozole\Anastrozole/20201126_Cefas_Test7_Run3/Plate 2/@11/G5_01.tif "/>
    <s v=" 43.2598 "/>
    <n v="31"/>
    <x v="0"/>
    <n v="1341"/>
    <m/>
    <m/>
  </r>
  <r>
    <x v="13"/>
    <x v="7"/>
    <s v="C:\Users\andre\Desktop\REACTIV CEFAS\Anastrozole\Anastrozole/20201126_Cefas_Test7_Run3/Plate 2/@11/G5_02- exclu.tif"/>
    <m/>
    <m/>
    <x v="1"/>
    <m/>
    <m/>
    <m/>
  </r>
  <r>
    <x v="13"/>
    <x v="7"/>
    <s v="C:\Users\andre\Desktop\REACTIV CEFAS\Anastrozole\Anastrozole/20201126_Cefas_Test7_Run3/Plate 2/@11/G5_03.tif "/>
    <s v=" 43.2598 "/>
    <n v="30"/>
    <x v="0"/>
    <n v="1298"/>
    <m/>
    <m/>
  </r>
  <r>
    <x v="13"/>
    <x v="8"/>
    <s v="C:\Users\andre\Desktop\REACTIV CEFAS\Anastrozole\Anastrozole/20201126_Cefas_Test7_Run3/Plate 2/@11/H5_01.tif "/>
    <s v=" 8695.2176 "/>
    <s v=" 41.7438 "/>
    <x v="0"/>
    <n v="362971"/>
    <m/>
    <m/>
  </r>
  <r>
    <x v="13"/>
    <x v="8"/>
    <s v="C:\Users\andre\Desktop\REACTIV CEFAS\Anastrozole\Anastrozole/20201126_Cefas_Test7_Run3/Plate 2/@11/H5_02.tif "/>
    <s v=" 8349.1393 "/>
    <s v=" 42.4482 "/>
    <x v="0"/>
    <n v="354406"/>
    <m/>
    <m/>
  </r>
  <r>
    <x v="13"/>
    <x v="8"/>
    <s v="C:\Users\andre\Desktop\REACTIV CEFAS\Anastrozole\Anastrozole/20201126_Cefas_Test7_Run3/Plate 2/@11/H5_03.tif "/>
    <s v=" 21.6299 "/>
    <n v="33"/>
    <x v="0"/>
    <n v="714"/>
    <m/>
    <m/>
  </r>
  <r>
    <x v="0"/>
    <x v="0"/>
    <s v=" "/>
    <m/>
    <m/>
    <x v="1"/>
    <m/>
    <m/>
    <m/>
  </r>
  <r>
    <x v="0"/>
    <x v="0"/>
    <s v="group "/>
    <s v=" "/>
    <s v=" mean of mean fluo "/>
    <x v="2"/>
    <s v=" mean of total fluo "/>
    <s v=" SD total fluo "/>
    <m/>
  </r>
  <r>
    <x v="13"/>
    <x v="9"/>
    <s v="C:\Users\andre\Desktop\REACTIV CEFAS\Anastrozole\Anastrozole/20201126_Cefas_Test7_Run3/Plate 2/@11/ "/>
    <s v=" "/>
    <s v=" 35.8494 "/>
    <x v="15"/>
    <n v="247099"/>
    <s v=" 181267.095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Anastrozole\Anastrozole/20201126_Cefas_Test7_Run3/Plate 2/@12/A6_01.tif "/>
    <s v=" 8197.7301 "/>
    <s v=" 38.0317 "/>
    <x v="0"/>
    <n v="311773"/>
    <m/>
    <m/>
  </r>
  <r>
    <x v="14"/>
    <x v="1"/>
    <s v="C:\Users\andre\Desktop\REACTIV CEFAS\Anastrozole\Anastrozole/20201126_Cefas_Test7_Run3/Plate 2/@12/A6_02.tif "/>
    <s v=" 10425.6092 "/>
    <s v=" 40.471 "/>
    <x v="0"/>
    <n v="421934"/>
    <m/>
    <m/>
  </r>
  <r>
    <x v="14"/>
    <x v="1"/>
    <s v="C:\Users\andre\Desktop\REACTIV CEFAS\Anastrozole\Anastrozole/20201126_Cefas_Test7_Run3/Plate 2/@12/A6_03.tif "/>
    <s v=" 11615.2534 "/>
    <s v=" 38.1546 "/>
    <x v="0"/>
    <n v="443175"/>
    <m/>
    <m/>
  </r>
  <r>
    <x v="14"/>
    <x v="2"/>
    <s v="C:\Users\andre\Desktop\REACTIV CEFAS\Anastrozole\Anastrozole/20201126_Cefas_Test7_Run3/Plate 2/@12/B6_01.tif "/>
    <s v=" 129.7794 "/>
    <n v="32"/>
    <x v="0"/>
    <n v="4153"/>
    <m/>
    <m/>
  </r>
  <r>
    <x v="14"/>
    <x v="2"/>
    <s v="C:\Users\andre\Desktop\REACTIV CEFAS\Anastrozole\Anastrozole/20201126_Cefas_Test7_Run3/Plate 2/@12/B6_02.tif "/>
    <s v=" 7505.5734 "/>
    <s v=" 40.4236 "/>
    <x v="0"/>
    <n v="303403"/>
    <m/>
    <m/>
  </r>
  <r>
    <x v="14"/>
    <x v="2"/>
    <s v="C:\Users\andre\Desktop\REACTIV CEFAS\Anastrozole\Anastrozole/20201126_Cefas_Test7_Run3/Plate 2/@12/B6_03.tif "/>
    <s v=" 6121.2602 "/>
    <s v=" 37.1025 "/>
    <x v="0"/>
    <n v="227114"/>
    <m/>
    <m/>
  </r>
  <r>
    <x v="14"/>
    <x v="3"/>
    <s v="C:\Users\andre\Desktop\REACTIV CEFAS\Anastrozole\Anastrozole/20201126_Cefas_Test7_Run3/Plate 2/@12/C6_01.tif "/>
    <n v="0"/>
    <n v="0"/>
    <x v="0"/>
    <n v="0"/>
    <m/>
    <m/>
  </r>
  <r>
    <x v="14"/>
    <x v="3"/>
    <s v="C:\Users\andre\Desktop\REACTIV CEFAS\Anastrozole\Anastrozole/20201126_Cefas_Test7_Run3/Plate 2/@12/C6_02- exclu.tif"/>
    <m/>
    <m/>
    <x v="1"/>
    <m/>
    <m/>
    <m/>
  </r>
  <r>
    <x v="14"/>
    <x v="3"/>
    <s v="C:\Users\andre\Desktop\REACTIV CEFAS\Anastrozole\Anastrozole/20201126_Cefas_Test7_Run3/Plate 2/@12/C6_03- exclu.tif"/>
    <m/>
    <m/>
    <x v="1"/>
    <m/>
    <m/>
    <m/>
  </r>
  <r>
    <x v="14"/>
    <x v="4"/>
    <s v="C:\Users\andre\Desktop\REACTIV CEFAS\Anastrozole\Anastrozole/20201126_Cefas_Test7_Run3/Plate 2/@12/D6_01.tif "/>
    <s v=" 1968.3204 "/>
    <s v=" 32.6923 "/>
    <x v="0"/>
    <n v="64349"/>
    <m/>
    <m/>
  </r>
  <r>
    <x v="14"/>
    <x v="4"/>
    <s v="C:\Users\andre\Desktop\REACTIV CEFAS\Anastrozole\Anastrozole/20201126_Cefas_Test7_Run3/Plate 2/@12/D6_02.tif "/>
    <s v=" 1730.3916 "/>
    <s v=" 33.35 "/>
    <x v="0"/>
    <n v="57709"/>
    <m/>
    <m/>
  </r>
  <r>
    <x v="14"/>
    <x v="4"/>
    <s v="C:\Users\andre\Desktop\REACTIV CEFAS\Anastrozole\Anastrozole/20201126_Cefas_Test7_Run3/Plate 2/@12/D6_03.tif "/>
    <s v=" 2184.6194 "/>
    <s v=" 34.1188 "/>
    <x v="0"/>
    <n v="74537"/>
    <m/>
    <m/>
  </r>
  <r>
    <x v="14"/>
    <x v="5"/>
    <s v="C:\Users\andre\Desktop\REACTIV CEFAS\Anastrozole\Anastrozole/20201126_Cefas_Test7_Run3/Plate 2/@12/E6_01.tif "/>
    <s v=" 10490.4989 "/>
    <s v=" 46.7155 "/>
    <x v="0"/>
    <n v="490069"/>
    <m/>
    <m/>
  </r>
  <r>
    <x v="14"/>
    <x v="5"/>
    <s v="C:\Users\andre\Desktop\REACTIV CEFAS\Anastrozole\Anastrozole/20201126_Cefas_Test7_Run3/Plate 2/@12/E6_02.tif "/>
    <s v=" 11096.1359 "/>
    <s v=" 45.7778 "/>
    <x v="0"/>
    <n v="507956"/>
    <m/>
    <m/>
  </r>
  <r>
    <x v="14"/>
    <x v="5"/>
    <s v="C:\Users\andre\Desktop\REACTIV CEFAS\Anastrozole\Anastrozole/20201126_Cefas_Test7_Run3/Plate 2/@12/E6_03.tif "/>
    <s v=" 9928.1216 "/>
    <s v=" 43.3704 "/>
    <x v="0"/>
    <n v="430586"/>
    <m/>
    <m/>
  </r>
  <r>
    <x v="14"/>
    <x v="6"/>
    <s v="C:\Users\andre\Desktop\REACTIV CEFAS\Anastrozole\Anastrozole/20201126_Cefas_Test7_Run3/Plate 2/@12/F6_01- exclu.tif"/>
    <m/>
    <m/>
    <x v="1"/>
    <m/>
    <m/>
    <m/>
  </r>
  <r>
    <x v="14"/>
    <x v="6"/>
    <s v="C:\Users\andre\Desktop\REACTIV CEFAS\Anastrozole\Anastrozole/20201126_Cefas_Test7_Run3/Plate 2/@12/F6_02- exclu.tif"/>
    <m/>
    <m/>
    <x v="1"/>
    <m/>
    <m/>
    <m/>
  </r>
  <r>
    <x v="14"/>
    <x v="6"/>
    <s v="C:\Users\andre\Desktop\REACTIV CEFAS\Anastrozole\Anastrozole/20201126_Cefas_Test7_Run3/Plate 2/@12/F6_03.tif "/>
    <s v=" 11831.5524 "/>
    <s v=" 41.1426 "/>
    <x v="0"/>
    <n v="486781"/>
    <m/>
    <m/>
  </r>
  <r>
    <x v="14"/>
    <x v="7"/>
    <s v="C:\Users\andre\Desktop\REACTIV CEFAS\Anastrozole\Anastrozole/20201126_Cefas_Test7_Run3/Plate 2/@12/G6_01.tif "/>
    <s v=" 3028.1852 "/>
    <s v=" 35.7571 "/>
    <x v="0"/>
    <n v="108279"/>
    <m/>
    <m/>
  </r>
  <r>
    <x v="14"/>
    <x v="7"/>
    <s v="C:\Users\andre\Desktop\REACTIV CEFAS\Anastrozole\Anastrozole/20201126_Cefas_Test7_Run3/Plate 2/@12/G6_02.tif "/>
    <s v=" 151.4093 "/>
    <s v=" 32.2857 "/>
    <x v="0"/>
    <n v="4888"/>
    <m/>
    <m/>
  </r>
  <r>
    <x v="14"/>
    <x v="7"/>
    <s v="C:\Users\andre\Desktop\REACTIV CEFAS\Anastrozole\Anastrozole/20201126_Cefas_Test7_Run3/Plate 2/@12/G6_03.tif "/>
    <s v=" 1016.605 "/>
    <s v=" 33.0638 "/>
    <x v="0"/>
    <n v="33613"/>
    <m/>
    <m/>
  </r>
  <r>
    <x v="14"/>
    <x v="8"/>
    <s v="C:\Users\andre\Desktop\REACTIV CEFAS\Anastrozole\Anastrozole/20201126_Cefas_Test7_Run3/Plate 2/@12/H6_01- exclu.tif"/>
    <m/>
    <m/>
    <x v="1"/>
    <m/>
    <m/>
    <m/>
  </r>
  <r>
    <x v="14"/>
    <x v="8"/>
    <s v="C:\Users\andre\Desktop\REACTIV CEFAS\Anastrozole\Anastrozole/20201126_Cefas_Test7_Run3/Plate 2/@12/H6_02- exclu.tif"/>
    <m/>
    <m/>
    <x v="1"/>
    <m/>
    <m/>
    <m/>
  </r>
  <r>
    <x v="14"/>
    <x v="8"/>
    <s v="C:\Users\andre\Desktop\REACTIV CEFAS\Anastrozole\Anastrozole/20201126_Cefas_Test7_Run3/Plate 2/@12/H6_03- exclu.tif"/>
    <m/>
    <m/>
    <x v="1"/>
    <m/>
    <m/>
    <m/>
  </r>
  <r>
    <x v="0"/>
    <x v="0"/>
    <s v=" "/>
    <m/>
    <m/>
    <x v="1"/>
    <m/>
    <m/>
    <m/>
  </r>
  <r>
    <x v="0"/>
    <x v="0"/>
    <s v="group "/>
    <s v=" "/>
    <s v=" mean of mean fluo "/>
    <x v="2"/>
    <s v=" mean of total fluo "/>
    <s v=" SD total fluo "/>
    <m/>
  </r>
  <r>
    <x v="14"/>
    <x v="9"/>
    <s v="C:\Users\andre\Desktop\REACTIV CEFAS\Anastrozole\Anastrozole/20201126_Cefas_Test7_Run3/Plate 2/@12/ "/>
    <s v=" "/>
    <s v=" 33.893 "/>
    <x v="16"/>
    <s v=" 237489.958 "/>
    <s v=" 206901.466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Anastrozole\Anastrozole/20201126_Cefas_Test7_Run3/Plate 2/@17/A8_01- exclu.tif"/>
    <m/>
    <m/>
    <x v="1"/>
    <m/>
    <m/>
    <m/>
  </r>
  <r>
    <x v="15"/>
    <x v="1"/>
    <s v="C:\Users\andre\Desktop\REACTIV CEFAS\Anastrozole\Anastrozole/20201126_Cefas_Test7_Run3/Plate 2/@17/A8_02.tif "/>
    <s v=" 12004.5915 "/>
    <s v=" 39.7333 "/>
    <x v="0"/>
    <n v="476982"/>
    <m/>
    <m/>
  </r>
  <r>
    <x v="15"/>
    <x v="1"/>
    <s v="C:\Users\andre\Desktop\REACTIV CEFAS\Anastrozole\Anastrozole/20201126_Cefas_Test7_Run3/Plate 2/@17/A8_03- exclu.tif"/>
    <m/>
    <m/>
    <x v="1"/>
    <m/>
    <m/>
    <m/>
  </r>
  <r>
    <x v="15"/>
    <x v="2"/>
    <s v="C:\Users\andre\Desktop\REACTIV CEFAS\Anastrozole\Anastrozole/20201126_Cefas_Test7_Run3/Plate 2/@17/B8_01.tif "/>
    <s v=" 8695.2176 "/>
    <s v=" 33.3582 "/>
    <x v="0"/>
    <n v="290057"/>
    <m/>
    <m/>
  </r>
  <r>
    <x v="15"/>
    <x v="2"/>
    <s v="C:\Users\andre\Desktop\REACTIV CEFAS\Anastrozole\Anastrozole/20201126_Cefas_Test7_Run3/Plate 2/@17/B8_02- exclu.tif"/>
    <m/>
    <m/>
    <x v="1"/>
    <m/>
    <m/>
    <m/>
  </r>
  <r>
    <x v="15"/>
    <x v="2"/>
    <s v="C:\Users\andre\Desktop\REACTIV CEFAS\Anastrozole\Anastrozole/20201126_Cefas_Test7_Run3/Plate 2/@17/B8_03- exclu.tif"/>
    <m/>
    <m/>
    <x v="1"/>
    <m/>
    <m/>
    <m/>
  </r>
  <r>
    <x v="15"/>
    <x v="3"/>
    <s v="C:\Users\andre\Desktop\REACTIV CEFAS\Anastrozole\Anastrozole/20201126_Cefas_Test7_Run3/Plate 2/@17/C8_01.tif "/>
    <s v=" 4152.9398 "/>
    <s v=" 43.6042 "/>
    <x v="0"/>
    <n v="181085"/>
    <m/>
    <m/>
  </r>
  <r>
    <x v="15"/>
    <x v="3"/>
    <s v="C:\Users\andre\Desktop\REACTIV CEFAS\Anastrozole\Anastrozole/20201126_Cefas_Test7_Run3/Plate 2/@17/C8_02.tif "/>
    <s v=" 12069.4812 "/>
    <s v=" 44.2903 "/>
    <x v="0"/>
    <n v="534561"/>
    <m/>
    <m/>
  </r>
  <r>
    <x v="15"/>
    <x v="3"/>
    <s v="C:\Users\andre\Desktop\REACTIV CEFAS\Anastrozole\Anastrozole/20201126_Cefas_Test7_Run3/Plate 2/@17/C8_03.tif "/>
    <s v=" 12069.4812 "/>
    <s v=" 47.2706 "/>
    <x v="0"/>
    <n v="570532"/>
    <m/>
    <m/>
  </r>
  <r>
    <x v="15"/>
    <x v="4"/>
    <s v="C:\Users\andre\Desktop\REACTIV CEFAS\Anastrozole\Anastrozole/20201126_Cefas_Test7_Run3/Plate 2/@17/D8_01.tif "/>
    <n v="0"/>
    <n v="0"/>
    <x v="0"/>
    <n v="0"/>
    <m/>
    <m/>
  </r>
  <r>
    <x v="15"/>
    <x v="4"/>
    <s v="C:\Users\andre\Desktop\REACTIV CEFAS\Anastrozole\Anastrozole/20201126_Cefas_Test7_Run3/Plate 2/@17/D8_02.tif "/>
    <s v=" 3157.9646 "/>
    <s v=" 36.4658 "/>
    <x v="0"/>
    <n v="115158"/>
    <m/>
    <m/>
  </r>
  <r>
    <x v="15"/>
    <x v="4"/>
    <s v="C:\Users\andre\Desktop\REACTIV CEFAS\Anastrozole\Anastrozole/20201126_Cefas_Test7_Run3/Plate 2/@17/D8_03- exclu.tif"/>
    <m/>
    <m/>
    <x v="1"/>
    <m/>
    <m/>
    <m/>
  </r>
  <r>
    <x v="15"/>
    <x v="5"/>
    <s v="C:\Users\andre\Desktop\REACTIV CEFAS\Anastrozole\Anastrozole/20201126_Cefas_Test7_Run3/Plate 2/@17/E8_01.tif "/>
    <s v=" 5212.8046 "/>
    <s v=" 36.7718 "/>
    <x v="0"/>
    <n v="191684"/>
    <m/>
    <m/>
  </r>
  <r>
    <x v="15"/>
    <x v="5"/>
    <s v="C:\Users\andre\Desktop\REACTIV CEFAS\Anastrozole\Anastrozole/20201126_Cefas_Test7_Run3/Plate 2/@17/E8_02.tif "/>
    <s v=" 8284.2496 "/>
    <n v="39"/>
    <x v="0"/>
    <n v="323086"/>
    <m/>
    <m/>
  </r>
  <r>
    <x v="15"/>
    <x v="5"/>
    <s v="C:\Users\andre\Desktop\REACTIV CEFAS\Anastrozole\Anastrozole/20201126_Cefas_Test7_Run3/Plate 2/@17/E8_03.tif "/>
    <s v=" 2984.9255 "/>
    <s v=" 35.2826 "/>
    <x v="0"/>
    <n v="105316"/>
    <m/>
    <m/>
  </r>
  <r>
    <x v="15"/>
    <x v="6"/>
    <s v="C:\Users\andre\Desktop\REACTIV CEFAS\Anastrozole\Anastrozole/20201126_Cefas_Test7_Run3/Plate 2/@17/F8_01.tif "/>
    <s v=" 2292.7688 "/>
    <s v=" 34.434 "/>
    <x v="0"/>
    <n v="78949"/>
    <m/>
    <m/>
  </r>
  <r>
    <x v="15"/>
    <x v="6"/>
    <s v="C:\Users\andre\Desktop\REACTIV CEFAS\Anastrozole\Anastrozole/20201126_Cefas_Test7_Run3/Plate 2/@17/F8_02.tif "/>
    <s v=" 6078.0004 "/>
    <s v=" 34.9253 "/>
    <x v="0"/>
    <n v="212276"/>
    <m/>
    <m/>
  </r>
  <r>
    <x v="15"/>
    <x v="6"/>
    <s v="C:\Users\andre\Desktop\REACTIV CEFAS\Anastrozole\Anastrozole/20201126_Cefas_Test7_Run3/Plate 2/@17/F8_03.tif "/>
    <s v=" 1600.6122 "/>
    <s v=" 34.2432 "/>
    <x v="0"/>
    <n v="54810"/>
    <m/>
    <m/>
  </r>
  <r>
    <x v="15"/>
    <x v="7"/>
    <s v="C:\Users\andre\Desktop\REACTIV CEFAS\Anastrozole\Anastrozole/20201126_Cefas_Test7_Run3/Plate 2/@17/G8_01.tif "/>
    <s v=" 8673.5877 "/>
    <s v=" 42.4165 "/>
    <x v="0"/>
    <n v="367903"/>
    <m/>
    <m/>
  </r>
  <r>
    <x v="15"/>
    <x v="7"/>
    <s v="C:\Users\andre\Desktop\REACTIV CEFAS\Anastrozole\Anastrozole/20201126_Cefas_Test7_Run3/Plate 2/@17/G8_02- exclu.tif"/>
    <m/>
    <m/>
    <x v="1"/>
    <m/>
    <m/>
    <m/>
  </r>
  <r>
    <x v="15"/>
    <x v="7"/>
    <s v="C:\Users\andre\Desktop\REACTIV CEFAS\Anastrozole\Anastrozole/20201126_Cefas_Test7_Run3/Plate 2/@17/G8_03.tif "/>
    <s v=" 8651.9579 "/>
    <s v=" 44.555 "/>
    <x v="0"/>
    <n v="385488"/>
    <m/>
    <m/>
  </r>
  <r>
    <x v="15"/>
    <x v="8"/>
    <s v="C:\Users\andre\Desktop\REACTIV CEFAS\Anastrozole\Anastrozole/20201126_Cefas_Test7_Run3/Plate 2/@17/H8_01.tif "/>
    <s v=" 3958.2707 "/>
    <s v=" 33.6557 "/>
    <x v="0"/>
    <n v="133219"/>
    <m/>
    <m/>
  </r>
  <r>
    <x v="15"/>
    <x v="8"/>
    <s v="C:\Users\andre\Desktop\REACTIV CEFAS\Anastrozole\Anastrozole/20201126_Cefas_Test7_Run3/Plate 2/@17/H8_02.tif "/>
    <s v=" 1254.5339 "/>
    <s v=" 32.4828 "/>
    <x v="0"/>
    <n v="40751"/>
    <m/>
    <m/>
  </r>
  <r>
    <x v="15"/>
    <x v="8"/>
    <s v="C:\Users\andre\Desktop\REACTIV CEFAS\Anastrozole\Anastrozole/20201126_Cefas_Test7_Run3/Plate 2/@17/H8_03.tif "/>
    <s v=" 2768.6265 "/>
    <s v=" 32.75 "/>
    <x v="0"/>
    <n v="90673"/>
    <m/>
    <m/>
  </r>
  <r>
    <x v="0"/>
    <x v="0"/>
    <s v=" "/>
    <m/>
    <m/>
    <x v="1"/>
    <m/>
    <m/>
    <m/>
  </r>
  <r>
    <x v="0"/>
    <x v="0"/>
    <s v="group "/>
    <s v=" "/>
    <s v=" mean of mean fluo "/>
    <x v="2"/>
    <s v=" mean of total fluo "/>
    <s v=" SD total fluo "/>
    <m/>
  </r>
  <r>
    <x v="15"/>
    <x v="9"/>
    <s v="C:\Users\andre\Desktop\REACTIV CEFAS\Anastrozole\Anastrozole/20201126_Cefas_Test7_Run3/Plate 2/@17/ "/>
    <s v=" "/>
    <s v=" 29.6766 "/>
    <x v="17"/>
    <s v=" 173194.25 "/>
    <s v=" 182633.187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Anastrozole\Anastrozole/20201126_Cefas_Test7_Run3/Plate 2/@18/A9_01.tif "/>
    <s v=" 8889.8867 "/>
    <s v=" 44.871 "/>
    <x v="0"/>
    <n v="398899"/>
    <m/>
    <m/>
  </r>
  <r>
    <x v="16"/>
    <x v="1"/>
    <s v="C:\Users\andre\Desktop\REACTIV CEFAS\Anastrozole\Anastrozole/20201126_Cefas_Test7_Run3/Plate 2/@18/A9_02.tif "/>
    <s v=" 7765.1322 "/>
    <s v=" 38.0752 "/>
    <x v="0"/>
    <n v="295659"/>
    <m/>
    <m/>
  </r>
  <r>
    <x v="16"/>
    <x v="1"/>
    <s v="C:\Users\andre\Desktop\REACTIV CEFAS\Anastrozole\Anastrozole/20201126_Cefas_Test7_Run3/Plate 2/@18/A9_03.tif "/>
    <s v=" 4736.9469 "/>
    <s v=" 36.5616 "/>
    <x v="0"/>
    <n v="173191"/>
    <m/>
    <m/>
  </r>
  <r>
    <x v="16"/>
    <x v="2"/>
    <s v="C:\Users\andre\Desktop\REACTIV CEFAS\Anastrozole\Anastrozole/20201126_Cefas_Test7_Run3/Plate 2/@18/B9_01- exclu.tif"/>
    <m/>
    <m/>
    <x v="1"/>
    <m/>
    <m/>
    <m/>
  </r>
  <r>
    <x v="16"/>
    <x v="2"/>
    <s v="C:\Users\andre\Desktop\REACTIV CEFAS\Anastrozole\Anastrozole/20201126_Cefas_Test7_Run3/Plate 2/@18/B9_02- exclu.tif"/>
    <m/>
    <m/>
    <x v="1"/>
    <m/>
    <m/>
    <m/>
  </r>
  <r>
    <x v="16"/>
    <x v="2"/>
    <s v="C:\Users\andre\Desktop\REACTIV CEFAS\Anastrozole\Anastrozole/20201126_Cefas_Test7_Run3/Plate 2/@18/B9_03- exclu.tif"/>
    <m/>
    <m/>
    <x v="1"/>
    <m/>
    <m/>
    <m/>
  </r>
  <r>
    <x v="16"/>
    <x v="3"/>
    <s v="C:\Users\andre\Desktop\REACTIV CEFAS\Anastrozole\Anastrozole/20201126_Cefas_Test7_Run3/Plate 2/@18/C9_01.tif "/>
    <s v=" 173.0392 "/>
    <s v=" 32.625 "/>
    <x v="0"/>
    <n v="5645"/>
    <m/>
    <m/>
  </r>
  <r>
    <x v="16"/>
    <x v="3"/>
    <s v="C:\Users\andre\Desktop\REACTIV CEFAS\Anastrozole\Anastrozole/20201126_Cefas_Test7_Run3/Plate 2/@18/C9_02.tif "/>
    <s v=" 4325.9789 "/>
    <s v=" 36.18 "/>
    <x v="0"/>
    <n v="156514"/>
    <m/>
    <m/>
  </r>
  <r>
    <x v="16"/>
    <x v="3"/>
    <s v="C:\Users\andre\Desktop\REACTIV CEFAS\Anastrozole\Anastrozole/20201126_Cefas_Test7_Run3/Plate 2/@18/C9_03.tif "/>
    <s v=" 4715.317 "/>
    <s v=" 37.0734 "/>
    <x v="0"/>
    <n v="174813"/>
    <m/>
    <m/>
  </r>
  <r>
    <x v="16"/>
    <x v="4"/>
    <s v="C:\Users\andre\Desktop\REACTIV CEFAS\Anastrozole\Anastrozole/20201126_Cefas_Test7_Run3/Plate 2/@18/D9_01.tif "/>
    <s v=" 2379.2884 "/>
    <s v=" 31.8818 "/>
    <x v="0"/>
    <n v="75856"/>
    <m/>
    <m/>
  </r>
  <r>
    <x v="16"/>
    <x v="4"/>
    <s v="C:\Users\andre\Desktop\REACTIV CEFAS\Anastrozole\Anastrozole/20201126_Cefas_Test7_Run3/Plate 2/@18/D9_02.tif "/>
    <s v=" 4477.3882 "/>
    <s v=" 34.2995 "/>
    <x v="0"/>
    <n v="153572"/>
    <m/>
    <m/>
  </r>
  <r>
    <x v="16"/>
    <x v="4"/>
    <s v="C:\Users\andre\Desktop\REACTIV CEFAS\Anastrozole\Anastrozole/20201126_Cefas_Test7_Run3/Plate 2/@18/D9_03.tif "/>
    <s v=" 3028.1852 "/>
    <s v=" 35.1286 "/>
    <x v="0"/>
    <n v="106376"/>
    <m/>
    <m/>
  </r>
  <r>
    <x v="16"/>
    <x v="5"/>
    <s v="C:\Users\andre\Desktop\REACTIV CEFAS\Anastrozole\Anastrozole/20201126_Cefas_Test7_Run3/Plate 2/@18/E9_01.tif "/>
    <s v=" 9192.7052 "/>
    <s v=" 41.1671 "/>
    <x v="0"/>
    <n v="378437"/>
    <m/>
    <m/>
  </r>
  <r>
    <x v="16"/>
    <x v="5"/>
    <s v="C:\Users\andre\Desktop\REACTIV CEFAS\Anastrozole\Anastrozole/20201126_Cefas_Test7_Run3/Plate 2/@18/E9_02.tif "/>
    <s v=" 3395.8935 "/>
    <s v=" 41.5478 "/>
    <x v="0"/>
    <n v="141092"/>
    <m/>
    <m/>
  </r>
  <r>
    <x v="16"/>
    <x v="5"/>
    <s v="C:\Users\andre\Desktop\REACTIV CEFAS\Anastrozole\Anastrozole/20201126_Cefas_Test7_Run3/Plate 2/@18/E9_03.tif "/>
    <s v=" 15032.7768 "/>
    <s v=" 46.0489 "/>
    <x v="0"/>
    <n v="692243"/>
    <m/>
    <m/>
  </r>
  <r>
    <x v="16"/>
    <x v="6"/>
    <s v="C:\Users\andre\Desktop\REACTIV CEFAS\Anastrozole\Anastrozole/20201126_Cefas_Test7_Run3/Plate 2/@18/F9_01.tif "/>
    <s v=" 3157.9646 "/>
    <s v=" 35.6918 "/>
    <x v="0"/>
    <n v="112713"/>
    <m/>
    <m/>
  </r>
  <r>
    <x v="16"/>
    <x v="6"/>
    <s v="C:\Users\andre\Desktop\REACTIV CEFAS\Anastrozole\Anastrozole/20201126_Cefas_Test7_Run3/Plate 2/@18/F9_02.tif "/>
    <s v=" 2898.4059 "/>
    <s v=" 34.7985 "/>
    <x v="0"/>
    <n v="100860"/>
    <m/>
    <m/>
  </r>
  <r>
    <x v="16"/>
    <x v="6"/>
    <s v="C:\Users\andre\Desktop\REACTIV CEFAS\Anastrozole\Anastrozole/20201126_Cefas_Test7_Run3/Plate 2/@18/F9_03.tif "/>
    <s v=" 3655.4522 "/>
    <s v=" 34.2189 "/>
    <x v="0"/>
    <n v="125086"/>
    <m/>
    <m/>
  </r>
  <r>
    <x v="16"/>
    <x v="7"/>
    <s v="C:\Users\andre\Desktop\REACTIV CEFAS\Anastrozole\Anastrozole/20201126_Cefas_Test7_Run3/Plate 2/@18/G9_01.tif "/>
    <s v=" 5840.0715 "/>
    <s v=" 41.4 "/>
    <x v="0"/>
    <n v="241779"/>
    <m/>
    <m/>
  </r>
  <r>
    <x v="16"/>
    <x v="7"/>
    <s v="C:\Users\andre\Desktop\REACTIV CEFAS\Anastrozole\Anastrozole/20201126_Cefas_Test7_Run3/Plate 2/@18/G9_02.tif "/>
    <s v=" 6099.6303 "/>
    <s v=" 40.7837 "/>
    <x v="0"/>
    <n v="248765"/>
    <m/>
    <m/>
  </r>
  <r>
    <x v="16"/>
    <x v="7"/>
    <s v="C:\Users\andre\Desktop\REACTIV CEFAS\Anastrozole\Anastrozole/20201126_Cefas_Test7_Run3/Plate 2/@18/G9_03- exclu.tif"/>
    <m/>
    <m/>
    <x v="1"/>
    <m/>
    <m/>
    <m/>
  </r>
  <r>
    <x v="16"/>
    <x v="8"/>
    <s v="C:\Users\andre\Desktop\REACTIV CEFAS\Anastrozole\Anastrozole/20201126_Cefas_Test7_Run3/Plate 2/@18/H9_01.tif "/>
    <s v=" 4131.3099 "/>
    <s v=" 32.5079 "/>
    <x v="0"/>
    <n v="134300"/>
    <m/>
    <m/>
  </r>
  <r>
    <x v="16"/>
    <x v="8"/>
    <s v="C:\Users\andre\Desktop\REACTIV CEFAS\Anastrozole\Anastrozole/20201126_Cefas_Test7_Run3/Plate 2/@18/H9_02.tif "/>
    <s v=" 43.2598 "/>
    <s v=" 30.5 "/>
    <x v="0"/>
    <n v="1319"/>
    <m/>
    <m/>
  </r>
  <r>
    <x v="16"/>
    <x v="8"/>
    <s v="C:\Users\andre\Desktop\REACTIV CEFAS\Anastrozole\Anastrozole/20201126_Cefas_Test7_Run3/Plate 2/@18/H9_03.tif "/>
    <s v=" 6164.52 "/>
    <s v=" 35.8912 "/>
    <x v="0"/>
    <n v="221252"/>
    <m/>
    <m/>
  </r>
  <r>
    <x v="0"/>
    <x v="0"/>
    <s v=" "/>
    <m/>
    <m/>
    <x v="1"/>
    <m/>
    <m/>
    <m/>
  </r>
  <r>
    <x v="0"/>
    <x v="0"/>
    <s v="group "/>
    <s v=" "/>
    <s v=" mean of mean fluo "/>
    <x v="2"/>
    <s v=" mean of total fluo "/>
    <s v=" SD total fluo "/>
    <m/>
  </r>
  <r>
    <x v="16"/>
    <x v="9"/>
    <s v="C:\Users\andre\Desktop\REACTIV CEFAS\Anastrozole\Anastrozole/20201126_Cefas_Test7_Run3/Plate 2/@18/ "/>
    <s v=" "/>
    <s v=" 37.3818 "/>
    <x v="18"/>
    <s v=" 217229.875 "/>
    <s v=" 168393.114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Anastrozole\Anastrozole/20201126_Cefas_Test7_Run3/Plate 2/@19/A10_01.tif "/>
    <s v=" 12199.2606 "/>
    <s v=" 36.5266 "/>
    <x v="0"/>
    <n v="445597"/>
    <m/>
    <m/>
  </r>
  <r>
    <x v="17"/>
    <x v="1"/>
    <s v="C:\Users\andre\Desktop\REACTIV CEFAS\Anastrozole\Anastrozole/20201126_Cefas_Test7_Run3/Plate 2/@19/A10_02.tif "/>
    <s v=" 10728.4277 "/>
    <s v=" 39.2843 "/>
    <x v="0"/>
    <n v="421458"/>
    <m/>
    <m/>
  </r>
  <r>
    <x v="17"/>
    <x v="1"/>
    <s v="C:\Users\andre\Desktop\REACTIV CEFAS\Anastrozole\Anastrozole/20201126_Cefas_Test7_Run3/Plate 2/@19/A10_03.tif "/>
    <s v=" 11507.1039 "/>
    <s v=" 39.359 "/>
    <x v="0"/>
    <n v="452908"/>
    <m/>
    <m/>
  </r>
  <r>
    <x v="17"/>
    <x v="2"/>
    <s v="C:\Users\andre\Desktop\REACTIV CEFAS\Anastrozole\Anastrozole/20201126_Cefas_Test7_Run3/Plate 2/@19/B10_01- exclu.tif"/>
    <m/>
    <m/>
    <x v="1"/>
    <m/>
    <m/>
    <m/>
  </r>
  <r>
    <x v="17"/>
    <x v="2"/>
    <s v="C:\Users\andre\Desktop\REACTIV CEFAS\Anastrozole\Anastrozole/20201126_Cefas_Test7_Run3/Plate 2/@19/B10_02.tif "/>
    <s v=" 4585.5377 "/>
    <s v=" 45.5613 "/>
    <x v="0"/>
    <n v="208923"/>
    <m/>
    <m/>
  </r>
  <r>
    <x v="17"/>
    <x v="2"/>
    <s v="C:\Users\andre\Desktop\REACTIV CEFAS\Anastrozole\Anastrozole/20201126_Cefas_Test7_Run3/Plate 2/@19/B10_03.tif "/>
    <s v=" 129.7794 "/>
    <s v=" 32.5 "/>
    <x v="0"/>
    <n v="4218"/>
    <m/>
    <m/>
  </r>
  <r>
    <x v="17"/>
    <x v="3"/>
    <s v="C:\Users\andre\Desktop\REACTIV CEFAS\Anastrozole\Anastrozole/20201126_Cefas_Test7_Run3/Plate 2/@19/C10_01.tif "/>
    <s v=" 2855.1461 "/>
    <s v=" 34.8409 "/>
    <x v="0"/>
    <n v="99476"/>
    <m/>
    <m/>
  </r>
  <r>
    <x v="17"/>
    <x v="3"/>
    <s v="C:\Users\andre\Desktop\REACTIV CEFAS\Anastrozole\Anastrozole/20201126_Cefas_Test7_Run3/Plate 2/@19/C10_02- exclu.tif"/>
    <m/>
    <m/>
    <x v="1"/>
    <m/>
    <m/>
    <m/>
  </r>
  <r>
    <x v="17"/>
    <x v="3"/>
    <s v="C:\Users\andre\Desktop\REACTIV CEFAS\Anastrozole\Anastrozole/20201126_Cefas_Test7_Run3/Plate 2/@19/C10_03- exclu.tif"/>
    <m/>
    <m/>
    <x v="1"/>
    <m/>
    <m/>
    <m/>
  </r>
  <r>
    <x v="17"/>
    <x v="4"/>
    <s v="C:\Users\andre\Desktop\REACTIV CEFAS\Anastrozole\Anastrozole/20201126_Cefas_Test7_Run3/Plate 2/@19/D10_01.tif "/>
    <s v=" 5948.221 "/>
    <s v=" 37.8436 "/>
    <x v="0"/>
    <n v="225102"/>
    <m/>
    <m/>
  </r>
  <r>
    <x v="17"/>
    <x v="4"/>
    <s v="C:\Users\andre\Desktop\REACTIV CEFAS\Anastrozole\Anastrozole/20201126_Cefas_Test7_Run3/Plate 2/@19/D10_02.tif "/>
    <s v=" 7483.9435 "/>
    <s v=" 37.8613 "/>
    <x v="0"/>
    <n v="283352"/>
    <m/>
    <m/>
  </r>
  <r>
    <x v="17"/>
    <x v="4"/>
    <s v="C:\Users\andre\Desktop\REACTIV CEFAS\Anastrozole\Anastrozole/20201126_Cefas_Test7_Run3/Plate 2/@19/D10_03.tif "/>
    <s v=" 6748.5271 "/>
    <s v=" 41.109 "/>
    <x v="0"/>
    <n v="277425"/>
    <m/>
    <m/>
  </r>
  <r>
    <x v="17"/>
    <x v="5"/>
    <s v="C:\Users\andre\Desktop\REACTIV CEFAS\Anastrozole\Anastrozole/20201126_Cefas_Test7_Run3/Plate 2/@19/E10_01.tif "/>
    <s v=" 4888.3562 "/>
    <s v=" 37.3717 "/>
    <x v="0"/>
    <n v="182686"/>
    <m/>
    <m/>
  </r>
  <r>
    <x v="17"/>
    <x v="5"/>
    <s v="C:\Users\andre\Desktop\REACTIV CEFAS\Anastrozole\Anastrozole/20201126_Cefas_Test7_Run3/Plate 2/@19/E10_02.tif "/>
    <s v=" 7310.9044 "/>
    <s v=" 39.6183 "/>
    <x v="0"/>
    <n v="289646"/>
    <m/>
    <m/>
  </r>
  <r>
    <x v="17"/>
    <x v="5"/>
    <s v="C:\Users\andre\Desktop\REACTIV CEFAS\Anastrozole\Anastrozole/20201126_Cefas_Test7_Run3/Plate 2/@19/E10_03.tif "/>
    <s v=" 11809.9225 "/>
    <s v=" 48.4542 "/>
    <x v="0"/>
    <n v="572240"/>
    <m/>
    <m/>
  </r>
  <r>
    <x v="17"/>
    <x v="6"/>
    <s v="C:\Users\andre\Desktop\REACTIV CEFAS\Anastrozole\Anastrozole/20201126_Cefas_Test7_Run3/Plate 2/@19/F10_01.tif "/>
    <s v=" 6662.0075 "/>
    <s v=" 36.8052 "/>
    <x v="0"/>
    <n v="245196"/>
    <m/>
    <m/>
  </r>
  <r>
    <x v="17"/>
    <x v="6"/>
    <s v="C:\Users\andre\Desktop\REACTIV CEFAS\Anastrozole\Anastrozole/20201126_Cefas_Test7_Run3/Plate 2/@19/F10_02.tif "/>
    <s v=" 4239.4593 "/>
    <s v=" 35.5612 "/>
    <x v="0"/>
    <n v="150760"/>
    <m/>
    <m/>
  </r>
  <r>
    <x v="17"/>
    <x v="6"/>
    <s v="C:\Users\andre\Desktop\REACTIV CEFAS\Anastrozole\Anastrozole/20201126_Cefas_Test7_Run3/Plate 2/@19/F10_03.tif "/>
    <s v=" 8608.6981 "/>
    <s v=" 36.1307 "/>
    <x v="0"/>
    <n v="311038"/>
    <m/>
    <m/>
  </r>
  <r>
    <x v="17"/>
    <x v="7"/>
    <s v="C:\Users\andre\Desktop\REACTIV CEFAS\Anastrozole\Anastrozole/20201126_Cefas_Test7_Run3/Plate 2/@19/G10_01.tif "/>
    <s v=" 6142.8901 "/>
    <s v=" 39.1268 "/>
    <x v="0"/>
    <n v="240351"/>
    <m/>
    <m/>
  </r>
  <r>
    <x v="17"/>
    <x v="7"/>
    <s v="C:\Users\andre\Desktop\REACTIV CEFAS\Anastrozole\Anastrozole/20201126_Cefas_Test7_Run3/Plate 2/@19/G10_02.tif "/>
    <s v=" 10685.1679 "/>
    <s v=" 47.1397 "/>
    <x v="0"/>
    <n v="503695"/>
    <m/>
    <m/>
  </r>
  <r>
    <x v="17"/>
    <x v="7"/>
    <s v="C:\Users\andre\Desktop\REACTIV CEFAS\Anastrozole\Anastrozole/20201126_Cefas_Test7_Run3/Plate 2/@19/G10_03.tif "/>
    <s v=" 10598.6484 "/>
    <s v=" 45.8184 "/>
    <x v="0"/>
    <n v="485613"/>
    <m/>
    <m/>
  </r>
  <r>
    <x v="17"/>
    <x v="8"/>
    <s v="C:\Users\andre\Desktop\REACTIV CEFAS\Anastrozole\Anastrozole/20201126_Cefas_Test7_Run3/Plate 2/@19/H10_01.tif "/>
    <s v=" 7743.5023 "/>
    <s v=" 41.4413 "/>
    <x v="0"/>
    <n v="320901"/>
    <m/>
    <m/>
  </r>
  <r>
    <x v="17"/>
    <x v="8"/>
    <s v="C:\Users\andre\Desktop\REACTIV CEFAS\Anastrozole\Anastrozole/20201126_Cefas_Test7_Run3/Plate 2/@19/H10_02.tif "/>
    <s v=" 9798.3423 "/>
    <s v=" 40.7196 "/>
    <x v="0"/>
    <n v="398985"/>
    <m/>
    <m/>
  </r>
  <r>
    <x v="17"/>
    <x v="8"/>
    <s v="C:\Users\andre\Desktop\REACTIV CEFAS\Anastrozole\Anastrozole/20201126_Cefas_Test7_Run3/Plate 2/@19/H10_03.tif "/>
    <s v=" 14016.1717 "/>
    <s v=" 42.1574 "/>
    <x v="0"/>
    <n v="590885"/>
    <m/>
    <m/>
  </r>
  <r>
    <x v="0"/>
    <x v="0"/>
    <s v=" "/>
    <m/>
    <m/>
    <x v="1"/>
    <m/>
    <m/>
    <m/>
  </r>
  <r>
    <x v="0"/>
    <x v="0"/>
    <s v="group "/>
    <s v=" "/>
    <s v=" mean of mean fluo "/>
    <x v="2"/>
    <s v=" mean of total fluo "/>
    <s v=" SD total fluo "/>
    <m/>
  </r>
  <r>
    <x v="17"/>
    <x v="9"/>
    <s v="C:\Users\andre\Desktop\REACTIV CEFAS\Anastrozole\Anastrozole/20201126_Cefas_Test7_Run3/Plate 2/@19/ "/>
    <s v=" "/>
    <s v=" 38.4119 "/>
    <x v="19"/>
    <s v=" 318571.25 "/>
    <s v=" 167894.767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Anastrozole\Anastrozole/20201126_Cefas_Test7_Run3/Plate 2/@20/A11_01.tif "/>
    <s v=" 4412.4985 "/>
    <s v=" 34.5686 "/>
    <x v="0"/>
    <n v="152534"/>
    <m/>
    <m/>
  </r>
  <r>
    <x v="18"/>
    <x v="1"/>
    <s v="C:\Users\andre\Desktop\REACTIV CEFAS\Anastrozole\Anastrozole/20201126_Cefas_Test7_Run3/Plate 2/@20/A11_02.tif "/>
    <s v=" 3179.5945 "/>
    <s v=" 33.3265 "/>
    <x v="0"/>
    <n v="105965"/>
    <m/>
    <m/>
  </r>
  <r>
    <x v="18"/>
    <x v="1"/>
    <s v="C:\Users\andre\Desktop\REACTIV CEFAS\Anastrozole\Anastrozole/20201126_Cefas_Test7_Run3/Plate 2/@20/A11_03.tif "/>
    <s v=" 4369.2387 "/>
    <s v=" 35.4901 "/>
    <x v="0"/>
    <n v="155065"/>
    <m/>
    <m/>
  </r>
  <r>
    <x v="18"/>
    <x v="2"/>
    <s v="C:\Users\andre\Desktop\REACTIV CEFAS\Anastrozole\Anastrozole/20201126_Cefas_Test7_Run3/Plate 2/@20/B11_01.tif "/>
    <s v=" 6943.1962 "/>
    <s v=" 40.0218 "/>
    <x v="0"/>
    <n v="277879"/>
    <m/>
    <m/>
  </r>
  <r>
    <x v="18"/>
    <x v="2"/>
    <s v="C:\Users\andre\Desktop\REACTIV CEFAS\Anastrozole\Anastrozole/20201126_Cefas_Test7_Run3/Plate 2/@20/B11_02.tif "/>
    <s v=" 4909.9861 "/>
    <s v=" 37.6167 "/>
    <x v="0"/>
    <n v="184698"/>
    <m/>
    <m/>
  </r>
  <r>
    <x v="18"/>
    <x v="2"/>
    <s v="C:\Users\andre\Desktop\REACTIV CEFAS\Anastrozole\Anastrozole/20201126_Cefas_Test7_Run3/Plate 2/@20/B11_03.tif "/>
    <s v=" 5904.9612 "/>
    <s v=" 38.7143 "/>
    <x v="0"/>
    <n v="228606"/>
    <m/>
    <m/>
  </r>
  <r>
    <x v="18"/>
    <x v="3"/>
    <s v="C:\Users\andre\Desktop\REACTIV CEFAS\Anastrozole\Anastrozole/20201126_Cefas_Test7_Run3/Plate 2/@20/C11_01.tif "/>
    <s v=" 5126.285 "/>
    <s v=" 36.27 "/>
    <x v="0"/>
    <n v="185931"/>
    <m/>
    <m/>
  </r>
  <r>
    <x v="18"/>
    <x v="3"/>
    <s v="C:\Users\andre\Desktop\REACTIV CEFAS\Anastrozole\Anastrozole/20201126_Cefas_Test7_Run3/Plate 2/@20/C11_02.tif "/>
    <s v=" 6943.1962 "/>
    <s v=" 37.3988 "/>
    <x v="0"/>
    <n v="259667"/>
    <m/>
    <m/>
  </r>
  <r>
    <x v="18"/>
    <x v="3"/>
    <s v="C:\Users\andre\Desktop\REACTIV CEFAS\Anastrozole\Anastrozole/20201126_Cefas_Test7_Run3/Plate 2/@20/C11_03.tif "/>
    <s v=" 6056.3705 "/>
    <s v=" 35.9429 "/>
    <x v="0"/>
    <n v="217683"/>
    <m/>
    <m/>
  </r>
  <r>
    <x v="18"/>
    <x v="4"/>
    <s v="C:\Users\andre\Desktop\REACTIV CEFAS\Anastrozole\Anastrozole/20201126_Cefas_Test7_Run3/Plate 2/@20/D11_01.tif "/>
    <s v=" 7916.5414 "/>
    <s v=" 38.6475 "/>
    <x v="0"/>
    <n v="305955"/>
    <m/>
    <m/>
  </r>
  <r>
    <x v="18"/>
    <x v="4"/>
    <s v="C:\Users\andre\Desktop\REACTIV CEFAS\Anastrozole\Anastrozole/20201126_Cefas_Test7_Run3/Plate 2/@20/D11_02.tif "/>
    <s v=" 4239.4593 "/>
    <s v=" 37.1173 "/>
    <x v="0"/>
    <n v="157357"/>
    <m/>
    <m/>
  </r>
  <r>
    <x v="18"/>
    <x v="4"/>
    <s v="C:\Users\andre\Desktop\REACTIV CEFAS\Anastrozole\Anastrozole/20201126_Cefas_Test7_Run3/Plate 2/@20/D11_03.tif "/>
    <s v=" 7894.9115 "/>
    <s v=" 38.0219 "/>
    <x v="0"/>
    <n v="300180"/>
    <m/>
    <m/>
  </r>
  <r>
    <x v="18"/>
    <x v="5"/>
    <s v="C:\Users\andre\Desktop\REACTIV CEFAS\Anastrozole\Anastrozole/20201126_Cefas_Test7_Run3/Plate 2/@20/E11_01- exclu.tif"/>
    <m/>
    <m/>
    <x v="1"/>
    <m/>
    <m/>
    <m/>
  </r>
  <r>
    <x v="18"/>
    <x v="5"/>
    <s v="C:\Users\andre\Desktop\REACTIV CEFAS\Anastrozole\Anastrozole/20201126_Cefas_Test7_Run3/Plate 2/@20/E11_02- exclu.tif"/>
    <m/>
    <m/>
    <x v="1"/>
    <m/>
    <m/>
    <m/>
  </r>
  <r>
    <x v="18"/>
    <x v="5"/>
    <s v="C:\Users\andre\Desktop\REACTIV CEFAS\Anastrozole\Anastrozole/20201126_Cefas_Test7_Run3/Plate 2/@20/E11_03- exclu.tif"/>
    <m/>
    <m/>
    <x v="1"/>
    <m/>
    <m/>
    <m/>
  </r>
  <r>
    <x v="18"/>
    <x v="6"/>
    <s v="C:\Users\andre\Desktop\REACTIV CEFAS\Anastrozole\Anastrozole/20201126_Cefas_Test7_Run3/Plate 2/@20/F11_01- exclu.tif"/>
    <m/>
    <m/>
    <x v="1"/>
    <m/>
    <m/>
    <m/>
  </r>
  <r>
    <x v="18"/>
    <x v="6"/>
    <s v="C:\Users\andre\Desktop\REACTIV CEFAS\Anastrozole\Anastrozole/20201126_Cefas_Test7_Run3/Plate 2/@20/F11_02.tif "/>
    <s v=" 7894.9115 "/>
    <s v=" 38.4247 "/>
    <x v="0"/>
    <n v="303359"/>
    <m/>
    <m/>
  </r>
  <r>
    <x v="18"/>
    <x v="6"/>
    <s v="C:\Users\andre\Desktop\REACTIV CEFAS\Anastrozole\Anastrozole/20201126_Cefas_Test7_Run3/Plate 2/@20/F11_03.tif "/>
    <s v=" 6186.1499 "/>
    <s v=" 37.8531 "/>
    <x v="0"/>
    <n v="234165"/>
    <m/>
    <m/>
  </r>
  <r>
    <x v="18"/>
    <x v="7"/>
    <s v="C:\Users\andre\Desktop\REACTIV CEFAS\Anastrozole\Anastrozole/20201126_Cefas_Test7_Run3/Plate 2/@20/G11_01.tif "/>
    <s v=" 8954.7764 "/>
    <s v=" 43.1763 "/>
    <x v="0"/>
    <n v="386634"/>
    <m/>
    <m/>
  </r>
  <r>
    <x v="18"/>
    <x v="7"/>
    <s v="C:\Users\andre\Desktop\REACTIV CEFAS\Anastrozole\Anastrozole/20201126_Cefas_Test7_Run3/Plate 2/@20/G11_02.tif "/>
    <s v=" 10339.0896 "/>
    <s v=" 43.3326 "/>
    <x v="0"/>
    <n v="448020"/>
    <m/>
    <m/>
  </r>
  <r>
    <x v="18"/>
    <x v="7"/>
    <s v="C:\Users\andre\Desktop\REACTIV CEFAS\Anastrozole\Anastrozole/20201126_Cefas_Test7_Run3/Plate 2/@20/G11_03.tif "/>
    <s v=" 9733.4526 "/>
    <s v=" 45.0111 "/>
    <x v="0"/>
    <n v="438114"/>
    <m/>
    <m/>
  </r>
  <r>
    <x v="18"/>
    <x v="8"/>
    <s v="C:\Users\andre\Desktop\REACTIV CEFAS\Anastrozole\Anastrozole/20201126_Cefas_Test7_Run3/Plate 2/@20/H11_01.tif "/>
    <s v=" 4715.317 "/>
    <s v=" 37.0872 "/>
    <x v="0"/>
    <n v="174878"/>
    <m/>
    <m/>
  </r>
  <r>
    <x v="18"/>
    <x v="8"/>
    <s v="C:\Users\andre\Desktop\REACTIV CEFAS\Anastrozole\Anastrozole/20201126_Cefas_Test7_Run3/Plate 2/@20/H11_02.tif "/>
    <s v=" 3504.0429 "/>
    <s v=" 34.9753 "/>
    <x v="0"/>
    <n v="122555"/>
    <m/>
    <m/>
  </r>
  <r>
    <x v="18"/>
    <x v="8"/>
    <s v="C:\Users\andre\Desktop\REACTIV CEFAS\Anastrozole\Anastrozole/20201126_Cefas_Test7_Run3/Plate 2/@20/H11_03.tif "/>
    <s v=" 1816.9111 "/>
    <s v=" 35.3333 "/>
    <x v="0"/>
    <n v="64198"/>
    <m/>
    <m/>
  </r>
  <r>
    <x v="0"/>
    <x v="0"/>
    <s v=" "/>
    <m/>
    <m/>
    <x v="1"/>
    <m/>
    <m/>
    <m/>
  </r>
  <r>
    <x v="0"/>
    <x v="0"/>
    <s v="group "/>
    <s v=" "/>
    <s v=" mean of mean fluo "/>
    <x v="2"/>
    <s v=" mean of total fluo "/>
    <s v=" SD total fluo "/>
    <m/>
  </r>
  <r>
    <x v="18"/>
    <x v="9"/>
    <s v="C:\Users\andre\Desktop\REACTIV CEFAS\Anastrozole\Anastrozole/20201126_Cefas_Test7_Run3/Plate 2/@20/ "/>
    <s v=" "/>
    <s v=" 36.5332 "/>
    <x v="20"/>
    <s v=" 246337.458 "/>
    <s v=" 156664.104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Anastrozole\Anastrozole/20201126_Cefas_Test7_Run3/Plate 2/@21/A12_01.tif "/>
    <s v=" 9409.0042 "/>
    <s v=" 40.4759 "/>
    <x v="0"/>
    <n v="380838"/>
    <m/>
    <m/>
  </r>
  <r>
    <x v="19"/>
    <x v="1"/>
    <s v="C:\Users\andre\Desktop\REACTIV CEFAS\Anastrozole\Anastrozole/20201126_Cefas_Test7_Run3/Plate 2/@21/A12_02.tif "/>
    <s v=" 13929.6521 "/>
    <s v=" 48.2376 "/>
    <x v="0"/>
    <n v="671933"/>
    <m/>
    <m/>
  </r>
  <r>
    <x v="19"/>
    <x v="1"/>
    <s v="C:\Users\andre\Desktop\REACTIV CEFAS\Anastrozole\Anastrozole/20201126_Cefas_Test7_Run3/Plate 2/@21/A12_03.tif "/>
    <s v=" 10144.4206 "/>
    <s v=" 40.4136 "/>
    <x v="0"/>
    <n v="409973"/>
    <m/>
    <m/>
  </r>
  <r>
    <x v="19"/>
    <x v="2"/>
    <s v="C:\Users\andre\Desktop\REACTIV CEFAS\Anastrozole\Anastrozole/20201126_Cefas_Test7_Run3/Plate 2/@21/B12_01.tif "/>
    <s v=" 5840.0715 "/>
    <s v=" 36.5963 "/>
    <x v="0"/>
    <n v="213725"/>
    <m/>
    <m/>
  </r>
  <r>
    <x v="19"/>
    <x v="2"/>
    <s v="C:\Users\andre\Desktop\REACTIV CEFAS\Anastrozole\Anastrozole/20201126_Cefas_Test7_Run3/Plate 2/@21/B12_02.tif "/>
    <s v=" 2725.3667 "/>
    <s v=" 36.5794 "/>
    <x v="0"/>
    <n v="99692"/>
    <m/>
    <m/>
  </r>
  <r>
    <x v="19"/>
    <x v="2"/>
    <s v="C:\Users\andre\Desktop\REACTIV CEFAS\Anastrozole\Anastrozole/20201126_Cefas_Test7_Run3/Plate 2/@21/B12_03.tif "/>
    <s v=" 7505.5734 "/>
    <s v=" 37.9424 "/>
    <x v="0"/>
    <n v="284779"/>
    <m/>
    <m/>
  </r>
  <r>
    <x v="19"/>
    <x v="3"/>
    <s v="C:\Users\andre\Desktop\REACTIV CEFAS\Anastrozole\Anastrozole/20201126_Cefas_Test7_Run3/Plate 2/@21/C12_01.tif "/>
    <s v=" 5818.4417 "/>
    <s v=" 39.6059 "/>
    <x v="0"/>
    <n v="230445"/>
    <m/>
    <m/>
  </r>
  <r>
    <x v="19"/>
    <x v="3"/>
    <s v="C:\Users\andre\Desktop\REACTIV CEFAS\Anastrozole\Anastrozole/20201126_Cefas_Test7_Run3/Plate 2/@21/C12_02.tif "/>
    <s v=" 6121.2602 "/>
    <s v=" 35.258 "/>
    <x v="0"/>
    <n v="215823"/>
    <m/>
    <m/>
  </r>
  <r>
    <x v="19"/>
    <x v="3"/>
    <s v="C:\Users\andre\Desktop\REACTIV CEFAS\Anastrozole\Anastrozole/20201126_Cefas_Test7_Run3/Plate 2/@21/C12_03.tif "/>
    <s v=" 6164.52 "/>
    <s v=" 35.0421 "/>
    <x v="0"/>
    <n v="216018"/>
    <m/>
    <m/>
  </r>
  <r>
    <x v="19"/>
    <x v="4"/>
    <s v="C:\Users\andre\Desktop\REACTIV CEFAS\Anastrozole\Anastrozole/20201126_Cefas_Test7_Run3/Plate 2/@21/D12_01.tif "/>
    <s v=" 43.2598 "/>
    <n v="30"/>
    <x v="0"/>
    <n v="1298"/>
    <m/>
    <m/>
  </r>
  <r>
    <x v="19"/>
    <x v="4"/>
    <s v="C:\Users\andre\Desktop\REACTIV CEFAS\Anastrozole\Anastrozole/20201126_Cefas_Test7_Run3/Plate 2/@21/D12_02.tif "/>
    <s v=" 11485.474 "/>
    <s v=" 43.6497 "/>
    <x v="0"/>
    <n v="501338"/>
    <m/>
    <m/>
  </r>
  <r>
    <x v="19"/>
    <x v="4"/>
    <s v="C:\Users\andre\Desktop\REACTIV CEFAS\Anastrozole\Anastrozole/20201126_Cefas_Test7_Run3/Plate 2/@21/D12_03.tif "/>
    <s v=" 12285.7801 "/>
    <s v=" 47.7975 "/>
    <x v="0"/>
    <n v="587230"/>
    <m/>
    <m/>
  </r>
  <r>
    <x v="19"/>
    <x v="5"/>
    <s v="C:\Users\andre\Desktop\REACTIV CEFAS\Anastrozole\Anastrozole/20201126_Cefas_Test7_Run3/Plate 2/@21/E12_01.tif "/>
    <n v="0"/>
    <n v="0"/>
    <x v="0"/>
    <n v="0"/>
    <m/>
    <m/>
  </r>
  <r>
    <x v="19"/>
    <x v="5"/>
    <s v="C:\Users\andre\Desktop\REACTIV CEFAS\Anastrozole\Anastrozole/20201126_Cefas_Test7_Run3/Plate 2/@21/E12_02.tif "/>
    <s v=" 2292.7688 "/>
    <s v=" 34.7358 "/>
    <x v="0"/>
    <n v="79641"/>
    <m/>
    <m/>
  </r>
  <r>
    <x v="19"/>
    <x v="5"/>
    <s v="C:\Users\andre\Desktop\REACTIV CEFAS\Anastrozole\Anastrozole/20201126_Cefas_Test7_Run3/Plate 2/@21/E12_03.tif "/>
    <s v=" 3352.6337 "/>
    <s v=" 36.3032 "/>
    <x v="0"/>
    <n v="121711"/>
    <m/>
    <m/>
  </r>
  <r>
    <x v="19"/>
    <x v="6"/>
    <s v="C:\Users\andre\Desktop\REACTIV CEFAS\Anastrozole\Anastrozole/20201126_Cefas_Test7_Run3/Plate 2/@21/F12_01.tif "/>
    <s v=" 5191.1747 "/>
    <s v=" 35.5 "/>
    <x v="0"/>
    <n v="184287"/>
    <m/>
    <m/>
  </r>
  <r>
    <x v="19"/>
    <x v="6"/>
    <s v="C:\Users\andre\Desktop\REACTIV CEFAS\Anastrozole\Anastrozole/20201126_Cefas_Test7_Run3/Plate 2/@21/F12_02.tif "/>
    <s v=" 3871.7511 "/>
    <s v=" 37.6872 "/>
    <x v="0"/>
    <n v="145915"/>
    <m/>
    <m/>
  </r>
  <r>
    <x v="19"/>
    <x v="6"/>
    <s v="C:\Users\andre\Desktop\REACTIV CEFAS\Anastrozole\Anastrozole/20201126_Cefas_Test7_Run3/Plate 2/@21/F12_03.tif "/>
    <s v=" 8587.0682 "/>
    <s v=" 38.9547 "/>
    <x v="0"/>
    <n v="334506"/>
    <m/>
    <m/>
  </r>
  <r>
    <x v="19"/>
    <x v="7"/>
    <s v="C:\Users\andre\Desktop\REACTIV CEFAS\Anastrozole\Anastrozole/20201126_Cefas_Test7_Run3/Plate 2/@21/G12_01.tif "/>
    <s v=" 3417.5234 "/>
    <s v=" 37.1709 "/>
    <x v="0"/>
    <n v="127032"/>
    <m/>
    <m/>
  </r>
  <r>
    <x v="19"/>
    <x v="7"/>
    <s v="C:\Users\andre\Desktop\REACTIV CEFAS\Anastrozole\Anastrozole/20201126_Cefas_Test7_Run3/Plate 2/@21/G12_02.tif "/>
    <s v=" 5602.1427 "/>
    <s v=" 37.2857 "/>
    <x v="0"/>
    <n v="208880"/>
    <m/>
    <m/>
  </r>
  <r>
    <x v="19"/>
    <x v="7"/>
    <s v="C:\Users\andre\Desktop\REACTIV CEFAS\Anastrozole\Anastrozole/20201126_Cefas_Test7_Run3/Plate 2/@21/G12_03.tif "/>
    <s v=" 4455.7583 "/>
    <s v=" 36.6602 "/>
    <x v="0"/>
    <n v="163349"/>
    <m/>
    <m/>
  </r>
  <r>
    <x v="19"/>
    <x v="8"/>
    <s v="C:\Users\andre\Desktop\REACTIV CEFAS\Anastrozole\Anastrozole/20201126_Cefas_Test7_Run3/Plate 2/@21/H12_01.tif "/>
    <s v=" 5645.4025 "/>
    <s v=" 37.0728 "/>
    <x v="0"/>
    <n v="209291"/>
    <m/>
    <m/>
  </r>
  <r>
    <x v="19"/>
    <x v="8"/>
    <s v="C:\Users\andre\Desktop\REACTIV CEFAS\Anastrozole\Anastrozole/20201126_Cefas_Test7_Run3/Plate 2/@21/H12_02.tif "/>
    <s v=" 8219.36 "/>
    <s v=" 39.3237 "/>
    <x v="0"/>
    <n v="323216"/>
    <m/>
    <m/>
  </r>
  <r>
    <x v="19"/>
    <x v="8"/>
    <s v="C:\Users\andre\Desktop\REACTIV CEFAS\Anastrozole\Anastrozole/20201126_Cefas_Test7_Run3/Plate 2/@21/H12_03.tif "/>
    <s v=" 5991.4808 "/>
    <s v=" 37.7834 "/>
    <x v="0"/>
    <n v="226378"/>
    <m/>
    <m/>
  </r>
  <r>
    <x v="0"/>
    <x v="0"/>
    <s v=" "/>
    <m/>
    <m/>
    <x v="1"/>
    <m/>
    <m/>
    <m/>
  </r>
  <r>
    <x v="0"/>
    <x v="0"/>
    <s v="group "/>
    <s v=" "/>
    <s v=" mean of mean fluo "/>
    <x v="2"/>
    <s v=" mean of total fluo "/>
    <s v=" SD total fluo "/>
    <m/>
  </r>
  <r>
    <x v="19"/>
    <x v="9"/>
    <s v="C:\Users\andre\Desktop\REACTIV CEFAS\Anastrozole\Anastrozole/20201126_Cefas_Test7_Run3/Plate 2/@21/ "/>
    <s v=" "/>
    <s v=" 36.6698 "/>
    <x v="21"/>
    <s v=" 247387.417 "/>
    <s v=" 168020.95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Anastrozole\Anastrozole/20201126_Cefas_Test7_Run3/Plate 2/@8/A2_01.tif "/>
    <s v=" 9041.296 "/>
    <s v=" 39.0837 "/>
    <x v="0"/>
    <n v="353368"/>
    <m/>
    <m/>
  </r>
  <r>
    <x v="20"/>
    <x v="1"/>
    <s v="C:\Users\andre\Desktop\REACTIV CEFAS\Anastrozole\Anastrozole/20201126_Cefas_Test7_Run3/Plate 2/@8/A2_02.tif "/>
    <s v=" 2400.9183 "/>
    <s v=" 31.8018 "/>
    <x v="0"/>
    <n v="76354"/>
    <m/>
    <m/>
  </r>
  <r>
    <x v="20"/>
    <x v="1"/>
    <s v="C:\Users\andre\Desktop\REACTIV CEFAS\Anastrozole\Anastrozole/20201126_Cefas_Test7_Run3/Plate 2/@8/A2_03.tif "/>
    <s v=" 8132.8404 "/>
    <s v=" 37.9628 "/>
    <x v="0"/>
    <n v="308745"/>
    <m/>
    <m/>
  </r>
  <r>
    <x v="20"/>
    <x v="2"/>
    <s v="C:\Users\andre\Desktop\REACTIV CEFAS\Anastrozole\Anastrozole/20201126_Cefas_Test7_Run3/Plate 2/@8/B2_01.tif "/>
    <s v=" 7354.1642 "/>
    <s v=" 38.4206 "/>
    <x v="0"/>
    <n v="282551"/>
    <m/>
    <m/>
  </r>
  <r>
    <x v="20"/>
    <x v="2"/>
    <s v="C:\Users\andre\Desktop\REACTIV CEFAS\Anastrozole\Anastrozole/20201126_Cefas_Test7_Run3/Plate 2/@8/B2_02.tif "/>
    <s v=" 9560.4134 "/>
    <s v=" 37.1109 "/>
    <x v="0"/>
    <n v="354795"/>
    <m/>
    <m/>
  </r>
  <r>
    <x v="20"/>
    <x v="2"/>
    <s v="C:\Users\andre\Desktop\REACTIV CEFAS\Anastrozole\Anastrozole/20201126_Cefas_Test7_Run3/Plate 2/@8/B2_03.tif "/>
    <s v=" 8651.9579 "/>
    <s v=" 37.845 "/>
    <x v="0"/>
    <n v="327433"/>
    <m/>
    <m/>
  </r>
  <r>
    <x v="20"/>
    <x v="3"/>
    <s v="C:\Users\andre\Desktop\REACTIV CEFAS\Anastrozole\Anastrozole/20201126_Cefas_Test7_Run3/Plate 2/@8/C2_01.tif "/>
    <s v=" 10490.4989 "/>
    <s v=" 45.9237 "/>
    <x v="0"/>
    <n v="481763"/>
    <m/>
    <m/>
  </r>
  <r>
    <x v="20"/>
    <x v="3"/>
    <s v="C:\Users\andre\Desktop\REACTIV CEFAS\Anastrozole\Anastrozole/20201126_Cefas_Test7_Run3/Plate 2/@8/C2_02.tif "/>
    <s v=" 9106.1856 "/>
    <s v=" 43.0238 "/>
    <x v="0"/>
    <n v="391782"/>
    <m/>
    <m/>
  </r>
  <r>
    <x v="20"/>
    <x v="3"/>
    <s v="C:\Users\andre\Desktop\REACTIV CEFAS\Anastrozole\Anastrozole/20201126_Cefas_Test7_Run3/Plate 2/@8/C2_03.tif "/>
    <s v=" 1146.3844 "/>
    <s v=" 35.5094 "/>
    <x v="0"/>
    <n v="40707"/>
    <m/>
    <m/>
  </r>
  <r>
    <x v="20"/>
    <x v="4"/>
    <s v="C:\Users\andre\Desktop\REACTIV CEFAS\Anastrozole\Anastrozole/20201126_Cefas_Test7_Run3/Plate 2/@8/D2_01.tif "/>
    <s v=" 2292.7688 "/>
    <s v=" 32.6132 "/>
    <x v="0"/>
    <n v="74775"/>
    <m/>
    <m/>
  </r>
  <r>
    <x v="20"/>
    <x v="4"/>
    <s v="C:\Users\andre\Desktop\REACTIV CEFAS\Anastrozole\Anastrozole/20201126_Cefas_Test7_Run3/Plate 2/@8/D2_02.tif "/>
    <s v=" 3915.0109 "/>
    <s v=" 33.3702 "/>
    <x v="0"/>
    <n v="130645"/>
    <m/>
    <m/>
  </r>
  <r>
    <x v="20"/>
    <x v="4"/>
    <s v="C:\Users\andre\Desktop\REACTIV CEFAS\Anastrozole\Anastrozole/20201126_Cefas_Test7_Run3/Plate 2/@8/D2_03.tif "/>
    <s v=" 2098.0998 "/>
    <s v=" 33.0206 "/>
    <x v="0"/>
    <n v="69281"/>
    <m/>
    <m/>
  </r>
  <r>
    <x v="20"/>
    <x v="5"/>
    <s v="C:\Users\andre\Desktop\REACTIV CEFAS\Anastrozole\Anastrozole/20201126_Cefas_Test7_Run3/Plate 2/@8/E2_01.tif "/>
    <s v=" 5212.8046 "/>
    <s v=" 38.249 "/>
    <x v="0"/>
    <n v="199384"/>
    <m/>
    <m/>
  </r>
  <r>
    <x v="20"/>
    <x v="5"/>
    <s v="C:\Users\andre\Desktop\REACTIV CEFAS\Anastrozole\Anastrozole/20201126_Cefas_Test7_Run3/Plate 2/@8/E2_02.tif "/>
    <s v=" 3633.8223 "/>
    <s v=" 34.875 "/>
    <x v="0"/>
    <n v="126730"/>
    <m/>
    <m/>
  </r>
  <r>
    <x v="20"/>
    <x v="5"/>
    <s v="C:\Users\andre\Desktop\REACTIV CEFAS\Anastrozole\Anastrozole/20201126_Cefas_Test7_Run3/Plate 2/@8/E2_03.tif "/>
    <s v=" 7916.5414 "/>
    <s v=" 38.8005 "/>
    <x v="0"/>
    <n v="307166"/>
    <m/>
    <m/>
  </r>
  <r>
    <x v="20"/>
    <x v="6"/>
    <s v="C:\Users\andre\Desktop\REACTIV CEFAS\Anastrozole\Anastrozole/20201126_Cefas_Test7_Run3/Plate 2/@8/F2_01.tif "/>
    <s v=" 4823.4665 "/>
    <s v=" 39.8879 "/>
    <x v="0"/>
    <n v="192398"/>
    <m/>
    <m/>
  </r>
  <r>
    <x v="20"/>
    <x v="6"/>
    <s v="C:\Users\andre\Desktop\REACTIV CEFAS\Anastrozole\Anastrozole/20201126_Cefas_Test7_Run3/Plate 2/@8/F2_02.tif "/>
    <s v=" 5039.7654 "/>
    <s v=" 40.7124 "/>
    <x v="0"/>
    <n v="205181"/>
    <m/>
    <m/>
  </r>
  <r>
    <x v="20"/>
    <x v="6"/>
    <s v="C:\Users\andre\Desktop\REACTIV CEFAS\Anastrozole\Anastrozole/20201126_Cefas_Test7_Run3/Plate 2/@8/F2_03.tif "/>
    <s v=" 4325.9789 "/>
    <s v=" 37.365 "/>
    <x v="0"/>
    <n v="161640"/>
    <m/>
    <m/>
  </r>
  <r>
    <x v="20"/>
    <x v="7"/>
    <s v="C:\Users\andre\Desktop\REACTIV CEFAS\Anastrozole\Anastrozole/20201126_Cefas_Test7_Run3/Plate 2/@8/G2_01.tif "/>
    <s v=" 1643.872 "/>
    <s v=" 33.9474 "/>
    <x v="0"/>
    <n v="55805"/>
    <m/>
    <m/>
  </r>
  <r>
    <x v="20"/>
    <x v="7"/>
    <s v="C:\Users\andre\Desktop\REACTIV CEFAS\Anastrozole\Anastrozole/20201126_Cefas_Test7_Run3/Plate 2/@8/G2_02.tif "/>
    <s v=" 3417.5234 "/>
    <s v=" 39.1392 "/>
    <x v="0"/>
    <n v="133759"/>
    <m/>
    <m/>
  </r>
  <r>
    <x v="20"/>
    <x v="7"/>
    <s v="C:\Users\andre\Desktop\REACTIV CEFAS\Anastrozole\Anastrozole/20201126_Cefas_Test7_Run3/Plate 2/@8/G2_03.tif "/>
    <s v=" 4672.0572 "/>
    <s v=" 36.2824 "/>
    <x v="0"/>
    <n v="169513"/>
    <m/>
    <m/>
  </r>
  <r>
    <x v="20"/>
    <x v="8"/>
    <s v="C:\Users\andre\Desktop\REACTIV CEFAS\Anastrozole\Anastrozole/20201126_Cefas_Test7_Run3/Plate 2/@8/H2_01.tif "/>
    <s v=" 7592.093 "/>
    <s v=" 39.4473 "/>
    <x v="0"/>
    <n v="299488"/>
    <m/>
    <m/>
  </r>
  <r>
    <x v="20"/>
    <x v="8"/>
    <s v="C:\Users\andre\Desktop\REACTIV CEFAS\Anastrozole\Anastrozole/20201126_Cefas_Test7_Run3/Plate 2/@8/H2_02.tif "/>
    <s v=" 11139.3957 "/>
    <s v=" 42.4893 "/>
    <x v="0"/>
    <n v="473305"/>
    <m/>
    <m/>
  </r>
  <r>
    <x v="20"/>
    <x v="8"/>
    <s v="C:\Users\andre\Desktop\REACTIV CEFAS\Anastrozole\Anastrozole/20201126_Cefas_Test7_Run3/Plate 2/@8/H2_03.tif "/>
    <s v=" 7959.8012 "/>
    <s v=" 41.2799 "/>
    <x v="0"/>
    <n v="328580"/>
    <m/>
    <m/>
  </r>
  <r>
    <x v="0"/>
    <x v="0"/>
    <s v=" "/>
    <m/>
    <m/>
    <x v="1"/>
    <m/>
    <m/>
    <m/>
  </r>
  <r>
    <x v="0"/>
    <x v="0"/>
    <s v="group "/>
    <s v=" "/>
    <s v=" mean of mean fluo "/>
    <x v="2"/>
    <s v=" mean of total fluo "/>
    <s v=" SD total fluo "/>
    <m/>
  </r>
  <r>
    <x v="20"/>
    <x v="9"/>
    <s v="C:\Users\andre\Desktop\REACTIV CEFAS\Anastrozole\Anastrozole/20201126_Cefas_Test7_Run3/Plate 2/@8/ "/>
    <s v=" "/>
    <s v=" 37.84 "/>
    <x v="22"/>
    <s v=" 231047.833 "/>
    <s v=" 131758.158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Anastrozole\Anastrozole/20201126_Cefas_Test7_Run3/Plate 2/@9/A3_01.tif "/>
    <s v=" 9041.296 "/>
    <s v=" 40.201 "/>
    <x v="0"/>
    <n v="363469"/>
    <m/>
    <m/>
  </r>
  <r>
    <x v="21"/>
    <x v="1"/>
    <s v="C:\Users\andre\Desktop\REACTIV CEFAS\Anastrozole\Anastrozole/20201126_Cefas_Test7_Run3/Plate 2/@9/A3_02- exclu.tif"/>
    <m/>
    <m/>
    <x v="1"/>
    <m/>
    <m/>
    <m/>
  </r>
  <r>
    <x v="21"/>
    <x v="1"/>
    <s v="C:\Users\andre\Desktop\REACTIV CEFAS\Anastrozole\Anastrozole/20201126_Cefas_Test7_Run3/Plate 2/@9/A3_03- exclu.tif"/>
    <m/>
    <m/>
    <x v="1"/>
    <m/>
    <m/>
    <m/>
  </r>
  <r>
    <x v="21"/>
    <x v="2"/>
    <s v="C:\Users\andre\Desktop\REACTIV CEFAS\Anastrozole\Anastrozole/20201126_Cefas_Test7_Run3/Plate 2/@9/B3_01.tif "/>
    <s v=" 7159.4951 "/>
    <s v=" 41.6888 "/>
    <x v="0"/>
    <n v="298471"/>
    <m/>
    <m/>
  </r>
  <r>
    <x v="21"/>
    <x v="2"/>
    <s v="C:\Users\andre\Desktop\REACTIV CEFAS\Anastrozole\Anastrozole/20201126_Cefas_Test7_Run3/Plate 2/@9/B3_02.tif "/>
    <s v=" 7743.5023 "/>
    <s v=" 39.2933 "/>
    <x v="0"/>
    <n v="304268"/>
    <m/>
    <m/>
  </r>
  <r>
    <x v="21"/>
    <x v="2"/>
    <s v="C:\Users\andre\Desktop\REACTIV CEFAS\Anastrozole\Anastrozole/20201126_Cefas_Test7_Run3/Plate 2/@9/B3_03.tif "/>
    <s v=" 194.6691 "/>
    <s v=" 30.3333 "/>
    <x v="0"/>
    <n v="5905"/>
    <m/>
    <m/>
  </r>
  <r>
    <x v="21"/>
    <x v="3"/>
    <s v="C:\Users\andre\Desktop\REACTIV CEFAS\Anastrozole\Anastrozole/20201126_Cefas_Test7_Run3/Plate 2/@9/C3_01.tif "/>
    <s v=" 6402.4488 "/>
    <s v=" 34.2095 "/>
    <x v="0"/>
    <n v="219024"/>
    <m/>
    <m/>
  </r>
  <r>
    <x v="21"/>
    <x v="3"/>
    <s v="C:\Users\andre\Desktop\REACTIV CEFAS\Anastrozole\Anastrozole/20201126_Cefas_Test7_Run3/Plate 2/@9/C3_02.tif "/>
    <s v=" 5493.9932 "/>
    <s v=" 33.7953 "/>
    <x v="0"/>
    <n v="185671"/>
    <m/>
    <m/>
  </r>
  <r>
    <x v="21"/>
    <x v="3"/>
    <s v="C:\Users\andre\Desktop\REACTIV CEFAS\Anastrozole\Anastrozole/20201126_Cefas_Test7_Run3/Plate 2/@9/C3_03- exclu.tif"/>
    <m/>
    <m/>
    <x v="1"/>
    <m/>
    <m/>
    <m/>
  </r>
  <r>
    <x v="21"/>
    <x v="4"/>
    <s v="C:\Users\andre\Desktop\REACTIV CEFAS\Anastrozole\Anastrozole/20201126_Cefas_Test7_Run3/Plate 2/@9/D3_01.tif "/>
    <s v=" 13432.1646 "/>
    <s v=" 43.7118 "/>
    <x v="0"/>
    <n v="587143"/>
    <m/>
    <m/>
  </r>
  <r>
    <x v="21"/>
    <x v="4"/>
    <s v="C:\Users\andre\Desktop\REACTIV CEFAS\Anastrozole\Anastrozole/20201126_Cefas_Test7_Run3/Plate 2/@9/D3_02.tif "/>
    <s v=" 3049.8151 "/>
    <s v=" 35.539 "/>
    <x v="0"/>
    <n v="108387"/>
    <m/>
    <m/>
  </r>
  <r>
    <x v="21"/>
    <x v="4"/>
    <s v="C:\Users\andre\Desktop\REACTIV CEFAS\Anastrozole\Anastrozole/20201126_Cefas_Test7_Run3/Plate 2/@9/D3_03.tif "/>
    <s v=" 12523.709 "/>
    <s v=" 42.1399 "/>
    <x v="0"/>
    <n v="527748"/>
    <m/>
    <m/>
  </r>
  <r>
    <x v="21"/>
    <x v="5"/>
    <s v="C:\Users\andre\Desktop\REACTIV CEFAS\Anastrozole\Anastrozole/20201126_Cefas_Test7_Run3/Plate 2/@9/E3_01.tif "/>
    <s v=" 3006.5554 "/>
    <s v=" 34.5899 "/>
    <x v="0"/>
    <n v="103997"/>
    <m/>
    <m/>
  </r>
  <r>
    <x v="21"/>
    <x v="5"/>
    <s v="C:\Users\andre\Desktop\REACTIV CEFAS\Anastrozole\Anastrozole/20201126_Cefas_Test7_Run3/Plate 2/@9/E3_02.tif "/>
    <s v=" 3244.4842 "/>
    <s v=" 35.1067 "/>
    <x v="0"/>
    <n v="113903"/>
    <m/>
    <m/>
  </r>
  <r>
    <x v="21"/>
    <x v="5"/>
    <s v="C:\Users\andre\Desktop\REACTIV CEFAS\Anastrozole\Anastrozole/20201126_Cefas_Test7_Run3/Plate 2/@9/E3_03.tif "/>
    <s v=" 4520.648 "/>
    <s v=" 35.8947 "/>
    <x v="0"/>
    <n v="162267"/>
    <m/>
    <m/>
  </r>
  <r>
    <x v="21"/>
    <x v="6"/>
    <s v="C:\Users\andre\Desktop\REACTIV CEFAS\Anastrozole\Anastrozole/20201126_Cefas_Test7_Run3/Plate 2/@9/F3_01.tif "/>
    <s v=" 6510.5983 "/>
    <s v=" 41.8904 "/>
    <x v="0"/>
    <n v="272731"/>
    <m/>
    <m/>
  </r>
  <r>
    <x v="21"/>
    <x v="6"/>
    <s v="C:\Users\andre\Desktop\REACTIV CEFAS\Anastrozole\Anastrozole/20201126_Cefas_Test7_Run3/Plate 2/@9/F3_02.tif "/>
    <s v=" 11593.6235 "/>
    <s v=" 42.153 "/>
    <x v="0"/>
    <n v="488706"/>
    <m/>
    <m/>
  </r>
  <r>
    <x v="21"/>
    <x v="6"/>
    <s v="C:\Users\andre\Desktop\REACTIV CEFAS\Anastrozole\Anastrozole/20201126_Cefas_Test7_Run3/Plate 2/@9/F3_03.tif "/>
    <s v=" 11420.5844 "/>
    <s v=" 41.3258 "/>
    <x v="0"/>
    <n v="471964"/>
    <m/>
    <m/>
  </r>
  <r>
    <x v="21"/>
    <x v="7"/>
    <s v="C:\Users\andre\Desktop\REACTIV CEFAS\Anastrozole\Anastrozole/20201126_Cefas_Test7_Run3/Plate 2/@9/G3_01.tif "/>
    <s v=" 9971.3814 "/>
    <s v=" 39.0933 "/>
    <x v="0"/>
    <n v="389814"/>
    <m/>
    <m/>
  </r>
  <r>
    <x v="21"/>
    <x v="7"/>
    <s v="C:\Users\andre\Desktop\REACTIV CEFAS\Anastrozole\Anastrozole/20201126_Cefas_Test7_Run3/Plate 2/@9/G3_02.tif "/>
    <s v=" 540.7474 "/>
    <s v=" 32.16 "/>
    <x v="0"/>
    <n v="17390"/>
    <m/>
    <m/>
  </r>
  <r>
    <x v="21"/>
    <x v="7"/>
    <s v="C:\Users\andre\Desktop\REACTIV CEFAS\Anastrozole\Anastrozole/20201126_Cefas_Test7_Run3/Plate 2/@9/G3_03.tif "/>
    <s v=" 2098.0998 "/>
    <s v=" 31.5567 "/>
    <x v="0"/>
    <n v="66209"/>
    <m/>
    <m/>
  </r>
  <r>
    <x v="21"/>
    <x v="8"/>
    <s v="C:\Users\andre\Desktop\REACTIV CEFAS\Anastrozole\Anastrozole/20201126_Cefas_Test7_Run3/Plate 2/@9/H3_01.tif "/>
    <s v=" 11939.7018 "/>
    <s v=" 41.2989 "/>
    <x v="0"/>
    <n v="493097"/>
    <m/>
    <m/>
  </r>
  <r>
    <x v="21"/>
    <x v="8"/>
    <s v="C:\Users\andre\Desktop\REACTIV CEFAS\Anastrozole\Anastrozole/20201126_Cefas_Test7_Run3/Plate 2/@9/H3_02.tif "/>
    <s v=" 8868.2568 "/>
    <s v=" 42.761 "/>
    <x v="0"/>
    <n v="379215"/>
    <m/>
    <m/>
  </r>
  <r>
    <x v="21"/>
    <x v="8"/>
    <s v="C:\Users\andre\Desktop\REACTIV CEFAS\Anastrozole\Anastrozole/20201126_Cefas_Test7_Run3/Plate 2/@9/H3_03.tif "/>
    <s v=" 12999.5667 "/>
    <s v=" 45.8453 "/>
    <x v="0"/>
    <n v="595968"/>
    <m/>
    <m/>
  </r>
  <r>
    <x v="0"/>
    <x v="0"/>
    <s v=" "/>
    <m/>
    <m/>
    <x v="1"/>
    <m/>
    <m/>
    <m/>
  </r>
  <r>
    <x v="0"/>
    <x v="0"/>
    <s v="group "/>
    <s v=" "/>
    <s v=" mean of mean fluo "/>
    <x v="2"/>
    <s v=" mean of total fluo "/>
    <s v=" SD total fluo "/>
    <m/>
  </r>
  <r>
    <x v="21"/>
    <x v="9"/>
    <s v="C:\Users\andre\Desktop\REACTIV CEFAS\Anastrozole\Anastrozole/20201126_Cefas_Test7_Run3/Plate 2/@9/ "/>
    <s v=" "/>
    <s v=" 38.4667 "/>
    <x v="23"/>
    <s v=" 297702.083 "/>
    <s v=" 206944.288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0.18"/>
    <s v="mg/L"/>
    <s v="AN"/>
    <x v="0"/>
  </r>
  <r>
    <x v="9"/>
    <x v="1"/>
    <n v="0.36"/>
    <s v="mg/L"/>
    <s v="AN"/>
    <x v="0"/>
  </r>
  <r>
    <x v="10"/>
    <x v="1"/>
    <n v="0.73"/>
    <s v="mg/L"/>
    <s v="AN"/>
    <x v="0"/>
  </r>
  <r>
    <x v="11"/>
    <x v="1"/>
    <n v="1.45"/>
    <s v="mg/L"/>
    <s v="AN"/>
    <x v="0"/>
  </r>
  <r>
    <x v="12"/>
    <x v="1"/>
    <n v="2.9"/>
    <s v="mg/L"/>
    <s v="AN"/>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4"/>
    <x v="0"/>
    <n v="30"/>
    <s v="µg/L"/>
    <s v="Testo "/>
    <x v="0"/>
  </r>
  <r>
    <x v="15"/>
    <x v="0"/>
    <n v="64"/>
    <s v="ng/L"/>
    <s v="Testo 30µg/L + EE2 "/>
    <x v="0"/>
  </r>
  <r>
    <x v="16"/>
    <x v="0"/>
    <n v="10"/>
    <s v="mg/L"/>
    <s v="Testo 30µg/L + FAD"/>
    <x v="0"/>
  </r>
  <r>
    <x v="17"/>
    <x v="1"/>
    <n v="0.18"/>
    <s v="mg/L"/>
    <s v="AN"/>
    <x v="1"/>
  </r>
  <r>
    <x v="18"/>
    <x v="1"/>
    <n v="0.36"/>
    <s v="mg/L"/>
    <s v="AN"/>
    <x v="1"/>
  </r>
  <r>
    <x v="19"/>
    <x v="1"/>
    <n v="0.73"/>
    <s v="mg/L"/>
    <s v="AN"/>
    <x v="1"/>
  </r>
  <r>
    <x v="20"/>
    <x v="1"/>
    <n v="1.45"/>
    <s v="mg/L"/>
    <s v="AN"/>
    <x v="1"/>
  </r>
  <r>
    <x v="21"/>
    <x v="1"/>
    <n v="2.9"/>
    <s v="mg/L"/>
    <s v="AN"/>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4"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0"/>
        <item x="1"/>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1"/>
        <item x="2"/>
        <item x="3"/>
        <item x="4"/>
        <item x="5"/>
        <item x="6"/>
        <item x="7"/>
        <item x="8"/>
        <item h="1" x="0"/>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formats count="2">
    <format dxfId="32">
      <pivotArea field="1" type="button" dataOnly="0" labelOnly="1" outline="0" axis="axisRow" fieldPosition="0"/>
    </format>
    <format dxfId="31">
      <pivotArea dataOnly="0" labelOnly="1" fieldPosition="0">
        <references count="1">
          <reference field="0" count="21">
            <x v="2"/>
            <x v="3"/>
            <x v="4"/>
            <x v="5"/>
            <x v="6"/>
            <x v="7"/>
            <x v="8"/>
            <x v="9"/>
            <x v="10"/>
            <x v="11"/>
            <x v="12"/>
            <x v="13"/>
            <x v="14"/>
            <x v="15"/>
            <x v="16"/>
            <x v="17"/>
            <x v="18"/>
            <x v="19"/>
            <x v="20"/>
            <x v="21"/>
            <x v="2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5"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6"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7"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4">
        <item x="3"/>
        <item h="1" x="0"/>
        <item x="2"/>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7"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4">
        <item x="3"/>
        <item x="2"/>
        <item h="1" x="0"/>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3" dataDxfId="42" tableBorderDxfId="41">
  <autoFilter ref="A6:F58" xr:uid="{00000000-0009-0000-0100-000001000000}"/>
  <tableColumns count="6">
    <tableColumn id="4" xr3:uid="{00000000-0010-0000-0000-000004000000}" name="Nom sur le graphique" dataDxfId="40">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9">
      <calculatedColumnFormula>A2</calculatedColumnFormula>
    </tableColumn>
    <tableColumn id="2" xr3:uid="{00000000-0010-0000-0000-000002000000}" name="Concentration" dataDxfId="38">
      <calculatedColumnFormula>B2</calculatedColumnFormula>
    </tableColumn>
    <tableColumn id="10" xr3:uid="{00000000-0010-0000-0000-00000A000000}" name="Unité" dataDxfId="37"/>
    <tableColumn id="3" xr3:uid="{00000000-0010-0000-0000-000003000000}" name="Nom de l'échantillon donné par le client" dataDxfId="36">
      <calculatedColumnFormula>C2</calculatedColumnFormula>
    </tableColumn>
    <tableColumn id="9" xr3:uid="{00000000-0010-0000-0000-000009000000}" name="Dopage (+Testostérone / + EE2, ….)" dataDxfId="35"/>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40" zoomScale="55" zoomScaleNormal="55" workbookViewId="0">
      <selection activeCell="A15" sqref="A15:B19"/>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1"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8" t="s">
        <v>36</v>
      </c>
      <c r="B1" s="199"/>
      <c r="C1" s="199"/>
      <c r="D1" s="199"/>
      <c r="E1" s="199"/>
      <c r="F1" s="199"/>
      <c r="G1" s="199"/>
      <c r="H1" s="199"/>
      <c r="I1" s="200"/>
    </row>
    <row r="2" spans="1:9" ht="21" x14ac:dyDescent="0.5">
      <c r="A2" s="190" t="s">
        <v>17</v>
      </c>
      <c r="B2" s="42" t="s">
        <v>115</v>
      </c>
      <c r="C2" s="201"/>
      <c r="D2" s="202"/>
      <c r="E2" s="42" t="s">
        <v>21</v>
      </c>
      <c r="F2" s="213"/>
      <c r="G2" s="214"/>
      <c r="H2" s="214"/>
      <c r="I2" s="215"/>
    </row>
    <row r="3" spans="1:9" ht="21" x14ac:dyDescent="0.5">
      <c r="A3" s="191" t="s">
        <v>18</v>
      </c>
      <c r="B3" s="43" t="s">
        <v>115</v>
      </c>
      <c r="C3" s="203"/>
      <c r="D3" s="204"/>
      <c r="E3" s="43" t="s">
        <v>21</v>
      </c>
      <c r="F3" s="210"/>
      <c r="G3" s="211"/>
      <c r="H3" s="211"/>
      <c r="I3" s="212"/>
    </row>
    <row r="4" spans="1:9" ht="21.5" thickBot="1" x14ac:dyDescent="0.55000000000000004">
      <c r="A4" s="192" t="s">
        <v>22</v>
      </c>
      <c r="B4" s="180" t="s">
        <v>115</v>
      </c>
      <c r="C4" s="205"/>
      <c r="D4" s="206"/>
      <c r="E4" s="180" t="s">
        <v>21</v>
      </c>
      <c r="F4" s="207"/>
      <c r="G4" s="208"/>
      <c r="H4" s="208"/>
      <c r="I4" s="209"/>
    </row>
    <row r="5" spans="1:9" s="1" customFormat="1" ht="65.25" customHeight="1" thickBot="1" x14ac:dyDescent="0.4">
      <c r="A5" s="198" t="s">
        <v>37</v>
      </c>
      <c r="B5" s="199"/>
      <c r="C5" s="199"/>
      <c r="D5" s="199"/>
      <c r="E5" s="199"/>
      <c r="F5" s="199"/>
      <c r="G5" s="199"/>
      <c r="H5" s="199"/>
      <c r="I5" s="200"/>
    </row>
    <row r="6" spans="1:9" s="110" customFormat="1" ht="39" customHeight="1" x14ac:dyDescent="0.5">
      <c r="A6" s="76" t="s">
        <v>35</v>
      </c>
      <c r="B6" s="101" t="s">
        <v>7</v>
      </c>
      <c r="C6" s="64" t="s">
        <v>19</v>
      </c>
      <c r="D6" s="64" t="s">
        <v>75</v>
      </c>
      <c r="E6" s="158" t="s">
        <v>51</v>
      </c>
      <c r="F6" s="109" t="s">
        <v>78</v>
      </c>
    </row>
    <row r="7" spans="1:9" s="167" customFormat="1" ht="39" customHeight="1" x14ac:dyDescent="0.5">
      <c r="A7"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3" t="s">
        <v>123</v>
      </c>
      <c r="C7" s="164"/>
      <c r="D7" s="165"/>
      <c r="E7" s="166" t="s">
        <v>125</v>
      </c>
      <c r="F7" s="111"/>
    </row>
    <row r="8" spans="1:9" s="167" customFormat="1" ht="39" customHeight="1" x14ac:dyDescent="0.5">
      <c r="A8"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3" t="s">
        <v>123</v>
      </c>
      <c r="C8" s="164">
        <v>22.5</v>
      </c>
      <c r="D8" s="165" t="s">
        <v>124</v>
      </c>
      <c r="E8" s="166" t="s">
        <v>126</v>
      </c>
      <c r="F8" s="111"/>
    </row>
    <row r="9" spans="1:9" s="167" customFormat="1" ht="39" customHeight="1" x14ac:dyDescent="0.5">
      <c r="A9"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3" t="s">
        <v>123</v>
      </c>
      <c r="C9" s="164">
        <v>33.799999999999997</v>
      </c>
      <c r="D9" s="165" t="s">
        <v>124</v>
      </c>
      <c r="E9" s="166" t="s">
        <v>126</v>
      </c>
      <c r="F9" s="111"/>
    </row>
    <row r="10" spans="1:9" s="167" customFormat="1" ht="39" customHeight="1" x14ac:dyDescent="0.5">
      <c r="A10"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3" t="s">
        <v>123</v>
      </c>
      <c r="C10" s="164">
        <v>50.6</v>
      </c>
      <c r="D10" s="165" t="s">
        <v>124</v>
      </c>
      <c r="E10" s="166" t="s">
        <v>126</v>
      </c>
      <c r="F10" s="111"/>
    </row>
    <row r="11" spans="1:9" s="167" customFormat="1" ht="39" customHeight="1" x14ac:dyDescent="0.5">
      <c r="A11"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3" t="s">
        <v>123</v>
      </c>
      <c r="C11" s="164">
        <v>76</v>
      </c>
      <c r="D11" s="165" t="s">
        <v>124</v>
      </c>
      <c r="E11" s="166" t="s">
        <v>126</v>
      </c>
      <c r="F11" s="111"/>
    </row>
    <row r="12" spans="1:9" s="167" customFormat="1" ht="39" customHeight="1" x14ac:dyDescent="0.5">
      <c r="A12"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3" t="s">
        <v>123</v>
      </c>
      <c r="C12" s="164">
        <v>114</v>
      </c>
      <c r="D12" s="165" t="s">
        <v>124</v>
      </c>
      <c r="E12" s="166" t="s">
        <v>126</v>
      </c>
      <c r="F12" s="111"/>
    </row>
    <row r="13" spans="1:9" s="167" customFormat="1" ht="39" customHeight="1" x14ac:dyDescent="0.5">
      <c r="A13"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3" t="s">
        <v>123</v>
      </c>
      <c r="C13" s="164">
        <v>170.9</v>
      </c>
      <c r="D13" s="165" t="s">
        <v>124</v>
      </c>
      <c r="E13" s="166" t="s">
        <v>126</v>
      </c>
      <c r="F13" s="111"/>
    </row>
    <row r="14" spans="1:9" s="167" customFormat="1" ht="39" customHeight="1" x14ac:dyDescent="0.5">
      <c r="A14"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3" t="s">
        <v>123</v>
      </c>
      <c r="C14" s="164">
        <v>488</v>
      </c>
      <c r="D14" s="165" t="s">
        <v>124</v>
      </c>
      <c r="E14" s="166" t="s">
        <v>126</v>
      </c>
      <c r="F14" s="111"/>
    </row>
    <row r="15" spans="1:9" s="167" customFormat="1" ht="39" customHeight="1" x14ac:dyDescent="0.5">
      <c r="A15" s="162" t="s">
        <v>1562</v>
      </c>
      <c r="B15" s="163" t="s">
        <v>1563</v>
      </c>
      <c r="C15" s="164">
        <v>0.18</v>
      </c>
      <c r="D15" s="165" t="s">
        <v>129</v>
      </c>
      <c r="E15" s="166" t="s">
        <v>1561</v>
      </c>
      <c r="F15" s="111"/>
    </row>
    <row r="16" spans="1:9" s="112" customFormat="1" ht="39" customHeight="1" x14ac:dyDescent="0.35">
      <c r="A16" s="65" t="s">
        <v>1564</v>
      </c>
      <c r="B16" s="40" t="s">
        <v>1563</v>
      </c>
      <c r="C16" s="106">
        <v>0.36</v>
      </c>
      <c r="D16" s="106" t="s">
        <v>129</v>
      </c>
      <c r="E16" s="40" t="s">
        <v>1561</v>
      </c>
      <c r="F16" s="111"/>
    </row>
    <row r="17" spans="1:6" s="112" customFormat="1" ht="39" customHeight="1" x14ac:dyDescent="0.35">
      <c r="A17" s="65" t="s">
        <v>1565</v>
      </c>
      <c r="B17" s="102" t="s">
        <v>1563</v>
      </c>
      <c r="C17" s="106">
        <v>0.73</v>
      </c>
      <c r="D17" s="106" t="s">
        <v>129</v>
      </c>
      <c r="E17" s="102" t="s">
        <v>1561</v>
      </c>
      <c r="F17" s="111"/>
    </row>
    <row r="18" spans="1:6" s="112" customFormat="1" ht="39" customHeight="1" x14ac:dyDescent="0.35">
      <c r="A18" s="65" t="s">
        <v>1566</v>
      </c>
      <c r="B18" s="40" t="s">
        <v>1563</v>
      </c>
      <c r="C18" s="106">
        <v>1.45</v>
      </c>
      <c r="D18" s="106" t="s">
        <v>129</v>
      </c>
      <c r="E18" s="40" t="s">
        <v>1561</v>
      </c>
      <c r="F18" s="111"/>
    </row>
    <row r="19" spans="1:6" s="112" customFormat="1" ht="39" customHeight="1" x14ac:dyDescent="0.35">
      <c r="A19" s="65" t="s">
        <v>1567</v>
      </c>
      <c r="B19" s="102" t="s">
        <v>1563</v>
      </c>
      <c r="C19" s="106">
        <v>2.9</v>
      </c>
      <c r="D19" s="106" t="s">
        <v>129</v>
      </c>
      <c r="E19" s="102" t="s">
        <v>1561</v>
      </c>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6"/>
      <c r="D20" s="106"/>
      <c r="E20" s="40"/>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2"/>
      <c r="C21" s="106"/>
      <c r="D21" s="106"/>
      <c r="E21" s="102"/>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6"/>
      <c r="D22" s="106"/>
      <c r="E22" s="40"/>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2"/>
      <c r="C23" s="106"/>
      <c r="D23" s="106"/>
      <c r="E23" s="102"/>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6"/>
      <c r="D24" s="106"/>
      <c r="E24" s="40"/>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2"/>
      <c r="C25" s="106"/>
      <c r="D25" s="106"/>
      <c r="E25" s="102"/>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6"/>
      <c r="D26" s="106"/>
      <c r="E26" s="40"/>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2"/>
      <c r="C27" s="106"/>
      <c r="D27" s="106"/>
      <c r="E27" s="102"/>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6"/>
      <c r="D28" s="106"/>
      <c r="E28" s="40"/>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2"/>
      <c r="C29" s="106"/>
      <c r="D29" s="106"/>
      <c r="E29" s="102"/>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6"/>
      <c r="D30" s="115"/>
      <c r="E30" s="40"/>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2"/>
      <c r="C31" s="106"/>
      <c r="D31" s="115"/>
      <c r="E31" s="102"/>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6"/>
      <c r="D32" s="115"/>
      <c r="E32" s="40"/>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2"/>
      <c r="C33" s="106"/>
      <c r="D33" s="115"/>
      <c r="E33" s="102"/>
      <c r="F33" s="111"/>
    </row>
    <row r="34" spans="1:6" s="112"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6"/>
      <c r="D34" s="115"/>
      <c r="E34" s="40"/>
      <c r="F34" s="111"/>
    </row>
    <row r="35" spans="1:6" s="112" customFormat="1" ht="39" customHeight="1" thickBot="1" x14ac:dyDescent="0.4">
      <c r="A3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8"/>
      <c r="C35" s="169"/>
      <c r="D35" s="116"/>
      <c r="E35" s="168"/>
      <c r="F35" s="111"/>
    </row>
    <row r="36" spans="1:6" s="112" customFormat="1" ht="39" customHeight="1" x14ac:dyDescent="0.35">
      <c r="A36"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3" t="s">
        <v>123</v>
      </c>
      <c r="C36" s="107">
        <v>30</v>
      </c>
      <c r="D36" s="117" t="s">
        <v>127</v>
      </c>
      <c r="E36" s="159" t="s">
        <v>20</v>
      </c>
      <c r="F36" s="171"/>
    </row>
    <row r="37" spans="1:6" s="112" customFormat="1" ht="39" customHeight="1" x14ac:dyDescent="0.35">
      <c r="A37"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4" t="s">
        <v>123</v>
      </c>
      <c r="C37" s="108">
        <v>64</v>
      </c>
      <c r="D37" s="118" t="s">
        <v>124</v>
      </c>
      <c r="E37" s="160" t="s">
        <v>128</v>
      </c>
      <c r="F37" s="173"/>
    </row>
    <row r="38" spans="1:6" s="112" customFormat="1" ht="39" customHeight="1" thickBot="1" x14ac:dyDescent="0.4">
      <c r="A38"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5" t="s">
        <v>123</v>
      </c>
      <c r="C38" s="176">
        <v>10</v>
      </c>
      <c r="D38" s="177" t="s">
        <v>129</v>
      </c>
      <c r="E38" s="178" t="s">
        <v>130</v>
      </c>
      <c r="F38" s="179"/>
    </row>
    <row r="39" spans="1:6" s="112"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AN-0,18mg/L + Testostérone</v>
      </c>
      <c r="B39" s="193" t="str">
        <f>B15</f>
        <v>Chemical</v>
      </c>
      <c r="C39" s="193">
        <f t="shared" ref="C39:E39" si="0">C15</f>
        <v>0.18</v>
      </c>
      <c r="D39" s="193" t="str">
        <f t="shared" si="0"/>
        <v>mg/L</v>
      </c>
      <c r="E39" s="193" t="str">
        <f t="shared" si="0"/>
        <v>AN</v>
      </c>
      <c r="F39" s="113"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AN-0,36mg/L + Testostérone</v>
      </c>
      <c r="B40" s="195" t="str">
        <f t="shared" ref="B40:E40" si="1">B16</f>
        <v>Chemical</v>
      </c>
      <c r="C40" s="195">
        <f t="shared" si="1"/>
        <v>0.36</v>
      </c>
      <c r="D40" s="195" t="str">
        <f t="shared" si="1"/>
        <v>mg/L</v>
      </c>
      <c r="E40" s="195" t="str">
        <f t="shared" si="1"/>
        <v>AN</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AN-0,73mg/L + Testostérone</v>
      </c>
      <c r="B41" s="195" t="str">
        <f t="shared" ref="B41:E41" si="2">B17</f>
        <v>Chemical</v>
      </c>
      <c r="C41" s="195">
        <f t="shared" si="2"/>
        <v>0.73</v>
      </c>
      <c r="D41" s="195" t="str">
        <f t="shared" si="2"/>
        <v>mg/L</v>
      </c>
      <c r="E41" s="195" t="str">
        <f t="shared" si="2"/>
        <v>AN</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AN-1,45mg/L + Testostérone</v>
      </c>
      <c r="B42" s="195" t="str">
        <f t="shared" ref="B42:E42" si="3">B18</f>
        <v>Chemical</v>
      </c>
      <c r="C42" s="195">
        <f t="shared" si="3"/>
        <v>1.45</v>
      </c>
      <c r="D42" s="195" t="str">
        <f t="shared" si="3"/>
        <v>mg/L</v>
      </c>
      <c r="E42" s="195" t="str">
        <f t="shared" si="3"/>
        <v>AN</v>
      </c>
      <c r="F42" s="114" t="s">
        <v>50</v>
      </c>
    </row>
    <row r="43" spans="1:6" s="112" customFormat="1" ht="39" customHeight="1" x14ac:dyDescent="0.3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AN-2,9mg/L + Testostérone</v>
      </c>
      <c r="B43" s="195" t="str">
        <f t="shared" ref="B43:E43" si="4">B19</f>
        <v>Chemical</v>
      </c>
      <c r="C43" s="195">
        <f t="shared" si="4"/>
        <v>2.9</v>
      </c>
      <c r="D43" s="195" t="str">
        <f t="shared" si="4"/>
        <v>mg/L</v>
      </c>
      <c r="E43" s="195" t="str">
        <f t="shared" si="4"/>
        <v>AN</v>
      </c>
      <c r="F43" s="114" t="s">
        <v>50</v>
      </c>
    </row>
    <row r="44" spans="1:6" s="112" customFormat="1" ht="39" customHeight="1" x14ac:dyDescent="0.3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5">
        <f t="shared" ref="B44:E44" si="5">B20</f>
        <v>0</v>
      </c>
      <c r="C44" s="195">
        <f t="shared" si="5"/>
        <v>0</v>
      </c>
      <c r="D44" s="195">
        <f t="shared" si="5"/>
        <v>0</v>
      </c>
      <c r="E44" s="195">
        <f t="shared" si="5"/>
        <v>0</v>
      </c>
      <c r="F44" s="114" t="s">
        <v>50</v>
      </c>
    </row>
    <row r="45" spans="1:6" s="112" customFormat="1" ht="39" customHeight="1" x14ac:dyDescent="0.3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5">
        <f t="shared" ref="B45:E45" si="6">B21</f>
        <v>0</v>
      </c>
      <c r="C45" s="195">
        <f t="shared" si="6"/>
        <v>0</v>
      </c>
      <c r="D45" s="195">
        <f t="shared" si="6"/>
        <v>0</v>
      </c>
      <c r="E45" s="195">
        <f t="shared" si="6"/>
        <v>0</v>
      </c>
      <c r="F45" s="114" t="s">
        <v>50</v>
      </c>
    </row>
    <row r="46" spans="1:6" s="112" customFormat="1" ht="39" customHeight="1" x14ac:dyDescent="0.3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5">
        <f t="shared" ref="B46:E46" si="7">B22</f>
        <v>0</v>
      </c>
      <c r="C46" s="195">
        <f t="shared" si="7"/>
        <v>0</v>
      </c>
      <c r="D46" s="195">
        <f t="shared" si="7"/>
        <v>0</v>
      </c>
      <c r="E46" s="195">
        <f t="shared" si="7"/>
        <v>0</v>
      </c>
      <c r="F46" s="114" t="s">
        <v>50</v>
      </c>
    </row>
    <row r="47" spans="1:6" s="112" customFormat="1" ht="39" customHeight="1" x14ac:dyDescent="0.3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5">
        <f t="shared" ref="B47:E47" si="8">B23</f>
        <v>0</v>
      </c>
      <c r="C47" s="195">
        <f t="shared" si="8"/>
        <v>0</v>
      </c>
      <c r="D47" s="195">
        <f t="shared" si="8"/>
        <v>0</v>
      </c>
      <c r="E47" s="195">
        <f t="shared" si="8"/>
        <v>0</v>
      </c>
      <c r="F47" s="114" t="s">
        <v>50</v>
      </c>
    </row>
    <row r="48" spans="1:6" s="112" customFormat="1" ht="39" customHeight="1" x14ac:dyDescent="0.3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5">
        <f t="shared" ref="B48:E48" si="9">B24</f>
        <v>0</v>
      </c>
      <c r="C48" s="195">
        <f t="shared" si="9"/>
        <v>0</v>
      </c>
      <c r="D48" s="195">
        <f t="shared" si="9"/>
        <v>0</v>
      </c>
      <c r="E48" s="195">
        <f t="shared" si="9"/>
        <v>0</v>
      </c>
      <c r="F48" s="114" t="s">
        <v>50</v>
      </c>
    </row>
    <row r="49" spans="1:6" s="112" customFormat="1" ht="39" customHeight="1" x14ac:dyDescent="0.3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5">
        <f t="shared" ref="B49:E49" si="10">B25</f>
        <v>0</v>
      </c>
      <c r="C49" s="195">
        <f t="shared" si="10"/>
        <v>0</v>
      </c>
      <c r="D49" s="195">
        <f t="shared" si="10"/>
        <v>0</v>
      </c>
      <c r="E49" s="195">
        <f t="shared" si="10"/>
        <v>0</v>
      </c>
      <c r="F49" s="114" t="s">
        <v>50</v>
      </c>
    </row>
    <row r="50" spans="1:6" s="112" customFormat="1" ht="39" customHeight="1" x14ac:dyDescent="0.3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5">
        <f t="shared" ref="B50:E50" si="11">B26</f>
        <v>0</v>
      </c>
      <c r="C50" s="195">
        <f t="shared" si="11"/>
        <v>0</v>
      </c>
      <c r="D50" s="195">
        <f t="shared" si="11"/>
        <v>0</v>
      </c>
      <c r="E50" s="195">
        <f t="shared" si="11"/>
        <v>0</v>
      </c>
      <c r="F50" s="114" t="s">
        <v>50</v>
      </c>
    </row>
    <row r="51" spans="1:6" s="112" customFormat="1" ht="39" customHeight="1" x14ac:dyDescent="0.3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5">
        <f t="shared" ref="B51:E51" si="12">B27</f>
        <v>0</v>
      </c>
      <c r="C51" s="195">
        <f t="shared" si="12"/>
        <v>0</v>
      </c>
      <c r="D51" s="195">
        <f t="shared" si="12"/>
        <v>0</v>
      </c>
      <c r="E51" s="195">
        <f t="shared" si="12"/>
        <v>0</v>
      </c>
      <c r="F51" s="114" t="s">
        <v>50</v>
      </c>
    </row>
    <row r="52" spans="1:6" s="112" customFormat="1" ht="39" customHeight="1" x14ac:dyDescent="0.3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5">
        <f t="shared" ref="B52:E52" si="13">B28</f>
        <v>0</v>
      </c>
      <c r="C52" s="195">
        <f t="shared" si="13"/>
        <v>0</v>
      </c>
      <c r="D52" s="195">
        <f t="shared" si="13"/>
        <v>0</v>
      </c>
      <c r="E52" s="195">
        <f t="shared" si="13"/>
        <v>0</v>
      </c>
      <c r="F52" s="114" t="s">
        <v>50</v>
      </c>
    </row>
    <row r="53" spans="1:6" s="112" customFormat="1" ht="39" customHeight="1" x14ac:dyDescent="0.3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5">
        <f t="shared" ref="B53:E53" si="14">B29</f>
        <v>0</v>
      </c>
      <c r="C53" s="195">
        <f t="shared" si="14"/>
        <v>0</v>
      </c>
      <c r="D53" s="195">
        <f t="shared" si="14"/>
        <v>0</v>
      </c>
      <c r="E53" s="195">
        <f t="shared" si="14"/>
        <v>0</v>
      </c>
      <c r="F53" s="114" t="s">
        <v>50</v>
      </c>
    </row>
    <row r="54" spans="1:6" s="112" customFormat="1" ht="39" customHeight="1" x14ac:dyDescent="0.3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5">
        <f t="shared" ref="B54:E54" si="15">B30</f>
        <v>0</v>
      </c>
      <c r="C54" s="195">
        <f t="shared" si="15"/>
        <v>0</v>
      </c>
      <c r="D54" s="195">
        <f t="shared" si="15"/>
        <v>0</v>
      </c>
      <c r="E54" s="195">
        <f t="shared" si="15"/>
        <v>0</v>
      </c>
      <c r="F54" s="114" t="s">
        <v>50</v>
      </c>
    </row>
    <row r="55" spans="1:6" s="112" customFormat="1" ht="39" customHeight="1" x14ac:dyDescent="0.3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5">
        <f t="shared" ref="B55:E55" si="16">B31</f>
        <v>0</v>
      </c>
      <c r="C55" s="195">
        <f t="shared" si="16"/>
        <v>0</v>
      </c>
      <c r="D55" s="195">
        <f t="shared" si="16"/>
        <v>0</v>
      </c>
      <c r="E55" s="195">
        <f t="shared" si="16"/>
        <v>0</v>
      </c>
      <c r="F55" s="114" t="s">
        <v>50</v>
      </c>
    </row>
    <row r="56" spans="1:6" s="112" customFormat="1" ht="39" customHeight="1" x14ac:dyDescent="0.3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5">
        <f t="shared" ref="B56:E56" si="17">B32</f>
        <v>0</v>
      </c>
      <c r="C56" s="195">
        <f t="shared" si="17"/>
        <v>0</v>
      </c>
      <c r="D56" s="195">
        <f t="shared" si="17"/>
        <v>0</v>
      </c>
      <c r="E56" s="195">
        <f t="shared" si="17"/>
        <v>0</v>
      </c>
      <c r="F56" s="114" t="s">
        <v>50</v>
      </c>
    </row>
    <row r="57" spans="1:6" s="112" customFormat="1" ht="39" customHeight="1" x14ac:dyDescent="0.35">
      <c r="A5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5">
        <f t="shared" ref="B57:E57" si="18">B33</f>
        <v>0</v>
      </c>
      <c r="C57" s="195">
        <f t="shared" si="18"/>
        <v>0</v>
      </c>
      <c r="D57" s="195">
        <f t="shared" si="18"/>
        <v>0</v>
      </c>
      <c r="E57" s="195">
        <f t="shared" si="18"/>
        <v>0</v>
      </c>
      <c r="F57" s="114" t="s">
        <v>50</v>
      </c>
    </row>
    <row r="58" spans="1:6" s="112" customFormat="1" ht="39" customHeight="1" x14ac:dyDescent="0.35">
      <c r="A58"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4">
        <f t="shared" ref="B58:E58" si="19">B34</f>
        <v>0</v>
      </c>
      <c r="C58" s="194">
        <f t="shared" si="19"/>
        <v>0</v>
      </c>
      <c r="D58" s="194">
        <f t="shared" si="19"/>
        <v>0</v>
      </c>
      <c r="E58" s="194">
        <f t="shared" si="19"/>
        <v>0</v>
      </c>
      <c r="F58" s="114"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O1" zoomScale="70" zoomScaleNormal="70" workbookViewId="0">
      <selection activeCell="Z5" sqref="Z5:AD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3" t="s">
        <v>166</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167</v>
      </c>
      <c r="D3" s="1" t="s">
        <v>168</v>
      </c>
      <c r="E3" s="1" t="s">
        <v>169</v>
      </c>
      <c r="F3" s="1" t="s">
        <v>112</v>
      </c>
      <c r="G3" s="1">
        <v>56411</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s="3" customFormat="1" x14ac:dyDescent="0.35">
      <c r="A4" s="3" t="str">
        <f t="shared" si="0"/>
        <v>1</v>
      </c>
      <c r="B4" s="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3" t="s">
        <v>170</v>
      </c>
      <c r="D4" s="3" t="s">
        <v>171</v>
      </c>
      <c r="E4" s="3" t="s">
        <v>172</v>
      </c>
      <c r="F4" s="3" t="s">
        <v>112</v>
      </c>
      <c r="G4" s="3">
        <v>164171</v>
      </c>
      <c r="K4" s="197" t="s">
        <v>100</v>
      </c>
      <c r="L4" s="3" t="s">
        <v>1533</v>
      </c>
      <c r="M4" s="3" t="s">
        <v>1534</v>
      </c>
      <c r="N4" s="3" t="s">
        <v>1535</v>
      </c>
      <c r="O4" s="3" t="s">
        <v>1536</v>
      </c>
      <c r="P4" s="3" t="s">
        <v>1537</v>
      </c>
      <c r="Q4" s="3" t="s">
        <v>1538</v>
      </c>
      <c r="R4" s="3" t="s">
        <v>1539</v>
      </c>
      <c r="S4" s="3" t="s">
        <v>1540</v>
      </c>
      <c r="T4" s="3" t="s">
        <v>1541</v>
      </c>
      <c r="U4" s="3" t="s">
        <v>1542</v>
      </c>
      <c r="V4" s="3" t="s">
        <v>1543</v>
      </c>
      <c r="W4" s="3" t="s">
        <v>1544</v>
      </c>
      <c r="X4" s="3" t="s">
        <v>1545</v>
      </c>
      <c r="Y4" s="3" t="s">
        <v>1546</v>
      </c>
      <c r="Z4" s="3" t="s">
        <v>1547</v>
      </c>
      <c r="AA4" s="3" t="s">
        <v>1548</v>
      </c>
      <c r="AB4" s="3" t="s">
        <v>1549</v>
      </c>
      <c r="AC4" s="3" t="s">
        <v>1550</v>
      </c>
      <c r="AD4" s="3" t="s">
        <v>1551</v>
      </c>
      <c r="AE4" s="3" t="s">
        <v>1552</v>
      </c>
      <c r="AF4" s="3" t="s">
        <v>1553</v>
      </c>
    </row>
    <row r="5" spans="1:144" x14ac:dyDescent="0.3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 s="1" t="s">
        <v>173</v>
      </c>
      <c r="D5" s="1" t="s">
        <v>174</v>
      </c>
      <c r="E5" s="1" t="s">
        <v>175</v>
      </c>
      <c r="F5" s="1" t="s">
        <v>112</v>
      </c>
      <c r="G5" s="1">
        <v>258867</v>
      </c>
      <c r="K5" s="146" t="s">
        <v>164</v>
      </c>
      <c r="L5" s="44">
        <v>159816.33333333334</v>
      </c>
      <c r="M5" s="44">
        <v>60246.666666666664</v>
      </c>
      <c r="N5" s="44"/>
      <c r="O5" s="44">
        <v>3558946.6666666665</v>
      </c>
      <c r="P5" s="44">
        <v>216.33333333333334</v>
      </c>
      <c r="Q5" s="44">
        <v>37657.666666666664</v>
      </c>
      <c r="R5" s="44">
        <v>43642</v>
      </c>
      <c r="S5" s="44">
        <v>162094.66666666666</v>
      </c>
      <c r="T5" s="44"/>
      <c r="U5" s="44">
        <v>450010</v>
      </c>
      <c r="V5" s="44">
        <v>2559746.3333333335</v>
      </c>
      <c r="W5" s="44">
        <v>25566.666666666668</v>
      </c>
      <c r="X5" s="44">
        <v>9560.3333333333339</v>
      </c>
      <c r="Y5" s="44">
        <v>78949.333333333328</v>
      </c>
      <c r="Z5" s="44">
        <v>27037.333333333332</v>
      </c>
      <c r="AA5" s="44">
        <v>201316.66666666666</v>
      </c>
      <c r="AB5" s="44">
        <v>34651</v>
      </c>
      <c r="AC5" s="44">
        <v>289984.66666666669</v>
      </c>
      <c r="AD5" s="44">
        <v>233271</v>
      </c>
      <c r="AE5" s="44">
        <v>33274</v>
      </c>
      <c r="AF5" s="44">
        <v>167307.33333333334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176</v>
      </c>
      <c r="D6" s="1" t="s">
        <v>177</v>
      </c>
      <c r="E6" s="1">
        <v>31</v>
      </c>
      <c r="F6" s="1" t="s">
        <v>112</v>
      </c>
      <c r="G6" s="1">
        <v>3353</v>
      </c>
      <c r="K6" s="146" t="s">
        <v>1554</v>
      </c>
      <c r="L6" s="44">
        <v>4989.333333333333</v>
      </c>
      <c r="M6" s="44">
        <v>40296</v>
      </c>
      <c r="N6" s="44">
        <v>1060413</v>
      </c>
      <c r="O6" s="44">
        <v>3925688.6666666665</v>
      </c>
      <c r="P6" s="44">
        <v>110802.66666666667</v>
      </c>
      <c r="Q6" s="44">
        <v>344095.33333333331</v>
      </c>
      <c r="R6" s="44">
        <v>42574.666666666664</v>
      </c>
      <c r="S6" s="44">
        <v>1160480</v>
      </c>
      <c r="T6" s="44">
        <v>94464.666666666672</v>
      </c>
      <c r="U6" s="44">
        <v>893653.33333333337</v>
      </c>
      <c r="V6" s="44">
        <v>2927036.3333333335</v>
      </c>
      <c r="W6" s="44">
        <v>172574</v>
      </c>
      <c r="X6" s="44">
        <v>260676.33333333334</v>
      </c>
      <c r="Y6" s="44">
        <v>100160.66666666667</v>
      </c>
      <c r="Z6" s="44">
        <v>64846.333333333336</v>
      </c>
      <c r="AA6" s="44">
        <v>314599.33333333331</v>
      </c>
      <c r="AB6" s="44">
        <v>350685.66666666669</v>
      </c>
      <c r="AC6" s="44">
        <v>56670.333333333336</v>
      </c>
      <c r="AD6" s="44">
        <v>77795.666666666672</v>
      </c>
      <c r="AE6" s="44">
        <v>36648</v>
      </c>
      <c r="AF6" s="44">
        <v>38659.666666666664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178</v>
      </c>
      <c r="D7" s="1">
        <v>0</v>
      </c>
      <c r="E7" s="1">
        <v>0</v>
      </c>
      <c r="F7" s="1" t="s">
        <v>112</v>
      </c>
      <c r="G7" s="1">
        <v>0</v>
      </c>
      <c r="K7" s="146" t="s">
        <v>1555</v>
      </c>
      <c r="L7" s="44">
        <v>250070.33333333334</v>
      </c>
      <c r="M7" s="44">
        <v>1782735.6666666667</v>
      </c>
      <c r="N7" s="44">
        <v>2642380.3333333335</v>
      </c>
      <c r="O7" s="44">
        <v>2974456.6666666665</v>
      </c>
      <c r="P7" s="44">
        <v>189103</v>
      </c>
      <c r="Q7" s="44">
        <v>391652.66666666669</v>
      </c>
      <c r="R7" s="44">
        <v>93808.666666666672</v>
      </c>
      <c r="S7" s="44">
        <v>683966</v>
      </c>
      <c r="T7" s="44">
        <v>2266690.3333333335</v>
      </c>
      <c r="U7" s="44">
        <v>2899674.6666666665</v>
      </c>
      <c r="V7" s="44">
        <v>2541404.6666666665</v>
      </c>
      <c r="W7" s="44">
        <v>89692</v>
      </c>
      <c r="X7" s="44">
        <v>70268.333333333328</v>
      </c>
      <c r="Y7" s="44">
        <v>245542.33333333334</v>
      </c>
      <c r="Z7" s="44">
        <v>237237</v>
      </c>
      <c r="AA7" s="44">
        <v>237784.66666666666</v>
      </c>
      <c r="AB7" s="44">
        <v>115028</v>
      </c>
      <c r="AC7" s="44">
        <v>234555</v>
      </c>
      <c r="AD7" s="44">
        <v>210675.33333333334</v>
      </c>
      <c r="AE7" s="44">
        <v>198677.66666666666</v>
      </c>
      <c r="AF7" s="44">
        <v>61205.333333333336</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 s="1" t="s">
        <v>179</v>
      </c>
      <c r="D8" s="1" t="s">
        <v>180</v>
      </c>
      <c r="E8" s="1" t="s">
        <v>181</v>
      </c>
      <c r="F8" s="1" t="s">
        <v>112</v>
      </c>
      <c r="G8" s="1">
        <v>11615</v>
      </c>
      <c r="K8" s="146" t="s">
        <v>1556</v>
      </c>
      <c r="L8" s="44">
        <v>193169.66666666666</v>
      </c>
      <c r="M8" s="44">
        <v>2360513.6666666665</v>
      </c>
      <c r="N8" s="44">
        <v>1625162</v>
      </c>
      <c r="O8" s="44">
        <v>2635300</v>
      </c>
      <c r="P8" s="44">
        <v>246573.66666666666</v>
      </c>
      <c r="Q8" s="44">
        <v>81026</v>
      </c>
      <c r="R8" s="44">
        <v>46259</v>
      </c>
      <c r="S8" s="44">
        <v>323669.66666666669</v>
      </c>
      <c r="T8" s="44">
        <v>2384724.6666666665</v>
      </c>
      <c r="U8" s="44">
        <v>2534007</v>
      </c>
      <c r="V8" s="44">
        <v>3695489.3333333335</v>
      </c>
      <c r="W8" s="44">
        <v>40989</v>
      </c>
      <c r="X8" s="44">
        <v>301593</v>
      </c>
      <c r="Y8" s="44">
        <v>3688</v>
      </c>
      <c r="Z8" s="44">
        <v>137840</v>
      </c>
      <c r="AA8" s="44">
        <v>67399</v>
      </c>
      <c r="AB8" s="44">
        <v>159513.33333333334</v>
      </c>
      <c r="AC8" s="44">
        <v>0</v>
      </c>
      <c r="AD8" s="44">
        <v>49089</v>
      </c>
      <c r="AE8" s="44">
        <v>1802.6666666666667</v>
      </c>
      <c r="AF8" s="44">
        <v>227784.33333333334</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182</v>
      </c>
      <c r="D9" s="1" t="s">
        <v>183</v>
      </c>
      <c r="E9" s="1" t="s">
        <v>184</v>
      </c>
      <c r="F9" s="1" t="s">
        <v>112</v>
      </c>
      <c r="G9" s="1">
        <v>222593</v>
      </c>
      <c r="K9" s="146" t="s">
        <v>1557</v>
      </c>
      <c r="L9" s="44">
        <v>444436.66666666669</v>
      </c>
      <c r="M9" s="44">
        <v>898102.33333333337</v>
      </c>
      <c r="N9" s="44">
        <v>3457452</v>
      </c>
      <c r="O9" s="44">
        <v>4288559.333333333</v>
      </c>
      <c r="P9" s="44">
        <v>105215.33333333333</v>
      </c>
      <c r="Q9" s="44">
        <v>227993.66666666666</v>
      </c>
      <c r="R9" s="44">
        <v>440</v>
      </c>
      <c r="S9" s="44">
        <v>229161.66666666666</v>
      </c>
      <c r="T9" s="44">
        <v>1633439.3333333333</v>
      </c>
      <c r="U9" s="44">
        <v>3068482</v>
      </c>
      <c r="V9" s="44">
        <v>4704314.666666667</v>
      </c>
      <c r="W9" s="44">
        <v>38559</v>
      </c>
      <c r="X9" s="44">
        <v>328392.33333333331</v>
      </c>
      <c r="Y9" s="44">
        <v>259912</v>
      </c>
      <c r="Z9" s="44">
        <v>688220</v>
      </c>
      <c r="AA9" s="44">
        <v>108416.33333333333</v>
      </c>
      <c r="AB9" s="44">
        <v>83102</v>
      </c>
      <c r="AC9" s="44">
        <v>108914</v>
      </c>
      <c r="AD9" s="44">
        <v>216926.33333333334</v>
      </c>
      <c r="AE9" s="44">
        <v>387500</v>
      </c>
      <c r="AF9" s="44">
        <v>150919</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185</v>
      </c>
      <c r="D10" s="1" t="s">
        <v>186</v>
      </c>
      <c r="E10" s="1" t="s">
        <v>187</v>
      </c>
      <c r="F10" s="1" t="s">
        <v>112</v>
      </c>
      <c r="G10" s="1">
        <v>287505</v>
      </c>
      <c r="K10" s="146" t="s">
        <v>1558</v>
      </c>
      <c r="L10" s="44">
        <v>82229.666666666672</v>
      </c>
      <c r="M10" s="44">
        <v>785280.33333333337</v>
      </c>
      <c r="N10" s="44">
        <v>1292141</v>
      </c>
      <c r="O10" s="44">
        <v>3320362</v>
      </c>
      <c r="P10" s="44">
        <v>286560.33333333331</v>
      </c>
      <c r="Q10" s="44">
        <v>107529</v>
      </c>
      <c r="R10" s="44">
        <v>78646.333333333328</v>
      </c>
      <c r="S10" s="44">
        <v>250957.66666666666</v>
      </c>
      <c r="T10" s="44">
        <v>2363578</v>
      </c>
      <c r="U10" s="44">
        <v>3185456</v>
      </c>
      <c r="V10" s="44">
        <v>2717529.6666666665</v>
      </c>
      <c r="W10" s="44">
        <v>186471.33333333334</v>
      </c>
      <c r="X10" s="44">
        <v>66901.333333333328</v>
      </c>
      <c r="Y10" s="44">
        <v>31449.666666666668</v>
      </c>
      <c r="Z10" s="44">
        <v>63981.666666666664</v>
      </c>
      <c r="AA10" s="44">
        <v>56591</v>
      </c>
      <c r="AB10" s="44">
        <v>233343</v>
      </c>
      <c r="AC10" s="44">
        <v>155876</v>
      </c>
      <c r="AD10" s="44">
        <v>255845.33333333334</v>
      </c>
      <c r="AE10" s="44">
        <v>54709</v>
      </c>
      <c r="AF10" s="44">
        <v>22646.666666666668</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 s="1" t="s">
        <v>188</v>
      </c>
      <c r="D11" s="1" t="s">
        <v>189</v>
      </c>
      <c r="E11" s="1" t="s">
        <v>190</v>
      </c>
      <c r="F11" s="1" t="s">
        <v>112</v>
      </c>
      <c r="G11" s="1">
        <v>240113</v>
      </c>
      <c r="K11" s="146" t="s">
        <v>1559</v>
      </c>
      <c r="L11" s="44">
        <v>89634.333333333328</v>
      </c>
      <c r="M11" s="44">
        <v>2254715</v>
      </c>
      <c r="N11" s="44">
        <v>104025.33333333333</v>
      </c>
      <c r="O11" s="44">
        <v>4434395</v>
      </c>
      <c r="P11" s="44">
        <v>298773.66666666669</v>
      </c>
      <c r="Q11" s="44">
        <v>197560.33333333334</v>
      </c>
      <c r="R11" s="44">
        <v>229457</v>
      </c>
      <c r="S11" s="44">
        <v>235347.66666666666</v>
      </c>
      <c r="T11" s="44">
        <v>1626654.5</v>
      </c>
      <c r="U11" s="44">
        <v>2938464.3333333335</v>
      </c>
      <c r="V11" s="44">
        <v>4303793.666666667</v>
      </c>
      <c r="W11" s="44">
        <v>177588.33333333334</v>
      </c>
      <c r="X11" s="44"/>
      <c r="Y11" s="44">
        <v>3879</v>
      </c>
      <c r="Z11" s="44">
        <v>255334</v>
      </c>
      <c r="AA11" s="44">
        <v>158057</v>
      </c>
      <c r="AB11" s="44">
        <v>73195.666666666672</v>
      </c>
      <c r="AC11" s="44">
        <v>53909</v>
      </c>
      <c r="AD11" s="44">
        <v>100698</v>
      </c>
      <c r="AE11" s="44">
        <v>51825.333333333336</v>
      </c>
      <c r="AF11" s="44">
        <v>159621.66666666666</v>
      </c>
      <c r="AG11"/>
    </row>
    <row r="12" spans="1:144" x14ac:dyDescent="0.3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191</v>
      </c>
      <c r="D12" s="1" t="s">
        <v>192</v>
      </c>
      <c r="E12" s="1" t="s">
        <v>193</v>
      </c>
      <c r="F12" s="1" t="s">
        <v>112</v>
      </c>
      <c r="G12" s="1">
        <v>257872</v>
      </c>
      <c r="K12" s="146" t="s">
        <v>1560</v>
      </c>
      <c r="L12" s="44">
        <v>18133</v>
      </c>
      <c r="M12" s="44">
        <v>1790674</v>
      </c>
      <c r="N12" s="44">
        <v>953907</v>
      </c>
      <c r="O12" s="44">
        <v>2296575.6666666665</v>
      </c>
      <c r="P12" s="44">
        <v>231901</v>
      </c>
      <c r="Q12" s="44">
        <v>113903.33333333333</v>
      </c>
      <c r="R12" s="44">
        <v>225412.33333333334</v>
      </c>
      <c r="S12" s="44">
        <v>349561</v>
      </c>
      <c r="T12" s="44">
        <v>2917844</v>
      </c>
      <c r="U12" s="44">
        <v>2092987.6666666667</v>
      </c>
      <c r="V12" s="44">
        <v>3909841.6666666665</v>
      </c>
      <c r="W12" s="44">
        <v>225152.66666666666</v>
      </c>
      <c r="X12" s="44">
        <v>656</v>
      </c>
      <c r="Y12" s="44">
        <v>93192</v>
      </c>
      <c r="Z12" s="44">
        <v>254735.33333333334</v>
      </c>
      <c r="AA12" s="44">
        <v>47874</v>
      </c>
      <c r="AB12" s="44">
        <v>305132.66666666669</v>
      </c>
      <c r="AC12" s="44">
        <v>31601.333333333332</v>
      </c>
      <c r="AD12" s="44">
        <v>133557.33333333334</v>
      </c>
      <c r="AE12" s="44">
        <v>52272.333333333336</v>
      </c>
      <c r="AF12" s="44">
        <v>29575.333333333332</v>
      </c>
      <c r="AG12"/>
    </row>
    <row r="13" spans="1:144" x14ac:dyDescent="0.3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194</v>
      </c>
      <c r="D13" s="1" t="s">
        <v>195</v>
      </c>
      <c r="E13" s="1" t="s">
        <v>196</v>
      </c>
      <c r="F13" s="1" t="s">
        <v>112</v>
      </c>
      <c r="G13" s="1">
        <v>99887</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 s="1" t="s">
        <v>197</v>
      </c>
      <c r="D14" s="1" t="s">
        <v>198</v>
      </c>
      <c r="E14" s="1" t="s">
        <v>199</v>
      </c>
      <c r="F14" s="1" t="s">
        <v>112</v>
      </c>
      <c r="G14" s="1">
        <v>221750</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200</v>
      </c>
      <c r="D15" s="1" t="s">
        <v>201</v>
      </c>
      <c r="E15" s="1" t="s">
        <v>202</v>
      </c>
      <c r="F15" s="1" t="s">
        <v>112</v>
      </c>
      <c r="G15" s="1">
        <v>321377</v>
      </c>
    </row>
    <row r="16" spans="1:144" x14ac:dyDescent="0.3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203</v>
      </c>
      <c r="D16" s="1" t="s">
        <v>204</v>
      </c>
      <c r="E16" s="1" t="s">
        <v>205</v>
      </c>
      <c r="F16" s="1" t="s">
        <v>112</v>
      </c>
      <c r="G16" s="1">
        <v>663259</v>
      </c>
      <c r="M16"/>
      <c r="N16"/>
      <c r="O16"/>
      <c r="P16"/>
      <c r="Q16"/>
      <c r="R16"/>
      <c r="S16"/>
      <c r="T16"/>
      <c r="U16"/>
      <c r="V16"/>
      <c r="W16"/>
      <c r="X16"/>
      <c r="Y16"/>
      <c r="Z16"/>
      <c r="AA16"/>
      <c r="AB16"/>
      <c r="AC16"/>
      <c r="AD16"/>
      <c r="AE16"/>
      <c r="AF16"/>
      <c r="AG16"/>
      <c r="AH16"/>
    </row>
    <row r="17" spans="1:34" x14ac:dyDescent="0.3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 s="1" t="s">
        <v>206</v>
      </c>
      <c r="D17" s="1" t="s">
        <v>207</v>
      </c>
      <c r="E17" s="1" t="s">
        <v>208</v>
      </c>
      <c r="F17" s="1" t="s">
        <v>112</v>
      </c>
      <c r="G17" s="1">
        <v>348674</v>
      </c>
      <c r="M17"/>
      <c r="N17"/>
      <c r="O17"/>
      <c r="P17"/>
      <c r="Q17"/>
      <c r="R17"/>
      <c r="S17"/>
      <c r="T17"/>
      <c r="U17"/>
      <c r="V17"/>
      <c r="W17"/>
      <c r="X17"/>
      <c r="Y17"/>
      <c r="Z17"/>
      <c r="AA17"/>
      <c r="AB17"/>
      <c r="AC17"/>
      <c r="AD17"/>
      <c r="AE17"/>
      <c r="AF17"/>
      <c r="AG17"/>
      <c r="AH17"/>
    </row>
    <row r="18" spans="1:34" x14ac:dyDescent="0.3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209</v>
      </c>
      <c r="D18" s="1" t="s">
        <v>210</v>
      </c>
      <c r="E18" s="1" t="s">
        <v>211</v>
      </c>
      <c r="F18" s="1" t="s">
        <v>112</v>
      </c>
      <c r="G18" s="1">
        <v>104710</v>
      </c>
      <c r="M18"/>
      <c r="N18"/>
      <c r="O18"/>
      <c r="P18"/>
      <c r="Q18"/>
      <c r="R18"/>
      <c r="S18"/>
      <c r="T18"/>
      <c r="U18"/>
      <c r="V18"/>
      <c r="W18"/>
      <c r="X18"/>
      <c r="Y18"/>
      <c r="Z18"/>
      <c r="AA18"/>
      <c r="AB18"/>
      <c r="AC18"/>
      <c r="AD18"/>
      <c r="AE18"/>
      <c r="AF18"/>
      <c r="AG18"/>
      <c r="AH18"/>
    </row>
    <row r="19" spans="1:34" x14ac:dyDescent="0.3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212</v>
      </c>
      <c r="D19" s="1" t="s">
        <v>213</v>
      </c>
      <c r="E19" s="1" t="s">
        <v>214</v>
      </c>
      <c r="F19" s="1" t="s">
        <v>112</v>
      </c>
      <c r="G19" s="1">
        <v>82280</v>
      </c>
      <c r="K19"/>
      <c r="L19"/>
      <c r="M19"/>
      <c r="N19"/>
      <c r="O19"/>
      <c r="P19"/>
      <c r="Q19"/>
      <c r="R19"/>
      <c r="S19"/>
      <c r="T19"/>
      <c r="U19"/>
      <c r="V19"/>
      <c r="W19"/>
      <c r="X19"/>
      <c r="Y19"/>
      <c r="Z19"/>
      <c r="AA19"/>
      <c r="AB19"/>
      <c r="AC19"/>
      <c r="AD19"/>
      <c r="AE19"/>
      <c r="AF19"/>
      <c r="AG19"/>
      <c r="AH19"/>
    </row>
    <row r="20" spans="1:34" x14ac:dyDescent="0.3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0" s="1" t="s">
        <v>215</v>
      </c>
      <c r="D20" s="1" t="s">
        <v>216</v>
      </c>
      <c r="E20" s="1" t="s">
        <v>217</v>
      </c>
      <c r="F20" s="1" t="s">
        <v>112</v>
      </c>
      <c r="G20" s="1">
        <v>59699</v>
      </c>
      <c r="K20"/>
      <c r="L20"/>
      <c r="M20"/>
      <c r="N20"/>
      <c r="O20"/>
      <c r="P20"/>
      <c r="Q20"/>
      <c r="R20"/>
      <c r="S20"/>
      <c r="T20"/>
      <c r="U20"/>
      <c r="V20"/>
      <c r="W20"/>
      <c r="X20"/>
      <c r="Y20"/>
      <c r="Z20"/>
      <c r="AA20"/>
      <c r="AB20"/>
      <c r="AC20"/>
      <c r="AD20"/>
      <c r="AE20"/>
      <c r="AF20"/>
      <c r="AG20"/>
      <c r="AH20"/>
    </row>
    <row r="21" spans="1:34" x14ac:dyDescent="0.3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218</v>
      </c>
      <c r="D21" s="1" t="s">
        <v>219</v>
      </c>
      <c r="E21" s="1" t="s">
        <v>220</v>
      </c>
      <c r="F21" s="1" t="s">
        <v>112</v>
      </c>
      <c r="G21" s="1">
        <v>266848</v>
      </c>
      <c r="K21"/>
      <c r="L21"/>
      <c r="M21"/>
      <c r="N21"/>
      <c r="O21"/>
      <c r="P21"/>
      <c r="Q21"/>
      <c r="R21"/>
      <c r="S21"/>
      <c r="T21"/>
      <c r="U21"/>
      <c r="V21"/>
      <c r="W21"/>
      <c r="X21"/>
      <c r="Y21"/>
      <c r="Z21"/>
      <c r="AA21"/>
      <c r="AB21"/>
      <c r="AC21"/>
      <c r="AD21"/>
      <c r="AE21"/>
      <c r="AF21"/>
      <c r="AG21"/>
      <c r="AH21"/>
    </row>
    <row r="22" spans="1:34" x14ac:dyDescent="0.3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221</v>
      </c>
      <c r="D22" s="1" t="s">
        <v>222</v>
      </c>
      <c r="E22" s="1" t="s">
        <v>223</v>
      </c>
      <c r="F22" s="1" t="s">
        <v>112</v>
      </c>
      <c r="G22" s="1">
        <v>2055</v>
      </c>
      <c r="K22"/>
      <c r="L22"/>
      <c r="M22"/>
      <c r="N22"/>
      <c r="O22"/>
      <c r="P22"/>
      <c r="Q22"/>
      <c r="R22"/>
      <c r="S22"/>
      <c r="T22"/>
      <c r="U22"/>
      <c r="V22"/>
      <c r="W22"/>
      <c r="X22"/>
      <c r="Y22"/>
      <c r="Z22"/>
      <c r="AA22"/>
      <c r="AB22"/>
      <c r="AC22"/>
      <c r="AD22"/>
      <c r="AE22"/>
      <c r="AF22"/>
      <c r="AG22"/>
      <c r="AH22"/>
    </row>
    <row r="23" spans="1:34" x14ac:dyDescent="0.3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 s="1" t="s">
        <v>224</v>
      </c>
      <c r="D23" s="1">
        <v>0</v>
      </c>
      <c r="E23" s="1">
        <v>0</v>
      </c>
      <c r="F23" s="1" t="s">
        <v>112</v>
      </c>
      <c r="G23" s="1">
        <v>0</v>
      </c>
      <c r="K23"/>
      <c r="L23"/>
      <c r="M23"/>
      <c r="N23"/>
      <c r="O23"/>
      <c r="P23"/>
      <c r="Q23"/>
      <c r="R23"/>
      <c r="S23"/>
      <c r="T23"/>
      <c r="U23"/>
      <c r="V23"/>
      <c r="W23"/>
      <c r="X23"/>
      <c r="Y23"/>
      <c r="Z23"/>
      <c r="AA23"/>
      <c r="AB23"/>
      <c r="AC23"/>
      <c r="AD23"/>
      <c r="AE23"/>
      <c r="AF23"/>
      <c r="AG23"/>
      <c r="AH23"/>
    </row>
    <row r="24" spans="1:34" x14ac:dyDescent="0.3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225</v>
      </c>
      <c r="D24" s="1" t="s">
        <v>226</v>
      </c>
      <c r="E24" s="1">
        <v>31</v>
      </c>
      <c r="F24" s="1" t="s">
        <v>112</v>
      </c>
      <c r="G24" s="1">
        <v>6035</v>
      </c>
      <c r="K24"/>
      <c r="L24"/>
      <c r="M24"/>
      <c r="N24"/>
      <c r="O24"/>
      <c r="P24"/>
      <c r="Q24"/>
      <c r="R24"/>
      <c r="S24"/>
      <c r="T24"/>
      <c r="U24"/>
      <c r="V24"/>
      <c r="W24"/>
      <c r="X24"/>
      <c r="Y24"/>
      <c r="Z24"/>
      <c r="AA24"/>
      <c r="AB24"/>
      <c r="AC24"/>
      <c r="AD24"/>
      <c r="AE24"/>
      <c r="AF24"/>
      <c r="AG24"/>
      <c r="AH24"/>
    </row>
    <row r="25" spans="1:34" x14ac:dyDescent="0.3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227</v>
      </c>
      <c r="D25" s="1" t="s">
        <v>228</v>
      </c>
      <c r="E25" s="1" t="s">
        <v>229</v>
      </c>
      <c r="F25" s="1" t="s">
        <v>112</v>
      </c>
      <c r="G25" s="1">
        <v>19748</v>
      </c>
      <c r="K25"/>
      <c r="L25"/>
      <c r="M25"/>
      <c r="N25"/>
      <c r="O25"/>
      <c r="P25"/>
      <c r="Q25"/>
      <c r="R25"/>
      <c r="S25"/>
      <c r="T25"/>
      <c r="U25"/>
      <c r="V25"/>
      <c r="W25"/>
      <c r="X25"/>
      <c r="Y25"/>
      <c r="Z25"/>
      <c r="AA25"/>
      <c r="AB25"/>
      <c r="AC25"/>
      <c r="AD25"/>
      <c r="AE25"/>
      <c r="AF25"/>
      <c r="AG25"/>
      <c r="AH25"/>
    </row>
    <row r="26" spans="1:34" x14ac:dyDescent="0.35">
      <c r="A26" s="1" t="str">
        <f t="shared" si="0"/>
        <v>1</v>
      </c>
      <c r="B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6" s="1" t="s">
        <v>230</v>
      </c>
      <c r="D26" s="1" t="s">
        <v>231</v>
      </c>
      <c r="E26" s="1" t="s">
        <v>232</v>
      </c>
      <c r="F26" s="1" t="s">
        <v>112</v>
      </c>
      <c r="G26" s="1">
        <v>28616</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112</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 s="1" t="s">
        <v>233</v>
      </c>
      <c r="D28" s="1" t="s">
        <v>112</v>
      </c>
      <c r="E28" s="1" t="s">
        <v>234</v>
      </c>
      <c r="F28" s="1" t="s">
        <v>235</v>
      </c>
      <c r="G28" s="1" t="s">
        <v>236</v>
      </c>
      <c r="K28"/>
      <c r="L28"/>
      <c r="M28"/>
      <c r="N28"/>
      <c r="O28"/>
      <c r="P28"/>
      <c r="Q28"/>
      <c r="R28"/>
      <c r="S28"/>
      <c r="T28"/>
      <c r="U28"/>
      <c r="V28"/>
      <c r="W28"/>
      <c r="X28"/>
      <c r="Y28"/>
      <c r="Z28"/>
      <c r="AA28"/>
      <c r="AB28"/>
      <c r="AC28"/>
      <c r="AD28"/>
      <c r="AE28"/>
      <c r="AF28"/>
      <c r="AG28"/>
      <c r="AH28"/>
    </row>
    <row r="29" spans="1:34" x14ac:dyDescent="0.35">
      <c r="A29" s="1" t="str">
        <f t="shared" si="0"/>
        <v>1</v>
      </c>
      <c r="B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 s="1" t="s">
        <v>237</v>
      </c>
      <c r="D29" s="1" t="s">
        <v>112</v>
      </c>
      <c r="E29" s="1" t="s">
        <v>238</v>
      </c>
      <c r="F29" s="1" t="s">
        <v>239</v>
      </c>
      <c r="G29" s="1" t="s">
        <v>240</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112</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 s="1" t="s">
        <v>166</v>
      </c>
      <c r="D35" s="1" t="s">
        <v>110</v>
      </c>
      <c r="E35" s="1" t="s">
        <v>111</v>
      </c>
      <c r="F35" s="1" t="s">
        <v>112</v>
      </c>
      <c r="G35" s="1" t="s">
        <v>113</v>
      </c>
      <c r="K35"/>
      <c r="L35"/>
      <c r="M35"/>
      <c r="N35"/>
      <c r="O35"/>
      <c r="P35"/>
      <c r="Q35"/>
      <c r="R35"/>
      <c r="S35"/>
      <c r="T35"/>
      <c r="U35"/>
      <c r="V35"/>
      <c r="W35"/>
      <c r="X35"/>
      <c r="Y35"/>
      <c r="Z35"/>
      <c r="AA35"/>
      <c r="AB35"/>
      <c r="AC35"/>
      <c r="AD35"/>
      <c r="AE35"/>
      <c r="AF35"/>
      <c r="AG35"/>
      <c r="AH35"/>
    </row>
    <row r="36" spans="1:34" x14ac:dyDescent="0.3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241</v>
      </c>
      <c r="D36" s="1" t="s">
        <v>242</v>
      </c>
      <c r="E36" s="1" t="s">
        <v>243</v>
      </c>
      <c r="F36" s="1" t="s">
        <v>112</v>
      </c>
      <c r="G36" s="1">
        <v>75856</v>
      </c>
      <c r="K36"/>
      <c r="L36"/>
      <c r="M36"/>
      <c r="N36"/>
      <c r="O36"/>
      <c r="P36"/>
      <c r="Q36"/>
      <c r="R36"/>
      <c r="S36"/>
      <c r="T36"/>
      <c r="U36"/>
      <c r="V36"/>
      <c r="W36"/>
      <c r="X36"/>
      <c r="Y36"/>
      <c r="Z36"/>
      <c r="AA36"/>
      <c r="AB36"/>
      <c r="AC36"/>
      <c r="AD36"/>
      <c r="AE36"/>
      <c r="AF36"/>
      <c r="AG36"/>
      <c r="AH36"/>
    </row>
    <row r="37" spans="1:34" x14ac:dyDescent="0.3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244</v>
      </c>
      <c r="D37" s="1" t="s">
        <v>245</v>
      </c>
      <c r="E37" s="1" t="s">
        <v>246</v>
      </c>
      <c r="F37" s="1" t="s">
        <v>112</v>
      </c>
      <c r="G37" s="1">
        <v>49879</v>
      </c>
      <c r="K37"/>
      <c r="L37"/>
      <c r="M37"/>
      <c r="N37"/>
      <c r="O37"/>
      <c r="P37"/>
      <c r="Q37"/>
      <c r="R37"/>
      <c r="S37"/>
      <c r="T37"/>
      <c r="U37"/>
      <c r="V37"/>
      <c r="W37"/>
      <c r="X37"/>
      <c r="Y37"/>
      <c r="Z37"/>
      <c r="AA37"/>
      <c r="AB37"/>
      <c r="AC37"/>
      <c r="AD37"/>
      <c r="AE37"/>
      <c r="AF37"/>
      <c r="AG37"/>
      <c r="AH37"/>
    </row>
    <row r="38" spans="1:34" x14ac:dyDescent="0.3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8" s="1" t="s">
        <v>247</v>
      </c>
      <c r="D38" s="1" t="s">
        <v>248</v>
      </c>
      <c r="E38" s="1" t="s">
        <v>249</v>
      </c>
      <c r="F38" s="1" t="s">
        <v>112</v>
      </c>
      <c r="G38" s="1">
        <v>55005</v>
      </c>
      <c r="K38"/>
      <c r="L38"/>
      <c r="M38"/>
      <c r="N38"/>
      <c r="O38"/>
      <c r="P38"/>
      <c r="Q38"/>
      <c r="R38"/>
      <c r="S38"/>
      <c r="T38"/>
      <c r="U38"/>
      <c r="V38"/>
      <c r="W38"/>
      <c r="X38"/>
      <c r="Y38"/>
      <c r="Z38"/>
      <c r="AA38"/>
      <c r="AB38"/>
      <c r="AC38"/>
      <c r="AD38"/>
      <c r="AE38"/>
      <c r="AF38"/>
      <c r="AG38"/>
      <c r="AH38"/>
    </row>
    <row r="39" spans="1:34" x14ac:dyDescent="0.3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250</v>
      </c>
      <c r="D39" s="1" t="s">
        <v>251</v>
      </c>
      <c r="E39" s="1" t="s">
        <v>252</v>
      </c>
      <c r="F39" s="1" t="s">
        <v>112</v>
      </c>
      <c r="G39" s="1">
        <v>40296</v>
      </c>
    </row>
    <row r="40" spans="1:34" x14ac:dyDescent="0.3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253</v>
      </c>
    </row>
    <row r="41" spans="1:34" x14ac:dyDescent="0.3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 s="1" t="s">
        <v>254</v>
      </c>
    </row>
    <row r="42" spans="1:34" x14ac:dyDescent="0.3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255</v>
      </c>
      <c r="D42" s="1" t="s">
        <v>256</v>
      </c>
      <c r="E42" s="1" t="s">
        <v>257</v>
      </c>
      <c r="F42" s="1" t="s">
        <v>112</v>
      </c>
      <c r="G42" s="1">
        <v>1744083</v>
      </c>
    </row>
    <row r="43" spans="1:34" x14ac:dyDescent="0.3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258</v>
      </c>
      <c r="D43" s="1" t="s">
        <v>259</v>
      </c>
      <c r="E43" s="1" t="s">
        <v>260</v>
      </c>
      <c r="F43" s="1" t="s">
        <v>112</v>
      </c>
      <c r="G43" s="1">
        <v>1707788</v>
      </c>
    </row>
    <row r="44" spans="1:34" x14ac:dyDescent="0.3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4" s="1" t="s">
        <v>261</v>
      </c>
      <c r="D44" s="1" t="s">
        <v>262</v>
      </c>
      <c r="E44" s="1" t="s">
        <v>263</v>
      </c>
      <c r="F44" s="1" t="s">
        <v>112</v>
      </c>
      <c r="G44" s="1">
        <v>1896336</v>
      </c>
    </row>
    <row r="45" spans="1:34" x14ac:dyDescent="0.3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264</v>
      </c>
      <c r="D45" s="1" t="s">
        <v>265</v>
      </c>
      <c r="E45" s="1" t="s">
        <v>266</v>
      </c>
      <c r="F45" s="1" t="s">
        <v>112</v>
      </c>
      <c r="G45" s="1">
        <v>2145253</v>
      </c>
    </row>
    <row r="46" spans="1:34" x14ac:dyDescent="0.3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267</v>
      </c>
      <c r="D46" s="1" t="s">
        <v>268</v>
      </c>
      <c r="E46" s="1" t="s">
        <v>269</v>
      </c>
      <c r="F46" s="1" t="s">
        <v>112</v>
      </c>
      <c r="G46" s="1">
        <v>2324305</v>
      </c>
    </row>
    <row r="47" spans="1:34" x14ac:dyDescent="0.3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 s="1" t="s">
        <v>270</v>
      </c>
      <c r="D47" s="1" t="s">
        <v>271</v>
      </c>
      <c r="E47" s="1" t="s">
        <v>272</v>
      </c>
      <c r="F47" s="1" t="s">
        <v>112</v>
      </c>
      <c r="G47" s="1">
        <v>2611983</v>
      </c>
    </row>
    <row r="48" spans="1:34" x14ac:dyDescent="0.3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273</v>
      </c>
      <c r="D48" s="1" t="s">
        <v>274</v>
      </c>
      <c r="E48" s="1" t="s">
        <v>275</v>
      </c>
      <c r="F48" s="1" t="s">
        <v>112</v>
      </c>
      <c r="G48" s="1">
        <v>870452</v>
      </c>
    </row>
    <row r="49" spans="1:7" x14ac:dyDescent="0.3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276</v>
      </c>
      <c r="D49" s="1" t="s">
        <v>277</v>
      </c>
      <c r="E49" s="1" t="s">
        <v>278</v>
      </c>
      <c r="F49" s="1" t="s">
        <v>112</v>
      </c>
      <c r="G49" s="1">
        <v>838202</v>
      </c>
    </row>
    <row r="50" spans="1:7" x14ac:dyDescent="0.3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 s="1" t="s">
        <v>279</v>
      </c>
      <c r="D50" s="1" t="s">
        <v>280</v>
      </c>
      <c r="E50" s="1" t="s">
        <v>281</v>
      </c>
      <c r="F50" s="1" t="s">
        <v>112</v>
      </c>
      <c r="G50" s="1">
        <v>985653</v>
      </c>
    </row>
    <row r="51" spans="1:7" x14ac:dyDescent="0.3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282</v>
      </c>
      <c r="D51" s="1" t="s">
        <v>283</v>
      </c>
      <c r="E51" s="1" t="s">
        <v>284</v>
      </c>
      <c r="F51" s="1" t="s">
        <v>112</v>
      </c>
      <c r="G51" s="1">
        <v>691183</v>
      </c>
    </row>
    <row r="52" spans="1:7" x14ac:dyDescent="0.3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285</v>
      </c>
      <c r="D52" s="1" t="s">
        <v>286</v>
      </c>
      <c r="E52" s="1" t="s">
        <v>287</v>
      </c>
      <c r="F52" s="1" t="s">
        <v>112</v>
      </c>
      <c r="G52" s="1">
        <v>666590</v>
      </c>
    </row>
    <row r="53" spans="1:7" x14ac:dyDescent="0.3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3" s="1" t="s">
        <v>288</v>
      </c>
      <c r="D53" s="1" t="s">
        <v>289</v>
      </c>
      <c r="E53" s="1" t="s">
        <v>290</v>
      </c>
      <c r="F53" s="1" t="s">
        <v>112</v>
      </c>
      <c r="G53" s="1">
        <v>998068</v>
      </c>
    </row>
    <row r="54" spans="1:7" x14ac:dyDescent="0.3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291</v>
      </c>
      <c r="D54" s="1" t="s">
        <v>292</v>
      </c>
      <c r="E54" s="1" t="s">
        <v>293</v>
      </c>
      <c r="F54" s="1" t="s">
        <v>112</v>
      </c>
      <c r="G54" s="1">
        <v>1880287</v>
      </c>
    </row>
    <row r="55" spans="1:7" x14ac:dyDescent="0.3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294</v>
      </c>
      <c r="D55" s="1" t="s">
        <v>295</v>
      </c>
      <c r="E55" s="1" t="s">
        <v>296</v>
      </c>
      <c r="F55" s="1" t="s">
        <v>112</v>
      </c>
      <c r="G55" s="1">
        <v>2541102</v>
      </c>
    </row>
    <row r="56" spans="1:7" x14ac:dyDescent="0.3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 s="1" t="s">
        <v>297</v>
      </c>
      <c r="D56" s="1" t="s">
        <v>298</v>
      </c>
      <c r="E56" s="1" t="s">
        <v>299</v>
      </c>
      <c r="F56" s="1" t="s">
        <v>112</v>
      </c>
      <c r="G56" s="1">
        <v>2342756</v>
      </c>
    </row>
    <row r="57" spans="1:7" x14ac:dyDescent="0.3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300</v>
      </c>
      <c r="D57" s="1" t="s">
        <v>301</v>
      </c>
      <c r="E57" s="1" t="s">
        <v>302</v>
      </c>
      <c r="F57" s="1" t="s">
        <v>112</v>
      </c>
      <c r="G57" s="1">
        <v>1634809</v>
      </c>
    </row>
    <row r="58" spans="1:7" x14ac:dyDescent="0.3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303</v>
      </c>
      <c r="D58" s="1" t="s">
        <v>304</v>
      </c>
      <c r="E58" s="1" t="s">
        <v>305</v>
      </c>
      <c r="F58" s="1" t="s">
        <v>112</v>
      </c>
      <c r="G58" s="1">
        <v>2115187</v>
      </c>
    </row>
    <row r="59" spans="1:7" x14ac:dyDescent="0.35">
      <c r="A59" s="1" t="str">
        <f t="shared" si="0"/>
        <v>13</v>
      </c>
      <c r="B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9" s="1" t="s">
        <v>306</v>
      </c>
      <c r="D59" s="1" t="s">
        <v>307</v>
      </c>
      <c r="E59" s="1" t="s">
        <v>308</v>
      </c>
      <c r="F59" s="1" t="s">
        <v>112</v>
      </c>
      <c r="G59" s="1">
        <v>1622026</v>
      </c>
    </row>
    <row r="60" spans="1:7"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112</v>
      </c>
    </row>
    <row r="61" spans="1:7"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 s="1" t="s">
        <v>233</v>
      </c>
      <c r="D61" s="1" t="s">
        <v>112</v>
      </c>
      <c r="E61" s="1" t="s">
        <v>234</v>
      </c>
      <c r="F61" s="1" t="s">
        <v>235</v>
      </c>
      <c r="G61" s="1" t="s">
        <v>236</v>
      </c>
    </row>
    <row r="62" spans="1:7" x14ac:dyDescent="0.35">
      <c r="A62" s="1" t="str">
        <f t="shared" si="0"/>
        <v>13</v>
      </c>
      <c r="B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 s="1" t="s">
        <v>309</v>
      </c>
      <c r="D62" s="1" t="s">
        <v>112</v>
      </c>
      <c r="E62" s="1" t="s">
        <v>310</v>
      </c>
      <c r="F62" s="1" t="s">
        <v>311</v>
      </c>
      <c r="G62" s="1" t="s">
        <v>312</v>
      </c>
    </row>
    <row r="63" spans="1:7"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7"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112</v>
      </c>
    </row>
    <row r="68" spans="1:7"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 s="1" t="s">
        <v>166</v>
      </c>
      <c r="D68" s="1" t="s">
        <v>110</v>
      </c>
      <c r="E68" s="1" t="s">
        <v>111</v>
      </c>
      <c r="F68" s="1" t="s">
        <v>112</v>
      </c>
      <c r="G68" s="1" t="s">
        <v>113</v>
      </c>
    </row>
    <row r="69" spans="1:7" x14ac:dyDescent="0.3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313</v>
      </c>
    </row>
    <row r="70" spans="1:7" x14ac:dyDescent="0.3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314</v>
      </c>
    </row>
    <row r="71" spans="1:7" x14ac:dyDescent="0.3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1" s="1" t="s">
        <v>315</v>
      </c>
    </row>
    <row r="72" spans="1:7" x14ac:dyDescent="0.3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316</v>
      </c>
      <c r="D72" s="1" t="s">
        <v>317</v>
      </c>
      <c r="E72" s="1" t="s">
        <v>318</v>
      </c>
      <c r="F72" s="1" t="s">
        <v>112</v>
      </c>
      <c r="G72" s="1">
        <v>1136954</v>
      </c>
    </row>
    <row r="73" spans="1:7" x14ac:dyDescent="0.3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319</v>
      </c>
      <c r="D73" s="1" t="s">
        <v>320</v>
      </c>
      <c r="E73" s="1" t="s">
        <v>321</v>
      </c>
      <c r="F73" s="1" t="s">
        <v>112</v>
      </c>
      <c r="G73" s="1">
        <v>995473</v>
      </c>
    </row>
    <row r="74" spans="1:7" x14ac:dyDescent="0.3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 s="1" t="s">
        <v>322</v>
      </c>
      <c r="D74" s="1" t="s">
        <v>323</v>
      </c>
      <c r="E74" s="1" t="s">
        <v>324</v>
      </c>
      <c r="F74" s="1" t="s">
        <v>112</v>
      </c>
      <c r="G74" s="1">
        <v>1048812</v>
      </c>
    </row>
    <row r="75" spans="1:7" x14ac:dyDescent="0.3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325</v>
      </c>
      <c r="D75" s="1" t="s">
        <v>326</v>
      </c>
      <c r="E75" s="1" t="s">
        <v>327</v>
      </c>
      <c r="F75" s="1" t="s">
        <v>112</v>
      </c>
      <c r="G75" s="1">
        <v>2752837</v>
      </c>
    </row>
    <row r="76" spans="1:7" x14ac:dyDescent="0.3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328</v>
      </c>
      <c r="D76" s="1" t="s">
        <v>329</v>
      </c>
      <c r="E76" s="1" t="s">
        <v>330</v>
      </c>
      <c r="F76" s="1" t="s">
        <v>112</v>
      </c>
      <c r="G76" s="1">
        <v>2698719</v>
      </c>
    </row>
    <row r="77" spans="1:7" x14ac:dyDescent="0.3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7" s="1" t="s">
        <v>331</v>
      </c>
      <c r="D77" s="1" t="s">
        <v>332</v>
      </c>
      <c r="E77" s="1" t="s">
        <v>333</v>
      </c>
      <c r="F77" s="1" t="s">
        <v>112</v>
      </c>
      <c r="G77" s="1">
        <v>2475585</v>
      </c>
    </row>
    <row r="78" spans="1:7" x14ac:dyDescent="0.3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334</v>
      </c>
      <c r="D78" s="1" t="s">
        <v>335</v>
      </c>
      <c r="E78" s="1" t="s">
        <v>336</v>
      </c>
      <c r="F78" s="1" t="s">
        <v>112</v>
      </c>
      <c r="G78" s="1">
        <v>1461813</v>
      </c>
    </row>
    <row r="79" spans="1:7" x14ac:dyDescent="0.3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337</v>
      </c>
      <c r="D79" s="1" t="s">
        <v>338</v>
      </c>
      <c r="E79" s="1" t="s">
        <v>339</v>
      </c>
      <c r="F79" s="1" t="s">
        <v>112</v>
      </c>
      <c r="G79" s="1">
        <v>1784964</v>
      </c>
    </row>
    <row r="80" spans="1:7" x14ac:dyDescent="0.3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0" s="1" t="s">
        <v>340</v>
      </c>
      <c r="D80" s="1" t="s">
        <v>341</v>
      </c>
      <c r="E80" s="1" t="s">
        <v>342</v>
      </c>
      <c r="F80" s="1" t="s">
        <v>112</v>
      </c>
      <c r="G80" s="1">
        <v>1628709</v>
      </c>
    </row>
    <row r="81" spans="1:7" x14ac:dyDescent="0.3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343</v>
      </c>
      <c r="D81" s="1" t="s">
        <v>344</v>
      </c>
      <c r="E81" s="1" t="s">
        <v>345</v>
      </c>
      <c r="F81" s="1" t="s">
        <v>112</v>
      </c>
      <c r="G81" s="1">
        <v>3457452</v>
      </c>
    </row>
    <row r="82" spans="1:7" x14ac:dyDescent="0.3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346</v>
      </c>
    </row>
    <row r="83" spans="1:7" x14ac:dyDescent="0.3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3" s="1" t="s">
        <v>347</v>
      </c>
    </row>
    <row r="84" spans="1:7" x14ac:dyDescent="0.3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348</v>
      </c>
      <c r="D84" s="1" t="s">
        <v>349</v>
      </c>
      <c r="E84" s="1" t="s">
        <v>350</v>
      </c>
      <c r="F84" s="1" t="s">
        <v>112</v>
      </c>
      <c r="G84" s="1">
        <v>1620425</v>
      </c>
    </row>
    <row r="85" spans="1:7" x14ac:dyDescent="0.3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351</v>
      </c>
      <c r="D85" s="1" t="s">
        <v>352</v>
      </c>
      <c r="E85" s="1" t="s">
        <v>353</v>
      </c>
      <c r="F85" s="1" t="s">
        <v>112</v>
      </c>
      <c r="G85" s="1">
        <v>1133688</v>
      </c>
    </row>
    <row r="86" spans="1:7" x14ac:dyDescent="0.3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6" s="1" t="s">
        <v>354</v>
      </c>
      <c r="D86" s="1" t="s">
        <v>355</v>
      </c>
      <c r="E86" s="1" t="s">
        <v>356</v>
      </c>
      <c r="F86" s="1" t="s">
        <v>112</v>
      </c>
      <c r="G86" s="1">
        <v>1122310</v>
      </c>
    </row>
    <row r="87" spans="1:7" x14ac:dyDescent="0.3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357</v>
      </c>
      <c r="D87" s="1" t="s">
        <v>358</v>
      </c>
      <c r="E87" s="1" t="s">
        <v>359</v>
      </c>
      <c r="F87" s="1" t="s">
        <v>112</v>
      </c>
      <c r="G87" s="1">
        <v>163003</v>
      </c>
    </row>
    <row r="88" spans="1:7" x14ac:dyDescent="0.3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360</v>
      </c>
      <c r="D88" s="1">
        <v>0</v>
      </c>
      <c r="E88" s="1">
        <v>0</v>
      </c>
      <c r="F88" s="1" t="s">
        <v>112</v>
      </c>
      <c r="G88" s="1">
        <v>0</v>
      </c>
    </row>
    <row r="89" spans="1:7" x14ac:dyDescent="0.3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9" s="1" t="s">
        <v>361</v>
      </c>
      <c r="D89" s="1" t="s">
        <v>362</v>
      </c>
      <c r="E89" s="1" t="s">
        <v>363</v>
      </c>
      <c r="F89" s="1" t="s">
        <v>112</v>
      </c>
      <c r="G89" s="1">
        <v>149073</v>
      </c>
    </row>
    <row r="90" spans="1:7" x14ac:dyDescent="0.3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364</v>
      </c>
      <c r="D90" s="1" t="s">
        <v>365</v>
      </c>
      <c r="E90" s="1" t="s">
        <v>366</v>
      </c>
      <c r="F90" s="1" t="s">
        <v>112</v>
      </c>
      <c r="G90" s="1">
        <v>929004</v>
      </c>
    </row>
    <row r="91" spans="1:7" x14ac:dyDescent="0.3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367</v>
      </c>
      <c r="D91" s="1" t="s">
        <v>368</v>
      </c>
      <c r="E91" s="1" t="s">
        <v>369</v>
      </c>
      <c r="F91" s="1" t="s">
        <v>112</v>
      </c>
      <c r="G91" s="1">
        <v>929328</v>
      </c>
    </row>
    <row r="92" spans="1:7" x14ac:dyDescent="0.35">
      <c r="A92" s="1" t="str">
        <f t="shared" si="1"/>
        <v>14</v>
      </c>
      <c r="B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2" s="1" t="s">
        <v>370</v>
      </c>
      <c r="D92" s="1" t="s">
        <v>371</v>
      </c>
      <c r="E92" s="1" t="s">
        <v>372</v>
      </c>
      <c r="F92" s="1" t="s">
        <v>112</v>
      </c>
      <c r="G92" s="1">
        <v>1003389</v>
      </c>
    </row>
    <row r="93" spans="1:7"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112</v>
      </c>
    </row>
    <row r="94" spans="1:7"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4" s="1" t="s">
        <v>233</v>
      </c>
      <c r="D94" s="1" t="s">
        <v>112</v>
      </c>
      <c r="E94" s="1" t="s">
        <v>234</v>
      </c>
      <c r="F94" s="1" t="s">
        <v>235</v>
      </c>
      <c r="G94" s="1" t="s">
        <v>236</v>
      </c>
    </row>
    <row r="95" spans="1:7" x14ac:dyDescent="0.35">
      <c r="A95" s="1" t="str">
        <f t="shared" si="1"/>
        <v>14</v>
      </c>
      <c r="B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5" s="1" t="s">
        <v>373</v>
      </c>
      <c r="D95" s="1" t="s">
        <v>112</v>
      </c>
      <c r="E95" s="1" t="s">
        <v>374</v>
      </c>
      <c r="F95" s="1" t="s">
        <v>375</v>
      </c>
      <c r="G95" s="1" t="s">
        <v>376</v>
      </c>
    </row>
    <row r="96" spans="1:7"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112</v>
      </c>
    </row>
    <row r="101" spans="1:7"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1" s="1" t="s">
        <v>166</v>
      </c>
      <c r="D101" s="1" t="s">
        <v>110</v>
      </c>
      <c r="E101" s="1" t="s">
        <v>111</v>
      </c>
      <c r="F101" s="1" t="s">
        <v>112</v>
      </c>
      <c r="G101" s="1" t="s">
        <v>113</v>
      </c>
    </row>
    <row r="102" spans="1:7" x14ac:dyDescent="0.3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377</v>
      </c>
      <c r="D102" s="1" t="s">
        <v>378</v>
      </c>
      <c r="E102" s="1" t="s">
        <v>379</v>
      </c>
      <c r="F102" s="1" t="s">
        <v>112</v>
      </c>
      <c r="G102" s="1">
        <v>3605941</v>
      </c>
    </row>
    <row r="103" spans="1:7" x14ac:dyDescent="0.3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380</v>
      </c>
      <c r="D103" s="1" t="s">
        <v>381</v>
      </c>
      <c r="E103" s="1" t="s">
        <v>382</v>
      </c>
      <c r="F103" s="1" t="s">
        <v>112</v>
      </c>
      <c r="G103" s="1">
        <v>3846401</v>
      </c>
    </row>
    <row r="104" spans="1:7" x14ac:dyDescent="0.3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4" s="1" t="s">
        <v>383</v>
      </c>
      <c r="D104" s="1" t="s">
        <v>384</v>
      </c>
      <c r="E104" s="1" t="s">
        <v>385</v>
      </c>
      <c r="F104" s="1" t="s">
        <v>112</v>
      </c>
      <c r="G104" s="1">
        <v>3224498</v>
      </c>
    </row>
    <row r="105" spans="1:7" x14ac:dyDescent="0.3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386</v>
      </c>
      <c r="D105" s="1" t="s">
        <v>387</v>
      </c>
      <c r="E105" s="1" t="s">
        <v>388</v>
      </c>
      <c r="F105" s="1" t="s">
        <v>112</v>
      </c>
      <c r="G105" s="1">
        <v>3576849</v>
      </c>
    </row>
    <row r="106" spans="1:7" x14ac:dyDescent="0.3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389</v>
      </c>
      <c r="D106" s="1" t="s">
        <v>390</v>
      </c>
      <c r="E106" s="1" t="s">
        <v>391</v>
      </c>
      <c r="F106" s="1" t="s">
        <v>112</v>
      </c>
      <c r="G106" s="1">
        <v>3743745</v>
      </c>
    </row>
    <row r="107" spans="1:7" x14ac:dyDescent="0.3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7" s="1" t="s">
        <v>392</v>
      </c>
      <c r="D107" s="1" t="s">
        <v>393</v>
      </c>
      <c r="E107" s="1" t="s">
        <v>394</v>
      </c>
      <c r="F107" s="1" t="s">
        <v>112</v>
      </c>
      <c r="G107" s="1">
        <v>4456472</v>
      </c>
    </row>
    <row r="108" spans="1:7" x14ac:dyDescent="0.3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395</v>
      </c>
      <c r="D108" s="1" t="s">
        <v>396</v>
      </c>
      <c r="E108" s="1" t="s">
        <v>397</v>
      </c>
      <c r="F108" s="1" t="s">
        <v>112</v>
      </c>
      <c r="G108" s="1">
        <v>2952892</v>
      </c>
    </row>
    <row r="109" spans="1:7" x14ac:dyDescent="0.3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398</v>
      </c>
      <c r="D109" s="1" t="s">
        <v>329</v>
      </c>
      <c r="E109" s="1" t="s">
        <v>399</v>
      </c>
      <c r="F109" s="1" t="s">
        <v>112</v>
      </c>
      <c r="G109" s="1">
        <v>2997103</v>
      </c>
    </row>
    <row r="110" spans="1:7" x14ac:dyDescent="0.3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0" s="1" t="s">
        <v>400</v>
      </c>
      <c r="D110" s="1" t="s">
        <v>401</v>
      </c>
      <c r="E110" s="1" t="s">
        <v>402</v>
      </c>
      <c r="F110" s="1" t="s">
        <v>112</v>
      </c>
      <c r="G110" s="1">
        <v>2973375</v>
      </c>
    </row>
    <row r="111" spans="1:7" x14ac:dyDescent="0.3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403</v>
      </c>
    </row>
    <row r="112" spans="1:7" x14ac:dyDescent="0.3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404</v>
      </c>
      <c r="D112" s="1" t="s">
        <v>405</v>
      </c>
      <c r="E112" s="1" t="s">
        <v>406</v>
      </c>
      <c r="F112" s="1" t="s">
        <v>112</v>
      </c>
      <c r="G112" s="1">
        <v>2644471</v>
      </c>
    </row>
    <row r="113" spans="1:7" x14ac:dyDescent="0.3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3" s="1" t="s">
        <v>407</v>
      </c>
      <c r="D113" s="1" t="s">
        <v>332</v>
      </c>
      <c r="E113" s="1" t="s">
        <v>408</v>
      </c>
      <c r="F113" s="1" t="s">
        <v>112</v>
      </c>
      <c r="G113" s="1">
        <v>2626129</v>
      </c>
    </row>
    <row r="114" spans="1:7" x14ac:dyDescent="0.3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409</v>
      </c>
      <c r="D114" s="1" t="s">
        <v>410</v>
      </c>
      <c r="E114" s="1" t="s">
        <v>411</v>
      </c>
      <c r="F114" s="1" t="s">
        <v>112</v>
      </c>
      <c r="G114" s="1">
        <v>4035879</v>
      </c>
    </row>
    <row r="115" spans="1:7" x14ac:dyDescent="0.3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412</v>
      </c>
      <c r="D115" s="1" t="s">
        <v>413</v>
      </c>
      <c r="E115" s="1" t="s">
        <v>414</v>
      </c>
      <c r="F115" s="1" t="s">
        <v>112</v>
      </c>
      <c r="G115" s="1">
        <v>4313801</v>
      </c>
    </row>
    <row r="116" spans="1:7" x14ac:dyDescent="0.3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6" s="1" t="s">
        <v>415</v>
      </c>
      <c r="D116" s="1" t="s">
        <v>416</v>
      </c>
      <c r="E116" s="1" t="s">
        <v>417</v>
      </c>
      <c r="F116" s="1" t="s">
        <v>112</v>
      </c>
      <c r="G116" s="1">
        <v>4515998</v>
      </c>
    </row>
    <row r="117" spans="1:7" x14ac:dyDescent="0.3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418</v>
      </c>
      <c r="D117" s="1" t="s">
        <v>419</v>
      </c>
      <c r="E117" s="1" t="s">
        <v>420</v>
      </c>
      <c r="F117" s="1" t="s">
        <v>112</v>
      </c>
      <c r="G117" s="1">
        <v>3562444</v>
      </c>
    </row>
    <row r="118" spans="1:7" x14ac:dyDescent="0.3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421</v>
      </c>
      <c r="D118" s="1" t="s">
        <v>422</v>
      </c>
      <c r="E118" s="1" t="s">
        <v>423</v>
      </c>
      <c r="F118" s="1" t="s">
        <v>112</v>
      </c>
      <c r="G118" s="1">
        <v>3243922</v>
      </c>
    </row>
    <row r="119" spans="1:7" x14ac:dyDescent="0.3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9" s="1" t="s">
        <v>424</v>
      </c>
      <c r="D119" s="1" t="s">
        <v>425</v>
      </c>
      <c r="E119" s="1" t="s">
        <v>426</v>
      </c>
      <c r="F119" s="1" t="s">
        <v>112</v>
      </c>
      <c r="G119" s="1">
        <v>3154720</v>
      </c>
    </row>
    <row r="120" spans="1:7" x14ac:dyDescent="0.3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427</v>
      </c>
      <c r="D120" s="1" t="s">
        <v>428</v>
      </c>
      <c r="E120" s="1" t="s">
        <v>429</v>
      </c>
      <c r="F120" s="1" t="s">
        <v>112</v>
      </c>
      <c r="G120" s="1">
        <v>4279280</v>
      </c>
    </row>
    <row r="121" spans="1:7" x14ac:dyDescent="0.3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430</v>
      </c>
      <c r="D121" s="1" t="s">
        <v>431</v>
      </c>
      <c r="E121" s="1" t="s">
        <v>432</v>
      </c>
      <c r="F121" s="1" t="s">
        <v>112</v>
      </c>
      <c r="G121" s="1">
        <v>4587203</v>
      </c>
    </row>
    <row r="122" spans="1:7" x14ac:dyDescent="0.3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2" s="1" t="s">
        <v>433</v>
      </c>
      <c r="D122" s="1" t="s">
        <v>434</v>
      </c>
      <c r="E122" s="1" t="s">
        <v>435</v>
      </c>
      <c r="F122" s="1" t="s">
        <v>112</v>
      </c>
      <c r="G122" s="1">
        <v>4436702</v>
      </c>
    </row>
    <row r="123" spans="1:7" x14ac:dyDescent="0.3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436</v>
      </c>
      <c r="D123" s="1" t="s">
        <v>437</v>
      </c>
      <c r="E123" s="1" t="s">
        <v>438</v>
      </c>
      <c r="F123" s="1" t="s">
        <v>112</v>
      </c>
      <c r="G123" s="1">
        <v>2617217</v>
      </c>
    </row>
    <row r="124" spans="1:7" x14ac:dyDescent="0.3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439</v>
      </c>
      <c r="D124" s="1" t="s">
        <v>440</v>
      </c>
      <c r="E124" s="1" t="s">
        <v>441</v>
      </c>
      <c r="F124" s="1" t="s">
        <v>112</v>
      </c>
      <c r="G124" s="1">
        <v>2225111</v>
      </c>
    </row>
    <row r="125" spans="1:7" x14ac:dyDescent="0.35">
      <c r="A125" s="1" t="str">
        <f t="shared" si="1"/>
        <v>15</v>
      </c>
      <c r="B1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5" s="1" t="s">
        <v>442</v>
      </c>
      <c r="D125" s="1" t="s">
        <v>443</v>
      </c>
      <c r="E125" s="1" t="s">
        <v>444</v>
      </c>
      <c r="F125" s="1" t="s">
        <v>112</v>
      </c>
      <c r="G125" s="1">
        <v>2047399</v>
      </c>
    </row>
    <row r="126" spans="1:7"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112</v>
      </c>
    </row>
    <row r="127" spans="1:7"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7" s="1" t="s">
        <v>233</v>
      </c>
      <c r="D127" s="1" t="s">
        <v>112</v>
      </c>
      <c r="E127" s="1" t="s">
        <v>234</v>
      </c>
      <c r="F127" s="1" t="s">
        <v>235</v>
      </c>
      <c r="G127" s="1" t="s">
        <v>236</v>
      </c>
    </row>
    <row r="128" spans="1:7" x14ac:dyDescent="0.35">
      <c r="A128" s="1" t="str">
        <f t="shared" si="1"/>
        <v>15</v>
      </c>
      <c r="B1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8" s="1" t="s">
        <v>445</v>
      </c>
      <c r="D128" s="1" t="s">
        <v>112</v>
      </c>
      <c r="E128" s="1" t="s">
        <v>446</v>
      </c>
      <c r="F128" s="1" t="s">
        <v>447</v>
      </c>
      <c r="G128" s="1" t="s">
        <v>448</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112</v>
      </c>
    </row>
    <row r="134" spans="1:7"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4" s="1" t="s">
        <v>166</v>
      </c>
      <c r="D134" s="1" t="s">
        <v>110</v>
      </c>
      <c r="E134" s="1" t="s">
        <v>111</v>
      </c>
      <c r="F134" s="1" t="s">
        <v>112</v>
      </c>
      <c r="G134" s="1" t="s">
        <v>113</v>
      </c>
    </row>
    <row r="135" spans="1:7" x14ac:dyDescent="0.3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449</v>
      </c>
      <c r="D135" s="1">
        <v>0</v>
      </c>
      <c r="E135" s="1">
        <v>0</v>
      </c>
      <c r="F135" s="1" t="s">
        <v>112</v>
      </c>
      <c r="G135" s="1">
        <v>0</v>
      </c>
    </row>
    <row r="136" spans="1:7" x14ac:dyDescent="0.3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450</v>
      </c>
      <c r="D136" s="1">
        <v>0</v>
      </c>
      <c r="E136" s="1">
        <v>0</v>
      </c>
      <c r="F136" s="1" t="s">
        <v>112</v>
      </c>
      <c r="G136" s="1">
        <v>0</v>
      </c>
    </row>
    <row r="137" spans="1:7" x14ac:dyDescent="0.3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7" s="1" t="s">
        <v>451</v>
      </c>
      <c r="D137" s="1" t="s">
        <v>452</v>
      </c>
      <c r="E137" s="1">
        <v>30</v>
      </c>
      <c r="F137" s="1" t="s">
        <v>112</v>
      </c>
      <c r="G137" s="1">
        <v>649</v>
      </c>
    </row>
    <row r="138" spans="1:7" x14ac:dyDescent="0.3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453</v>
      </c>
      <c r="D138" s="1" t="s">
        <v>454</v>
      </c>
      <c r="E138" s="1" t="s">
        <v>455</v>
      </c>
      <c r="F138" s="1" t="s">
        <v>112</v>
      </c>
      <c r="G138" s="1">
        <v>10642</v>
      </c>
    </row>
    <row r="139" spans="1:7" x14ac:dyDescent="0.3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456</v>
      </c>
      <c r="D139" s="1" t="s">
        <v>457</v>
      </c>
      <c r="E139" s="1" t="s">
        <v>458</v>
      </c>
      <c r="F139" s="1" t="s">
        <v>112</v>
      </c>
      <c r="G139" s="1">
        <v>139945</v>
      </c>
    </row>
    <row r="140" spans="1:7" x14ac:dyDescent="0.3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40" s="1" t="s">
        <v>459</v>
      </c>
      <c r="D140" s="1" t="s">
        <v>147</v>
      </c>
      <c r="E140" s="1" t="s">
        <v>460</v>
      </c>
      <c r="F140" s="1" t="s">
        <v>112</v>
      </c>
      <c r="G140" s="1">
        <v>181821</v>
      </c>
    </row>
    <row r="141" spans="1:7" x14ac:dyDescent="0.3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461</v>
      </c>
      <c r="D141" s="1" t="s">
        <v>462</v>
      </c>
      <c r="E141" s="1" t="s">
        <v>463</v>
      </c>
      <c r="F141" s="1" t="s">
        <v>112</v>
      </c>
      <c r="G141" s="1">
        <v>139232</v>
      </c>
    </row>
    <row r="142" spans="1:7" x14ac:dyDescent="0.3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464</v>
      </c>
      <c r="D142" s="1" t="s">
        <v>465</v>
      </c>
      <c r="E142" s="1" t="s">
        <v>466</v>
      </c>
      <c r="F142" s="1" t="s">
        <v>112</v>
      </c>
      <c r="G142" s="1">
        <v>243250</v>
      </c>
    </row>
    <row r="143" spans="1:7" x14ac:dyDescent="0.3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3" s="1" t="s">
        <v>467</v>
      </c>
      <c r="D143" s="1" t="s">
        <v>468</v>
      </c>
      <c r="E143" s="1" t="s">
        <v>469</v>
      </c>
      <c r="F143" s="1" t="s">
        <v>112</v>
      </c>
      <c r="G143" s="1">
        <v>184827</v>
      </c>
    </row>
    <row r="144" spans="1:7" x14ac:dyDescent="0.3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470</v>
      </c>
      <c r="D144" s="1" t="s">
        <v>471</v>
      </c>
      <c r="E144" s="1" t="s">
        <v>472</v>
      </c>
      <c r="F144" s="1" t="s">
        <v>112</v>
      </c>
      <c r="G144" s="1">
        <v>154870</v>
      </c>
    </row>
    <row r="145" spans="1:7" x14ac:dyDescent="0.3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473</v>
      </c>
      <c r="D145" s="1" t="s">
        <v>474</v>
      </c>
      <c r="E145" s="1" t="s">
        <v>475</v>
      </c>
      <c r="F145" s="1" t="s">
        <v>112</v>
      </c>
      <c r="G145" s="1">
        <v>372121</v>
      </c>
    </row>
    <row r="146" spans="1:7" x14ac:dyDescent="0.3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6" s="1" t="s">
        <v>476</v>
      </c>
      <c r="D146" s="1" t="s">
        <v>477</v>
      </c>
      <c r="E146" s="1" t="s">
        <v>478</v>
      </c>
      <c r="F146" s="1" t="s">
        <v>112</v>
      </c>
      <c r="G146" s="1">
        <v>212730</v>
      </c>
    </row>
    <row r="147" spans="1:7" x14ac:dyDescent="0.3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479</v>
      </c>
      <c r="D147" s="1" t="s">
        <v>480</v>
      </c>
      <c r="E147" s="1" t="s">
        <v>481</v>
      </c>
      <c r="F147" s="1" t="s">
        <v>112</v>
      </c>
      <c r="G147" s="1">
        <v>17780</v>
      </c>
    </row>
    <row r="148" spans="1:7" x14ac:dyDescent="0.3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482</v>
      </c>
      <c r="D148" s="1" t="s">
        <v>483</v>
      </c>
      <c r="E148" s="1" t="s">
        <v>484</v>
      </c>
      <c r="F148" s="1" t="s">
        <v>112</v>
      </c>
      <c r="G148" s="1">
        <v>160559</v>
      </c>
    </row>
    <row r="149" spans="1:7" x14ac:dyDescent="0.3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9" s="1" t="s">
        <v>485</v>
      </c>
      <c r="D149" s="1" t="s">
        <v>486</v>
      </c>
      <c r="E149" s="1" t="s">
        <v>487</v>
      </c>
      <c r="F149" s="1" t="s">
        <v>112</v>
      </c>
      <c r="G149" s="1">
        <v>137307</v>
      </c>
    </row>
    <row r="150" spans="1:7" x14ac:dyDescent="0.3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488</v>
      </c>
      <c r="D150" s="1" t="s">
        <v>489</v>
      </c>
      <c r="E150" s="1" t="s">
        <v>490</v>
      </c>
      <c r="F150" s="1" t="s">
        <v>112</v>
      </c>
      <c r="G150" s="1">
        <v>405323</v>
      </c>
    </row>
    <row r="151" spans="1:7" x14ac:dyDescent="0.3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491</v>
      </c>
      <c r="D151" s="1" t="s">
        <v>492</v>
      </c>
      <c r="E151" s="1" t="s">
        <v>493</v>
      </c>
      <c r="F151" s="1" t="s">
        <v>112</v>
      </c>
      <c r="G151" s="1">
        <v>239681</v>
      </c>
    </row>
    <row r="152" spans="1:7" x14ac:dyDescent="0.3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2" s="1" t="s">
        <v>494</v>
      </c>
      <c r="D152" s="1" t="s">
        <v>495</v>
      </c>
      <c r="E152" s="1" t="s">
        <v>496</v>
      </c>
      <c r="F152" s="1" t="s">
        <v>112</v>
      </c>
      <c r="G152" s="1">
        <v>214677</v>
      </c>
    </row>
    <row r="153" spans="1:7" x14ac:dyDescent="0.3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497</v>
      </c>
      <c r="D153" s="1" t="s">
        <v>498</v>
      </c>
      <c r="E153" s="1" t="s">
        <v>499</v>
      </c>
      <c r="F153" s="1" t="s">
        <v>112</v>
      </c>
      <c r="G153" s="1">
        <v>367730</v>
      </c>
    </row>
    <row r="154" spans="1:7" x14ac:dyDescent="0.3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500</v>
      </c>
      <c r="D154" s="1" t="s">
        <v>501</v>
      </c>
      <c r="E154" s="1" t="s">
        <v>502</v>
      </c>
      <c r="F154" s="1" t="s">
        <v>112</v>
      </c>
      <c r="G154" s="1">
        <v>337621</v>
      </c>
    </row>
    <row r="155" spans="1:7" x14ac:dyDescent="0.3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5" s="1" t="s">
        <v>503</v>
      </c>
      <c r="D155" s="1" t="s">
        <v>504</v>
      </c>
      <c r="E155" s="1" t="s">
        <v>505</v>
      </c>
      <c r="F155" s="1" t="s">
        <v>112</v>
      </c>
      <c r="G155" s="1">
        <v>190970</v>
      </c>
    </row>
    <row r="156" spans="1:7" x14ac:dyDescent="0.3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506</v>
      </c>
      <c r="D156" s="1" t="s">
        <v>507</v>
      </c>
      <c r="E156" s="1" t="s">
        <v>508</v>
      </c>
      <c r="F156" s="1" t="s">
        <v>112</v>
      </c>
      <c r="G156" s="1">
        <v>176824</v>
      </c>
    </row>
    <row r="157" spans="1:7" x14ac:dyDescent="0.3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509</v>
      </c>
      <c r="D157" s="1" t="s">
        <v>510</v>
      </c>
      <c r="E157" s="1" t="s">
        <v>511</v>
      </c>
      <c r="F157" s="1" t="s">
        <v>112</v>
      </c>
      <c r="G157" s="1">
        <v>416440</v>
      </c>
    </row>
    <row r="158" spans="1:7" x14ac:dyDescent="0.35">
      <c r="A158" s="1" t="str">
        <f t="shared" si="2"/>
        <v>16</v>
      </c>
      <c r="B1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8" s="1" t="s">
        <v>512</v>
      </c>
      <c r="D158" s="1" t="s">
        <v>195</v>
      </c>
      <c r="E158" s="1" t="s">
        <v>513</v>
      </c>
      <c r="F158" s="1" t="s">
        <v>112</v>
      </c>
      <c r="G158" s="1">
        <v>102439</v>
      </c>
    </row>
    <row r="159" spans="1:7"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112</v>
      </c>
    </row>
    <row r="160" spans="1:7"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0" s="1" t="s">
        <v>233</v>
      </c>
      <c r="D160" s="1" t="s">
        <v>112</v>
      </c>
      <c r="E160" s="1" t="s">
        <v>234</v>
      </c>
      <c r="F160" s="1" t="s">
        <v>235</v>
      </c>
      <c r="G160" s="1" t="s">
        <v>236</v>
      </c>
    </row>
    <row r="161" spans="1:7" x14ac:dyDescent="0.35">
      <c r="A161" s="1" t="str">
        <f t="shared" si="2"/>
        <v>16</v>
      </c>
      <c r="B1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1" s="1" t="s">
        <v>514</v>
      </c>
      <c r="D161" s="1" t="s">
        <v>112</v>
      </c>
      <c r="E161" s="1" t="s">
        <v>515</v>
      </c>
      <c r="F161" s="1" t="s">
        <v>516</v>
      </c>
      <c r="G161" s="1" t="s">
        <v>517</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112</v>
      </c>
    </row>
    <row r="167" spans="1:7"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7" s="1" t="s">
        <v>166</v>
      </c>
      <c r="D167" s="1" t="s">
        <v>110</v>
      </c>
      <c r="E167" s="1" t="s">
        <v>111</v>
      </c>
      <c r="F167" s="1" t="s">
        <v>112</v>
      </c>
      <c r="G167" s="1" t="s">
        <v>113</v>
      </c>
    </row>
    <row r="168" spans="1:7" x14ac:dyDescent="0.3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518</v>
      </c>
      <c r="D168" s="1" t="s">
        <v>519</v>
      </c>
      <c r="E168" s="1" t="s">
        <v>520</v>
      </c>
      <c r="F168" s="1" t="s">
        <v>112</v>
      </c>
      <c r="G168" s="1">
        <v>30606</v>
      </c>
    </row>
    <row r="169" spans="1:7" x14ac:dyDescent="0.3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521</v>
      </c>
      <c r="D169" s="1" t="s">
        <v>522</v>
      </c>
      <c r="E169" s="1" t="s">
        <v>523</v>
      </c>
      <c r="F169" s="1" t="s">
        <v>112</v>
      </c>
      <c r="G169" s="1">
        <v>31558</v>
      </c>
    </row>
    <row r="170" spans="1:7" x14ac:dyDescent="0.3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70" s="1" t="s">
        <v>524</v>
      </c>
      <c r="D170" s="1" t="s">
        <v>245</v>
      </c>
      <c r="E170" s="1" t="s">
        <v>525</v>
      </c>
      <c r="F170" s="1" t="s">
        <v>112</v>
      </c>
      <c r="G170" s="1">
        <v>50809</v>
      </c>
    </row>
    <row r="171" spans="1:7" x14ac:dyDescent="0.3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526</v>
      </c>
      <c r="D171" s="1" t="s">
        <v>527</v>
      </c>
      <c r="E171" s="1" t="s">
        <v>528</v>
      </c>
      <c r="F171" s="1" t="s">
        <v>112</v>
      </c>
      <c r="G171" s="1">
        <v>234122</v>
      </c>
    </row>
    <row r="172" spans="1:7" x14ac:dyDescent="0.3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529</v>
      </c>
      <c r="D172" s="1" t="s">
        <v>530</v>
      </c>
      <c r="E172" s="1" t="s">
        <v>531</v>
      </c>
      <c r="F172" s="1" t="s">
        <v>112</v>
      </c>
      <c r="G172" s="1">
        <v>426022</v>
      </c>
    </row>
    <row r="173" spans="1:7" x14ac:dyDescent="0.3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3" s="1" t="s">
        <v>532</v>
      </c>
      <c r="D173" s="1" t="s">
        <v>533</v>
      </c>
      <c r="E173" s="1" t="s">
        <v>534</v>
      </c>
      <c r="F173" s="1" t="s">
        <v>112</v>
      </c>
      <c r="G173" s="1">
        <v>372142</v>
      </c>
    </row>
    <row r="174" spans="1:7" x14ac:dyDescent="0.3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535</v>
      </c>
      <c r="D174" s="1" t="s">
        <v>536</v>
      </c>
      <c r="E174" s="1" t="s">
        <v>537</v>
      </c>
      <c r="F174" s="1" t="s">
        <v>112</v>
      </c>
      <c r="G174" s="1">
        <v>328277</v>
      </c>
    </row>
    <row r="175" spans="1:7" x14ac:dyDescent="0.3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538</v>
      </c>
      <c r="D175" s="1" t="s">
        <v>539</v>
      </c>
      <c r="E175" s="1" t="s">
        <v>540</v>
      </c>
      <c r="F175" s="1" t="s">
        <v>112</v>
      </c>
      <c r="G175" s="1">
        <v>439217</v>
      </c>
    </row>
    <row r="176" spans="1:7" x14ac:dyDescent="0.3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6" s="1" t="s">
        <v>541</v>
      </c>
      <c r="D176" s="1" t="s">
        <v>542</v>
      </c>
      <c r="E176" s="1" t="s">
        <v>543</v>
      </c>
      <c r="F176" s="1" t="s">
        <v>112</v>
      </c>
      <c r="G176" s="1">
        <v>407464</v>
      </c>
    </row>
    <row r="177" spans="1:7" x14ac:dyDescent="0.3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544</v>
      </c>
      <c r="D177" s="1" t="s">
        <v>545</v>
      </c>
      <c r="E177" s="1" t="s">
        <v>546</v>
      </c>
      <c r="F177" s="1" t="s">
        <v>112</v>
      </c>
      <c r="G177" s="1">
        <v>81026</v>
      </c>
    </row>
    <row r="178" spans="1:7" x14ac:dyDescent="0.3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547</v>
      </c>
    </row>
    <row r="179" spans="1:7" x14ac:dyDescent="0.3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9" s="1" t="s">
        <v>548</v>
      </c>
    </row>
    <row r="180" spans="1:7" x14ac:dyDescent="0.3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549</v>
      </c>
      <c r="D180" s="1" t="s">
        <v>550</v>
      </c>
      <c r="E180" s="1" t="s">
        <v>551</v>
      </c>
      <c r="F180" s="1" t="s">
        <v>112</v>
      </c>
      <c r="G180" s="1">
        <v>107068</v>
      </c>
    </row>
    <row r="181" spans="1:7" x14ac:dyDescent="0.3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552</v>
      </c>
      <c r="D181" s="1" t="s">
        <v>553</v>
      </c>
      <c r="E181" s="1" t="s">
        <v>554</v>
      </c>
      <c r="F181" s="1" t="s">
        <v>112</v>
      </c>
      <c r="G181" s="1">
        <v>269682</v>
      </c>
    </row>
    <row r="182" spans="1:7" x14ac:dyDescent="0.3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2" s="1" t="s">
        <v>555</v>
      </c>
      <c r="D182" s="1" t="s">
        <v>201</v>
      </c>
      <c r="E182" s="1" t="s">
        <v>556</v>
      </c>
      <c r="F182" s="1" t="s">
        <v>112</v>
      </c>
      <c r="G182" s="1">
        <v>307231</v>
      </c>
    </row>
    <row r="183" spans="1:7" x14ac:dyDescent="0.3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557</v>
      </c>
      <c r="D183" s="1" t="s">
        <v>558</v>
      </c>
      <c r="E183" s="1" t="s">
        <v>559</v>
      </c>
      <c r="F183" s="1" t="s">
        <v>112</v>
      </c>
      <c r="G183" s="1">
        <v>70989</v>
      </c>
    </row>
    <row r="184" spans="1:7" x14ac:dyDescent="0.3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560</v>
      </c>
      <c r="D184" s="1" t="s">
        <v>195</v>
      </c>
      <c r="E184" s="1" t="s">
        <v>561</v>
      </c>
      <c r="F184" s="1" t="s">
        <v>112</v>
      </c>
      <c r="G184" s="1">
        <v>101076</v>
      </c>
    </row>
    <row r="185" spans="1:7" x14ac:dyDescent="0.3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5" s="1" t="s">
        <v>562</v>
      </c>
      <c r="D185" s="1" t="s">
        <v>563</v>
      </c>
      <c r="E185" s="1" t="s">
        <v>564</v>
      </c>
      <c r="F185" s="1" t="s">
        <v>112</v>
      </c>
      <c r="G185" s="1">
        <v>150522</v>
      </c>
    </row>
    <row r="186" spans="1:7" x14ac:dyDescent="0.3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565</v>
      </c>
      <c r="D186" s="1" t="s">
        <v>566</v>
      </c>
      <c r="E186" s="1" t="s">
        <v>567</v>
      </c>
      <c r="F186" s="1" t="s">
        <v>112</v>
      </c>
      <c r="G186" s="1">
        <v>239789</v>
      </c>
    </row>
    <row r="187" spans="1:7" x14ac:dyDescent="0.3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568</v>
      </c>
      <c r="D187" s="1" t="s">
        <v>569</v>
      </c>
      <c r="E187" s="1" t="s">
        <v>570</v>
      </c>
      <c r="F187" s="1" t="s">
        <v>112</v>
      </c>
      <c r="G187" s="1">
        <v>189197</v>
      </c>
    </row>
    <row r="188" spans="1:7" x14ac:dyDescent="0.3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8" s="1" t="s">
        <v>571</v>
      </c>
      <c r="D188" s="1" t="s">
        <v>572</v>
      </c>
      <c r="E188" s="1" t="s">
        <v>573</v>
      </c>
      <c r="F188" s="1" t="s">
        <v>112</v>
      </c>
      <c r="G188" s="1">
        <v>163695</v>
      </c>
    </row>
    <row r="189" spans="1:7" x14ac:dyDescent="0.3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574</v>
      </c>
      <c r="D189" s="1" t="s">
        <v>575</v>
      </c>
      <c r="E189" s="1" t="s">
        <v>576</v>
      </c>
      <c r="F189" s="1" t="s">
        <v>112</v>
      </c>
      <c r="G189" s="1">
        <v>79620</v>
      </c>
    </row>
    <row r="190" spans="1:7" x14ac:dyDescent="0.3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577</v>
      </c>
      <c r="D190" s="1" t="s">
        <v>578</v>
      </c>
      <c r="E190" s="1" t="s">
        <v>579</v>
      </c>
      <c r="F190" s="1" t="s">
        <v>112</v>
      </c>
      <c r="G190" s="1">
        <v>177279</v>
      </c>
    </row>
    <row r="191" spans="1:7" x14ac:dyDescent="0.35">
      <c r="A191" s="1" t="str">
        <f t="shared" si="2"/>
        <v>2</v>
      </c>
      <c r="B1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1" s="1" t="s">
        <v>580</v>
      </c>
      <c r="D191" s="1" t="s">
        <v>581</v>
      </c>
      <c r="E191" s="1" t="s">
        <v>582</v>
      </c>
      <c r="F191" s="1" t="s">
        <v>112</v>
      </c>
      <c r="G191" s="1">
        <v>84811</v>
      </c>
    </row>
    <row r="192" spans="1:7"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112</v>
      </c>
    </row>
    <row r="193" spans="1:7"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3" s="1" t="s">
        <v>233</v>
      </c>
      <c r="D193" s="1" t="s">
        <v>112</v>
      </c>
      <c r="E193" s="1" t="s">
        <v>234</v>
      </c>
      <c r="F193" s="1" t="s">
        <v>235</v>
      </c>
      <c r="G193" s="1" t="s">
        <v>236</v>
      </c>
    </row>
    <row r="194" spans="1:7" x14ac:dyDescent="0.35">
      <c r="A194" s="1" t="str">
        <f t="shared" ref="A194:A257" si="3">IFERROR(LEFT(RIGHT(C194,LEN(C194)-SEARCH("@",C194)),SEARCH("/",RIGHT(C194,LEN(C194)-SEARCH("@",C194)-1))),"")</f>
        <v>2</v>
      </c>
      <c r="B1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4" s="1" t="s">
        <v>583</v>
      </c>
      <c r="D194" s="1" t="s">
        <v>112</v>
      </c>
      <c r="E194" s="1" t="s">
        <v>584</v>
      </c>
      <c r="F194" s="1" t="s">
        <v>585</v>
      </c>
      <c r="G194" s="1" t="s">
        <v>586</v>
      </c>
    </row>
    <row r="195" spans="1:7"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7"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7"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7"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7"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112</v>
      </c>
    </row>
    <row r="200" spans="1:7"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0" s="1" t="s">
        <v>166</v>
      </c>
      <c r="D200" s="1" t="s">
        <v>110</v>
      </c>
      <c r="E200" s="1" t="s">
        <v>111</v>
      </c>
      <c r="F200" s="1" t="s">
        <v>112</v>
      </c>
      <c r="G200" s="1" t="s">
        <v>113</v>
      </c>
    </row>
    <row r="201" spans="1:7" x14ac:dyDescent="0.3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587</v>
      </c>
      <c r="D201" s="1" t="s">
        <v>588</v>
      </c>
      <c r="E201" s="1" t="s">
        <v>223</v>
      </c>
      <c r="F201" s="1" t="s">
        <v>112</v>
      </c>
      <c r="G201" s="1">
        <v>18494</v>
      </c>
    </row>
    <row r="202" spans="1:7" x14ac:dyDescent="0.3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589</v>
      </c>
      <c r="D202" s="1" t="s">
        <v>590</v>
      </c>
      <c r="E202" s="1" t="s">
        <v>591</v>
      </c>
      <c r="F202" s="1" t="s">
        <v>112</v>
      </c>
      <c r="G202" s="1">
        <v>90824</v>
      </c>
    </row>
    <row r="203" spans="1:7" x14ac:dyDescent="0.3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3" s="1" t="s">
        <v>592</v>
      </c>
      <c r="D203" s="1" t="s">
        <v>593</v>
      </c>
      <c r="E203" s="1" t="s">
        <v>594</v>
      </c>
      <c r="F203" s="1" t="s">
        <v>112</v>
      </c>
      <c r="G203" s="1">
        <v>21608</v>
      </c>
    </row>
    <row r="204" spans="1:7" x14ac:dyDescent="0.3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595</v>
      </c>
      <c r="D204" s="1" t="s">
        <v>222</v>
      </c>
      <c r="E204" s="1" t="s">
        <v>596</v>
      </c>
      <c r="F204" s="1" t="s">
        <v>112</v>
      </c>
      <c r="G204" s="1">
        <v>2033</v>
      </c>
    </row>
    <row r="205" spans="1:7" x14ac:dyDescent="0.3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597</v>
      </c>
      <c r="D205" s="1" t="s">
        <v>598</v>
      </c>
      <c r="E205" s="1" t="s">
        <v>599</v>
      </c>
      <c r="F205" s="1" t="s">
        <v>112</v>
      </c>
      <c r="G205" s="1">
        <v>7895</v>
      </c>
    </row>
    <row r="206" spans="1:7" x14ac:dyDescent="0.3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6" s="1" t="s">
        <v>600</v>
      </c>
      <c r="D206" s="1" t="s">
        <v>601</v>
      </c>
      <c r="E206" s="1" t="s">
        <v>602</v>
      </c>
      <c r="F206" s="1" t="s">
        <v>112</v>
      </c>
      <c r="G206" s="1">
        <v>117796</v>
      </c>
    </row>
    <row r="207" spans="1:7" x14ac:dyDescent="0.3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603</v>
      </c>
      <c r="D207" s="1" t="s">
        <v>604</v>
      </c>
      <c r="E207" s="1" t="s">
        <v>605</v>
      </c>
      <c r="F207" s="1" t="s">
        <v>112</v>
      </c>
      <c r="G207" s="1">
        <v>81977</v>
      </c>
    </row>
    <row r="208" spans="1:7" x14ac:dyDescent="0.3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606</v>
      </c>
      <c r="D208" s="1" t="s">
        <v>607</v>
      </c>
      <c r="E208" s="1" t="s">
        <v>608</v>
      </c>
      <c r="F208" s="1" t="s">
        <v>112</v>
      </c>
      <c r="G208" s="1">
        <v>193263</v>
      </c>
    </row>
    <row r="209" spans="1:7" x14ac:dyDescent="0.3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9" s="1" t="s">
        <v>609</v>
      </c>
      <c r="D209" s="1" t="s">
        <v>226</v>
      </c>
      <c r="E209" s="1" t="s">
        <v>610</v>
      </c>
      <c r="F209" s="1" t="s">
        <v>112</v>
      </c>
      <c r="G209" s="1">
        <v>6186</v>
      </c>
    </row>
    <row r="210" spans="1:7" x14ac:dyDescent="0.3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611</v>
      </c>
      <c r="D210" s="1" t="s">
        <v>612</v>
      </c>
      <c r="E210" s="1" t="s">
        <v>613</v>
      </c>
      <c r="F210" s="1" t="s">
        <v>112</v>
      </c>
      <c r="G210" s="1">
        <v>52301</v>
      </c>
    </row>
    <row r="211" spans="1:7" x14ac:dyDescent="0.3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614</v>
      </c>
      <c r="D211" s="1" t="s">
        <v>615</v>
      </c>
      <c r="E211" s="1" t="s">
        <v>616</v>
      </c>
      <c r="F211" s="1" t="s">
        <v>112</v>
      </c>
      <c r="G211" s="1">
        <v>32661</v>
      </c>
    </row>
    <row r="212" spans="1:7" x14ac:dyDescent="0.3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2" s="1" t="s">
        <v>617</v>
      </c>
      <c r="D212" s="1" t="s">
        <v>612</v>
      </c>
      <c r="E212" s="1" t="s">
        <v>618</v>
      </c>
      <c r="F212" s="1" t="s">
        <v>112</v>
      </c>
      <c r="G212" s="1">
        <v>53815</v>
      </c>
    </row>
    <row r="213" spans="1:7" x14ac:dyDescent="0.3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619</v>
      </c>
      <c r="D213" s="1">
        <v>0</v>
      </c>
      <c r="E213" s="1">
        <v>0</v>
      </c>
      <c r="F213" s="1" t="s">
        <v>112</v>
      </c>
      <c r="G213" s="1">
        <v>0</v>
      </c>
    </row>
    <row r="214" spans="1:7" x14ac:dyDescent="0.3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620</v>
      </c>
      <c r="D214" s="1" t="s">
        <v>452</v>
      </c>
      <c r="E214" s="1">
        <v>30</v>
      </c>
      <c r="F214" s="1" t="s">
        <v>112</v>
      </c>
      <c r="G214" s="1">
        <v>649</v>
      </c>
    </row>
    <row r="215" spans="1:7" x14ac:dyDescent="0.3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5" s="1" t="s">
        <v>621</v>
      </c>
      <c r="D215" s="1" t="s">
        <v>452</v>
      </c>
      <c r="E215" s="1">
        <v>31</v>
      </c>
      <c r="F215" s="1" t="s">
        <v>112</v>
      </c>
      <c r="G215" s="1">
        <v>671</v>
      </c>
    </row>
    <row r="216" spans="1:7" x14ac:dyDescent="0.3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622</v>
      </c>
      <c r="D216" s="1" t="s">
        <v>623</v>
      </c>
      <c r="E216" s="1" t="s">
        <v>624</v>
      </c>
      <c r="F216" s="1" t="s">
        <v>112</v>
      </c>
      <c r="G216" s="1">
        <v>26367</v>
      </c>
    </row>
    <row r="217" spans="1:7" x14ac:dyDescent="0.3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625</v>
      </c>
      <c r="D217" s="1" t="s">
        <v>245</v>
      </c>
      <c r="E217" s="1" t="s">
        <v>626</v>
      </c>
      <c r="F217" s="1" t="s">
        <v>112</v>
      </c>
      <c r="G217" s="1">
        <v>51414</v>
      </c>
    </row>
    <row r="218" spans="1:7" x14ac:dyDescent="0.3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8" s="1" t="s">
        <v>627</v>
      </c>
      <c r="D218" s="1" t="s">
        <v>628</v>
      </c>
      <c r="E218" s="1" t="s">
        <v>629</v>
      </c>
      <c r="F218" s="1" t="s">
        <v>112</v>
      </c>
      <c r="G218" s="1">
        <v>158158</v>
      </c>
    </row>
    <row r="219" spans="1:7" x14ac:dyDescent="0.3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630</v>
      </c>
      <c r="D219" s="1" t="s">
        <v>631</v>
      </c>
      <c r="E219" s="1" t="s">
        <v>632</v>
      </c>
      <c r="F219" s="1" t="s">
        <v>112</v>
      </c>
      <c r="G219" s="1">
        <v>339827</v>
      </c>
    </row>
    <row r="220" spans="1:7" x14ac:dyDescent="0.3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633</v>
      </c>
      <c r="D220" s="1" t="s">
        <v>634</v>
      </c>
      <c r="E220" s="1" t="s">
        <v>635</v>
      </c>
      <c r="F220" s="1" t="s">
        <v>112</v>
      </c>
      <c r="G220" s="1">
        <v>289905</v>
      </c>
    </row>
    <row r="221" spans="1:7" x14ac:dyDescent="0.3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1" s="1" t="s">
        <v>636</v>
      </c>
      <c r="D221" s="1" t="s">
        <v>637</v>
      </c>
      <c r="E221" s="1" t="s">
        <v>638</v>
      </c>
      <c r="F221" s="1" t="s">
        <v>112</v>
      </c>
      <c r="G221" s="1">
        <v>58639</v>
      </c>
    </row>
    <row r="222" spans="1:7" x14ac:dyDescent="0.3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639</v>
      </c>
      <c r="D222" s="1" t="s">
        <v>640</v>
      </c>
      <c r="E222" s="1" t="s">
        <v>641</v>
      </c>
      <c r="F222" s="1" t="s">
        <v>112</v>
      </c>
      <c r="G222" s="1">
        <v>480681</v>
      </c>
    </row>
    <row r="223" spans="1:7" x14ac:dyDescent="0.3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642</v>
      </c>
      <c r="D223" s="1">
        <v>0</v>
      </c>
      <c r="E223" s="1">
        <v>0</v>
      </c>
      <c r="F223" s="1" t="s">
        <v>112</v>
      </c>
      <c r="G223" s="1">
        <v>0</v>
      </c>
    </row>
    <row r="224" spans="1:7" x14ac:dyDescent="0.35">
      <c r="A224" s="1" t="str">
        <f t="shared" si="3"/>
        <v>3</v>
      </c>
      <c r="B2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4" s="1" t="s">
        <v>643</v>
      </c>
      <c r="D224" s="1" t="s">
        <v>644</v>
      </c>
      <c r="E224" s="1" t="s">
        <v>645</v>
      </c>
      <c r="F224" s="1" t="s">
        <v>112</v>
      </c>
      <c r="G224" s="1">
        <v>195556</v>
      </c>
    </row>
    <row r="225" spans="1:7"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112</v>
      </c>
    </row>
    <row r="226" spans="1:7"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6" s="1" t="s">
        <v>233</v>
      </c>
      <c r="D226" s="1" t="s">
        <v>112</v>
      </c>
      <c r="E226" s="1" t="s">
        <v>234</v>
      </c>
      <c r="F226" s="1" t="s">
        <v>235</v>
      </c>
      <c r="G226" s="1" t="s">
        <v>236</v>
      </c>
    </row>
    <row r="227" spans="1:7" x14ac:dyDescent="0.35">
      <c r="A227" s="1" t="str">
        <f t="shared" si="3"/>
        <v>3</v>
      </c>
      <c r="B2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7" s="1" t="s">
        <v>646</v>
      </c>
      <c r="D227" s="1" t="s">
        <v>112</v>
      </c>
      <c r="E227" s="1" t="s">
        <v>647</v>
      </c>
      <c r="F227" s="1" t="s">
        <v>648</v>
      </c>
      <c r="G227" s="1">
        <v>95030</v>
      </c>
    </row>
    <row r="228" spans="1:7"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7"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7"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7"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7"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112</v>
      </c>
    </row>
    <row r="233" spans="1:7"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3" s="1" t="s">
        <v>166</v>
      </c>
      <c r="D233" s="1" t="s">
        <v>110</v>
      </c>
      <c r="E233" s="1" t="s">
        <v>111</v>
      </c>
      <c r="F233" s="1" t="s">
        <v>112</v>
      </c>
      <c r="G233" s="1" t="s">
        <v>113</v>
      </c>
    </row>
    <row r="234" spans="1:7" x14ac:dyDescent="0.3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649</v>
      </c>
      <c r="D234" s="1" t="s">
        <v>650</v>
      </c>
      <c r="E234" s="1" t="s">
        <v>651</v>
      </c>
      <c r="F234" s="1" t="s">
        <v>112</v>
      </c>
      <c r="G234" s="1">
        <v>232197</v>
      </c>
    </row>
    <row r="235" spans="1:7" x14ac:dyDescent="0.3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652</v>
      </c>
      <c r="D235" s="1" t="s">
        <v>653</v>
      </c>
      <c r="E235" s="1" t="s">
        <v>654</v>
      </c>
      <c r="F235" s="1" t="s">
        <v>112</v>
      </c>
      <c r="G235" s="1">
        <v>73953</v>
      </c>
    </row>
    <row r="236" spans="1:7" x14ac:dyDescent="0.3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6" s="1" t="s">
        <v>655</v>
      </c>
      <c r="D236" s="1" t="s">
        <v>656</v>
      </c>
      <c r="E236" s="1" t="s">
        <v>657</v>
      </c>
      <c r="F236" s="1" t="s">
        <v>112</v>
      </c>
      <c r="G236" s="1">
        <v>180134</v>
      </c>
    </row>
    <row r="237" spans="1:7" x14ac:dyDescent="0.3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658</v>
      </c>
      <c r="D237" s="1" t="s">
        <v>659</v>
      </c>
      <c r="E237" s="1" t="s">
        <v>660</v>
      </c>
      <c r="F237" s="1" t="s">
        <v>112</v>
      </c>
      <c r="G237" s="1">
        <v>1022056</v>
      </c>
    </row>
    <row r="238" spans="1:7" x14ac:dyDescent="0.3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661</v>
      </c>
      <c r="D238" s="1" t="s">
        <v>662</v>
      </c>
      <c r="E238" s="1" t="s">
        <v>663</v>
      </c>
      <c r="F238" s="1" t="s">
        <v>112</v>
      </c>
      <c r="G238" s="1">
        <v>1313692</v>
      </c>
    </row>
    <row r="239" spans="1:7" x14ac:dyDescent="0.3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9" s="1" t="s">
        <v>664</v>
      </c>
      <c r="D239" s="1" t="s">
        <v>665</v>
      </c>
      <c r="E239" s="1" t="s">
        <v>666</v>
      </c>
      <c r="F239" s="1" t="s">
        <v>112</v>
      </c>
      <c r="G239" s="1">
        <v>1145692</v>
      </c>
    </row>
    <row r="240" spans="1:7" x14ac:dyDescent="0.3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667</v>
      </c>
      <c r="D240" s="1" t="s">
        <v>668</v>
      </c>
      <c r="E240" s="1" t="s">
        <v>669</v>
      </c>
      <c r="F240" s="1" t="s">
        <v>112</v>
      </c>
      <c r="G240" s="1">
        <v>750882</v>
      </c>
    </row>
    <row r="241" spans="1:7" x14ac:dyDescent="0.3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670</v>
      </c>
      <c r="D241" s="1" t="s">
        <v>671</v>
      </c>
      <c r="E241" s="1" t="s">
        <v>672</v>
      </c>
      <c r="F241" s="1" t="s">
        <v>112</v>
      </c>
      <c r="G241" s="1">
        <v>833075</v>
      </c>
    </row>
    <row r="242" spans="1:7" x14ac:dyDescent="0.3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2" s="1" t="s">
        <v>673</v>
      </c>
      <c r="D242" s="1" t="s">
        <v>674</v>
      </c>
      <c r="E242" s="1" t="s">
        <v>675</v>
      </c>
      <c r="F242" s="1" t="s">
        <v>112</v>
      </c>
      <c r="G242" s="1">
        <v>467941</v>
      </c>
    </row>
    <row r="243" spans="1:7" x14ac:dyDescent="0.3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676</v>
      </c>
      <c r="D243" s="1" t="s">
        <v>358</v>
      </c>
      <c r="E243" s="1" t="s">
        <v>677</v>
      </c>
      <c r="F243" s="1" t="s">
        <v>112</v>
      </c>
      <c r="G243" s="1">
        <v>136636</v>
      </c>
    </row>
    <row r="244" spans="1:7" x14ac:dyDescent="0.3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678</v>
      </c>
      <c r="D244" s="1" t="s">
        <v>679</v>
      </c>
      <c r="E244" s="1" t="s">
        <v>680</v>
      </c>
      <c r="F244" s="1" t="s">
        <v>112</v>
      </c>
      <c r="G244" s="1">
        <v>571505</v>
      </c>
    </row>
    <row r="245" spans="1:7" x14ac:dyDescent="0.3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5" s="1" t="s">
        <v>681</v>
      </c>
      <c r="D245" s="1" t="s">
        <v>682</v>
      </c>
      <c r="E245" s="1" t="s">
        <v>683</v>
      </c>
      <c r="F245" s="1" t="s">
        <v>112</v>
      </c>
      <c r="G245" s="1">
        <v>262868</v>
      </c>
    </row>
    <row r="246" spans="1:7" x14ac:dyDescent="0.3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684</v>
      </c>
      <c r="D246" s="1" t="s">
        <v>685</v>
      </c>
      <c r="E246" s="1" t="s">
        <v>686</v>
      </c>
      <c r="F246" s="1" t="s">
        <v>112</v>
      </c>
      <c r="G246" s="1">
        <v>179139</v>
      </c>
    </row>
    <row r="247" spans="1:7" x14ac:dyDescent="0.3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687</v>
      </c>
      <c r="D247" s="1" t="s">
        <v>688</v>
      </c>
      <c r="E247" s="1" t="s">
        <v>689</v>
      </c>
      <c r="F247" s="1" t="s">
        <v>112</v>
      </c>
      <c r="G247" s="1">
        <v>238643</v>
      </c>
    </row>
    <row r="248" spans="1:7" x14ac:dyDescent="0.3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8" s="1" t="s">
        <v>690</v>
      </c>
      <c r="D248" s="1" t="s">
        <v>691</v>
      </c>
      <c r="E248" s="1" t="s">
        <v>692</v>
      </c>
      <c r="F248" s="1" t="s">
        <v>112</v>
      </c>
      <c r="G248" s="1">
        <v>269703</v>
      </c>
    </row>
    <row r="249" spans="1:7" x14ac:dyDescent="0.3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693</v>
      </c>
      <c r="D249" s="1" t="s">
        <v>694</v>
      </c>
      <c r="E249" s="1" t="s">
        <v>695</v>
      </c>
      <c r="F249" s="1" t="s">
        <v>112</v>
      </c>
      <c r="G249" s="1">
        <v>185693</v>
      </c>
    </row>
    <row r="250" spans="1:7" x14ac:dyDescent="0.3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696</v>
      </c>
      <c r="D250" s="1" t="s">
        <v>697</v>
      </c>
      <c r="E250" s="1" t="s">
        <v>698</v>
      </c>
      <c r="F250" s="1" t="s">
        <v>112</v>
      </c>
      <c r="G250" s="1">
        <v>501230</v>
      </c>
    </row>
    <row r="251" spans="1:7" x14ac:dyDescent="0.3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1" s="1" t="s">
        <v>699</v>
      </c>
      <c r="D251" s="1" t="s">
        <v>700</v>
      </c>
      <c r="E251" s="1" t="s">
        <v>701</v>
      </c>
      <c r="F251" s="1" t="s">
        <v>112</v>
      </c>
      <c r="G251" s="1">
        <v>65950</v>
      </c>
    </row>
    <row r="252" spans="1:7" x14ac:dyDescent="0.3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702</v>
      </c>
      <c r="D252" s="1" t="s">
        <v>703</v>
      </c>
      <c r="E252" s="1" t="s">
        <v>704</v>
      </c>
      <c r="F252" s="1" t="s">
        <v>112</v>
      </c>
      <c r="G252" s="1">
        <v>238383</v>
      </c>
    </row>
    <row r="253" spans="1:7" x14ac:dyDescent="0.3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705</v>
      </c>
      <c r="D253" s="1" t="s">
        <v>706</v>
      </c>
      <c r="E253" s="1" t="s">
        <v>707</v>
      </c>
      <c r="F253" s="1" t="s">
        <v>112</v>
      </c>
      <c r="G253" s="1">
        <v>332343</v>
      </c>
    </row>
    <row r="254" spans="1:7" x14ac:dyDescent="0.3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4" s="1" t="s">
        <v>708</v>
      </c>
      <c r="D254" s="1" t="s">
        <v>483</v>
      </c>
      <c r="E254" s="1" t="s">
        <v>709</v>
      </c>
      <c r="F254" s="1" t="s">
        <v>112</v>
      </c>
      <c r="G254" s="1">
        <v>135317</v>
      </c>
    </row>
    <row r="255" spans="1:7" x14ac:dyDescent="0.3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710</v>
      </c>
      <c r="D255" s="1" t="s">
        <v>711</v>
      </c>
      <c r="E255" s="1" t="s">
        <v>712</v>
      </c>
      <c r="F255" s="1" t="s">
        <v>112</v>
      </c>
      <c r="G255" s="1">
        <v>349561</v>
      </c>
    </row>
    <row r="256" spans="1:7" x14ac:dyDescent="0.3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713</v>
      </c>
    </row>
    <row r="257" spans="1:7" x14ac:dyDescent="0.35">
      <c r="A257" s="1" t="str">
        <f t="shared" si="3"/>
        <v>4</v>
      </c>
      <c r="B2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7" s="1" t="s">
        <v>714</v>
      </c>
    </row>
    <row r="258" spans="1:7"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112</v>
      </c>
    </row>
    <row r="259" spans="1:7"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9" s="1" t="s">
        <v>233</v>
      </c>
      <c r="D259" s="1" t="s">
        <v>112</v>
      </c>
      <c r="E259" s="1" t="s">
        <v>234</v>
      </c>
      <c r="F259" s="1" t="s">
        <v>235</v>
      </c>
      <c r="G259" s="1" t="s">
        <v>236</v>
      </c>
    </row>
    <row r="260" spans="1:7" x14ac:dyDescent="0.35">
      <c r="A260" s="1" t="str">
        <f t="shared" si="4"/>
        <v>4</v>
      </c>
      <c r="B2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60" s="1" t="s">
        <v>715</v>
      </c>
      <c r="D260" s="1" t="s">
        <v>112</v>
      </c>
      <c r="E260" s="1" t="s">
        <v>716</v>
      </c>
      <c r="F260" s="1" t="s">
        <v>717</v>
      </c>
      <c r="G260" s="1" t="s">
        <v>718</v>
      </c>
    </row>
    <row r="261" spans="1:7"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7"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7"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7"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7"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112</v>
      </c>
    </row>
    <row r="266" spans="1:7"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6" s="1" t="s">
        <v>166</v>
      </c>
      <c r="D266" s="1" t="s">
        <v>110</v>
      </c>
      <c r="E266" s="1" t="s">
        <v>111</v>
      </c>
      <c r="F266" s="1" t="s">
        <v>112</v>
      </c>
      <c r="G266" s="1" t="s">
        <v>113</v>
      </c>
    </row>
    <row r="267" spans="1:7" x14ac:dyDescent="0.3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719</v>
      </c>
    </row>
    <row r="268" spans="1:7" x14ac:dyDescent="0.3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720</v>
      </c>
    </row>
    <row r="269" spans="1:7" x14ac:dyDescent="0.3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9" s="1" t="s">
        <v>721</v>
      </c>
    </row>
    <row r="270" spans="1:7" x14ac:dyDescent="0.3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722</v>
      </c>
      <c r="D270" s="1" t="s">
        <v>723</v>
      </c>
      <c r="E270" s="1" t="s">
        <v>724</v>
      </c>
      <c r="F270" s="1" t="s">
        <v>112</v>
      </c>
      <c r="G270" s="1">
        <v>72741</v>
      </c>
    </row>
    <row r="271" spans="1:7" x14ac:dyDescent="0.3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725</v>
      </c>
      <c r="D271" s="1" t="s">
        <v>726</v>
      </c>
      <c r="E271" s="1" t="s">
        <v>727</v>
      </c>
      <c r="F271" s="1" t="s">
        <v>112</v>
      </c>
      <c r="G271" s="1">
        <v>125583</v>
      </c>
    </row>
    <row r="272" spans="1:7" x14ac:dyDescent="0.3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2" s="1" t="s">
        <v>728</v>
      </c>
      <c r="D272" s="1" t="s">
        <v>581</v>
      </c>
      <c r="E272" s="1" t="s">
        <v>729</v>
      </c>
      <c r="F272" s="1" t="s">
        <v>112</v>
      </c>
      <c r="G272" s="1">
        <v>85070</v>
      </c>
    </row>
    <row r="273" spans="1:7" x14ac:dyDescent="0.3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730</v>
      </c>
      <c r="D273" s="1" t="s">
        <v>731</v>
      </c>
      <c r="E273" s="1" t="s">
        <v>732</v>
      </c>
      <c r="F273" s="1" t="s">
        <v>112</v>
      </c>
      <c r="G273" s="1">
        <v>2817618</v>
      </c>
    </row>
    <row r="274" spans="1:7" x14ac:dyDescent="0.3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733</v>
      </c>
      <c r="D274" s="1" t="s">
        <v>734</v>
      </c>
      <c r="E274" s="1" t="s">
        <v>735</v>
      </c>
      <c r="F274" s="1" t="s">
        <v>112</v>
      </c>
      <c r="G274" s="1">
        <v>2095072</v>
      </c>
    </row>
    <row r="275" spans="1:7" x14ac:dyDescent="0.3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5" s="1" t="s">
        <v>736</v>
      </c>
      <c r="D275" s="1" t="s">
        <v>737</v>
      </c>
      <c r="E275" s="1" t="s">
        <v>738</v>
      </c>
      <c r="F275" s="1" t="s">
        <v>112</v>
      </c>
      <c r="G275" s="1">
        <v>1887381</v>
      </c>
    </row>
    <row r="276" spans="1:7" x14ac:dyDescent="0.3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739</v>
      </c>
      <c r="D276" s="1" t="s">
        <v>740</v>
      </c>
      <c r="E276" s="1" t="s">
        <v>741</v>
      </c>
      <c r="F276" s="1" t="s">
        <v>112</v>
      </c>
      <c r="G276" s="1">
        <v>2511209</v>
      </c>
    </row>
    <row r="277" spans="1:7" x14ac:dyDescent="0.3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742</v>
      </c>
      <c r="D277" s="1" t="s">
        <v>743</v>
      </c>
      <c r="E277" s="1" t="s">
        <v>744</v>
      </c>
      <c r="F277" s="1" t="s">
        <v>112</v>
      </c>
      <c r="G277" s="1">
        <v>2413096</v>
      </c>
    </row>
    <row r="278" spans="1:7" x14ac:dyDescent="0.3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8" s="1" t="s">
        <v>745</v>
      </c>
      <c r="D278" s="1" t="s">
        <v>746</v>
      </c>
      <c r="E278" s="1" t="s">
        <v>747</v>
      </c>
      <c r="F278" s="1" t="s">
        <v>112</v>
      </c>
      <c r="G278" s="1">
        <v>2229869</v>
      </c>
    </row>
    <row r="279" spans="1:7" x14ac:dyDescent="0.3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748</v>
      </c>
      <c r="D279" s="1" t="s">
        <v>749</v>
      </c>
      <c r="E279" s="1" t="s">
        <v>750</v>
      </c>
      <c r="F279" s="1" t="s">
        <v>112</v>
      </c>
      <c r="G279" s="1">
        <v>1629834</v>
      </c>
    </row>
    <row r="280" spans="1:7" x14ac:dyDescent="0.3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751</v>
      </c>
      <c r="D280" s="1" t="s">
        <v>752</v>
      </c>
      <c r="E280" s="1" t="s">
        <v>753</v>
      </c>
      <c r="F280" s="1" t="s">
        <v>112</v>
      </c>
      <c r="G280" s="1">
        <v>1691761</v>
      </c>
    </row>
    <row r="281" spans="1:7" x14ac:dyDescent="0.3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1" s="1" t="s">
        <v>754</v>
      </c>
      <c r="D281" s="1" t="s">
        <v>256</v>
      </c>
      <c r="E281" s="1" t="s">
        <v>755</v>
      </c>
      <c r="F281" s="1" t="s">
        <v>112</v>
      </c>
      <c r="G281" s="1">
        <v>1578723</v>
      </c>
    </row>
    <row r="282" spans="1:7" x14ac:dyDescent="0.3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756</v>
      </c>
      <c r="D282" s="1" t="s">
        <v>757</v>
      </c>
      <c r="E282" s="1" t="s">
        <v>758</v>
      </c>
      <c r="F282" s="1" t="s">
        <v>112</v>
      </c>
      <c r="G282" s="1">
        <v>2438468</v>
      </c>
    </row>
    <row r="283" spans="1:7" x14ac:dyDescent="0.3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759</v>
      </c>
      <c r="D283" s="1" t="s">
        <v>760</v>
      </c>
      <c r="E283" s="1" t="s">
        <v>761</v>
      </c>
      <c r="F283" s="1" t="s">
        <v>112</v>
      </c>
      <c r="G283" s="1">
        <v>2587260</v>
      </c>
    </row>
    <row r="284" spans="1:7" x14ac:dyDescent="0.3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4" s="1" t="s">
        <v>762</v>
      </c>
      <c r="D284" s="1" t="s">
        <v>763</v>
      </c>
      <c r="E284" s="1" t="s">
        <v>764</v>
      </c>
      <c r="F284" s="1" t="s">
        <v>112</v>
      </c>
      <c r="G284" s="1">
        <v>2065006</v>
      </c>
    </row>
    <row r="285" spans="1:7" x14ac:dyDescent="0.3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765</v>
      </c>
      <c r="D285" s="1" t="s">
        <v>766</v>
      </c>
      <c r="E285" s="1" t="s">
        <v>767</v>
      </c>
      <c r="F285" s="1" t="s">
        <v>112</v>
      </c>
      <c r="G285" s="1">
        <v>1577122</v>
      </c>
    </row>
    <row r="286" spans="1:7" x14ac:dyDescent="0.3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768</v>
      </c>
    </row>
    <row r="287" spans="1:7" x14ac:dyDescent="0.3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7" s="1" t="s">
        <v>769</v>
      </c>
      <c r="D287" s="1" t="s">
        <v>307</v>
      </c>
      <c r="E287" s="1" t="s">
        <v>770</v>
      </c>
      <c r="F287" s="1" t="s">
        <v>112</v>
      </c>
      <c r="G287" s="1">
        <v>1676187</v>
      </c>
    </row>
    <row r="288" spans="1:7" x14ac:dyDescent="0.3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771</v>
      </c>
      <c r="D288" s="1" t="s">
        <v>772</v>
      </c>
      <c r="E288" s="1" t="s">
        <v>773</v>
      </c>
      <c r="F288" s="1" t="s">
        <v>112</v>
      </c>
      <c r="G288" s="1">
        <v>2749095</v>
      </c>
    </row>
    <row r="289" spans="1:7" x14ac:dyDescent="0.3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774</v>
      </c>
      <c r="D289" s="1" t="s">
        <v>775</v>
      </c>
      <c r="E289" s="1" t="s">
        <v>776</v>
      </c>
      <c r="F289" s="1" t="s">
        <v>112</v>
      </c>
      <c r="G289" s="1">
        <v>2795015</v>
      </c>
    </row>
    <row r="290" spans="1:7" x14ac:dyDescent="0.35">
      <c r="A290" s="1" t="str">
        <f t="shared" si="4"/>
        <v>5</v>
      </c>
      <c r="B2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90" s="1" t="s">
        <v>777</v>
      </c>
      <c r="D290" s="1" t="s">
        <v>778</v>
      </c>
      <c r="E290" s="1" t="s">
        <v>779</v>
      </c>
      <c r="F290" s="1" t="s">
        <v>112</v>
      </c>
      <c r="G290" s="1">
        <v>3209422</v>
      </c>
    </row>
    <row r="291" spans="1:7"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112</v>
      </c>
    </row>
    <row r="292" spans="1:7"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2" s="1" t="s">
        <v>233</v>
      </c>
      <c r="D292" s="1" t="s">
        <v>112</v>
      </c>
      <c r="E292" s="1" t="s">
        <v>234</v>
      </c>
      <c r="F292" s="1" t="s">
        <v>235</v>
      </c>
      <c r="G292" s="1" t="s">
        <v>236</v>
      </c>
    </row>
    <row r="293" spans="1:7" x14ac:dyDescent="0.35">
      <c r="A293" s="1" t="str">
        <f t="shared" si="4"/>
        <v>5</v>
      </c>
      <c r="B2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3" s="1" t="s">
        <v>780</v>
      </c>
      <c r="D293" s="1" t="s">
        <v>112</v>
      </c>
      <c r="E293" s="1" t="s">
        <v>781</v>
      </c>
      <c r="F293" s="1" t="s">
        <v>782</v>
      </c>
      <c r="G293" s="1" t="s">
        <v>783</v>
      </c>
    </row>
    <row r="294" spans="1:7"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7"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7"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7"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7"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112</v>
      </c>
    </row>
    <row r="299" spans="1:7"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9" s="1" t="s">
        <v>166</v>
      </c>
      <c r="D299" s="1" t="s">
        <v>110</v>
      </c>
      <c r="E299" s="1" t="s">
        <v>111</v>
      </c>
      <c r="F299" s="1" t="s">
        <v>112</v>
      </c>
      <c r="G299" s="1" t="s">
        <v>113</v>
      </c>
    </row>
    <row r="300" spans="1:7" x14ac:dyDescent="0.3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784</v>
      </c>
      <c r="D300" s="1" t="s">
        <v>785</v>
      </c>
      <c r="E300" s="1" t="s">
        <v>786</v>
      </c>
      <c r="F300" s="1" t="s">
        <v>112</v>
      </c>
      <c r="G300" s="1">
        <v>361392</v>
      </c>
    </row>
    <row r="301" spans="1:7" x14ac:dyDescent="0.3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787</v>
      </c>
      <c r="D301" s="1" t="s">
        <v>788</v>
      </c>
      <c r="E301" s="1" t="s">
        <v>789</v>
      </c>
      <c r="F301" s="1" t="s">
        <v>112</v>
      </c>
      <c r="G301" s="1">
        <v>538628</v>
      </c>
    </row>
    <row r="302" spans="1:7" x14ac:dyDescent="0.3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2" s="1" t="s">
        <v>790</v>
      </c>
    </row>
    <row r="303" spans="1:7" x14ac:dyDescent="0.3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791</v>
      </c>
      <c r="D303" s="1" t="s">
        <v>792</v>
      </c>
      <c r="E303" s="1" t="s">
        <v>793</v>
      </c>
      <c r="F303" s="1" t="s">
        <v>112</v>
      </c>
      <c r="G303" s="1">
        <v>875275</v>
      </c>
    </row>
    <row r="304" spans="1:7" x14ac:dyDescent="0.3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794</v>
      </c>
      <c r="D304" s="1" t="s">
        <v>795</v>
      </c>
      <c r="E304" s="1" t="s">
        <v>796</v>
      </c>
      <c r="F304" s="1" t="s">
        <v>112</v>
      </c>
      <c r="G304" s="1">
        <v>929934</v>
      </c>
    </row>
    <row r="305" spans="1:7" x14ac:dyDescent="0.3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5" s="1" t="s">
        <v>797</v>
      </c>
      <c r="D305" s="1" t="s">
        <v>798</v>
      </c>
      <c r="E305" s="1" t="s">
        <v>799</v>
      </c>
      <c r="F305" s="1" t="s">
        <v>112</v>
      </c>
      <c r="G305" s="1">
        <v>875751</v>
      </c>
    </row>
    <row r="306" spans="1:7" x14ac:dyDescent="0.3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800</v>
      </c>
      <c r="D306" s="1" t="s">
        <v>801</v>
      </c>
      <c r="E306" s="1" t="s">
        <v>802</v>
      </c>
      <c r="F306" s="1" t="s">
        <v>112</v>
      </c>
      <c r="G306" s="1">
        <v>2970022</v>
      </c>
    </row>
    <row r="307" spans="1:7" x14ac:dyDescent="0.3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803</v>
      </c>
      <c r="D307" s="1" t="s">
        <v>804</v>
      </c>
      <c r="E307" s="1" t="s">
        <v>805</v>
      </c>
      <c r="F307" s="1" t="s">
        <v>112</v>
      </c>
      <c r="G307" s="1">
        <v>2663419</v>
      </c>
    </row>
    <row r="308" spans="1:7" x14ac:dyDescent="0.3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8" s="1" t="s">
        <v>806</v>
      </c>
      <c r="D308" s="1" t="s">
        <v>807</v>
      </c>
      <c r="E308" s="1" t="s">
        <v>808</v>
      </c>
      <c r="F308" s="1" t="s">
        <v>112</v>
      </c>
      <c r="G308" s="1">
        <v>3065583</v>
      </c>
    </row>
    <row r="309" spans="1:7" x14ac:dyDescent="0.3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809</v>
      </c>
      <c r="D309" s="1" t="s">
        <v>810</v>
      </c>
      <c r="E309" s="1" t="s">
        <v>811</v>
      </c>
      <c r="F309" s="1" t="s">
        <v>112</v>
      </c>
      <c r="G309" s="1">
        <v>2751214</v>
      </c>
    </row>
    <row r="310" spans="1:7" x14ac:dyDescent="0.3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812</v>
      </c>
      <c r="D310" s="1" t="s">
        <v>813</v>
      </c>
      <c r="E310" s="1" t="s">
        <v>814</v>
      </c>
      <c r="F310" s="1" t="s">
        <v>112</v>
      </c>
      <c r="G310" s="1">
        <v>2548521</v>
      </c>
    </row>
    <row r="311" spans="1:7" x14ac:dyDescent="0.3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1" s="1" t="s">
        <v>815</v>
      </c>
      <c r="D311" s="1" t="s">
        <v>816</v>
      </c>
      <c r="E311" s="1" t="s">
        <v>817</v>
      </c>
      <c r="F311" s="1" t="s">
        <v>112</v>
      </c>
      <c r="G311" s="1">
        <v>2302286</v>
      </c>
    </row>
    <row r="312" spans="1:7" x14ac:dyDescent="0.3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818</v>
      </c>
    </row>
    <row r="313" spans="1:7" x14ac:dyDescent="0.3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819</v>
      </c>
      <c r="D313" s="1" t="s">
        <v>820</v>
      </c>
      <c r="E313" s="1" t="s">
        <v>821</v>
      </c>
      <c r="F313" s="1" t="s">
        <v>112</v>
      </c>
      <c r="G313" s="1">
        <v>3068482</v>
      </c>
    </row>
    <row r="314" spans="1:7" x14ac:dyDescent="0.3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4" s="1" t="s">
        <v>822</v>
      </c>
    </row>
    <row r="315" spans="1:7" x14ac:dyDescent="0.3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823</v>
      </c>
      <c r="D315" s="1" t="s">
        <v>824</v>
      </c>
      <c r="E315" s="1" t="s">
        <v>825</v>
      </c>
      <c r="F315" s="1" t="s">
        <v>112</v>
      </c>
      <c r="G315" s="1">
        <v>3094156</v>
      </c>
    </row>
    <row r="316" spans="1:7" x14ac:dyDescent="0.3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826</v>
      </c>
      <c r="D316" s="1" t="s">
        <v>827</v>
      </c>
      <c r="E316" s="1" t="s">
        <v>828</v>
      </c>
      <c r="F316" s="1" t="s">
        <v>112</v>
      </c>
      <c r="G316" s="1">
        <v>3035864</v>
      </c>
    </row>
    <row r="317" spans="1:7" x14ac:dyDescent="0.3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7" s="1" t="s">
        <v>829</v>
      </c>
      <c r="D317" s="1" t="s">
        <v>830</v>
      </c>
      <c r="E317" s="1" t="s">
        <v>831</v>
      </c>
      <c r="F317" s="1" t="s">
        <v>112</v>
      </c>
      <c r="G317" s="1">
        <v>3426348</v>
      </c>
    </row>
    <row r="318" spans="1:7" x14ac:dyDescent="0.3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832</v>
      </c>
      <c r="D318" s="1" t="s">
        <v>833</v>
      </c>
      <c r="E318" s="1" t="s">
        <v>834</v>
      </c>
      <c r="F318" s="1" t="s">
        <v>112</v>
      </c>
      <c r="G318" s="1">
        <v>2857114</v>
      </c>
    </row>
    <row r="319" spans="1:7" x14ac:dyDescent="0.3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835</v>
      </c>
      <c r="D319" s="1" t="s">
        <v>836</v>
      </c>
      <c r="E319" s="1" t="s">
        <v>837</v>
      </c>
      <c r="F319" s="1" t="s">
        <v>112</v>
      </c>
      <c r="G319" s="1">
        <v>3232112</v>
      </c>
    </row>
    <row r="320" spans="1:7" x14ac:dyDescent="0.3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20" s="1" t="s">
        <v>838</v>
      </c>
      <c r="D320" s="1" t="s">
        <v>839</v>
      </c>
      <c r="E320" s="1" t="s">
        <v>840</v>
      </c>
      <c r="F320" s="1" t="s">
        <v>112</v>
      </c>
      <c r="G320" s="1">
        <v>2726167</v>
      </c>
    </row>
    <row r="321" spans="1:7" x14ac:dyDescent="0.3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841</v>
      </c>
      <c r="D321" s="1" t="s">
        <v>842</v>
      </c>
      <c r="E321" s="1" t="s">
        <v>843</v>
      </c>
      <c r="F321" s="1" t="s">
        <v>112</v>
      </c>
      <c r="G321" s="1">
        <v>1870899</v>
      </c>
    </row>
    <row r="322" spans="1:7" x14ac:dyDescent="0.3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844</v>
      </c>
      <c r="D322" s="1" t="s">
        <v>845</v>
      </c>
      <c r="E322" s="1" t="s">
        <v>846</v>
      </c>
      <c r="F322" s="1" t="s">
        <v>112</v>
      </c>
      <c r="G322" s="1">
        <v>1988955</v>
      </c>
    </row>
    <row r="323" spans="1:7" x14ac:dyDescent="0.35">
      <c r="A323" s="1" t="str">
        <f t="shared" si="5"/>
        <v>6</v>
      </c>
      <c r="B3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3" s="1" t="s">
        <v>847</v>
      </c>
      <c r="D323" s="1" t="s">
        <v>848</v>
      </c>
      <c r="E323" s="1" t="s">
        <v>849</v>
      </c>
      <c r="F323" s="1" t="s">
        <v>112</v>
      </c>
      <c r="G323" s="1">
        <v>2419109</v>
      </c>
    </row>
    <row r="324" spans="1:7"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112</v>
      </c>
    </row>
    <row r="325" spans="1:7"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5" s="1" t="s">
        <v>233</v>
      </c>
      <c r="D325" s="1" t="s">
        <v>112</v>
      </c>
      <c r="E325" s="1" t="s">
        <v>234</v>
      </c>
      <c r="F325" s="1" t="s">
        <v>235</v>
      </c>
      <c r="G325" s="1" t="s">
        <v>236</v>
      </c>
    </row>
    <row r="326" spans="1:7" x14ac:dyDescent="0.35">
      <c r="A326" s="1" t="str">
        <f t="shared" si="5"/>
        <v>6</v>
      </c>
      <c r="B3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6" s="1" t="s">
        <v>850</v>
      </c>
      <c r="D326" s="1" t="s">
        <v>112</v>
      </c>
      <c r="E326" s="1" t="s">
        <v>851</v>
      </c>
      <c r="F326" s="1" t="s">
        <v>852</v>
      </c>
      <c r="G326" s="1" t="s">
        <v>853</v>
      </c>
    </row>
    <row r="327" spans="1:7"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7"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7"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7"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7"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112</v>
      </c>
    </row>
    <row r="332" spans="1:7"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2" s="1" t="s">
        <v>166</v>
      </c>
      <c r="D332" s="1" t="s">
        <v>110</v>
      </c>
      <c r="E332" s="1" t="s">
        <v>111</v>
      </c>
      <c r="F332" s="1" t="s">
        <v>112</v>
      </c>
      <c r="G332" s="1" t="s">
        <v>113</v>
      </c>
    </row>
    <row r="333" spans="1:7" x14ac:dyDescent="0.3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854</v>
      </c>
      <c r="D333" s="1" t="s">
        <v>301</v>
      </c>
      <c r="E333" s="1" t="s">
        <v>855</v>
      </c>
      <c r="F333" s="1" t="s">
        <v>112</v>
      </c>
      <c r="G333" s="1">
        <v>2343988</v>
      </c>
    </row>
    <row r="334" spans="1:7" x14ac:dyDescent="0.3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856</v>
      </c>
      <c r="D334" s="1" t="s">
        <v>857</v>
      </c>
      <c r="E334" s="1" t="s">
        <v>858</v>
      </c>
      <c r="F334" s="1" t="s">
        <v>112</v>
      </c>
      <c r="G334" s="1">
        <v>2846602</v>
      </c>
    </row>
    <row r="335" spans="1:7" x14ac:dyDescent="0.3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5" s="1" t="s">
        <v>859</v>
      </c>
      <c r="D335" s="1" t="s">
        <v>860</v>
      </c>
      <c r="E335" s="1" t="s">
        <v>861</v>
      </c>
      <c r="F335" s="1" t="s">
        <v>112</v>
      </c>
      <c r="G335" s="1">
        <v>2488649</v>
      </c>
    </row>
    <row r="336" spans="1:7" x14ac:dyDescent="0.3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862</v>
      </c>
      <c r="D336" s="1" t="s">
        <v>863</v>
      </c>
      <c r="E336" s="1" t="s">
        <v>864</v>
      </c>
      <c r="F336" s="1" t="s">
        <v>112</v>
      </c>
      <c r="G336" s="1">
        <v>2603179</v>
      </c>
    </row>
    <row r="337" spans="1:7" x14ac:dyDescent="0.3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865</v>
      </c>
      <c r="D337" s="1" t="s">
        <v>866</v>
      </c>
      <c r="E337" s="1" t="s">
        <v>867</v>
      </c>
      <c r="F337" s="1" t="s">
        <v>112</v>
      </c>
      <c r="G337" s="1">
        <v>2960202</v>
      </c>
    </row>
    <row r="338" spans="1:7" x14ac:dyDescent="0.3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8" s="1" t="s">
        <v>868</v>
      </c>
      <c r="D338" s="1" t="s">
        <v>869</v>
      </c>
      <c r="E338" s="1" t="s">
        <v>870</v>
      </c>
      <c r="F338" s="1" t="s">
        <v>112</v>
      </c>
      <c r="G338" s="1">
        <v>3217728</v>
      </c>
    </row>
    <row r="339" spans="1:7" x14ac:dyDescent="0.3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871</v>
      </c>
      <c r="D339" s="1" t="s">
        <v>872</v>
      </c>
      <c r="E339" s="1" t="s">
        <v>873</v>
      </c>
      <c r="F339" s="1" t="s">
        <v>112</v>
      </c>
      <c r="G339" s="1">
        <v>2332092</v>
      </c>
    </row>
    <row r="340" spans="1:7" x14ac:dyDescent="0.3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874</v>
      </c>
      <c r="D340" s="1" t="s">
        <v>875</v>
      </c>
      <c r="E340" s="1" t="s">
        <v>876</v>
      </c>
      <c r="F340" s="1" t="s">
        <v>112</v>
      </c>
      <c r="G340" s="1">
        <v>2743709</v>
      </c>
    </row>
    <row r="341" spans="1:7" x14ac:dyDescent="0.3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1" s="1" t="s">
        <v>877</v>
      </c>
      <c r="D341" s="1" t="s">
        <v>878</v>
      </c>
      <c r="E341" s="1" t="s">
        <v>879</v>
      </c>
      <c r="F341" s="1" t="s">
        <v>112</v>
      </c>
      <c r="G341" s="1">
        <v>2548413</v>
      </c>
    </row>
    <row r="342" spans="1:7" x14ac:dyDescent="0.3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880</v>
      </c>
      <c r="D342" s="1" t="s">
        <v>881</v>
      </c>
      <c r="E342" s="1" t="s">
        <v>882</v>
      </c>
      <c r="F342" s="1" t="s">
        <v>112</v>
      </c>
      <c r="G342" s="1">
        <v>3505233</v>
      </c>
    </row>
    <row r="343" spans="1:7" x14ac:dyDescent="0.3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883</v>
      </c>
      <c r="D343" s="1" t="s">
        <v>884</v>
      </c>
      <c r="E343" s="1" t="s">
        <v>885</v>
      </c>
      <c r="F343" s="1" t="s">
        <v>112</v>
      </c>
      <c r="G343" s="1">
        <v>3726723</v>
      </c>
    </row>
    <row r="344" spans="1:7" x14ac:dyDescent="0.3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4" s="1" t="s">
        <v>886</v>
      </c>
      <c r="D344" s="1" t="s">
        <v>887</v>
      </c>
      <c r="E344" s="1" t="s">
        <v>888</v>
      </c>
      <c r="F344" s="1" t="s">
        <v>112</v>
      </c>
      <c r="G344" s="1">
        <v>3854512</v>
      </c>
    </row>
    <row r="345" spans="1:7" x14ac:dyDescent="0.3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889</v>
      </c>
      <c r="D345" s="1" t="s">
        <v>890</v>
      </c>
      <c r="E345" s="1" t="s">
        <v>891</v>
      </c>
      <c r="F345" s="1" t="s">
        <v>112</v>
      </c>
      <c r="G345" s="1">
        <v>4406053</v>
      </c>
    </row>
    <row r="346" spans="1:7" x14ac:dyDescent="0.3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892</v>
      </c>
      <c r="D346" s="1" t="s">
        <v>893</v>
      </c>
      <c r="E346" s="1" t="s">
        <v>894</v>
      </c>
      <c r="F346" s="1" t="s">
        <v>112</v>
      </c>
      <c r="G346" s="1">
        <v>5041842</v>
      </c>
    </row>
    <row r="347" spans="1:7" x14ac:dyDescent="0.3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7" s="1" t="s">
        <v>895</v>
      </c>
      <c r="D347" s="1" t="s">
        <v>896</v>
      </c>
      <c r="E347" s="1" t="s">
        <v>897</v>
      </c>
      <c r="F347" s="1" t="s">
        <v>112</v>
      </c>
      <c r="G347" s="1">
        <v>4665049</v>
      </c>
    </row>
    <row r="348" spans="1:7" x14ac:dyDescent="0.3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898</v>
      </c>
      <c r="D348" s="1" t="s">
        <v>899</v>
      </c>
      <c r="E348" s="1" t="s">
        <v>900</v>
      </c>
      <c r="F348" s="1" t="s">
        <v>112</v>
      </c>
      <c r="G348" s="1">
        <v>2483220</v>
      </c>
    </row>
    <row r="349" spans="1:7" x14ac:dyDescent="0.3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901</v>
      </c>
      <c r="D349" s="1" t="s">
        <v>902</v>
      </c>
      <c r="E349" s="1" t="s">
        <v>903</v>
      </c>
      <c r="F349" s="1" t="s">
        <v>112</v>
      </c>
      <c r="G349" s="1">
        <v>2797135</v>
      </c>
    </row>
    <row r="350" spans="1:7" x14ac:dyDescent="0.3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0" s="1" t="s">
        <v>904</v>
      </c>
      <c r="D350" s="1" t="s">
        <v>905</v>
      </c>
      <c r="E350" s="1" t="s">
        <v>906</v>
      </c>
      <c r="F350" s="1" t="s">
        <v>112</v>
      </c>
      <c r="G350" s="1">
        <v>2872234</v>
      </c>
    </row>
    <row r="351" spans="1:7" x14ac:dyDescent="0.3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907</v>
      </c>
      <c r="D351" s="1" t="s">
        <v>908</v>
      </c>
      <c r="E351" s="1" t="s">
        <v>909</v>
      </c>
      <c r="F351" s="1" t="s">
        <v>112</v>
      </c>
      <c r="G351" s="1">
        <v>3972763</v>
      </c>
    </row>
    <row r="352" spans="1:7" x14ac:dyDescent="0.3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910</v>
      </c>
      <c r="D352" s="1" t="s">
        <v>911</v>
      </c>
      <c r="E352" s="1" t="s">
        <v>912</v>
      </c>
      <c r="F352" s="1" t="s">
        <v>112</v>
      </c>
      <c r="G352" s="1">
        <v>4060623</v>
      </c>
    </row>
    <row r="353" spans="1:7" x14ac:dyDescent="0.3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3" s="1" t="s">
        <v>913</v>
      </c>
      <c r="D353" s="1" t="s">
        <v>914</v>
      </c>
      <c r="E353" s="1" t="s">
        <v>915</v>
      </c>
      <c r="F353" s="1" t="s">
        <v>112</v>
      </c>
      <c r="G353" s="1">
        <v>4877995</v>
      </c>
    </row>
    <row r="354" spans="1:7" x14ac:dyDescent="0.3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916</v>
      </c>
      <c r="D354" s="1" t="s">
        <v>917</v>
      </c>
      <c r="E354" s="1" t="s">
        <v>918</v>
      </c>
      <c r="F354" s="1" t="s">
        <v>112</v>
      </c>
      <c r="G354" s="1">
        <v>3952474</v>
      </c>
    </row>
    <row r="355" spans="1:7" x14ac:dyDescent="0.3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919</v>
      </c>
      <c r="D355" s="1" t="s">
        <v>920</v>
      </c>
      <c r="E355" s="1" t="s">
        <v>921</v>
      </c>
      <c r="F355" s="1" t="s">
        <v>112</v>
      </c>
      <c r="G355" s="1">
        <v>3651343</v>
      </c>
    </row>
    <row r="356" spans="1:7" x14ac:dyDescent="0.35">
      <c r="A356" s="1" t="str">
        <f t="shared" si="5"/>
        <v>7</v>
      </c>
      <c r="B3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6" s="1" t="s">
        <v>922</v>
      </c>
      <c r="D356" s="1" t="s">
        <v>923</v>
      </c>
      <c r="E356" s="1" t="s">
        <v>924</v>
      </c>
      <c r="F356" s="1" t="s">
        <v>112</v>
      </c>
      <c r="G356" s="1">
        <v>4125708</v>
      </c>
    </row>
    <row r="357" spans="1:7"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112</v>
      </c>
    </row>
    <row r="358" spans="1:7"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8" s="1" t="s">
        <v>233</v>
      </c>
      <c r="D358" s="1" t="s">
        <v>112</v>
      </c>
      <c r="E358" s="1" t="s">
        <v>234</v>
      </c>
      <c r="F358" s="1" t="s">
        <v>235</v>
      </c>
      <c r="G358" s="1" t="s">
        <v>236</v>
      </c>
    </row>
    <row r="359" spans="1:7" x14ac:dyDescent="0.35">
      <c r="A359" s="1" t="str">
        <f t="shared" si="5"/>
        <v>7</v>
      </c>
      <c r="B3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9" s="1" t="s">
        <v>925</v>
      </c>
      <c r="D359" s="1" t="s">
        <v>112</v>
      </c>
      <c r="E359" s="1" t="s">
        <v>926</v>
      </c>
      <c r="F359" s="1" t="s">
        <v>927</v>
      </c>
      <c r="G359" s="1" t="s">
        <v>928</v>
      </c>
    </row>
    <row r="360" spans="1:7"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7"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7"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7"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7"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112</v>
      </c>
    </row>
    <row r="365" spans="1:7"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5" s="1" t="s">
        <v>166</v>
      </c>
      <c r="D365" s="1" t="s">
        <v>110</v>
      </c>
      <c r="E365" s="1" t="s">
        <v>111</v>
      </c>
      <c r="F365" s="1" t="s">
        <v>112</v>
      </c>
      <c r="G365" s="1" t="s">
        <v>113</v>
      </c>
    </row>
    <row r="366" spans="1:7" x14ac:dyDescent="0.3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929</v>
      </c>
      <c r="D366" s="1" t="s">
        <v>930</v>
      </c>
      <c r="E366" s="1">
        <v>32</v>
      </c>
      <c r="F366" s="1" t="s">
        <v>112</v>
      </c>
      <c r="G366" s="1">
        <v>15920</v>
      </c>
    </row>
    <row r="367" spans="1:7" x14ac:dyDescent="0.3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931</v>
      </c>
      <c r="D367" s="1" t="s">
        <v>932</v>
      </c>
      <c r="E367" s="1" t="s">
        <v>933</v>
      </c>
      <c r="F367" s="1" t="s">
        <v>112</v>
      </c>
      <c r="G367" s="1">
        <v>14232</v>
      </c>
    </row>
    <row r="368" spans="1:7" x14ac:dyDescent="0.3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8" s="1" t="s">
        <v>934</v>
      </c>
      <c r="D368" s="1" t="s">
        <v>935</v>
      </c>
      <c r="E368" s="1" t="s">
        <v>936</v>
      </c>
      <c r="F368" s="1" t="s">
        <v>112</v>
      </c>
      <c r="G368" s="1">
        <v>46548</v>
      </c>
    </row>
    <row r="369" spans="1:7" x14ac:dyDescent="0.3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937</v>
      </c>
    </row>
    <row r="370" spans="1:7" x14ac:dyDescent="0.3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938</v>
      </c>
      <c r="D370" s="1" t="s">
        <v>939</v>
      </c>
      <c r="E370" s="1" t="s">
        <v>940</v>
      </c>
      <c r="F370" s="1" t="s">
        <v>112</v>
      </c>
      <c r="G370" s="1">
        <v>178295</v>
      </c>
    </row>
    <row r="371" spans="1:7" x14ac:dyDescent="0.3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1" s="1" t="s">
        <v>941</v>
      </c>
      <c r="D371" s="1" t="s">
        <v>628</v>
      </c>
      <c r="E371" s="1" t="s">
        <v>942</v>
      </c>
      <c r="F371" s="1" t="s">
        <v>112</v>
      </c>
      <c r="G371" s="1">
        <v>166853</v>
      </c>
    </row>
    <row r="372" spans="1:7" x14ac:dyDescent="0.3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943</v>
      </c>
      <c r="D372" s="1" t="s">
        <v>210</v>
      </c>
      <c r="E372" s="1" t="s">
        <v>944</v>
      </c>
      <c r="F372" s="1" t="s">
        <v>112</v>
      </c>
      <c r="G372" s="1">
        <v>104559</v>
      </c>
    </row>
    <row r="373" spans="1:7" x14ac:dyDescent="0.3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945</v>
      </c>
      <c r="D373" s="1" t="s">
        <v>946</v>
      </c>
      <c r="E373" s="1" t="s">
        <v>947</v>
      </c>
      <c r="F373" s="1" t="s">
        <v>112</v>
      </c>
      <c r="G373" s="1">
        <v>32466</v>
      </c>
    </row>
    <row r="374" spans="1:7" x14ac:dyDescent="0.3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4" s="1" t="s">
        <v>948</v>
      </c>
      <c r="D374" s="1" t="s">
        <v>949</v>
      </c>
      <c r="E374" s="1" t="s">
        <v>950</v>
      </c>
      <c r="F374" s="1" t="s">
        <v>112</v>
      </c>
      <c r="G374" s="1">
        <v>132051</v>
      </c>
    </row>
    <row r="375" spans="1:7" x14ac:dyDescent="0.3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951</v>
      </c>
      <c r="D375" s="1" t="s">
        <v>952</v>
      </c>
      <c r="E375" s="1" t="s">
        <v>953</v>
      </c>
      <c r="F375" s="1" t="s">
        <v>112</v>
      </c>
      <c r="G375" s="1">
        <v>4629</v>
      </c>
    </row>
    <row r="376" spans="1:7" x14ac:dyDescent="0.3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954</v>
      </c>
      <c r="D376" s="1" t="s">
        <v>955</v>
      </c>
      <c r="E376" s="1" t="s">
        <v>956</v>
      </c>
      <c r="F376" s="1" t="s">
        <v>112</v>
      </c>
      <c r="G376" s="1">
        <v>74126</v>
      </c>
    </row>
    <row r="377" spans="1:7" x14ac:dyDescent="0.3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7" s="1" t="s">
        <v>957</v>
      </c>
      <c r="D377" s="1" t="s">
        <v>251</v>
      </c>
      <c r="E377" s="1" t="s">
        <v>958</v>
      </c>
      <c r="F377" s="1" t="s">
        <v>112</v>
      </c>
      <c r="G377" s="1">
        <v>44212</v>
      </c>
    </row>
    <row r="378" spans="1:7" x14ac:dyDescent="0.3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959</v>
      </c>
      <c r="D378" s="1" t="s">
        <v>960</v>
      </c>
      <c r="E378" s="1" t="s">
        <v>961</v>
      </c>
      <c r="F378" s="1" t="s">
        <v>112</v>
      </c>
      <c r="G378" s="1">
        <v>38782</v>
      </c>
    </row>
    <row r="379" spans="1:7" x14ac:dyDescent="0.3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962</v>
      </c>
      <c r="D379" s="1" t="s">
        <v>935</v>
      </c>
      <c r="E379" s="1" t="s">
        <v>963</v>
      </c>
      <c r="F379" s="1" t="s">
        <v>112</v>
      </c>
      <c r="G379" s="1">
        <v>43974</v>
      </c>
    </row>
    <row r="380" spans="1:7" x14ac:dyDescent="0.3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80" s="1" t="s">
        <v>964</v>
      </c>
      <c r="D380" s="1" t="s">
        <v>965</v>
      </c>
      <c r="E380" s="1" t="s">
        <v>966</v>
      </c>
      <c r="F380" s="1" t="s">
        <v>112</v>
      </c>
      <c r="G380" s="1">
        <v>32921</v>
      </c>
    </row>
    <row r="381" spans="1:7" x14ac:dyDescent="0.3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967</v>
      </c>
      <c r="D381" s="1" t="s">
        <v>527</v>
      </c>
      <c r="E381" s="1" t="s">
        <v>968</v>
      </c>
      <c r="F381" s="1" t="s">
        <v>112</v>
      </c>
      <c r="G381" s="1">
        <v>213076</v>
      </c>
    </row>
    <row r="382" spans="1:7" x14ac:dyDescent="0.3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969</v>
      </c>
      <c r="D382" s="1" t="s">
        <v>970</v>
      </c>
      <c r="E382" s="1" t="s">
        <v>971</v>
      </c>
      <c r="F382" s="1" t="s">
        <v>112</v>
      </c>
      <c r="G382" s="1">
        <v>99087</v>
      </c>
    </row>
    <row r="383" spans="1:7" x14ac:dyDescent="0.3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3" s="1" t="s">
        <v>972</v>
      </c>
      <c r="D383" s="1" t="s">
        <v>973</v>
      </c>
      <c r="E383" s="1" t="s">
        <v>974</v>
      </c>
      <c r="F383" s="1" t="s">
        <v>112</v>
      </c>
      <c r="G383" s="1">
        <v>247251</v>
      </c>
    </row>
    <row r="384" spans="1:7" x14ac:dyDescent="0.3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975</v>
      </c>
      <c r="D384" s="1" t="s">
        <v>628</v>
      </c>
      <c r="E384" s="1" t="s">
        <v>976</v>
      </c>
      <c r="F384" s="1" t="s">
        <v>112</v>
      </c>
      <c r="G384" s="1">
        <v>174683</v>
      </c>
    </row>
    <row r="385" spans="1:7" x14ac:dyDescent="0.3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977</v>
      </c>
      <c r="D385" s="1" t="s">
        <v>978</v>
      </c>
      <c r="E385" s="1" t="s">
        <v>979</v>
      </c>
      <c r="F385" s="1" t="s">
        <v>112</v>
      </c>
      <c r="G385" s="1">
        <v>191316</v>
      </c>
    </row>
    <row r="386" spans="1:7" x14ac:dyDescent="0.3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6" s="1" t="s">
        <v>980</v>
      </c>
      <c r="D386" s="1" t="s">
        <v>981</v>
      </c>
      <c r="E386" s="1" t="s">
        <v>982</v>
      </c>
      <c r="F386" s="1" t="s">
        <v>112</v>
      </c>
      <c r="G386" s="1">
        <v>166766</v>
      </c>
    </row>
    <row r="387" spans="1:7" x14ac:dyDescent="0.3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983</v>
      </c>
      <c r="D387" s="1" t="s">
        <v>984</v>
      </c>
      <c r="E387" s="1" t="s">
        <v>985</v>
      </c>
      <c r="F387" s="1" t="s">
        <v>112</v>
      </c>
      <c r="G387" s="1">
        <v>328363</v>
      </c>
    </row>
    <row r="388" spans="1:7" x14ac:dyDescent="0.3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986</v>
      </c>
      <c r="D388" s="1" t="s">
        <v>251</v>
      </c>
      <c r="E388" s="1" t="s">
        <v>987</v>
      </c>
      <c r="F388" s="1" t="s">
        <v>112</v>
      </c>
      <c r="G388" s="1">
        <v>42481</v>
      </c>
    </row>
    <row r="389" spans="1:7" x14ac:dyDescent="0.35">
      <c r="A389" s="1" t="str">
        <f t="shared" si="6"/>
        <v>10</v>
      </c>
      <c r="B3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9" s="1" t="s">
        <v>988</v>
      </c>
      <c r="D389" s="1" t="s">
        <v>989</v>
      </c>
      <c r="E389" s="1" t="s">
        <v>990</v>
      </c>
      <c r="F389" s="1" t="s">
        <v>112</v>
      </c>
      <c r="G389" s="1">
        <v>304614</v>
      </c>
    </row>
    <row r="390" spans="1:7"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112</v>
      </c>
    </row>
    <row r="391" spans="1:7"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1" s="1" t="s">
        <v>233</v>
      </c>
      <c r="D391" s="1" t="s">
        <v>112</v>
      </c>
      <c r="E391" s="1" t="s">
        <v>234</v>
      </c>
      <c r="F391" s="1" t="s">
        <v>235</v>
      </c>
      <c r="G391" s="1" t="s">
        <v>236</v>
      </c>
    </row>
    <row r="392" spans="1:7" x14ac:dyDescent="0.35">
      <c r="A392" s="1" t="str">
        <f t="shared" si="6"/>
        <v>10</v>
      </c>
      <c r="B3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2" s="1" t="s">
        <v>991</v>
      </c>
      <c r="D392" s="1" t="s">
        <v>112</v>
      </c>
      <c r="E392" s="1" t="s">
        <v>992</v>
      </c>
      <c r="F392" s="1" t="s">
        <v>993</v>
      </c>
      <c r="G392" s="1" t="s">
        <v>994</v>
      </c>
    </row>
    <row r="393" spans="1:7"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7"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7"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7"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7"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112</v>
      </c>
    </row>
    <row r="398" spans="1:7"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8" s="1" t="s">
        <v>166</v>
      </c>
      <c r="D398" s="1" t="s">
        <v>110</v>
      </c>
      <c r="E398" s="1" t="s">
        <v>111</v>
      </c>
      <c r="F398" s="1" t="s">
        <v>112</v>
      </c>
      <c r="G398" s="1" t="s">
        <v>113</v>
      </c>
    </row>
    <row r="399" spans="1:7" x14ac:dyDescent="0.3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995</v>
      </c>
      <c r="D399" s="1">
        <v>0</v>
      </c>
      <c r="E399" s="1">
        <v>0</v>
      </c>
      <c r="F399" s="1" t="s">
        <v>112</v>
      </c>
      <c r="G399" s="1">
        <v>0</v>
      </c>
    </row>
    <row r="400" spans="1:7" x14ac:dyDescent="0.3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996</v>
      </c>
      <c r="D400" s="1">
        <v>0</v>
      </c>
      <c r="E400" s="1">
        <v>0</v>
      </c>
      <c r="F400" s="1" t="s">
        <v>112</v>
      </c>
      <c r="G400" s="1">
        <v>0</v>
      </c>
    </row>
    <row r="401" spans="1:7" x14ac:dyDescent="0.3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1" s="1" t="s">
        <v>997</v>
      </c>
      <c r="D401" s="1" t="s">
        <v>998</v>
      </c>
      <c r="E401" s="1" t="s">
        <v>999</v>
      </c>
      <c r="F401" s="1" t="s">
        <v>112</v>
      </c>
      <c r="G401" s="1">
        <v>28681</v>
      </c>
    </row>
    <row r="402" spans="1:7" x14ac:dyDescent="0.3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1000</v>
      </c>
      <c r="D402" s="1" t="s">
        <v>1001</v>
      </c>
      <c r="E402" s="1" t="s">
        <v>1002</v>
      </c>
      <c r="F402" s="1" t="s">
        <v>112</v>
      </c>
      <c r="G402" s="1">
        <v>271001</v>
      </c>
    </row>
    <row r="403" spans="1:7" x14ac:dyDescent="0.3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1003</v>
      </c>
      <c r="D403" s="1" t="s">
        <v>186</v>
      </c>
      <c r="E403" s="1" t="s">
        <v>1004</v>
      </c>
      <c r="F403" s="1" t="s">
        <v>112</v>
      </c>
      <c r="G403" s="1">
        <v>297909</v>
      </c>
    </row>
    <row r="404" spans="1:7" x14ac:dyDescent="0.3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4" s="1" t="s">
        <v>1005</v>
      </c>
      <c r="D404" s="1" t="s">
        <v>1006</v>
      </c>
      <c r="E404" s="1" t="s">
        <v>1007</v>
      </c>
      <c r="F404" s="1" t="s">
        <v>112</v>
      </c>
      <c r="G404" s="1">
        <v>213119</v>
      </c>
    </row>
    <row r="405" spans="1:7" x14ac:dyDescent="0.3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1008</v>
      </c>
      <c r="D405" s="1">
        <v>0</v>
      </c>
      <c r="E405" s="1">
        <v>0</v>
      </c>
      <c r="F405" s="1" t="s">
        <v>112</v>
      </c>
      <c r="G405" s="1">
        <v>0</v>
      </c>
    </row>
    <row r="406" spans="1:7" x14ac:dyDescent="0.3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1009</v>
      </c>
      <c r="D406" s="1">
        <v>0</v>
      </c>
      <c r="E406" s="1">
        <v>0</v>
      </c>
      <c r="F406" s="1" t="s">
        <v>112</v>
      </c>
      <c r="G406" s="1">
        <v>0</v>
      </c>
    </row>
    <row r="407" spans="1:7" x14ac:dyDescent="0.3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7" s="1" t="s">
        <v>1010</v>
      </c>
      <c r="D407" s="1" t="s">
        <v>1011</v>
      </c>
      <c r="E407" s="1" t="s">
        <v>1012</v>
      </c>
      <c r="F407" s="1" t="s">
        <v>112</v>
      </c>
      <c r="G407" s="1">
        <v>210805</v>
      </c>
    </row>
    <row r="408" spans="1:7" x14ac:dyDescent="0.3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1013</v>
      </c>
      <c r="D408" s="1" t="s">
        <v>1014</v>
      </c>
      <c r="E408" s="1" t="s">
        <v>1015</v>
      </c>
      <c r="F408" s="1" t="s">
        <v>112</v>
      </c>
      <c r="G408" s="1">
        <v>352957</v>
      </c>
    </row>
    <row r="409" spans="1:7" x14ac:dyDescent="0.3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1016</v>
      </c>
      <c r="D409" s="1" t="s">
        <v>1017</v>
      </c>
      <c r="E409" s="1" t="s">
        <v>1018</v>
      </c>
      <c r="F409" s="1" t="s">
        <v>112</v>
      </c>
      <c r="G409" s="1">
        <v>286596</v>
      </c>
    </row>
    <row r="410" spans="1:7" x14ac:dyDescent="0.3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10" s="1" t="s">
        <v>1019</v>
      </c>
      <c r="D410" s="1" t="s">
        <v>1020</v>
      </c>
      <c r="E410" s="1" t="s">
        <v>1021</v>
      </c>
      <c r="F410" s="1" t="s">
        <v>112</v>
      </c>
      <c r="G410" s="1">
        <v>265226</v>
      </c>
    </row>
    <row r="411" spans="1:7" x14ac:dyDescent="0.3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1022</v>
      </c>
      <c r="D411" s="1" t="s">
        <v>1023</v>
      </c>
      <c r="E411" s="1" t="s">
        <v>1024</v>
      </c>
      <c r="F411" s="1" t="s">
        <v>112</v>
      </c>
      <c r="G411" s="1">
        <v>270612</v>
      </c>
    </row>
    <row r="412" spans="1:7" x14ac:dyDescent="0.3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1025</v>
      </c>
      <c r="D412" s="1" t="s">
        <v>1026</v>
      </c>
      <c r="E412" s="1" t="s">
        <v>1027</v>
      </c>
      <c r="F412" s="1" t="s">
        <v>112</v>
      </c>
      <c r="G412" s="1">
        <v>320944</v>
      </c>
    </row>
    <row r="413" spans="1:7" x14ac:dyDescent="0.3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3" s="1" t="s">
        <v>1028</v>
      </c>
      <c r="D413" s="1" t="s">
        <v>1029</v>
      </c>
      <c r="E413" s="1" t="s">
        <v>1030</v>
      </c>
      <c r="F413" s="1" t="s">
        <v>112</v>
      </c>
      <c r="G413" s="1">
        <v>393621</v>
      </c>
    </row>
    <row r="414" spans="1:7" x14ac:dyDescent="0.3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1031</v>
      </c>
      <c r="D414" s="1" t="s">
        <v>1032</v>
      </c>
      <c r="E414" s="1" t="s">
        <v>1033</v>
      </c>
      <c r="F414" s="1" t="s">
        <v>112</v>
      </c>
      <c r="G414" s="1">
        <v>61970</v>
      </c>
    </row>
    <row r="415" spans="1:7" x14ac:dyDescent="0.3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1034</v>
      </c>
      <c r="D415" s="1" t="s">
        <v>1035</v>
      </c>
      <c r="E415" s="1" t="s">
        <v>1036</v>
      </c>
      <c r="F415" s="1" t="s">
        <v>112</v>
      </c>
      <c r="G415" s="1">
        <v>92143</v>
      </c>
    </row>
    <row r="416" spans="1:7" x14ac:dyDescent="0.3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6" s="1" t="s">
        <v>1037</v>
      </c>
      <c r="D416" s="1" t="s">
        <v>1038</v>
      </c>
      <c r="E416" s="1" t="s">
        <v>1039</v>
      </c>
      <c r="F416" s="1" t="s">
        <v>112</v>
      </c>
      <c r="G416" s="1">
        <v>46591</v>
      </c>
    </row>
    <row r="417" spans="1:7" x14ac:dyDescent="0.3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1040</v>
      </c>
    </row>
    <row r="418" spans="1:7" x14ac:dyDescent="0.3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1041</v>
      </c>
    </row>
    <row r="419" spans="1:7" x14ac:dyDescent="0.3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9" s="1" t="s">
        <v>1042</v>
      </c>
    </row>
    <row r="420" spans="1:7" x14ac:dyDescent="0.3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1043</v>
      </c>
      <c r="D420" s="1">
        <v>0</v>
      </c>
      <c r="E420" s="1">
        <v>0</v>
      </c>
      <c r="F420" s="1" t="s">
        <v>112</v>
      </c>
      <c r="G420" s="1">
        <v>0</v>
      </c>
    </row>
    <row r="421" spans="1:7" x14ac:dyDescent="0.3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1044</v>
      </c>
      <c r="D421" s="1" t="s">
        <v>452</v>
      </c>
      <c r="E421" s="1">
        <v>30</v>
      </c>
      <c r="F421" s="1" t="s">
        <v>112</v>
      </c>
      <c r="G421" s="1">
        <v>649</v>
      </c>
    </row>
    <row r="422" spans="1:7" x14ac:dyDescent="0.35">
      <c r="A422" s="1" t="str">
        <f t="shared" si="6"/>
        <v>11</v>
      </c>
      <c r="B4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2" s="1" t="s">
        <v>1045</v>
      </c>
      <c r="D422" s="1" t="s">
        <v>1046</v>
      </c>
      <c r="E422" s="1" t="s">
        <v>1047</v>
      </c>
      <c r="F422" s="1" t="s">
        <v>112</v>
      </c>
      <c r="G422" s="1">
        <v>1319</v>
      </c>
    </row>
    <row r="423" spans="1:7"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112</v>
      </c>
    </row>
    <row r="424" spans="1:7"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4" s="1" t="s">
        <v>233</v>
      </c>
      <c r="D424" s="1" t="s">
        <v>112</v>
      </c>
      <c r="E424" s="1" t="s">
        <v>234</v>
      </c>
      <c r="F424" s="1" t="s">
        <v>235</v>
      </c>
      <c r="G424" s="1" t="s">
        <v>236</v>
      </c>
    </row>
    <row r="425" spans="1:7" x14ac:dyDescent="0.35">
      <c r="A425" s="1" t="str">
        <f t="shared" si="6"/>
        <v>11</v>
      </c>
      <c r="B4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5" s="1" t="s">
        <v>1048</v>
      </c>
      <c r="D425" s="1" t="s">
        <v>112</v>
      </c>
      <c r="E425" s="1" t="s">
        <v>1049</v>
      </c>
      <c r="F425" s="1" t="s">
        <v>1050</v>
      </c>
      <c r="G425" s="1" t="s">
        <v>1051</v>
      </c>
    </row>
    <row r="426" spans="1:7"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7"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7"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7"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7"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112</v>
      </c>
    </row>
    <row r="431" spans="1:7"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1" s="1" t="s">
        <v>166</v>
      </c>
      <c r="D431" s="1" t="s">
        <v>110</v>
      </c>
      <c r="E431" s="1" t="s">
        <v>111</v>
      </c>
      <c r="F431" s="1" t="s">
        <v>112</v>
      </c>
      <c r="G431" s="1" t="s">
        <v>113</v>
      </c>
    </row>
    <row r="432" spans="1:7" x14ac:dyDescent="0.3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1052</v>
      </c>
      <c r="D432" s="1" t="s">
        <v>1053</v>
      </c>
      <c r="E432" s="1" t="s">
        <v>1054</v>
      </c>
      <c r="F432" s="1" t="s">
        <v>112</v>
      </c>
      <c r="G432" s="1">
        <v>123615</v>
      </c>
    </row>
    <row r="433" spans="1:7" x14ac:dyDescent="0.3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1055</v>
      </c>
      <c r="D433" s="1" t="s">
        <v>231</v>
      </c>
      <c r="E433" s="1" t="s">
        <v>1056</v>
      </c>
      <c r="F433" s="1" t="s">
        <v>112</v>
      </c>
      <c r="G433" s="1">
        <v>28314</v>
      </c>
    </row>
    <row r="434" spans="1:7" x14ac:dyDescent="0.3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4" s="1" t="s">
        <v>1057</v>
      </c>
      <c r="D434" s="1" t="s">
        <v>581</v>
      </c>
      <c r="E434" s="1" t="s">
        <v>1058</v>
      </c>
      <c r="F434" s="1" t="s">
        <v>112</v>
      </c>
      <c r="G434" s="1">
        <v>84919</v>
      </c>
    </row>
    <row r="435" spans="1:7" x14ac:dyDescent="0.3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1059</v>
      </c>
      <c r="D435" s="1" t="s">
        <v>1060</v>
      </c>
      <c r="E435" s="1" t="s">
        <v>1061</v>
      </c>
      <c r="F435" s="1" t="s">
        <v>112</v>
      </c>
      <c r="G435" s="1">
        <v>138345</v>
      </c>
    </row>
    <row r="436" spans="1:7" x14ac:dyDescent="0.3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1062</v>
      </c>
      <c r="D436" s="1" t="s">
        <v>1035</v>
      </c>
      <c r="E436" s="1" t="s">
        <v>1063</v>
      </c>
      <c r="F436" s="1" t="s">
        <v>112</v>
      </c>
      <c r="G436" s="1">
        <v>88574</v>
      </c>
    </row>
    <row r="437" spans="1:7" x14ac:dyDescent="0.3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7" s="1" t="s">
        <v>1064</v>
      </c>
      <c r="D437" s="1" t="s">
        <v>1065</v>
      </c>
      <c r="E437" s="1" t="s">
        <v>1066</v>
      </c>
      <c r="F437" s="1" t="s">
        <v>112</v>
      </c>
      <c r="G437" s="1">
        <v>73563</v>
      </c>
    </row>
    <row r="438" spans="1:7" x14ac:dyDescent="0.3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1067</v>
      </c>
      <c r="D438" s="1" t="s">
        <v>1068</v>
      </c>
      <c r="E438" s="1" t="s">
        <v>1069</v>
      </c>
      <c r="F438" s="1" t="s">
        <v>112</v>
      </c>
      <c r="G438" s="1">
        <v>266891</v>
      </c>
    </row>
    <row r="439" spans="1:7" x14ac:dyDescent="0.3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1070</v>
      </c>
      <c r="D439" s="1" t="s">
        <v>1071</v>
      </c>
      <c r="E439" s="1" t="s">
        <v>1072</v>
      </c>
      <c r="F439" s="1" t="s">
        <v>112</v>
      </c>
      <c r="G439" s="1">
        <v>217207</v>
      </c>
    </row>
    <row r="440" spans="1:7" x14ac:dyDescent="0.3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40" s="1" t="s">
        <v>1073</v>
      </c>
      <c r="D440" s="1" t="s">
        <v>1074</v>
      </c>
      <c r="E440" s="1" t="s">
        <v>1075</v>
      </c>
      <c r="F440" s="1" t="s">
        <v>112</v>
      </c>
      <c r="G440" s="1">
        <v>252529</v>
      </c>
    </row>
    <row r="441" spans="1:7" x14ac:dyDescent="0.3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1076</v>
      </c>
    </row>
    <row r="442" spans="1:7" x14ac:dyDescent="0.3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1077</v>
      </c>
      <c r="D442" s="1" t="s">
        <v>1078</v>
      </c>
      <c r="E442" s="1" t="s">
        <v>1079</v>
      </c>
      <c r="F442" s="1" t="s">
        <v>112</v>
      </c>
      <c r="G442" s="1">
        <v>3937</v>
      </c>
    </row>
    <row r="443" spans="1:7" x14ac:dyDescent="0.3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3" s="1" t="s">
        <v>1080</v>
      </c>
      <c r="D443" s="1" t="s">
        <v>177</v>
      </c>
      <c r="E443" s="1" t="s">
        <v>1081</v>
      </c>
      <c r="F443" s="1" t="s">
        <v>112</v>
      </c>
      <c r="G443" s="1">
        <v>3439</v>
      </c>
    </row>
    <row r="444" spans="1:7" x14ac:dyDescent="0.3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1082</v>
      </c>
      <c r="D444" s="1" t="s">
        <v>1083</v>
      </c>
      <c r="E444" s="1" t="s">
        <v>1084</v>
      </c>
      <c r="F444" s="1" t="s">
        <v>112</v>
      </c>
      <c r="G444" s="1">
        <v>206133</v>
      </c>
    </row>
    <row r="445" spans="1:7" x14ac:dyDescent="0.3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1085</v>
      </c>
      <c r="D445" s="1" t="s">
        <v>1086</v>
      </c>
      <c r="E445" s="1" t="s">
        <v>1087</v>
      </c>
      <c r="F445" s="1" t="s">
        <v>112</v>
      </c>
      <c r="G445" s="1">
        <v>371299</v>
      </c>
    </row>
    <row r="446" spans="1:7" x14ac:dyDescent="0.3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6" s="1" t="s">
        <v>1088</v>
      </c>
      <c r="D446" s="1" t="s">
        <v>1071</v>
      </c>
      <c r="E446" s="1" t="s">
        <v>1089</v>
      </c>
      <c r="F446" s="1" t="s">
        <v>112</v>
      </c>
      <c r="G446" s="1">
        <v>202304</v>
      </c>
    </row>
    <row r="447" spans="1:7" x14ac:dyDescent="0.3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1090</v>
      </c>
      <c r="D447" s="1" t="s">
        <v>1091</v>
      </c>
      <c r="E447" s="1" t="s">
        <v>1092</v>
      </c>
      <c r="F447" s="1" t="s">
        <v>112</v>
      </c>
      <c r="G447" s="1">
        <v>12913</v>
      </c>
    </row>
    <row r="448" spans="1:7" x14ac:dyDescent="0.3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1093</v>
      </c>
      <c r="D448" s="1" t="s">
        <v>222</v>
      </c>
      <c r="E448" s="1">
        <v>32</v>
      </c>
      <c r="F448" s="1" t="s">
        <v>112</v>
      </c>
      <c r="G448" s="1">
        <v>2076</v>
      </c>
    </row>
    <row r="449" spans="1:7" x14ac:dyDescent="0.3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9" s="1" t="s">
        <v>1094</v>
      </c>
      <c r="D449" s="1" t="s">
        <v>1095</v>
      </c>
      <c r="E449" s="1" t="s">
        <v>1096</v>
      </c>
      <c r="F449" s="1" t="s">
        <v>112</v>
      </c>
      <c r="G449" s="1">
        <v>79360</v>
      </c>
    </row>
    <row r="450" spans="1:7" x14ac:dyDescent="0.3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1097</v>
      </c>
      <c r="D450" s="1" t="s">
        <v>1098</v>
      </c>
      <c r="E450" s="1">
        <v>32</v>
      </c>
      <c r="F450" s="1" t="s">
        <v>112</v>
      </c>
      <c r="G450" s="1">
        <v>8998</v>
      </c>
    </row>
    <row r="451" spans="1:7" x14ac:dyDescent="0.3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1099</v>
      </c>
      <c r="D451" s="1" t="s">
        <v>452</v>
      </c>
      <c r="E451" s="1">
        <v>30</v>
      </c>
      <c r="F451" s="1" t="s">
        <v>112</v>
      </c>
      <c r="G451" s="1">
        <v>649</v>
      </c>
    </row>
    <row r="452" spans="1:7" x14ac:dyDescent="0.3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2" s="1" t="s">
        <v>1100</v>
      </c>
      <c r="D452" s="1" t="s">
        <v>222</v>
      </c>
      <c r="E452" s="1" t="s">
        <v>1101</v>
      </c>
      <c r="F452" s="1" t="s">
        <v>112</v>
      </c>
      <c r="G452" s="1">
        <v>1990</v>
      </c>
    </row>
    <row r="453" spans="1:7" x14ac:dyDescent="0.3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1102</v>
      </c>
      <c r="D453" s="1" t="s">
        <v>1032</v>
      </c>
      <c r="E453" s="1" t="s">
        <v>1103</v>
      </c>
      <c r="F453" s="1" t="s">
        <v>112</v>
      </c>
      <c r="G453" s="1">
        <v>57362</v>
      </c>
    </row>
    <row r="454" spans="1:7" x14ac:dyDescent="0.3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1104</v>
      </c>
    </row>
    <row r="455" spans="1:7" x14ac:dyDescent="0.35">
      <c r="A455" s="1" t="str">
        <f t="shared" si="7"/>
        <v>12</v>
      </c>
      <c r="B4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5" s="1" t="s">
        <v>1105</v>
      </c>
      <c r="D455" s="1" t="s">
        <v>1106</v>
      </c>
      <c r="E455" s="1" t="s">
        <v>1107</v>
      </c>
      <c r="F455" s="1" t="s">
        <v>112</v>
      </c>
      <c r="G455" s="1">
        <v>129022</v>
      </c>
    </row>
    <row r="456" spans="1:7"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112</v>
      </c>
    </row>
    <row r="457" spans="1:7"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7" s="1" t="s">
        <v>233</v>
      </c>
      <c r="D457" s="1" t="s">
        <v>112</v>
      </c>
      <c r="E457" s="1" t="s">
        <v>234</v>
      </c>
      <c r="F457" s="1" t="s">
        <v>235</v>
      </c>
      <c r="G457" s="1" t="s">
        <v>236</v>
      </c>
    </row>
    <row r="458" spans="1:7" x14ac:dyDescent="0.35">
      <c r="A458" s="1" t="str">
        <f t="shared" si="7"/>
        <v>12</v>
      </c>
      <c r="B4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8" s="1" t="s">
        <v>1108</v>
      </c>
      <c r="D458" s="1" t="s">
        <v>112</v>
      </c>
      <c r="E458" s="1" t="s">
        <v>1109</v>
      </c>
      <c r="F458" s="1" t="s">
        <v>1110</v>
      </c>
      <c r="G458" s="1" t="s">
        <v>1111</v>
      </c>
    </row>
    <row r="459" spans="1:7"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7"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7"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7"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7"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112</v>
      </c>
    </row>
    <row r="464" spans="1:7"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4" s="1" t="s">
        <v>166</v>
      </c>
      <c r="D464" s="1" t="s">
        <v>110</v>
      </c>
      <c r="E464" s="1" t="s">
        <v>111</v>
      </c>
      <c r="F464" s="1" t="s">
        <v>112</v>
      </c>
      <c r="G464" s="1" t="s">
        <v>113</v>
      </c>
    </row>
    <row r="465" spans="1:7" x14ac:dyDescent="0.3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1112</v>
      </c>
      <c r="D465" s="1" t="s">
        <v>1113</v>
      </c>
      <c r="E465" s="1" t="s">
        <v>1114</v>
      </c>
      <c r="F465" s="1" t="s">
        <v>112</v>
      </c>
      <c r="G465" s="1">
        <v>5256</v>
      </c>
    </row>
    <row r="466" spans="1:7" x14ac:dyDescent="0.3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1115</v>
      </c>
      <c r="D466" s="1" t="s">
        <v>930</v>
      </c>
      <c r="E466" s="1" t="s">
        <v>1116</v>
      </c>
      <c r="F466" s="1" t="s">
        <v>112</v>
      </c>
      <c r="G466" s="1">
        <v>16114</v>
      </c>
    </row>
    <row r="467" spans="1:7" x14ac:dyDescent="0.3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7" s="1" t="s">
        <v>1117</v>
      </c>
      <c r="D467" s="1" t="s">
        <v>637</v>
      </c>
      <c r="E467" s="1" t="s">
        <v>1118</v>
      </c>
      <c r="F467" s="1" t="s">
        <v>112</v>
      </c>
      <c r="G467" s="1">
        <v>59742</v>
      </c>
    </row>
    <row r="468" spans="1:7" x14ac:dyDescent="0.3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1119</v>
      </c>
      <c r="D468" s="1" t="s">
        <v>1120</v>
      </c>
      <c r="E468" s="1" t="s">
        <v>1121</v>
      </c>
      <c r="F468" s="1" t="s">
        <v>112</v>
      </c>
      <c r="G468" s="1">
        <v>57860</v>
      </c>
    </row>
    <row r="469" spans="1:7" x14ac:dyDescent="0.3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1122</v>
      </c>
      <c r="D469" s="1" t="s">
        <v>700</v>
      </c>
      <c r="E469" s="1" t="s">
        <v>1123</v>
      </c>
      <c r="F469" s="1" t="s">
        <v>112</v>
      </c>
      <c r="G469" s="1">
        <v>74515</v>
      </c>
    </row>
    <row r="470" spans="1:7" x14ac:dyDescent="0.3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70" s="1" t="s">
        <v>1124</v>
      </c>
      <c r="D470" s="1" t="s">
        <v>1125</v>
      </c>
      <c r="E470" s="1" t="s">
        <v>1126</v>
      </c>
      <c r="F470" s="1" t="s">
        <v>112</v>
      </c>
      <c r="G470" s="1">
        <v>62164</v>
      </c>
    </row>
    <row r="471" spans="1:7" x14ac:dyDescent="0.3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1127</v>
      </c>
      <c r="D471" s="1" t="s">
        <v>1128</v>
      </c>
      <c r="E471" s="1" t="s">
        <v>1129</v>
      </c>
      <c r="F471" s="1" t="s">
        <v>112</v>
      </c>
      <c r="G471" s="1">
        <v>232673</v>
      </c>
    </row>
    <row r="472" spans="1:7" x14ac:dyDescent="0.3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1130</v>
      </c>
      <c r="D472" s="1" t="s">
        <v>1131</v>
      </c>
      <c r="E472" s="1" t="s">
        <v>1132</v>
      </c>
      <c r="F472" s="1" t="s">
        <v>112</v>
      </c>
      <c r="G472" s="1">
        <v>253135</v>
      </c>
    </row>
    <row r="473" spans="1:7" x14ac:dyDescent="0.3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3" s="1" t="s">
        <v>1133</v>
      </c>
      <c r="D473" s="1" t="s">
        <v>1134</v>
      </c>
      <c r="E473" s="1" t="s">
        <v>1135</v>
      </c>
      <c r="F473" s="1" t="s">
        <v>112</v>
      </c>
      <c r="G473" s="1">
        <v>225903</v>
      </c>
    </row>
    <row r="474" spans="1:7" x14ac:dyDescent="0.3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1136</v>
      </c>
      <c r="D474" s="1" t="s">
        <v>1137</v>
      </c>
      <c r="E474" s="1" t="s">
        <v>1138</v>
      </c>
      <c r="F474" s="1" t="s">
        <v>112</v>
      </c>
      <c r="G474" s="1">
        <v>136160</v>
      </c>
    </row>
    <row r="475" spans="1:7" x14ac:dyDescent="0.3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1139</v>
      </c>
      <c r="D475" s="1" t="s">
        <v>1140</v>
      </c>
      <c r="E475" s="1" t="s">
        <v>1141</v>
      </c>
      <c r="F475" s="1" t="s">
        <v>112</v>
      </c>
      <c r="G475" s="1">
        <v>112778</v>
      </c>
    </row>
    <row r="476" spans="1:7" x14ac:dyDescent="0.3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6" s="1" t="s">
        <v>1142</v>
      </c>
      <c r="D476" s="1" t="s">
        <v>1143</v>
      </c>
      <c r="E476" s="1" t="s">
        <v>1144</v>
      </c>
      <c r="F476" s="1" t="s">
        <v>112</v>
      </c>
      <c r="G476" s="1">
        <v>164582</v>
      </c>
    </row>
    <row r="477" spans="1:7" x14ac:dyDescent="0.3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1145</v>
      </c>
      <c r="D477" s="1" t="s">
        <v>1146</v>
      </c>
      <c r="E477" s="1" t="s">
        <v>1147</v>
      </c>
      <c r="F477" s="1" t="s">
        <v>112</v>
      </c>
      <c r="G477" s="1">
        <v>688220</v>
      </c>
    </row>
    <row r="478" spans="1:7" x14ac:dyDescent="0.3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1148</v>
      </c>
    </row>
    <row r="479" spans="1:7" x14ac:dyDescent="0.3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9" s="1" t="s">
        <v>1149</v>
      </c>
    </row>
    <row r="480" spans="1:7" x14ac:dyDescent="0.3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1150</v>
      </c>
      <c r="D480" s="1" t="s">
        <v>590</v>
      </c>
      <c r="E480" s="1" t="s">
        <v>1151</v>
      </c>
      <c r="F480" s="1" t="s">
        <v>112</v>
      </c>
      <c r="G480" s="1">
        <v>100428</v>
      </c>
    </row>
    <row r="481" spans="1:7" x14ac:dyDescent="0.3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1152</v>
      </c>
      <c r="D481" s="1" t="s">
        <v>1153</v>
      </c>
      <c r="E481" s="1" t="s">
        <v>1154</v>
      </c>
      <c r="F481" s="1" t="s">
        <v>112</v>
      </c>
      <c r="G481" s="1">
        <v>79274</v>
      </c>
    </row>
    <row r="482" spans="1:7" x14ac:dyDescent="0.3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2" s="1" t="s">
        <v>1155</v>
      </c>
      <c r="D482" s="1" t="s">
        <v>1156</v>
      </c>
      <c r="E482" s="1" t="s">
        <v>1157</v>
      </c>
      <c r="F482" s="1" t="s">
        <v>112</v>
      </c>
      <c r="G482" s="1">
        <v>12243</v>
      </c>
    </row>
    <row r="483" spans="1:7" x14ac:dyDescent="0.3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1158</v>
      </c>
      <c r="D483" s="1" t="s">
        <v>1159</v>
      </c>
      <c r="E483" s="1" t="s">
        <v>1160</v>
      </c>
      <c r="F483" s="1" t="s">
        <v>112</v>
      </c>
      <c r="G483" s="1">
        <v>241909</v>
      </c>
    </row>
    <row r="484" spans="1:7" x14ac:dyDescent="0.3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1161</v>
      </c>
      <c r="D484" s="1" t="s">
        <v>650</v>
      </c>
      <c r="E484" s="1" t="s">
        <v>1162</v>
      </c>
      <c r="F484" s="1" t="s">
        <v>112</v>
      </c>
      <c r="G484" s="1">
        <v>269314</v>
      </c>
    </row>
    <row r="485" spans="1:7" x14ac:dyDescent="0.3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5" s="1" t="s">
        <v>1163</v>
      </c>
      <c r="D485" s="1" t="s">
        <v>1164</v>
      </c>
      <c r="E485" s="1" t="s">
        <v>1165</v>
      </c>
      <c r="F485" s="1" t="s">
        <v>112</v>
      </c>
      <c r="G485" s="1">
        <v>254779</v>
      </c>
    </row>
    <row r="486" spans="1:7" x14ac:dyDescent="0.3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1166</v>
      </c>
      <c r="D486" s="1" t="s">
        <v>1167</v>
      </c>
      <c r="E486" s="1" t="s">
        <v>1168</v>
      </c>
      <c r="F486" s="1" t="s">
        <v>112</v>
      </c>
      <c r="G486" s="1">
        <v>293063</v>
      </c>
    </row>
    <row r="487" spans="1:7" x14ac:dyDescent="0.3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1169</v>
      </c>
      <c r="D487" s="1" t="s">
        <v>1170</v>
      </c>
      <c r="E487" s="1" t="s">
        <v>1171</v>
      </c>
      <c r="F487" s="1" t="s">
        <v>112</v>
      </c>
      <c r="G487" s="1">
        <v>311687</v>
      </c>
    </row>
    <row r="488" spans="1:7" x14ac:dyDescent="0.35">
      <c r="A488" s="1" t="str">
        <f t="shared" si="7"/>
        <v>17</v>
      </c>
      <c r="B4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8" s="1" t="s">
        <v>1172</v>
      </c>
      <c r="D488" s="1" t="s">
        <v>483</v>
      </c>
      <c r="E488" s="1" t="s">
        <v>1173</v>
      </c>
      <c r="F488" s="1" t="s">
        <v>112</v>
      </c>
      <c r="G488" s="1">
        <v>159456</v>
      </c>
    </row>
    <row r="489" spans="1:7"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112</v>
      </c>
    </row>
    <row r="490" spans="1:7"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0" s="1" t="s">
        <v>233</v>
      </c>
      <c r="D490" s="1" t="s">
        <v>112</v>
      </c>
      <c r="E490" s="1" t="s">
        <v>234</v>
      </c>
      <c r="F490" s="1" t="s">
        <v>235</v>
      </c>
      <c r="G490" s="1" t="s">
        <v>236</v>
      </c>
    </row>
    <row r="491" spans="1:7" x14ac:dyDescent="0.35">
      <c r="A491" s="1" t="str">
        <f t="shared" si="7"/>
        <v>17</v>
      </c>
      <c r="B4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1" s="1" t="s">
        <v>1174</v>
      </c>
      <c r="D491" s="1" t="s">
        <v>112</v>
      </c>
      <c r="E491" s="1" t="s">
        <v>1175</v>
      </c>
      <c r="F491" s="1" t="s">
        <v>1176</v>
      </c>
      <c r="G491" s="1">
        <v>223637</v>
      </c>
    </row>
    <row r="492" spans="1:7"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7"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7"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7"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7"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112</v>
      </c>
    </row>
    <row r="497" spans="1:7"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7" s="1" t="s">
        <v>166</v>
      </c>
      <c r="D497" s="1" t="s">
        <v>110</v>
      </c>
      <c r="E497" s="1" t="s">
        <v>111</v>
      </c>
      <c r="F497" s="1" t="s">
        <v>112</v>
      </c>
      <c r="G497" s="1" t="s">
        <v>113</v>
      </c>
    </row>
    <row r="498" spans="1:7" x14ac:dyDescent="0.3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1177</v>
      </c>
      <c r="D498" s="1" t="s">
        <v>685</v>
      </c>
      <c r="E498" s="1" t="s">
        <v>1178</v>
      </c>
      <c r="F498" s="1" t="s">
        <v>112</v>
      </c>
      <c r="G498" s="1">
        <v>208447</v>
      </c>
    </row>
    <row r="499" spans="1:7" x14ac:dyDescent="0.3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1179</v>
      </c>
      <c r="D499" s="1" t="s">
        <v>1180</v>
      </c>
      <c r="E499" s="1" t="s">
        <v>1181</v>
      </c>
      <c r="F499" s="1" t="s">
        <v>112</v>
      </c>
      <c r="G499" s="1">
        <v>183854</v>
      </c>
    </row>
    <row r="500" spans="1:7" x14ac:dyDescent="0.3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00" s="1" t="s">
        <v>1182</v>
      </c>
      <c r="D500" s="1" t="s">
        <v>1183</v>
      </c>
      <c r="E500" s="1" t="s">
        <v>1184</v>
      </c>
      <c r="F500" s="1" t="s">
        <v>112</v>
      </c>
      <c r="G500" s="1">
        <v>211649</v>
      </c>
    </row>
    <row r="501" spans="1:7" x14ac:dyDescent="0.3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1185</v>
      </c>
      <c r="D501" s="1" t="s">
        <v>1186</v>
      </c>
      <c r="E501" s="1" t="s">
        <v>1187</v>
      </c>
      <c r="F501" s="1" t="s">
        <v>112</v>
      </c>
      <c r="G501" s="1">
        <v>260683</v>
      </c>
    </row>
    <row r="502" spans="1:7" x14ac:dyDescent="0.3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1188</v>
      </c>
      <c r="D502" s="1" t="s">
        <v>1189</v>
      </c>
      <c r="E502" s="1" t="s">
        <v>1190</v>
      </c>
      <c r="F502" s="1" t="s">
        <v>112</v>
      </c>
      <c r="G502" s="1">
        <v>402035</v>
      </c>
    </row>
    <row r="503" spans="1:7" x14ac:dyDescent="0.3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3" s="1" t="s">
        <v>1191</v>
      </c>
      <c r="D503" s="1" t="s">
        <v>1192</v>
      </c>
      <c r="E503" s="1" t="s">
        <v>1193</v>
      </c>
      <c r="F503" s="1" t="s">
        <v>112</v>
      </c>
      <c r="G503" s="1">
        <v>281080</v>
      </c>
    </row>
    <row r="504" spans="1:7" x14ac:dyDescent="0.3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1194</v>
      </c>
      <c r="D504" s="1" t="s">
        <v>1195</v>
      </c>
      <c r="E504" s="1" t="s">
        <v>1196</v>
      </c>
      <c r="F504" s="1" t="s">
        <v>112</v>
      </c>
      <c r="G504" s="1">
        <v>232911</v>
      </c>
    </row>
    <row r="505" spans="1:7" x14ac:dyDescent="0.3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1197</v>
      </c>
      <c r="D505" s="1" t="s">
        <v>1198</v>
      </c>
      <c r="E505" s="1" t="s">
        <v>1199</v>
      </c>
      <c r="F505" s="1" t="s">
        <v>112</v>
      </c>
      <c r="G505" s="1">
        <v>188418</v>
      </c>
    </row>
    <row r="506" spans="1:7" x14ac:dyDescent="0.3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6" s="1" t="s">
        <v>1200</v>
      </c>
      <c r="D506" s="1" t="s">
        <v>703</v>
      </c>
      <c r="E506" s="1" t="s">
        <v>1201</v>
      </c>
      <c r="F506" s="1" t="s">
        <v>112</v>
      </c>
      <c r="G506" s="1">
        <v>292025</v>
      </c>
    </row>
    <row r="507" spans="1:7" x14ac:dyDescent="0.3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1202</v>
      </c>
      <c r="D507" s="1" t="s">
        <v>1203</v>
      </c>
      <c r="E507" s="1" t="s">
        <v>1204</v>
      </c>
      <c r="F507" s="1" t="s">
        <v>112</v>
      </c>
      <c r="G507" s="1">
        <v>67399</v>
      </c>
    </row>
    <row r="508" spans="1:7" x14ac:dyDescent="0.3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1205</v>
      </c>
    </row>
    <row r="509" spans="1:7" x14ac:dyDescent="0.3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9" s="1" t="s">
        <v>1206</v>
      </c>
    </row>
    <row r="510" spans="1:7" x14ac:dyDescent="0.3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1207</v>
      </c>
      <c r="D510" s="1" t="s">
        <v>1208</v>
      </c>
      <c r="E510" s="1" t="s">
        <v>1209</v>
      </c>
      <c r="F510" s="1" t="s">
        <v>112</v>
      </c>
      <c r="G510" s="1">
        <v>90197</v>
      </c>
    </row>
    <row r="511" spans="1:7" x14ac:dyDescent="0.3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1210</v>
      </c>
      <c r="D511" s="1" t="s">
        <v>1211</v>
      </c>
      <c r="E511" s="1" t="s">
        <v>1212</v>
      </c>
      <c r="F511" s="1" t="s">
        <v>112</v>
      </c>
      <c r="G511" s="1">
        <v>140421</v>
      </c>
    </row>
    <row r="512" spans="1:7" x14ac:dyDescent="0.3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2" s="1" t="s">
        <v>1213</v>
      </c>
      <c r="D512" s="1" t="s">
        <v>545</v>
      </c>
      <c r="E512" s="1" t="s">
        <v>1214</v>
      </c>
      <c r="F512" s="1" t="s">
        <v>112</v>
      </c>
      <c r="G512" s="1">
        <v>94631</v>
      </c>
    </row>
    <row r="513" spans="1:7" x14ac:dyDescent="0.3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1215</v>
      </c>
      <c r="D513" s="1" t="s">
        <v>1216</v>
      </c>
      <c r="E513" s="1" t="s">
        <v>1217</v>
      </c>
      <c r="F513" s="1" t="s">
        <v>112</v>
      </c>
      <c r="G513" s="1">
        <v>90175</v>
      </c>
    </row>
    <row r="514" spans="1:7" x14ac:dyDescent="0.3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1218</v>
      </c>
      <c r="D514" s="1" t="s">
        <v>1219</v>
      </c>
      <c r="E514" s="1" t="s">
        <v>1220</v>
      </c>
      <c r="F514" s="1" t="s">
        <v>112</v>
      </c>
      <c r="G514" s="1">
        <v>68026</v>
      </c>
    </row>
    <row r="515" spans="1:7" x14ac:dyDescent="0.3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5" s="1" t="s">
        <v>1221</v>
      </c>
      <c r="D515" s="1" t="s">
        <v>180</v>
      </c>
      <c r="E515" s="1" t="s">
        <v>1222</v>
      </c>
      <c r="F515" s="1" t="s">
        <v>112</v>
      </c>
      <c r="G515" s="1">
        <v>11572</v>
      </c>
    </row>
    <row r="516" spans="1:7" x14ac:dyDescent="0.3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1223</v>
      </c>
      <c r="D516" s="1" t="s">
        <v>1224</v>
      </c>
      <c r="E516" s="1" t="s">
        <v>1225</v>
      </c>
      <c r="F516" s="1" t="s">
        <v>112</v>
      </c>
      <c r="G516" s="1">
        <v>171785</v>
      </c>
    </row>
    <row r="517" spans="1:7" x14ac:dyDescent="0.3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1226</v>
      </c>
      <c r="D517" s="1" t="s">
        <v>1227</v>
      </c>
      <c r="E517" s="1" t="s">
        <v>1228</v>
      </c>
      <c r="F517" s="1" t="s">
        <v>112</v>
      </c>
      <c r="G517" s="1">
        <v>162570</v>
      </c>
    </row>
    <row r="518" spans="1:7" x14ac:dyDescent="0.3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8" s="1" t="s">
        <v>1229</v>
      </c>
      <c r="D518" s="1" t="s">
        <v>1060</v>
      </c>
      <c r="E518" s="1" t="s">
        <v>1230</v>
      </c>
      <c r="F518" s="1" t="s">
        <v>112</v>
      </c>
      <c r="G518" s="1">
        <v>139816</v>
      </c>
    </row>
    <row r="519" spans="1:7" x14ac:dyDescent="0.3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1231</v>
      </c>
      <c r="D519" s="1" t="s">
        <v>1232</v>
      </c>
      <c r="E519" s="1" t="s">
        <v>1233</v>
      </c>
      <c r="F519" s="1" t="s">
        <v>112</v>
      </c>
      <c r="G519" s="1">
        <v>63419</v>
      </c>
    </row>
    <row r="520" spans="1:7" x14ac:dyDescent="0.3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1234</v>
      </c>
      <c r="D520" s="1" t="s">
        <v>228</v>
      </c>
      <c r="E520" s="1" t="s">
        <v>1235</v>
      </c>
      <c r="F520" s="1" t="s">
        <v>112</v>
      </c>
      <c r="G520" s="1">
        <v>19726</v>
      </c>
    </row>
    <row r="521" spans="1:7" x14ac:dyDescent="0.35">
      <c r="A521" s="1" t="str">
        <f t="shared" si="8"/>
        <v>18</v>
      </c>
      <c r="B5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1" s="1" t="s">
        <v>1236</v>
      </c>
      <c r="D521" s="1" t="s">
        <v>216</v>
      </c>
      <c r="E521" s="1" t="s">
        <v>1237</v>
      </c>
      <c r="F521" s="1" t="s">
        <v>112</v>
      </c>
      <c r="G521" s="1">
        <v>60477</v>
      </c>
    </row>
    <row r="522" spans="1:7"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112</v>
      </c>
    </row>
    <row r="523" spans="1:7"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3" s="1" t="s">
        <v>233</v>
      </c>
      <c r="D523" s="1" t="s">
        <v>112</v>
      </c>
      <c r="E523" s="1" t="s">
        <v>234</v>
      </c>
      <c r="F523" s="1" t="s">
        <v>235</v>
      </c>
      <c r="G523" s="1" t="s">
        <v>236</v>
      </c>
    </row>
    <row r="524" spans="1:7" x14ac:dyDescent="0.35">
      <c r="A524" s="1" t="str">
        <f t="shared" si="8"/>
        <v>18</v>
      </c>
      <c r="B5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4" s="1" t="s">
        <v>1238</v>
      </c>
      <c r="D524" s="1" t="s">
        <v>112</v>
      </c>
      <c r="E524" s="1" t="s">
        <v>1239</v>
      </c>
      <c r="F524" s="1" t="s">
        <v>1240</v>
      </c>
      <c r="G524" s="1" t="s">
        <v>1241</v>
      </c>
    </row>
    <row r="525" spans="1:7"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7"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7"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7"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112</v>
      </c>
    </row>
    <row r="530" spans="1:7"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0" s="1" t="s">
        <v>166</v>
      </c>
      <c r="D530" s="1" t="s">
        <v>110</v>
      </c>
      <c r="E530" s="1" t="s">
        <v>111</v>
      </c>
      <c r="F530" s="1" t="s">
        <v>112</v>
      </c>
      <c r="G530" s="1" t="s">
        <v>113</v>
      </c>
    </row>
    <row r="531" spans="1:7" x14ac:dyDescent="0.3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1242</v>
      </c>
    </row>
    <row r="532" spans="1:7" x14ac:dyDescent="0.3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1243</v>
      </c>
      <c r="D532" s="1" t="s">
        <v>1244</v>
      </c>
      <c r="E532" s="1" t="s">
        <v>1245</v>
      </c>
      <c r="F532" s="1" t="s">
        <v>112</v>
      </c>
      <c r="G532" s="1">
        <v>34651</v>
      </c>
    </row>
    <row r="533" spans="1:7" x14ac:dyDescent="0.3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3" s="1" t="s">
        <v>1246</v>
      </c>
    </row>
    <row r="534" spans="1:7" x14ac:dyDescent="0.3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1247</v>
      </c>
      <c r="D534" s="1" t="s">
        <v>1014</v>
      </c>
      <c r="E534" s="1" t="s">
        <v>1248</v>
      </c>
      <c r="F534" s="1" t="s">
        <v>112</v>
      </c>
      <c r="G534" s="1">
        <v>380427</v>
      </c>
    </row>
    <row r="535" spans="1:7" x14ac:dyDescent="0.3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1249</v>
      </c>
      <c r="D535" s="1" t="s">
        <v>1250</v>
      </c>
      <c r="E535" s="1" t="s">
        <v>1251</v>
      </c>
      <c r="F535" s="1" t="s">
        <v>112</v>
      </c>
      <c r="G535" s="1">
        <v>384385</v>
      </c>
    </row>
    <row r="536" spans="1:7" x14ac:dyDescent="0.3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6" s="1" t="s">
        <v>1252</v>
      </c>
      <c r="D536" s="1" t="s">
        <v>1253</v>
      </c>
      <c r="E536" s="1" t="s">
        <v>1254</v>
      </c>
      <c r="F536" s="1" t="s">
        <v>112</v>
      </c>
      <c r="G536" s="1">
        <v>287245</v>
      </c>
    </row>
    <row r="537" spans="1:7" x14ac:dyDescent="0.3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1255</v>
      </c>
      <c r="D537" s="1" t="s">
        <v>612</v>
      </c>
      <c r="E537" s="1" t="s">
        <v>1256</v>
      </c>
      <c r="F537" s="1" t="s">
        <v>112</v>
      </c>
      <c r="G537" s="1">
        <v>52885</v>
      </c>
    </row>
    <row r="538" spans="1:7" x14ac:dyDescent="0.3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1257</v>
      </c>
      <c r="D538" s="1" t="s">
        <v>1258</v>
      </c>
      <c r="E538" s="1" t="s">
        <v>1259</v>
      </c>
      <c r="F538" s="1" t="s">
        <v>112</v>
      </c>
      <c r="G538" s="1">
        <v>232565</v>
      </c>
    </row>
    <row r="539" spans="1:7" x14ac:dyDescent="0.3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9" s="1" t="s">
        <v>1260</v>
      </c>
      <c r="D539" s="1" t="s">
        <v>637</v>
      </c>
      <c r="E539" s="1" t="s">
        <v>1261</v>
      </c>
      <c r="F539" s="1" t="s">
        <v>112</v>
      </c>
      <c r="G539" s="1">
        <v>59634</v>
      </c>
    </row>
    <row r="540" spans="1:7" x14ac:dyDescent="0.3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1262</v>
      </c>
      <c r="D540" s="1" t="s">
        <v>1263</v>
      </c>
      <c r="E540" s="1" t="s">
        <v>1264</v>
      </c>
      <c r="F540" s="1" t="s">
        <v>112</v>
      </c>
      <c r="G540" s="1">
        <v>213487</v>
      </c>
    </row>
    <row r="541" spans="1:7" x14ac:dyDescent="0.3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1265</v>
      </c>
      <c r="D541" s="1" t="s">
        <v>1266</v>
      </c>
      <c r="E541" s="1" t="s">
        <v>1267</v>
      </c>
      <c r="F541" s="1" t="s">
        <v>112</v>
      </c>
      <c r="G541" s="1">
        <v>265053</v>
      </c>
    </row>
    <row r="542" spans="1:7" x14ac:dyDescent="0.3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2" s="1" t="s">
        <v>1268</v>
      </c>
      <c r="D542" s="1">
        <v>0</v>
      </c>
      <c r="E542" s="1">
        <v>0</v>
      </c>
      <c r="F542" s="1" t="s">
        <v>112</v>
      </c>
      <c r="G542" s="1">
        <v>0</v>
      </c>
    </row>
    <row r="543" spans="1:7" x14ac:dyDescent="0.3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1269</v>
      </c>
      <c r="D543" s="1" t="s">
        <v>471</v>
      </c>
      <c r="E543" s="1" t="s">
        <v>1270</v>
      </c>
      <c r="F543" s="1" t="s">
        <v>112</v>
      </c>
      <c r="G543" s="1">
        <v>150371</v>
      </c>
    </row>
    <row r="544" spans="1:7" x14ac:dyDescent="0.3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1271</v>
      </c>
      <c r="D544" s="1" t="s">
        <v>1272</v>
      </c>
      <c r="E544" s="1" t="s">
        <v>1273</v>
      </c>
      <c r="F544" s="1" t="s">
        <v>112</v>
      </c>
      <c r="G544" s="1">
        <v>23317</v>
      </c>
    </row>
    <row r="545" spans="1:7" x14ac:dyDescent="0.3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5" s="1" t="s">
        <v>1274</v>
      </c>
      <c r="D545" s="1" t="s">
        <v>1275</v>
      </c>
      <c r="E545" s="1" t="s">
        <v>1276</v>
      </c>
      <c r="F545" s="1" t="s">
        <v>112</v>
      </c>
      <c r="G545" s="1">
        <v>75618</v>
      </c>
    </row>
    <row r="546" spans="1:7" x14ac:dyDescent="0.3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1277</v>
      </c>
    </row>
    <row r="547" spans="1:7" x14ac:dyDescent="0.3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1278</v>
      </c>
    </row>
    <row r="548" spans="1:7" x14ac:dyDescent="0.3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8" s="1" t="s">
        <v>1279</v>
      </c>
      <c r="D548" s="1" t="s">
        <v>1280</v>
      </c>
      <c r="E548" s="1" t="s">
        <v>1281</v>
      </c>
      <c r="F548" s="1" t="s">
        <v>112</v>
      </c>
      <c r="G548" s="1">
        <v>233343</v>
      </c>
    </row>
    <row r="549" spans="1:7" x14ac:dyDescent="0.3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1282</v>
      </c>
      <c r="D549" s="1">
        <v>0</v>
      </c>
      <c r="E549" s="1">
        <v>0</v>
      </c>
      <c r="F549" s="1" t="s">
        <v>112</v>
      </c>
      <c r="G549" s="1">
        <v>0</v>
      </c>
    </row>
    <row r="550" spans="1:7" x14ac:dyDescent="0.3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1283</v>
      </c>
      <c r="D550" s="1" t="s">
        <v>1284</v>
      </c>
      <c r="E550" s="1" t="s">
        <v>1285</v>
      </c>
      <c r="F550" s="1" t="s">
        <v>112</v>
      </c>
      <c r="G550" s="1">
        <v>108193</v>
      </c>
    </row>
    <row r="551" spans="1:7" x14ac:dyDescent="0.3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1" s="1" t="s">
        <v>1286</v>
      </c>
      <c r="D551" s="1" t="s">
        <v>1287</v>
      </c>
      <c r="E551" s="1" t="s">
        <v>1288</v>
      </c>
      <c r="F551" s="1" t="s">
        <v>112</v>
      </c>
      <c r="G551" s="1">
        <v>111394</v>
      </c>
    </row>
    <row r="552" spans="1:7" x14ac:dyDescent="0.3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1289</v>
      </c>
      <c r="D552" s="1" t="s">
        <v>1290</v>
      </c>
      <c r="E552" s="1" t="s">
        <v>1291</v>
      </c>
      <c r="F552" s="1" t="s">
        <v>112</v>
      </c>
      <c r="G552" s="1">
        <v>501078</v>
      </c>
    </row>
    <row r="553" spans="1:7" x14ac:dyDescent="0.3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1292</v>
      </c>
      <c r="D553" s="1" t="s">
        <v>1128</v>
      </c>
      <c r="E553" s="1" t="s">
        <v>1293</v>
      </c>
      <c r="F553" s="1" t="s">
        <v>112</v>
      </c>
      <c r="G553" s="1">
        <v>275002</v>
      </c>
    </row>
    <row r="554" spans="1:7" x14ac:dyDescent="0.35">
      <c r="A554" s="1" t="str">
        <f t="shared" si="8"/>
        <v>19</v>
      </c>
      <c r="B5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4" s="1" t="s">
        <v>1294</v>
      </c>
      <c r="D554" s="1" t="s">
        <v>358</v>
      </c>
      <c r="E554" s="1" t="s">
        <v>1295</v>
      </c>
      <c r="F554" s="1" t="s">
        <v>112</v>
      </c>
      <c r="G554" s="1">
        <v>139318</v>
      </c>
    </row>
    <row r="555" spans="1:7"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112</v>
      </c>
    </row>
    <row r="556" spans="1:7"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6" s="1" t="s">
        <v>233</v>
      </c>
      <c r="D556" s="1" t="s">
        <v>112</v>
      </c>
      <c r="E556" s="1" t="s">
        <v>234</v>
      </c>
      <c r="F556" s="1" t="s">
        <v>235</v>
      </c>
      <c r="G556" s="1" t="s">
        <v>236</v>
      </c>
    </row>
    <row r="557" spans="1:7" x14ac:dyDescent="0.35">
      <c r="A557" s="1" t="str">
        <f t="shared" si="8"/>
        <v>19</v>
      </c>
      <c r="B5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7" s="1" t="s">
        <v>1296</v>
      </c>
      <c r="D557" s="1" t="s">
        <v>112</v>
      </c>
      <c r="E557" s="1" t="s">
        <v>1297</v>
      </c>
      <c r="F557" s="1" t="s">
        <v>1298</v>
      </c>
      <c r="G557" s="1" t="s">
        <v>1299</v>
      </c>
    </row>
    <row r="558" spans="1:7"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7"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7"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112</v>
      </c>
    </row>
    <row r="563" spans="1:7"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3" s="1" t="s">
        <v>166</v>
      </c>
      <c r="D563" s="1" t="s">
        <v>110</v>
      </c>
      <c r="E563" s="1" t="s">
        <v>111</v>
      </c>
      <c r="F563" s="1" t="s">
        <v>112</v>
      </c>
      <c r="G563" s="1" t="s">
        <v>113</v>
      </c>
    </row>
    <row r="564" spans="1:7" x14ac:dyDescent="0.3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1300</v>
      </c>
      <c r="D564" s="1" t="s">
        <v>694</v>
      </c>
      <c r="E564" s="1" t="s">
        <v>1301</v>
      </c>
      <c r="F564" s="1" t="s">
        <v>112</v>
      </c>
      <c r="G564" s="1">
        <v>228087</v>
      </c>
    </row>
    <row r="565" spans="1:7" x14ac:dyDescent="0.3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1302</v>
      </c>
      <c r="D565" s="1" t="s">
        <v>694</v>
      </c>
      <c r="E565" s="1" t="s">
        <v>1303</v>
      </c>
      <c r="F565" s="1" t="s">
        <v>112</v>
      </c>
      <c r="G565" s="1">
        <v>234208</v>
      </c>
    </row>
    <row r="566" spans="1:7" x14ac:dyDescent="0.3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6" s="1" t="s">
        <v>1304</v>
      </c>
      <c r="D566" s="1" t="s">
        <v>1305</v>
      </c>
      <c r="E566" s="1" t="s">
        <v>1306</v>
      </c>
      <c r="F566" s="1" t="s">
        <v>112</v>
      </c>
      <c r="G566" s="1">
        <v>407659</v>
      </c>
    </row>
    <row r="567" spans="1:7" x14ac:dyDescent="0.3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1307</v>
      </c>
      <c r="D567" s="1" t="s">
        <v>1038</v>
      </c>
      <c r="E567" s="1" t="s">
        <v>1308</v>
      </c>
      <c r="F567" s="1" t="s">
        <v>112</v>
      </c>
      <c r="G567" s="1">
        <v>45401</v>
      </c>
    </row>
    <row r="568" spans="1:7" x14ac:dyDescent="0.3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1309</v>
      </c>
      <c r="D568" s="1" t="s">
        <v>452</v>
      </c>
      <c r="E568" s="1">
        <v>32</v>
      </c>
      <c r="F568" s="1" t="s">
        <v>112</v>
      </c>
      <c r="G568" s="1">
        <v>692</v>
      </c>
    </row>
    <row r="569" spans="1:7" x14ac:dyDescent="0.3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9" s="1" t="s">
        <v>1310</v>
      </c>
      <c r="D569" s="1" t="s">
        <v>151</v>
      </c>
      <c r="E569" s="1" t="s">
        <v>1311</v>
      </c>
      <c r="F569" s="1" t="s">
        <v>112</v>
      </c>
      <c r="G569" s="1">
        <v>123918</v>
      </c>
    </row>
    <row r="570" spans="1:7" x14ac:dyDescent="0.3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1312</v>
      </c>
      <c r="D570" s="1" t="s">
        <v>1313</v>
      </c>
      <c r="E570" s="1" t="s">
        <v>1314</v>
      </c>
      <c r="F570" s="1" t="s">
        <v>112</v>
      </c>
      <c r="G570" s="1">
        <v>196746</v>
      </c>
    </row>
    <row r="571" spans="1:7" x14ac:dyDescent="0.3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1315</v>
      </c>
      <c r="D571" s="1" t="s">
        <v>1316</v>
      </c>
      <c r="E571" s="1" t="s">
        <v>1317</v>
      </c>
      <c r="F571" s="1" t="s">
        <v>112</v>
      </c>
      <c r="G571" s="1">
        <v>272364</v>
      </c>
    </row>
    <row r="572" spans="1:7" x14ac:dyDescent="0.3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2" s="1" t="s">
        <v>1318</v>
      </c>
    </row>
    <row r="573" spans="1:7" x14ac:dyDescent="0.3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1319</v>
      </c>
      <c r="D573" s="1">
        <v>0</v>
      </c>
      <c r="E573" s="1">
        <v>0</v>
      </c>
      <c r="F573" s="1" t="s">
        <v>112</v>
      </c>
      <c r="G573" s="1">
        <v>0</v>
      </c>
    </row>
    <row r="574" spans="1:7" x14ac:dyDescent="0.3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1320</v>
      </c>
      <c r="D574" s="1">
        <v>0</v>
      </c>
      <c r="E574" s="1">
        <v>0</v>
      </c>
      <c r="F574" s="1" t="s">
        <v>112</v>
      </c>
      <c r="G574" s="1">
        <v>0</v>
      </c>
    </row>
    <row r="575" spans="1:7" x14ac:dyDescent="0.3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5" s="1" t="s">
        <v>1321</v>
      </c>
      <c r="D575" s="1">
        <v>0</v>
      </c>
      <c r="E575" s="1">
        <v>0</v>
      </c>
      <c r="F575" s="1" t="s">
        <v>112</v>
      </c>
      <c r="G575" s="1">
        <v>0</v>
      </c>
    </row>
    <row r="576" spans="1:7" x14ac:dyDescent="0.3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1322</v>
      </c>
      <c r="D576" s="1" t="s">
        <v>168</v>
      </c>
      <c r="E576" s="1" t="s">
        <v>1323</v>
      </c>
      <c r="F576" s="1" t="s">
        <v>112</v>
      </c>
      <c r="G576" s="1">
        <v>50809</v>
      </c>
    </row>
    <row r="577" spans="1:7" x14ac:dyDescent="0.3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1324</v>
      </c>
      <c r="D577" s="1" t="s">
        <v>1325</v>
      </c>
      <c r="E577" s="1" t="s">
        <v>1326</v>
      </c>
      <c r="F577" s="1" t="s">
        <v>112</v>
      </c>
      <c r="G577" s="1">
        <v>160451</v>
      </c>
    </row>
    <row r="578" spans="1:7" x14ac:dyDescent="0.3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8" s="1" t="s">
        <v>1327</v>
      </c>
      <c r="D578" s="1" t="s">
        <v>1328</v>
      </c>
      <c r="E578" s="1" t="s">
        <v>1329</v>
      </c>
      <c r="F578" s="1" t="s">
        <v>112</v>
      </c>
      <c r="G578" s="1">
        <v>115482</v>
      </c>
    </row>
    <row r="579" spans="1:7" x14ac:dyDescent="0.3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1330</v>
      </c>
      <c r="D579" s="1" t="s">
        <v>1331</v>
      </c>
      <c r="E579" s="1" t="s">
        <v>1332</v>
      </c>
      <c r="F579" s="1" t="s">
        <v>112</v>
      </c>
      <c r="G579" s="1">
        <v>156125</v>
      </c>
    </row>
    <row r="580" spans="1:7" x14ac:dyDescent="0.3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1333</v>
      </c>
      <c r="D580" s="1" t="s">
        <v>1334</v>
      </c>
      <c r="E580" s="1" t="s">
        <v>1335</v>
      </c>
      <c r="F580" s="1" t="s">
        <v>112</v>
      </c>
      <c r="G580" s="1">
        <v>155627</v>
      </c>
    </row>
    <row r="581" spans="1:7" x14ac:dyDescent="0.3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1" s="1" t="s">
        <v>1336</v>
      </c>
    </row>
    <row r="582" spans="1:7" x14ac:dyDescent="0.3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1337</v>
      </c>
      <c r="D582" s="1" t="s">
        <v>1338</v>
      </c>
      <c r="E582" s="1" t="s">
        <v>1339</v>
      </c>
      <c r="F582" s="1" t="s">
        <v>112</v>
      </c>
      <c r="G582" s="1">
        <v>21976</v>
      </c>
    </row>
    <row r="583" spans="1:7" x14ac:dyDescent="0.3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1340</v>
      </c>
      <c r="D583" s="1" t="s">
        <v>1341</v>
      </c>
      <c r="E583" s="1" t="s">
        <v>1342</v>
      </c>
      <c r="F583" s="1" t="s">
        <v>112</v>
      </c>
      <c r="G583" s="1">
        <v>80009</v>
      </c>
    </row>
    <row r="584" spans="1:7" x14ac:dyDescent="0.3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4" s="1" t="s">
        <v>1343</v>
      </c>
      <c r="D584" s="1" t="s">
        <v>1344</v>
      </c>
      <c r="E584" s="1" t="s">
        <v>1345</v>
      </c>
      <c r="F584" s="1" t="s">
        <v>112</v>
      </c>
      <c r="G584" s="1">
        <v>59742</v>
      </c>
    </row>
    <row r="585" spans="1:7" x14ac:dyDescent="0.3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1346</v>
      </c>
      <c r="D585" s="1" t="s">
        <v>1347</v>
      </c>
      <c r="E585" s="1" t="s">
        <v>546</v>
      </c>
      <c r="F585" s="1" t="s">
        <v>112</v>
      </c>
      <c r="G585" s="1">
        <v>40513</v>
      </c>
    </row>
    <row r="586" spans="1:7" x14ac:dyDescent="0.3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1348</v>
      </c>
      <c r="D586" s="1" t="s">
        <v>231</v>
      </c>
      <c r="E586" s="1" t="s">
        <v>1349</v>
      </c>
      <c r="F586" s="1" t="s">
        <v>112</v>
      </c>
      <c r="G586" s="1">
        <v>28638</v>
      </c>
    </row>
    <row r="587" spans="1:7" x14ac:dyDescent="0.35">
      <c r="A587" s="1" t="str">
        <f t="shared" si="9"/>
        <v>20</v>
      </c>
      <c r="B5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7" s="1" t="s">
        <v>1350</v>
      </c>
      <c r="D587" s="1" t="s">
        <v>1351</v>
      </c>
      <c r="E587" s="1" t="s">
        <v>1352</v>
      </c>
      <c r="F587" s="1" t="s">
        <v>112</v>
      </c>
      <c r="G587" s="1">
        <v>25653</v>
      </c>
    </row>
    <row r="588" spans="1:7"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112</v>
      </c>
    </row>
    <row r="589" spans="1:7"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9" s="1" t="s">
        <v>233</v>
      </c>
      <c r="D589" s="1" t="s">
        <v>112</v>
      </c>
      <c r="E589" s="1" t="s">
        <v>234</v>
      </c>
      <c r="F589" s="1" t="s">
        <v>235</v>
      </c>
      <c r="G589" s="1" t="s">
        <v>236</v>
      </c>
    </row>
    <row r="590" spans="1:7" x14ac:dyDescent="0.35">
      <c r="A590" s="1" t="str">
        <f t="shared" si="9"/>
        <v>20</v>
      </c>
      <c r="B5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90" s="1" t="s">
        <v>1353</v>
      </c>
      <c r="D590" s="1" t="s">
        <v>112</v>
      </c>
      <c r="E590" s="1" t="s">
        <v>1354</v>
      </c>
      <c r="F590" s="1" t="s">
        <v>1355</v>
      </c>
      <c r="G590" s="1" t="s">
        <v>1356</v>
      </c>
    </row>
    <row r="591" spans="1:7"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7"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112</v>
      </c>
    </row>
    <row r="596" spans="1:7"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6" s="1" t="s">
        <v>166</v>
      </c>
      <c r="D596" s="1" t="s">
        <v>110</v>
      </c>
      <c r="E596" s="1" t="s">
        <v>111</v>
      </c>
      <c r="F596" s="1" t="s">
        <v>112</v>
      </c>
      <c r="G596" s="1" t="s">
        <v>113</v>
      </c>
    </row>
    <row r="597" spans="1:7" x14ac:dyDescent="0.3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1357</v>
      </c>
      <c r="D597" s="1" t="s">
        <v>1358</v>
      </c>
      <c r="E597" s="1" t="s">
        <v>1359</v>
      </c>
      <c r="F597" s="1" t="s">
        <v>112</v>
      </c>
      <c r="G597" s="1">
        <v>203797</v>
      </c>
    </row>
    <row r="598" spans="1:7" x14ac:dyDescent="0.3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1360</v>
      </c>
      <c r="D598" s="1" t="s">
        <v>1361</v>
      </c>
      <c r="E598" s="1" t="s">
        <v>1362</v>
      </c>
      <c r="F598" s="1" t="s">
        <v>112</v>
      </c>
      <c r="G598" s="1">
        <v>240762</v>
      </c>
    </row>
    <row r="599" spans="1:7" x14ac:dyDescent="0.3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9" s="1" t="s">
        <v>1363</v>
      </c>
      <c r="D599" s="1" t="s">
        <v>1364</v>
      </c>
      <c r="E599" s="1" t="s">
        <v>1365</v>
      </c>
      <c r="F599" s="1" t="s">
        <v>112</v>
      </c>
      <c r="G599" s="1">
        <v>255254</v>
      </c>
    </row>
    <row r="600" spans="1:7" x14ac:dyDescent="0.3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1366</v>
      </c>
      <c r="D600" s="1" t="s">
        <v>998</v>
      </c>
      <c r="E600" s="1" t="s">
        <v>1367</v>
      </c>
      <c r="F600" s="1" t="s">
        <v>112</v>
      </c>
      <c r="G600" s="1">
        <v>30498</v>
      </c>
    </row>
    <row r="601" spans="1:7" x14ac:dyDescent="0.3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1368</v>
      </c>
      <c r="D601" s="1" t="s">
        <v>1125</v>
      </c>
      <c r="E601" s="1" t="s">
        <v>1369</v>
      </c>
      <c r="F601" s="1" t="s">
        <v>112</v>
      </c>
      <c r="G601" s="1">
        <v>65474</v>
      </c>
    </row>
    <row r="602" spans="1:7" x14ac:dyDescent="0.3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2" s="1" t="s">
        <v>1370</v>
      </c>
      <c r="D602" s="1" t="s">
        <v>1371</v>
      </c>
      <c r="E602" s="1" t="s">
        <v>1372</v>
      </c>
      <c r="F602" s="1" t="s">
        <v>112</v>
      </c>
      <c r="G602" s="1">
        <v>137415</v>
      </c>
    </row>
    <row r="603" spans="1:7" x14ac:dyDescent="0.3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1373</v>
      </c>
      <c r="D603" s="1" t="s">
        <v>1361</v>
      </c>
      <c r="E603" s="1" t="s">
        <v>1374</v>
      </c>
      <c r="F603" s="1" t="s">
        <v>112</v>
      </c>
      <c r="G603" s="1">
        <v>248701</v>
      </c>
    </row>
    <row r="604" spans="1:7" x14ac:dyDescent="0.3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1375</v>
      </c>
      <c r="D604" s="1" t="s">
        <v>1376</v>
      </c>
      <c r="E604" s="1" t="s">
        <v>1377</v>
      </c>
      <c r="F604" s="1" t="s">
        <v>112</v>
      </c>
      <c r="G604" s="1">
        <v>352589</v>
      </c>
    </row>
    <row r="605" spans="1:7" x14ac:dyDescent="0.3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5" s="1" t="s">
        <v>1378</v>
      </c>
      <c r="D605" s="1" t="s">
        <v>522</v>
      </c>
      <c r="E605" s="1" t="s">
        <v>1379</v>
      </c>
      <c r="F605" s="1" t="s">
        <v>112</v>
      </c>
      <c r="G605" s="1">
        <v>30736</v>
      </c>
    </row>
    <row r="606" spans="1:7" x14ac:dyDescent="0.3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1380</v>
      </c>
      <c r="D606" s="1" t="s">
        <v>1381</v>
      </c>
      <c r="E606" s="1" t="s">
        <v>1382</v>
      </c>
      <c r="F606" s="1" t="s">
        <v>112</v>
      </c>
      <c r="G606" s="1">
        <v>55091</v>
      </c>
    </row>
    <row r="607" spans="1:7" x14ac:dyDescent="0.3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1383</v>
      </c>
      <c r="D607" s="1" t="s">
        <v>1384</v>
      </c>
      <c r="E607" s="1" t="s">
        <v>1385</v>
      </c>
      <c r="F607" s="1" t="s">
        <v>112</v>
      </c>
      <c r="G607" s="1">
        <v>43087</v>
      </c>
    </row>
    <row r="608" spans="1:7" x14ac:dyDescent="0.3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8" s="1" t="s">
        <v>1386</v>
      </c>
    </row>
    <row r="609" spans="1:7" x14ac:dyDescent="0.3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1387</v>
      </c>
      <c r="D609" s="1" t="s">
        <v>685</v>
      </c>
      <c r="E609" s="1" t="s">
        <v>1388</v>
      </c>
      <c r="F609" s="1" t="s">
        <v>112</v>
      </c>
      <c r="G609" s="1">
        <v>228931</v>
      </c>
    </row>
    <row r="610" spans="1:7" x14ac:dyDescent="0.3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1389</v>
      </c>
      <c r="D610" s="1" t="s">
        <v>1390</v>
      </c>
      <c r="E610" s="1" t="s">
        <v>1391</v>
      </c>
      <c r="F610" s="1" t="s">
        <v>112</v>
      </c>
      <c r="G610" s="1">
        <v>278139</v>
      </c>
    </row>
    <row r="611" spans="1:7" x14ac:dyDescent="0.3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1" s="1" t="s">
        <v>1392</v>
      </c>
      <c r="D611" s="1" t="s">
        <v>1393</v>
      </c>
      <c r="E611" s="1" t="s">
        <v>1394</v>
      </c>
      <c r="F611" s="1" t="s">
        <v>112</v>
      </c>
      <c r="G611" s="1">
        <v>143709</v>
      </c>
    </row>
    <row r="612" spans="1:7" x14ac:dyDescent="0.3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1395</v>
      </c>
      <c r="D612" s="1" t="s">
        <v>1396</v>
      </c>
      <c r="E612" s="1" t="s">
        <v>1397</v>
      </c>
      <c r="F612" s="1" t="s">
        <v>112</v>
      </c>
      <c r="G612" s="1">
        <v>411898</v>
      </c>
    </row>
    <row r="613" spans="1:7" x14ac:dyDescent="0.3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1398</v>
      </c>
      <c r="D613" s="1" t="s">
        <v>1186</v>
      </c>
      <c r="E613" s="1" t="s">
        <v>1399</v>
      </c>
      <c r="F613" s="1" t="s">
        <v>112</v>
      </c>
      <c r="G613" s="1">
        <v>307793</v>
      </c>
    </row>
    <row r="614" spans="1:7" x14ac:dyDescent="0.3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4" s="1" t="s">
        <v>1400</v>
      </c>
      <c r="D614" s="1" t="s">
        <v>1401</v>
      </c>
      <c r="E614" s="1" t="s">
        <v>1402</v>
      </c>
      <c r="F614" s="1" t="s">
        <v>112</v>
      </c>
      <c r="G614" s="1">
        <v>47845</v>
      </c>
    </row>
    <row r="615" spans="1:7" x14ac:dyDescent="0.3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1403</v>
      </c>
      <c r="D615" s="1" t="s">
        <v>1404</v>
      </c>
      <c r="E615" s="1" t="s">
        <v>1405</v>
      </c>
      <c r="F615" s="1" t="s">
        <v>112</v>
      </c>
      <c r="G615" s="1">
        <v>91170</v>
      </c>
    </row>
    <row r="616" spans="1:7" x14ac:dyDescent="0.3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1406</v>
      </c>
    </row>
    <row r="617" spans="1:7" x14ac:dyDescent="0.3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7" s="1" t="s">
        <v>1407</v>
      </c>
      <c r="D617" s="1" t="s">
        <v>1408</v>
      </c>
      <c r="E617" s="1" t="s">
        <v>1409</v>
      </c>
      <c r="F617" s="1" t="s">
        <v>112</v>
      </c>
      <c r="G617" s="1">
        <v>110226</v>
      </c>
    </row>
    <row r="618" spans="1:7" x14ac:dyDescent="0.3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1410</v>
      </c>
      <c r="D618" s="1" t="s">
        <v>1411</v>
      </c>
      <c r="E618" s="1" t="s">
        <v>1412</v>
      </c>
      <c r="F618" s="1" t="s">
        <v>112</v>
      </c>
      <c r="G618" s="1">
        <v>15552</v>
      </c>
    </row>
    <row r="619" spans="1:7" x14ac:dyDescent="0.3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1413</v>
      </c>
      <c r="D619" s="1" t="s">
        <v>1071</v>
      </c>
      <c r="E619" s="1" t="s">
        <v>1414</v>
      </c>
      <c r="F619" s="1" t="s">
        <v>112</v>
      </c>
      <c r="G619" s="1">
        <v>243682</v>
      </c>
    </row>
    <row r="620" spans="1:7" x14ac:dyDescent="0.35">
      <c r="A620" s="1" t="str">
        <f t="shared" si="9"/>
        <v>21</v>
      </c>
      <c r="B6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20" s="1" t="s">
        <v>1415</v>
      </c>
      <c r="D620" s="1" t="s">
        <v>486</v>
      </c>
      <c r="E620" s="1" t="s">
        <v>1416</v>
      </c>
      <c r="F620" s="1" t="s">
        <v>112</v>
      </c>
      <c r="G620" s="1">
        <v>141438</v>
      </c>
    </row>
    <row r="621" spans="1:7"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112</v>
      </c>
    </row>
    <row r="622" spans="1:7"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2" s="1" t="s">
        <v>233</v>
      </c>
      <c r="D622" s="1" t="s">
        <v>112</v>
      </c>
      <c r="E622" s="1" t="s">
        <v>234</v>
      </c>
      <c r="F622" s="1" t="s">
        <v>235</v>
      </c>
      <c r="G622" s="1" t="s">
        <v>236</v>
      </c>
    </row>
    <row r="623" spans="1:7" x14ac:dyDescent="0.35">
      <c r="A623" s="1" t="str">
        <f t="shared" si="9"/>
        <v>21</v>
      </c>
      <c r="B6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3" s="1" t="s">
        <v>1417</v>
      </c>
      <c r="D623" s="1" t="s">
        <v>112</v>
      </c>
      <c r="E623" s="1" t="s">
        <v>1418</v>
      </c>
      <c r="F623" s="1" t="s">
        <v>1419</v>
      </c>
      <c r="G623" s="1" t="s">
        <v>1420</v>
      </c>
    </row>
    <row r="624" spans="1:7"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112</v>
      </c>
    </row>
    <row r="629" spans="1:7"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9" s="1" t="s">
        <v>166</v>
      </c>
      <c r="D629" s="1" t="s">
        <v>110</v>
      </c>
      <c r="E629" s="1" t="s">
        <v>111</v>
      </c>
      <c r="F629" s="1" t="s">
        <v>112</v>
      </c>
      <c r="G629" s="1" t="s">
        <v>113</v>
      </c>
    </row>
    <row r="630" spans="1:7" x14ac:dyDescent="0.3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1421</v>
      </c>
      <c r="D630" s="1" t="s">
        <v>1422</v>
      </c>
      <c r="E630" s="1" t="s">
        <v>1423</v>
      </c>
      <c r="F630" s="1" t="s">
        <v>112</v>
      </c>
      <c r="G630" s="1">
        <v>6727</v>
      </c>
    </row>
    <row r="631" spans="1:7" x14ac:dyDescent="0.3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1424</v>
      </c>
      <c r="D631" s="1" t="s">
        <v>522</v>
      </c>
      <c r="E631" s="1" t="s">
        <v>1425</v>
      </c>
      <c r="F631" s="1" t="s">
        <v>112</v>
      </c>
      <c r="G631" s="1">
        <v>31082</v>
      </c>
    </row>
    <row r="632" spans="1:7" x14ac:dyDescent="0.3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2" s="1" t="s">
        <v>1426</v>
      </c>
      <c r="D632" s="1" t="s">
        <v>1344</v>
      </c>
      <c r="E632" s="1" t="s">
        <v>1427</v>
      </c>
      <c r="F632" s="1" t="s">
        <v>112</v>
      </c>
      <c r="G632" s="1">
        <v>62013</v>
      </c>
    </row>
    <row r="633" spans="1:7" x14ac:dyDescent="0.3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1428</v>
      </c>
      <c r="D633" s="1" t="s">
        <v>1046</v>
      </c>
      <c r="E633" s="1" t="s">
        <v>1047</v>
      </c>
      <c r="F633" s="1" t="s">
        <v>112</v>
      </c>
      <c r="G633" s="1">
        <v>1319</v>
      </c>
    </row>
    <row r="634" spans="1:7" x14ac:dyDescent="0.3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1429</v>
      </c>
      <c r="D634" s="1" t="s">
        <v>601</v>
      </c>
      <c r="E634" s="1" t="s">
        <v>1430</v>
      </c>
      <c r="F634" s="1" t="s">
        <v>112</v>
      </c>
      <c r="G634" s="1">
        <v>108625</v>
      </c>
    </row>
    <row r="635" spans="1:7" x14ac:dyDescent="0.3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5" s="1" t="s">
        <v>1431</v>
      </c>
      <c r="D635" s="1">
        <v>0</v>
      </c>
      <c r="E635" s="1">
        <v>0</v>
      </c>
      <c r="F635" s="1" t="s">
        <v>112</v>
      </c>
      <c r="G635" s="1">
        <v>0</v>
      </c>
    </row>
    <row r="636" spans="1:7" x14ac:dyDescent="0.3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1432</v>
      </c>
      <c r="D636" s="1" t="s">
        <v>1433</v>
      </c>
      <c r="E636" s="1" t="s">
        <v>1434</v>
      </c>
      <c r="F636" s="1" t="s">
        <v>112</v>
      </c>
      <c r="G636" s="1">
        <v>217856</v>
      </c>
    </row>
    <row r="637" spans="1:7" x14ac:dyDescent="0.3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1435</v>
      </c>
      <c r="D637" s="1" t="s">
        <v>1436</v>
      </c>
      <c r="E637" s="1" t="s">
        <v>1437</v>
      </c>
      <c r="F637" s="1" t="s">
        <v>112</v>
      </c>
      <c r="G637" s="1">
        <v>137198</v>
      </c>
    </row>
    <row r="638" spans="1:7" x14ac:dyDescent="0.3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8" s="1" t="s">
        <v>1438</v>
      </c>
      <c r="D638" s="1" t="s">
        <v>1439</v>
      </c>
      <c r="E638" s="1" t="s">
        <v>1440</v>
      </c>
      <c r="F638" s="1" t="s">
        <v>112</v>
      </c>
      <c r="G638" s="1">
        <v>240979</v>
      </c>
    </row>
    <row r="639" spans="1:7" x14ac:dyDescent="0.3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1441</v>
      </c>
      <c r="D639" s="1" t="s">
        <v>177</v>
      </c>
      <c r="E639" s="1" t="s">
        <v>1442</v>
      </c>
      <c r="F639" s="1" t="s">
        <v>112</v>
      </c>
      <c r="G639" s="1">
        <v>3418</v>
      </c>
    </row>
    <row r="640" spans="1:7" x14ac:dyDescent="0.3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1443</v>
      </c>
      <c r="D640" s="1" t="s">
        <v>1046</v>
      </c>
      <c r="E640" s="1">
        <v>31</v>
      </c>
      <c r="F640" s="1" t="s">
        <v>112</v>
      </c>
      <c r="G640" s="1">
        <v>1341</v>
      </c>
    </row>
    <row r="641" spans="1:7" x14ac:dyDescent="0.3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1" s="1" t="s">
        <v>1444</v>
      </c>
      <c r="D641" s="1" t="s">
        <v>452</v>
      </c>
      <c r="E641" s="1">
        <v>30</v>
      </c>
      <c r="F641" s="1" t="s">
        <v>112</v>
      </c>
      <c r="G641" s="1">
        <v>649</v>
      </c>
    </row>
    <row r="642" spans="1:7" x14ac:dyDescent="0.3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1445</v>
      </c>
    </row>
    <row r="643" spans="1:7" x14ac:dyDescent="0.3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1446</v>
      </c>
    </row>
    <row r="644" spans="1:7" x14ac:dyDescent="0.3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4" s="1" t="s">
        <v>1447</v>
      </c>
      <c r="D644" s="1" t="s">
        <v>1448</v>
      </c>
      <c r="E644" s="1" t="s">
        <v>1449</v>
      </c>
      <c r="F644" s="1" t="s">
        <v>112</v>
      </c>
      <c r="G644" s="1">
        <v>387500</v>
      </c>
    </row>
    <row r="645" spans="1:7" x14ac:dyDescent="0.3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1450</v>
      </c>
      <c r="D645" s="1" t="s">
        <v>1078</v>
      </c>
      <c r="E645" s="1" t="s">
        <v>1047</v>
      </c>
      <c r="F645" s="1" t="s">
        <v>112</v>
      </c>
      <c r="G645" s="1">
        <v>3958</v>
      </c>
    </row>
    <row r="646" spans="1:7" x14ac:dyDescent="0.3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1451</v>
      </c>
      <c r="D646" s="1" t="s">
        <v>1452</v>
      </c>
      <c r="E646" s="1" t="s">
        <v>1453</v>
      </c>
      <c r="F646" s="1" t="s">
        <v>112</v>
      </c>
      <c r="G646" s="1">
        <v>95561</v>
      </c>
    </row>
    <row r="647" spans="1:7" x14ac:dyDescent="0.3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7" s="1" t="s">
        <v>1454</v>
      </c>
      <c r="D647" s="1" t="s">
        <v>1455</v>
      </c>
      <c r="E647" s="1" t="s">
        <v>1456</v>
      </c>
      <c r="F647" s="1" t="s">
        <v>112</v>
      </c>
      <c r="G647" s="1">
        <v>64608</v>
      </c>
    </row>
    <row r="648" spans="1:7" x14ac:dyDescent="0.3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1457</v>
      </c>
      <c r="D648" s="1" t="s">
        <v>168</v>
      </c>
      <c r="E648" s="1" t="s">
        <v>1458</v>
      </c>
      <c r="F648" s="1" t="s">
        <v>112</v>
      </c>
      <c r="G648" s="1">
        <v>47629</v>
      </c>
    </row>
    <row r="649" spans="1:7" x14ac:dyDescent="0.3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1459</v>
      </c>
      <c r="D649" s="1" t="s">
        <v>1460</v>
      </c>
      <c r="E649" s="1" t="s">
        <v>1461</v>
      </c>
      <c r="F649" s="1" t="s">
        <v>112</v>
      </c>
      <c r="G649" s="1">
        <v>52604</v>
      </c>
    </row>
    <row r="650" spans="1:7" x14ac:dyDescent="0.3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50" s="1" t="s">
        <v>1462</v>
      </c>
      <c r="D650" s="1" t="s">
        <v>1381</v>
      </c>
      <c r="E650" s="1" t="s">
        <v>1463</v>
      </c>
      <c r="F650" s="1" t="s">
        <v>112</v>
      </c>
      <c r="G650" s="1">
        <v>55243</v>
      </c>
    </row>
    <row r="651" spans="1:7" x14ac:dyDescent="0.3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1464</v>
      </c>
      <c r="D651" s="1">
        <v>0</v>
      </c>
      <c r="E651" s="1">
        <v>0</v>
      </c>
      <c r="F651" s="1" t="s">
        <v>112</v>
      </c>
      <c r="G651" s="1">
        <v>0</v>
      </c>
    </row>
    <row r="652" spans="1:7" x14ac:dyDescent="0.3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1465</v>
      </c>
      <c r="D652" s="1" t="s">
        <v>1466</v>
      </c>
      <c r="E652" s="1" t="s">
        <v>1467</v>
      </c>
      <c r="F652" s="1" t="s">
        <v>112</v>
      </c>
      <c r="G652" s="1">
        <v>93679</v>
      </c>
    </row>
    <row r="653" spans="1:7" x14ac:dyDescent="0.35">
      <c r="A653" s="1" t="str">
        <f t="shared" si="10"/>
        <v>8</v>
      </c>
      <c r="B6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3" s="1" t="s">
        <v>1468</v>
      </c>
      <c r="D653" s="1" t="s">
        <v>1455</v>
      </c>
      <c r="E653" s="1" t="s">
        <v>1469</v>
      </c>
      <c r="F653" s="1" t="s">
        <v>112</v>
      </c>
      <c r="G653" s="1">
        <v>63138</v>
      </c>
    </row>
    <row r="654" spans="1:7"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112</v>
      </c>
    </row>
    <row r="655" spans="1:7"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5" s="1" t="s">
        <v>233</v>
      </c>
      <c r="D655" s="1" t="s">
        <v>112</v>
      </c>
      <c r="E655" s="1" t="s">
        <v>234</v>
      </c>
      <c r="F655" s="1" t="s">
        <v>235</v>
      </c>
      <c r="G655" s="1" t="s">
        <v>236</v>
      </c>
    </row>
    <row r="656" spans="1:7" x14ac:dyDescent="0.35">
      <c r="A656" s="1" t="str">
        <f t="shared" si="10"/>
        <v>8</v>
      </c>
      <c r="B6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6" s="1" t="s">
        <v>1470</v>
      </c>
      <c r="D656" s="1" t="s">
        <v>112</v>
      </c>
      <c r="E656" s="1" t="s">
        <v>1471</v>
      </c>
      <c r="F656" s="1" t="s">
        <v>1472</v>
      </c>
      <c r="G656" s="1" t="s">
        <v>1473</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112</v>
      </c>
    </row>
    <row r="662" spans="1:7"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2" s="1" t="s">
        <v>166</v>
      </c>
      <c r="D662" s="1" t="s">
        <v>110</v>
      </c>
      <c r="E662" s="1" t="s">
        <v>111</v>
      </c>
      <c r="F662" s="1" t="s">
        <v>112</v>
      </c>
      <c r="G662" s="1" t="s">
        <v>113</v>
      </c>
    </row>
    <row r="663" spans="1:7" x14ac:dyDescent="0.3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1474</v>
      </c>
      <c r="D663" s="1" t="s">
        <v>1475</v>
      </c>
      <c r="E663" s="1" t="s">
        <v>1476</v>
      </c>
      <c r="F663" s="1" t="s">
        <v>112</v>
      </c>
      <c r="G663" s="1">
        <v>160991</v>
      </c>
    </row>
    <row r="664" spans="1:7" x14ac:dyDescent="0.3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1477</v>
      </c>
      <c r="D664" s="1" t="s">
        <v>527</v>
      </c>
      <c r="E664" s="1" t="s">
        <v>1478</v>
      </c>
      <c r="F664" s="1" t="s">
        <v>112</v>
      </c>
      <c r="G664" s="1">
        <v>219890</v>
      </c>
    </row>
    <row r="665" spans="1:7" x14ac:dyDescent="0.3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5" s="1" t="s">
        <v>1479</v>
      </c>
      <c r="D665" s="1" t="s">
        <v>1480</v>
      </c>
      <c r="E665" s="1" t="s">
        <v>1481</v>
      </c>
      <c r="F665" s="1" t="s">
        <v>112</v>
      </c>
      <c r="G665" s="1">
        <v>121041</v>
      </c>
    </row>
    <row r="666" spans="1:7" x14ac:dyDescent="0.3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1482</v>
      </c>
      <c r="D666" s="1" t="s">
        <v>1483</v>
      </c>
      <c r="E666" s="1" t="s">
        <v>1484</v>
      </c>
      <c r="F666" s="1" t="s">
        <v>112</v>
      </c>
      <c r="G666" s="1">
        <v>36922</v>
      </c>
    </row>
    <row r="667" spans="1:7" x14ac:dyDescent="0.3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1485</v>
      </c>
      <c r="D667" s="1" t="s">
        <v>1486</v>
      </c>
      <c r="E667" s="1" t="s">
        <v>1487</v>
      </c>
      <c r="F667" s="1" t="s">
        <v>112</v>
      </c>
      <c r="G667" s="1">
        <v>50246</v>
      </c>
    </row>
    <row r="668" spans="1:7" x14ac:dyDescent="0.3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8" s="1" t="s">
        <v>1488</v>
      </c>
      <c r="D668" s="1" t="s">
        <v>519</v>
      </c>
      <c r="E668" s="1" t="s">
        <v>1489</v>
      </c>
      <c r="F668" s="1" t="s">
        <v>112</v>
      </c>
      <c r="G668" s="1">
        <v>28811</v>
      </c>
    </row>
    <row r="669" spans="1:7" x14ac:dyDescent="0.3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1490</v>
      </c>
      <c r="D669" s="1">
        <v>0</v>
      </c>
      <c r="E669" s="1">
        <v>0</v>
      </c>
      <c r="F669" s="1" t="s">
        <v>112</v>
      </c>
      <c r="G669" s="1">
        <v>0</v>
      </c>
    </row>
    <row r="670" spans="1:7" x14ac:dyDescent="0.3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1491</v>
      </c>
      <c r="D670" s="1">
        <v>0</v>
      </c>
      <c r="E670" s="1">
        <v>0</v>
      </c>
      <c r="F670" s="1" t="s">
        <v>112</v>
      </c>
      <c r="G670" s="1">
        <v>0</v>
      </c>
    </row>
    <row r="671" spans="1:7" x14ac:dyDescent="0.3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1" s="1" t="s">
        <v>1492</v>
      </c>
      <c r="D671" s="1" t="s">
        <v>1493</v>
      </c>
      <c r="E671" s="1" t="s">
        <v>1494</v>
      </c>
      <c r="F671" s="1" t="s">
        <v>112</v>
      </c>
      <c r="G671" s="1">
        <v>183616</v>
      </c>
    </row>
    <row r="672" spans="1:7" x14ac:dyDescent="0.3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1495</v>
      </c>
      <c r="D672" s="1" t="s">
        <v>1496</v>
      </c>
      <c r="E672" s="1" t="s">
        <v>1497</v>
      </c>
      <c r="F672" s="1" t="s">
        <v>112</v>
      </c>
      <c r="G672" s="1">
        <v>148619</v>
      </c>
    </row>
    <row r="673" spans="1:7" x14ac:dyDescent="0.3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1498</v>
      </c>
      <c r="D673" s="1" t="s">
        <v>1499</v>
      </c>
      <c r="E673" s="1" t="s">
        <v>1500</v>
      </c>
      <c r="F673" s="1" t="s">
        <v>112</v>
      </c>
      <c r="G673" s="1">
        <v>305133</v>
      </c>
    </row>
    <row r="674" spans="1:7" x14ac:dyDescent="0.3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4" s="1" t="s">
        <v>1501</v>
      </c>
      <c r="D674" s="1" t="s">
        <v>492</v>
      </c>
      <c r="E674" s="1" t="s">
        <v>1502</v>
      </c>
      <c r="F674" s="1" t="s">
        <v>112</v>
      </c>
      <c r="G674" s="1">
        <v>229601</v>
      </c>
    </row>
    <row r="675" spans="1:7" x14ac:dyDescent="0.3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1503</v>
      </c>
      <c r="D675" s="1" t="s">
        <v>978</v>
      </c>
      <c r="E675" s="1" t="s">
        <v>1504</v>
      </c>
      <c r="F675" s="1" t="s">
        <v>112</v>
      </c>
      <c r="G675" s="1">
        <v>199968</v>
      </c>
    </row>
    <row r="676" spans="1:7" x14ac:dyDescent="0.3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1505</v>
      </c>
      <c r="D676" s="1" t="s">
        <v>1328</v>
      </c>
      <c r="E676" s="1" t="s">
        <v>1506</v>
      </c>
      <c r="F676" s="1" t="s">
        <v>112</v>
      </c>
      <c r="G676" s="1">
        <v>117602</v>
      </c>
    </row>
    <row r="677" spans="1:7" x14ac:dyDescent="0.3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7" s="1" t="s">
        <v>1507</v>
      </c>
      <c r="D677" s="1" t="s">
        <v>1508</v>
      </c>
      <c r="E677" s="1" t="s">
        <v>1509</v>
      </c>
      <c r="F677" s="1" t="s">
        <v>112</v>
      </c>
      <c r="G677" s="1">
        <v>135187</v>
      </c>
    </row>
    <row r="678" spans="1:7" x14ac:dyDescent="0.3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1510</v>
      </c>
      <c r="D678" s="1" t="s">
        <v>452</v>
      </c>
      <c r="E678" s="1">
        <v>31</v>
      </c>
      <c r="F678" s="1" t="s">
        <v>112</v>
      </c>
      <c r="G678" s="1">
        <v>671</v>
      </c>
    </row>
    <row r="679" spans="1:7" x14ac:dyDescent="0.3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1511</v>
      </c>
      <c r="D679" s="1" t="s">
        <v>226</v>
      </c>
      <c r="E679" s="1" t="s">
        <v>1512</v>
      </c>
      <c r="F679" s="1" t="s">
        <v>112</v>
      </c>
      <c r="G679" s="1">
        <v>6294</v>
      </c>
    </row>
    <row r="680" spans="1:7" x14ac:dyDescent="0.3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0" s="1" t="s">
        <v>1513</v>
      </c>
      <c r="D680" s="1" t="s">
        <v>1514</v>
      </c>
      <c r="E680" s="1" t="s">
        <v>1515</v>
      </c>
      <c r="F680" s="1" t="s">
        <v>112</v>
      </c>
      <c r="G680" s="1">
        <v>60975</v>
      </c>
    </row>
    <row r="681" spans="1:7" x14ac:dyDescent="0.3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1516</v>
      </c>
      <c r="D681" s="1" t="s">
        <v>1517</v>
      </c>
      <c r="E681" s="1" t="s">
        <v>1518</v>
      </c>
      <c r="F681" s="1" t="s">
        <v>112</v>
      </c>
      <c r="G681" s="1">
        <v>71379</v>
      </c>
    </row>
    <row r="682" spans="1:7" x14ac:dyDescent="0.3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1519</v>
      </c>
      <c r="D682" s="1" t="s">
        <v>1520</v>
      </c>
      <c r="E682" s="1" t="s">
        <v>1521</v>
      </c>
      <c r="F682" s="1" t="s">
        <v>112</v>
      </c>
      <c r="G682" s="1">
        <v>179182</v>
      </c>
    </row>
    <row r="683" spans="1:7" x14ac:dyDescent="0.3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3" s="1" t="s">
        <v>1522</v>
      </c>
      <c r="D683" s="1" t="s">
        <v>566</v>
      </c>
      <c r="E683" s="1" t="s">
        <v>1523</v>
      </c>
      <c r="F683" s="1" t="s">
        <v>112</v>
      </c>
      <c r="G683" s="1">
        <v>228304</v>
      </c>
    </row>
    <row r="684" spans="1:7" x14ac:dyDescent="0.3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1524</v>
      </c>
      <c r="D684" s="1" t="s">
        <v>251</v>
      </c>
      <c r="E684" s="1" t="s">
        <v>1525</v>
      </c>
      <c r="F684" s="1" t="s">
        <v>112</v>
      </c>
      <c r="G684" s="1">
        <v>41919</v>
      </c>
    </row>
    <row r="685" spans="1:7" x14ac:dyDescent="0.3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1526</v>
      </c>
      <c r="D685" s="1" t="s">
        <v>598</v>
      </c>
      <c r="E685" s="1" t="s">
        <v>223</v>
      </c>
      <c r="F685" s="1" t="s">
        <v>112</v>
      </c>
      <c r="G685" s="1">
        <v>8219</v>
      </c>
    </row>
    <row r="686" spans="1:7" x14ac:dyDescent="0.35">
      <c r="A686" s="1" t="str">
        <f t="shared" si="10"/>
        <v>9</v>
      </c>
      <c r="B6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6" s="1" t="s">
        <v>1527</v>
      </c>
      <c r="D686" s="1" t="s">
        <v>1483</v>
      </c>
      <c r="E686" s="1" t="s">
        <v>1528</v>
      </c>
      <c r="F686" s="1" t="s">
        <v>112</v>
      </c>
      <c r="G686" s="1">
        <v>38588</v>
      </c>
    </row>
    <row r="687" spans="1:7"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112</v>
      </c>
    </row>
    <row r="688" spans="1:7"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8" s="1" t="s">
        <v>233</v>
      </c>
      <c r="D688" s="1" t="s">
        <v>112</v>
      </c>
      <c r="E688" s="1" t="s">
        <v>234</v>
      </c>
      <c r="F688" s="1" t="s">
        <v>235</v>
      </c>
      <c r="G688" s="1" t="s">
        <v>236</v>
      </c>
    </row>
    <row r="689" spans="1:7" x14ac:dyDescent="0.35">
      <c r="A689" s="1" t="str">
        <f t="shared" si="10"/>
        <v>9</v>
      </c>
      <c r="B6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9" s="1" t="s">
        <v>1529</v>
      </c>
      <c r="D689" s="1" t="s">
        <v>112</v>
      </c>
      <c r="E689" s="1" t="s">
        <v>1530</v>
      </c>
      <c r="F689" s="1" t="s">
        <v>1531</v>
      </c>
      <c r="G689" s="1" t="s">
        <v>1532</v>
      </c>
    </row>
    <row r="690" spans="1:7"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7"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7"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7"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7"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7"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7"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7"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7"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7"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7"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7"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7"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7"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7"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4" priority="1" operator="containsText" text="ERREUR">
      <formula>NOT(ISERROR(SEARCH("ERREUR",A1)))</formula>
    </cfRule>
    <cfRule type="containsText" dxfId="33"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R1" activePane="topRight" state="frozen"/>
      <selection pane="topRight" activeCell="AN12" sqref="AN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6" t="s">
        <v>40</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c r="A2"/>
      <c r="B2"/>
      <c r="C2"/>
      <c r="D2"/>
      <c r="E2"/>
      <c r="F2"/>
      <c r="G2"/>
      <c r="H2"/>
      <c r="I2"/>
      <c r="J2"/>
      <c r="K2"/>
      <c r="L2"/>
      <c r="M2"/>
      <c r="S2"/>
      <c r="T2"/>
      <c r="U2"/>
      <c r="V2"/>
    </row>
    <row r="3" spans="1:22" ht="15" thickBot="1" x14ac:dyDescent="0.4">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AN-0.18mg/L</v>
      </c>
      <c r="J4" s="35" t="str">
        <f>'Page de garde'!A16</f>
        <v>AN-0.36mg/L</v>
      </c>
      <c r="K4" s="35" t="str">
        <f>'Page de garde'!A17</f>
        <v>AN-0.73mg/L</v>
      </c>
      <c r="L4" s="35" t="str">
        <f>'Page de garde'!A18</f>
        <v>AN-1.45mg/L</v>
      </c>
      <c r="M4" s="35" t="str">
        <f>'Page de garde'!A19</f>
        <v>AN-2.9mg/L</v>
      </c>
      <c r="N4" s="3"/>
      <c r="O4" s="36" t="str">
        <f>'Page de garde'!A36</f>
        <v>Testo -30µg/L</v>
      </c>
      <c r="P4" s="36" t="str">
        <f>'Page de garde'!A37</f>
        <v>Testo 30µg/L + EE2 -64ng/L</v>
      </c>
      <c r="Q4" s="36" t="str">
        <f>'Page de garde'!A38</f>
        <v>Testo 30µg/L + FAD-10mg/L</v>
      </c>
      <c r="R4" s="36" t="str">
        <f>'Page de garde'!A39</f>
        <v>AN-0,18mg/L + Testostérone</v>
      </c>
      <c r="S4" s="36" t="str">
        <f>'Page de garde'!A40</f>
        <v>AN-0,36mg/L + Testostérone</v>
      </c>
      <c r="T4" s="36" t="str">
        <f>'Page de garde'!A41</f>
        <v>AN-0,73mg/L + Testostérone</v>
      </c>
      <c r="U4" s="36" t="str">
        <f>'Page de garde'!A42</f>
        <v>AN-1,45mg/L + Testostérone</v>
      </c>
      <c r="V4" s="36" t="str">
        <f>'Page de garde'!A43</f>
        <v>AN-2,9mg/L + Testostérone</v>
      </c>
    </row>
    <row r="5" spans="1:22" ht="16.5" x14ac:dyDescent="0.35">
      <c r="A5" s="220" t="s">
        <v>33</v>
      </c>
      <c r="B5" s="73">
        <v>159816.33333333334</v>
      </c>
      <c r="C5" s="13">
        <v>37657.666666666664</v>
      </c>
      <c r="D5" s="32">
        <v>43642</v>
      </c>
      <c r="E5" s="32">
        <v>162094.66666666666</v>
      </c>
      <c r="F5" s="32"/>
      <c r="G5" s="32">
        <v>450010</v>
      </c>
      <c r="H5" s="32">
        <v>2559746.3333333335</v>
      </c>
      <c r="I5" s="32">
        <v>33274</v>
      </c>
      <c r="J5" s="16">
        <v>167307.33333333334</v>
      </c>
      <c r="K5" s="13">
        <v>25566.666666666668</v>
      </c>
      <c r="L5" s="13">
        <v>9560.3333333333339</v>
      </c>
      <c r="M5" s="13">
        <v>78949.333333333328</v>
      </c>
      <c r="N5" s="3"/>
      <c r="O5" s="32">
        <v>60246.666666666664</v>
      </c>
      <c r="P5" s="13">
        <v>3558946.6666666665</v>
      </c>
      <c r="Q5" s="13">
        <v>216.33333333333334</v>
      </c>
      <c r="R5" s="4">
        <v>27037.333333333332</v>
      </c>
      <c r="S5" s="32">
        <v>201316.66666666666</v>
      </c>
      <c r="T5" s="32">
        <v>34651</v>
      </c>
      <c r="U5" s="32">
        <v>289984.66666666669</v>
      </c>
      <c r="V5" s="32">
        <v>233271</v>
      </c>
    </row>
    <row r="6" spans="1:22" ht="16.5" x14ac:dyDescent="0.35">
      <c r="A6" s="221"/>
      <c r="B6" s="73">
        <v>4989.333333333333</v>
      </c>
      <c r="C6" s="13">
        <v>344095.33333333331</v>
      </c>
      <c r="D6" s="32">
        <v>42574.666666666664</v>
      </c>
      <c r="E6" s="32">
        <v>1160480</v>
      </c>
      <c r="F6" s="32">
        <v>94464.666666666672</v>
      </c>
      <c r="G6" s="32">
        <v>893653.33333333337</v>
      </c>
      <c r="H6" s="32">
        <v>2927036.3333333335</v>
      </c>
      <c r="I6" s="32">
        <v>36648</v>
      </c>
      <c r="J6" s="16">
        <v>38659.666666666664</v>
      </c>
      <c r="K6" s="13">
        <v>172574</v>
      </c>
      <c r="L6" s="13">
        <v>260676.33333333334</v>
      </c>
      <c r="M6" s="13">
        <v>100160.66666666667</v>
      </c>
      <c r="N6" s="3"/>
      <c r="O6" s="32">
        <v>40296</v>
      </c>
      <c r="P6" s="13">
        <v>3925688.6666666665</v>
      </c>
      <c r="Q6" s="13">
        <v>110802.66666666667</v>
      </c>
      <c r="R6" s="4">
        <v>64846.333333333336</v>
      </c>
      <c r="S6" s="32">
        <v>314599.33333333331</v>
      </c>
      <c r="T6" s="32">
        <v>350685.66666666669</v>
      </c>
      <c r="U6" s="32">
        <v>56670.333333333336</v>
      </c>
      <c r="V6" s="32">
        <v>77795.666666666672</v>
      </c>
    </row>
    <row r="7" spans="1:22" ht="16.5" x14ac:dyDescent="0.35">
      <c r="A7" s="221"/>
      <c r="B7" s="73">
        <v>250070.33333333334</v>
      </c>
      <c r="C7" s="13">
        <v>391652.66666666669</v>
      </c>
      <c r="D7" s="32">
        <v>93808.666666666672</v>
      </c>
      <c r="E7" s="32">
        <v>683966</v>
      </c>
      <c r="F7" s="32">
        <v>2266690.3333333335</v>
      </c>
      <c r="G7" s="32">
        <v>2899674.6666666665</v>
      </c>
      <c r="H7" s="32">
        <v>2541404.6666666665</v>
      </c>
      <c r="I7" s="32">
        <v>198677.66666666666</v>
      </c>
      <c r="J7" s="16">
        <v>61205.333333333336</v>
      </c>
      <c r="K7" s="13">
        <v>89692</v>
      </c>
      <c r="L7" s="13">
        <v>70268.333333333328</v>
      </c>
      <c r="M7" s="13">
        <v>245542.33333333334</v>
      </c>
      <c r="N7" s="3"/>
      <c r="O7" s="32">
        <v>1782735.6666666667</v>
      </c>
      <c r="P7" s="13">
        <v>2974456.6666666665</v>
      </c>
      <c r="Q7" s="13">
        <v>189103</v>
      </c>
      <c r="R7" s="4">
        <v>237237</v>
      </c>
      <c r="S7" s="32">
        <v>237784.66666666666</v>
      </c>
      <c r="T7" s="32">
        <v>115028</v>
      </c>
      <c r="U7" s="32">
        <v>234555</v>
      </c>
      <c r="V7" s="32">
        <v>210675.33333333334</v>
      </c>
    </row>
    <row r="8" spans="1:22" ht="16.5" x14ac:dyDescent="0.35">
      <c r="A8" s="221"/>
      <c r="B8" s="73">
        <v>193169.66666666666</v>
      </c>
      <c r="C8" s="13">
        <v>81026</v>
      </c>
      <c r="D8" s="32">
        <v>46259</v>
      </c>
      <c r="E8" s="32">
        <v>323669.66666666669</v>
      </c>
      <c r="F8" s="32">
        <v>2384724.6666666665</v>
      </c>
      <c r="G8" s="32">
        <v>2534007</v>
      </c>
      <c r="H8" s="32">
        <v>3695489.3333333335</v>
      </c>
      <c r="I8" s="32">
        <v>1802.6666666666667</v>
      </c>
      <c r="J8" s="16">
        <v>227784.33333333334</v>
      </c>
      <c r="K8" s="13">
        <v>40989</v>
      </c>
      <c r="L8" s="13">
        <v>301593</v>
      </c>
      <c r="M8" s="13">
        <v>3688</v>
      </c>
      <c r="N8" s="3"/>
      <c r="O8" s="32">
        <v>2360513.6666666665</v>
      </c>
      <c r="P8" s="13">
        <v>2635300</v>
      </c>
      <c r="Q8" s="13">
        <v>246573.66666666666</v>
      </c>
      <c r="R8" s="4">
        <v>137840</v>
      </c>
      <c r="S8" s="32">
        <v>67399</v>
      </c>
      <c r="T8" s="32">
        <v>159513.33333333334</v>
      </c>
      <c r="U8" s="32">
        <v>0</v>
      </c>
      <c r="V8" s="32">
        <v>49089</v>
      </c>
    </row>
    <row r="9" spans="1:22" ht="16.5" x14ac:dyDescent="0.35">
      <c r="A9" s="221"/>
      <c r="B9" s="73">
        <v>444436.66666666669</v>
      </c>
      <c r="C9" s="13">
        <v>227993.66666666666</v>
      </c>
      <c r="D9" s="32">
        <v>440</v>
      </c>
      <c r="E9" s="32">
        <v>229161.66666666666</v>
      </c>
      <c r="F9" s="32">
        <v>1633439.3333333333</v>
      </c>
      <c r="G9" s="32">
        <v>3068482</v>
      </c>
      <c r="H9" s="32">
        <v>4704314.666666667</v>
      </c>
      <c r="I9" s="32">
        <v>387500</v>
      </c>
      <c r="J9" s="16">
        <v>150919</v>
      </c>
      <c r="K9" s="13">
        <v>38559</v>
      </c>
      <c r="L9" s="13">
        <v>328392.33333333331</v>
      </c>
      <c r="M9" s="13">
        <v>259912</v>
      </c>
      <c r="N9" s="3"/>
      <c r="O9" s="32">
        <v>898102.33333333337</v>
      </c>
      <c r="P9" s="13">
        <v>4288559.333333333</v>
      </c>
      <c r="Q9" s="13">
        <v>105215.33333333333</v>
      </c>
      <c r="R9" s="4">
        <v>688220</v>
      </c>
      <c r="S9" s="32">
        <v>108416.33333333333</v>
      </c>
      <c r="T9" s="32">
        <v>83102</v>
      </c>
      <c r="U9" s="32">
        <v>108914</v>
      </c>
      <c r="V9" s="32">
        <v>216926.33333333334</v>
      </c>
    </row>
    <row r="10" spans="1:22" ht="16.5" x14ac:dyDescent="0.35">
      <c r="A10" s="221"/>
      <c r="B10" s="73">
        <v>82229.666666666672</v>
      </c>
      <c r="C10" s="13">
        <v>107529</v>
      </c>
      <c r="D10" s="32">
        <v>78646.333333333328</v>
      </c>
      <c r="E10" s="32">
        <v>250957.66666666666</v>
      </c>
      <c r="F10" s="32">
        <v>2363578</v>
      </c>
      <c r="G10" s="32">
        <v>3185456</v>
      </c>
      <c r="H10" s="32">
        <v>2717529.6666666665</v>
      </c>
      <c r="I10" s="32">
        <v>54709</v>
      </c>
      <c r="J10" s="16">
        <v>22646.666666666668</v>
      </c>
      <c r="K10" s="13">
        <v>186471.33333333334</v>
      </c>
      <c r="L10" s="13">
        <v>66901.333333333328</v>
      </c>
      <c r="M10" s="13">
        <v>31449.666666666668</v>
      </c>
      <c r="N10" s="3"/>
      <c r="O10" s="32">
        <v>785280.33333333337</v>
      </c>
      <c r="P10" s="13">
        <v>3320362</v>
      </c>
      <c r="Q10" s="13">
        <v>286560.33333333331</v>
      </c>
      <c r="R10" s="4">
        <v>63981.666666666664</v>
      </c>
      <c r="S10" s="32">
        <v>56591</v>
      </c>
      <c r="T10" s="32">
        <v>233343</v>
      </c>
      <c r="U10" s="32">
        <v>155876</v>
      </c>
      <c r="V10" s="32">
        <v>255845.33333333334</v>
      </c>
    </row>
    <row r="11" spans="1:22" ht="16.5" x14ac:dyDescent="0.35">
      <c r="A11" s="221"/>
      <c r="B11" s="73">
        <v>89634.333333333328</v>
      </c>
      <c r="C11" s="13">
        <v>197560.33333333334</v>
      </c>
      <c r="D11" s="32">
        <v>229457</v>
      </c>
      <c r="E11" s="32">
        <v>235347.66666666666</v>
      </c>
      <c r="F11" s="32">
        <v>1626654.5</v>
      </c>
      <c r="G11" s="32">
        <v>2938464.3333333335</v>
      </c>
      <c r="H11" s="32">
        <v>4303793.666666667</v>
      </c>
      <c r="I11" s="32">
        <v>51825.333333333336</v>
      </c>
      <c r="J11" s="16">
        <v>159621.66666666666</v>
      </c>
      <c r="K11" s="13">
        <v>177588.33333333334</v>
      </c>
      <c r="L11" s="13"/>
      <c r="M11" s="13">
        <v>3879</v>
      </c>
      <c r="N11" s="3"/>
      <c r="O11" s="32">
        <v>2254715</v>
      </c>
      <c r="P11" s="13">
        <v>4434395</v>
      </c>
      <c r="Q11" s="13">
        <v>298773.66666666669</v>
      </c>
      <c r="R11" s="4">
        <v>255334</v>
      </c>
      <c r="S11" s="32">
        <v>158057</v>
      </c>
      <c r="T11" s="32">
        <v>73195.666666666672</v>
      </c>
      <c r="U11" s="32">
        <v>53909</v>
      </c>
      <c r="V11" s="32">
        <v>100698</v>
      </c>
    </row>
    <row r="12" spans="1:22" ht="16.5" x14ac:dyDescent="0.35">
      <c r="A12" s="221"/>
      <c r="B12" s="73">
        <v>18133</v>
      </c>
      <c r="C12" s="13">
        <v>113903.33333333333</v>
      </c>
      <c r="D12" s="32">
        <v>225412.33333333334</v>
      </c>
      <c r="E12" s="32">
        <v>349561</v>
      </c>
      <c r="F12" s="32">
        <v>2917844</v>
      </c>
      <c r="G12" s="32">
        <v>2092987.6666666667</v>
      </c>
      <c r="H12" s="32">
        <v>3909841.6666666665</v>
      </c>
      <c r="I12" s="32">
        <v>52272.333333333336</v>
      </c>
      <c r="J12" s="16">
        <v>29575.333333333332</v>
      </c>
      <c r="K12" s="13">
        <v>225152.66666666666</v>
      </c>
      <c r="L12" s="13">
        <v>656</v>
      </c>
      <c r="M12" s="13">
        <v>93192</v>
      </c>
      <c r="N12" s="3"/>
      <c r="O12" s="32">
        <v>1790674</v>
      </c>
      <c r="P12" s="13">
        <v>2296575.6666666665</v>
      </c>
      <c r="Q12" s="13">
        <v>231901</v>
      </c>
      <c r="R12" s="4">
        <v>254735.33333333334</v>
      </c>
      <c r="S12" s="32">
        <v>47874</v>
      </c>
      <c r="T12" s="32">
        <v>305132.66666666669</v>
      </c>
      <c r="U12" s="32">
        <v>31601.333333333332</v>
      </c>
      <c r="V12" s="32">
        <v>133557.33333333334</v>
      </c>
    </row>
    <row r="13" spans="1:22" ht="16.5" x14ac:dyDescent="0.35">
      <c r="A13" s="221"/>
      <c r="B13" s="14"/>
      <c r="C13" s="13"/>
      <c r="D13" s="16"/>
      <c r="E13" s="16"/>
      <c r="F13" s="16"/>
      <c r="G13" s="16"/>
      <c r="H13" s="16"/>
      <c r="I13" s="32"/>
      <c r="J13" s="16"/>
      <c r="K13" s="13"/>
      <c r="L13" s="13"/>
      <c r="M13" s="13"/>
      <c r="N13" s="3"/>
      <c r="O13" s="32"/>
      <c r="P13" s="13"/>
      <c r="Q13" s="13"/>
      <c r="R13" s="4"/>
      <c r="S13" s="32"/>
      <c r="T13" s="32"/>
      <c r="U13" s="32"/>
      <c r="V13" s="32"/>
    </row>
    <row r="14" spans="1:22" ht="16.5" x14ac:dyDescent="0.35">
      <c r="A14" s="221"/>
      <c r="B14" s="14"/>
      <c r="C14" s="16"/>
      <c r="D14" s="16"/>
      <c r="E14" s="16"/>
      <c r="F14" s="16"/>
      <c r="G14" s="16"/>
      <c r="H14" s="16"/>
      <c r="I14" s="32"/>
      <c r="J14" s="16"/>
      <c r="K14" s="13"/>
      <c r="L14" s="13"/>
      <c r="M14" s="13"/>
      <c r="N14" s="3"/>
      <c r="O14" s="32">
        <v>1060413</v>
      </c>
      <c r="P14" s="13"/>
      <c r="Q14" s="13"/>
      <c r="R14" s="4"/>
      <c r="S14" s="32"/>
      <c r="T14" s="32"/>
      <c r="U14" s="32"/>
      <c r="V14" s="32"/>
    </row>
    <row r="15" spans="1:22" ht="16.5" x14ac:dyDescent="0.35">
      <c r="A15" s="221"/>
      <c r="B15" s="14"/>
      <c r="C15" s="16"/>
      <c r="D15" s="16"/>
      <c r="E15" s="16"/>
      <c r="F15" s="16"/>
      <c r="G15" s="16"/>
      <c r="H15" s="16"/>
      <c r="I15" s="32"/>
      <c r="J15" s="16"/>
      <c r="K15" s="13"/>
      <c r="L15" s="13"/>
      <c r="M15" s="13"/>
      <c r="N15" s="3"/>
      <c r="O15" s="32">
        <v>2642380.3333333335</v>
      </c>
      <c r="P15" s="13"/>
      <c r="Q15" s="13"/>
      <c r="R15" s="4"/>
      <c r="S15" s="32"/>
      <c r="T15" s="32"/>
      <c r="U15" s="32"/>
      <c r="V15" s="32"/>
    </row>
    <row r="16" spans="1:22" ht="16.5" x14ac:dyDescent="0.35">
      <c r="A16" s="221"/>
      <c r="B16" s="14"/>
      <c r="C16" s="16"/>
      <c r="D16" s="16"/>
      <c r="E16" s="16"/>
      <c r="F16" s="16"/>
      <c r="G16" s="16"/>
      <c r="H16" s="16"/>
      <c r="I16" s="32"/>
      <c r="J16" s="16"/>
      <c r="K16" s="13"/>
      <c r="L16" s="13"/>
      <c r="M16" s="13"/>
      <c r="N16" s="3"/>
      <c r="O16" s="32">
        <v>1625162</v>
      </c>
      <c r="P16" s="13"/>
      <c r="Q16" s="13"/>
      <c r="R16" s="4"/>
      <c r="S16" s="32"/>
      <c r="T16" s="32"/>
      <c r="U16" s="32"/>
      <c r="V16" s="32"/>
    </row>
    <row r="17" spans="1:22" s="1" customFormat="1" ht="16.5" x14ac:dyDescent="0.35">
      <c r="A17" s="221"/>
      <c r="B17" s="14"/>
      <c r="C17" s="32"/>
      <c r="D17" s="32"/>
      <c r="E17" s="32"/>
      <c r="F17" s="32"/>
      <c r="G17" s="32"/>
      <c r="H17" s="32"/>
      <c r="I17" s="32"/>
      <c r="J17" s="32"/>
      <c r="K17" s="13"/>
      <c r="L17" s="13"/>
      <c r="M17" s="13"/>
      <c r="N17" s="3"/>
      <c r="O17" s="32">
        <v>3457452</v>
      </c>
      <c r="P17" s="13"/>
      <c r="Q17" s="13"/>
      <c r="R17" s="32"/>
      <c r="S17" s="32"/>
      <c r="T17" s="32"/>
      <c r="U17" s="32"/>
      <c r="V17" s="32"/>
    </row>
    <row r="18" spans="1:22" s="1" customFormat="1" ht="16.5" x14ac:dyDescent="0.35">
      <c r="A18" s="221"/>
      <c r="B18" s="14"/>
      <c r="C18" s="32"/>
      <c r="D18" s="32"/>
      <c r="E18" s="32"/>
      <c r="F18" s="32"/>
      <c r="G18" s="32"/>
      <c r="H18" s="32"/>
      <c r="I18" s="32"/>
      <c r="J18" s="32"/>
      <c r="K18" s="13"/>
      <c r="L18" s="13"/>
      <c r="M18" s="13"/>
      <c r="N18" s="3"/>
      <c r="O18" s="32">
        <v>1292141</v>
      </c>
      <c r="P18" s="13"/>
      <c r="Q18" s="13"/>
      <c r="R18" s="32"/>
      <c r="S18" s="32"/>
      <c r="T18" s="32"/>
      <c r="U18" s="32"/>
      <c r="V18" s="32"/>
    </row>
    <row r="19" spans="1:22" s="1" customFormat="1" ht="16.5" x14ac:dyDescent="0.35">
      <c r="A19" s="221"/>
      <c r="B19" s="14"/>
      <c r="C19" s="32"/>
      <c r="D19" s="32"/>
      <c r="E19" s="32"/>
      <c r="F19" s="32"/>
      <c r="G19" s="32"/>
      <c r="H19" s="32"/>
      <c r="I19" s="32"/>
      <c r="J19" s="32"/>
      <c r="K19" s="13"/>
      <c r="L19" s="13"/>
      <c r="M19" s="13"/>
      <c r="N19" s="3"/>
      <c r="O19" s="32">
        <v>104025.33333333333</v>
      </c>
      <c r="P19" s="13"/>
      <c r="Q19" s="13"/>
      <c r="R19" s="32"/>
      <c r="S19" s="32"/>
      <c r="T19" s="32"/>
      <c r="U19" s="32"/>
      <c r="V19" s="32"/>
    </row>
    <row r="20" spans="1:22" ht="16.5" x14ac:dyDescent="0.35">
      <c r="A20" s="221"/>
      <c r="B20" s="14"/>
      <c r="C20" s="16"/>
      <c r="D20" s="16"/>
      <c r="E20" s="16"/>
      <c r="F20" s="16"/>
      <c r="G20" s="16"/>
      <c r="H20" s="16"/>
      <c r="I20" s="32"/>
      <c r="J20" s="16"/>
      <c r="K20" s="13"/>
      <c r="L20" s="13"/>
      <c r="M20" s="13"/>
      <c r="N20" s="3"/>
      <c r="O20" s="32">
        <v>953907</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AN-0.18mg/L</v>
      </c>
      <c r="J22" s="68" t="str">
        <f t="shared" si="0"/>
        <v>AN-0.36mg/L</v>
      </c>
      <c r="K22" s="68" t="str">
        <f t="shared" si="0"/>
        <v>AN-0.73mg/L</v>
      </c>
      <c r="L22" s="68" t="str">
        <f t="shared" si="0"/>
        <v>AN-1.45mg/L</v>
      </c>
      <c r="M22" s="68" t="str">
        <f t="shared" si="0"/>
        <v>AN-2.9mg/L</v>
      </c>
      <c r="N22" s="68" t="s">
        <v>47</v>
      </c>
      <c r="O22" s="68" t="str">
        <f t="shared" ref="O22:V22" si="1">O4</f>
        <v>Testo -30µg/L</v>
      </c>
      <c r="P22" s="68" t="str">
        <f t="shared" si="1"/>
        <v>Testo 30µg/L + EE2 -64ng/L</v>
      </c>
      <c r="Q22" s="68" t="str">
        <f t="shared" si="1"/>
        <v>Testo 30µg/L + FAD-10mg/L</v>
      </c>
      <c r="R22" s="68" t="str">
        <f t="shared" si="1"/>
        <v>AN-0,18mg/L + Testostérone</v>
      </c>
      <c r="S22" s="68" t="str">
        <f t="shared" si="1"/>
        <v>AN-0,36mg/L + Testostérone</v>
      </c>
      <c r="T22" s="68" t="str">
        <f t="shared" si="1"/>
        <v>AN-0,73mg/L + Testostérone</v>
      </c>
      <c r="U22" s="68" t="str">
        <f t="shared" si="1"/>
        <v>AN-1,45mg/L + Testostérone</v>
      </c>
      <c r="V22" s="68" t="str">
        <f t="shared" si="1"/>
        <v>AN-2,9mg/L + Testostérone</v>
      </c>
    </row>
    <row r="23" spans="1:22" x14ac:dyDescent="0.35">
      <c r="A23" s="5" t="s">
        <v>0</v>
      </c>
      <c r="B23" s="5">
        <f t="shared" ref="B23:M23" si="2">AVERAGE(B5:B20)</f>
        <v>155309.91666666666</v>
      </c>
      <c r="C23" s="5">
        <f t="shared" si="2"/>
        <v>187677.25</v>
      </c>
      <c r="D23" s="5">
        <f t="shared" si="2"/>
        <v>95030</v>
      </c>
      <c r="E23" s="5">
        <f t="shared" si="2"/>
        <v>424404.79166666663</v>
      </c>
      <c r="F23" s="5">
        <f t="shared" si="2"/>
        <v>1898199.357142857</v>
      </c>
      <c r="G23" s="5">
        <f t="shared" si="2"/>
        <v>2257841.875</v>
      </c>
      <c r="H23" s="5">
        <f t="shared" si="2"/>
        <v>3419894.5416666674</v>
      </c>
      <c r="I23" s="5">
        <f t="shared" si="2"/>
        <v>102088.625</v>
      </c>
      <c r="J23" s="5">
        <f t="shared" si="2"/>
        <v>107214.91666666666</v>
      </c>
      <c r="K23" s="5">
        <f t="shared" si="2"/>
        <v>119574.125</v>
      </c>
      <c r="L23" s="5">
        <f t="shared" si="2"/>
        <v>148292.52380952382</v>
      </c>
      <c r="M23" s="5">
        <f t="shared" si="2"/>
        <v>102096.625</v>
      </c>
      <c r="N23" s="5" t="s">
        <v>0</v>
      </c>
      <c r="O23" s="5">
        <f t="shared" ref="O23:V23" si="3">AVERAGE(O5:O20)</f>
        <v>1407202.9555555554</v>
      </c>
      <c r="P23" s="5">
        <f t="shared" si="3"/>
        <v>3429285.5</v>
      </c>
      <c r="Q23" s="5">
        <f t="shared" si="3"/>
        <v>183643.25</v>
      </c>
      <c r="R23" s="5">
        <f t="shared" si="3"/>
        <v>216153.95833333334</v>
      </c>
      <c r="S23" s="5">
        <f t="shared" si="3"/>
        <v>149004.75</v>
      </c>
      <c r="T23" s="5">
        <f t="shared" si="3"/>
        <v>169331.41666666669</v>
      </c>
      <c r="U23" s="5">
        <f t="shared" si="3"/>
        <v>116438.79166666667</v>
      </c>
      <c r="V23" s="5">
        <f t="shared" si="3"/>
        <v>159732.25</v>
      </c>
    </row>
    <row r="24" spans="1:22" x14ac:dyDescent="0.35">
      <c r="A24" s="3" t="s">
        <v>1</v>
      </c>
      <c r="B24" s="3">
        <f t="shared" ref="B24:M24" si="4">STDEV(B5:B20)</f>
        <v>143971.85837106311</v>
      </c>
      <c r="C24" s="3">
        <f t="shared" si="4"/>
        <v>127359.09494445781</v>
      </c>
      <c r="D24" s="3">
        <f t="shared" si="4"/>
        <v>86237.425123162247</v>
      </c>
      <c r="E24" s="3">
        <f t="shared" si="4"/>
        <v>337571.34123778553</v>
      </c>
      <c r="F24" s="3">
        <f t="shared" si="4"/>
        <v>915244.80045427056</v>
      </c>
      <c r="G24" s="3">
        <f t="shared" si="4"/>
        <v>1043723.5671354737</v>
      </c>
      <c r="H24" s="3">
        <f t="shared" si="4"/>
        <v>844717.90955850098</v>
      </c>
      <c r="I24" s="3">
        <f t="shared" si="4"/>
        <v>129348.47045996079</v>
      </c>
      <c r="J24" s="3">
        <f t="shared" si="4"/>
        <v>78194.807090145594</v>
      </c>
      <c r="K24" s="3">
        <f t="shared" si="4"/>
        <v>79521.889195592623</v>
      </c>
      <c r="L24" s="3">
        <f t="shared" si="4"/>
        <v>142783.38025210399</v>
      </c>
      <c r="M24" s="3">
        <f t="shared" si="4"/>
        <v>100301.79693233399</v>
      </c>
      <c r="N24" s="3" t="s">
        <v>1</v>
      </c>
      <c r="O24" s="3">
        <f t="shared" ref="O24:V24" si="5">STDEV(O5:O20)</f>
        <v>1002061.8745684328</v>
      </c>
      <c r="P24" s="3">
        <f t="shared" si="5"/>
        <v>769415.6304702519</v>
      </c>
      <c r="Q24" s="3">
        <f t="shared" si="5"/>
        <v>103694.55005757466</v>
      </c>
      <c r="R24" s="3">
        <f t="shared" si="5"/>
        <v>211883.73434439977</v>
      </c>
      <c r="S24" s="3">
        <f t="shared" si="5"/>
        <v>96508.006531862251</v>
      </c>
      <c r="T24" s="3">
        <f t="shared" si="5"/>
        <v>115443.5492708277</v>
      </c>
      <c r="U24" s="3">
        <f t="shared" si="5"/>
        <v>102761.27347955979</v>
      </c>
      <c r="V24" s="3">
        <f t="shared" si="5"/>
        <v>78955.443892400712</v>
      </c>
    </row>
    <row r="25" spans="1:22" ht="15" thickBot="1" x14ac:dyDescent="0.4"/>
    <row r="26" spans="1:22" ht="15" thickBot="1" x14ac:dyDescent="0.4">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AN-0.18mg/L</v>
      </c>
      <c r="J27" s="35" t="str">
        <f t="shared" si="6"/>
        <v>AN-0.36mg/L</v>
      </c>
      <c r="K27" s="35" t="str">
        <f t="shared" si="6"/>
        <v>AN-0.73mg/L</v>
      </c>
      <c r="L27" s="35" t="str">
        <f t="shared" si="6"/>
        <v>AN-1.45mg/L</v>
      </c>
      <c r="M27" s="35" t="str">
        <f t="shared" si="6"/>
        <v>AN-2.9mg/L</v>
      </c>
      <c r="N27" s="3"/>
      <c r="O27" s="36" t="str">
        <f t="shared" ref="O27:V27" si="7">O4</f>
        <v>Testo -30µg/L</v>
      </c>
      <c r="P27" s="36" t="str">
        <f t="shared" si="7"/>
        <v>Testo 30µg/L + EE2 -64ng/L</v>
      </c>
      <c r="Q27" s="36" t="str">
        <f t="shared" si="7"/>
        <v>Testo 30µg/L + FAD-10mg/L</v>
      </c>
      <c r="R27" s="36" t="str">
        <f t="shared" si="7"/>
        <v>AN-0,18mg/L + Testostérone</v>
      </c>
      <c r="S27" s="36" t="str">
        <f t="shared" si="7"/>
        <v>AN-0,36mg/L + Testostérone</v>
      </c>
      <c r="T27" s="36" t="str">
        <f t="shared" si="7"/>
        <v>AN-0,73mg/L + Testostérone</v>
      </c>
      <c r="U27" s="36" t="str">
        <f t="shared" si="7"/>
        <v>AN-1,45mg/L + Testostérone</v>
      </c>
      <c r="V27" s="36" t="str">
        <f t="shared" si="7"/>
        <v>AN-2,9mg/L + Testostérone</v>
      </c>
    </row>
    <row r="28" spans="1:22" x14ac:dyDescent="0.35">
      <c r="A28" s="222" t="s">
        <v>34</v>
      </c>
      <c r="B28" s="11">
        <f t="shared" ref="B28:M28" si="8">IF(B5="","",(B5/$O$23))</f>
        <v>0.113570208691211</v>
      </c>
      <c r="C28" s="11">
        <f t="shared" si="8"/>
        <v>2.6760650635358877E-2</v>
      </c>
      <c r="D28" s="11">
        <f t="shared" si="8"/>
        <v>3.1013294726040707E-2</v>
      </c>
      <c r="E28" s="11">
        <f t="shared" si="8"/>
        <v>0.11518925967766508</v>
      </c>
      <c r="F28" s="11" t="str">
        <f t="shared" si="8"/>
        <v/>
      </c>
      <c r="G28" s="11">
        <f t="shared" si="8"/>
        <v>0.31979040281530585</v>
      </c>
      <c r="H28" s="11">
        <f t="shared" si="8"/>
        <v>1.8190313793952777</v>
      </c>
      <c r="I28" s="11">
        <f t="shared" si="8"/>
        <v>2.3645487574223877E-2</v>
      </c>
      <c r="J28" s="11">
        <f t="shared" si="8"/>
        <v>0.11889353463394439</v>
      </c>
      <c r="K28" s="11">
        <f t="shared" si="8"/>
        <v>1.8168428772645021E-2</v>
      </c>
      <c r="L28" s="11">
        <f t="shared" si="8"/>
        <v>6.7938553536927232E-3</v>
      </c>
      <c r="M28" s="11">
        <f t="shared" si="8"/>
        <v>5.610372904750232E-2</v>
      </c>
      <c r="N28" s="6"/>
      <c r="O28" s="11">
        <f t="shared" ref="O28:V28" si="9">IF(O5="","",(O5/$O$23))</f>
        <v>4.2813061491106405E-2</v>
      </c>
      <c r="P28" s="11">
        <f t="shared" si="9"/>
        <v>2.5290926604553752</v>
      </c>
      <c r="Q28" s="11">
        <f t="shared" si="9"/>
        <v>1.5373285884545787E-4</v>
      </c>
      <c r="R28" s="11">
        <f t="shared" si="9"/>
        <v>1.9213527960975006E-2</v>
      </c>
      <c r="S28" s="11">
        <f t="shared" si="9"/>
        <v>0.14306157180233325</v>
      </c>
      <c r="T28" s="11">
        <f t="shared" si="9"/>
        <v>2.4624024461574551E-2</v>
      </c>
      <c r="U28" s="11">
        <f t="shared" si="9"/>
        <v>0.20607167254860012</v>
      </c>
      <c r="V28" s="11">
        <f t="shared" si="9"/>
        <v>0.16576926524994826</v>
      </c>
    </row>
    <row r="29" spans="1:22" x14ac:dyDescent="0.35">
      <c r="A29" s="223"/>
      <c r="B29" s="11">
        <f t="shared" ref="B29:M29" si="10">IF(B6="","",(B6/$O$23))</f>
        <v>3.545567690599096E-3</v>
      </c>
      <c r="C29" s="11">
        <f t="shared" si="10"/>
        <v>0.24452431113427167</v>
      </c>
      <c r="D29" s="11">
        <f t="shared" si="10"/>
        <v>3.0254816121998859E-2</v>
      </c>
      <c r="E29" s="11">
        <f t="shared" si="10"/>
        <v>0.82467137765628795</v>
      </c>
      <c r="F29" s="11">
        <f t="shared" si="10"/>
        <v>6.7129383358474098E-2</v>
      </c>
      <c r="G29" s="11">
        <f t="shared" si="10"/>
        <v>0.63505646417614603</v>
      </c>
      <c r="H29" s="11">
        <f t="shared" si="10"/>
        <v>2.0800385060147608</v>
      </c>
      <c r="I29" s="11">
        <f t="shared" si="10"/>
        <v>2.6043151668574762E-2</v>
      </c>
      <c r="J29" s="11">
        <f t="shared" si="10"/>
        <v>2.747270144227636E-2</v>
      </c>
      <c r="K29" s="11">
        <f t="shared" si="10"/>
        <v>0.12263618358580608</v>
      </c>
      <c r="L29" s="11">
        <f t="shared" si="10"/>
        <v>0.1852443048845217</v>
      </c>
      <c r="M29" s="11">
        <f t="shared" si="10"/>
        <v>7.1177129262867303E-2</v>
      </c>
      <c r="N29" s="6"/>
      <c r="O29" s="11">
        <f t="shared" ref="O29:V29" si="11">IF(O6="","",(O6/$O$23))</f>
        <v>2.863552825902883E-2</v>
      </c>
      <c r="P29" s="11">
        <f t="shared" si="11"/>
        <v>2.7897103620826518</v>
      </c>
      <c r="Q29" s="11">
        <f t="shared" si="11"/>
        <v>7.8739648910787316E-2</v>
      </c>
      <c r="R29" s="11">
        <f t="shared" si="11"/>
        <v>4.6081720534570929E-2</v>
      </c>
      <c r="S29" s="11">
        <f t="shared" si="11"/>
        <v>0.22356358199171872</v>
      </c>
      <c r="T29" s="11">
        <f t="shared" si="11"/>
        <v>0.24920759673093357</v>
      </c>
      <c r="U29" s="11">
        <f t="shared" si="11"/>
        <v>4.0271613351579569E-2</v>
      </c>
      <c r="V29" s="11">
        <f t="shared" si="11"/>
        <v>5.5283899425831867E-2</v>
      </c>
    </row>
    <row r="30" spans="1:22" x14ac:dyDescent="0.35">
      <c r="A30" s="223"/>
      <c r="B30" s="11">
        <f t="shared" ref="B30:M30" si="12">IF(B7="","",(B7/$O$23))</f>
        <v>0.17770736790032327</v>
      </c>
      <c r="C30" s="11">
        <f t="shared" si="12"/>
        <v>0.27831995741655086</v>
      </c>
      <c r="D30" s="11">
        <f t="shared" si="12"/>
        <v>6.6663210375102977E-2</v>
      </c>
      <c r="E30" s="11">
        <f t="shared" si="12"/>
        <v>0.48604644930551205</v>
      </c>
      <c r="F30" s="11">
        <f t="shared" si="12"/>
        <v>1.6107771266288007</v>
      </c>
      <c r="G30" s="11">
        <f t="shared" si="12"/>
        <v>2.0605944972037755</v>
      </c>
      <c r="H30" s="11">
        <f t="shared" si="12"/>
        <v>1.8059972491056451</v>
      </c>
      <c r="I30" s="11">
        <f t="shared" si="12"/>
        <v>0.14118622042563142</v>
      </c>
      <c r="J30" s="11">
        <f t="shared" si="12"/>
        <v>4.3494318350951612E-2</v>
      </c>
      <c r="K30" s="11">
        <f t="shared" si="12"/>
        <v>6.3737785403236394E-2</v>
      </c>
      <c r="L30" s="11">
        <f t="shared" si="12"/>
        <v>4.9934753942860934E-2</v>
      </c>
      <c r="M30" s="11">
        <f t="shared" si="12"/>
        <v>0.17448963730778599</v>
      </c>
      <c r="N30" s="6"/>
      <c r="O30" s="11">
        <f t="shared" ref="O30:V30" si="13">IF(O7="","",(O7/$O$23))</f>
        <v>1.2668646406891984</v>
      </c>
      <c r="P30" s="11">
        <f t="shared" si="13"/>
        <v>2.1137367960489883</v>
      </c>
      <c r="Q30" s="11">
        <f t="shared" si="13"/>
        <v>0.13438217938175326</v>
      </c>
      <c r="R30" s="11">
        <f t="shared" si="13"/>
        <v>0.16858762203660965</v>
      </c>
      <c r="S30" s="11">
        <f t="shared" si="13"/>
        <v>0.16897681015230009</v>
      </c>
      <c r="T30" s="11">
        <f t="shared" si="13"/>
        <v>8.1742295626850522E-2</v>
      </c>
      <c r="U30" s="11">
        <f t="shared" si="13"/>
        <v>0.16668171358935149</v>
      </c>
      <c r="V30" s="11">
        <f t="shared" si="13"/>
        <v>0.14971211686388192</v>
      </c>
    </row>
    <row r="31" spans="1:22" x14ac:dyDescent="0.35">
      <c r="A31" s="223"/>
      <c r="B31" s="11">
        <f t="shared" ref="B31:M31" si="14">IF(B8="","",(B8/$O$23))</f>
        <v>0.13727207287622872</v>
      </c>
      <c r="C31" s="11">
        <f t="shared" si="14"/>
        <v>5.7579469741812342E-2</v>
      </c>
      <c r="D31" s="11">
        <f t="shared" si="14"/>
        <v>3.2873012252690459E-2</v>
      </c>
      <c r="E31" s="11">
        <f t="shared" si="14"/>
        <v>0.23000922886697875</v>
      </c>
      <c r="F31" s="11">
        <f t="shared" si="14"/>
        <v>1.6946558115529193</v>
      </c>
      <c r="G31" s="11">
        <f t="shared" si="14"/>
        <v>1.8007402485873751</v>
      </c>
      <c r="H31" s="11">
        <f t="shared" si="14"/>
        <v>2.6261239139270969</v>
      </c>
      <c r="I31" s="11">
        <f t="shared" si="14"/>
        <v>1.2810281982068355E-3</v>
      </c>
      <c r="J31" s="11">
        <f t="shared" si="14"/>
        <v>0.16187027779756577</v>
      </c>
      <c r="K31" s="11">
        <f t="shared" si="14"/>
        <v>2.9127994535669367E-2</v>
      </c>
      <c r="L31" s="11">
        <f t="shared" si="14"/>
        <v>0.21432089721623193</v>
      </c>
      <c r="M31" s="11">
        <f t="shared" si="14"/>
        <v>2.6208017723669428E-3</v>
      </c>
      <c r="N31" s="6"/>
      <c r="O31" s="11">
        <f t="shared" ref="O31:V31" si="15">IF(O8="","",(O8/$O$23))</f>
        <v>1.6774507595706047</v>
      </c>
      <c r="P31" s="11">
        <f t="shared" si="15"/>
        <v>1.8727220473748929</v>
      </c>
      <c r="Q31" s="11">
        <f t="shared" si="15"/>
        <v>0.17522253324810622</v>
      </c>
      <c r="R31" s="11">
        <f t="shared" si="15"/>
        <v>9.7953176871762318E-2</v>
      </c>
      <c r="S31" s="11">
        <f t="shared" si="15"/>
        <v>4.7895720893644141E-2</v>
      </c>
      <c r="T31" s="11">
        <f t="shared" si="15"/>
        <v>0.11335488793822097</v>
      </c>
      <c r="U31" s="11">
        <f t="shared" si="15"/>
        <v>0</v>
      </c>
      <c r="V31" s="11">
        <f t="shared" si="15"/>
        <v>3.488409387302626E-2</v>
      </c>
    </row>
    <row r="32" spans="1:22" x14ac:dyDescent="0.35">
      <c r="A32" s="223"/>
      <c r="B32" s="11">
        <f t="shared" ref="B32:M32" si="16">IF(B9="","",(B9/$O$23))</f>
        <v>0.3158298274687788</v>
      </c>
      <c r="C32" s="11">
        <f t="shared" si="16"/>
        <v>0.16201903624957645</v>
      </c>
      <c r="D32" s="11">
        <f t="shared" si="16"/>
        <v>3.1267700104160926E-4</v>
      </c>
      <c r="E32" s="11">
        <f t="shared" si="16"/>
        <v>0.16284905156143237</v>
      </c>
      <c r="F32" s="11">
        <f t="shared" si="16"/>
        <v>1.160770254841073</v>
      </c>
      <c r="G32" s="11">
        <f t="shared" si="16"/>
        <v>2.1805539761594526</v>
      </c>
      <c r="H32" s="11">
        <f t="shared" si="16"/>
        <v>3.3430250043849798</v>
      </c>
      <c r="I32" s="11">
        <f t="shared" si="16"/>
        <v>0.27536894978096266</v>
      </c>
      <c r="J32" s="11">
        <f t="shared" si="16"/>
        <v>0.10724750072772415</v>
      </c>
      <c r="K32" s="11">
        <f t="shared" si="16"/>
        <v>2.7401164734462299E-2</v>
      </c>
      <c r="L32" s="11">
        <f t="shared" si="16"/>
        <v>0.23336529534482534</v>
      </c>
      <c r="M32" s="11">
        <f t="shared" si="16"/>
        <v>0.18470114703346988</v>
      </c>
      <c r="N32" s="6"/>
      <c r="O32" s="11">
        <f t="shared" ref="O32:V32" si="17">IF(O9="","",(O9/$O$23))</f>
        <v>0.63821805503440543</v>
      </c>
      <c r="P32" s="11">
        <f t="shared" si="17"/>
        <v>3.0475769798537944</v>
      </c>
      <c r="Q32" s="11">
        <f t="shared" si="17"/>
        <v>7.4769124750590749E-2</v>
      </c>
      <c r="R32" s="11">
        <f t="shared" si="17"/>
        <v>0.48906946740194618</v>
      </c>
      <c r="S32" s="11">
        <f t="shared" si="17"/>
        <v>7.7043849933168457E-2</v>
      </c>
      <c r="T32" s="11">
        <f t="shared" si="17"/>
        <v>5.9054736683090477E-2</v>
      </c>
      <c r="U32" s="11">
        <f t="shared" si="17"/>
        <v>7.7397506571467795E-2</v>
      </c>
      <c r="V32" s="11">
        <f t="shared" si="17"/>
        <v>0.15415426216731623</v>
      </c>
    </row>
    <row r="33" spans="1:22" x14ac:dyDescent="0.35">
      <c r="A33" s="223"/>
      <c r="B33" s="11">
        <f t="shared" ref="B33:M33" si="18">IF(B10="","",(B10/$O$23))</f>
        <v>5.8434830840873898E-2</v>
      </c>
      <c r="C33" s="11">
        <f t="shared" si="18"/>
        <v>7.6413284647734545E-2</v>
      </c>
      <c r="D33" s="11">
        <f t="shared" si="18"/>
        <v>5.5888408294512304E-2</v>
      </c>
      <c r="E33" s="11">
        <f t="shared" si="18"/>
        <v>0.17833793318575716</v>
      </c>
      <c r="F33" s="11">
        <f t="shared" si="18"/>
        <v>1.6796283653816471</v>
      </c>
      <c r="G33" s="11">
        <f t="shared" si="18"/>
        <v>2.2636791568863646</v>
      </c>
      <c r="H33" s="11">
        <f t="shared" si="18"/>
        <v>1.9311568782157666</v>
      </c>
      <c r="I33" s="11">
        <f t="shared" si="18"/>
        <v>3.8877831931784998E-2</v>
      </c>
      <c r="J33" s="11">
        <f t="shared" si="18"/>
        <v>1.6093390493005254E-2</v>
      </c>
      <c r="K33" s="11">
        <f t="shared" si="18"/>
        <v>0.13251203928840213</v>
      </c>
      <c r="L33" s="11">
        <f t="shared" si="18"/>
        <v>4.7542064255344803E-2</v>
      </c>
      <c r="M33" s="11">
        <f t="shared" si="18"/>
        <v>2.2349062402480902E-2</v>
      </c>
      <c r="N33" s="6"/>
      <c r="O33" s="11">
        <f t="shared" ref="O33:V33" si="19">IF(O10="","",(O10/$O$23))</f>
        <v>0.55804340819004983</v>
      </c>
      <c r="P33" s="11">
        <f t="shared" si="19"/>
        <v>2.3595473466648178</v>
      </c>
      <c r="Q33" s="11">
        <f t="shared" si="19"/>
        <v>0.20363824010034215</v>
      </c>
      <c r="R33" s="11">
        <f t="shared" si="19"/>
        <v>4.5467262852220969E-2</v>
      </c>
      <c r="S33" s="11">
        <f t="shared" si="19"/>
        <v>4.0215236740785698E-2</v>
      </c>
      <c r="T33" s="11">
        <f t="shared" si="19"/>
        <v>0.16582043057739143</v>
      </c>
      <c r="U33" s="11">
        <f t="shared" si="19"/>
        <v>0.110770091396277</v>
      </c>
      <c r="V33" s="11">
        <f t="shared" si="19"/>
        <v>0.18181125353899438</v>
      </c>
    </row>
    <row r="34" spans="1:22" x14ac:dyDescent="0.35">
      <c r="A34" s="223"/>
      <c r="B34" s="11">
        <f t="shared" ref="B34:M34" si="20">IF(B11="","",(B11/$O$23))</f>
        <v>6.3696805765978665E-2</v>
      </c>
      <c r="C34" s="11">
        <f t="shared" si="20"/>
        <v>0.14039221034419849</v>
      </c>
      <c r="D34" s="11">
        <f t="shared" si="20"/>
        <v>0.16305892415455575</v>
      </c>
      <c r="E34" s="11">
        <f t="shared" si="20"/>
        <v>0.16724500594425826</v>
      </c>
      <c r="F34" s="11">
        <f t="shared" si="20"/>
        <v>1.1559487517973599</v>
      </c>
      <c r="G34" s="11">
        <f t="shared" si="20"/>
        <v>2.088159580487269</v>
      </c>
      <c r="H34" s="11">
        <f t="shared" si="20"/>
        <v>3.0584029472618286</v>
      </c>
      <c r="I34" s="11">
        <f t="shared" si="20"/>
        <v>3.6828613192382759E-2</v>
      </c>
      <c r="J34" s="11">
        <f t="shared" si="20"/>
        <v>0.11343187280590167</v>
      </c>
      <c r="K34" s="11">
        <f t="shared" si="20"/>
        <v>0.12619951701510074</v>
      </c>
      <c r="L34" s="11" t="str">
        <f t="shared" si="20"/>
        <v/>
      </c>
      <c r="M34" s="11">
        <f t="shared" si="20"/>
        <v>2.756532016000914E-3</v>
      </c>
      <c r="N34" s="6"/>
      <c r="O34" s="11">
        <f t="shared" ref="O34:V34" si="21">IF(O11="","",(O11/$O$23))</f>
        <v>1.6022671009171181</v>
      </c>
      <c r="P34" s="11">
        <f t="shared" si="21"/>
        <v>3.1512121137134246</v>
      </c>
      <c r="Q34" s="11">
        <f t="shared" si="21"/>
        <v>0.21231739564440624</v>
      </c>
      <c r="R34" s="11">
        <f t="shared" si="21"/>
        <v>0.18144788496354147</v>
      </c>
      <c r="S34" s="11">
        <f t="shared" si="21"/>
        <v>0.11231997444007644</v>
      </c>
      <c r="T34" s="11">
        <f t="shared" si="21"/>
        <v>5.2015003505851407E-2</v>
      </c>
      <c r="U34" s="11">
        <f t="shared" si="21"/>
        <v>3.8309328293527525E-2</v>
      </c>
      <c r="V34" s="11">
        <f t="shared" si="21"/>
        <v>7.1558974206563555E-2</v>
      </c>
    </row>
    <row r="35" spans="1:22" x14ac:dyDescent="0.35">
      <c r="A35" s="223"/>
      <c r="B35" s="11">
        <f t="shared" ref="B35:M35" si="22">IF(B12="","",(B12/$O$23))</f>
        <v>1.288584559065341E-2</v>
      </c>
      <c r="C35" s="11">
        <f t="shared" si="22"/>
        <v>8.0943074262066886E-2</v>
      </c>
      <c r="D35" s="11">
        <f t="shared" si="22"/>
        <v>0.16018466451013236</v>
      </c>
      <c r="E35" s="11">
        <f t="shared" si="22"/>
        <v>0.24840837536614993</v>
      </c>
      <c r="F35" s="11">
        <f t="shared" si="22"/>
        <v>2.0735061623346667</v>
      </c>
      <c r="G35" s="11">
        <f t="shared" si="22"/>
        <v>1.4873388791600197</v>
      </c>
      <c r="H35" s="11">
        <f t="shared" si="22"/>
        <v>2.7784490156383193</v>
      </c>
      <c r="I35" s="11">
        <f t="shared" si="22"/>
        <v>3.7146264600259118E-2</v>
      </c>
      <c r="J35" s="11">
        <f t="shared" si="22"/>
        <v>2.1017105753346834E-2</v>
      </c>
      <c r="K35" s="11">
        <f t="shared" si="22"/>
        <v>0.16000013770421462</v>
      </c>
      <c r="L35" s="11">
        <f t="shared" si="22"/>
        <v>4.6617298337112649E-4</v>
      </c>
      <c r="M35" s="11">
        <f t="shared" si="22"/>
        <v>6.622498882061284E-2</v>
      </c>
      <c r="N35" s="6"/>
      <c r="O35" s="11">
        <f t="shared" ref="O35:V35" si="23">IF(O12="","",(O12/$O$23))</f>
        <v>1.272505854916324</v>
      </c>
      <c r="P35" s="11">
        <f t="shared" si="23"/>
        <v>1.6320145275419722</v>
      </c>
      <c r="Q35" s="11">
        <f t="shared" si="23"/>
        <v>0.16479570276943234</v>
      </c>
      <c r="R35" s="11">
        <f t="shared" si="23"/>
        <v>0.18102245474091216</v>
      </c>
      <c r="S35" s="11">
        <f t="shared" si="23"/>
        <v>3.4020678972422731E-2</v>
      </c>
      <c r="T35" s="11">
        <f t="shared" si="23"/>
        <v>0.21683628893900533</v>
      </c>
      <c r="U35" s="11">
        <f t="shared" si="23"/>
        <v>2.2456841217233878E-2</v>
      </c>
      <c r="V35" s="11">
        <f t="shared" si="23"/>
        <v>9.4909787394957326E-2</v>
      </c>
    </row>
    <row r="36" spans="1:22" s="1" customFormat="1" x14ac:dyDescent="0.3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t="str">
        <f t="shared" ref="O36:V36" si="25">IF(O13="","",(O13/$O$23))</f>
        <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0.75356081069439995</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1.8777535414499875</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1.1548881371972357</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2.4569675513757137</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0.91823357455205912</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7.3923475588682758E-2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0.67787450007408712</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AN-0.18mg/L</v>
      </c>
      <c r="J45" s="70" t="str">
        <f t="shared" si="46"/>
        <v>AN-0.36mg/L</v>
      </c>
      <c r="K45" s="70" t="str">
        <f t="shared" si="46"/>
        <v>AN-0.73mg/L</v>
      </c>
      <c r="L45" s="70" t="str">
        <f t="shared" si="46"/>
        <v>AN-1.45mg/L</v>
      </c>
      <c r="M45" s="70" t="str">
        <f t="shared" si="46"/>
        <v>AN-2.9mg/L</v>
      </c>
      <c r="N45" s="70" t="str">
        <f>N22</f>
        <v>Nom des groupes</v>
      </c>
      <c r="O45" s="70" t="str">
        <f t="shared" ref="O45:V45" si="47">O4</f>
        <v>Testo -30µg/L</v>
      </c>
      <c r="P45" s="70" t="str">
        <f t="shared" si="47"/>
        <v>Testo 30µg/L + EE2 -64ng/L</v>
      </c>
      <c r="Q45" s="70" t="str">
        <f t="shared" si="47"/>
        <v>Testo 30µg/L + FAD-10mg/L</v>
      </c>
      <c r="R45" s="70" t="str">
        <f t="shared" si="47"/>
        <v>AN-0,18mg/L + Testostérone</v>
      </c>
      <c r="S45" s="70" t="str">
        <f t="shared" si="47"/>
        <v>AN-0,36mg/L + Testostérone</v>
      </c>
      <c r="T45" s="70" t="str">
        <f t="shared" si="47"/>
        <v>AN-0,73mg/L + Testostérone</v>
      </c>
      <c r="U45" s="70" t="str">
        <f t="shared" si="47"/>
        <v>AN-1,45mg/L + Testostérone</v>
      </c>
      <c r="V45" s="70" t="str">
        <f t="shared" si="47"/>
        <v>AN-2,9mg/L + Testostérone</v>
      </c>
    </row>
    <row r="46" spans="1:22" x14ac:dyDescent="0.35">
      <c r="A46" s="8" t="s">
        <v>0</v>
      </c>
      <c r="B46" s="10">
        <f t="shared" ref="B46:H46" si="48">AVERAGE(B28:B43)</f>
        <v>0.11036781585308085</v>
      </c>
      <c r="C46" s="10">
        <f t="shared" si="48"/>
        <v>0.13336899930394627</v>
      </c>
      <c r="D46" s="10">
        <f t="shared" si="48"/>
        <v>6.7531125929509384E-2</v>
      </c>
      <c r="E46" s="10">
        <f t="shared" si="48"/>
        <v>0.30159458519550525</v>
      </c>
      <c r="F46" s="10">
        <f t="shared" si="48"/>
        <v>1.3489165508421341</v>
      </c>
      <c r="G46" s="10">
        <f t="shared" si="48"/>
        <v>1.6044891506844636</v>
      </c>
      <c r="H46" s="10">
        <f t="shared" si="48"/>
        <v>2.4302781117429593</v>
      </c>
      <c r="I46" s="10">
        <f>AVERAGE(I28:I43)</f>
        <v>7.25471934215033E-2</v>
      </c>
      <c r="J46" s="9">
        <f>AVERAGE(J28:J43)</f>
        <v>7.6190087750589497E-2</v>
      </c>
      <c r="K46" s="9">
        <f>AVERAGE(K28:K43)</f>
        <v>8.4972906379942065E-2</v>
      </c>
      <c r="L46" s="9">
        <f t="shared" ref="L46:M46" si="49">AVERAGE(L28:L43)</f>
        <v>0.10538104914012122</v>
      </c>
      <c r="M46" s="9">
        <f t="shared" si="49"/>
        <v>7.2552878457885883E-2</v>
      </c>
      <c r="N46" s="8" t="s">
        <v>0</v>
      </c>
      <c r="O46" s="10">
        <f>AVERAGE(O28:O43)</f>
        <v>1</v>
      </c>
      <c r="P46" s="10">
        <f>AVERAGE(P28:P43)</f>
        <v>2.4369516042169894</v>
      </c>
      <c r="Q46" s="10">
        <f>AVERAGE(Q28:Q43)</f>
        <v>0.13050231970803294</v>
      </c>
      <c r="R46" s="10">
        <f>AVERAGE(R28:R43)</f>
        <v>0.15360538967031734</v>
      </c>
      <c r="S46" s="10">
        <f t="shared" ref="S46:V46" si="50">AVERAGE(S28:S43)</f>
        <v>0.10588717811580621</v>
      </c>
      <c r="T46" s="10">
        <f t="shared" si="50"/>
        <v>0.12033190805786478</v>
      </c>
      <c r="U46" s="10">
        <f t="shared" si="50"/>
        <v>8.2744845871004682E-2</v>
      </c>
      <c r="V46" s="10">
        <f t="shared" si="50"/>
        <v>0.11351045659006498</v>
      </c>
    </row>
    <row r="47" spans="1:22" x14ac:dyDescent="0.35">
      <c r="A47" s="8" t="s">
        <v>1</v>
      </c>
      <c r="B47" s="8">
        <f t="shared" ref="B47:K47" si="51">STDEV(B28:B43)</f>
        <v>0.10231065661329847</v>
      </c>
      <c r="C47" s="8">
        <f t="shared" si="51"/>
        <v>9.0505136051378748E-2</v>
      </c>
      <c r="D47" s="8">
        <f t="shared" si="51"/>
        <v>6.1282862420592506E-2</v>
      </c>
      <c r="E47" s="8">
        <f t="shared" si="51"/>
        <v>0.23988816958141926</v>
      </c>
      <c r="F47" s="8">
        <f t="shared" si="51"/>
        <v>0.65039999869310849</v>
      </c>
      <c r="G47" s="8">
        <f t="shared" si="51"/>
        <v>0.74170080656447901</v>
      </c>
      <c r="H47" s="8">
        <f t="shared" si="51"/>
        <v>0.60028150610656905</v>
      </c>
      <c r="I47" s="8">
        <f>STDEV(I28:I43)</f>
        <v>9.1918845074408465E-2</v>
      </c>
      <c r="J47" s="8">
        <f t="shared" si="51"/>
        <v>5.556754040448611E-2</v>
      </c>
      <c r="K47" s="8">
        <f t="shared" si="51"/>
        <v>5.6510604161002412E-2</v>
      </c>
      <c r="L47" s="8">
        <f t="shared" ref="L47:M47" si="52">STDEV(L28:L43)</f>
        <v>0.10146608894502637</v>
      </c>
      <c r="M47" s="8">
        <f t="shared" si="52"/>
        <v>7.127742059974243E-2</v>
      </c>
      <c r="N47" s="8" t="s">
        <v>1</v>
      </c>
      <c r="O47" s="8">
        <f>STDEV(O28:O43)</f>
        <v>0.71209477681407007</v>
      </c>
      <c r="P47" s="8">
        <f>STDEV(P28:P43)</f>
        <v>0.54676948156813121</v>
      </c>
      <c r="Q47" s="8">
        <f>STDEV(Q28:Q43)</f>
        <v>7.368841121900338E-2</v>
      </c>
      <c r="R47" s="8">
        <f>STDEV(R28:R43)</f>
        <v>0.15057084232796353</v>
      </c>
      <c r="S47" s="8">
        <f t="shared" ref="S47:V47" si="53">STDEV(S28:S43)</f>
        <v>6.8581441042924338E-2</v>
      </c>
      <c r="T47" s="8">
        <f t="shared" si="53"/>
        <v>8.2037597217276548E-2</v>
      </c>
      <c r="U47" s="8">
        <f t="shared" si="53"/>
        <v>7.3025197306375925E-2</v>
      </c>
      <c r="V47" s="8">
        <f t="shared" si="53"/>
        <v>5.610807139132927E-2</v>
      </c>
    </row>
    <row r="48" spans="1:22" x14ac:dyDescent="0.35">
      <c r="A48" s="8" t="s">
        <v>2</v>
      </c>
      <c r="B48" s="8">
        <f t="shared" ref="B48:K48" si="54" xml:space="preserve"> B47/SQRT(COUNT(B28:B43))</f>
        <v>3.6172279539455815E-2</v>
      </c>
      <c r="C48" s="8">
        <f t="shared" si="54"/>
        <v>3.1998397717070491E-2</v>
      </c>
      <c r="D48" s="8">
        <f t="shared" si="54"/>
        <v>2.16667637940616E-2</v>
      </c>
      <c r="E48" s="8">
        <f t="shared" si="54"/>
        <v>8.4813275718725017E-2</v>
      </c>
      <c r="F48" s="8">
        <f t="shared" si="54"/>
        <v>0.24582809275124282</v>
      </c>
      <c r="G48" s="8">
        <f t="shared" si="54"/>
        <v>0.2622308349666374</v>
      </c>
      <c r="H48" s="8">
        <f t="shared" si="54"/>
        <v>0.21223156179441444</v>
      </c>
      <c r="I48" s="8">
        <f xml:space="preserve"> I47/SQRT(COUNT(I28:I43))</f>
        <v>3.2498219335474948E-2</v>
      </c>
      <c r="J48" s="8">
        <f t="shared" si="54"/>
        <v>1.9646092316934798E-2</v>
      </c>
      <c r="K48" s="8">
        <f t="shared" si="54"/>
        <v>1.9979515705596765E-2</v>
      </c>
      <c r="L48" s="8">
        <f t="shared" ref="L48:M48" si="55" xml:space="preserve"> L47/SQRT(COUNT(L28:L43))</f>
        <v>3.8350576836414269E-2</v>
      </c>
      <c r="M48" s="8">
        <f t="shared" si="55"/>
        <v>2.520037372578179E-2</v>
      </c>
      <c r="N48" s="8" t="s">
        <v>2</v>
      </c>
      <c r="O48" s="8">
        <f xml:space="preserve"> O47/SQRT(COUNT(O28:O43))</f>
        <v>0.18386208076814539</v>
      </c>
      <c r="P48" s="8">
        <f xml:space="preserve"> P47/SQRT(COUNT(P28:P43))</f>
        <v>0.19331220408133928</v>
      </c>
      <c r="Q48" s="8">
        <f xml:space="preserve"> Q47/SQRT(COUNT(Q28:Q43))</f>
        <v>2.6052787633910078E-2</v>
      </c>
      <c r="R48" s="8">
        <f xml:space="preserve"> R47/SQRT(COUNT(R28:R43))</f>
        <v>5.323483182953672E-2</v>
      </c>
      <c r="S48" s="8">
        <f t="shared" ref="S48:V48" si="56" xml:space="preserve"> S47/SQRT(COUNT(S28:S43))</f>
        <v>2.4247201012498602E-2</v>
      </c>
      <c r="T48" s="8">
        <f t="shared" si="56"/>
        <v>2.9004670652293441E-2</v>
      </c>
      <c r="U48" s="8">
        <f t="shared" si="56"/>
        <v>2.5818306106412007E-2</v>
      </c>
      <c r="V48" s="8">
        <f t="shared" si="56"/>
        <v>1.9837198880053926E-2</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AN-0.18mg/L</v>
      </c>
      <c r="J52" s="46" t="str">
        <f>J4</f>
        <v>AN-0.36mg/L</v>
      </c>
      <c r="K52" s="46" t="str">
        <f>K27</f>
        <v>AN-0.73mg/L</v>
      </c>
      <c r="L52" s="46" t="str">
        <f t="shared" ref="L52:M52" si="58">L27</f>
        <v>AN-1.45mg/L</v>
      </c>
      <c r="M52" s="46" t="str">
        <f t="shared" si="58"/>
        <v>AN-2.9mg/L</v>
      </c>
      <c r="N52" s="47"/>
      <c r="O52" s="46" t="str">
        <f>O27</f>
        <v>Testo -30µg/L</v>
      </c>
      <c r="P52" s="46" t="str">
        <f>P27</f>
        <v>Testo 30µg/L + EE2 -64ng/L</v>
      </c>
      <c r="Q52" s="46" t="str">
        <f>Q27</f>
        <v>Testo 30µg/L + FAD-10mg/L</v>
      </c>
      <c r="R52" s="46" t="str">
        <f>R27</f>
        <v>AN-0,18mg/L + Testostérone</v>
      </c>
      <c r="S52" s="46" t="str">
        <f t="shared" ref="S52:V52" si="59">S27</f>
        <v>AN-0,36mg/L + Testostérone</v>
      </c>
      <c r="T52" s="46" t="str">
        <f t="shared" si="59"/>
        <v>AN-0,73mg/L + Testostérone</v>
      </c>
      <c r="U52" s="46" t="str">
        <f t="shared" si="59"/>
        <v>AN-1,45mg/L + Testostérone</v>
      </c>
      <c r="V52" s="46" t="str">
        <f t="shared" si="59"/>
        <v>AN-2,9mg/L + Testostérone</v>
      </c>
    </row>
    <row r="53" spans="1:22" s="3" customFormat="1" x14ac:dyDescent="0.35">
      <c r="A53" s="61" t="s">
        <v>32</v>
      </c>
      <c r="B53" s="142">
        <f t="shared" ref="B53:M53" si="60">B46</f>
        <v>0.11036781585308085</v>
      </c>
      <c r="C53" s="142">
        <f t="shared" si="60"/>
        <v>0.13336899930394627</v>
      </c>
      <c r="D53" s="142">
        <f t="shared" si="60"/>
        <v>6.7531125929509384E-2</v>
      </c>
      <c r="E53" s="142">
        <f t="shared" si="60"/>
        <v>0.30159458519550525</v>
      </c>
      <c r="F53" s="142">
        <f t="shared" si="60"/>
        <v>1.3489165508421341</v>
      </c>
      <c r="G53" s="142">
        <f t="shared" si="60"/>
        <v>1.6044891506844636</v>
      </c>
      <c r="H53" s="142">
        <f t="shared" si="60"/>
        <v>2.4302781117429593</v>
      </c>
      <c r="I53" s="142">
        <f t="shared" si="60"/>
        <v>7.25471934215033E-2</v>
      </c>
      <c r="J53" s="142">
        <f t="shared" si="60"/>
        <v>7.6190087750589497E-2</v>
      </c>
      <c r="K53" s="142">
        <f t="shared" si="60"/>
        <v>8.4972906379942065E-2</v>
      </c>
      <c r="L53" s="142">
        <f t="shared" si="60"/>
        <v>0.10538104914012122</v>
      </c>
      <c r="M53" s="142">
        <f t="shared" si="60"/>
        <v>7.2552878457885883E-2</v>
      </c>
      <c r="N53" s="142"/>
      <c r="O53" s="142">
        <f t="shared" ref="O53:V53" si="61">O46</f>
        <v>1</v>
      </c>
      <c r="P53" s="142">
        <f t="shared" si="61"/>
        <v>2.4369516042169894</v>
      </c>
      <c r="Q53" s="142">
        <f t="shared" si="61"/>
        <v>0.13050231970803294</v>
      </c>
      <c r="R53" s="142">
        <f t="shared" si="61"/>
        <v>0.15360538967031734</v>
      </c>
      <c r="S53" s="142">
        <f t="shared" si="61"/>
        <v>0.10588717811580621</v>
      </c>
      <c r="T53" s="142">
        <f t="shared" si="61"/>
        <v>0.12033190805786478</v>
      </c>
      <c r="U53" s="142">
        <f t="shared" si="61"/>
        <v>8.2744845871004682E-2</v>
      </c>
      <c r="V53" s="142">
        <f t="shared" si="61"/>
        <v>0.11351045659006498</v>
      </c>
    </row>
    <row r="54" spans="1:22" s="3" customFormat="1" x14ac:dyDescent="0.35">
      <c r="A54" s="61" t="s">
        <v>2</v>
      </c>
      <c r="B54" s="142">
        <f t="shared" ref="B54:M54" si="62">B48</f>
        <v>3.6172279539455815E-2</v>
      </c>
      <c r="C54" s="142">
        <f t="shared" si="62"/>
        <v>3.1998397717070491E-2</v>
      </c>
      <c r="D54" s="142">
        <f t="shared" si="62"/>
        <v>2.16667637940616E-2</v>
      </c>
      <c r="E54" s="142">
        <f t="shared" si="62"/>
        <v>8.4813275718725017E-2</v>
      </c>
      <c r="F54" s="142">
        <f t="shared" si="62"/>
        <v>0.24582809275124282</v>
      </c>
      <c r="G54" s="142">
        <f t="shared" si="62"/>
        <v>0.2622308349666374</v>
      </c>
      <c r="H54" s="142">
        <f t="shared" si="62"/>
        <v>0.21223156179441444</v>
      </c>
      <c r="I54" s="142">
        <f t="shared" si="62"/>
        <v>3.2498219335474948E-2</v>
      </c>
      <c r="J54" s="142">
        <f t="shared" si="62"/>
        <v>1.9646092316934798E-2</v>
      </c>
      <c r="K54" s="142">
        <f t="shared" si="62"/>
        <v>1.9979515705596765E-2</v>
      </c>
      <c r="L54" s="142">
        <f t="shared" si="62"/>
        <v>3.8350576836414269E-2</v>
      </c>
      <c r="M54" s="142">
        <f t="shared" si="62"/>
        <v>2.520037372578179E-2</v>
      </c>
      <c r="N54" s="142"/>
      <c r="O54" s="142">
        <f t="shared" ref="O54:V54" si="63">O48</f>
        <v>0.18386208076814539</v>
      </c>
      <c r="P54" s="142">
        <f t="shared" si="63"/>
        <v>0.19331220408133928</v>
      </c>
      <c r="Q54" s="142">
        <f t="shared" si="63"/>
        <v>2.6052787633910078E-2</v>
      </c>
      <c r="R54" s="142">
        <f t="shared" si="63"/>
        <v>5.323483182953672E-2</v>
      </c>
      <c r="S54" s="142">
        <f t="shared" si="63"/>
        <v>2.4247201012498602E-2</v>
      </c>
      <c r="T54" s="142">
        <f t="shared" si="63"/>
        <v>2.9004670652293441E-2</v>
      </c>
      <c r="U54" s="142">
        <f t="shared" si="63"/>
        <v>2.5818306106412007E-2</v>
      </c>
      <c r="V54" s="142">
        <f t="shared" si="63"/>
        <v>1.9837198880053926E-2</v>
      </c>
    </row>
    <row r="55" spans="1:22" s="3" customFormat="1" x14ac:dyDescent="0.35">
      <c r="A55" s="61" t="s">
        <v>79</v>
      </c>
      <c r="B55" s="142">
        <f t="shared" ref="B55:M55" si="64">(B53*100/$B$53)-100</f>
        <v>0</v>
      </c>
      <c r="C55" s="142">
        <f t="shared" si="64"/>
        <v>20.840480780632717</v>
      </c>
      <c r="D55" s="142">
        <f t="shared" si="64"/>
        <v>-38.812664355517107</v>
      </c>
      <c r="E55" s="142">
        <f t="shared" si="64"/>
        <v>173.26316359923368</v>
      </c>
      <c r="F55" s="142">
        <f t="shared" si="64"/>
        <v>1122.2010016378158</v>
      </c>
      <c r="G55" s="142">
        <f t="shared" si="64"/>
        <v>1353.7654281573564</v>
      </c>
      <c r="H55" s="142">
        <f t="shared" si="64"/>
        <v>2101.9807975343924</v>
      </c>
      <c r="I55" s="142">
        <f t="shared" si="64"/>
        <v>-34.267800027793896</v>
      </c>
      <c r="J55" s="142">
        <f t="shared" si="64"/>
        <v>-30.96711467769552</v>
      </c>
      <c r="K55" s="142">
        <f t="shared" si="64"/>
        <v>-23.009343146686817</v>
      </c>
      <c r="L55" s="142">
        <f t="shared" si="64"/>
        <v>-4.5183160275617951</v>
      </c>
      <c r="M55" s="142">
        <f t="shared" si="64"/>
        <v>-34.262649036684167</v>
      </c>
      <c r="N55" s="142"/>
      <c r="O55" s="142">
        <f>(O53*100/$O$53)-100</f>
        <v>0</v>
      </c>
      <c r="P55" s="142">
        <f t="shared" ref="P55:V55" si="65">(P53*100/$O$53)-100</f>
        <v>143.69516042169894</v>
      </c>
      <c r="Q55" s="142">
        <f t="shared" si="65"/>
        <v>-86.949768029196704</v>
      </c>
      <c r="R55" s="142">
        <f t="shared" si="65"/>
        <v>-84.639461032968271</v>
      </c>
      <c r="S55" s="142">
        <f t="shared" si="65"/>
        <v>-89.411282188419378</v>
      </c>
      <c r="T55" s="142">
        <f t="shared" si="65"/>
        <v>-87.966809194213525</v>
      </c>
      <c r="U55" s="142">
        <f t="shared" si="65"/>
        <v>-91.725515412899526</v>
      </c>
      <c r="V55" s="142">
        <f t="shared" si="65"/>
        <v>-88.648954340993498</v>
      </c>
    </row>
    <row r="56" spans="1:22" s="3" customFormat="1" x14ac:dyDescent="0.35">
      <c r="A56" s="61" t="s">
        <v>81</v>
      </c>
      <c r="B56" s="142">
        <f>[1]!SWTEST(B28:B43)</f>
        <v>0.32929476206899089</v>
      </c>
      <c r="C56" s="142">
        <f>[1]!SWTEST(C28:C43)</f>
        <v>0.43063952865416577</v>
      </c>
      <c r="D56" s="142">
        <f>[1]!SWTEST(D28:D43)</f>
        <v>5.0438657237356854E-2</v>
      </c>
      <c r="E56" s="142">
        <f>[1]!SWTEST(E28:E43)</f>
        <v>7.6129916839491329E-3</v>
      </c>
      <c r="F56" s="142">
        <f>[1]!SWTEST(F28:F43)</f>
        <v>0.18853901877744095</v>
      </c>
      <c r="G56" s="142">
        <f>[1]!SWTEST(G28:G43)</f>
        <v>5.5672741491418765E-2</v>
      </c>
      <c r="H56" s="142">
        <f>[1]!SWTEST(H28:H43)</f>
        <v>0.25203954695680908</v>
      </c>
      <c r="I56" s="142">
        <f>[1]!SWTEST(I28:I43)</f>
        <v>3.1189263216968577E-3</v>
      </c>
      <c r="J56" s="142">
        <f>[1]!SWTEST(J28:J43)</f>
        <v>0.18314846315695787</v>
      </c>
      <c r="K56" s="142">
        <f>[1]!SWTEST(K28:K43)</f>
        <v>0.14788590212034436</v>
      </c>
      <c r="L56" s="142">
        <f>[1]!SWTEST(L28:L43)</f>
        <v>9.3976849308265553E-2</v>
      </c>
      <c r="M56" s="142">
        <f>[1]!SWTEST(M28:M43)</f>
        <v>8.9921877690824381E-2</v>
      </c>
      <c r="N56" s="142"/>
      <c r="O56" s="142">
        <f>[1]!SWTEST(O28:O43)</f>
        <v>0.66495698776190049</v>
      </c>
      <c r="P56" s="142">
        <f>[1]!SWTEST(P28:P43)</f>
        <v>0.82764887034603563</v>
      </c>
      <c r="Q56" s="142">
        <f>[1]!SWTEST(Q28:Q43)</f>
        <v>0.49235030652707235</v>
      </c>
      <c r="R56" s="142">
        <f>[1]!SWTEST(R28:R43)</f>
        <v>2.4531091790074178E-2</v>
      </c>
      <c r="S56" s="142">
        <f>[1]!SWTEST(S28:S43)</f>
        <v>0.43239666726010784</v>
      </c>
      <c r="T56" s="142">
        <f>[1]!SWTEST(T28:T43)</f>
        <v>0.45275783479484621</v>
      </c>
      <c r="U56" s="142">
        <f>[1]!SWTEST(U28:U43)</f>
        <v>0.41186027333254649</v>
      </c>
      <c r="V56" s="142">
        <f>[1]!SWTEST(V28:V43)</f>
        <v>0.33590056849442806</v>
      </c>
    </row>
    <row r="57" spans="1:22" s="3" customFormat="1" x14ac:dyDescent="0.35">
      <c r="A57" s="61" t="s">
        <v>85</v>
      </c>
      <c r="B57" s="142" t="str">
        <f t="shared" ref="B57:M57" si="66">IF(B56&gt;0.05,"Oui","Non")</f>
        <v>Oui</v>
      </c>
      <c r="C57" s="142" t="str">
        <f t="shared" si="66"/>
        <v>Oui</v>
      </c>
      <c r="D57" s="142" t="str">
        <f t="shared" si="66"/>
        <v>Oui</v>
      </c>
      <c r="E57" s="142" t="str">
        <f t="shared" si="66"/>
        <v>Non</v>
      </c>
      <c r="F57" s="142" t="str">
        <f t="shared" si="66"/>
        <v>Oui</v>
      </c>
      <c r="G57" s="142" t="str">
        <f t="shared" si="66"/>
        <v>Oui</v>
      </c>
      <c r="H57" s="142" t="str">
        <f t="shared" si="66"/>
        <v>Oui</v>
      </c>
      <c r="I57" s="142" t="str">
        <f t="shared" si="66"/>
        <v>Non</v>
      </c>
      <c r="J57" s="142" t="str">
        <f t="shared" si="66"/>
        <v>Oui</v>
      </c>
      <c r="K57" s="142" t="str">
        <f t="shared" si="66"/>
        <v>Oui</v>
      </c>
      <c r="L57" s="142" t="str">
        <f t="shared" si="66"/>
        <v>Oui</v>
      </c>
      <c r="M57" s="142" t="str">
        <f t="shared" si="66"/>
        <v>Oui</v>
      </c>
      <c r="N57" s="142"/>
      <c r="O57" s="142" t="str">
        <f t="shared" ref="O57:V57" si="67">IF(O56&gt;0.05,"Oui","Non")</f>
        <v>Oui</v>
      </c>
      <c r="P57" s="142" t="str">
        <f t="shared" si="67"/>
        <v>Oui</v>
      </c>
      <c r="Q57" s="142" t="str">
        <f t="shared" si="67"/>
        <v>Oui</v>
      </c>
      <c r="R57" s="142" t="str">
        <f t="shared" si="67"/>
        <v>Non</v>
      </c>
      <c r="S57" s="142" t="str">
        <f t="shared" si="67"/>
        <v>Oui</v>
      </c>
      <c r="T57" s="142" t="str">
        <f t="shared" si="67"/>
        <v>Oui</v>
      </c>
      <c r="U57" s="142" t="str">
        <f t="shared" si="67"/>
        <v>Oui</v>
      </c>
      <c r="V57" s="142" t="str">
        <f t="shared" si="67"/>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M59" si="68">IF($B57="Non",IF(C$57="Non","Mann Withney",IF(C$57="Oui","Mann Withney","")),IF($B$57="Oui",IF(C$57="Oui","T-Test Welch",IF(C$57="Non","Mann Withney",""))))</f>
        <v>T-Test Welch</v>
      </c>
      <c r="D59" s="151" t="str">
        <f t="shared" si="68"/>
        <v>T-Test Welch</v>
      </c>
      <c r="E59" s="151" t="str">
        <f t="shared" si="68"/>
        <v>Mann Withney</v>
      </c>
      <c r="F59" s="151" t="str">
        <f t="shared" si="68"/>
        <v>T-Test Welch</v>
      </c>
      <c r="G59" s="151" t="str">
        <f t="shared" si="68"/>
        <v>T-Test Welch</v>
      </c>
      <c r="H59" s="151" t="str">
        <f t="shared" si="68"/>
        <v>T-Test Welch</v>
      </c>
      <c r="I59" s="151" t="str">
        <f t="shared" si="68"/>
        <v>Mann Withney</v>
      </c>
      <c r="J59" s="151" t="str">
        <f t="shared" si="68"/>
        <v>T-Test Welch</v>
      </c>
      <c r="K59" s="151" t="str">
        <f t="shared" si="68"/>
        <v>T-Test Welch</v>
      </c>
      <c r="L59" s="151" t="str">
        <f t="shared" si="68"/>
        <v>T-Test Welch</v>
      </c>
      <c r="M59" s="151" t="str">
        <f t="shared" si="68"/>
        <v>T-Test Welch</v>
      </c>
      <c r="N59" s="151"/>
      <c r="O59" s="151" t="str">
        <f>IF($B57="Non",IF(O$57="Non","Mann Withney",IF(O$57="Oui","Mann Withney","")),IF($B$57="Oui",IF(O$57="Oui","T-Test Welch",IF(O$57="Non","Mann Withney",""))))</f>
        <v>T-Test Welch</v>
      </c>
      <c r="P59" s="151" t="str">
        <f>IF($O57="Non",IF(P$57="Non","Mann Withney",IF(P$57="Oui","Mann Withney","")),IF($O$57="Oui",IF(P$57="Oui","T-Test Welch",IF(P$57="Non","Mann Withney",""))))</f>
        <v>T-Test Welch</v>
      </c>
      <c r="Q59" s="151" t="str">
        <f t="shared" ref="Q59:V59" si="69">IF($O57="Non",IF(Q$57="Non","Mann Withney",IF(Q$57="Oui","Mann Withney","")),IF($O$57="Oui",IF(Q$57="Oui","T-Test Welch",IF(Q$57="Non","Mann Withney",""))))</f>
        <v>T-Test Welch</v>
      </c>
      <c r="R59" s="151" t="str">
        <f t="shared" si="69"/>
        <v>Mann Withney</v>
      </c>
      <c r="S59" s="151" t="str">
        <f t="shared" si="69"/>
        <v>T-Test Welch</v>
      </c>
      <c r="T59" s="151" t="str">
        <f t="shared" si="69"/>
        <v>T-Test Welch</v>
      </c>
      <c r="U59" s="151" t="str">
        <f t="shared" si="69"/>
        <v>T-Test Welch</v>
      </c>
      <c r="V59" s="151" t="str">
        <f t="shared" si="69"/>
        <v>T-Test Welch</v>
      </c>
    </row>
    <row r="60" spans="1:22" s="3" customFormat="1" x14ac:dyDescent="0.35">
      <c r="A60" s="61" t="s">
        <v>83</v>
      </c>
      <c r="B60" s="152"/>
      <c r="C60" s="152">
        <f>IF(C59="Mann Withney",[1]!MTEST($B28:$B43,C28:C43,2), IF(C59="T-Test Welch",_xlfn.T.TEST($B28:$B43,C28:C43,2,3),""))</f>
        <v>0.64133595286496414</v>
      </c>
      <c r="D60" s="152">
        <f>IF(D59="Mann Withney",[1]!MTEST($B28:$B43,D28:D43,2), IF(D59="T-Test Welch",_xlfn.T.TEST($B28:$B43,D28:D43,2,3),""))</f>
        <v>0.3306488584181595</v>
      </c>
      <c r="E60" s="152">
        <f>IF(E59="Mann Withney",[1]!MTEST($B28:$B43,E28:E43,2), IF(E59="T-Test Welch",_xlfn.T.TEST($B28:$B43,E28:E43,2,3),""))</f>
        <v>2.08625823327655E-2</v>
      </c>
      <c r="F60" s="152">
        <f>IF(F59="Mann Withney",[1]!MTEST($B28:$B43,F28:F43,2), IF(F59="T-Test Welch",_xlfn.T.TEST($B28:$B43,F28:F43,2,3),""))</f>
        <v>2.2043303110455647E-3</v>
      </c>
      <c r="G60" s="152">
        <f>IF(G59="Mann Withney",[1]!MTEST($B28:$B43,G28:G43,2), IF(G59="T-Test Welch",_xlfn.T.TEST($B28:$B43,G28:G43,2,3),""))</f>
        <v>6.8308888851791017E-4</v>
      </c>
      <c r="H60" s="152">
        <f>IF(H59="Mann Withney",[1]!MTEST($B28:$B43,H28:H43,2), IF(H59="T-Test Welch",_xlfn.T.TEST($B28:$B43,H28:H43,2,3),""))</f>
        <v>8.6548973025152634E-6</v>
      </c>
      <c r="I60" s="152">
        <f>IF(I59="Mann Withney",[1]!MTEST($B28:$B43,I28:I43,2), IF(I59="T-Test Welch",_xlfn.T.TEST($B28:$B43,I28:I43,2,3),""))</f>
        <v>0.34456236532569795</v>
      </c>
      <c r="J60" s="152">
        <f>IF(J59="Mann Withney",[1]!MTEST($B28:$B43,J28:J43,2), IF(J59="T-Test Welch",_xlfn.T.TEST($B28:$B43,J28:J43,2,3),""))</f>
        <v>0.42434480886328274</v>
      </c>
      <c r="K60" s="152">
        <f>IF(K59="Mann Withney",[1]!MTEST($B28:$B43,K28:K43,2), IF(K59="T-Test Welch",_xlfn.T.TEST($B28:$B43,K28:K43,2,3),""))</f>
        <v>0.55146074683325264</v>
      </c>
      <c r="L60" s="152">
        <f>IF(L59="Mann Withney",[1]!MTEST($B28:$B43,L28:L43,2), IF(L59="T-Test Welch",_xlfn.T.TEST($B28:$B43,L28:L43,2,3),""))</f>
        <v>0.92610682850706327</v>
      </c>
      <c r="M60" s="152">
        <f>IF(M59="Mann Withney",[1]!MTEST($B28:$B43,M28:M43,2), IF(M59="T-Test Welch",_xlfn.T.TEST($B28:$B43,M28:M43,2,3),""))</f>
        <v>0.40716529785161515</v>
      </c>
      <c r="N60" s="152"/>
      <c r="O60" s="152">
        <f>IF(O59="Mann Withney",[1]!MTEST($B28:$B43,O28:O43,2), IF(O59="T-Test Welch",_xlfn.T.TEST($B28:$B43,O28:O43,2,3),""))</f>
        <v>2.5652795832308857E-4</v>
      </c>
      <c r="P60" s="152">
        <f>IF(P59="Mann Withney",[1]!MTEST($O28:$O43,P28:P43,2), IF(P59="T-Test Welch",_xlfn.T.TEST($O28:$O43,P28:P43,2,3),""))</f>
        <v>4.0412616355273818E-5</v>
      </c>
      <c r="Q60" s="152">
        <f>IF(Q59="Mann Withney",[1]!MTEST($O28:$O43,Q28:Q43,2), IF(Q59="T-Test Welch",_xlfn.T.TEST($O28:$O43,Q28:Q43,2,3),""))</f>
        <v>3.1872883866158837E-4</v>
      </c>
      <c r="R60" s="152">
        <f>IF(R59="Mann Withney",[1]!MTEST($O28:$O43,R28:R43,2), IF(R59="T-Test Welch",_xlfn.T.TEST($O28:$O43,R28:R43,2,3),""))</f>
        <v>8.1320218988818471E-3</v>
      </c>
      <c r="S60" s="152">
        <f>IF(S59="Mann Withney",[1]!MTEST($O28:$O43,S28:S43,2), IF(S59="T-Test Welch",_xlfn.T.TEST($O28:$O43,S28:S43,2,3),""))</f>
        <v>2.4718820143171063E-4</v>
      </c>
      <c r="T60" s="152">
        <f>IF(T59="Mann Withney",[1]!MTEST($O28:$O43,T28:T43,2), IF(T59="T-Test Welch",_xlfn.T.TEST($O28:$O43,T28:T43,2,3),""))</f>
        <v>2.8601876358546425E-4</v>
      </c>
      <c r="U60" s="152">
        <f>IF(U59="Mann Withney",[1]!MTEST($O28:$O43,U28:U43,2), IF(U59="T-Test Welch",_xlfn.T.TEST($O28:$O43,U28:U43,2,3),""))</f>
        <v>1.9438549281423819E-4</v>
      </c>
      <c r="V60" s="152">
        <f>IF(V59="Mann Withney",[1]!MTEST($O28:$O43,V28:V43,2), IF(V59="T-Test Welch",_xlfn.T.TEST($O28:$O43,V28:V43,2,3),""))</f>
        <v>2.6856179994194938E-4</v>
      </c>
    </row>
    <row r="61" spans="1:22" s="3" customFormat="1" ht="15" thickBot="1" x14ac:dyDescent="0.4">
      <c r="A61" s="62" t="s">
        <v>84</v>
      </c>
      <c r="B61" s="143"/>
      <c r="C61" s="143" t="str">
        <f t="shared" ref="C61:M61" si="70">IF(C60&gt;0.05,"NS",IF(C60&gt;0.01,"*",IF(C60&gt;0.001,"**","***")))</f>
        <v>NS</v>
      </c>
      <c r="D61" s="143" t="str">
        <f t="shared" si="70"/>
        <v>NS</v>
      </c>
      <c r="E61" s="143" t="str">
        <f t="shared" si="70"/>
        <v>*</v>
      </c>
      <c r="F61" s="143" t="str">
        <f t="shared" si="70"/>
        <v>**</v>
      </c>
      <c r="G61" s="143" t="str">
        <f t="shared" si="70"/>
        <v>***</v>
      </c>
      <c r="H61" s="143" t="str">
        <f t="shared" si="70"/>
        <v>***</v>
      </c>
      <c r="I61" s="143" t="str">
        <f t="shared" si="70"/>
        <v>NS</v>
      </c>
      <c r="J61" s="143" t="str">
        <f t="shared" si="70"/>
        <v>NS</v>
      </c>
      <c r="K61" s="143" t="str">
        <f t="shared" si="70"/>
        <v>NS</v>
      </c>
      <c r="L61" s="143" t="str">
        <f t="shared" si="70"/>
        <v>NS</v>
      </c>
      <c r="M61" s="143" t="str">
        <f t="shared" si="70"/>
        <v>NS</v>
      </c>
      <c r="N61" s="143"/>
      <c r="O61" s="143" t="str">
        <f>IF(O60&gt;0.05,"NS",IF(O60&gt;0.01,"*",IF(O60&gt;0.001,"**","***")))</f>
        <v>***</v>
      </c>
      <c r="P61" s="143" t="str">
        <f>IF(P60&gt;0.05,"NS",IF(P60&gt;0.01,"*",IF(P60&gt;0.001,"**","***")))</f>
        <v>***</v>
      </c>
      <c r="Q61" s="143" t="str">
        <f t="shared" ref="Q61" si="71">IF(Q60&gt;0.05,"NS",IF(Q60&gt;0.01,"*",IF(Q60&gt;0.001,"**","***")))</f>
        <v>***</v>
      </c>
      <c r="R61" s="143" t="str">
        <f t="shared" ref="R61" si="72">IF(R60&gt;0.05,"NS",IF(R60&gt;0.01,"*",IF(R60&gt;0.001,"**","***")))</f>
        <v>**</v>
      </c>
      <c r="S61" s="143" t="str">
        <f t="shared" ref="S61" si="73">IF(S60&gt;0.05,"NS",IF(S60&gt;0.01,"*",IF(S60&gt;0.001,"**","***")))</f>
        <v>***</v>
      </c>
      <c r="T61" s="143" t="str">
        <f t="shared" ref="T61" si="74">IF(T60&gt;0.05,"NS",IF(T60&gt;0.01,"*",IF(T60&gt;0.001,"**","***")))</f>
        <v>***</v>
      </c>
      <c r="U61" s="143" t="str">
        <f t="shared" ref="U61" si="75">IF(U60&gt;0.05,"NS",IF(U60&gt;0.01,"*",IF(U60&gt;0.001,"**","***")))</f>
        <v>***</v>
      </c>
      <c r="V61" s="143" t="str">
        <f t="shared" ref="V61" si="76">IF(V60&gt;0.05,"NS",IF(V60&gt;0.01,"*",IF(V60&gt;0.001,"**","***")))</f>
        <v>***</v>
      </c>
    </row>
    <row r="63" spans="1:22" x14ac:dyDescent="0.35">
      <c r="A63" s="2" t="s">
        <v>39</v>
      </c>
    </row>
    <row r="64" spans="1:22" x14ac:dyDescent="0.35">
      <c r="A64" s="1" t="s">
        <v>23</v>
      </c>
      <c r="B64" s="1">
        <f>B46+(3*B47)</f>
        <v>0.41729978569297627</v>
      </c>
    </row>
    <row r="65" spans="1:22" x14ac:dyDescent="0.35">
      <c r="A65" s="1" t="s">
        <v>24</v>
      </c>
      <c r="B65" s="1">
        <f>B46+(10*B47)</f>
        <v>1.1334743819860655</v>
      </c>
    </row>
    <row r="66" spans="1:22" ht="15" thickBot="1" x14ac:dyDescent="0.4"/>
    <row r="67" spans="1:22" s="1" customFormat="1" ht="26.5" thickBot="1" x14ac:dyDescent="0.6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W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3" t="s">
        <v>166</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1568</v>
      </c>
      <c r="D3" s="1" t="s">
        <v>1569</v>
      </c>
      <c r="E3" s="1" t="s">
        <v>1570</v>
      </c>
      <c r="F3" s="1" t="s">
        <v>112</v>
      </c>
      <c r="G3" s="1">
        <v>323194</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1571</v>
      </c>
      <c r="D4" s="1" t="s">
        <v>1572</v>
      </c>
      <c r="E4" s="1" t="s">
        <v>1573</v>
      </c>
      <c r="F4" s="1" t="s">
        <v>112</v>
      </c>
      <c r="G4" s="1">
        <v>325660</v>
      </c>
      <c r="K4" s="119" t="s">
        <v>100</v>
      </c>
      <c r="L4" s="1" t="s">
        <v>1533</v>
      </c>
      <c r="M4" s="1" t="s">
        <v>1534</v>
      </c>
      <c r="N4" s="1" t="s">
        <v>1535</v>
      </c>
      <c r="O4" s="1" t="s">
        <v>1536</v>
      </c>
      <c r="P4" s="1" t="s">
        <v>1537</v>
      </c>
      <c r="Q4" s="1" t="s">
        <v>1538</v>
      </c>
      <c r="R4" s="1" t="s">
        <v>1539</v>
      </c>
      <c r="S4" s="1" t="s">
        <v>1540</v>
      </c>
      <c r="T4" s="1" t="s">
        <v>1541</v>
      </c>
      <c r="U4" s="1" t="s">
        <v>1542</v>
      </c>
      <c r="V4" s="1" t="s">
        <v>1543</v>
      </c>
      <c r="W4" s="1" t="s">
        <v>1544</v>
      </c>
      <c r="X4" s="1" t="s">
        <v>1545</v>
      </c>
      <c r="Y4" s="1" t="s">
        <v>1546</v>
      </c>
      <c r="Z4" s="1" t="s">
        <v>1547</v>
      </c>
      <c r="AA4" s="1" t="s">
        <v>1548</v>
      </c>
      <c r="AB4" s="1" t="s">
        <v>1549</v>
      </c>
      <c r="AC4" s="1" t="s">
        <v>1550</v>
      </c>
      <c r="AD4" s="1" t="s">
        <v>1551</v>
      </c>
      <c r="AE4" s="1" t="s">
        <v>1552</v>
      </c>
      <c r="AF4" s="1" t="s">
        <v>1553</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 s="1" t="s">
        <v>1574</v>
      </c>
      <c r="D5" s="1" t="s">
        <v>1020</v>
      </c>
      <c r="E5" s="1" t="s">
        <v>1575</v>
      </c>
      <c r="F5" s="1" t="s">
        <v>112</v>
      </c>
      <c r="G5" s="1">
        <v>272039</v>
      </c>
      <c r="K5" s="146" t="s">
        <v>164</v>
      </c>
      <c r="L5" s="44">
        <v>306964.33333333331</v>
      </c>
      <c r="M5" s="44">
        <v>1240907</v>
      </c>
      <c r="N5" s="44">
        <v>70048.5</v>
      </c>
      <c r="O5" s="44"/>
      <c r="P5" s="44"/>
      <c r="Q5" s="44"/>
      <c r="R5" s="44">
        <v>41003.333333333336</v>
      </c>
      <c r="S5" s="44">
        <v>2007968</v>
      </c>
      <c r="T5" s="44">
        <v>2497935.6666666665</v>
      </c>
      <c r="U5" s="44">
        <v>364751.66666666669</v>
      </c>
      <c r="V5" s="44">
        <v>4675612</v>
      </c>
      <c r="W5" s="44">
        <v>66872.666666666672</v>
      </c>
      <c r="X5" s="44">
        <v>138452.66666666666</v>
      </c>
      <c r="Y5" s="44"/>
      <c r="Z5" s="44"/>
      <c r="AA5" s="44"/>
      <c r="AB5" s="44">
        <v>621091.5</v>
      </c>
      <c r="AC5" s="44"/>
      <c r="AD5" s="44"/>
      <c r="AE5" s="44">
        <v>166413.33333333334</v>
      </c>
      <c r="AF5" s="44">
        <v>63624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1576</v>
      </c>
      <c r="D6" s="1" t="s">
        <v>1316</v>
      </c>
      <c r="E6" s="1" t="s">
        <v>1577</v>
      </c>
      <c r="F6" s="1" t="s">
        <v>112</v>
      </c>
      <c r="G6" s="1">
        <v>242082</v>
      </c>
      <c r="K6" s="146" t="s">
        <v>1554</v>
      </c>
      <c r="L6" s="44">
        <v>253762</v>
      </c>
      <c r="M6" s="44">
        <v>2546585</v>
      </c>
      <c r="N6" s="44">
        <v>508951.33333333331</v>
      </c>
      <c r="O6" s="44">
        <v>3184548</v>
      </c>
      <c r="P6" s="44">
        <v>58955.666666666664</v>
      </c>
      <c r="Q6" s="44">
        <v>65084.333333333336</v>
      </c>
      <c r="R6" s="44">
        <v>57838.666666666664</v>
      </c>
      <c r="S6" s="44">
        <v>1593272.6666666667</v>
      </c>
      <c r="T6" s="44">
        <v>1361219.6666666667</v>
      </c>
      <c r="U6" s="44">
        <v>3187273</v>
      </c>
      <c r="V6" s="44"/>
      <c r="W6" s="44">
        <v>225960.33333333334</v>
      </c>
      <c r="X6" s="44">
        <v>143168.5</v>
      </c>
      <c r="Y6" s="44">
        <v>317797.5</v>
      </c>
      <c r="Z6" s="44">
        <v>52791</v>
      </c>
      <c r="AA6" s="44">
        <v>378631</v>
      </c>
      <c r="AB6" s="44">
        <v>99086.666666666672</v>
      </c>
      <c r="AC6" s="44">
        <v>50095</v>
      </c>
      <c r="AD6" s="44">
        <v>56987.333333333336</v>
      </c>
      <c r="AE6" s="44">
        <v>54551</v>
      </c>
      <c r="AF6" s="44"/>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1578</v>
      </c>
      <c r="D7" s="1" t="s">
        <v>1579</v>
      </c>
      <c r="E7" s="1" t="s">
        <v>1580</v>
      </c>
      <c r="F7" s="1" t="s">
        <v>112</v>
      </c>
      <c r="G7" s="1">
        <v>325379</v>
      </c>
      <c r="K7" s="146" t="s">
        <v>1555</v>
      </c>
      <c r="L7" s="44">
        <v>367784</v>
      </c>
      <c r="M7" s="44">
        <v>698227.33333333337</v>
      </c>
      <c r="N7" s="44">
        <v>992134.33333333337</v>
      </c>
      <c r="O7" s="44">
        <v>933070.33333333337</v>
      </c>
      <c r="P7" s="44">
        <v>142764.33333333334</v>
      </c>
      <c r="Q7" s="44">
        <v>279804.5</v>
      </c>
      <c r="R7" s="44">
        <v>217351.33333333334</v>
      </c>
      <c r="S7" s="44">
        <v>81739.666666666672</v>
      </c>
      <c r="T7" s="44"/>
      <c r="U7" s="44">
        <v>1686382</v>
      </c>
      <c r="V7" s="44">
        <v>3647103</v>
      </c>
      <c r="W7" s="44">
        <v>258037.33333333334</v>
      </c>
      <c r="X7" s="44"/>
      <c r="Y7" s="44">
        <v>563048</v>
      </c>
      <c r="Z7" s="44">
        <v>294332.33333333331</v>
      </c>
      <c r="AA7" s="44">
        <v>110514.33333333333</v>
      </c>
      <c r="AB7" s="44">
        <v>101217</v>
      </c>
      <c r="AC7" s="44">
        <v>282356.66666666669</v>
      </c>
      <c r="AD7" s="44">
        <v>150954.66666666666</v>
      </c>
      <c r="AE7" s="44">
        <v>44903.333333333336</v>
      </c>
      <c r="AF7" s="44">
        <v>221187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 s="1" t="s">
        <v>1581</v>
      </c>
      <c r="D8" s="1" t="s">
        <v>978</v>
      </c>
      <c r="E8" s="1" t="s">
        <v>1582</v>
      </c>
      <c r="F8" s="1" t="s">
        <v>112</v>
      </c>
      <c r="G8" s="1">
        <v>193825</v>
      </c>
      <c r="K8" s="146" t="s">
        <v>1556</v>
      </c>
      <c r="L8" s="44">
        <v>286870</v>
      </c>
      <c r="M8" s="44">
        <v>1874843.3333333333</v>
      </c>
      <c r="N8" s="44">
        <v>1175498.5</v>
      </c>
      <c r="O8" s="44">
        <v>4217901.333333333</v>
      </c>
      <c r="P8" s="44">
        <v>319409</v>
      </c>
      <c r="Q8" s="44">
        <v>13079</v>
      </c>
      <c r="R8" s="44">
        <v>211908</v>
      </c>
      <c r="S8" s="44">
        <v>329250.33333333331</v>
      </c>
      <c r="T8" s="44">
        <v>1906999.3333333333</v>
      </c>
      <c r="U8" s="44">
        <v>1407695</v>
      </c>
      <c r="V8" s="44">
        <v>3287088</v>
      </c>
      <c r="W8" s="44">
        <v>138676.33333333334</v>
      </c>
      <c r="X8" s="44">
        <v>361904.33333333331</v>
      </c>
      <c r="Y8" s="44">
        <v>475252</v>
      </c>
      <c r="Z8" s="44">
        <v>143853</v>
      </c>
      <c r="AA8" s="44">
        <v>139419.33333333334</v>
      </c>
      <c r="AB8" s="44">
        <v>71501.333333333328</v>
      </c>
      <c r="AC8" s="44">
        <v>166701.66666666666</v>
      </c>
      <c r="AD8" s="44">
        <v>286863</v>
      </c>
      <c r="AE8" s="44">
        <v>170761</v>
      </c>
      <c r="AF8" s="44">
        <v>74248</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1583</v>
      </c>
      <c r="K9" s="146" t="s">
        <v>1557</v>
      </c>
      <c r="L9" s="44">
        <v>262803</v>
      </c>
      <c r="M9" s="44">
        <v>592760.33333333337</v>
      </c>
      <c r="N9" s="44">
        <v>1956107</v>
      </c>
      <c r="O9" s="44">
        <v>2831230.6666666665</v>
      </c>
      <c r="P9" s="44">
        <v>73556</v>
      </c>
      <c r="Q9" s="44">
        <v>53959.333333333336</v>
      </c>
      <c r="R9" s="44">
        <v>100341.33333333333</v>
      </c>
      <c r="S9" s="44">
        <v>627173</v>
      </c>
      <c r="T9" s="44">
        <v>1628940</v>
      </c>
      <c r="U9" s="44">
        <v>3155650</v>
      </c>
      <c r="V9" s="44">
        <v>4862775.333333333</v>
      </c>
      <c r="W9" s="44">
        <v>47701.333333333336</v>
      </c>
      <c r="X9" s="44">
        <v>120716.33333333333</v>
      </c>
      <c r="Y9" s="44">
        <v>327620.66666666669</v>
      </c>
      <c r="Z9" s="44">
        <v>40116</v>
      </c>
      <c r="AA9" s="44">
        <v>225275.33333333334</v>
      </c>
      <c r="AB9" s="44">
        <v>324210.33333333331</v>
      </c>
      <c r="AC9" s="44">
        <v>39691</v>
      </c>
      <c r="AD9" s="44">
        <v>373685.33333333331</v>
      </c>
      <c r="AE9" s="44">
        <v>85906.666666666672</v>
      </c>
      <c r="AF9" s="44">
        <v>236436</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1584</v>
      </c>
      <c r="D10" s="1" t="s">
        <v>1585</v>
      </c>
      <c r="E10" s="1" t="s">
        <v>1586</v>
      </c>
      <c r="F10" s="1" t="s">
        <v>112</v>
      </c>
      <c r="G10" s="1">
        <v>385315</v>
      </c>
      <c r="K10" s="146" t="s">
        <v>1558</v>
      </c>
      <c r="L10" s="44">
        <v>98509.666666666672</v>
      </c>
      <c r="M10" s="44">
        <v>489254</v>
      </c>
      <c r="N10" s="44"/>
      <c r="O10" s="44">
        <v>4321790</v>
      </c>
      <c r="P10" s="44">
        <v>413412.33333333331</v>
      </c>
      <c r="Q10" s="44">
        <v>558195.33333333337</v>
      </c>
      <c r="R10" s="44">
        <v>172130.66666666666</v>
      </c>
      <c r="S10" s="44">
        <v>529139.33333333337</v>
      </c>
      <c r="T10" s="44">
        <v>1515401</v>
      </c>
      <c r="U10" s="44">
        <v>2743276.3333333335</v>
      </c>
      <c r="V10" s="44">
        <v>2544829.3333333335</v>
      </c>
      <c r="W10" s="44">
        <v>82359.333333333328</v>
      </c>
      <c r="X10" s="44">
        <v>272883</v>
      </c>
      <c r="Y10" s="44">
        <v>16395.666666666668</v>
      </c>
      <c r="Z10" s="44">
        <v>320079</v>
      </c>
      <c r="AA10" s="44">
        <v>299303.5</v>
      </c>
      <c r="AB10" s="44"/>
      <c r="AC10" s="44">
        <v>63779.333333333336</v>
      </c>
      <c r="AD10" s="44">
        <v>65401.666666666664</v>
      </c>
      <c r="AE10" s="44">
        <v>282061</v>
      </c>
      <c r="AF10" s="44">
        <v>172750.66666666666</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 s="1" t="s">
        <v>1587</v>
      </c>
      <c r="D11" s="1" t="s">
        <v>1588</v>
      </c>
      <c r="E11" s="1" t="s">
        <v>1589</v>
      </c>
      <c r="F11" s="1" t="s">
        <v>112</v>
      </c>
      <c r="G11" s="1">
        <v>350253</v>
      </c>
      <c r="K11" s="146" t="s">
        <v>1559</v>
      </c>
      <c r="L11" s="44">
        <v>61803.666666666664</v>
      </c>
      <c r="M11" s="44">
        <v>54456.666666666664</v>
      </c>
      <c r="N11" s="44">
        <v>1563747.6666666667</v>
      </c>
      <c r="O11" s="44">
        <v>3105295.6666666665</v>
      </c>
      <c r="P11" s="44">
        <v>133016.33333333334</v>
      </c>
      <c r="Q11" s="44">
        <v>262450</v>
      </c>
      <c r="R11" s="44">
        <v>294022.33333333331</v>
      </c>
      <c r="S11" s="44">
        <v>134617</v>
      </c>
      <c r="T11" s="44">
        <v>808056.66666666663</v>
      </c>
      <c r="U11" s="44">
        <v>1831129.3333333333</v>
      </c>
      <c r="V11" s="44">
        <v>4059643</v>
      </c>
      <c r="W11" s="44">
        <v>223610</v>
      </c>
      <c r="X11" s="44">
        <v>318010</v>
      </c>
      <c r="Y11" s="44">
        <v>299847.66666666669</v>
      </c>
      <c r="Z11" s="44">
        <v>46893.5</v>
      </c>
      <c r="AA11" s="44">
        <v>135316.33333333334</v>
      </c>
      <c r="AB11" s="44">
        <v>86426</v>
      </c>
      <c r="AC11" s="44">
        <v>216775</v>
      </c>
      <c r="AD11" s="44">
        <v>472959.33333333331</v>
      </c>
      <c r="AE11" s="44">
        <v>103016</v>
      </c>
      <c r="AF11" s="44">
        <v>102165.33333333333</v>
      </c>
      <c r="AG11"/>
    </row>
    <row r="12" spans="1:144" x14ac:dyDescent="0.3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1590</v>
      </c>
      <c r="D12" s="1" t="s">
        <v>1591</v>
      </c>
      <c r="E12" s="1" t="s">
        <v>1592</v>
      </c>
      <c r="F12" s="1" t="s">
        <v>112</v>
      </c>
      <c r="G12" s="1">
        <v>426909</v>
      </c>
      <c r="K12" s="146" t="s">
        <v>1560</v>
      </c>
      <c r="L12" s="44">
        <v>49871.333333333336</v>
      </c>
      <c r="M12" s="44">
        <v>1524612.3333333333</v>
      </c>
      <c r="N12" s="44">
        <v>525282</v>
      </c>
      <c r="O12" s="44">
        <v>2782159.6666666665</v>
      </c>
      <c r="P12" s="44">
        <v>74334.666666666672</v>
      </c>
      <c r="Q12" s="44">
        <v>79915</v>
      </c>
      <c r="R12" s="44">
        <v>486456.33333333331</v>
      </c>
      <c r="S12" s="44">
        <v>487602.66666666669</v>
      </c>
      <c r="T12" s="44">
        <v>2835051.6666666665</v>
      </c>
      <c r="U12" s="44">
        <v>2492297.3333333335</v>
      </c>
      <c r="V12" s="44">
        <v>3627491.6666666665</v>
      </c>
      <c r="W12" s="44">
        <v>36691.666666666664</v>
      </c>
      <c r="X12" s="44">
        <v>260258.33333333334</v>
      </c>
      <c r="Y12" s="44">
        <v>192924</v>
      </c>
      <c r="Z12" s="44">
        <v>146030.33333333334</v>
      </c>
      <c r="AA12" s="44">
        <v>323201</v>
      </c>
      <c r="AB12" s="44">
        <v>6928.666666666667</v>
      </c>
      <c r="AC12" s="44">
        <v>396670.66666666669</v>
      </c>
      <c r="AD12" s="44"/>
      <c r="AE12" s="44">
        <v>14830.666666666666</v>
      </c>
      <c r="AF12" s="44">
        <v>235210.66666666666</v>
      </c>
      <c r="AG12"/>
    </row>
    <row r="13" spans="1:144" x14ac:dyDescent="0.3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1593</v>
      </c>
      <c r="D13" s="1" t="s">
        <v>711</v>
      </c>
      <c r="E13" s="1" t="s">
        <v>1594</v>
      </c>
      <c r="F13" s="1" t="s">
        <v>112</v>
      </c>
      <c r="G13" s="1">
        <v>424941</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 s="1" t="s">
        <v>1595</v>
      </c>
      <c r="D14" s="1" t="s">
        <v>1098</v>
      </c>
      <c r="E14" s="1" t="s">
        <v>1596</v>
      </c>
      <c r="F14" s="1" t="s">
        <v>112</v>
      </c>
      <c r="G14" s="1">
        <v>8760</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1597</v>
      </c>
      <c r="D15" s="1" t="s">
        <v>1376</v>
      </c>
      <c r="E15" s="1" t="s">
        <v>1598</v>
      </c>
      <c r="F15" s="1" t="s">
        <v>112</v>
      </c>
      <c r="G15" s="1">
        <v>295075</v>
      </c>
    </row>
    <row r="16" spans="1:144" x14ac:dyDescent="0.3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1599</v>
      </c>
      <c r="D16" s="1" t="s">
        <v>527</v>
      </c>
      <c r="E16" s="1" t="s">
        <v>1600</v>
      </c>
      <c r="F16" s="1" t="s">
        <v>112</v>
      </c>
      <c r="G16" s="1">
        <v>207106</v>
      </c>
    </row>
    <row r="17" spans="1:8" x14ac:dyDescent="0.3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 s="1" t="s">
        <v>1601</v>
      </c>
      <c r="D17" s="1" t="s">
        <v>1602</v>
      </c>
      <c r="E17" s="1" t="s">
        <v>1603</v>
      </c>
      <c r="F17" s="1" t="s">
        <v>112</v>
      </c>
      <c r="G17" s="1">
        <v>286228</v>
      </c>
    </row>
    <row r="18" spans="1:8" x14ac:dyDescent="0.3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1604</v>
      </c>
      <c r="D18" s="1" t="s">
        <v>656</v>
      </c>
      <c r="E18" s="1" t="s">
        <v>1605</v>
      </c>
      <c r="F18" s="1" t="s">
        <v>112</v>
      </c>
      <c r="G18" s="1">
        <v>176370</v>
      </c>
    </row>
    <row r="19" spans="1:8" x14ac:dyDescent="0.3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1606</v>
      </c>
      <c r="D19" s="1" t="s">
        <v>1607</v>
      </c>
      <c r="E19" s="1" t="s">
        <v>1608</v>
      </c>
      <c r="F19" s="1" t="s">
        <v>112</v>
      </c>
      <c r="G19" s="1">
        <v>78019</v>
      </c>
    </row>
    <row r="20" spans="1:8" x14ac:dyDescent="0.3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0" s="1" t="s">
        <v>1609</v>
      </c>
      <c r="D20" s="1" t="s">
        <v>1610</v>
      </c>
      <c r="E20" s="1" t="s">
        <v>1611</v>
      </c>
      <c r="F20" s="1" t="s">
        <v>112</v>
      </c>
      <c r="G20" s="1">
        <v>41140</v>
      </c>
    </row>
    <row r="21" spans="1:8" x14ac:dyDescent="0.3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1612</v>
      </c>
      <c r="D21" s="1" t="s">
        <v>563</v>
      </c>
      <c r="E21" s="1" t="s">
        <v>1613</v>
      </c>
      <c r="F21" s="1" t="s">
        <v>112</v>
      </c>
      <c r="G21" s="1">
        <v>171568</v>
      </c>
    </row>
    <row r="22" spans="1:8" x14ac:dyDescent="0.3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1614</v>
      </c>
      <c r="D22" s="1" t="s">
        <v>452</v>
      </c>
      <c r="E22" s="1">
        <v>30</v>
      </c>
      <c r="F22" s="1" t="s">
        <v>112</v>
      </c>
      <c r="G22" s="1">
        <v>649</v>
      </c>
    </row>
    <row r="23" spans="1:8" x14ac:dyDescent="0.3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 s="1" t="s">
        <v>1615</v>
      </c>
      <c r="D23" s="1" t="s">
        <v>932</v>
      </c>
      <c r="E23" s="1" t="s">
        <v>1047</v>
      </c>
      <c r="F23" s="1" t="s">
        <v>112</v>
      </c>
      <c r="G23" s="1">
        <v>13194</v>
      </c>
    </row>
    <row r="24" spans="1:8" x14ac:dyDescent="0.3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1616</v>
      </c>
      <c r="D24" s="1" t="s">
        <v>1046</v>
      </c>
      <c r="E24" s="1" t="s">
        <v>1617</v>
      </c>
      <c r="F24" s="1" t="s">
        <v>112</v>
      </c>
      <c r="G24" s="1">
        <v>1449</v>
      </c>
    </row>
    <row r="25" spans="1:8" x14ac:dyDescent="0.3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1618</v>
      </c>
      <c r="D25" s="1" t="s">
        <v>1619</v>
      </c>
      <c r="E25" s="1" t="s">
        <v>1409</v>
      </c>
      <c r="F25" s="1" t="s">
        <v>112</v>
      </c>
      <c r="G25" s="1">
        <v>96448</v>
      </c>
    </row>
    <row r="26" spans="1:8" x14ac:dyDescent="0.35">
      <c r="A26" s="1" t="str">
        <f t="shared" si="0"/>
        <v>1</v>
      </c>
      <c r="B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6" s="1" t="s">
        <v>1620</v>
      </c>
      <c r="D26" s="1" t="s">
        <v>1621</v>
      </c>
      <c r="E26" s="1" t="s">
        <v>1622</v>
      </c>
      <c r="F26" s="1" t="s">
        <v>112</v>
      </c>
      <c r="G26" s="1">
        <v>51717</v>
      </c>
    </row>
    <row r="27" spans="1:8"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112</v>
      </c>
    </row>
    <row r="28" spans="1:8"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 s="1" t="s">
        <v>233</v>
      </c>
      <c r="D28" s="1" t="s">
        <v>112</v>
      </c>
      <c r="E28" s="1" t="s">
        <v>234</v>
      </c>
      <c r="F28" s="1" t="s">
        <v>235</v>
      </c>
      <c r="G28" s="1" t="s">
        <v>236</v>
      </c>
      <c r="H28" s="1" t="s">
        <v>1623</v>
      </c>
    </row>
    <row r="29" spans="1:8" x14ac:dyDescent="0.35">
      <c r="A29" s="1" t="str">
        <f t="shared" si="0"/>
        <v>1</v>
      </c>
      <c r="B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 s="1" t="s">
        <v>1624</v>
      </c>
      <c r="D29" s="1" t="s">
        <v>112</v>
      </c>
      <c r="E29" s="1" t="s">
        <v>1625</v>
      </c>
      <c r="F29" s="1" t="s">
        <v>1626</v>
      </c>
      <c r="G29" s="1" t="s">
        <v>1627</v>
      </c>
      <c r="H29" s="1" t="s">
        <v>1628</v>
      </c>
    </row>
    <row r="30" spans="1:8"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8"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8"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112</v>
      </c>
    </row>
    <row r="35" spans="1:7"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 s="1" t="s">
        <v>166</v>
      </c>
      <c r="D35" s="1" t="s">
        <v>110</v>
      </c>
      <c r="E35" s="1" t="s">
        <v>111</v>
      </c>
      <c r="F35" s="1" t="s">
        <v>112</v>
      </c>
      <c r="G35" s="1" t="s">
        <v>113</v>
      </c>
    </row>
    <row r="36" spans="1:7" x14ac:dyDescent="0.3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1629</v>
      </c>
      <c r="D36" s="1" t="s">
        <v>1630</v>
      </c>
      <c r="E36" s="1" t="s">
        <v>1631</v>
      </c>
      <c r="F36" s="1" t="s">
        <v>112</v>
      </c>
      <c r="G36" s="1">
        <v>1474618</v>
      </c>
    </row>
    <row r="37" spans="1:7" x14ac:dyDescent="0.3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1632</v>
      </c>
      <c r="D37" s="1" t="s">
        <v>1633</v>
      </c>
      <c r="E37" s="1" t="s">
        <v>1634</v>
      </c>
      <c r="F37" s="1" t="s">
        <v>112</v>
      </c>
      <c r="G37" s="1">
        <v>1210193</v>
      </c>
    </row>
    <row r="38" spans="1:7" x14ac:dyDescent="0.3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8" s="1" t="s">
        <v>1635</v>
      </c>
      <c r="D38" s="1" t="s">
        <v>1636</v>
      </c>
      <c r="E38" s="1" t="s">
        <v>1637</v>
      </c>
      <c r="F38" s="1" t="s">
        <v>112</v>
      </c>
      <c r="G38" s="1">
        <v>1037910</v>
      </c>
    </row>
    <row r="39" spans="1:7" x14ac:dyDescent="0.3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1638</v>
      </c>
    </row>
    <row r="40" spans="1:7" x14ac:dyDescent="0.3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1639</v>
      </c>
      <c r="D40" s="1" t="s">
        <v>1640</v>
      </c>
      <c r="E40" s="1" t="s">
        <v>1641</v>
      </c>
      <c r="F40" s="1" t="s">
        <v>112</v>
      </c>
      <c r="G40" s="1">
        <v>2677154</v>
      </c>
    </row>
    <row r="41" spans="1:7" x14ac:dyDescent="0.3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 s="1" t="s">
        <v>1642</v>
      </c>
      <c r="D41" s="1" t="s">
        <v>1643</v>
      </c>
      <c r="E41" s="1" t="s">
        <v>1644</v>
      </c>
      <c r="F41" s="1" t="s">
        <v>112</v>
      </c>
      <c r="G41" s="1">
        <v>2416016</v>
      </c>
    </row>
    <row r="42" spans="1:7" x14ac:dyDescent="0.3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1645</v>
      </c>
      <c r="D42" s="1" t="s">
        <v>1646</v>
      </c>
      <c r="E42" s="1" t="s">
        <v>1647</v>
      </c>
      <c r="F42" s="1" t="s">
        <v>112</v>
      </c>
      <c r="G42" s="1">
        <v>683916</v>
      </c>
    </row>
    <row r="43" spans="1:7" x14ac:dyDescent="0.3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1648</v>
      </c>
      <c r="D43" s="1" t="s">
        <v>1649</v>
      </c>
      <c r="E43" s="1" t="s">
        <v>1650</v>
      </c>
      <c r="F43" s="1" t="s">
        <v>112</v>
      </c>
      <c r="G43" s="1">
        <v>741905</v>
      </c>
    </row>
    <row r="44" spans="1:7" x14ac:dyDescent="0.3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 s="1" t="s">
        <v>1651</v>
      </c>
      <c r="D44" s="1" t="s">
        <v>668</v>
      </c>
      <c r="E44" s="1" t="s">
        <v>1652</v>
      </c>
      <c r="F44" s="1" t="s">
        <v>112</v>
      </c>
      <c r="G44" s="1">
        <v>668861</v>
      </c>
    </row>
    <row r="45" spans="1:7" x14ac:dyDescent="0.3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1653</v>
      </c>
      <c r="D45" s="1" t="s">
        <v>1654</v>
      </c>
      <c r="E45" s="1" t="s">
        <v>1655</v>
      </c>
      <c r="F45" s="1" t="s">
        <v>112</v>
      </c>
      <c r="G45" s="1">
        <v>1550215</v>
      </c>
    </row>
    <row r="46" spans="1:7" x14ac:dyDescent="0.3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1656</v>
      </c>
      <c r="D46" s="1" t="s">
        <v>1657</v>
      </c>
      <c r="E46" s="1" t="s">
        <v>1658</v>
      </c>
      <c r="F46" s="1" t="s">
        <v>112</v>
      </c>
      <c r="G46" s="1">
        <v>2090832</v>
      </c>
    </row>
    <row r="47" spans="1:7" x14ac:dyDescent="0.3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 s="1" t="s">
        <v>1659</v>
      </c>
      <c r="D47" s="1" t="s">
        <v>1660</v>
      </c>
      <c r="E47" s="1" t="s">
        <v>1661</v>
      </c>
      <c r="F47" s="1" t="s">
        <v>112</v>
      </c>
      <c r="G47" s="1">
        <v>1983483</v>
      </c>
    </row>
    <row r="48" spans="1:7" x14ac:dyDescent="0.3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1662</v>
      </c>
      <c r="D48" s="1" t="s">
        <v>1663</v>
      </c>
      <c r="E48" s="1" t="s">
        <v>1664</v>
      </c>
      <c r="F48" s="1" t="s">
        <v>112</v>
      </c>
      <c r="G48" s="1">
        <v>637152</v>
      </c>
    </row>
    <row r="49" spans="1:8" x14ac:dyDescent="0.3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1665</v>
      </c>
      <c r="D49" s="1" t="s">
        <v>1666</v>
      </c>
      <c r="E49" s="1" t="s">
        <v>1667</v>
      </c>
      <c r="F49" s="1" t="s">
        <v>112</v>
      </c>
      <c r="G49" s="1">
        <v>668602</v>
      </c>
    </row>
    <row r="50" spans="1:8" x14ac:dyDescent="0.3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 s="1" t="s">
        <v>1668</v>
      </c>
      <c r="D50" s="1" t="s">
        <v>1669</v>
      </c>
      <c r="E50" s="1" t="s">
        <v>1670</v>
      </c>
      <c r="F50" s="1" t="s">
        <v>112</v>
      </c>
      <c r="G50" s="1">
        <v>472527</v>
      </c>
    </row>
    <row r="51" spans="1:8" x14ac:dyDescent="0.3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1671</v>
      </c>
      <c r="D51" s="1" t="s">
        <v>1672</v>
      </c>
      <c r="E51" s="1" t="s">
        <v>1673</v>
      </c>
      <c r="F51" s="1" t="s">
        <v>112</v>
      </c>
      <c r="G51" s="1">
        <v>416138</v>
      </c>
    </row>
    <row r="52" spans="1:8" x14ac:dyDescent="0.3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1674</v>
      </c>
      <c r="D52" s="1" t="s">
        <v>1675</v>
      </c>
      <c r="E52" s="1" t="s">
        <v>1676</v>
      </c>
      <c r="F52" s="1" t="s">
        <v>112</v>
      </c>
      <c r="G52" s="1">
        <v>575312</v>
      </c>
    </row>
    <row r="53" spans="1:8" x14ac:dyDescent="0.3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3" s="1" t="s">
        <v>1677</v>
      </c>
      <c r="D53" s="1" t="s">
        <v>1678</v>
      </c>
      <c r="E53" s="1" t="s">
        <v>1679</v>
      </c>
      <c r="F53" s="1" t="s">
        <v>112</v>
      </c>
      <c r="G53" s="1">
        <v>476312</v>
      </c>
    </row>
    <row r="54" spans="1:8" x14ac:dyDescent="0.3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1680</v>
      </c>
      <c r="D54" s="1" t="s">
        <v>228</v>
      </c>
      <c r="E54" s="1" t="s">
        <v>1681</v>
      </c>
      <c r="F54" s="1" t="s">
        <v>112</v>
      </c>
      <c r="G54" s="1">
        <v>19402</v>
      </c>
    </row>
    <row r="55" spans="1:8" x14ac:dyDescent="0.3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1682</v>
      </c>
      <c r="D55" s="1" t="s">
        <v>1683</v>
      </c>
      <c r="E55" s="1" t="s">
        <v>1684</v>
      </c>
      <c r="F55" s="1" t="s">
        <v>112</v>
      </c>
      <c r="G55" s="1">
        <v>72633</v>
      </c>
    </row>
    <row r="56" spans="1:8" x14ac:dyDescent="0.3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 s="1" t="s">
        <v>1685</v>
      </c>
      <c r="D56" s="1" t="s">
        <v>558</v>
      </c>
      <c r="E56" s="1" t="s">
        <v>1686</v>
      </c>
      <c r="F56" s="1" t="s">
        <v>112</v>
      </c>
      <c r="G56" s="1">
        <v>71335</v>
      </c>
    </row>
    <row r="57" spans="1:8" x14ac:dyDescent="0.3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1687</v>
      </c>
      <c r="D57" s="1" t="s">
        <v>1688</v>
      </c>
      <c r="E57" s="1" t="s">
        <v>1689</v>
      </c>
      <c r="F57" s="1" t="s">
        <v>112</v>
      </c>
      <c r="G57" s="1">
        <v>1613915</v>
      </c>
    </row>
    <row r="58" spans="1:8" x14ac:dyDescent="0.3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1690</v>
      </c>
      <c r="D58" s="1" t="s">
        <v>1691</v>
      </c>
      <c r="E58" s="1" t="s">
        <v>1692</v>
      </c>
      <c r="F58" s="1" t="s">
        <v>112</v>
      </c>
      <c r="G58" s="1">
        <v>1575219</v>
      </c>
    </row>
    <row r="59" spans="1:8" x14ac:dyDescent="0.35">
      <c r="A59" s="1" t="str">
        <f t="shared" si="0"/>
        <v>13</v>
      </c>
      <c r="B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9" s="1" t="s">
        <v>1693</v>
      </c>
      <c r="D59" s="1" t="s">
        <v>1694</v>
      </c>
      <c r="E59" s="1" t="s">
        <v>1695</v>
      </c>
      <c r="F59" s="1" t="s">
        <v>112</v>
      </c>
      <c r="G59" s="1">
        <v>1384703</v>
      </c>
    </row>
    <row r="60" spans="1:8"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112</v>
      </c>
    </row>
    <row r="61" spans="1:8"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 s="1" t="s">
        <v>233</v>
      </c>
      <c r="D61" s="1" t="s">
        <v>112</v>
      </c>
      <c r="E61" s="1" t="s">
        <v>234</v>
      </c>
      <c r="F61" s="1" t="s">
        <v>235</v>
      </c>
      <c r="G61" s="1" t="s">
        <v>236</v>
      </c>
      <c r="H61" s="1" t="s">
        <v>1623</v>
      </c>
    </row>
    <row r="62" spans="1:8" x14ac:dyDescent="0.35">
      <c r="A62" s="1" t="str">
        <f t="shared" si="0"/>
        <v>13</v>
      </c>
      <c r="B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 s="1" t="s">
        <v>1696</v>
      </c>
      <c r="D62" s="1" t="s">
        <v>112</v>
      </c>
      <c r="E62" s="1" t="s">
        <v>1697</v>
      </c>
      <c r="F62" s="1" t="s">
        <v>1698</v>
      </c>
      <c r="G62" s="1" t="s">
        <v>1699</v>
      </c>
      <c r="H62" s="1" t="s">
        <v>1700</v>
      </c>
    </row>
    <row r="63" spans="1:8"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8"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112</v>
      </c>
    </row>
    <row r="68" spans="1:7"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 s="1" t="s">
        <v>166</v>
      </c>
      <c r="D68" s="1" t="s">
        <v>110</v>
      </c>
      <c r="E68" s="1" t="s">
        <v>111</v>
      </c>
      <c r="F68" s="1" t="s">
        <v>112</v>
      </c>
      <c r="G68" s="1" t="s">
        <v>113</v>
      </c>
    </row>
    <row r="69" spans="1:7" x14ac:dyDescent="0.3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1701</v>
      </c>
      <c r="D69" s="1" t="s">
        <v>1702</v>
      </c>
      <c r="E69" s="1" t="s">
        <v>1703</v>
      </c>
      <c r="F69" s="1" t="s">
        <v>112</v>
      </c>
      <c r="G69" s="1">
        <v>15033</v>
      </c>
    </row>
    <row r="70" spans="1:7" x14ac:dyDescent="0.3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1704</v>
      </c>
      <c r="D70" s="1" t="s">
        <v>1705</v>
      </c>
      <c r="E70" s="1" t="s">
        <v>1706</v>
      </c>
      <c r="F70" s="1" t="s">
        <v>112</v>
      </c>
      <c r="G70" s="1">
        <v>125064</v>
      </c>
    </row>
    <row r="71" spans="1:7" x14ac:dyDescent="0.3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1" s="1" t="s">
        <v>1707</v>
      </c>
    </row>
    <row r="72" spans="1:7" x14ac:dyDescent="0.3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1708</v>
      </c>
      <c r="D72" s="1" t="s">
        <v>1709</v>
      </c>
      <c r="E72" s="1" t="s">
        <v>1710</v>
      </c>
      <c r="F72" s="1" t="s">
        <v>112</v>
      </c>
      <c r="G72" s="1">
        <v>648983</v>
      </c>
    </row>
    <row r="73" spans="1:7" x14ac:dyDescent="0.3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1711</v>
      </c>
      <c r="D73" s="1" t="s">
        <v>1712</v>
      </c>
      <c r="E73" s="1" t="s">
        <v>1713</v>
      </c>
      <c r="F73" s="1" t="s">
        <v>112</v>
      </c>
      <c r="G73" s="1">
        <v>577713</v>
      </c>
    </row>
    <row r="74" spans="1:7" x14ac:dyDescent="0.3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 s="1" t="s">
        <v>1714</v>
      </c>
      <c r="D74" s="1" t="s">
        <v>1715</v>
      </c>
      <c r="E74" s="1" t="s">
        <v>1716</v>
      </c>
      <c r="F74" s="1" t="s">
        <v>112</v>
      </c>
      <c r="G74" s="1">
        <v>300158</v>
      </c>
    </row>
    <row r="75" spans="1:7" x14ac:dyDescent="0.3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1717</v>
      </c>
      <c r="D75" s="1" t="s">
        <v>1718</v>
      </c>
      <c r="E75" s="1" t="s">
        <v>1719</v>
      </c>
      <c r="F75" s="1" t="s">
        <v>112</v>
      </c>
      <c r="G75" s="1">
        <v>1113788</v>
      </c>
    </row>
    <row r="76" spans="1:7" x14ac:dyDescent="0.3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1720</v>
      </c>
      <c r="D76" s="1" t="s">
        <v>1721</v>
      </c>
      <c r="E76" s="1" t="s">
        <v>1722</v>
      </c>
      <c r="F76" s="1" t="s">
        <v>112</v>
      </c>
      <c r="G76" s="1">
        <v>831907</v>
      </c>
    </row>
    <row r="77" spans="1:7" x14ac:dyDescent="0.3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7" s="1" t="s">
        <v>1723</v>
      </c>
      <c r="D77" s="1" t="s">
        <v>352</v>
      </c>
      <c r="E77" s="1" t="s">
        <v>1724</v>
      </c>
      <c r="F77" s="1" t="s">
        <v>112</v>
      </c>
      <c r="G77" s="1">
        <v>1030708</v>
      </c>
    </row>
    <row r="78" spans="1:7" x14ac:dyDescent="0.3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1725</v>
      </c>
      <c r="D78" s="1" t="s">
        <v>1726</v>
      </c>
      <c r="E78" s="1" t="s">
        <v>1727</v>
      </c>
      <c r="F78" s="1" t="s">
        <v>112</v>
      </c>
      <c r="G78" s="1">
        <v>1119715</v>
      </c>
    </row>
    <row r="79" spans="1:7" x14ac:dyDescent="0.3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1728</v>
      </c>
      <c r="D79" s="1" t="s">
        <v>1729</v>
      </c>
      <c r="E79" s="1" t="s">
        <v>1730</v>
      </c>
      <c r="F79" s="1" t="s">
        <v>112</v>
      </c>
      <c r="G79" s="1">
        <v>1231282</v>
      </c>
    </row>
    <row r="80" spans="1:7" x14ac:dyDescent="0.3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0" s="1" t="s">
        <v>1731</v>
      </c>
    </row>
    <row r="81" spans="1:8" x14ac:dyDescent="0.3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1732</v>
      </c>
      <c r="D81" s="1" t="s">
        <v>1733</v>
      </c>
      <c r="E81" s="1" t="s">
        <v>1734</v>
      </c>
      <c r="F81" s="1" t="s">
        <v>112</v>
      </c>
      <c r="G81" s="1">
        <v>2051228</v>
      </c>
    </row>
    <row r="82" spans="1:8" x14ac:dyDescent="0.3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1735</v>
      </c>
      <c r="D82" s="1" t="s">
        <v>1736</v>
      </c>
      <c r="E82" s="1" t="s">
        <v>1737</v>
      </c>
      <c r="F82" s="1" t="s">
        <v>112</v>
      </c>
      <c r="G82" s="1">
        <v>1995315</v>
      </c>
    </row>
    <row r="83" spans="1:8" x14ac:dyDescent="0.3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3" s="1" t="s">
        <v>1738</v>
      </c>
      <c r="D83" s="1" t="s">
        <v>443</v>
      </c>
      <c r="E83" s="1" t="s">
        <v>1739</v>
      </c>
      <c r="F83" s="1" t="s">
        <v>112</v>
      </c>
      <c r="G83" s="1">
        <v>1821778</v>
      </c>
    </row>
    <row r="84" spans="1:8" x14ac:dyDescent="0.3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1740</v>
      </c>
    </row>
    <row r="85" spans="1:8" x14ac:dyDescent="0.3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1741</v>
      </c>
    </row>
    <row r="86" spans="1:8" x14ac:dyDescent="0.3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6" s="1" t="s">
        <v>1742</v>
      </c>
    </row>
    <row r="87" spans="1:8" x14ac:dyDescent="0.3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1743</v>
      </c>
      <c r="D87" s="1" t="s">
        <v>1744</v>
      </c>
      <c r="E87" s="1" t="s">
        <v>1745</v>
      </c>
      <c r="F87" s="1" t="s">
        <v>112</v>
      </c>
      <c r="G87" s="1">
        <v>1464582</v>
      </c>
    </row>
    <row r="88" spans="1:8" x14ac:dyDescent="0.3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1746</v>
      </c>
      <c r="D88" s="1" t="s">
        <v>1747</v>
      </c>
      <c r="E88" s="1" t="s">
        <v>1748</v>
      </c>
      <c r="F88" s="1" t="s">
        <v>112</v>
      </c>
      <c r="G88" s="1">
        <v>1677982</v>
      </c>
    </row>
    <row r="89" spans="1:8" x14ac:dyDescent="0.3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9" s="1" t="s">
        <v>1749</v>
      </c>
      <c r="D89" s="1" t="s">
        <v>1750</v>
      </c>
      <c r="E89" s="1" t="s">
        <v>1751</v>
      </c>
      <c r="F89" s="1" t="s">
        <v>112</v>
      </c>
      <c r="G89" s="1">
        <v>1548679</v>
      </c>
    </row>
    <row r="90" spans="1:8" x14ac:dyDescent="0.3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1752</v>
      </c>
      <c r="D90" s="1" t="s">
        <v>1753</v>
      </c>
      <c r="E90" s="1" t="s">
        <v>1754</v>
      </c>
      <c r="F90" s="1" t="s">
        <v>112</v>
      </c>
      <c r="G90" s="1">
        <v>677297</v>
      </c>
    </row>
    <row r="91" spans="1:8" x14ac:dyDescent="0.3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1755</v>
      </c>
      <c r="D91" s="1" t="s">
        <v>1756</v>
      </c>
      <c r="E91" s="1" t="s">
        <v>1757</v>
      </c>
      <c r="F91" s="1" t="s">
        <v>112</v>
      </c>
      <c r="G91" s="1">
        <v>491323</v>
      </c>
    </row>
    <row r="92" spans="1:8" x14ac:dyDescent="0.35">
      <c r="A92" s="1" t="str">
        <f t="shared" si="1"/>
        <v>14</v>
      </c>
      <c r="B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2" s="1" t="s">
        <v>1758</v>
      </c>
      <c r="D92" s="1" t="s">
        <v>1759</v>
      </c>
      <c r="E92" s="1" t="s">
        <v>1760</v>
      </c>
      <c r="F92" s="1" t="s">
        <v>112</v>
      </c>
      <c r="G92" s="1">
        <v>407226</v>
      </c>
    </row>
    <row r="93" spans="1:8"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112</v>
      </c>
    </row>
    <row r="94" spans="1:8"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4" s="1" t="s">
        <v>233</v>
      </c>
      <c r="D94" s="1" t="s">
        <v>112</v>
      </c>
      <c r="E94" s="1" t="s">
        <v>234</v>
      </c>
      <c r="F94" s="1" t="s">
        <v>235</v>
      </c>
      <c r="G94" s="1" t="s">
        <v>236</v>
      </c>
      <c r="H94" s="1" t="s">
        <v>1623</v>
      </c>
    </row>
    <row r="95" spans="1:8" x14ac:dyDescent="0.35">
      <c r="A95" s="1" t="str">
        <f t="shared" si="1"/>
        <v>14</v>
      </c>
      <c r="B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5" s="1" t="s">
        <v>1761</v>
      </c>
      <c r="D95" s="1" t="s">
        <v>112</v>
      </c>
      <c r="E95" s="1" t="s">
        <v>1762</v>
      </c>
      <c r="F95" s="1" t="s">
        <v>1763</v>
      </c>
      <c r="G95" s="1" t="s">
        <v>1764</v>
      </c>
      <c r="H95" s="1" t="s">
        <v>1765</v>
      </c>
    </row>
    <row r="96" spans="1:8"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112</v>
      </c>
    </row>
    <row r="101" spans="1:7"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1" s="1" t="s">
        <v>166</v>
      </c>
      <c r="D101" s="1" t="s">
        <v>110</v>
      </c>
      <c r="E101" s="1" t="s">
        <v>111</v>
      </c>
      <c r="F101" s="1" t="s">
        <v>112</v>
      </c>
      <c r="G101" s="1" t="s">
        <v>113</v>
      </c>
    </row>
    <row r="102" spans="1:7" x14ac:dyDescent="0.3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1766</v>
      </c>
    </row>
    <row r="103" spans="1:7" x14ac:dyDescent="0.3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1767</v>
      </c>
    </row>
    <row r="104" spans="1:7" x14ac:dyDescent="0.3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 s="1" t="s">
        <v>1768</v>
      </c>
    </row>
    <row r="105" spans="1:7" x14ac:dyDescent="0.3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1769</v>
      </c>
      <c r="D105" s="1" t="s">
        <v>1770</v>
      </c>
      <c r="E105" s="1" t="s">
        <v>1771</v>
      </c>
      <c r="F105" s="1" t="s">
        <v>112</v>
      </c>
      <c r="G105" s="1">
        <v>3184548</v>
      </c>
    </row>
    <row r="106" spans="1:7" x14ac:dyDescent="0.3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1772</v>
      </c>
    </row>
    <row r="107" spans="1:7" x14ac:dyDescent="0.3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7" s="1" t="s">
        <v>1773</v>
      </c>
    </row>
    <row r="108" spans="1:7" x14ac:dyDescent="0.3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1774</v>
      </c>
      <c r="D108" s="1" t="s">
        <v>1775</v>
      </c>
      <c r="E108" s="1" t="s">
        <v>1776</v>
      </c>
      <c r="F108" s="1" t="s">
        <v>112</v>
      </c>
      <c r="G108" s="1">
        <v>1078942</v>
      </c>
    </row>
    <row r="109" spans="1:7" x14ac:dyDescent="0.3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1777</v>
      </c>
      <c r="D109" s="1" t="s">
        <v>1778</v>
      </c>
      <c r="E109" s="1" t="s">
        <v>1779</v>
      </c>
      <c r="F109" s="1" t="s">
        <v>112</v>
      </c>
      <c r="G109" s="1">
        <v>941009</v>
      </c>
    </row>
    <row r="110" spans="1:7" x14ac:dyDescent="0.3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0" s="1" t="s">
        <v>1780</v>
      </c>
      <c r="D110" s="1" t="s">
        <v>1781</v>
      </c>
      <c r="E110" s="1" t="s">
        <v>1782</v>
      </c>
      <c r="F110" s="1" t="s">
        <v>112</v>
      </c>
      <c r="G110" s="1">
        <v>779260</v>
      </c>
    </row>
    <row r="111" spans="1:7" x14ac:dyDescent="0.3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1783</v>
      </c>
      <c r="D111" s="1" t="s">
        <v>1784</v>
      </c>
      <c r="E111" s="1" t="s">
        <v>1785</v>
      </c>
      <c r="F111" s="1" t="s">
        <v>112</v>
      </c>
      <c r="G111" s="1">
        <v>4241103</v>
      </c>
    </row>
    <row r="112" spans="1:7" x14ac:dyDescent="0.3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1786</v>
      </c>
      <c r="D112" s="1" t="s">
        <v>1787</v>
      </c>
      <c r="E112" s="1" t="s">
        <v>1788</v>
      </c>
      <c r="F112" s="1" t="s">
        <v>112</v>
      </c>
      <c r="G112" s="1">
        <v>4434604</v>
      </c>
    </row>
    <row r="113" spans="1:8" x14ac:dyDescent="0.3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 s="1" t="s">
        <v>1789</v>
      </c>
      <c r="D113" s="1" t="s">
        <v>1790</v>
      </c>
      <c r="E113" s="1" t="s">
        <v>1791</v>
      </c>
      <c r="F113" s="1" t="s">
        <v>112</v>
      </c>
      <c r="G113" s="1">
        <v>3977997</v>
      </c>
    </row>
    <row r="114" spans="1:8" x14ac:dyDescent="0.3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1792</v>
      </c>
      <c r="D114" s="1" t="s">
        <v>1793</v>
      </c>
      <c r="E114" s="1" t="s">
        <v>1794</v>
      </c>
      <c r="F114" s="1" t="s">
        <v>112</v>
      </c>
      <c r="G114" s="1">
        <v>2606792</v>
      </c>
    </row>
    <row r="115" spans="1:8" x14ac:dyDescent="0.3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1795</v>
      </c>
      <c r="D115" s="1" t="s">
        <v>1796</v>
      </c>
      <c r="E115" s="1" t="s">
        <v>1797</v>
      </c>
      <c r="F115" s="1" t="s">
        <v>112</v>
      </c>
      <c r="G115" s="1">
        <v>2963101</v>
      </c>
    </row>
    <row r="116" spans="1:8" x14ac:dyDescent="0.3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6" s="1" t="s">
        <v>1798</v>
      </c>
      <c r="D116" s="1" t="s">
        <v>1799</v>
      </c>
      <c r="E116" s="1" t="s">
        <v>1800</v>
      </c>
      <c r="F116" s="1" t="s">
        <v>112</v>
      </c>
      <c r="G116" s="1">
        <v>2923799</v>
      </c>
    </row>
    <row r="117" spans="1:8" x14ac:dyDescent="0.3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1801</v>
      </c>
      <c r="D117" s="1" t="s">
        <v>1802</v>
      </c>
      <c r="E117" s="1" t="s">
        <v>1803</v>
      </c>
      <c r="F117" s="1" t="s">
        <v>112</v>
      </c>
      <c r="G117" s="1">
        <v>4428159</v>
      </c>
    </row>
    <row r="118" spans="1:8" x14ac:dyDescent="0.3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1804</v>
      </c>
      <c r="D118" s="1" t="s">
        <v>428</v>
      </c>
      <c r="E118" s="1" t="s">
        <v>1805</v>
      </c>
      <c r="F118" s="1" t="s">
        <v>112</v>
      </c>
      <c r="G118" s="1">
        <v>4596266</v>
      </c>
    </row>
    <row r="119" spans="1:8" x14ac:dyDescent="0.3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9" s="1" t="s">
        <v>1806</v>
      </c>
      <c r="D119" s="1" t="s">
        <v>1807</v>
      </c>
      <c r="E119" s="1" t="s">
        <v>1808</v>
      </c>
      <c r="F119" s="1" t="s">
        <v>112</v>
      </c>
      <c r="G119" s="1">
        <v>3940945</v>
      </c>
    </row>
    <row r="120" spans="1:8" x14ac:dyDescent="0.3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1809</v>
      </c>
      <c r="D120" s="1" t="s">
        <v>1810</v>
      </c>
      <c r="E120" s="1" t="s">
        <v>1811</v>
      </c>
      <c r="F120" s="1" t="s">
        <v>112</v>
      </c>
      <c r="G120" s="1">
        <v>3162420</v>
      </c>
    </row>
    <row r="121" spans="1:8" x14ac:dyDescent="0.3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1812</v>
      </c>
      <c r="D121" s="1" t="s">
        <v>1813</v>
      </c>
      <c r="E121" s="1" t="s">
        <v>1814</v>
      </c>
      <c r="F121" s="1" t="s">
        <v>112</v>
      </c>
      <c r="G121" s="1">
        <v>2768453</v>
      </c>
    </row>
    <row r="122" spans="1:8" x14ac:dyDescent="0.3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2" s="1" t="s">
        <v>1815</v>
      </c>
      <c r="D122" s="1" t="s">
        <v>917</v>
      </c>
      <c r="E122" s="1" t="s">
        <v>1816</v>
      </c>
      <c r="F122" s="1" t="s">
        <v>112</v>
      </c>
      <c r="G122" s="1">
        <v>3385014</v>
      </c>
    </row>
    <row r="123" spans="1:8" x14ac:dyDescent="0.3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1817</v>
      </c>
      <c r="D123" s="1" t="s">
        <v>1818</v>
      </c>
      <c r="E123" s="1" t="s">
        <v>1819</v>
      </c>
      <c r="F123" s="1" t="s">
        <v>112</v>
      </c>
      <c r="G123" s="1">
        <v>2828563</v>
      </c>
    </row>
    <row r="124" spans="1:8" x14ac:dyDescent="0.3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1820</v>
      </c>
      <c r="D124" s="1" t="s">
        <v>1821</v>
      </c>
      <c r="E124" s="1" t="s">
        <v>1822</v>
      </c>
      <c r="F124" s="1" t="s">
        <v>112</v>
      </c>
      <c r="G124" s="1">
        <v>2939157</v>
      </c>
    </row>
    <row r="125" spans="1:8" x14ac:dyDescent="0.35">
      <c r="A125" s="1" t="str">
        <f t="shared" si="1"/>
        <v>15</v>
      </c>
      <c r="B1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5" s="1" t="s">
        <v>1823</v>
      </c>
      <c r="D125" s="1" t="s">
        <v>1824</v>
      </c>
      <c r="E125" s="1" t="s">
        <v>1825</v>
      </c>
      <c r="F125" s="1" t="s">
        <v>112</v>
      </c>
      <c r="G125" s="1">
        <v>2578759</v>
      </c>
    </row>
    <row r="126" spans="1:8"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112</v>
      </c>
    </row>
    <row r="127" spans="1:8"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7" s="1" t="s">
        <v>233</v>
      </c>
      <c r="D127" s="1" t="s">
        <v>112</v>
      </c>
      <c r="E127" s="1" t="s">
        <v>234</v>
      </c>
      <c r="F127" s="1" t="s">
        <v>235</v>
      </c>
      <c r="G127" s="1" t="s">
        <v>236</v>
      </c>
      <c r="H127" s="1" t="s">
        <v>1623</v>
      </c>
    </row>
    <row r="128" spans="1:8" x14ac:dyDescent="0.35">
      <c r="A128" s="1" t="str">
        <f t="shared" si="1"/>
        <v>15</v>
      </c>
      <c r="B1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8" s="1" t="s">
        <v>1826</v>
      </c>
      <c r="D128" s="1" t="s">
        <v>112</v>
      </c>
      <c r="E128" s="1" t="s">
        <v>1827</v>
      </c>
      <c r="F128" s="1" t="s">
        <v>1828</v>
      </c>
      <c r="G128" s="1" t="s">
        <v>1829</v>
      </c>
      <c r="H128" s="1" t="s">
        <v>1830</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112</v>
      </c>
    </row>
    <row r="134" spans="1:7"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4" s="1" t="s">
        <v>166</v>
      </c>
      <c r="D134" s="1" t="s">
        <v>110</v>
      </c>
      <c r="E134" s="1" t="s">
        <v>111</v>
      </c>
      <c r="F134" s="1" t="s">
        <v>112</v>
      </c>
      <c r="G134" s="1" t="s">
        <v>113</v>
      </c>
    </row>
    <row r="135" spans="1:7" x14ac:dyDescent="0.3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1831</v>
      </c>
    </row>
    <row r="136" spans="1:7" x14ac:dyDescent="0.3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1832</v>
      </c>
    </row>
    <row r="137" spans="1:7" x14ac:dyDescent="0.3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 s="1" t="s">
        <v>1833</v>
      </c>
    </row>
    <row r="138" spans="1:7" x14ac:dyDescent="0.3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1834</v>
      </c>
      <c r="D138" s="1" t="s">
        <v>480</v>
      </c>
      <c r="E138" s="1" t="s">
        <v>1835</v>
      </c>
      <c r="F138" s="1" t="s">
        <v>112</v>
      </c>
      <c r="G138" s="1">
        <v>17931</v>
      </c>
    </row>
    <row r="139" spans="1:7" x14ac:dyDescent="0.3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1836</v>
      </c>
      <c r="D139" s="1">
        <v>0</v>
      </c>
      <c r="E139" s="1">
        <v>0</v>
      </c>
      <c r="F139" s="1" t="s">
        <v>112</v>
      </c>
      <c r="G139" s="1">
        <v>0</v>
      </c>
    </row>
    <row r="140" spans="1:7" x14ac:dyDescent="0.3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0" s="1" t="s">
        <v>1837</v>
      </c>
      <c r="D140" s="1" t="s">
        <v>471</v>
      </c>
      <c r="E140" s="1" t="s">
        <v>1838</v>
      </c>
      <c r="F140" s="1" t="s">
        <v>112</v>
      </c>
      <c r="G140" s="1">
        <v>158936</v>
      </c>
    </row>
    <row r="141" spans="1:7" x14ac:dyDescent="0.3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1839</v>
      </c>
      <c r="D141" s="1" t="s">
        <v>507</v>
      </c>
      <c r="E141" s="1" t="s">
        <v>1840</v>
      </c>
      <c r="F141" s="1" t="s">
        <v>112</v>
      </c>
      <c r="G141" s="1">
        <v>160602</v>
      </c>
    </row>
    <row r="142" spans="1:7" x14ac:dyDescent="0.3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1841</v>
      </c>
      <c r="D142" s="1" t="s">
        <v>723</v>
      </c>
      <c r="E142" s="1" t="s">
        <v>1842</v>
      </c>
      <c r="F142" s="1" t="s">
        <v>112</v>
      </c>
      <c r="G142" s="1">
        <v>66382</v>
      </c>
    </row>
    <row r="143" spans="1:7" x14ac:dyDescent="0.3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3" s="1" t="s">
        <v>1843</v>
      </c>
      <c r="D143" s="1" t="s">
        <v>1358</v>
      </c>
      <c r="E143" s="1" t="s">
        <v>1844</v>
      </c>
      <c r="F143" s="1" t="s">
        <v>112</v>
      </c>
      <c r="G143" s="1">
        <v>201309</v>
      </c>
    </row>
    <row r="144" spans="1:7" x14ac:dyDescent="0.3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1845</v>
      </c>
      <c r="D144" s="1" t="s">
        <v>1186</v>
      </c>
      <c r="E144" s="1" t="s">
        <v>1846</v>
      </c>
      <c r="F144" s="1" t="s">
        <v>112</v>
      </c>
      <c r="G144" s="1">
        <v>303857</v>
      </c>
    </row>
    <row r="145" spans="1:8" x14ac:dyDescent="0.3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1847</v>
      </c>
      <c r="D145" s="1" t="s">
        <v>1572</v>
      </c>
      <c r="E145" s="1" t="s">
        <v>1848</v>
      </c>
      <c r="F145" s="1" t="s">
        <v>112</v>
      </c>
      <c r="G145" s="1">
        <v>384926</v>
      </c>
    </row>
    <row r="146" spans="1:8" x14ac:dyDescent="0.3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 s="1" t="s">
        <v>1849</v>
      </c>
      <c r="D146" s="1" t="s">
        <v>174</v>
      </c>
      <c r="E146" s="1" t="s">
        <v>1850</v>
      </c>
      <c r="F146" s="1" t="s">
        <v>112</v>
      </c>
      <c r="G146" s="1">
        <v>269444</v>
      </c>
    </row>
    <row r="147" spans="1:8" x14ac:dyDescent="0.3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1851</v>
      </c>
      <c r="D147" s="1" t="s">
        <v>483</v>
      </c>
      <c r="E147" s="1" t="s">
        <v>1852</v>
      </c>
      <c r="F147" s="1" t="s">
        <v>112</v>
      </c>
      <c r="G147" s="1">
        <v>145850</v>
      </c>
    </row>
    <row r="148" spans="1:8" x14ac:dyDescent="0.3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1853</v>
      </c>
      <c r="D148" s="1" t="s">
        <v>960</v>
      </c>
      <c r="E148" s="1">
        <v>33</v>
      </c>
      <c r="F148" s="1" t="s">
        <v>112</v>
      </c>
      <c r="G148" s="1">
        <v>36403</v>
      </c>
    </row>
    <row r="149" spans="1:8" x14ac:dyDescent="0.3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9" s="1" t="s">
        <v>1854</v>
      </c>
      <c r="D149" s="1" t="s">
        <v>1855</v>
      </c>
      <c r="E149" s="1" t="s">
        <v>1856</v>
      </c>
      <c r="F149" s="1" t="s">
        <v>112</v>
      </c>
      <c r="G149" s="1">
        <v>38415</v>
      </c>
    </row>
    <row r="150" spans="1:8" x14ac:dyDescent="0.3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1857</v>
      </c>
      <c r="D150" s="1" t="s">
        <v>1858</v>
      </c>
      <c r="E150" s="1" t="s">
        <v>1859</v>
      </c>
      <c r="F150" s="1" t="s">
        <v>112</v>
      </c>
      <c r="G150" s="1">
        <v>475685</v>
      </c>
    </row>
    <row r="151" spans="1:8" x14ac:dyDescent="0.3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1860</v>
      </c>
      <c r="D151" s="1" t="s">
        <v>706</v>
      </c>
      <c r="E151" s="1" t="s">
        <v>1861</v>
      </c>
      <c r="F151" s="1" t="s">
        <v>112</v>
      </c>
      <c r="G151" s="1">
        <v>489182</v>
      </c>
    </row>
    <row r="152" spans="1:8" x14ac:dyDescent="0.3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2" s="1" t="s">
        <v>1862</v>
      </c>
      <c r="D152" s="1" t="s">
        <v>1863</v>
      </c>
      <c r="E152" s="1" t="s">
        <v>1864</v>
      </c>
      <c r="F152" s="1" t="s">
        <v>112</v>
      </c>
      <c r="G152" s="1">
        <v>275370</v>
      </c>
    </row>
    <row r="153" spans="1:8" x14ac:dyDescent="0.3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1865</v>
      </c>
      <c r="D153" s="1" t="s">
        <v>1866</v>
      </c>
      <c r="E153" s="1" t="s">
        <v>1867</v>
      </c>
      <c r="F153" s="1" t="s">
        <v>112</v>
      </c>
      <c r="G153" s="1">
        <v>179982</v>
      </c>
    </row>
    <row r="154" spans="1:8" x14ac:dyDescent="0.3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1868</v>
      </c>
      <c r="D154" s="1" t="s">
        <v>981</v>
      </c>
      <c r="E154" s="1" t="s">
        <v>1869</v>
      </c>
      <c r="F154" s="1" t="s">
        <v>112</v>
      </c>
      <c r="G154" s="1">
        <v>176002</v>
      </c>
    </row>
    <row r="155" spans="1:8" x14ac:dyDescent="0.3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5" s="1" t="s">
        <v>1870</v>
      </c>
      <c r="D155" s="1" t="s">
        <v>1871</v>
      </c>
      <c r="E155" s="1" t="s">
        <v>1872</v>
      </c>
      <c r="F155" s="1" t="s">
        <v>112</v>
      </c>
      <c r="G155" s="1">
        <v>43065</v>
      </c>
    </row>
    <row r="156" spans="1:8" x14ac:dyDescent="0.3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1873</v>
      </c>
      <c r="D156" s="1" t="s">
        <v>1452</v>
      </c>
      <c r="E156" s="1" t="s">
        <v>1874</v>
      </c>
      <c r="F156" s="1" t="s">
        <v>112</v>
      </c>
      <c r="G156" s="1">
        <v>85049</v>
      </c>
    </row>
    <row r="157" spans="1:8" x14ac:dyDescent="0.3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1875</v>
      </c>
      <c r="D157" s="1">
        <v>0</v>
      </c>
      <c r="E157" s="1">
        <v>0</v>
      </c>
      <c r="F157" s="1" t="s">
        <v>112</v>
      </c>
      <c r="G157" s="1">
        <v>0</v>
      </c>
    </row>
    <row r="158" spans="1:8" x14ac:dyDescent="0.35">
      <c r="A158" s="1" t="str">
        <f t="shared" si="2"/>
        <v>16</v>
      </c>
      <c r="B1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8" s="1" t="s">
        <v>1876</v>
      </c>
      <c r="D158" s="1" t="s">
        <v>949</v>
      </c>
      <c r="E158" s="1" t="s">
        <v>1877</v>
      </c>
      <c r="F158" s="1" t="s">
        <v>112</v>
      </c>
      <c r="G158" s="1">
        <v>137955</v>
      </c>
    </row>
    <row r="159" spans="1:8"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112</v>
      </c>
    </row>
    <row r="160" spans="1:8"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0" s="1" t="s">
        <v>233</v>
      </c>
      <c r="D160" s="1" t="s">
        <v>112</v>
      </c>
      <c r="E160" s="1" t="s">
        <v>234</v>
      </c>
      <c r="F160" s="1" t="s">
        <v>235</v>
      </c>
      <c r="G160" s="1" t="s">
        <v>236</v>
      </c>
      <c r="H160" s="1" t="s">
        <v>1623</v>
      </c>
    </row>
    <row r="161" spans="1:8" x14ac:dyDescent="0.35">
      <c r="A161" s="1" t="str">
        <f t="shared" si="2"/>
        <v>16</v>
      </c>
      <c r="B1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1" s="1" t="s">
        <v>1878</v>
      </c>
      <c r="D161" s="1" t="s">
        <v>112</v>
      </c>
      <c r="E161" s="1" t="s">
        <v>1879</v>
      </c>
      <c r="F161" s="1" t="s">
        <v>1880</v>
      </c>
      <c r="G161" s="1" t="s">
        <v>1881</v>
      </c>
      <c r="H161" s="1" t="s">
        <v>1882</v>
      </c>
    </row>
    <row r="162" spans="1:8"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8"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8"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8"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8"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112</v>
      </c>
    </row>
    <row r="167" spans="1:8"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7" s="1" t="s">
        <v>166</v>
      </c>
      <c r="D167" s="1" t="s">
        <v>110</v>
      </c>
      <c r="E167" s="1" t="s">
        <v>111</v>
      </c>
      <c r="F167" s="1" t="s">
        <v>112</v>
      </c>
      <c r="G167" s="1" t="s">
        <v>113</v>
      </c>
    </row>
    <row r="168" spans="1:8" x14ac:dyDescent="0.3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1883</v>
      </c>
    </row>
    <row r="169" spans="1:8" x14ac:dyDescent="0.3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1884</v>
      </c>
    </row>
    <row r="170" spans="1:8" x14ac:dyDescent="0.3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70" s="1" t="s">
        <v>1885</v>
      </c>
    </row>
    <row r="171" spans="1:8" x14ac:dyDescent="0.3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1886</v>
      </c>
      <c r="D171" s="1" t="s">
        <v>177</v>
      </c>
      <c r="E171" s="1" t="s">
        <v>1887</v>
      </c>
      <c r="F171" s="1" t="s">
        <v>112</v>
      </c>
      <c r="G171" s="1">
        <v>3288</v>
      </c>
    </row>
    <row r="172" spans="1:8" x14ac:dyDescent="0.3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1888</v>
      </c>
      <c r="D172" s="1" t="s">
        <v>653</v>
      </c>
      <c r="E172" s="1">
        <v>33</v>
      </c>
      <c r="F172" s="1" t="s">
        <v>112</v>
      </c>
      <c r="G172" s="1">
        <v>75661</v>
      </c>
    </row>
    <row r="173" spans="1:8" x14ac:dyDescent="0.3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3" s="1" t="s">
        <v>1889</v>
      </c>
      <c r="D173" s="1" t="s">
        <v>1890</v>
      </c>
      <c r="E173" s="1" t="s">
        <v>1891</v>
      </c>
      <c r="F173" s="1" t="s">
        <v>112</v>
      </c>
      <c r="G173" s="1">
        <v>116304</v>
      </c>
    </row>
    <row r="174" spans="1:8" x14ac:dyDescent="0.3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1892</v>
      </c>
    </row>
    <row r="175" spans="1:8" x14ac:dyDescent="0.3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1893</v>
      </c>
      <c r="D175" s="1" t="s">
        <v>1894</v>
      </c>
      <c r="E175" s="1" t="s">
        <v>1895</v>
      </c>
      <c r="F175" s="1" t="s">
        <v>112</v>
      </c>
      <c r="G175" s="1">
        <v>443608</v>
      </c>
    </row>
    <row r="176" spans="1:8" x14ac:dyDescent="0.3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6" s="1" t="s">
        <v>1896</v>
      </c>
      <c r="D176" s="1" t="s">
        <v>1480</v>
      </c>
      <c r="E176" s="1" t="s">
        <v>1897</v>
      </c>
      <c r="F176" s="1" t="s">
        <v>112</v>
      </c>
      <c r="G176" s="1">
        <v>116001</v>
      </c>
    </row>
    <row r="177" spans="1:7" x14ac:dyDescent="0.3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1898</v>
      </c>
      <c r="D177" s="1" t="s">
        <v>1411</v>
      </c>
      <c r="E177" s="1" t="s">
        <v>1899</v>
      </c>
      <c r="F177" s="1" t="s">
        <v>112</v>
      </c>
      <c r="G177" s="1">
        <v>15163</v>
      </c>
    </row>
    <row r="178" spans="1:7" x14ac:dyDescent="0.3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1900</v>
      </c>
      <c r="D178" s="1" t="s">
        <v>1901</v>
      </c>
      <c r="E178" s="1" t="s">
        <v>1902</v>
      </c>
      <c r="F178" s="1" t="s">
        <v>112</v>
      </c>
      <c r="G178" s="1">
        <v>17931</v>
      </c>
    </row>
    <row r="179" spans="1:7" x14ac:dyDescent="0.3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9" s="1" t="s">
        <v>1903</v>
      </c>
      <c r="D179" s="1" t="s">
        <v>1113</v>
      </c>
      <c r="E179" s="1" t="s">
        <v>1904</v>
      </c>
      <c r="F179" s="1" t="s">
        <v>112</v>
      </c>
      <c r="G179" s="1">
        <v>6143</v>
      </c>
    </row>
    <row r="180" spans="1:7" x14ac:dyDescent="0.3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1905</v>
      </c>
      <c r="D180" s="1" t="s">
        <v>1906</v>
      </c>
      <c r="E180" s="1" t="s">
        <v>1907</v>
      </c>
      <c r="F180" s="1" t="s">
        <v>112</v>
      </c>
      <c r="G180" s="1">
        <v>25393</v>
      </c>
    </row>
    <row r="181" spans="1:7" x14ac:dyDescent="0.3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1908</v>
      </c>
      <c r="D181" s="1" t="s">
        <v>653</v>
      </c>
      <c r="E181" s="1" t="s">
        <v>1909</v>
      </c>
      <c r="F181" s="1" t="s">
        <v>112</v>
      </c>
      <c r="G181" s="1">
        <v>80550</v>
      </c>
    </row>
    <row r="182" spans="1:7" x14ac:dyDescent="0.3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2" s="1" t="s">
        <v>1910</v>
      </c>
      <c r="D182" s="1" t="s">
        <v>1911</v>
      </c>
      <c r="E182" s="1" t="s">
        <v>1912</v>
      </c>
      <c r="F182" s="1" t="s">
        <v>112</v>
      </c>
      <c r="G182" s="1">
        <v>55935</v>
      </c>
    </row>
    <row r="183" spans="1:7" x14ac:dyDescent="0.3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1913</v>
      </c>
      <c r="D183" s="1" t="s">
        <v>1914</v>
      </c>
      <c r="E183" s="1" t="s">
        <v>1915</v>
      </c>
      <c r="F183" s="1" t="s">
        <v>112</v>
      </c>
      <c r="G183" s="1">
        <v>711991</v>
      </c>
    </row>
    <row r="184" spans="1:7" x14ac:dyDescent="0.3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1916</v>
      </c>
      <c r="D184" s="1" t="s">
        <v>1917</v>
      </c>
      <c r="E184" s="1" t="s">
        <v>1918</v>
      </c>
      <c r="F184" s="1" t="s">
        <v>112</v>
      </c>
      <c r="G184" s="1">
        <v>584418</v>
      </c>
    </row>
    <row r="185" spans="1:7" x14ac:dyDescent="0.3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5" s="1" t="s">
        <v>1919</v>
      </c>
      <c r="D185" s="1" t="s">
        <v>1920</v>
      </c>
      <c r="E185" s="1" t="s">
        <v>1921</v>
      </c>
      <c r="F185" s="1" t="s">
        <v>112</v>
      </c>
      <c r="G185" s="1">
        <v>378177</v>
      </c>
    </row>
    <row r="186" spans="1:7" x14ac:dyDescent="0.3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1922</v>
      </c>
      <c r="D186" s="1" t="s">
        <v>1923</v>
      </c>
      <c r="E186" s="1" t="s">
        <v>1924</v>
      </c>
      <c r="F186" s="1" t="s">
        <v>112</v>
      </c>
      <c r="G186" s="1">
        <v>231678</v>
      </c>
    </row>
    <row r="187" spans="1:7" x14ac:dyDescent="0.3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1925</v>
      </c>
      <c r="D187" s="1" t="s">
        <v>177</v>
      </c>
      <c r="E187" s="1">
        <v>31</v>
      </c>
      <c r="F187" s="1" t="s">
        <v>112</v>
      </c>
      <c r="G187" s="1">
        <v>3353</v>
      </c>
    </row>
    <row r="188" spans="1:7" x14ac:dyDescent="0.3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8" s="1" t="s">
        <v>1926</v>
      </c>
      <c r="D188" s="1" t="s">
        <v>1927</v>
      </c>
      <c r="E188" s="1" t="s">
        <v>1928</v>
      </c>
      <c r="F188" s="1" t="s">
        <v>112</v>
      </c>
      <c r="G188" s="1">
        <v>552319</v>
      </c>
    </row>
    <row r="189" spans="1:7" x14ac:dyDescent="0.3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1929</v>
      </c>
      <c r="D189" s="1" t="s">
        <v>1930</v>
      </c>
      <c r="E189" s="1" t="s">
        <v>1931</v>
      </c>
      <c r="F189" s="1" t="s">
        <v>112</v>
      </c>
      <c r="G189" s="1">
        <v>65668</v>
      </c>
    </row>
    <row r="190" spans="1:7" x14ac:dyDescent="0.3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1932</v>
      </c>
      <c r="D190" s="1" t="s">
        <v>1933</v>
      </c>
      <c r="E190" s="1" t="s">
        <v>1934</v>
      </c>
      <c r="F190" s="1" t="s">
        <v>112</v>
      </c>
      <c r="G190" s="1">
        <v>143514</v>
      </c>
    </row>
    <row r="191" spans="1:7" x14ac:dyDescent="0.35">
      <c r="A191" s="1" t="str">
        <f t="shared" si="2"/>
        <v>2</v>
      </c>
      <c r="B1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1" s="1" t="s">
        <v>1935</v>
      </c>
      <c r="D191" s="1" t="s">
        <v>522</v>
      </c>
      <c r="E191" s="1" t="s">
        <v>1936</v>
      </c>
      <c r="F191" s="1" t="s">
        <v>112</v>
      </c>
      <c r="G191" s="1">
        <v>30563</v>
      </c>
    </row>
    <row r="192" spans="1:7"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112</v>
      </c>
    </row>
    <row r="193" spans="1:8"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3" s="1" t="s">
        <v>233</v>
      </c>
      <c r="D193" s="1" t="s">
        <v>112</v>
      </c>
      <c r="E193" s="1" t="s">
        <v>234</v>
      </c>
      <c r="F193" s="1" t="s">
        <v>235</v>
      </c>
      <c r="G193" s="1" t="s">
        <v>236</v>
      </c>
      <c r="H193" s="1" t="s">
        <v>1623</v>
      </c>
    </row>
    <row r="194" spans="1:8" x14ac:dyDescent="0.35">
      <c r="A194" s="1" t="str">
        <f t="shared" ref="A194:A257" si="3">IFERROR(LEFT(RIGHT(C194,LEN(C194)-SEARCH("@",C194)),SEARCH("/",RIGHT(C194,LEN(C194)-SEARCH("@",C194)-1))),"")</f>
        <v>2</v>
      </c>
      <c r="B1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4" s="1" t="s">
        <v>1937</v>
      </c>
      <c r="D194" s="1" t="s">
        <v>112</v>
      </c>
      <c r="E194" s="1" t="s">
        <v>1938</v>
      </c>
      <c r="F194" s="1" t="s">
        <v>1939</v>
      </c>
      <c r="G194" s="1" t="s">
        <v>1940</v>
      </c>
      <c r="H194" s="1" t="s">
        <v>1941</v>
      </c>
    </row>
    <row r="195" spans="1:8"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8"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8"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8"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8"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112</v>
      </c>
    </row>
    <row r="200" spans="1:8"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0" s="1" t="s">
        <v>166</v>
      </c>
      <c r="D200" s="1" t="s">
        <v>110</v>
      </c>
      <c r="E200" s="1" t="s">
        <v>111</v>
      </c>
      <c r="F200" s="1" t="s">
        <v>112</v>
      </c>
      <c r="G200" s="1" t="s">
        <v>113</v>
      </c>
    </row>
    <row r="201" spans="1:8" x14ac:dyDescent="0.3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1942</v>
      </c>
      <c r="D201" s="1" t="s">
        <v>168</v>
      </c>
      <c r="E201" s="1" t="s">
        <v>1943</v>
      </c>
      <c r="F201" s="1" t="s">
        <v>112</v>
      </c>
      <c r="G201" s="1">
        <v>48408</v>
      </c>
    </row>
    <row r="202" spans="1:8" x14ac:dyDescent="0.3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1944</v>
      </c>
      <c r="D202" s="1" t="s">
        <v>1930</v>
      </c>
      <c r="E202" s="1" t="s">
        <v>1945</v>
      </c>
      <c r="F202" s="1" t="s">
        <v>112</v>
      </c>
      <c r="G202" s="1">
        <v>63787</v>
      </c>
    </row>
    <row r="203" spans="1:8" x14ac:dyDescent="0.3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3" s="1" t="s">
        <v>1946</v>
      </c>
      <c r="D203" s="1" t="s">
        <v>1947</v>
      </c>
      <c r="E203" s="1" t="s">
        <v>1948</v>
      </c>
      <c r="F203" s="1" t="s">
        <v>112</v>
      </c>
      <c r="G203" s="1">
        <v>10815</v>
      </c>
    </row>
    <row r="204" spans="1:8" x14ac:dyDescent="0.3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1949</v>
      </c>
      <c r="D204" s="1" t="s">
        <v>628</v>
      </c>
      <c r="E204" s="1" t="s">
        <v>1950</v>
      </c>
      <c r="F204" s="1" t="s">
        <v>112</v>
      </c>
      <c r="G204" s="1">
        <v>163371</v>
      </c>
    </row>
    <row r="205" spans="1:8" x14ac:dyDescent="0.3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1951</v>
      </c>
      <c r="D205" s="1" t="s">
        <v>1098</v>
      </c>
      <c r="E205" s="1" t="s">
        <v>1952</v>
      </c>
      <c r="F205" s="1" t="s">
        <v>112</v>
      </c>
      <c r="G205" s="1">
        <v>8847</v>
      </c>
    </row>
    <row r="206" spans="1:8" x14ac:dyDescent="0.3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6" s="1" t="s">
        <v>1953</v>
      </c>
      <c r="D206" s="1" t="s">
        <v>1046</v>
      </c>
      <c r="E206" s="1">
        <v>30</v>
      </c>
      <c r="F206" s="1" t="s">
        <v>112</v>
      </c>
      <c r="G206" s="1">
        <v>1298</v>
      </c>
    </row>
    <row r="207" spans="1:8" x14ac:dyDescent="0.3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1954</v>
      </c>
      <c r="D207" s="1" t="s">
        <v>558</v>
      </c>
      <c r="E207" s="1" t="s">
        <v>1955</v>
      </c>
      <c r="F207" s="1" t="s">
        <v>112</v>
      </c>
      <c r="G207" s="1">
        <v>67009</v>
      </c>
    </row>
    <row r="208" spans="1:8" x14ac:dyDescent="0.3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1956</v>
      </c>
      <c r="D208" s="1" t="s">
        <v>1957</v>
      </c>
      <c r="E208" s="1" t="s">
        <v>1958</v>
      </c>
      <c r="F208" s="1" t="s">
        <v>112</v>
      </c>
      <c r="G208" s="1">
        <v>459981</v>
      </c>
    </row>
    <row r="209" spans="1:7" x14ac:dyDescent="0.3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9" s="1" t="s">
        <v>1959</v>
      </c>
      <c r="D209" s="1" t="s">
        <v>1328</v>
      </c>
      <c r="E209" s="1" t="s">
        <v>1960</v>
      </c>
      <c r="F209" s="1" t="s">
        <v>112</v>
      </c>
      <c r="G209" s="1">
        <v>125064</v>
      </c>
    </row>
    <row r="210" spans="1:7" x14ac:dyDescent="0.3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1961</v>
      </c>
      <c r="D210" s="1" t="s">
        <v>1962</v>
      </c>
      <c r="E210" s="1" t="s">
        <v>1963</v>
      </c>
      <c r="F210" s="1" t="s">
        <v>112</v>
      </c>
      <c r="G210" s="1">
        <v>222052</v>
      </c>
    </row>
    <row r="211" spans="1:7" x14ac:dyDescent="0.3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1964</v>
      </c>
      <c r="D211" s="1" t="s">
        <v>949</v>
      </c>
      <c r="E211" s="1" t="s">
        <v>1965</v>
      </c>
      <c r="F211" s="1" t="s">
        <v>112</v>
      </c>
      <c r="G211" s="1">
        <v>118186</v>
      </c>
    </row>
    <row r="212" spans="1:7" x14ac:dyDescent="0.3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2" s="1" t="s">
        <v>1966</v>
      </c>
      <c r="D212" s="1" t="s">
        <v>1967</v>
      </c>
      <c r="E212" s="1" t="s">
        <v>1968</v>
      </c>
      <c r="F212" s="1" t="s">
        <v>112</v>
      </c>
      <c r="G212" s="1">
        <v>295486</v>
      </c>
    </row>
    <row r="213" spans="1:7" x14ac:dyDescent="0.3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1969</v>
      </c>
      <c r="D213" s="1" t="s">
        <v>1970</v>
      </c>
      <c r="E213" s="1" t="s">
        <v>1971</v>
      </c>
      <c r="F213" s="1" t="s">
        <v>112</v>
      </c>
      <c r="G213" s="1">
        <v>65344</v>
      </c>
    </row>
    <row r="214" spans="1:7" x14ac:dyDescent="0.3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1972</v>
      </c>
      <c r="D214" s="1" t="s">
        <v>1973</v>
      </c>
      <c r="E214" s="1" t="s">
        <v>1974</v>
      </c>
      <c r="F214" s="1" t="s">
        <v>112</v>
      </c>
      <c r="G214" s="1">
        <v>114574</v>
      </c>
    </row>
    <row r="215" spans="1:7" x14ac:dyDescent="0.3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5" s="1" t="s">
        <v>1975</v>
      </c>
      <c r="D215" s="1" t="s">
        <v>726</v>
      </c>
      <c r="E215" s="1" t="s">
        <v>1976</v>
      </c>
      <c r="F215" s="1" t="s">
        <v>112</v>
      </c>
      <c r="G215" s="1">
        <v>121106</v>
      </c>
    </row>
    <row r="216" spans="1:7" x14ac:dyDescent="0.3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1977</v>
      </c>
      <c r="D216" s="1" t="s">
        <v>1020</v>
      </c>
      <c r="E216" s="1" t="s">
        <v>1978</v>
      </c>
      <c r="F216" s="1" t="s">
        <v>112</v>
      </c>
      <c r="G216" s="1">
        <v>258218</v>
      </c>
    </row>
    <row r="217" spans="1:7" x14ac:dyDescent="0.3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1979</v>
      </c>
      <c r="D217" s="1" t="s">
        <v>1980</v>
      </c>
      <c r="E217" s="1" t="s">
        <v>1981</v>
      </c>
      <c r="F217" s="1" t="s">
        <v>112</v>
      </c>
      <c r="G217" s="1">
        <v>166550</v>
      </c>
    </row>
    <row r="218" spans="1:7" x14ac:dyDescent="0.3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8" s="1" t="s">
        <v>1982</v>
      </c>
      <c r="D218" s="1" t="s">
        <v>590</v>
      </c>
      <c r="E218" s="1" t="s">
        <v>1983</v>
      </c>
      <c r="F218" s="1" t="s">
        <v>112</v>
      </c>
      <c r="G218" s="1">
        <v>91624</v>
      </c>
    </row>
    <row r="219" spans="1:7" x14ac:dyDescent="0.3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1984</v>
      </c>
      <c r="D219" s="1" t="s">
        <v>1985</v>
      </c>
      <c r="E219" s="1" t="s">
        <v>1986</v>
      </c>
      <c r="F219" s="1" t="s">
        <v>112</v>
      </c>
      <c r="G219" s="1">
        <v>218635</v>
      </c>
    </row>
    <row r="220" spans="1:7" x14ac:dyDescent="0.3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1987</v>
      </c>
      <c r="D220" s="1" t="s">
        <v>703</v>
      </c>
      <c r="E220" s="1" t="s">
        <v>1988</v>
      </c>
      <c r="F220" s="1" t="s">
        <v>112</v>
      </c>
      <c r="G220" s="1">
        <v>325465</v>
      </c>
    </row>
    <row r="221" spans="1:7" x14ac:dyDescent="0.3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1" s="1" t="s">
        <v>1989</v>
      </c>
      <c r="D221" s="1" t="s">
        <v>1990</v>
      </c>
      <c r="E221" s="1" t="s">
        <v>1991</v>
      </c>
      <c r="F221" s="1" t="s">
        <v>112</v>
      </c>
      <c r="G221" s="1">
        <v>337967</v>
      </c>
    </row>
    <row r="222" spans="1:7" x14ac:dyDescent="0.3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1992</v>
      </c>
      <c r="D222" s="1" t="s">
        <v>1993</v>
      </c>
      <c r="E222" s="1" t="s">
        <v>1994</v>
      </c>
      <c r="F222" s="1" t="s">
        <v>112</v>
      </c>
      <c r="G222" s="1">
        <v>518923</v>
      </c>
    </row>
    <row r="223" spans="1:7" x14ac:dyDescent="0.3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1995</v>
      </c>
      <c r="D223" s="1" t="s">
        <v>1996</v>
      </c>
      <c r="E223" s="1" t="s">
        <v>1997</v>
      </c>
      <c r="F223" s="1" t="s">
        <v>112</v>
      </c>
      <c r="G223" s="1">
        <v>433982</v>
      </c>
    </row>
    <row r="224" spans="1:7" x14ac:dyDescent="0.35">
      <c r="A224" s="1" t="str">
        <f t="shared" si="3"/>
        <v>3</v>
      </c>
      <c r="B2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4" s="1" t="s">
        <v>1998</v>
      </c>
      <c r="D224" s="1" t="s">
        <v>1759</v>
      </c>
      <c r="E224" s="1" t="s">
        <v>1999</v>
      </c>
      <c r="F224" s="1" t="s">
        <v>112</v>
      </c>
      <c r="G224" s="1">
        <v>506464</v>
      </c>
    </row>
    <row r="225" spans="1:8"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112</v>
      </c>
    </row>
    <row r="226" spans="1:8"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6" s="1" t="s">
        <v>233</v>
      </c>
      <c r="D226" s="1" t="s">
        <v>112</v>
      </c>
      <c r="E226" s="1" t="s">
        <v>234</v>
      </c>
      <c r="F226" s="1" t="s">
        <v>235</v>
      </c>
      <c r="G226" s="1" t="s">
        <v>236</v>
      </c>
      <c r="H226" s="1" t="s">
        <v>1623</v>
      </c>
    </row>
    <row r="227" spans="1:8" x14ac:dyDescent="0.35">
      <c r="A227" s="1" t="str">
        <f t="shared" si="3"/>
        <v>3</v>
      </c>
      <c r="B2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7" s="1" t="s">
        <v>2000</v>
      </c>
      <c r="D227" s="1" t="s">
        <v>112</v>
      </c>
      <c r="E227" s="1" t="s">
        <v>2001</v>
      </c>
      <c r="F227" s="1" t="s">
        <v>2002</v>
      </c>
      <c r="G227" s="1" t="s">
        <v>2003</v>
      </c>
      <c r="H227" s="1" t="s">
        <v>2004</v>
      </c>
    </row>
    <row r="228" spans="1:8"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8"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8"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8"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8"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112</v>
      </c>
    </row>
    <row r="233" spans="1:8"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3" s="1" t="s">
        <v>166</v>
      </c>
      <c r="D233" s="1" t="s">
        <v>110</v>
      </c>
      <c r="E233" s="1" t="s">
        <v>111</v>
      </c>
      <c r="F233" s="1" t="s">
        <v>112</v>
      </c>
      <c r="G233" s="1" t="s">
        <v>113</v>
      </c>
    </row>
    <row r="234" spans="1:8" x14ac:dyDescent="0.3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2005</v>
      </c>
      <c r="D234" s="1" t="s">
        <v>2006</v>
      </c>
      <c r="E234" s="1" t="s">
        <v>2007</v>
      </c>
      <c r="F234" s="1" t="s">
        <v>112</v>
      </c>
      <c r="G234" s="1">
        <v>1692691</v>
      </c>
    </row>
    <row r="235" spans="1:8" x14ac:dyDescent="0.3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2008</v>
      </c>
      <c r="D235" s="1" t="s">
        <v>2009</v>
      </c>
      <c r="E235" s="1" t="s">
        <v>2010</v>
      </c>
      <c r="F235" s="1" t="s">
        <v>112</v>
      </c>
      <c r="G235" s="1">
        <v>2126305</v>
      </c>
    </row>
    <row r="236" spans="1:8" x14ac:dyDescent="0.3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6" s="1" t="s">
        <v>2011</v>
      </c>
      <c r="D236" s="1" t="s">
        <v>2012</v>
      </c>
      <c r="E236" s="1" t="s">
        <v>2013</v>
      </c>
      <c r="F236" s="1" t="s">
        <v>112</v>
      </c>
      <c r="G236" s="1">
        <v>2204908</v>
      </c>
    </row>
    <row r="237" spans="1:8" x14ac:dyDescent="0.3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2014</v>
      </c>
      <c r="D237" s="1" t="s">
        <v>2015</v>
      </c>
      <c r="E237" s="1" t="s">
        <v>2016</v>
      </c>
      <c r="F237" s="1" t="s">
        <v>112</v>
      </c>
      <c r="G237" s="1">
        <v>1550907</v>
      </c>
    </row>
    <row r="238" spans="1:8" x14ac:dyDescent="0.3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2017</v>
      </c>
      <c r="D238" s="1" t="s">
        <v>2018</v>
      </c>
      <c r="E238" s="1" t="s">
        <v>2019</v>
      </c>
      <c r="F238" s="1" t="s">
        <v>112</v>
      </c>
      <c r="G238" s="1">
        <v>1722389</v>
      </c>
    </row>
    <row r="239" spans="1:8" x14ac:dyDescent="0.3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9" s="1" t="s">
        <v>2020</v>
      </c>
      <c r="D239" s="1" t="s">
        <v>2021</v>
      </c>
      <c r="E239" s="1" t="s">
        <v>2022</v>
      </c>
      <c r="F239" s="1" t="s">
        <v>112</v>
      </c>
      <c r="G239" s="1">
        <v>1506522</v>
      </c>
    </row>
    <row r="240" spans="1:8" x14ac:dyDescent="0.3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2023</v>
      </c>
      <c r="D240" s="1" t="s">
        <v>1328</v>
      </c>
      <c r="E240" s="1" t="s">
        <v>2024</v>
      </c>
      <c r="F240" s="1" t="s">
        <v>112</v>
      </c>
      <c r="G240" s="1">
        <v>104408</v>
      </c>
    </row>
    <row r="241" spans="1:7" x14ac:dyDescent="0.3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2025</v>
      </c>
      <c r="D241" s="1" t="s">
        <v>949</v>
      </c>
      <c r="E241" s="1" t="s">
        <v>2026</v>
      </c>
      <c r="F241" s="1" t="s">
        <v>112</v>
      </c>
      <c r="G241" s="1">
        <v>118056</v>
      </c>
    </row>
    <row r="242" spans="1:7" x14ac:dyDescent="0.3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2" s="1" t="s">
        <v>2027</v>
      </c>
      <c r="D242" s="1" t="s">
        <v>2028</v>
      </c>
      <c r="E242" s="1" t="s">
        <v>2029</v>
      </c>
      <c r="F242" s="1" t="s">
        <v>112</v>
      </c>
      <c r="G242" s="1">
        <v>22755</v>
      </c>
    </row>
    <row r="243" spans="1:7" x14ac:dyDescent="0.3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2030</v>
      </c>
      <c r="D243" s="1" t="s">
        <v>1287</v>
      </c>
      <c r="E243" s="1" t="s">
        <v>2031</v>
      </c>
      <c r="F243" s="1" t="s">
        <v>112</v>
      </c>
      <c r="G243" s="1">
        <v>102893</v>
      </c>
    </row>
    <row r="244" spans="1:7" x14ac:dyDescent="0.3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2032</v>
      </c>
      <c r="D244" s="1" t="s">
        <v>1858</v>
      </c>
      <c r="E244" s="1" t="s">
        <v>2033</v>
      </c>
      <c r="F244" s="1" t="s">
        <v>112</v>
      </c>
      <c r="G244" s="1">
        <v>389252</v>
      </c>
    </row>
    <row r="245" spans="1:7" x14ac:dyDescent="0.3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5" s="1" t="s">
        <v>2034</v>
      </c>
      <c r="D245" s="1" t="s">
        <v>2035</v>
      </c>
      <c r="E245" s="1" t="s">
        <v>2036</v>
      </c>
      <c r="F245" s="1" t="s">
        <v>112</v>
      </c>
      <c r="G245" s="1">
        <v>495606</v>
      </c>
    </row>
    <row r="246" spans="1:7" x14ac:dyDescent="0.3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2037</v>
      </c>
      <c r="D246" s="1" t="s">
        <v>1666</v>
      </c>
      <c r="E246" s="1" t="s">
        <v>2038</v>
      </c>
      <c r="F246" s="1" t="s">
        <v>112</v>
      </c>
      <c r="G246" s="1">
        <v>617533</v>
      </c>
    </row>
    <row r="247" spans="1:7" x14ac:dyDescent="0.3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2039</v>
      </c>
      <c r="D247" s="1" t="s">
        <v>2040</v>
      </c>
      <c r="E247" s="1" t="s">
        <v>2041</v>
      </c>
      <c r="F247" s="1" t="s">
        <v>112</v>
      </c>
      <c r="G247" s="1">
        <v>854078</v>
      </c>
    </row>
    <row r="248" spans="1:7" x14ac:dyDescent="0.3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8" s="1" t="s">
        <v>2042</v>
      </c>
      <c r="D248" s="1" t="s">
        <v>2043</v>
      </c>
      <c r="E248" s="1" t="s">
        <v>2044</v>
      </c>
      <c r="F248" s="1" t="s">
        <v>112</v>
      </c>
      <c r="G248" s="1">
        <v>409908</v>
      </c>
    </row>
    <row r="249" spans="1:7" x14ac:dyDescent="0.3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2045</v>
      </c>
      <c r="D249" s="1" t="s">
        <v>2046</v>
      </c>
      <c r="E249" s="1" t="s">
        <v>2047</v>
      </c>
      <c r="F249" s="1" t="s">
        <v>112</v>
      </c>
      <c r="G249" s="1">
        <v>497379</v>
      </c>
    </row>
    <row r="250" spans="1:7" x14ac:dyDescent="0.3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2048</v>
      </c>
      <c r="D250" s="1" t="s">
        <v>2049</v>
      </c>
      <c r="E250" s="1" t="s">
        <v>2050</v>
      </c>
      <c r="F250" s="1" t="s">
        <v>112</v>
      </c>
      <c r="G250" s="1">
        <v>447458</v>
      </c>
    </row>
    <row r="251" spans="1:7" x14ac:dyDescent="0.3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1" s="1" t="s">
        <v>2051</v>
      </c>
      <c r="D251" s="1" t="s">
        <v>2052</v>
      </c>
      <c r="E251" s="1" t="s">
        <v>2053</v>
      </c>
      <c r="F251" s="1" t="s">
        <v>112</v>
      </c>
      <c r="G251" s="1">
        <v>642581</v>
      </c>
    </row>
    <row r="252" spans="1:7" x14ac:dyDescent="0.3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2054</v>
      </c>
      <c r="D252" s="1" t="s">
        <v>1331</v>
      </c>
      <c r="E252" s="1" t="s">
        <v>2055</v>
      </c>
      <c r="F252" s="1" t="s">
        <v>112</v>
      </c>
      <c r="G252" s="1">
        <v>149376</v>
      </c>
    </row>
    <row r="253" spans="1:7" x14ac:dyDescent="0.3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2056</v>
      </c>
      <c r="D253" s="1" t="s">
        <v>572</v>
      </c>
      <c r="E253" s="1" t="s">
        <v>2057</v>
      </c>
      <c r="F253" s="1" t="s">
        <v>112</v>
      </c>
      <c r="G253" s="1">
        <v>180393</v>
      </c>
    </row>
    <row r="254" spans="1:7" x14ac:dyDescent="0.3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4" s="1" t="s">
        <v>2058</v>
      </c>
      <c r="D254" s="1" t="s">
        <v>581</v>
      </c>
      <c r="E254" s="1" t="s">
        <v>2059</v>
      </c>
      <c r="F254" s="1" t="s">
        <v>112</v>
      </c>
      <c r="G254" s="1">
        <v>74082</v>
      </c>
    </row>
    <row r="255" spans="1:7" x14ac:dyDescent="0.3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2060</v>
      </c>
      <c r="D255" s="1" t="s">
        <v>2061</v>
      </c>
      <c r="E255" s="1" t="s">
        <v>2062</v>
      </c>
      <c r="F255" s="1" t="s">
        <v>112</v>
      </c>
      <c r="G255" s="1">
        <v>523032</v>
      </c>
    </row>
    <row r="256" spans="1:7" x14ac:dyDescent="0.3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2063</v>
      </c>
      <c r="D256" s="1" t="s">
        <v>2064</v>
      </c>
      <c r="E256" s="1" t="s">
        <v>2065</v>
      </c>
      <c r="F256" s="1" t="s">
        <v>112</v>
      </c>
      <c r="G256" s="1">
        <v>393556</v>
      </c>
    </row>
    <row r="257" spans="1:8" x14ac:dyDescent="0.35">
      <c r="A257" s="1" t="str">
        <f t="shared" si="3"/>
        <v>4</v>
      </c>
      <c r="B2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7" s="1" t="s">
        <v>2066</v>
      </c>
      <c r="D257" s="1" t="s">
        <v>2067</v>
      </c>
      <c r="E257" s="1" t="s">
        <v>2068</v>
      </c>
      <c r="F257" s="1" t="s">
        <v>112</v>
      </c>
      <c r="G257" s="1">
        <v>546220</v>
      </c>
    </row>
    <row r="258" spans="1:8"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112</v>
      </c>
    </row>
    <row r="259" spans="1:8"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9" s="1" t="s">
        <v>233</v>
      </c>
      <c r="D259" s="1" t="s">
        <v>112</v>
      </c>
      <c r="E259" s="1" t="s">
        <v>234</v>
      </c>
      <c r="F259" s="1" t="s">
        <v>235</v>
      </c>
      <c r="G259" s="1" t="s">
        <v>236</v>
      </c>
      <c r="H259" s="1" t="s">
        <v>1623</v>
      </c>
    </row>
    <row r="260" spans="1:8" x14ac:dyDescent="0.35">
      <c r="A260" s="1" t="str">
        <f t="shared" si="4"/>
        <v>4</v>
      </c>
      <c r="B2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60" s="1" t="s">
        <v>2069</v>
      </c>
      <c r="D260" s="1" t="s">
        <v>112</v>
      </c>
      <c r="E260" s="1" t="s">
        <v>2070</v>
      </c>
      <c r="F260" s="1" t="s">
        <v>2071</v>
      </c>
      <c r="G260" s="1" t="s">
        <v>2072</v>
      </c>
      <c r="H260" s="1" t="s">
        <v>2073</v>
      </c>
    </row>
    <row r="261" spans="1:8"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8"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8"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8"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8"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112</v>
      </c>
    </row>
    <row r="266" spans="1:8"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6" s="1" t="s">
        <v>166</v>
      </c>
      <c r="D266" s="1" t="s">
        <v>110</v>
      </c>
      <c r="E266" s="1" t="s">
        <v>111</v>
      </c>
      <c r="F266" s="1" t="s">
        <v>112</v>
      </c>
      <c r="G266" s="1" t="s">
        <v>113</v>
      </c>
    </row>
    <row r="267" spans="1:8" x14ac:dyDescent="0.3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2074</v>
      </c>
      <c r="D267" s="1" t="s">
        <v>2075</v>
      </c>
      <c r="E267" s="1" t="s">
        <v>2076</v>
      </c>
      <c r="F267" s="1" t="s">
        <v>112</v>
      </c>
      <c r="G267" s="1">
        <v>2758612</v>
      </c>
    </row>
    <row r="268" spans="1:8" x14ac:dyDescent="0.3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2077</v>
      </c>
      <c r="D268" s="1" t="s">
        <v>2078</v>
      </c>
      <c r="E268" s="1" t="s">
        <v>2079</v>
      </c>
      <c r="F268" s="1" t="s">
        <v>112</v>
      </c>
      <c r="G268" s="1">
        <v>2351256</v>
      </c>
    </row>
    <row r="269" spans="1:8" x14ac:dyDescent="0.3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9" s="1" t="s">
        <v>2080</v>
      </c>
      <c r="D269" s="1" t="s">
        <v>2081</v>
      </c>
      <c r="E269" s="1" t="s">
        <v>2082</v>
      </c>
      <c r="F269" s="1" t="s">
        <v>112</v>
      </c>
      <c r="G269" s="1">
        <v>2383939</v>
      </c>
    </row>
    <row r="270" spans="1:8" x14ac:dyDescent="0.3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2083</v>
      </c>
      <c r="D270" s="1" t="s">
        <v>2084</v>
      </c>
      <c r="E270" s="1" t="s">
        <v>2085</v>
      </c>
      <c r="F270" s="1" t="s">
        <v>112</v>
      </c>
      <c r="G270" s="1">
        <v>1209154</v>
      </c>
    </row>
    <row r="271" spans="1:8" x14ac:dyDescent="0.3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2086</v>
      </c>
      <c r="D271" s="1" t="s">
        <v>2087</v>
      </c>
      <c r="E271" s="1" t="s">
        <v>2088</v>
      </c>
      <c r="F271" s="1" t="s">
        <v>112</v>
      </c>
      <c r="G271" s="1">
        <v>1329957</v>
      </c>
    </row>
    <row r="272" spans="1:8" x14ac:dyDescent="0.3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2" s="1" t="s">
        <v>2089</v>
      </c>
      <c r="D272" s="1" t="s">
        <v>766</v>
      </c>
      <c r="E272" s="1" t="s">
        <v>2090</v>
      </c>
      <c r="F272" s="1" t="s">
        <v>112</v>
      </c>
      <c r="G272" s="1">
        <v>1544548</v>
      </c>
    </row>
    <row r="273" spans="1:7" x14ac:dyDescent="0.3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2091</v>
      </c>
    </row>
    <row r="274" spans="1:7" x14ac:dyDescent="0.3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2092</v>
      </c>
    </row>
    <row r="275" spans="1:7" x14ac:dyDescent="0.3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5" s="1" t="s">
        <v>2093</v>
      </c>
    </row>
    <row r="276" spans="1:7" x14ac:dyDescent="0.3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2094</v>
      </c>
      <c r="D276" s="1" t="s">
        <v>2095</v>
      </c>
      <c r="E276" s="1" t="s">
        <v>2096</v>
      </c>
      <c r="F276" s="1" t="s">
        <v>112</v>
      </c>
      <c r="G276" s="1">
        <v>2109931</v>
      </c>
    </row>
    <row r="277" spans="1:7" x14ac:dyDescent="0.3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2097</v>
      </c>
      <c r="D277" s="1" t="s">
        <v>2098</v>
      </c>
      <c r="E277" s="1" t="s">
        <v>2099</v>
      </c>
      <c r="F277" s="1" t="s">
        <v>112</v>
      </c>
      <c r="G277" s="1">
        <v>1845008</v>
      </c>
    </row>
    <row r="278" spans="1:7" x14ac:dyDescent="0.3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8" s="1" t="s">
        <v>2100</v>
      </c>
      <c r="D278" s="1" t="s">
        <v>2101</v>
      </c>
      <c r="E278" s="1" t="s">
        <v>2102</v>
      </c>
      <c r="F278" s="1" t="s">
        <v>112</v>
      </c>
      <c r="G278" s="1">
        <v>1766059</v>
      </c>
    </row>
    <row r="279" spans="1:7" x14ac:dyDescent="0.3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2103</v>
      </c>
      <c r="D279" s="1" t="s">
        <v>2104</v>
      </c>
      <c r="E279" s="1" t="s">
        <v>2105</v>
      </c>
      <c r="F279" s="1" t="s">
        <v>112</v>
      </c>
      <c r="G279" s="1">
        <v>1826515</v>
      </c>
    </row>
    <row r="280" spans="1:7" x14ac:dyDescent="0.3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2106</v>
      </c>
      <c r="D280" s="1" t="s">
        <v>2107</v>
      </c>
      <c r="E280" s="1" t="s">
        <v>2108</v>
      </c>
      <c r="F280" s="1" t="s">
        <v>112</v>
      </c>
      <c r="G280" s="1">
        <v>1551815</v>
      </c>
    </row>
    <row r="281" spans="1:7" x14ac:dyDescent="0.3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1" s="1" t="s">
        <v>2109</v>
      </c>
      <c r="D281" s="1" t="s">
        <v>2110</v>
      </c>
      <c r="E281" s="1" t="s">
        <v>2111</v>
      </c>
      <c r="F281" s="1" t="s">
        <v>112</v>
      </c>
      <c r="G281" s="1">
        <v>1508490</v>
      </c>
    </row>
    <row r="282" spans="1:7" x14ac:dyDescent="0.3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2112</v>
      </c>
      <c r="D282" s="1" t="s">
        <v>2113</v>
      </c>
      <c r="E282" s="1" t="s">
        <v>2114</v>
      </c>
      <c r="F282" s="1" t="s">
        <v>112</v>
      </c>
      <c r="G282" s="1">
        <v>1392792</v>
      </c>
    </row>
    <row r="283" spans="1:7" x14ac:dyDescent="0.3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2115</v>
      </c>
    </row>
    <row r="284" spans="1:7" x14ac:dyDescent="0.3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4" s="1" t="s">
        <v>2116</v>
      </c>
      <c r="D284" s="1" t="s">
        <v>2117</v>
      </c>
      <c r="E284" s="1" t="s">
        <v>2118</v>
      </c>
      <c r="F284" s="1" t="s">
        <v>112</v>
      </c>
      <c r="G284" s="1">
        <v>1638010</v>
      </c>
    </row>
    <row r="285" spans="1:7" x14ac:dyDescent="0.3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2119</v>
      </c>
      <c r="D285" s="1" t="s">
        <v>662</v>
      </c>
      <c r="E285" s="1" t="s">
        <v>2120</v>
      </c>
      <c r="F285" s="1" t="s">
        <v>112</v>
      </c>
      <c r="G285" s="1">
        <v>1202730</v>
      </c>
    </row>
    <row r="286" spans="1:7" x14ac:dyDescent="0.3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2121</v>
      </c>
      <c r="D286" s="1" t="s">
        <v>2122</v>
      </c>
      <c r="E286" s="1" t="s">
        <v>2123</v>
      </c>
      <c r="F286" s="1" t="s">
        <v>112</v>
      </c>
      <c r="G286" s="1">
        <v>477069</v>
      </c>
    </row>
    <row r="287" spans="1:7" x14ac:dyDescent="0.3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7" s="1" t="s">
        <v>2124</v>
      </c>
      <c r="D287" s="1" t="s">
        <v>2125</v>
      </c>
      <c r="E287" s="1" t="s">
        <v>2126</v>
      </c>
      <c r="F287" s="1" t="s">
        <v>112</v>
      </c>
      <c r="G287" s="1">
        <v>744371</v>
      </c>
    </row>
    <row r="288" spans="1:7" x14ac:dyDescent="0.3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2127</v>
      </c>
      <c r="D288" s="1" t="s">
        <v>2128</v>
      </c>
      <c r="E288" s="1" t="s">
        <v>2129</v>
      </c>
      <c r="F288" s="1" t="s">
        <v>112</v>
      </c>
      <c r="G288" s="1">
        <v>2978458</v>
      </c>
    </row>
    <row r="289" spans="1:8" x14ac:dyDescent="0.3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2130</v>
      </c>
      <c r="D289" s="1" t="s">
        <v>2131</v>
      </c>
      <c r="E289" s="1" t="s">
        <v>2132</v>
      </c>
      <c r="F289" s="1" t="s">
        <v>112</v>
      </c>
      <c r="G289" s="1">
        <v>3156991</v>
      </c>
    </row>
    <row r="290" spans="1:8" x14ac:dyDescent="0.35">
      <c r="A290" s="1" t="str">
        <f t="shared" si="4"/>
        <v>5</v>
      </c>
      <c r="B2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90" s="1" t="s">
        <v>2133</v>
      </c>
      <c r="D290" s="1" t="s">
        <v>2134</v>
      </c>
      <c r="E290" s="1" t="s">
        <v>2135</v>
      </c>
      <c r="F290" s="1" t="s">
        <v>112</v>
      </c>
      <c r="G290" s="1">
        <v>2369706</v>
      </c>
    </row>
    <row r="291" spans="1:8"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112</v>
      </c>
    </row>
    <row r="292" spans="1:8"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2" s="1" t="s">
        <v>233</v>
      </c>
      <c r="D292" s="1" t="s">
        <v>112</v>
      </c>
      <c r="E292" s="1" t="s">
        <v>234</v>
      </c>
      <c r="F292" s="1" t="s">
        <v>235</v>
      </c>
      <c r="G292" s="1" t="s">
        <v>236</v>
      </c>
      <c r="H292" s="1" t="s">
        <v>1623</v>
      </c>
    </row>
    <row r="293" spans="1:8" x14ac:dyDescent="0.35">
      <c r="A293" s="1" t="str">
        <f t="shared" si="4"/>
        <v>5</v>
      </c>
      <c r="B2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3" s="1" t="s">
        <v>2136</v>
      </c>
      <c r="D293" s="1" t="s">
        <v>112</v>
      </c>
      <c r="E293" s="1" t="s">
        <v>2137</v>
      </c>
      <c r="F293" s="1" t="s">
        <v>2138</v>
      </c>
      <c r="G293" s="1" t="s">
        <v>2139</v>
      </c>
      <c r="H293" s="1" t="s">
        <v>2140</v>
      </c>
    </row>
    <row r="294" spans="1:8"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8"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8"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8"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8"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112</v>
      </c>
    </row>
    <row r="299" spans="1:8"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9" s="1" t="s">
        <v>166</v>
      </c>
      <c r="D299" s="1" t="s">
        <v>110</v>
      </c>
      <c r="E299" s="1" t="s">
        <v>111</v>
      </c>
      <c r="F299" s="1" t="s">
        <v>112</v>
      </c>
      <c r="G299" s="1" t="s">
        <v>113</v>
      </c>
    </row>
    <row r="300" spans="1:8" x14ac:dyDescent="0.3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2141</v>
      </c>
      <c r="D300" s="1" t="s">
        <v>2142</v>
      </c>
      <c r="E300" s="1" t="s">
        <v>2143</v>
      </c>
      <c r="F300" s="1" t="s">
        <v>112</v>
      </c>
      <c r="G300" s="1">
        <v>553249</v>
      </c>
    </row>
    <row r="301" spans="1:8" x14ac:dyDescent="0.3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2144</v>
      </c>
      <c r="D301" s="1" t="s">
        <v>1068</v>
      </c>
      <c r="E301" s="1" t="s">
        <v>2145</v>
      </c>
      <c r="F301" s="1" t="s">
        <v>112</v>
      </c>
      <c r="G301" s="1">
        <v>233624</v>
      </c>
    </row>
    <row r="302" spans="1:8" x14ac:dyDescent="0.3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2" s="1" t="s">
        <v>2146</v>
      </c>
      <c r="D302" s="1" t="s">
        <v>2147</v>
      </c>
      <c r="E302" s="1" t="s">
        <v>2148</v>
      </c>
      <c r="F302" s="1" t="s">
        <v>112</v>
      </c>
      <c r="G302" s="1">
        <v>307382</v>
      </c>
    </row>
    <row r="303" spans="1:8" x14ac:dyDescent="0.3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2149</v>
      </c>
      <c r="D303" s="1" t="s">
        <v>2150</v>
      </c>
      <c r="E303" s="1" t="s">
        <v>2151</v>
      </c>
      <c r="F303" s="1" t="s">
        <v>112</v>
      </c>
      <c r="G303" s="1">
        <v>3482889</v>
      </c>
    </row>
    <row r="304" spans="1:8" x14ac:dyDescent="0.3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2152</v>
      </c>
      <c r="D304" s="1" t="s">
        <v>2153</v>
      </c>
      <c r="E304" s="1" t="s">
        <v>2154</v>
      </c>
      <c r="F304" s="1" t="s">
        <v>112</v>
      </c>
      <c r="G304" s="1">
        <v>3051870</v>
      </c>
    </row>
    <row r="305" spans="1:7" x14ac:dyDescent="0.3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5" s="1" t="s">
        <v>2155</v>
      </c>
      <c r="D305" s="1" t="s">
        <v>2156</v>
      </c>
      <c r="E305" s="1" t="s">
        <v>2157</v>
      </c>
      <c r="F305" s="1" t="s">
        <v>112</v>
      </c>
      <c r="G305" s="1">
        <v>3027060</v>
      </c>
    </row>
    <row r="306" spans="1:7" x14ac:dyDescent="0.3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2158</v>
      </c>
      <c r="D306" s="1" t="s">
        <v>2159</v>
      </c>
      <c r="E306" s="1" t="s">
        <v>2160</v>
      </c>
      <c r="F306" s="1" t="s">
        <v>112</v>
      </c>
      <c r="G306" s="1">
        <v>1620750</v>
      </c>
    </row>
    <row r="307" spans="1:7" x14ac:dyDescent="0.3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2161</v>
      </c>
      <c r="D307" s="1" t="s">
        <v>2162</v>
      </c>
      <c r="E307" s="1" t="s">
        <v>2163</v>
      </c>
      <c r="F307" s="1" t="s">
        <v>112</v>
      </c>
      <c r="G307" s="1">
        <v>1622264</v>
      </c>
    </row>
    <row r="308" spans="1:7" x14ac:dyDescent="0.3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8" s="1" t="s">
        <v>2164</v>
      </c>
      <c r="D308" s="1" t="s">
        <v>2165</v>
      </c>
      <c r="E308" s="1" t="s">
        <v>2166</v>
      </c>
      <c r="F308" s="1" t="s">
        <v>112</v>
      </c>
      <c r="G308" s="1">
        <v>1816132</v>
      </c>
    </row>
    <row r="309" spans="1:7" x14ac:dyDescent="0.3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2167</v>
      </c>
      <c r="D309" s="1" t="s">
        <v>2168</v>
      </c>
      <c r="E309" s="1" t="s">
        <v>2169</v>
      </c>
      <c r="F309" s="1" t="s">
        <v>112</v>
      </c>
      <c r="G309" s="1">
        <v>1617894</v>
      </c>
    </row>
    <row r="310" spans="1:7" x14ac:dyDescent="0.3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2170</v>
      </c>
      <c r="D310" s="1" t="s">
        <v>2171</v>
      </c>
      <c r="E310" s="1" t="s">
        <v>2172</v>
      </c>
      <c r="F310" s="1" t="s">
        <v>112</v>
      </c>
      <c r="G310" s="1">
        <v>1962545</v>
      </c>
    </row>
    <row r="311" spans="1:7" x14ac:dyDescent="0.3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1" s="1" t="s">
        <v>2173</v>
      </c>
      <c r="D311" s="1" t="s">
        <v>2174</v>
      </c>
      <c r="E311" s="1" t="s">
        <v>2175</v>
      </c>
      <c r="F311" s="1" t="s">
        <v>112</v>
      </c>
      <c r="G311" s="1">
        <v>642646</v>
      </c>
    </row>
    <row r="312" spans="1:7" x14ac:dyDescent="0.3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2176</v>
      </c>
      <c r="D312" s="1" t="s">
        <v>2177</v>
      </c>
      <c r="E312" s="1" t="s">
        <v>2178</v>
      </c>
      <c r="F312" s="1" t="s">
        <v>112</v>
      </c>
      <c r="G312" s="1">
        <v>2604239</v>
      </c>
    </row>
    <row r="313" spans="1:7" x14ac:dyDescent="0.3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2179</v>
      </c>
    </row>
    <row r="314" spans="1:7" x14ac:dyDescent="0.3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4" s="1" t="s">
        <v>2180</v>
      </c>
      <c r="D314" s="1" t="s">
        <v>2181</v>
      </c>
      <c r="E314" s="1" t="s">
        <v>2182</v>
      </c>
      <c r="F314" s="1" t="s">
        <v>112</v>
      </c>
      <c r="G314" s="1">
        <v>3707061</v>
      </c>
    </row>
    <row r="315" spans="1:7" x14ac:dyDescent="0.3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2183</v>
      </c>
      <c r="D315" s="1" t="s">
        <v>2184</v>
      </c>
      <c r="E315" s="1" t="s">
        <v>2185</v>
      </c>
      <c r="F315" s="1" t="s">
        <v>112</v>
      </c>
      <c r="G315" s="1">
        <v>2737523</v>
      </c>
    </row>
    <row r="316" spans="1:7" x14ac:dyDescent="0.3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2186</v>
      </c>
      <c r="D316" s="1" t="s">
        <v>2187</v>
      </c>
      <c r="E316" s="1" t="s">
        <v>2188</v>
      </c>
      <c r="F316" s="1" t="s">
        <v>112</v>
      </c>
      <c r="G316" s="1">
        <v>2767026</v>
      </c>
    </row>
    <row r="317" spans="1:7" x14ac:dyDescent="0.3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7" s="1" t="s">
        <v>2189</v>
      </c>
      <c r="D317" s="1" t="s">
        <v>824</v>
      </c>
      <c r="E317" s="1" t="s">
        <v>2190</v>
      </c>
      <c r="F317" s="1" t="s">
        <v>112</v>
      </c>
      <c r="G317" s="1">
        <v>2725280</v>
      </c>
    </row>
    <row r="318" spans="1:7" x14ac:dyDescent="0.3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2191</v>
      </c>
      <c r="D318" s="1" t="s">
        <v>845</v>
      </c>
      <c r="E318" s="1" t="s">
        <v>2192</v>
      </c>
      <c r="F318" s="1" t="s">
        <v>112</v>
      </c>
      <c r="G318" s="1">
        <v>1792902</v>
      </c>
    </row>
    <row r="319" spans="1:7" x14ac:dyDescent="0.3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2193</v>
      </c>
      <c r="D319" s="1" t="s">
        <v>2194</v>
      </c>
      <c r="E319" s="1" t="s">
        <v>2195</v>
      </c>
      <c r="F319" s="1" t="s">
        <v>112</v>
      </c>
      <c r="G319" s="1">
        <v>2040024</v>
      </c>
    </row>
    <row r="320" spans="1:7" x14ac:dyDescent="0.3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20" s="1" t="s">
        <v>2196</v>
      </c>
      <c r="D320" s="1" t="s">
        <v>2197</v>
      </c>
      <c r="E320" s="1" t="s">
        <v>2198</v>
      </c>
      <c r="F320" s="1" t="s">
        <v>112</v>
      </c>
      <c r="G320" s="1">
        <v>1660462</v>
      </c>
    </row>
    <row r="321" spans="1:8" x14ac:dyDescent="0.3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2199</v>
      </c>
      <c r="D321" s="1" t="s">
        <v>920</v>
      </c>
      <c r="E321" s="1" t="s">
        <v>2200</v>
      </c>
      <c r="F321" s="1" t="s">
        <v>112</v>
      </c>
      <c r="G321" s="1">
        <v>2564332</v>
      </c>
    </row>
    <row r="322" spans="1:8" x14ac:dyDescent="0.3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2201</v>
      </c>
      <c r="D322" s="1" t="s">
        <v>2202</v>
      </c>
      <c r="E322" s="1" t="s">
        <v>2203</v>
      </c>
      <c r="F322" s="1" t="s">
        <v>112</v>
      </c>
      <c r="G322" s="1">
        <v>2734797</v>
      </c>
    </row>
    <row r="323" spans="1:8" x14ac:dyDescent="0.35">
      <c r="A323" s="1" t="str">
        <f t="shared" si="5"/>
        <v>6</v>
      </c>
      <c r="B3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3" s="1" t="s">
        <v>2204</v>
      </c>
      <c r="D323" s="1" t="s">
        <v>2205</v>
      </c>
      <c r="E323" s="1" t="s">
        <v>2206</v>
      </c>
      <c r="F323" s="1" t="s">
        <v>112</v>
      </c>
      <c r="G323" s="1">
        <v>2177763</v>
      </c>
    </row>
    <row r="324" spans="1:8"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112</v>
      </c>
    </row>
    <row r="325" spans="1:8"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5" s="1" t="s">
        <v>233</v>
      </c>
      <c r="D325" s="1" t="s">
        <v>112</v>
      </c>
      <c r="E325" s="1" t="s">
        <v>234</v>
      </c>
      <c r="F325" s="1" t="s">
        <v>235</v>
      </c>
      <c r="G325" s="1" t="s">
        <v>236</v>
      </c>
      <c r="H325" s="1" t="s">
        <v>1623</v>
      </c>
    </row>
    <row r="326" spans="1:8" x14ac:dyDescent="0.35">
      <c r="A326" s="1" t="str">
        <f t="shared" si="5"/>
        <v>6</v>
      </c>
      <c r="B3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6" s="1" t="s">
        <v>2207</v>
      </c>
      <c r="D326" s="1" t="s">
        <v>112</v>
      </c>
      <c r="E326" s="1" t="s">
        <v>2208</v>
      </c>
      <c r="F326" s="1" t="s">
        <v>2209</v>
      </c>
      <c r="G326" s="1" t="s">
        <v>2210</v>
      </c>
      <c r="H326" s="1" t="s">
        <v>2211</v>
      </c>
    </row>
    <row r="327" spans="1:8"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8"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8"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8"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8"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112</v>
      </c>
    </row>
    <row r="332" spans="1:8"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2" s="1" t="s">
        <v>166</v>
      </c>
      <c r="D332" s="1" t="s">
        <v>110</v>
      </c>
      <c r="E332" s="1" t="s">
        <v>111</v>
      </c>
      <c r="F332" s="1" t="s">
        <v>112</v>
      </c>
      <c r="G332" s="1" t="s">
        <v>113</v>
      </c>
    </row>
    <row r="333" spans="1:8" x14ac:dyDescent="0.3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2212</v>
      </c>
      <c r="D333" s="1" t="s">
        <v>2213</v>
      </c>
      <c r="E333" s="1" t="s">
        <v>2214</v>
      </c>
      <c r="F333" s="1" t="s">
        <v>112</v>
      </c>
      <c r="G333" s="1">
        <v>4881024</v>
      </c>
    </row>
    <row r="334" spans="1:8" x14ac:dyDescent="0.3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2215</v>
      </c>
      <c r="D334" s="1" t="s">
        <v>2216</v>
      </c>
      <c r="E334" s="1" t="s">
        <v>2217</v>
      </c>
      <c r="F334" s="1" t="s">
        <v>112</v>
      </c>
      <c r="G334" s="1">
        <v>4649995</v>
      </c>
    </row>
    <row r="335" spans="1:8" x14ac:dyDescent="0.3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5" s="1" t="s">
        <v>2218</v>
      </c>
      <c r="D335" s="1" t="s">
        <v>2219</v>
      </c>
      <c r="E335" s="1" t="s">
        <v>2220</v>
      </c>
      <c r="F335" s="1" t="s">
        <v>112</v>
      </c>
      <c r="G335" s="1">
        <v>4495817</v>
      </c>
    </row>
    <row r="336" spans="1:8" x14ac:dyDescent="0.3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2221</v>
      </c>
    </row>
    <row r="337" spans="1:7" x14ac:dyDescent="0.3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2222</v>
      </c>
    </row>
    <row r="338" spans="1:7" x14ac:dyDescent="0.3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8" s="1" t="s">
        <v>2223</v>
      </c>
    </row>
    <row r="339" spans="1:7" x14ac:dyDescent="0.3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2224</v>
      </c>
      <c r="D339" s="1" t="s">
        <v>2225</v>
      </c>
      <c r="E339" s="1" t="s">
        <v>2226</v>
      </c>
      <c r="F339" s="1" t="s">
        <v>112</v>
      </c>
      <c r="G339" s="1">
        <v>3652337</v>
      </c>
    </row>
    <row r="340" spans="1:7" x14ac:dyDescent="0.3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2227</v>
      </c>
      <c r="D340" s="1" t="s">
        <v>2228</v>
      </c>
      <c r="E340" s="1" t="s">
        <v>2229</v>
      </c>
      <c r="F340" s="1" t="s">
        <v>112</v>
      </c>
      <c r="G340" s="1">
        <v>3799118</v>
      </c>
    </row>
    <row r="341" spans="1:7" x14ac:dyDescent="0.3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1" s="1" t="s">
        <v>2230</v>
      </c>
      <c r="D341" s="1" t="s">
        <v>2231</v>
      </c>
      <c r="E341" s="1" t="s">
        <v>2232</v>
      </c>
      <c r="F341" s="1" t="s">
        <v>112</v>
      </c>
      <c r="G341" s="1">
        <v>3489854</v>
      </c>
    </row>
    <row r="342" spans="1:7" x14ac:dyDescent="0.3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2233</v>
      </c>
      <c r="D342" s="1" t="s">
        <v>2234</v>
      </c>
      <c r="E342" s="1" t="s">
        <v>2235</v>
      </c>
      <c r="F342" s="1" t="s">
        <v>112</v>
      </c>
      <c r="G342" s="1">
        <v>3214246</v>
      </c>
    </row>
    <row r="343" spans="1:7" x14ac:dyDescent="0.3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2236</v>
      </c>
      <c r="D343" s="1" t="s">
        <v>2237</v>
      </c>
      <c r="E343" s="1" t="s">
        <v>2238</v>
      </c>
      <c r="F343" s="1" t="s">
        <v>112</v>
      </c>
      <c r="G343" s="1">
        <v>3648812</v>
      </c>
    </row>
    <row r="344" spans="1:7" x14ac:dyDescent="0.3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4" s="1" t="s">
        <v>2239</v>
      </c>
      <c r="D344" s="1" t="s">
        <v>2240</v>
      </c>
      <c r="E344" s="1" t="s">
        <v>2241</v>
      </c>
      <c r="F344" s="1" t="s">
        <v>112</v>
      </c>
      <c r="G344" s="1">
        <v>2998206</v>
      </c>
    </row>
    <row r="345" spans="1:7" x14ac:dyDescent="0.3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2242</v>
      </c>
      <c r="D345" s="1" t="s">
        <v>2243</v>
      </c>
      <c r="E345" s="1" t="s">
        <v>2244</v>
      </c>
      <c r="F345" s="1" t="s">
        <v>112</v>
      </c>
      <c r="G345" s="1">
        <v>4813106</v>
      </c>
    </row>
    <row r="346" spans="1:7" x14ac:dyDescent="0.3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2245</v>
      </c>
      <c r="D346" s="1" t="s">
        <v>2246</v>
      </c>
      <c r="E346" s="1" t="s">
        <v>2247</v>
      </c>
      <c r="F346" s="1" t="s">
        <v>112</v>
      </c>
      <c r="G346" s="1">
        <v>5311805</v>
      </c>
    </row>
    <row r="347" spans="1:7" x14ac:dyDescent="0.3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7" s="1" t="s">
        <v>2248</v>
      </c>
      <c r="D347" s="1" t="s">
        <v>2249</v>
      </c>
      <c r="E347" s="1" t="s">
        <v>2250</v>
      </c>
      <c r="F347" s="1" t="s">
        <v>112</v>
      </c>
      <c r="G347" s="1">
        <v>4463415</v>
      </c>
    </row>
    <row r="348" spans="1:7" x14ac:dyDescent="0.3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2251</v>
      </c>
      <c r="D348" s="1" t="s">
        <v>2252</v>
      </c>
      <c r="E348" s="1" t="s">
        <v>2253</v>
      </c>
      <c r="F348" s="1" t="s">
        <v>112</v>
      </c>
      <c r="G348" s="1">
        <v>2535846</v>
      </c>
    </row>
    <row r="349" spans="1:7" x14ac:dyDescent="0.3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2254</v>
      </c>
      <c r="D349" s="1" t="s">
        <v>256</v>
      </c>
      <c r="E349" s="1" t="s">
        <v>2255</v>
      </c>
      <c r="F349" s="1" t="s">
        <v>112</v>
      </c>
      <c r="G349" s="1">
        <v>2336245</v>
      </c>
    </row>
    <row r="350" spans="1:7" x14ac:dyDescent="0.3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0" s="1" t="s">
        <v>2256</v>
      </c>
      <c r="D350" s="1" t="s">
        <v>2257</v>
      </c>
      <c r="E350" s="1" t="s">
        <v>2258</v>
      </c>
      <c r="F350" s="1" t="s">
        <v>112</v>
      </c>
      <c r="G350" s="1">
        <v>2762397</v>
      </c>
    </row>
    <row r="351" spans="1:7" x14ac:dyDescent="0.3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2259</v>
      </c>
      <c r="D351" s="1" t="s">
        <v>2260</v>
      </c>
      <c r="E351" s="1" t="s">
        <v>2261</v>
      </c>
      <c r="F351" s="1" t="s">
        <v>112</v>
      </c>
      <c r="G351" s="1">
        <v>4069319</v>
      </c>
    </row>
    <row r="352" spans="1:7" x14ac:dyDescent="0.3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2262</v>
      </c>
      <c r="D352" s="1" t="s">
        <v>2263</v>
      </c>
      <c r="E352" s="1" t="s">
        <v>2264</v>
      </c>
      <c r="F352" s="1" t="s">
        <v>112</v>
      </c>
      <c r="G352" s="1">
        <v>3975856</v>
      </c>
    </row>
    <row r="353" spans="1:8" x14ac:dyDescent="0.3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3" s="1" t="s">
        <v>2265</v>
      </c>
      <c r="D353" s="1" t="s">
        <v>2266</v>
      </c>
      <c r="E353" s="1" t="s">
        <v>2267</v>
      </c>
      <c r="F353" s="1" t="s">
        <v>112</v>
      </c>
      <c r="G353" s="1">
        <v>4133754</v>
      </c>
    </row>
    <row r="354" spans="1:8" x14ac:dyDescent="0.3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2268</v>
      </c>
      <c r="D354" s="1" t="s">
        <v>2269</v>
      </c>
      <c r="E354" s="1" t="s">
        <v>2270</v>
      </c>
      <c r="F354" s="1" t="s">
        <v>112</v>
      </c>
      <c r="G354" s="1">
        <v>3664169</v>
      </c>
    </row>
    <row r="355" spans="1:8" x14ac:dyDescent="0.3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2271</v>
      </c>
      <c r="D355" s="1" t="s">
        <v>2272</v>
      </c>
      <c r="E355" s="1" t="s">
        <v>2273</v>
      </c>
      <c r="F355" s="1" t="s">
        <v>112</v>
      </c>
      <c r="G355" s="1">
        <v>3680456</v>
      </c>
    </row>
    <row r="356" spans="1:8" x14ac:dyDescent="0.35">
      <c r="A356" s="1" t="str">
        <f t="shared" si="5"/>
        <v>7</v>
      </c>
      <c r="B3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6" s="1" t="s">
        <v>2274</v>
      </c>
      <c r="D356" s="1" t="s">
        <v>2275</v>
      </c>
      <c r="E356" s="1" t="s">
        <v>2276</v>
      </c>
      <c r="F356" s="1" t="s">
        <v>112</v>
      </c>
      <c r="G356" s="1">
        <v>3537850</v>
      </c>
    </row>
    <row r="357" spans="1:8"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112</v>
      </c>
    </row>
    <row r="358" spans="1:8"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8" s="1" t="s">
        <v>233</v>
      </c>
      <c r="D358" s="1" t="s">
        <v>112</v>
      </c>
      <c r="E358" s="1" t="s">
        <v>234</v>
      </c>
      <c r="F358" s="1" t="s">
        <v>235</v>
      </c>
      <c r="G358" s="1" t="s">
        <v>236</v>
      </c>
      <c r="H358" s="1" t="s">
        <v>1623</v>
      </c>
    </row>
    <row r="359" spans="1:8" x14ac:dyDescent="0.35">
      <c r="A359" s="1" t="str">
        <f t="shared" si="5"/>
        <v>7</v>
      </c>
      <c r="B3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9" s="1" t="s">
        <v>2277</v>
      </c>
      <c r="D359" s="1" t="s">
        <v>112</v>
      </c>
      <c r="E359" s="1" t="s">
        <v>2278</v>
      </c>
      <c r="F359" s="1" t="s">
        <v>2279</v>
      </c>
      <c r="G359" s="1" t="s">
        <v>2280</v>
      </c>
      <c r="H359" s="1" t="s">
        <v>2281</v>
      </c>
    </row>
    <row r="360" spans="1:8"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8"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8"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8"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8"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112</v>
      </c>
    </row>
    <row r="365" spans="1:8"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5" s="1" t="s">
        <v>166</v>
      </c>
      <c r="D365" s="1" t="s">
        <v>110</v>
      </c>
      <c r="E365" s="1" t="s">
        <v>111</v>
      </c>
      <c r="F365" s="1" t="s">
        <v>112</v>
      </c>
      <c r="G365" s="1" t="s">
        <v>113</v>
      </c>
    </row>
    <row r="366" spans="1:8" x14ac:dyDescent="0.3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2282</v>
      </c>
      <c r="D366" s="1" t="s">
        <v>1053</v>
      </c>
      <c r="E366" s="1" t="s">
        <v>2283</v>
      </c>
      <c r="F366" s="1" t="s">
        <v>112</v>
      </c>
      <c r="G366" s="1">
        <v>123745</v>
      </c>
    </row>
    <row r="367" spans="1:8" x14ac:dyDescent="0.3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2284</v>
      </c>
      <c r="D367" s="1" t="s">
        <v>251</v>
      </c>
      <c r="E367" s="1" t="s">
        <v>2285</v>
      </c>
      <c r="F367" s="1" t="s">
        <v>112</v>
      </c>
      <c r="G367" s="1">
        <v>41789</v>
      </c>
    </row>
    <row r="368" spans="1:8" x14ac:dyDescent="0.3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8" s="1" t="s">
        <v>2286</v>
      </c>
      <c r="D368" s="1" t="s">
        <v>2287</v>
      </c>
      <c r="E368" s="1" t="s">
        <v>2288</v>
      </c>
      <c r="F368" s="1" t="s">
        <v>112</v>
      </c>
      <c r="G368" s="1">
        <v>35084</v>
      </c>
    </row>
    <row r="369" spans="1:7" x14ac:dyDescent="0.3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2289</v>
      </c>
      <c r="D369" s="1" t="s">
        <v>492</v>
      </c>
      <c r="E369" s="1" t="s">
        <v>2290</v>
      </c>
      <c r="F369" s="1" t="s">
        <v>112</v>
      </c>
      <c r="G369" s="1">
        <v>206976</v>
      </c>
    </row>
    <row r="370" spans="1:7" x14ac:dyDescent="0.3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2291</v>
      </c>
      <c r="D370" s="1" t="s">
        <v>2292</v>
      </c>
      <c r="E370" s="1" t="s">
        <v>2293</v>
      </c>
      <c r="F370" s="1" t="s">
        <v>112</v>
      </c>
      <c r="G370" s="1">
        <v>274051</v>
      </c>
    </row>
    <row r="371" spans="1:7" x14ac:dyDescent="0.3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1" s="1" t="s">
        <v>2294</v>
      </c>
      <c r="D371" s="1" t="s">
        <v>2295</v>
      </c>
      <c r="E371" s="1" t="s">
        <v>2296</v>
      </c>
      <c r="F371" s="1" t="s">
        <v>112</v>
      </c>
      <c r="G371" s="1">
        <v>196854</v>
      </c>
    </row>
    <row r="372" spans="1:7" x14ac:dyDescent="0.3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2297</v>
      </c>
      <c r="D372" s="1" t="s">
        <v>2298</v>
      </c>
      <c r="E372" s="1">
        <v>33</v>
      </c>
      <c r="F372" s="1" t="s">
        <v>112</v>
      </c>
      <c r="G372" s="1">
        <v>19986</v>
      </c>
    </row>
    <row r="373" spans="1:7" x14ac:dyDescent="0.3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2299</v>
      </c>
      <c r="D373" s="1" t="s">
        <v>1026</v>
      </c>
      <c r="E373" s="1" t="s">
        <v>2300</v>
      </c>
      <c r="F373" s="1" t="s">
        <v>112</v>
      </c>
      <c r="G373" s="1">
        <v>309632</v>
      </c>
    </row>
    <row r="374" spans="1:7" x14ac:dyDescent="0.3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4" s="1" t="s">
        <v>2301</v>
      </c>
      <c r="D374" s="1" t="s">
        <v>539</v>
      </c>
      <c r="E374" s="1" t="s">
        <v>2302</v>
      </c>
      <c r="F374" s="1" t="s">
        <v>112</v>
      </c>
      <c r="G374" s="1">
        <v>444494</v>
      </c>
    </row>
    <row r="375" spans="1:7" x14ac:dyDescent="0.3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2303</v>
      </c>
      <c r="D375" s="1" t="s">
        <v>1520</v>
      </c>
      <c r="E375" s="1" t="s">
        <v>2304</v>
      </c>
      <c r="F375" s="1" t="s">
        <v>112</v>
      </c>
      <c r="G375" s="1">
        <v>174034</v>
      </c>
    </row>
    <row r="376" spans="1:7" x14ac:dyDescent="0.3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2305</v>
      </c>
      <c r="D376" s="1" t="s">
        <v>1071</v>
      </c>
      <c r="E376" s="1" t="s">
        <v>2306</v>
      </c>
      <c r="F376" s="1" t="s">
        <v>112</v>
      </c>
      <c r="G376" s="1">
        <v>200141</v>
      </c>
    </row>
    <row r="377" spans="1:7" x14ac:dyDescent="0.3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7" s="1" t="s">
        <v>2307</v>
      </c>
      <c r="D377" s="1" t="s">
        <v>1347</v>
      </c>
      <c r="E377" s="1" t="s">
        <v>2308</v>
      </c>
      <c r="F377" s="1" t="s">
        <v>112</v>
      </c>
      <c r="G377" s="1">
        <v>41854</v>
      </c>
    </row>
    <row r="378" spans="1:7" x14ac:dyDescent="0.3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2309</v>
      </c>
      <c r="D378" s="1">
        <v>0</v>
      </c>
      <c r="E378" s="1">
        <v>0</v>
      </c>
      <c r="F378" s="1" t="s">
        <v>112</v>
      </c>
      <c r="G378" s="1">
        <v>0</v>
      </c>
    </row>
    <row r="379" spans="1:7" x14ac:dyDescent="0.3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2310</v>
      </c>
      <c r="D379" s="1" t="s">
        <v>575</v>
      </c>
      <c r="E379" s="1" t="s">
        <v>2311</v>
      </c>
      <c r="F379" s="1" t="s">
        <v>112</v>
      </c>
      <c r="G379" s="1">
        <v>71833</v>
      </c>
    </row>
    <row r="380" spans="1:7" x14ac:dyDescent="0.3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80" s="1" t="s">
        <v>2312</v>
      </c>
      <c r="D380" s="1" t="s">
        <v>1517</v>
      </c>
      <c r="E380" s="1" t="s">
        <v>2313</v>
      </c>
      <c r="F380" s="1" t="s">
        <v>112</v>
      </c>
      <c r="G380" s="1">
        <v>71271</v>
      </c>
    </row>
    <row r="381" spans="1:7" x14ac:dyDescent="0.3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2314</v>
      </c>
      <c r="D381" s="1" t="s">
        <v>1371</v>
      </c>
      <c r="E381" s="1" t="s">
        <v>2315</v>
      </c>
      <c r="F381" s="1" t="s">
        <v>112</v>
      </c>
      <c r="G381" s="1">
        <v>140724</v>
      </c>
    </row>
    <row r="382" spans="1:7" x14ac:dyDescent="0.3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2316</v>
      </c>
      <c r="D382" s="1" t="s">
        <v>2317</v>
      </c>
      <c r="E382" s="1" t="s">
        <v>2318</v>
      </c>
      <c r="F382" s="1" t="s">
        <v>112</v>
      </c>
      <c r="G382" s="1">
        <v>87233</v>
      </c>
    </row>
    <row r="383" spans="1:7" x14ac:dyDescent="0.3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3" s="1" t="s">
        <v>2319</v>
      </c>
      <c r="D383" s="1" t="s">
        <v>588</v>
      </c>
      <c r="E383" s="1" t="s">
        <v>1103</v>
      </c>
      <c r="F383" s="1" t="s">
        <v>112</v>
      </c>
      <c r="G383" s="1">
        <v>19121</v>
      </c>
    </row>
    <row r="384" spans="1:7" x14ac:dyDescent="0.3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2320</v>
      </c>
      <c r="D384" s="1" t="s">
        <v>183</v>
      </c>
      <c r="E384" s="1" t="s">
        <v>2321</v>
      </c>
      <c r="F384" s="1" t="s">
        <v>112</v>
      </c>
      <c r="G384" s="1">
        <v>244699</v>
      </c>
    </row>
    <row r="385" spans="1:8" x14ac:dyDescent="0.3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2322</v>
      </c>
      <c r="D385" s="1" t="s">
        <v>1313</v>
      </c>
      <c r="E385" s="1" t="s">
        <v>2323</v>
      </c>
      <c r="F385" s="1" t="s">
        <v>112</v>
      </c>
      <c r="G385" s="1">
        <v>221815</v>
      </c>
    </row>
    <row r="386" spans="1:8" x14ac:dyDescent="0.3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6" s="1" t="s">
        <v>2324</v>
      </c>
      <c r="D386" s="1" t="s">
        <v>495</v>
      </c>
      <c r="E386" s="1" t="s">
        <v>2325</v>
      </c>
      <c r="F386" s="1" t="s">
        <v>112</v>
      </c>
      <c r="G386" s="1">
        <v>204316</v>
      </c>
    </row>
    <row r="387" spans="1:8" x14ac:dyDescent="0.3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2326</v>
      </c>
      <c r="D387" s="1" t="s">
        <v>2327</v>
      </c>
      <c r="E387" s="1" t="s">
        <v>2328</v>
      </c>
      <c r="F387" s="1" t="s">
        <v>112</v>
      </c>
      <c r="G387" s="1">
        <v>7268</v>
      </c>
    </row>
    <row r="388" spans="1:8" x14ac:dyDescent="0.3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2329</v>
      </c>
      <c r="D388" s="1" t="s">
        <v>593</v>
      </c>
      <c r="E388" s="1" t="s">
        <v>2330</v>
      </c>
      <c r="F388" s="1" t="s">
        <v>112</v>
      </c>
      <c r="G388" s="1">
        <v>21500</v>
      </c>
    </row>
    <row r="389" spans="1:8" x14ac:dyDescent="0.35">
      <c r="A389" s="1" t="str">
        <f t="shared" si="6"/>
        <v>10</v>
      </c>
      <c r="B3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9" s="1" t="s">
        <v>2331</v>
      </c>
      <c r="D389" s="1" t="s">
        <v>2332</v>
      </c>
      <c r="E389" s="1" t="s">
        <v>2333</v>
      </c>
      <c r="F389" s="1" t="s">
        <v>112</v>
      </c>
      <c r="G389" s="1">
        <v>81307</v>
      </c>
    </row>
    <row r="390" spans="1:8"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112</v>
      </c>
    </row>
    <row r="391" spans="1:8"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1" s="1" t="s">
        <v>233</v>
      </c>
      <c r="D391" s="1" t="s">
        <v>112</v>
      </c>
      <c r="E391" s="1" t="s">
        <v>234</v>
      </c>
      <c r="F391" s="1" t="s">
        <v>235</v>
      </c>
      <c r="G391" s="1" t="s">
        <v>236</v>
      </c>
      <c r="H391" s="1" t="s">
        <v>1623</v>
      </c>
    </row>
    <row r="392" spans="1:8" x14ac:dyDescent="0.35">
      <c r="A392" s="1" t="str">
        <f t="shared" si="6"/>
        <v>10</v>
      </c>
      <c r="B3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2" s="1" t="s">
        <v>2334</v>
      </c>
      <c r="D392" s="1" t="s">
        <v>112</v>
      </c>
      <c r="E392" s="1" t="s">
        <v>2335</v>
      </c>
      <c r="F392" s="1" t="s">
        <v>2336</v>
      </c>
      <c r="G392" s="1" t="s">
        <v>2337</v>
      </c>
      <c r="H392" s="1" t="s">
        <v>2338</v>
      </c>
    </row>
    <row r="393" spans="1:8"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8"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8"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8"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8"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112</v>
      </c>
    </row>
    <row r="398" spans="1:8"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8" s="1" t="s">
        <v>166</v>
      </c>
      <c r="D398" s="1" t="s">
        <v>110</v>
      </c>
      <c r="E398" s="1" t="s">
        <v>111</v>
      </c>
      <c r="F398" s="1" t="s">
        <v>112</v>
      </c>
      <c r="G398" s="1" t="s">
        <v>113</v>
      </c>
    </row>
    <row r="399" spans="1:8" x14ac:dyDescent="0.3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2339</v>
      </c>
      <c r="D399" s="1" t="s">
        <v>2340</v>
      </c>
      <c r="E399" s="1" t="s">
        <v>2341</v>
      </c>
      <c r="F399" s="1" t="s">
        <v>112</v>
      </c>
      <c r="G399" s="1">
        <v>64608</v>
      </c>
    </row>
    <row r="400" spans="1:8" x14ac:dyDescent="0.3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2342</v>
      </c>
      <c r="D400" s="1" t="s">
        <v>694</v>
      </c>
      <c r="E400" s="1" t="s">
        <v>2343</v>
      </c>
      <c r="F400" s="1" t="s">
        <v>112</v>
      </c>
      <c r="G400" s="1">
        <v>208880</v>
      </c>
    </row>
    <row r="401" spans="1:7" x14ac:dyDescent="0.3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1" s="1" t="s">
        <v>2344</v>
      </c>
      <c r="D401" s="1" t="s">
        <v>1106</v>
      </c>
      <c r="E401" s="1" t="s">
        <v>2345</v>
      </c>
      <c r="F401" s="1" t="s">
        <v>112</v>
      </c>
      <c r="G401" s="1">
        <v>141870</v>
      </c>
    </row>
    <row r="402" spans="1:7" x14ac:dyDescent="0.3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2346</v>
      </c>
      <c r="D402" s="1" t="s">
        <v>1866</v>
      </c>
      <c r="E402" s="1" t="s">
        <v>2347</v>
      </c>
      <c r="F402" s="1" t="s">
        <v>112</v>
      </c>
      <c r="G402" s="1">
        <v>162592</v>
      </c>
    </row>
    <row r="403" spans="1:7" x14ac:dyDescent="0.3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2348</v>
      </c>
    </row>
    <row r="404" spans="1:7" x14ac:dyDescent="0.3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4" s="1" t="s">
        <v>2349</v>
      </c>
      <c r="D404" s="1" t="s">
        <v>2350</v>
      </c>
      <c r="E404" s="1" t="s">
        <v>2351</v>
      </c>
      <c r="F404" s="1" t="s">
        <v>112</v>
      </c>
      <c r="G404" s="1">
        <v>123745</v>
      </c>
    </row>
    <row r="405" spans="1:7" x14ac:dyDescent="0.3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2352</v>
      </c>
    </row>
    <row r="406" spans="1:7" x14ac:dyDescent="0.3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2353</v>
      </c>
    </row>
    <row r="407" spans="1:7" x14ac:dyDescent="0.3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7" s="1" t="s">
        <v>2354</v>
      </c>
    </row>
    <row r="408" spans="1:7" x14ac:dyDescent="0.3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2355</v>
      </c>
      <c r="D408" s="1" t="s">
        <v>2356</v>
      </c>
      <c r="E408" s="1" t="s">
        <v>2357</v>
      </c>
      <c r="F408" s="1" t="s">
        <v>112</v>
      </c>
      <c r="G408" s="1">
        <v>225492</v>
      </c>
    </row>
    <row r="409" spans="1:7" x14ac:dyDescent="0.3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2358</v>
      </c>
      <c r="D409" s="1" t="s">
        <v>2359</v>
      </c>
      <c r="E409" s="1" t="s">
        <v>2360</v>
      </c>
      <c r="F409" s="1" t="s">
        <v>112</v>
      </c>
      <c r="G409" s="1">
        <v>438049</v>
      </c>
    </row>
    <row r="410" spans="1:7" x14ac:dyDescent="0.3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10" s="1" t="s">
        <v>2361</v>
      </c>
      <c r="D410" s="1" t="s">
        <v>2362</v>
      </c>
      <c r="E410" s="1" t="s">
        <v>2363</v>
      </c>
      <c r="F410" s="1" t="s">
        <v>112</v>
      </c>
      <c r="G410" s="1">
        <v>422172</v>
      </c>
    </row>
    <row r="411" spans="1:7" x14ac:dyDescent="0.3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2364</v>
      </c>
      <c r="D411" s="1" t="s">
        <v>1933</v>
      </c>
      <c r="E411" s="1" t="s">
        <v>2365</v>
      </c>
      <c r="F411" s="1" t="s">
        <v>112</v>
      </c>
      <c r="G411" s="1">
        <v>136398</v>
      </c>
    </row>
    <row r="412" spans="1:7" x14ac:dyDescent="0.3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2366</v>
      </c>
      <c r="D412" s="1" t="s">
        <v>2367</v>
      </c>
      <c r="E412" s="1" t="s">
        <v>2368</v>
      </c>
      <c r="F412" s="1" t="s">
        <v>112</v>
      </c>
      <c r="G412" s="1">
        <v>113730</v>
      </c>
    </row>
    <row r="413" spans="1:7" x14ac:dyDescent="0.3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3" s="1" t="s">
        <v>2369</v>
      </c>
      <c r="D413" s="1" t="s">
        <v>2370</v>
      </c>
      <c r="E413" s="1" t="s">
        <v>2371</v>
      </c>
      <c r="F413" s="1" t="s">
        <v>112</v>
      </c>
      <c r="G413" s="1">
        <v>112021</v>
      </c>
    </row>
    <row r="414" spans="1:7" x14ac:dyDescent="0.3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2372</v>
      </c>
      <c r="D414" s="1" t="s">
        <v>1610</v>
      </c>
      <c r="E414" s="1" t="s">
        <v>2373</v>
      </c>
      <c r="F414" s="1" t="s">
        <v>112</v>
      </c>
      <c r="G414" s="1">
        <v>38393</v>
      </c>
    </row>
    <row r="415" spans="1:7" x14ac:dyDescent="0.3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2374</v>
      </c>
      <c r="D415" s="1" t="s">
        <v>2375</v>
      </c>
      <c r="E415" s="1" t="s">
        <v>2376</v>
      </c>
      <c r="F415" s="1" t="s">
        <v>112</v>
      </c>
      <c r="G415" s="1">
        <v>341212</v>
      </c>
    </row>
    <row r="416" spans="1:7" x14ac:dyDescent="0.3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6" s="1" t="s">
        <v>2377</v>
      </c>
      <c r="D416" s="1" t="s">
        <v>2378</v>
      </c>
      <c r="E416" s="1" t="s">
        <v>2379</v>
      </c>
      <c r="F416" s="1" t="s">
        <v>112</v>
      </c>
      <c r="G416" s="1">
        <v>439044</v>
      </c>
    </row>
    <row r="417" spans="1:8" x14ac:dyDescent="0.3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2380</v>
      </c>
      <c r="D417" s="1" t="s">
        <v>2381</v>
      </c>
      <c r="E417" s="1" t="s">
        <v>2382</v>
      </c>
      <c r="F417" s="1" t="s">
        <v>112</v>
      </c>
      <c r="G417" s="1">
        <v>301045</v>
      </c>
    </row>
    <row r="418" spans="1:8" x14ac:dyDescent="0.3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2383</v>
      </c>
      <c r="D418" s="1" t="s">
        <v>362</v>
      </c>
      <c r="E418" s="1" t="s">
        <v>2384</v>
      </c>
      <c r="F418" s="1" t="s">
        <v>112</v>
      </c>
      <c r="G418" s="1">
        <v>150155</v>
      </c>
    </row>
    <row r="419" spans="1:8" x14ac:dyDescent="0.3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9" s="1" t="s">
        <v>2385</v>
      </c>
      <c r="D419" s="1" t="s">
        <v>2386</v>
      </c>
      <c r="E419" s="1" t="s">
        <v>2387</v>
      </c>
      <c r="F419" s="1" t="s">
        <v>112</v>
      </c>
      <c r="G419" s="1">
        <v>502830</v>
      </c>
    </row>
    <row r="420" spans="1:8" x14ac:dyDescent="0.3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2388</v>
      </c>
      <c r="D420" s="1" t="s">
        <v>1985</v>
      </c>
      <c r="E420" s="1" t="s">
        <v>2389</v>
      </c>
      <c r="F420" s="1" t="s">
        <v>112</v>
      </c>
      <c r="G420" s="1">
        <v>215499</v>
      </c>
    </row>
    <row r="421" spans="1:8" x14ac:dyDescent="0.3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2390</v>
      </c>
      <c r="D421" s="1" t="s">
        <v>498</v>
      </c>
      <c r="E421" s="1" t="s">
        <v>2391</v>
      </c>
      <c r="F421" s="1" t="s">
        <v>112</v>
      </c>
      <c r="G421" s="1">
        <v>328407</v>
      </c>
    </row>
    <row r="422" spans="1:8" x14ac:dyDescent="0.35">
      <c r="A422" s="1" t="str">
        <f t="shared" si="6"/>
        <v>11</v>
      </c>
      <c r="B4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2" s="1" t="s">
        <v>2392</v>
      </c>
      <c r="D422" s="1" t="s">
        <v>1134</v>
      </c>
      <c r="E422" s="1" t="s">
        <v>2393</v>
      </c>
      <c r="F422" s="1" t="s">
        <v>112</v>
      </c>
      <c r="G422" s="1">
        <v>236869</v>
      </c>
    </row>
    <row r="423" spans="1:8"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112</v>
      </c>
    </row>
    <row r="424" spans="1:8"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4" s="1" t="s">
        <v>233</v>
      </c>
      <c r="D424" s="1" t="s">
        <v>112</v>
      </c>
      <c r="E424" s="1" t="s">
        <v>234</v>
      </c>
      <c r="F424" s="1" t="s">
        <v>235</v>
      </c>
      <c r="G424" s="1" t="s">
        <v>236</v>
      </c>
      <c r="H424" s="1" t="s">
        <v>1623</v>
      </c>
    </row>
    <row r="425" spans="1:8" x14ac:dyDescent="0.35">
      <c r="A425" s="1" t="str">
        <f t="shared" si="6"/>
        <v>11</v>
      </c>
      <c r="B4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5" s="1" t="s">
        <v>2394</v>
      </c>
      <c r="D425" s="1" t="s">
        <v>112</v>
      </c>
      <c r="E425" s="1" t="s">
        <v>2395</v>
      </c>
      <c r="F425" s="1" t="s">
        <v>2396</v>
      </c>
      <c r="G425" s="1" t="s">
        <v>2397</v>
      </c>
      <c r="H425" s="1" t="s">
        <v>2398</v>
      </c>
    </row>
    <row r="426" spans="1:8"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8"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8"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8"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8"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112</v>
      </c>
    </row>
    <row r="431" spans="1:8"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1" s="1" t="s">
        <v>166</v>
      </c>
      <c r="D431" s="1" t="s">
        <v>110</v>
      </c>
      <c r="E431" s="1" t="s">
        <v>111</v>
      </c>
      <c r="F431" s="1" t="s">
        <v>112</v>
      </c>
      <c r="G431" s="1" t="s">
        <v>113</v>
      </c>
    </row>
    <row r="432" spans="1:8" x14ac:dyDescent="0.3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2399</v>
      </c>
    </row>
    <row r="433" spans="1:7" x14ac:dyDescent="0.3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2400</v>
      </c>
    </row>
    <row r="434" spans="1:7" x14ac:dyDescent="0.3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4" s="1" t="s">
        <v>2401</v>
      </c>
    </row>
    <row r="435" spans="1:7" x14ac:dyDescent="0.3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2402</v>
      </c>
      <c r="D435" s="1" t="s">
        <v>2403</v>
      </c>
      <c r="E435" s="1" t="s">
        <v>2404</v>
      </c>
      <c r="F435" s="1" t="s">
        <v>112</v>
      </c>
      <c r="G435" s="1">
        <v>258499</v>
      </c>
    </row>
    <row r="436" spans="1:7" x14ac:dyDescent="0.3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2405</v>
      </c>
      <c r="D436" s="1" t="s">
        <v>1569</v>
      </c>
      <c r="E436" s="1" t="s">
        <v>2406</v>
      </c>
      <c r="F436" s="1" t="s">
        <v>112</v>
      </c>
      <c r="G436" s="1">
        <v>377096</v>
      </c>
    </row>
    <row r="437" spans="1:7" x14ac:dyDescent="0.3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7" s="1" t="s">
        <v>2407</v>
      </c>
    </row>
    <row r="438" spans="1:7" x14ac:dyDescent="0.3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2408</v>
      </c>
    </row>
    <row r="439" spans="1:7" x14ac:dyDescent="0.3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2409</v>
      </c>
      <c r="D439" s="1" t="s">
        <v>2410</v>
      </c>
      <c r="E439" s="1" t="s">
        <v>2411</v>
      </c>
      <c r="F439" s="1" t="s">
        <v>112</v>
      </c>
      <c r="G439" s="1">
        <v>563048</v>
      </c>
    </row>
    <row r="440" spans="1:7" x14ac:dyDescent="0.3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0" s="1" t="s">
        <v>2412</v>
      </c>
    </row>
    <row r="441" spans="1:7" x14ac:dyDescent="0.3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2413</v>
      </c>
      <c r="D441" s="1" t="s">
        <v>2414</v>
      </c>
      <c r="E441" s="1" t="s">
        <v>2415</v>
      </c>
      <c r="F441" s="1" t="s">
        <v>112</v>
      </c>
      <c r="G441" s="1">
        <v>476009</v>
      </c>
    </row>
    <row r="442" spans="1:7" x14ac:dyDescent="0.3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2416</v>
      </c>
      <c r="D442" s="1" t="s">
        <v>1996</v>
      </c>
      <c r="E442" s="1" t="s">
        <v>2417</v>
      </c>
      <c r="F442" s="1" t="s">
        <v>112</v>
      </c>
      <c r="G442" s="1">
        <v>474495</v>
      </c>
    </row>
    <row r="443" spans="1:7" x14ac:dyDescent="0.3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3" s="1" t="s">
        <v>2418</v>
      </c>
    </row>
    <row r="444" spans="1:7" x14ac:dyDescent="0.3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2419</v>
      </c>
      <c r="D444" s="1" t="s">
        <v>1967</v>
      </c>
      <c r="E444" s="1" t="s">
        <v>2420</v>
      </c>
      <c r="F444" s="1" t="s">
        <v>112</v>
      </c>
      <c r="G444" s="1">
        <v>302278</v>
      </c>
    </row>
    <row r="445" spans="1:7" x14ac:dyDescent="0.3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2421</v>
      </c>
      <c r="D445" s="1" t="s">
        <v>1244</v>
      </c>
      <c r="E445" s="1" t="s">
        <v>2422</v>
      </c>
      <c r="F445" s="1" t="s">
        <v>112</v>
      </c>
      <c r="G445" s="1">
        <v>33007</v>
      </c>
    </row>
    <row r="446" spans="1:7" x14ac:dyDescent="0.3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6" s="1" t="s">
        <v>2423</v>
      </c>
      <c r="D446" s="1" t="s">
        <v>2424</v>
      </c>
      <c r="E446" s="1" t="s">
        <v>2425</v>
      </c>
      <c r="F446" s="1" t="s">
        <v>112</v>
      </c>
      <c r="G446" s="1">
        <v>647577</v>
      </c>
    </row>
    <row r="447" spans="1:7" x14ac:dyDescent="0.3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2426</v>
      </c>
      <c r="D447" s="1">
        <v>0</v>
      </c>
      <c r="E447" s="1">
        <v>0</v>
      </c>
      <c r="F447" s="1" t="s">
        <v>112</v>
      </c>
      <c r="G447" s="1">
        <v>0</v>
      </c>
    </row>
    <row r="448" spans="1:7" x14ac:dyDescent="0.3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2427</v>
      </c>
      <c r="D448" s="1" t="s">
        <v>1272</v>
      </c>
      <c r="E448" s="1" t="s">
        <v>2428</v>
      </c>
      <c r="F448" s="1" t="s">
        <v>112</v>
      </c>
      <c r="G448" s="1">
        <v>23512</v>
      </c>
    </row>
    <row r="449" spans="1:8" x14ac:dyDescent="0.3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9" s="1" t="s">
        <v>2429</v>
      </c>
      <c r="D449" s="1" t="s">
        <v>2430</v>
      </c>
      <c r="E449" s="1" t="s">
        <v>2431</v>
      </c>
      <c r="F449" s="1" t="s">
        <v>112</v>
      </c>
      <c r="G449" s="1">
        <v>25675</v>
      </c>
    </row>
    <row r="450" spans="1:8" x14ac:dyDescent="0.3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2432</v>
      </c>
      <c r="D450" s="1" t="s">
        <v>498</v>
      </c>
      <c r="E450" s="1" t="s">
        <v>2433</v>
      </c>
      <c r="F450" s="1" t="s">
        <v>112</v>
      </c>
      <c r="G450" s="1">
        <v>324989</v>
      </c>
    </row>
    <row r="451" spans="1:8" x14ac:dyDescent="0.3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2434</v>
      </c>
      <c r="D451" s="1" t="s">
        <v>2435</v>
      </c>
      <c r="E451" s="1" t="s">
        <v>2436</v>
      </c>
      <c r="F451" s="1" t="s">
        <v>112</v>
      </c>
      <c r="G451" s="1">
        <v>286228</v>
      </c>
    </row>
    <row r="452" spans="1:8" x14ac:dyDescent="0.3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2" s="1" t="s">
        <v>2437</v>
      </c>
      <c r="D452" s="1" t="s">
        <v>1364</v>
      </c>
      <c r="E452" s="1" t="s">
        <v>2438</v>
      </c>
      <c r="F452" s="1" t="s">
        <v>112</v>
      </c>
      <c r="G452" s="1">
        <v>288326</v>
      </c>
    </row>
    <row r="453" spans="1:8" x14ac:dyDescent="0.3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2439</v>
      </c>
      <c r="D453" s="1" t="s">
        <v>1358</v>
      </c>
      <c r="E453" s="1" t="s">
        <v>2440</v>
      </c>
      <c r="F453" s="1" t="s">
        <v>112</v>
      </c>
      <c r="G453" s="1">
        <v>205397</v>
      </c>
    </row>
    <row r="454" spans="1:8" x14ac:dyDescent="0.3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2441</v>
      </c>
      <c r="D454" s="1" t="s">
        <v>1189</v>
      </c>
      <c r="E454" s="1" t="s">
        <v>2442</v>
      </c>
      <c r="F454" s="1" t="s">
        <v>112</v>
      </c>
      <c r="G454" s="1">
        <v>373375</v>
      </c>
    </row>
    <row r="455" spans="1:8" x14ac:dyDescent="0.35">
      <c r="A455" s="1" t="str">
        <f t="shared" si="7"/>
        <v>12</v>
      </c>
      <c r="B4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5" s="1" t="s">
        <v>2443</v>
      </c>
      <c r="D455" s="1">
        <v>0</v>
      </c>
      <c r="E455" s="1">
        <v>0</v>
      </c>
      <c r="F455" s="1" t="s">
        <v>112</v>
      </c>
      <c r="G455" s="1">
        <v>0</v>
      </c>
    </row>
    <row r="456" spans="1:8"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112</v>
      </c>
    </row>
    <row r="457" spans="1:8"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7" s="1" t="s">
        <v>233</v>
      </c>
      <c r="D457" s="1" t="s">
        <v>112</v>
      </c>
      <c r="E457" s="1" t="s">
        <v>234</v>
      </c>
      <c r="F457" s="1" t="s">
        <v>235</v>
      </c>
      <c r="G457" s="1" t="s">
        <v>236</v>
      </c>
      <c r="H457" s="1" t="s">
        <v>1623</v>
      </c>
    </row>
    <row r="458" spans="1:8" x14ac:dyDescent="0.35">
      <c r="A458" s="1" t="str">
        <f t="shared" si="7"/>
        <v>12</v>
      </c>
      <c r="B4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8" s="1" t="s">
        <v>2444</v>
      </c>
      <c r="D458" s="1" t="s">
        <v>112</v>
      </c>
      <c r="E458" s="1" t="s">
        <v>2445</v>
      </c>
      <c r="F458" s="1" t="s">
        <v>2446</v>
      </c>
      <c r="G458" s="1" t="s">
        <v>2447</v>
      </c>
      <c r="H458" s="1" t="s">
        <v>2448</v>
      </c>
    </row>
    <row r="459" spans="1:8"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8"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8"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8"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8"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112</v>
      </c>
    </row>
    <row r="464" spans="1:8"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4" s="1" t="s">
        <v>166</v>
      </c>
      <c r="D464" s="1" t="s">
        <v>110</v>
      </c>
      <c r="E464" s="1" t="s">
        <v>111</v>
      </c>
      <c r="F464" s="1" t="s">
        <v>112</v>
      </c>
      <c r="G464" s="1" t="s">
        <v>113</v>
      </c>
    </row>
    <row r="465" spans="1:7" x14ac:dyDescent="0.3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2449</v>
      </c>
    </row>
    <row r="466" spans="1:7" x14ac:dyDescent="0.3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2450</v>
      </c>
    </row>
    <row r="467" spans="1:7" x14ac:dyDescent="0.3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7" s="1" t="s">
        <v>2451</v>
      </c>
    </row>
    <row r="468" spans="1:7" x14ac:dyDescent="0.3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2452</v>
      </c>
      <c r="D468" s="1" t="s">
        <v>590</v>
      </c>
      <c r="E468" s="1" t="s">
        <v>2453</v>
      </c>
      <c r="F468" s="1" t="s">
        <v>112</v>
      </c>
      <c r="G468" s="1">
        <v>100211</v>
      </c>
    </row>
    <row r="469" spans="1:7" x14ac:dyDescent="0.3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2454</v>
      </c>
      <c r="D469" s="1" t="s">
        <v>1046</v>
      </c>
      <c r="E469" s="1">
        <v>32</v>
      </c>
      <c r="F469" s="1" t="s">
        <v>112</v>
      </c>
      <c r="G469" s="1">
        <v>1384</v>
      </c>
    </row>
    <row r="470" spans="1:7" x14ac:dyDescent="0.3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70" s="1" t="s">
        <v>2455</v>
      </c>
      <c r="D470" s="1" t="s">
        <v>248</v>
      </c>
      <c r="E470" s="1" t="s">
        <v>2456</v>
      </c>
      <c r="F470" s="1" t="s">
        <v>112</v>
      </c>
      <c r="G470" s="1">
        <v>56778</v>
      </c>
    </row>
    <row r="471" spans="1:7" x14ac:dyDescent="0.3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2457</v>
      </c>
      <c r="D471" s="1" t="s">
        <v>2458</v>
      </c>
      <c r="E471" s="1" t="s">
        <v>2459</v>
      </c>
      <c r="F471" s="1" t="s">
        <v>112</v>
      </c>
      <c r="G471" s="1">
        <v>362798</v>
      </c>
    </row>
    <row r="472" spans="1:7" x14ac:dyDescent="0.3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2460</v>
      </c>
      <c r="D472" s="1" t="s">
        <v>1316</v>
      </c>
      <c r="E472" s="1" t="s">
        <v>2461</v>
      </c>
      <c r="F472" s="1" t="s">
        <v>112</v>
      </c>
      <c r="G472" s="1">
        <v>252464</v>
      </c>
    </row>
    <row r="473" spans="1:7" x14ac:dyDescent="0.3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3" s="1" t="s">
        <v>2462</v>
      </c>
      <c r="D473" s="1" t="s">
        <v>192</v>
      </c>
      <c r="E473" s="1" t="s">
        <v>2463</v>
      </c>
      <c r="F473" s="1" t="s">
        <v>112</v>
      </c>
      <c r="G473" s="1">
        <v>267735</v>
      </c>
    </row>
    <row r="474" spans="1:7" x14ac:dyDescent="0.3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2464</v>
      </c>
      <c r="D474" s="1" t="s">
        <v>1198</v>
      </c>
      <c r="E474" s="1" t="s">
        <v>2465</v>
      </c>
      <c r="F474" s="1" t="s">
        <v>112</v>
      </c>
      <c r="G474" s="1">
        <v>184070</v>
      </c>
    </row>
    <row r="475" spans="1:7" x14ac:dyDescent="0.3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2466</v>
      </c>
      <c r="D475" s="1" t="s">
        <v>2467</v>
      </c>
      <c r="E475" s="1" t="s">
        <v>2468</v>
      </c>
      <c r="F475" s="1" t="s">
        <v>112</v>
      </c>
      <c r="G475" s="1">
        <v>228779</v>
      </c>
    </row>
    <row r="476" spans="1:7" x14ac:dyDescent="0.3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6" s="1" t="s">
        <v>2469</v>
      </c>
      <c r="D476" s="1" t="s">
        <v>1901</v>
      </c>
      <c r="E476" s="1" t="s">
        <v>2470</v>
      </c>
      <c r="F476" s="1" t="s">
        <v>112</v>
      </c>
      <c r="G476" s="1">
        <v>18710</v>
      </c>
    </row>
    <row r="477" spans="1:7" x14ac:dyDescent="0.3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2471</v>
      </c>
      <c r="D477" s="1" t="s">
        <v>2472</v>
      </c>
      <c r="E477" s="1" t="s">
        <v>2473</v>
      </c>
      <c r="F477" s="1" t="s">
        <v>112</v>
      </c>
      <c r="G477" s="1">
        <v>112951</v>
      </c>
    </row>
    <row r="478" spans="1:7" x14ac:dyDescent="0.3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2474</v>
      </c>
      <c r="D478" s="1" t="s">
        <v>226</v>
      </c>
      <c r="E478" s="1" t="s">
        <v>2475</v>
      </c>
      <c r="F478" s="1" t="s">
        <v>112</v>
      </c>
      <c r="G478" s="1">
        <v>6078</v>
      </c>
    </row>
    <row r="479" spans="1:7" x14ac:dyDescent="0.3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9" s="1" t="s">
        <v>2476</v>
      </c>
      <c r="D479" s="1" t="s">
        <v>1046</v>
      </c>
      <c r="E479" s="1" t="s">
        <v>1047</v>
      </c>
      <c r="F479" s="1" t="s">
        <v>112</v>
      </c>
      <c r="G479" s="1">
        <v>1319</v>
      </c>
    </row>
    <row r="480" spans="1:7" x14ac:dyDescent="0.3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2477</v>
      </c>
      <c r="D480" s="1" t="s">
        <v>2478</v>
      </c>
      <c r="E480" s="1" t="s">
        <v>2479</v>
      </c>
      <c r="F480" s="1" t="s">
        <v>112</v>
      </c>
      <c r="G480" s="1">
        <v>291052</v>
      </c>
    </row>
    <row r="481" spans="1:8" x14ac:dyDescent="0.3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2480</v>
      </c>
      <c r="D481" s="1" t="s">
        <v>2481</v>
      </c>
      <c r="E481" s="1" t="s">
        <v>2482</v>
      </c>
      <c r="F481" s="1" t="s">
        <v>112</v>
      </c>
      <c r="G481" s="1">
        <v>349106</v>
      </c>
    </row>
    <row r="482" spans="1:8" x14ac:dyDescent="0.3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2" s="1" t="s">
        <v>2483</v>
      </c>
    </row>
    <row r="483" spans="1:8" x14ac:dyDescent="0.3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2484</v>
      </c>
      <c r="D483" s="1" t="s">
        <v>1702</v>
      </c>
      <c r="E483" s="1" t="s">
        <v>2485</v>
      </c>
      <c r="F483" s="1" t="s">
        <v>112</v>
      </c>
      <c r="G483" s="1">
        <v>14449</v>
      </c>
    </row>
    <row r="484" spans="1:8" x14ac:dyDescent="0.3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2486</v>
      </c>
      <c r="D484" s="1" t="s">
        <v>1607</v>
      </c>
      <c r="E484" s="1" t="s">
        <v>2487</v>
      </c>
      <c r="F484" s="1" t="s">
        <v>112</v>
      </c>
      <c r="G484" s="1">
        <v>79338</v>
      </c>
    </row>
    <row r="485" spans="1:8" x14ac:dyDescent="0.3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5" s="1" t="s">
        <v>2488</v>
      </c>
    </row>
    <row r="486" spans="1:8" x14ac:dyDescent="0.3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2489</v>
      </c>
      <c r="D486" s="1" t="s">
        <v>174</v>
      </c>
      <c r="E486" s="1" t="s">
        <v>2490</v>
      </c>
      <c r="F486" s="1" t="s">
        <v>112</v>
      </c>
      <c r="G486" s="1">
        <v>248938</v>
      </c>
    </row>
    <row r="487" spans="1:8" x14ac:dyDescent="0.3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2491</v>
      </c>
      <c r="D487" s="1" t="s">
        <v>2492</v>
      </c>
      <c r="E487" s="1">
        <v>35</v>
      </c>
      <c r="F487" s="1" t="s">
        <v>112</v>
      </c>
      <c r="G487" s="1">
        <v>117342</v>
      </c>
    </row>
    <row r="488" spans="1:8" x14ac:dyDescent="0.35">
      <c r="A488" s="1" t="str">
        <f t="shared" si="7"/>
        <v>17</v>
      </c>
      <c r="B4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8" s="1" t="s">
        <v>2493</v>
      </c>
      <c r="D488" s="1" t="s">
        <v>1517</v>
      </c>
      <c r="E488" s="1" t="s">
        <v>2494</v>
      </c>
      <c r="F488" s="1" t="s">
        <v>112</v>
      </c>
      <c r="G488" s="1">
        <v>71811</v>
      </c>
    </row>
    <row r="489" spans="1:8"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112</v>
      </c>
    </row>
    <row r="490" spans="1:8"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0" s="1" t="s">
        <v>233</v>
      </c>
      <c r="D490" s="1" t="s">
        <v>112</v>
      </c>
      <c r="E490" s="1" t="s">
        <v>234</v>
      </c>
      <c r="F490" s="1" t="s">
        <v>235</v>
      </c>
      <c r="G490" s="1" t="s">
        <v>236</v>
      </c>
      <c r="H490" s="1" t="s">
        <v>1623</v>
      </c>
    </row>
    <row r="491" spans="1:8" x14ac:dyDescent="0.35">
      <c r="A491" s="1" t="str">
        <f t="shared" si="7"/>
        <v>17</v>
      </c>
      <c r="B4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1" s="1" t="s">
        <v>2495</v>
      </c>
      <c r="D491" s="1" t="s">
        <v>112</v>
      </c>
      <c r="E491" s="1" t="s">
        <v>2496</v>
      </c>
      <c r="F491" s="1" t="s">
        <v>2497</v>
      </c>
      <c r="G491" s="1" t="s">
        <v>2498</v>
      </c>
      <c r="H491" s="1" t="s">
        <v>2499</v>
      </c>
    </row>
    <row r="492" spans="1:8"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8"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8"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8"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8"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112</v>
      </c>
    </row>
    <row r="497" spans="1:7"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7" s="1" t="s">
        <v>166</v>
      </c>
      <c r="D497" s="1" t="s">
        <v>110</v>
      </c>
      <c r="E497" s="1" t="s">
        <v>111</v>
      </c>
      <c r="F497" s="1" t="s">
        <v>112</v>
      </c>
      <c r="G497" s="1" t="s">
        <v>113</v>
      </c>
    </row>
    <row r="498" spans="1:7" x14ac:dyDescent="0.3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2500</v>
      </c>
    </row>
    <row r="499" spans="1:7" x14ac:dyDescent="0.3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2501</v>
      </c>
    </row>
    <row r="500" spans="1:7" x14ac:dyDescent="0.3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00" s="1" t="s">
        <v>2502</v>
      </c>
    </row>
    <row r="501" spans="1:7" x14ac:dyDescent="0.3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2503</v>
      </c>
      <c r="D501" s="1" t="s">
        <v>688</v>
      </c>
      <c r="E501" s="1" t="s">
        <v>2504</v>
      </c>
      <c r="F501" s="1" t="s">
        <v>112</v>
      </c>
      <c r="G501" s="1">
        <v>317548</v>
      </c>
    </row>
    <row r="502" spans="1:7" x14ac:dyDescent="0.3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2505</v>
      </c>
      <c r="D502" s="1" t="s">
        <v>1858</v>
      </c>
      <c r="E502" s="1" t="s">
        <v>2506</v>
      </c>
      <c r="F502" s="1" t="s">
        <v>112</v>
      </c>
      <c r="G502" s="1">
        <v>439714</v>
      </c>
    </row>
    <row r="503" spans="1:7" x14ac:dyDescent="0.3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3" s="1" t="s">
        <v>2507</v>
      </c>
    </row>
    <row r="504" spans="1:7" x14ac:dyDescent="0.3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2508</v>
      </c>
      <c r="D504" s="1" t="s">
        <v>195</v>
      </c>
      <c r="E504" s="1" t="s">
        <v>2509</v>
      </c>
      <c r="F504" s="1" t="s">
        <v>112</v>
      </c>
      <c r="G504" s="1">
        <v>107068</v>
      </c>
    </row>
    <row r="505" spans="1:7" x14ac:dyDescent="0.3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2510</v>
      </c>
      <c r="D505" s="1" t="s">
        <v>2511</v>
      </c>
      <c r="E505" s="1" t="s">
        <v>2512</v>
      </c>
      <c r="F505" s="1" t="s">
        <v>112</v>
      </c>
      <c r="G505" s="1">
        <v>97983</v>
      </c>
    </row>
    <row r="506" spans="1:7" x14ac:dyDescent="0.3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6" s="1" t="s">
        <v>2513</v>
      </c>
      <c r="D506" s="1" t="s">
        <v>486</v>
      </c>
      <c r="E506" s="1" t="s">
        <v>2514</v>
      </c>
      <c r="F506" s="1" t="s">
        <v>112</v>
      </c>
      <c r="G506" s="1">
        <v>126492</v>
      </c>
    </row>
    <row r="507" spans="1:7" x14ac:dyDescent="0.3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2515</v>
      </c>
      <c r="D507" s="1" t="s">
        <v>2516</v>
      </c>
      <c r="E507" s="1" t="s">
        <v>2517</v>
      </c>
      <c r="F507" s="1" t="s">
        <v>112</v>
      </c>
      <c r="G507" s="1">
        <v>132029</v>
      </c>
    </row>
    <row r="508" spans="1:7" x14ac:dyDescent="0.3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2518</v>
      </c>
      <c r="D508" s="1" t="s">
        <v>1227</v>
      </c>
      <c r="E508" s="1" t="s">
        <v>2519</v>
      </c>
      <c r="F508" s="1" t="s">
        <v>112</v>
      </c>
      <c r="G508" s="1">
        <v>161835</v>
      </c>
    </row>
    <row r="509" spans="1:7" x14ac:dyDescent="0.3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9" s="1" t="s">
        <v>2520</v>
      </c>
      <c r="D509" s="1" t="s">
        <v>1480</v>
      </c>
      <c r="E509" s="1" t="s">
        <v>1904</v>
      </c>
      <c r="F509" s="1" t="s">
        <v>112</v>
      </c>
      <c r="G509" s="1">
        <v>124394</v>
      </c>
    </row>
    <row r="510" spans="1:7" x14ac:dyDescent="0.3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2521</v>
      </c>
      <c r="D510" s="1" t="s">
        <v>650</v>
      </c>
      <c r="E510" s="1" t="s">
        <v>2522</v>
      </c>
      <c r="F510" s="1" t="s">
        <v>112</v>
      </c>
      <c r="G510" s="1">
        <v>270201</v>
      </c>
    </row>
    <row r="511" spans="1:7" x14ac:dyDescent="0.3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2523</v>
      </c>
      <c r="D511" s="1" t="s">
        <v>2524</v>
      </c>
      <c r="E511" s="1" t="s">
        <v>2525</v>
      </c>
      <c r="F511" s="1" t="s">
        <v>112</v>
      </c>
      <c r="G511" s="1">
        <v>214806</v>
      </c>
    </row>
    <row r="512" spans="1:7" x14ac:dyDescent="0.3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2" s="1" t="s">
        <v>2526</v>
      </c>
      <c r="D512" s="1" t="s">
        <v>1520</v>
      </c>
      <c r="E512" s="1" t="s">
        <v>2527</v>
      </c>
      <c r="F512" s="1" t="s">
        <v>112</v>
      </c>
      <c r="G512" s="1">
        <v>190819</v>
      </c>
    </row>
    <row r="513" spans="1:8" x14ac:dyDescent="0.3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2528</v>
      </c>
      <c r="D513" s="1" t="s">
        <v>2529</v>
      </c>
      <c r="E513" s="1" t="s">
        <v>2530</v>
      </c>
      <c r="F513" s="1" t="s">
        <v>112</v>
      </c>
      <c r="G513" s="1">
        <v>318392</v>
      </c>
    </row>
    <row r="514" spans="1:8" x14ac:dyDescent="0.3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2531</v>
      </c>
      <c r="D514" s="1" t="s">
        <v>2532</v>
      </c>
      <c r="E514" s="1" t="s">
        <v>2533</v>
      </c>
      <c r="F514" s="1" t="s">
        <v>112</v>
      </c>
      <c r="G514" s="1">
        <v>280215</v>
      </c>
    </row>
    <row r="515" spans="1:8" x14ac:dyDescent="0.3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5" s="1" t="s">
        <v>2534</v>
      </c>
    </row>
    <row r="516" spans="1:8" x14ac:dyDescent="0.3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2535</v>
      </c>
      <c r="D516" s="1" t="s">
        <v>688</v>
      </c>
      <c r="E516" s="1" t="s">
        <v>2536</v>
      </c>
      <c r="F516" s="1" t="s">
        <v>112</v>
      </c>
      <c r="G516" s="1">
        <v>272969</v>
      </c>
    </row>
    <row r="517" spans="1:8" x14ac:dyDescent="0.3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2537</v>
      </c>
      <c r="D517" s="1" t="s">
        <v>2538</v>
      </c>
      <c r="E517" s="1" t="s">
        <v>2539</v>
      </c>
      <c r="F517" s="1" t="s">
        <v>112</v>
      </c>
      <c r="G517" s="1">
        <v>46850</v>
      </c>
    </row>
    <row r="518" spans="1:8" x14ac:dyDescent="0.3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8" s="1" t="s">
        <v>2540</v>
      </c>
      <c r="D518" s="1" t="s">
        <v>1341</v>
      </c>
      <c r="E518" s="1" t="s">
        <v>2541</v>
      </c>
      <c r="F518" s="1" t="s">
        <v>112</v>
      </c>
      <c r="G518" s="1">
        <v>86130</v>
      </c>
    </row>
    <row r="519" spans="1:8" x14ac:dyDescent="0.3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2542</v>
      </c>
      <c r="D519" s="1" t="s">
        <v>572</v>
      </c>
      <c r="E519" s="1" t="s">
        <v>2543</v>
      </c>
      <c r="F519" s="1" t="s">
        <v>112</v>
      </c>
      <c r="G519" s="1">
        <v>168194</v>
      </c>
    </row>
    <row r="520" spans="1:8" x14ac:dyDescent="0.3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2544</v>
      </c>
      <c r="D520" s="1" t="s">
        <v>2545</v>
      </c>
      <c r="E520" s="1" t="s">
        <v>2546</v>
      </c>
      <c r="F520" s="1" t="s">
        <v>112</v>
      </c>
      <c r="G520" s="1">
        <v>427363</v>
      </c>
    </row>
    <row r="521" spans="1:8" x14ac:dyDescent="0.35">
      <c r="A521" s="1" t="str">
        <f t="shared" si="8"/>
        <v>18</v>
      </c>
      <c r="B5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1" s="1" t="s">
        <v>2547</v>
      </c>
      <c r="D521" s="1" t="s">
        <v>631</v>
      </c>
      <c r="E521" s="1" t="s">
        <v>2548</v>
      </c>
      <c r="F521" s="1" t="s">
        <v>112</v>
      </c>
      <c r="G521" s="1">
        <v>374046</v>
      </c>
    </row>
    <row r="522" spans="1:8"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112</v>
      </c>
    </row>
    <row r="523" spans="1:8"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3" s="1" t="s">
        <v>233</v>
      </c>
      <c r="D523" s="1" t="s">
        <v>112</v>
      </c>
      <c r="E523" s="1" t="s">
        <v>234</v>
      </c>
      <c r="F523" s="1" t="s">
        <v>235</v>
      </c>
      <c r="G523" s="1" t="s">
        <v>236</v>
      </c>
      <c r="H523" s="1" t="s">
        <v>1623</v>
      </c>
    </row>
    <row r="524" spans="1:8" x14ac:dyDescent="0.35">
      <c r="A524" s="1" t="str">
        <f t="shared" si="8"/>
        <v>18</v>
      </c>
      <c r="B5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4" s="1" t="s">
        <v>2549</v>
      </c>
      <c r="D524" s="1" t="s">
        <v>112</v>
      </c>
      <c r="E524" s="1" t="s">
        <v>2550</v>
      </c>
      <c r="F524" s="1" t="s">
        <v>2551</v>
      </c>
      <c r="G524" s="1" t="s">
        <v>2552</v>
      </c>
      <c r="H524" s="1" t="s">
        <v>2553</v>
      </c>
    </row>
    <row r="525" spans="1:8"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8"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8"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8"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112</v>
      </c>
    </row>
    <row r="530" spans="1:7"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0" s="1" t="s">
        <v>166</v>
      </c>
      <c r="D530" s="1" t="s">
        <v>110</v>
      </c>
      <c r="E530" s="1" t="s">
        <v>111</v>
      </c>
      <c r="F530" s="1" t="s">
        <v>112</v>
      </c>
      <c r="G530" s="1" t="s">
        <v>113</v>
      </c>
    </row>
    <row r="531" spans="1:7" x14ac:dyDescent="0.3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2554</v>
      </c>
      <c r="D531" s="1" t="s">
        <v>2555</v>
      </c>
      <c r="E531" s="1" t="s">
        <v>2556</v>
      </c>
      <c r="F531" s="1" t="s">
        <v>112</v>
      </c>
      <c r="G531" s="1">
        <v>474430</v>
      </c>
    </row>
    <row r="532" spans="1:7" x14ac:dyDescent="0.3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2557</v>
      </c>
    </row>
    <row r="533" spans="1:7" x14ac:dyDescent="0.3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3" s="1" t="s">
        <v>2558</v>
      </c>
      <c r="D533" s="1" t="s">
        <v>2559</v>
      </c>
      <c r="E533" s="1" t="s">
        <v>2560</v>
      </c>
      <c r="F533" s="1" t="s">
        <v>112</v>
      </c>
      <c r="G533" s="1">
        <v>767753</v>
      </c>
    </row>
    <row r="534" spans="1:7" x14ac:dyDescent="0.3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2561</v>
      </c>
      <c r="D534" s="1" t="s">
        <v>2562</v>
      </c>
      <c r="E534" s="1">
        <v>37</v>
      </c>
      <c r="F534" s="1" t="s">
        <v>112</v>
      </c>
      <c r="G534" s="1">
        <v>188072</v>
      </c>
    </row>
    <row r="535" spans="1:7" x14ac:dyDescent="0.3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2563</v>
      </c>
      <c r="D535" s="1">
        <v>0</v>
      </c>
      <c r="E535" s="1">
        <v>0</v>
      </c>
      <c r="F535" s="1" t="s">
        <v>112</v>
      </c>
      <c r="G535" s="1">
        <v>0</v>
      </c>
    </row>
    <row r="536" spans="1:7" x14ac:dyDescent="0.3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6" s="1" t="s">
        <v>2564</v>
      </c>
      <c r="D536" s="1" t="s">
        <v>1408</v>
      </c>
      <c r="E536" s="1" t="s">
        <v>2565</v>
      </c>
      <c r="F536" s="1" t="s">
        <v>112</v>
      </c>
      <c r="G536" s="1">
        <v>109188</v>
      </c>
    </row>
    <row r="537" spans="1:7" x14ac:dyDescent="0.3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2566</v>
      </c>
    </row>
    <row r="538" spans="1:7" x14ac:dyDescent="0.3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2567</v>
      </c>
      <c r="D538" s="1" t="s">
        <v>1466</v>
      </c>
      <c r="E538" s="1" t="s">
        <v>2568</v>
      </c>
      <c r="F538" s="1" t="s">
        <v>112</v>
      </c>
      <c r="G538" s="1">
        <v>95647</v>
      </c>
    </row>
    <row r="539" spans="1:7" x14ac:dyDescent="0.3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9" s="1" t="s">
        <v>2569</v>
      </c>
      <c r="D539" s="1" t="s">
        <v>210</v>
      </c>
      <c r="E539" s="1" t="s">
        <v>2570</v>
      </c>
      <c r="F539" s="1" t="s">
        <v>112</v>
      </c>
      <c r="G539" s="1">
        <v>106787</v>
      </c>
    </row>
    <row r="540" spans="1:7" x14ac:dyDescent="0.3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2571</v>
      </c>
      <c r="D540" s="1">
        <v>0</v>
      </c>
      <c r="E540" s="1">
        <v>0</v>
      </c>
      <c r="F540" s="1" t="s">
        <v>112</v>
      </c>
      <c r="G540" s="1">
        <v>0</v>
      </c>
    </row>
    <row r="541" spans="1:7" x14ac:dyDescent="0.3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2572</v>
      </c>
      <c r="D541" s="1" t="s">
        <v>2573</v>
      </c>
      <c r="E541" s="1" t="s">
        <v>2574</v>
      </c>
      <c r="F541" s="1" t="s">
        <v>112</v>
      </c>
      <c r="G541" s="1">
        <v>214504</v>
      </c>
    </row>
    <row r="542" spans="1:7" x14ac:dyDescent="0.3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2" s="1" t="s">
        <v>2575</v>
      </c>
      <c r="D542" s="1">
        <v>0</v>
      </c>
      <c r="E542" s="1">
        <v>0</v>
      </c>
      <c r="F542" s="1" t="s">
        <v>112</v>
      </c>
      <c r="G542" s="1">
        <v>0</v>
      </c>
    </row>
    <row r="543" spans="1:7" x14ac:dyDescent="0.3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2576</v>
      </c>
      <c r="D543" s="1" t="s">
        <v>1014</v>
      </c>
      <c r="E543" s="1" t="s">
        <v>2577</v>
      </c>
      <c r="F543" s="1" t="s">
        <v>112</v>
      </c>
      <c r="G543" s="1">
        <v>372207</v>
      </c>
    </row>
    <row r="544" spans="1:7" x14ac:dyDescent="0.3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2578</v>
      </c>
      <c r="D544" s="1" t="s">
        <v>2579</v>
      </c>
      <c r="E544" s="1" t="s">
        <v>2580</v>
      </c>
      <c r="F544" s="1" t="s">
        <v>112</v>
      </c>
      <c r="G544" s="1">
        <v>280215</v>
      </c>
    </row>
    <row r="545" spans="1:8" x14ac:dyDescent="0.3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5" s="1" t="s">
        <v>2581</v>
      </c>
      <c r="D545" s="1" t="s">
        <v>1017</v>
      </c>
      <c r="E545" s="1" t="s">
        <v>2582</v>
      </c>
      <c r="F545" s="1" t="s">
        <v>112</v>
      </c>
      <c r="G545" s="1">
        <v>320209</v>
      </c>
    </row>
    <row r="546" spans="1:8" x14ac:dyDescent="0.3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2583</v>
      </c>
    </row>
    <row r="547" spans="1:8" x14ac:dyDescent="0.3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2584</v>
      </c>
    </row>
    <row r="548" spans="1:8" x14ac:dyDescent="0.3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8" s="1" t="s">
        <v>2585</v>
      </c>
    </row>
    <row r="549" spans="1:8" x14ac:dyDescent="0.3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2586</v>
      </c>
      <c r="D549" s="1" t="s">
        <v>2587</v>
      </c>
      <c r="E549" s="1" t="s">
        <v>2588</v>
      </c>
      <c r="F549" s="1" t="s">
        <v>112</v>
      </c>
      <c r="G549" s="1">
        <v>258629</v>
      </c>
    </row>
    <row r="550" spans="1:8" x14ac:dyDescent="0.3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2589</v>
      </c>
      <c r="D550" s="1" t="s">
        <v>452</v>
      </c>
      <c r="E550" s="1">
        <v>30</v>
      </c>
      <c r="F550" s="1" t="s">
        <v>112</v>
      </c>
      <c r="G550" s="1">
        <v>649</v>
      </c>
    </row>
    <row r="551" spans="1:8" x14ac:dyDescent="0.3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1" s="1" t="s">
        <v>2590</v>
      </c>
      <c r="D551" s="1">
        <v>0</v>
      </c>
      <c r="E551" s="1">
        <v>0</v>
      </c>
      <c r="F551" s="1" t="s">
        <v>112</v>
      </c>
      <c r="G551" s="1">
        <v>0</v>
      </c>
    </row>
    <row r="552" spans="1:8" x14ac:dyDescent="0.3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2591</v>
      </c>
      <c r="D552" s="1" t="s">
        <v>2592</v>
      </c>
      <c r="E552" s="1" t="s">
        <v>2593</v>
      </c>
      <c r="F552" s="1" t="s">
        <v>112</v>
      </c>
      <c r="G552" s="1">
        <v>20786</v>
      </c>
    </row>
    <row r="553" spans="1:8" x14ac:dyDescent="0.3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2594</v>
      </c>
      <c r="D553" s="1">
        <v>0</v>
      </c>
      <c r="E553" s="1">
        <v>0</v>
      </c>
      <c r="F553" s="1" t="s">
        <v>112</v>
      </c>
      <c r="G553" s="1">
        <v>0</v>
      </c>
    </row>
    <row r="554" spans="1:8" x14ac:dyDescent="0.35">
      <c r="A554" s="1" t="str">
        <f t="shared" si="8"/>
        <v>19</v>
      </c>
      <c r="B5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4" s="1" t="s">
        <v>2595</v>
      </c>
      <c r="D554" s="1">
        <v>0</v>
      </c>
      <c r="E554" s="1">
        <v>0</v>
      </c>
      <c r="F554" s="1" t="s">
        <v>112</v>
      </c>
      <c r="G554" s="1">
        <v>0</v>
      </c>
    </row>
    <row r="555" spans="1:8"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112</v>
      </c>
    </row>
    <row r="556" spans="1:8"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6" s="1" t="s">
        <v>233</v>
      </c>
      <c r="D556" s="1" t="s">
        <v>112</v>
      </c>
      <c r="E556" s="1" t="s">
        <v>234</v>
      </c>
      <c r="F556" s="1" t="s">
        <v>235</v>
      </c>
      <c r="G556" s="1" t="s">
        <v>236</v>
      </c>
      <c r="H556" s="1" t="s">
        <v>1623</v>
      </c>
    </row>
    <row r="557" spans="1:8" x14ac:dyDescent="0.35">
      <c r="A557" s="1" t="str">
        <f t="shared" si="8"/>
        <v>19</v>
      </c>
      <c r="B5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7" s="1" t="s">
        <v>2596</v>
      </c>
      <c r="D557" s="1" t="s">
        <v>112</v>
      </c>
      <c r="E557" s="1" t="s">
        <v>2597</v>
      </c>
      <c r="F557" s="1" t="s">
        <v>2598</v>
      </c>
      <c r="G557" s="1" t="s">
        <v>2599</v>
      </c>
      <c r="H557" s="1" t="s">
        <v>2600</v>
      </c>
    </row>
    <row r="558" spans="1:8"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8"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8"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112</v>
      </c>
    </row>
    <row r="563" spans="1:7"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3" s="1" t="s">
        <v>166</v>
      </c>
      <c r="D563" s="1" t="s">
        <v>110</v>
      </c>
      <c r="E563" s="1" t="s">
        <v>111</v>
      </c>
      <c r="F563" s="1" t="s">
        <v>112</v>
      </c>
      <c r="G563" s="1" t="s">
        <v>113</v>
      </c>
    </row>
    <row r="564" spans="1:7" x14ac:dyDescent="0.3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2601</v>
      </c>
    </row>
    <row r="565" spans="1:7" x14ac:dyDescent="0.3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2602</v>
      </c>
    </row>
    <row r="566" spans="1:7" x14ac:dyDescent="0.3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6" s="1" t="s">
        <v>2603</v>
      </c>
    </row>
    <row r="567" spans="1:7" x14ac:dyDescent="0.3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2604</v>
      </c>
      <c r="D567" s="1" t="s">
        <v>452</v>
      </c>
      <c r="E567" s="1">
        <v>30</v>
      </c>
      <c r="F567" s="1" t="s">
        <v>112</v>
      </c>
      <c r="G567" s="1">
        <v>649</v>
      </c>
    </row>
    <row r="568" spans="1:7" x14ac:dyDescent="0.3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2605</v>
      </c>
      <c r="D568" s="1" t="s">
        <v>2606</v>
      </c>
      <c r="E568" s="1" t="s">
        <v>2607</v>
      </c>
      <c r="F568" s="1" t="s">
        <v>112</v>
      </c>
      <c r="G568" s="1">
        <v>91754</v>
      </c>
    </row>
    <row r="569" spans="1:7" x14ac:dyDescent="0.3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9" s="1" t="s">
        <v>2608</v>
      </c>
      <c r="D569" s="1" t="s">
        <v>1120</v>
      </c>
      <c r="E569" s="1" t="s">
        <v>2609</v>
      </c>
      <c r="F569" s="1" t="s">
        <v>112</v>
      </c>
      <c r="G569" s="1">
        <v>57882</v>
      </c>
    </row>
    <row r="570" spans="1:7" x14ac:dyDescent="0.3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2610</v>
      </c>
      <c r="D570" s="1" t="s">
        <v>1232</v>
      </c>
      <c r="E570" s="1" t="s">
        <v>2611</v>
      </c>
      <c r="F570" s="1" t="s">
        <v>112</v>
      </c>
      <c r="G570" s="1">
        <v>65582</v>
      </c>
    </row>
    <row r="571" spans="1:7" x14ac:dyDescent="0.3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2612</v>
      </c>
      <c r="D571" s="1" t="s">
        <v>2613</v>
      </c>
      <c r="E571" s="1" t="s">
        <v>2614</v>
      </c>
      <c r="F571" s="1" t="s">
        <v>112</v>
      </c>
      <c r="G571" s="1">
        <v>416397</v>
      </c>
    </row>
    <row r="572" spans="1:7" x14ac:dyDescent="0.3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2" s="1" t="s">
        <v>2615</v>
      </c>
      <c r="D572" s="1" t="s">
        <v>474</v>
      </c>
      <c r="E572" s="1" t="s">
        <v>2616</v>
      </c>
      <c r="F572" s="1" t="s">
        <v>112</v>
      </c>
      <c r="G572" s="1">
        <v>365091</v>
      </c>
    </row>
    <row r="573" spans="1:7" x14ac:dyDescent="0.3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2617</v>
      </c>
      <c r="D573" s="1" t="s">
        <v>2618</v>
      </c>
      <c r="E573" s="1" t="s">
        <v>2619</v>
      </c>
      <c r="F573" s="1" t="s">
        <v>112</v>
      </c>
      <c r="G573" s="1">
        <v>205700</v>
      </c>
    </row>
    <row r="574" spans="1:7" x14ac:dyDescent="0.3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2620</v>
      </c>
      <c r="D574" s="1" t="s">
        <v>723</v>
      </c>
      <c r="E574" s="1" t="s">
        <v>2621</v>
      </c>
      <c r="F574" s="1" t="s">
        <v>112</v>
      </c>
      <c r="G574" s="1">
        <v>70449</v>
      </c>
    </row>
    <row r="575" spans="1:7" x14ac:dyDescent="0.3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5" s="1" t="s">
        <v>2622</v>
      </c>
      <c r="D575" s="1" t="s">
        <v>2623</v>
      </c>
      <c r="E575" s="1" t="s">
        <v>2624</v>
      </c>
      <c r="F575" s="1" t="s">
        <v>112</v>
      </c>
      <c r="G575" s="1">
        <v>223956</v>
      </c>
    </row>
    <row r="576" spans="1:7" x14ac:dyDescent="0.3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2625</v>
      </c>
      <c r="D576" s="1" t="s">
        <v>2626</v>
      </c>
      <c r="E576" s="1" t="s">
        <v>2627</v>
      </c>
      <c r="F576" s="1" t="s">
        <v>112</v>
      </c>
      <c r="G576" s="1">
        <v>39691</v>
      </c>
    </row>
    <row r="577" spans="1:8" x14ac:dyDescent="0.3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2628</v>
      </c>
    </row>
    <row r="578" spans="1:8" x14ac:dyDescent="0.3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8" s="1" t="s">
        <v>2629</v>
      </c>
    </row>
    <row r="579" spans="1:8" x14ac:dyDescent="0.3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2630</v>
      </c>
      <c r="D579" s="1" t="s">
        <v>1911</v>
      </c>
      <c r="E579" s="1" t="s">
        <v>2631</v>
      </c>
      <c r="F579" s="1" t="s">
        <v>112</v>
      </c>
      <c r="G579" s="1">
        <v>51782</v>
      </c>
    </row>
    <row r="580" spans="1:8" x14ac:dyDescent="0.3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2632</v>
      </c>
      <c r="D580" s="1" t="s">
        <v>1344</v>
      </c>
      <c r="E580" s="1" t="s">
        <v>2633</v>
      </c>
      <c r="F580" s="1" t="s">
        <v>112</v>
      </c>
      <c r="G580" s="1">
        <v>60174</v>
      </c>
    </row>
    <row r="581" spans="1:8" x14ac:dyDescent="0.3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1" s="1" t="s">
        <v>2634</v>
      </c>
      <c r="D581" s="1" t="s">
        <v>1607</v>
      </c>
      <c r="E581" s="1" t="s">
        <v>2627</v>
      </c>
      <c r="F581" s="1" t="s">
        <v>112</v>
      </c>
      <c r="G581" s="1">
        <v>79382</v>
      </c>
    </row>
    <row r="582" spans="1:8" x14ac:dyDescent="0.3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2635</v>
      </c>
      <c r="D582" s="1" t="s">
        <v>1183</v>
      </c>
      <c r="E582" s="1" t="s">
        <v>2636</v>
      </c>
      <c r="F582" s="1" t="s">
        <v>112</v>
      </c>
      <c r="G582" s="1">
        <v>169600</v>
      </c>
    </row>
    <row r="583" spans="1:8" x14ac:dyDescent="0.3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2637</v>
      </c>
      <c r="D583" s="1" t="s">
        <v>2638</v>
      </c>
      <c r="E583" s="1" t="s">
        <v>2639</v>
      </c>
      <c r="F583" s="1" t="s">
        <v>112</v>
      </c>
      <c r="G583" s="1">
        <v>263950</v>
      </c>
    </row>
    <row r="584" spans="1:8" x14ac:dyDescent="0.3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4" s="1" t="s">
        <v>2640</v>
      </c>
    </row>
    <row r="585" spans="1:8" x14ac:dyDescent="0.3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2641</v>
      </c>
      <c r="D585" s="1" t="s">
        <v>2642</v>
      </c>
      <c r="E585" s="1" t="s">
        <v>2643</v>
      </c>
      <c r="F585" s="1" t="s">
        <v>112</v>
      </c>
      <c r="G585" s="1">
        <v>539666</v>
      </c>
    </row>
    <row r="586" spans="1:8" x14ac:dyDescent="0.3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2644</v>
      </c>
      <c r="D586" s="1" t="s">
        <v>1026</v>
      </c>
      <c r="E586" s="1" t="s">
        <v>2645</v>
      </c>
      <c r="F586" s="1" t="s">
        <v>112</v>
      </c>
      <c r="G586" s="1">
        <v>323951</v>
      </c>
    </row>
    <row r="587" spans="1:8" x14ac:dyDescent="0.35">
      <c r="A587" s="1" t="str">
        <f t="shared" si="9"/>
        <v>20</v>
      </c>
      <c r="B5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7" s="1" t="s">
        <v>2646</v>
      </c>
      <c r="D587" s="1" t="s">
        <v>1017</v>
      </c>
      <c r="E587" s="1" t="s">
        <v>2647</v>
      </c>
      <c r="F587" s="1" t="s">
        <v>112</v>
      </c>
      <c r="G587" s="1">
        <v>326395</v>
      </c>
    </row>
    <row r="588" spans="1:8"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112</v>
      </c>
    </row>
    <row r="589" spans="1:8"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9" s="1" t="s">
        <v>233</v>
      </c>
      <c r="D589" s="1" t="s">
        <v>112</v>
      </c>
      <c r="E589" s="1" t="s">
        <v>234</v>
      </c>
      <c r="F589" s="1" t="s">
        <v>235</v>
      </c>
      <c r="G589" s="1" t="s">
        <v>236</v>
      </c>
      <c r="H589" s="1" t="s">
        <v>1623</v>
      </c>
    </row>
    <row r="590" spans="1:8" x14ac:dyDescent="0.35">
      <c r="A590" s="1" t="str">
        <f t="shared" si="9"/>
        <v>20</v>
      </c>
      <c r="B5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90" s="1" t="s">
        <v>2648</v>
      </c>
      <c r="D590" s="1" t="s">
        <v>112</v>
      </c>
      <c r="E590" s="1" t="s">
        <v>2649</v>
      </c>
      <c r="F590" s="1" t="s">
        <v>2650</v>
      </c>
      <c r="G590" s="1" t="s">
        <v>2651</v>
      </c>
      <c r="H590" s="1" t="s">
        <v>2652</v>
      </c>
    </row>
    <row r="591" spans="1:8"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8"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112</v>
      </c>
    </row>
    <row r="596" spans="1:7"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6" s="1" t="s">
        <v>166</v>
      </c>
      <c r="D596" s="1" t="s">
        <v>110</v>
      </c>
      <c r="E596" s="1" t="s">
        <v>111</v>
      </c>
      <c r="F596" s="1" t="s">
        <v>112</v>
      </c>
      <c r="G596" s="1" t="s">
        <v>113</v>
      </c>
    </row>
    <row r="597" spans="1:7" x14ac:dyDescent="0.3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2653</v>
      </c>
    </row>
    <row r="598" spans="1:7" x14ac:dyDescent="0.3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2654</v>
      </c>
    </row>
    <row r="599" spans="1:7" x14ac:dyDescent="0.3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9" s="1" t="s">
        <v>2655</v>
      </c>
    </row>
    <row r="600" spans="1:7" x14ac:dyDescent="0.3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2656</v>
      </c>
      <c r="D600" s="1" t="s">
        <v>1113</v>
      </c>
      <c r="E600" s="1" t="s">
        <v>2657</v>
      </c>
      <c r="F600" s="1" t="s">
        <v>112</v>
      </c>
      <c r="G600" s="1">
        <v>5234</v>
      </c>
    </row>
    <row r="601" spans="1:7" x14ac:dyDescent="0.3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2658</v>
      </c>
      <c r="D601" s="1" t="s">
        <v>1486</v>
      </c>
      <c r="E601" s="1" t="s">
        <v>2659</v>
      </c>
      <c r="F601" s="1" t="s">
        <v>112</v>
      </c>
      <c r="G601" s="1">
        <v>49532</v>
      </c>
    </row>
    <row r="602" spans="1:7" x14ac:dyDescent="0.3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2" s="1" t="s">
        <v>2660</v>
      </c>
      <c r="D602" s="1" t="s">
        <v>601</v>
      </c>
      <c r="E602" s="1" t="s">
        <v>2661</v>
      </c>
      <c r="F602" s="1" t="s">
        <v>112</v>
      </c>
      <c r="G602" s="1">
        <v>116196</v>
      </c>
    </row>
    <row r="603" spans="1:7" x14ac:dyDescent="0.3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2662</v>
      </c>
      <c r="D603" s="1" t="s">
        <v>2663</v>
      </c>
      <c r="E603" s="1" t="s">
        <v>2664</v>
      </c>
      <c r="F603" s="1" t="s">
        <v>112</v>
      </c>
      <c r="G603" s="1">
        <v>185411</v>
      </c>
    </row>
    <row r="604" spans="1:7" x14ac:dyDescent="0.3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2665</v>
      </c>
      <c r="D604" s="1" t="s">
        <v>623</v>
      </c>
      <c r="E604" s="1" t="s">
        <v>2666</v>
      </c>
      <c r="F604" s="1" t="s">
        <v>112</v>
      </c>
      <c r="G604" s="1">
        <v>27340</v>
      </c>
    </row>
    <row r="605" spans="1:7" x14ac:dyDescent="0.3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5" s="1" t="s">
        <v>2667</v>
      </c>
      <c r="D605" s="1" t="s">
        <v>2668</v>
      </c>
      <c r="E605" s="1" t="s">
        <v>2669</v>
      </c>
      <c r="F605" s="1" t="s">
        <v>112</v>
      </c>
      <c r="G605" s="1">
        <v>240113</v>
      </c>
    </row>
    <row r="606" spans="1:7" x14ac:dyDescent="0.3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2670</v>
      </c>
      <c r="D606" s="1" t="s">
        <v>2671</v>
      </c>
      <c r="E606" s="1" t="s">
        <v>2672</v>
      </c>
      <c r="F606" s="1" t="s">
        <v>112</v>
      </c>
      <c r="G606" s="1">
        <v>336756</v>
      </c>
    </row>
    <row r="607" spans="1:7" x14ac:dyDescent="0.3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2673</v>
      </c>
      <c r="D607" s="1" t="s">
        <v>2623</v>
      </c>
      <c r="E607" s="1" t="s">
        <v>2674</v>
      </c>
      <c r="F607" s="1" t="s">
        <v>112</v>
      </c>
      <c r="G607" s="1">
        <v>251318</v>
      </c>
    </row>
    <row r="608" spans="1:7" x14ac:dyDescent="0.3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8" s="1" t="s">
        <v>2675</v>
      </c>
      <c r="D608" s="1" t="s">
        <v>2676</v>
      </c>
      <c r="E608" s="1" t="s">
        <v>2677</v>
      </c>
      <c r="F608" s="1" t="s">
        <v>112</v>
      </c>
      <c r="G608" s="1">
        <v>272515</v>
      </c>
    </row>
    <row r="609" spans="1:8" x14ac:dyDescent="0.3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2678</v>
      </c>
      <c r="D609" s="1" t="s">
        <v>2679</v>
      </c>
      <c r="E609" s="1" t="s">
        <v>2680</v>
      </c>
      <c r="F609" s="1" t="s">
        <v>112</v>
      </c>
      <c r="G609" s="1">
        <v>279718</v>
      </c>
    </row>
    <row r="610" spans="1:8" x14ac:dyDescent="0.3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2681</v>
      </c>
      <c r="D610" s="1" t="s">
        <v>2682</v>
      </c>
      <c r="E610" s="1" t="s">
        <v>2683</v>
      </c>
      <c r="F610" s="1" t="s">
        <v>112</v>
      </c>
      <c r="G610" s="1">
        <v>453730</v>
      </c>
    </row>
    <row r="611" spans="1:8" x14ac:dyDescent="0.3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1" s="1" t="s">
        <v>2684</v>
      </c>
      <c r="D611" s="1" t="s">
        <v>785</v>
      </c>
      <c r="E611" s="1" t="s">
        <v>2685</v>
      </c>
      <c r="F611" s="1" t="s">
        <v>112</v>
      </c>
      <c r="G611" s="1">
        <v>387608</v>
      </c>
    </row>
    <row r="612" spans="1:8" x14ac:dyDescent="0.3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2686</v>
      </c>
      <c r="D612" s="1" t="s">
        <v>242</v>
      </c>
      <c r="E612" s="1" t="s">
        <v>2687</v>
      </c>
      <c r="F612" s="1" t="s">
        <v>112</v>
      </c>
      <c r="G612" s="1">
        <v>83232</v>
      </c>
    </row>
    <row r="613" spans="1:8" x14ac:dyDescent="0.3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2688</v>
      </c>
      <c r="D613" s="1" t="s">
        <v>210</v>
      </c>
      <c r="E613" s="1" t="s">
        <v>2689</v>
      </c>
      <c r="F613" s="1" t="s">
        <v>112</v>
      </c>
      <c r="G613" s="1">
        <v>108193</v>
      </c>
    </row>
    <row r="614" spans="1:8" x14ac:dyDescent="0.3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4" s="1" t="s">
        <v>2690</v>
      </c>
      <c r="D614" s="1" t="s">
        <v>952</v>
      </c>
      <c r="E614" s="1" t="s">
        <v>999</v>
      </c>
      <c r="F614" s="1" t="s">
        <v>112</v>
      </c>
      <c r="G614" s="1">
        <v>4780</v>
      </c>
    </row>
    <row r="615" spans="1:8" x14ac:dyDescent="0.3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2691</v>
      </c>
      <c r="D615" s="1" t="s">
        <v>2692</v>
      </c>
      <c r="E615" s="1" t="s">
        <v>2693</v>
      </c>
      <c r="F615" s="1" t="s">
        <v>112</v>
      </c>
      <c r="G615" s="1">
        <v>479708</v>
      </c>
    </row>
    <row r="616" spans="1:8" x14ac:dyDescent="0.3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2694</v>
      </c>
      <c r="D616" s="1" t="s">
        <v>2695</v>
      </c>
      <c r="E616" s="1" t="s">
        <v>2696</v>
      </c>
      <c r="F616" s="1" t="s">
        <v>112</v>
      </c>
      <c r="G616" s="1">
        <v>427774</v>
      </c>
    </row>
    <row r="617" spans="1:8" x14ac:dyDescent="0.3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7" s="1" t="s">
        <v>2697</v>
      </c>
      <c r="D617" s="1" t="s">
        <v>2698</v>
      </c>
      <c r="E617" s="1" t="s">
        <v>2699</v>
      </c>
      <c r="F617" s="1" t="s">
        <v>112</v>
      </c>
      <c r="G617" s="1">
        <v>511396</v>
      </c>
    </row>
    <row r="618" spans="1:8" x14ac:dyDescent="0.3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2700</v>
      </c>
    </row>
    <row r="619" spans="1:8" x14ac:dyDescent="0.3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2701</v>
      </c>
    </row>
    <row r="620" spans="1:8" x14ac:dyDescent="0.35">
      <c r="A620" s="1" t="str">
        <f t="shared" si="9"/>
        <v>21</v>
      </c>
      <c r="B6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20" s="1" t="s">
        <v>2702</v>
      </c>
    </row>
    <row r="621" spans="1:8"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112</v>
      </c>
    </row>
    <row r="622" spans="1:8"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2" s="1" t="s">
        <v>233</v>
      </c>
      <c r="D622" s="1" t="s">
        <v>112</v>
      </c>
      <c r="E622" s="1" t="s">
        <v>234</v>
      </c>
      <c r="F622" s="1" t="s">
        <v>235</v>
      </c>
      <c r="G622" s="1" t="s">
        <v>236</v>
      </c>
      <c r="H622" s="1" t="s">
        <v>1623</v>
      </c>
    </row>
    <row r="623" spans="1:8" x14ac:dyDescent="0.35">
      <c r="A623" s="1" t="str">
        <f t="shared" si="9"/>
        <v>21</v>
      </c>
      <c r="B6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3" s="1" t="s">
        <v>2703</v>
      </c>
      <c r="D623" s="1" t="s">
        <v>112</v>
      </c>
      <c r="E623" s="1" t="s">
        <v>2704</v>
      </c>
      <c r="F623" s="1" t="s">
        <v>2705</v>
      </c>
      <c r="G623" s="1" t="s">
        <v>2706</v>
      </c>
      <c r="H623" s="1" t="s">
        <v>2707</v>
      </c>
    </row>
    <row r="624" spans="1:8"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112</v>
      </c>
    </row>
    <row r="629" spans="1:7"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9" s="1" t="s">
        <v>166</v>
      </c>
      <c r="D629" s="1" t="s">
        <v>110</v>
      </c>
      <c r="E629" s="1" t="s">
        <v>111</v>
      </c>
      <c r="F629" s="1" t="s">
        <v>112</v>
      </c>
      <c r="G629" s="1" t="s">
        <v>113</v>
      </c>
    </row>
    <row r="630" spans="1:7" x14ac:dyDescent="0.3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2708</v>
      </c>
      <c r="D630" s="1" t="s">
        <v>2350</v>
      </c>
      <c r="E630" s="1" t="s">
        <v>2709</v>
      </c>
      <c r="F630" s="1" t="s">
        <v>112</v>
      </c>
      <c r="G630" s="1">
        <v>116239</v>
      </c>
    </row>
    <row r="631" spans="1:7" x14ac:dyDescent="0.3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2710</v>
      </c>
      <c r="D631" s="1" t="s">
        <v>1006</v>
      </c>
      <c r="E631" s="1" t="s">
        <v>2711</v>
      </c>
      <c r="F631" s="1" t="s">
        <v>112</v>
      </c>
      <c r="G631" s="1">
        <v>196724</v>
      </c>
    </row>
    <row r="632" spans="1:7" x14ac:dyDescent="0.3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2" s="1" t="s">
        <v>2712</v>
      </c>
      <c r="D632" s="1" t="s">
        <v>495</v>
      </c>
      <c r="E632" s="1" t="s">
        <v>2713</v>
      </c>
      <c r="F632" s="1" t="s">
        <v>112</v>
      </c>
      <c r="G632" s="1">
        <v>186277</v>
      </c>
    </row>
    <row r="633" spans="1:7" x14ac:dyDescent="0.3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2714</v>
      </c>
      <c r="D633" s="1" t="s">
        <v>932</v>
      </c>
      <c r="E633" s="1" t="s">
        <v>1936</v>
      </c>
      <c r="F633" s="1" t="s">
        <v>112</v>
      </c>
      <c r="G633" s="1">
        <v>13584</v>
      </c>
    </row>
    <row r="634" spans="1:7" x14ac:dyDescent="0.3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2715</v>
      </c>
      <c r="D634" s="1" t="s">
        <v>1404</v>
      </c>
      <c r="E634" s="1" t="s">
        <v>2716</v>
      </c>
      <c r="F634" s="1" t="s">
        <v>112</v>
      </c>
      <c r="G634" s="1">
        <v>85352</v>
      </c>
    </row>
    <row r="635" spans="1:7" x14ac:dyDescent="0.3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5" s="1" t="s">
        <v>2717</v>
      </c>
      <c r="D635" s="1" t="s">
        <v>1930</v>
      </c>
      <c r="E635" s="1" t="s">
        <v>2718</v>
      </c>
      <c r="F635" s="1" t="s">
        <v>112</v>
      </c>
      <c r="G635" s="1">
        <v>64717</v>
      </c>
    </row>
    <row r="636" spans="1:7" x14ac:dyDescent="0.3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2719</v>
      </c>
      <c r="D636" s="1" t="s">
        <v>2720</v>
      </c>
      <c r="E636" s="1" t="s">
        <v>2721</v>
      </c>
      <c r="F636" s="1" t="s">
        <v>112</v>
      </c>
      <c r="G636" s="1">
        <v>9214</v>
      </c>
    </row>
    <row r="637" spans="1:7" x14ac:dyDescent="0.3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2722</v>
      </c>
      <c r="D637" s="1" t="s">
        <v>955</v>
      </c>
      <c r="E637" s="1" t="s">
        <v>2723</v>
      </c>
      <c r="F637" s="1" t="s">
        <v>112</v>
      </c>
      <c r="G637" s="1">
        <v>76072</v>
      </c>
    </row>
    <row r="638" spans="1:7" x14ac:dyDescent="0.3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8" s="1" t="s">
        <v>2724</v>
      </c>
      <c r="D638" s="1" t="s">
        <v>2725</v>
      </c>
      <c r="E638" s="1" t="s">
        <v>2726</v>
      </c>
      <c r="F638" s="1" t="s">
        <v>112</v>
      </c>
      <c r="G638" s="1">
        <v>49424</v>
      </c>
    </row>
    <row r="639" spans="1:7" x14ac:dyDescent="0.3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2727</v>
      </c>
      <c r="D639" s="1" t="s">
        <v>2728</v>
      </c>
      <c r="E639" s="1" t="s">
        <v>2729</v>
      </c>
      <c r="F639" s="1" t="s">
        <v>112</v>
      </c>
      <c r="G639" s="1">
        <v>122404</v>
      </c>
    </row>
    <row r="640" spans="1:7" x14ac:dyDescent="0.3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2730</v>
      </c>
      <c r="D640" s="1" t="s">
        <v>1475</v>
      </c>
      <c r="E640" s="1" t="s">
        <v>2731</v>
      </c>
      <c r="F640" s="1" t="s">
        <v>112</v>
      </c>
      <c r="G640" s="1">
        <v>159369</v>
      </c>
    </row>
    <row r="641" spans="1:8" x14ac:dyDescent="0.3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1" s="1" t="s">
        <v>2732</v>
      </c>
      <c r="D641" s="1" t="s">
        <v>1083</v>
      </c>
      <c r="E641" s="1" t="s">
        <v>2733</v>
      </c>
      <c r="F641" s="1" t="s">
        <v>112</v>
      </c>
      <c r="G641" s="1">
        <v>230510</v>
      </c>
    </row>
    <row r="642" spans="1:8" x14ac:dyDescent="0.3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2734</v>
      </c>
      <c r="D642" s="1" t="s">
        <v>1153</v>
      </c>
      <c r="E642" s="1" t="s">
        <v>2735</v>
      </c>
      <c r="F642" s="1" t="s">
        <v>112</v>
      </c>
      <c r="G642" s="1">
        <v>77478</v>
      </c>
    </row>
    <row r="643" spans="1:8" x14ac:dyDescent="0.3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2736</v>
      </c>
      <c r="D643" s="1" t="s">
        <v>2737</v>
      </c>
      <c r="E643" s="1" t="s">
        <v>2738</v>
      </c>
      <c r="F643" s="1" t="s">
        <v>112</v>
      </c>
      <c r="G643" s="1">
        <v>68891</v>
      </c>
    </row>
    <row r="644" spans="1:8" x14ac:dyDescent="0.3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4" s="1" t="s">
        <v>2739</v>
      </c>
      <c r="D644" s="1" t="s">
        <v>1408</v>
      </c>
      <c r="E644" s="1" t="s">
        <v>2740</v>
      </c>
      <c r="F644" s="1" t="s">
        <v>112</v>
      </c>
      <c r="G644" s="1">
        <v>111351</v>
      </c>
    </row>
    <row r="645" spans="1:8" x14ac:dyDescent="0.3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2741</v>
      </c>
      <c r="D645" s="1" t="s">
        <v>2742</v>
      </c>
      <c r="E645" s="1" t="s">
        <v>2743</v>
      </c>
      <c r="F645" s="1" t="s">
        <v>112</v>
      </c>
      <c r="G645" s="1">
        <v>275781</v>
      </c>
    </row>
    <row r="646" spans="1:8" x14ac:dyDescent="0.3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2744</v>
      </c>
      <c r="D646" s="1" t="s">
        <v>2745</v>
      </c>
      <c r="E646" s="1" t="s">
        <v>2746</v>
      </c>
      <c r="F646" s="1" t="s">
        <v>112</v>
      </c>
      <c r="G646" s="1">
        <v>364572</v>
      </c>
    </row>
    <row r="647" spans="1:8" x14ac:dyDescent="0.3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7" s="1" t="s">
        <v>2747</v>
      </c>
      <c r="D647" s="1" t="s">
        <v>1071</v>
      </c>
      <c r="E647" s="1" t="s">
        <v>2748</v>
      </c>
      <c r="F647" s="1" t="s">
        <v>112</v>
      </c>
      <c r="G647" s="1">
        <v>205830</v>
      </c>
    </row>
    <row r="648" spans="1:8" x14ac:dyDescent="0.3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2749</v>
      </c>
      <c r="D648" s="1" t="s">
        <v>2750</v>
      </c>
      <c r="E648" s="1" t="s">
        <v>2751</v>
      </c>
      <c r="F648" s="1" t="s">
        <v>112</v>
      </c>
      <c r="G648" s="1">
        <v>111156</v>
      </c>
    </row>
    <row r="649" spans="1:8" x14ac:dyDescent="0.3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2752</v>
      </c>
      <c r="D649" s="1" t="s">
        <v>2753</v>
      </c>
      <c r="E649" s="1" t="s">
        <v>2754</v>
      </c>
      <c r="F649" s="1" t="s">
        <v>112</v>
      </c>
      <c r="G649" s="1">
        <v>51458</v>
      </c>
    </row>
    <row r="650" spans="1:8" x14ac:dyDescent="0.3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50" s="1" t="s">
        <v>2755</v>
      </c>
      <c r="D650" s="1" t="s">
        <v>1475</v>
      </c>
      <c r="E650" s="1" t="s">
        <v>2756</v>
      </c>
      <c r="F650" s="1" t="s">
        <v>112</v>
      </c>
      <c r="G650" s="1">
        <v>146434</v>
      </c>
    </row>
    <row r="651" spans="1:8" x14ac:dyDescent="0.3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2757</v>
      </c>
      <c r="D651" s="1" t="s">
        <v>1702</v>
      </c>
      <c r="E651" s="1">
        <v>32</v>
      </c>
      <c r="F651" s="1" t="s">
        <v>112</v>
      </c>
      <c r="G651" s="1">
        <v>14535</v>
      </c>
    </row>
    <row r="652" spans="1:8" x14ac:dyDescent="0.3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2758</v>
      </c>
      <c r="D652" s="1" t="s">
        <v>998</v>
      </c>
      <c r="E652" s="1" t="s">
        <v>2759</v>
      </c>
      <c r="F652" s="1" t="s">
        <v>112</v>
      </c>
      <c r="G652" s="1">
        <v>29957</v>
      </c>
    </row>
    <row r="653" spans="1:8" x14ac:dyDescent="0.35">
      <c r="A653" s="1" t="str">
        <f t="shared" si="10"/>
        <v>8</v>
      </c>
      <c r="B6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3" s="1" t="s">
        <v>2760</v>
      </c>
      <c r="D653" s="1">
        <v>0</v>
      </c>
      <c r="E653" s="1">
        <v>0</v>
      </c>
      <c r="F653" s="1" t="s">
        <v>112</v>
      </c>
      <c r="G653" s="1">
        <v>0</v>
      </c>
    </row>
    <row r="654" spans="1:8"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112</v>
      </c>
    </row>
    <row r="655" spans="1:8"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5" s="1" t="s">
        <v>233</v>
      </c>
      <c r="D655" s="1" t="s">
        <v>112</v>
      </c>
      <c r="E655" s="1" t="s">
        <v>234</v>
      </c>
      <c r="F655" s="1" t="s">
        <v>235</v>
      </c>
      <c r="G655" s="1" t="s">
        <v>236</v>
      </c>
      <c r="H655" s="1" t="s">
        <v>1623</v>
      </c>
    </row>
    <row r="656" spans="1:8" x14ac:dyDescent="0.35">
      <c r="A656" s="1" t="str">
        <f t="shared" si="10"/>
        <v>8</v>
      </c>
      <c r="B6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6" s="1" t="s">
        <v>2761</v>
      </c>
      <c r="D656" s="1" t="s">
        <v>112</v>
      </c>
      <c r="E656" s="1" t="s">
        <v>2762</v>
      </c>
      <c r="F656" s="1" t="s">
        <v>2763</v>
      </c>
      <c r="G656" s="1" t="s">
        <v>2764</v>
      </c>
      <c r="H656" s="1" t="s">
        <v>2765</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112</v>
      </c>
    </row>
    <row r="662" spans="1:7"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2" s="1" t="s">
        <v>166</v>
      </c>
      <c r="D662" s="1" t="s">
        <v>110</v>
      </c>
      <c r="E662" s="1" t="s">
        <v>111</v>
      </c>
      <c r="F662" s="1" t="s">
        <v>112</v>
      </c>
      <c r="G662" s="1" t="s">
        <v>113</v>
      </c>
    </row>
    <row r="663" spans="1:7" x14ac:dyDescent="0.3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2766</v>
      </c>
      <c r="D663" s="1" t="s">
        <v>177</v>
      </c>
      <c r="E663" s="1" t="s">
        <v>2767</v>
      </c>
      <c r="F663" s="1" t="s">
        <v>112</v>
      </c>
      <c r="G663" s="1">
        <v>3482</v>
      </c>
    </row>
    <row r="664" spans="1:7" x14ac:dyDescent="0.3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2768</v>
      </c>
    </row>
    <row r="665" spans="1:7" x14ac:dyDescent="0.3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5" s="1" t="s">
        <v>2769</v>
      </c>
      <c r="D665" s="1" t="s">
        <v>486</v>
      </c>
      <c r="E665" s="1" t="s">
        <v>2770</v>
      </c>
      <c r="F665" s="1" t="s">
        <v>112</v>
      </c>
      <c r="G665" s="1">
        <v>123766</v>
      </c>
    </row>
    <row r="666" spans="1:7" x14ac:dyDescent="0.3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2771</v>
      </c>
    </row>
    <row r="667" spans="1:7" x14ac:dyDescent="0.3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2772</v>
      </c>
    </row>
    <row r="668" spans="1:7" x14ac:dyDescent="0.3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8" s="1" t="s">
        <v>2773</v>
      </c>
    </row>
    <row r="669" spans="1:7" x14ac:dyDescent="0.3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2774</v>
      </c>
    </row>
    <row r="670" spans="1:7" x14ac:dyDescent="0.3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2775</v>
      </c>
      <c r="D670" s="1" t="s">
        <v>1195</v>
      </c>
      <c r="E670" s="1" t="s">
        <v>2776</v>
      </c>
      <c r="F670" s="1" t="s">
        <v>112</v>
      </c>
      <c r="G670" s="1">
        <v>221187</v>
      </c>
    </row>
    <row r="671" spans="1:7" x14ac:dyDescent="0.3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1" s="1" t="s">
        <v>2777</v>
      </c>
    </row>
    <row r="672" spans="1:7" x14ac:dyDescent="0.3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2778</v>
      </c>
      <c r="D672" s="1" t="s">
        <v>1287</v>
      </c>
      <c r="E672" s="1" t="s">
        <v>2779</v>
      </c>
      <c r="F672" s="1" t="s">
        <v>112</v>
      </c>
      <c r="G672" s="1">
        <v>104883</v>
      </c>
    </row>
    <row r="673" spans="1:8" x14ac:dyDescent="0.3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2780</v>
      </c>
      <c r="D673" s="1" t="s">
        <v>1947</v>
      </c>
      <c r="E673" s="1">
        <v>32</v>
      </c>
      <c r="F673" s="1" t="s">
        <v>112</v>
      </c>
      <c r="G673" s="1">
        <v>10382</v>
      </c>
    </row>
    <row r="674" spans="1:8" x14ac:dyDescent="0.3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4" s="1" t="s">
        <v>2781</v>
      </c>
      <c r="D674" s="1" t="s">
        <v>1973</v>
      </c>
      <c r="E674" s="1" t="s">
        <v>2782</v>
      </c>
      <c r="F674" s="1" t="s">
        <v>112</v>
      </c>
      <c r="G674" s="1">
        <v>107479</v>
      </c>
    </row>
    <row r="675" spans="1:8" x14ac:dyDescent="0.3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2783</v>
      </c>
      <c r="D675" s="1" t="s">
        <v>2784</v>
      </c>
      <c r="E675" s="1" t="s">
        <v>2785</v>
      </c>
      <c r="F675" s="1" t="s">
        <v>112</v>
      </c>
      <c r="G675" s="1">
        <v>522513</v>
      </c>
    </row>
    <row r="676" spans="1:8" x14ac:dyDescent="0.3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2786</v>
      </c>
      <c r="D676" s="1" t="s">
        <v>955</v>
      </c>
      <c r="E676" s="1" t="s">
        <v>2787</v>
      </c>
      <c r="F676" s="1" t="s">
        <v>112</v>
      </c>
      <c r="G676" s="1">
        <v>83253</v>
      </c>
    </row>
    <row r="677" spans="1:8" x14ac:dyDescent="0.3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7" s="1" t="s">
        <v>2788</v>
      </c>
      <c r="D677" s="1" t="s">
        <v>1140</v>
      </c>
      <c r="E677" s="1" t="s">
        <v>2789</v>
      </c>
      <c r="F677" s="1" t="s">
        <v>112</v>
      </c>
      <c r="G677" s="1">
        <v>103542</v>
      </c>
    </row>
    <row r="678" spans="1:8" x14ac:dyDescent="0.3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2790</v>
      </c>
      <c r="D678" s="1" t="s">
        <v>1128</v>
      </c>
      <c r="E678" s="1" t="s">
        <v>2791</v>
      </c>
      <c r="F678" s="1" t="s">
        <v>112</v>
      </c>
      <c r="G678" s="1">
        <v>248203</v>
      </c>
    </row>
    <row r="679" spans="1:8" x14ac:dyDescent="0.3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2792</v>
      </c>
      <c r="D679" s="1" t="s">
        <v>2725</v>
      </c>
      <c r="E679" s="1" t="s">
        <v>2793</v>
      </c>
      <c r="F679" s="1" t="s">
        <v>112</v>
      </c>
      <c r="G679" s="1">
        <v>49922</v>
      </c>
    </row>
    <row r="680" spans="1:8" x14ac:dyDescent="0.3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80" s="1" t="s">
        <v>2794</v>
      </c>
      <c r="D680" s="1" t="s">
        <v>2795</v>
      </c>
      <c r="E680" s="1" t="s">
        <v>2796</v>
      </c>
      <c r="F680" s="1" t="s">
        <v>112</v>
      </c>
      <c r="G680" s="1">
        <v>220127</v>
      </c>
    </row>
    <row r="681" spans="1:8" x14ac:dyDescent="0.3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2797</v>
      </c>
      <c r="D681" s="1" t="s">
        <v>2798</v>
      </c>
      <c r="E681" s="1" t="s">
        <v>2799</v>
      </c>
      <c r="F681" s="1" t="s">
        <v>112</v>
      </c>
      <c r="G681" s="1">
        <v>122490</v>
      </c>
    </row>
    <row r="682" spans="1:8" x14ac:dyDescent="0.3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2800</v>
      </c>
      <c r="D682" s="1">
        <v>0</v>
      </c>
      <c r="E682" s="1">
        <v>0</v>
      </c>
      <c r="F682" s="1" t="s">
        <v>112</v>
      </c>
      <c r="G682" s="1">
        <v>0</v>
      </c>
    </row>
    <row r="683" spans="1:8" x14ac:dyDescent="0.3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3" s="1" t="s">
        <v>2801</v>
      </c>
      <c r="D683" s="1" t="s">
        <v>1227</v>
      </c>
      <c r="E683" s="1" t="s">
        <v>2802</v>
      </c>
      <c r="F683" s="1" t="s">
        <v>112</v>
      </c>
      <c r="G683" s="1">
        <v>184006</v>
      </c>
    </row>
    <row r="684" spans="1:8" x14ac:dyDescent="0.3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2803</v>
      </c>
      <c r="D684" s="1" t="s">
        <v>1258</v>
      </c>
      <c r="E684" s="1" t="s">
        <v>2804</v>
      </c>
      <c r="F684" s="1" t="s">
        <v>112</v>
      </c>
      <c r="G684" s="1">
        <v>218808</v>
      </c>
    </row>
    <row r="685" spans="1:8" x14ac:dyDescent="0.3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2805</v>
      </c>
      <c r="D685" s="1" t="s">
        <v>2626</v>
      </c>
      <c r="E685" s="1" t="s">
        <v>2806</v>
      </c>
      <c r="F685" s="1" t="s">
        <v>112</v>
      </c>
      <c r="G685" s="1">
        <v>39972</v>
      </c>
    </row>
    <row r="686" spans="1:8" x14ac:dyDescent="0.35">
      <c r="A686" s="1" t="str">
        <f t="shared" si="10"/>
        <v>9</v>
      </c>
      <c r="B6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6" s="1" t="s">
        <v>2807</v>
      </c>
      <c r="D686" s="1" t="s">
        <v>2682</v>
      </c>
      <c r="E686" s="1" t="s">
        <v>2808</v>
      </c>
      <c r="F686" s="1" t="s">
        <v>112</v>
      </c>
      <c r="G686" s="1">
        <v>446852</v>
      </c>
    </row>
    <row r="687" spans="1:8"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112</v>
      </c>
    </row>
    <row r="688" spans="1:8"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8" s="1" t="s">
        <v>233</v>
      </c>
      <c r="D688" s="1" t="s">
        <v>112</v>
      </c>
      <c r="E688" s="1" t="s">
        <v>234</v>
      </c>
      <c r="F688" s="1" t="s">
        <v>235</v>
      </c>
      <c r="G688" s="1" t="s">
        <v>236</v>
      </c>
      <c r="H688" s="1" t="s">
        <v>1623</v>
      </c>
    </row>
    <row r="689" spans="1:8" x14ac:dyDescent="0.35">
      <c r="A689" s="1" t="str">
        <f t="shared" si="10"/>
        <v>9</v>
      </c>
      <c r="B6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9" s="1" t="s">
        <v>2809</v>
      </c>
      <c r="D689" s="1" t="s">
        <v>112</v>
      </c>
      <c r="E689" s="1" t="s">
        <v>2810</v>
      </c>
      <c r="F689" s="1" t="s">
        <v>2811</v>
      </c>
      <c r="G689" s="1" t="s">
        <v>2812</v>
      </c>
      <c r="H689" s="1" t="s">
        <v>2813</v>
      </c>
    </row>
    <row r="690" spans="1:8"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8"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8"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8"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8"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8"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8"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8"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8"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8"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8"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8"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8"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8"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8"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S1" zoomScale="70" zoomScaleNormal="70" zoomScaleSheetLayoutView="40" zoomScalePageLayoutView="30" workbookViewId="0">
      <selection activeCell="AA9" sqref="AA9"/>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 thickBot="1" x14ac:dyDescent="0.4"/>
    <row r="3" spans="1:22" ht="15" thickBot="1" x14ac:dyDescent="0.4">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AN-0.18mg/L</v>
      </c>
      <c r="J4" s="35" t="str">
        <f>'Page de garde'!A16</f>
        <v>AN-0.36mg/L</v>
      </c>
      <c r="K4" s="35" t="str">
        <f>'Page de garde'!A17</f>
        <v>AN-0.73mg/L</v>
      </c>
      <c r="L4" s="35" t="str">
        <f>'Page de garde'!A18</f>
        <v>AN-1.45mg/L</v>
      </c>
      <c r="M4" s="35" t="str">
        <f>'Page de garde'!A19</f>
        <v>AN-2.9mg/L</v>
      </c>
      <c r="N4" s="3"/>
      <c r="O4" s="36" t="str">
        <f>'Page de garde'!A36</f>
        <v>Testo -30µg/L</v>
      </c>
      <c r="P4" s="36" t="str">
        <f>'Page de garde'!A37</f>
        <v>Testo 30µg/L + EE2 -64ng/L</v>
      </c>
      <c r="Q4" s="36" t="str">
        <f>'Page de garde'!A38</f>
        <v>Testo 30µg/L + FAD-10mg/L</v>
      </c>
      <c r="R4" s="36" t="str">
        <f>'Page de garde'!A39</f>
        <v>AN-0,18mg/L + Testostérone</v>
      </c>
      <c r="S4" s="36" t="str">
        <f>'Page de garde'!A40</f>
        <v>AN-0,36mg/L + Testostérone</v>
      </c>
      <c r="T4" s="36" t="str">
        <f>'Page de garde'!A41</f>
        <v>AN-0,73mg/L + Testostérone</v>
      </c>
      <c r="U4" s="36" t="str">
        <f>'Page de garde'!A42</f>
        <v>AN-1,45mg/L + Testostérone</v>
      </c>
      <c r="V4" s="36" t="str">
        <f>'Page de garde'!A43</f>
        <v>AN-2,9mg/L + Testostérone</v>
      </c>
    </row>
    <row r="5" spans="1:22" x14ac:dyDescent="0.35">
      <c r="A5" s="226" t="s">
        <v>33</v>
      </c>
      <c r="B5" s="32">
        <v>306964.33333333331</v>
      </c>
      <c r="C5" s="32"/>
      <c r="D5" s="32">
        <v>41003.333333333336</v>
      </c>
      <c r="E5" s="32">
        <v>2007968</v>
      </c>
      <c r="F5" s="32">
        <v>2497935.6666666665</v>
      </c>
      <c r="G5" s="32">
        <v>364751.66666666669</v>
      </c>
      <c r="H5" s="32">
        <v>4675612</v>
      </c>
      <c r="I5" s="32">
        <v>166413.33333333334</v>
      </c>
      <c r="J5" s="32">
        <v>63624</v>
      </c>
      <c r="K5" s="13">
        <v>66872.666666666672</v>
      </c>
      <c r="L5" s="13">
        <v>138452.66666666666</v>
      </c>
      <c r="M5" s="13"/>
      <c r="N5" s="3"/>
      <c r="O5" s="32">
        <v>1240907</v>
      </c>
      <c r="P5" s="13"/>
      <c r="Q5" s="13"/>
      <c r="R5" s="32"/>
      <c r="S5" s="32"/>
      <c r="T5" s="32">
        <v>621091.5</v>
      </c>
      <c r="U5" s="32"/>
      <c r="V5" s="32"/>
    </row>
    <row r="6" spans="1:22" ht="16.5" x14ac:dyDescent="0.35">
      <c r="A6" s="226"/>
      <c r="B6" s="14">
        <v>253762</v>
      </c>
      <c r="C6" s="13">
        <v>65084.333333333336</v>
      </c>
      <c r="D6" s="32">
        <v>57838.666666666664</v>
      </c>
      <c r="E6" s="32">
        <v>1593272.6666666667</v>
      </c>
      <c r="F6" s="32">
        <v>1361219.6666666667</v>
      </c>
      <c r="G6" s="32">
        <v>3187273</v>
      </c>
      <c r="H6" s="32"/>
      <c r="I6" s="32">
        <v>54551</v>
      </c>
      <c r="J6" s="32"/>
      <c r="K6" s="13">
        <v>225960.33333333334</v>
      </c>
      <c r="L6" s="13">
        <v>143168.5</v>
      </c>
      <c r="M6" s="13">
        <v>317797.5</v>
      </c>
      <c r="N6" s="3"/>
      <c r="O6" s="32">
        <v>2546585</v>
      </c>
      <c r="P6" s="13">
        <v>3184548</v>
      </c>
      <c r="Q6" s="13">
        <v>58955.666666666664</v>
      </c>
      <c r="R6" s="32">
        <v>52791</v>
      </c>
      <c r="S6" s="32">
        <v>378631</v>
      </c>
      <c r="T6" s="32">
        <v>99086.666666666672</v>
      </c>
      <c r="U6" s="32">
        <v>50095</v>
      </c>
      <c r="V6" s="32">
        <v>56987.333333333336</v>
      </c>
    </row>
    <row r="7" spans="1:22" ht="16.5" x14ac:dyDescent="0.35">
      <c r="A7" s="226"/>
      <c r="B7" s="14">
        <v>367784</v>
      </c>
      <c r="C7" s="13">
        <v>279804.5</v>
      </c>
      <c r="D7" s="32">
        <v>217351.33333333334</v>
      </c>
      <c r="E7" s="32">
        <v>81739.666666666672</v>
      </c>
      <c r="F7" s="32"/>
      <c r="G7" s="32">
        <v>1686382</v>
      </c>
      <c r="H7" s="32">
        <v>3647103</v>
      </c>
      <c r="I7" s="32">
        <v>44903.333333333336</v>
      </c>
      <c r="J7" s="32">
        <v>221187</v>
      </c>
      <c r="K7" s="13">
        <v>258037.33333333334</v>
      </c>
      <c r="L7" s="13"/>
      <c r="M7" s="13">
        <v>563048</v>
      </c>
      <c r="N7" s="3"/>
      <c r="O7" s="32">
        <v>698227.33333333337</v>
      </c>
      <c r="P7" s="13">
        <v>933070.33333333337</v>
      </c>
      <c r="Q7" s="13">
        <v>142764.33333333334</v>
      </c>
      <c r="R7" s="32">
        <v>294332.33333333331</v>
      </c>
      <c r="S7" s="32">
        <v>110514.33333333333</v>
      </c>
      <c r="T7" s="32">
        <v>101217</v>
      </c>
      <c r="U7" s="32">
        <v>282356.66666666669</v>
      </c>
      <c r="V7" s="32">
        <v>150954.66666666666</v>
      </c>
    </row>
    <row r="8" spans="1:22" ht="16.5" x14ac:dyDescent="0.35">
      <c r="A8" s="226"/>
      <c r="B8" s="14">
        <v>286870</v>
      </c>
      <c r="C8" s="13">
        <v>13079</v>
      </c>
      <c r="D8" s="32">
        <v>211908</v>
      </c>
      <c r="E8" s="32">
        <v>329250.33333333331</v>
      </c>
      <c r="F8" s="32">
        <v>1906999.3333333333</v>
      </c>
      <c r="G8" s="32">
        <v>1407695</v>
      </c>
      <c r="H8" s="32">
        <v>3287088</v>
      </c>
      <c r="I8" s="32">
        <v>170761</v>
      </c>
      <c r="J8" s="32">
        <v>74248</v>
      </c>
      <c r="K8" s="13">
        <v>138676.33333333334</v>
      </c>
      <c r="L8" s="13">
        <v>361904.33333333331</v>
      </c>
      <c r="M8" s="13">
        <v>475252</v>
      </c>
      <c r="N8" s="3"/>
      <c r="O8" s="32">
        <v>1874843.3333333333</v>
      </c>
      <c r="P8" s="13">
        <v>4217901.333333333</v>
      </c>
      <c r="Q8" s="13">
        <v>319409</v>
      </c>
      <c r="R8" s="32">
        <v>143853</v>
      </c>
      <c r="S8" s="32">
        <v>139419.33333333334</v>
      </c>
      <c r="T8" s="32">
        <v>71501.333333333328</v>
      </c>
      <c r="U8" s="32">
        <v>166701.66666666666</v>
      </c>
      <c r="V8" s="32">
        <v>286863</v>
      </c>
    </row>
    <row r="9" spans="1:22" ht="16.5" x14ac:dyDescent="0.35">
      <c r="A9" s="226"/>
      <c r="B9" s="14">
        <v>262803</v>
      </c>
      <c r="C9" s="13">
        <v>53959.333333333336</v>
      </c>
      <c r="D9" s="32">
        <v>100341.33333333333</v>
      </c>
      <c r="E9" s="32">
        <v>627173</v>
      </c>
      <c r="F9" s="32">
        <v>1628940</v>
      </c>
      <c r="G9" s="32">
        <v>3155650</v>
      </c>
      <c r="H9" s="32">
        <v>4862775.333333333</v>
      </c>
      <c r="I9" s="32">
        <v>85906.666666666672</v>
      </c>
      <c r="J9" s="32">
        <v>236436</v>
      </c>
      <c r="K9" s="13">
        <v>47701.333333333336</v>
      </c>
      <c r="L9" s="13">
        <v>120716.33333333333</v>
      </c>
      <c r="M9" s="13">
        <v>327620.66666666669</v>
      </c>
      <c r="N9" s="3"/>
      <c r="O9" s="32">
        <v>592760.33333333337</v>
      </c>
      <c r="P9" s="13">
        <v>2831230.6666666665</v>
      </c>
      <c r="Q9" s="13">
        <v>73556</v>
      </c>
      <c r="R9" s="32">
        <v>40116</v>
      </c>
      <c r="S9" s="32">
        <v>225275.33333333334</v>
      </c>
      <c r="T9" s="32">
        <v>324210.33333333331</v>
      </c>
      <c r="U9" s="32">
        <v>39691</v>
      </c>
      <c r="V9" s="32">
        <v>373685.33333333331</v>
      </c>
    </row>
    <row r="10" spans="1:22" ht="16.5" x14ac:dyDescent="0.35">
      <c r="A10" s="226"/>
      <c r="B10" s="14">
        <v>98509.666666666672</v>
      </c>
      <c r="C10" s="13">
        <v>558195.33333333337</v>
      </c>
      <c r="D10" s="32">
        <v>172130.66666666666</v>
      </c>
      <c r="E10" s="32">
        <v>529139.33333333337</v>
      </c>
      <c r="F10" s="32">
        <v>1515401</v>
      </c>
      <c r="G10" s="32">
        <v>2743276.3333333335</v>
      </c>
      <c r="H10" s="32">
        <v>2544829.3333333335</v>
      </c>
      <c r="I10" s="32">
        <v>282061</v>
      </c>
      <c r="J10" s="32">
        <v>172750.66666666666</v>
      </c>
      <c r="K10" s="13">
        <v>82359.333333333328</v>
      </c>
      <c r="L10" s="13">
        <v>272883</v>
      </c>
      <c r="M10" s="13">
        <v>16395.666666666668</v>
      </c>
      <c r="N10" s="3"/>
      <c r="O10" s="32">
        <v>489254</v>
      </c>
      <c r="P10" s="13">
        <v>4321790</v>
      </c>
      <c r="Q10" s="13">
        <v>413412.33333333331</v>
      </c>
      <c r="R10" s="32">
        <v>320079</v>
      </c>
      <c r="S10" s="32">
        <v>299303.5</v>
      </c>
      <c r="T10" s="32"/>
      <c r="U10" s="32">
        <v>63779.333333333336</v>
      </c>
      <c r="V10" s="32">
        <v>65401.666666666664</v>
      </c>
    </row>
    <row r="11" spans="1:22" ht="16.5" x14ac:dyDescent="0.35">
      <c r="A11" s="226"/>
      <c r="B11" s="14">
        <v>61803.666666666664</v>
      </c>
      <c r="C11" s="13">
        <v>262450</v>
      </c>
      <c r="D11" s="32">
        <v>294022.33333333331</v>
      </c>
      <c r="E11" s="32">
        <v>134617</v>
      </c>
      <c r="F11" s="32">
        <v>808056.66666666663</v>
      </c>
      <c r="G11" s="32">
        <v>1831129.3333333333</v>
      </c>
      <c r="H11" s="32">
        <v>4059643</v>
      </c>
      <c r="I11" s="32">
        <v>103016</v>
      </c>
      <c r="J11" s="32">
        <v>102165.33333333333</v>
      </c>
      <c r="K11" s="13">
        <v>223610</v>
      </c>
      <c r="L11" s="13">
        <v>318010</v>
      </c>
      <c r="M11" s="13">
        <v>299847.66666666669</v>
      </c>
      <c r="N11" s="3"/>
      <c r="O11" s="32">
        <v>54456.666666666664</v>
      </c>
      <c r="P11" s="13">
        <v>3105295.6666666665</v>
      </c>
      <c r="Q11" s="13">
        <v>133016.33333333334</v>
      </c>
      <c r="R11" s="32">
        <v>46893.5</v>
      </c>
      <c r="S11" s="32">
        <v>135316.33333333334</v>
      </c>
      <c r="T11" s="32">
        <v>86426</v>
      </c>
      <c r="U11" s="32">
        <v>216775</v>
      </c>
      <c r="V11" s="32">
        <v>472959.33333333331</v>
      </c>
    </row>
    <row r="12" spans="1:22" ht="16.5" x14ac:dyDescent="0.35">
      <c r="A12" s="226"/>
      <c r="B12" s="14">
        <v>49871.333333333336</v>
      </c>
      <c r="C12" s="13">
        <v>79915</v>
      </c>
      <c r="D12" s="32">
        <v>486456.33333333331</v>
      </c>
      <c r="E12" s="32">
        <v>487602.66666666669</v>
      </c>
      <c r="F12" s="32">
        <v>2835051.6666666665</v>
      </c>
      <c r="G12" s="32">
        <v>2492297.3333333335</v>
      </c>
      <c r="H12" s="32">
        <v>3627491.6666666665</v>
      </c>
      <c r="I12" s="32">
        <v>14830.666666666666</v>
      </c>
      <c r="J12" s="32">
        <v>235210.66666666666</v>
      </c>
      <c r="K12" s="13">
        <v>36691.666666666664</v>
      </c>
      <c r="L12" s="13">
        <v>260258.33333333334</v>
      </c>
      <c r="M12" s="13">
        <v>192924</v>
      </c>
      <c r="N12" s="3"/>
      <c r="O12" s="32">
        <v>1524612.3333333333</v>
      </c>
      <c r="P12" s="13">
        <v>2782159.6666666665</v>
      </c>
      <c r="Q12" s="13">
        <v>74334.666666666672</v>
      </c>
      <c r="R12" s="32">
        <v>146030.33333333334</v>
      </c>
      <c r="S12" s="32">
        <v>323201</v>
      </c>
      <c r="T12" s="32">
        <v>6928.666666666667</v>
      </c>
      <c r="U12" s="32">
        <v>396670.66666666669</v>
      </c>
      <c r="V12" s="32"/>
    </row>
    <row r="13" spans="1:22" ht="16.5" x14ac:dyDescent="0.35">
      <c r="A13" s="226"/>
      <c r="B13" s="14"/>
      <c r="C13" s="13"/>
      <c r="D13" s="32"/>
      <c r="E13" s="32"/>
      <c r="F13" s="32"/>
      <c r="G13" s="32"/>
      <c r="H13" s="32"/>
      <c r="I13" s="32"/>
      <c r="J13" s="32"/>
      <c r="K13" s="13"/>
      <c r="L13" s="13"/>
      <c r="M13" s="13"/>
      <c r="N13" s="3"/>
      <c r="O13" s="32">
        <v>70048.5</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508951.33333333331</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992134.33333333337</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1175498.5</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1956107</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1563747.6666666667</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525282</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AN-0.18mg/L</v>
      </c>
      <c r="J22" s="3" t="str">
        <f t="shared" si="0"/>
        <v>AN-0.36mg/L</v>
      </c>
      <c r="K22" s="3" t="str">
        <f t="shared" si="0"/>
        <v>AN-0.73mg/L</v>
      </c>
      <c r="L22" s="3" t="str">
        <f t="shared" si="0"/>
        <v>AN-1.45mg/L</v>
      </c>
      <c r="M22" s="3" t="str">
        <f t="shared" si="0"/>
        <v>AN-2.9mg/L</v>
      </c>
      <c r="N22" s="3" t="s">
        <v>41</v>
      </c>
      <c r="O22" s="3" t="str">
        <f t="shared" si="0"/>
        <v>Testo -30µg/L</v>
      </c>
      <c r="P22" s="3" t="str">
        <f t="shared" si="0"/>
        <v>Testo 30µg/L + EE2 -64ng/L</v>
      </c>
      <c r="Q22" s="3" t="str">
        <f t="shared" si="0"/>
        <v>Testo 30µg/L + FAD-10mg/L</v>
      </c>
      <c r="R22" s="3" t="str">
        <f t="shared" si="0"/>
        <v>AN-0,18mg/L + Testostérone</v>
      </c>
      <c r="S22" s="3" t="str">
        <f t="shared" si="0"/>
        <v>AN-0,36mg/L + Testostérone</v>
      </c>
      <c r="T22" s="3" t="str">
        <f t="shared" si="0"/>
        <v>AN-0,73mg/L + Testostérone</v>
      </c>
      <c r="U22" s="3" t="str">
        <f t="shared" si="0"/>
        <v>AN-1,45mg/L + Testostérone</v>
      </c>
      <c r="V22" s="3" t="str">
        <f t="shared" si="0"/>
        <v>AN-2,9mg/L + Testostérone</v>
      </c>
    </row>
    <row r="23" spans="1:22" x14ac:dyDescent="0.35">
      <c r="A23" s="5" t="s">
        <v>0</v>
      </c>
      <c r="B23" s="5">
        <f t="shared" ref="B23:J23" si="1">AVERAGE(B5:B20)</f>
        <v>211046</v>
      </c>
      <c r="C23" s="5">
        <f t="shared" si="1"/>
        <v>187498.21428571429</v>
      </c>
      <c r="D23" s="5">
        <f t="shared" si="1"/>
        <v>197631.5</v>
      </c>
      <c r="E23" s="5">
        <f t="shared" si="1"/>
        <v>723845.33333333337</v>
      </c>
      <c r="F23" s="5">
        <f t="shared" si="1"/>
        <v>1793371.9999999998</v>
      </c>
      <c r="G23" s="5">
        <f t="shared" si="1"/>
        <v>2108556.8333333335</v>
      </c>
      <c r="H23" s="5">
        <f t="shared" si="1"/>
        <v>3814934.6190476189</v>
      </c>
      <c r="I23" s="5">
        <f t="shared" si="1"/>
        <v>115305.375</v>
      </c>
      <c r="J23" s="5">
        <f t="shared" si="1"/>
        <v>157945.9523809524</v>
      </c>
      <c r="K23" s="5"/>
      <c r="L23" s="5">
        <f>AVERAGE(L5:L20)</f>
        <v>230770.4523809524</v>
      </c>
      <c r="M23" s="5"/>
      <c r="N23" s="5" t="s">
        <v>0</v>
      </c>
      <c r="O23" s="5">
        <f>AVERAGE(O5:O20)</f>
        <v>1054227.688888889</v>
      </c>
      <c r="P23" s="5">
        <f>AVERAGE(P5:P20)</f>
        <v>3053713.666666667</v>
      </c>
      <c r="Q23" s="5">
        <f>AVERAGE(Q5:Q20)</f>
        <v>173635.47619047618</v>
      </c>
      <c r="R23" s="5">
        <f>AVERAGE(R5:R20)</f>
        <v>149156.45238095237</v>
      </c>
      <c r="S23" s="5">
        <f>AVERAGE(S5:S20)</f>
        <v>230237.26190476189</v>
      </c>
      <c r="T23" s="5">
        <f t="shared" ref="T23:V23" si="2">AVERAGE(T5:T20)</f>
        <v>187208.78571428571</v>
      </c>
      <c r="U23" s="5">
        <f t="shared" si="2"/>
        <v>173724.1904761905</v>
      </c>
      <c r="V23" s="5">
        <f t="shared" si="2"/>
        <v>234475.22222222222</v>
      </c>
    </row>
    <row r="24" spans="1:22" x14ac:dyDescent="0.35">
      <c r="A24" s="3" t="s">
        <v>1</v>
      </c>
      <c r="B24" s="3">
        <f t="shared" ref="B24:J24" si="3">STDEV(B5:B20)</f>
        <v>122436.46956013232</v>
      </c>
      <c r="C24" s="3">
        <f t="shared" si="3"/>
        <v>194237.21576046385</v>
      </c>
      <c r="D24" s="3">
        <f t="shared" si="3"/>
        <v>145156.93736441215</v>
      </c>
      <c r="E24" s="3">
        <f t="shared" si="3"/>
        <v>699299.28244629619</v>
      </c>
      <c r="F24" s="3">
        <f t="shared" si="3"/>
        <v>689966.83060204936</v>
      </c>
      <c r="G24" s="3">
        <f t="shared" si="3"/>
        <v>970818.48084869294</v>
      </c>
      <c r="H24" s="3">
        <f t="shared" si="3"/>
        <v>801426.82251667033</v>
      </c>
      <c r="I24" s="3">
        <f t="shared" si="3"/>
        <v>87221.237236111352</v>
      </c>
      <c r="J24" s="3">
        <f t="shared" si="3"/>
        <v>76770.858960267928</v>
      </c>
      <c r="K24" s="3"/>
      <c r="L24" s="3">
        <f>STDEV(L5:L20)</f>
        <v>96400.570478886453</v>
      </c>
      <c r="M24" s="3"/>
      <c r="N24" s="3" t="s">
        <v>1</v>
      </c>
      <c r="O24" s="3">
        <f>STDEV(O5:O20)</f>
        <v>729596.49385472969</v>
      </c>
      <c r="P24" s="3">
        <f>STDEV(P5:P20)</f>
        <v>1125721.7864772929</v>
      </c>
      <c r="Q24" s="3">
        <f>STDEV(Q5:Q20)</f>
        <v>138066.29731881726</v>
      </c>
      <c r="R24" s="3">
        <f>STDEV(R5:R20)</f>
        <v>116877.63189196333</v>
      </c>
      <c r="S24" s="3">
        <f>STDEV(S5:S20)</f>
        <v>105711.22815078268</v>
      </c>
      <c r="T24" s="3">
        <f t="shared" ref="T24:V24" si="4">STDEV(T5:T20)</f>
        <v>215340.82854797607</v>
      </c>
      <c r="U24" s="3">
        <f t="shared" si="4"/>
        <v>134626.50721503785</v>
      </c>
      <c r="V24" s="3">
        <f t="shared" si="4"/>
        <v>170916.41620351115</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AN-0.18mg/L</v>
      </c>
      <c r="J27" s="35" t="str">
        <f t="shared" si="5"/>
        <v>AN-0.36mg/L</v>
      </c>
      <c r="K27" s="35" t="str">
        <f t="shared" si="5"/>
        <v>AN-0.73mg/L</v>
      </c>
      <c r="L27" s="35" t="str">
        <f t="shared" si="5"/>
        <v>AN-1.45mg/L</v>
      </c>
      <c r="M27" s="35" t="str">
        <f t="shared" si="5"/>
        <v>AN-2.9mg/L</v>
      </c>
      <c r="N27" s="3"/>
      <c r="O27" s="36" t="str">
        <f>O4</f>
        <v>Testo -30µg/L</v>
      </c>
      <c r="P27" s="36" t="str">
        <f t="shared" ref="P27:R27" si="6">P4</f>
        <v>Testo 30µg/L + EE2 -64ng/L</v>
      </c>
      <c r="Q27" s="36" t="str">
        <f t="shared" si="6"/>
        <v>Testo 30µg/L + FAD-10mg/L</v>
      </c>
      <c r="R27" s="36" t="str">
        <f t="shared" si="6"/>
        <v>AN-0,18mg/L + Testostérone</v>
      </c>
      <c r="S27" s="36" t="str">
        <f t="shared" ref="S27:V27" si="7">S4</f>
        <v>AN-0,36mg/L + Testostérone</v>
      </c>
      <c r="T27" s="36" t="str">
        <f t="shared" si="7"/>
        <v>AN-0,73mg/L + Testostérone</v>
      </c>
      <c r="U27" s="36" t="str">
        <f t="shared" si="7"/>
        <v>AN-1,45mg/L + Testostérone</v>
      </c>
      <c r="V27" s="36" t="str">
        <f t="shared" si="7"/>
        <v>AN-2,9mg/L + Testostérone</v>
      </c>
    </row>
    <row r="28" spans="1:22" x14ac:dyDescent="0.35">
      <c r="A28" s="227" t="s">
        <v>34</v>
      </c>
      <c r="B28" s="11">
        <f t="shared" ref="B28:M28" si="8">IF(B5="","",(B5/$O$23))</f>
        <v>0.29117460731548478</v>
      </c>
      <c r="C28" s="11" t="str">
        <f t="shared" si="8"/>
        <v/>
      </c>
      <c r="D28" s="11">
        <f t="shared" si="8"/>
        <v>3.8894191231639057E-2</v>
      </c>
      <c r="E28" s="11">
        <f t="shared" si="8"/>
        <v>1.9046815229415124</v>
      </c>
      <c r="F28" s="11">
        <f t="shared" si="8"/>
        <v>2.3694460817087664</v>
      </c>
      <c r="G28" s="11">
        <f t="shared" si="8"/>
        <v>0.3459894579804666</v>
      </c>
      <c r="H28" s="11">
        <f t="shared" si="8"/>
        <v>4.4351064284110153</v>
      </c>
      <c r="I28" s="11">
        <f t="shared" si="8"/>
        <v>0.15785331298661476</v>
      </c>
      <c r="J28" s="11">
        <f t="shared" si="8"/>
        <v>6.0351289072151933E-2</v>
      </c>
      <c r="K28" s="11">
        <f t="shared" si="8"/>
        <v>6.3432849821225629E-2</v>
      </c>
      <c r="L28" s="11">
        <f t="shared" si="8"/>
        <v>0.13133089571247161</v>
      </c>
      <c r="M28" s="11" t="str">
        <f t="shared" si="8"/>
        <v/>
      </c>
      <c r="N28" s="6"/>
      <c r="O28" s="11">
        <f t="shared" ref="O28:S37" si="9">IF(O5="","",(O5/$O$23))</f>
        <v>1.1770768431512768</v>
      </c>
      <c r="P28" s="11" t="str">
        <f t="shared" si="9"/>
        <v/>
      </c>
      <c r="Q28" s="11" t="str">
        <f t="shared" si="9"/>
        <v/>
      </c>
      <c r="R28" s="11" t="str">
        <f t="shared" si="9"/>
        <v/>
      </c>
      <c r="S28" s="11" t="str">
        <f t="shared" si="9"/>
        <v/>
      </c>
      <c r="T28" s="11">
        <f t="shared" ref="T28:V28" si="10">IF(T5="","",(T5/$O$23))</f>
        <v>0.58914360393493737</v>
      </c>
      <c r="U28" s="11" t="str">
        <f t="shared" si="10"/>
        <v/>
      </c>
      <c r="V28" s="11" t="str">
        <f t="shared" si="10"/>
        <v/>
      </c>
    </row>
    <row r="29" spans="1:22" x14ac:dyDescent="0.35">
      <c r="A29" s="227"/>
      <c r="B29" s="11">
        <f t="shared" ref="B29:M29" si="11">IF(B6="","",(B6/$O$23))</f>
        <v>0.2407089120069065</v>
      </c>
      <c r="C29" s="11">
        <f t="shared" si="11"/>
        <v>6.173650532925145E-2</v>
      </c>
      <c r="D29" s="11">
        <f t="shared" si="11"/>
        <v>5.4863543498488591E-2</v>
      </c>
      <c r="E29" s="11">
        <f t="shared" si="11"/>
        <v>1.5113174160184581</v>
      </c>
      <c r="F29" s="11">
        <f t="shared" si="11"/>
        <v>1.2912008297764728</v>
      </c>
      <c r="G29" s="11">
        <f t="shared" si="11"/>
        <v>3.0233250687612365</v>
      </c>
      <c r="H29" s="11" t="str">
        <f t="shared" si="11"/>
        <v/>
      </c>
      <c r="I29" s="11">
        <f t="shared" si="11"/>
        <v>5.1744988843438956E-2</v>
      </c>
      <c r="J29" s="11" t="str">
        <f t="shared" si="11"/>
        <v/>
      </c>
      <c r="K29" s="11">
        <f t="shared" si="11"/>
        <v>0.21433731604174225</v>
      </c>
      <c r="L29" s="11">
        <f t="shared" si="11"/>
        <v>0.13580415455687136</v>
      </c>
      <c r="M29" s="11">
        <f t="shared" si="11"/>
        <v>0.3014505342151893</v>
      </c>
      <c r="N29" s="6"/>
      <c r="O29" s="11">
        <f t="shared" si="9"/>
        <v>2.4155929756350756</v>
      </c>
      <c r="P29" s="11">
        <f t="shared" si="9"/>
        <v>3.0207402381513786</v>
      </c>
      <c r="Q29" s="11">
        <f t="shared" si="9"/>
        <v>5.592308690810751E-2</v>
      </c>
      <c r="R29" s="11">
        <f t="shared" si="9"/>
        <v>5.0075520266062691E-2</v>
      </c>
      <c r="S29" s="11">
        <f t="shared" si="9"/>
        <v>0.35915486188667733</v>
      </c>
      <c r="T29" s="11">
        <f t="shared" ref="T29:V29" si="12">IF(T6="","",(T6/$O$23))</f>
        <v>9.3989816157361405E-2</v>
      </c>
      <c r="U29" s="11">
        <f t="shared" si="12"/>
        <v>4.7518197945263602E-2</v>
      </c>
      <c r="V29" s="11">
        <f t="shared" si="12"/>
        <v>5.4056001311628944E-2</v>
      </c>
    </row>
    <row r="30" spans="1:22" x14ac:dyDescent="0.35">
      <c r="A30" s="227"/>
      <c r="B30" s="11">
        <f t="shared" ref="B30:M30" si="13">IF(B7="","",(B7/$O$23))</f>
        <v>0.34886581321690441</v>
      </c>
      <c r="C30" s="11">
        <f t="shared" si="13"/>
        <v>0.2654118298627709</v>
      </c>
      <c r="D30" s="11">
        <f t="shared" si="13"/>
        <v>0.20617114843797393</v>
      </c>
      <c r="E30" s="11">
        <f t="shared" si="13"/>
        <v>7.7535116491596598E-2</v>
      </c>
      <c r="F30" s="11" t="str">
        <f t="shared" si="13"/>
        <v/>
      </c>
      <c r="G30" s="11">
        <f t="shared" si="13"/>
        <v>1.5996373627573515</v>
      </c>
      <c r="H30" s="11">
        <f t="shared" si="13"/>
        <v>3.459502191451536</v>
      </c>
      <c r="I30" s="11">
        <f t="shared" si="13"/>
        <v>4.2593581829234187E-2</v>
      </c>
      <c r="J30" s="11">
        <f t="shared" si="13"/>
        <v>0.20980951490007027</v>
      </c>
      <c r="K30" s="11">
        <f t="shared" si="13"/>
        <v>0.24476432942611637</v>
      </c>
      <c r="L30" s="11" t="str">
        <f t="shared" si="13"/>
        <v/>
      </c>
      <c r="M30" s="11">
        <f t="shared" si="13"/>
        <v>0.53408576338326741</v>
      </c>
      <c r="N30" s="6"/>
      <c r="O30" s="11">
        <f t="shared" si="9"/>
        <v>0.66231170049160359</v>
      </c>
      <c r="P30" s="11">
        <f t="shared" si="9"/>
        <v>0.88507477385340705</v>
      </c>
      <c r="Q30" s="11">
        <f t="shared" si="9"/>
        <v>0.13542077753981291</v>
      </c>
      <c r="R30" s="11">
        <f t="shared" si="9"/>
        <v>0.2791923760260433</v>
      </c>
      <c r="S30" s="11">
        <f t="shared" si="9"/>
        <v>0.10482966298277625</v>
      </c>
      <c r="T30" s="11">
        <f t="shared" ref="T30:V30" si="14">IF(T7="","",(T7/$O$23))</f>
        <v>9.6010568747893918E-2</v>
      </c>
      <c r="U30" s="11">
        <f t="shared" si="14"/>
        <v>0.26783271739358178</v>
      </c>
      <c r="V30" s="11">
        <f t="shared" si="14"/>
        <v>0.14318981398199324</v>
      </c>
    </row>
    <row r="31" spans="1:22" x14ac:dyDescent="0.35">
      <c r="A31" s="227"/>
      <c r="B31" s="11">
        <f t="shared" ref="B31:M31" si="15">IF(B8="","",(B8/$O$23))</f>
        <v>0.27211389249541407</v>
      </c>
      <c r="C31" s="11">
        <f t="shared" si="15"/>
        <v>1.240623836562736E-2</v>
      </c>
      <c r="D31" s="11">
        <f t="shared" si="15"/>
        <v>0.20100781096286893</v>
      </c>
      <c r="E31" s="11">
        <f t="shared" si="15"/>
        <v>0.31231425317651174</v>
      </c>
      <c r="F31" s="11">
        <f t="shared" si="15"/>
        <v>1.8089065136803884</v>
      </c>
      <c r="G31" s="11">
        <f t="shared" si="15"/>
        <v>1.3352855505850452</v>
      </c>
      <c r="H31" s="11">
        <f t="shared" si="15"/>
        <v>3.1180057540173798</v>
      </c>
      <c r="I31" s="11">
        <f t="shared" si="15"/>
        <v>0.16197734303485692</v>
      </c>
      <c r="J31" s="11">
        <f t="shared" si="15"/>
        <v>7.0428808484677752E-2</v>
      </c>
      <c r="K31" s="11">
        <f t="shared" si="15"/>
        <v>0.13154305734417987</v>
      </c>
      <c r="L31" s="11">
        <f t="shared" si="15"/>
        <v>0.34328858665699158</v>
      </c>
      <c r="M31" s="11">
        <f t="shared" si="15"/>
        <v>0.45080584109955918</v>
      </c>
      <c r="N31" s="6"/>
      <c r="O31" s="11">
        <f t="shared" si="9"/>
        <v>1.7784045639223707</v>
      </c>
      <c r="P31" s="11">
        <f t="shared" si="9"/>
        <v>4.0009396241326396</v>
      </c>
      <c r="Q31" s="11">
        <f t="shared" si="9"/>
        <v>0.30297914138134946</v>
      </c>
      <c r="R31" s="11">
        <f t="shared" si="9"/>
        <v>0.13645344503483389</v>
      </c>
      <c r="S31" s="11">
        <f t="shared" si="9"/>
        <v>0.13224783868110632</v>
      </c>
      <c r="T31" s="11">
        <f t="shared" ref="T31:V31" si="16">IF(T8="","",(T8/$O$23))</f>
        <v>6.7823425704832963E-2</v>
      </c>
      <c r="U31" s="11">
        <f t="shared" si="16"/>
        <v>0.15812681494105235</v>
      </c>
      <c r="V31" s="11">
        <f t="shared" si="16"/>
        <v>0.27210725256357227</v>
      </c>
    </row>
    <row r="32" spans="1:22" x14ac:dyDescent="0.35">
      <c r="A32" s="227"/>
      <c r="B32" s="11">
        <f t="shared" ref="B32:M32" si="17">IF(B9="","",(B9/$O$23))</f>
        <v>0.24928485826148536</v>
      </c>
      <c r="C32" s="11">
        <f t="shared" si="17"/>
        <v>5.1183756509188418E-2</v>
      </c>
      <c r="D32" s="11">
        <f t="shared" si="17"/>
        <v>9.5179944893203111E-2</v>
      </c>
      <c r="E32" s="11">
        <f t="shared" si="17"/>
        <v>0.59491228186295653</v>
      </c>
      <c r="F32" s="11">
        <f t="shared" si="17"/>
        <v>1.5451500820632336</v>
      </c>
      <c r="G32" s="11">
        <f t="shared" si="17"/>
        <v>2.9933287023848902</v>
      </c>
      <c r="H32" s="11">
        <f t="shared" si="17"/>
        <v>4.6126423965002195</v>
      </c>
      <c r="I32" s="11">
        <f t="shared" si="17"/>
        <v>8.148777306087325E-2</v>
      </c>
      <c r="J32" s="11">
        <f t="shared" si="17"/>
        <v>0.22427413213666722</v>
      </c>
      <c r="K32" s="11">
        <f t="shared" si="17"/>
        <v>4.524765744258577E-2</v>
      </c>
      <c r="L32" s="11">
        <f t="shared" si="17"/>
        <v>0.11450688936140843</v>
      </c>
      <c r="M32" s="11">
        <f t="shared" si="17"/>
        <v>0.31076841380628589</v>
      </c>
      <c r="N32" s="6"/>
      <c r="O32" s="11">
        <f t="shared" si="9"/>
        <v>0.56226974455402268</v>
      </c>
      <c r="P32" s="11">
        <f t="shared" si="9"/>
        <v>2.6855969507409378</v>
      </c>
      <c r="Q32" s="11">
        <f t="shared" si="9"/>
        <v>6.9772403794027535E-2</v>
      </c>
      <c r="R32" s="11">
        <f t="shared" si="9"/>
        <v>3.8052500823878524E-2</v>
      </c>
      <c r="S32" s="11">
        <f t="shared" si="9"/>
        <v>0.21368755128293387</v>
      </c>
      <c r="T32" s="11">
        <f t="shared" ref="T32:V32" si="18">IF(T9="","",(T9/$O$23))</f>
        <v>0.30753350225038878</v>
      </c>
      <c r="U32" s="11">
        <f t="shared" si="18"/>
        <v>3.7649362104909823E-2</v>
      </c>
      <c r="V32" s="11">
        <f t="shared" si="18"/>
        <v>0.35446359194680394</v>
      </c>
    </row>
    <row r="33" spans="1:22" x14ac:dyDescent="0.35">
      <c r="A33" s="227"/>
      <c r="B33" s="11">
        <f t="shared" ref="B33:M33" si="19">IF(B10="","",(B10/$O$23))</f>
        <v>9.3442496061255667E-2</v>
      </c>
      <c r="C33" s="11">
        <f t="shared" si="19"/>
        <v>0.52948270968072131</v>
      </c>
      <c r="D33" s="11">
        <f t="shared" si="19"/>
        <v>0.1632765563652431</v>
      </c>
      <c r="E33" s="11">
        <f t="shared" si="19"/>
        <v>0.50192130116694589</v>
      </c>
      <c r="F33" s="11">
        <f t="shared" si="19"/>
        <v>1.4374513361503225</v>
      </c>
      <c r="G33" s="11">
        <f t="shared" si="19"/>
        <v>2.6021668395227122</v>
      </c>
      <c r="H33" s="11">
        <f t="shared" si="19"/>
        <v>2.4139276174916966</v>
      </c>
      <c r="I33" s="11">
        <f t="shared" si="19"/>
        <v>0.26755225932007176</v>
      </c>
      <c r="J33" s="11">
        <f t="shared" si="19"/>
        <v>0.16386466461409155</v>
      </c>
      <c r="K33" s="11">
        <f t="shared" si="19"/>
        <v>7.8122908553214479E-2</v>
      </c>
      <c r="L33" s="11">
        <f t="shared" si="19"/>
        <v>0.25884636011373124</v>
      </c>
      <c r="M33" s="11">
        <f t="shared" si="19"/>
        <v>1.555230130973604E-2</v>
      </c>
      <c r="N33" s="6"/>
      <c r="O33" s="11">
        <f t="shared" si="9"/>
        <v>0.46408760190661735</v>
      </c>
      <c r="P33" s="11">
        <f t="shared" si="9"/>
        <v>4.0994844335335019</v>
      </c>
      <c r="Q33" s="11">
        <f t="shared" si="9"/>
        <v>0.39214710227261462</v>
      </c>
      <c r="R33" s="11">
        <f t="shared" si="9"/>
        <v>0.30361467771478245</v>
      </c>
      <c r="S33" s="11">
        <f t="shared" si="9"/>
        <v>0.28390783428905486</v>
      </c>
      <c r="T33" s="11" t="str">
        <f t="shared" ref="T33:V33" si="20">IF(T10="","",(T10/$O$23))</f>
        <v/>
      </c>
      <c r="U33" s="11">
        <f t="shared" si="20"/>
        <v>6.0498632321594616E-2</v>
      </c>
      <c r="V33" s="11">
        <f t="shared" si="20"/>
        <v>6.2037515572748073E-2</v>
      </c>
    </row>
    <row r="34" spans="1:22" x14ac:dyDescent="0.35">
      <c r="A34" s="227"/>
      <c r="B34" s="11">
        <f t="shared" ref="B34:M34" si="21">IF(B11="","",(B11/$O$23))</f>
        <v>5.8624590606043643E-2</v>
      </c>
      <c r="C34" s="11">
        <f t="shared" si="21"/>
        <v>0.24895001598431843</v>
      </c>
      <c r="D34" s="11">
        <f t="shared" si="21"/>
        <v>0.27889832190161906</v>
      </c>
      <c r="E34" s="11">
        <f t="shared" si="21"/>
        <v>0.12769252925037528</v>
      </c>
      <c r="F34" s="11">
        <f t="shared" si="21"/>
        <v>0.76649159871557149</v>
      </c>
      <c r="G34" s="11">
        <f t="shared" si="21"/>
        <v>1.7369391381317876</v>
      </c>
      <c r="H34" s="11">
        <f t="shared" si="21"/>
        <v>3.8508218317417655</v>
      </c>
      <c r="I34" s="11">
        <f t="shared" si="21"/>
        <v>9.7717031231246129E-2</v>
      </c>
      <c r="J34" s="11">
        <f t="shared" si="21"/>
        <v>9.6910121418847597E-2</v>
      </c>
      <c r="K34" s="11">
        <f t="shared" si="21"/>
        <v>0.2121078798790377</v>
      </c>
      <c r="L34" s="11">
        <f t="shared" si="21"/>
        <v>0.30165210357467365</v>
      </c>
      <c r="M34" s="11">
        <f t="shared" si="21"/>
        <v>0.28442400994295008</v>
      </c>
      <c r="N34" s="6"/>
      <c r="O34" s="11">
        <f t="shared" si="9"/>
        <v>5.1655507857189434E-2</v>
      </c>
      <c r="P34" s="11">
        <f t="shared" si="9"/>
        <v>2.9455645107742479</v>
      </c>
      <c r="Q34" s="11">
        <f t="shared" si="9"/>
        <v>0.12617419816920847</v>
      </c>
      <c r="R34" s="11">
        <f t="shared" si="9"/>
        <v>4.4481377689314677E-2</v>
      </c>
      <c r="S34" s="11">
        <f t="shared" si="9"/>
        <v>0.1283558900600979</v>
      </c>
      <c r="T34" s="11">
        <f t="shared" ref="T34:V34" si="22">IF(T11="","",(T11/$O$23))</f>
        <v>8.1980392766091467E-2</v>
      </c>
      <c r="U34" s="11">
        <f t="shared" si="22"/>
        <v>0.20562446071632931</v>
      </c>
      <c r="V34" s="11">
        <f t="shared" si="22"/>
        <v>0.44863110532774209</v>
      </c>
    </row>
    <row r="35" spans="1:22" x14ac:dyDescent="0.35">
      <c r="A35" s="227"/>
      <c r="B35" s="11">
        <f t="shared" ref="B35:M35" si="23">IF(B12="","",(B12/$O$23))</f>
        <v>4.7306036313555365E-2</v>
      </c>
      <c r="C35" s="11">
        <f t="shared" si="23"/>
        <v>7.5804307591490983E-2</v>
      </c>
      <c r="D35" s="11">
        <f t="shared" si="23"/>
        <v>0.46143384248049635</v>
      </c>
      <c r="E35" s="11">
        <f t="shared" si="23"/>
        <v>0.46252121036640487</v>
      </c>
      <c r="F35" s="11">
        <f t="shared" si="23"/>
        <v>2.6892214049648895</v>
      </c>
      <c r="G35" s="11">
        <f t="shared" si="23"/>
        <v>2.3640977747037821</v>
      </c>
      <c r="H35" s="11">
        <f t="shared" si="23"/>
        <v>3.4408996319285521</v>
      </c>
      <c r="I35" s="11">
        <f t="shared" si="23"/>
        <v>1.4067802262239531E-2</v>
      </c>
      <c r="J35" s="11">
        <f t="shared" si="23"/>
        <v>0.22311182787711509</v>
      </c>
      <c r="K35" s="11">
        <f t="shared" si="23"/>
        <v>3.4804309404297767E-2</v>
      </c>
      <c r="L35" s="11">
        <f t="shared" si="23"/>
        <v>0.24687108494336221</v>
      </c>
      <c r="M35" s="11">
        <f t="shared" si="23"/>
        <v>0.18300031580780587</v>
      </c>
      <c r="N35" s="6"/>
      <c r="O35" s="11">
        <f t="shared" si="9"/>
        <v>1.4461888540797192</v>
      </c>
      <c r="P35" s="11">
        <f t="shared" si="9"/>
        <v>2.6390500799679657</v>
      </c>
      <c r="Q35" s="11">
        <f t="shared" si="9"/>
        <v>7.0511017164624309E-2</v>
      </c>
      <c r="R35" s="11">
        <f t="shared" si="9"/>
        <v>0.13851878002487591</v>
      </c>
      <c r="S35" s="11">
        <f t="shared" si="9"/>
        <v>0.30657608731624197</v>
      </c>
      <c r="T35" s="11">
        <f t="shared" ref="T35:V35" si="24">IF(T12="","",(T12/$O$23))</f>
        <v>6.5722677744967841E-3</v>
      </c>
      <c r="U35" s="11">
        <f t="shared" si="24"/>
        <v>0.37626659861755352</v>
      </c>
      <c r="V35" s="11" t="str">
        <f t="shared" si="24"/>
        <v/>
      </c>
    </row>
    <row r="36" spans="1:22" x14ac:dyDescent="0.3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6.6445323660421149E-2</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0.48277173773508669</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0.9411006216114477</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1.1150328457403023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1.8554881650487223</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t="str">
        <f t="shared" ref="O41:V41" si="36">IF(O18="","",(O18/$O$23))</f>
        <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1.4833111320712795</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0.49826238253486282</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AN-0.18mg/L</v>
      </c>
      <c r="J45" s="7" t="str">
        <f t="shared" si="41"/>
        <v>AN-0.36mg/L</v>
      </c>
      <c r="K45" s="7" t="str">
        <f t="shared" ref="K45:M45" si="42">K4</f>
        <v>AN-0.73mg/L</v>
      </c>
      <c r="L45" s="7" t="str">
        <f t="shared" si="42"/>
        <v>AN-1.45mg/L</v>
      </c>
      <c r="M45" s="7" t="str">
        <f t="shared" si="42"/>
        <v>AN-2.9mg/L</v>
      </c>
      <c r="N45" s="7"/>
      <c r="O45" s="7" t="str">
        <f t="shared" si="41"/>
        <v>Testo -30µg/L</v>
      </c>
      <c r="P45" s="7" t="str">
        <f t="shared" si="41"/>
        <v>Testo 30µg/L + EE2 -64ng/L</v>
      </c>
      <c r="Q45" s="7" t="str">
        <f t="shared" si="41"/>
        <v>Testo 30µg/L + FAD-10mg/L</v>
      </c>
      <c r="R45" s="7" t="str">
        <f t="shared" si="41"/>
        <v>AN-0,18mg/L + Testostérone</v>
      </c>
      <c r="S45" s="7" t="str">
        <f t="shared" ref="S45:V45" si="43">S4</f>
        <v>AN-0,36mg/L + Testostérone</v>
      </c>
      <c r="T45" s="7" t="str">
        <f t="shared" si="43"/>
        <v>AN-0,73mg/L + Testostérone</v>
      </c>
      <c r="U45" s="7" t="str">
        <f t="shared" si="43"/>
        <v>AN-1,45mg/L + Testostérone</v>
      </c>
      <c r="V45" s="7" t="str">
        <f t="shared" si="43"/>
        <v>AN-2,9mg/L + Testostérone</v>
      </c>
    </row>
    <row r="46" spans="1:22" x14ac:dyDescent="0.35">
      <c r="A46" s="8" t="s">
        <v>0</v>
      </c>
      <c r="B46" s="10">
        <f t="shared" ref="B46:H46" si="44">AVERAGE(B28:B43)</f>
        <v>0.2001901507846312</v>
      </c>
      <c r="C46" s="10">
        <f t="shared" si="44"/>
        <v>0.17785362333190982</v>
      </c>
      <c r="D46" s="10">
        <f t="shared" si="44"/>
        <v>0.18746566997144154</v>
      </c>
      <c r="E46" s="10">
        <f t="shared" si="44"/>
        <v>0.68661195390934526</v>
      </c>
      <c r="F46" s="10">
        <f t="shared" si="44"/>
        <v>1.7011239781513778</v>
      </c>
      <c r="G46" s="10">
        <f t="shared" si="44"/>
        <v>2.000096236853409</v>
      </c>
      <c r="H46" s="10">
        <f t="shared" si="44"/>
        <v>3.6187008359345954</v>
      </c>
      <c r="I46" s="10">
        <f>AVERAGE(I28:I43)</f>
        <v>0.10937426157107194</v>
      </c>
      <c r="J46" s="9">
        <f>AVERAGE(J28:J43)</f>
        <v>0.14982147978623161</v>
      </c>
      <c r="K46" s="9">
        <f t="shared" ref="K46:M46" si="45">AVERAGE(K28:K43)</f>
        <v>0.12804503848904997</v>
      </c>
      <c r="L46" s="9">
        <f t="shared" si="45"/>
        <v>0.21890001070278714</v>
      </c>
      <c r="M46" s="9">
        <f t="shared" si="45"/>
        <v>0.29715531136639906</v>
      </c>
      <c r="N46" s="8" t="s">
        <v>0</v>
      </c>
      <c r="O46" s="10">
        <f t="shared" ref="O46:R46" si="46">AVERAGE(O28:O43)</f>
        <v>0.99999999999999978</v>
      </c>
      <c r="P46" s="10">
        <f t="shared" si="46"/>
        <v>2.8966358015934395</v>
      </c>
      <c r="Q46" s="10">
        <f t="shared" si="46"/>
        <v>0.1647039610328207</v>
      </c>
      <c r="R46" s="10">
        <f t="shared" si="46"/>
        <v>0.14148409679711307</v>
      </c>
      <c r="S46" s="10">
        <f t="shared" ref="S46:V46" si="47">AVERAGE(S28:S43)</f>
        <v>0.21839424664269833</v>
      </c>
      <c r="T46" s="10">
        <f t="shared" si="47"/>
        <v>0.17757908247657178</v>
      </c>
      <c r="U46" s="10">
        <f t="shared" si="47"/>
        <v>0.16478811200575499</v>
      </c>
      <c r="V46" s="10">
        <f t="shared" si="47"/>
        <v>0.22241421345074808</v>
      </c>
    </row>
    <row r="47" spans="1:22" x14ac:dyDescent="0.35">
      <c r="A47" s="8" t="s">
        <v>1</v>
      </c>
      <c r="B47" s="8">
        <f t="shared" ref="B47:J47" si="48">STDEV(B28:B43)</f>
        <v>0.11613854469063994</v>
      </c>
      <c r="C47" s="8">
        <f t="shared" si="48"/>
        <v>0.18424598197110684</v>
      </c>
      <c r="D47" s="8">
        <f t="shared" si="48"/>
        <v>0.13769031006707985</v>
      </c>
      <c r="E47" s="8">
        <f t="shared" si="48"/>
        <v>0.66332851035560247</v>
      </c>
      <c r="F47" s="8">
        <f t="shared" si="48"/>
        <v>0.65447610404659817</v>
      </c>
      <c r="G47" s="8">
        <f t="shared" si="48"/>
        <v>0.92088122051878019</v>
      </c>
      <c r="H47" s="8">
        <f t="shared" si="48"/>
        <v>0.760202782533</v>
      </c>
      <c r="I47" s="8">
        <f t="shared" si="48"/>
        <v>8.2734724344072932E-2</v>
      </c>
      <c r="J47" s="8">
        <f t="shared" si="48"/>
        <v>7.282189584792749E-2</v>
      </c>
      <c r="K47" s="8">
        <f t="shared" ref="K47:M47" si="49">STDEV(K28:K43)</f>
        <v>8.482312802089001E-2</v>
      </c>
      <c r="L47" s="8">
        <f t="shared" si="49"/>
        <v>9.1441888213435837E-2</v>
      </c>
      <c r="M47" s="8">
        <f t="shared" si="49"/>
        <v>0.16952973888448422</v>
      </c>
      <c r="N47" s="8" t="s">
        <v>1</v>
      </c>
      <c r="O47" s="8">
        <f t="shared" ref="O47:R47" si="50">STDEV(O28:O43)</f>
        <v>0.69206728446270771</v>
      </c>
      <c r="P47" s="8">
        <f t="shared" si="50"/>
        <v>1.0678165621543845</v>
      </c>
      <c r="Q47" s="8">
        <f t="shared" si="50"/>
        <v>0.13096440055025799</v>
      </c>
      <c r="R47" s="8">
        <f t="shared" si="50"/>
        <v>0.11086564422828556</v>
      </c>
      <c r="S47" s="8">
        <f t="shared" ref="S47:V47" si="51">STDEV(S28:S43)</f>
        <v>0.10027362140544593</v>
      </c>
      <c r="T47" s="8">
        <f t="shared" si="51"/>
        <v>0.20426406061762251</v>
      </c>
      <c r="U47" s="8">
        <f t="shared" si="51"/>
        <v>0.12770154743035489</v>
      </c>
      <c r="V47" s="8">
        <f t="shared" si="51"/>
        <v>0.16212476489177566</v>
      </c>
    </row>
    <row r="48" spans="1:22" x14ac:dyDescent="0.35">
      <c r="A48" s="8" t="s">
        <v>2</v>
      </c>
      <c r="B48" s="8">
        <f t="shared" ref="B48:J48" si="52" xml:space="preserve"> B47/SQRT(COUNT(B28:B43))</f>
        <v>4.1061176253944204E-2</v>
      </c>
      <c r="C48" s="8">
        <f t="shared" si="52"/>
        <v>6.9638435479776967E-2</v>
      </c>
      <c r="D48" s="8">
        <f t="shared" si="52"/>
        <v>4.8680875976055256E-2</v>
      </c>
      <c r="E48" s="8">
        <f t="shared" si="52"/>
        <v>0.23452204391340875</v>
      </c>
      <c r="F48" s="8">
        <f t="shared" si="52"/>
        <v>0.24736871576310462</v>
      </c>
      <c r="G48" s="8">
        <f t="shared" si="52"/>
        <v>0.32558067784808692</v>
      </c>
      <c r="H48" s="8">
        <f t="shared" si="52"/>
        <v>0.28732964408023348</v>
      </c>
      <c r="I48" s="8">
        <f t="shared" si="52"/>
        <v>2.9251142311646851E-2</v>
      </c>
      <c r="J48" s="8">
        <f t="shared" si="52"/>
        <v>2.7524089487694744E-2</v>
      </c>
      <c r="K48" s="8">
        <f t="shared" ref="K48:M48" si="53" xml:space="preserve"> K47/SQRT(COUNT(K28:K43))</f>
        <v>2.9989504512512987E-2</v>
      </c>
      <c r="L48" s="8">
        <f t="shared" si="53"/>
        <v>3.456178508955994E-2</v>
      </c>
      <c r="M48" s="8">
        <f t="shared" si="53"/>
        <v>6.4076218416865977E-2</v>
      </c>
      <c r="N48" s="8" t="s">
        <v>2</v>
      </c>
      <c r="O48" s="8">
        <f t="shared" ref="O48:R48" si="54" xml:space="preserve"> O47/SQRT(COUNT(O28:O43))</f>
        <v>0.17869100447860387</v>
      </c>
      <c r="P48" s="8">
        <f t="shared" si="54"/>
        <v>0.40359672418520665</v>
      </c>
      <c r="Q48" s="8">
        <f t="shared" si="54"/>
        <v>4.9499890636947604E-2</v>
      </c>
      <c r="R48" s="8">
        <f t="shared" si="54"/>
        <v>4.1903274795572425E-2</v>
      </c>
      <c r="S48" s="8">
        <f t="shared" ref="S48:V48" si="55" xml:space="preserve"> S47/SQRT(COUNT(S28:S43))</f>
        <v>3.7899866471236138E-2</v>
      </c>
      <c r="T48" s="8">
        <f t="shared" si="55"/>
        <v>7.7204558026064532E-2</v>
      </c>
      <c r="U48" s="8">
        <f t="shared" si="55"/>
        <v>4.826664807697692E-2</v>
      </c>
      <c r="V48" s="8">
        <f t="shared" si="55"/>
        <v>6.618715810892313E-2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 thickBot="1" x14ac:dyDescent="0.4"/>
    <row r="52" spans="1:22" x14ac:dyDescent="0.3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AN-0.18mg/L</v>
      </c>
      <c r="J52" s="46" t="str">
        <f>J4</f>
        <v>AN-0.36mg/L</v>
      </c>
      <c r="K52" s="46" t="str">
        <f t="shared" ref="K52:M52" si="57">K4</f>
        <v>AN-0.73mg/L</v>
      </c>
      <c r="L52" s="46" t="str">
        <f t="shared" si="57"/>
        <v>AN-1.45mg/L</v>
      </c>
      <c r="M52" s="46" t="str">
        <f t="shared" si="57"/>
        <v>AN-2.9mg/L</v>
      </c>
      <c r="N52" s="47"/>
      <c r="O52" s="46" t="str">
        <f>O27</f>
        <v>Testo -30µg/L</v>
      </c>
      <c r="P52" s="46" t="str">
        <f>P27</f>
        <v>Testo 30µg/L + EE2 -64ng/L</v>
      </c>
      <c r="Q52" s="46" t="str">
        <f>Q27</f>
        <v>Testo 30µg/L + FAD-10mg/L</v>
      </c>
      <c r="R52" s="46" t="str">
        <f>R27</f>
        <v>AN-0,18mg/L + Testostérone</v>
      </c>
      <c r="S52" s="46" t="str">
        <f t="shared" ref="S52:V52" si="58">S27</f>
        <v>AN-0,36mg/L + Testostérone</v>
      </c>
      <c r="T52" s="46" t="str">
        <f t="shared" si="58"/>
        <v>AN-0,73mg/L + Testostérone</v>
      </c>
      <c r="U52" s="46" t="str">
        <f t="shared" si="58"/>
        <v>AN-1,45mg/L + Testostérone</v>
      </c>
      <c r="V52" s="46" t="str">
        <f t="shared" si="58"/>
        <v>AN-2,9mg/L + Testostérone</v>
      </c>
    </row>
    <row r="53" spans="1:22" s="3" customFormat="1" x14ac:dyDescent="0.35">
      <c r="A53" s="61" t="s">
        <v>32</v>
      </c>
      <c r="B53" s="142">
        <f t="shared" ref="B53" si="59">B46</f>
        <v>0.2001901507846312</v>
      </c>
      <c r="C53" s="142">
        <f t="shared" ref="C53:V53" si="60">C46</f>
        <v>0.17785362333190982</v>
      </c>
      <c r="D53" s="142">
        <f t="shared" si="60"/>
        <v>0.18746566997144154</v>
      </c>
      <c r="E53" s="142">
        <f t="shared" si="60"/>
        <v>0.68661195390934526</v>
      </c>
      <c r="F53" s="142">
        <f t="shared" si="60"/>
        <v>1.7011239781513778</v>
      </c>
      <c r="G53" s="142">
        <f t="shared" si="60"/>
        <v>2.000096236853409</v>
      </c>
      <c r="H53" s="142">
        <f t="shared" si="60"/>
        <v>3.6187008359345954</v>
      </c>
      <c r="I53" s="142">
        <f t="shared" si="60"/>
        <v>0.10937426157107194</v>
      </c>
      <c r="J53" s="142">
        <f t="shared" si="60"/>
        <v>0.14982147978623161</v>
      </c>
      <c r="K53" s="142">
        <f t="shared" si="60"/>
        <v>0.12804503848904997</v>
      </c>
      <c r="L53" s="142">
        <f t="shared" si="60"/>
        <v>0.21890001070278714</v>
      </c>
      <c r="M53" s="142">
        <f t="shared" si="60"/>
        <v>0.29715531136639906</v>
      </c>
      <c r="N53" s="142"/>
      <c r="O53" s="142">
        <f t="shared" si="60"/>
        <v>0.99999999999999978</v>
      </c>
      <c r="P53" s="142">
        <f t="shared" si="60"/>
        <v>2.8966358015934395</v>
      </c>
      <c r="Q53" s="142">
        <f t="shared" si="60"/>
        <v>0.1647039610328207</v>
      </c>
      <c r="R53" s="142">
        <f t="shared" si="60"/>
        <v>0.14148409679711307</v>
      </c>
      <c r="S53" s="142">
        <f t="shared" si="60"/>
        <v>0.21839424664269833</v>
      </c>
      <c r="T53" s="142">
        <f t="shared" si="60"/>
        <v>0.17757908247657178</v>
      </c>
      <c r="U53" s="142">
        <f t="shared" si="60"/>
        <v>0.16478811200575499</v>
      </c>
      <c r="V53" s="142">
        <f t="shared" si="60"/>
        <v>0.22241421345074808</v>
      </c>
    </row>
    <row r="54" spans="1:22" s="3" customFormat="1" x14ac:dyDescent="0.35">
      <c r="A54" s="61" t="s">
        <v>2</v>
      </c>
      <c r="B54" s="142">
        <f t="shared" ref="B54" si="61">B48</f>
        <v>4.1061176253944204E-2</v>
      </c>
      <c r="C54" s="142">
        <f t="shared" ref="C54:V54" si="62">C48</f>
        <v>6.9638435479776967E-2</v>
      </c>
      <c r="D54" s="142">
        <f t="shared" si="62"/>
        <v>4.8680875976055256E-2</v>
      </c>
      <c r="E54" s="142">
        <f t="shared" si="62"/>
        <v>0.23452204391340875</v>
      </c>
      <c r="F54" s="142">
        <f t="shared" si="62"/>
        <v>0.24736871576310462</v>
      </c>
      <c r="G54" s="142">
        <f t="shared" si="62"/>
        <v>0.32558067784808692</v>
      </c>
      <c r="H54" s="142">
        <f t="shared" si="62"/>
        <v>0.28732964408023348</v>
      </c>
      <c r="I54" s="142">
        <f t="shared" si="62"/>
        <v>2.9251142311646851E-2</v>
      </c>
      <c r="J54" s="142">
        <f t="shared" si="62"/>
        <v>2.7524089487694744E-2</v>
      </c>
      <c r="K54" s="142">
        <f t="shared" si="62"/>
        <v>2.9989504512512987E-2</v>
      </c>
      <c r="L54" s="142">
        <f t="shared" si="62"/>
        <v>3.456178508955994E-2</v>
      </c>
      <c r="M54" s="142">
        <f t="shared" si="62"/>
        <v>6.4076218416865977E-2</v>
      </c>
      <c r="N54" s="142"/>
      <c r="O54" s="142">
        <f t="shared" si="62"/>
        <v>0.17869100447860387</v>
      </c>
      <c r="P54" s="142">
        <f t="shared" si="62"/>
        <v>0.40359672418520665</v>
      </c>
      <c r="Q54" s="142">
        <f t="shared" si="62"/>
        <v>4.9499890636947604E-2</v>
      </c>
      <c r="R54" s="142">
        <f t="shared" si="62"/>
        <v>4.1903274795572425E-2</v>
      </c>
      <c r="S54" s="142">
        <f t="shared" si="62"/>
        <v>3.7899866471236138E-2</v>
      </c>
      <c r="T54" s="142">
        <f t="shared" si="62"/>
        <v>7.7204558026064532E-2</v>
      </c>
      <c r="U54" s="142">
        <f t="shared" si="62"/>
        <v>4.826664807697692E-2</v>
      </c>
      <c r="V54" s="142">
        <f t="shared" si="62"/>
        <v>6.618715810892313E-2</v>
      </c>
    </row>
    <row r="55" spans="1:22" s="3" customFormat="1" x14ac:dyDescent="0.35">
      <c r="A55" s="61" t="s">
        <v>79</v>
      </c>
      <c r="B55" s="142">
        <f>(B53*100/$B53)-100</f>
        <v>0</v>
      </c>
      <c r="C55" s="142">
        <f t="shared" ref="C55:M55" si="63">(C53*100/$B53)-100</f>
        <v>-11.157655541581306</v>
      </c>
      <c r="D55" s="142">
        <f t="shared" si="63"/>
        <v>-6.3561972271447758</v>
      </c>
      <c r="E55" s="142">
        <f t="shared" si="63"/>
        <v>242.97988748108634</v>
      </c>
      <c r="F55" s="142">
        <f t="shared" si="63"/>
        <v>749.7540820484636</v>
      </c>
      <c r="G55" s="142">
        <f t="shared" si="63"/>
        <v>899.09822187264092</v>
      </c>
      <c r="H55" s="142">
        <f t="shared" si="63"/>
        <v>1707.6318049371321</v>
      </c>
      <c r="I55" s="142">
        <f t="shared" si="63"/>
        <v>-45.364813832055567</v>
      </c>
      <c r="J55" s="142">
        <f t="shared" si="63"/>
        <v>-25.160414136751058</v>
      </c>
      <c r="K55" s="142">
        <f t="shared" si="63"/>
        <v>-36.038292599717593</v>
      </c>
      <c r="L55" s="142">
        <f t="shared" si="63"/>
        <v>9.3460441709164854</v>
      </c>
      <c r="M55" s="142">
        <f t="shared" si="63"/>
        <v>48.436529070845751</v>
      </c>
      <c r="N55" s="142"/>
      <c r="O55" s="142">
        <f>(O53*100/$O53)-100</f>
        <v>0</v>
      </c>
      <c r="P55" s="142">
        <f t="shared" ref="P55:V55" si="64">(P53*100/$O53)-100</f>
        <v>189.66358015934401</v>
      </c>
      <c r="Q55" s="142">
        <f t="shared" si="64"/>
        <v>-83.52960389671793</v>
      </c>
      <c r="R55" s="142">
        <f t="shared" si="64"/>
        <v>-85.851590320288693</v>
      </c>
      <c r="S55" s="142">
        <f t="shared" si="64"/>
        <v>-78.160575335730158</v>
      </c>
      <c r="T55" s="142">
        <f t="shared" si="64"/>
        <v>-82.242091752342816</v>
      </c>
      <c r="U55" s="142">
        <f t="shared" si="64"/>
        <v>-83.521188799424493</v>
      </c>
      <c r="V55" s="142">
        <f t="shared" si="64"/>
        <v>-77.758578654925188</v>
      </c>
    </row>
    <row r="56" spans="1:22" s="3" customFormat="1" x14ac:dyDescent="0.35">
      <c r="A56" s="61" t="s">
        <v>81</v>
      </c>
      <c r="B56" s="142">
        <f>[1]!SWTEST(B28:B43)</f>
        <v>0.1770442219303523</v>
      </c>
      <c r="C56" s="142">
        <f>[1]!SWTEST(C28:C43)</f>
        <v>9.8485425577074182E-2</v>
      </c>
      <c r="D56" s="142">
        <f>[1]!SWTEST(D28:D43)</f>
        <v>0.37586363319943938</v>
      </c>
      <c r="E56" s="142">
        <f>[1]!SWTEST(E28:E43)</f>
        <v>5.3751507048092728E-2</v>
      </c>
      <c r="F56" s="142">
        <f>[1]!SWTEST(F28:F43)</f>
        <v>0.88316718531238037</v>
      </c>
      <c r="G56" s="142">
        <f>[1]!SWTEST(G28:G43)</f>
        <v>0.55860445149506877</v>
      </c>
      <c r="H56" s="142">
        <f>[1]!SWTEST(H28:H43)</f>
        <v>0.84103887577897862</v>
      </c>
      <c r="I56" s="142">
        <f>[1]!SWTEST(I28:I43)</f>
        <v>0.47975646292172913</v>
      </c>
      <c r="J56" s="142">
        <f>[1]!SWTEST(J28:J43)</f>
        <v>0.11987873546822791</v>
      </c>
      <c r="K56" s="142">
        <f>[1]!SWTEST(K28:K43)</f>
        <v>0.15788175006670513</v>
      </c>
      <c r="L56" s="142">
        <f>[1]!SWTEST(L28:L43)</f>
        <v>0.28460721421293833</v>
      </c>
      <c r="M56" s="142">
        <f>[1]!SWTEST(M28:M43)</f>
        <v>0.86184057600792952</v>
      </c>
      <c r="N56" s="142"/>
      <c r="O56" s="142">
        <f>[1]!SWTEST(O28:O43)</f>
        <v>0.56063459038696362</v>
      </c>
      <c r="P56" s="142">
        <f>[1]!SWTEST(P28:P43)</f>
        <v>0.25759969947016448</v>
      </c>
      <c r="Q56" s="142">
        <f>[1]!SWTEST(Q28:Q43)</f>
        <v>5.549990365518831E-2</v>
      </c>
      <c r="R56" s="142">
        <f>[1]!SWTEST(R28:R43)</f>
        <v>0.10205341282034919</v>
      </c>
      <c r="S56" s="142">
        <f>[1]!SWTEST(S28:S43)</f>
        <v>0.37343972855261576</v>
      </c>
      <c r="T56" s="142">
        <f>[1]!SWTEST(T28:T43)</f>
        <v>1.8153090874268751E-2</v>
      </c>
      <c r="U56" s="142">
        <f>[1]!SWTEST(U28:U43)</f>
        <v>0.38916077330976884</v>
      </c>
      <c r="V56" s="142">
        <f>[1]!SWTEST(V28:V43)</f>
        <v>0.48453609564878586</v>
      </c>
    </row>
    <row r="57" spans="1:22" s="3" customFormat="1" x14ac:dyDescent="0.35">
      <c r="A57" s="61" t="s">
        <v>85</v>
      </c>
      <c r="B57" s="142" t="str">
        <f>IF(B56&gt;0.05,"Oui","Non")</f>
        <v>Oui</v>
      </c>
      <c r="C57" s="142" t="str">
        <f t="shared" ref="C57:V57" si="65">IF(C56&gt;0.05,"Oui","Non")</f>
        <v>Oui</v>
      </c>
      <c r="D57" s="142" t="str">
        <f t="shared" si="65"/>
        <v>Oui</v>
      </c>
      <c r="E57" s="142" t="str">
        <f t="shared" si="65"/>
        <v>Oui</v>
      </c>
      <c r="F57" s="142" t="str">
        <f t="shared" si="65"/>
        <v>Oui</v>
      </c>
      <c r="G57" s="142" t="str">
        <f t="shared" si="65"/>
        <v>Oui</v>
      </c>
      <c r="H57" s="142" t="str">
        <f t="shared" si="65"/>
        <v>Oui</v>
      </c>
      <c r="I57" s="142" t="str">
        <f t="shared" si="65"/>
        <v>Oui</v>
      </c>
      <c r="J57" s="142" t="str">
        <f t="shared" si="65"/>
        <v>Oui</v>
      </c>
      <c r="K57" s="142" t="str">
        <f t="shared" si="65"/>
        <v>Oui</v>
      </c>
      <c r="L57" s="142" t="str">
        <f t="shared" si="65"/>
        <v>Oui</v>
      </c>
      <c r="M57" s="142" t="str">
        <f t="shared" si="65"/>
        <v>Oui</v>
      </c>
      <c r="N57" s="142"/>
      <c r="O57" s="142" t="str">
        <f t="shared" si="65"/>
        <v>Oui</v>
      </c>
      <c r="P57" s="142" t="str">
        <f t="shared" si="65"/>
        <v>Oui</v>
      </c>
      <c r="Q57" s="142" t="str">
        <f t="shared" si="65"/>
        <v>Oui</v>
      </c>
      <c r="R57" s="142" t="str">
        <f t="shared" si="65"/>
        <v>Oui</v>
      </c>
      <c r="S57" s="142" t="str">
        <f t="shared" si="65"/>
        <v>Oui</v>
      </c>
      <c r="T57" s="142" t="str">
        <f t="shared" si="65"/>
        <v>Non</v>
      </c>
      <c r="U57" s="142" t="str">
        <f t="shared" si="65"/>
        <v>Oui</v>
      </c>
      <c r="V57" s="142" t="str">
        <f t="shared" si="65"/>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66">IF($B57="Non",IF(C57="Non","MW",IF(C57="Oui","MW","")),IF($B57="Oui",IF(C57="Oui","T-Test Welch",IF(C57="Non","MW",""))))</f>
        <v>T-Test Welch</v>
      </c>
      <c r="D59" s="151" t="str">
        <f t="shared" si="66"/>
        <v>T-Test Welch</v>
      </c>
      <c r="E59" s="151" t="str">
        <f t="shared" si="66"/>
        <v>T-Test Welch</v>
      </c>
      <c r="F59" s="151" t="str">
        <f t="shared" si="66"/>
        <v>T-Test Welch</v>
      </c>
      <c r="G59" s="151" t="str">
        <f t="shared" si="66"/>
        <v>T-Test Welch</v>
      </c>
      <c r="H59" s="151" t="str">
        <f t="shared" si="66"/>
        <v>T-Test Welch</v>
      </c>
      <c r="I59" s="151" t="str">
        <f t="shared" si="66"/>
        <v>T-Test Welch</v>
      </c>
      <c r="J59" s="151" t="str">
        <f t="shared" si="66"/>
        <v>T-Test Welch</v>
      </c>
      <c r="K59" s="151" t="str">
        <f t="shared" si="66"/>
        <v>T-Test Welch</v>
      </c>
      <c r="L59" s="151" t="str">
        <f t="shared" si="66"/>
        <v>T-Test Welch</v>
      </c>
      <c r="M59" s="151" t="str">
        <f t="shared" si="66"/>
        <v>T-Test Welch</v>
      </c>
      <c r="N59" s="151"/>
      <c r="O59" s="151" t="str">
        <f t="shared" si="66"/>
        <v>T-Test Welch</v>
      </c>
      <c r="P59" s="151" t="str">
        <f>IF($O57="Non",IF(P57="Non","MW",IF(P57="Oui","MW","")),IF($O57="Oui",IF(P57="Oui","T-Test Welch",IF(P57="Non","MW",""))))</f>
        <v>T-Test Welch</v>
      </c>
      <c r="Q59" s="151" t="str">
        <f t="shared" ref="Q59:V59" si="67">IF($O57="Non",IF(Q57="Non","MW",IF(Q57="Oui","MW","")),IF($O57="Oui",IF(Q57="Oui","T-Test Welch",IF(Q57="Non","MW",""))))</f>
        <v>T-Test Welch</v>
      </c>
      <c r="R59" s="151" t="str">
        <f t="shared" si="67"/>
        <v>T-Test Welch</v>
      </c>
      <c r="S59" s="151" t="str">
        <f t="shared" si="67"/>
        <v>T-Test Welch</v>
      </c>
      <c r="T59" s="151" t="str">
        <f t="shared" si="67"/>
        <v>MW</v>
      </c>
      <c r="U59" s="151" t="str">
        <f t="shared" si="67"/>
        <v>T-Test Welch</v>
      </c>
      <c r="V59" s="151" t="str">
        <f t="shared" si="67"/>
        <v>T-Test Welch</v>
      </c>
    </row>
    <row r="60" spans="1:22" s="3" customFormat="1" x14ac:dyDescent="0.35">
      <c r="A60" s="61" t="s">
        <v>83</v>
      </c>
      <c r="B60" s="152"/>
      <c r="C60" s="152">
        <f>IF(C59="MW",[1]!MTEST($B28:$B43,C28:C43,2), IF(C59="T-Test Welch",_xlfn.T.TEST($B28:$B43,C28:C43,2,3),""))</f>
        <v>0.78801713091120229</v>
      </c>
      <c r="D60" s="152">
        <f>IF(D59="MW",[1]!MTEST($B28:$B43,D28:D43,2), IF(D59="T-Test Welch",_xlfn.T.TEST($B28:$B43,D28:D43,2,3),""))</f>
        <v>0.84458946452343997</v>
      </c>
      <c r="E60" s="152">
        <f>IF(E59="MW",[1]!MTEST($B28:$B43,E28:E43,2), IF(E59="T-Test Welch",_xlfn.T.TEST($B28:$B43,E28:E43,2,3),""))</f>
        <v>7.8027925455558242E-2</v>
      </c>
      <c r="F60" s="152">
        <f>IF(F59="MW",[1]!MTEST($B28:$B43,F28:F43,2), IF(F59="T-Test Welch",_xlfn.T.TEST($B28:$B43,F28:F43,2,3),""))</f>
        <v>8.0173503286412758E-4</v>
      </c>
      <c r="G60" s="152">
        <f>IF(G59="MW",[1]!MTEST($B28:$B43,G28:G43,2), IF(G59="T-Test Welch",_xlfn.T.TEST($B28:$B43,G28:G43,2,3),""))</f>
        <v>8.2867955174403308E-4</v>
      </c>
      <c r="H60" s="152">
        <f>IF(H59="MW",[1]!MTEST($B28:$B43,H28:H43,2), IF(H59="T-Test Welch",_xlfn.T.TEST($B28:$B43,H28:H43,2,3),""))</f>
        <v>1.6960135680395925E-5</v>
      </c>
      <c r="I60" s="152">
        <f>IF(I59="MW",[1]!MTEST($B28:$B43,I28:I43,2), IF(I59="T-Test Welch",_xlfn.T.TEST($B28:$B43,I28:I43,2,3),""))</f>
        <v>9.5515074412843598E-2</v>
      </c>
      <c r="J60" s="152">
        <f>IF(J59="MW",[1]!MTEST($B28:$B43,J28:J43,2), IF(J59="T-Test Welch",_xlfn.T.TEST($B28:$B43,J28:J43,2,3),""))</f>
        <v>0.32850238560590606</v>
      </c>
      <c r="K60" s="152">
        <f>IF(K59="MW",[1]!MTEST($B28:$B43,K28:K43,2), IF(K59="T-Test Welch",_xlfn.T.TEST($B28:$B43,K28:K43,2,3),""))</f>
        <v>0.17979967220198967</v>
      </c>
      <c r="L60" s="152">
        <f>IF(L59="MW",[1]!MTEST($B28:$B43,L28:L43,2), IF(L59="T-Test Welch",_xlfn.T.TEST($B28:$B43,L28:L43,2,3),""))</f>
        <v>0.73301541810286697</v>
      </c>
      <c r="M60" s="152">
        <f>IF(M59="MW",[1]!MTEST($B28:$B43,M28:M43,2), IF(M59="T-Test Welch",_xlfn.T.TEST($B28:$B43,M28:M43,2,3),""))</f>
        <v>0.23027446762975207</v>
      </c>
      <c r="N60" s="152"/>
      <c r="O60" s="152">
        <f>IF(O59="MW",[1]!MTEST($B28:$B43,O28:O43,2), IF(O59="T-Test Welch",_xlfn.T.TEST($B28:$B43,O28:O43,2,3),""))</f>
        <v>5.2367247851163958E-4</v>
      </c>
      <c r="P60" s="152">
        <f>IF(P59="MW",[1]!MTEST($O28:$O43,P28:P43,2), IF(P59="T-Test Welch",_xlfn.T.TEST($O28:$O43,P28:P43,2,3),""))</f>
        <v>2.3173822717533384E-3</v>
      </c>
      <c r="Q60" s="152">
        <f>IF(Q59="MW",[1]!MTEST($O28:$O43,Q28:Q43,2), IF(Q59="T-Test Welch",_xlfn.T.TEST($O28:$O43,Q28:Q43,2,3),""))</f>
        <v>3.5930856060939991E-4</v>
      </c>
      <c r="R60" s="152">
        <f>IF(R59="MW",[1]!MTEST($O28:$O43,R28:R43,2), IF(R59="T-Test Welch",_xlfn.T.TEST($O28:$O43,R28:R43,2,3),""))</f>
        <v>2.7474698000806583E-4</v>
      </c>
      <c r="S60" s="152">
        <f>IF(S59="MW",[1]!MTEST($O28:$O43,S28:S43,2), IF(S59="T-Test Welch",_xlfn.T.TEST($O28:$O43,S28:S43,2,3),""))</f>
        <v>6.3955372306319955E-4</v>
      </c>
      <c r="T60" s="152">
        <f>IF(T59="MW",[1]!MTEST($O28:$O43,T28:T43,2), IF(T59="T-Test Welch",_xlfn.T.TEST($O28:$O43,T28:T43,2,3),""))</f>
        <v>1.008468675167995E-2</v>
      </c>
      <c r="U60" s="152">
        <f>IF(U59="MW",[1]!MTEST($O28:$O43,U28:U43,2), IF(U59="T-Test Welch",_xlfn.T.TEST($O28:$O43,U28:U43,2,3),""))</f>
        <v>3.58610137955593E-4</v>
      </c>
      <c r="V60" s="152">
        <f>IF(V59="MW",[1]!MTEST($O28:$O43,V28:V43,2), IF(V59="T-Test Welch",_xlfn.T.TEST($O28:$O43,V28:V43,2,3),""))</f>
        <v>7.6227333106980682E-4</v>
      </c>
    </row>
    <row r="61" spans="1:22" s="3" customFormat="1" ht="15" thickBot="1" x14ac:dyDescent="0.4">
      <c r="A61" s="62" t="s">
        <v>84</v>
      </c>
      <c r="B61" s="143"/>
      <c r="C61" s="143" t="str">
        <f t="shared" ref="C61:O61" si="68">IF(C60&gt;0.05,"NS",IF(C60&gt;0.01,"*",IF(C60&gt;0.001,"**","***")))</f>
        <v>NS</v>
      </c>
      <c r="D61" s="143" t="str">
        <f t="shared" si="68"/>
        <v>NS</v>
      </c>
      <c r="E61" s="143" t="str">
        <f t="shared" si="68"/>
        <v>NS</v>
      </c>
      <c r="F61" s="143" t="str">
        <f t="shared" si="68"/>
        <v>***</v>
      </c>
      <c r="G61" s="143" t="str">
        <f t="shared" si="68"/>
        <v>***</v>
      </c>
      <c r="H61" s="143" t="str">
        <f t="shared" si="68"/>
        <v>***</v>
      </c>
      <c r="I61" s="143" t="str">
        <f t="shared" si="68"/>
        <v>NS</v>
      </c>
      <c r="J61" s="143" t="str">
        <f t="shared" si="68"/>
        <v>NS</v>
      </c>
      <c r="K61" s="143" t="str">
        <f t="shared" si="68"/>
        <v>NS</v>
      </c>
      <c r="L61" s="143" t="str">
        <f t="shared" si="68"/>
        <v>NS</v>
      </c>
      <c r="M61" s="143" t="str">
        <f t="shared" si="68"/>
        <v>NS</v>
      </c>
      <c r="N61" s="143"/>
      <c r="O61" s="143" t="str">
        <f t="shared" si="68"/>
        <v>***</v>
      </c>
      <c r="P61" s="143" t="str">
        <f>IF(P60&gt;0.05,"NS",IF(P60&gt;0.01,"*",IF(P60&gt;0.001,"**","***")))</f>
        <v>**</v>
      </c>
      <c r="Q61" s="143" t="str">
        <f t="shared" ref="Q61:V61" si="69">IF(Q60&gt;0.05,"NS",IF(Q60&gt;0.01,"*",IF(Q60&gt;0.001,"**","***")))</f>
        <v>***</v>
      </c>
      <c r="R61" s="143" t="str">
        <f t="shared" si="69"/>
        <v>***</v>
      </c>
      <c r="S61" s="143" t="str">
        <f t="shared" si="69"/>
        <v>***</v>
      </c>
      <c r="T61" s="143" t="str">
        <f t="shared" si="69"/>
        <v>*</v>
      </c>
      <c r="U61" s="143" t="str">
        <f t="shared" si="69"/>
        <v>***</v>
      </c>
      <c r="V61" s="143" t="str">
        <f t="shared" si="69"/>
        <v>***</v>
      </c>
    </row>
    <row r="63" spans="1:22" x14ac:dyDescent="0.35">
      <c r="A63" s="2" t="s">
        <v>39</v>
      </c>
    </row>
    <row r="64" spans="1:22" x14ac:dyDescent="0.35">
      <c r="A64" s="1" t="s">
        <v>23</v>
      </c>
      <c r="B64" s="1">
        <f>B46+(3*B47)</f>
        <v>0.54860578485655109</v>
      </c>
    </row>
    <row r="65" spans="1:22" x14ac:dyDescent="0.35">
      <c r="A65" s="1" t="s">
        <v>24</v>
      </c>
      <c r="B65" s="1">
        <f>B46+(10*B47)</f>
        <v>1.3615755976910306</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T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3" t="s">
        <v>166</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2814</v>
      </c>
      <c r="D3" s="1" t="s">
        <v>1198</v>
      </c>
      <c r="E3" s="1" t="s">
        <v>2815</v>
      </c>
      <c r="F3" s="1" t="s">
        <v>112</v>
      </c>
      <c r="G3" s="1">
        <v>165382</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2816</v>
      </c>
      <c r="D4" s="1" t="s">
        <v>1361</v>
      </c>
      <c r="E4" s="1" t="s">
        <v>2817</v>
      </c>
      <c r="F4" s="1" t="s">
        <v>112</v>
      </c>
      <c r="G4" s="1">
        <v>256833</v>
      </c>
      <c r="K4" s="119" t="s">
        <v>100</v>
      </c>
      <c r="L4" s="1" t="s">
        <v>1533</v>
      </c>
      <c r="M4" s="1" t="s">
        <v>1534</v>
      </c>
      <c r="N4" s="1" t="s">
        <v>1535</v>
      </c>
      <c r="O4" s="1" t="s">
        <v>1536</v>
      </c>
      <c r="P4" s="1" t="s">
        <v>1537</v>
      </c>
      <c r="Q4" s="1" t="s">
        <v>1538</v>
      </c>
      <c r="R4" s="1" t="s">
        <v>1539</v>
      </c>
      <c r="S4" s="1" t="s">
        <v>1540</v>
      </c>
      <c r="T4" s="1" t="s">
        <v>1541</v>
      </c>
      <c r="U4" s="1" t="s">
        <v>1542</v>
      </c>
      <c r="V4" s="1" t="s">
        <v>1543</v>
      </c>
      <c r="W4" s="1" t="s">
        <v>1544</v>
      </c>
      <c r="X4" s="1" t="s">
        <v>1545</v>
      </c>
      <c r="Y4" s="1" t="s">
        <v>1546</v>
      </c>
      <c r="Z4" s="1" t="s">
        <v>1547</v>
      </c>
      <c r="AA4" s="1" t="s">
        <v>1548</v>
      </c>
      <c r="AB4" s="1" t="s">
        <v>1549</v>
      </c>
      <c r="AC4" s="1" t="s">
        <v>1550</v>
      </c>
      <c r="AD4" s="1" t="s">
        <v>1551</v>
      </c>
      <c r="AE4" s="1" t="s">
        <v>1552</v>
      </c>
      <c r="AF4" s="1" t="s">
        <v>1553</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 s="1" t="s">
        <v>2818</v>
      </c>
      <c r="D5" s="1" t="s">
        <v>2819</v>
      </c>
      <c r="E5" s="1" t="s">
        <v>2820</v>
      </c>
      <c r="F5" s="1" t="s">
        <v>112</v>
      </c>
      <c r="G5" s="1">
        <v>305003</v>
      </c>
      <c r="K5" s="146" t="s">
        <v>164</v>
      </c>
      <c r="L5" s="44">
        <v>242406</v>
      </c>
      <c r="M5" s="44">
        <v>2513242</v>
      </c>
      <c r="N5" s="44">
        <v>804978.33333333337</v>
      </c>
      <c r="O5" s="44">
        <v>3936604.6666666665</v>
      </c>
      <c r="P5" s="44">
        <v>3893</v>
      </c>
      <c r="Q5" s="44">
        <v>256545</v>
      </c>
      <c r="R5" s="44">
        <v>68660.666666666672</v>
      </c>
      <c r="S5" s="44">
        <v>2102736</v>
      </c>
      <c r="T5" s="44">
        <v>1652105.6666666667</v>
      </c>
      <c r="U5" s="44">
        <v>3737198.6666666665</v>
      </c>
      <c r="V5" s="44">
        <v>2772592</v>
      </c>
      <c r="W5" s="44">
        <v>332660.66666666669</v>
      </c>
      <c r="X5" s="44">
        <v>324023.33333333331</v>
      </c>
      <c r="Y5" s="44">
        <v>392294</v>
      </c>
      <c r="Z5" s="44">
        <v>476982</v>
      </c>
      <c r="AA5" s="44">
        <v>289249.66666666669</v>
      </c>
      <c r="AB5" s="44">
        <v>439987.66666666669</v>
      </c>
      <c r="AC5" s="44">
        <v>137854.66666666666</v>
      </c>
      <c r="AD5" s="44">
        <v>487581.33333333331</v>
      </c>
      <c r="AE5" s="44">
        <v>246155.66666666666</v>
      </c>
      <c r="AF5" s="44">
        <v>363469</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2821</v>
      </c>
      <c r="D6" s="1" t="s">
        <v>2822</v>
      </c>
      <c r="E6" s="1" t="s">
        <v>2823</v>
      </c>
      <c r="F6" s="1" t="s">
        <v>112</v>
      </c>
      <c r="G6" s="1">
        <v>730744</v>
      </c>
      <c r="K6" s="146" t="s">
        <v>1554</v>
      </c>
      <c r="L6" s="44">
        <v>368000</v>
      </c>
      <c r="M6" s="44">
        <v>979466.33333333337</v>
      </c>
      <c r="N6" s="44">
        <v>2136853</v>
      </c>
      <c r="O6" s="44">
        <v>3242883.6666666665</v>
      </c>
      <c r="P6" s="44">
        <v>183580</v>
      </c>
      <c r="Q6" s="44">
        <v>246811.33333333334</v>
      </c>
      <c r="R6" s="44">
        <v>792548.33333333337</v>
      </c>
      <c r="S6" s="44">
        <v>597576.33333333337</v>
      </c>
      <c r="T6" s="44">
        <v>2617484.3333333335</v>
      </c>
      <c r="U6" s="44">
        <v>2100468.5</v>
      </c>
      <c r="V6" s="44">
        <v>2044119</v>
      </c>
      <c r="W6" s="44">
        <v>394796</v>
      </c>
      <c r="X6" s="44">
        <v>183118.33333333334</v>
      </c>
      <c r="Y6" s="44">
        <v>178223.33333333334</v>
      </c>
      <c r="Z6" s="44">
        <v>290057</v>
      </c>
      <c r="AA6" s="44"/>
      <c r="AB6" s="44">
        <v>106570.5</v>
      </c>
      <c r="AC6" s="44">
        <v>230394.33333333334</v>
      </c>
      <c r="AD6" s="44">
        <v>199398.66666666666</v>
      </c>
      <c r="AE6" s="44">
        <v>321593</v>
      </c>
      <c r="AF6" s="44">
        <v>202881.33333333334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2824</v>
      </c>
      <c r="D7" s="1" t="s">
        <v>1113</v>
      </c>
      <c r="E7" s="1" t="s">
        <v>1114</v>
      </c>
      <c r="F7" s="1" t="s">
        <v>112</v>
      </c>
      <c r="G7" s="1">
        <v>5256</v>
      </c>
      <c r="K7" s="146" t="s">
        <v>1555</v>
      </c>
      <c r="L7" s="44">
        <v>105308.66666666667</v>
      </c>
      <c r="M7" s="44">
        <v>1282097.3333333333</v>
      </c>
      <c r="N7" s="44">
        <v>1499730.3333333333</v>
      </c>
      <c r="O7" s="44">
        <v>2336461.3333333335</v>
      </c>
      <c r="P7" s="44">
        <v>285731</v>
      </c>
      <c r="Q7" s="44">
        <v>688970</v>
      </c>
      <c r="R7" s="44">
        <v>378588.33333333331</v>
      </c>
      <c r="S7" s="44"/>
      <c r="T7" s="44">
        <v>1995992</v>
      </c>
      <c r="U7" s="44">
        <v>2370507</v>
      </c>
      <c r="V7" s="44">
        <v>4533042</v>
      </c>
      <c r="W7" s="44">
        <v>55956.333333333336</v>
      </c>
      <c r="X7" s="44">
        <v>263192.66666666669</v>
      </c>
      <c r="Y7" s="44">
        <v>0</v>
      </c>
      <c r="Z7" s="44">
        <v>428726</v>
      </c>
      <c r="AA7" s="44">
        <v>112324</v>
      </c>
      <c r="AB7" s="44">
        <v>99476</v>
      </c>
      <c r="AC7" s="44">
        <v>221093.66666666666</v>
      </c>
      <c r="AD7" s="44">
        <v>220762</v>
      </c>
      <c r="AE7" s="44">
        <v>304750.66666666669</v>
      </c>
      <c r="AF7" s="44">
        <v>202347.5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 s="1" t="s">
        <v>2825</v>
      </c>
      <c r="K8" s="146" t="s">
        <v>1556</v>
      </c>
      <c r="L8" s="44">
        <v>239169</v>
      </c>
      <c r="M8" s="44">
        <v>2310008</v>
      </c>
      <c r="N8" s="44">
        <v>3457567.3333333335</v>
      </c>
      <c r="O8" s="44"/>
      <c r="P8" s="44">
        <v>366107.66666666669</v>
      </c>
      <c r="Q8" s="44">
        <v>283214.66666666669</v>
      </c>
      <c r="R8" s="44">
        <v>63656.666666666664</v>
      </c>
      <c r="S8" s="44">
        <v>1384573</v>
      </c>
      <c r="T8" s="44">
        <v>2006757</v>
      </c>
      <c r="U8" s="44"/>
      <c r="V8" s="44">
        <v>3654024.6666666665</v>
      </c>
      <c r="W8" s="44">
        <v>452375</v>
      </c>
      <c r="X8" s="44">
        <v>229853.66666666666</v>
      </c>
      <c r="Y8" s="44">
        <v>65531.666666666664</v>
      </c>
      <c r="Z8" s="44">
        <v>57579</v>
      </c>
      <c r="AA8" s="44">
        <v>111934.66666666667</v>
      </c>
      <c r="AB8" s="44">
        <v>261959.66666666666</v>
      </c>
      <c r="AC8" s="44">
        <v>254497.33333333334</v>
      </c>
      <c r="AD8" s="44">
        <v>363288.66666666669</v>
      </c>
      <c r="AE8" s="44">
        <v>91567</v>
      </c>
      <c r="AF8" s="44">
        <v>407759.33333333331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2826</v>
      </c>
      <c r="D9" s="1" t="s">
        <v>1422</v>
      </c>
      <c r="E9" s="1" t="s">
        <v>2827</v>
      </c>
      <c r="F9" s="1" t="s">
        <v>112</v>
      </c>
      <c r="G9" s="1">
        <v>6770</v>
      </c>
      <c r="K9" s="146" t="s">
        <v>1557</v>
      </c>
      <c r="L9" s="44">
        <v>101674.66666666667</v>
      </c>
      <c r="M9" s="44">
        <v>896703.33333333337</v>
      </c>
      <c r="N9" s="44">
        <v>958759.66666666663</v>
      </c>
      <c r="O9" s="44">
        <v>3246452.6666666665</v>
      </c>
      <c r="P9" s="44">
        <v>433261.33333333331</v>
      </c>
      <c r="Q9" s="44">
        <v>26056.666666666668</v>
      </c>
      <c r="R9" s="44">
        <v>749562.5</v>
      </c>
      <c r="S9" s="44">
        <v>856644.66666666663</v>
      </c>
      <c r="T9" s="44">
        <v>1905730.6666666667</v>
      </c>
      <c r="U9" s="44">
        <v>4193207.3333333335</v>
      </c>
      <c r="V9" s="44">
        <v>4934846.333333333</v>
      </c>
      <c r="W9" s="44">
        <v>5177</v>
      </c>
      <c r="X9" s="44">
        <v>335032.66666666669</v>
      </c>
      <c r="Y9" s="44">
        <v>476203.66666666669</v>
      </c>
      <c r="Z9" s="44">
        <v>206695.33333333334</v>
      </c>
      <c r="AA9" s="44">
        <v>403924</v>
      </c>
      <c r="AB9" s="44">
        <v>348190.66666666669</v>
      </c>
      <c r="AC9" s="44"/>
      <c r="AD9" s="44">
        <v>67117.333333333328</v>
      </c>
      <c r="AE9" s="44">
        <v>211093.33333333334</v>
      </c>
      <c r="AF9" s="44">
        <v>126722.33333333333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2828</v>
      </c>
      <c r="D10" s="1" t="s">
        <v>222</v>
      </c>
      <c r="E10" s="1" t="s">
        <v>596</v>
      </c>
      <c r="F10" s="1" t="s">
        <v>112</v>
      </c>
      <c r="G10" s="1">
        <v>2033</v>
      </c>
      <c r="K10" s="146" t="s">
        <v>1558</v>
      </c>
      <c r="L10" s="44">
        <v>388913</v>
      </c>
      <c r="M10" s="44">
        <v>1763968.3333333333</v>
      </c>
      <c r="N10" s="44">
        <v>3902509</v>
      </c>
      <c r="O10" s="44">
        <v>3103125.6666666665</v>
      </c>
      <c r="P10" s="44">
        <v>154336.66666666666</v>
      </c>
      <c r="Q10" s="44">
        <v>143244</v>
      </c>
      <c r="R10" s="44">
        <v>93733</v>
      </c>
      <c r="S10" s="44">
        <v>1743737.3333333333</v>
      </c>
      <c r="T10" s="44"/>
      <c r="U10" s="44">
        <v>3327543</v>
      </c>
      <c r="V10" s="44">
        <v>4195521.666666667</v>
      </c>
      <c r="W10" s="44">
        <v>95864</v>
      </c>
      <c r="X10" s="44">
        <v>414818</v>
      </c>
      <c r="Y10" s="44">
        <v>486781</v>
      </c>
      <c r="Z10" s="44">
        <v>115345</v>
      </c>
      <c r="AA10" s="44">
        <v>112886.33333333333</v>
      </c>
      <c r="AB10" s="44">
        <v>235664.66666666666</v>
      </c>
      <c r="AC10" s="44">
        <v>268762</v>
      </c>
      <c r="AD10" s="44">
        <v>221569.33333333334</v>
      </c>
      <c r="AE10" s="44">
        <v>186406.33333333334</v>
      </c>
      <c r="AF10" s="44">
        <v>411133.66666666669</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 s="1" t="s">
        <v>2829</v>
      </c>
      <c r="D11" s="1" t="s">
        <v>2830</v>
      </c>
      <c r="E11" s="1" t="s">
        <v>2831</v>
      </c>
      <c r="F11" s="1" t="s">
        <v>112</v>
      </c>
      <c r="G11" s="1">
        <v>307123</v>
      </c>
      <c r="K11" s="146" t="s">
        <v>1559</v>
      </c>
      <c r="L11" s="44">
        <v>276458.66666666669</v>
      </c>
      <c r="M11" s="44">
        <v>2474113.6666666665</v>
      </c>
      <c r="N11" s="44">
        <v>2154798.6666666665</v>
      </c>
      <c r="O11" s="44">
        <v>3003022.6666666665</v>
      </c>
      <c r="P11" s="44">
        <v>425373.33333333331</v>
      </c>
      <c r="Q11" s="44">
        <v>365004</v>
      </c>
      <c r="R11" s="44">
        <v>337974.33333333331</v>
      </c>
      <c r="S11" s="44">
        <v>799210</v>
      </c>
      <c r="T11" s="44">
        <v>2890381.3333333335</v>
      </c>
      <c r="U11" s="44">
        <v>3068222.3333333335</v>
      </c>
      <c r="V11" s="44">
        <v>3442419.6666666665</v>
      </c>
      <c r="W11" s="44">
        <v>174423.33333333334</v>
      </c>
      <c r="X11" s="44">
        <v>1319.5</v>
      </c>
      <c r="Y11" s="44">
        <v>48926.666666666664</v>
      </c>
      <c r="Z11" s="44">
        <v>376695.5</v>
      </c>
      <c r="AA11" s="44">
        <v>245272</v>
      </c>
      <c r="AB11" s="44">
        <v>409886.33333333331</v>
      </c>
      <c r="AC11" s="44">
        <v>424256</v>
      </c>
      <c r="AD11" s="44">
        <v>166420.33333333334</v>
      </c>
      <c r="AE11" s="44">
        <v>119692.33333333333</v>
      </c>
      <c r="AF11" s="44">
        <v>157804.33333333334</v>
      </c>
      <c r="AG11"/>
    </row>
    <row r="12" spans="1:144" x14ac:dyDescent="0.3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2832</v>
      </c>
      <c r="D12" s="1" t="s">
        <v>2745</v>
      </c>
      <c r="E12" s="1" t="s">
        <v>2833</v>
      </c>
      <c r="F12" s="1" t="s">
        <v>112</v>
      </c>
      <c r="G12" s="1">
        <v>372597</v>
      </c>
      <c r="K12" s="146" t="s">
        <v>1560</v>
      </c>
      <c r="L12" s="44">
        <v>174373</v>
      </c>
      <c r="M12" s="44">
        <v>1359410</v>
      </c>
      <c r="N12" s="44">
        <v>2452433.3333333335</v>
      </c>
      <c r="O12" s="44">
        <v>3611313</v>
      </c>
      <c r="P12" s="44">
        <v>187041</v>
      </c>
      <c r="Q12" s="44">
        <v>257648.33333333334</v>
      </c>
      <c r="R12" s="44">
        <v>289977.66666666669</v>
      </c>
      <c r="S12" s="44">
        <v>796513.66666666663</v>
      </c>
      <c r="T12" s="44">
        <v>1102036</v>
      </c>
      <c r="U12" s="44">
        <v>3112880.6666666665</v>
      </c>
      <c r="V12" s="44">
        <v>3016195</v>
      </c>
      <c r="W12" s="44">
        <v>243761.66666666666</v>
      </c>
      <c r="X12" s="44">
        <v>239363.66666666666</v>
      </c>
      <c r="Y12" s="44"/>
      <c r="Z12" s="44">
        <v>88214.333333333328</v>
      </c>
      <c r="AA12" s="44">
        <v>118957</v>
      </c>
      <c r="AB12" s="44">
        <v>436923.66666666669</v>
      </c>
      <c r="AC12" s="44">
        <v>120543.66666666667</v>
      </c>
      <c r="AD12" s="44">
        <v>252961.66666666666</v>
      </c>
      <c r="AE12" s="44">
        <v>367124.33333333331</v>
      </c>
      <c r="AF12" s="44">
        <v>489426.66666666669</v>
      </c>
      <c r="AG12"/>
    </row>
    <row r="13" spans="1:144" x14ac:dyDescent="0.3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2834</v>
      </c>
      <c r="D13" s="1" t="s">
        <v>1183</v>
      </c>
      <c r="E13" s="1" t="s">
        <v>2835</v>
      </c>
      <c r="F13" s="1" t="s">
        <v>112</v>
      </c>
      <c r="G13" s="1">
        <v>188353</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 s="1" t="s">
        <v>2836</v>
      </c>
      <c r="D14" s="1" t="s">
        <v>2837</v>
      </c>
      <c r="E14" s="1" t="s">
        <v>2838</v>
      </c>
      <c r="F14" s="1" t="s">
        <v>112</v>
      </c>
      <c r="G14" s="1">
        <v>156557</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2839</v>
      </c>
      <c r="D15" s="1" t="s">
        <v>2840</v>
      </c>
      <c r="E15" s="1" t="s">
        <v>2841</v>
      </c>
      <c r="F15" s="1" t="s">
        <v>112</v>
      </c>
      <c r="G15" s="1">
        <v>124047</v>
      </c>
    </row>
    <row r="16" spans="1:144" x14ac:dyDescent="0.3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2842</v>
      </c>
      <c r="D16" s="1" t="s">
        <v>2843</v>
      </c>
      <c r="E16" s="1" t="s">
        <v>2844</v>
      </c>
      <c r="F16" s="1" t="s">
        <v>112</v>
      </c>
      <c r="G16" s="1">
        <v>106808</v>
      </c>
    </row>
    <row r="17" spans="1:8" x14ac:dyDescent="0.3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 s="1" t="s">
        <v>2845</v>
      </c>
      <c r="D17" s="1" t="s">
        <v>1275</v>
      </c>
      <c r="E17" s="1" t="s">
        <v>2846</v>
      </c>
      <c r="F17" s="1" t="s">
        <v>112</v>
      </c>
      <c r="G17" s="1">
        <v>74169</v>
      </c>
    </row>
    <row r="18" spans="1:8" x14ac:dyDescent="0.3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2847</v>
      </c>
      <c r="D18" s="1" t="s">
        <v>711</v>
      </c>
      <c r="E18" s="1" t="s">
        <v>2848</v>
      </c>
      <c r="F18" s="1" t="s">
        <v>112</v>
      </c>
      <c r="G18" s="1">
        <v>380665</v>
      </c>
    </row>
    <row r="19" spans="1:8" x14ac:dyDescent="0.3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2849</v>
      </c>
      <c r="D19" s="1" t="s">
        <v>2850</v>
      </c>
      <c r="E19" s="1" t="s">
        <v>2851</v>
      </c>
      <c r="F19" s="1" t="s">
        <v>112</v>
      </c>
      <c r="G19" s="1">
        <v>400218</v>
      </c>
    </row>
    <row r="20" spans="1:8" x14ac:dyDescent="0.3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0" s="1" t="s">
        <v>2852</v>
      </c>
      <c r="D20" s="1" t="s">
        <v>2853</v>
      </c>
      <c r="E20" s="1" t="s">
        <v>2854</v>
      </c>
      <c r="F20" s="1" t="s">
        <v>112</v>
      </c>
      <c r="G20" s="1">
        <v>385856</v>
      </c>
    </row>
    <row r="21" spans="1:8" x14ac:dyDescent="0.3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2855</v>
      </c>
      <c r="D21" s="1" t="s">
        <v>1702</v>
      </c>
      <c r="E21" s="1" t="s">
        <v>2856</v>
      </c>
      <c r="F21" s="1" t="s">
        <v>112</v>
      </c>
      <c r="G21" s="1">
        <v>14362</v>
      </c>
    </row>
    <row r="22" spans="1:8" x14ac:dyDescent="0.3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2857</v>
      </c>
      <c r="D22" s="1" t="s">
        <v>711</v>
      </c>
      <c r="E22" s="1" t="s">
        <v>2858</v>
      </c>
      <c r="F22" s="1" t="s">
        <v>112</v>
      </c>
      <c r="G22" s="1">
        <v>437789</v>
      </c>
    </row>
    <row r="23" spans="1:8" x14ac:dyDescent="0.3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 s="1" t="s">
        <v>2859</v>
      </c>
      <c r="D23" s="1" t="s">
        <v>2860</v>
      </c>
      <c r="E23" s="1" t="s">
        <v>2861</v>
      </c>
      <c r="F23" s="1" t="s">
        <v>112</v>
      </c>
      <c r="G23" s="1">
        <v>377225</v>
      </c>
    </row>
    <row r="24" spans="1:8" x14ac:dyDescent="0.3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2862</v>
      </c>
      <c r="D24" s="1" t="s">
        <v>572</v>
      </c>
      <c r="E24" s="1" t="s">
        <v>2863</v>
      </c>
      <c r="F24" s="1" t="s">
        <v>112</v>
      </c>
      <c r="G24" s="1">
        <v>175029</v>
      </c>
    </row>
    <row r="25" spans="1:8" x14ac:dyDescent="0.3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2864</v>
      </c>
      <c r="D25" s="1" t="s">
        <v>2865</v>
      </c>
      <c r="E25" s="1" t="s">
        <v>2866</v>
      </c>
      <c r="F25" s="1" t="s">
        <v>112</v>
      </c>
      <c r="G25" s="1">
        <v>203516</v>
      </c>
    </row>
    <row r="26" spans="1:8" x14ac:dyDescent="0.35">
      <c r="A26" s="1" t="str">
        <f t="shared" si="0"/>
        <v>1</v>
      </c>
      <c r="B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6" s="1" t="s">
        <v>2867</v>
      </c>
      <c r="D26" s="1" t="s">
        <v>1106</v>
      </c>
      <c r="E26" s="1" t="s">
        <v>2868</v>
      </c>
      <c r="F26" s="1" t="s">
        <v>112</v>
      </c>
      <c r="G26" s="1">
        <v>144574</v>
      </c>
    </row>
    <row r="27" spans="1:8"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112</v>
      </c>
    </row>
    <row r="28" spans="1:8"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 s="1" t="s">
        <v>233</v>
      </c>
      <c r="D28" s="1" t="s">
        <v>112</v>
      </c>
      <c r="E28" s="1" t="s">
        <v>234</v>
      </c>
      <c r="F28" s="1" t="s">
        <v>235</v>
      </c>
      <c r="G28" s="1" t="s">
        <v>236</v>
      </c>
      <c r="H28" s="1" t="s">
        <v>1623</v>
      </c>
    </row>
    <row r="29" spans="1:8" x14ac:dyDescent="0.35">
      <c r="A29" s="1" t="str">
        <f t="shared" si="0"/>
        <v>1</v>
      </c>
      <c r="B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 s="1" t="s">
        <v>2869</v>
      </c>
      <c r="D29" s="1" t="s">
        <v>112</v>
      </c>
      <c r="E29" s="1" t="s">
        <v>2870</v>
      </c>
      <c r="F29" s="1" t="s">
        <v>2871</v>
      </c>
      <c r="G29" s="1" t="s">
        <v>2872</v>
      </c>
      <c r="H29" s="1" t="s">
        <v>2873</v>
      </c>
    </row>
    <row r="30" spans="1:8"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8"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8"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112</v>
      </c>
    </row>
    <row r="35" spans="1:7"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 s="1" t="s">
        <v>166</v>
      </c>
      <c r="D35" s="1" t="s">
        <v>110</v>
      </c>
      <c r="E35" s="1" t="s">
        <v>111</v>
      </c>
      <c r="F35" s="1" t="s">
        <v>112</v>
      </c>
      <c r="G35" s="1" t="s">
        <v>113</v>
      </c>
    </row>
    <row r="36" spans="1:7" x14ac:dyDescent="0.3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2874</v>
      </c>
      <c r="D36" s="1" t="s">
        <v>2875</v>
      </c>
      <c r="E36" s="1" t="s">
        <v>2876</v>
      </c>
      <c r="F36" s="1" t="s">
        <v>112</v>
      </c>
      <c r="G36" s="1">
        <v>2226105</v>
      </c>
    </row>
    <row r="37" spans="1:7" x14ac:dyDescent="0.3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2877</v>
      </c>
      <c r="D37" s="1" t="s">
        <v>2878</v>
      </c>
      <c r="E37" s="1" t="s">
        <v>2879</v>
      </c>
      <c r="F37" s="1" t="s">
        <v>112</v>
      </c>
      <c r="G37" s="1">
        <v>2958104</v>
      </c>
    </row>
    <row r="38" spans="1:7" x14ac:dyDescent="0.3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8" s="1" t="s">
        <v>2880</v>
      </c>
      <c r="D38" s="1" t="s">
        <v>2881</v>
      </c>
      <c r="E38" s="1" t="s">
        <v>2882</v>
      </c>
      <c r="F38" s="1" t="s">
        <v>112</v>
      </c>
      <c r="G38" s="1">
        <v>2355517</v>
      </c>
    </row>
    <row r="39" spans="1:7" x14ac:dyDescent="0.3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2883</v>
      </c>
      <c r="D39" s="1" t="s">
        <v>2884</v>
      </c>
      <c r="E39" s="1" t="s">
        <v>2885</v>
      </c>
      <c r="F39" s="1" t="s">
        <v>112</v>
      </c>
      <c r="G39" s="1">
        <v>1086015</v>
      </c>
    </row>
    <row r="40" spans="1:7" x14ac:dyDescent="0.3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2886</v>
      </c>
      <c r="D40" s="1" t="s">
        <v>2887</v>
      </c>
      <c r="E40" s="1" t="s">
        <v>2888</v>
      </c>
      <c r="F40" s="1" t="s">
        <v>112</v>
      </c>
      <c r="G40" s="1">
        <v>788085</v>
      </c>
    </row>
    <row r="41" spans="1:7" x14ac:dyDescent="0.3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 s="1" t="s">
        <v>2889</v>
      </c>
      <c r="D41" s="1" t="s">
        <v>2890</v>
      </c>
      <c r="E41" s="1" t="s">
        <v>2891</v>
      </c>
      <c r="F41" s="1" t="s">
        <v>112</v>
      </c>
      <c r="G41" s="1">
        <v>1064299</v>
      </c>
    </row>
    <row r="42" spans="1:7" x14ac:dyDescent="0.3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2892</v>
      </c>
      <c r="D42" s="1" t="s">
        <v>2893</v>
      </c>
      <c r="E42" s="1" t="s">
        <v>2894</v>
      </c>
      <c r="F42" s="1" t="s">
        <v>112</v>
      </c>
      <c r="G42" s="1">
        <v>1666237</v>
      </c>
    </row>
    <row r="43" spans="1:7" x14ac:dyDescent="0.3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2895</v>
      </c>
      <c r="D43" s="1" t="s">
        <v>2896</v>
      </c>
      <c r="E43" s="1" t="s">
        <v>2897</v>
      </c>
      <c r="F43" s="1" t="s">
        <v>112</v>
      </c>
      <c r="G43" s="1">
        <v>1080002</v>
      </c>
    </row>
    <row r="44" spans="1:7" x14ac:dyDescent="0.3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4" s="1" t="s">
        <v>2898</v>
      </c>
      <c r="D44" s="1" t="s">
        <v>2899</v>
      </c>
      <c r="E44" s="1" t="s">
        <v>2900</v>
      </c>
      <c r="F44" s="1" t="s">
        <v>112</v>
      </c>
      <c r="G44" s="1">
        <v>1100053</v>
      </c>
    </row>
    <row r="45" spans="1:7" x14ac:dyDescent="0.3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2901</v>
      </c>
      <c r="D45" s="1" t="s">
        <v>2902</v>
      </c>
      <c r="E45" s="1" t="s">
        <v>2903</v>
      </c>
      <c r="F45" s="1" t="s">
        <v>112</v>
      </c>
      <c r="G45" s="1">
        <v>1712201</v>
      </c>
    </row>
    <row r="46" spans="1:7" x14ac:dyDescent="0.3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2904</v>
      </c>
      <c r="D46" s="1" t="s">
        <v>2275</v>
      </c>
      <c r="E46" s="1" t="s">
        <v>2105</v>
      </c>
      <c r="F46" s="1" t="s">
        <v>112</v>
      </c>
      <c r="G46" s="1">
        <v>2195932</v>
      </c>
    </row>
    <row r="47" spans="1:7" x14ac:dyDescent="0.3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 s="1" t="s">
        <v>2905</v>
      </c>
      <c r="D47" s="1" t="s">
        <v>2906</v>
      </c>
      <c r="E47" s="1" t="s">
        <v>2907</v>
      </c>
      <c r="F47" s="1" t="s">
        <v>112</v>
      </c>
      <c r="G47" s="1">
        <v>3021891</v>
      </c>
    </row>
    <row r="48" spans="1:7" x14ac:dyDescent="0.3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2908</v>
      </c>
      <c r="D48" s="1" t="s">
        <v>2909</v>
      </c>
      <c r="E48" s="1" t="s">
        <v>2910</v>
      </c>
      <c r="F48" s="1" t="s">
        <v>112</v>
      </c>
      <c r="G48" s="1">
        <v>969971</v>
      </c>
    </row>
    <row r="49" spans="1:8" x14ac:dyDescent="0.3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2911</v>
      </c>
      <c r="D49" s="1" t="s">
        <v>2912</v>
      </c>
      <c r="E49" s="1" t="s">
        <v>2913</v>
      </c>
      <c r="F49" s="1" t="s">
        <v>112</v>
      </c>
      <c r="G49" s="1">
        <v>732583</v>
      </c>
    </row>
    <row r="50" spans="1:8" x14ac:dyDescent="0.3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 s="1" t="s">
        <v>2914</v>
      </c>
      <c r="D50" s="1" t="s">
        <v>2915</v>
      </c>
      <c r="E50" s="1" t="s">
        <v>2916</v>
      </c>
      <c r="F50" s="1" t="s">
        <v>112</v>
      </c>
      <c r="G50" s="1">
        <v>987556</v>
      </c>
    </row>
    <row r="51" spans="1:8" x14ac:dyDescent="0.3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2917</v>
      </c>
      <c r="D51" s="1" t="s">
        <v>2918</v>
      </c>
      <c r="E51" s="1" t="s">
        <v>2919</v>
      </c>
      <c r="F51" s="1" t="s">
        <v>112</v>
      </c>
      <c r="G51" s="1">
        <v>1626417</v>
      </c>
    </row>
    <row r="52" spans="1:8" x14ac:dyDescent="0.3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2920</v>
      </c>
      <c r="D52" s="1" t="s">
        <v>2921</v>
      </c>
      <c r="E52" s="1" t="s">
        <v>2922</v>
      </c>
      <c r="F52" s="1" t="s">
        <v>112</v>
      </c>
      <c r="G52" s="1">
        <v>1999835</v>
      </c>
    </row>
    <row r="53" spans="1:8" x14ac:dyDescent="0.3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3" s="1" t="s">
        <v>2923</v>
      </c>
      <c r="D53" s="1" t="s">
        <v>2924</v>
      </c>
      <c r="E53" s="1" t="s">
        <v>2925</v>
      </c>
      <c r="F53" s="1" t="s">
        <v>112</v>
      </c>
      <c r="G53" s="1">
        <v>1665653</v>
      </c>
    </row>
    <row r="54" spans="1:8" x14ac:dyDescent="0.3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2926</v>
      </c>
      <c r="D54" s="1" t="s">
        <v>2927</v>
      </c>
      <c r="E54" s="1" t="s">
        <v>2928</v>
      </c>
      <c r="F54" s="1" t="s">
        <v>112</v>
      </c>
      <c r="G54" s="1">
        <v>2444805</v>
      </c>
    </row>
    <row r="55" spans="1:8" x14ac:dyDescent="0.3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2929</v>
      </c>
      <c r="D55" s="1" t="s">
        <v>2930</v>
      </c>
      <c r="E55" s="1" t="s">
        <v>2931</v>
      </c>
      <c r="F55" s="1" t="s">
        <v>112</v>
      </c>
      <c r="G55" s="1">
        <v>2358697</v>
      </c>
    </row>
    <row r="56" spans="1:8" x14ac:dyDescent="0.3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 s="1" t="s">
        <v>2932</v>
      </c>
      <c r="D56" s="1" t="s">
        <v>2933</v>
      </c>
      <c r="E56" s="1" t="s">
        <v>2934</v>
      </c>
      <c r="F56" s="1" t="s">
        <v>112</v>
      </c>
      <c r="G56" s="1">
        <v>2618839</v>
      </c>
    </row>
    <row r="57" spans="1:8" x14ac:dyDescent="0.3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2935</v>
      </c>
      <c r="D57" s="1" t="s">
        <v>2936</v>
      </c>
      <c r="E57" s="1" t="s">
        <v>2937</v>
      </c>
      <c r="F57" s="1" t="s">
        <v>112</v>
      </c>
      <c r="G57" s="1">
        <v>1021255</v>
      </c>
    </row>
    <row r="58" spans="1:8" x14ac:dyDescent="0.3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2938</v>
      </c>
      <c r="D58" s="1" t="s">
        <v>2939</v>
      </c>
      <c r="E58" s="1" t="s">
        <v>2940</v>
      </c>
      <c r="F58" s="1" t="s">
        <v>112</v>
      </c>
      <c r="G58" s="1">
        <v>1714472</v>
      </c>
    </row>
    <row r="59" spans="1:8" x14ac:dyDescent="0.35">
      <c r="A59" s="1" t="str">
        <f t="shared" si="0"/>
        <v>13</v>
      </c>
      <c r="B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9" s="1" t="s">
        <v>2941</v>
      </c>
      <c r="D59" s="1" t="s">
        <v>2942</v>
      </c>
      <c r="E59" s="1" t="s">
        <v>2943</v>
      </c>
      <c r="F59" s="1" t="s">
        <v>112</v>
      </c>
      <c r="G59" s="1">
        <v>1342503</v>
      </c>
    </row>
    <row r="60" spans="1:8"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112</v>
      </c>
    </row>
    <row r="61" spans="1:8"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 s="1" t="s">
        <v>233</v>
      </c>
      <c r="D61" s="1" t="s">
        <v>112</v>
      </c>
      <c r="E61" s="1" t="s">
        <v>234</v>
      </c>
      <c r="F61" s="1" t="s">
        <v>235</v>
      </c>
      <c r="G61" s="1" t="s">
        <v>236</v>
      </c>
      <c r="H61" s="1" t="s">
        <v>1623</v>
      </c>
    </row>
    <row r="62" spans="1:8" x14ac:dyDescent="0.35">
      <c r="A62" s="1" t="str">
        <f t="shared" si="0"/>
        <v>13</v>
      </c>
      <c r="B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 s="1" t="s">
        <v>2944</v>
      </c>
      <c r="D62" s="1" t="s">
        <v>112</v>
      </c>
      <c r="E62" s="1" t="s">
        <v>2945</v>
      </c>
      <c r="F62" s="1" t="s">
        <v>2946</v>
      </c>
      <c r="G62" s="1" t="s">
        <v>2947</v>
      </c>
      <c r="H62" s="1" t="s">
        <v>2948</v>
      </c>
    </row>
    <row r="63" spans="1:8"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8"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112</v>
      </c>
    </row>
    <row r="68" spans="1:7"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 s="1" t="s">
        <v>166</v>
      </c>
      <c r="D68" s="1" t="s">
        <v>110</v>
      </c>
      <c r="E68" s="1" t="s">
        <v>111</v>
      </c>
      <c r="F68" s="1" t="s">
        <v>112</v>
      </c>
      <c r="G68" s="1" t="s">
        <v>113</v>
      </c>
    </row>
    <row r="69" spans="1:7" x14ac:dyDescent="0.3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2949</v>
      </c>
      <c r="D69" s="1" t="s">
        <v>2950</v>
      </c>
      <c r="E69" s="1" t="s">
        <v>2951</v>
      </c>
      <c r="F69" s="1" t="s">
        <v>112</v>
      </c>
      <c r="G69" s="1">
        <v>811727</v>
      </c>
    </row>
    <row r="70" spans="1:7" x14ac:dyDescent="0.3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2952</v>
      </c>
      <c r="D70" s="1" t="s">
        <v>2953</v>
      </c>
      <c r="E70" s="1" t="s">
        <v>2954</v>
      </c>
      <c r="F70" s="1" t="s">
        <v>112</v>
      </c>
      <c r="G70" s="1">
        <v>812116</v>
      </c>
    </row>
    <row r="71" spans="1:7" x14ac:dyDescent="0.3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1" s="1" t="s">
        <v>2955</v>
      </c>
      <c r="D71" s="1" t="s">
        <v>2956</v>
      </c>
      <c r="E71" s="1" t="s">
        <v>2957</v>
      </c>
      <c r="F71" s="1" t="s">
        <v>112</v>
      </c>
      <c r="G71" s="1">
        <v>791092</v>
      </c>
    </row>
    <row r="72" spans="1:7" x14ac:dyDescent="0.3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2958</v>
      </c>
      <c r="D72" s="1" t="s">
        <v>1643</v>
      </c>
      <c r="E72" s="1" t="s">
        <v>2959</v>
      </c>
      <c r="F72" s="1" t="s">
        <v>112</v>
      </c>
      <c r="G72" s="1">
        <v>2324132</v>
      </c>
    </row>
    <row r="73" spans="1:7" x14ac:dyDescent="0.3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2960</v>
      </c>
      <c r="D73" s="1" t="s">
        <v>2961</v>
      </c>
      <c r="E73" s="1" t="s">
        <v>2962</v>
      </c>
      <c r="F73" s="1" t="s">
        <v>112</v>
      </c>
      <c r="G73" s="1">
        <v>2062410</v>
      </c>
    </row>
    <row r="74" spans="1:7" x14ac:dyDescent="0.3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 s="1" t="s">
        <v>2963</v>
      </c>
      <c r="D74" s="1" t="s">
        <v>2964</v>
      </c>
      <c r="E74" s="1" t="s">
        <v>2965</v>
      </c>
      <c r="F74" s="1" t="s">
        <v>112</v>
      </c>
      <c r="G74" s="1">
        <v>2024017</v>
      </c>
    </row>
    <row r="75" spans="1:7" x14ac:dyDescent="0.3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2966</v>
      </c>
      <c r="D75" s="1" t="s">
        <v>2967</v>
      </c>
      <c r="E75" s="1" t="s">
        <v>2968</v>
      </c>
      <c r="F75" s="1" t="s">
        <v>112</v>
      </c>
      <c r="G75" s="1">
        <v>1184388</v>
      </c>
    </row>
    <row r="76" spans="1:7" x14ac:dyDescent="0.3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2969</v>
      </c>
      <c r="D76" s="1" t="s">
        <v>2970</v>
      </c>
      <c r="E76" s="1" t="s">
        <v>2971</v>
      </c>
      <c r="F76" s="1" t="s">
        <v>112</v>
      </c>
      <c r="G76" s="1">
        <v>1662214</v>
      </c>
    </row>
    <row r="77" spans="1:7" x14ac:dyDescent="0.3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7" s="1" t="s">
        <v>2972</v>
      </c>
      <c r="D77" s="1" t="s">
        <v>2015</v>
      </c>
      <c r="E77" s="1" t="s">
        <v>2973</v>
      </c>
      <c r="F77" s="1" t="s">
        <v>112</v>
      </c>
      <c r="G77" s="1">
        <v>1652589</v>
      </c>
    </row>
    <row r="78" spans="1:7" x14ac:dyDescent="0.3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2974</v>
      </c>
      <c r="D78" s="1" t="s">
        <v>2975</v>
      </c>
      <c r="E78" s="1" t="s">
        <v>2976</v>
      </c>
      <c r="F78" s="1" t="s">
        <v>112</v>
      </c>
      <c r="G78" s="1">
        <v>3511743</v>
      </c>
    </row>
    <row r="79" spans="1:7" x14ac:dyDescent="0.3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2977</v>
      </c>
      <c r="D79" s="1" t="s">
        <v>390</v>
      </c>
      <c r="E79" s="1" t="s">
        <v>2978</v>
      </c>
      <c r="F79" s="1" t="s">
        <v>112</v>
      </c>
      <c r="G79" s="1">
        <v>3314197</v>
      </c>
    </row>
    <row r="80" spans="1:7" x14ac:dyDescent="0.3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0" s="1" t="s">
        <v>2979</v>
      </c>
      <c r="D80" s="1" t="s">
        <v>2980</v>
      </c>
      <c r="E80" s="1" t="s">
        <v>2981</v>
      </c>
      <c r="F80" s="1" t="s">
        <v>112</v>
      </c>
      <c r="G80" s="1">
        <v>3546762</v>
      </c>
    </row>
    <row r="81" spans="1:8" x14ac:dyDescent="0.3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2982</v>
      </c>
      <c r="D81" s="1" t="s">
        <v>2983</v>
      </c>
      <c r="E81" s="1" t="s">
        <v>2984</v>
      </c>
      <c r="F81" s="1" t="s">
        <v>112</v>
      </c>
      <c r="G81" s="1">
        <v>781207</v>
      </c>
    </row>
    <row r="82" spans="1:8" x14ac:dyDescent="0.3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2985</v>
      </c>
      <c r="D82" s="1" t="s">
        <v>1646</v>
      </c>
      <c r="E82" s="1" t="s">
        <v>2986</v>
      </c>
      <c r="F82" s="1" t="s">
        <v>112</v>
      </c>
      <c r="G82" s="1">
        <v>631939</v>
      </c>
    </row>
    <row r="83" spans="1:8" x14ac:dyDescent="0.3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3" s="1" t="s">
        <v>2987</v>
      </c>
      <c r="D83" s="1" t="s">
        <v>2988</v>
      </c>
      <c r="E83" s="1" t="s">
        <v>2989</v>
      </c>
      <c r="F83" s="1" t="s">
        <v>112</v>
      </c>
      <c r="G83" s="1">
        <v>1463133</v>
      </c>
    </row>
    <row r="84" spans="1:8" x14ac:dyDescent="0.3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2990</v>
      </c>
      <c r="D84" s="1" t="s">
        <v>2991</v>
      </c>
      <c r="E84" s="1" t="s">
        <v>2992</v>
      </c>
      <c r="F84" s="1" t="s">
        <v>112</v>
      </c>
      <c r="G84" s="1">
        <v>4219084</v>
      </c>
    </row>
    <row r="85" spans="1:8" x14ac:dyDescent="0.3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2993</v>
      </c>
      <c r="D85" s="1" t="s">
        <v>2994</v>
      </c>
      <c r="E85" s="1" t="s">
        <v>2995</v>
      </c>
      <c r="F85" s="1" t="s">
        <v>112</v>
      </c>
      <c r="G85" s="1">
        <v>3802298</v>
      </c>
    </row>
    <row r="86" spans="1:8" x14ac:dyDescent="0.3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6" s="1" t="s">
        <v>2996</v>
      </c>
      <c r="D86" s="1" t="s">
        <v>2997</v>
      </c>
      <c r="E86" s="1" t="s">
        <v>2998</v>
      </c>
      <c r="F86" s="1" t="s">
        <v>112</v>
      </c>
      <c r="G86" s="1">
        <v>3686145</v>
      </c>
    </row>
    <row r="87" spans="1:8" x14ac:dyDescent="0.3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2999</v>
      </c>
      <c r="D87" s="1" t="s">
        <v>3000</v>
      </c>
      <c r="E87" s="1" t="s">
        <v>3001</v>
      </c>
      <c r="F87" s="1" t="s">
        <v>112</v>
      </c>
      <c r="G87" s="1">
        <v>2327593</v>
      </c>
    </row>
    <row r="88" spans="1:8" x14ac:dyDescent="0.3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3002</v>
      </c>
      <c r="D88" s="1" t="s">
        <v>3003</v>
      </c>
      <c r="E88" s="1" t="s">
        <v>3004</v>
      </c>
      <c r="F88" s="1" t="s">
        <v>112</v>
      </c>
      <c r="G88" s="1">
        <v>2044414</v>
      </c>
    </row>
    <row r="89" spans="1:8" x14ac:dyDescent="0.3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9" s="1" t="s">
        <v>3005</v>
      </c>
      <c r="D89" s="1" t="s">
        <v>3006</v>
      </c>
      <c r="E89" s="1" t="s">
        <v>3007</v>
      </c>
      <c r="F89" s="1" t="s">
        <v>112</v>
      </c>
      <c r="G89" s="1">
        <v>2092389</v>
      </c>
    </row>
    <row r="90" spans="1:8" x14ac:dyDescent="0.3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3008</v>
      </c>
      <c r="D90" s="1" t="s">
        <v>3009</v>
      </c>
      <c r="E90" s="1" t="s">
        <v>3010</v>
      </c>
      <c r="F90" s="1" t="s">
        <v>112</v>
      </c>
      <c r="G90" s="1">
        <v>2493667</v>
      </c>
    </row>
    <row r="91" spans="1:8" x14ac:dyDescent="0.3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3011</v>
      </c>
      <c r="D91" s="1" t="s">
        <v>2240</v>
      </c>
      <c r="E91" s="1" t="s">
        <v>3012</v>
      </c>
      <c r="F91" s="1" t="s">
        <v>112</v>
      </c>
      <c r="G91" s="1">
        <v>2338862</v>
      </c>
    </row>
    <row r="92" spans="1:8" x14ac:dyDescent="0.35">
      <c r="A92" s="1" t="str">
        <f t="shared" si="1"/>
        <v>14</v>
      </c>
      <c r="B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2" s="1" t="s">
        <v>3013</v>
      </c>
      <c r="D92" s="1" t="s">
        <v>3014</v>
      </c>
      <c r="E92" s="1" t="s">
        <v>3015</v>
      </c>
      <c r="F92" s="1" t="s">
        <v>112</v>
      </c>
      <c r="G92" s="1">
        <v>2524771</v>
      </c>
    </row>
    <row r="93" spans="1:8"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112</v>
      </c>
    </row>
    <row r="94" spans="1:8"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4" s="1" t="s">
        <v>233</v>
      </c>
      <c r="D94" s="1" t="s">
        <v>112</v>
      </c>
      <c r="E94" s="1" t="s">
        <v>234</v>
      </c>
      <c r="F94" s="1" t="s">
        <v>235</v>
      </c>
      <c r="G94" s="1" t="s">
        <v>236</v>
      </c>
      <c r="H94" s="1" t="s">
        <v>1623</v>
      </c>
    </row>
    <row r="95" spans="1:8" x14ac:dyDescent="0.35">
      <c r="A95" s="1" t="str">
        <f t="shared" si="1"/>
        <v>14</v>
      </c>
      <c r="B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5" s="1" t="s">
        <v>3016</v>
      </c>
      <c r="D95" s="1" t="s">
        <v>112</v>
      </c>
      <c r="E95" s="1" t="s">
        <v>3017</v>
      </c>
      <c r="F95" s="1" t="s">
        <v>3018</v>
      </c>
      <c r="G95" s="1" t="s">
        <v>3019</v>
      </c>
      <c r="H95" s="1" t="s">
        <v>3020</v>
      </c>
    </row>
    <row r="96" spans="1:8"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112</v>
      </c>
    </row>
    <row r="101" spans="1:7"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1" s="1" t="s">
        <v>166</v>
      </c>
      <c r="D101" s="1" t="s">
        <v>110</v>
      </c>
      <c r="E101" s="1" t="s">
        <v>111</v>
      </c>
      <c r="F101" s="1" t="s">
        <v>112</v>
      </c>
      <c r="G101" s="1" t="s">
        <v>113</v>
      </c>
    </row>
    <row r="102" spans="1:7" x14ac:dyDescent="0.3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3021</v>
      </c>
      <c r="D102" s="1" t="s">
        <v>3022</v>
      </c>
      <c r="E102" s="1" t="s">
        <v>3023</v>
      </c>
      <c r="F102" s="1" t="s">
        <v>112</v>
      </c>
      <c r="G102" s="1">
        <v>4241904</v>
      </c>
    </row>
    <row r="103" spans="1:7" x14ac:dyDescent="0.3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3024</v>
      </c>
      <c r="D103" s="1" t="s">
        <v>3025</v>
      </c>
      <c r="E103" s="1" t="s">
        <v>3026</v>
      </c>
      <c r="F103" s="1" t="s">
        <v>112</v>
      </c>
      <c r="G103" s="1">
        <v>3794121</v>
      </c>
    </row>
    <row r="104" spans="1:7" x14ac:dyDescent="0.3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4" s="1" t="s">
        <v>3027</v>
      </c>
      <c r="D104" s="1" t="s">
        <v>3028</v>
      </c>
      <c r="E104" s="1" t="s">
        <v>3029</v>
      </c>
      <c r="F104" s="1" t="s">
        <v>112</v>
      </c>
      <c r="G104" s="1">
        <v>3773789</v>
      </c>
    </row>
    <row r="105" spans="1:7" x14ac:dyDescent="0.3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3030</v>
      </c>
      <c r="D105" s="1" t="s">
        <v>3031</v>
      </c>
      <c r="E105" s="1" t="s">
        <v>3032</v>
      </c>
      <c r="F105" s="1" t="s">
        <v>112</v>
      </c>
      <c r="G105" s="1">
        <v>3449838</v>
      </c>
    </row>
    <row r="106" spans="1:7" x14ac:dyDescent="0.3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3033</v>
      </c>
      <c r="D106" s="1" t="s">
        <v>3034</v>
      </c>
      <c r="E106" s="1" t="s">
        <v>3035</v>
      </c>
      <c r="F106" s="1" t="s">
        <v>112</v>
      </c>
      <c r="G106" s="1">
        <v>3062750</v>
      </c>
    </row>
    <row r="107" spans="1:7" x14ac:dyDescent="0.3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7" s="1" t="s">
        <v>3036</v>
      </c>
      <c r="D107" s="1" t="s">
        <v>3037</v>
      </c>
      <c r="E107" s="1" t="s">
        <v>3038</v>
      </c>
      <c r="F107" s="1" t="s">
        <v>112</v>
      </c>
      <c r="G107" s="1">
        <v>3216063</v>
      </c>
    </row>
    <row r="108" spans="1:7" x14ac:dyDescent="0.3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3039</v>
      </c>
      <c r="D108" s="1" t="s">
        <v>3040</v>
      </c>
      <c r="E108" s="1" t="s">
        <v>3041</v>
      </c>
      <c r="F108" s="1" t="s">
        <v>112</v>
      </c>
      <c r="G108" s="1">
        <v>2133984</v>
      </c>
    </row>
    <row r="109" spans="1:7" x14ac:dyDescent="0.3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3042</v>
      </c>
      <c r="D109" s="1" t="s">
        <v>3043</v>
      </c>
      <c r="E109" s="1" t="s">
        <v>3044</v>
      </c>
      <c r="F109" s="1" t="s">
        <v>112</v>
      </c>
      <c r="G109" s="1">
        <v>2592473</v>
      </c>
    </row>
    <row r="110" spans="1:7" x14ac:dyDescent="0.3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0" s="1" t="s">
        <v>3045</v>
      </c>
      <c r="D110" s="1" t="s">
        <v>3046</v>
      </c>
      <c r="E110" s="1" t="s">
        <v>3047</v>
      </c>
      <c r="F110" s="1" t="s">
        <v>112</v>
      </c>
      <c r="G110" s="1">
        <v>2282927</v>
      </c>
    </row>
    <row r="111" spans="1:7" x14ac:dyDescent="0.3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3048</v>
      </c>
    </row>
    <row r="112" spans="1:7" x14ac:dyDescent="0.3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3049</v>
      </c>
    </row>
    <row r="113" spans="1:8" x14ac:dyDescent="0.3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3" s="1" t="s">
        <v>3050</v>
      </c>
    </row>
    <row r="114" spans="1:8" x14ac:dyDescent="0.3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3051</v>
      </c>
      <c r="D114" s="1" t="s">
        <v>3052</v>
      </c>
      <c r="E114" s="1" t="s">
        <v>3053</v>
      </c>
      <c r="F114" s="1" t="s">
        <v>112</v>
      </c>
      <c r="G114" s="1">
        <v>3003549</v>
      </c>
    </row>
    <row r="115" spans="1:8" x14ac:dyDescent="0.3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3054</v>
      </c>
      <c r="D115" s="1" t="s">
        <v>3055</v>
      </c>
      <c r="E115" s="1" t="s">
        <v>3056</v>
      </c>
      <c r="F115" s="1" t="s">
        <v>112</v>
      </c>
      <c r="G115" s="1">
        <v>3531643</v>
      </c>
    </row>
    <row r="116" spans="1:8" x14ac:dyDescent="0.3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6" s="1" t="s">
        <v>3057</v>
      </c>
      <c r="D116" s="1" t="s">
        <v>3058</v>
      </c>
      <c r="E116" s="1" t="s">
        <v>3059</v>
      </c>
      <c r="F116" s="1" t="s">
        <v>112</v>
      </c>
      <c r="G116" s="1">
        <v>3204166</v>
      </c>
    </row>
    <row r="117" spans="1:8" x14ac:dyDescent="0.3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3060</v>
      </c>
      <c r="D117" s="1" t="s">
        <v>2269</v>
      </c>
      <c r="E117" s="1" t="s">
        <v>3061</v>
      </c>
      <c r="F117" s="1" t="s">
        <v>112</v>
      </c>
      <c r="G117" s="1">
        <v>2943591</v>
      </c>
    </row>
    <row r="118" spans="1:8" x14ac:dyDescent="0.3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3062</v>
      </c>
      <c r="D118" s="1" t="s">
        <v>3063</v>
      </c>
      <c r="E118" s="1" t="s">
        <v>3064</v>
      </c>
      <c r="F118" s="1" t="s">
        <v>112</v>
      </c>
      <c r="G118" s="1">
        <v>2910021</v>
      </c>
    </row>
    <row r="119" spans="1:8" x14ac:dyDescent="0.3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9" s="1" t="s">
        <v>3065</v>
      </c>
      <c r="D119" s="1" t="s">
        <v>3066</v>
      </c>
      <c r="E119" s="1" t="s">
        <v>3067</v>
      </c>
      <c r="F119" s="1" t="s">
        <v>112</v>
      </c>
      <c r="G119" s="1">
        <v>3455765</v>
      </c>
    </row>
    <row r="120" spans="1:8" x14ac:dyDescent="0.3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3068</v>
      </c>
      <c r="D120" s="1" t="s">
        <v>3069</v>
      </c>
      <c r="E120" s="1" t="s">
        <v>3070</v>
      </c>
      <c r="F120" s="1" t="s">
        <v>112</v>
      </c>
      <c r="G120" s="1">
        <v>3165362</v>
      </c>
    </row>
    <row r="121" spans="1:8" x14ac:dyDescent="0.3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3071</v>
      </c>
      <c r="D121" s="1" t="s">
        <v>3072</v>
      </c>
      <c r="E121" s="1" t="s">
        <v>3073</v>
      </c>
      <c r="F121" s="1" t="s">
        <v>112</v>
      </c>
      <c r="G121" s="1">
        <v>2897433</v>
      </c>
    </row>
    <row r="122" spans="1:8" x14ac:dyDescent="0.3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2" s="1" t="s">
        <v>3074</v>
      </c>
      <c r="D122" s="1" t="s">
        <v>3075</v>
      </c>
      <c r="E122" s="1" t="s">
        <v>3076</v>
      </c>
      <c r="F122" s="1" t="s">
        <v>112</v>
      </c>
      <c r="G122" s="1">
        <v>2946273</v>
      </c>
    </row>
    <row r="123" spans="1:8" x14ac:dyDescent="0.3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3077</v>
      </c>
      <c r="D123" s="1" t="s">
        <v>3078</v>
      </c>
      <c r="E123" s="1" t="s">
        <v>3079</v>
      </c>
      <c r="F123" s="1" t="s">
        <v>112</v>
      </c>
      <c r="G123" s="1">
        <v>3477157</v>
      </c>
    </row>
    <row r="124" spans="1:8" x14ac:dyDescent="0.3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3080</v>
      </c>
      <c r="D124" s="1" t="s">
        <v>3081</v>
      </c>
      <c r="E124" s="1" t="s">
        <v>3082</v>
      </c>
      <c r="F124" s="1" t="s">
        <v>112</v>
      </c>
      <c r="G124" s="1">
        <v>3588508</v>
      </c>
    </row>
    <row r="125" spans="1:8" x14ac:dyDescent="0.35">
      <c r="A125" s="1" t="str">
        <f t="shared" si="1"/>
        <v>15</v>
      </c>
      <c r="B1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5" s="1" t="s">
        <v>3083</v>
      </c>
      <c r="D125" s="1" t="s">
        <v>3084</v>
      </c>
      <c r="E125" s="1" t="s">
        <v>3085</v>
      </c>
      <c r="F125" s="1" t="s">
        <v>112</v>
      </c>
      <c r="G125" s="1">
        <v>3768274</v>
      </c>
    </row>
    <row r="126" spans="1:8"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112</v>
      </c>
    </row>
    <row r="127" spans="1:8"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7" s="1" t="s">
        <v>233</v>
      </c>
      <c r="D127" s="1" t="s">
        <v>112</v>
      </c>
      <c r="E127" s="1" t="s">
        <v>234</v>
      </c>
      <c r="F127" s="1" t="s">
        <v>235</v>
      </c>
      <c r="G127" s="1" t="s">
        <v>236</v>
      </c>
      <c r="H127" s="1" t="s">
        <v>1623</v>
      </c>
    </row>
    <row r="128" spans="1:8" x14ac:dyDescent="0.35">
      <c r="A128" s="1" t="str">
        <f t="shared" si="1"/>
        <v>15</v>
      </c>
      <c r="B1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8" s="1" t="s">
        <v>3086</v>
      </c>
      <c r="D128" s="1" t="s">
        <v>112</v>
      </c>
      <c r="E128" s="1" t="s">
        <v>3087</v>
      </c>
      <c r="F128" s="1" t="s">
        <v>3088</v>
      </c>
      <c r="G128" s="1" t="s">
        <v>3089</v>
      </c>
      <c r="H128" s="1" t="s">
        <v>3090</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112</v>
      </c>
    </row>
    <row r="134" spans="1:7"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4" s="1" t="s">
        <v>166</v>
      </c>
      <c r="D134" s="1" t="s">
        <v>110</v>
      </c>
      <c r="E134" s="1" t="s">
        <v>111</v>
      </c>
      <c r="F134" s="1" t="s">
        <v>112</v>
      </c>
      <c r="G134" s="1" t="s">
        <v>113</v>
      </c>
    </row>
    <row r="135" spans="1:7" x14ac:dyDescent="0.3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3091</v>
      </c>
      <c r="D135" s="1" t="s">
        <v>1078</v>
      </c>
      <c r="E135" s="1">
        <v>30</v>
      </c>
      <c r="F135" s="1" t="s">
        <v>112</v>
      </c>
      <c r="G135" s="1">
        <v>3893</v>
      </c>
    </row>
    <row r="136" spans="1:7" x14ac:dyDescent="0.3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3092</v>
      </c>
    </row>
    <row r="137" spans="1:7" x14ac:dyDescent="0.3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7" s="1" t="s">
        <v>3093</v>
      </c>
    </row>
    <row r="138" spans="1:7" x14ac:dyDescent="0.3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3094</v>
      </c>
      <c r="D138" s="1" t="s">
        <v>1508</v>
      </c>
      <c r="E138" s="1" t="s">
        <v>3095</v>
      </c>
      <c r="F138" s="1" t="s">
        <v>112</v>
      </c>
      <c r="G138" s="1">
        <v>126621</v>
      </c>
    </row>
    <row r="139" spans="1:7" x14ac:dyDescent="0.3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3096</v>
      </c>
      <c r="D139" s="1" t="s">
        <v>3097</v>
      </c>
      <c r="E139" s="1" t="s">
        <v>3098</v>
      </c>
      <c r="F139" s="1" t="s">
        <v>112</v>
      </c>
      <c r="G139" s="1">
        <v>272991</v>
      </c>
    </row>
    <row r="140" spans="1:7" x14ac:dyDescent="0.3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40" s="1" t="s">
        <v>3099</v>
      </c>
      <c r="D140" s="1" t="s">
        <v>628</v>
      </c>
      <c r="E140" s="1" t="s">
        <v>3100</v>
      </c>
      <c r="F140" s="1" t="s">
        <v>112</v>
      </c>
      <c r="G140" s="1">
        <v>151128</v>
      </c>
    </row>
    <row r="141" spans="1:7" x14ac:dyDescent="0.3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3101</v>
      </c>
      <c r="D141" s="1" t="s">
        <v>3102</v>
      </c>
      <c r="E141" s="1" t="s">
        <v>3103</v>
      </c>
      <c r="F141" s="1" t="s">
        <v>112</v>
      </c>
      <c r="G141" s="1">
        <v>317375</v>
      </c>
    </row>
    <row r="142" spans="1:7" x14ac:dyDescent="0.3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3104</v>
      </c>
      <c r="D142" s="1" t="s">
        <v>207</v>
      </c>
      <c r="E142" s="1" t="s">
        <v>3105</v>
      </c>
      <c r="F142" s="1" t="s">
        <v>112</v>
      </c>
      <c r="G142" s="1">
        <v>335545</v>
      </c>
    </row>
    <row r="143" spans="1:7" x14ac:dyDescent="0.3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3" s="1" t="s">
        <v>3106</v>
      </c>
      <c r="D143" s="1" t="s">
        <v>3107</v>
      </c>
      <c r="E143" s="1" t="s">
        <v>3108</v>
      </c>
      <c r="F143" s="1" t="s">
        <v>112</v>
      </c>
      <c r="G143" s="1">
        <v>204273</v>
      </c>
    </row>
    <row r="144" spans="1:7" x14ac:dyDescent="0.3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3109</v>
      </c>
      <c r="D144" s="1" t="s">
        <v>1170</v>
      </c>
      <c r="E144" s="1" t="s">
        <v>3110</v>
      </c>
      <c r="F144" s="1" t="s">
        <v>112</v>
      </c>
      <c r="G144" s="1">
        <v>304160</v>
      </c>
    </row>
    <row r="145" spans="1:8" x14ac:dyDescent="0.3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3111</v>
      </c>
      <c r="D145" s="1" t="s">
        <v>3112</v>
      </c>
      <c r="E145" s="1" t="s">
        <v>3113</v>
      </c>
      <c r="F145" s="1" t="s">
        <v>112</v>
      </c>
      <c r="G145" s="1">
        <v>639336</v>
      </c>
    </row>
    <row r="146" spans="1:8" x14ac:dyDescent="0.3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6" s="1" t="s">
        <v>3114</v>
      </c>
      <c r="D146" s="1" t="s">
        <v>981</v>
      </c>
      <c r="E146" s="1" t="s">
        <v>3115</v>
      </c>
      <c r="F146" s="1" t="s">
        <v>112</v>
      </c>
      <c r="G146" s="1">
        <v>154827</v>
      </c>
    </row>
    <row r="147" spans="1:8" x14ac:dyDescent="0.3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3116</v>
      </c>
      <c r="D147" s="1" t="s">
        <v>640</v>
      </c>
      <c r="E147" s="1" t="s">
        <v>3117</v>
      </c>
      <c r="F147" s="1" t="s">
        <v>112</v>
      </c>
      <c r="G147" s="1">
        <v>547712</v>
      </c>
    </row>
    <row r="148" spans="1:8" x14ac:dyDescent="0.3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3118</v>
      </c>
      <c r="D148" s="1" t="s">
        <v>3119</v>
      </c>
      <c r="E148" s="1" t="s">
        <v>3120</v>
      </c>
      <c r="F148" s="1" t="s">
        <v>112</v>
      </c>
      <c r="G148" s="1">
        <v>375322</v>
      </c>
    </row>
    <row r="149" spans="1:8" x14ac:dyDescent="0.3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9" s="1" t="s">
        <v>3121</v>
      </c>
      <c r="D149" s="1" t="s">
        <v>3122</v>
      </c>
      <c r="E149" s="1" t="s">
        <v>3123</v>
      </c>
      <c r="F149" s="1" t="s">
        <v>112</v>
      </c>
      <c r="G149" s="1">
        <v>376750</v>
      </c>
    </row>
    <row r="150" spans="1:8" x14ac:dyDescent="0.3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3124</v>
      </c>
      <c r="D150" s="1" t="s">
        <v>1159</v>
      </c>
      <c r="E150" s="1" t="s">
        <v>3125</v>
      </c>
      <c r="F150" s="1" t="s">
        <v>112</v>
      </c>
      <c r="G150" s="1">
        <v>228304</v>
      </c>
    </row>
    <row r="151" spans="1:8" x14ac:dyDescent="0.3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3126</v>
      </c>
      <c r="D151" s="1" t="s">
        <v>1371</v>
      </c>
      <c r="E151" s="1" t="s">
        <v>3127</v>
      </c>
      <c r="F151" s="1" t="s">
        <v>112</v>
      </c>
      <c r="G151" s="1">
        <v>151258</v>
      </c>
    </row>
    <row r="152" spans="1:8" x14ac:dyDescent="0.3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2" s="1" t="s">
        <v>3128</v>
      </c>
      <c r="D152" s="1" t="s">
        <v>1341</v>
      </c>
      <c r="E152" s="1" t="s">
        <v>3129</v>
      </c>
      <c r="F152" s="1" t="s">
        <v>112</v>
      </c>
      <c r="G152" s="1">
        <v>83448</v>
      </c>
    </row>
    <row r="153" spans="1:8" x14ac:dyDescent="0.3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3130</v>
      </c>
      <c r="D153" s="1" t="s">
        <v>474</v>
      </c>
      <c r="E153" s="1" t="s">
        <v>3131</v>
      </c>
      <c r="F153" s="1" t="s">
        <v>112</v>
      </c>
      <c r="G153" s="1">
        <v>404609</v>
      </c>
    </row>
    <row r="154" spans="1:8" x14ac:dyDescent="0.3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3132</v>
      </c>
      <c r="D154" s="1" t="s">
        <v>2819</v>
      </c>
      <c r="E154" s="1" t="s">
        <v>3133</v>
      </c>
      <c r="F154" s="1" t="s">
        <v>112</v>
      </c>
      <c r="G154" s="1">
        <v>363317</v>
      </c>
    </row>
    <row r="155" spans="1:8" x14ac:dyDescent="0.3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5" s="1" t="s">
        <v>3134</v>
      </c>
      <c r="D155" s="1" t="s">
        <v>2064</v>
      </c>
      <c r="E155" s="1" t="s">
        <v>3135</v>
      </c>
      <c r="F155" s="1" t="s">
        <v>112</v>
      </c>
      <c r="G155" s="1">
        <v>508194</v>
      </c>
    </row>
    <row r="156" spans="1:8" x14ac:dyDescent="0.3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3136</v>
      </c>
      <c r="D156" s="1" t="s">
        <v>2668</v>
      </c>
      <c r="E156" s="1" t="s">
        <v>3137</v>
      </c>
      <c r="F156" s="1" t="s">
        <v>112</v>
      </c>
      <c r="G156" s="1">
        <v>267670</v>
      </c>
    </row>
    <row r="157" spans="1:8" x14ac:dyDescent="0.3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3138</v>
      </c>
      <c r="D157" s="1" t="s">
        <v>3139</v>
      </c>
      <c r="E157" s="1" t="s">
        <v>3140</v>
      </c>
      <c r="F157" s="1" t="s">
        <v>112</v>
      </c>
      <c r="G157" s="1">
        <v>154978</v>
      </c>
    </row>
    <row r="158" spans="1:8" x14ac:dyDescent="0.35">
      <c r="A158" s="1" t="str">
        <f t="shared" si="2"/>
        <v>16</v>
      </c>
      <c r="B1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8" s="1" t="s">
        <v>3141</v>
      </c>
      <c r="D158" s="1" t="s">
        <v>3142</v>
      </c>
      <c r="E158" s="1" t="s">
        <v>3143</v>
      </c>
      <c r="F158" s="1" t="s">
        <v>112</v>
      </c>
      <c r="G158" s="1">
        <v>138475</v>
      </c>
    </row>
    <row r="159" spans="1:8"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112</v>
      </c>
    </row>
    <row r="160" spans="1:8"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0" s="1" t="s">
        <v>233</v>
      </c>
      <c r="D160" s="1" t="s">
        <v>112</v>
      </c>
      <c r="E160" s="1" t="s">
        <v>234</v>
      </c>
      <c r="F160" s="1" t="s">
        <v>235</v>
      </c>
      <c r="G160" s="1" t="s">
        <v>236</v>
      </c>
      <c r="H160" s="1" t="s">
        <v>1623</v>
      </c>
    </row>
    <row r="161" spans="1:8" x14ac:dyDescent="0.35">
      <c r="A161" s="1" t="str">
        <f t="shared" si="2"/>
        <v>16</v>
      </c>
      <c r="B1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1" s="1" t="s">
        <v>3144</v>
      </c>
      <c r="D161" s="1" t="s">
        <v>112</v>
      </c>
      <c r="E161" s="1" t="s">
        <v>3145</v>
      </c>
      <c r="F161" s="1" t="s">
        <v>3146</v>
      </c>
      <c r="G161" s="1" t="s">
        <v>3147</v>
      </c>
      <c r="H161" s="1" t="s">
        <v>3148</v>
      </c>
    </row>
    <row r="162" spans="1:8"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8"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8"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8"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8"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112</v>
      </c>
    </row>
    <row r="167" spans="1:8"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7" s="1" t="s">
        <v>166</v>
      </c>
      <c r="D167" s="1" t="s">
        <v>110</v>
      </c>
      <c r="E167" s="1" t="s">
        <v>111</v>
      </c>
      <c r="F167" s="1" t="s">
        <v>112</v>
      </c>
      <c r="G167" s="1" t="s">
        <v>113</v>
      </c>
    </row>
    <row r="168" spans="1:8" x14ac:dyDescent="0.3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3149</v>
      </c>
      <c r="D168" s="1">
        <v>0</v>
      </c>
      <c r="E168" s="1">
        <v>0</v>
      </c>
      <c r="F168" s="1" t="s">
        <v>112</v>
      </c>
      <c r="G168" s="1">
        <v>0</v>
      </c>
    </row>
    <row r="169" spans="1:8" x14ac:dyDescent="0.3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3150</v>
      </c>
      <c r="D169" s="1" t="s">
        <v>3151</v>
      </c>
      <c r="E169" s="1" t="s">
        <v>3152</v>
      </c>
      <c r="F169" s="1" t="s">
        <v>112</v>
      </c>
      <c r="G169" s="1">
        <v>442721</v>
      </c>
    </row>
    <row r="170" spans="1:8" x14ac:dyDescent="0.3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70" s="1" t="s">
        <v>3153</v>
      </c>
      <c r="D170" s="1" t="s">
        <v>3154</v>
      </c>
      <c r="E170" s="1" t="s">
        <v>3155</v>
      </c>
      <c r="F170" s="1" t="s">
        <v>112</v>
      </c>
      <c r="G170" s="1">
        <v>326914</v>
      </c>
    </row>
    <row r="171" spans="1:8" x14ac:dyDescent="0.3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3156</v>
      </c>
      <c r="D171" s="1" t="s">
        <v>1026</v>
      </c>
      <c r="E171" s="1" t="s">
        <v>3157</v>
      </c>
      <c r="F171" s="1" t="s">
        <v>112</v>
      </c>
      <c r="G171" s="1">
        <v>273488</v>
      </c>
    </row>
    <row r="172" spans="1:8" x14ac:dyDescent="0.3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3158</v>
      </c>
      <c r="D172" s="1" t="s">
        <v>3159</v>
      </c>
      <c r="E172" s="1" t="s">
        <v>3160</v>
      </c>
      <c r="F172" s="1" t="s">
        <v>112</v>
      </c>
      <c r="G172" s="1">
        <v>399158</v>
      </c>
    </row>
    <row r="173" spans="1:8" x14ac:dyDescent="0.3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3" s="1" t="s">
        <v>3161</v>
      </c>
      <c r="D173" s="1" t="s">
        <v>1125</v>
      </c>
      <c r="E173" s="1" t="s">
        <v>3162</v>
      </c>
      <c r="F173" s="1" t="s">
        <v>112</v>
      </c>
      <c r="G173" s="1">
        <v>67788</v>
      </c>
    </row>
    <row r="174" spans="1:8" x14ac:dyDescent="0.3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3163</v>
      </c>
      <c r="D174" s="1" t="s">
        <v>3164</v>
      </c>
      <c r="E174" s="1" t="s">
        <v>3165</v>
      </c>
      <c r="F174" s="1" t="s">
        <v>112</v>
      </c>
      <c r="G174" s="1">
        <v>741451</v>
      </c>
    </row>
    <row r="175" spans="1:8" x14ac:dyDescent="0.3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3166</v>
      </c>
      <c r="D175" s="1" t="s">
        <v>3167</v>
      </c>
      <c r="E175" s="1" t="s">
        <v>3168</v>
      </c>
      <c r="F175" s="1" t="s">
        <v>112</v>
      </c>
      <c r="G175" s="1">
        <v>691508</v>
      </c>
    </row>
    <row r="176" spans="1:8" x14ac:dyDescent="0.3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6" s="1" t="s">
        <v>3169</v>
      </c>
      <c r="D176" s="1" t="s">
        <v>3170</v>
      </c>
      <c r="E176" s="1" t="s">
        <v>3171</v>
      </c>
      <c r="F176" s="1" t="s">
        <v>112</v>
      </c>
      <c r="G176" s="1">
        <v>633951</v>
      </c>
    </row>
    <row r="177" spans="1:8" x14ac:dyDescent="0.3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3172</v>
      </c>
      <c r="D177" s="1" t="s">
        <v>3173</v>
      </c>
      <c r="E177" s="1" t="s">
        <v>3174</v>
      </c>
      <c r="F177" s="1" t="s">
        <v>112</v>
      </c>
      <c r="G177" s="1">
        <v>325919</v>
      </c>
    </row>
    <row r="178" spans="1:8" x14ac:dyDescent="0.3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3175</v>
      </c>
      <c r="D178" s="1" t="s">
        <v>1263</v>
      </c>
      <c r="E178" s="1" t="s">
        <v>3176</v>
      </c>
      <c r="F178" s="1" t="s">
        <v>112</v>
      </c>
      <c r="G178" s="1">
        <v>175354</v>
      </c>
    </row>
    <row r="179" spans="1:8" x14ac:dyDescent="0.3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9" s="1" t="s">
        <v>3177</v>
      </c>
      <c r="D179" s="1" t="s">
        <v>3178</v>
      </c>
      <c r="E179" s="1" t="s">
        <v>3179</v>
      </c>
      <c r="F179" s="1" t="s">
        <v>112</v>
      </c>
      <c r="G179" s="1">
        <v>348371</v>
      </c>
    </row>
    <row r="180" spans="1:8" x14ac:dyDescent="0.3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3180</v>
      </c>
      <c r="D180" s="1" t="s">
        <v>946</v>
      </c>
      <c r="E180" s="1" t="s">
        <v>3181</v>
      </c>
      <c r="F180" s="1" t="s">
        <v>112</v>
      </c>
      <c r="G180" s="1">
        <v>29114</v>
      </c>
    </row>
    <row r="181" spans="1:8" x14ac:dyDescent="0.3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3182</v>
      </c>
      <c r="D181" s="1" t="s">
        <v>623</v>
      </c>
      <c r="E181" s="1" t="s">
        <v>1596</v>
      </c>
      <c r="F181" s="1" t="s">
        <v>112</v>
      </c>
      <c r="G181" s="1">
        <v>26280</v>
      </c>
    </row>
    <row r="182" spans="1:8" x14ac:dyDescent="0.3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2" s="1" t="s">
        <v>3183</v>
      </c>
      <c r="D182" s="1" t="s">
        <v>2028</v>
      </c>
      <c r="E182" s="1" t="s">
        <v>3184</v>
      </c>
      <c r="F182" s="1" t="s">
        <v>112</v>
      </c>
      <c r="G182" s="1">
        <v>22776</v>
      </c>
    </row>
    <row r="183" spans="1:8" x14ac:dyDescent="0.3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3185</v>
      </c>
      <c r="D183" s="1" t="s">
        <v>3186</v>
      </c>
      <c r="E183" s="1" t="s">
        <v>3187</v>
      </c>
      <c r="F183" s="1" t="s">
        <v>112</v>
      </c>
      <c r="G183" s="1">
        <v>143882</v>
      </c>
    </row>
    <row r="184" spans="1:8" x14ac:dyDescent="0.3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3188</v>
      </c>
      <c r="D184" s="1" t="s">
        <v>358</v>
      </c>
      <c r="E184" s="1" t="s">
        <v>3189</v>
      </c>
      <c r="F184" s="1" t="s">
        <v>112</v>
      </c>
      <c r="G184" s="1">
        <v>142606</v>
      </c>
    </row>
    <row r="185" spans="1:8" x14ac:dyDescent="0.3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3190</v>
      </c>
      <c r="D185" s="1" t="s">
        <v>542</v>
      </c>
      <c r="E185" s="1" t="s">
        <v>3191</v>
      </c>
      <c r="F185" s="1" t="s">
        <v>112</v>
      </c>
      <c r="G185" s="1">
        <v>365004</v>
      </c>
    </row>
    <row r="186" spans="1:8" x14ac:dyDescent="0.3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6" s="1" t="s">
        <v>3192</v>
      </c>
      <c r="D186" s="1" t="s">
        <v>1046</v>
      </c>
      <c r="E186" s="1">
        <v>30</v>
      </c>
      <c r="F186" s="1" t="s">
        <v>112</v>
      </c>
      <c r="G186" s="1">
        <v>1298</v>
      </c>
    </row>
    <row r="187" spans="1:8" x14ac:dyDescent="0.3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7" s="1" t="s">
        <v>3193</v>
      </c>
      <c r="D187" s="1" t="s">
        <v>1086</v>
      </c>
      <c r="E187" s="1" t="s">
        <v>3194</v>
      </c>
      <c r="F187" s="1" t="s">
        <v>112</v>
      </c>
      <c r="G187" s="1">
        <v>423427</v>
      </c>
    </row>
    <row r="188" spans="1:8" x14ac:dyDescent="0.3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3195</v>
      </c>
      <c r="D188" s="1" t="s">
        <v>498</v>
      </c>
      <c r="E188" s="1" t="s">
        <v>3196</v>
      </c>
      <c r="F188" s="1" t="s">
        <v>112</v>
      </c>
      <c r="G188" s="1">
        <v>348220</v>
      </c>
    </row>
    <row r="189" spans="1:8" x14ac:dyDescent="0.35">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89" s="1" t="s">
        <v>112</v>
      </c>
    </row>
    <row r="190" spans="1:8" x14ac:dyDescent="0.35">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0" s="1" t="s">
        <v>233</v>
      </c>
      <c r="D190" s="1" t="s">
        <v>112</v>
      </c>
      <c r="E190" s="1" t="s">
        <v>234</v>
      </c>
      <c r="F190" s="1" t="s">
        <v>235</v>
      </c>
      <c r="G190" s="1" t="s">
        <v>236</v>
      </c>
      <c r="H190" s="1" t="s">
        <v>1623</v>
      </c>
    </row>
    <row r="191" spans="1:8" x14ac:dyDescent="0.35">
      <c r="A191" s="1" t="str">
        <f t="shared" si="2"/>
        <v>2</v>
      </c>
      <c r="B1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1" s="1" t="s">
        <v>3197</v>
      </c>
      <c r="D191" s="1" t="s">
        <v>112</v>
      </c>
      <c r="E191" s="1" t="s">
        <v>3198</v>
      </c>
      <c r="F191" s="1" t="s">
        <v>3199</v>
      </c>
      <c r="G191" s="1" t="s">
        <v>3200</v>
      </c>
      <c r="H191" s="1" t="s">
        <v>3201</v>
      </c>
    </row>
    <row r="192" spans="1:8"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112</v>
      </c>
    </row>
    <row r="193" spans="1:7"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3" s="1" t="s">
        <v>112</v>
      </c>
    </row>
    <row r="194" spans="1:7"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7"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7"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7"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166</v>
      </c>
      <c r="D197" s="1" t="s">
        <v>110</v>
      </c>
      <c r="E197" s="1" t="s">
        <v>111</v>
      </c>
      <c r="F197" s="1" t="s">
        <v>112</v>
      </c>
      <c r="G197" s="1" t="s">
        <v>113</v>
      </c>
    </row>
    <row r="198" spans="1:7" x14ac:dyDescent="0.35">
      <c r="A198" s="1" t="str">
        <f t="shared" si="3"/>
        <v>3</v>
      </c>
      <c r="B1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98" s="1" t="s">
        <v>3202</v>
      </c>
      <c r="D198" s="1" t="s">
        <v>726</v>
      </c>
      <c r="E198" s="1" t="s">
        <v>3203</v>
      </c>
      <c r="F198" s="1" t="s">
        <v>112</v>
      </c>
      <c r="G198" s="1">
        <v>119289</v>
      </c>
    </row>
    <row r="199" spans="1:7" x14ac:dyDescent="0.35">
      <c r="A199" s="1" t="str">
        <f t="shared" si="3"/>
        <v>3</v>
      </c>
      <c r="B1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99" s="1" t="s">
        <v>3204</v>
      </c>
      <c r="D199" s="1" t="s">
        <v>598</v>
      </c>
      <c r="E199" s="1" t="s">
        <v>596</v>
      </c>
      <c r="F199" s="1" t="s">
        <v>112</v>
      </c>
      <c r="G199" s="1">
        <v>8133</v>
      </c>
    </row>
    <row r="200" spans="1:7" x14ac:dyDescent="0.35">
      <c r="A200" s="1" t="str">
        <f t="shared" si="3"/>
        <v>3</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3205</v>
      </c>
      <c r="D200" s="1" t="s">
        <v>1607</v>
      </c>
      <c r="E200" s="1" t="s">
        <v>3206</v>
      </c>
      <c r="F200" s="1" t="s">
        <v>112</v>
      </c>
      <c r="G200" s="1">
        <v>78560</v>
      </c>
    </row>
    <row r="201" spans="1:7" x14ac:dyDescent="0.3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1" s="1" t="s">
        <v>3207</v>
      </c>
      <c r="D201" s="1" t="s">
        <v>162</v>
      </c>
      <c r="E201" s="1" t="s">
        <v>3208</v>
      </c>
      <c r="F201" s="1" t="s">
        <v>112</v>
      </c>
      <c r="G201" s="1">
        <v>726224</v>
      </c>
    </row>
    <row r="202" spans="1:7" x14ac:dyDescent="0.3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2" s="1" t="s">
        <v>3209</v>
      </c>
      <c r="D202" s="1" t="s">
        <v>3210</v>
      </c>
      <c r="E202" s="1" t="s">
        <v>3211</v>
      </c>
      <c r="F202" s="1" t="s">
        <v>112</v>
      </c>
      <c r="G202" s="1">
        <v>1131763</v>
      </c>
    </row>
    <row r="203" spans="1:7" x14ac:dyDescent="0.3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3212</v>
      </c>
      <c r="D203" s="1" t="s">
        <v>3213</v>
      </c>
      <c r="E203" s="1" t="s">
        <v>3214</v>
      </c>
      <c r="F203" s="1" t="s">
        <v>112</v>
      </c>
      <c r="G203" s="1">
        <v>519658</v>
      </c>
    </row>
    <row r="204" spans="1:7" x14ac:dyDescent="0.3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4" s="1" t="s">
        <v>3215</v>
      </c>
      <c r="D204" s="1" t="s">
        <v>3216</v>
      </c>
      <c r="E204" s="1" t="s">
        <v>3217</v>
      </c>
      <c r="F204" s="1" t="s">
        <v>112</v>
      </c>
      <c r="G204" s="1">
        <v>450378</v>
      </c>
    </row>
    <row r="205" spans="1:7" x14ac:dyDescent="0.3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5" s="1" t="s">
        <v>3218</v>
      </c>
      <c r="D205" s="1" t="s">
        <v>1250</v>
      </c>
      <c r="E205" s="1" t="s">
        <v>3219</v>
      </c>
      <c r="F205" s="1" t="s">
        <v>112</v>
      </c>
      <c r="G205" s="1">
        <v>401581</v>
      </c>
    </row>
    <row r="206" spans="1:7" x14ac:dyDescent="0.3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3220</v>
      </c>
      <c r="D206" s="1" t="s">
        <v>3221</v>
      </c>
      <c r="E206" s="1" t="s">
        <v>3222</v>
      </c>
      <c r="F206" s="1" t="s">
        <v>112</v>
      </c>
      <c r="G206" s="1">
        <v>283806</v>
      </c>
    </row>
    <row r="207" spans="1:7" x14ac:dyDescent="0.3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7" s="1" t="s">
        <v>3223</v>
      </c>
      <c r="D207" s="1" t="s">
        <v>1065</v>
      </c>
      <c r="E207" s="1" t="s">
        <v>3224</v>
      </c>
      <c r="F207" s="1" t="s">
        <v>112</v>
      </c>
      <c r="G207" s="1">
        <v>63743</v>
      </c>
    </row>
    <row r="208" spans="1:7" x14ac:dyDescent="0.3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8" s="1" t="s">
        <v>3225</v>
      </c>
      <c r="D208" s="1" t="s">
        <v>1216</v>
      </c>
      <c r="E208" s="1" t="s">
        <v>3226</v>
      </c>
      <c r="F208" s="1" t="s">
        <v>112</v>
      </c>
      <c r="G208" s="1">
        <v>88899</v>
      </c>
    </row>
    <row r="209" spans="1:8" x14ac:dyDescent="0.3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3227</v>
      </c>
      <c r="D209" s="1" t="s">
        <v>1347</v>
      </c>
      <c r="E209" s="1" t="s">
        <v>3228</v>
      </c>
      <c r="F209" s="1" t="s">
        <v>112</v>
      </c>
      <c r="G209" s="1">
        <v>38328</v>
      </c>
    </row>
    <row r="210" spans="1:8" x14ac:dyDescent="0.3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0" s="1" t="s">
        <v>3229</v>
      </c>
      <c r="D210" s="1" t="s">
        <v>3230</v>
      </c>
      <c r="E210" s="1" t="s">
        <v>3231</v>
      </c>
      <c r="F210" s="1" t="s">
        <v>112</v>
      </c>
      <c r="G210" s="1">
        <v>862557</v>
      </c>
    </row>
    <row r="211" spans="1:8" x14ac:dyDescent="0.3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1" s="1" t="s">
        <v>3232</v>
      </c>
      <c r="D211" s="1" t="s">
        <v>3233</v>
      </c>
      <c r="E211" s="1" t="s">
        <v>3234</v>
      </c>
      <c r="F211" s="1" t="s">
        <v>112</v>
      </c>
      <c r="G211" s="1">
        <v>636568</v>
      </c>
    </row>
    <row r="212" spans="1:8" x14ac:dyDescent="0.3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3235</v>
      </c>
    </row>
    <row r="213" spans="1:8" x14ac:dyDescent="0.3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3" s="1" t="s">
        <v>3236</v>
      </c>
      <c r="D213" s="1" t="s">
        <v>1113</v>
      </c>
      <c r="E213" s="1" t="s">
        <v>3237</v>
      </c>
      <c r="F213" s="1" t="s">
        <v>112</v>
      </c>
      <c r="G213" s="1">
        <v>5407</v>
      </c>
    </row>
    <row r="214" spans="1:8" x14ac:dyDescent="0.3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4" s="1" t="s">
        <v>3238</v>
      </c>
      <c r="D214" s="1" t="s">
        <v>3239</v>
      </c>
      <c r="E214" s="1" t="s">
        <v>3240</v>
      </c>
      <c r="F214" s="1" t="s">
        <v>112</v>
      </c>
      <c r="G214" s="1">
        <v>182059</v>
      </c>
    </row>
    <row r="215" spans="1:8" x14ac:dyDescent="0.3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3241</v>
      </c>
    </row>
    <row r="216" spans="1:8" x14ac:dyDescent="0.3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6" s="1" t="s">
        <v>3242</v>
      </c>
      <c r="D216" s="1" t="s">
        <v>3243</v>
      </c>
      <c r="E216" s="1" t="s">
        <v>3244</v>
      </c>
      <c r="F216" s="1" t="s">
        <v>112</v>
      </c>
      <c r="G216" s="1">
        <v>212665</v>
      </c>
    </row>
    <row r="217" spans="1:8" x14ac:dyDescent="0.3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7" s="1" t="s">
        <v>3245</v>
      </c>
      <c r="D217" s="1" t="s">
        <v>2147</v>
      </c>
      <c r="E217" s="1" t="s">
        <v>3246</v>
      </c>
      <c r="F217" s="1" t="s">
        <v>112</v>
      </c>
      <c r="G217" s="1">
        <v>377031</v>
      </c>
    </row>
    <row r="218" spans="1:8" x14ac:dyDescent="0.3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3247</v>
      </c>
      <c r="D218" s="1" t="s">
        <v>2545</v>
      </c>
      <c r="E218" s="1" t="s">
        <v>3248</v>
      </c>
      <c r="F218" s="1" t="s">
        <v>112</v>
      </c>
      <c r="G218" s="1">
        <v>424227</v>
      </c>
    </row>
    <row r="219" spans="1:8" x14ac:dyDescent="0.3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19" s="1" t="s">
        <v>3249</v>
      </c>
      <c r="D219" s="1" t="s">
        <v>2587</v>
      </c>
      <c r="E219" s="1" t="s">
        <v>3250</v>
      </c>
      <c r="F219" s="1" t="s">
        <v>112</v>
      </c>
      <c r="G219" s="1">
        <v>287267</v>
      </c>
    </row>
    <row r="220" spans="1:8" x14ac:dyDescent="0.3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0" s="1" t="s">
        <v>3251</v>
      </c>
      <c r="D220" s="1" t="s">
        <v>703</v>
      </c>
      <c r="E220" s="1" t="s">
        <v>3252</v>
      </c>
      <c r="F220" s="1" t="s">
        <v>112</v>
      </c>
      <c r="G220" s="1">
        <v>294599</v>
      </c>
    </row>
    <row r="221" spans="1:8" x14ac:dyDescent="0.3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3253</v>
      </c>
      <c r="D221" s="1" t="s">
        <v>1017</v>
      </c>
      <c r="E221" s="1" t="s">
        <v>3254</v>
      </c>
      <c r="F221" s="1" t="s">
        <v>112</v>
      </c>
      <c r="G221" s="1">
        <v>288067</v>
      </c>
    </row>
    <row r="222" spans="1:8" x14ac:dyDescent="0.35">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2" s="1" t="s">
        <v>112</v>
      </c>
    </row>
    <row r="223" spans="1:8" x14ac:dyDescent="0.35">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3" s="1" t="s">
        <v>233</v>
      </c>
      <c r="D223" s="1" t="s">
        <v>112</v>
      </c>
      <c r="E223" s="1" t="s">
        <v>234</v>
      </c>
      <c r="F223" s="1" t="s">
        <v>235</v>
      </c>
      <c r="G223" s="1" t="s">
        <v>236</v>
      </c>
      <c r="H223" s="1" t="s">
        <v>1623</v>
      </c>
    </row>
    <row r="224" spans="1:8" x14ac:dyDescent="0.35">
      <c r="A224" s="1" t="str">
        <f t="shared" si="3"/>
        <v>3</v>
      </c>
      <c r="B2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4" s="1" t="s">
        <v>3255</v>
      </c>
      <c r="D224" s="1" t="s">
        <v>112</v>
      </c>
      <c r="E224" s="1" t="s">
        <v>3256</v>
      </c>
      <c r="F224" s="1" t="s">
        <v>3257</v>
      </c>
      <c r="G224" s="1" t="s">
        <v>3258</v>
      </c>
      <c r="H224" s="1" t="s">
        <v>3259</v>
      </c>
    </row>
    <row r="225" spans="1:7"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112</v>
      </c>
    </row>
    <row r="226" spans="1:7"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6" s="1" t="s">
        <v>112</v>
      </c>
    </row>
    <row r="227" spans="1:7"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7"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7"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7"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166</v>
      </c>
      <c r="D230" s="1" t="s">
        <v>110</v>
      </c>
      <c r="E230" s="1" t="s">
        <v>111</v>
      </c>
      <c r="F230" s="1" t="s">
        <v>112</v>
      </c>
      <c r="G230" s="1" t="s">
        <v>113</v>
      </c>
    </row>
    <row r="231" spans="1:7" x14ac:dyDescent="0.35">
      <c r="A231" s="1" t="str">
        <f t="shared" si="3"/>
        <v>4</v>
      </c>
      <c r="B2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1" s="1" t="s">
        <v>3260</v>
      </c>
      <c r="D231" s="1" t="s">
        <v>3261</v>
      </c>
      <c r="E231" s="1" t="s">
        <v>3262</v>
      </c>
      <c r="F231" s="1" t="s">
        <v>112</v>
      </c>
      <c r="G231" s="1">
        <v>2009028</v>
      </c>
    </row>
    <row r="232" spans="1:7" x14ac:dyDescent="0.35">
      <c r="A232" s="1" t="str">
        <f t="shared" si="3"/>
        <v>4</v>
      </c>
      <c r="B2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2" s="1" t="s">
        <v>3263</v>
      </c>
      <c r="D232" s="1" t="s">
        <v>839</v>
      </c>
      <c r="E232" s="1" t="s">
        <v>3264</v>
      </c>
      <c r="F232" s="1" t="s">
        <v>112</v>
      </c>
      <c r="G232" s="1">
        <v>2093017</v>
      </c>
    </row>
    <row r="233" spans="1:7" x14ac:dyDescent="0.35">
      <c r="A233" s="1" t="str">
        <f t="shared" si="3"/>
        <v>4</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3265</v>
      </c>
      <c r="D233" s="1" t="s">
        <v>3266</v>
      </c>
      <c r="E233" s="1" t="s">
        <v>3267</v>
      </c>
      <c r="F233" s="1" t="s">
        <v>112</v>
      </c>
      <c r="G233" s="1">
        <v>2206163</v>
      </c>
    </row>
    <row r="234" spans="1:7" x14ac:dyDescent="0.3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4" s="1" t="s">
        <v>3268</v>
      </c>
      <c r="D234" s="1" t="s">
        <v>3269</v>
      </c>
      <c r="E234" s="1" t="s">
        <v>3270</v>
      </c>
      <c r="F234" s="1" t="s">
        <v>112</v>
      </c>
      <c r="G234" s="1">
        <v>591729</v>
      </c>
    </row>
    <row r="235" spans="1:7" x14ac:dyDescent="0.3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5" s="1" t="s">
        <v>3271</v>
      </c>
      <c r="D235" s="1" t="s">
        <v>3272</v>
      </c>
      <c r="E235" s="1" t="s">
        <v>3273</v>
      </c>
      <c r="F235" s="1" t="s">
        <v>112</v>
      </c>
      <c r="G235" s="1">
        <v>526082</v>
      </c>
    </row>
    <row r="236" spans="1:7" x14ac:dyDescent="0.3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3274</v>
      </c>
      <c r="D236" s="1" t="s">
        <v>3275</v>
      </c>
      <c r="E236" s="1" t="s">
        <v>3276</v>
      </c>
      <c r="F236" s="1" t="s">
        <v>112</v>
      </c>
      <c r="G236" s="1">
        <v>674918</v>
      </c>
    </row>
    <row r="237" spans="1:7" x14ac:dyDescent="0.3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7" s="1" t="s">
        <v>3277</v>
      </c>
    </row>
    <row r="238" spans="1:7" x14ac:dyDescent="0.3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8" s="1" t="s">
        <v>3278</v>
      </c>
    </row>
    <row r="239" spans="1:7" x14ac:dyDescent="0.3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3279</v>
      </c>
    </row>
    <row r="240" spans="1:7" x14ac:dyDescent="0.3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0" s="1" t="s">
        <v>3280</v>
      </c>
      <c r="D240" s="1" t="s">
        <v>3281</v>
      </c>
      <c r="E240" s="1" t="s">
        <v>3282</v>
      </c>
      <c r="F240" s="1" t="s">
        <v>112</v>
      </c>
      <c r="G240" s="1">
        <v>1844879</v>
      </c>
    </row>
    <row r="241" spans="1:8" x14ac:dyDescent="0.3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1" s="1" t="s">
        <v>3283</v>
      </c>
    </row>
    <row r="242" spans="1:8" x14ac:dyDescent="0.3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3284</v>
      </c>
      <c r="D242" s="1" t="s">
        <v>3285</v>
      </c>
      <c r="E242" s="1" t="s">
        <v>3286</v>
      </c>
      <c r="F242" s="1" t="s">
        <v>112</v>
      </c>
      <c r="G242" s="1">
        <v>924267</v>
      </c>
    </row>
    <row r="243" spans="1:8" x14ac:dyDescent="0.3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3" s="1" t="s">
        <v>3287</v>
      </c>
      <c r="D243" s="1" t="s">
        <v>3288</v>
      </c>
      <c r="E243" s="1" t="s">
        <v>3289</v>
      </c>
      <c r="F243" s="1" t="s">
        <v>112</v>
      </c>
      <c r="G243" s="1">
        <v>608319</v>
      </c>
    </row>
    <row r="244" spans="1:8" x14ac:dyDescent="0.3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4" s="1" t="s">
        <v>3290</v>
      </c>
      <c r="D244" s="1" t="s">
        <v>3291</v>
      </c>
      <c r="E244" s="1" t="s">
        <v>3292</v>
      </c>
      <c r="F244" s="1" t="s">
        <v>112</v>
      </c>
      <c r="G244" s="1">
        <v>1478576</v>
      </c>
    </row>
    <row r="245" spans="1:8" x14ac:dyDescent="0.3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3293</v>
      </c>
      <c r="D245" s="1" t="s">
        <v>286</v>
      </c>
      <c r="E245" s="1" t="s">
        <v>3294</v>
      </c>
      <c r="F245" s="1" t="s">
        <v>112</v>
      </c>
      <c r="G245" s="1">
        <v>483039</v>
      </c>
    </row>
    <row r="246" spans="1:8" x14ac:dyDescent="0.3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6" s="1" t="s">
        <v>3295</v>
      </c>
      <c r="D246" s="1" t="s">
        <v>3296</v>
      </c>
      <c r="E246" s="1" t="s">
        <v>3297</v>
      </c>
      <c r="F246" s="1" t="s">
        <v>112</v>
      </c>
      <c r="G246" s="1">
        <v>1677096</v>
      </c>
    </row>
    <row r="247" spans="1:8" x14ac:dyDescent="0.3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7" s="1" t="s">
        <v>3298</v>
      </c>
      <c r="D247" s="1" t="s">
        <v>3299</v>
      </c>
      <c r="E247" s="1" t="s">
        <v>3300</v>
      </c>
      <c r="F247" s="1" t="s">
        <v>112</v>
      </c>
      <c r="G247" s="1">
        <v>1888398</v>
      </c>
    </row>
    <row r="248" spans="1:8" x14ac:dyDescent="0.3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3301</v>
      </c>
      <c r="D248" s="1" t="s">
        <v>3302</v>
      </c>
      <c r="E248" s="1" t="s">
        <v>3303</v>
      </c>
      <c r="F248" s="1" t="s">
        <v>112</v>
      </c>
      <c r="G248" s="1">
        <v>1665718</v>
      </c>
    </row>
    <row r="249" spans="1:8" x14ac:dyDescent="0.3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49" s="1" t="s">
        <v>3304</v>
      </c>
      <c r="D249" s="1" t="s">
        <v>3305</v>
      </c>
      <c r="E249" s="1" t="s">
        <v>3306</v>
      </c>
      <c r="F249" s="1" t="s">
        <v>112</v>
      </c>
      <c r="G249" s="1">
        <v>856933</v>
      </c>
    </row>
    <row r="250" spans="1:8" x14ac:dyDescent="0.3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0" s="1" t="s">
        <v>3307</v>
      </c>
      <c r="D250" s="1" t="s">
        <v>3308</v>
      </c>
      <c r="E250" s="1" t="s">
        <v>3309</v>
      </c>
      <c r="F250" s="1" t="s">
        <v>112</v>
      </c>
      <c r="G250" s="1">
        <v>794985</v>
      </c>
    </row>
    <row r="251" spans="1:8" x14ac:dyDescent="0.3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3310</v>
      </c>
      <c r="D251" s="1" t="s">
        <v>289</v>
      </c>
      <c r="E251" s="1" t="s">
        <v>3311</v>
      </c>
      <c r="F251" s="1" t="s">
        <v>112</v>
      </c>
      <c r="G251" s="1">
        <v>745712</v>
      </c>
    </row>
    <row r="252" spans="1:8" x14ac:dyDescent="0.3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2" s="1" t="s">
        <v>3312</v>
      </c>
      <c r="D252" s="1" t="s">
        <v>3313</v>
      </c>
      <c r="E252" s="1" t="s">
        <v>3314</v>
      </c>
      <c r="F252" s="1" t="s">
        <v>112</v>
      </c>
      <c r="G252" s="1">
        <v>881397</v>
      </c>
    </row>
    <row r="253" spans="1:8" x14ac:dyDescent="0.3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3" s="1" t="s">
        <v>3315</v>
      </c>
      <c r="D253" s="1" t="s">
        <v>3316</v>
      </c>
      <c r="E253" s="1" t="s">
        <v>3317</v>
      </c>
      <c r="F253" s="1" t="s">
        <v>112</v>
      </c>
      <c r="G253" s="1">
        <v>534150</v>
      </c>
    </row>
    <row r="254" spans="1:8" x14ac:dyDescent="0.3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3318</v>
      </c>
      <c r="D254" s="1" t="s">
        <v>3319</v>
      </c>
      <c r="E254" s="1" t="s">
        <v>3320</v>
      </c>
      <c r="F254" s="1" t="s">
        <v>112</v>
      </c>
      <c r="G254" s="1">
        <v>973994</v>
      </c>
    </row>
    <row r="255" spans="1:8" x14ac:dyDescent="0.35">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5" s="1" t="s">
        <v>112</v>
      </c>
    </row>
    <row r="256" spans="1:8" x14ac:dyDescent="0.35">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6" s="1" t="s">
        <v>233</v>
      </c>
      <c r="D256" s="1" t="s">
        <v>112</v>
      </c>
      <c r="E256" s="1" t="s">
        <v>234</v>
      </c>
      <c r="F256" s="1" t="s">
        <v>235</v>
      </c>
      <c r="G256" s="1" t="s">
        <v>236</v>
      </c>
      <c r="H256" s="1" t="s">
        <v>1623</v>
      </c>
    </row>
    <row r="257" spans="1:8" x14ac:dyDescent="0.35">
      <c r="A257" s="1" t="str">
        <f t="shared" si="3"/>
        <v>4</v>
      </c>
      <c r="B2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7" s="1" t="s">
        <v>3321</v>
      </c>
      <c r="D257" s="1" t="s">
        <v>112</v>
      </c>
      <c r="E257" s="1" t="s">
        <v>3322</v>
      </c>
      <c r="F257" s="1" t="s">
        <v>3323</v>
      </c>
      <c r="G257" s="1" t="s">
        <v>3324</v>
      </c>
      <c r="H257" s="1" t="s">
        <v>3325</v>
      </c>
    </row>
    <row r="258" spans="1:8"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112</v>
      </c>
    </row>
    <row r="259" spans="1:8"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9" s="1" t="s">
        <v>112</v>
      </c>
    </row>
    <row r="260" spans="1:8"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8"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8"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8"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166</v>
      </c>
      <c r="D263" s="1" t="s">
        <v>110</v>
      </c>
      <c r="E263" s="1" t="s">
        <v>111</v>
      </c>
      <c r="F263" s="1" t="s">
        <v>112</v>
      </c>
      <c r="G263" s="1" t="s">
        <v>113</v>
      </c>
    </row>
    <row r="264" spans="1:8" x14ac:dyDescent="0.35">
      <c r="A264" s="1" t="str">
        <f t="shared" si="4"/>
        <v>5</v>
      </c>
      <c r="B2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4" s="1" t="s">
        <v>3326</v>
      </c>
      <c r="D264" s="1" t="s">
        <v>3327</v>
      </c>
      <c r="E264" s="1" t="s">
        <v>3328</v>
      </c>
      <c r="F264" s="1" t="s">
        <v>112</v>
      </c>
      <c r="G264" s="1">
        <v>1511670</v>
      </c>
    </row>
    <row r="265" spans="1:8" x14ac:dyDescent="0.35">
      <c r="A265" s="1" t="str">
        <f t="shared" si="4"/>
        <v>5</v>
      </c>
      <c r="B2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5" s="1" t="s">
        <v>3329</v>
      </c>
      <c r="D265" s="1" t="s">
        <v>3330</v>
      </c>
      <c r="E265" s="1" t="s">
        <v>3331</v>
      </c>
      <c r="F265" s="1" t="s">
        <v>112</v>
      </c>
      <c r="G265" s="1">
        <v>1635674</v>
      </c>
    </row>
    <row r="266" spans="1:8" x14ac:dyDescent="0.35">
      <c r="A266" s="1" t="str">
        <f t="shared" si="4"/>
        <v>5</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3332</v>
      </c>
      <c r="D266" s="1" t="s">
        <v>3333</v>
      </c>
      <c r="E266" s="1" t="s">
        <v>3334</v>
      </c>
      <c r="F266" s="1" t="s">
        <v>112</v>
      </c>
      <c r="G266" s="1">
        <v>1808973</v>
      </c>
    </row>
    <row r="267" spans="1:8" x14ac:dyDescent="0.3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7" s="1" t="s">
        <v>3335</v>
      </c>
      <c r="D267" s="1" t="s">
        <v>3336</v>
      </c>
      <c r="E267" s="1" t="s">
        <v>3337</v>
      </c>
      <c r="F267" s="1" t="s">
        <v>112</v>
      </c>
      <c r="G267" s="1">
        <v>2433861</v>
      </c>
    </row>
    <row r="268" spans="1:8" x14ac:dyDescent="0.3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8" s="1" t="s">
        <v>3338</v>
      </c>
      <c r="D268" s="1" t="s">
        <v>3339</v>
      </c>
      <c r="E268" s="1" t="s">
        <v>3340</v>
      </c>
      <c r="F268" s="1" t="s">
        <v>112</v>
      </c>
      <c r="G268" s="1">
        <v>2663765</v>
      </c>
    </row>
    <row r="269" spans="1:8" x14ac:dyDescent="0.3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3341</v>
      </c>
      <c r="D269" s="1" t="s">
        <v>3342</v>
      </c>
      <c r="E269" s="1" t="s">
        <v>3343</v>
      </c>
      <c r="F269" s="1" t="s">
        <v>112</v>
      </c>
      <c r="G269" s="1">
        <v>2754827</v>
      </c>
    </row>
    <row r="270" spans="1:8" x14ac:dyDescent="0.3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0" s="1" t="s">
        <v>3344</v>
      </c>
      <c r="D270" s="1" t="s">
        <v>3345</v>
      </c>
      <c r="E270" s="1" t="s">
        <v>3346</v>
      </c>
      <c r="F270" s="1" t="s">
        <v>112</v>
      </c>
      <c r="G270" s="1">
        <v>1981298</v>
      </c>
    </row>
    <row r="271" spans="1:8" x14ac:dyDescent="0.3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1" s="1" t="s">
        <v>3347</v>
      </c>
      <c r="D271" s="1" t="s">
        <v>3348</v>
      </c>
      <c r="E271" s="1" t="s">
        <v>3349</v>
      </c>
      <c r="F271" s="1" t="s">
        <v>112</v>
      </c>
      <c r="G271" s="1">
        <v>2096975</v>
      </c>
    </row>
    <row r="272" spans="1:8" x14ac:dyDescent="0.3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3350</v>
      </c>
      <c r="D272" s="1" t="s">
        <v>3351</v>
      </c>
      <c r="E272" s="1" t="s">
        <v>3352</v>
      </c>
      <c r="F272" s="1" t="s">
        <v>112</v>
      </c>
      <c r="G272" s="1">
        <v>1909703</v>
      </c>
    </row>
    <row r="273" spans="1:7" x14ac:dyDescent="0.3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3" s="1" t="s">
        <v>3353</v>
      </c>
      <c r="D273" s="1" t="s">
        <v>3354</v>
      </c>
      <c r="E273" s="1" t="s">
        <v>3355</v>
      </c>
      <c r="F273" s="1" t="s">
        <v>112</v>
      </c>
      <c r="G273" s="1">
        <v>2094877</v>
      </c>
    </row>
    <row r="274" spans="1:7" x14ac:dyDescent="0.3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4" s="1" t="s">
        <v>3356</v>
      </c>
      <c r="D274" s="1" t="s">
        <v>3357</v>
      </c>
      <c r="E274" s="1" t="s">
        <v>3358</v>
      </c>
      <c r="F274" s="1" t="s">
        <v>112</v>
      </c>
      <c r="G274" s="1">
        <v>1818815</v>
      </c>
    </row>
    <row r="275" spans="1:7" x14ac:dyDescent="0.3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3359</v>
      </c>
      <c r="D275" s="1" t="s">
        <v>3360</v>
      </c>
      <c r="E275" s="1" t="s">
        <v>3361</v>
      </c>
      <c r="F275" s="1" t="s">
        <v>112</v>
      </c>
      <c r="G275" s="1">
        <v>2106579</v>
      </c>
    </row>
    <row r="276" spans="1:7" x14ac:dyDescent="0.3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6" s="1" t="s">
        <v>3362</v>
      </c>
      <c r="D276" s="1" t="s">
        <v>3363</v>
      </c>
      <c r="E276" s="1" t="s">
        <v>3364</v>
      </c>
      <c r="F276" s="1" t="s">
        <v>112</v>
      </c>
      <c r="G276" s="1">
        <v>2407104</v>
      </c>
    </row>
    <row r="277" spans="1:7" x14ac:dyDescent="0.3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7" s="1" t="s">
        <v>3365</v>
      </c>
      <c r="D277" s="1" t="s">
        <v>3366</v>
      </c>
      <c r="E277" s="1" t="s">
        <v>3367</v>
      </c>
      <c r="F277" s="1" t="s">
        <v>112</v>
      </c>
      <c r="G277" s="1">
        <v>1785137</v>
      </c>
    </row>
    <row r="278" spans="1:7" x14ac:dyDescent="0.3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3368</v>
      </c>
      <c r="D278" s="1" t="s">
        <v>3369</v>
      </c>
      <c r="E278" s="1" t="s">
        <v>3370</v>
      </c>
      <c r="F278" s="1" t="s">
        <v>112</v>
      </c>
      <c r="G278" s="1">
        <v>1524951</v>
      </c>
    </row>
    <row r="279" spans="1:7" x14ac:dyDescent="0.3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9" s="1" t="s">
        <v>3371</v>
      </c>
    </row>
    <row r="280" spans="1:7" x14ac:dyDescent="0.3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0" s="1" t="s">
        <v>3372</v>
      </c>
    </row>
    <row r="281" spans="1:7" x14ac:dyDescent="0.3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3373</v>
      </c>
    </row>
    <row r="282" spans="1:7" x14ac:dyDescent="0.3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2" s="1" t="s">
        <v>3374</v>
      </c>
      <c r="D282" s="1" t="s">
        <v>3375</v>
      </c>
      <c r="E282" s="1" t="s">
        <v>3376</v>
      </c>
      <c r="F282" s="1" t="s">
        <v>112</v>
      </c>
      <c r="G282" s="1">
        <v>2693506</v>
      </c>
    </row>
    <row r="283" spans="1:7" x14ac:dyDescent="0.3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3" s="1" t="s">
        <v>3377</v>
      </c>
      <c r="D283" s="1" t="s">
        <v>3378</v>
      </c>
      <c r="E283" s="1" t="s">
        <v>3379</v>
      </c>
      <c r="F283" s="1" t="s">
        <v>112</v>
      </c>
      <c r="G283" s="1">
        <v>3009519</v>
      </c>
    </row>
    <row r="284" spans="1:7" x14ac:dyDescent="0.3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3380</v>
      </c>
      <c r="D284" s="1" t="s">
        <v>3381</v>
      </c>
      <c r="E284" s="1" t="s">
        <v>3382</v>
      </c>
      <c r="F284" s="1" t="s">
        <v>112</v>
      </c>
      <c r="G284" s="1">
        <v>2968119</v>
      </c>
    </row>
    <row r="285" spans="1:7" x14ac:dyDescent="0.3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5" s="1" t="s">
        <v>3383</v>
      </c>
      <c r="D285" s="1" t="s">
        <v>3384</v>
      </c>
      <c r="E285" s="1" t="s">
        <v>3385</v>
      </c>
      <c r="F285" s="1" t="s">
        <v>112</v>
      </c>
      <c r="G285" s="1">
        <v>1370643</v>
      </c>
    </row>
    <row r="286" spans="1:7" x14ac:dyDescent="0.3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6" s="1" t="s">
        <v>3386</v>
      </c>
      <c r="D286" s="1" t="s">
        <v>3387</v>
      </c>
      <c r="E286" s="1" t="s">
        <v>3388</v>
      </c>
      <c r="F286" s="1" t="s">
        <v>112</v>
      </c>
      <c r="G286" s="1">
        <v>662978</v>
      </c>
    </row>
    <row r="287" spans="1:7" x14ac:dyDescent="0.3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3389</v>
      </c>
      <c r="D287" s="1" t="s">
        <v>3390</v>
      </c>
      <c r="E287" s="1" t="s">
        <v>3391</v>
      </c>
      <c r="F287" s="1" t="s">
        <v>112</v>
      </c>
      <c r="G287" s="1">
        <v>1272487</v>
      </c>
    </row>
    <row r="288" spans="1:7"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8" s="1" t="s">
        <v>112</v>
      </c>
    </row>
    <row r="289" spans="1:8"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9" s="1" t="s">
        <v>233</v>
      </c>
      <c r="D289" s="1" t="s">
        <v>112</v>
      </c>
      <c r="E289" s="1" t="s">
        <v>234</v>
      </c>
      <c r="F289" s="1" t="s">
        <v>235</v>
      </c>
      <c r="G289" s="1" t="s">
        <v>236</v>
      </c>
      <c r="H289" s="1" t="s">
        <v>1623</v>
      </c>
    </row>
    <row r="290" spans="1:8" x14ac:dyDescent="0.35">
      <c r="A290" s="1" t="str">
        <f t="shared" si="4"/>
        <v>5</v>
      </c>
      <c r="B2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0" s="1" t="s">
        <v>3392</v>
      </c>
      <c r="D290" s="1" t="s">
        <v>112</v>
      </c>
      <c r="E290" s="1" t="s">
        <v>3393</v>
      </c>
      <c r="F290" s="1" t="s">
        <v>3394</v>
      </c>
      <c r="G290" s="1" t="s">
        <v>3395</v>
      </c>
      <c r="H290" s="1" t="s">
        <v>3396</v>
      </c>
    </row>
    <row r="291" spans="1:8"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112</v>
      </c>
    </row>
    <row r="292" spans="1:8"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2" s="1" t="s">
        <v>112</v>
      </c>
    </row>
    <row r="293" spans="1:8"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8"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8"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8"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166</v>
      </c>
      <c r="D296" s="1" t="s">
        <v>110</v>
      </c>
      <c r="E296" s="1" t="s">
        <v>111</v>
      </c>
      <c r="F296" s="1" t="s">
        <v>112</v>
      </c>
      <c r="G296" s="1" t="s">
        <v>113</v>
      </c>
    </row>
    <row r="297" spans="1:8" x14ac:dyDescent="0.35">
      <c r="A297" s="1" t="str">
        <f t="shared" si="4"/>
        <v>6</v>
      </c>
      <c r="B2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7" s="1" t="s">
        <v>3397</v>
      </c>
      <c r="D297" s="1" t="s">
        <v>3398</v>
      </c>
      <c r="E297" s="1" t="s">
        <v>3399</v>
      </c>
      <c r="F297" s="1" t="s">
        <v>112</v>
      </c>
      <c r="G297" s="1">
        <v>3484619</v>
      </c>
    </row>
    <row r="298" spans="1:8" x14ac:dyDescent="0.35">
      <c r="A298" s="1" t="str">
        <f t="shared" si="4"/>
        <v>6</v>
      </c>
      <c r="B2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8" s="1" t="s">
        <v>3400</v>
      </c>
      <c r="D298" s="1" t="s">
        <v>3401</v>
      </c>
      <c r="E298" s="1" t="s">
        <v>3402</v>
      </c>
      <c r="F298" s="1" t="s">
        <v>112</v>
      </c>
      <c r="G298" s="1">
        <v>4037458</v>
      </c>
    </row>
    <row r="299" spans="1:8" x14ac:dyDescent="0.35">
      <c r="A299" s="1" t="str">
        <f t="shared" si="4"/>
        <v>6</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3403</v>
      </c>
      <c r="D299" s="1" t="s">
        <v>3404</v>
      </c>
      <c r="E299" s="1" t="s">
        <v>3405</v>
      </c>
      <c r="F299" s="1" t="s">
        <v>112</v>
      </c>
      <c r="G299" s="1">
        <v>3689519</v>
      </c>
    </row>
    <row r="300" spans="1:8" x14ac:dyDescent="0.3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0" s="1" t="s">
        <v>3406</v>
      </c>
      <c r="D300" s="1" t="s">
        <v>1747</v>
      </c>
      <c r="E300" s="1" t="s">
        <v>3407</v>
      </c>
      <c r="F300" s="1" t="s">
        <v>112</v>
      </c>
      <c r="G300" s="1">
        <v>2166234</v>
      </c>
    </row>
    <row r="301" spans="1:8" x14ac:dyDescent="0.3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1" s="1" t="s">
        <v>3408</v>
      </c>
      <c r="D301" s="1" t="s">
        <v>3409</v>
      </c>
      <c r="E301" s="1" t="s">
        <v>3410</v>
      </c>
      <c r="F301" s="1" t="s">
        <v>112</v>
      </c>
      <c r="G301" s="1">
        <v>2034703</v>
      </c>
    </row>
    <row r="302" spans="1:8" x14ac:dyDescent="0.3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3411</v>
      </c>
    </row>
    <row r="303" spans="1:8" x14ac:dyDescent="0.3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3" s="1" t="s">
        <v>3412</v>
      </c>
      <c r="D303" s="1" t="s">
        <v>3413</v>
      </c>
      <c r="E303" s="1" t="s">
        <v>3414</v>
      </c>
      <c r="F303" s="1" t="s">
        <v>112</v>
      </c>
      <c r="G303" s="1">
        <v>2352511</v>
      </c>
    </row>
    <row r="304" spans="1:8" x14ac:dyDescent="0.3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4" s="1" t="s">
        <v>3415</v>
      </c>
      <c r="D304" s="1" t="s">
        <v>3416</v>
      </c>
      <c r="E304" s="1" t="s">
        <v>3417</v>
      </c>
      <c r="F304" s="1" t="s">
        <v>112</v>
      </c>
      <c r="G304" s="1">
        <v>2468750</v>
      </c>
    </row>
    <row r="305" spans="1:7" x14ac:dyDescent="0.3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3418</v>
      </c>
      <c r="D305" s="1" t="s">
        <v>3419</v>
      </c>
      <c r="E305" s="1" t="s">
        <v>3420</v>
      </c>
      <c r="F305" s="1" t="s">
        <v>112</v>
      </c>
      <c r="G305" s="1">
        <v>2290260</v>
      </c>
    </row>
    <row r="306" spans="1:7" x14ac:dyDescent="0.3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6" s="1" t="s">
        <v>3421</v>
      </c>
    </row>
    <row r="307" spans="1:7" x14ac:dyDescent="0.3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7" s="1" t="s">
        <v>3422</v>
      </c>
    </row>
    <row r="308" spans="1:7" x14ac:dyDescent="0.3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3423</v>
      </c>
    </row>
    <row r="309" spans="1:7" x14ac:dyDescent="0.3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9" s="1" t="s">
        <v>3424</v>
      </c>
      <c r="D309" s="1" t="s">
        <v>3425</v>
      </c>
      <c r="E309" s="1" t="s">
        <v>3426</v>
      </c>
      <c r="F309" s="1" t="s">
        <v>112</v>
      </c>
      <c r="G309" s="1">
        <v>4302878</v>
      </c>
    </row>
    <row r="310" spans="1:7" x14ac:dyDescent="0.3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0" s="1" t="s">
        <v>3427</v>
      </c>
      <c r="D310" s="1" t="s">
        <v>3428</v>
      </c>
      <c r="E310" s="1" t="s">
        <v>3429</v>
      </c>
      <c r="F310" s="1" t="s">
        <v>112</v>
      </c>
      <c r="G310" s="1">
        <v>3801324</v>
      </c>
    </row>
    <row r="311" spans="1:7" x14ac:dyDescent="0.3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3430</v>
      </c>
      <c r="D311" s="1" t="s">
        <v>3431</v>
      </c>
      <c r="E311" s="1" t="s">
        <v>3432</v>
      </c>
      <c r="F311" s="1" t="s">
        <v>112</v>
      </c>
      <c r="G311" s="1">
        <v>4475420</v>
      </c>
    </row>
    <row r="312" spans="1:7" x14ac:dyDescent="0.3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2" s="1" t="s">
        <v>3433</v>
      </c>
      <c r="D312" s="1" t="s">
        <v>3434</v>
      </c>
      <c r="E312" s="1" t="s">
        <v>3435</v>
      </c>
      <c r="F312" s="1" t="s">
        <v>112</v>
      </c>
      <c r="G312" s="1">
        <v>3404459</v>
      </c>
    </row>
    <row r="313" spans="1:7" x14ac:dyDescent="0.3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3" s="1" t="s">
        <v>3436</v>
      </c>
      <c r="D313" s="1" t="s">
        <v>2272</v>
      </c>
      <c r="E313" s="1" t="s">
        <v>3437</v>
      </c>
      <c r="F313" s="1" t="s">
        <v>112</v>
      </c>
      <c r="G313" s="1">
        <v>3198953</v>
      </c>
    </row>
    <row r="314" spans="1:7" x14ac:dyDescent="0.3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3438</v>
      </c>
      <c r="D314" s="1" t="s">
        <v>3439</v>
      </c>
      <c r="E314" s="1" t="s">
        <v>3440</v>
      </c>
      <c r="F314" s="1" t="s">
        <v>112</v>
      </c>
      <c r="G314" s="1">
        <v>3379217</v>
      </c>
    </row>
    <row r="315" spans="1:7" x14ac:dyDescent="0.3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5" s="1" t="s">
        <v>3441</v>
      </c>
      <c r="D315" s="1" t="s">
        <v>3442</v>
      </c>
      <c r="E315" s="1" t="s">
        <v>3443</v>
      </c>
      <c r="F315" s="1" t="s">
        <v>112</v>
      </c>
      <c r="G315" s="1">
        <v>2991436</v>
      </c>
    </row>
    <row r="316" spans="1:7" x14ac:dyDescent="0.3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6" s="1" t="s">
        <v>3444</v>
      </c>
      <c r="D316" s="1" t="s">
        <v>3445</v>
      </c>
      <c r="E316" s="1" t="s">
        <v>3446</v>
      </c>
      <c r="F316" s="1" t="s">
        <v>112</v>
      </c>
      <c r="G316" s="1">
        <v>2960311</v>
      </c>
    </row>
    <row r="317" spans="1:7" x14ac:dyDescent="0.3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3447</v>
      </c>
      <c r="D317" s="1" t="s">
        <v>3448</v>
      </c>
      <c r="E317" s="1" t="s">
        <v>3449</v>
      </c>
      <c r="F317" s="1" t="s">
        <v>112</v>
      </c>
      <c r="G317" s="1">
        <v>3252920</v>
      </c>
    </row>
    <row r="318" spans="1:7" x14ac:dyDescent="0.3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8" s="1" t="s">
        <v>3450</v>
      </c>
      <c r="D318" s="1" t="s">
        <v>3451</v>
      </c>
      <c r="E318" s="1" t="s">
        <v>3452</v>
      </c>
      <c r="F318" s="1" t="s">
        <v>112</v>
      </c>
      <c r="G318" s="1">
        <v>3107978</v>
      </c>
    </row>
    <row r="319" spans="1:7" x14ac:dyDescent="0.3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9" s="1" t="s">
        <v>3453</v>
      </c>
      <c r="D319" s="1" t="s">
        <v>3454</v>
      </c>
      <c r="E319" s="1" t="s">
        <v>3455</v>
      </c>
      <c r="F319" s="1" t="s">
        <v>112</v>
      </c>
      <c r="G319" s="1">
        <v>3031992</v>
      </c>
    </row>
    <row r="320" spans="1:7" x14ac:dyDescent="0.3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3456</v>
      </c>
      <c r="D320" s="1" t="s">
        <v>3457</v>
      </c>
      <c r="E320" s="1" t="s">
        <v>3458</v>
      </c>
      <c r="F320" s="1" t="s">
        <v>112</v>
      </c>
      <c r="G320" s="1">
        <v>3198672</v>
      </c>
    </row>
    <row r="321" spans="1:8" x14ac:dyDescent="0.35">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1" s="1" t="s">
        <v>112</v>
      </c>
    </row>
    <row r="322" spans="1:8"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2" s="1" t="s">
        <v>233</v>
      </c>
      <c r="D322" s="1" t="s">
        <v>112</v>
      </c>
      <c r="E322" s="1" t="s">
        <v>234</v>
      </c>
      <c r="F322" s="1" t="s">
        <v>235</v>
      </c>
      <c r="G322" s="1" t="s">
        <v>236</v>
      </c>
      <c r="H322" s="1" t="s">
        <v>1623</v>
      </c>
    </row>
    <row r="323" spans="1:8" x14ac:dyDescent="0.35">
      <c r="A323" s="1" t="str">
        <f t="shared" si="5"/>
        <v>6</v>
      </c>
      <c r="B3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3" s="1" t="s">
        <v>3459</v>
      </c>
      <c r="D323" s="1" t="s">
        <v>112</v>
      </c>
      <c r="E323" s="1" t="s">
        <v>3460</v>
      </c>
      <c r="F323" s="1" t="s">
        <v>3461</v>
      </c>
      <c r="G323" s="1" t="s">
        <v>3462</v>
      </c>
      <c r="H323" s="1" t="s">
        <v>3463</v>
      </c>
    </row>
    <row r="324" spans="1:8"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112</v>
      </c>
    </row>
    <row r="325" spans="1:8"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s="1" t="s">
        <v>112</v>
      </c>
    </row>
    <row r="326" spans="1:8"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8"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8"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8"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166</v>
      </c>
      <c r="D329" s="1" t="s">
        <v>110</v>
      </c>
      <c r="E329" s="1" t="s">
        <v>111</v>
      </c>
      <c r="F329" s="1" t="s">
        <v>112</v>
      </c>
      <c r="G329" s="1" t="s">
        <v>113</v>
      </c>
    </row>
    <row r="330" spans="1:8" x14ac:dyDescent="0.35">
      <c r="A330" s="1" t="str">
        <f t="shared" si="5"/>
        <v>7</v>
      </c>
      <c r="B3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0" s="1" t="s">
        <v>3464</v>
      </c>
      <c r="D330" s="1" t="s">
        <v>3465</v>
      </c>
      <c r="E330" s="1" t="s">
        <v>3466</v>
      </c>
      <c r="F330" s="1" t="s">
        <v>112</v>
      </c>
      <c r="G330" s="1">
        <v>2565370</v>
      </c>
    </row>
    <row r="331" spans="1:8" x14ac:dyDescent="0.35">
      <c r="A331" s="1" t="str">
        <f t="shared" si="5"/>
        <v>7</v>
      </c>
      <c r="B3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1" s="1" t="s">
        <v>3467</v>
      </c>
      <c r="D331" s="1" t="s">
        <v>3468</v>
      </c>
      <c r="E331" s="1" t="s">
        <v>3469</v>
      </c>
      <c r="F331" s="1" t="s">
        <v>112</v>
      </c>
      <c r="G331" s="1">
        <v>2970953</v>
      </c>
    </row>
    <row r="332" spans="1:8" x14ac:dyDescent="0.35">
      <c r="A332" s="1" t="str">
        <f t="shared" si="5"/>
        <v>7</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3470</v>
      </c>
      <c r="D332" s="1" t="s">
        <v>3375</v>
      </c>
      <c r="E332" s="1" t="s">
        <v>3471</v>
      </c>
      <c r="F332" s="1" t="s">
        <v>112</v>
      </c>
      <c r="G332" s="1">
        <v>2781453</v>
      </c>
    </row>
    <row r="333" spans="1:8" x14ac:dyDescent="0.3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3" s="1" t="s">
        <v>3472</v>
      </c>
      <c r="D333" s="1" t="s">
        <v>3473</v>
      </c>
      <c r="E333" s="1" t="s">
        <v>3474</v>
      </c>
      <c r="F333" s="1" t="s">
        <v>112</v>
      </c>
      <c r="G333" s="1">
        <v>2094769</v>
      </c>
    </row>
    <row r="334" spans="1:8" x14ac:dyDescent="0.3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4" s="1" t="s">
        <v>3475</v>
      </c>
      <c r="D334" s="1" t="s">
        <v>3476</v>
      </c>
      <c r="E334" s="1" t="s">
        <v>3477</v>
      </c>
      <c r="F334" s="1" t="s">
        <v>112</v>
      </c>
      <c r="G334" s="1">
        <v>1988350</v>
      </c>
    </row>
    <row r="335" spans="1:8" x14ac:dyDescent="0.3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3478</v>
      </c>
      <c r="D335" s="1" t="s">
        <v>3479</v>
      </c>
      <c r="E335" s="1" t="s">
        <v>3480</v>
      </c>
      <c r="F335" s="1" t="s">
        <v>112</v>
      </c>
      <c r="G335" s="1">
        <v>2049238</v>
      </c>
    </row>
    <row r="336" spans="1:8" x14ac:dyDescent="0.3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6" s="1" t="s">
        <v>3481</v>
      </c>
      <c r="D336" s="1" t="s">
        <v>3482</v>
      </c>
      <c r="E336" s="1" t="s">
        <v>3483</v>
      </c>
      <c r="F336" s="1" t="s">
        <v>112</v>
      </c>
      <c r="G336" s="1">
        <v>4273051</v>
      </c>
    </row>
    <row r="337" spans="1:7" x14ac:dyDescent="0.3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7" s="1" t="s">
        <v>3484</v>
      </c>
      <c r="D337" s="1" t="s">
        <v>3485</v>
      </c>
      <c r="E337" s="1" t="s">
        <v>3486</v>
      </c>
      <c r="F337" s="1" t="s">
        <v>112</v>
      </c>
      <c r="G337" s="1">
        <v>4840381</v>
      </c>
    </row>
    <row r="338" spans="1:7" x14ac:dyDescent="0.3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3487</v>
      </c>
      <c r="D338" s="1" t="s">
        <v>3488</v>
      </c>
      <c r="E338" s="1" t="s">
        <v>3489</v>
      </c>
      <c r="F338" s="1" t="s">
        <v>112</v>
      </c>
      <c r="G338" s="1">
        <v>4485694</v>
      </c>
    </row>
    <row r="339" spans="1:7" x14ac:dyDescent="0.3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39" s="1" t="s">
        <v>3490</v>
      </c>
      <c r="D339" s="1" t="s">
        <v>3491</v>
      </c>
      <c r="E339" s="1" t="s">
        <v>3492</v>
      </c>
      <c r="F339" s="1" t="s">
        <v>112</v>
      </c>
      <c r="G339" s="1">
        <v>3633498</v>
      </c>
    </row>
    <row r="340" spans="1:7" x14ac:dyDescent="0.3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0" s="1" t="s">
        <v>3493</v>
      </c>
      <c r="D340" s="1" t="s">
        <v>3494</v>
      </c>
      <c r="E340" s="1" t="s">
        <v>3495</v>
      </c>
      <c r="F340" s="1" t="s">
        <v>112</v>
      </c>
      <c r="G340" s="1">
        <v>3389275</v>
      </c>
    </row>
    <row r="341" spans="1:7" x14ac:dyDescent="0.3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3496</v>
      </c>
      <c r="D341" s="1" t="s">
        <v>3497</v>
      </c>
      <c r="E341" s="1" t="s">
        <v>3498</v>
      </c>
      <c r="F341" s="1" t="s">
        <v>112</v>
      </c>
      <c r="G341" s="1">
        <v>3939301</v>
      </c>
    </row>
    <row r="342" spans="1:7" x14ac:dyDescent="0.3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2" s="1" t="s">
        <v>3499</v>
      </c>
      <c r="D342" s="1" t="s">
        <v>3500</v>
      </c>
      <c r="E342" s="1" t="s">
        <v>3501</v>
      </c>
      <c r="F342" s="1" t="s">
        <v>112</v>
      </c>
      <c r="G342" s="1">
        <v>4832335</v>
      </c>
    </row>
    <row r="343" spans="1:7" x14ac:dyDescent="0.3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3" s="1" t="s">
        <v>3502</v>
      </c>
      <c r="D343" s="1" t="s">
        <v>3503</v>
      </c>
      <c r="E343" s="1" t="s">
        <v>3504</v>
      </c>
      <c r="F343" s="1" t="s">
        <v>112</v>
      </c>
      <c r="G343" s="1">
        <v>4708093</v>
      </c>
    </row>
    <row r="344" spans="1:7" x14ac:dyDescent="0.3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3505</v>
      </c>
      <c r="D344" s="1" t="s">
        <v>3506</v>
      </c>
      <c r="E344" s="1" t="s">
        <v>3507</v>
      </c>
      <c r="F344" s="1" t="s">
        <v>112</v>
      </c>
      <c r="G344" s="1">
        <v>5264111</v>
      </c>
    </row>
    <row r="345" spans="1:7" x14ac:dyDescent="0.3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5" s="1" t="s">
        <v>3508</v>
      </c>
      <c r="D345" s="1" t="s">
        <v>3509</v>
      </c>
      <c r="E345" s="1" t="s">
        <v>3510</v>
      </c>
      <c r="F345" s="1" t="s">
        <v>112</v>
      </c>
      <c r="G345" s="1">
        <v>4449399</v>
      </c>
    </row>
    <row r="346" spans="1:7" x14ac:dyDescent="0.3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6" s="1" t="s">
        <v>3511</v>
      </c>
      <c r="D346" s="1" t="s">
        <v>3512</v>
      </c>
      <c r="E346" s="1" t="s">
        <v>3513</v>
      </c>
      <c r="F346" s="1" t="s">
        <v>112</v>
      </c>
      <c r="G346" s="1">
        <v>4085368</v>
      </c>
    </row>
    <row r="347" spans="1:7" x14ac:dyDescent="0.3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3514</v>
      </c>
      <c r="D347" s="1" t="s">
        <v>3515</v>
      </c>
      <c r="E347" s="1" t="s">
        <v>3516</v>
      </c>
      <c r="F347" s="1" t="s">
        <v>112</v>
      </c>
      <c r="G347" s="1">
        <v>4051798</v>
      </c>
    </row>
    <row r="348" spans="1:7" x14ac:dyDescent="0.3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48" s="1" t="s">
        <v>3517</v>
      </c>
      <c r="D348" s="1" t="s">
        <v>3518</v>
      </c>
      <c r="E348" s="1" t="s">
        <v>3519</v>
      </c>
      <c r="F348" s="1" t="s">
        <v>112</v>
      </c>
      <c r="G348" s="1">
        <v>3181931</v>
      </c>
    </row>
    <row r="349" spans="1:7" x14ac:dyDescent="0.3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49" s="1" t="s">
        <v>3520</v>
      </c>
      <c r="D349" s="1" t="s">
        <v>881</v>
      </c>
      <c r="E349" s="1" t="s">
        <v>3521</v>
      </c>
      <c r="F349" s="1" t="s">
        <v>112</v>
      </c>
      <c r="G349" s="1">
        <v>3594694</v>
      </c>
    </row>
    <row r="350" spans="1:7" x14ac:dyDescent="0.3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3522</v>
      </c>
      <c r="D350" s="1" t="s">
        <v>3523</v>
      </c>
      <c r="E350" s="1" t="s">
        <v>3524</v>
      </c>
      <c r="F350" s="1" t="s">
        <v>112</v>
      </c>
      <c r="G350" s="1">
        <v>3550634</v>
      </c>
    </row>
    <row r="351" spans="1:7" x14ac:dyDescent="0.3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1" s="1" t="s">
        <v>3525</v>
      </c>
      <c r="D351" s="1" t="s">
        <v>2878</v>
      </c>
      <c r="E351" s="1" t="s">
        <v>3526</v>
      </c>
      <c r="F351" s="1" t="s">
        <v>112</v>
      </c>
      <c r="G351" s="1">
        <v>3021156</v>
      </c>
    </row>
    <row r="352" spans="1:7" x14ac:dyDescent="0.3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2" s="1" t="s">
        <v>3527</v>
      </c>
      <c r="D352" s="1" t="s">
        <v>3528</v>
      </c>
      <c r="E352" s="1" t="s">
        <v>3529</v>
      </c>
      <c r="F352" s="1" t="s">
        <v>112</v>
      </c>
      <c r="G352" s="1">
        <v>2972769</v>
      </c>
    </row>
    <row r="353" spans="1:8" x14ac:dyDescent="0.3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3530</v>
      </c>
      <c r="D353" s="1" t="s">
        <v>3531</v>
      </c>
      <c r="E353" s="1" t="s">
        <v>3532</v>
      </c>
      <c r="F353" s="1" t="s">
        <v>112</v>
      </c>
      <c r="G353" s="1">
        <v>3054660</v>
      </c>
    </row>
    <row r="354" spans="1:8" x14ac:dyDescent="0.35">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4" s="1" t="s">
        <v>112</v>
      </c>
    </row>
    <row r="355" spans="1:8" x14ac:dyDescent="0.35">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5" s="1" t="s">
        <v>233</v>
      </c>
      <c r="D355" s="1" t="s">
        <v>112</v>
      </c>
      <c r="E355" s="1" t="s">
        <v>234</v>
      </c>
      <c r="F355" s="1" t="s">
        <v>235</v>
      </c>
      <c r="G355" s="1" t="s">
        <v>236</v>
      </c>
      <c r="H355" s="1" t="s">
        <v>1623</v>
      </c>
    </row>
    <row r="356" spans="1:8" x14ac:dyDescent="0.35">
      <c r="A356" s="1" t="str">
        <f t="shared" si="5"/>
        <v>7</v>
      </c>
      <c r="B3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6" s="1" t="s">
        <v>3533</v>
      </c>
      <c r="D356" s="1" t="s">
        <v>112</v>
      </c>
      <c r="E356" s="1" t="s">
        <v>3534</v>
      </c>
      <c r="F356" s="1" t="s">
        <v>3535</v>
      </c>
      <c r="G356" s="1" t="s">
        <v>3536</v>
      </c>
      <c r="H356" s="1" t="s">
        <v>3537</v>
      </c>
    </row>
    <row r="357" spans="1:8"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112</v>
      </c>
    </row>
    <row r="358" spans="1:8"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8" s="1" t="s">
        <v>112</v>
      </c>
    </row>
    <row r="359" spans="1:8"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8"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8"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8"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166</v>
      </c>
      <c r="D362" s="1" t="s">
        <v>110</v>
      </c>
      <c r="E362" s="1" t="s">
        <v>111</v>
      </c>
      <c r="F362" s="1" t="s">
        <v>112</v>
      </c>
      <c r="G362" s="1" t="s">
        <v>113</v>
      </c>
    </row>
    <row r="363" spans="1:8" x14ac:dyDescent="0.35">
      <c r="A363" s="1" t="str">
        <f t="shared" si="5"/>
        <v>10</v>
      </c>
      <c r="B3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3" s="1" t="s">
        <v>3538</v>
      </c>
      <c r="D363" s="1" t="s">
        <v>3539</v>
      </c>
      <c r="E363" s="1" t="s">
        <v>3540</v>
      </c>
      <c r="F363" s="1" t="s">
        <v>112</v>
      </c>
      <c r="G363" s="1">
        <v>344283</v>
      </c>
    </row>
    <row r="364" spans="1:8" x14ac:dyDescent="0.35">
      <c r="A364" s="1" t="str">
        <f t="shared" si="5"/>
        <v>10</v>
      </c>
      <c r="B3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4" s="1" t="s">
        <v>3541</v>
      </c>
      <c r="D364" s="1" t="s">
        <v>3542</v>
      </c>
      <c r="E364" s="1" t="s">
        <v>3543</v>
      </c>
      <c r="F364" s="1" t="s">
        <v>112</v>
      </c>
      <c r="G364" s="1">
        <v>338616</v>
      </c>
    </row>
    <row r="365" spans="1:8" x14ac:dyDescent="0.35">
      <c r="A365" s="1" t="str">
        <f t="shared" si="5"/>
        <v>10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3544</v>
      </c>
      <c r="D365" s="1" t="s">
        <v>3178</v>
      </c>
      <c r="E365" s="1" t="s">
        <v>3545</v>
      </c>
      <c r="F365" s="1" t="s">
        <v>112</v>
      </c>
      <c r="G365" s="1">
        <v>315083</v>
      </c>
    </row>
    <row r="366" spans="1:8" x14ac:dyDescent="0.35">
      <c r="A366" s="1" t="str">
        <f t="shared" si="5"/>
        <v>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6" s="1" t="s">
        <v>3546</v>
      </c>
      <c r="D366" s="1" t="s">
        <v>3547</v>
      </c>
      <c r="E366" s="1" t="s">
        <v>3548</v>
      </c>
      <c r="F366" s="1" t="s">
        <v>112</v>
      </c>
      <c r="G366" s="1">
        <v>471553</v>
      </c>
    </row>
    <row r="367" spans="1:8" x14ac:dyDescent="0.35">
      <c r="A367" s="1" t="str">
        <f t="shared" si="5"/>
        <v>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7" s="1" t="s">
        <v>3549</v>
      </c>
      <c r="D367" s="1" t="s">
        <v>3550</v>
      </c>
      <c r="E367" s="1" t="s">
        <v>3551</v>
      </c>
      <c r="F367" s="1" t="s">
        <v>112</v>
      </c>
      <c r="G367" s="1">
        <v>359467</v>
      </c>
    </row>
    <row r="368" spans="1:8" x14ac:dyDescent="0.35">
      <c r="A368" s="1" t="str">
        <f t="shared" si="5"/>
        <v>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3552</v>
      </c>
      <c r="D368" s="1" t="s">
        <v>3553</v>
      </c>
      <c r="E368" s="1" t="s">
        <v>3554</v>
      </c>
      <c r="F368" s="1" t="s">
        <v>112</v>
      </c>
      <c r="G368" s="1">
        <v>353368</v>
      </c>
    </row>
    <row r="369" spans="1:7" x14ac:dyDescent="0.35">
      <c r="A369" s="1" t="str">
        <f t="shared" si="5"/>
        <v>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69" s="1" t="s">
        <v>3555</v>
      </c>
      <c r="D369" s="1" t="s">
        <v>2430</v>
      </c>
      <c r="E369" s="1" t="s">
        <v>3556</v>
      </c>
      <c r="F369" s="1" t="s">
        <v>112</v>
      </c>
      <c r="G369" s="1">
        <v>24874</v>
      </c>
    </row>
    <row r="370" spans="1:7" x14ac:dyDescent="0.35">
      <c r="A370" s="1" t="str">
        <f t="shared" si="5"/>
        <v>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0" s="1" t="s">
        <v>3557</v>
      </c>
      <c r="D370" s="1" t="s">
        <v>522</v>
      </c>
      <c r="E370" s="1" t="s">
        <v>3558</v>
      </c>
      <c r="F370" s="1" t="s">
        <v>112</v>
      </c>
      <c r="G370" s="1">
        <v>31298</v>
      </c>
    </row>
    <row r="371" spans="1:7" x14ac:dyDescent="0.35">
      <c r="A371" s="1" t="str">
        <f t="shared" si="5"/>
        <v>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3559</v>
      </c>
      <c r="D371" s="1" t="s">
        <v>1328</v>
      </c>
      <c r="E371" s="1" t="s">
        <v>3560</v>
      </c>
      <c r="F371" s="1" t="s">
        <v>112</v>
      </c>
      <c r="G371" s="1">
        <v>111697</v>
      </c>
    </row>
    <row r="372" spans="1:7" x14ac:dyDescent="0.35">
      <c r="A372" s="1" t="str">
        <f t="shared" si="5"/>
        <v>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2" s="1" t="s">
        <v>3561</v>
      </c>
      <c r="D372" s="1" t="s">
        <v>2784</v>
      </c>
      <c r="E372" s="1" t="s">
        <v>3562</v>
      </c>
      <c r="F372" s="1" t="s">
        <v>112</v>
      </c>
      <c r="G372" s="1">
        <v>565103</v>
      </c>
    </row>
    <row r="373" spans="1:7" x14ac:dyDescent="0.35">
      <c r="A373" s="1" t="str">
        <f t="shared" si="5"/>
        <v>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3" s="1" t="s">
        <v>3563</v>
      </c>
      <c r="D373" s="1" t="s">
        <v>2850</v>
      </c>
      <c r="E373" s="1" t="s">
        <v>3564</v>
      </c>
      <c r="F373" s="1" t="s">
        <v>112</v>
      </c>
      <c r="G373" s="1">
        <v>422562</v>
      </c>
    </row>
    <row r="374" spans="1:7" x14ac:dyDescent="0.35">
      <c r="A374" s="1" t="str">
        <f t="shared" si="5"/>
        <v>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3565</v>
      </c>
      <c r="D374" s="1" t="s">
        <v>3566</v>
      </c>
      <c r="E374" s="1" t="s">
        <v>3567</v>
      </c>
      <c r="F374" s="1" t="s">
        <v>112</v>
      </c>
      <c r="G374" s="1">
        <v>369460</v>
      </c>
    </row>
    <row r="375" spans="1:7" x14ac:dyDescent="0.35">
      <c r="A375" s="1" t="str">
        <f t="shared" si="5"/>
        <v>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5" s="1" t="s">
        <v>3568</v>
      </c>
      <c r="D375" s="1">
        <v>0</v>
      </c>
      <c r="E375" s="1">
        <v>0</v>
      </c>
      <c r="F375" s="1" t="s">
        <v>112</v>
      </c>
      <c r="G375" s="1">
        <v>0</v>
      </c>
    </row>
    <row r="376" spans="1:7" x14ac:dyDescent="0.35">
      <c r="A376" s="1" t="str">
        <f t="shared" si="5"/>
        <v>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6" s="1" t="s">
        <v>3569</v>
      </c>
      <c r="D376" s="1" t="s">
        <v>3570</v>
      </c>
      <c r="E376" s="1">
        <v>30</v>
      </c>
      <c r="F376" s="1" t="s">
        <v>112</v>
      </c>
      <c r="G376" s="1">
        <v>2596</v>
      </c>
    </row>
    <row r="377" spans="1:7" x14ac:dyDescent="0.35">
      <c r="A377" s="1" t="str">
        <f t="shared" si="5"/>
        <v>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3571</v>
      </c>
      <c r="D377" s="1" t="s">
        <v>1091</v>
      </c>
      <c r="E377" s="1" t="s">
        <v>3572</v>
      </c>
      <c r="F377" s="1" t="s">
        <v>112</v>
      </c>
      <c r="G377" s="1">
        <v>12935</v>
      </c>
    </row>
    <row r="378" spans="1:7" x14ac:dyDescent="0.35">
      <c r="A378" s="1" t="str">
        <f t="shared" si="5"/>
        <v>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78" s="1" t="s">
        <v>3573</v>
      </c>
      <c r="D378" s="1" t="s">
        <v>726</v>
      </c>
      <c r="E378" s="1" t="s">
        <v>3574</v>
      </c>
      <c r="F378" s="1" t="s">
        <v>112</v>
      </c>
      <c r="G378" s="1">
        <v>119895</v>
      </c>
    </row>
    <row r="379" spans="1:7" x14ac:dyDescent="0.35">
      <c r="A379" s="1" t="str">
        <f t="shared" si="5"/>
        <v>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79" s="1" t="s">
        <v>3575</v>
      </c>
      <c r="D379" s="1" t="s">
        <v>1198</v>
      </c>
      <c r="E379" s="1" t="s">
        <v>3576</v>
      </c>
      <c r="F379" s="1" t="s">
        <v>112</v>
      </c>
      <c r="G379" s="1">
        <v>167697</v>
      </c>
    </row>
    <row r="380" spans="1:7" x14ac:dyDescent="0.35">
      <c r="A380" s="1" t="str">
        <f t="shared" si="5"/>
        <v>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3577</v>
      </c>
      <c r="D380" s="1">
        <v>0</v>
      </c>
      <c r="E380" s="1">
        <v>0</v>
      </c>
      <c r="F380" s="1" t="s">
        <v>112</v>
      </c>
      <c r="G380" s="1">
        <v>0</v>
      </c>
    </row>
    <row r="381" spans="1:7" x14ac:dyDescent="0.35">
      <c r="A381" s="1" t="str">
        <f t="shared" si="5"/>
        <v>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1" s="1" t="s">
        <v>3578</v>
      </c>
      <c r="D381" s="1" t="s">
        <v>171</v>
      </c>
      <c r="E381" s="1" t="s">
        <v>3579</v>
      </c>
      <c r="F381" s="1" t="s">
        <v>112</v>
      </c>
      <c r="G381" s="1">
        <v>143017</v>
      </c>
    </row>
    <row r="382" spans="1:7" x14ac:dyDescent="0.35">
      <c r="A382" s="1" t="str">
        <f t="shared" si="5"/>
        <v>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2" s="1" t="s">
        <v>3580</v>
      </c>
      <c r="D382" s="1" t="s">
        <v>1325</v>
      </c>
      <c r="E382" s="1" t="s">
        <v>3581</v>
      </c>
      <c r="F382" s="1" t="s">
        <v>112</v>
      </c>
      <c r="G382" s="1">
        <v>144920</v>
      </c>
    </row>
    <row r="383" spans="1:7" x14ac:dyDescent="0.35">
      <c r="A383" s="1" t="str">
        <f t="shared" si="5"/>
        <v>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3582</v>
      </c>
      <c r="D383" s="1" t="s">
        <v>2573</v>
      </c>
      <c r="E383" s="1" t="s">
        <v>3583</v>
      </c>
      <c r="F383" s="1" t="s">
        <v>112</v>
      </c>
      <c r="G383" s="1">
        <v>235333</v>
      </c>
    </row>
    <row r="384" spans="1:7" x14ac:dyDescent="0.35">
      <c r="A384" s="1" t="str">
        <f t="shared" si="5"/>
        <v>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4" s="1" t="s">
        <v>3584</v>
      </c>
      <c r="D384" s="1" t="s">
        <v>2587</v>
      </c>
      <c r="E384" s="1" t="s">
        <v>3585</v>
      </c>
      <c r="F384" s="1" t="s">
        <v>112</v>
      </c>
      <c r="G384" s="1">
        <v>276711</v>
      </c>
    </row>
    <row r="385" spans="1:8" x14ac:dyDescent="0.35">
      <c r="A385" s="1" t="str">
        <f t="shared" si="5"/>
        <v>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5" s="1" t="s">
        <v>3586</v>
      </c>
      <c r="D385" s="1" t="s">
        <v>1923</v>
      </c>
      <c r="E385" s="1" t="s">
        <v>3587</v>
      </c>
      <c r="F385" s="1" t="s">
        <v>112</v>
      </c>
      <c r="G385" s="1">
        <v>210459</v>
      </c>
    </row>
    <row r="386" spans="1:8" x14ac:dyDescent="0.35">
      <c r="A386" s="1" t="str">
        <f t="shared" ref="A386:A449" si="6">IFERROR(LEFT(RIGHT(C386,LEN(C386)-SEARCH("@",C386)),SEARCH("/",RIGHT(C386,LEN(C386)-SEARCH("@",C386)-1))),"")</f>
        <v>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3588</v>
      </c>
      <c r="D386" s="1" t="s">
        <v>1128</v>
      </c>
      <c r="E386" s="1" t="s">
        <v>3589</v>
      </c>
      <c r="F386" s="1" t="s">
        <v>112</v>
      </c>
      <c r="G386" s="1">
        <v>244115</v>
      </c>
    </row>
    <row r="387" spans="1:8" x14ac:dyDescent="0.35">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7" s="1" t="s">
        <v>112</v>
      </c>
    </row>
    <row r="388" spans="1:8" x14ac:dyDescent="0.35">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8" s="1" t="s">
        <v>233</v>
      </c>
      <c r="D388" s="1" t="s">
        <v>112</v>
      </c>
      <c r="E388" s="1" t="s">
        <v>234</v>
      </c>
      <c r="F388" s="1" t="s">
        <v>235</v>
      </c>
      <c r="G388" s="1" t="s">
        <v>236</v>
      </c>
      <c r="H388" s="1" t="s">
        <v>1623</v>
      </c>
    </row>
    <row r="389" spans="1:8" x14ac:dyDescent="0.35">
      <c r="A389" s="1" t="str">
        <f t="shared" si="6"/>
        <v>10</v>
      </c>
      <c r="B3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89" s="1" t="s">
        <v>3590</v>
      </c>
      <c r="D389" s="1" t="s">
        <v>112</v>
      </c>
      <c r="E389" s="1" t="s">
        <v>3591</v>
      </c>
      <c r="F389" s="1" t="s">
        <v>3592</v>
      </c>
      <c r="G389" s="1" t="s">
        <v>3593</v>
      </c>
      <c r="H389" s="1" t="s">
        <v>3594</v>
      </c>
    </row>
    <row r="390" spans="1:8"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112</v>
      </c>
    </row>
    <row r="391" spans="1:8"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1" s="1" t="s">
        <v>112</v>
      </c>
    </row>
    <row r="392" spans="1:8"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8"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8"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8"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166</v>
      </c>
      <c r="D395" s="1" t="s">
        <v>110</v>
      </c>
      <c r="E395" s="1" t="s">
        <v>111</v>
      </c>
      <c r="F395" s="1" t="s">
        <v>112</v>
      </c>
      <c r="G395" s="1" t="s">
        <v>113</v>
      </c>
    </row>
    <row r="396" spans="1:8" x14ac:dyDescent="0.35">
      <c r="A396" s="1" t="str">
        <f t="shared" si="6"/>
        <v>11</v>
      </c>
      <c r="B3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6" s="1" t="s">
        <v>3595</v>
      </c>
      <c r="D396" s="1" t="s">
        <v>3596</v>
      </c>
      <c r="E396" s="1" t="s">
        <v>3597</v>
      </c>
      <c r="F396" s="1" t="s">
        <v>112</v>
      </c>
      <c r="G396" s="1">
        <v>281773</v>
      </c>
    </row>
    <row r="397" spans="1:8" x14ac:dyDescent="0.35">
      <c r="A397" s="1" t="str">
        <f t="shared" si="6"/>
        <v>11</v>
      </c>
      <c r="B3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7" s="1" t="s">
        <v>3598</v>
      </c>
      <c r="D397" s="1" t="s">
        <v>2064</v>
      </c>
      <c r="E397" s="1" t="s">
        <v>3599</v>
      </c>
      <c r="F397" s="1" t="s">
        <v>112</v>
      </c>
      <c r="G397" s="1">
        <v>442007</v>
      </c>
    </row>
    <row r="398" spans="1:8" x14ac:dyDescent="0.35">
      <c r="A398" s="1" t="str">
        <f t="shared" si="6"/>
        <v>11</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3600</v>
      </c>
      <c r="D398" s="1" t="s">
        <v>174</v>
      </c>
      <c r="E398" s="1" t="s">
        <v>3601</v>
      </c>
      <c r="F398" s="1" t="s">
        <v>112</v>
      </c>
      <c r="G398" s="1">
        <v>248290</v>
      </c>
    </row>
    <row r="399" spans="1:8" x14ac:dyDescent="0.35">
      <c r="A399" s="1" t="str">
        <f t="shared" si="6"/>
        <v>11</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9" s="1" t="s">
        <v>3602</v>
      </c>
      <c r="D399" s="1" t="s">
        <v>3603</v>
      </c>
      <c r="E399" s="1" t="s">
        <v>3604</v>
      </c>
      <c r="F399" s="1" t="s">
        <v>112</v>
      </c>
      <c r="G399" s="1">
        <v>140897</v>
      </c>
    </row>
    <row r="400" spans="1:8" x14ac:dyDescent="0.35">
      <c r="A400" s="1" t="str">
        <f t="shared" si="6"/>
        <v>11</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0" s="1" t="s">
        <v>3605</v>
      </c>
      <c r="D400" s="1" t="s">
        <v>1433</v>
      </c>
      <c r="E400" s="1" t="s">
        <v>3606</v>
      </c>
      <c r="F400" s="1" t="s">
        <v>112</v>
      </c>
      <c r="G400" s="1">
        <v>212059</v>
      </c>
    </row>
    <row r="401" spans="1:7" x14ac:dyDescent="0.35">
      <c r="A401" s="1" t="str">
        <f t="shared" si="6"/>
        <v>11</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3607</v>
      </c>
      <c r="D401" s="1" t="s">
        <v>3608</v>
      </c>
      <c r="E401" s="1" t="s">
        <v>3609</v>
      </c>
      <c r="F401" s="1" t="s">
        <v>112</v>
      </c>
      <c r="G401" s="1">
        <v>196399</v>
      </c>
    </row>
    <row r="402" spans="1:7" x14ac:dyDescent="0.35">
      <c r="A402" s="1" t="str">
        <f t="shared" si="6"/>
        <v>11</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2" s="1" t="s">
        <v>3610</v>
      </c>
      <c r="D402" s="1" t="s">
        <v>1602</v>
      </c>
      <c r="E402" s="1" t="s">
        <v>3611</v>
      </c>
      <c r="F402" s="1" t="s">
        <v>112</v>
      </c>
      <c r="G402" s="1">
        <v>322675</v>
      </c>
    </row>
    <row r="403" spans="1:7" x14ac:dyDescent="0.35">
      <c r="A403" s="1" t="str">
        <f t="shared" si="6"/>
        <v>11</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3" s="1" t="s">
        <v>3612</v>
      </c>
      <c r="D403" s="1" t="s">
        <v>1159</v>
      </c>
      <c r="E403" s="1" t="s">
        <v>3613</v>
      </c>
      <c r="F403" s="1" t="s">
        <v>112</v>
      </c>
      <c r="G403" s="1">
        <v>214720</v>
      </c>
    </row>
    <row r="404" spans="1:7" x14ac:dyDescent="0.35">
      <c r="A404" s="1" t="str">
        <f t="shared" si="6"/>
        <v>11</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3614</v>
      </c>
      <c r="D404" s="1" t="s">
        <v>3615</v>
      </c>
      <c r="E404" s="1" t="s">
        <v>3616</v>
      </c>
      <c r="F404" s="1" t="s">
        <v>112</v>
      </c>
      <c r="G404" s="1">
        <v>252183</v>
      </c>
    </row>
    <row r="405" spans="1:7" x14ac:dyDescent="0.35">
      <c r="A405" s="1" t="str">
        <f t="shared" si="6"/>
        <v>11</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5" s="1" t="s">
        <v>3617</v>
      </c>
      <c r="D405" s="1" t="s">
        <v>2837</v>
      </c>
      <c r="E405" s="1" t="s">
        <v>3618</v>
      </c>
      <c r="F405" s="1" t="s">
        <v>112</v>
      </c>
      <c r="G405" s="1">
        <v>143471</v>
      </c>
    </row>
    <row r="406" spans="1:7" x14ac:dyDescent="0.35">
      <c r="A406" s="1" t="str">
        <f t="shared" si="6"/>
        <v>11</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6" s="1" t="s">
        <v>3619</v>
      </c>
      <c r="D406" s="1" t="s">
        <v>1579</v>
      </c>
      <c r="E406" s="1" t="s">
        <v>3620</v>
      </c>
      <c r="F406" s="1" t="s">
        <v>112</v>
      </c>
      <c r="G406" s="1">
        <v>310973</v>
      </c>
    </row>
    <row r="407" spans="1:7" x14ac:dyDescent="0.35">
      <c r="A407" s="1" t="str">
        <f t="shared" si="6"/>
        <v>11</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3621</v>
      </c>
      <c r="D407" s="1" t="s">
        <v>1134</v>
      </c>
      <c r="E407" s="1" t="s">
        <v>3622</v>
      </c>
      <c r="F407" s="1" t="s">
        <v>112</v>
      </c>
      <c r="G407" s="1">
        <v>235117</v>
      </c>
    </row>
    <row r="408" spans="1:7" x14ac:dyDescent="0.35">
      <c r="A408" s="1" t="str">
        <f t="shared" si="6"/>
        <v>11</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08" s="1" t="s">
        <v>3623</v>
      </c>
      <c r="D408" s="1" t="s">
        <v>2668</v>
      </c>
      <c r="E408" s="1" t="s">
        <v>3624</v>
      </c>
      <c r="F408" s="1" t="s">
        <v>112</v>
      </c>
      <c r="G408" s="1">
        <v>243488</v>
      </c>
    </row>
    <row r="409" spans="1:7" x14ac:dyDescent="0.35">
      <c r="A409" s="1" t="str">
        <f t="shared" si="6"/>
        <v>11</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09" s="1" t="s">
        <v>3625</v>
      </c>
      <c r="D409" s="1" t="s">
        <v>3626</v>
      </c>
      <c r="E409" s="1" t="s">
        <v>3627</v>
      </c>
      <c r="F409" s="1" t="s">
        <v>112</v>
      </c>
      <c r="G409" s="1">
        <v>418106</v>
      </c>
    </row>
    <row r="410" spans="1:7" x14ac:dyDescent="0.35">
      <c r="A410" s="1" t="str">
        <f t="shared" si="6"/>
        <v>11</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3628</v>
      </c>
      <c r="D410" s="1" t="s">
        <v>1448</v>
      </c>
      <c r="E410" s="1" t="s">
        <v>3629</v>
      </c>
      <c r="F410" s="1" t="s">
        <v>112</v>
      </c>
      <c r="G410" s="1">
        <v>343504</v>
      </c>
    </row>
    <row r="411" spans="1:7" x14ac:dyDescent="0.35">
      <c r="A411" s="1" t="str">
        <f t="shared" si="6"/>
        <v>11</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1" s="1" t="s">
        <v>3630</v>
      </c>
      <c r="D411" s="1" t="s">
        <v>3119</v>
      </c>
      <c r="E411" s="1" t="s">
        <v>3631</v>
      </c>
      <c r="F411" s="1" t="s">
        <v>112</v>
      </c>
      <c r="G411" s="1">
        <v>414818</v>
      </c>
    </row>
    <row r="412" spans="1:7" x14ac:dyDescent="0.35">
      <c r="A412" s="1" t="str">
        <f t="shared" si="6"/>
        <v>11</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2" s="1" t="s">
        <v>3632</v>
      </c>
    </row>
    <row r="413" spans="1:7" x14ac:dyDescent="0.35">
      <c r="A413" s="1" t="str">
        <f t="shared" si="6"/>
        <v>11</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3633</v>
      </c>
    </row>
    <row r="414" spans="1:7" x14ac:dyDescent="0.35">
      <c r="A414" s="1" t="str">
        <f t="shared" si="6"/>
        <v>11</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4" s="1" t="s">
        <v>3634</v>
      </c>
      <c r="D414" s="1" t="s">
        <v>1046</v>
      </c>
      <c r="E414" s="1">
        <v>31</v>
      </c>
      <c r="F414" s="1" t="s">
        <v>112</v>
      </c>
      <c r="G414" s="1">
        <v>1341</v>
      </c>
    </row>
    <row r="415" spans="1:7" x14ac:dyDescent="0.35">
      <c r="A415" s="1" t="str">
        <f t="shared" si="6"/>
        <v>11</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5" s="1" t="s">
        <v>3635</v>
      </c>
    </row>
    <row r="416" spans="1:7" x14ac:dyDescent="0.35">
      <c r="A416" s="1" t="str">
        <f t="shared" si="6"/>
        <v>11</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3636</v>
      </c>
      <c r="D416" s="1" t="s">
        <v>1046</v>
      </c>
      <c r="E416" s="1">
        <v>30</v>
      </c>
      <c r="F416" s="1" t="s">
        <v>112</v>
      </c>
      <c r="G416" s="1">
        <v>1298</v>
      </c>
    </row>
    <row r="417" spans="1:8" x14ac:dyDescent="0.35">
      <c r="A417" s="1" t="str">
        <f t="shared" si="6"/>
        <v>11</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7" s="1" t="s">
        <v>3637</v>
      </c>
      <c r="D417" s="1" t="s">
        <v>2529</v>
      </c>
      <c r="E417" s="1" t="s">
        <v>3638</v>
      </c>
      <c r="F417" s="1" t="s">
        <v>112</v>
      </c>
      <c r="G417" s="1">
        <v>362971</v>
      </c>
    </row>
    <row r="418" spans="1:8" x14ac:dyDescent="0.35">
      <c r="A418" s="1" t="str">
        <f t="shared" si="6"/>
        <v>11</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8" s="1" t="s">
        <v>3639</v>
      </c>
      <c r="D418" s="1" t="s">
        <v>2860</v>
      </c>
      <c r="E418" s="1" t="s">
        <v>3640</v>
      </c>
      <c r="F418" s="1" t="s">
        <v>112</v>
      </c>
      <c r="G418" s="1">
        <v>354406</v>
      </c>
    </row>
    <row r="419" spans="1:8" x14ac:dyDescent="0.35">
      <c r="A419" s="1" t="str">
        <f t="shared" si="6"/>
        <v>11</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3641</v>
      </c>
      <c r="D419" s="1" t="s">
        <v>452</v>
      </c>
      <c r="E419" s="1">
        <v>33</v>
      </c>
      <c r="F419" s="1" t="s">
        <v>112</v>
      </c>
      <c r="G419" s="1">
        <v>714</v>
      </c>
    </row>
    <row r="420" spans="1:8" x14ac:dyDescent="0.35">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0" s="1" t="s">
        <v>112</v>
      </c>
    </row>
    <row r="421" spans="1:8" x14ac:dyDescent="0.35">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1" s="1" t="s">
        <v>233</v>
      </c>
      <c r="D421" s="1" t="s">
        <v>112</v>
      </c>
      <c r="E421" s="1" t="s">
        <v>234</v>
      </c>
      <c r="F421" s="1" t="s">
        <v>235</v>
      </c>
      <c r="G421" s="1" t="s">
        <v>236</v>
      </c>
      <c r="H421" s="1" t="s">
        <v>1623</v>
      </c>
    </row>
    <row r="422" spans="1:8" x14ac:dyDescent="0.35">
      <c r="A422" s="1" t="str">
        <f t="shared" si="6"/>
        <v>11</v>
      </c>
      <c r="B4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2" s="1" t="s">
        <v>3642</v>
      </c>
      <c r="D422" s="1" t="s">
        <v>112</v>
      </c>
      <c r="E422" s="1" t="s">
        <v>3643</v>
      </c>
      <c r="F422" s="1" t="s">
        <v>3644</v>
      </c>
      <c r="G422" s="1">
        <v>247099</v>
      </c>
      <c r="H422" s="1" t="s">
        <v>3645</v>
      </c>
    </row>
    <row r="423" spans="1:8"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112</v>
      </c>
    </row>
    <row r="424" spans="1:8"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4" s="1" t="s">
        <v>112</v>
      </c>
    </row>
    <row r="425" spans="1:8"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8"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8"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8"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166</v>
      </c>
      <c r="D428" s="1" t="s">
        <v>110</v>
      </c>
      <c r="E428" s="1" t="s">
        <v>111</v>
      </c>
      <c r="F428" s="1" t="s">
        <v>112</v>
      </c>
      <c r="G428" s="1" t="s">
        <v>113</v>
      </c>
    </row>
    <row r="429" spans="1:8" x14ac:dyDescent="0.35">
      <c r="A429" s="1" t="str">
        <f t="shared" si="6"/>
        <v>12</v>
      </c>
      <c r="B4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29" s="1" t="s">
        <v>3646</v>
      </c>
      <c r="D429" s="1" t="s">
        <v>201</v>
      </c>
      <c r="E429" s="1" t="s">
        <v>3647</v>
      </c>
      <c r="F429" s="1" t="s">
        <v>112</v>
      </c>
      <c r="G429" s="1">
        <v>311773</v>
      </c>
    </row>
    <row r="430" spans="1:8" x14ac:dyDescent="0.35">
      <c r="A430" s="1" t="str">
        <f t="shared" si="6"/>
        <v>12</v>
      </c>
      <c r="B4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0" s="1" t="s">
        <v>3648</v>
      </c>
      <c r="D430" s="1" t="s">
        <v>3649</v>
      </c>
      <c r="E430" s="1" t="s">
        <v>3650</v>
      </c>
      <c r="F430" s="1" t="s">
        <v>112</v>
      </c>
      <c r="G430" s="1">
        <v>421934</v>
      </c>
    </row>
    <row r="431" spans="1:8" x14ac:dyDescent="0.35">
      <c r="A431" s="1" t="str">
        <f t="shared" si="6"/>
        <v>12</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3651</v>
      </c>
      <c r="D431" s="1" t="s">
        <v>3151</v>
      </c>
      <c r="E431" s="1" t="s">
        <v>3652</v>
      </c>
      <c r="F431" s="1" t="s">
        <v>112</v>
      </c>
      <c r="G431" s="1">
        <v>443175</v>
      </c>
    </row>
    <row r="432" spans="1:8" x14ac:dyDescent="0.35">
      <c r="A432" s="1" t="str">
        <f t="shared" si="6"/>
        <v>12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2" s="1" t="s">
        <v>3653</v>
      </c>
      <c r="D432" s="1" t="s">
        <v>1078</v>
      </c>
      <c r="E432" s="1">
        <v>32</v>
      </c>
      <c r="F432" s="1" t="s">
        <v>112</v>
      </c>
      <c r="G432" s="1">
        <v>4153</v>
      </c>
    </row>
    <row r="433" spans="1:7" x14ac:dyDescent="0.35">
      <c r="A433" s="1" t="str">
        <f t="shared" si="6"/>
        <v>12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3" s="1" t="s">
        <v>3654</v>
      </c>
      <c r="D433" s="1" t="s">
        <v>2587</v>
      </c>
      <c r="E433" s="1" t="s">
        <v>3655</v>
      </c>
      <c r="F433" s="1" t="s">
        <v>112</v>
      </c>
      <c r="G433" s="1">
        <v>303403</v>
      </c>
    </row>
    <row r="434" spans="1:7" x14ac:dyDescent="0.35">
      <c r="A434" s="1" t="str">
        <f t="shared" si="6"/>
        <v>12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3656</v>
      </c>
      <c r="D434" s="1" t="s">
        <v>1011</v>
      </c>
      <c r="E434" s="1" t="s">
        <v>3657</v>
      </c>
      <c r="F434" s="1" t="s">
        <v>112</v>
      </c>
      <c r="G434" s="1">
        <v>227114</v>
      </c>
    </row>
    <row r="435" spans="1:7" x14ac:dyDescent="0.35">
      <c r="A435" s="1" t="str">
        <f t="shared" si="6"/>
        <v>12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5" s="1" t="s">
        <v>3658</v>
      </c>
      <c r="D435" s="1">
        <v>0</v>
      </c>
      <c r="E435" s="1">
        <v>0</v>
      </c>
      <c r="F435" s="1" t="s">
        <v>112</v>
      </c>
      <c r="G435" s="1">
        <v>0</v>
      </c>
    </row>
    <row r="436" spans="1:7" x14ac:dyDescent="0.35">
      <c r="A436" s="1" t="str">
        <f t="shared" si="6"/>
        <v>12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6" s="1" t="s">
        <v>3659</v>
      </c>
    </row>
    <row r="437" spans="1:7" x14ac:dyDescent="0.35">
      <c r="A437" s="1" t="str">
        <f t="shared" si="6"/>
        <v>12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3660</v>
      </c>
    </row>
    <row r="438" spans="1:7" x14ac:dyDescent="0.35">
      <c r="A438" s="1" t="str">
        <f t="shared" si="6"/>
        <v>12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38" s="1" t="s">
        <v>3661</v>
      </c>
      <c r="D438" s="1" t="s">
        <v>2340</v>
      </c>
      <c r="E438" s="1" t="s">
        <v>3662</v>
      </c>
      <c r="F438" s="1" t="s">
        <v>112</v>
      </c>
      <c r="G438" s="1">
        <v>64349</v>
      </c>
    </row>
    <row r="439" spans="1:7" x14ac:dyDescent="0.35">
      <c r="A439" s="1" t="str">
        <f t="shared" si="6"/>
        <v>12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39" s="1" t="s">
        <v>3663</v>
      </c>
      <c r="D439" s="1" t="s">
        <v>1120</v>
      </c>
      <c r="E439" s="1" t="s">
        <v>3664</v>
      </c>
      <c r="F439" s="1" t="s">
        <v>112</v>
      </c>
      <c r="G439" s="1">
        <v>57709</v>
      </c>
    </row>
    <row r="440" spans="1:7" x14ac:dyDescent="0.35">
      <c r="A440" s="1" t="str">
        <f t="shared" si="6"/>
        <v>12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3665</v>
      </c>
      <c r="D440" s="1" t="s">
        <v>1683</v>
      </c>
      <c r="E440" s="1" t="s">
        <v>3666</v>
      </c>
      <c r="F440" s="1" t="s">
        <v>112</v>
      </c>
      <c r="G440" s="1">
        <v>74537</v>
      </c>
    </row>
    <row r="441" spans="1:7" x14ac:dyDescent="0.35">
      <c r="A441" s="1" t="str">
        <f t="shared" si="6"/>
        <v>12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1" s="1" t="s">
        <v>3667</v>
      </c>
      <c r="D441" s="1" t="s">
        <v>3668</v>
      </c>
      <c r="E441" s="1" t="s">
        <v>3669</v>
      </c>
      <c r="F441" s="1" t="s">
        <v>112</v>
      </c>
      <c r="G441" s="1">
        <v>490069</v>
      </c>
    </row>
    <row r="442" spans="1:7" x14ac:dyDescent="0.35">
      <c r="A442" s="1" t="str">
        <f t="shared" si="6"/>
        <v>12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2" s="1" t="s">
        <v>3670</v>
      </c>
      <c r="D442" s="1" t="s">
        <v>3671</v>
      </c>
      <c r="E442" s="1" t="s">
        <v>3672</v>
      </c>
      <c r="F442" s="1" t="s">
        <v>112</v>
      </c>
      <c r="G442" s="1">
        <v>507956</v>
      </c>
    </row>
    <row r="443" spans="1:7" x14ac:dyDescent="0.35">
      <c r="A443" s="1" t="str">
        <f t="shared" si="6"/>
        <v>12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3673</v>
      </c>
      <c r="D443" s="1" t="s">
        <v>1957</v>
      </c>
      <c r="E443" s="1" t="s">
        <v>3674</v>
      </c>
      <c r="F443" s="1" t="s">
        <v>112</v>
      </c>
      <c r="G443" s="1">
        <v>430586</v>
      </c>
    </row>
    <row r="444" spans="1:7" x14ac:dyDescent="0.35">
      <c r="A444" s="1" t="str">
        <f t="shared" si="6"/>
        <v>12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4" s="1" t="s">
        <v>3675</v>
      </c>
    </row>
    <row r="445" spans="1:7" x14ac:dyDescent="0.35">
      <c r="A445" s="1" t="str">
        <f t="shared" si="6"/>
        <v>12</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5" s="1" t="s">
        <v>3676</v>
      </c>
    </row>
    <row r="446" spans="1:7" x14ac:dyDescent="0.35">
      <c r="A446" s="1" t="str">
        <f t="shared" si="6"/>
        <v>12</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3677</v>
      </c>
      <c r="D446" s="1" t="s">
        <v>3678</v>
      </c>
      <c r="E446" s="1" t="s">
        <v>3679</v>
      </c>
      <c r="F446" s="1" t="s">
        <v>112</v>
      </c>
      <c r="G446" s="1">
        <v>486781</v>
      </c>
    </row>
    <row r="447" spans="1:7" x14ac:dyDescent="0.35">
      <c r="A447" s="1" t="str">
        <f t="shared" si="6"/>
        <v>12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7" s="1" t="s">
        <v>3680</v>
      </c>
      <c r="D447" s="1" t="s">
        <v>210</v>
      </c>
      <c r="E447" s="1" t="s">
        <v>3681</v>
      </c>
      <c r="F447" s="1" t="s">
        <v>112</v>
      </c>
      <c r="G447" s="1">
        <v>108279</v>
      </c>
    </row>
    <row r="448" spans="1:7" x14ac:dyDescent="0.35">
      <c r="A448" s="1" t="str">
        <f t="shared" si="6"/>
        <v>12</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8" s="1" t="s">
        <v>3682</v>
      </c>
      <c r="D448" s="1" t="s">
        <v>952</v>
      </c>
      <c r="E448" s="1" t="s">
        <v>3683</v>
      </c>
      <c r="F448" s="1" t="s">
        <v>112</v>
      </c>
      <c r="G448" s="1">
        <v>4888</v>
      </c>
    </row>
    <row r="449" spans="1:8" x14ac:dyDescent="0.35">
      <c r="A449" s="1" t="str">
        <f t="shared" si="6"/>
        <v>12</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3684</v>
      </c>
      <c r="D449" s="1" t="s">
        <v>615</v>
      </c>
      <c r="E449" s="1" t="s">
        <v>3685</v>
      </c>
      <c r="F449" s="1" t="s">
        <v>112</v>
      </c>
      <c r="G449" s="1">
        <v>33613</v>
      </c>
    </row>
    <row r="450" spans="1:8" x14ac:dyDescent="0.35">
      <c r="A450" s="1" t="str">
        <f t="shared" ref="A450:A513" si="7">IFERROR(LEFT(RIGHT(C450,LEN(C450)-SEARCH("@",C450)),SEARCH("/",RIGHT(C450,LEN(C450)-SEARCH("@",C450)-1))),"")</f>
        <v>12</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0" s="1" t="s">
        <v>3686</v>
      </c>
    </row>
    <row r="451" spans="1:8" x14ac:dyDescent="0.35">
      <c r="A451" s="1" t="str">
        <f t="shared" si="7"/>
        <v>12</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1" s="1" t="s">
        <v>3687</v>
      </c>
    </row>
    <row r="452" spans="1:8" x14ac:dyDescent="0.35">
      <c r="A452" s="1" t="str">
        <f t="shared" si="7"/>
        <v>12</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3688</v>
      </c>
    </row>
    <row r="453" spans="1:8"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3" s="1" t="s">
        <v>112</v>
      </c>
    </row>
    <row r="454" spans="1:8" x14ac:dyDescent="0.35">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4" s="1" t="s">
        <v>233</v>
      </c>
      <c r="D454" s="1" t="s">
        <v>112</v>
      </c>
      <c r="E454" s="1" t="s">
        <v>234</v>
      </c>
      <c r="F454" s="1" t="s">
        <v>235</v>
      </c>
      <c r="G454" s="1" t="s">
        <v>236</v>
      </c>
      <c r="H454" s="1" t="s">
        <v>1623</v>
      </c>
    </row>
    <row r="455" spans="1:8" x14ac:dyDescent="0.35">
      <c r="A455" s="1" t="str">
        <f t="shared" si="7"/>
        <v>12</v>
      </c>
      <c r="B4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5" s="1" t="s">
        <v>3689</v>
      </c>
      <c r="D455" s="1" t="s">
        <v>112</v>
      </c>
      <c r="E455" s="1" t="s">
        <v>3690</v>
      </c>
      <c r="F455" s="1" t="s">
        <v>3691</v>
      </c>
      <c r="G455" s="1" t="s">
        <v>3692</v>
      </c>
      <c r="H455" s="1" t="s">
        <v>3693</v>
      </c>
    </row>
    <row r="456" spans="1:8"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112</v>
      </c>
    </row>
    <row r="457" spans="1:8"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7" s="1" t="s">
        <v>112</v>
      </c>
    </row>
    <row r="458" spans="1:8"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8"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8"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8"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166</v>
      </c>
      <c r="D461" s="1" t="s">
        <v>110</v>
      </c>
      <c r="E461" s="1" t="s">
        <v>111</v>
      </c>
      <c r="F461" s="1" t="s">
        <v>112</v>
      </c>
      <c r="G461" s="1" t="s">
        <v>113</v>
      </c>
    </row>
    <row r="462" spans="1:8" x14ac:dyDescent="0.35">
      <c r="A462" s="1" t="str">
        <f t="shared" si="7"/>
        <v>17</v>
      </c>
      <c r="B4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2" s="1" t="s">
        <v>3694</v>
      </c>
    </row>
    <row r="463" spans="1:8" x14ac:dyDescent="0.35">
      <c r="A463" s="1" t="str">
        <f t="shared" si="7"/>
        <v>17</v>
      </c>
      <c r="B4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3" s="1" t="s">
        <v>3695</v>
      </c>
      <c r="D463" s="1" t="s">
        <v>3696</v>
      </c>
      <c r="E463" s="1" t="s">
        <v>3697</v>
      </c>
      <c r="F463" s="1" t="s">
        <v>112</v>
      </c>
      <c r="G463" s="1">
        <v>476982</v>
      </c>
    </row>
    <row r="464" spans="1:8" x14ac:dyDescent="0.35">
      <c r="A464" s="1" t="str">
        <f t="shared" si="7"/>
        <v>17</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3698</v>
      </c>
    </row>
    <row r="465" spans="1:7" x14ac:dyDescent="0.35">
      <c r="A465" s="1" t="str">
        <f t="shared" si="7"/>
        <v>17</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5" s="1" t="s">
        <v>3699</v>
      </c>
      <c r="D465" s="1" t="s">
        <v>2529</v>
      </c>
      <c r="E465" s="1" t="s">
        <v>3700</v>
      </c>
      <c r="F465" s="1" t="s">
        <v>112</v>
      </c>
      <c r="G465" s="1">
        <v>290057</v>
      </c>
    </row>
    <row r="466" spans="1:7" x14ac:dyDescent="0.35">
      <c r="A466" s="1" t="str">
        <f t="shared" si="7"/>
        <v>17</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6" s="1" t="s">
        <v>3701</v>
      </c>
    </row>
    <row r="467" spans="1:7" x14ac:dyDescent="0.35">
      <c r="A467" s="1" t="str">
        <f t="shared" si="7"/>
        <v>17</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3702</v>
      </c>
    </row>
    <row r="468" spans="1:7" x14ac:dyDescent="0.35">
      <c r="A468" s="1" t="str">
        <f t="shared" si="7"/>
        <v>17</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8" s="1" t="s">
        <v>3703</v>
      </c>
      <c r="D468" s="1" t="s">
        <v>3704</v>
      </c>
      <c r="E468" s="1" t="s">
        <v>3705</v>
      </c>
      <c r="F468" s="1" t="s">
        <v>112</v>
      </c>
      <c r="G468" s="1">
        <v>181085</v>
      </c>
    </row>
    <row r="469" spans="1:7" x14ac:dyDescent="0.35">
      <c r="A469" s="1" t="str">
        <f t="shared" si="7"/>
        <v>17</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9" s="1" t="s">
        <v>3706</v>
      </c>
      <c r="D469" s="1" t="s">
        <v>3707</v>
      </c>
      <c r="E469" s="1" t="s">
        <v>3708</v>
      </c>
      <c r="F469" s="1" t="s">
        <v>112</v>
      </c>
      <c r="G469" s="1">
        <v>534561</v>
      </c>
    </row>
    <row r="470" spans="1:7" x14ac:dyDescent="0.35">
      <c r="A470" s="1" t="str">
        <f t="shared" si="7"/>
        <v>17</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3709</v>
      </c>
      <c r="D470" s="1" t="s">
        <v>3707</v>
      </c>
      <c r="E470" s="1" t="s">
        <v>3710</v>
      </c>
      <c r="F470" s="1" t="s">
        <v>112</v>
      </c>
      <c r="G470" s="1">
        <v>570532</v>
      </c>
    </row>
    <row r="471" spans="1:7" x14ac:dyDescent="0.35">
      <c r="A471" s="1" t="str">
        <f t="shared" si="7"/>
        <v>17</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1" s="1" t="s">
        <v>3711</v>
      </c>
      <c r="D471" s="1">
        <v>0</v>
      </c>
      <c r="E471" s="1">
        <v>0</v>
      </c>
      <c r="F471" s="1" t="s">
        <v>112</v>
      </c>
      <c r="G471" s="1">
        <v>0</v>
      </c>
    </row>
    <row r="472" spans="1:7" x14ac:dyDescent="0.35">
      <c r="A472" s="1" t="str">
        <f t="shared" si="7"/>
        <v>17</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2" s="1" t="s">
        <v>3712</v>
      </c>
      <c r="D472" s="1" t="s">
        <v>1287</v>
      </c>
      <c r="E472" s="1" t="s">
        <v>3713</v>
      </c>
      <c r="F472" s="1" t="s">
        <v>112</v>
      </c>
      <c r="G472" s="1">
        <v>115158</v>
      </c>
    </row>
    <row r="473" spans="1:7" x14ac:dyDescent="0.35">
      <c r="A473" s="1" t="str">
        <f t="shared" si="7"/>
        <v>17</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3714</v>
      </c>
    </row>
    <row r="474" spans="1:7" x14ac:dyDescent="0.35">
      <c r="A474" s="1" t="str">
        <f t="shared" si="7"/>
        <v>17</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4" s="1" t="s">
        <v>3715</v>
      </c>
      <c r="D474" s="1" t="s">
        <v>644</v>
      </c>
      <c r="E474" s="1" t="s">
        <v>3716</v>
      </c>
      <c r="F474" s="1" t="s">
        <v>112</v>
      </c>
      <c r="G474" s="1">
        <v>191684</v>
      </c>
    </row>
    <row r="475" spans="1:7" x14ac:dyDescent="0.35">
      <c r="A475" s="1" t="str">
        <f t="shared" si="7"/>
        <v>17</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5" s="1" t="s">
        <v>3717</v>
      </c>
      <c r="D475" s="1" t="s">
        <v>3718</v>
      </c>
      <c r="E475" s="1">
        <v>39</v>
      </c>
      <c r="F475" s="1" t="s">
        <v>112</v>
      </c>
      <c r="G475" s="1">
        <v>323086</v>
      </c>
    </row>
    <row r="476" spans="1:7" x14ac:dyDescent="0.35">
      <c r="A476" s="1" t="str">
        <f t="shared" si="7"/>
        <v>17</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3719</v>
      </c>
      <c r="D476" s="1" t="s">
        <v>3720</v>
      </c>
      <c r="E476" s="1" t="s">
        <v>3721</v>
      </c>
      <c r="F476" s="1" t="s">
        <v>112</v>
      </c>
      <c r="G476" s="1">
        <v>105316</v>
      </c>
    </row>
    <row r="477" spans="1:7" x14ac:dyDescent="0.35">
      <c r="A477" s="1" t="str">
        <f t="shared" si="7"/>
        <v>17</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7" s="1" t="s">
        <v>3722</v>
      </c>
      <c r="D477" s="1" t="s">
        <v>653</v>
      </c>
      <c r="E477" s="1" t="s">
        <v>3723</v>
      </c>
      <c r="F477" s="1" t="s">
        <v>112</v>
      </c>
      <c r="G477" s="1">
        <v>78949</v>
      </c>
    </row>
    <row r="478" spans="1:7" x14ac:dyDescent="0.35">
      <c r="A478" s="1" t="str">
        <f t="shared" si="7"/>
        <v>17</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8" s="1" t="s">
        <v>3724</v>
      </c>
      <c r="D478" s="1" t="s">
        <v>3725</v>
      </c>
      <c r="E478" s="1" t="s">
        <v>3726</v>
      </c>
      <c r="F478" s="1" t="s">
        <v>112</v>
      </c>
      <c r="G478" s="1">
        <v>212276</v>
      </c>
    </row>
    <row r="479" spans="1:7" x14ac:dyDescent="0.35">
      <c r="A479" s="1" t="str">
        <f t="shared" si="7"/>
        <v>17</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3727</v>
      </c>
      <c r="D479" s="1" t="s">
        <v>2753</v>
      </c>
      <c r="E479" s="1" t="s">
        <v>3728</v>
      </c>
      <c r="F479" s="1" t="s">
        <v>112</v>
      </c>
      <c r="G479" s="1">
        <v>54810</v>
      </c>
    </row>
    <row r="480" spans="1:7" x14ac:dyDescent="0.35">
      <c r="A480" s="1" t="str">
        <f t="shared" si="7"/>
        <v>17</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0" s="1" t="s">
        <v>3729</v>
      </c>
      <c r="D480" s="1" t="s">
        <v>1715</v>
      </c>
      <c r="E480" s="1" t="s">
        <v>3730</v>
      </c>
      <c r="F480" s="1" t="s">
        <v>112</v>
      </c>
      <c r="G480" s="1">
        <v>367903</v>
      </c>
    </row>
    <row r="481" spans="1:8" x14ac:dyDescent="0.35">
      <c r="A481" s="1" t="str">
        <f t="shared" si="7"/>
        <v>17</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1" s="1" t="s">
        <v>3731</v>
      </c>
    </row>
    <row r="482" spans="1:8" x14ac:dyDescent="0.35">
      <c r="A482" s="1" t="str">
        <f t="shared" si="7"/>
        <v>17</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3732</v>
      </c>
      <c r="D482" s="1" t="s">
        <v>3733</v>
      </c>
      <c r="E482" s="1" t="s">
        <v>3734</v>
      </c>
      <c r="F482" s="1" t="s">
        <v>112</v>
      </c>
      <c r="G482" s="1">
        <v>385488</v>
      </c>
    </row>
    <row r="483" spans="1:8" x14ac:dyDescent="0.35">
      <c r="A483" s="1" t="str">
        <f t="shared" si="7"/>
        <v>17</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3" s="1" t="s">
        <v>3735</v>
      </c>
      <c r="D483" s="1" t="s">
        <v>1137</v>
      </c>
      <c r="E483" s="1" t="s">
        <v>3736</v>
      </c>
      <c r="F483" s="1" t="s">
        <v>112</v>
      </c>
      <c r="G483" s="1">
        <v>133219</v>
      </c>
    </row>
    <row r="484" spans="1:8" x14ac:dyDescent="0.35">
      <c r="A484" s="1" t="str">
        <f t="shared" si="7"/>
        <v>17</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4" s="1" t="s">
        <v>3737</v>
      </c>
      <c r="D484" s="1" t="s">
        <v>3738</v>
      </c>
      <c r="E484" s="1" t="s">
        <v>3739</v>
      </c>
      <c r="F484" s="1" t="s">
        <v>112</v>
      </c>
      <c r="G484" s="1">
        <v>40751</v>
      </c>
    </row>
    <row r="485" spans="1:8" x14ac:dyDescent="0.35">
      <c r="A485" s="1" t="str">
        <f t="shared" si="7"/>
        <v>17</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3740</v>
      </c>
      <c r="D485" s="1" t="s">
        <v>2606</v>
      </c>
      <c r="E485" s="1" t="s">
        <v>3741</v>
      </c>
      <c r="F485" s="1" t="s">
        <v>112</v>
      </c>
      <c r="G485" s="1">
        <v>90673</v>
      </c>
    </row>
    <row r="486" spans="1:8"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6" s="1" t="s">
        <v>112</v>
      </c>
    </row>
    <row r="487" spans="1:8"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7" s="1" t="s">
        <v>233</v>
      </c>
      <c r="D487" s="1" t="s">
        <v>112</v>
      </c>
      <c r="E487" s="1" t="s">
        <v>234</v>
      </c>
      <c r="F487" s="1" t="s">
        <v>235</v>
      </c>
      <c r="G487" s="1" t="s">
        <v>236</v>
      </c>
      <c r="H487" s="1" t="s">
        <v>1623</v>
      </c>
    </row>
    <row r="488" spans="1:8" x14ac:dyDescent="0.35">
      <c r="A488" s="1" t="str">
        <f t="shared" si="7"/>
        <v>17</v>
      </c>
      <c r="B4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88" s="1" t="s">
        <v>3742</v>
      </c>
      <c r="D488" s="1" t="s">
        <v>112</v>
      </c>
      <c r="E488" s="1" t="s">
        <v>3743</v>
      </c>
      <c r="F488" s="1" t="s">
        <v>3744</v>
      </c>
      <c r="G488" s="1" t="s">
        <v>3745</v>
      </c>
      <c r="H488" s="1" t="s">
        <v>3746</v>
      </c>
    </row>
    <row r="489" spans="1:8"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112</v>
      </c>
    </row>
    <row r="490" spans="1:8"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0" s="1" t="s">
        <v>112</v>
      </c>
    </row>
    <row r="491" spans="1:8"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8"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8"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8"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166</v>
      </c>
      <c r="D494" s="1" t="s">
        <v>110</v>
      </c>
      <c r="E494" s="1" t="s">
        <v>111</v>
      </c>
      <c r="F494" s="1" t="s">
        <v>112</v>
      </c>
      <c r="G494" s="1" t="s">
        <v>113</v>
      </c>
    </row>
    <row r="495" spans="1:8" x14ac:dyDescent="0.35">
      <c r="A495" s="1" t="str">
        <f t="shared" si="7"/>
        <v>18</v>
      </c>
      <c r="B4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5" s="1" t="s">
        <v>3747</v>
      </c>
      <c r="D495" s="1" t="s">
        <v>1569</v>
      </c>
      <c r="E495" s="1" t="s">
        <v>3748</v>
      </c>
      <c r="F495" s="1" t="s">
        <v>112</v>
      </c>
      <c r="G495" s="1">
        <v>398899</v>
      </c>
    </row>
    <row r="496" spans="1:8" x14ac:dyDescent="0.35">
      <c r="A496" s="1" t="str">
        <f t="shared" si="7"/>
        <v>18</v>
      </c>
      <c r="B4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6" s="1" t="s">
        <v>3749</v>
      </c>
      <c r="D496" s="1" t="s">
        <v>3750</v>
      </c>
      <c r="E496" s="1" t="s">
        <v>3751</v>
      </c>
      <c r="F496" s="1" t="s">
        <v>112</v>
      </c>
      <c r="G496" s="1">
        <v>295659</v>
      </c>
    </row>
    <row r="497" spans="1:7" x14ac:dyDescent="0.35">
      <c r="A497" s="1" t="str">
        <f t="shared" si="7"/>
        <v>18</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3752</v>
      </c>
      <c r="D497" s="1" t="s">
        <v>507</v>
      </c>
      <c r="E497" s="1" t="s">
        <v>3753</v>
      </c>
      <c r="F497" s="1" t="s">
        <v>112</v>
      </c>
      <c r="G497" s="1">
        <v>173191</v>
      </c>
    </row>
    <row r="498" spans="1:7" x14ac:dyDescent="0.35">
      <c r="A498" s="1" t="str">
        <f t="shared" si="7"/>
        <v>18</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8" s="1" t="s">
        <v>3754</v>
      </c>
    </row>
    <row r="499" spans="1:7" x14ac:dyDescent="0.35">
      <c r="A499" s="1" t="str">
        <f t="shared" si="7"/>
        <v>18</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9" s="1" t="s">
        <v>3755</v>
      </c>
    </row>
    <row r="500" spans="1:7" x14ac:dyDescent="0.35">
      <c r="A500" s="1" t="str">
        <f t="shared" si="7"/>
        <v>18</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3756</v>
      </c>
    </row>
    <row r="501" spans="1:7" x14ac:dyDescent="0.35">
      <c r="A501" s="1" t="str">
        <f t="shared" si="7"/>
        <v>18</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1" s="1" t="s">
        <v>3757</v>
      </c>
      <c r="D501" s="1" t="s">
        <v>1113</v>
      </c>
      <c r="E501" s="1" t="s">
        <v>3758</v>
      </c>
      <c r="F501" s="1" t="s">
        <v>112</v>
      </c>
      <c r="G501" s="1">
        <v>5645</v>
      </c>
    </row>
    <row r="502" spans="1:7" x14ac:dyDescent="0.35">
      <c r="A502" s="1" t="str">
        <f t="shared" si="7"/>
        <v>18</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2" s="1" t="s">
        <v>3759</v>
      </c>
      <c r="D502" s="1" t="s">
        <v>1334</v>
      </c>
      <c r="E502" s="1" t="s">
        <v>3760</v>
      </c>
      <c r="F502" s="1" t="s">
        <v>112</v>
      </c>
      <c r="G502" s="1">
        <v>156514</v>
      </c>
    </row>
    <row r="503" spans="1:7" x14ac:dyDescent="0.35">
      <c r="A503" s="1" t="str">
        <f t="shared" si="7"/>
        <v>18</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3761</v>
      </c>
      <c r="D503" s="1" t="s">
        <v>572</v>
      </c>
      <c r="E503" s="1" t="s">
        <v>3762</v>
      </c>
      <c r="F503" s="1" t="s">
        <v>112</v>
      </c>
      <c r="G503" s="1">
        <v>174813</v>
      </c>
    </row>
    <row r="504" spans="1:7" x14ac:dyDescent="0.35">
      <c r="A504" s="1" t="str">
        <f t="shared" si="7"/>
        <v>18</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4" s="1" t="s">
        <v>3763</v>
      </c>
      <c r="D504" s="1" t="s">
        <v>1607</v>
      </c>
      <c r="E504" s="1" t="s">
        <v>3764</v>
      </c>
      <c r="F504" s="1" t="s">
        <v>112</v>
      </c>
      <c r="G504" s="1">
        <v>75856</v>
      </c>
    </row>
    <row r="505" spans="1:7" x14ac:dyDescent="0.35">
      <c r="A505" s="1" t="str">
        <f t="shared" si="7"/>
        <v>18</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5" s="1" t="s">
        <v>3765</v>
      </c>
      <c r="D505" s="1" t="s">
        <v>1493</v>
      </c>
      <c r="E505" s="1" t="s">
        <v>3766</v>
      </c>
      <c r="F505" s="1" t="s">
        <v>112</v>
      </c>
      <c r="G505" s="1">
        <v>153572</v>
      </c>
    </row>
    <row r="506" spans="1:7" x14ac:dyDescent="0.35">
      <c r="A506" s="1" t="str">
        <f t="shared" si="7"/>
        <v>18</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3767</v>
      </c>
      <c r="D506" s="1" t="s">
        <v>210</v>
      </c>
      <c r="E506" s="1" t="s">
        <v>3768</v>
      </c>
      <c r="F506" s="1" t="s">
        <v>112</v>
      </c>
      <c r="G506" s="1">
        <v>106376</v>
      </c>
    </row>
    <row r="507" spans="1:7" x14ac:dyDescent="0.35">
      <c r="A507" s="1" t="str">
        <f t="shared" si="7"/>
        <v>18</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7" s="1" t="s">
        <v>3769</v>
      </c>
      <c r="D507" s="1" t="s">
        <v>3770</v>
      </c>
      <c r="E507" s="1" t="s">
        <v>3771</v>
      </c>
      <c r="F507" s="1" t="s">
        <v>112</v>
      </c>
      <c r="G507" s="1">
        <v>378437</v>
      </c>
    </row>
    <row r="508" spans="1:7" x14ac:dyDescent="0.35">
      <c r="A508" s="1" t="str">
        <f t="shared" si="7"/>
        <v>18</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8" s="1" t="s">
        <v>3772</v>
      </c>
      <c r="D508" s="1" t="s">
        <v>550</v>
      </c>
      <c r="E508" s="1" t="s">
        <v>3773</v>
      </c>
      <c r="F508" s="1" t="s">
        <v>112</v>
      </c>
      <c r="G508" s="1">
        <v>141092</v>
      </c>
    </row>
    <row r="509" spans="1:7" x14ac:dyDescent="0.35">
      <c r="A509" s="1" t="str">
        <f t="shared" si="7"/>
        <v>18</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3774</v>
      </c>
      <c r="D509" s="1" t="s">
        <v>3775</v>
      </c>
      <c r="E509" s="1" t="s">
        <v>3776</v>
      </c>
      <c r="F509" s="1" t="s">
        <v>112</v>
      </c>
      <c r="G509" s="1">
        <v>692243</v>
      </c>
    </row>
    <row r="510" spans="1:7" x14ac:dyDescent="0.35">
      <c r="A510" s="1" t="str">
        <f t="shared" si="7"/>
        <v>18</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0" s="1" t="s">
        <v>3777</v>
      </c>
      <c r="D510" s="1" t="s">
        <v>1287</v>
      </c>
      <c r="E510" s="1" t="s">
        <v>3778</v>
      </c>
      <c r="F510" s="1" t="s">
        <v>112</v>
      </c>
      <c r="G510" s="1">
        <v>112713</v>
      </c>
    </row>
    <row r="511" spans="1:7" x14ac:dyDescent="0.35">
      <c r="A511" s="1" t="str">
        <f t="shared" si="7"/>
        <v>18</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1" s="1" t="s">
        <v>3779</v>
      </c>
      <c r="D511" s="1" t="s">
        <v>3780</v>
      </c>
      <c r="E511" s="1" t="s">
        <v>3781</v>
      </c>
      <c r="F511" s="1" t="s">
        <v>112</v>
      </c>
      <c r="G511" s="1">
        <v>100860</v>
      </c>
    </row>
    <row r="512" spans="1:7" x14ac:dyDescent="0.35">
      <c r="A512" s="1" t="str">
        <f t="shared" si="7"/>
        <v>18</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3782</v>
      </c>
      <c r="D512" s="1" t="s">
        <v>3783</v>
      </c>
      <c r="E512" s="1" t="s">
        <v>3784</v>
      </c>
      <c r="F512" s="1" t="s">
        <v>112</v>
      </c>
      <c r="G512" s="1">
        <v>125086</v>
      </c>
    </row>
    <row r="513" spans="1:8" x14ac:dyDescent="0.35">
      <c r="A513" s="1" t="str">
        <f t="shared" si="7"/>
        <v>18</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3" s="1" t="s">
        <v>3785</v>
      </c>
      <c r="D513" s="1" t="s">
        <v>1433</v>
      </c>
      <c r="E513" s="1" t="s">
        <v>3786</v>
      </c>
      <c r="F513" s="1" t="s">
        <v>112</v>
      </c>
      <c r="G513" s="1">
        <v>241779</v>
      </c>
    </row>
    <row r="514" spans="1:8" x14ac:dyDescent="0.35">
      <c r="A514" s="1" t="str">
        <f t="shared" ref="A514:A577" si="8">IFERROR(LEFT(RIGHT(C514,LEN(C514)-SEARCH("@",C514)),SEARCH("/",RIGHT(C514,LEN(C514)-SEARCH("@",C514)-1))),"")</f>
        <v>18</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4" s="1" t="s">
        <v>3787</v>
      </c>
      <c r="D514" s="1" t="s">
        <v>183</v>
      </c>
      <c r="E514" s="1" t="s">
        <v>3788</v>
      </c>
      <c r="F514" s="1" t="s">
        <v>112</v>
      </c>
      <c r="G514" s="1">
        <v>248765</v>
      </c>
    </row>
    <row r="515" spans="1:8" x14ac:dyDescent="0.35">
      <c r="A515" s="1" t="str">
        <f t="shared" si="8"/>
        <v>18</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3789</v>
      </c>
    </row>
    <row r="516" spans="1:8" x14ac:dyDescent="0.35">
      <c r="A516" s="1" t="str">
        <f t="shared" si="8"/>
        <v>18</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6" s="1" t="s">
        <v>3790</v>
      </c>
      <c r="D516" s="1" t="s">
        <v>358</v>
      </c>
      <c r="E516" s="1" t="s">
        <v>3791</v>
      </c>
      <c r="F516" s="1" t="s">
        <v>112</v>
      </c>
      <c r="G516" s="1">
        <v>134300</v>
      </c>
    </row>
    <row r="517" spans="1:8" x14ac:dyDescent="0.35">
      <c r="A517" s="1" t="str">
        <f t="shared" si="8"/>
        <v>18</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7" s="1" t="s">
        <v>3792</v>
      </c>
      <c r="D517" s="1" t="s">
        <v>1046</v>
      </c>
      <c r="E517" s="1" t="s">
        <v>1047</v>
      </c>
      <c r="F517" s="1" t="s">
        <v>112</v>
      </c>
      <c r="G517" s="1">
        <v>1319</v>
      </c>
    </row>
    <row r="518" spans="1:8" x14ac:dyDescent="0.35">
      <c r="A518" s="1" t="str">
        <f t="shared" si="8"/>
        <v>18</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3793</v>
      </c>
      <c r="D518" s="1" t="s">
        <v>2573</v>
      </c>
      <c r="E518" s="1" t="s">
        <v>3794</v>
      </c>
      <c r="F518" s="1" t="s">
        <v>112</v>
      </c>
      <c r="G518" s="1">
        <v>221252</v>
      </c>
    </row>
    <row r="519" spans="1:8" x14ac:dyDescent="0.35">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19" s="1" t="s">
        <v>112</v>
      </c>
    </row>
    <row r="520" spans="1:8" x14ac:dyDescent="0.35">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0" s="1" t="s">
        <v>233</v>
      </c>
      <c r="D520" s="1" t="s">
        <v>112</v>
      </c>
      <c r="E520" s="1" t="s">
        <v>234</v>
      </c>
      <c r="F520" s="1" t="s">
        <v>235</v>
      </c>
      <c r="G520" s="1" t="s">
        <v>236</v>
      </c>
      <c r="H520" s="1" t="s">
        <v>1623</v>
      </c>
    </row>
    <row r="521" spans="1:8" x14ac:dyDescent="0.35">
      <c r="A521" s="1" t="str">
        <f t="shared" si="8"/>
        <v>18</v>
      </c>
      <c r="B5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1" s="1" t="s">
        <v>3795</v>
      </c>
      <c r="D521" s="1" t="s">
        <v>112</v>
      </c>
      <c r="E521" s="1" t="s">
        <v>3796</v>
      </c>
      <c r="F521" s="1" t="s">
        <v>3797</v>
      </c>
      <c r="G521" s="1" t="s">
        <v>3798</v>
      </c>
      <c r="H521" s="1" t="s">
        <v>3799</v>
      </c>
    </row>
    <row r="522" spans="1:8"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112</v>
      </c>
    </row>
    <row r="523" spans="1:8"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3" s="1" t="s">
        <v>112</v>
      </c>
    </row>
    <row r="524" spans="1:8"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8"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8"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8"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166</v>
      </c>
      <c r="D527" s="1" t="s">
        <v>110</v>
      </c>
      <c r="E527" s="1" t="s">
        <v>111</v>
      </c>
      <c r="F527" s="1" t="s">
        <v>112</v>
      </c>
      <c r="G527" s="1" t="s">
        <v>113</v>
      </c>
    </row>
    <row r="528" spans="1:8" x14ac:dyDescent="0.35">
      <c r="A528" s="1" t="str">
        <f t="shared" si="8"/>
        <v>19</v>
      </c>
      <c r="B5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28" s="1" t="s">
        <v>3800</v>
      </c>
      <c r="D528" s="1" t="s">
        <v>1759</v>
      </c>
      <c r="E528" s="1" t="s">
        <v>3801</v>
      </c>
      <c r="F528" s="1" t="s">
        <v>112</v>
      </c>
      <c r="G528" s="1">
        <v>445597</v>
      </c>
    </row>
    <row r="529" spans="1:7" x14ac:dyDescent="0.35">
      <c r="A529" s="1" t="str">
        <f t="shared" si="8"/>
        <v>19</v>
      </c>
      <c r="B5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29" s="1" t="s">
        <v>3802</v>
      </c>
      <c r="D529" s="1" t="s">
        <v>3803</v>
      </c>
      <c r="E529" s="1" t="s">
        <v>3804</v>
      </c>
      <c r="F529" s="1" t="s">
        <v>112</v>
      </c>
      <c r="G529" s="1">
        <v>421458</v>
      </c>
    </row>
    <row r="530" spans="1:7" x14ac:dyDescent="0.35">
      <c r="A530" s="1" t="str">
        <f t="shared" si="8"/>
        <v>19</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3805</v>
      </c>
      <c r="D530" s="1" t="s">
        <v>3806</v>
      </c>
      <c r="E530" s="1" t="s">
        <v>3807</v>
      </c>
      <c r="F530" s="1" t="s">
        <v>112</v>
      </c>
      <c r="G530" s="1">
        <v>452908</v>
      </c>
    </row>
    <row r="531" spans="1:7" x14ac:dyDescent="0.35">
      <c r="A531" s="1" t="str">
        <f t="shared" si="8"/>
        <v>19</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1" s="1" t="s">
        <v>3808</v>
      </c>
    </row>
    <row r="532" spans="1:7" x14ac:dyDescent="0.35">
      <c r="A532" s="1" t="str">
        <f t="shared" si="8"/>
        <v>19</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2" s="1" t="s">
        <v>3809</v>
      </c>
      <c r="D532" s="1" t="s">
        <v>1227</v>
      </c>
      <c r="E532" s="1" t="s">
        <v>3810</v>
      </c>
      <c r="F532" s="1" t="s">
        <v>112</v>
      </c>
      <c r="G532" s="1">
        <v>208923</v>
      </c>
    </row>
    <row r="533" spans="1:7" x14ac:dyDescent="0.35">
      <c r="A533" s="1" t="str">
        <f t="shared" si="8"/>
        <v>19</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3811</v>
      </c>
      <c r="D533" s="1" t="s">
        <v>1078</v>
      </c>
      <c r="E533" s="1" t="s">
        <v>3812</v>
      </c>
      <c r="F533" s="1" t="s">
        <v>112</v>
      </c>
      <c r="G533" s="1">
        <v>4218</v>
      </c>
    </row>
    <row r="534" spans="1:7" x14ac:dyDescent="0.35">
      <c r="A534" s="1" t="str">
        <f t="shared" si="8"/>
        <v>19</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4" s="1" t="s">
        <v>3813</v>
      </c>
      <c r="D534" s="1" t="s">
        <v>590</v>
      </c>
      <c r="E534" s="1" t="s">
        <v>3814</v>
      </c>
      <c r="F534" s="1" t="s">
        <v>112</v>
      </c>
      <c r="G534" s="1">
        <v>99476</v>
      </c>
    </row>
    <row r="535" spans="1:7" x14ac:dyDescent="0.35">
      <c r="A535" s="1" t="str">
        <f t="shared" si="8"/>
        <v>19</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5" s="1" t="s">
        <v>3815</v>
      </c>
    </row>
    <row r="536" spans="1:7" x14ac:dyDescent="0.35">
      <c r="A536" s="1" t="str">
        <f t="shared" si="8"/>
        <v>19</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3816</v>
      </c>
    </row>
    <row r="537" spans="1:7" x14ac:dyDescent="0.35">
      <c r="A537" s="1" t="str">
        <f t="shared" si="8"/>
        <v>19</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7" s="1" t="s">
        <v>3817</v>
      </c>
      <c r="D537" s="1" t="s">
        <v>527</v>
      </c>
      <c r="E537" s="1" t="s">
        <v>3818</v>
      </c>
      <c r="F537" s="1" t="s">
        <v>112</v>
      </c>
      <c r="G537" s="1">
        <v>225102</v>
      </c>
    </row>
    <row r="538" spans="1:7" x14ac:dyDescent="0.35">
      <c r="A538" s="1" t="str">
        <f t="shared" si="8"/>
        <v>19</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8" s="1" t="s">
        <v>3819</v>
      </c>
      <c r="D538" s="1" t="s">
        <v>2435</v>
      </c>
      <c r="E538" s="1" t="s">
        <v>3820</v>
      </c>
      <c r="F538" s="1" t="s">
        <v>112</v>
      </c>
      <c r="G538" s="1">
        <v>283352</v>
      </c>
    </row>
    <row r="539" spans="1:7" x14ac:dyDescent="0.35">
      <c r="A539" s="1" t="str">
        <f t="shared" si="8"/>
        <v>19</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3821</v>
      </c>
      <c r="D539" s="1" t="s">
        <v>3615</v>
      </c>
      <c r="E539" s="1" t="s">
        <v>3822</v>
      </c>
      <c r="F539" s="1" t="s">
        <v>112</v>
      </c>
      <c r="G539" s="1">
        <v>277425</v>
      </c>
    </row>
    <row r="540" spans="1:7" x14ac:dyDescent="0.35">
      <c r="A540" s="1" t="str">
        <f t="shared" si="8"/>
        <v>19</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0" s="1" t="s">
        <v>3823</v>
      </c>
      <c r="D540" s="1" t="s">
        <v>3824</v>
      </c>
      <c r="E540" s="1" t="s">
        <v>3825</v>
      </c>
      <c r="F540" s="1" t="s">
        <v>112</v>
      </c>
      <c r="G540" s="1">
        <v>182686</v>
      </c>
    </row>
    <row r="541" spans="1:7" x14ac:dyDescent="0.35">
      <c r="A541" s="1" t="str">
        <f t="shared" si="8"/>
        <v>19</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1" s="1" t="s">
        <v>3826</v>
      </c>
      <c r="D541" s="1" t="s">
        <v>3596</v>
      </c>
      <c r="E541" s="1" t="s">
        <v>3827</v>
      </c>
      <c r="F541" s="1" t="s">
        <v>112</v>
      </c>
      <c r="G541" s="1">
        <v>289646</v>
      </c>
    </row>
    <row r="542" spans="1:7" x14ac:dyDescent="0.35">
      <c r="A542" s="1" t="str">
        <f t="shared" si="8"/>
        <v>19</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3828</v>
      </c>
      <c r="D542" s="1" t="s">
        <v>3829</v>
      </c>
      <c r="E542" s="1" t="s">
        <v>3830</v>
      </c>
      <c r="F542" s="1" t="s">
        <v>112</v>
      </c>
      <c r="G542" s="1">
        <v>572240</v>
      </c>
    </row>
    <row r="543" spans="1:7" x14ac:dyDescent="0.35">
      <c r="A543" s="1" t="str">
        <f t="shared" si="8"/>
        <v>19</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3" s="1" t="s">
        <v>3831</v>
      </c>
      <c r="D543" s="1" t="s">
        <v>650</v>
      </c>
      <c r="E543" s="1" t="s">
        <v>3832</v>
      </c>
      <c r="F543" s="1" t="s">
        <v>112</v>
      </c>
      <c r="G543" s="1">
        <v>245196</v>
      </c>
    </row>
    <row r="544" spans="1:7" x14ac:dyDescent="0.35">
      <c r="A544" s="1" t="str">
        <f t="shared" si="8"/>
        <v>19</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4" s="1" t="s">
        <v>3833</v>
      </c>
      <c r="D544" s="1" t="s">
        <v>483</v>
      </c>
      <c r="E544" s="1" t="s">
        <v>3834</v>
      </c>
      <c r="F544" s="1" t="s">
        <v>112</v>
      </c>
      <c r="G544" s="1">
        <v>150760</v>
      </c>
    </row>
    <row r="545" spans="1:8" x14ac:dyDescent="0.35">
      <c r="A545" s="1" t="str">
        <f t="shared" si="8"/>
        <v>19</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3835</v>
      </c>
      <c r="D545" s="1" t="s">
        <v>691</v>
      </c>
      <c r="E545" s="1" t="s">
        <v>3836</v>
      </c>
      <c r="F545" s="1" t="s">
        <v>112</v>
      </c>
      <c r="G545" s="1">
        <v>311038</v>
      </c>
    </row>
    <row r="546" spans="1:8" x14ac:dyDescent="0.35">
      <c r="A546" s="1" t="str">
        <f t="shared" si="8"/>
        <v>19</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6" s="1" t="s">
        <v>3837</v>
      </c>
      <c r="D546" s="1" t="s">
        <v>1083</v>
      </c>
      <c r="E546" s="1" t="s">
        <v>3838</v>
      </c>
      <c r="F546" s="1" t="s">
        <v>112</v>
      </c>
      <c r="G546" s="1">
        <v>240351</v>
      </c>
    </row>
    <row r="547" spans="1:8" x14ac:dyDescent="0.35">
      <c r="A547" s="1" t="str">
        <f t="shared" si="8"/>
        <v>19</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7" s="1" t="s">
        <v>3839</v>
      </c>
      <c r="D547" s="1" t="s">
        <v>3840</v>
      </c>
      <c r="E547" s="1" t="s">
        <v>3841</v>
      </c>
      <c r="F547" s="1" t="s">
        <v>112</v>
      </c>
      <c r="G547" s="1">
        <v>503695</v>
      </c>
    </row>
    <row r="548" spans="1:8" x14ac:dyDescent="0.35">
      <c r="A548" s="1" t="str">
        <f t="shared" si="8"/>
        <v>19</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3842</v>
      </c>
      <c r="D548" s="1" t="s">
        <v>3843</v>
      </c>
      <c r="E548" s="1" t="s">
        <v>3844</v>
      </c>
      <c r="F548" s="1" t="s">
        <v>112</v>
      </c>
      <c r="G548" s="1">
        <v>485613</v>
      </c>
    </row>
    <row r="549" spans="1:8" x14ac:dyDescent="0.35">
      <c r="A549" s="1" t="str">
        <f t="shared" si="8"/>
        <v>19</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49" s="1" t="s">
        <v>3845</v>
      </c>
      <c r="D549" s="1" t="s">
        <v>984</v>
      </c>
      <c r="E549" s="1" t="s">
        <v>3846</v>
      </c>
      <c r="F549" s="1" t="s">
        <v>112</v>
      </c>
      <c r="G549" s="1">
        <v>320901</v>
      </c>
    </row>
    <row r="550" spans="1:8" x14ac:dyDescent="0.35">
      <c r="A550" s="1" t="str">
        <f t="shared" si="8"/>
        <v>19</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0" s="1" t="s">
        <v>3847</v>
      </c>
      <c r="D550" s="1" t="s">
        <v>3119</v>
      </c>
      <c r="E550" s="1" t="s">
        <v>3848</v>
      </c>
      <c r="F550" s="1" t="s">
        <v>112</v>
      </c>
      <c r="G550" s="1">
        <v>398985</v>
      </c>
    </row>
    <row r="551" spans="1:8" x14ac:dyDescent="0.35">
      <c r="A551" s="1" t="str">
        <f t="shared" si="8"/>
        <v>19</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3849</v>
      </c>
      <c r="D551" s="1" t="s">
        <v>3850</v>
      </c>
      <c r="E551" s="1" t="s">
        <v>3851</v>
      </c>
      <c r="F551" s="1" t="s">
        <v>112</v>
      </c>
      <c r="G551" s="1">
        <v>590885</v>
      </c>
    </row>
    <row r="552" spans="1:8" x14ac:dyDescent="0.35">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2" s="1" t="s">
        <v>112</v>
      </c>
    </row>
    <row r="553" spans="1:8" x14ac:dyDescent="0.35">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3" s="1" t="s">
        <v>233</v>
      </c>
      <c r="D553" s="1" t="s">
        <v>112</v>
      </c>
      <c r="E553" s="1" t="s">
        <v>234</v>
      </c>
      <c r="F553" s="1" t="s">
        <v>235</v>
      </c>
      <c r="G553" s="1" t="s">
        <v>236</v>
      </c>
      <c r="H553" s="1" t="s">
        <v>1623</v>
      </c>
    </row>
    <row r="554" spans="1:8" x14ac:dyDescent="0.35">
      <c r="A554" s="1" t="str">
        <f t="shared" si="8"/>
        <v>19</v>
      </c>
      <c r="B5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4" s="1" t="s">
        <v>3852</v>
      </c>
      <c r="D554" s="1" t="s">
        <v>112</v>
      </c>
      <c r="E554" s="1" t="s">
        <v>3853</v>
      </c>
      <c r="F554" s="1" t="s">
        <v>3854</v>
      </c>
      <c r="G554" s="1" t="s">
        <v>3855</v>
      </c>
      <c r="H554" s="1" t="s">
        <v>3856</v>
      </c>
    </row>
    <row r="555" spans="1:8"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112</v>
      </c>
    </row>
    <row r="556" spans="1:8"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6" s="1" t="s">
        <v>112</v>
      </c>
    </row>
    <row r="557" spans="1:8"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8"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8"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8"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166</v>
      </c>
      <c r="D560" s="1" t="s">
        <v>110</v>
      </c>
      <c r="E560" s="1" t="s">
        <v>111</v>
      </c>
      <c r="F560" s="1" t="s">
        <v>112</v>
      </c>
      <c r="G560" s="1" t="s">
        <v>113</v>
      </c>
    </row>
    <row r="561" spans="1:7" x14ac:dyDescent="0.35">
      <c r="A561" s="1" t="str">
        <f t="shared" si="8"/>
        <v>20</v>
      </c>
      <c r="B5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1" s="1" t="s">
        <v>3857</v>
      </c>
      <c r="D561" s="1" t="s">
        <v>981</v>
      </c>
      <c r="E561" s="1" t="s">
        <v>3858</v>
      </c>
      <c r="F561" s="1" t="s">
        <v>112</v>
      </c>
      <c r="G561" s="1">
        <v>152534</v>
      </c>
    </row>
    <row r="562" spans="1:7" x14ac:dyDescent="0.35">
      <c r="A562" s="1" t="str">
        <f t="shared" si="8"/>
        <v>20</v>
      </c>
      <c r="B5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2" s="1" t="s">
        <v>3859</v>
      </c>
      <c r="D562" s="1" t="s">
        <v>1284</v>
      </c>
      <c r="E562" s="1" t="s">
        <v>3860</v>
      </c>
      <c r="F562" s="1" t="s">
        <v>112</v>
      </c>
      <c r="G562" s="1">
        <v>105965</v>
      </c>
    </row>
    <row r="563" spans="1:7" x14ac:dyDescent="0.35">
      <c r="A563" s="1" t="str">
        <f t="shared" si="8"/>
        <v>20</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3861</v>
      </c>
      <c r="D563" s="1" t="s">
        <v>3862</v>
      </c>
      <c r="E563" s="1" t="s">
        <v>3863</v>
      </c>
      <c r="F563" s="1" t="s">
        <v>112</v>
      </c>
      <c r="G563" s="1">
        <v>155065</v>
      </c>
    </row>
    <row r="564" spans="1:7" x14ac:dyDescent="0.35">
      <c r="A564" s="1" t="str">
        <f t="shared" si="8"/>
        <v>20</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4" s="1" t="s">
        <v>3864</v>
      </c>
      <c r="D564" s="1" t="s">
        <v>1962</v>
      </c>
      <c r="E564" s="1" t="s">
        <v>3865</v>
      </c>
      <c r="F564" s="1" t="s">
        <v>112</v>
      </c>
      <c r="G564" s="1">
        <v>277879</v>
      </c>
    </row>
    <row r="565" spans="1:7" x14ac:dyDescent="0.35">
      <c r="A565" s="1" t="str">
        <f t="shared" si="8"/>
        <v>20</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5" s="1" t="s">
        <v>3866</v>
      </c>
      <c r="D565" s="1" t="s">
        <v>1980</v>
      </c>
      <c r="E565" s="1" t="s">
        <v>3867</v>
      </c>
      <c r="F565" s="1" t="s">
        <v>112</v>
      </c>
      <c r="G565" s="1">
        <v>184698</v>
      </c>
    </row>
    <row r="566" spans="1:7" x14ac:dyDescent="0.35">
      <c r="A566" s="1" t="str">
        <f t="shared" si="8"/>
        <v>20</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3868</v>
      </c>
      <c r="D566" s="1" t="s">
        <v>2618</v>
      </c>
      <c r="E566" s="1" t="s">
        <v>3869</v>
      </c>
      <c r="F566" s="1" t="s">
        <v>112</v>
      </c>
      <c r="G566" s="1">
        <v>228606</v>
      </c>
    </row>
    <row r="567" spans="1:7" x14ac:dyDescent="0.35">
      <c r="A567" s="1" t="str">
        <f t="shared" si="8"/>
        <v>20</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7" s="1" t="s">
        <v>3870</v>
      </c>
      <c r="D567" s="1" t="s">
        <v>504</v>
      </c>
      <c r="E567" s="1" t="s">
        <v>3871</v>
      </c>
      <c r="F567" s="1" t="s">
        <v>112</v>
      </c>
      <c r="G567" s="1">
        <v>185931</v>
      </c>
    </row>
    <row r="568" spans="1:7" x14ac:dyDescent="0.35">
      <c r="A568" s="1" t="str">
        <f t="shared" si="8"/>
        <v>20</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8" s="1" t="s">
        <v>3872</v>
      </c>
      <c r="D568" s="1" t="s">
        <v>1962</v>
      </c>
      <c r="E568" s="1" t="s">
        <v>3873</v>
      </c>
      <c r="F568" s="1" t="s">
        <v>112</v>
      </c>
      <c r="G568" s="1">
        <v>259667</v>
      </c>
    </row>
    <row r="569" spans="1:7" x14ac:dyDescent="0.35">
      <c r="A569" s="1" t="str">
        <f t="shared" si="8"/>
        <v>20</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3874</v>
      </c>
      <c r="D569" s="1" t="s">
        <v>566</v>
      </c>
      <c r="E569" s="1" t="s">
        <v>3875</v>
      </c>
      <c r="F569" s="1" t="s">
        <v>112</v>
      </c>
      <c r="G569" s="1">
        <v>217683</v>
      </c>
    </row>
    <row r="570" spans="1:7" x14ac:dyDescent="0.35">
      <c r="A570" s="1" t="str">
        <f t="shared" si="8"/>
        <v>20</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0" s="1" t="s">
        <v>3876</v>
      </c>
      <c r="D570" s="1" t="s">
        <v>1602</v>
      </c>
      <c r="E570" s="1" t="s">
        <v>3877</v>
      </c>
      <c r="F570" s="1" t="s">
        <v>112</v>
      </c>
      <c r="G570" s="1">
        <v>305955</v>
      </c>
    </row>
    <row r="571" spans="1:7" x14ac:dyDescent="0.35">
      <c r="A571" s="1" t="str">
        <f t="shared" si="8"/>
        <v>20</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1" s="1" t="s">
        <v>3878</v>
      </c>
      <c r="D571" s="1" t="s">
        <v>483</v>
      </c>
      <c r="E571" s="1" t="s">
        <v>3879</v>
      </c>
      <c r="F571" s="1" t="s">
        <v>112</v>
      </c>
      <c r="G571" s="1">
        <v>157357</v>
      </c>
    </row>
    <row r="572" spans="1:7" x14ac:dyDescent="0.35">
      <c r="A572" s="1" t="str">
        <f t="shared" si="8"/>
        <v>20</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3880</v>
      </c>
      <c r="D572" s="1" t="s">
        <v>2671</v>
      </c>
      <c r="E572" s="1" t="s">
        <v>3881</v>
      </c>
      <c r="F572" s="1" t="s">
        <v>112</v>
      </c>
      <c r="G572" s="1">
        <v>300180</v>
      </c>
    </row>
    <row r="573" spans="1:7" x14ac:dyDescent="0.35">
      <c r="A573" s="1" t="str">
        <f t="shared" si="8"/>
        <v>20</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3" s="1" t="s">
        <v>3882</v>
      </c>
    </row>
    <row r="574" spans="1:7" x14ac:dyDescent="0.35">
      <c r="A574" s="1" t="str">
        <f t="shared" si="8"/>
        <v>20</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4" s="1" t="s">
        <v>3883</v>
      </c>
    </row>
    <row r="575" spans="1:7" x14ac:dyDescent="0.35">
      <c r="A575" s="1" t="str">
        <f t="shared" si="8"/>
        <v>20</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3884</v>
      </c>
    </row>
    <row r="576" spans="1:7" x14ac:dyDescent="0.35">
      <c r="A576" s="1" t="str">
        <f t="shared" si="8"/>
        <v>20</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6" s="1" t="s">
        <v>3885</v>
      </c>
    </row>
    <row r="577" spans="1:8" x14ac:dyDescent="0.35">
      <c r="A577" s="1" t="str">
        <f t="shared" si="8"/>
        <v>20</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7" s="1" t="s">
        <v>3886</v>
      </c>
      <c r="D577" s="1" t="s">
        <v>2671</v>
      </c>
      <c r="E577" s="1" t="s">
        <v>3887</v>
      </c>
      <c r="F577" s="1" t="s">
        <v>112</v>
      </c>
      <c r="G577" s="1">
        <v>303359</v>
      </c>
    </row>
    <row r="578" spans="1:8" x14ac:dyDescent="0.35">
      <c r="A578" s="1" t="str">
        <f t="shared" ref="A578:A641" si="9">IFERROR(LEFT(RIGHT(C578,LEN(C578)-SEARCH("@",C578)),SEARCH("/",RIGHT(C578,LEN(C578)-SEARCH("@",C578)-1))),"")</f>
        <v>20</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3888</v>
      </c>
      <c r="D578" s="1" t="s">
        <v>477</v>
      </c>
      <c r="E578" s="1" t="s">
        <v>3889</v>
      </c>
      <c r="F578" s="1" t="s">
        <v>112</v>
      </c>
      <c r="G578" s="1">
        <v>234165</v>
      </c>
    </row>
    <row r="579" spans="1:8" x14ac:dyDescent="0.35">
      <c r="A579" s="1" t="str">
        <f t="shared" si="9"/>
        <v>20</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79" s="1" t="s">
        <v>3890</v>
      </c>
      <c r="D579" s="1" t="s">
        <v>2481</v>
      </c>
      <c r="E579" s="1" t="s">
        <v>3891</v>
      </c>
      <c r="F579" s="1" t="s">
        <v>112</v>
      </c>
      <c r="G579" s="1">
        <v>386634</v>
      </c>
    </row>
    <row r="580" spans="1:8" x14ac:dyDescent="0.35">
      <c r="A580" s="1" t="str">
        <f t="shared" si="9"/>
        <v>20</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0" s="1" t="s">
        <v>3892</v>
      </c>
      <c r="D580" s="1" t="s">
        <v>2362</v>
      </c>
      <c r="E580" s="1" t="s">
        <v>3893</v>
      </c>
      <c r="F580" s="1" t="s">
        <v>112</v>
      </c>
      <c r="G580" s="1">
        <v>448020</v>
      </c>
    </row>
    <row r="581" spans="1:8" x14ac:dyDescent="0.35">
      <c r="A581" s="1" t="str">
        <f t="shared" si="9"/>
        <v>20</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3894</v>
      </c>
      <c r="D581" s="1" t="s">
        <v>2545</v>
      </c>
      <c r="E581" s="1" t="s">
        <v>3895</v>
      </c>
      <c r="F581" s="1" t="s">
        <v>112</v>
      </c>
      <c r="G581" s="1">
        <v>438114</v>
      </c>
    </row>
    <row r="582" spans="1:8" x14ac:dyDescent="0.35">
      <c r="A582" s="1" t="str">
        <f t="shared" si="9"/>
        <v>20</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2" s="1" t="s">
        <v>3896</v>
      </c>
      <c r="D582" s="1" t="s">
        <v>572</v>
      </c>
      <c r="E582" s="1" t="s">
        <v>3897</v>
      </c>
      <c r="F582" s="1" t="s">
        <v>112</v>
      </c>
      <c r="G582" s="1">
        <v>174878</v>
      </c>
    </row>
    <row r="583" spans="1:8" x14ac:dyDescent="0.35">
      <c r="A583" s="1" t="str">
        <f t="shared" si="9"/>
        <v>20</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3" s="1" t="s">
        <v>3898</v>
      </c>
      <c r="D583" s="1" t="s">
        <v>1480</v>
      </c>
      <c r="E583" s="1" t="s">
        <v>3899</v>
      </c>
      <c r="F583" s="1" t="s">
        <v>112</v>
      </c>
      <c r="G583" s="1">
        <v>122555</v>
      </c>
    </row>
    <row r="584" spans="1:8" x14ac:dyDescent="0.35">
      <c r="A584" s="1" t="str">
        <f t="shared" si="9"/>
        <v>20</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3900</v>
      </c>
      <c r="D584" s="1" t="s">
        <v>1344</v>
      </c>
      <c r="E584" s="1" t="s">
        <v>3901</v>
      </c>
      <c r="F584" s="1" t="s">
        <v>112</v>
      </c>
      <c r="G584" s="1">
        <v>64198</v>
      </c>
    </row>
    <row r="585" spans="1:8" x14ac:dyDescent="0.35">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5" s="1" t="s">
        <v>112</v>
      </c>
    </row>
    <row r="586" spans="1:8" x14ac:dyDescent="0.35">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6" s="1" t="s">
        <v>233</v>
      </c>
      <c r="D586" s="1" t="s">
        <v>112</v>
      </c>
      <c r="E586" s="1" t="s">
        <v>234</v>
      </c>
      <c r="F586" s="1" t="s">
        <v>235</v>
      </c>
      <c r="G586" s="1" t="s">
        <v>236</v>
      </c>
      <c r="H586" s="1" t="s">
        <v>1623</v>
      </c>
    </row>
    <row r="587" spans="1:8" x14ac:dyDescent="0.35">
      <c r="A587" s="1" t="str">
        <f t="shared" si="9"/>
        <v>20</v>
      </c>
      <c r="B5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7" s="1" t="s">
        <v>3902</v>
      </c>
      <c r="D587" s="1" t="s">
        <v>112</v>
      </c>
      <c r="E587" s="1" t="s">
        <v>3903</v>
      </c>
      <c r="F587" s="1" t="s">
        <v>3904</v>
      </c>
      <c r="G587" s="1" t="s">
        <v>3905</v>
      </c>
      <c r="H587" s="1" t="s">
        <v>3906</v>
      </c>
    </row>
    <row r="588" spans="1:8"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112</v>
      </c>
    </row>
    <row r="589" spans="1:8"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9" s="1" t="s">
        <v>112</v>
      </c>
    </row>
    <row r="590" spans="1:8"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8"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8"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166</v>
      </c>
      <c r="D593" s="1" t="s">
        <v>110</v>
      </c>
      <c r="E593" s="1" t="s">
        <v>111</v>
      </c>
      <c r="F593" s="1" t="s">
        <v>112</v>
      </c>
      <c r="G593" s="1" t="s">
        <v>113</v>
      </c>
    </row>
    <row r="594" spans="1:7" x14ac:dyDescent="0.35">
      <c r="A594" s="1" t="str">
        <f t="shared" si="9"/>
        <v>21</v>
      </c>
      <c r="B5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4" s="1" t="s">
        <v>3907</v>
      </c>
      <c r="D594" s="1" t="s">
        <v>3908</v>
      </c>
      <c r="E594" s="1" t="s">
        <v>3909</v>
      </c>
      <c r="F594" s="1" t="s">
        <v>112</v>
      </c>
      <c r="G594" s="1">
        <v>380838</v>
      </c>
    </row>
    <row r="595" spans="1:7" x14ac:dyDescent="0.35">
      <c r="A595" s="1" t="str">
        <f t="shared" si="9"/>
        <v>21</v>
      </c>
      <c r="B5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5" s="1" t="s">
        <v>3910</v>
      </c>
      <c r="D595" s="1" t="s">
        <v>1669</v>
      </c>
      <c r="E595" s="1" t="s">
        <v>3911</v>
      </c>
      <c r="F595" s="1" t="s">
        <v>112</v>
      </c>
      <c r="G595" s="1">
        <v>671933</v>
      </c>
    </row>
    <row r="596" spans="1:7" x14ac:dyDescent="0.35">
      <c r="A596" s="1" t="str">
        <f t="shared" si="9"/>
        <v>21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3912</v>
      </c>
      <c r="D596" s="1" t="s">
        <v>530</v>
      </c>
      <c r="E596" s="1" t="s">
        <v>3913</v>
      </c>
      <c r="F596" s="1" t="s">
        <v>112</v>
      </c>
      <c r="G596" s="1">
        <v>409973</v>
      </c>
    </row>
    <row r="597" spans="1:7" x14ac:dyDescent="0.35">
      <c r="A597" s="1" t="str">
        <f t="shared" si="9"/>
        <v>21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7" s="1" t="s">
        <v>3914</v>
      </c>
      <c r="D597" s="1" t="s">
        <v>1433</v>
      </c>
      <c r="E597" s="1" t="s">
        <v>3915</v>
      </c>
      <c r="F597" s="1" t="s">
        <v>112</v>
      </c>
      <c r="G597" s="1">
        <v>213725</v>
      </c>
    </row>
    <row r="598" spans="1:7" x14ac:dyDescent="0.35">
      <c r="A598" s="1" t="str">
        <f t="shared" si="9"/>
        <v>21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8" s="1" t="s">
        <v>3916</v>
      </c>
      <c r="D598" s="1" t="s">
        <v>1619</v>
      </c>
      <c r="E598" s="1" t="s">
        <v>3917</v>
      </c>
      <c r="F598" s="1" t="s">
        <v>112</v>
      </c>
      <c r="G598" s="1">
        <v>99692</v>
      </c>
    </row>
    <row r="599" spans="1:7" x14ac:dyDescent="0.35">
      <c r="A599" s="1" t="str">
        <f t="shared" si="9"/>
        <v>21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3918</v>
      </c>
      <c r="D599" s="1" t="s">
        <v>2587</v>
      </c>
      <c r="E599" s="1" t="s">
        <v>3919</v>
      </c>
      <c r="F599" s="1" t="s">
        <v>112</v>
      </c>
      <c r="G599" s="1">
        <v>284779</v>
      </c>
    </row>
    <row r="600" spans="1:7" x14ac:dyDescent="0.35">
      <c r="A600" s="1" t="str">
        <f t="shared" si="9"/>
        <v>21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0" s="1" t="s">
        <v>3920</v>
      </c>
      <c r="D600" s="1" t="s">
        <v>198</v>
      </c>
      <c r="E600" s="1" t="s">
        <v>3921</v>
      </c>
      <c r="F600" s="1" t="s">
        <v>112</v>
      </c>
      <c r="G600" s="1">
        <v>230445</v>
      </c>
    </row>
    <row r="601" spans="1:7" x14ac:dyDescent="0.35">
      <c r="A601" s="1" t="str">
        <f t="shared" si="9"/>
        <v>21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1" s="1" t="s">
        <v>3922</v>
      </c>
      <c r="D601" s="1" t="s">
        <v>1011</v>
      </c>
      <c r="E601" s="1" t="s">
        <v>3923</v>
      </c>
      <c r="F601" s="1" t="s">
        <v>112</v>
      </c>
      <c r="G601" s="1">
        <v>215823</v>
      </c>
    </row>
    <row r="602" spans="1:7" x14ac:dyDescent="0.35">
      <c r="A602" s="1" t="str">
        <f t="shared" si="9"/>
        <v>21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3924</v>
      </c>
      <c r="D602" s="1" t="s">
        <v>2573</v>
      </c>
      <c r="E602" s="1" t="s">
        <v>3925</v>
      </c>
      <c r="F602" s="1" t="s">
        <v>112</v>
      </c>
      <c r="G602" s="1">
        <v>216018</v>
      </c>
    </row>
    <row r="603" spans="1:7" x14ac:dyDescent="0.35">
      <c r="A603" s="1" t="str">
        <f t="shared" si="9"/>
        <v>21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3" s="1" t="s">
        <v>3926</v>
      </c>
      <c r="D603" s="1" t="s">
        <v>1046</v>
      </c>
      <c r="E603" s="1">
        <v>30</v>
      </c>
      <c r="F603" s="1" t="s">
        <v>112</v>
      </c>
      <c r="G603" s="1">
        <v>1298</v>
      </c>
    </row>
    <row r="604" spans="1:7" x14ac:dyDescent="0.35">
      <c r="A604" s="1" t="str">
        <f t="shared" si="9"/>
        <v>21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4" s="1" t="s">
        <v>3927</v>
      </c>
      <c r="D604" s="1" t="s">
        <v>3928</v>
      </c>
      <c r="E604" s="1" t="s">
        <v>3929</v>
      </c>
      <c r="F604" s="1" t="s">
        <v>112</v>
      </c>
      <c r="G604" s="1">
        <v>501338</v>
      </c>
    </row>
    <row r="605" spans="1:7" x14ac:dyDescent="0.35">
      <c r="A605" s="1" t="str">
        <f t="shared" si="9"/>
        <v>21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3930</v>
      </c>
      <c r="D605" s="1" t="s">
        <v>3931</v>
      </c>
      <c r="E605" s="1" t="s">
        <v>3932</v>
      </c>
      <c r="F605" s="1" t="s">
        <v>112</v>
      </c>
      <c r="G605" s="1">
        <v>587230</v>
      </c>
    </row>
    <row r="606" spans="1:7" x14ac:dyDescent="0.35">
      <c r="A606" s="1" t="str">
        <f t="shared" si="9"/>
        <v>21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6" s="1" t="s">
        <v>3933</v>
      </c>
      <c r="D606" s="1">
        <v>0</v>
      </c>
      <c r="E606" s="1">
        <v>0</v>
      </c>
      <c r="F606" s="1" t="s">
        <v>112</v>
      </c>
      <c r="G606" s="1">
        <v>0</v>
      </c>
    </row>
    <row r="607" spans="1:7" x14ac:dyDescent="0.35">
      <c r="A607" s="1" t="str">
        <f t="shared" si="9"/>
        <v>21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7" s="1" t="s">
        <v>3934</v>
      </c>
      <c r="D607" s="1" t="s">
        <v>653</v>
      </c>
      <c r="E607" s="1" t="s">
        <v>3935</v>
      </c>
      <c r="F607" s="1" t="s">
        <v>112</v>
      </c>
      <c r="G607" s="1">
        <v>79641</v>
      </c>
    </row>
    <row r="608" spans="1:7" x14ac:dyDescent="0.35">
      <c r="A608" s="1" t="str">
        <f t="shared" si="9"/>
        <v>21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3936</v>
      </c>
      <c r="D608" s="1" t="s">
        <v>2492</v>
      </c>
      <c r="E608" s="1" t="s">
        <v>3937</v>
      </c>
      <c r="F608" s="1" t="s">
        <v>112</v>
      </c>
      <c r="G608" s="1">
        <v>121711</v>
      </c>
    </row>
    <row r="609" spans="1:8" x14ac:dyDescent="0.35">
      <c r="A609" s="1" t="str">
        <f t="shared" si="9"/>
        <v>21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09" s="1" t="s">
        <v>3938</v>
      </c>
      <c r="D609" s="1" t="s">
        <v>569</v>
      </c>
      <c r="E609" s="1" t="s">
        <v>1904</v>
      </c>
      <c r="F609" s="1" t="s">
        <v>112</v>
      </c>
      <c r="G609" s="1">
        <v>184287</v>
      </c>
    </row>
    <row r="610" spans="1:8" x14ac:dyDescent="0.35">
      <c r="A610" s="1" t="str">
        <f t="shared" si="9"/>
        <v>21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0" s="1" t="s">
        <v>3939</v>
      </c>
      <c r="D610" s="1" t="s">
        <v>1060</v>
      </c>
      <c r="E610" s="1" t="s">
        <v>3940</v>
      </c>
      <c r="F610" s="1" t="s">
        <v>112</v>
      </c>
      <c r="G610" s="1">
        <v>145915</v>
      </c>
    </row>
    <row r="611" spans="1:8" x14ac:dyDescent="0.35">
      <c r="A611" s="1" t="str">
        <f t="shared" si="9"/>
        <v>21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3941</v>
      </c>
      <c r="D611" s="1" t="s">
        <v>3942</v>
      </c>
      <c r="E611" s="1" t="s">
        <v>3943</v>
      </c>
      <c r="F611" s="1" t="s">
        <v>112</v>
      </c>
      <c r="G611" s="1">
        <v>334506</v>
      </c>
    </row>
    <row r="612" spans="1:8" x14ac:dyDescent="0.35">
      <c r="A612" s="1" t="str">
        <f t="shared" si="9"/>
        <v>21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2" s="1" t="s">
        <v>3944</v>
      </c>
      <c r="D612" s="1" t="s">
        <v>2728</v>
      </c>
      <c r="E612" s="1" t="s">
        <v>3945</v>
      </c>
      <c r="F612" s="1" t="s">
        <v>112</v>
      </c>
      <c r="G612" s="1">
        <v>127032</v>
      </c>
    </row>
    <row r="613" spans="1:8" x14ac:dyDescent="0.35">
      <c r="A613" s="1" t="str">
        <f t="shared" si="9"/>
        <v>21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3" s="1" t="s">
        <v>3946</v>
      </c>
      <c r="D613" s="1" t="s">
        <v>1258</v>
      </c>
      <c r="E613" s="1" t="s">
        <v>3947</v>
      </c>
      <c r="F613" s="1" t="s">
        <v>112</v>
      </c>
      <c r="G613" s="1">
        <v>208880</v>
      </c>
    </row>
    <row r="614" spans="1:8" x14ac:dyDescent="0.35">
      <c r="A614" s="1" t="str">
        <f t="shared" si="9"/>
        <v>21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3948</v>
      </c>
      <c r="D614" s="1" t="s">
        <v>578</v>
      </c>
      <c r="E614" s="1" t="s">
        <v>3949</v>
      </c>
      <c r="F614" s="1" t="s">
        <v>112</v>
      </c>
      <c r="G614" s="1">
        <v>163349</v>
      </c>
    </row>
    <row r="615" spans="1:8" x14ac:dyDescent="0.35">
      <c r="A615" s="1" t="str">
        <f t="shared" si="9"/>
        <v>21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5" s="1" t="s">
        <v>3950</v>
      </c>
      <c r="D615" s="1" t="s">
        <v>3951</v>
      </c>
      <c r="E615" s="1" t="s">
        <v>3952</v>
      </c>
      <c r="F615" s="1" t="s">
        <v>112</v>
      </c>
      <c r="G615" s="1">
        <v>209291</v>
      </c>
    </row>
    <row r="616" spans="1:8" x14ac:dyDescent="0.35">
      <c r="A616" s="1" t="str">
        <f t="shared" si="9"/>
        <v>21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6" s="1" t="s">
        <v>3953</v>
      </c>
      <c r="D616" s="1" t="s">
        <v>634</v>
      </c>
      <c r="E616" s="1" t="s">
        <v>3954</v>
      </c>
      <c r="F616" s="1" t="s">
        <v>112</v>
      </c>
      <c r="G616" s="1">
        <v>323216</v>
      </c>
    </row>
    <row r="617" spans="1:8" x14ac:dyDescent="0.35">
      <c r="A617" s="1" t="str">
        <f t="shared" si="9"/>
        <v>21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3955</v>
      </c>
      <c r="D617" s="1" t="s">
        <v>3956</v>
      </c>
      <c r="E617" s="1" t="s">
        <v>3957</v>
      </c>
      <c r="F617" s="1" t="s">
        <v>112</v>
      </c>
      <c r="G617" s="1">
        <v>226378</v>
      </c>
    </row>
    <row r="618" spans="1:8" x14ac:dyDescent="0.35">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8" s="1" t="s">
        <v>112</v>
      </c>
    </row>
    <row r="619" spans="1:8" x14ac:dyDescent="0.35">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9" s="1" t="s">
        <v>233</v>
      </c>
      <c r="D619" s="1" t="s">
        <v>112</v>
      </c>
      <c r="E619" s="1" t="s">
        <v>234</v>
      </c>
      <c r="F619" s="1" t="s">
        <v>235</v>
      </c>
      <c r="G619" s="1" t="s">
        <v>236</v>
      </c>
      <c r="H619" s="1" t="s">
        <v>1623</v>
      </c>
    </row>
    <row r="620" spans="1:8" x14ac:dyDescent="0.35">
      <c r="A620" s="1" t="str">
        <f t="shared" si="9"/>
        <v>21</v>
      </c>
      <c r="B6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0" s="1" t="s">
        <v>3958</v>
      </c>
      <c r="D620" s="1" t="s">
        <v>112</v>
      </c>
      <c r="E620" s="1" t="s">
        <v>3959</v>
      </c>
      <c r="F620" s="1" t="s">
        <v>3960</v>
      </c>
      <c r="G620" s="1" t="s">
        <v>3961</v>
      </c>
      <c r="H620" s="1" t="s">
        <v>3962</v>
      </c>
    </row>
    <row r="621" spans="1:8"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112</v>
      </c>
    </row>
    <row r="622" spans="1:8"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2" s="1" t="s">
        <v>112</v>
      </c>
    </row>
    <row r="623" spans="1:8"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8"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166</v>
      </c>
      <c r="D626" s="1" t="s">
        <v>110</v>
      </c>
      <c r="E626" s="1" t="s">
        <v>111</v>
      </c>
      <c r="F626" s="1" t="s">
        <v>112</v>
      </c>
      <c r="G626" s="1" t="s">
        <v>113</v>
      </c>
    </row>
    <row r="627" spans="1:7" x14ac:dyDescent="0.35">
      <c r="A627" s="1" t="str">
        <f t="shared" si="9"/>
        <v>8</v>
      </c>
      <c r="B6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7" s="1" t="s">
        <v>3963</v>
      </c>
      <c r="D627" s="1" t="s">
        <v>3964</v>
      </c>
      <c r="E627" s="1" t="s">
        <v>3965</v>
      </c>
      <c r="F627" s="1" t="s">
        <v>112</v>
      </c>
      <c r="G627" s="1">
        <v>353368</v>
      </c>
    </row>
    <row r="628" spans="1:7" x14ac:dyDescent="0.35">
      <c r="A628" s="1" t="str">
        <f t="shared" si="9"/>
        <v>8</v>
      </c>
      <c r="B6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8" s="1" t="s">
        <v>3966</v>
      </c>
      <c r="D628" s="1" t="s">
        <v>581</v>
      </c>
      <c r="E628" s="1" t="s">
        <v>3967</v>
      </c>
      <c r="F628" s="1" t="s">
        <v>112</v>
      </c>
      <c r="G628" s="1">
        <v>76354</v>
      </c>
    </row>
    <row r="629" spans="1:7" x14ac:dyDescent="0.35">
      <c r="A629" s="1" t="str">
        <f t="shared" si="9"/>
        <v>8</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3968</v>
      </c>
      <c r="D629" s="1" t="s">
        <v>3969</v>
      </c>
      <c r="E629" s="1" t="s">
        <v>3970</v>
      </c>
      <c r="F629" s="1" t="s">
        <v>112</v>
      </c>
      <c r="G629" s="1">
        <v>308745</v>
      </c>
    </row>
    <row r="630" spans="1:7" x14ac:dyDescent="0.35">
      <c r="A630" s="1" t="str">
        <f t="shared" si="9"/>
        <v>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0" s="1" t="s">
        <v>3971</v>
      </c>
      <c r="D630" s="1" t="s">
        <v>703</v>
      </c>
      <c r="E630" s="1" t="s">
        <v>3972</v>
      </c>
      <c r="F630" s="1" t="s">
        <v>112</v>
      </c>
      <c r="G630" s="1">
        <v>282551</v>
      </c>
    </row>
    <row r="631" spans="1:7" x14ac:dyDescent="0.35">
      <c r="A631" s="1" t="str">
        <f t="shared" si="9"/>
        <v>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1" s="1" t="s">
        <v>3973</v>
      </c>
      <c r="D631" s="1" t="s">
        <v>1189</v>
      </c>
      <c r="E631" s="1" t="s">
        <v>3974</v>
      </c>
      <c r="F631" s="1" t="s">
        <v>112</v>
      </c>
      <c r="G631" s="1">
        <v>354795</v>
      </c>
    </row>
    <row r="632" spans="1:7" x14ac:dyDescent="0.35">
      <c r="A632" s="1" t="str">
        <f t="shared" si="9"/>
        <v>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3975</v>
      </c>
      <c r="D632" s="1" t="s">
        <v>3733</v>
      </c>
      <c r="E632" s="1" t="s">
        <v>3976</v>
      </c>
      <c r="F632" s="1" t="s">
        <v>112</v>
      </c>
      <c r="G632" s="1">
        <v>327433</v>
      </c>
    </row>
    <row r="633" spans="1:7" x14ac:dyDescent="0.35">
      <c r="A633" s="1" t="str">
        <f t="shared" si="9"/>
        <v>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3" s="1" t="s">
        <v>3977</v>
      </c>
      <c r="D633" s="1" t="s">
        <v>3668</v>
      </c>
      <c r="E633" s="1" t="s">
        <v>3978</v>
      </c>
      <c r="F633" s="1" t="s">
        <v>112</v>
      </c>
      <c r="G633" s="1">
        <v>481763</v>
      </c>
    </row>
    <row r="634" spans="1:7" x14ac:dyDescent="0.35">
      <c r="A634" s="1" t="str">
        <f t="shared" si="9"/>
        <v>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4" s="1" t="s">
        <v>3979</v>
      </c>
      <c r="D634" s="1" t="s">
        <v>3173</v>
      </c>
      <c r="E634" s="1" t="s">
        <v>3980</v>
      </c>
      <c r="F634" s="1" t="s">
        <v>112</v>
      </c>
      <c r="G634" s="1">
        <v>391782</v>
      </c>
    </row>
    <row r="635" spans="1:7" x14ac:dyDescent="0.35">
      <c r="A635" s="1" t="str">
        <f t="shared" si="9"/>
        <v>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3981</v>
      </c>
      <c r="D635" s="1" t="s">
        <v>1483</v>
      </c>
      <c r="E635" s="1" t="s">
        <v>3982</v>
      </c>
      <c r="F635" s="1" t="s">
        <v>112</v>
      </c>
      <c r="G635" s="1">
        <v>40707</v>
      </c>
    </row>
    <row r="636" spans="1:7" x14ac:dyDescent="0.35">
      <c r="A636" s="1" t="str">
        <f t="shared" si="9"/>
        <v>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6" s="1" t="s">
        <v>3983</v>
      </c>
      <c r="D636" s="1" t="s">
        <v>653</v>
      </c>
      <c r="E636" s="1" t="s">
        <v>3984</v>
      </c>
      <c r="F636" s="1" t="s">
        <v>112</v>
      </c>
      <c r="G636" s="1">
        <v>74775</v>
      </c>
    </row>
    <row r="637" spans="1:7" x14ac:dyDescent="0.35">
      <c r="A637" s="1" t="str">
        <f t="shared" si="9"/>
        <v>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7" s="1" t="s">
        <v>3985</v>
      </c>
      <c r="D637" s="1" t="s">
        <v>1393</v>
      </c>
      <c r="E637" s="1" t="s">
        <v>3986</v>
      </c>
      <c r="F637" s="1" t="s">
        <v>112</v>
      </c>
      <c r="G637" s="1">
        <v>130645</v>
      </c>
    </row>
    <row r="638" spans="1:7" x14ac:dyDescent="0.35">
      <c r="A638" s="1" t="str">
        <f t="shared" si="9"/>
        <v>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3987</v>
      </c>
      <c r="D638" s="1" t="s">
        <v>700</v>
      </c>
      <c r="E638" s="1" t="s">
        <v>3988</v>
      </c>
      <c r="F638" s="1" t="s">
        <v>112</v>
      </c>
      <c r="G638" s="1">
        <v>69281</v>
      </c>
    </row>
    <row r="639" spans="1:7" x14ac:dyDescent="0.35">
      <c r="A639" s="1" t="str">
        <f t="shared" si="9"/>
        <v>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9" s="1" t="s">
        <v>3989</v>
      </c>
      <c r="D639" s="1" t="s">
        <v>644</v>
      </c>
      <c r="E639" s="1" t="s">
        <v>3990</v>
      </c>
      <c r="F639" s="1" t="s">
        <v>112</v>
      </c>
      <c r="G639" s="1">
        <v>199384</v>
      </c>
    </row>
    <row r="640" spans="1:7" x14ac:dyDescent="0.35">
      <c r="A640" s="1" t="str">
        <f t="shared" si="9"/>
        <v>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0" s="1" t="s">
        <v>3991</v>
      </c>
      <c r="D640" s="1" t="s">
        <v>486</v>
      </c>
      <c r="E640" s="1" t="s">
        <v>3992</v>
      </c>
      <c r="F640" s="1" t="s">
        <v>112</v>
      </c>
      <c r="G640" s="1">
        <v>126730</v>
      </c>
    </row>
    <row r="641" spans="1:8" x14ac:dyDescent="0.35">
      <c r="A641" s="1" t="str">
        <f t="shared" si="9"/>
        <v>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3993</v>
      </c>
      <c r="D641" s="1" t="s">
        <v>1602</v>
      </c>
      <c r="E641" s="1" t="s">
        <v>3994</v>
      </c>
      <c r="F641" s="1" t="s">
        <v>112</v>
      </c>
      <c r="G641" s="1">
        <v>307166</v>
      </c>
    </row>
    <row r="642" spans="1:8" x14ac:dyDescent="0.35">
      <c r="A642" s="1" t="str">
        <f t="shared" ref="A642:A705" si="10">IFERROR(LEFT(RIGHT(C642,LEN(C642)-SEARCH("@",C642)),SEARCH("/",RIGHT(C642,LEN(C642)-SEARCH("@",C642)-1))),"")</f>
        <v>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2" s="1" t="s">
        <v>3995</v>
      </c>
      <c r="D642" s="1" t="s">
        <v>2295</v>
      </c>
      <c r="E642" s="1" t="s">
        <v>3996</v>
      </c>
      <c r="F642" s="1" t="s">
        <v>112</v>
      </c>
      <c r="G642" s="1">
        <v>192398</v>
      </c>
    </row>
    <row r="643" spans="1:8" x14ac:dyDescent="0.35">
      <c r="A643" s="1" t="str">
        <f t="shared" si="10"/>
        <v>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3" s="1" t="s">
        <v>3997</v>
      </c>
      <c r="D643" s="1" t="s">
        <v>468</v>
      </c>
      <c r="E643" s="1" t="s">
        <v>3998</v>
      </c>
      <c r="F643" s="1" t="s">
        <v>112</v>
      </c>
      <c r="G643" s="1">
        <v>205181</v>
      </c>
    </row>
    <row r="644" spans="1:8" x14ac:dyDescent="0.35">
      <c r="A644" s="1" t="str">
        <f t="shared" si="10"/>
        <v>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3999</v>
      </c>
      <c r="D644" s="1" t="s">
        <v>1334</v>
      </c>
      <c r="E644" s="1" t="s">
        <v>4000</v>
      </c>
      <c r="F644" s="1" t="s">
        <v>112</v>
      </c>
      <c r="G644" s="1">
        <v>161640</v>
      </c>
    </row>
    <row r="645" spans="1:8" x14ac:dyDescent="0.35">
      <c r="A645" s="1" t="str">
        <f t="shared" si="10"/>
        <v>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5" s="1" t="s">
        <v>4001</v>
      </c>
      <c r="D645" s="1" t="s">
        <v>1911</v>
      </c>
      <c r="E645" s="1" t="s">
        <v>2308</v>
      </c>
      <c r="F645" s="1" t="s">
        <v>112</v>
      </c>
      <c r="G645" s="1">
        <v>55805</v>
      </c>
    </row>
    <row r="646" spans="1:8" x14ac:dyDescent="0.35">
      <c r="A646" s="1" t="str">
        <f t="shared" si="10"/>
        <v>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6" s="1" t="s">
        <v>4002</v>
      </c>
      <c r="D646" s="1" t="s">
        <v>2728</v>
      </c>
      <c r="E646" s="1" t="s">
        <v>4003</v>
      </c>
      <c r="F646" s="1" t="s">
        <v>112</v>
      </c>
      <c r="G646" s="1">
        <v>133759</v>
      </c>
    </row>
    <row r="647" spans="1:8" x14ac:dyDescent="0.35">
      <c r="A647" s="1" t="str">
        <f t="shared" si="10"/>
        <v>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4004</v>
      </c>
      <c r="D647" s="1" t="s">
        <v>1180</v>
      </c>
      <c r="E647" s="1" t="s">
        <v>4005</v>
      </c>
      <c r="F647" s="1" t="s">
        <v>112</v>
      </c>
      <c r="G647" s="1">
        <v>169513</v>
      </c>
    </row>
    <row r="648" spans="1:8" x14ac:dyDescent="0.35">
      <c r="A648" s="1" t="str">
        <f t="shared" si="10"/>
        <v>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8" s="1" t="s">
        <v>4006</v>
      </c>
      <c r="D648" s="1" t="s">
        <v>186</v>
      </c>
      <c r="E648" s="1" t="s">
        <v>4007</v>
      </c>
      <c r="F648" s="1" t="s">
        <v>112</v>
      </c>
      <c r="G648" s="1">
        <v>299488</v>
      </c>
    </row>
    <row r="649" spans="1:8" x14ac:dyDescent="0.35">
      <c r="A649" s="1" t="str">
        <f t="shared" si="10"/>
        <v>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9" s="1" t="s">
        <v>4008</v>
      </c>
      <c r="D649" s="1" t="s">
        <v>1996</v>
      </c>
      <c r="E649" s="1" t="s">
        <v>4009</v>
      </c>
      <c r="F649" s="1" t="s">
        <v>112</v>
      </c>
      <c r="G649" s="1">
        <v>473305</v>
      </c>
    </row>
    <row r="650" spans="1:8" x14ac:dyDescent="0.35">
      <c r="A650" s="1" t="str">
        <f t="shared" si="10"/>
        <v>8</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4010</v>
      </c>
      <c r="D650" s="1" t="s">
        <v>682</v>
      </c>
      <c r="E650" s="1" t="s">
        <v>4011</v>
      </c>
      <c r="F650" s="1" t="s">
        <v>112</v>
      </c>
      <c r="G650" s="1">
        <v>328580</v>
      </c>
    </row>
    <row r="651" spans="1:8"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1" s="1" t="s">
        <v>112</v>
      </c>
    </row>
    <row r="652" spans="1:8" x14ac:dyDescent="0.3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2" s="1" t="s">
        <v>233</v>
      </c>
      <c r="D652" s="1" t="s">
        <v>112</v>
      </c>
      <c r="E652" s="1" t="s">
        <v>234</v>
      </c>
      <c r="F652" s="1" t="s">
        <v>235</v>
      </c>
      <c r="G652" s="1" t="s">
        <v>236</v>
      </c>
      <c r="H652" s="1" t="s">
        <v>1623</v>
      </c>
    </row>
    <row r="653" spans="1:8" x14ac:dyDescent="0.35">
      <c r="A653" s="1" t="str">
        <f t="shared" si="10"/>
        <v>8</v>
      </c>
      <c r="B6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3" s="1" t="s">
        <v>4012</v>
      </c>
      <c r="D653" s="1" t="s">
        <v>112</v>
      </c>
      <c r="E653" s="1" t="s">
        <v>4013</v>
      </c>
      <c r="F653" s="1" t="s">
        <v>4014</v>
      </c>
      <c r="G653" s="1" t="s">
        <v>4015</v>
      </c>
      <c r="H653" s="1" t="s">
        <v>4016</v>
      </c>
    </row>
    <row r="654" spans="1:8"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112</v>
      </c>
    </row>
    <row r="655" spans="1:8"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5" s="1" t="s">
        <v>112</v>
      </c>
    </row>
    <row r="656" spans="1:8"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166</v>
      </c>
      <c r="D659" s="1" t="s">
        <v>110</v>
      </c>
      <c r="E659" s="1" t="s">
        <v>111</v>
      </c>
      <c r="F659" s="1" t="s">
        <v>112</v>
      </c>
      <c r="G659" s="1" t="s">
        <v>113</v>
      </c>
    </row>
    <row r="660" spans="1:7" x14ac:dyDescent="0.35">
      <c r="A660" s="1" t="str">
        <f t="shared" si="10"/>
        <v>9</v>
      </c>
      <c r="B6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0" s="1" t="s">
        <v>4017</v>
      </c>
      <c r="D660" s="1" t="s">
        <v>3964</v>
      </c>
      <c r="E660" s="1" t="s">
        <v>4018</v>
      </c>
      <c r="F660" s="1" t="s">
        <v>112</v>
      </c>
      <c r="G660" s="1">
        <v>363469</v>
      </c>
    </row>
    <row r="661" spans="1:7" x14ac:dyDescent="0.35">
      <c r="A661" s="1" t="str">
        <f t="shared" si="10"/>
        <v>9</v>
      </c>
      <c r="B6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1" s="1" t="s">
        <v>4019</v>
      </c>
    </row>
    <row r="662" spans="1:7" x14ac:dyDescent="0.35">
      <c r="A662" s="1" t="str">
        <f t="shared" si="10"/>
        <v>9</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4020</v>
      </c>
    </row>
    <row r="663" spans="1:7" x14ac:dyDescent="0.35">
      <c r="A663" s="1" t="str">
        <f t="shared" si="10"/>
        <v>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3" s="1" t="s">
        <v>4021</v>
      </c>
      <c r="D663" s="1" t="s">
        <v>3097</v>
      </c>
      <c r="E663" s="1" t="s">
        <v>4022</v>
      </c>
      <c r="F663" s="1" t="s">
        <v>112</v>
      </c>
      <c r="G663" s="1">
        <v>298471</v>
      </c>
    </row>
    <row r="664" spans="1:7" x14ac:dyDescent="0.35">
      <c r="A664" s="1" t="str">
        <f t="shared" si="10"/>
        <v>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4" s="1" t="s">
        <v>4023</v>
      </c>
      <c r="D664" s="1" t="s">
        <v>984</v>
      </c>
      <c r="E664" s="1" t="s">
        <v>4024</v>
      </c>
      <c r="F664" s="1" t="s">
        <v>112</v>
      </c>
      <c r="G664" s="1">
        <v>304268</v>
      </c>
    </row>
    <row r="665" spans="1:7" x14ac:dyDescent="0.35">
      <c r="A665" s="1" t="str">
        <f t="shared" si="10"/>
        <v>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4025</v>
      </c>
      <c r="D665" s="1" t="s">
        <v>226</v>
      </c>
      <c r="E665" s="1" t="s">
        <v>1079</v>
      </c>
      <c r="F665" s="1" t="s">
        <v>112</v>
      </c>
      <c r="G665" s="1">
        <v>5905</v>
      </c>
    </row>
    <row r="666" spans="1:7" x14ac:dyDescent="0.35">
      <c r="A666" s="1" t="str">
        <f t="shared" si="10"/>
        <v>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6" s="1" t="s">
        <v>4026</v>
      </c>
      <c r="D666" s="1" t="s">
        <v>4027</v>
      </c>
      <c r="E666" s="1" t="s">
        <v>4028</v>
      </c>
      <c r="F666" s="1" t="s">
        <v>112</v>
      </c>
      <c r="G666" s="1">
        <v>219024</v>
      </c>
    </row>
    <row r="667" spans="1:7" x14ac:dyDescent="0.35">
      <c r="A667" s="1" t="str">
        <f t="shared" si="10"/>
        <v>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7" s="1" t="s">
        <v>4029</v>
      </c>
      <c r="D667" s="1" t="s">
        <v>1985</v>
      </c>
      <c r="E667" s="1" t="s">
        <v>4030</v>
      </c>
      <c r="F667" s="1" t="s">
        <v>112</v>
      </c>
      <c r="G667" s="1">
        <v>185671</v>
      </c>
    </row>
    <row r="668" spans="1:7" x14ac:dyDescent="0.35">
      <c r="A668" s="1" t="str">
        <f t="shared" si="10"/>
        <v>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4031</v>
      </c>
    </row>
    <row r="669" spans="1:7" x14ac:dyDescent="0.35">
      <c r="A669" s="1" t="str">
        <f t="shared" si="10"/>
        <v>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69" s="1" t="s">
        <v>4032</v>
      </c>
      <c r="D669" s="1" t="s">
        <v>4033</v>
      </c>
      <c r="E669" s="1" t="s">
        <v>4034</v>
      </c>
      <c r="F669" s="1" t="s">
        <v>112</v>
      </c>
      <c r="G669" s="1">
        <v>587143</v>
      </c>
    </row>
    <row r="670" spans="1:7" x14ac:dyDescent="0.35">
      <c r="A670" s="1" t="str">
        <f t="shared" si="10"/>
        <v>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0" s="1" t="s">
        <v>4035</v>
      </c>
      <c r="D670" s="1" t="s">
        <v>195</v>
      </c>
      <c r="E670" s="1" t="s">
        <v>4036</v>
      </c>
      <c r="F670" s="1" t="s">
        <v>112</v>
      </c>
      <c r="G670" s="1">
        <v>108387</v>
      </c>
    </row>
    <row r="671" spans="1:7" x14ac:dyDescent="0.35">
      <c r="A671" s="1" t="str">
        <f t="shared" si="10"/>
        <v>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4037</v>
      </c>
      <c r="D671" s="1" t="s">
        <v>4038</v>
      </c>
      <c r="E671" s="1" t="s">
        <v>4039</v>
      </c>
      <c r="F671" s="1" t="s">
        <v>112</v>
      </c>
      <c r="G671" s="1">
        <v>527748</v>
      </c>
    </row>
    <row r="672" spans="1:7" x14ac:dyDescent="0.35">
      <c r="A672" s="1" t="str">
        <f t="shared" si="10"/>
        <v>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2" s="1" t="s">
        <v>4040</v>
      </c>
      <c r="D672" s="1" t="s">
        <v>2370</v>
      </c>
      <c r="E672" s="1" t="s">
        <v>4041</v>
      </c>
      <c r="F672" s="1" t="s">
        <v>112</v>
      </c>
      <c r="G672" s="1">
        <v>103997</v>
      </c>
    </row>
    <row r="673" spans="1:8" x14ac:dyDescent="0.35">
      <c r="A673" s="1" t="str">
        <f t="shared" si="10"/>
        <v>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3" s="1" t="s">
        <v>4042</v>
      </c>
      <c r="D673" s="1" t="s">
        <v>2367</v>
      </c>
      <c r="E673" s="1" t="s">
        <v>4043</v>
      </c>
      <c r="F673" s="1" t="s">
        <v>112</v>
      </c>
      <c r="G673" s="1">
        <v>113903</v>
      </c>
    </row>
    <row r="674" spans="1:8" x14ac:dyDescent="0.35">
      <c r="A674" s="1" t="str">
        <f t="shared" si="10"/>
        <v>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4044</v>
      </c>
      <c r="D674" s="1" t="s">
        <v>4045</v>
      </c>
      <c r="E674" s="1" t="s">
        <v>4046</v>
      </c>
      <c r="F674" s="1" t="s">
        <v>112</v>
      </c>
      <c r="G674" s="1">
        <v>162267</v>
      </c>
    </row>
    <row r="675" spans="1:8" x14ac:dyDescent="0.35">
      <c r="A675" s="1" t="str">
        <f t="shared" si="10"/>
        <v>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5" s="1" t="s">
        <v>4047</v>
      </c>
      <c r="D675" s="1" t="s">
        <v>4048</v>
      </c>
      <c r="E675" s="1" t="s">
        <v>4049</v>
      </c>
      <c r="F675" s="1" t="s">
        <v>112</v>
      </c>
      <c r="G675" s="1">
        <v>272731</v>
      </c>
    </row>
    <row r="676" spans="1:8" x14ac:dyDescent="0.35">
      <c r="A676" s="1" t="str">
        <f t="shared" si="10"/>
        <v>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6" s="1" t="s">
        <v>4050</v>
      </c>
      <c r="D676" s="1" t="s">
        <v>4051</v>
      </c>
      <c r="E676" s="1" t="s">
        <v>4052</v>
      </c>
      <c r="F676" s="1" t="s">
        <v>112</v>
      </c>
      <c r="G676" s="1">
        <v>488706</v>
      </c>
    </row>
    <row r="677" spans="1:8" x14ac:dyDescent="0.35">
      <c r="A677" s="1" t="str">
        <f t="shared" si="10"/>
        <v>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4053</v>
      </c>
      <c r="D677" s="1" t="s">
        <v>4054</v>
      </c>
      <c r="E677" s="1" t="s">
        <v>4055</v>
      </c>
      <c r="F677" s="1" t="s">
        <v>112</v>
      </c>
      <c r="G677" s="1">
        <v>471964</v>
      </c>
    </row>
    <row r="678" spans="1:8" x14ac:dyDescent="0.35">
      <c r="A678" s="1" t="str">
        <f t="shared" si="10"/>
        <v>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78" s="1" t="s">
        <v>4056</v>
      </c>
      <c r="D678" s="1" t="s">
        <v>4057</v>
      </c>
      <c r="E678" s="1" t="s">
        <v>4058</v>
      </c>
      <c r="F678" s="1" t="s">
        <v>112</v>
      </c>
      <c r="G678" s="1">
        <v>389814</v>
      </c>
    </row>
    <row r="679" spans="1:8" x14ac:dyDescent="0.35">
      <c r="A679" s="1" t="str">
        <f t="shared" si="10"/>
        <v>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79" s="1" t="s">
        <v>4059</v>
      </c>
      <c r="D679" s="1" t="s">
        <v>480</v>
      </c>
      <c r="E679" s="1" t="s">
        <v>4060</v>
      </c>
      <c r="F679" s="1" t="s">
        <v>112</v>
      </c>
      <c r="G679" s="1">
        <v>17390</v>
      </c>
    </row>
    <row r="680" spans="1:8" x14ac:dyDescent="0.35">
      <c r="A680" s="1" t="str">
        <f t="shared" si="10"/>
        <v>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4061</v>
      </c>
      <c r="D680" s="1" t="s">
        <v>700</v>
      </c>
      <c r="E680" s="1" t="s">
        <v>4062</v>
      </c>
      <c r="F680" s="1" t="s">
        <v>112</v>
      </c>
      <c r="G680" s="1">
        <v>66209</v>
      </c>
    </row>
    <row r="681" spans="1:8" x14ac:dyDescent="0.35">
      <c r="A681" s="1" t="str">
        <f t="shared" si="10"/>
        <v>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1" s="1" t="s">
        <v>4063</v>
      </c>
      <c r="D681" s="1" t="s">
        <v>2386</v>
      </c>
      <c r="E681" s="1" t="s">
        <v>4064</v>
      </c>
      <c r="F681" s="1" t="s">
        <v>112</v>
      </c>
      <c r="G681" s="1">
        <v>493097</v>
      </c>
    </row>
    <row r="682" spans="1:8" x14ac:dyDescent="0.35">
      <c r="A682" s="1" t="str">
        <f t="shared" si="10"/>
        <v>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2" s="1" t="s">
        <v>4065</v>
      </c>
      <c r="D682" s="1" t="s">
        <v>2147</v>
      </c>
      <c r="E682" s="1" t="s">
        <v>4066</v>
      </c>
      <c r="F682" s="1" t="s">
        <v>112</v>
      </c>
      <c r="G682" s="1">
        <v>379215</v>
      </c>
    </row>
    <row r="683" spans="1:8" x14ac:dyDescent="0.35">
      <c r="A683" s="1" t="str">
        <f t="shared" si="10"/>
        <v>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4067</v>
      </c>
      <c r="D683" s="1" t="s">
        <v>4068</v>
      </c>
      <c r="E683" s="1" t="s">
        <v>4069</v>
      </c>
      <c r="F683" s="1" t="s">
        <v>112</v>
      </c>
      <c r="G683" s="1">
        <v>595968</v>
      </c>
    </row>
    <row r="684" spans="1:8" x14ac:dyDescent="0.35">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4" s="1" t="s">
        <v>112</v>
      </c>
    </row>
    <row r="685" spans="1:8" x14ac:dyDescent="0.3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5" s="1" t="s">
        <v>233</v>
      </c>
      <c r="D685" s="1" t="s">
        <v>112</v>
      </c>
      <c r="E685" s="1" t="s">
        <v>234</v>
      </c>
      <c r="F685" s="1" t="s">
        <v>235</v>
      </c>
      <c r="G685" s="1" t="s">
        <v>236</v>
      </c>
      <c r="H685" s="1" t="s">
        <v>1623</v>
      </c>
    </row>
    <row r="686" spans="1:8" x14ac:dyDescent="0.35">
      <c r="A686" s="1" t="str">
        <f t="shared" si="10"/>
        <v>9</v>
      </c>
      <c r="B6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6" s="1" t="s">
        <v>4070</v>
      </c>
      <c r="D686" s="1" t="s">
        <v>112</v>
      </c>
      <c r="E686" s="1" t="s">
        <v>4071</v>
      </c>
      <c r="F686" s="1" t="s">
        <v>4072</v>
      </c>
      <c r="G686" s="1" t="s">
        <v>4073</v>
      </c>
      <c r="H686" s="1" t="s">
        <v>4074</v>
      </c>
    </row>
    <row r="687" spans="1:8"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8"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T1" zoomScale="70" zoomScaleNormal="70" zoomScaleSheetLayoutView="40" zoomScalePageLayoutView="30" workbookViewId="0">
      <selection activeCell="W2" sqref="W1:X1048576"/>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row r="3" spans="1:22" ht="15" thickBot="1" x14ac:dyDescent="0.4">
      <c r="A3" s="154"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AN-0.18mg/L</v>
      </c>
      <c r="J4" s="35" t="str">
        <f>'Page de garde'!A16</f>
        <v>AN-0.36mg/L</v>
      </c>
      <c r="K4" s="35" t="str">
        <f>'Page de garde'!A17</f>
        <v>AN-0.73mg/L</v>
      </c>
      <c r="L4" s="35" t="str">
        <f>'Page de garde'!A18</f>
        <v>AN-1.45mg/L</v>
      </c>
      <c r="M4" s="35" t="str">
        <f>'Page de garde'!A19</f>
        <v>AN-2.9mg/L</v>
      </c>
      <c r="N4" s="3"/>
      <c r="O4" s="36" t="str">
        <f>'Page de garde'!A36</f>
        <v>Testo -30µg/L</v>
      </c>
      <c r="P4" s="36" t="str">
        <f>'Page de garde'!A37</f>
        <v>Testo 30µg/L + EE2 -64ng/L</v>
      </c>
      <c r="Q4" s="36" t="str">
        <f>'Page de garde'!A38</f>
        <v>Testo 30µg/L + FAD-10mg/L</v>
      </c>
      <c r="R4" s="36" t="str">
        <f>'Page de garde'!A39</f>
        <v>AN-0,18mg/L + Testostérone</v>
      </c>
      <c r="S4" s="36" t="str">
        <f>'Page de garde'!A40</f>
        <v>AN-0,36mg/L + Testostérone</v>
      </c>
      <c r="T4" s="36" t="str">
        <f>'Page de garde'!A41</f>
        <v>AN-0,73mg/L + Testostérone</v>
      </c>
      <c r="U4" s="36" t="str">
        <f>'Page de garde'!A42</f>
        <v>AN-1,45mg/L + Testostérone</v>
      </c>
      <c r="V4" s="36" t="str">
        <f>'Page de garde'!A43</f>
        <v>AN-2,9mg/L + Testostérone</v>
      </c>
    </row>
    <row r="5" spans="1:22" x14ac:dyDescent="0.35">
      <c r="A5" s="226" t="s">
        <v>33</v>
      </c>
      <c r="B5" s="32">
        <v>242406</v>
      </c>
      <c r="C5" s="32">
        <v>256545</v>
      </c>
      <c r="D5" s="32">
        <v>68660.666666666672</v>
      </c>
      <c r="E5" s="32">
        <v>2102736</v>
      </c>
      <c r="F5" s="32">
        <v>1652105.6666666667</v>
      </c>
      <c r="G5" s="32">
        <v>3737198.6666666665</v>
      </c>
      <c r="H5" s="32">
        <v>2772592</v>
      </c>
      <c r="I5" s="32">
        <v>246155.66666666666</v>
      </c>
      <c r="J5" s="32">
        <v>363469</v>
      </c>
      <c r="K5" s="13">
        <v>332660.66666666669</v>
      </c>
      <c r="L5" s="13">
        <v>324023.33333333331</v>
      </c>
      <c r="M5" s="13">
        <v>392294</v>
      </c>
      <c r="N5" s="3"/>
      <c r="O5" s="32">
        <v>2513242</v>
      </c>
      <c r="P5" s="13">
        <v>3936604.6666666665</v>
      </c>
      <c r="Q5" s="13">
        <v>3893</v>
      </c>
      <c r="R5" s="32">
        <v>476982</v>
      </c>
      <c r="S5" s="32">
        <v>289249.66666666669</v>
      </c>
      <c r="T5" s="32">
        <v>439987.66666666669</v>
      </c>
      <c r="U5" s="32">
        <v>137854.66666666666</v>
      </c>
      <c r="V5" s="32">
        <v>487581.33333333331</v>
      </c>
    </row>
    <row r="6" spans="1:22" ht="16.5" x14ac:dyDescent="0.35">
      <c r="A6" s="226"/>
      <c r="B6" s="14">
        <v>368000</v>
      </c>
      <c r="C6" s="13">
        <v>246811.33333333334</v>
      </c>
      <c r="D6" s="32">
        <v>792548.33333333337</v>
      </c>
      <c r="E6" s="32">
        <v>597576.33333333337</v>
      </c>
      <c r="F6" s="32">
        <v>2617484.3333333335</v>
      </c>
      <c r="G6" s="32">
        <v>2100468.5</v>
      </c>
      <c r="H6" s="32">
        <v>2044119</v>
      </c>
      <c r="I6" s="32">
        <v>321593</v>
      </c>
      <c r="J6" s="32">
        <v>202881.33333333334</v>
      </c>
      <c r="K6" s="13">
        <v>394796</v>
      </c>
      <c r="L6" s="13">
        <v>183118.33333333334</v>
      </c>
      <c r="M6" s="13">
        <v>178223.33333333334</v>
      </c>
      <c r="N6" s="3"/>
      <c r="O6" s="32">
        <v>979466.33333333337</v>
      </c>
      <c r="P6" s="13">
        <v>3242883.6666666665</v>
      </c>
      <c r="Q6" s="13">
        <v>183580</v>
      </c>
      <c r="R6" s="32">
        <v>290057</v>
      </c>
      <c r="S6" s="32"/>
      <c r="T6" s="32">
        <v>106570.5</v>
      </c>
      <c r="U6" s="32">
        <v>230394.33333333334</v>
      </c>
      <c r="V6" s="32">
        <v>199398.66666666666</v>
      </c>
    </row>
    <row r="7" spans="1:22" ht="16.5" x14ac:dyDescent="0.35">
      <c r="A7" s="226"/>
      <c r="B7" s="14">
        <v>105308.66666666667</v>
      </c>
      <c r="C7" s="13">
        <v>688970</v>
      </c>
      <c r="D7" s="32">
        <v>378588.33333333331</v>
      </c>
      <c r="E7" s="32"/>
      <c r="F7" s="32">
        <v>1995992</v>
      </c>
      <c r="G7" s="32">
        <v>2370507</v>
      </c>
      <c r="H7" s="32">
        <v>4533042</v>
      </c>
      <c r="I7" s="32">
        <v>304750.66666666669</v>
      </c>
      <c r="J7" s="32">
        <v>202347.5</v>
      </c>
      <c r="K7" s="13">
        <v>55956.333333333336</v>
      </c>
      <c r="L7" s="13">
        <v>263192.66666666669</v>
      </c>
      <c r="M7" s="13">
        <v>0</v>
      </c>
      <c r="N7" s="3"/>
      <c r="O7" s="32">
        <v>1282097.3333333333</v>
      </c>
      <c r="P7" s="13">
        <v>2336461.3333333335</v>
      </c>
      <c r="Q7" s="13">
        <v>285731</v>
      </c>
      <c r="R7" s="32">
        <v>428726</v>
      </c>
      <c r="S7" s="32">
        <v>112324</v>
      </c>
      <c r="T7" s="32">
        <v>99476</v>
      </c>
      <c r="U7" s="32">
        <v>221093.66666666666</v>
      </c>
      <c r="V7" s="32">
        <v>220762</v>
      </c>
    </row>
    <row r="8" spans="1:22" ht="16.5" x14ac:dyDescent="0.35">
      <c r="A8" s="226"/>
      <c r="B8" s="14">
        <v>239169</v>
      </c>
      <c r="C8" s="13">
        <v>283214.66666666669</v>
      </c>
      <c r="D8" s="32">
        <v>63656.666666666664</v>
      </c>
      <c r="E8" s="32">
        <v>1384573</v>
      </c>
      <c r="F8" s="32">
        <v>2006757</v>
      </c>
      <c r="G8" s="32"/>
      <c r="H8" s="32">
        <v>3654024.6666666665</v>
      </c>
      <c r="I8" s="32">
        <v>91567</v>
      </c>
      <c r="J8" s="32">
        <v>407759.33333333331</v>
      </c>
      <c r="K8" s="13">
        <v>452375</v>
      </c>
      <c r="L8" s="13">
        <v>229853.66666666666</v>
      </c>
      <c r="M8" s="13">
        <v>65531.666666666664</v>
      </c>
      <c r="N8" s="3"/>
      <c r="O8" s="32">
        <v>2310008</v>
      </c>
      <c r="P8" s="13"/>
      <c r="Q8" s="13">
        <v>366107.66666666669</v>
      </c>
      <c r="R8" s="32">
        <v>57579</v>
      </c>
      <c r="S8" s="32">
        <v>111934.66666666667</v>
      </c>
      <c r="T8" s="32">
        <v>261959.66666666666</v>
      </c>
      <c r="U8" s="32">
        <v>254497.33333333334</v>
      </c>
      <c r="V8" s="32">
        <v>363288.66666666669</v>
      </c>
    </row>
    <row r="9" spans="1:22" ht="16.5" x14ac:dyDescent="0.35">
      <c r="A9" s="226"/>
      <c r="B9" s="14">
        <v>101674.66666666667</v>
      </c>
      <c r="C9" s="13">
        <v>26056.666666666668</v>
      </c>
      <c r="D9" s="32">
        <v>749562.5</v>
      </c>
      <c r="E9" s="32">
        <v>856644.66666666663</v>
      </c>
      <c r="F9" s="32">
        <v>1905730.6666666667</v>
      </c>
      <c r="G9" s="32">
        <v>4193207.3333333335</v>
      </c>
      <c r="H9" s="32">
        <v>4934846.333333333</v>
      </c>
      <c r="I9" s="32">
        <v>211093.33333333334</v>
      </c>
      <c r="J9" s="32">
        <v>126722.33333333333</v>
      </c>
      <c r="K9" s="13">
        <v>5177</v>
      </c>
      <c r="L9" s="13">
        <v>335032.66666666669</v>
      </c>
      <c r="M9" s="13">
        <v>476203.66666666669</v>
      </c>
      <c r="N9" s="3"/>
      <c r="O9" s="32">
        <v>896703.33333333337</v>
      </c>
      <c r="P9" s="13">
        <v>3246452.6666666665</v>
      </c>
      <c r="Q9" s="13">
        <v>433261.33333333331</v>
      </c>
      <c r="R9" s="32">
        <v>206695.33333333334</v>
      </c>
      <c r="S9" s="32">
        <v>403924</v>
      </c>
      <c r="T9" s="32">
        <v>348190.66666666669</v>
      </c>
      <c r="U9" s="32"/>
      <c r="V9" s="32">
        <v>67117.333333333328</v>
      </c>
    </row>
    <row r="10" spans="1:22" ht="16.5" x14ac:dyDescent="0.35">
      <c r="A10" s="226"/>
      <c r="B10" s="14">
        <v>388913</v>
      </c>
      <c r="C10" s="13">
        <v>143244</v>
      </c>
      <c r="D10" s="32">
        <v>93733</v>
      </c>
      <c r="E10" s="32">
        <v>1743737.3333333333</v>
      </c>
      <c r="F10" s="32"/>
      <c r="G10" s="32">
        <v>3327543</v>
      </c>
      <c r="H10" s="32">
        <v>4195521.666666667</v>
      </c>
      <c r="I10" s="32">
        <v>186406.33333333334</v>
      </c>
      <c r="J10" s="32">
        <v>411133.66666666669</v>
      </c>
      <c r="K10" s="13">
        <v>95864</v>
      </c>
      <c r="L10" s="13">
        <v>414818</v>
      </c>
      <c r="M10" s="13">
        <v>486781</v>
      </c>
      <c r="N10" s="3"/>
      <c r="O10" s="32">
        <v>1763968.3333333333</v>
      </c>
      <c r="P10" s="13">
        <v>3103125.6666666665</v>
      </c>
      <c r="Q10" s="13">
        <v>154336.66666666666</v>
      </c>
      <c r="R10" s="32">
        <v>115345</v>
      </c>
      <c r="S10" s="32">
        <v>112886.33333333333</v>
      </c>
      <c r="T10" s="32">
        <v>235664.66666666666</v>
      </c>
      <c r="U10" s="32">
        <v>268762</v>
      </c>
      <c r="V10" s="32">
        <v>221569.33333333334</v>
      </c>
    </row>
    <row r="11" spans="1:22" ht="16.5" x14ac:dyDescent="0.35">
      <c r="A11" s="226"/>
      <c r="B11" s="14">
        <v>276458.66666666669</v>
      </c>
      <c r="C11" s="13">
        <v>365004</v>
      </c>
      <c r="D11" s="32">
        <v>337974.33333333331</v>
      </c>
      <c r="E11" s="32">
        <v>799210</v>
      </c>
      <c r="F11" s="32">
        <v>2890381.3333333335</v>
      </c>
      <c r="G11" s="32">
        <v>3068222.3333333335</v>
      </c>
      <c r="H11" s="32">
        <v>3442419.6666666665</v>
      </c>
      <c r="I11" s="32">
        <v>119692.33333333333</v>
      </c>
      <c r="J11" s="32">
        <v>157804.33333333334</v>
      </c>
      <c r="K11" s="13">
        <v>174423.33333333334</v>
      </c>
      <c r="L11" s="13">
        <v>1319.5</v>
      </c>
      <c r="M11" s="13">
        <v>48926.666666666664</v>
      </c>
      <c r="N11" s="3"/>
      <c r="O11" s="32">
        <v>2474113.6666666665</v>
      </c>
      <c r="P11" s="13">
        <v>3003022.6666666665</v>
      </c>
      <c r="Q11" s="13">
        <v>425373.33333333331</v>
      </c>
      <c r="R11" s="32">
        <v>376695.5</v>
      </c>
      <c r="S11" s="32">
        <v>245272</v>
      </c>
      <c r="T11" s="32">
        <v>409886.33333333331</v>
      </c>
      <c r="U11" s="32">
        <v>424256</v>
      </c>
      <c r="V11" s="32">
        <v>166420.33333333334</v>
      </c>
    </row>
    <row r="12" spans="1:22" ht="16.5" x14ac:dyDescent="0.35">
      <c r="A12" s="226"/>
      <c r="B12" s="14">
        <v>174373</v>
      </c>
      <c r="C12" s="13">
        <v>257648.33333333334</v>
      </c>
      <c r="D12" s="32">
        <v>289977.66666666669</v>
      </c>
      <c r="E12" s="32">
        <v>796513.66666666663</v>
      </c>
      <c r="F12" s="32">
        <v>1102036</v>
      </c>
      <c r="G12" s="32">
        <v>3112880.6666666665</v>
      </c>
      <c r="H12" s="32">
        <v>3016195</v>
      </c>
      <c r="I12" s="32">
        <v>367124.33333333331</v>
      </c>
      <c r="J12" s="32">
        <v>489426.66666666669</v>
      </c>
      <c r="K12" s="13">
        <v>243761.66666666666</v>
      </c>
      <c r="L12" s="13">
        <v>239363.66666666666</v>
      </c>
      <c r="M12" s="13"/>
      <c r="N12" s="3"/>
      <c r="O12" s="32">
        <v>1359410</v>
      </c>
      <c r="P12" s="13">
        <v>3611313</v>
      </c>
      <c r="Q12" s="13">
        <v>187041</v>
      </c>
      <c r="R12" s="32">
        <v>88214.333333333328</v>
      </c>
      <c r="S12" s="32">
        <v>118957</v>
      </c>
      <c r="T12" s="32">
        <v>436923.66666666669</v>
      </c>
      <c r="U12" s="32">
        <v>120543.66666666667</v>
      </c>
      <c r="V12" s="32">
        <v>252961.66666666666</v>
      </c>
    </row>
    <row r="13" spans="1:22" ht="16.5" x14ac:dyDescent="0.35">
      <c r="A13" s="226"/>
      <c r="B13" s="14"/>
      <c r="C13" s="13"/>
      <c r="D13" s="32"/>
      <c r="E13" s="32"/>
      <c r="F13" s="32"/>
      <c r="G13" s="32"/>
      <c r="H13" s="32"/>
      <c r="I13" s="32"/>
      <c r="J13" s="32"/>
      <c r="K13" s="13"/>
      <c r="L13" s="13"/>
      <c r="M13" s="13"/>
      <c r="N13" s="3"/>
      <c r="O13" s="32">
        <v>804978.33333333337</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2136853</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1499730.3333333333</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3457567.3333333335</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958759.66666666663</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3902509</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2154798.6666666665</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2452433.3333333335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AN-0.18mg/L</v>
      </c>
      <c r="J22" s="3" t="str">
        <f t="shared" si="0"/>
        <v>AN-0.36mg/L</v>
      </c>
      <c r="K22" s="3" t="str">
        <f t="shared" si="0"/>
        <v>AN-0.73mg/L</v>
      </c>
      <c r="L22" s="3" t="str">
        <f t="shared" si="0"/>
        <v>AN-1.45mg/L</v>
      </c>
      <c r="M22" s="3" t="str">
        <f t="shared" si="0"/>
        <v>AN-2.9mg/L</v>
      </c>
      <c r="N22" s="3" t="s">
        <v>41</v>
      </c>
      <c r="O22" s="3" t="str">
        <f t="shared" si="0"/>
        <v>Testo -30µg/L</v>
      </c>
      <c r="P22" s="3" t="str">
        <f t="shared" si="0"/>
        <v>Testo 30µg/L + EE2 -64ng/L</v>
      </c>
      <c r="Q22" s="3" t="str">
        <f t="shared" si="0"/>
        <v>Testo 30µg/L + FAD-10mg/L</v>
      </c>
      <c r="R22" s="3" t="str">
        <f t="shared" si="0"/>
        <v>AN-0,18mg/L + Testostérone</v>
      </c>
      <c r="S22" s="3" t="str">
        <f t="shared" si="0"/>
        <v>AN-0,36mg/L + Testostérone</v>
      </c>
      <c r="T22" s="3" t="str">
        <f t="shared" si="0"/>
        <v>AN-0,73mg/L + Testostérone</v>
      </c>
      <c r="U22" s="3" t="str">
        <f t="shared" si="0"/>
        <v>AN-1,45mg/L + Testostérone</v>
      </c>
      <c r="V22" s="3" t="str">
        <f t="shared" si="0"/>
        <v>AN-2,9mg/L + Testostérone</v>
      </c>
    </row>
    <row r="23" spans="1:22" x14ac:dyDescent="0.35">
      <c r="A23" s="5" t="s">
        <v>0</v>
      </c>
      <c r="B23" s="5">
        <f t="shared" ref="B23:J23" si="1">AVERAGE(B5:B20)</f>
        <v>237037.875</v>
      </c>
      <c r="C23" s="5">
        <f t="shared" si="1"/>
        <v>283436.75000000006</v>
      </c>
      <c r="D23" s="5">
        <f t="shared" si="1"/>
        <v>346837.6875</v>
      </c>
      <c r="E23" s="5">
        <f t="shared" si="1"/>
        <v>1182998.7142857143</v>
      </c>
      <c r="F23" s="5">
        <f t="shared" si="1"/>
        <v>2024355.2857142857</v>
      </c>
      <c r="G23" s="5">
        <f t="shared" si="1"/>
        <v>3130003.9285714286</v>
      </c>
      <c r="H23" s="5">
        <f t="shared" si="1"/>
        <v>3574095.041666667</v>
      </c>
      <c r="I23" s="5">
        <f t="shared" si="1"/>
        <v>231047.83333333328</v>
      </c>
      <c r="J23" s="5">
        <f t="shared" si="1"/>
        <v>295193.02083333331</v>
      </c>
      <c r="K23" s="5"/>
      <c r="L23" s="5">
        <f>AVERAGE(L5:L20)</f>
        <v>248840.22916666666</v>
      </c>
      <c r="M23" s="5"/>
      <c r="N23" s="5" t="s">
        <v>0</v>
      </c>
      <c r="O23" s="5">
        <f>AVERAGE(O5:O20)</f>
        <v>1934164.9166666667</v>
      </c>
      <c r="P23" s="5">
        <f>AVERAGE(P5:P20)</f>
        <v>3211409.0952380947</v>
      </c>
      <c r="Q23" s="5">
        <f>AVERAGE(Q5:Q20)</f>
        <v>254915.5</v>
      </c>
      <c r="R23" s="5">
        <f>AVERAGE(R5:R20)</f>
        <v>255036.77083333331</v>
      </c>
      <c r="S23" s="5">
        <f>AVERAGE(S5:S20)</f>
        <v>199221.09523809524</v>
      </c>
      <c r="T23" s="5">
        <f t="shared" ref="T23:V23" si="2">AVERAGE(T5:T20)</f>
        <v>292332.39583333331</v>
      </c>
      <c r="U23" s="5">
        <f t="shared" si="2"/>
        <v>236771.66666666669</v>
      </c>
      <c r="V23" s="5">
        <f t="shared" si="2"/>
        <v>247387.41666666666</v>
      </c>
    </row>
    <row r="24" spans="1:22" x14ac:dyDescent="0.35">
      <c r="A24" s="3" t="s">
        <v>1</v>
      </c>
      <c r="B24" s="3">
        <f t="shared" ref="B24:J24" si="3">STDEV(B5:B20)</f>
        <v>107840.59539820468</v>
      </c>
      <c r="C24" s="3">
        <f t="shared" si="3"/>
        <v>192627.9265826112</v>
      </c>
      <c r="D24" s="3">
        <f t="shared" si="3"/>
        <v>289531.86532099964</v>
      </c>
      <c r="E24" s="3">
        <f t="shared" si="3"/>
        <v>569629.62587532913</v>
      </c>
      <c r="F24" s="3">
        <f t="shared" si="3"/>
        <v>592485.13368783402</v>
      </c>
      <c r="G24" s="3">
        <f t="shared" si="3"/>
        <v>727896.2345245739</v>
      </c>
      <c r="H24" s="3">
        <f t="shared" si="3"/>
        <v>961814.34328406863</v>
      </c>
      <c r="I24" s="3">
        <f t="shared" si="3"/>
        <v>97557.009829743416</v>
      </c>
      <c r="J24" s="3">
        <f t="shared" si="3"/>
        <v>137789.42990695211</v>
      </c>
      <c r="K24" s="3"/>
      <c r="L24" s="3">
        <f>STDEV(L5:L20)</f>
        <v>123561.68040920752</v>
      </c>
      <c r="M24" s="3"/>
      <c r="N24" s="3" t="s">
        <v>1</v>
      </c>
      <c r="O24" s="3">
        <f>STDEV(O5:O20)</f>
        <v>913203.86389879882</v>
      </c>
      <c r="P24" s="3">
        <f>STDEV(P5:P20)</f>
        <v>501453.59389588737</v>
      </c>
      <c r="Q24" s="3">
        <f>STDEV(Q5:Q20)</f>
        <v>149761.95431025</v>
      </c>
      <c r="R24" s="3">
        <f>STDEV(R5:R20)</f>
        <v>162183.70459174589</v>
      </c>
      <c r="S24" s="3">
        <f>STDEV(S5:S20)</f>
        <v>116329.38192329604</v>
      </c>
      <c r="T24" s="3">
        <f t="shared" ref="T24:V24" si="4">STDEV(T5:T20)</f>
        <v>139121.01351580993</v>
      </c>
      <c r="U24" s="3">
        <f t="shared" si="4"/>
        <v>100056.60636896529</v>
      </c>
      <c r="V24" s="3">
        <f t="shared" si="4"/>
        <v>127553.1639933805</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AN-0.18mg/L</v>
      </c>
      <c r="J27" s="35" t="str">
        <f t="shared" si="5"/>
        <v>AN-0.36mg/L</v>
      </c>
      <c r="K27" s="35" t="str">
        <f t="shared" si="5"/>
        <v>AN-0.73mg/L</v>
      </c>
      <c r="L27" s="35" t="str">
        <f t="shared" si="5"/>
        <v>AN-1.45mg/L</v>
      </c>
      <c r="M27" s="35" t="str">
        <f t="shared" si="5"/>
        <v>AN-2.9mg/L</v>
      </c>
      <c r="N27" s="3"/>
      <c r="O27" s="36" t="str">
        <f>O4</f>
        <v>Testo -30µg/L</v>
      </c>
      <c r="P27" s="36" t="str">
        <f t="shared" ref="P27:V27" si="6">P4</f>
        <v>Testo 30µg/L + EE2 -64ng/L</v>
      </c>
      <c r="Q27" s="36" t="str">
        <f t="shared" si="6"/>
        <v>Testo 30µg/L + FAD-10mg/L</v>
      </c>
      <c r="R27" s="36" t="str">
        <f t="shared" si="6"/>
        <v>AN-0,18mg/L + Testostérone</v>
      </c>
      <c r="S27" s="36" t="str">
        <f t="shared" si="6"/>
        <v>AN-0,36mg/L + Testostérone</v>
      </c>
      <c r="T27" s="36" t="str">
        <f t="shared" si="6"/>
        <v>AN-0,73mg/L + Testostérone</v>
      </c>
      <c r="U27" s="36" t="str">
        <f t="shared" si="6"/>
        <v>AN-1,45mg/L + Testostérone</v>
      </c>
      <c r="V27" s="36" t="str">
        <f t="shared" si="6"/>
        <v>AN-2,9mg/L + Testostérone</v>
      </c>
    </row>
    <row r="28" spans="1:22" x14ac:dyDescent="0.35">
      <c r="A28" s="227" t="s">
        <v>34</v>
      </c>
      <c r="B28" s="11">
        <f t="shared" ref="B28:M28" si="7">IF(B5="","",(B5/$O$23))</f>
        <v>0.12532850632910955</v>
      </c>
      <c r="C28" s="11">
        <f t="shared" si="7"/>
        <v>0.132638637889332</v>
      </c>
      <c r="D28" s="11">
        <f t="shared" si="7"/>
        <v>3.5498868827067875E-2</v>
      </c>
      <c r="E28" s="11">
        <f t="shared" si="7"/>
        <v>1.0871544519708527</v>
      </c>
      <c r="F28" s="11">
        <f t="shared" si="7"/>
        <v>0.85417001023568351</v>
      </c>
      <c r="G28" s="11">
        <f t="shared" si="7"/>
        <v>1.9322026960903325</v>
      </c>
      <c r="H28" s="11">
        <f t="shared" si="7"/>
        <v>1.4334827274078963</v>
      </c>
      <c r="I28" s="11">
        <f t="shared" si="7"/>
        <v>0.12726715521802065</v>
      </c>
      <c r="J28" s="11">
        <f t="shared" si="7"/>
        <v>0.18792037683446416</v>
      </c>
      <c r="K28" s="11">
        <f t="shared" si="7"/>
        <v>0.17199188331880869</v>
      </c>
      <c r="L28" s="11">
        <f t="shared" si="7"/>
        <v>0.16752621792548797</v>
      </c>
      <c r="M28" s="11">
        <f t="shared" si="7"/>
        <v>0.20282344934478397</v>
      </c>
      <c r="N28" s="6"/>
      <c r="O28" s="11">
        <f t="shared" ref="O28:V39" si="8">IF(O5="","",(O5/$O$23))</f>
        <v>1.2993938512395895</v>
      </c>
      <c r="P28" s="11">
        <f t="shared" si="8"/>
        <v>2.0352993856651054</v>
      </c>
      <c r="Q28" s="11">
        <f t="shared" si="8"/>
        <v>2.0127549447588899E-3</v>
      </c>
      <c r="R28" s="11">
        <f t="shared" si="8"/>
        <v>0.2466087539329527</v>
      </c>
      <c r="S28" s="11">
        <f t="shared" si="8"/>
        <v>0.14954757175782021</v>
      </c>
      <c r="T28" s="11">
        <f t="shared" si="8"/>
        <v>0.2274819809186385</v>
      </c>
      <c r="U28" s="11">
        <f t="shared" si="8"/>
        <v>7.1273481117755416E-2</v>
      </c>
      <c r="V28" s="11">
        <f t="shared" si="8"/>
        <v>0.25208881059306426</v>
      </c>
    </row>
    <row r="29" spans="1:22" x14ac:dyDescent="0.35">
      <c r="A29" s="227"/>
      <c r="B29" s="11">
        <f t="shared" ref="B29:M29" si="9">IF(B6="","",(B6/$O$23))</f>
        <v>0.19026298989757809</v>
      </c>
      <c r="C29" s="11">
        <f t="shared" si="9"/>
        <v>0.12760614733860812</v>
      </c>
      <c r="D29" s="11">
        <f t="shared" si="9"/>
        <v>0.40976254222375641</v>
      </c>
      <c r="E29" s="11">
        <f t="shared" si="9"/>
        <v>0.30895831486965153</v>
      </c>
      <c r="F29" s="11">
        <f t="shared" si="9"/>
        <v>1.3532891175817092</v>
      </c>
      <c r="G29" s="11">
        <f t="shared" si="9"/>
        <v>1.0859821114013071</v>
      </c>
      <c r="H29" s="11">
        <f t="shared" si="9"/>
        <v>1.0568483495827377</v>
      </c>
      <c r="I29" s="11">
        <f t="shared" si="9"/>
        <v>0.16626968942970607</v>
      </c>
      <c r="J29" s="11">
        <f t="shared" si="9"/>
        <v>0.10489350291958471</v>
      </c>
      <c r="K29" s="11">
        <f t="shared" si="9"/>
        <v>0.20411703086848978</v>
      </c>
      <c r="L29" s="11">
        <f t="shared" si="9"/>
        <v>9.4675656535492772E-2</v>
      </c>
      <c r="M29" s="11">
        <f t="shared" si="9"/>
        <v>9.2144848558458406E-2</v>
      </c>
      <c r="N29" s="6"/>
      <c r="O29" s="11">
        <f t="shared" si="8"/>
        <v>0.50640269859787468</v>
      </c>
      <c r="P29" s="11">
        <f t="shared" si="8"/>
        <v>1.6766324519294049</v>
      </c>
      <c r="Q29" s="11">
        <f t="shared" si="8"/>
        <v>9.4914346971188557E-2</v>
      </c>
      <c r="R29" s="11">
        <f t="shared" si="8"/>
        <v>0.14996497842587447</v>
      </c>
      <c r="S29" s="11" t="str">
        <f t="shared" si="8"/>
        <v/>
      </c>
      <c r="T29" s="11">
        <f t="shared" si="8"/>
        <v>5.5098972730651757E-2</v>
      </c>
      <c r="U29" s="11">
        <f t="shared" si="8"/>
        <v>0.11911824650940012</v>
      </c>
      <c r="V29" s="11">
        <f t="shared" si="8"/>
        <v>0.10309289810214821</v>
      </c>
    </row>
    <row r="30" spans="1:22" x14ac:dyDescent="0.35">
      <c r="A30" s="227"/>
      <c r="B30" s="11">
        <f t="shared" ref="B30:M30" si="10">IF(B7="","",(B7/$O$23))</f>
        <v>5.444658092969408E-2</v>
      </c>
      <c r="C30" s="11">
        <f t="shared" si="10"/>
        <v>0.35621057649384341</v>
      </c>
      <c r="D30" s="11">
        <f t="shared" si="10"/>
        <v>0.19573735934875253</v>
      </c>
      <c r="E30" s="11" t="str">
        <f t="shared" si="10"/>
        <v/>
      </c>
      <c r="F30" s="11">
        <f t="shared" si="10"/>
        <v>1.0319657764446921</v>
      </c>
      <c r="G30" s="11">
        <f t="shared" si="10"/>
        <v>1.2255971450900494</v>
      </c>
      <c r="H30" s="11">
        <f t="shared" si="10"/>
        <v>2.3436688159002643</v>
      </c>
      <c r="I30" s="11">
        <f t="shared" si="10"/>
        <v>0.15756188318826139</v>
      </c>
      <c r="J30" s="11">
        <f t="shared" si="10"/>
        <v>0.10461750094646789</v>
      </c>
      <c r="K30" s="11">
        <f t="shared" si="10"/>
        <v>2.8930487183982372E-2</v>
      </c>
      <c r="L30" s="11">
        <f t="shared" si="10"/>
        <v>0.13607560782368652</v>
      </c>
      <c r="M30" s="11">
        <f t="shared" si="10"/>
        <v>0</v>
      </c>
      <c r="N30" s="6"/>
      <c r="O30" s="11">
        <f t="shared" si="8"/>
        <v>0.66286867385791248</v>
      </c>
      <c r="P30" s="11">
        <f t="shared" si="8"/>
        <v>1.2079948887502225</v>
      </c>
      <c r="Q30" s="11">
        <f t="shared" si="8"/>
        <v>0.14772835425658937</v>
      </c>
      <c r="R30" s="11">
        <f t="shared" si="8"/>
        <v>0.22165948534464422</v>
      </c>
      <c r="S30" s="11">
        <f t="shared" si="8"/>
        <v>5.8073641514281418E-2</v>
      </c>
      <c r="T30" s="11">
        <f t="shared" si="8"/>
        <v>5.1430981475683368E-2</v>
      </c>
      <c r="U30" s="11">
        <f t="shared" si="8"/>
        <v>0.11430962518320244</v>
      </c>
      <c r="V30" s="11">
        <f t="shared" si="8"/>
        <v>0.11413814721676396</v>
      </c>
    </row>
    <row r="31" spans="1:22" x14ac:dyDescent="0.35">
      <c r="A31" s="227"/>
      <c r="B31" s="11">
        <f t="shared" ref="B31:M31" si="11">IF(B8="","",(B8/$O$23))</f>
        <v>0.12365491584460286</v>
      </c>
      <c r="C31" s="11">
        <f t="shared" si="11"/>
        <v>0.14642736212729879</v>
      </c>
      <c r="D31" s="11">
        <f t="shared" si="11"/>
        <v>3.2911705779656242E-2</v>
      </c>
      <c r="E31" s="11">
        <f t="shared" si="11"/>
        <v>0.71585053997679182</v>
      </c>
      <c r="F31" s="11">
        <f t="shared" si="11"/>
        <v>1.0375314859181906</v>
      </c>
      <c r="G31" s="11" t="str">
        <f t="shared" si="11"/>
        <v/>
      </c>
      <c r="H31" s="11">
        <f t="shared" si="11"/>
        <v>1.8892001582595139</v>
      </c>
      <c r="I31" s="11">
        <f t="shared" si="11"/>
        <v>4.7341878249868297E-2</v>
      </c>
      <c r="J31" s="11">
        <f t="shared" si="11"/>
        <v>0.21081932043109558</v>
      </c>
      <c r="K31" s="11">
        <f t="shared" si="11"/>
        <v>0.23388646754053502</v>
      </c>
      <c r="L31" s="11">
        <f t="shared" si="11"/>
        <v>0.11883871157315566</v>
      </c>
      <c r="M31" s="11">
        <f t="shared" si="11"/>
        <v>3.3881116393944172E-2</v>
      </c>
      <c r="N31" s="6"/>
      <c r="O31" s="11">
        <f t="shared" si="8"/>
        <v>1.1943180129546864</v>
      </c>
      <c r="P31" s="11" t="str">
        <f t="shared" si="8"/>
        <v/>
      </c>
      <c r="Q31" s="11">
        <f t="shared" si="8"/>
        <v>0.18928461762072255</v>
      </c>
      <c r="R31" s="11">
        <f t="shared" si="8"/>
        <v>2.9769436672045242E-2</v>
      </c>
      <c r="S31" s="11">
        <f t="shared" si="8"/>
        <v>5.7872348785839058E-2</v>
      </c>
      <c r="T31" s="11">
        <f t="shared" si="8"/>
        <v>0.13543812340373076</v>
      </c>
      <c r="U31" s="11">
        <f t="shared" si="8"/>
        <v>0.13157995532869721</v>
      </c>
      <c r="V31" s="11">
        <f t="shared" si="8"/>
        <v>0.18782714107582776</v>
      </c>
    </row>
    <row r="32" spans="1:22" x14ac:dyDescent="0.35">
      <c r="A32" s="227"/>
      <c r="B32" s="11">
        <f t="shared" ref="B32:M32" si="12">IF(B9="","",(B9/$O$23))</f>
        <v>5.2567733904455495E-2</v>
      </c>
      <c r="C32" s="11">
        <f t="shared" si="12"/>
        <v>1.3471791594468914E-2</v>
      </c>
      <c r="D32" s="11">
        <f t="shared" si="12"/>
        <v>0.38753804990517221</v>
      </c>
      <c r="E32" s="11">
        <f t="shared" si="12"/>
        <v>0.4429015640212341</v>
      </c>
      <c r="F32" s="11">
        <f t="shared" si="12"/>
        <v>0.98529895266169776</v>
      </c>
      <c r="G32" s="11">
        <f t="shared" si="12"/>
        <v>2.1679678383164416</v>
      </c>
      <c r="H32" s="11">
        <f t="shared" si="12"/>
        <v>2.5514092882203809</v>
      </c>
      <c r="I32" s="11">
        <f t="shared" si="12"/>
        <v>0.10913926290066872</v>
      </c>
      <c r="J32" s="11">
        <f t="shared" si="12"/>
        <v>6.5517853333688925E-2</v>
      </c>
      <c r="K32" s="11">
        <f t="shared" si="12"/>
        <v>2.6766073334232657E-3</v>
      </c>
      <c r="L32" s="11">
        <f t="shared" si="12"/>
        <v>0.17321825237325722</v>
      </c>
      <c r="M32" s="11">
        <f t="shared" si="12"/>
        <v>0.24620634081573275</v>
      </c>
      <c r="N32" s="6"/>
      <c r="O32" s="11">
        <f t="shared" si="8"/>
        <v>0.46361265557370818</v>
      </c>
      <c r="P32" s="11">
        <f t="shared" si="8"/>
        <v>1.6784776927200149</v>
      </c>
      <c r="Q32" s="11">
        <f t="shared" si="8"/>
        <v>0.22400433882340004</v>
      </c>
      <c r="R32" s="11">
        <f t="shared" si="8"/>
        <v>0.10686541336379494</v>
      </c>
      <c r="S32" s="11">
        <f t="shared" si="8"/>
        <v>0.20883638024834059</v>
      </c>
      <c r="T32" s="11">
        <f t="shared" si="8"/>
        <v>0.18002118830008421</v>
      </c>
      <c r="U32" s="11" t="str">
        <f t="shared" si="8"/>
        <v/>
      </c>
      <c r="V32" s="11">
        <f t="shared" si="8"/>
        <v>3.4700936179218426E-2</v>
      </c>
    </row>
    <row r="33" spans="1:22" x14ac:dyDescent="0.35">
      <c r="A33" s="227"/>
      <c r="B33" s="11">
        <f t="shared" ref="B33:M33" si="13">IF(B10="","",(B10/$O$23))</f>
        <v>0.20107540812509997</v>
      </c>
      <c r="C33" s="11">
        <f t="shared" si="13"/>
        <v>7.4059868817632268E-2</v>
      </c>
      <c r="D33" s="11">
        <f t="shared" si="13"/>
        <v>4.8461741391493715E-2</v>
      </c>
      <c r="E33" s="11">
        <f t="shared" si="13"/>
        <v>0.90154532238051566</v>
      </c>
      <c r="F33" s="11" t="str">
        <f t="shared" si="13"/>
        <v/>
      </c>
      <c r="G33" s="11">
        <f t="shared" si="13"/>
        <v>1.7204029353064041</v>
      </c>
      <c r="H33" s="11">
        <f t="shared" si="13"/>
        <v>2.1691643926088862</v>
      </c>
      <c r="I33" s="11">
        <f t="shared" si="13"/>
        <v>9.6375614988708086E-2</v>
      </c>
      <c r="J33" s="11">
        <f t="shared" si="13"/>
        <v>0.21256391485748435</v>
      </c>
      <c r="K33" s="11">
        <f t="shared" si="13"/>
        <v>4.9563508868319096E-2</v>
      </c>
      <c r="L33" s="11">
        <f t="shared" si="13"/>
        <v>0.21446878517210205</v>
      </c>
      <c r="M33" s="11">
        <f t="shared" si="13"/>
        <v>0.25167502305797002</v>
      </c>
      <c r="N33" s="6"/>
      <c r="O33" s="11">
        <f t="shared" si="8"/>
        <v>0.91200513365393387</v>
      </c>
      <c r="P33" s="11">
        <f t="shared" si="8"/>
        <v>1.6043749113258567</v>
      </c>
      <c r="Q33" s="11">
        <f t="shared" si="8"/>
        <v>7.9794988181592058E-2</v>
      </c>
      <c r="R33" s="11">
        <f t="shared" si="8"/>
        <v>5.9635555896022138E-2</v>
      </c>
      <c r="S33" s="11">
        <f t="shared" si="8"/>
        <v>5.8364378528735418E-2</v>
      </c>
      <c r="T33" s="11">
        <f t="shared" si="8"/>
        <v>0.12184310894895682</v>
      </c>
      <c r="U33" s="11">
        <f t="shared" si="8"/>
        <v>0.13895505894253501</v>
      </c>
      <c r="V33" s="11">
        <f t="shared" si="8"/>
        <v>0.11455555388481825</v>
      </c>
    </row>
    <row r="34" spans="1:22" x14ac:dyDescent="0.35">
      <c r="A34" s="227"/>
      <c r="B34" s="11">
        <f t="shared" ref="B34:M34" si="14">IF(B11="","",(B11/$O$23))</f>
        <v>0.14293438180189652</v>
      </c>
      <c r="C34" s="11">
        <f t="shared" si="14"/>
        <v>0.18871400099069455</v>
      </c>
      <c r="D34" s="11">
        <f t="shared" si="14"/>
        <v>0.17473914991478448</v>
      </c>
      <c r="E34" s="11">
        <f t="shared" si="14"/>
        <v>0.41320675042403093</v>
      </c>
      <c r="F34" s="11">
        <f t="shared" si="14"/>
        <v>1.4943820500656204</v>
      </c>
      <c r="G34" s="11">
        <f t="shared" si="14"/>
        <v>1.5863292250285965</v>
      </c>
      <c r="H34" s="11">
        <f t="shared" si="14"/>
        <v>1.7797963539734352</v>
      </c>
      <c r="I34" s="11">
        <f t="shared" si="14"/>
        <v>6.1883209803852035E-2</v>
      </c>
      <c r="J34" s="11">
        <f t="shared" si="14"/>
        <v>8.1587837714114264E-2</v>
      </c>
      <c r="K34" s="11">
        <f t="shared" si="14"/>
        <v>9.0180176380168203E-2</v>
      </c>
      <c r="L34" s="11">
        <f t="shared" si="14"/>
        <v>6.8220656296156059E-4</v>
      </c>
      <c r="M34" s="11">
        <f t="shared" si="14"/>
        <v>2.5296015993810247E-2</v>
      </c>
      <c r="N34" s="6"/>
      <c r="O34" s="11">
        <f t="shared" si="8"/>
        <v>1.2791637596914671</v>
      </c>
      <c r="P34" s="11">
        <f t="shared" si="8"/>
        <v>1.5526197589407555</v>
      </c>
      <c r="Q34" s="11">
        <f t="shared" si="8"/>
        <v>0.21992609299646498</v>
      </c>
      <c r="R34" s="11">
        <f t="shared" si="8"/>
        <v>0.19475872856239981</v>
      </c>
      <c r="S34" s="11">
        <f t="shared" si="8"/>
        <v>0.12681028276673581</v>
      </c>
      <c r="T34" s="11">
        <f t="shared" si="8"/>
        <v>0.21191901983194381</v>
      </c>
      <c r="U34" s="11">
        <f t="shared" si="8"/>
        <v>0.21934841044018177</v>
      </c>
      <c r="V34" s="11">
        <f t="shared" si="8"/>
        <v>8.6042473368890163E-2</v>
      </c>
    </row>
    <row r="35" spans="1:22" x14ac:dyDescent="0.35">
      <c r="A35" s="227"/>
      <c r="B35" s="11">
        <f t="shared" ref="B35:M35" si="15">IF(B12="","",(B12/$O$23))</f>
        <v>9.0154153090789085E-2</v>
      </c>
      <c r="C35" s="11">
        <f t="shared" si="15"/>
        <v>0.13320908217969521</v>
      </c>
      <c r="D35" s="11">
        <f t="shared" si="15"/>
        <v>0.14992396158566107</v>
      </c>
      <c r="E35" s="11">
        <f t="shared" si="15"/>
        <v>0.41181269487576871</v>
      </c>
      <c r="F35" s="11">
        <f t="shared" si="15"/>
        <v>0.5697735443879548</v>
      </c>
      <c r="G35" s="11">
        <f t="shared" si="15"/>
        <v>1.6094184316151254</v>
      </c>
      <c r="H35" s="11">
        <f t="shared" si="15"/>
        <v>1.5594301054731674</v>
      </c>
      <c r="I35" s="11">
        <f t="shared" si="15"/>
        <v>0.18981025359824752</v>
      </c>
      <c r="J35" s="11">
        <f t="shared" si="15"/>
        <v>0.25304288297718841</v>
      </c>
      <c r="K35" s="11">
        <f t="shared" si="15"/>
        <v>0.12602941174569782</v>
      </c>
      <c r="L35" s="11">
        <f t="shared" si="15"/>
        <v>0.12375556220882405</v>
      </c>
      <c r="M35" s="11" t="str">
        <f t="shared" si="15"/>
        <v/>
      </c>
      <c r="N35" s="6"/>
      <c r="O35" s="11">
        <f t="shared" si="8"/>
        <v>0.70284079102355068</v>
      </c>
      <c r="P35" s="11">
        <f t="shared" si="8"/>
        <v>1.8671174153151968</v>
      </c>
      <c r="Q35" s="11">
        <f t="shared" si="8"/>
        <v>9.670374971041551E-2</v>
      </c>
      <c r="R35" s="11">
        <f t="shared" si="8"/>
        <v>4.5608485901689096E-2</v>
      </c>
      <c r="S35" s="11">
        <f t="shared" si="8"/>
        <v>6.150302850338641E-2</v>
      </c>
      <c r="T35" s="11">
        <f t="shared" si="8"/>
        <v>0.22589783472014344</v>
      </c>
      <c r="U35" s="11">
        <f t="shared" si="8"/>
        <v>6.2323365307654956E-2</v>
      </c>
      <c r="V35" s="11">
        <f t="shared" si="8"/>
        <v>0.13078598649313727</v>
      </c>
    </row>
    <row r="36" spans="1:22" x14ac:dyDescent="0.3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0.41618908832274254</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1.1047935889989386</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0.77538906864155277</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1.7876279853592285</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0.49569695862284058</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2.0176712783755644</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1.1140718395307465</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1.2679546155556625</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AN-0.18mg/L</v>
      </c>
      <c r="J45" s="7" t="str">
        <f t="shared" si="26"/>
        <v>AN-0.36mg/L</v>
      </c>
      <c r="K45" s="7" t="str">
        <f t="shared" si="26"/>
        <v>AN-0.73mg/L</v>
      </c>
      <c r="L45" s="7" t="str">
        <f t="shared" si="26"/>
        <v>AN-1.45mg/L</v>
      </c>
      <c r="M45" s="7" t="str">
        <f t="shared" si="26"/>
        <v>AN-2.9mg/L</v>
      </c>
      <c r="N45" s="7"/>
      <c r="O45" s="7" t="str">
        <f t="shared" si="26"/>
        <v>Testo -30µg/L</v>
      </c>
      <c r="P45" s="7" t="str">
        <f t="shared" si="26"/>
        <v>Testo 30µg/L + EE2 -64ng/L</v>
      </c>
      <c r="Q45" s="7" t="str">
        <f t="shared" si="26"/>
        <v>Testo 30µg/L + FAD-10mg/L</v>
      </c>
      <c r="R45" s="7" t="str">
        <f t="shared" si="26"/>
        <v>AN-0,18mg/L + Testostérone</v>
      </c>
      <c r="S45" s="7" t="str">
        <f t="shared" si="26"/>
        <v>AN-0,36mg/L + Testostérone</v>
      </c>
      <c r="T45" s="7" t="str">
        <f t="shared" si="26"/>
        <v>AN-0,73mg/L + Testostérone</v>
      </c>
      <c r="U45" s="7" t="str">
        <f t="shared" si="26"/>
        <v>AN-1,45mg/L + Testostérone</v>
      </c>
      <c r="V45" s="7" t="str">
        <f t="shared" si="26"/>
        <v>AN-2,9mg/L + Testostérone</v>
      </c>
    </row>
    <row r="46" spans="1:22" x14ac:dyDescent="0.35">
      <c r="A46" s="8" t="s">
        <v>0</v>
      </c>
      <c r="B46" s="10">
        <f t="shared" ref="B46:H46" si="27">AVERAGE(B28:B43)</f>
        <v>0.1225530837404032</v>
      </c>
      <c r="C46" s="10">
        <f t="shared" si="27"/>
        <v>0.14654218342894665</v>
      </c>
      <c r="D46" s="10">
        <f t="shared" si="27"/>
        <v>0.17932167237204305</v>
      </c>
      <c r="E46" s="10">
        <f t="shared" si="27"/>
        <v>0.61163280550269228</v>
      </c>
      <c r="F46" s="10">
        <f t="shared" si="27"/>
        <v>1.0466301338993642</v>
      </c>
      <c r="G46" s="10">
        <f t="shared" si="27"/>
        <v>1.6182714832640366</v>
      </c>
      <c r="H46" s="10">
        <f t="shared" si="27"/>
        <v>1.8478750239282851</v>
      </c>
      <c r="I46" s="10">
        <f>AVERAGE(I28:I43)</f>
        <v>0.11945611842216661</v>
      </c>
      <c r="J46" s="9">
        <f>AVERAGE(J28:J43)</f>
        <v>0.15262039875176103</v>
      </c>
      <c r="K46" s="9">
        <f t="shared" ref="K46:M46" si="28">AVERAGE(K28:K43)</f>
        <v>0.11342194665492802</v>
      </c>
      <c r="L46" s="9">
        <f t="shared" si="28"/>
        <v>0.12865512502187099</v>
      </c>
      <c r="M46" s="9">
        <f t="shared" si="28"/>
        <v>0.12171811345209993</v>
      </c>
      <c r="N46" s="8" t="s">
        <v>0</v>
      </c>
      <c r="O46" s="10">
        <f t="shared" ref="O46:V46" si="29">AVERAGE(O28:O43)</f>
        <v>1</v>
      </c>
      <c r="P46" s="10">
        <f t="shared" si="29"/>
        <v>1.6603595006637935</v>
      </c>
      <c r="Q46" s="10">
        <f t="shared" si="29"/>
        <v>0.13179615543814149</v>
      </c>
      <c r="R46" s="10">
        <f t="shared" si="29"/>
        <v>0.13185885476242784</v>
      </c>
      <c r="S46" s="10">
        <f t="shared" si="29"/>
        <v>0.10300109030073414</v>
      </c>
      <c r="T46" s="10">
        <f t="shared" si="29"/>
        <v>0.15114140129122908</v>
      </c>
      <c r="U46" s="10">
        <f t="shared" si="29"/>
        <v>0.12241544897563242</v>
      </c>
      <c r="V46" s="10">
        <f t="shared" si="29"/>
        <v>0.12790399336423353</v>
      </c>
    </row>
    <row r="47" spans="1:22" x14ac:dyDescent="0.35">
      <c r="A47" s="8" t="s">
        <v>1</v>
      </c>
      <c r="B47" s="8">
        <f t="shared" ref="B47:M47" si="30">STDEV(B28:B43)</f>
        <v>5.575563617607996E-2</v>
      </c>
      <c r="C47" s="8">
        <f t="shared" si="30"/>
        <v>9.9592296873311975E-2</v>
      </c>
      <c r="D47" s="8">
        <f t="shared" si="30"/>
        <v>0.14969347382227255</v>
      </c>
      <c r="E47" s="8">
        <f t="shared" si="30"/>
        <v>0.294509336286084</v>
      </c>
      <c r="F47" s="8">
        <f t="shared" si="30"/>
        <v>0.30632606794922129</v>
      </c>
      <c r="G47" s="8">
        <f t="shared" si="30"/>
        <v>0.37633617911911638</v>
      </c>
      <c r="H47" s="8">
        <f t="shared" si="30"/>
        <v>0.49727628445544247</v>
      </c>
      <c r="I47" s="8">
        <f t="shared" si="30"/>
        <v>5.0438827107810821E-2</v>
      </c>
      <c r="J47" s="8">
        <f t="shared" si="30"/>
        <v>7.1239752473857235E-2</v>
      </c>
      <c r="K47" s="8">
        <f t="shared" si="30"/>
        <v>8.480911475319694E-2</v>
      </c>
      <c r="L47" s="8">
        <f t="shared" si="30"/>
        <v>6.3883735737567393E-2</v>
      </c>
      <c r="M47" s="8">
        <f t="shared" si="30"/>
        <v>0.10929061311168729</v>
      </c>
      <c r="N47" s="8" t="s">
        <v>1</v>
      </c>
      <c r="O47" s="8">
        <f t="shared" ref="O47:V47" si="31">STDEV(O28:O43)</f>
        <v>0.47214374329186554</v>
      </c>
      <c r="P47" s="8">
        <f t="shared" si="31"/>
        <v>0.2592610327976046</v>
      </c>
      <c r="Q47" s="8">
        <f t="shared" si="31"/>
        <v>7.7429774999925649E-2</v>
      </c>
      <c r="R47" s="8">
        <f t="shared" si="31"/>
        <v>8.3852055837747588E-2</v>
      </c>
      <c r="S47" s="8">
        <f t="shared" si="31"/>
        <v>6.0144500047998865E-2</v>
      </c>
      <c r="T47" s="8">
        <f t="shared" si="31"/>
        <v>7.1928206492117855E-2</v>
      </c>
      <c r="U47" s="8">
        <f t="shared" si="31"/>
        <v>5.1731165996642355E-2</v>
      </c>
      <c r="V47" s="8">
        <f t="shared" si="31"/>
        <v>6.5947408565969284E-2</v>
      </c>
    </row>
    <row r="48" spans="1:22" x14ac:dyDescent="0.35">
      <c r="A48" s="8" t="s">
        <v>2</v>
      </c>
      <c r="B48" s="8">
        <f t="shared" ref="B48:M48" si="32" xml:space="preserve"> B47/SQRT(COUNT(B28:B43))</f>
        <v>1.9712594214738061E-2</v>
      </c>
      <c r="C48" s="8">
        <f t="shared" si="32"/>
        <v>3.5211194236531344E-2</v>
      </c>
      <c r="D48" s="8">
        <f t="shared" si="32"/>
        <v>5.2924635219549925E-2</v>
      </c>
      <c r="E48" s="8">
        <f t="shared" si="32"/>
        <v>0.11131406608566702</v>
      </c>
      <c r="F48" s="8">
        <f t="shared" si="32"/>
        <v>0.11578037084141615</v>
      </c>
      <c r="G48" s="8">
        <f t="shared" si="32"/>
        <v>0.14224170561506297</v>
      </c>
      <c r="H48" s="8">
        <f t="shared" si="32"/>
        <v>0.17581371643084695</v>
      </c>
      <c r="I48" s="8">
        <f t="shared" si="32"/>
        <v>1.7832818341514442E-2</v>
      </c>
      <c r="J48" s="8">
        <f t="shared" si="32"/>
        <v>2.5187056032157786E-2</v>
      </c>
      <c r="K48" s="8">
        <f t="shared" si="32"/>
        <v>2.9984550074206813E-2</v>
      </c>
      <c r="L48" s="8">
        <f t="shared" si="32"/>
        <v>2.2586311373781646E-2</v>
      </c>
      <c r="M48" s="8">
        <f t="shared" si="32"/>
        <v>4.1307968989614224E-2</v>
      </c>
      <c r="N48" s="8" t="s">
        <v>2</v>
      </c>
      <c r="O48" s="8">
        <f t="shared" ref="O48:V48" si="33" xml:space="preserve"> O47/SQRT(COUNT(O28:O43))</f>
        <v>0.11803593582296638</v>
      </c>
      <c r="P48" s="8">
        <f t="shared" si="33"/>
        <v>9.7991459633174599E-2</v>
      </c>
      <c r="Q48" s="8">
        <f t="shared" si="33"/>
        <v>2.7375559484098016E-2</v>
      </c>
      <c r="R48" s="8">
        <f t="shared" si="33"/>
        <v>2.9646178649652171E-2</v>
      </c>
      <c r="S48" s="8">
        <f t="shared" si="33"/>
        <v>2.273248426504533E-2</v>
      </c>
      <c r="T48" s="8">
        <f t="shared" si="33"/>
        <v>2.5430461284581391E-2</v>
      </c>
      <c r="U48" s="8">
        <f t="shared" si="33"/>
        <v>1.9552542894073783E-2</v>
      </c>
      <c r="V48" s="8">
        <f t="shared" si="33"/>
        <v>2.3315929899338346E-2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AN-0.18mg/L</v>
      </c>
      <c r="J52" s="46" t="str">
        <f>J4</f>
        <v>AN-0.36mg/L</v>
      </c>
      <c r="K52" s="46" t="str">
        <f t="shared" ref="K52:M52" si="35">K4</f>
        <v>AN-0.73mg/L</v>
      </c>
      <c r="L52" s="46" t="str">
        <f t="shared" si="35"/>
        <v>AN-1.45mg/L</v>
      </c>
      <c r="M52" s="46" t="str">
        <f t="shared" si="35"/>
        <v>AN-2.9mg/L</v>
      </c>
      <c r="N52" s="47"/>
      <c r="O52" s="46" t="str">
        <f>O27</f>
        <v>Testo -30µg/L</v>
      </c>
      <c r="P52" s="46" t="str">
        <f>P27</f>
        <v>Testo 30µg/L + EE2 -64ng/L</v>
      </c>
      <c r="Q52" s="46" t="str">
        <f>Q27</f>
        <v>Testo 30µg/L + FAD-10mg/L</v>
      </c>
      <c r="R52" s="46" t="str">
        <f>R27</f>
        <v>AN-0,18mg/L + Testostérone</v>
      </c>
      <c r="S52" s="46" t="str">
        <f t="shared" ref="S52:V52" si="36">S27</f>
        <v>AN-0,36mg/L + Testostérone</v>
      </c>
      <c r="T52" s="46" t="str">
        <f t="shared" si="36"/>
        <v>AN-0,73mg/L + Testostérone</v>
      </c>
      <c r="U52" s="46" t="str">
        <f t="shared" si="36"/>
        <v>AN-1,45mg/L + Testostérone</v>
      </c>
      <c r="V52" s="46" t="str">
        <f t="shared" si="36"/>
        <v>AN-2,9mg/L + Testostérone</v>
      </c>
    </row>
    <row r="53" spans="1:22" s="3" customFormat="1" x14ac:dyDescent="0.35">
      <c r="A53" s="61" t="s">
        <v>32</v>
      </c>
      <c r="B53" s="142">
        <f t="shared" ref="B53:V53" si="37">B46</f>
        <v>0.1225530837404032</v>
      </c>
      <c r="C53" s="142">
        <f t="shared" si="37"/>
        <v>0.14654218342894665</v>
      </c>
      <c r="D53" s="142">
        <f t="shared" si="37"/>
        <v>0.17932167237204305</v>
      </c>
      <c r="E53" s="142">
        <f t="shared" si="37"/>
        <v>0.61163280550269228</v>
      </c>
      <c r="F53" s="142">
        <f t="shared" si="37"/>
        <v>1.0466301338993642</v>
      </c>
      <c r="G53" s="142">
        <f t="shared" si="37"/>
        <v>1.6182714832640366</v>
      </c>
      <c r="H53" s="142">
        <f t="shared" si="37"/>
        <v>1.8478750239282851</v>
      </c>
      <c r="I53" s="142">
        <f t="shared" si="37"/>
        <v>0.11945611842216661</v>
      </c>
      <c r="J53" s="142">
        <f t="shared" si="37"/>
        <v>0.15262039875176103</v>
      </c>
      <c r="K53" s="142">
        <f t="shared" si="37"/>
        <v>0.11342194665492802</v>
      </c>
      <c r="L53" s="142">
        <f t="shared" si="37"/>
        <v>0.12865512502187099</v>
      </c>
      <c r="M53" s="142">
        <f t="shared" si="37"/>
        <v>0.12171811345209993</v>
      </c>
      <c r="N53" s="142"/>
      <c r="O53" s="142">
        <f t="shared" si="37"/>
        <v>1</v>
      </c>
      <c r="P53" s="142">
        <f t="shared" si="37"/>
        <v>1.6603595006637935</v>
      </c>
      <c r="Q53" s="142">
        <f t="shared" si="37"/>
        <v>0.13179615543814149</v>
      </c>
      <c r="R53" s="142">
        <f t="shared" si="37"/>
        <v>0.13185885476242784</v>
      </c>
      <c r="S53" s="142">
        <f t="shared" si="37"/>
        <v>0.10300109030073414</v>
      </c>
      <c r="T53" s="142">
        <f t="shared" si="37"/>
        <v>0.15114140129122908</v>
      </c>
      <c r="U53" s="142">
        <f t="shared" si="37"/>
        <v>0.12241544897563242</v>
      </c>
      <c r="V53" s="142">
        <f t="shared" si="37"/>
        <v>0.12790399336423353</v>
      </c>
    </row>
    <row r="54" spans="1:22" s="3" customFormat="1" x14ac:dyDescent="0.35">
      <c r="A54" s="61" t="s">
        <v>2</v>
      </c>
      <c r="B54" s="142">
        <f t="shared" ref="B54:V54" si="38">B48</f>
        <v>1.9712594214738061E-2</v>
      </c>
      <c r="C54" s="142">
        <f t="shared" si="38"/>
        <v>3.5211194236531344E-2</v>
      </c>
      <c r="D54" s="142">
        <f t="shared" si="38"/>
        <v>5.2924635219549925E-2</v>
      </c>
      <c r="E54" s="142">
        <f t="shared" si="38"/>
        <v>0.11131406608566702</v>
      </c>
      <c r="F54" s="142">
        <f t="shared" si="38"/>
        <v>0.11578037084141615</v>
      </c>
      <c r="G54" s="142">
        <f t="shared" si="38"/>
        <v>0.14224170561506297</v>
      </c>
      <c r="H54" s="142">
        <f t="shared" si="38"/>
        <v>0.17581371643084695</v>
      </c>
      <c r="I54" s="142">
        <f t="shared" si="38"/>
        <v>1.7832818341514442E-2</v>
      </c>
      <c r="J54" s="142">
        <f t="shared" si="38"/>
        <v>2.5187056032157786E-2</v>
      </c>
      <c r="K54" s="142">
        <f t="shared" si="38"/>
        <v>2.9984550074206813E-2</v>
      </c>
      <c r="L54" s="142">
        <f t="shared" si="38"/>
        <v>2.2586311373781646E-2</v>
      </c>
      <c r="M54" s="142">
        <f t="shared" si="38"/>
        <v>4.1307968989614224E-2</v>
      </c>
      <c r="N54" s="142"/>
      <c r="O54" s="142">
        <f t="shared" si="38"/>
        <v>0.11803593582296638</v>
      </c>
      <c r="P54" s="142">
        <f t="shared" si="38"/>
        <v>9.7991459633174599E-2</v>
      </c>
      <c r="Q54" s="142">
        <f t="shared" si="38"/>
        <v>2.7375559484098016E-2</v>
      </c>
      <c r="R54" s="142">
        <f t="shared" si="38"/>
        <v>2.9646178649652171E-2</v>
      </c>
      <c r="S54" s="142">
        <f t="shared" si="38"/>
        <v>2.273248426504533E-2</v>
      </c>
      <c r="T54" s="142">
        <f t="shared" si="38"/>
        <v>2.5430461284581391E-2</v>
      </c>
      <c r="U54" s="142">
        <f t="shared" si="38"/>
        <v>1.9552542894073783E-2</v>
      </c>
      <c r="V54" s="142">
        <f t="shared" si="38"/>
        <v>2.3315929899338346E-2</v>
      </c>
    </row>
    <row r="55" spans="1:22" s="3" customFormat="1" x14ac:dyDescent="0.35">
      <c r="A55" s="61" t="s">
        <v>79</v>
      </c>
      <c r="B55" s="142">
        <f>(B53*100/$B53)-100</f>
        <v>0</v>
      </c>
      <c r="C55" s="142">
        <f t="shared" ref="C55:M55" si="39">(C53*100/$B53)-100</f>
        <v>19.57445619186386</v>
      </c>
      <c r="D55" s="142">
        <f t="shared" si="39"/>
        <v>46.321632144230108</v>
      </c>
      <c r="E55" s="142">
        <f t="shared" si="39"/>
        <v>399.07581827828756</v>
      </c>
      <c r="F55" s="142">
        <f t="shared" si="39"/>
        <v>754.02186705997349</v>
      </c>
      <c r="G55" s="142">
        <f t="shared" si="39"/>
        <v>1220.4657393133602</v>
      </c>
      <c r="H55" s="142">
        <f t="shared" si="39"/>
        <v>1407.8160153379145</v>
      </c>
      <c r="I55" s="142">
        <f t="shared" si="39"/>
        <v>-2.527039894644119</v>
      </c>
      <c r="J55" s="142">
        <f t="shared" si="39"/>
        <v>24.534115416506054</v>
      </c>
      <c r="K55" s="142">
        <f t="shared" si="39"/>
        <v>-7.4507607697714917</v>
      </c>
      <c r="L55" s="142">
        <f t="shared" si="39"/>
        <v>4.9791005621640352</v>
      </c>
      <c r="M55" s="142">
        <f t="shared" si="39"/>
        <v>-0.6813131606479601</v>
      </c>
      <c r="N55" s="142"/>
      <c r="O55" s="142">
        <f>(O53*100/$O53)-100</f>
        <v>0</v>
      </c>
      <c r="P55" s="142">
        <f t="shared" ref="P55:V55" si="40">(P53*100/$O53)-100</f>
        <v>66.035950066379343</v>
      </c>
      <c r="Q55" s="142">
        <f t="shared" si="40"/>
        <v>-86.820384456185849</v>
      </c>
      <c r="R55" s="142">
        <f t="shared" si="40"/>
        <v>-86.814114523757212</v>
      </c>
      <c r="S55" s="142">
        <f t="shared" si="40"/>
        <v>-89.699890969926585</v>
      </c>
      <c r="T55" s="142">
        <f t="shared" si="40"/>
        <v>-84.885859870877098</v>
      </c>
      <c r="U55" s="142">
        <f t="shared" si="40"/>
        <v>-87.758455102436756</v>
      </c>
      <c r="V55" s="142">
        <f t="shared" si="40"/>
        <v>-87.209600663576651</v>
      </c>
    </row>
    <row r="56" spans="1:22" s="3" customFormat="1" x14ac:dyDescent="0.35">
      <c r="A56" s="61" t="s">
        <v>81</v>
      </c>
      <c r="B56" s="142">
        <f>[1]!SWTEST(B28:B43)</f>
        <v>0.50347101134637029</v>
      </c>
      <c r="C56" s="142">
        <f>[1]!SWTEST(C28:C43)</f>
        <v>0.18221331842703481</v>
      </c>
      <c r="D56" s="142">
        <f>[1]!SWTEST(D28:D43)</f>
        <v>0.11107551090046353</v>
      </c>
      <c r="E56" s="142">
        <f>[1]!SWTEST(E28:E43)</f>
        <v>0.21825333670034464</v>
      </c>
      <c r="F56" s="142">
        <f>[1]!SWTEST(F28:F43)</f>
        <v>0.80886335935273679</v>
      </c>
      <c r="G56" s="142">
        <f>[1]!SWTEST(G28:G43)</f>
        <v>0.88797217261681294</v>
      </c>
      <c r="H56" s="142">
        <f>[1]!SWTEST(H28:H43)</f>
        <v>0.98016532435708537</v>
      </c>
      <c r="I56" s="142">
        <f>[1]!SWTEST(I28:I43)</f>
        <v>0.83834698627930304</v>
      </c>
      <c r="J56" s="142">
        <f>[1]!SWTEST(J28:J43)</f>
        <v>0.2529755484243239</v>
      </c>
      <c r="K56" s="142">
        <f>[1]!SWTEST(K28:K43)</f>
        <v>0.71728065093147253</v>
      </c>
      <c r="L56" s="142">
        <f>[1]!SWTEST(L28:L43)</f>
        <v>0.56087178161761175</v>
      </c>
      <c r="M56" s="142">
        <f>[1]!SWTEST(M28:M43)</f>
        <v>0.13776862034296744</v>
      </c>
      <c r="N56" s="142"/>
      <c r="O56" s="142">
        <f>[1]!SWTEST(O28:O43)</f>
        <v>0.20397181910101336</v>
      </c>
      <c r="P56" s="142">
        <f>[1]!SWTEST(P28:P43)</f>
        <v>0.79268657619975058</v>
      </c>
      <c r="Q56" s="142">
        <f>[1]!SWTEST(Q28:Q43)</f>
        <v>0.55900911859756475</v>
      </c>
      <c r="R56" s="142">
        <f>[1]!SWTEST(R28:R43)</f>
        <v>0.44331179411627175</v>
      </c>
      <c r="S56" s="142">
        <f>[1]!SWTEST(S28:S43)</f>
        <v>3.7435726404360326E-2</v>
      </c>
      <c r="T56" s="142">
        <f>[1]!SWTEST(T28:T43)</f>
        <v>0.20165669202635128</v>
      </c>
      <c r="U56" s="142">
        <f>[1]!SWTEST(U28:U43)</f>
        <v>0.38669374327637196</v>
      </c>
      <c r="V56" s="142">
        <f>[1]!SWTEST(V28:V43)</f>
        <v>0.55069320052690174</v>
      </c>
    </row>
    <row r="57" spans="1:22" s="3" customFormat="1" x14ac:dyDescent="0.35">
      <c r="A57" s="61" t="s">
        <v>85</v>
      </c>
      <c r="B57" s="142" t="str">
        <f>IF(B56&gt;0.05,"Oui","Non")</f>
        <v>Oui</v>
      </c>
      <c r="C57" s="142" t="str">
        <f t="shared" ref="C57:V57" si="41">IF(C56&gt;0.05,"Oui","Non")</f>
        <v>Oui</v>
      </c>
      <c r="D57" s="142" t="str">
        <f t="shared" si="41"/>
        <v>Oui</v>
      </c>
      <c r="E57" s="142" t="str">
        <f t="shared" si="41"/>
        <v>Oui</v>
      </c>
      <c r="F57" s="142" t="str">
        <f t="shared" si="41"/>
        <v>Oui</v>
      </c>
      <c r="G57" s="142" t="str">
        <f t="shared" si="41"/>
        <v>Oui</v>
      </c>
      <c r="H57" s="142" t="str">
        <f t="shared" si="41"/>
        <v>Oui</v>
      </c>
      <c r="I57" s="142" t="str">
        <f t="shared" si="41"/>
        <v>Oui</v>
      </c>
      <c r="J57" s="142" t="str">
        <f t="shared" si="41"/>
        <v>Oui</v>
      </c>
      <c r="K57" s="142" t="str">
        <f t="shared" si="41"/>
        <v>Oui</v>
      </c>
      <c r="L57" s="142" t="str">
        <f t="shared" si="41"/>
        <v>Oui</v>
      </c>
      <c r="M57" s="142" t="str">
        <f t="shared" si="41"/>
        <v>Oui</v>
      </c>
      <c r="N57" s="142"/>
      <c r="O57" s="142" t="str">
        <f t="shared" si="41"/>
        <v>Oui</v>
      </c>
      <c r="P57" s="142" t="str">
        <f t="shared" si="41"/>
        <v>Oui</v>
      </c>
      <c r="Q57" s="142" t="str">
        <f t="shared" si="41"/>
        <v>Oui</v>
      </c>
      <c r="R57" s="142" t="str">
        <f t="shared" si="41"/>
        <v>Oui</v>
      </c>
      <c r="S57" s="142" t="str">
        <f t="shared" si="41"/>
        <v>Non</v>
      </c>
      <c r="T57" s="142" t="str">
        <f t="shared" si="41"/>
        <v>Oui</v>
      </c>
      <c r="U57" s="142" t="str">
        <f t="shared" si="41"/>
        <v>Oui</v>
      </c>
      <c r="V57" s="142" t="str">
        <f t="shared" si="41"/>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42">IF($B57="Non",IF(C57="Non","MW",IF(C57="Oui","MW","")),IF($B57="Oui",IF(C57="Oui","T-Test Welch",IF(C57="Non","MW",""))))</f>
        <v>T-Test Welch</v>
      </c>
      <c r="D59" s="151" t="str">
        <f t="shared" si="42"/>
        <v>T-Test Welch</v>
      </c>
      <c r="E59" s="151" t="str">
        <f t="shared" si="42"/>
        <v>T-Test Welch</v>
      </c>
      <c r="F59" s="151" t="str">
        <f t="shared" si="42"/>
        <v>T-Test Welch</v>
      </c>
      <c r="G59" s="151" t="str">
        <f t="shared" si="42"/>
        <v>T-Test Welch</v>
      </c>
      <c r="H59" s="151" t="str">
        <f t="shared" si="42"/>
        <v>T-Test Welch</v>
      </c>
      <c r="I59" s="151" t="str">
        <f t="shared" si="42"/>
        <v>T-Test Welch</v>
      </c>
      <c r="J59" s="151" t="str">
        <f t="shared" si="42"/>
        <v>T-Test Welch</v>
      </c>
      <c r="K59" s="151" t="str">
        <f t="shared" si="42"/>
        <v>T-Test Welch</v>
      </c>
      <c r="L59" s="151" t="str">
        <f t="shared" si="42"/>
        <v>T-Test Welch</v>
      </c>
      <c r="M59" s="151" t="str">
        <f t="shared" si="42"/>
        <v>T-Test Welch</v>
      </c>
      <c r="N59" s="151"/>
      <c r="O59" s="151" t="str">
        <f t="shared" si="42"/>
        <v>T-Test Welch</v>
      </c>
      <c r="P59" s="151" t="str">
        <f>IF($O57="Non",IF(P57="Non","MW",IF(P57="Oui","MW","")),IF($O57="Oui",IF(P57="Oui","T-Test Welch",IF(P57="Non","MW",""))))</f>
        <v>T-Test Welch</v>
      </c>
      <c r="Q59" s="151" t="str">
        <f t="shared" ref="Q59:V59" si="43">IF($O57="Non",IF(Q57="Non","MW",IF(Q57="Oui","MW","")),IF($O57="Oui",IF(Q57="Oui","T-Test Welch",IF(Q57="Non","MW",""))))</f>
        <v>T-Test Welch</v>
      </c>
      <c r="R59" s="151" t="str">
        <f t="shared" si="43"/>
        <v>T-Test Welch</v>
      </c>
      <c r="S59" s="151" t="str">
        <f t="shared" si="43"/>
        <v>MW</v>
      </c>
      <c r="T59" s="151" t="str">
        <f t="shared" si="43"/>
        <v>T-Test Welch</v>
      </c>
      <c r="U59" s="151" t="str">
        <f t="shared" si="43"/>
        <v>T-Test Welch</v>
      </c>
      <c r="V59" s="151" t="str">
        <f t="shared" si="43"/>
        <v>T-Test Welch</v>
      </c>
    </row>
    <row r="60" spans="1:22" s="3" customFormat="1" x14ac:dyDescent="0.35">
      <c r="A60" s="61" t="s">
        <v>83</v>
      </c>
      <c r="B60" s="152"/>
      <c r="C60" s="152">
        <f>IF(C59="MW",[1]!MTEST($B28:$B43,C28:C43,2), IF(C59="T-Test Welch",_xlfn.T.TEST($B28:$B43,C28:C43,2,3),""))</f>
        <v>0.56422834402141697</v>
      </c>
      <c r="D60" s="152">
        <f>IF(D59="MW",[1]!MTEST($B28:$B43,D28:D43,2), IF(D59="T-Test Welch",_xlfn.T.TEST($B28:$B43,D28:D43,2,3),""))</f>
        <v>0.34134320788296457</v>
      </c>
      <c r="E60" s="152">
        <f>IF(E59="MW",[1]!MTEST($B28:$B43,E28:E43,2), IF(E59="T-Test Welch",_xlfn.T.TEST($B28:$B43,E28:E43,2,3),""))</f>
        <v>4.2942500858704179E-3</v>
      </c>
      <c r="F60" s="152">
        <f>IF(F59="MW",[1]!MTEST($B28:$B43,F28:F43,2), IF(F59="T-Test Welch",_xlfn.T.TEST($B28:$B43,F28:F43,2,3),""))</f>
        <v>1.6807185188558009E-4</v>
      </c>
      <c r="G60" s="152">
        <f>IF(G59="MW",[1]!MTEST($B28:$B43,G28:G43,2), IF(G59="T-Test Welch",_xlfn.T.TEST($B28:$B43,G28:G43,2,3),""))</f>
        <v>3.5910418068735738E-5</v>
      </c>
      <c r="H60" s="152">
        <f>IF(H59="MW",[1]!MTEST($B28:$B43,H28:H43,2), IF(H59="T-Test Welch",_xlfn.T.TEST($B28:$B43,H28:H43,2,3),""))</f>
        <v>2.1426504532042231E-5</v>
      </c>
      <c r="I60" s="152">
        <f>IF(I59="MW",[1]!MTEST($B28:$B43,I28:I43,2), IF(I59="T-Test Welch",_xlfn.T.TEST($B28:$B43,I28:I43,2,3),""))</f>
        <v>0.90892211188815741</v>
      </c>
      <c r="J60" s="152">
        <f>IF(J59="MW",[1]!MTEST($B28:$B43,J28:J43,2), IF(J59="T-Test Welch",_xlfn.T.TEST($B28:$B43,J28:J43,2,3),""))</f>
        <v>0.36402007448532503</v>
      </c>
      <c r="K60" s="152">
        <f>IF(K59="MW",[1]!MTEST($B28:$B43,K28:K43,2), IF(K59="T-Test Welch",_xlfn.T.TEST($B28:$B43,K28:K43,2,3),""))</f>
        <v>0.80341163548306505</v>
      </c>
      <c r="L60" s="152">
        <f>IF(L59="MW",[1]!MTEST($B28:$B43,L28:L43,2), IF(L59="T-Test Welch",_xlfn.T.TEST($B28:$B43,L28:L43,2,3),""))</f>
        <v>0.84169073866289146</v>
      </c>
      <c r="M60" s="152">
        <f>IF(M59="MW",[1]!MTEST($B28:$B43,M28:M43,2), IF(M59="T-Test Welch",_xlfn.T.TEST($B28:$B43,M28:M43,2,3),""))</f>
        <v>0.98585875609086526</v>
      </c>
      <c r="N60" s="152"/>
      <c r="O60" s="152">
        <f>IF(O59="MW",[1]!MTEST($B28:$B43,O28:O43,2), IF(O59="T-Test Welch",_xlfn.T.TEST($B28:$B43,O28:O43,2,3),""))</f>
        <v>1.8024410390441539E-6</v>
      </c>
      <c r="P60" s="152">
        <f>IF(P59="MW",[1]!MTEST($O28:$O43,P28:P43,2), IF(P59="T-Test Welch",_xlfn.T.TEST($O28:$O43,P28:P43,2,3),""))</f>
        <v>3.6056658515532582E-4</v>
      </c>
      <c r="Q60" s="152">
        <f>IF(Q59="MW",[1]!MTEST($O28:$O43,Q28:Q43,2), IF(Q59="T-Test Welch",_xlfn.T.TEST($O28:$O43,Q28:Q43,2,3),""))</f>
        <v>1.8451675059477156E-6</v>
      </c>
      <c r="R60" s="152">
        <f>IF(R59="MW",[1]!MTEST($O28:$O43,R28:R43,2), IF(R59="T-Test Welch",_xlfn.T.TEST($O28:$O43,R28:R43,2,3),""))</f>
        <v>1.7889815117178997E-6</v>
      </c>
      <c r="S60" s="152">
        <f>IF(S59="MW",[1]!MTEST($O28:$O43,S28:S43,2), IF(S59="T-Test Welch",_xlfn.T.TEST($O28:$O43,S28:S43,2,3),""))</f>
        <v>1.8281063298175582E-4</v>
      </c>
      <c r="T60" s="152">
        <f>IF(T59="MW",[1]!MTEST($O28:$O43,T28:T43,2), IF(T59="T-Test Welch",_xlfn.T.TEST($O28:$O43,T28:T43,2,3),""))</f>
        <v>2.5181313556037092E-6</v>
      </c>
      <c r="U60" s="152">
        <f>IF(U59="MW",[1]!MTEST($O28:$O43,U28:U43,2), IF(U59="T-Test Welch",_xlfn.T.TEST($O28:$O43,U28:U43,2,3),""))</f>
        <v>1.8057991998000634E-6</v>
      </c>
      <c r="V60" s="152">
        <f>IF(V59="MW",[1]!MTEST($O28:$O43,V28:V43,2), IF(V59="T-Test Welch",_xlfn.T.TEST($O28:$O43,V28:V43,2,3),""))</f>
        <v>1.8486954564210124E-6</v>
      </c>
    </row>
    <row r="61" spans="1:22" s="3" customFormat="1" ht="15" thickBot="1" x14ac:dyDescent="0.4">
      <c r="A61" s="62" t="s">
        <v>84</v>
      </c>
      <c r="B61" s="143"/>
      <c r="C61" s="143" t="str">
        <f t="shared" ref="C61:O61" si="44">IF(C60&gt;0.05,"NS",IF(C60&gt;0.01,"*",IF(C60&gt;0.001,"**","***")))</f>
        <v>NS</v>
      </c>
      <c r="D61" s="143" t="str">
        <f t="shared" si="44"/>
        <v>NS</v>
      </c>
      <c r="E61" s="143" t="str">
        <f t="shared" si="44"/>
        <v>**</v>
      </c>
      <c r="F61" s="143" t="str">
        <f t="shared" si="44"/>
        <v>***</v>
      </c>
      <c r="G61" s="143" t="str">
        <f t="shared" si="44"/>
        <v>***</v>
      </c>
      <c r="H61" s="143" t="str">
        <f t="shared" si="44"/>
        <v>***</v>
      </c>
      <c r="I61" s="143" t="str">
        <f t="shared" si="44"/>
        <v>NS</v>
      </c>
      <c r="J61" s="143" t="str">
        <f t="shared" si="44"/>
        <v>NS</v>
      </c>
      <c r="K61" s="143" t="str">
        <f t="shared" si="44"/>
        <v>NS</v>
      </c>
      <c r="L61" s="143" t="str">
        <f t="shared" si="44"/>
        <v>NS</v>
      </c>
      <c r="M61" s="143" t="str">
        <f t="shared" si="44"/>
        <v>NS</v>
      </c>
      <c r="N61" s="143"/>
      <c r="O61" s="143" t="str">
        <f t="shared" si="44"/>
        <v>***</v>
      </c>
      <c r="P61" s="143" t="str">
        <f>IF(P60&gt;0.05,"NS",IF(P60&gt;0.01,"*",IF(P60&gt;0.001,"**","***")))</f>
        <v>***</v>
      </c>
      <c r="Q61" s="143" t="str">
        <f t="shared" ref="Q61:V61" si="45">IF(Q60&gt;0.05,"NS",IF(Q60&gt;0.01,"*",IF(Q60&gt;0.001,"**","***")))</f>
        <v>***</v>
      </c>
      <c r="R61" s="143" t="str">
        <f t="shared" si="45"/>
        <v>***</v>
      </c>
      <c r="S61" s="143" t="str">
        <f t="shared" si="45"/>
        <v>***</v>
      </c>
      <c r="T61" s="143" t="str">
        <f t="shared" si="45"/>
        <v>***</v>
      </c>
      <c r="U61" s="143" t="str">
        <f t="shared" si="45"/>
        <v>***</v>
      </c>
      <c r="V61" s="143" t="str">
        <f t="shared" si="45"/>
        <v>***</v>
      </c>
    </row>
    <row r="63" spans="1:22" x14ac:dyDescent="0.35">
      <c r="A63" s="2" t="s">
        <v>39</v>
      </c>
    </row>
    <row r="64" spans="1:22" x14ac:dyDescent="0.35">
      <c r="A64" s="1" t="s">
        <v>23</v>
      </c>
      <c r="B64" s="1">
        <f>B46+(3*B47)</f>
        <v>0.28981999226864308</v>
      </c>
    </row>
    <row r="65" spans="1:22" x14ac:dyDescent="0.35">
      <c r="A65" s="1" t="s">
        <v>24</v>
      </c>
      <c r="B65" s="1">
        <f>B46+(10*B47)</f>
        <v>0.68010944550120278</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2"/>
  <sheetViews>
    <sheetView showGridLines="0" tabSelected="1" topLeftCell="M74" zoomScale="70" zoomScaleNormal="70" workbookViewId="0">
      <selection activeCell="O96" sqref="O96"/>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AN-0.18mg/L</v>
      </c>
      <c r="J4" s="35" t="str">
        <f>'R1'!J4</f>
        <v>AN-0.36mg/L</v>
      </c>
      <c r="K4" s="35" t="str">
        <f>'R1'!K4</f>
        <v>AN-0.73mg/L</v>
      </c>
      <c r="L4" s="35" t="str">
        <f>'R1'!L4</f>
        <v>AN-1.45mg/L</v>
      </c>
      <c r="M4" s="35" t="str">
        <f>'R1'!M4</f>
        <v>AN-2.9mg/L</v>
      </c>
      <c r="O4" s="35" t="str">
        <f>'R1'!O4</f>
        <v>Testo -30µg/L</v>
      </c>
      <c r="P4" s="35" t="str">
        <f>'R1'!P4</f>
        <v>Testo 30µg/L + EE2 -64ng/L</v>
      </c>
      <c r="Q4" s="35" t="str">
        <f>'R1'!Q4</f>
        <v>Testo 30µg/L + FAD-10mg/L</v>
      </c>
      <c r="R4" s="35" t="str">
        <f>'R1'!R4</f>
        <v>AN-0,18mg/L + Testostérone</v>
      </c>
      <c r="S4" s="35" t="str">
        <f>'R1'!S4</f>
        <v>AN-0,36mg/L + Testostérone</v>
      </c>
      <c r="T4" s="35" t="str">
        <f>'R1'!T4</f>
        <v>AN-0,73mg/L + Testostérone</v>
      </c>
      <c r="U4" s="35" t="str">
        <f>'R1'!U4</f>
        <v>AN-1,45mg/L + Testostérone</v>
      </c>
      <c r="V4" s="35" t="str">
        <f>'R1'!V4</f>
        <v>AN-2,9mg/L + Testostérone</v>
      </c>
    </row>
    <row r="5" spans="1:22" s="1" customFormat="1" x14ac:dyDescent="0.35">
      <c r="A5" s="34"/>
      <c r="B5" s="35"/>
      <c r="C5" s="196"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0.113570208691211</v>
      </c>
      <c r="C6" s="53">
        <f>'R1'!C28</f>
        <v>2.6760650635358877E-2</v>
      </c>
      <c r="D6" s="53">
        <f>'R1'!D28</f>
        <v>3.1013294726040707E-2</v>
      </c>
      <c r="E6" s="53">
        <f>'R1'!E28</f>
        <v>0.11518925967766508</v>
      </c>
      <c r="F6" s="53" t="str">
        <f>'R1'!F28</f>
        <v/>
      </c>
      <c r="G6" s="53">
        <f>'R1'!G28</f>
        <v>0.31979040281530585</v>
      </c>
      <c r="H6" s="53">
        <f>'R1'!H28</f>
        <v>1.8190313793952777</v>
      </c>
      <c r="I6" s="53">
        <f>'R1'!I28</f>
        <v>2.3645487574223877E-2</v>
      </c>
      <c r="J6" s="53">
        <f>'R1'!J28</f>
        <v>0.11889353463394439</v>
      </c>
      <c r="K6" s="53">
        <f>'R1'!K28</f>
        <v>1.8168428772645021E-2</v>
      </c>
      <c r="L6" s="53">
        <f>'R1'!L28</f>
        <v>6.7938553536927232E-3</v>
      </c>
      <c r="M6" s="53">
        <f>'R1'!M28</f>
        <v>5.610372904750232E-2</v>
      </c>
      <c r="N6"/>
      <c r="O6" s="53">
        <f>'R1'!O28</f>
        <v>4.2813061491106405E-2</v>
      </c>
      <c r="P6" s="53">
        <f>'R1'!P28</f>
        <v>2.5290926604553752</v>
      </c>
      <c r="Q6" s="53">
        <f>'R1'!Q28</f>
        <v>1.5373285884545787E-4</v>
      </c>
      <c r="R6" s="53">
        <f>'R1'!R28</f>
        <v>1.9213527960975006E-2</v>
      </c>
      <c r="S6" s="53">
        <f>'R1'!S28</f>
        <v>0.14306157180233325</v>
      </c>
      <c r="T6" s="53">
        <f>'R1'!T28</f>
        <v>2.4624024461574551E-2</v>
      </c>
      <c r="U6" s="53">
        <f>'R1'!U28</f>
        <v>0.20607167254860012</v>
      </c>
      <c r="V6" s="53">
        <f>'R1'!V28</f>
        <v>0.16576926524994826</v>
      </c>
    </row>
    <row r="7" spans="1:22" s="1" customFormat="1" x14ac:dyDescent="0.35">
      <c r="A7" s="228" t="s">
        <v>34</v>
      </c>
      <c r="B7" s="53">
        <f>'R1'!B29</f>
        <v>3.545567690599096E-3</v>
      </c>
      <c r="C7" s="53">
        <f>'R1'!C29</f>
        <v>0.24452431113427167</v>
      </c>
      <c r="D7" s="53">
        <f>'R1'!D29</f>
        <v>3.0254816121998859E-2</v>
      </c>
      <c r="E7" s="53">
        <f>'R1'!E29</f>
        <v>0.82467137765628795</v>
      </c>
      <c r="F7" s="53">
        <f>'R1'!F29</f>
        <v>6.7129383358474098E-2</v>
      </c>
      <c r="G7" s="53">
        <f>'R1'!G29</f>
        <v>0.63505646417614603</v>
      </c>
      <c r="H7" s="53">
        <f>'R1'!H29</f>
        <v>2.0800385060147608</v>
      </c>
      <c r="I7" s="53">
        <f>'R1'!I29</f>
        <v>2.6043151668574762E-2</v>
      </c>
      <c r="J7" s="53">
        <f>'R1'!J29</f>
        <v>2.747270144227636E-2</v>
      </c>
      <c r="K7" s="53">
        <f>'R1'!K29</f>
        <v>0.12263618358580608</v>
      </c>
      <c r="L7" s="53">
        <f>'R1'!L29</f>
        <v>0.1852443048845217</v>
      </c>
      <c r="M7" s="53">
        <f>'R1'!M29</f>
        <v>7.1177129262867303E-2</v>
      </c>
      <c r="N7"/>
      <c r="O7" s="53">
        <f>'R1'!O29</f>
        <v>2.863552825902883E-2</v>
      </c>
      <c r="P7" s="53">
        <f>'R1'!P29</f>
        <v>2.7897103620826518</v>
      </c>
      <c r="Q7" s="53">
        <f>'R1'!Q29</f>
        <v>7.8739648910787316E-2</v>
      </c>
      <c r="R7" s="53">
        <f>'R1'!R29</f>
        <v>4.6081720534570929E-2</v>
      </c>
      <c r="S7" s="53">
        <f>'R1'!S29</f>
        <v>0.22356358199171872</v>
      </c>
      <c r="T7" s="53">
        <f>'R1'!T29</f>
        <v>0.24920759673093357</v>
      </c>
      <c r="U7" s="53">
        <f>'R1'!U29</f>
        <v>4.0271613351579569E-2</v>
      </c>
      <c r="V7" s="53">
        <f>'R1'!V29</f>
        <v>5.5283899425831867E-2</v>
      </c>
    </row>
    <row r="8" spans="1:22" s="1" customFormat="1" x14ac:dyDescent="0.35">
      <c r="A8" s="229"/>
      <c r="B8" s="53">
        <f>'R1'!B30</f>
        <v>0.17770736790032327</v>
      </c>
      <c r="C8" s="53">
        <f>'R1'!C30</f>
        <v>0.27831995741655086</v>
      </c>
      <c r="D8" s="53">
        <f>'R1'!D30</f>
        <v>6.6663210375102977E-2</v>
      </c>
      <c r="E8" s="53">
        <f>'R1'!E30</f>
        <v>0.48604644930551205</v>
      </c>
      <c r="F8" s="53">
        <f>'R1'!F30</f>
        <v>1.6107771266288007</v>
      </c>
      <c r="G8" s="53">
        <f>'R1'!G30</f>
        <v>2.0605944972037755</v>
      </c>
      <c r="H8" s="53">
        <f>'R1'!H30</f>
        <v>1.8059972491056451</v>
      </c>
      <c r="I8" s="53">
        <f>'R1'!I30</f>
        <v>0.14118622042563142</v>
      </c>
      <c r="J8" s="53">
        <f>'R1'!J30</f>
        <v>4.3494318350951612E-2</v>
      </c>
      <c r="K8" s="53">
        <f>'R1'!K30</f>
        <v>6.3737785403236394E-2</v>
      </c>
      <c r="L8" s="53">
        <f>'R1'!L30</f>
        <v>4.9934753942860934E-2</v>
      </c>
      <c r="M8" s="53">
        <f>'R1'!M30</f>
        <v>0.17448963730778599</v>
      </c>
      <c r="N8"/>
      <c r="O8" s="53">
        <f>'R1'!O30</f>
        <v>1.2668646406891984</v>
      </c>
      <c r="P8" s="53">
        <f>'R1'!P30</f>
        <v>2.1137367960489883</v>
      </c>
      <c r="Q8" s="53">
        <f>'R1'!Q30</f>
        <v>0.13438217938175326</v>
      </c>
      <c r="R8" s="53">
        <f>'R1'!R30</f>
        <v>0.16858762203660965</v>
      </c>
      <c r="S8" s="53">
        <f>'R1'!S30</f>
        <v>0.16897681015230009</v>
      </c>
      <c r="T8" s="53">
        <f>'R1'!T30</f>
        <v>8.1742295626850522E-2</v>
      </c>
      <c r="U8" s="53">
        <f>'R1'!U30</f>
        <v>0.16668171358935149</v>
      </c>
      <c r="V8" s="53">
        <f>'R1'!V30</f>
        <v>0.14971211686388192</v>
      </c>
    </row>
    <row r="9" spans="1:22" s="1" customFormat="1" x14ac:dyDescent="0.35">
      <c r="A9" s="229"/>
      <c r="B9" s="53">
        <f>'R1'!B31</f>
        <v>0.13727207287622872</v>
      </c>
      <c r="C9" s="53">
        <f>'R1'!C31</f>
        <v>5.7579469741812342E-2</v>
      </c>
      <c r="D9" s="53">
        <f>'R1'!D31</f>
        <v>3.2873012252690459E-2</v>
      </c>
      <c r="E9" s="53">
        <f>'R1'!E31</f>
        <v>0.23000922886697875</v>
      </c>
      <c r="F9" s="53">
        <f>'R1'!F31</f>
        <v>1.6946558115529193</v>
      </c>
      <c r="G9" s="53">
        <f>'R1'!G31</f>
        <v>1.8007402485873751</v>
      </c>
      <c r="H9" s="53">
        <f>'R1'!H31</f>
        <v>2.6261239139270969</v>
      </c>
      <c r="I9" s="53">
        <f>'R1'!I31</f>
        <v>1.2810281982068355E-3</v>
      </c>
      <c r="J9" s="53">
        <f>'R1'!J31</f>
        <v>0.16187027779756577</v>
      </c>
      <c r="K9" s="53">
        <f>'R1'!K31</f>
        <v>2.9127994535669367E-2</v>
      </c>
      <c r="L9" s="53">
        <f>'R1'!L31</f>
        <v>0.21432089721623193</v>
      </c>
      <c r="M9" s="53">
        <f>'R1'!M31</f>
        <v>2.6208017723669428E-3</v>
      </c>
      <c r="N9"/>
      <c r="O9" s="53">
        <f>'R1'!O31</f>
        <v>1.6774507595706047</v>
      </c>
      <c r="P9" s="53">
        <f>'R1'!P31</f>
        <v>1.8727220473748929</v>
      </c>
      <c r="Q9" s="53">
        <f>'R1'!Q31</f>
        <v>0.17522253324810622</v>
      </c>
      <c r="R9" s="53">
        <f>'R1'!R31</f>
        <v>9.7953176871762318E-2</v>
      </c>
      <c r="S9" s="53">
        <f>'R1'!S31</f>
        <v>4.7895720893644141E-2</v>
      </c>
      <c r="T9" s="53">
        <f>'R1'!T31</f>
        <v>0.11335488793822097</v>
      </c>
      <c r="U9" s="53">
        <f>'R1'!U31</f>
        <v>0</v>
      </c>
      <c r="V9" s="53">
        <f>'R1'!V31</f>
        <v>3.488409387302626E-2</v>
      </c>
    </row>
    <row r="10" spans="1:22" s="1" customFormat="1" x14ac:dyDescent="0.35">
      <c r="A10" s="229"/>
      <c r="B10" s="53">
        <f>'R1'!B32</f>
        <v>0.3158298274687788</v>
      </c>
      <c r="C10" s="53">
        <f>'R1'!C32</f>
        <v>0.16201903624957645</v>
      </c>
      <c r="D10" s="53">
        <f>'R1'!D32</f>
        <v>3.1267700104160926E-4</v>
      </c>
      <c r="E10" s="53">
        <f>'R1'!E32</f>
        <v>0.16284905156143237</v>
      </c>
      <c r="F10" s="53">
        <f>'R1'!F32</f>
        <v>1.160770254841073</v>
      </c>
      <c r="G10" s="53">
        <f>'R1'!G32</f>
        <v>2.1805539761594526</v>
      </c>
      <c r="H10" s="53">
        <f>'R1'!H32</f>
        <v>3.3430250043849798</v>
      </c>
      <c r="I10" s="53">
        <f>'R1'!I32</f>
        <v>0.27536894978096266</v>
      </c>
      <c r="J10" s="53">
        <f>'R1'!J32</f>
        <v>0.10724750072772415</v>
      </c>
      <c r="K10" s="53">
        <f>'R1'!K32</f>
        <v>2.7401164734462299E-2</v>
      </c>
      <c r="L10" s="53">
        <f>'R1'!L32</f>
        <v>0.23336529534482534</v>
      </c>
      <c r="M10" s="53">
        <f>'R1'!M32</f>
        <v>0.18470114703346988</v>
      </c>
      <c r="N10"/>
      <c r="O10" s="53">
        <f>'R1'!O32</f>
        <v>0.63821805503440543</v>
      </c>
      <c r="P10" s="53">
        <f>'R1'!P32</f>
        <v>3.0475769798537944</v>
      </c>
      <c r="Q10" s="53">
        <f>'R1'!Q32</f>
        <v>7.4769124750590749E-2</v>
      </c>
      <c r="R10" s="53">
        <f>'R1'!R32</f>
        <v>0.48906946740194618</v>
      </c>
      <c r="S10" s="53">
        <f>'R1'!S32</f>
        <v>7.7043849933168457E-2</v>
      </c>
      <c r="T10" s="53">
        <f>'R1'!T32</f>
        <v>5.9054736683090477E-2</v>
      </c>
      <c r="U10" s="53">
        <f>'R1'!U32</f>
        <v>7.7397506571467795E-2</v>
      </c>
      <c r="V10" s="53">
        <f>'R1'!V32</f>
        <v>0.15415426216731623</v>
      </c>
    </row>
    <row r="11" spans="1:22" s="1" customFormat="1" x14ac:dyDescent="0.35">
      <c r="A11" s="229"/>
      <c r="B11" s="53">
        <f>'R1'!B33</f>
        <v>5.8434830840873898E-2</v>
      </c>
      <c r="C11" s="53">
        <f>'R1'!C33</f>
        <v>7.6413284647734545E-2</v>
      </c>
      <c r="D11" s="53">
        <f>'R1'!D33</f>
        <v>5.5888408294512304E-2</v>
      </c>
      <c r="E11" s="53">
        <f>'R1'!E33</f>
        <v>0.17833793318575716</v>
      </c>
      <c r="F11" s="53">
        <f>'R1'!F33</f>
        <v>1.6796283653816471</v>
      </c>
      <c r="G11" s="53">
        <f>'R1'!G33</f>
        <v>2.2636791568863646</v>
      </c>
      <c r="H11" s="53">
        <f>'R1'!H33</f>
        <v>1.9311568782157666</v>
      </c>
      <c r="I11" s="53">
        <f>'R1'!I33</f>
        <v>3.8877831931784998E-2</v>
      </c>
      <c r="J11" s="53">
        <f>'R1'!J33</f>
        <v>1.6093390493005254E-2</v>
      </c>
      <c r="K11" s="53">
        <f>'R1'!K33</f>
        <v>0.13251203928840213</v>
      </c>
      <c r="L11" s="53">
        <f>'R1'!L33</f>
        <v>4.7542064255344803E-2</v>
      </c>
      <c r="M11" s="53">
        <f>'R1'!M33</f>
        <v>2.2349062402480902E-2</v>
      </c>
      <c r="N11"/>
      <c r="O11" s="53">
        <f>'R1'!O33</f>
        <v>0.55804340819004983</v>
      </c>
      <c r="P11" s="53">
        <f>'R1'!P33</f>
        <v>2.3595473466648178</v>
      </c>
      <c r="Q11" s="53">
        <f>'R1'!Q33</f>
        <v>0.20363824010034215</v>
      </c>
      <c r="R11" s="53">
        <f>'R1'!R33</f>
        <v>4.5467262852220969E-2</v>
      </c>
      <c r="S11" s="53">
        <f>'R1'!S33</f>
        <v>4.0215236740785698E-2</v>
      </c>
      <c r="T11" s="53">
        <f>'R1'!T33</f>
        <v>0.16582043057739143</v>
      </c>
      <c r="U11" s="53">
        <f>'R1'!U33</f>
        <v>0.110770091396277</v>
      </c>
      <c r="V11" s="53">
        <f>'R1'!V33</f>
        <v>0.18181125353899438</v>
      </c>
    </row>
    <row r="12" spans="1:22" s="1" customFormat="1" x14ac:dyDescent="0.35">
      <c r="A12" s="229"/>
      <c r="B12" s="53">
        <f>'R1'!B34</f>
        <v>6.3696805765978665E-2</v>
      </c>
      <c r="C12" s="53">
        <f>'R1'!C34</f>
        <v>0.14039221034419849</v>
      </c>
      <c r="D12" s="53">
        <f>'R1'!D34</f>
        <v>0.16305892415455575</v>
      </c>
      <c r="E12" s="53">
        <f>'R1'!E34</f>
        <v>0.16724500594425826</v>
      </c>
      <c r="F12" s="53">
        <f>'R1'!F34</f>
        <v>1.1559487517973599</v>
      </c>
      <c r="G12" s="53">
        <f>'R1'!G34</f>
        <v>2.088159580487269</v>
      </c>
      <c r="H12" s="53">
        <f>'R1'!H34</f>
        <v>3.0584029472618286</v>
      </c>
      <c r="I12" s="53">
        <f>'R1'!I34</f>
        <v>3.6828613192382759E-2</v>
      </c>
      <c r="J12" s="53">
        <f>'R1'!J34</f>
        <v>0.11343187280590167</v>
      </c>
      <c r="K12" s="53">
        <f>'R1'!K34</f>
        <v>0.12619951701510074</v>
      </c>
      <c r="L12" s="53" t="str">
        <f>'R1'!L34</f>
        <v/>
      </c>
      <c r="M12" s="53">
        <f>'R1'!M34</f>
        <v>2.756532016000914E-3</v>
      </c>
      <c r="N12"/>
      <c r="O12" s="53">
        <f>'R1'!O34</f>
        <v>1.6022671009171181</v>
      </c>
      <c r="P12" s="53">
        <f>'R1'!P34</f>
        <v>3.1512121137134246</v>
      </c>
      <c r="Q12" s="53">
        <f>'R1'!Q34</f>
        <v>0.21231739564440624</v>
      </c>
      <c r="R12" s="53">
        <f>'R1'!R34</f>
        <v>0.18144788496354147</v>
      </c>
      <c r="S12" s="53">
        <f>'R1'!S34</f>
        <v>0.11231997444007644</v>
      </c>
      <c r="T12" s="53">
        <f>'R1'!T34</f>
        <v>5.2015003505851407E-2</v>
      </c>
      <c r="U12" s="53">
        <f>'R1'!U34</f>
        <v>3.8309328293527525E-2</v>
      </c>
      <c r="V12" s="53">
        <f>'R1'!V34</f>
        <v>7.1558974206563555E-2</v>
      </c>
    </row>
    <row r="13" spans="1:22" s="1" customFormat="1" x14ac:dyDescent="0.35">
      <c r="A13" s="229"/>
      <c r="B13" s="53">
        <f>'R1'!B35</f>
        <v>1.288584559065341E-2</v>
      </c>
      <c r="C13" s="53">
        <f>'R1'!C35</f>
        <v>8.0943074262066886E-2</v>
      </c>
      <c r="D13" s="53">
        <f>'R1'!D35</f>
        <v>0.16018466451013236</v>
      </c>
      <c r="E13" s="53">
        <f>'R1'!E35</f>
        <v>0.24840837536614993</v>
      </c>
      <c r="F13" s="53">
        <f>'R1'!F35</f>
        <v>2.0735061623346667</v>
      </c>
      <c r="G13" s="53">
        <f>'R1'!G35</f>
        <v>1.4873388791600197</v>
      </c>
      <c r="H13" s="53">
        <f>'R1'!H35</f>
        <v>2.7784490156383193</v>
      </c>
      <c r="I13" s="53">
        <f>'R1'!I35</f>
        <v>3.7146264600259118E-2</v>
      </c>
      <c r="J13" s="53">
        <f>'R1'!J35</f>
        <v>2.1017105753346834E-2</v>
      </c>
      <c r="K13" s="53">
        <f>'R1'!K35</f>
        <v>0.16000013770421462</v>
      </c>
      <c r="L13" s="53">
        <f>'R1'!L35</f>
        <v>4.6617298337112649E-4</v>
      </c>
      <c r="M13" s="53">
        <f>'R1'!M35</f>
        <v>6.622498882061284E-2</v>
      </c>
      <c r="N13"/>
      <c r="O13" s="53">
        <f>'R1'!O35</f>
        <v>1.272505854916324</v>
      </c>
      <c r="P13" s="53">
        <f>'R1'!P35</f>
        <v>1.6320145275419722</v>
      </c>
      <c r="Q13" s="53">
        <f>'R1'!Q35</f>
        <v>0.16479570276943234</v>
      </c>
      <c r="R13" s="53">
        <f>'R1'!R35</f>
        <v>0.18102245474091216</v>
      </c>
      <c r="S13" s="53">
        <f>'R1'!S35</f>
        <v>3.4020678972422731E-2</v>
      </c>
      <c r="T13" s="53">
        <f>'R1'!T35</f>
        <v>0.21683628893900533</v>
      </c>
      <c r="U13" s="53">
        <f>'R1'!U35</f>
        <v>2.2456841217233878E-2</v>
      </c>
      <c r="V13" s="53">
        <f>'R1'!V35</f>
        <v>9.4909787394957326E-2</v>
      </c>
    </row>
    <row r="14" spans="1:22" s="1" customFormat="1" x14ac:dyDescent="0.3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t="str">
        <f>'R1'!O36</f>
        <v/>
      </c>
      <c r="P14" s="53" t="str">
        <f>'R1'!P36</f>
        <v/>
      </c>
      <c r="Q14" s="53" t="str">
        <f>'R1'!Q36</f>
        <v/>
      </c>
      <c r="R14" s="53" t="str">
        <f>'R1'!R36</f>
        <v/>
      </c>
      <c r="S14" s="53" t="str">
        <f>'R1'!S36</f>
        <v/>
      </c>
      <c r="T14" s="53" t="str">
        <f>'R1'!T36</f>
        <v/>
      </c>
      <c r="U14" s="53" t="str">
        <f>'R1'!U36</f>
        <v/>
      </c>
      <c r="V14" s="53" t="str">
        <f>'R1'!V36</f>
        <v/>
      </c>
    </row>
    <row r="15" spans="1:22" s="1" customFormat="1" x14ac:dyDescent="0.3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0.75356081069439995</v>
      </c>
      <c r="P15" s="53" t="str">
        <f>'R1'!P37</f>
        <v/>
      </c>
      <c r="Q15" s="53" t="str">
        <f>'R1'!Q37</f>
        <v/>
      </c>
      <c r="R15" s="53" t="str">
        <f>'R1'!R37</f>
        <v/>
      </c>
      <c r="S15" s="53" t="str">
        <f>'R1'!S37</f>
        <v/>
      </c>
      <c r="T15" s="53" t="str">
        <f>'R1'!T37</f>
        <v/>
      </c>
      <c r="U15" s="53" t="str">
        <f>'R1'!U37</f>
        <v/>
      </c>
      <c r="V15" s="53" t="str">
        <f>'R1'!V37</f>
        <v/>
      </c>
    </row>
    <row r="16" spans="1:22" s="1" customFormat="1" x14ac:dyDescent="0.3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1.8777535414499875</v>
      </c>
      <c r="P16" s="53" t="str">
        <f>'R1'!P38</f>
        <v/>
      </c>
      <c r="Q16" s="53" t="str">
        <f>'R1'!Q38</f>
        <v/>
      </c>
      <c r="R16" s="53" t="str">
        <f>'R1'!R38</f>
        <v/>
      </c>
      <c r="S16" s="53" t="str">
        <f>'R1'!S38</f>
        <v/>
      </c>
      <c r="T16" s="53" t="str">
        <f>'R1'!T38</f>
        <v/>
      </c>
      <c r="U16" s="53" t="str">
        <f>'R1'!U38</f>
        <v/>
      </c>
      <c r="V16" s="53" t="str">
        <f>'R1'!V38</f>
        <v/>
      </c>
    </row>
    <row r="17" spans="1:22" s="1" customFormat="1" x14ac:dyDescent="0.3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1.1548881371972357</v>
      </c>
      <c r="P17" s="53" t="str">
        <f>'R1'!P39</f>
        <v/>
      </c>
      <c r="Q17" s="53" t="str">
        <f>'R1'!Q39</f>
        <v/>
      </c>
      <c r="R17" s="53" t="str">
        <f>'R1'!R39</f>
        <v/>
      </c>
      <c r="S17" s="53" t="str">
        <f>'R1'!S39</f>
        <v/>
      </c>
      <c r="T17" s="53" t="str">
        <f>'R1'!T39</f>
        <v/>
      </c>
      <c r="U17" s="53" t="str">
        <f>'R1'!U39</f>
        <v/>
      </c>
      <c r="V17" s="53" t="str">
        <f>'R1'!V39</f>
        <v/>
      </c>
    </row>
    <row r="18" spans="1:22" s="1" customFormat="1" x14ac:dyDescent="0.3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2.4569675513757137</v>
      </c>
      <c r="P18" s="53" t="str">
        <f>'R1'!P40</f>
        <v/>
      </c>
      <c r="Q18" s="53" t="str">
        <f>'R1'!Q40</f>
        <v/>
      </c>
      <c r="R18" s="53" t="str">
        <f>'R1'!R40</f>
        <v/>
      </c>
      <c r="S18" s="53" t="str">
        <f>'R1'!S40</f>
        <v/>
      </c>
      <c r="T18" s="53" t="str">
        <f>'R1'!T40</f>
        <v/>
      </c>
      <c r="U18" s="53" t="str">
        <f>'R1'!U40</f>
        <v/>
      </c>
      <c r="V18" s="53" t="str">
        <f>'R1'!V40</f>
        <v/>
      </c>
    </row>
    <row r="19" spans="1:22" s="1" customFormat="1" x14ac:dyDescent="0.3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0.91823357455205912</v>
      </c>
      <c r="P19" s="53" t="str">
        <f>'R1'!P41</f>
        <v/>
      </c>
      <c r="Q19" s="53" t="str">
        <f>'R1'!Q41</f>
        <v/>
      </c>
      <c r="R19" s="53" t="str">
        <f>'R1'!R41</f>
        <v/>
      </c>
      <c r="S19" s="53" t="str">
        <f>'R1'!S41</f>
        <v/>
      </c>
      <c r="T19" s="53" t="str">
        <f>'R1'!T41</f>
        <v/>
      </c>
      <c r="U19" s="53" t="str">
        <f>'R1'!U41</f>
        <v/>
      </c>
      <c r="V19" s="53" t="str">
        <f>'R1'!V41</f>
        <v/>
      </c>
    </row>
    <row r="20" spans="1:22" s="1" customFormat="1" x14ac:dyDescent="0.3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7.3923475588682758E-2</v>
      </c>
      <c r="P20" s="53" t="str">
        <f>'R1'!P42</f>
        <v/>
      </c>
      <c r="Q20" s="53" t="str">
        <f>'R1'!Q42</f>
        <v/>
      </c>
      <c r="R20" s="53" t="str">
        <f>'R1'!R42</f>
        <v/>
      </c>
      <c r="S20" s="53" t="str">
        <f>'R1'!S42</f>
        <v/>
      </c>
      <c r="T20" s="53" t="str">
        <f>'R1'!T42</f>
        <v/>
      </c>
      <c r="U20" s="53" t="str">
        <f>'R1'!U42</f>
        <v/>
      </c>
      <c r="V20" s="53" t="str">
        <f>'R1'!V42</f>
        <v/>
      </c>
    </row>
    <row r="21" spans="1:22" s="1" customFormat="1" x14ac:dyDescent="0.3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0.67787450007408712</v>
      </c>
      <c r="P21" s="53" t="str">
        <f>'R1'!P43</f>
        <v/>
      </c>
      <c r="Q21" s="53" t="str">
        <f>'R1'!Q43</f>
        <v/>
      </c>
      <c r="R21" s="53" t="str">
        <f>'R1'!R43</f>
        <v/>
      </c>
      <c r="S21" s="53" t="str">
        <f>'R1'!S43</f>
        <v/>
      </c>
      <c r="T21" s="53" t="str">
        <f>'R1'!T43</f>
        <v/>
      </c>
      <c r="U21" s="53" t="str">
        <f>'R1'!U43</f>
        <v/>
      </c>
      <c r="V21" s="53" t="str">
        <f>'R1'!V43</f>
        <v/>
      </c>
    </row>
    <row r="22" spans="1:22" x14ac:dyDescent="0.35">
      <c r="A22" s="39" t="s">
        <v>5</v>
      </c>
      <c r="B22" s="54">
        <f>'R2'!B28</f>
        <v>0.29117460731548478</v>
      </c>
      <c r="C22" s="54" t="str">
        <f>'R2'!C28</f>
        <v/>
      </c>
      <c r="D22" s="54">
        <f>'R2'!D28</f>
        <v>3.8894191231639057E-2</v>
      </c>
      <c r="E22" s="54">
        <f>'R2'!E28</f>
        <v>1.9046815229415124</v>
      </c>
      <c r="F22" s="54">
        <f>'R2'!F28</f>
        <v>2.3694460817087664</v>
      </c>
      <c r="G22" s="54">
        <f>'R2'!G28</f>
        <v>0.3459894579804666</v>
      </c>
      <c r="H22" s="54">
        <f>'R2'!H28</f>
        <v>4.4351064284110153</v>
      </c>
      <c r="I22" s="54">
        <f>'R2'!I28</f>
        <v>0.15785331298661476</v>
      </c>
      <c r="J22" s="54">
        <f>'R2'!J28</f>
        <v>6.0351289072151933E-2</v>
      </c>
      <c r="K22" s="54">
        <f>'R2'!K28</f>
        <v>6.3432849821225629E-2</v>
      </c>
      <c r="L22" s="54">
        <f>'R2'!L28</f>
        <v>0.13133089571247161</v>
      </c>
      <c r="M22" s="54" t="str">
        <f>'R2'!M28</f>
        <v/>
      </c>
      <c r="O22" s="54">
        <f>'R2'!O28</f>
        <v>1.1770768431512768</v>
      </c>
      <c r="P22" s="54" t="str">
        <f>'R2'!P28</f>
        <v/>
      </c>
      <c r="Q22" s="54" t="str">
        <f>'R2'!Q28</f>
        <v/>
      </c>
      <c r="R22" s="54" t="str">
        <f>'R2'!R28</f>
        <v/>
      </c>
      <c r="S22" s="54" t="str">
        <f>'R2'!S28</f>
        <v/>
      </c>
      <c r="T22" s="54">
        <f>'R2'!T28</f>
        <v>0.58914360393493737</v>
      </c>
      <c r="U22" s="54" t="str">
        <f>'R2'!U28</f>
        <v/>
      </c>
      <c r="V22" s="54" t="str">
        <f>'R2'!V28</f>
        <v/>
      </c>
    </row>
    <row r="23" spans="1:22" x14ac:dyDescent="0.35">
      <c r="A23" s="228" t="s">
        <v>34</v>
      </c>
      <c r="B23" s="54">
        <f>'R2'!B29</f>
        <v>0.2407089120069065</v>
      </c>
      <c r="C23" s="54">
        <f>'R2'!C29</f>
        <v>6.173650532925145E-2</v>
      </c>
      <c r="D23" s="54">
        <f>'R2'!D29</f>
        <v>5.4863543498488591E-2</v>
      </c>
      <c r="E23" s="54">
        <f>'R2'!E29</f>
        <v>1.5113174160184581</v>
      </c>
      <c r="F23" s="54">
        <f>'R2'!F29</f>
        <v>1.2912008297764728</v>
      </c>
      <c r="G23" s="54">
        <f>'R2'!G29</f>
        <v>3.0233250687612365</v>
      </c>
      <c r="H23" s="54" t="str">
        <f>'R2'!H29</f>
        <v/>
      </c>
      <c r="I23" s="54">
        <f>'R2'!I29</f>
        <v>5.1744988843438956E-2</v>
      </c>
      <c r="J23" s="54" t="str">
        <f>'R2'!J29</f>
        <v/>
      </c>
      <c r="K23" s="54">
        <f>'R2'!K29</f>
        <v>0.21433731604174225</v>
      </c>
      <c r="L23" s="54">
        <f>'R2'!L29</f>
        <v>0.13580415455687136</v>
      </c>
      <c r="M23" s="54">
        <f>'R2'!M29</f>
        <v>0.3014505342151893</v>
      </c>
      <c r="O23" s="54">
        <f>'R2'!O29</f>
        <v>2.4155929756350756</v>
      </c>
      <c r="P23" s="54">
        <f>'R2'!P29</f>
        <v>3.0207402381513786</v>
      </c>
      <c r="Q23" s="54">
        <f>'R2'!Q29</f>
        <v>5.592308690810751E-2</v>
      </c>
      <c r="R23" s="54">
        <f>'R2'!R29</f>
        <v>5.0075520266062691E-2</v>
      </c>
      <c r="S23" s="54">
        <f>'R2'!S29</f>
        <v>0.35915486188667733</v>
      </c>
      <c r="T23" s="54">
        <f>'R2'!T29</f>
        <v>9.3989816157361405E-2</v>
      </c>
      <c r="U23" s="54">
        <f>'R2'!U29</f>
        <v>4.7518197945263602E-2</v>
      </c>
      <c r="V23" s="54">
        <f>'R2'!V29</f>
        <v>5.4056001311628944E-2</v>
      </c>
    </row>
    <row r="24" spans="1:22" x14ac:dyDescent="0.35">
      <c r="A24" s="229"/>
      <c r="B24" s="54">
        <f>'R2'!B30</f>
        <v>0.34886581321690441</v>
      </c>
      <c r="C24" s="54">
        <f>'R2'!C30</f>
        <v>0.2654118298627709</v>
      </c>
      <c r="D24" s="54">
        <f>'R2'!D30</f>
        <v>0.20617114843797393</v>
      </c>
      <c r="E24" s="54">
        <f>'R2'!E30</f>
        <v>7.7535116491596598E-2</v>
      </c>
      <c r="F24" s="54" t="str">
        <f>'R2'!F30</f>
        <v/>
      </c>
      <c r="G24" s="54">
        <f>'R2'!G30</f>
        <v>1.5996373627573515</v>
      </c>
      <c r="H24" s="54">
        <f>'R2'!H30</f>
        <v>3.459502191451536</v>
      </c>
      <c r="I24" s="54">
        <f>'R2'!I30</f>
        <v>4.2593581829234187E-2</v>
      </c>
      <c r="J24" s="54">
        <f>'R2'!J30</f>
        <v>0.20980951490007027</v>
      </c>
      <c r="K24" s="54">
        <f>'R2'!K30</f>
        <v>0.24476432942611637</v>
      </c>
      <c r="L24" s="54" t="str">
        <f>'R2'!L30</f>
        <v/>
      </c>
      <c r="M24" s="54">
        <f>'R2'!M30</f>
        <v>0.53408576338326741</v>
      </c>
      <c r="O24" s="54">
        <f>'R2'!O30</f>
        <v>0.66231170049160359</v>
      </c>
      <c r="P24" s="54">
        <f>'R2'!P30</f>
        <v>0.88507477385340705</v>
      </c>
      <c r="Q24" s="54">
        <f>'R2'!Q30</f>
        <v>0.13542077753981291</v>
      </c>
      <c r="R24" s="54">
        <f>'R2'!R30</f>
        <v>0.2791923760260433</v>
      </c>
      <c r="S24" s="54">
        <f>'R2'!S30</f>
        <v>0.10482966298277625</v>
      </c>
      <c r="T24" s="54">
        <f>'R2'!T30</f>
        <v>9.6010568747893918E-2</v>
      </c>
      <c r="U24" s="54">
        <f>'R2'!U30</f>
        <v>0.26783271739358178</v>
      </c>
      <c r="V24" s="54">
        <f>'R2'!V30</f>
        <v>0.14318981398199324</v>
      </c>
    </row>
    <row r="25" spans="1:22" x14ac:dyDescent="0.35">
      <c r="A25" s="229"/>
      <c r="B25" s="54">
        <f>'R2'!B31</f>
        <v>0.27211389249541407</v>
      </c>
      <c r="C25" s="54">
        <f>'R2'!C31</f>
        <v>1.240623836562736E-2</v>
      </c>
      <c r="D25" s="54">
        <f>'R2'!D31</f>
        <v>0.20100781096286893</v>
      </c>
      <c r="E25" s="54">
        <f>'R2'!E31</f>
        <v>0.31231425317651174</v>
      </c>
      <c r="F25" s="54">
        <f>'R2'!F31</f>
        <v>1.8089065136803884</v>
      </c>
      <c r="G25" s="54">
        <f>'R2'!G31</f>
        <v>1.3352855505850452</v>
      </c>
      <c r="H25" s="54">
        <f>'R2'!H31</f>
        <v>3.1180057540173798</v>
      </c>
      <c r="I25" s="54">
        <f>'R2'!I31</f>
        <v>0.16197734303485692</v>
      </c>
      <c r="J25" s="54">
        <f>'R2'!J31</f>
        <v>7.0428808484677752E-2</v>
      </c>
      <c r="K25" s="54">
        <f>'R2'!K31</f>
        <v>0.13154305734417987</v>
      </c>
      <c r="L25" s="54">
        <f>'R2'!L31</f>
        <v>0.34328858665699158</v>
      </c>
      <c r="M25" s="54">
        <f>'R2'!M31</f>
        <v>0.45080584109955918</v>
      </c>
      <c r="O25" s="54">
        <f>'R2'!O31</f>
        <v>1.7784045639223707</v>
      </c>
      <c r="P25" s="54">
        <f>'R2'!P31</f>
        <v>4.0009396241326396</v>
      </c>
      <c r="Q25" s="54">
        <f>'R2'!Q31</f>
        <v>0.30297914138134946</v>
      </c>
      <c r="R25" s="54">
        <f>'R2'!R31</f>
        <v>0.13645344503483389</v>
      </c>
      <c r="S25" s="54">
        <f>'R2'!S31</f>
        <v>0.13224783868110632</v>
      </c>
      <c r="T25" s="54">
        <f>'R2'!T31</f>
        <v>6.7823425704832963E-2</v>
      </c>
      <c r="U25" s="54">
        <f>'R2'!U31</f>
        <v>0.15812681494105235</v>
      </c>
      <c r="V25" s="54">
        <f>'R2'!V31</f>
        <v>0.27210725256357227</v>
      </c>
    </row>
    <row r="26" spans="1:22" x14ac:dyDescent="0.35">
      <c r="A26" s="229"/>
      <c r="B26" s="54">
        <f>'R2'!B32</f>
        <v>0.24928485826148536</v>
      </c>
      <c r="C26" s="54">
        <f>'R2'!C32</f>
        <v>5.1183756509188418E-2</v>
      </c>
      <c r="D26" s="54">
        <f>'R2'!D32</f>
        <v>9.5179944893203111E-2</v>
      </c>
      <c r="E26" s="54">
        <f>'R2'!E32</f>
        <v>0.59491228186295653</v>
      </c>
      <c r="F26" s="54">
        <f>'R2'!F32</f>
        <v>1.5451500820632336</v>
      </c>
      <c r="G26" s="54">
        <f>'R2'!G32</f>
        <v>2.9933287023848902</v>
      </c>
      <c r="H26" s="54">
        <f>'R2'!H32</f>
        <v>4.6126423965002195</v>
      </c>
      <c r="I26" s="54">
        <f>'R2'!I32</f>
        <v>8.148777306087325E-2</v>
      </c>
      <c r="J26" s="54">
        <f>'R2'!J32</f>
        <v>0.22427413213666722</v>
      </c>
      <c r="K26" s="54">
        <f>'R2'!K32</f>
        <v>4.524765744258577E-2</v>
      </c>
      <c r="L26" s="54">
        <f>'R2'!L32</f>
        <v>0.11450688936140843</v>
      </c>
      <c r="M26" s="54">
        <f>'R2'!M32</f>
        <v>0.31076841380628589</v>
      </c>
      <c r="O26" s="54">
        <f>'R2'!O32</f>
        <v>0.56226974455402268</v>
      </c>
      <c r="P26" s="54">
        <f>'R2'!P32</f>
        <v>2.6855969507409378</v>
      </c>
      <c r="Q26" s="54">
        <f>'R2'!Q32</f>
        <v>6.9772403794027535E-2</v>
      </c>
      <c r="R26" s="54">
        <f>'R2'!R32</f>
        <v>3.8052500823878524E-2</v>
      </c>
      <c r="S26" s="54">
        <f>'R2'!S32</f>
        <v>0.21368755128293387</v>
      </c>
      <c r="T26" s="54">
        <f>'R2'!T32</f>
        <v>0.30753350225038878</v>
      </c>
      <c r="U26" s="54">
        <f>'R2'!U32</f>
        <v>3.7649362104909823E-2</v>
      </c>
      <c r="V26" s="54">
        <f>'R2'!V32</f>
        <v>0.35446359194680394</v>
      </c>
    </row>
    <row r="27" spans="1:22" x14ac:dyDescent="0.35">
      <c r="A27" s="229"/>
      <c r="B27" s="54">
        <f>'R2'!B33</f>
        <v>9.3442496061255667E-2</v>
      </c>
      <c r="C27" s="54">
        <f>'R2'!C33</f>
        <v>0.52948270968072131</v>
      </c>
      <c r="D27" s="54">
        <f>'R2'!D33</f>
        <v>0.1632765563652431</v>
      </c>
      <c r="E27" s="54">
        <f>'R2'!E33</f>
        <v>0.50192130116694589</v>
      </c>
      <c r="F27" s="54">
        <f>'R2'!F33</f>
        <v>1.4374513361503225</v>
      </c>
      <c r="G27" s="54">
        <f>'R2'!G33</f>
        <v>2.6021668395227122</v>
      </c>
      <c r="H27" s="54">
        <f>'R2'!H33</f>
        <v>2.4139276174916966</v>
      </c>
      <c r="I27" s="54">
        <f>'R2'!I33</f>
        <v>0.26755225932007176</v>
      </c>
      <c r="J27" s="54">
        <f>'R2'!J33</f>
        <v>0.16386466461409155</v>
      </c>
      <c r="K27" s="54">
        <f>'R2'!K33</f>
        <v>7.8122908553214479E-2</v>
      </c>
      <c r="L27" s="54">
        <f>'R2'!L33</f>
        <v>0.25884636011373124</v>
      </c>
      <c r="M27" s="54">
        <f>'R2'!M33</f>
        <v>1.555230130973604E-2</v>
      </c>
      <c r="O27" s="54">
        <f>'R2'!O33</f>
        <v>0.46408760190661735</v>
      </c>
      <c r="P27" s="54">
        <f>'R2'!P33</f>
        <v>4.0994844335335019</v>
      </c>
      <c r="Q27" s="54">
        <f>'R2'!Q33</f>
        <v>0.39214710227261462</v>
      </c>
      <c r="R27" s="54">
        <f>'R2'!R33</f>
        <v>0.30361467771478245</v>
      </c>
      <c r="S27" s="54">
        <f>'R2'!S33</f>
        <v>0.28390783428905486</v>
      </c>
      <c r="T27" s="54" t="str">
        <f>'R2'!T33</f>
        <v/>
      </c>
      <c r="U27" s="54">
        <f>'R2'!U33</f>
        <v>6.0498632321594616E-2</v>
      </c>
      <c r="V27" s="54">
        <f>'R2'!V33</f>
        <v>6.2037515572748073E-2</v>
      </c>
    </row>
    <row r="28" spans="1:22" x14ac:dyDescent="0.35">
      <c r="A28" s="229"/>
      <c r="B28" s="54">
        <f>'R2'!B34</f>
        <v>5.8624590606043643E-2</v>
      </c>
      <c r="C28" s="54">
        <f>'R2'!C34</f>
        <v>0.24895001598431843</v>
      </c>
      <c r="D28" s="54">
        <f>'R2'!D34</f>
        <v>0.27889832190161906</v>
      </c>
      <c r="E28" s="54">
        <f>'R2'!E34</f>
        <v>0.12769252925037528</v>
      </c>
      <c r="F28" s="54">
        <f>'R2'!F34</f>
        <v>0.76649159871557149</v>
      </c>
      <c r="G28" s="54">
        <f>'R2'!G34</f>
        <v>1.7369391381317876</v>
      </c>
      <c r="H28" s="54">
        <f>'R2'!H34</f>
        <v>3.8508218317417655</v>
      </c>
      <c r="I28" s="54">
        <f>'R2'!I34</f>
        <v>9.7717031231246129E-2</v>
      </c>
      <c r="J28" s="54">
        <f>'R2'!J34</f>
        <v>9.6910121418847597E-2</v>
      </c>
      <c r="K28" s="54">
        <f>'R2'!K34</f>
        <v>0.2121078798790377</v>
      </c>
      <c r="L28" s="54">
        <f>'R2'!L34</f>
        <v>0.30165210357467365</v>
      </c>
      <c r="M28" s="54">
        <f>'R2'!M34</f>
        <v>0.28442400994295008</v>
      </c>
      <c r="O28" s="54">
        <f>'R2'!O34</f>
        <v>5.1655507857189434E-2</v>
      </c>
      <c r="P28" s="54">
        <f>'R2'!P34</f>
        <v>2.9455645107742479</v>
      </c>
      <c r="Q28" s="54">
        <f>'R2'!Q34</f>
        <v>0.12617419816920847</v>
      </c>
      <c r="R28" s="54">
        <f>'R2'!R34</f>
        <v>4.4481377689314677E-2</v>
      </c>
      <c r="S28" s="54">
        <f>'R2'!S34</f>
        <v>0.1283558900600979</v>
      </c>
      <c r="T28" s="54">
        <f>'R2'!T34</f>
        <v>8.1980392766091467E-2</v>
      </c>
      <c r="U28" s="54">
        <f>'R2'!U34</f>
        <v>0.20562446071632931</v>
      </c>
      <c r="V28" s="54">
        <f>'R2'!V34</f>
        <v>0.44863110532774209</v>
      </c>
    </row>
    <row r="29" spans="1:22" x14ac:dyDescent="0.35">
      <c r="A29" s="229"/>
      <c r="B29" s="54">
        <f>'R2'!B35</f>
        <v>4.7306036313555365E-2</v>
      </c>
      <c r="C29" s="54">
        <f>'R2'!C35</f>
        <v>7.5804307591490983E-2</v>
      </c>
      <c r="D29" s="54">
        <f>'R2'!D35</f>
        <v>0.46143384248049635</v>
      </c>
      <c r="E29" s="54">
        <f>'R2'!E35</f>
        <v>0.46252121036640487</v>
      </c>
      <c r="F29" s="54">
        <f>'R2'!F35</f>
        <v>2.6892214049648895</v>
      </c>
      <c r="G29" s="54">
        <f>'R2'!G35</f>
        <v>2.3640977747037821</v>
      </c>
      <c r="H29" s="54">
        <f>'R2'!H35</f>
        <v>3.4408996319285521</v>
      </c>
      <c r="I29" s="54">
        <f>'R2'!I35</f>
        <v>1.4067802262239531E-2</v>
      </c>
      <c r="J29" s="54">
        <f>'R2'!J35</f>
        <v>0.22311182787711509</v>
      </c>
      <c r="K29" s="54">
        <f>'R2'!K35</f>
        <v>3.4804309404297767E-2</v>
      </c>
      <c r="L29" s="54">
        <f>'R2'!L35</f>
        <v>0.24687108494336221</v>
      </c>
      <c r="M29" s="54">
        <f>'R2'!M35</f>
        <v>0.18300031580780587</v>
      </c>
      <c r="O29" s="54">
        <f>'R2'!O35</f>
        <v>1.4461888540797192</v>
      </c>
      <c r="P29" s="54">
        <f>'R2'!P35</f>
        <v>2.6390500799679657</v>
      </c>
      <c r="Q29" s="54">
        <f>'R2'!Q35</f>
        <v>7.0511017164624309E-2</v>
      </c>
      <c r="R29" s="54">
        <f>'R2'!R35</f>
        <v>0.13851878002487591</v>
      </c>
      <c r="S29" s="54">
        <f>'R2'!S35</f>
        <v>0.30657608731624197</v>
      </c>
      <c r="T29" s="54">
        <f>'R2'!T35</f>
        <v>6.5722677744967841E-3</v>
      </c>
      <c r="U29" s="54">
        <f>'R2'!U35</f>
        <v>0.37626659861755352</v>
      </c>
      <c r="V29" s="54" t="str">
        <f>'R2'!V35</f>
        <v/>
      </c>
    </row>
    <row r="30" spans="1:22" x14ac:dyDescent="0.3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6.6445323660421149E-2</v>
      </c>
      <c r="P30" s="54" t="str">
        <f>'R2'!P36</f>
        <v/>
      </c>
      <c r="Q30" s="54" t="str">
        <f>'R2'!Q36</f>
        <v/>
      </c>
      <c r="R30" s="54" t="str">
        <f>'R2'!R36</f>
        <v/>
      </c>
      <c r="S30" s="54" t="str">
        <f>'R2'!S36</f>
        <v/>
      </c>
      <c r="T30" s="54" t="str">
        <f>'R2'!T36</f>
        <v/>
      </c>
      <c r="U30" s="54" t="str">
        <f>'R2'!U36</f>
        <v/>
      </c>
      <c r="V30" s="54" t="str">
        <f>'R2'!V36</f>
        <v/>
      </c>
    </row>
    <row r="31" spans="1:22" s="1" customFormat="1" x14ac:dyDescent="0.3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0.48277173773508669</v>
      </c>
      <c r="P31" s="54" t="str">
        <f>'R2'!P37</f>
        <v/>
      </c>
      <c r="Q31" s="54" t="str">
        <f>'R2'!Q37</f>
        <v/>
      </c>
      <c r="R31" s="54" t="str">
        <f>'R2'!R37</f>
        <v/>
      </c>
      <c r="S31" s="54" t="str">
        <f>'R2'!S37</f>
        <v/>
      </c>
      <c r="T31" s="54" t="str">
        <f>'R2'!T37</f>
        <v/>
      </c>
      <c r="U31" s="54" t="str">
        <f>'R2'!U37</f>
        <v/>
      </c>
      <c r="V31" s="54" t="str">
        <f>'R2'!V37</f>
        <v/>
      </c>
    </row>
    <row r="32" spans="1:22" s="1" customFormat="1" x14ac:dyDescent="0.3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0.9411006216114477</v>
      </c>
      <c r="P32" s="54" t="str">
        <f>'R2'!P38</f>
        <v/>
      </c>
      <c r="Q32" s="54" t="str">
        <f>'R2'!Q38</f>
        <v/>
      </c>
      <c r="R32" s="54" t="str">
        <f>'R2'!R38</f>
        <v/>
      </c>
      <c r="S32" s="54" t="str">
        <f>'R2'!S38</f>
        <v/>
      </c>
      <c r="T32" s="54" t="str">
        <f>'R2'!T38</f>
        <v/>
      </c>
      <c r="U32" s="54" t="str">
        <f>'R2'!U38</f>
        <v/>
      </c>
      <c r="V32" s="54" t="str">
        <f>'R2'!V38</f>
        <v/>
      </c>
    </row>
    <row r="33" spans="1:22" s="1" customFormat="1" x14ac:dyDescent="0.3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1.1150328457403023</v>
      </c>
      <c r="P33" s="54" t="str">
        <f>'R2'!P39</f>
        <v/>
      </c>
      <c r="Q33" s="54" t="str">
        <f>'R2'!Q39</f>
        <v/>
      </c>
      <c r="R33" s="54" t="str">
        <f>'R2'!R39</f>
        <v/>
      </c>
      <c r="S33" s="54" t="str">
        <f>'R2'!S39</f>
        <v/>
      </c>
      <c r="T33" s="54" t="str">
        <f>'R2'!T39</f>
        <v/>
      </c>
      <c r="U33" s="54" t="str">
        <f>'R2'!U39</f>
        <v/>
      </c>
      <c r="V33" s="54" t="str">
        <f>'R2'!V39</f>
        <v/>
      </c>
    </row>
    <row r="34" spans="1:22" s="1" customFormat="1" x14ac:dyDescent="0.3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1.8554881650487223</v>
      </c>
      <c r="P34" s="54" t="str">
        <f>'R2'!P40</f>
        <v/>
      </c>
      <c r="Q34" s="54" t="str">
        <f>'R2'!Q40</f>
        <v/>
      </c>
      <c r="R34" s="54" t="str">
        <f>'R2'!R40</f>
        <v/>
      </c>
      <c r="S34" s="54" t="str">
        <f>'R2'!S40</f>
        <v/>
      </c>
      <c r="T34" s="54" t="str">
        <f>'R2'!T40</f>
        <v/>
      </c>
      <c r="U34" s="54" t="str">
        <f>'R2'!U40</f>
        <v/>
      </c>
      <c r="V34" s="54" t="str">
        <f>'R2'!V40</f>
        <v/>
      </c>
    </row>
    <row r="35" spans="1:22" s="1" customFormat="1" x14ac:dyDescent="0.3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t="str">
        <f>'R2'!O41</f>
        <v/>
      </c>
      <c r="P35" s="54" t="str">
        <f>'R2'!P41</f>
        <v/>
      </c>
      <c r="Q35" s="54" t="str">
        <f>'R2'!Q41</f>
        <v/>
      </c>
      <c r="R35" s="54" t="str">
        <f>'R2'!R41</f>
        <v/>
      </c>
      <c r="S35" s="54" t="str">
        <f>'R2'!S41</f>
        <v/>
      </c>
      <c r="T35" s="54" t="str">
        <f>'R2'!T41</f>
        <v/>
      </c>
      <c r="U35" s="54" t="str">
        <f>'R2'!U41</f>
        <v/>
      </c>
      <c r="V35" s="54" t="str">
        <f>'R2'!V41</f>
        <v/>
      </c>
    </row>
    <row r="36" spans="1:22" x14ac:dyDescent="0.3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1.4833111320712795</v>
      </c>
      <c r="P36" s="54" t="str">
        <f>'R2'!P42</f>
        <v/>
      </c>
      <c r="Q36" s="54" t="str">
        <f>'R2'!Q42</f>
        <v/>
      </c>
      <c r="R36" s="54" t="str">
        <f>'R2'!R42</f>
        <v/>
      </c>
      <c r="S36" s="54" t="str">
        <f>'R2'!S42</f>
        <v/>
      </c>
      <c r="T36" s="54" t="str">
        <f>'R2'!T42</f>
        <v/>
      </c>
      <c r="U36" s="54" t="str">
        <f>'R2'!U42</f>
        <v/>
      </c>
      <c r="V36" s="54" t="str">
        <f>'R2'!V42</f>
        <v/>
      </c>
    </row>
    <row r="37" spans="1:22" x14ac:dyDescent="0.3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0.49826238253486282</v>
      </c>
      <c r="P37" s="54" t="str">
        <f>'R2'!P43</f>
        <v/>
      </c>
      <c r="Q37" s="54" t="str">
        <f>'R2'!Q43</f>
        <v/>
      </c>
      <c r="R37" s="54" t="str">
        <f>'R2'!R43</f>
        <v/>
      </c>
      <c r="S37" s="54" t="str">
        <f>'R2'!S43</f>
        <v/>
      </c>
      <c r="T37" s="54" t="str">
        <f>'R2'!T43</f>
        <v/>
      </c>
      <c r="U37" s="54" t="str">
        <f>'R2'!U43</f>
        <v/>
      </c>
      <c r="V37" s="54" t="str">
        <f>'R2'!V43</f>
        <v/>
      </c>
    </row>
    <row r="38" spans="1:22" s="1" customFormat="1" x14ac:dyDescent="0.35">
      <c r="A38" s="155" t="s">
        <v>116</v>
      </c>
      <c r="B38" s="156">
        <f>'R3'!B28</f>
        <v>0.12532850632910955</v>
      </c>
      <c r="C38" s="156">
        <f>'R3'!C28</f>
        <v>0.132638637889332</v>
      </c>
      <c r="D38" s="156">
        <f>'R3'!D28</f>
        <v>3.5498868827067875E-2</v>
      </c>
      <c r="E38" s="156">
        <f>'R3'!E28</f>
        <v>1.0871544519708527</v>
      </c>
      <c r="F38" s="156">
        <f>'R3'!F28</f>
        <v>0.85417001023568351</v>
      </c>
      <c r="G38" s="156">
        <f>'R3'!G28</f>
        <v>1.9322026960903325</v>
      </c>
      <c r="H38" s="156">
        <f>'R3'!H28</f>
        <v>1.4334827274078963</v>
      </c>
      <c r="I38" s="156">
        <f>'R3'!I28</f>
        <v>0.12726715521802065</v>
      </c>
      <c r="J38" s="156">
        <f>'R3'!J28</f>
        <v>0.18792037683446416</v>
      </c>
      <c r="K38" s="156">
        <f>'R3'!K28</f>
        <v>0.17199188331880869</v>
      </c>
      <c r="L38" s="156">
        <f>'R3'!L28</f>
        <v>0.16752621792548797</v>
      </c>
      <c r="M38" s="156">
        <f>'R3'!M28</f>
        <v>0.20282344934478397</v>
      </c>
      <c r="N38"/>
      <c r="O38" s="156">
        <f>'R3'!O28</f>
        <v>1.2993938512395895</v>
      </c>
      <c r="P38" s="156">
        <f>'R3'!P28</f>
        <v>2.0352993856651054</v>
      </c>
      <c r="Q38" s="156">
        <f>'R3'!Q28</f>
        <v>2.0127549447588899E-3</v>
      </c>
      <c r="R38" s="156">
        <f>'R3'!R28</f>
        <v>0.2466087539329527</v>
      </c>
      <c r="S38" s="156">
        <f>'R3'!S28</f>
        <v>0.14954757175782021</v>
      </c>
      <c r="T38" s="156">
        <f>'R3'!T28</f>
        <v>0.2274819809186385</v>
      </c>
      <c r="U38" s="156">
        <f>'R3'!U28</f>
        <v>7.1273481117755416E-2</v>
      </c>
      <c r="V38" s="156">
        <f>'R3'!V28</f>
        <v>0.25208881059306426</v>
      </c>
    </row>
    <row r="39" spans="1:22" s="1" customFormat="1" x14ac:dyDescent="0.35">
      <c r="A39" s="228" t="s">
        <v>34</v>
      </c>
      <c r="B39" s="156">
        <f>'R3'!B29</f>
        <v>0.19026298989757809</v>
      </c>
      <c r="C39" s="156">
        <f>'R3'!C29</f>
        <v>0.12760614733860812</v>
      </c>
      <c r="D39" s="156">
        <f>'R3'!D29</f>
        <v>0.40976254222375641</v>
      </c>
      <c r="E39" s="156">
        <f>'R3'!E29</f>
        <v>0.30895831486965153</v>
      </c>
      <c r="F39" s="156">
        <f>'R3'!F29</f>
        <v>1.3532891175817092</v>
      </c>
      <c r="G39" s="156">
        <f>'R3'!G29</f>
        <v>1.0859821114013071</v>
      </c>
      <c r="H39" s="156">
        <f>'R3'!H29</f>
        <v>1.0568483495827377</v>
      </c>
      <c r="I39" s="156">
        <f>'R3'!I29</f>
        <v>0.16626968942970607</v>
      </c>
      <c r="J39" s="156">
        <f>'R3'!J29</f>
        <v>0.10489350291958471</v>
      </c>
      <c r="K39" s="156">
        <f>'R3'!K29</f>
        <v>0.20411703086848978</v>
      </c>
      <c r="L39" s="156">
        <f>'R3'!L29</f>
        <v>9.4675656535492772E-2</v>
      </c>
      <c r="M39" s="156">
        <f>'R3'!M29</f>
        <v>9.2144848558458406E-2</v>
      </c>
      <c r="N39"/>
      <c r="O39" s="156">
        <f>'R3'!O29</f>
        <v>0.50640269859787468</v>
      </c>
      <c r="P39" s="156">
        <f>'R3'!P29</f>
        <v>1.6766324519294049</v>
      </c>
      <c r="Q39" s="156">
        <f>'R3'!Q29</f>
        <v>9.4914346971188557E-2</v>
      </c>
      <c r="R39" s="156">
        <f>'R3'!R29</f>
        <v>0.14996497842587447</v>
      </c>
      <c r="S39" s="156" t="str">
        <f>'R3'!S29</f>
        <v/>
      </c>
      <c r="T39" s="156">
        <f>'R3'!T29</f>
        <v>5.5098972730651757E-2</v>
      </c>
      <c r="U39" s="156">
        <f>'R3'!U29</f>
        <v>0.11911824650940012</v>
      </c>
      <c r="V39" s="156">
        <f>'R3'!V29</f>
        <v>0.10309289810214821</v>
      </c>
    </row>
    <row r="40" spans="1:22" s="1" customFormat="1" x14ac:dyDescent="0.35">
      <c r="A40" s="229"/>
      <c r="B40" s="156">
        <f>'R3'!B30</f>
        <v>5.444658092969408E-2</v>
      </c>
      <c r="C40" s="156">
        <f>'R3'!C30</f>
        <v>0.35621057649384341</v>
      </c>
      <c r="D40" s="156">
        <f>'R3'!D30</f>
        <v>0.19573735934875253</v>
      </c>
      <c r="E40" s="156" t="str">
        <f>'R3'!E30</f>
        <v/>
      </c>
      <c r="F40" s="156">
        <f>'R3'!F30</f>
        <v>1.0319657764446921</v>
      </c>
      <c r="G40" s="156">
        <f>'R3'!G30</f>
        <v>1.2255971450900494</v>
      </c>
      <c r="H40" s="156">
        <f>'R3'!H30</f>
        <v>2.3436688159002643</v>
      </c>
      <c r="I40" s="156">
        <f>'R3'!I30</f>
        <v>0.15756188318826139</v>
      </c>
      <c r="J40" s="156">
        <f>'R3'!J30</f>
        <v>0.10461750094646789</v>
      </c>
      <c r="K40" s="156">
        <f>'R3'!K30</f>
        <v>2.8930487183982372E-2</v>
      </c>
      <c r="L40" s="156">
        <f>'R3'!L30</f>
        <v>0.13607560782368652</v>
      </c>
      <c r="M40" s="156">
        <f>'R3'!M30</f>
        <v>0</v>
      </c>
      <c r="N40"/>
      <c r="O40" s="156">
        <f>'R3'!O30</f>
        <v>0.66286867385791248</v>
      </c>
      <c r="P40" s="156">
        <f>'R3'!P30</f>
        <v>1.2079948887502225</v>
      </c>
      <c r="Q40" s="156">
        <f>'R3'!Q30</f>
        <v>0.14772835425658937</v>
      </c>
      <c r="R40" s="156">
        <f>'R3'!R30</f>
        <v>0.22165948534464422</v>
      </c>
      <c r="S40" s="156">
        <f>'R3'!S30</f>
        <v>5.8073641514281418E-2</v>
      </c>
      <c r="T40" s="156">
        <f>'R3'!T30</f>
        <v>5.1430981475683368E-2</v>
      </c>
      <c r="U40" s="156">
        <f>'R3'!U30</f>
        <v>0.11430962518320244</v>
      </c>
      <c r="V40" s="156">
        <f>'R3'!V30</f>
        <v>0.11413814721676396</v>
      </c>
    </row>
    <row r="41" spans="1:22" s="1" customFormat="1" x14ac:dyDescent="0.35">
      <c r="A41" s="229"/>
      <c r="B41" s="156">
        <f>'R3'!B31</f>
        <v>0.12365491584460286</v>
      </c>
      <c r="C41" s="156">
        <f>'R3'!C31</f>
        <v>0.14642736212729879</v>
      </c>
      <c r="D41" s="156">
        <f>'R3'!D31</f>
        <v>3.2911705779656242E-2</v>
      </c>
      <c r="E41" s="156">
        <f>'R3'!E31</f>
        <v>0.71585053997679182</v>
      </c>
      <c r="F41" s="156">
        <f>'R3'!F31</f>
        <v>1.0375314859181906</v>
      </c>
      <c r="G41" s="156" t="str">
        <f>'R3'!G31</f>
        <v/>
      </c>
      <c r="H41" s="156">
        <f>'R3'!H31</f>
        <v>1.8892001582595139</v>
      </c>
      <c r="I41" s="156">
        <f>'R3'!I31</f>
        <v>4.7341878249868297E-2</v>
      </c>
      <c r="J41" s="156">
        <f>'R3'!J31</f>
        <v>0.21081932043109558</v>
      </c>
      <c r="K41" s="156">
        <f>'R3'!K31</f>
        <v>0.23388646754053502</v>
      </c>
      <c r="L41" s="156">
        <f>'R3'!L31</f>
        <v>0.11883871157315566</v>
      </c>
      <c r="M41" s="156">
        <f>'R3'!M31</f>
        <v>3.3881116393944172E-2</v>
      </c>
      <c r="N41"/>
      <c r="O41" s="156">
        <f>'R3'!O31</f>
        <v>1.1943180129546864</v>
      </c>
      <c r="P41" s="156" t="str">
        <f>'R3'!P31</f>
        <v/>
      </c>
      <c r="Q41" s="156">
        <f>'R3'!Q31</f>
        <v>0.18928461762072255</v>
      </c>
      <c r="R41" s="156">
        <f>'R3'!R31</f>
        <v>2.9769436672045242E-2</v>
      </c>
      <c r="S41" s="156">
        <f>'R3'!S31</f>
        <v>5.7872348785839058E-2</v>
      </c>
      <c r="T41" s="156">
        <f>'R3'!T31</f>
        <v>0.13543812340373076</v>
      </c>
      <c r="U41" s="156">
        <f>'R3'!U31</f>
        <v>0.13157995532869721</v>
      </c>
      <c r="V41" s="156">
        <f>'R3'!V31</f>
        <v>0.18782714107582776</v>
      </c>
    </row>
    <row r="42" spans="1:22" s="1" customFormat="1" x14ac:dyDescent="0.35">
      <c r="A42" s="229"/>
      <c r="B42" s="156">
        <f>'R3'!B32</f>
        <v>5.2567733904455495E-2</v>
      </c>
      <c r="C42" s="156">
        <f>'R3'!C32</f>
        <v>1.3471791594468914E-2</v>
      </c>
      <c r="D42" s="156">
        <f>'R3'!D32</f>
        <v>0.38753804990517221</v>
      </c>
      <c r="E42" s="156">
        <f>'R3'!E32</f>
        <v>0.4429015640212341</v>
      </c>
      <c r="F42" s="156">
        <f>'R3'!F32</f>
        <v>0.98529895266169776</v>
      </c>
      <c r="G42" s="156">
        <f>'R3'!G32</f>
        <v>2.1679678383164416</v>
      </c>
      <c r="H42" s="156">
        <f>'R3'!H32</f>
        <v>2.5514092882203809</v>
      </c>
      <c r="I42" s="156">
        <f>'R3'!I32</f>
        <v>0.10913926290066872</v>
      </c>
      <c r="J42" s="156">
        <f>'R3'!J32</f>
        <v>6.5517853333688925E-2</v>
      </c>
      <c r="K42" s="156">
        <f>'R3'!K32</f>
        <v>2.6766073334232657E-3</v>
      </c>
      <c r="L42" s="156">
        <f>'R3'!L32</f>
        <v>0.17321825237325722</v>
      </c>
      <c r="M42" s="156">
        <f>'R3'!M32</f>
        <v>0.24620634081573275</v>
      </c>
      <c r="N42"/>
      <c r="O42" s="156">
        <f>'R3'!O32</f>
        <v>0.46361265557370818</v>
      </c>
      <c r="P42" s="156">
        <f>'R3'!P32</f>
        <v>1.6784776927200149</v>
      </c>
      <c r="Q42" s="156">
        <f>'R3'!Q32</f>
        <v>0.22400433882340004</v>
      </c>
      <c r="R42" s="156">
        <f>'R3'!R32</f>
        <v>0.10686541336379494</v>
      </c>
      <c r="S42" s="156">
        <f>'R3'!S32</f>
        <v>0.20883638024834059</v>
      </c>
      <c r="T42" s="156">
        <f>'R3'!T32</f>
        <v>0.18002118830008421</v>
      </c>
      <c r="U42" s="156" t="str">
        <f>'R3'!U32</f>
        <v/>
      </c>
      <c r="V42" s="156">
        <f>'R3'!V32</f>
        <v>3.4700936179218426E-2</v>
      </c>
    </row>
    <row r="43" spans="1:22" s="1" customFormat="1" x14ac:dyDescent="0.35">
      <c r="A43" s="229"/>
      <c r="B43" s="156">
        <f>'R3'!B33</f>
        <v>0.20107540812509997</v>
      </c>
      <c r="C43" s="156">
        <f>'R3'!C33</f>
        <v>7.4059868817632268E-2</v>
      </c>
      <c r="D43" s="156">
        <f>'R3'!D33</f>
        <v>4.8461741391493715E-2</v>
      </c>
      <c r="E43" s="156">
        <f>'R3'!E33</f>
        <v>0.90154532238051566</v>
      </c>
      <c r="F43" s="156" t="str">
        <f>'R3'!F33</f>
        <v/>
      </c>
      <c r="G43" s="156">
        <f>'R3'!G33</f>
        <v>1.7204029353064041</v>
      </c>
      <c r="H43" s="156">
        <f>'R3'!H33</f>
        <v>2.1691643926088862</v>
      </c>
      <c r="I43" s="156">
        <f>'R3'!I33</f>
        <v>9.6375614988708086E-2</v>
      </c>
      <c r="J43" s="156">
        <f>'R3'!J33</f>
        <v>0.21256391485748435</v>
      </c>
      <c r="K43" s="156">
        <f>'R3'!K33</f>
        <v>4.9563508868319096E-2</v>
      </c>
      <c r="L43" s="156">
        <f>'R3'!L33</f>
        <v>0.21446878517210205</v>
      </c>
      <c r="M43" s="156">
        <f>'R3'!M33</f>
        <v>0.25167502305797002</v>
      </c>
      <c r="N43"/>
      <c r="O43" s="156">
        <f>'R3'!O33</f>
        <v>0.91200513365393387</v>
      </c>
      <c r="P43" s="156">
        <f>'R3'!P33</f>
        <v>1.6043749113258567</v>
      </c>
      <c r="Q43" s="156">
        <f>'R3'!Q33</f>
        <v>7.9794988181592058E-2</v>
      </c>
      <c r="R43" s="156">
        <f>'R3'!R33</f>
        <v>5.9635555896022138E-2</v>
      </c>
      <c r="S43" s="156">
        <f>'R3'!S33</f>
        <v>5.8364378528735418E-2</v>
      </c>
      <c r="T43" s="156">
        <f>'R3'!T33</f>
        <v>0.12184310894895682</v>
      </c>
      <c r="U43" s="156">
        <f>'R3'!U33</f>
        <v>0.13895505894253501</v>
      </c>
      <c r="V43" s="156">
        <f>'R3'!V33</f>
        <v>0.11455555388481825</v>
      </c>
    </row>
    <row r="44" spans="1:22" s="1" customFormat="1" x14ac:dyDescent="0.35">
      <c r="A44" s="229"/>
      <c r="B44" s="156">
        <f>'R3'!B34</f>
        <v>0.14293438180189652</v>
      </c>
      <c r="C44" s="156">
        <f>'R3'!C34</f>
        <v>0.18871400099069455</v>
      </c>
      <c r="D44" s="156">
        <f>'R3'!D34</f>
        <v>0.17473914991478448</v>
      </c>
      <c r="E44" s="156">
        <f>'R3'!E34</f>
        <v>0.41320675042403093</v>
      </c>
      <c r="F44" s="156">
        <f>'R3'!F34</f>
        <v>1.4943820500656204</v>
      </c>
      <c r="G44" s="156">
        <f>'R3'!G34</f>
        <v>1.5863292250285965</v>
      </c>
      <c r="H44" s="156">
        <f>'R3'!H34</f>
        <v>1.7797963539734352</v>
      </c>
      <c r="I44" s="156">
        <f>'R3'!I34</f>
        <v>6.1883209803852035E-2</v>
      </c>
      <c r="J44" s="156">
        <f>'R3'!J34</f>
        <v>8.1587837714114264E-2</v>
      </c>
      <c r="K44" s="156">
        <f>'R3'!K34</f>
        <v>9.0180176380168203E-2</v>
      </c>
      <c r="L44" s="156">
        <f>'R3'!L34</f>
        <v>6.8220656296156059E-4</v>
      </c>
      <c r="M44" s="156">
        <f>'R3'!M34</f>
        <v>2.5296015993810247E-2</v>
      </c>
      <c r="N44"/>
      <c r="O44" s="156">
        <f>'R3'!O34</f>
        <v>1.2791637596914671</v>
      </c>
      <c r="P44" s="156">
        <f>'R3'!P34</f>
        <v>1.5526197589407555</v>
      </c>
      <c r="Q44" s="156">
        <f>'R3'!Q34</f>
        <v>0.21992609299646498</v>
      </c>
      <c r="R44" s="156">
        <f>'R3'!R34</f>
        <v>0.19475872856239981</v>
      </c>
      <c r="S44" s="156">
        <f>'R3'!S34</f>
        <v>0.12681028276673581</v>
      </c>
      <c r="T44" s="156">
        <f>'R3'!T34</f>
        <v>0.21191901983194381</v>
      </c>
      <c r="U44" s="156">
        <f>'R3'!U34</f>
        <v>0.21934841044018177</v>
      </c>
      <c r="V44" s="156">
        <f>'R3'!V34</f>
        <v>8.6042473368890163E-2</v>
      </c>
    </row>
    <row r="45" spans="1:22" s="1" customFormat="1" x14ac:dyDescent="0.35">
      <c r="A45" s="229"/>
      <c r="B45" s="156">
        <f>'R3'!B35</f>
        <v>9.0154153090789085E-2</v>
      </c>
      <c r="C45" s="156">
        <f>'R3'!C35</f>
        <v>0.13320908217969521</v>
      </c>
      <c r="D45" s="156">
        <f>'R3'!D35</f>
        <v>0.14992396158566107</v>
      </c>
      <c r="E45" s="156">
        <f>'R3'!E35</f>
        <v>0.41181269487576871</v>
      </c>
      <c r="F45" s="156">
        <f>'R3'!F35</f>
        <v>0.5697735443879548</v>
      </c>
      <c r="G45" s="156">
        <f>'R3'!G35</f>
        <v>1.6094184316151254</v>
      </c>
      <c r="H45" s="156">
        <f>'R3'!H35</f>
        <v>1.5594301054731674</v>
      </c>
      <c r="I45" s="156">
        <f>'R3'!I35</f>
        <v>0.18981025359824752</v>
      </c>
      <c r="J45" s="156">
        <f>'R3'!J35</f>
        <v>0.25304288297718841</v>
      </c>
      <c r="K45" s="156">
        <f>'R3'!K35</f>
        <v>0.12602941174569782</v>
      </c>
      <c r="L45" s="156">
        <f>'R3'!L35</f>
        <v>0.12375556220882405</v>
      </c>
      <c r="M45" s="156" t="str">
        <f>'R3'!M35</f>
        <v/>
      </c>
      <c r="N45"/>
      <c r="O45" s="156">
        <f>'R3'!O35</f>
        <v>0.70284079102355068</v>
      </c>
      <c r="P45" s="156">
        <f>'R3'!P35</f>
        <v>1.8671174153151968</v>
      </c>
      <c r="Q45" s="156">
        <f>'R3'!Q35</f>
        <v>9.670374971041551E-2</v>
      </c>
      <c r="R45" s="156">
        <f>'R3'!R35</f>
        <v>4.5608485901689096E-2</v>
      </c>
      <c r="S45" s="156">
        <f>'R3'!S35</f>
        <v>6.150302850338641E-2</v>
      </c>
      <c r="T45" s="156">
        <f>'R3'!T35</f>
        <v>0.22589783472014344</v>
      </c>
      <c r="U45" s="156">
        <f>'R3'!U35</f>
        <v>6.2323365307654956E-2</v>
      </c>
      <c r="V45" s="156">
        <f>'R3'!V35</f>
        <v>0.13078598649313727</v>
      </c>
    </row>
    <row r="46" spans="1:22" s="1" customFormat="1" x14ac:dyDescent="0.35">
      <c r="A46" s="229"/>
      <c r="B46" s="156" t="str">
        <f>'R3'!B36</f>
        <v/>
      </c>
      <c r="C46" s="156" t="str">
        <f>'R3'!C36</f>
        <v/>
      </c>
      <c r="D46" s="156" t="str">
        <f>'R3'!D36</f>
        <v/>
      </c>
      <c r="E46" s="156" t="str">
        <f>'R3'!E36</f>
        <v/>
      </c>
      <c r="F46" s="156" t="str">
        <f>'R3'!F36</f>
        <v/>
      </c>
      <c r="G46" s="156" t="str">
        <f>'R3'!G36</f>
        <v/>
      </c>
      <c r="H46" s="156" t="str">
        <f>'R3'!H36</f>
        <v/>
      </c>
      <c r="I46" s="156" t="str">
        <f>'R3'!I36</f>
        <v/>
      </c>
      <c r="J46" s="156" t="str">
        <f>'R3'!J36</f>
        <v/>
      </c>
      <c r="K46" s="156" t="str">
        <f>'R3'!K36</f>
        <v/>
      </c>
      <c r="L46" s="156" t="str">
        <f>'R3'!L36</f>
        <v/>
      </c>
      <c r="M46" s="156" t="str">
        <f>'R3'!M36</f>
        <v/>
      </c>
      <c r="N46"/>
      <c r="O46" s="156">
        <f>'R3'!O36</f>
        <v>0.41618908832274254</v>
      </c>
      <c r="P46" s="156" t="str">
        <f>'R3'!P36</f>
        <v/>
      </c>
      <c r="Q46" s="156" t="str">
        <f>'R3'!Q36</f>
        <v/>
      </c>
      <c r="R46" s="156" t="str">
        <f>'R3'!R36</f>
        <v/>
      </c>
      <c r="S46" s="156" t="str">
        <f>'R3'!S36</f>
        <v/>
      </c>
      <c r="T46" s="156" t="str">
        <f>'R3'!T36</f>
        <v/>
      </c>
      <c r="U46" s="156" t="str">
        <f>'R3'!U36</f>
        <v/>
      </c>
      <c r="V46" s="156" t="str">
        <f>'R3'!V36</f>
        <v/>
      </c>
    </row>
    <row r="47" spans="1:22" s="1" customFormat="1" x14ac:dyDescent="0.35">
      <c r="A47" s="229"/>
      <c r="B47" s="156" t="str">
        <f>'R3'!B37</f>
        <v/>
      </c>
      <c r="C47" s="156" t="str">
        <f>'R3'!C37</f>
        <v/>
      </c>
      <c r="D47" s="156" t="str">
        <f>'R3'!D37</f>
        <v/>
      </c>
      <c r="E47" s="156" t="str">
        <f>'R3'!E37</f>
        <v/>
      </c>
      <c r="F47" s="156" t="str">
        <f>'R3'!F37</f>
        <v/>
      </c>
      <c r="G47" s="156" t="str">
        <f>'R3'!G37</f>
        <v/>
      </c>
      <c r="H47" s="156" t="str">
        <f>'R3'!H37</f>
        <v/>
      </c>
      <c r="I47" s="156" t="str">
        <f>'R3'!I37</f>
        <v/>
      </c>
      <c r="J47" s="156" t="str">
        <f>'R3'!J37</f>
        <v/>
      </c>
      <c r="K47" s="156" t="str">
        <f>'R3'!K37</f>
        <v/>
      </c>
      <c r="L47" s="156" t="str">
        <f>'R3'!L37</f>
        <v/>
      </c>
      <c r="M47" s="156" t="str">
        <f>'R3'!M37</f>
        <v/>
      </c>
      <c r="N47"/>
      <c r="O47" s="156">
        <f>'R3'!O37</f>
        <v>1.1047935889989386</v>
      </c>
      <c r="P47" s="156" t="str">
        <f>'R3'!P37</f>
        <v/>
      </c>
      <c r="Q47" s="156" t="str">
        <f>'R3'!Q37</f>
        <v/>
      </c>
      <c r="R47" s="156" t="str">
        <f>'R3'!R37</f>
        <v/>
      </c>
      <c r="S47" s="156" t="str">
        <f>'R3'!S37</f>
        <v/>
      </c>
      <c r="T47" s="156" t="str">
        <f>'R3'!T37</f>
        <v/>
      </c>
      <c r="U47" s="156" t="str">
        <f>'R3'!U37</f>
        <v/>
      </c>
      <c r="V47" s="156" t="str">
        <f>'R3'!V37</f>
        <v/>
      </c>
    </row>
    <row r="48" spans="1:22" s="1" customFormat="1" x14ac:dyDescent="0.35">
      <c r="A48" s="229"/>
      <c r="B48" s="156" t="str">
        <f>'R3'!B38</f>
        <v/>
      </c>
      <c r="C48" s="156" t="str">
        <f>'R3'!C38</f>
        <v/>
      </c>
      <c r="D48" s="156" t="str">
        <f>'R3'!D38</f>
        <v/>
      </c>
      <c r="E48" s="156" t="str">
        <f>'R3'!E38</f>
        <v/>
      </c>
      <c r="F48" s="156" t="str">
        <f>'R3'!F38</f>
        <v/>
      </c>
      <c r="G48" s="156" t="str">
        <f>'R3'!G38</f>
        <v/>
      </c>
      <c r="H48" s="156" t="str">
        <f>'R3'!H38</f>
        <v/>
      </c>
      <c r="I48" s="156" t="str">
        <f>'R3'!I38</f>
        <v/>
      </c>
      <c r="J48" s="156" t="str">
        <f>'R3'!J38</f>
        <v/>
      </c>
      <c r="K48" s="156" t="str">
        <f>'R3'!K38</f>
        <v/>
      </c>
      <c r="L48" s="156" t="str">
        <f>'R3'!L38</f>
        <v/>
      </c>
      <c r="M48" s="156" t="str">
        <f>'R3'!M38</f>
        <v/>
      </c>
      <c r="N48"/>
      <c r="O48" s="156">
        <f>'R3'!O38</f>
        <v>0.77538906864155277</v>
      </c>
      <c r="P48" s="156" t="str">
        <f>'R3'!P38</f>
        <v/>
      </c>
      <c r="Q48" s="156" t="str">
        <f>'R3'!Q38</f>
        <v/>
      </c>
      <c r="R48" s="156" t="str">
        <f>'R3'!R38</f>
        <v/>
      </c>
      <c r="S48" s="156" t="str">
        <f>'R3'!S38</f>
        <v/>
      </c>
      <c r="T48" s="156" t="str">
        <f>'R3'!T38</f>
        <v/>
      </c>
      <c r="U48" s="156" t="str">
        <f>'R3'!U38</f>
        <v/>
      </c>
      <c r="V48" s="156" t="str">
        <f>'R3'!V38</f>
        <v/>
      </c>
    </row>
    <row r="49" spans="1:24" s="1" customFormat="1" x14ac:dyDescent="0.35">
      <c r="A49" s="229"/>
      <c r="B49" s="156" t="str">
        <f>'R3'!B39</f>
        <v/>
      </c>
      <c r="C49" s="156" t="str">
        <f>'R3'!C39</f>
        <v/>
      </c>
      <c r="D49" s="156" t="str">
        <f>'R3'!D39</f>
        <v/>
      </c>
      <c r="E49" s="156" t="str">
        <f>'R3'!E39</f>
        <v/>
      </c>
      <c r="F49" s="156" t="str">
        <f>'R3'!F39</f>
        <v/>
      </c>
      <c r="G49" s="156" t="str">
        <f>'R3'!G39</f>
        <v/>
      </c>
      <c r="H49" s="156" t="str">
        <f>'R3'!H39</f>
        <v/>
      </c>
      <c r="I49" s="156" t="str">
        <f>'R3'!I39</f>
        <v/>
      </c>
      <c r="J49" s="156" t="str">
        <f>'R3'!J39</f>
        <v/>
      </c>
      <c r="K49" s="156" t="str">
        <f>'R3'!K39</f>
        <v/>
      </c>
      <c r="L49" s="156" t="str">
        <f>'R3'!L39</f>
        <v/>
      </c>
      <c r="M49" s="156" t="str">
        <f>'R3'!M39</f>
        <v/>
      </c>
      <c r="N49"/>
      <c r="O49" s="156">
        <f>'R3'!O39</f>
        <v>1.7876279853592285</v>
      </c>
      <c r="P49" s="156" t="str">
        <f>'R3'!P39</f>
        <v/>
      </c>
      <c r="Q49" s="156" t="str">
        <f>'R3'!Q39</f>
        <v/>
      </c>
      <c r="R49" s="156" t="str">
        <f>'R3'!R39</f>
        <v/>
      </c>
      <c r="S49" s="156" t="str">
        <f>'R3'!S39</f>
        <v/>
      </c>
      <c r="T49" s="156" t="str">
        <f>'R3'!T39</f>
        <v/>
      </c>
      <c r="U49" s="156" t="str">
        <f>'R3'!U39</f>
        <v/>
      </c>
      <c r="V49" s="156" t="str">
        <f>'R3'!V39</f>
        <v/>
      </c>
    </row>
    <row r="50" spans="1:24" s="1" customFormat="1" x14ac:dyDescent="0.35">
      <c r="A50" s="229"/>
      <c r="B50" s="156" t="str">
        <f>'R3'!B40</f>
        <v/>
      </c>
      <c r="C50" s="156" t="str">
        <f>'R3'!C40</f>
        <v/>
      </c>
      <c r="D50" s="156" t="str">
        <f>'R3'!D40</f>
        <v/>
      </c>
      <c r="E50" s="156" t="str">
        <f>'R3'!E40</f>
        <v/>
      </c>
      <c r="F50" s="156" t="str">
        <f>'R3'!F40</f>
        <v/>
      </c>
      <c r="G50" s="156" t="str">
        <f>'R3'!G40</f>
        <v/>
      </c>
      <c r="H50" s="156" t="str">
        <f>'R3'!H40</f>
        <v/>
      </c>
      <c r="I50" s="156" t="str">
        <f>'R3'!I40</f>
        <v/>
      </c>
      <c r="J50" s="156" t="str">
        <f>'R3'!J40</f>
        <v/>
      </c>
      <c r="K50" s="156" t="str">
        <f>'R3'!K40</f>
        <v/>
      </c>
      <c r="L50" s="156" t="str">
        <f>'R3'!L40</f>
        <v/>
      </c>
      <c r="M50" s="156" t="str">
        <f>'R3'!M40</f>
        <v/>
      </c>
      <c r="N50"/>
      <c r="O50" s="156">
        <f>'R3'!O40</f>
        <v>0.49569695862284058</v>
      </c>
      <c r="P50" s="156" t="str">
        <f>'R3'!P40</f>
        <v/>
      </c>
      <c r="Q50" s="156" t="str">
        <f>'R3'!Q40</f>
        <v/>
      </c>
      <c r="R50" s="156" t="str">
        <f>'R3'!R40</f>
        <v/>
      </c>
      <c r="S50" s="156" t="str">
        <f>'R3'!S40</f>
        <v/>
      </c>
      <c r="T50" s="156" t="str">
        <f>'R3'!T40</f>
        <v/>
      </c>
      <c r="U50" s="156" t="str">
        <f>'R3'!U40</f>
        <v/>
      </c>
      <c r="V50" s="156" t="str">
        <f>'R3'!V40</f>
        <v/>
      </c>
    </row>
    <row r="51" spans="1:24" s="1" customFormat="1" x14ac:dyDescent="0.35">
      <c r="A51" s="229"/>
      <c r="B51" s="156" t="str">
        <f>'R3'!B41</f>
        <v/>
      </c>
      <c r="C51" s="156" t="str">
        <f>'R3'!C41</f>
        <v/>
      </c>
      <c r="D51" s="156" t="str">
        <f>'R3'!D41</f>
        <v/>
      </c>
      <c r="E51" s="156" t="str">
        <f>'R3'!E41</f>
        <v/>
      </c>
      <c r="F51" s="156" t="str">
        <f>'R3'!F41</f>
        <v/>
      </c>
      <c r="G51" s="156" t="str">
        <f>'R3'!G41</f>
        <v/>
      </c>
      <c r="H51" s="156" t="str">
        <f>'R3'!H41</f>
        <v/>
      </c>
      <c r="I51" s="156" t="str">
        <f>'R3'!I41</f>
        <v/>
      </c>
      <c r="J51" s="156" t="str">
        <f>'R3'!J41</f>
        <v/>
      </c>
      <c r="K51" s="156" t="str">
        <f>'R3'!K41</f>
        <v/>
      </c>
      <c r="L51" s="156" t="str">
        <f>'R3'!L41</f>
        <v/>
      </c>
      <c r="M51" s="156" t="str">
        <f>'R3'!M41</f>
        <v/>
      </c>
      <c r="N51"/>
      <c r="O51" s="156">
        <f>'R3'!O41</f>
        <v>2.0176712783755644</v>
      </c>
      <c r="P51" s="156" t="str">
        <f>'R3'!P41</f>
        <v/>
      </c>
      <c r="Q51" s="156" t="str">
        <f>'R3'!Q41</f>
        <v/>
      </c>
      <c r="R51" s="156" t="str">
        <f>'R3'!R41</f>
        <v/>
      </c>
      <c r="S51" s="156" t="str">
        <f>'R3'!S41</f>
        <v/>
      </c>
      <c r="T51" s="156" t="str">
        <f>'R3'!T41</f>
        <v/>
      </c>
      <c r="U51" s="156" t="str">
        <f>'R3'!U41</f>
        <v/>
      </c>
      <c r="V51" s="156" t="str">
        <f>'R3'!V41</f>
        <v/>
      </c>
    </row>
    <row r="52" spans="1:24" s="1" customFormat="1" x14ac:dyDescent="0.35">
      <c r="A52" s="229"/>
      <c r="B52" s="156" t="str">
        <f>'R3'!B42</f>
        <v/>
      </c>
      <c r="C52" s="156" t="str">
        <f>'R3'!C42</f>
        <v/>
      </c>
      <c r="D52" s="156" t="str">
        <f>'R3'!D42</f>
        <v/>
      </c>
      <c r="E52" s="156" t="str">
        <f>'R3'!E42</f>
        <v/>
      </c>
      <c r="F52" s="156" t="str">
        <f>'R3'!F42</f>
        <v/>
      </c>
      <c r="G52" s="156" t="str">
        <f>'R3'!G42</f>
        <v/>
      </c>
      <c r="H52" s="156" t="str">
        <f>'R3'!H42</f>
        <v/>
      </c>
      <c r="I52" s="156" t="str">
        <f>'R3'!I42</f>
        <v/>
      </c>
      <c r="J52" s="156" t="str">
        <f>'R3'!J42</f>
        <v/>
      </c>
      <c r="K52" s="156" t="str">
        <f>'R3'!K42</f>
        <v/>
      </c>
      <c r="L52" s="156" t="str">
        <f>'R3'!L42</f>
        <v/>
      </c>
      <c r="M52" s="156" t="str">
        <f>'R3'!M42</f>
        <v/>
      </c>
      <c r="N52"/>
      <c r="O52" s="156">
        <f>'R3'!O42</f>
        <v>1.1140718395307465</v>
      </c>
      <c r="P52" s="156" t="str">
        <f>'R3'!P42</f>
        <v/>
      </c>
      <c r="Q52" s="156" t="str">
        <f>'R3'!Q42</f>
        <v/>
      </c>
      <c r="R52" s="156" t="str">
        <f>'R3'!R42</f>
        <v/>
      </c>
      <c r="S52" s="156" t="str">
        <f>'R3'!S42</f>
        <v/>
      </c>
      <c r="T52" s="156" t="str">
        <f>'R3'!T42</f>
        <v/>
      </c>
      <c r="U52" s="156" t="str">
        <f>'R3'!U42</f>
        <v/>
      </c>
      <c r="V52" s="156" t="str">
        <f>'R3'!V42</f>
        <v/>
      </c>
    </row>
    <row r="53" spans="1:24" s="1" customFormat="1" x14ac:dyDescent="0.35">
      <c r="A53" s="230"/>
      <c r="B53" s="156" t="str">
        <f>'R3'!B43</f>
        <v/>
      </c>
      <c r="C53" s="156" t="str">
        <f>'R3'!C43</f>
        <v/>
      </c>
      <c r="D53" s="156" t="str">
        <f>'R3'!D43</f>
        <v/>
      </c>
      <c r="E53" s="156" t="str">
        <f>'R3'!E43</f>
        <v/>
      </c>
      <c r="F53" s="156" t="str">
        <f>'R3'!F43</f>
        <v/>
      </c>
      <c r="G53" s="156" t="str">
        <f>'R3'!G43</f>
        <v/>
      </c>
      <c r="H53" s="156" t="str">
        <f>'R3'!H43</f>
        <v/>
      </c>
      <c r="I53" s="156" t="str">
        <f>'R3'!I43</f>
        <v/>
      </c>
      <c r="J53" s="156" t="str">
        <f>'R3'!J43</f>
        <v/>
      </c>
      <c r="K53" s="156" t="str">
        <f>'R3'!K43</f>
        <v/>
      </c>
      <c r="L53" s="156" t="str">
        <f>'R3'!L43</f>
        <v/>
      </c>
      <c r="M53" s="156" t="str">
        <f>'R3'!M43</f>
        <v/>
      </c>
      <c r="N53"/>
      <c r="O53" s="156">
        <f>'R3'!O43</f>
        <v>1.2679546155556625</v>
      </c>
      <c r="P53" s="156" t="str">
        <f>'R3'!P43</f>
        <v/>
      </c>
      <c r="Q53" s="156" t="str">
        <f>'R3'!Q43</f>
        <v/>
      </c>
      <c r="R53" s="156" t="str">
        <f>'R3'!R43</f>
        <v/>
      </c>
      <c r="S53" s="156" t="str">
        <f>'R3'!S43</f>
        <v/>
      </c>
      <c r="T53" s="156" t="str">
        <f>'R3'!T43</f>
        <v/>
      </c>
      <c r="U53" s="156" t="str">
        <f>'R3'!U43</f>
        <v/>
      </c>
      <c r="V53" s="156"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AN-0.18mg/L</v>
      </c>
      <c r="J55" s="15" t="str">
        <f t="shared" si="0"/>
        <v>AN-0.36mg/L</v>
      </c>
      <c r="K55" s="15" t="str">
        <f t="shared" si="0"/>
        <v>AN-0.73mg/L</v>
      </c>
      <c r="L55" s="15" t="str">
        <f t="shared" si="0"/>
        <v>AN-1.45mg/L</v>
      </c>
      <c r="M55" s="15" t="str">
        <f t="shared" si="0"/>
        <v>AN-2.9mg/L</v>
      </c>
      <c r="O55" s="15" t="str">
        <f t="shared" ref="O55:V55" si="1">O4</f>
        <v>Testo -30µg/L</v>
      </c>
      <c r="P55" s="15" t="str">
        <f t="shared" si="1"/>
        <v>Testo 30µg/L + EE2 -64ng/L</v>
      </c>
      <c r="Q55" s="15" t="str">
        <f t="shared" si="1"/>
        <v>Testo 30µg/L + FAD-10mg/L</v>
      </c>
      <c r="R55" s="15" t="str">
        <f t="shared" si="1"/>
        <v>AN-0,18mg/L + Testostérone</v>
      </c>
      <c r="S55" s="15" t="str">
        <f t="shared" si="1"/>
        <v>AN-0,36mg/L + Testostérone</v>
      </c>
      <c r="T55" s="15" t="str">
        <f t="shared" si="1"/>
        <v>AN-0,73mg/L + Testostérone</v>
      </c>
      <c r="U55" s="15" t="str">
        <f t="shared" si="1"/>
        <v>AN-1,45mg/L + Testostérone</v>
      </c>
      <c r="V55" s="15" t="str">
        <f t="shared" si="1"/>
        <v>AN-2,9mg/L + Testostérone</v>
      </c>
    </row>
    <row r="56" spans="1:24" x14ac:dyDescent="0.35">
      <c r="A56" t="s">
        <v>48</v>
      </c>
      <c r="B56" s="9">
        <f t="shared" ref="B56:V56" si="2">AVERAGE(B6:B53)</f>
        <v>0.14437035012603847</v>
      </c>
      <c r="C56" s="9">
        <f t="shared" si="2"/>
        <v>0.15148977500810923</v>
      </c>
      <c r="D56" s="9">
        <f t="shared" si="2"/>
        <v>0.14477282275766465</v>
      </c>
      <c r="E56" s="9">
        <f t="shared" si="2"/>
        <v>0.52987312831989786</v>
      </c>
      <c r="F56" s="9">
        <f t="shared" si="2"/>
        <v>1.3655568876309587</v>
      </c>
      <c r="G56" s="9">
        <f t="shared" si="2"/>
        <v>1.7462862383978803</v>
      </c>
      <c r="H56" s="9">
        <f t="shared" si="2"/>
        <v>2.5893969972570487</v>
      </c>
      <c r="I56" s="9">
        <f t="shared" si="2"/>
        <v>0.10045919113824726</v>
      </c>
      <c r="J56" s="9">
        <f t="shared" si="2"/>
        <v>0.12518409784880113</v>
      </c>
      <c r="K56" s="9">
        <f t="shared" si="2"/>
        <v>0.10881329717464004</v>
      </c>
      <c r="L56" s="9">
        <f t="shared" si="2"/>
        <v>0.14996401904887849</v>
      </c>
      <c r="M56" s="9">
        <f t="shared" si="2"/>
        <v>0.15966077279057186</v>
      </c>
      <c r="N56" s="9"/>
      <c r="O56" s="9">
        <f t="shared" si="2"/>
        <v>0.99999999999999967</v>
      </c>
      <c r="P56" s="9">
        <f t="shared" si="2"/>
        <v>2.3361172704334798</v>
      </c>
      <c r="Q56" s="9">
        <f t="shared" si="2"/>
        <v>0.14136154471300608</v>
      </c>
      <c r="R56" s="9">
        <f t="shared" si="2"/>
        <v>0.14235228839311967</v>
      </c>
      <c r="S56" s="9">
        <f t="shared" si="2"/>
        <v>0.14076658106956716</v>
      </c>
      <c r="T56" s="9">
        <f t="shared" si="2"/>
        <v>0.14847130661429359</v>
      </c>
      <c r="U56" s="9">
        <f t="shared" si="2"/>
        <v>0.12147198608353409</v>
      </c>
      <c r="V56" s="9">
        <f t="shared" si="2"/>
        <v>0.14844549456085807</v>
      </c>
    </row>
    <row r="57" spans="1:24" x14ac:dyDescent="0.35">
      <c r="A57" t="s">
        <v>1</v>
      </c>
      <c r="B57" s="3">
        <f>STDEV(B6:B53)</f>
        <v>9.9440693633036648E-2</v>
      </c>
      <c r="C57" s="3">
        <f t="shared" ref="C57:V57" si="3">STDEV(C6:C53)</f>
        <v>0.12397511202909176</v>
      </c>
      <c r="D57" s="3">
        <f t="shared" si="3"/>
        <v>0.12983552861031744</v>
      </c>
      <c r="E57" s="3">
        <f t="shared" si="3"/>
        <v>0.46040938088363959</v>
      </c>
      <c r="F57" s="3">
        <f t="shared" si="3"/>
        <v>0.598888297802743</v>
      </c>
      <c r="G57" s="3">
        <f t="shared" si="3"/>
        <v>0.72072222481548365</v>
      </c>
      <c r="H57" s="3">
        <f t="shared" si="3"/>
        <v>0.94720773257939772</v>
      </c>
      <c r="I57" s="3">
        <f t="shared" si="3"/>
        <v>7.6505986851140809E-2</v>
      </c>
      <c r="J57" s="3">
        <f t="shared" si="3"/>
        <v>7.3370932263381525E-2</v>
      </c>
      <c r="K57" s="3">
        <f t="shared" si="3"/>
        <v>7.5395390149663247E-2</v>
      </c>
      <c r="L57" s="3">
        <f t="shared" si="3"/>
        <v>9.5449082754735362E-2</v>
      </c>
      <c r="M57" s="3">
        <f t="shared" si="3"/>
        <v>0.15162374397649866</v>
      </c>
      <c r="N57" s="3"/>
      <c r="O57" s="3">
        <f t="shared" si="3"/>
        <v>0.61731139410974745</v>
      </c>
      <c r="P57" s="3">
        <f t="shared" si="3"/>
        <v>0.8399131654735591</v>
      </c>
      <c r="Q57" s="3">
        <f t="shared" si="3"/>
        <v>9.2534254987891487E-2</v>
      </c>
      <c r="R57" s="3">
        <f t="shared" si="3"/>
        <v>0.1135312530083408</v>
      </c>
      <c r="S57" s="3">
        <f t="shared" si="3"/>
        <v>9.1769755338872439E-2</v>
      </c>
      <c r="T57" s="3">
        <f t="shared" si="3"/>
        <v>0.12540700249544715</v>
      </c>
      <c r="U57" s="3">
        <f t="shared" si="3"/>
        <v>9.164375070856827E-2</v>
      </c>
      <c r="V57" s="3">
        <f t="shared" si="3"/>
        <v>0.10462403006310148</v>
      </c>
      <c r="W57" s="3"/>
      <c r="X57" s="3"/>
    </row>
    <row r="58" spans="1:24" x14ac:dyDescent="0.35">
      <c r="A58" t="s">
        <v>2</v>
      </c>
      <c r="B58" s="3">
        <f xml:space="preserve"> B57/SQRT(COUNT(B6:B53))</f>
        <v>2.0298246589113982E-2</v>
      </c>
      <c r="C58" s="3">
        <f t="shared" ref="C58:V58" si="4" xml:space="preserve"> C57/SQRT(COUNT(C6:C53))</f>
        <v>2.5850597842406269E-2</v>
      </c>
      <c r="D58" s="3">
        <f t="shared" si="4"/>
        <v>2.6502566298317039E-2</v>
      </c>
      <c r="E58" s="3">
        <f t="shared" si="4"/>
        <v>9.6001992281332674E-2</v>
      </c>
      <c r="F58" s="3">
        <f t="shared" si="4"/>
        <v>0.1306881408335393</v>
      </c>
      <c r="G58" s="3">
        <f t="shared" si="4"/>
        <v>0.15028097240531191</v>
      </c>
      <c r="H58" s="3">
        <f t="shared" si="4"/>
        <v>0.1975064653491235</v>
      </c>
      <c r="I58" s="3">
        <f t="shared" si="4"/>
        <v>1.5616719171114511E-2</v>
      </c>
      <c r="J58" s="3">
        <f t="shared" si="4"/>
        <v>1.5298896949720323E-2</v>
      </c>
      <c r="K58" s="3">
        <f t="shared" si="4"/>
        <v>1.5390019568728E-2</v>
      </c>
      <c r="L58" s="3">
        <f t="shared" si="4"/>
        <v>2.0349812818795519E-2</v>
      </c>
      <c r="M58" s="3">
        <f t="shared" si="4"/>
        <v>3.2326290832309187E-2</v>
      </c>
      <c r="N58" s="3"/>
      <c r="O58" s="3">
        <f t="shared" si="4"/>
        <v>9.1017599504247801E-2</v>
      </c>
      <c r="P58" s="3">
        <f t="shared" si="4"/>
        <v>0.17907008855547116</v>
      </c>
      <c r="Q58" s="3">
        <f t="shared" si="4"/>
        <v>1.9294725959008142E-2</v>
      </c>
      <c r="R58" s="3">
        <f t="shared" si="4"/>
        <v>2.3672902698199692E-2</v>
      </c>
      <c r="S58" s="3">
        <f t="shared" si="4"/>
        <v>1.9565377578026708E-2</v>
      </c>
      <c r="T58" s="3">
        <f t="shared" si="4"/>
        <v>2.6149167643992277E-2</v>
      </c>
      <c r="U58" s="3">
        <f t="shared" si="4"/>
        <v>1.9538513300581737E-2</v>
      </c>
      <c r="V58" s="3">
        <f t="shared" si="4"/>
        <v>2.2305918157464157E-2</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AN-0.18mg/L</v>
      </c>
      <c r="J62" s="3" t="str">
        <f t="shared" si="6"/>
        <v>AN-0.36mg/L</v>
      </c>
      <c r="K62" s="3" t="str">
        <f t="shared" si="6"/>
        <v>AN-0.73mg/L</v>
      </c>
      <c r="L62" s="3" t="str">
        <f t="shared" si="6"/>
        <v>AN-1.45mg/L</v>
      </c>
      <c r="M62" s="3" t="str">
        <f t="shared" si="6"/>
        <v>AN-2.9mg/L</v>
      </c>
      <c r="N62" s="3"/>
      <c r="O62" s="3" t="str">
        <f t="shared" si="6"/>
        <v>Testo -30µg/L</v>
      </c>
      <c r="P62" s="3" t="str">
        <f t="shared" si="6"/>
        <v>Testo 30µg/L + EE2 -64ng/L</v>
      </c>
      <c r="Q62" s="3" t="str">
        <f t="shared" si="6"/>
        <v>Testo 30µg/L + FAD-10mg/L</v>
      </c>
      <c r="R62" s="3" t="str">
        <f t="shared" si="6"/>
        <v>AN-0,18mg/L + Testostérone</v>
      </c>
      <c r="S62" s="3" t="str">
        <f t="shared" si="6"/>
        <v>AN-0,36mg/L + Testostérone</v>
      </c>
      <c r="T62" s="3" t="str">
        <f t="shared" si="6"/>
        <v>AN-0,73mg/L + Testostérone</v>
      </c>
      <c r="U62" s="3" t="str">
        <f t="shared" si="6"/>
        <v>AN-1,45mg/L + Testostérone</v>
      </c>
      <c r="V62" s="3" t="str">
        <f t="shared" si="6"/>
        <v>AN-2,9mg/L + Testostérone</v>
      </c>
    </row>
    <row r="63" spans="1:24" s="1" customFormat="1" x14ac:dyDescent="0.35">
      <c r="A63" s="1" t="s">
        <v>49</v>
      </c>
      <c r="B63" s="3">
        <f>COUNT(B6:B53)</f>
        <v>24</v>
      </c>
      <c r="C63" s="3">
        <f t="shared" ref="C63:V63" si="7">COUNT(C6:C53)</f>
        <v>23</v>
      </c>
      <c r="D63" s="3">
        <f t="shared" si="7"/>
        <v>24</v>
      </c>
      <c r="E63" s="3">
        <f t="shared" si="7"/>
        <v>23</v>
      </c>
      <c r="F63" s="3">
        <f t="shared" si="7"/>
        <v>21</v>
      </c>
      <c r="G63" s="3">
        <f t="shared" si="7"/>
        <v>23</v>
      </c>
      <c r="H63" s="3">
        <f t="shared" si="7"/>
        <v>23</v>
      </c>
      <c r="I63" s="3">
        <f t="shared" si="7"/>
        <v>24</v>
      </c>
      <c r="J63" s="3">
        <f t="shared" si="7"/>
        <v>23</v>
      </c>
      <c r="K63" s="3">
        <f t="shared" si="7"/>
        <v>24</v>
      </c>
      <c r="L63" s="3">
        <f t="shared" si="7"/>
        <v>22</v>
      </c>
      <c r="M63" s="3">
        <f t="shared" si="7"/>
        <v>22</v>
      </c>
      <c r="N63" s="3"/>
      <c r="O63" s="3">
        <f t="shared" si="7"/>
        <v>46</v>
      </c>
      <c r="P63" s="3">
        <f t="shared" si="7"/>
        <v>22</v>
      </c>
      <c r="Q63" s="3">
        <f t="shared" si="7"/>
        <v>23</v>
      </c>
      <c r="R63" s="3">
        <f t="shared" si="7"/>
        <v>23</v>
      </c>
      <c r="S63" s="3">
        <f t="shared" si="7"/>
        <v>22</v>
      </c>
      <c r="T63" s="3">
        <f t="shared" si="7"/>
        <v>23</v>
      </c>
      <c r="U63" s="3">
        <f t="shared" si="7"/>
        <v>22</v>
      </c>
      <c r="V63" s="3">
        <f t="shared" si="7"/>
        <v>22</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 thickBot="1" x14ac:dyDescent="0.4"/>
    <row r="72" spans="1:22" s="48" customFormat="1" ht="26.5" thickBot="1" x14ac:dyDescent="0.4">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AN-0.18mg/L</v>
      </c>
      <c r="J74" s="46" t="str">
        <f t="shared" si="9"/>
        <v>AN-0.36mg/L</v>
      </c>
      <c r="K74" s="46" t="str">
        <f t="shared" si="9"/>
        <v>AN-0.73mg/L</v>
      </c>
      <c r="L74" s="46" t="str">
        <f t="shared" si="9"/>
        <v>AN-1.45mg/L</v>
      </c>
      <c r="M74" s="46" t="str">
        <f t="shared" si="9"/>
        <v>AN-2.9mg/L</v>
      </c>
      <c r="N74" s="46"/>
      <c r="O74" s="46" t="str">
        <f t="shared" ref="O74:V74" si="10">O4</f>
        <v>Testo -30µg/L</v>
      </c>
      <c r="P74" s="46" t="str">
        <f t="shared" si="10"/>
        <v>Testo 30µg/L + EE2 -64ng/L</v>
      </c>
      <c r="Q74" s="46" t="str">
        <f t="shared" si="10"/>
        <v>Testo 30µg/L + FAD-10mg/L</v>
      </c>
      <c r="R74" s="46" t="str">
        <f t="shared" si="10"/>
        <v>AN-0,18mg/L + Testostérone</v>
      </c>
      <c r="S74" s="46" t="str">
        <f t="shared" si="10"/>
        <v>AN-0,36mg/L + Testostérone</v>
      </c>
      <c r="T74" s="46" t="str">
        <f t="shared" si="10"/>
        <v>AN-0,73mg/L + Testostérone</v>
      </c>
      <c r="U74" s="46" t="str">
        <f t="shared" si="10"/>
        <v>AN-1,45mg/L + Testostérone</v>
      </c>
      <c r="V74" s="46" t="str">
        <f t="shared" si="10"/>
        <v>AN-2,9mg/L + Testostérone</v>
      </c>
    </row>
    <row r="75" spans="1:22" s="3" customFormat="1" x14ac:dyDescent="0.35">
      <c r="A75" s="61" t="s">
        <v>32</v>
      </c>
      <c r="B75" s="142">
        <f>B56</f>
        <v>0.14437035012603847</v>
      </c>
      <c r="C75" s="142">
        <f t="shared" ref="C75:V75" si="11">C56</f>
        <v>0.15148977500810923</v>
      </c>
      <c r="D75" s="142">
        <f t="shared" si="11"/>
        <v>0.14477282275766465</v>
      </c>
      <c r="E75" s="142">
        <f t="shared" si="11"/>
        <v>0.52987312831989786</v>
      </c>
      <c r="F75" s="142">
        <f t="shared" si="11"/>
        <v>1.3655568876309587</v>
      </c>
      <c r="G75" s="142">
        <f t="shared" si="11"/>
        <v>1.7462862383978803</v>
      </c>
      <c r="H75" s="142">
        <f t="shared" si="11"/>
        <v>2.5893969972570487</v>
      </c>
      <c r="I75" s="142">
        <f t="shared" si="11"/>
        <v>0.10045919113824726</v>
      </c>
      <c r="J75" s="142">
        <f t="shared" si="11"/>
        <v>0.12518409784880113</v>
      </c>
      <c r="K75" s="142">
        <f t="shared" si="11"/>
        <v>0.10881329717464004</v>
      </c>
      <c r="L75" s="142">
        <f t="shared" si="11"/>
        <v>0.14996401904887849</v>
      </c>
      <c r="M75" s="142">
        <f t="shared" si="11"/>
        <v>0.15966077279057186</v>
      </c>
      <c r="N75" s="142"/>
      <c r="O75" s="142">
        <f t="shared" si="11"/>
        <v>0.99999999999999967</v>
      </c>
      <c r="P75" s="142">
        <f t="shared" si="11"/>
        <v>2.3361172704334798</v>
      </c>
      <c r="Q75" s="142">
        <f t="shared" si="11"/>
        <v>0.14136154471300608</v>
      </c>
      <c r="R75" s="142">
        <f t="shared" si="11"/>
        <v>0.14235228839311967</v>
      </c>
      <c r="S75" s="142">
        <f t="shared" si="11"/>
        <v>0.14076658106956716</v>
      </c>
      <c r="T75" s="142">
        <f t="shared" si="11"/>
        <v>0.14847130661429359</v>
      </c>
      <c r="U75" s="142">
        <f t="shared" si="11"/>
        <v>0.12147198608353409</v>
      </c>
      <c r="V75" s="142">
        <f t="shared" si="11"/>
        <v>0.14844549456085807</v>
      </c>
    </row>
    <row r="76" spans="1:22" s="3" customFormat="1" x14ac:dyDescent="0.35">
      <c r="A76" s="61" t="s">
        <v>2</v>
      </c>
      <c r="B76" s="142">
        <f>B58</f>
        <v>2.0298246589113982E-2</v>
      </c>
      <c r="C76" s="142">
        <f t="shared" ref="C76:V76" si="12">C58</f>
        <v>2.5850597842406269E-2</v>
      </c>
      <c r="D76" s="142">
        <f t="shared" si="12"/>
        <v>2.6502566298317039E-2</v>
      </c>
      <c r="E76" s="142">
        <f t="shared" si="12"/>
        <v>9.6001992281332674E-2</v>
      </c>
      <c r="F76" s="142">
        <f t="shared" si="12"/>
        <v>0.1306881408335393</v>
      </c>
      <c r="G76" s="142">
        <f t="shared" si="12"/>
        <v>0.15028097240531191</v>
      </c>
      <c r="H76" s="142">
        <f t="shared" si="12"/>
        <v>0.1975064653491235</v>
      </c>
      <c r="I76" s="142">
        <f t="shared" si="12"/>
        <v>1.5616719171114511E-2</v>
      </c>
      <c r="J76" s="142">
        <f t="shared" si="12"/>
        <v>1.5298896949720323E-2</v>
      </c>
      <c r="K76" s="142">
        <f t="shared" si="12"/>
        <v>1.5390019568728E-2</v>
      </c>
      <c r="L76" s="142">
        <f t="shared" si="12"/>
        <v>2.0349812818795519E-2</v>
      </c>
      <c r="M76" s="142">
        <f t="shared" si="12"/>
        <v>3.2326290832309187E-2</v>
      </c>
      <c r="N76" s="142"/>
      <c r="O76" s="142">
        <f t="shared" si="12"/>
        <v>9.1017599504247801E-2</v>
      </c>
      <c r="P76" s="142">
        <f t="shared" si="12"/>
        <v>0.17907008855547116</v>
      </c>
      <c r="Q76" s="142">
        <f t="shared" si="12"/>
        <v>1.9294725959008142E-2</v>
      </c>
      <c r="R76" s="142">
        <f t="shared" si="12"/>
        <v>2.3672902698199692E-2</v>
      </c>
      <c r="S76" s="142">
        <f t="shared" si="12"/>
        <v>1.9565377578026708E-2</v>
      </c>
      <c r="T76" s="142">
        <f t="shared" si="12"/>
        <v>2.6149167643992277E-2</v>
      </c>
      <c r="U76" s="142">
        <f t="shared" si="12"/>
        <v>1.9538513300581737E-2</v>
      </c>
      <c r="V76" s="142">
        <f t="shared" si="12"/>
        <v>2.2305918157464157E-2</v>
      </c>
    </row>
    <row r="77" spans="1:22" s="3" customFormat="1" x14ac:dyDescent="0.35">
      <c r="A77" s="61" t="s">
        <v>79</v>
      </c>
      <c r="B77" s="142">
        <f>(B75*100/$B$75)-100</f>
        <v>0</v>
      </c>
      <c r="C77" s="142">
        <f t="shared" ref="C77:M77" si="13">(C75*100/$B$75)-100</f>
        <v>4.9313622055050388</v>
      </c>
      <c r="D77" s="142">
        <f t="shared" si="13"/>
        <v>0.27877790091581289</v>
      </c>
      <c r="E77" s="142">
        <f t="shared" si="13"/>
        <v>267.02351130776299</v>
      </c>
      <c r="F77" s="142">
        <f t="shared" si="13"/>
        <v>845.87073207123058</v>
      </c>
      <c r="G77" s="142">
        <f t="shared" si="13"/>
        <v>1109.5878668115263</v>
      </c>
      <c r="H77" s="142">
        <f t="shared" si="13"/>
        <v>1693.5794953717634</v>
      </c>
      <c r="I77" s="142">
        <f t="shared" si="13"/>
        <v>-30.415635169864032</v>
      </c>
      <c r="J77" s="142">
        <f t="shared" si="13"/>
        <v>-13.289607083786464</v>
      </c>
      <c r="K77" s="142">
        <f t="shared" si="13"/>
        <v>-24.629055010503436</v>
      </c>
      <c r="L77" s="142">
        <f t="shared" si="13"/>
        <v>3.8745275037129403</v>
      </c>
      <c r="M77" s="142">
        <f t="shared" si="13"/>
        <v>10.591110052157191</v>
      </c>
      <c r="N77" s="142"/>
      <c r="O77" s="142">
        <f t="shared" ref="O77:V77" si="14">(O75*100/$O$75)-100</f>
        <v>0</v>
      </c>
      <c r="P77" s="142">
        <f t="shared" si="14"/>
        <v>133.61172704334805</v>
      </c>
      <c r="Q77" s="142">
        <f t="shared" si="14"/>
        <v>-85.863845528699386</v>
      </c>
      <c r="R77" s="142">
        <f t="shared" si="14"/>
        <v>-85.764771160688028</v>
      </c>
      <c r="S77" s="142">
        <f t="shared" si="14"/>
        <v>-85.923341893043272</v>
      </c>
      <c r="T77" s="142">
        <f t="shared" si="14"/>
        <v>-85.152869338570639</v>
      </c>
      <c r="U77" s="142">
        <f t="shared" si="14"/>
        <v>-87.852801391646594</v>
      </c>
      <c r="V77" s="142">
        <f t="shared" si="14"/>
        <v>-85.155450543914185</v>
      </c>
    </row>
    <row r="78" spans="1:22" s="3" customFormat="1" x14ac:dyDescent="0.35">
      <c r="A78" s="61" t="s">
        <v>81</v>
      </c>
      <c r="B78" s="142">
        <f>[1]!DPTEST(B6:B53)</f>
        <v>0.31757807320085452</v>
      </c>
      <c r="C78" s="142">
        <f>[1]!DPTEST(C6:C53)</f>
        <v>2.231503155100234E-3</v>
      </c>
      <c r="D78" s="142">
        <f>[1]!DPTEST(D6:D53)</f>
        <v>4.4107922040910519E-2</v>
      </c>
      <c r="E78" s="142">
        <f>[1]!DPTEST(E6:E53)</f>
        <v>6.4179212854698076E-4</v>
      </c>
      <c r="F78" s="142">
        <f>[1]!DPTEST(F6:F53)</f>
        <v>0.65316977475346483</v>
      </c>
      <c r="G78" s="142">
        <f>[1]!DPTEST(G6:G53)</f>
        <v>0.77340248645686938</v>
      </c>
      <c r="H78" s="142">
        <f>[1]!DPTEST(H6:H53)</f>
        <v>0.45216151940104177</v>
      </c>
      <c r="I78" s="142">
        <f>[1]!DPTEST(I6:I53)</f>
        <v>0.19427936872631568</v>
      </c>
      <c r="J78" s="142">
        <f>[1]!DPTEST(J6:J53)</f>
        <v>0.12280064456341733</v>
      </c>
      <c r="K78" s="142">
        <f>[1]!DPTEST(K6:K53)</f>
        <v>0.14523778340404558</v>
      </c>
      <c r="L78" s="142">
        <f>[1]!DPTEST(L6:L53)</f>
        <v>0.86735295056177431</v>
      </c>
      <c r="M78" s="142">
        <f>[1]!DPTEST(M6:M53)</f>
        <v>0.14353894001312995</v>
      </c>
      <c r="N78" s="142"/>
      <c r="O78" s="142">
        <f>[1]!DPTEST(O6:O53)</f>
        <v>0.41883579869200638</v>
      </c>
      <c r="P78" s="142">
        <f>[1]!DPTEST(P6:P53)</f>
        <v>0.62131131439734888</v>
      </c>
      <c r="Q78" s="142">
        <f>[1]!DPTEST(Q6:Q53)</f>
        <v>8.2661776157931244E-2</v>
      </c>
      <c r="R78" s="142">
        <f>[1]!DPTEST(R6:R53)</f>
        <v>3.5149825384854783E-3</v>
      </c>
      <c r="S78" s="142">
        <f>[1]!DPTEST(S6:S53)</f>
        <v>0.16171261836375805</v>
      </c>
      <c r="T78" s="142">
        <f>[1]!DPTEST(T6:T53)</f>
        <v>9.8722186292476977E-6</v>
      </c>
      <c r="U78" s="142">
        <f>[1]!DPTEST(U6:U53)</f>
        <v>3.3200363378118714E-2</v>
      </c>
      <c r="V78" s="142">
        <f>[1]!DPTEST(V6:V53)</f>
        <v>3.3899146527220925E-3</v>
      </c>
    </row>
    <row r="79" spans="1:22" s="3" customFormat="1" x14ac:dyDescent="0.35">
      <c r="A79" s="61" t="s">
        <v>85</v>
      </c>
      <c r="B79" s="142" t="str">
        <f>IF(B78&gt;0.05,"Oui","Non")</f>
        <v>Oui</v>
      </c>
      <c r="C79" s="142" t="str">
        <f t="shared" ref="C79:V79" si="15">IF(C78&gt;0.05,"Oui","Non")</f>
        <v>Non</v>
      </c>
      <c r="D79" s="142" t="str">
        <f t="shared" si="15"/>
        <v>Non</v>
      </c>
      <c r="E79" s="142" t="str">
        <f t="shared" si="15"/>
        <v>Non</v>
      </c>
      <c r="F79" s="142" t="str">
        <f t="shared" si="15"/>
        <v>Oui</v>
      </c>
      <c r="G79" s="142" t="str">
        <f t="shared" si="15"/>
        <v>Oui</v>
      </c>
      <c r="H79" s="142" t="str">
        <f t="shared" si="15"/>
        <v>Oui</v>
      </c>
      <c r="I79" s="142" t="str">
        <f t="shared" si="15"/>
        <v>Oui</v>
      </c>
      <c r="J79" s="142" t="str">
        <f t="shared" si="15"/>
        <v>Oui</v>
      </c>
      <c r="K79" s="142" t="str">
        <f t="shared" si="15"/>
        <v>Oui</v>
      </c>
      <c r="L79" s="142" t="str">
        <f t="shared" si="15"/>
        <v>Oui</v>
      </c>
      <c r="M79" s="142" t="str">
        <f t="shared" si="15"/>
        <v>Oui</v>
      </c>
      <c r="N79" s="142"/>
      <c r="O79" s="142" t="str">
        <f t="shared" si="15"/>
        <v>Oui</v>
      </c>
      <c r="P79" s="142" t="str">
        <f t="shared" si="15"/>
        <v>Oui</v>
      </c>
      <c r="Q79" s="142" t="str">
        <f t="shared" si="15"/>
        <v>Oui</v>
      </c>
      <c r="R79" s="142" t="str">
        <f t="shared" si="15"/>
        <v>Non</v>
      </c>
      <c r="S79" s="142" t="str">
        <f t="shared" si="15"/>
        <v>Oui</v>
      </c>
      <c r="T79" s="142" t="str">
        <f t="shared" si="15"/>
        <v>Non</v>
      </c>
      <c r="U79" s="142" t="str">
        <f t="shared" si="15"/>
        <v>Non</v>
      </c>
      <c r="V79" s="142" t="str">
        <f t="shared" si="15"/>
        <v>Non</v>
      </c>
    </row>
    <row r="80" spans="1:22" s="3" customFormat="1" x14ac:dyDescent="0.35">
      <c r="A80" s="61" t="s">
        <v>122</v>
      </c>
      <c r="B80" s="142"/>
      <c r="C80" s="142"/>
      <c r="D80" s="142"/>
      <c r="E80" s="142"/>
      <c r="F80" s="142"/>
      <c r="G80" s="142"/>
      <c r="H80" s="142"/>
      <c r="I80" s="142"/>
      <c r="J80" s="142" t="str">
        <f>IF(COUNTIF(J79:M79, "Non")&gt;0, "Oui","Non")</f>
        <v>Non</v>
      </c>
      <c r="K80" s="142"/>
      <c r="L80" s="142"/>
      <c r="M80" s="142"/>
      <c r="N80" s="142"/>
      <c r="O80" s="142"/>
      <c r="P80" s="142"/>
      <c r="Q80" s="142"/>
      <c r="R80" s="142"/>
      <c r="S80" s="142"/>
      <c r="T80" s="142"/>
      <c r="U80" s="142"/>
      <c r="V80" s="142"/>
    </row>
    <row r="81" spans="1:22" s="3" customFormat="1" x14ac:dyDescent="0.35">
      <c r="A81" s="61" t="s">
        <v>82</v>
      </c>
      <c r="B81" s="142"/>
      <c r="C81" s="142" t="s">
        <v>4080</v>
      </c>
      <c r="D81" s="142" t="s">
        <v>4080</v>
      </c>
      <c r="E81" s="142" t="s">
        <v>4080</v>
      </c>
      <c r="F81" s="142" t="s">
        <v>4080</v>
      </c>
      <c r="G81" s="142" t="s">
        <v>4080</v>
      </c>
      <c r="H81" s="142" t="s">
        <v>4080</v>
      </c>
      <c r="I81" s="142" t="s">
        <v>4081</v>
      </c>
      <c r="J81" s="142" t="s">
        <v>4081</v>
      </c>
      <c r="K81" s="142" t="s">
        <v>4081</v>
      </c>
      <c r="L81" s="142" t="s">
        <v>4081</v>
      </c>
      <c r="M81" s="142" t="s">
        <v>4081</v>
      </c>
      <c r="N81" s="142"/>
      <c r="O81" s="142" t="str">
        <f>IF($B79="Non",IF(O79="Non","Mann Withney",IF(O79="Oui","Mann Withney","")),IF($B79="Oui",IF(O79="Oui","T-Test Welch",IF(O79="Non","Mann Withney",""))))</f>
        <v>T-Test Welch</v>
      </c>
      <c r="P81" s="142" t="str">
        <f>IF($O79="Non",IF(P79="Non","Mann Withney",IF(P$79="Oui","Mann Withney","")),IF($O79="Oui",IF(P79="Oui","T-Test Welch",IF(P79="Non","Mann Withney",""))))</f>
        <v>T-Test Welch</v>
      </c>
      <c r="Q81" s="142" t="str">
        <f>IF($O79="Non",IF(Q79="Non","Mann Withney",IF(Q$79="Oui","Mann Withney","")),IF($O79="Oui",IF(Q79="Oui","T-Test Welch",IF(Q79="Non","Mann Withney",""))))</f>
        <v>T-Test Welch</v>
      </c>
      <c r="R81" s="142" t="s">
        <v>4080</v>
      </c>
      <c r="S81" s="142" t="s">
        <v>4080</v>
      </c>
      <c r="T81" s="142" t="s">
        <v>4080</v>
      </c>
      <c r="U81" s="142" t="s">
        <v>4080</v>
      </c>
      <c r="V81" s="142" t="s">
        <v>4080</v>
      </c>
    </row>
    <row r="82" spans="1:22" s="3" customFormat="1" x14ac:dyDescent="0.35">
      <c r="A82" s="61" t="s">
        <v>83</v>
      </c>
      <c r="B82" s="142"/>
      <c r="C82" s="142" t="s">
        <v>4076</v>
      </c>
      <c r="D82" s="142" t="s">
        <v>4076</v>
      </c>
      <c r="E82" s="142">
        <v>0.04</v>
      </c>
      <c r="F82" s="142" t="s">
        <v>4079</v>
      </c>
      <c r="G82" s="142" t="s">
        <v>4079</v>
      </c>
      <c r="H82" s="142" t="s">
        <v>4079</v>
      </c>
      <c r="I82" s="142">
        <v>0.39</v>
      </c>
      <c r="J82" s="142">
        <v>0.94</v>
      </c>
      <c r="K82" s="142">
        <v>0.59</v>
      </c>
      <c r="L82" s="142" t="s">
        <v>4076</v>
      </c>
      <c r="M82" s="142">
        <v>0.98</v>
      </c>
      <c r="N82" s="142"/>
      <c r="O82" s="142">
        <f>IF(O81="Mann Withney",[1]!MTEST($B6:$B37,O6:O53,2), IF(O81="T-Test Welch",_xlfn.T.TEST($B6:$B37,O6:O53,2,3),""))</f>
        <v>5.1793292414021295E-12</v>
      </c>
      <c r="P82" s="142">
        <f>IF(P81="Mann Withney",[1]!MTEST($O6:$O53,P6:P53,2), IF(P81="T-Test Welch",_xlfn.T.TEST($O6:$O53,P6:P53,2,3),""))</f>
        <v>1.6076205767159979E-7</v>
      </c>
      <c r="Q82" s="142">
        <f>IF(Q81="Mann Withney",[1]!MTEST($O6:$O53,Q6:Q53,2), IF(Q81="T-Test Welch",_xlfn.T.TEST($O6:$O53,Q6:Q53,2,3),""))</f>
        <v>2.7320693701407943E-12</v>
      </c>
      <c r="R82" s="142" t="s">
        <v>4079</v>
      </c>
      <c r="S82" s="142" t="s">
        <v>4079</v>
      </c>
      <c r="T82" s="142" t="s">
        <v>4079</v>
      </c>
      <c r="U82" s="142" t="s">
        <v>4079</v>
      </c>
      <c r="V82" s="142" t="s">
        <v>4079</v>
      </c>
    </row>
    <row r="83" spans="1:22" s="3" customFormat="1" ht="15" thickBot="1" x14ac:dyDescent="0.4">
      <c r="A83" s="62" t="s">
        <v>84</v>
      </c>
      <c r="B83" s="143"/>
      <c r="C83" s="143" t="s">
        <v>4075</v>
      </c>
      <c r="D83" s="143" t="s">
        <v>4075</v>
      </c>
      <c r="E83" s="143" t="s">
        <v>4077</v>
      </c>
      <c r="F83" s="143" t="s">
        <v>4078</v>
      </c>
      <c r="G83" s="143" t="s">
        <v>4078</v>
      </c>
      <c r="H83" s="143" t="s">
        <v>4078</v>
      </c>
      <c r="I83" s="143" t="s">
        <v>4075</v>
      </c>
      <c r="J83" s="143" t="s">
        <v>4075</v>
      </c>
      <c r="K83" s="143" t="s">
        <v>4075</v>
      </c>
      <c r="L83" s="143" t="s">
        <v>4075</v>
      </c>
      <c r="M83" s="143" t="s">
        <v>4075</v>
      </c>
      <c r="N83" s="143"/>
      <c r="O83" s="143" t="str">
        <f t="shared" ref="O83" si="16">IF(O82&gt;0.05,"NS",IF(O82&gt;0.01,"*",IF(O82&gt;0.001,"**","***")))</f>
        <v>***</v>
      </c>
      <c r="P83" s="143" t="str">
        <f t="shared" ref="P83" si="17">IF(P82&gt;0.05,"NS",IF(P82&gt;0.01,"*",IF(P82&gt;0.001,"**","***")))</f>
        <v>***</v>
      </c>
      <c r="Q83" s="143" t="str">
        <f t="shared" ref="Q83" si="18">IF(Q82&gt;0.05,"NS",IF(Q82&gt;0.01,"*",IF(Q82&gt;0.001,"**","***")))</f>
        <v>***</v>
      </c>
      <c r="R83" s="143" t="s">
        <v>4078</v>
      </c>
      <c r="S83" s="143" t="s">
        <v>4078</v>
      </c>
      <c r="T83" s="143" t="s">
        <v>4078</v>
      </c>
      <c r="U83" s="143" t="s">
        <v>4078</v>
      </c>
      <c r="V83" s="143" t="s">
        <v>4078</v>
      </c>
    </row>
    <row r="84" spans="1:22" s="1" customFormat="1" x14ac:dyDescent="0.35"/>
    <row r="85" spans="1:22" s="1" customFormat="1" x14ac:dyDescent="0.35">
      <c r="A85" s="2" t="s">
        <v>39</v>
      </c>
    </row>
    <row r="86" spans="1:22" x14ac:dyDescent="0.35">
      <c r="A86" s="1" t="s">
        <v>23</v>
      </c>
      <c r="B86" s="1">
        <f>B56+(3*B57)</f>
        <v>0.44269243102514844</v>
      </c>
    </row>
    <row r="87" spans="1:22" x14ac:dyDescent="0.35">
      <c r="A87" s="1" t="s">
        <v>24</v>
      </c>
      <c r="B87" s="1">
        <f>B56+(10*B57)</f>
        <v>1.138777286456405</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4" spans="1:22" x14ac:dyDescent="0.35">
      <c r="B94" s="1">
        <f t="shared" ref="B94:V94" si="19">B75/$B$75</f>
        <v>1</v>
      </c>
      <c r="C94" s="1">
        <f t="shared" si="19"/>
        <v>1.0493136220550505</v>
      </c>
      <c r="D94" s="1">
        <f t="shared" si="19"/>
        <v>1.0027877790091582</v>
      </c>
      <c r="E94" s="1">
        <f t="shared" si="19"/>
        <v>3.6702351130776303</v>
      </c>
      <c r="F94" s="1">
        <f t="shared" si="19"/>
        <v>9.4587073207123051</v>
      </c>
      <c r="G94" s="1">
        <f t="shared" si="19"/>
        <v>12.095878668115263</v>
      </c>
      <c r="H94" s="1">
        <f>H75/$B$75</f>
        <v>17.935794953717636</v>
      </c>
      <c r="I94" s="1">
        <f t="shared" si="19"/>
        <v>0.6958436483013597</v>
      </c>
      <c r="J94" s="1">
        <f t="shared" si="19"/>
        <v>0.8671039291621353</v>
      </c>
      <c r="K94" s="1">
        <f t="shared" si="19"/>
        <v>0.75370944989496569</v>
      </c>
      <c r="L94" s="1">
        <f t="shared" si="19"/>
        <v>1.0387452750371293</v>
      </c>
      <c r="M94" s="1">
        <f t="shared" si="19"/>
        <v>1.105911100521572</v>
      </c>
      <c r="N94" s="1">
        <f t="shared" si="19"/>
        <v>0</v>
      </c>
      <c r="O94" s="1">
        <f t="shared" si="19"/>
        <v>6.9266300118201407</v>
      </c>
      <c r="P94" s="1">
        <f t="shared" si="19"/>
        <v>16.181419996515896</v>
      </c>
      <c r="Q94" s="1">
        <f t="shared" si="19"/>
        <v>0.97915911812636292</v>
      </c>
      <c r="R94" s="1">
        <f t="shared" si="19"/>
        <v>0.98602163303505885</v>
      </c>
      <c r="S94" s="1">
        <f t="shared" si="19"/>
        <v>0.97503802509777704</v>
      </c>
      <c r="T94" s="1">
        <f t="shared" si="19"/>
        <v>1.0284058082887164</v>
      </c>
      <c r="U94" s="1">
        <f t="shared" si="19"/>
        <v>0.84139150440160593</v>
      </c>
      <c r="V94" s="1">
        <f t="shared" si="19"/>
        <v>1.0282270177447232</v>
      </c>
    </row>
    <row r="98" spans="6:25" x14ac:dyDescent="0.35">
      <c r="U98" s="1"/>
      <c r="V98" s="1"/>
      <c r="W98" s="1"/>
      <c r="X98" s="1"/>
      <c r="Y98" s="1"/>
    </row>
    <row r="99" spans="6:25" x14ac:dyDescent="0.35">
      <c r="H99" s="1"/>
      <c r="I99" s="1"/>
      <c r="J99" s="1"/>
      <c r="K99" s="1"/>
      <c r="L99" s="1"/>
      <c r="M99" s="1"/>
      <c r="N99" s="1"/>
      <c r="O99" s="1"/>
      <c r="P99" s="1"/>
      <c r="Q99" s="1"/>
      <c r="S99" s="1"/>
      <c r="T99" s="1"/>
      <c r="U99" s="1"/>
      <c r="V99" s="1"/>
      <c r="W99" s="1"/>
      <c r="X99" s="1"/>
      <c r="Y99" s="1"/>
    </row>
    <row r="100" spans="6:25" x14ac:dyDescent="0.35">
      <c r="H100" s="1"/>
      <c r="I100" s="1"/>
      <c r="J100" s="1"/>
      <c r="K100" s="1"/>
      <c r="L100" s="1"/>
      <c r="M100" s="1"/>
      <c r="N100" s="1"/>
      <c r="O100" s="1"/>
      <c r="P100" s="1"/>
      <c r="Q100" s="1"/>
      <c r="S100" s="1"/>
      <c r="T100" s="1"/>
    </row>
    <row r="101" spans="6:25" x14ac:dyDescent="0.35">
      <c r="S101" s="1"/>
      <c r="T101" s="1"/>
    </row>
    <row r="102" spans="6:25" x14ac:dyDescent="0.35">
      <c r="F102" s="1"/>
      <c r="G102" s="1"/>
      <c r="S102" s="1"/>
      <c r="T102" s="1"/>
    </row>
    <row r="103" spans="6:25" x14ac:dyDescent="0.35">
      <c r="F103" s="1"/>
      <c r="G103" s="1"/>
      <c r="S103" s="1"/>
      <c r="T103" s="1"/>
    </row>
    <row r="104" spans="6:25" x14ac:dyDescent="0.35">
      <c r="F104" s="1"/>
      <c r="G104" s="1"/>
    </row>
    <row r="105" spans="6:25" x14ac:dyDescent="0.35">
      <c r="F105" s="1"/>
      <c r="G105" s="1"/>
    </row>
    <row r="106" spans="6:25" x14ac:dyDescent="0.35">
      <c r="F106" s="1"/>
      <c r="G106" s="1"/>
    </row>
    <row r="107" spans="6:25" x14ac:dyDescent="0.35">
      <c r="F107" s="1"/>
      <c r="G107" s="1"/>
    </row>
    <row r="108" spans="6:25" x14ac:dyDescent="0.35">
      <c r="F108" s="1"/>
      <c r="G108" s="1"/>
    </row>
    <row r="109" spans="6:25" x14ac:dyDescent="0.35">
      <c r="F109" s="1"/>
      <c r="G109" s="1"/>
    </row>
    <row r="110" spans="6:25" x14ac:dyDescent="0.35">
      <c r="F110" s="1"/>
      <c r="G110" s="1"/>
    </row>
    <row r="111" spans="6:25" x14ac:dyDescent="0.35">
      <c r="F111" s="1"/>
      <c r="G111" s="1"/>
    </row>
    <row r="112" spans="6:25" x14ac:dyDescent="0.35">
      <c r="F112" s="1"/>
      <c r="G112"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31" t="s">
        <v>104</v>
      </c>
      <c r="B1" s="232"/>
      <c r="C1" s="232"/>
      <c r="D1" s="232"/>
      <c r="E1" s="232"/>
      <c r="F1" s="232"/>
      <c r="G1" s="232"/>
      <c r="H1" s="232"/>
      <c r="I1" s="232"/>
      <c r="J1" s="232"/>
      <c r="K1" s="232"/>
      <c r="L1" s="232"/>
      <c r="M1" s="232"/>
      <c r="N1" s="232"/>
      <c r="O1" s="233"/>
    </row>
    <row r="2" spans="1:15" s="48" customFormat="1" ht="26.5" thickBot="1" x14ac:dyDescent="0.4">
      <c r="A2" s="231" t="s">
        <v>105</v>
      </c>
      <c r="B2" s="232"/>
      <c r="C2" s="232"/>
      <c r="D2" s="232"/>
      <c r="E2" s="232"/>
      <c r="F2" s="232"/>
      <c r="G2" s="232"/>
      <c r="H2" s="232"/>
      <c r="I2" s="232"/>
      <c r="J2" s="232"/>
      <c r="K2" s="232"/>
      <c r="L2" s="232"/>
      <c r="M2" s="232"/>
      <c r="N2" s="232"/>
      <c r="O2" s="233"/>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9">
        <f>IF(F6="NS","NC",ROUND(B6,2-(1+INT(LOG10(ABS(B6))))))</f>
        <v>64</v>
      </c>
      <c r="H6" s="121"/>
      <c r="I6" s="121"/>
      <c r="J6" s="122"/>
      <c r="K6" s="123"/>
      <c r="L6" s="125"/>
      <c r="M6" s="122"/>
      <c r="N6" s="92"/>
      <c r="O6"/>
    </row>
    <row r="7" spans="1:15" s="77" customFormat="1" ht="15.5" x14ac:dyDescent="0.35">
      <c r="A7" s="80" t="str">
        <f>'Page de garde'!A15</f>
        <v>AN-0.18mg/L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AN-0,18mg/L : 0%</v>
      </c>
      <c r="O7"/>
    </row>
    <row r="8" spans="1:15" s="77" customFormat="1" ht="15.5" x14ac:dyDescent="0.35">
      <c r="A8" s="80" t="str">
        <f>'Page de garde'!A16</f>
        <v>AN-0.36mg/L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AN-0,36mg/L : 0%</v>
      </c>
      <c r="O8"/>
    </row>
    <row r="9" spans="1:15" s="77" customFormat="1" ht="15.5" x14ac:dyDescent="0.35">
      <c r="A9" s="80" t="str">
        <f>'Page de garde'!A17</f>
        <v>AN-0.73mg/L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AN-0,73mg/L : 0%</v>
      </c>
      <c r="O9"/>
    </row>
    <row r="10" spans="1:15" s="77" customFormat="1" ht="15.5" x14ac:dyDescent="0.35">
      <c r="A10" s="80" t="str">
        <f>'Page de garde'!A18</f>
        <v>AN-1.45mg/L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AN-1,45mg/L : 0%</v>
      </c>
      <c r="O10"/>
    </row>
    <row r="11" spans="1:15" s="77" customFormat="1" ht="15.5" x14ac:dyDescent="0.35">
      <c r="A11" s="80" t="str">
        <f>'Page de garde'!A19</f>
        <v>AN-2.9mg/L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AN-2,9mg/L : 0%</v>
      </c>
      <c r="O11"/>
    </row>
    <row r="12" spans="1:15" s="77" customFormat="1" ht="15.5" x14ac:dyDescent="0.35">
      <c r="A12" s="80" t="str">
        <f>'Page de garde'!A20</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garde'!A21</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garde'!A22</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garde'!A23</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garde'!A24</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garde'!A25</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garde'!A26</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garde'!A27</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garde'!A28</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garde'!A29</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garde'!A30</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garde'!A31</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garde'!A32</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garde'!A33</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garde'!A34</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4"/>
      <c r="H29" s="121"/>
      <c r="I29" s="121"/>
      <c r="J29" s="122"/>
      <c r="K29" s="123"/>
      <c r="L29" s="125"/>
      <c r="M29" s="122"/>
      <c r="N29" s="92"/>
      <c r="O29"/>
    </row>
    <row r="30" spans="1:15" s="77" customFormat="1" ht="15.5" x14ac:dyDescent="0.35">
      <c r="A30" s="84" t="s">
        <v>31</v>
      </c>
      <c r="B30" s="100"/>
      <c r="C30" s="80"/>
      <c r="D30" s="80"/>
      <c r="E30" s="82"/>
      <c r="F30" s="91"/>
      <c r="G30" s="133" t="e">
        <f>IF(F30="NS","NC",ROUND(B30-$B$29,2-(1+INT(LOG10(ABS(B30-$B$29))))))</f>
        <v>#NUM!</v>
      </c>
      <c r="H30" s="121"/>
      <c r="I30" s="134"/>
      <c r="J30" s="135"/>
      <c r="K30" s="136"/>
      <c r="L30" s="135"/>
      <c r="M30" s="135"/>
      <c r="N30" s="137"/>
      <c r="O30"/>
    </row>
    <row r="31" spans="1:15" s="77" customFormat="1" ht="15.5" x14ac:dyDescent="0.3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5" x14ac:dyDescent="0.35">
      <c r="A32" s="128" t="str">
        <f>'Page de garde'!A39</f>
        <v>AN-0,18mg/L + Testostérone</v>
      </c>
      <c r="B32" s="100"/>
      <c r="C32" s="80"/>
      <c r="D32" s="80"/>
      <c r="E32" s="82"/>
      <c r="F32" s="94" t="str">
        <f>HLOOKUP(A32,'pooled normalised values'!$B$74:$V$83,10,FALSE)</f>
        <v>***</v>
      </c>
      <c r="G32" s="133" t="e">
        <f t="shared" si="6"/>
        <v>#NUM!</v>
      </c>
      <c r="H32" s="124" t="str">
        <f>IF(VLOOKUP(A32,liste_groupe[],4,FALSE)="%",VLOOKUP(A32,liste_groupe[],3,FALSE)/100,IF(ISBLANK(VLOOKUP(A32,liste_groupe[],4,FALSE)),"Non","Non"))</f>
        <v>Non</v>
      </c>
      <c r="I32" s="133" t="e">
        <f>IF(F32="NS","NC",IF(H32="Non",G32,G32*(1/H32)))</f>
        <v>#NUM!</v>
      </c>
      <c r="J32" s="138" t="e">
        <f>IF(G32&lt;0,$G$31,$G$30)</f>
        <v>#NUM!</v>
      </c>
      <c r="K32" s="139" t="e">
        <f>IF(F32="NS",0,IF(I32&lt;0,-ROUND(I32/J32*100,0),ROUND(I32/J32*100,0)))</f>
        <v>#NUM!</v>
      </c>
      <c r="L32" s="140">
        <v>1</v>
      </c>
      <c r="M32" s="132" t="e">
        <f>IF(I32&lt;0,IF(K32&lt;-100,-125,K32),IF(K32&gt;100,125,K32))</f>
        <v>#NUM!</v>
      </c>
      <c r="N32" s="141" t="e">
        <f>IF(H32="Non",CONCATENATE(VLOOKUP(A32,liste_groupe[],5,FALSE),"-",VLOOKUP(A32,liste_groupe[],3,FALSE),VLOOKUP(A32,liste_groupe[],4,FALSE)," : ",ROUND(K32,0),"%"),CONCATENATE(VLOOKUP(A32,liste_groupe[],5,FALSE)," : ",ROUND(K32,0),"%"))</f>
        <v>#NUM!</v>
      </c>
    </row>
    <row r="33" spans="1:14" s="77" customFormat="1" ht="15.5" x14ac:dyDescent="0.35">
      <c r="A33" s="128" t="str">
        <f>'Page de garde'!A40</f>
        <v>AN-0,36mg/L + Testostérone</v>
      </c>
      <c r="B33" s="99"/>
      <c r="C33" s="87"/>
      <c r="D33" s="87"/>
      <c r="E33" s="82"/>
      <c r="F33" s="94" t="str">
        <f>HLOOKUP(A33,'pooled normalised values'!$B$74:$V$83,10,FALSE)</f>
        <v>***</v>
      </c>
      <c r="G33" s="133" t="e">
        <f>IF(F33="NS","NC",ROUND(B33-$B$29,2-(1+INT(LOG10(ABS(B33-$B$29))))))</f>
        <v>#NUM!</v>
      </c>
      <c r="H33" s="124" t="str">
        <f>IF(VLOOKUP(A33,liste_groupe[],4,FALSE)="%",VLOOKUP(A33,liste_groupe[],3,FALSE)/100,IF(ISBLANK(VLOOKUP(A33,liste_groupe[],4,FALSE)),"Non","Non"))</f>
        <v>Non</v>
      </c>
      <c r="I33" s="133" t="e">
        <f t="shared" ref="I33:I51" si="7">IF(F33="NS","NC",IF(H33="Non",G33,G33*(1/H33)))</f>
        <v>#NUM!</v>
      </c>
      <c r="J33" s="138" t="e">
        <f t="shared" ref="J33:J51" si="8">IF(G33&lt;0,$G$31,$G$30)</f>
        <v>#NUM!</v>
      </c>
      <c r="K33" s="139" t="e">
        <f t="shared" ref="K33:K51" si="9">IF(F33="NS",0,IF(I33&lt;0,-ROUND(I33/J33*100,0),ROUND(I33/J33*100,0)))</f>
        <v>#NUM!</v>
      </c>
      <c r="L33" s="140"/>
      <c r="M33" s="132" t="e">
        <f t="shared" ref="M33:M51" si="10">IF(I33&lt;0,IF(K33&lt;-100,-125,K33),IF(K33&gt;100,125,K33))</f>
        <v>#NUM!</v>
      </c>
      <c r="N33" s="141" t="e">
        <f>IF(H33="Non",CONCATENATE(VLOOKUP(A33,liste_groupe[],5,FALSE),"-",VLOOKUP(A33,liste_groupe[],3,FALSE),VLOOKUP(A33,liste_groupe[],4,FALSE)," : ",ROUND(K33,0),"%"),CONCATENATE(VLOOKUP(A33,liste_groupe[],5,FALSE)," : ",ROUND(K33,0),"%"))</f>
        <v>#NUM!</v>
      </c>
    </row>
    <row r="34" spans="1:14" s="77" customFormat="1" ht="15.5" x14ac:dyDescent="0.35">
      <c r="A34" s="128" t="str">
        <f>'Page de garde'!A41</f>
        <v>AN-0,73mg/L + Testostérone</v>
      </c>
      <c r="B34" s="100"/>
      <c r="C34" s="80"/>
      <c r="D34" s="80"/>
      <c r="E34" s="82"/>
      <c r="F34" s="94" t="str">
        <f>HLOOKUP(A34,'pooled normalised values'!$B$74:$V$83,10,FALSE)</f>
        <v>***</v>
      </c>
      <c r="G34" s="133" t="e">
        <f t="shared" si="6"/>
        <v>#NUM!</v>
      </c>
      <c r="H34" s="124" t="str">
        <f>IF(VLOOKUP(A34,liste_groupe[],4,FALSE)="%",VLOOKUP(A34,liste_groupe[],3,FALSE)/100,IF(ISBLANK(VLOOKUP(A34,liste_groupe[],4,FALSE)),"Non","Non"))</f>
        <v>Non</v>
      </c>
      <c r="I34" s="133" t="e">
        <f t="shared" si="7"/>
        <v>#NUM!</v>
      </c>
      <c r="J34" s="138" t="e">
        <f t="shared" si="8"/>
        <v>#NUM!</v>
      </c>
      <c r="K34" s="139" t="e">
        <f t="shared" si="9"/>
        <v>#NUM!</v>
      </c>
      <c r="L34" s="140"/>
      <c r="M34" s="132" t="e">
        <f t="shared" si="10"/>
        <v>#NUM!</v>
      </c>
      <c r="N34" s="141" t="e">
        <f>IF(H34="Non",CONCATENATE(VLOOKUP(A34,liste_groupe[],5,FALSE),"-",VLOOKUP(A34,liste_groupe[],3,FALSE),VLOOKUP(A34,liste_groupe[],4,FALSE)," : ",ROUND(K34,0),"%"),CONCATENATE(VLOOKUP(A34,liste_groupe[],5,FALSE)," : ",ROUND(K34,0),"%"))</f>
        <v>#NUM!</v>
      </c>
    </row>
    <row r="35" spans="1:14" s="77" customFormat="1" ht="15.5" x14ac:dyDescent="0.35">
      <c r="A35" s="128" t="str">
        <f>'Page de garde'!A42</f>
        <v>AN-1,45mg/L + Testostérone</v>
      </c>
      <c r="B35" s="99"/>
      <c r="C35" s="87"/>
      <c r="D35" s="87"/>
      <c r="E35" s="82"/>
      <c r="F35" s="94" t="str">
        <f>HLOOKUP(A35,'pooled normalised values'!$B$74:$V$83,10,FALSE)</f>
        <v>***</v>
      </c>
      <c r="G35" s="133" t="e">
        <f t="shared" si="6"/>
        <v>#NUM!</v>
      </c>
      <c r="H35" s="124" t="str">
        <f>IF(VLOOKUP(A35,liste_groupe[],4,FALSE)="%",VLOOKUP(A35,liste_groupe[],3,FALSE)/100,IF(ISBLANK(VLOOKUP(A35,liste_groupe[],4,FALSE)),"Non","Non"))</f>
        <v>Non</v>
      </c>
      <c r="I35" s="133" t="e">
        <f t="shared" si="7"/>
        <v>#NUM!</v>
      </c>
      <c r="J35" s="138" t="e">
        <f t="shared" si="8"/>
        <v>#NUM!</v>
      </c>
      <c r="K35" s="139" t="e">
        <f t="shared" si="9"/>
        <v>#NUM!</v>
      </c>
      <c r="L35" s="140"/>
      <c r="M35" s="132" t="e">
        <f t="shared" si="10"/>
        <v>#NUM!</v>
      </c>
      <c r="N35" s="141" t="e">
        <f>IF(H35="Non",CONCATENATE(VLOOKUP(A35,liste_groupe[],5,FALSE),"-",VLOOKUP(A35,liste_groupe[],3,FALSE),VLOOKUP(A35,liste_groupe[],4,FALSE)," : ",ROUND(K35,0),"%"),CONCATENATE(VLOOKUP(A35,liste_groupe[],5,FALSE)," : ",ROUND(K35,0),"%"))</f>
        <v>#NUM!</v>
      </c>
    </row>
    <row r="36" spans="1:14" s="77" customFormat="1" ht="15.5" x14ac:dyDescent="0.35">
      <c r="A36" s="128" t="str">
        <f>'Page de garde'!A43</f>
        <v>AN-2,9mg/L + Testostérone</v>
      </c>
      <c r="B36" s="99"/>
      <c r="C36" s="87"/>
      <c r="D36" s="87"/>
      <c r="E36" s="82"/>
      <c r="F36" s="94" t="str">
        <f>HLOOKUP(A36,'pooled normalised values'!$B$74:$V$83,10,FALSE)</f>
        <v>***</v>
      </c>
      <c r="G36" s="133" t="e">
        <f t="shared" si="6"/>
        <v>#NUM!</v>
      </c>
      <c r="H36" s="124" t="str">
        <f>IF(VLOOKUP(A36,liste_groupe[],4,FALSE)="%",VLOOKUP(A36,liste_groupe[],3,FALSE)/100,IF(ISBLANK(VLOOKUP(A36,liste_groupe[],4,FALSE)),"Non","Non"))</f>
        <v>Non</v>
      </c>
      <c r="I36" s="133" t="e">
        <f t="shared" si="7"/>
        <v>#NUM!</v>
      </c>
      <c r="J36" s="138" t="e">
        <f t="shared" si="8"/>
        <v>#NUM!</v>
      </c>
      <c r="K36" s="139" t="e">
        <f t="shared" si="9"/>
        <v>#NUM!</v>
      </c>
      <c r="L36" s="140"/>
      <c r="M36" s="132" t="e">
        <f t="shared" si="10"/>
        <v>#NUM!</v>
      </c>
      <c r="N36" s="141" t="e">
        <f>IF(H36="Non",CONCATENATE(VLOOKUP(A36,liste_groupe[],5,FALSE),"-",VLOOKUP(A36,liste_groupe[],3,FALSE),VLOOKUP(A36,liste_groupe[],4,FALSE)," : ",ROUND(K36,0),"%"),CONCATENATE(VLOOKUP(A36,liste_groupe[],5,FALSE)," : ",ROUND(K36,0),"%"))</f>
        <v>#NUM!</v>
      </c>
    </row>
    <row r="37" spans="1:14" s="77" customFormat="1" ht="15.5" x14ac:dyDescent="0.35">
      <c r="A37" s="128" t="str">
        <f>'Page de garde'!A44</f>
        <v>0-00 + Testostérone</v>
      </c>
      <c r="B37" s="99"/>
      <c r="C37" s="87"/>
      <c r="D37" s="87"/>
      <c r="E37" s="82"/>
      <c r="F37" s="94" t="e">
        <f>HLOOKUP(A37,'pooled normalised values'!$B$74:$V$83,10,FALSE)</f>
        <v>#N/A</v>
      </c>
      <c r="G37" s="133" t="e">
        <f t="shared" si="6"/>
        <v>#N/A</v>
      </c>
      <c r="H37" s="124" t="str">
        <f>IF(VLOOKUP(A37,liste_groupe[],4,FALSE)="%",VLOOKUP(A37,liste_groupe[],3,FALSE)/100,IF(ISBLANK(VLOOKUP(A37,liste_groupe[],4,FALSE)),"Non","Non"))</f>
        <v>Non</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5" x14ac:dyDescent="0.35">
      <c r="A38" s="128" t="str">
        <f>'Page de garde'!A45</f>
        <v>0-00 + Testostérone</v>
      </c>
      <c r="B38" s="99"/>
      <c r="C38" s="87"/>
      <c r="D38" s="87"/>
      <c r="E38" s="82"/>
      <c r="F38" s="94" t="e">
        <f>HLOOKUP(A38,'pooled normalised values'!$B$74:$V$83,10,FALSE)</f>
        <v>#N/A</v>
      </c>
      <c r="G38" s="133" t="e">
        <f t="shared" si="6"/>
        <v>#N/A</v>
      </c>
      <c r="H38" s="124" t="str">
        <f>IF(VLOOKUP(A38,liste_groupe[],4,FALSE)="%",VLOOKUP(A38,liste_groupe[],3,FALSE)/100,IF(ISBLANK(VLOOKUP(A38,liste_groupe[],4,FALSE)),"Non","Non"))</f>
        <v>Non</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5" x14ac:dyDescent="0.35">
      <c r="A39" s="128" t="str">
        <f>'Page de garde'!A46</f>
        <v>0-00 + Testostérone</v>
      </c>
      <c r="B39" s="99"/>
      <c r="C39" s="87"/>
      <c r="D39" s="87"/>
      <c r="E39" s="82"/>
      <c r="F39" s="94" t="e">
        <f>HLOOKUP(A39,'pooled normalised values'!$B$74:$V$83,10,FALSE)</f>
        <v>#N/A</v>
      </c>
      <c r="G39" s="133" t="e">
        <f t="shared" ref="G39:G50" si="11">IF(F39="NS","NC",ROUND(B39-$B$29,2-(1+INT(LOG10(ABS(B39-$B$29))))))</f>
        <v>#N/A</v>
      </c>
      <c r="H39" s="124" t="str">
        <f>IF(VLOOKUP(A39,liste_groupe[],4,FALSE)="%",VLOOKUP(A39,liste_groupe[],3,FALSE)/100,IF(ISBLANK(VLOOKUP(A39,liste_groupe[],4,FALSE)),"Non","Non"))</f>
        <v>Non</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5" x14ac:dyDescent="0.35">
      <c r="A40" s="128" t="str">
        <f>'Page de garde'!A47</f>
        <v>0-00 + Testostérone</v>
      </c>
      <c r="B40" s="99"/>
      <c r="C40" s="87"/>
      <c r="D40" s="87"/>
      <c r="E40" s="82"/>
      <c r="F40" s="94" t="e">
        <f>HLOOKUP(A40,'pooled normalised values'!$B$74:$V$83,10,FALSE)</f>
        <v>#N/A</v>
      </c>
      <c r="G40" s="133" t="e">
        <f t="shared" si="11"/>
        <v>#N/A</v>
      </c>
      <c r="H40" s="124" t="str">
        <f>IF(VLOOKUP(A40,liste_groupe[],4,FALSE)="%",VLOOKUP(A40,liste_groupe[],3,FALSE)/100,IF(ISBLANK(VLOOKUP(A40,liste_groupe[],4,FALSE)),"Non","Non"))</f>
        <v>Non</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5" x14ac:dyDescent="0.35">
      <c r="A41" s="128" t="str">
        <f>'Page de garde'!A48</f>
        <v>0-00 + Testostérone</v>
      </c>
      <c r="B41" s="99"/>
      <c r="C41" s="87"/>
      <c r="D41" s="87"/>
      <c r="E41" s="82"/>
      <c r="F41" s="94" t="e">
        <f>HLOOKUP(A41,'pooled normalised values'!$B$74:$V$83,10,FALSE)</f>
        <v>#N/A</v>
      </c>
      <c r="G41" s="133" t="e">
        <f t="shared" si="11"/>
        <v>#N/A</v>
      </c>
      <c r="H41" s="124" t="str">
        <f>IF(VLOOKUP(A41,liste_groupe[],4,FALSE)="%",VLOOKUP(A41,liste_groupe[],3,FALSE)/100,IF(ISBLANK(VLOOKUP(A41,liste_groupe[],4,FALSE)),"Non","Non"))</f>
        <v>Non</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5" x14ac:dyDescent="0.35">
      <c r="A42" s="128" t="str">
        <f>'Page de garde'!A49</f>
        <v>0-00 + Testostérone</v>
      </c>
      <c r="B42" s="99"/>
      <c r="C42" s="87"/>
      <c r="D42" s="87"/>
      <c r="E42" s="82"/>
      <c r="F42" s="94" t="e">
        <f>HLOOKUP(A42,'pooled normalised values'!$B$74:$V$83,10,FALSE)</f>
        <v>#N/A</v>
      </c>
      <c r="G42" s="133" t="e">
        <f t="shared" si="11"/>
        <v>#N/A</v>
      </c>
      <c r="H42" s="124" t="str">
        <f>IF(VLOOKUP(A42,liste_groupe[],4,FALSE)="%",VLOOKUP(A42,liste_groupe[],3,FALSE)/100,IF(ISBLANK(VLOOKUP(A42,liste_groupe[],4,FALSE)),"Non","Non"))</f>
        <v>Non</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5" x14ac:dyDescent="0.35">
      <c r="A43" s="128" t="str">
        <f>'Page de garde'!A50</f>
        <v>0-00 + Testostérone</v>
      </c>
      <c r="B43" s="99"/>
      <c r="C43" s="87"/>
      <c r="D43" s="87"/>
      <c r="E43" s="82"/>
      <c r="F43" s="94" t="e">
        <f>HLOOKUP(A43,'pooled normalised values'!$B$74:$V$83,10,FALSE)</f>
        <v>#N/A</v>
      </c>
      <c r="G43" s="133" t="e">
        <f t="shared" si="11"/>
        <v>#N/A</v>
      </c>
      <c r="H43" s="124" t="str">
        <f>IF(VLOOKUP(A43,liste_groupe[],4,FALSE)="%",VLOOKUP(A43,liste_groupe[],3,FALSE)/100,IF(ISBLANK(VLOOKUP(A43,liste_groupe[],4,FALSE)),"Non","Non"))</f>
        <v>Non</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5" x14ac:dyDescent="0.35">
      <c r="A44" s="128" t="str">
        <f>'Page de garde'!A51</f>
        <v>0-00 + Testostérone</v>
      </c>
      <c r="B44" s="99"/>
      <c r="C44" s="87"/>
      <c r="D44" s="87"/>
      <c r="E44" s="82"/>
      <c r="F44" s="94" t="e">
        <f>HLOOKUP(A44,'pooled normalised values'!$B$74:$V$83,10,FALSE)</f>
        <v>#N/A</v>
      </c>
      <c r="G44" s="133" t="e">
        <f t="shared" si="11"/>
        <v>#N/A</v>
      </c>
      <c r="H44" s="124" t="str">
        <f>IF(VLOOKUP(A44,liste_groupe[],4,FALSE)="%",VLOOKUP(A44,liste_groupe[],3,FALSE)/100,IF(ISBLANK(VLOOKUP(A44,liste_groupe[],4,FALSE)),"Non","Non"))</f>
        <v>Non</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5" x14ac:dyDescent="0.35">
      <c r="A45" s="128" t="str">
        <f>'Page de garde'!A52</f>
        <v>0-00 + Testostérone</v>
      </c>
      <c r="B45" s="99"/>
      <c r="C45" s="87"/>
      <c r="D45" s="87"/>
      <c r="E45" s="82"/>
      <c r="F45" s="94" t="e">
        <f>HLOOKUP(A45,'pooled normalised values'!$B$74:$V$83,10,FALSE)</f>
        <v>#N/A</v>
      </c>
      <c r="G45" s="133" t="e">
        <f t="shared" si="11"/>
        <v>#N/A</v>
      </c>
      <c r="H45" s="124" t="str">
        <f>IF(VLOOKUP(A45,liste_groupe[],4,FALSE)="%",VLOOKUP(A45,liste_groupe[],3,FALSE)/100,IF(ISBLANK(VLOOKUP(A45,liste_groupe[],4,FALSE)),"Non","Non"))</f>
        <v>Non</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5" x14ac:dyDescent="0.35">
      <c r="A46" s="128" t="str">
        <f>'Page de garde'!A53</f>
        <v>0-00 + Testostérone</v>
      </c>
      <c r="B46" s="99"/>
      <c r="C46" s="87"/>
      <c r="D46" s="87"/>
      <c r="E46" s="82"/>
      <c r="F46" s="94" t="e">
        <f>HLOOKUP(A46,'pooled normalised values'!$B$74:$V$83,10,FALSE)</f>
        <v>#N/A</v>
      </c>
      <c r="G46" s="133" t="e">
        <f t="shared" si="11"/>
        <v>#N/A</v>
      </c>
      <c r="H46" s="124" t="str">
        <f>IF(VLOOKUP(A46,liste_groupe[],4,FALSE)="%",VLOOKUP(A46,liste_groupe[],3,FALSE)/100,IF(ISBLANK(VLOOKUP(A46,liste_groupe[],4,FALSE)),"Non","Non"))</f>
        <v>Non</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5" x14ac:dyDescent="0.35">
      <c r="A47" s="128" t="str">
        <f>'Page de garde'!A54</f>
        <v>0-00 + Testostérone</v>
      </c>
      <c r="B47" s="99"/>
      <c r="C47" s="87"/>
      <c r="D47" s="87"/>
      <c r="E47" s="82"/>
      <c r="F47" s="94" t="e">
        <f>HLOOKUP(A47,'pooled normalised values'!$B$74:$V$83,10,FALSE)</f>
        <v>#N/A</v>
      </c>
      <c r="G47" s="133" t="e">
        <f t="shared" si="11"/>
        <v>#N/A</v>
      </c>
      <c r="H47" s="124" t="str">
        <f>IF(VLOOKUP(A47,liste_groupe[],4,FALSE)="%",VLOOKUP(A47,liste_groupe[],3,FALSE)/100,IF(ISBLANK(VLOOKUP(A47,liste_groupe[],4,FALSE)),"Non","Non"))</f>
        <v>Non</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5" x14ac:dyDescent="0.35">
      <c r="A48" s="128" t="str">
        <f>'Page de garde'!A55</f>
        <v>0-00 + Testostérone</v>
      </c>
      <c r="B48" s="99"/>
      <c r="C48" s="87"/>
      <c r="D48" s="87"/>
      <c r="E48" s="82"/>
      <c r="F48" s="94" t="e">
        <f>HLOOKUP(A48,'pooled normalised values'!$B$74:$V$83,10,FALSE)</f>
        <v>#N/A</v>
      </c>
      <c r="G48" s="133" t="e">
        <f t="shared" si="11"/>
        <v>#N/A</v>
      </c>
      <c r="H48" s="124" t="str">
        <f>IF(VLOOKUP(A48,liste_groupe[],4,FALSE)="%",VLOOKUP(A48,liste_groupe[],3,FALSE)/100,IF(ISBLANK(VLOOKUP(A48,liste_groupe[],4,FALSE)),"Non","Non"))</f>
        <v>Non</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5" x14ac:dyDescent="0.35">
      <c r="A49" s="128" t="str">
        <f>'Page de garde'!A56</f>
        <v>0-00 + Testostérone</v>
      </c>
      <c r="B49" s="99"/>
      <c r="C49" s="87"/>
      <c r="D49" s="87"/>
      <c r="E49" s="82"/>
      <c r="F49" s="94" t="e">
        <f>HLOOKUP(A49,'pooled normalised values'!$B$74:$V$83,10,FALSE)</f>
        <v>#N/A</v>
      </c>
      <c r="G49" s="133" t="e">
        <f t="shared" si="11"/>
        <v>#N/A</v>
      </c>
      <c r="H49" s="124" t="str">
        <f>IF(VLOOKUP(A49,liste_groupe[],4,FALSE)="%",VLOOKUP(A49,liste_groupe[],3,FALSE)/100,IF(ISBLANK(VLOOKUP(A49,liste_groupe[],4,FALSE)),"Non","Non"))</f>
        <v>Non</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5" x14ac:dyDescent="0.35">
      <c r="A50" s="128" t="str">
        <f>'Page de garde'!A57</f>
        <v>0-00 + Testostérone</v>
      </c>
      <c r="B50" s="99"/>
      <c r="C50" s="87"/>
      <c r="D50" s="87"/>
      <c r="E50" s="82"/>
      <c r="F50" s="94" t="e">
        <f>HLOOKUP(A50,'pooled normalised values'!$B$74:$V$83,10,FALSE)</f>
        <v>#N/A</v>
      </c>
      <c r="G50" s="133" t="e">
        <f t="shared" si="11"/>
        <v>#N/A</v>
      </c>
      <c r="H50" s="124" t="str">
        <f>IF(VLOOKUP(A50,liste_groupe[],4,FALSE)="%",VLOOKUP(A50,liste_groupe[],3,FALSE)/100,IF(ISBLANK(VLOOKUP(A50,liste_groupe[],4,FALSE)),"Non","Non"))</f>
        <v>Non</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5" x14ac:dyDescent="0.35">
      <c r="A51" s="128" t="str">
        <f>'Page de garde'!A58</f>
        <v>0-00 + Testostérone</v>
      </c>
      <c r="B51" s="99"/>
      <c r="C51" s="87"/>
      <c r="D51" s="87"/>
      <c r="E51" s="82"/>
      <c r="F51" s="94" t="e">
        <f>HLOOKUP(A51,'pooled normalised values'!$B$74:$V$83,10,FALSE)</f>
        <v>#N/A</v>
      </c>
      <c r="G51" s="133" t="e">
        <f t="shared" si="6"/>
        <v>#N/A</v>
      </c>
      <c r="H51" s="124" t="str">
        <f>IF(VLOOKUP(A51,liste_groupe[],4,FALSE)="%",VLOOKUP(A51,liste_groupe[],3,FALSE)/100,IF(ISBLANK(VLOOKUP(A51,liste_groupe[],4,FALSE)),"Non","Non"))</f>
        <v>Non</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1" customWidth="1"/>
    <col min="2" max="2" width="46.26953125" style="181" customWidth="1"/>
    <col min="3" max="3" width="15.26953125" style="181" customWidth="1"/>
    <col min="4" max="4" width="24.7265625" style="181" customWidth="1"/>
    <col min="5" max="5" width="24.453125" style="181" customWidth="1"/>
    <col min="6" max="6" width="23.1796875" style="181" customWidth="1"/>
    <col min="7" max="7" width="21.26953125" style="181" customWidth="1"/>
    <col min="8" max="16384" width="11.453125" style="181"/>
  </cols>
  <sheetData>
    <row r="1" spans="1:7" ht="29.5" thickBot="1" x14ac:dyDescent="0.4">
      <c r="A1" s="186" t="s">
        <v>132</v>
      </c>
      <c r="B1" s="187" t="s">
        <v>133</v>
      </c>
      <c r="C1" s="187" t="s">
        <v>139</v>
      </c>
      <c r="D1" s="187" t="s">
        <v>138</v>
      </c>
      <c r="E1" s="187" t="s">
        <v>140</v>
      </c>
      <c r="F1" s="188" t="s">
        <v>141</v>
      </c>
      <c r="G1" s="189" t="s">
        <v>142</v>
      </c>
    </row>
    <row r="2" spans="1:7" ht="58" x14ac:dyDescent="0.35">
      <c r="A2" s="182" t="s">
        <v>134</v>
      </c>
      <c r="B2" s="183" t="s">
        <v>135</v>
      </c>
      <c r="C2" s="183" t="s">
        <v>136</v>
      </c>
      <c r="D2" s="183" t="s">
        <v>143</v>
      </c>
      <c r="E2" s="183" t="s">
        <v>137</v>
      </c>
      <c r="F2" s="184" t="s">
        <v>136</v>
      </c>
      <c r="G2" s="185"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0.14437035012603847</v>
      </c>
      <c r="D2" s="17" t="s">
        <v>9</v>
      </c>
      <c r="E2" s="18"/>
      <c r="F2" s="19" t="str">
        <f>'pooled normalised values'!J74</f>
        <v>AN-0.36mg/L</v>
      </c>
      <c r="G2" s="19" t="str">
        <f>'pooled normalised values'!K74</f>
        <v>AN-0.73mg/L</v>
      </c>
      <c r="H2" s="19" t="str">
        <f>'pooled normalised values'!L74</f>
        <v>AN-1.45mg/L</v>
      </c>
      <c r="I2" s="19" t="str">
        <f>'pooled normalised values'!M74</f>
        <v>AN-2.9mg/L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AN-0,18mg/L + Testostérone</v>
      </c>
      <c r="W2" s="19" t="str">
        <f>'pooled normalised values'!S74</f>
        <v>AN-0,36mg/L + Testostérone</v>
      </c>
      <c r="X2" s="19" t="str">
        <f>'pooled normalised values'!T74</f>
        <v>AN-0,73mg/L + Testostérone</v>
      </c>
      <c r="Y2" s="19" t="str">
        <f>'pooled normalised values'!U74</f>
        <v>AN-1,45mg/L + Testostérone</v>
      </c>
      <c r="Z2" s="19" t="str">
        <f>'pooled normalised values'!V74</f>
        <v>AN-2,9mg/L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0.12518409784880113</v>
      </c>
      <c r="G3" s="19">
        <f>HLOOKUP(G2,'pooled normalised values'!C74:W83,2,FALSE)</f>
        <v>0.10881329717464004</v>
      </c>
      <c r="H3" s="19">
        <f>HLOOKUP(H2,'pooled normalised values'!C74:X83,2,FALSE)</f>
        <v>0.14996401904887849</v>
      </c>
      <c r="I3" s="19">
        <f>HLOOKUP(I2,'pooled normalised values'!D74:Y83,2,FALSE)</f>
        <v>0.15966077279057186</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0.14235228839311967</v>
      </c>
      <c r="W3" s="19">
        <f>HLOOKUP(W2,'pooled normalised values'!N74:AM83,2,FALSE)</f>
        <v>0.14076658106956716</v>
      </c>
      <c r="X3" s="19">
        <f>HLOOKUP(X2,'pooled normalised values'!N74:AN83,2,FALSE)</f>
        <v>0.14847130661429359</v>
      </c>
      <c r="Y3" s="19">
        <f>HLOOKUP(Y2,'pooled normalised values'!N74:AO83,2,FALSE)</f>
        <v>0.12147198608353409</v>
      </c>
      <c r="Z3" s="19">
        <f>HLOOKUP(Z2,'pooled normalised values'!N74:AP83,2,FALSE)</f>
        <v>0.14844549456085807</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0.99999999999999967</v>
      </c>
      <c r="D4" s="21" t="s">
        <v>2</v>
      </c>
      <c r="E4" s="22"/>
      <c r="F4" s="19">
        <f>HLOOKUP(F2,'pooled normalised values'!B74:V83,3,FALSE)</f>
        <v>1.5298896949720323E-2</v>
      </c>
      <c r="G4" s="19">
        <f>HLOOKUP(G2,'pooled normalised values'!C74:W83,3,FALSE)</f>
        <v>1.5390019568728E-2</v>
      </c>
      <c r="H4" s="19">
        <f>HLOOKUP(H2,'pooled normalised values'!C74:X83,3,FALSE)</f>
        <v>2.0349812818795519E-2</v>
      </c>
      <c r="I4" s="19">
        <f>HLOOKUP(I2,'pooled normalised values'!D74:Y83,3,FALSE)</f>
        <v>3.2326290832309187E-2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2.3672902698199692E-2</v>
      </c>
      <c r="W4" s="19">
        <f>HLOOKUP(W2,'pooled normalised values'!N74:AM83,3,FALSE)</f>
        <v>1.9565377578026708E-2</v>
      </c>
      <c r="X4" s="19">
        <f>HLOOKUP(X2,'pooled normalised values'!N74:AN83,3,FALSE)</f>
        <v>2.6149167643992277E-2</v>
      </c>
      <c r="Y4" s="19">
        <f>HLOOKUP(Y2,'pooled normalised values'!N74:AO83,3,FALSE)</f>
        <v>1.9538513300581737E-2</v>
      </c>
      <c r="Z4" s="19">
        <f>HLOOKUP(Z2,'pooled normalised values'!N74:AP83,3,FALSE)</f>
        <v>2.2305918157464157E-2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2.3361172704334798</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v>
      </c>
      <c r="W5" s="19" t="str">
        <f>HLOOKUP(W2,'pooled normalised values'!N74:AM83,10,FALSE)</f>
        <v>***</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0.14136154471300608</v>
      </c>
      <c r="D6" s="21" t="s">
        <v>12</v>
      </c>
      <c r="E6" s="24">
        <f>$B$2</f>
        <v>0.14437035012603847</v>
      </c>
      <c r="F6" s="24">
        <f>$B$2</f>
        <v>0.14437035012603847</v>
      </c>
      <c r="G6" s="24">
        <f t="shared" ref="G6:R6" si="0">$B$2</f>
        <v>0.14437035012603847</v>
      </c>
      <c r="H6" s="24">
        <f t="shared" si="0"/>
        <v>0.14437035012603847</v>
      </c>
      <c r="I6" s="24">
        <f t="shared" si="0"/>
        <v>0.14437035012603847</v>
      </c>
      <c r="J6" s="24">
        <f t="shared" si="0"/>
        <v>0.14437035012603847</v>
      </c>
      <c r="K6" s="24">
        <f t="shared" si="0"/>
        <v>0.14437035012603847</v>
      </c>
      <c r="L6" s="24">
        <f t="shared" si="0"/>
        <v>0.14437035012603847</v>
      </c>
      <c r="M6" s="24">
        <f t="shared" si="0"/>
        <v>0.14437035012603847</v>
      </c>
      <c r="N6" s="24">
        <f t="shared" si="0"/>
        <v>0.14437035012603847</v>
      </c>
      <c r="O6" s="24">
        <f t="shared" si="0"/>
        <v>0.14437035012603847</v>
      </c>
      <c r="P6" s="24">
        <f t="shared" si="0"/>
        <v>0.14437035012603847</v>
      </c>
      <c r="Q6" s="24">
        <f t="shared" si="0"/>
        <v>0.14437035012603847</v>
      </c>
      <c r="R6" s="24">
        <f t="shared" si="0"/>
        <v>0.14437035012603847</v>
      </c>
      <c r="S6" s="24">
        <f>$B$2</f>
        <v>0.14437035012603847</v>
      </c>
      <c r="T6" s="24">
        <f>$B$2</f>
        <v>0.14437035012603847</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0.99999999999999967</v>
      </c>
      <c r="V7" s="25">
        <f t="shared" si="1"/>
        <v>0.99999999999999967</v>
      </c>
      <c r="W7" s="25">
        <f t="shared" si="1"/>
        <v>0.99999999999999967</v>
      </c>
      <c r="X7" s="25">
        <f t="shared" si="1"/>
        <v>0.99999999999999967</v>
      </c>
      <c r="Y7" s="25">
        <f t="shared" si="1"/>
        <v>0.99999999999999967</v>
      </c>
      <c r="Z7" s="25">
        <f t="shared" si="1"/>
        <v>0.99999999999999967</v>
      </c>
      <c r="AA7" s="25">
        <f t="shared" si="1"/>
        <v>0.99999999999999967</v>
      </c>
      <c r="AB7" s="25">
        <f t="shared" si="1"/>
        <v>0.99999999999999967</v>
      </c>
      <c r="AC7" s="25">
        <f t="shared" si="1"/>
        <v>0.99999999999999967</v>
      </c>
      <c r="AD7" s="25">
        <f t="shared" si="1"/>
        <v>0.99999999999999967</v>
      </c>
      <c r="AE7" s="25">
        <f t="shared" si="1"/>
        <v>0.99999999999999967</v>
      </c>
      <c r="AF7" s="25">
        <f t="shared" si="1"/>
        <v>0.99999999999999967</v>
      </c>
      <c r="AG7" s="25">
        <f t="shared" si="1"/>
        <v>0.99999999999999967</v>
      </c>
      <c r="AH7" s="25">
        <f t="shared" si="1"/>
        <v>0.99999999999999967</v>
      </c>
      <c r="AI7" s="25">
        <f t="shared" si="1"/>
        <v>0.99999999999999967</v>
      </c>
      <c r="AJ7" s="25">
        <f t="shared" si="1"/>
        <v>0.99999999999999967</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0.14136154471300608</v>
      </c>
      <c r="V8" s="25">
        <f t="shared" ref="V8:AJ8" si="2">$B$6</f>
        <v>0.14136154471300608</v>
      </c>
      <c r="W8" s="25">
        <f t="shared" si="2"/>
        <v>0.14136154471300608</v>
      </c>
      <c r="X8" s="25">
        <f t="shared" si="2"/>
        <v>0.14136154471300608</v>
      </c>
      <c r="Y8" s="25">
        <f t="shared" si="2"/>
        <v>0.14136154471300608</v>
      </c>
      <c r="Z8" s="25">
        <f t="shared" si="2"/>
        <v>0.14136154471300608</v>
      </c>
      <c r="AA8" s="25">
        <f t="shared" si="2"/>
        <v>0.14136154471300608</v>
      </c>
      <c r="AB8" s="25">
        <f t="shared" si="2"/>
        <v>0.14136154471300608</v>
      </c>
      <c r="AC8" s="25">
        <f t="shared" si="2"/>
        <v>0.14136154471300608</v>
      </c>
      <c r="AD8" s="25">
        <f t="shared" si="2"/>
        <v>0.14136154471300608</v>
      </c>
      <c r="AE8" s="25">
        <f t="shared" si="2"/>
        <v>0.14136154471300608</v>
      </c>
      <c r="AF8" s="25">
        <f t="shared" si="2"/>
        <v>0.14136154471300608</v>
      </c>
      <c r="AG8" s="25">
        <f t="shared" si="2"/>
        <v>0.14136154471300608</v>
      </c>
      <c r="AH8" s="25">
        <f t="shared" si="2"/>
        <v>0.14136154471300608</v>
      </c>
      <c r="AI8" s="25">
        <f t="shared" si="2"/>
        <v>0.14136154471300608</v>
      </c>
      <c r="AJ8" s="25">
        <f t="shared" si="2"/>
        <v>0.14136154471300608</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2.1947557257204737</v>
      </c>
      <c r="V9" s="25">
        <f>$B$5-V8</f>
        <v>2.1947557257204737</v>
      </c>
      <c r="W9" s="25">
        <f t="shared" ref="W9:AH9" si="4">$B$5-W8</f>
        <v>2.1947557257204737</v>
      </c>
      <c r="X9" s="25">
        <f t="shared" si="4"/>
        <v>2.1947557257204737</v>
      </c>
      <c r="Y9" s="25">
        <f t="shared" si="4"/>
        <v>2.1947557257204737</v>
      </c>
      <c r="Z9" s="25">
        <f t="shared" si="4"/>
        <v>2.1947557257204737</v>
      </c>
      <c r="AA9" s="25">
        <f t="shared" si="4"/>
        <v>2.1947557257204737</v>
      </c>
      <c r="AB9" s="25">
        <f t="shared" si="4"/>
        <v>2.1947557257204737</v>
      </c>
      <c r="AC9" s="25">
        <f t="shared" si="4"/>
        <v>2.1947557257204737</v>
      </c>
      <c r="AD9" s="25">
        <f t="shared" si="4"/>
        <v>2.1947557257204737</v>
      </c>
      <c r="AE9" s="25">
        <f t="shared" si="4"/>
        <v>2.1947557257204737</v>
      </c>
      <c r="AF9" s="25">
        <f t="shared" si="4"/>
        <v>2.1947557257204737</v>
      </c>
      <c r="AG9" s="25">
        <f t="shared" si="4"/>
        <v>2.1947557257204737</v>
      </c>
      <c r="AH9" s="25">
        <f t="shared" si="4"/>
        <v>2.1947557257204737</v>
      </c>
      <c r="AI9" s="25">
        <f>$B$5-AI8</f>
        <v>2.1947557257204737</v>
      </c>
      <c r="AJ9" s="25">
        <f>$B$5-AJ8</f>
        <v>2.1947557257204737</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0.30524427427952627</v>
      </c>
      <c r="V10" s="25">
        <f>2.5-V9</f>
        <v>0.30524427427952627</v>
      </c>
      <c r="W10" s="25">
        <f t="shared" ref="W10:AH10" si="6">2.5-W9</f>
        <v>0.30524427427952627</v>
      </c>
      <c r="X10" s="25">
        <f t="shared" si="6"/>
        <v>0.30524427427952627</v>
      </c>
      <c r="Y10" s="25">
        <f t="shared" si="6"/>
        <v>0.30524427427952627</v>
      </c>
      <c r="Z10" s="25">
        <f t="shared" si="6"/>
        <v>0.30524427427952627</v>
      </c>
      <c r="AA10" s="25">
        <f t="shared" si="6"/>
        <v>0.30524427427952627</v>
      </c>
      <c r="AB10" s="25">
        <f t="shared" si="6"/>
        <v>0.30524427427952627</v>
      </c>
      <c r="AC10" s="25">
        <f t="shared" si="6"/>
        <v>0.30524427427952627</v>
      </c>
      <c r="AD10" s="25">
        <f t="shared" si="6"/>
        <v>0.30524427427952627</v>
      </c>
      <c r="AE10" s="25">
        <f t="shared" si="6"/>
        <v>0.30524427427952627</v>
      </c>
      <c r="AF10" s="25">
        <f t="shared" si="6"/>
        <v>0.30524427427952627</v>
      </c>
      <c r="AG10" s="25">
        <f t="shared" si="6"/>
        <v>0.30524427427952627</v>
      </c>
      <c r="AH10" s="25">
        <f t="shared" si="6"/>
        <v>0.30524427427952627</v>
      </c>
      <c r="AI10" s="25">
        <f>2.5-AI9</f>
        <v>0.30524427427952627</v>
      </c>
      <c r="AJ10" s="25">
        <f>2.5-AJ9</f>
        <v>0.30524427427952627</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0.14437035012603847</v>
      </c>
      <c r="D2" s="17" t="s">
        <v>9</v>
      </c>
      <c r="E2" s="18"/>
      <c r="F2" s="19" t="str">
        <f>'pooled normalised values'!J74</f>
        <v>AN-0.36mg/L</v>
      </c>
      <c r="G2" s="18"/>
      <c r="H2" s="20"/>
      <c r="I2" s="19" t="str">
        <f>'pooled normalised values'!R74</f>
        <v>AN-0,18mg/L + Testostérone</v>
      </c>
      <c r="J2" s="20"/>
      <c r="K2" s="17" t="s">
        <v>9</v>
      </c>
    </row>
    <row r="3" spans="1:11" x14ac:dyDescent="0.25">
      <c r="A3" s="17" t="s">
        <v>71</v>
      </c>
      <c r="B3" s="63">
        <f>'summary results'!E6</f>
        <v>0</v>
      </c>
      <c r="D3" s="21" t="s">
        <v>10</v>
      </c>
      <c r="E3" s="22"/>
      <c r="F3" s="19">
        <f>HLOOKUP(F2,'pooled normalised values'!B74:V83,2,FALSE)</f>
        <v>0.12518409784880113</v>
      </c>
      <c r="G3" s="22"/>
      <c r="H3" s="20"/>
      <c r="I3" s="19">
        <f>HLOOKUP(I2,'pooled normalised values'!N74:AL83,2,FALSE)</f>
        <v>0.14235228839311967</v>
      </c>
      <c r="J3" s="20"/>
      <c r="K3" s="21" t="s">
        <v>10</v>
      </c>
    </row>
    <row r="4" spans="1:11" x14ac:dyDescent="0.25">
      <c r="A4" s="17" t="s">
        <v>72</v>
      </c>
      <c r="B4" s="63">
        <f>'pooled normalised values'!O75</f>
        <v>0.99999999999999967</v>
      </c>
      <c r="D4" s="21" t="s">
        <v>2</v>
      </c>
      <c r="E4" s="22"/>
      <c r="F4" s="19">
        <f>HLOOKUP(F2,'pooled normalised values'!B74:V83,3,FALSE)</f>
        <v>1.5298896949720323E-2</v>
      </c>
      <c r="G4" s="22"/>
      <c r="H4" s="20"/>
      <c r="I4" s="19">
        <f>HLOOKUP(I2,'pooled normalised values'!N74:AL83,3,FALSE)</f>
        <v>2.3672902698199692E-2</v>
      </c>
      <c r="J4" s="20"/>
      <c r="K4" s="21" t="s">
        <v>2</v>
      </c>
    </row>
    <row r="5" spans="1:11" x14ac:dyDescent="0.25">
      <c r="A5" s="17" t="s">
        <v>73</v>
      </c>
      <c r="B5" s="63">
        <f>'pooled normalised values'!P75</f>
        <v>2.3361172704334798</v>
      </c>
      <c r="D5" s="23" t="s">
        <v>11</v>
      </c>
      <c r="E5" s="22"/>
      <c r="F5" s="19" t="str">
        <f>HLOOKUP(F2,'pooled normalised values'!B74:V83,10,FALSE)</f>
        <v>ns</v>
      </c>
      <c r="G5" s="22"/>
      <c r="H5" s="20"/>
      <c r="I5" s="19" t="str">
        <f>HLOOKUP(I2,'pooled normalised values'!N74:AL83,10,FALSE)</f>
        <v>***</v>
      </c>
      <c r="J5" s="20"/>
      <c r="K5" s="23" t="s">
        <v>11</v>
      </c>
    </row>
    <row r="6" spans="1:11" x14ac:dyDescent="0.25">
      <c r="A6" s="17" t="s">
        <v>74</v>
      </c>
      <c r="B6" s="63">
        <f>'pooled normalised values'!Q75</f>
        <v>0.14136154471300608</v>
      </c>
      <c r="D6" s="21" t="s">
        <v>12</v>
      </c>
      <c r="E6" s="24">
        <f>$B$2</f>
        <v>0.14437035012603847</v>
      </c>
      <c r="F6" s="24">
        <f>$B$2</f>
        <v>0.14437035012603847</v>
      </c>
      <c r="G6" s="24">
        <f>$B$2</f>
        <v>0.14437035012603847</v>
      </c>
      <c r="H6" s="25"/>
      <c r="I6" s="25"/>
      <c r="J6" s="25"/>
      <c r="K6" s="21" t="s">
        <v>12</v>
      </c>
    </row>
    <row r="7" spans="1:11" x14ac:dyDescent="0.25">
      <c r="B7" s="26"/>
      <c r="D7" s="26" t="s">
        <v>13</v>
      </c>
      <c r="E7" s="24"/>
      <c r="F7" s="24"/>
      <c r="G7" s="27"/>
      <c r="H7" s="25">
        <f t="shared" ref="H7:J7" si="0">$B$4</f>
        <v>0.99999999999999967</v>
      </c>
      <c r="I7" s="25">
        <f t="shared" si="0"/>
        <v>0.99999999999999967</v>
      </c>
      <c r="J7" s="25">
        <f t="shared" si="0"/>
        <v>0.99999999999999967</v>
      </c>
      <c r="K7" s="26" t="s">
        <v>13</v>
      </c>
    </row>
    <row r="8" spans="1:11" x14ac:dyDescent="0.25">
      <c r="D8" s="28" t="s">
        <v>14</v>
      </c>
      <c r="E8" s="24">
        <v>0</v>
      </c>
      <c r="F8" s="24">
        <v>0</v>
      </c>
      <c r="G8" s="27">
        <v>0</v>
      </c>
      <c r="H8" s="25">
        <f>$B$6</f>
        <v>0.14136154471300608</v>
      </c>
      <c r="I8" s="25">
        <f t="shared" ref="I8:J8" si="1">$B$6</f>
        <v>0.14136154471300608</v>
      </c>
      <c r="J8" s="25">
        <f t="shared" si="1"/>
        <v>0.14136154471300608</v>
      </c>
      <c r="K8" s="28" t="s">
        <v>14</v>
      </c>
    </row>
    <row r="9" spans="1:11" x14ac:dyDescent="0.25">
      <c r="D9" s="28" t="s">
        <v>15</v>
      </c>
      <c r="E9" s="29">
        <f>$B$3-E8</f>
        <v>0</v>
      </c>
      <c r="F9" s="29">
        <f>$B$3-F8</f>
        <v>0</v>
      </c>
      <c r="G9" s="29">
        <f>$B$3-G8</f>
        <v>0</v>
      </c>
      <c r="H9" s="25">
        <f>$B$5-H8</f>
        <v>2.1947557257204737</v>
      </c>
      <c r="I9" s="25">
        <f>$B$5-I8</f>
        <v>2.1947557257204737</v>
      </c>
      <c r="J9" s="25">
        <f>$B$5-J8</f>
        <v>2.1947557257204737</v>
      </c>
      <c r="K9" s="28" t="s">
        <v>15</v>
      </c>
    </row>
    <row r="10" spans="1:11" x14ac:dyDescent="0.25">
      <c r="D10" s="28" t="s">
        <v>16</v>
      </c>
      <c r="E10" s="27">
        <f t="shared" ref="E10:J10" si="2">2.5-E9</f>
        <v>2.5</v>
      </c>
      <c r="F10" s="27">
        <f t="shared" si="2"/>
        <v>2.5</v>
      </c>
      <c r="G10" s="27">
        <f t="shared" si="2"/>
        <v>2.5</v>
      </c>
      <c r="H10" s="25">
        <f t="shared" si="2"/>
        <v>0.30524427427952627</v>
      </c>
      <c r="I10" s="25">
        <f t="shared" si="2"/>
        <v>0.30524427427952627</v>
      </c>
      <c r="J10" s="25">
        <f t="shared" si="2"/>
        <v>0.30524427427952627</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34" t="s">
        <v>99</v>
      </c>
      <c r="R1" s="234"/>
      <c r="S1" s="234"/>
      <c r="U1" s="234" t="s">
        <v>98</v>
      </c>
      <c r="V1" s="234"/>
      <c r="W1" s="234"/>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CD8896-7CCF-4359-A576-37A0D0D01589}"/>
</file>

<file path=customXml/itemProps2.xml><?xml version="1.0" encoding="utf-8"?>
<ds:datastoreItem xmlns:ds="http://schemas.openxmlformats.org/officeDocument/2006/customXml" ds:itemID="{AAF43A41-5667-48C1-86C8-A21CFF1413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2022-10-05T14:02:40Z</dcterms:modified>
</cp:coreProperties>
</file>