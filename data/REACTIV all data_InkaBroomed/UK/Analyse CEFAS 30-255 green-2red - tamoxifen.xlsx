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filterPrivacy="1" hidePivotFieldList="1" defaultThemeVersion="124226"/>
  <xr:revisionPtr revIDLastSave="0" documentId="13_ncr:1_{89DF1964-3949-443E-BD14-ADF8A136AD7F}" xr6:coauthVersionLast="47" xr6:coauthVersionMax="47" xr10:uidLastSave="{00000000-0000-0000-0000-000000000000}"/>
  <bookViews>
    <workbookView xWindow="-110" yWindow="-110" windowWidth="19420" windowHeight="10420" firstSheet="8"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8" r:id="rId20"/>
    <pivotCache cacheId="9" r:id="rId21"/>
    <pivotCache cacheId="10" r:id="rId22"/>
    <pivotCache cacheId="11" r:id="rId23"/>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U32" i="33"/>
  <c r="U42" i="4" s="1"/>
  <c r="P31" i="33"/>
  <c r="P41" i="4" s="1"/>
  <c r="E30" i="33"/>
  <c r="E40" i="4" s="1"/>
  <c r="S29" i="33"/>
  <c r="S39"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B35" i="33" s="1"/>
  <c r="B45" i="4" s="1"/>
  <c r="L23" i="33"/>
  <c r="J23" i="33"/>
  <c r="I23" i="33"/>
  <c r="H23" i="33"/>
  <c r="G23" i="33"/>
  <c r="F23" i="33"/>
  <c r="E23" i="33"/>
  <c r="D23" i="33"/>
  <c r="C23" i="33"/>
  <c r="B23" i="33"/>
  <c r="A22" i="33"/>
  <c r="H22" i="33"/>
  <c r="G45" i="33"/>
  <c r="F27" i="33"/>
  <c r="F52" i="33" s="1"/>
  <c r="E45" i="33"/>
  <c r="D22" i="33"/>
  <c r="C45" i="33"/>
  <c r="B45" i="33"/>
  <c r="F33" i="33" l="1"/>
  <c r="F43" i="4" s="1"/>
  <c r="G31" i="33"/>
  <c r="G41" i="4" s="1"/>
  <c r="M35" i="33"/>
  <c r="M45" i="4" s="1"/>
  <c r="O30" i="33"/>
  <c r="O40" i="4" s="1"/>
  <c r="P29" i="33"/>
  <c r="P39" i="4" s="1"/>
  <c r="T28" i="33"/>
  <c r="T38" i="4" s="1"/>
  <c r="R31" i="33"/>
  <c r="R41" i="4" s="1"/>
  <c r="S30" i="33"/>
  <c r="S40" i="4" s="1"/>
  <c r="V31" i="33"/>
  <c r="V41" i="4" s="1"/>
  <c r="S33" i="33"/>
  <c r="S43" i="4" s="1"/>
  <c r="P35" i="33"/>
  <c r="P45" i="4" s="1"/>
  <c r="T29" i="33"/>
  <c r="T39" i="4" s="1"/>
  <c r="S32" i="33"/>
  <c r="S42" i="4" s="1"/>
  <c r="P34" i="33"/>
  <c r="P44" i="4" s="1"/>
  <c r="T35" i="33"/>
  <c r="T45" i="4" s="1"/>
  <c r="P28" i="33"/>
  <c r="T34" i="33"/>
  <c r="T44" i="4" s="1"/>
  <c r="Q28" i="33"/>
  <c r="U28" i="33"/>
  <c r="U38" i="4" s="1"/>
  <c r="Q29" i="33"/>
  <c r="Q39" i="4" s="1"/>
  <c r="U29" i="33"/>
  <c r="U39" i="4" s="1"/>
  <c r="P30" i="33"/>
  <c r="T30" i="33"/>
  <c r="M31" i="33"/>
  <c r="M41" i="4" s="1"/>
  <c r="S31" i="33"/>
  <c r="S41" i="4" s="1"/>
  <c r="P32" i="33"/>
  <c r="P42" i="4" s="1"/>
  <c r="T32" i="33"/>
  <c r="T42" i="4" s="1"/>
  <c r="P33" i="33"/>
  <c r="P43" i="4" s="1"/>
  <c r="T33" i="33"/>
  <c r="T43" i="4" s="1"/>
  <c r="Q34" i="33"/>
  <c r="Q44" i="4" s="1"/>
  <c r="U34" i="33"/>
  <c r="U44" i="4" s="1"/>
  <c r="Q35" i="33"/>
  <c r="Q45" i="4" s="1"/>
  <c r="U35" i="33"/>
  <c r="U45" i="4" s="1"/>
  <c r="R28" i="33"/>
  <c r="V28" i="33"/>
  <c r="V38" i="4" s="1"/>
  <c r="R29" i="33"/>
  <c r="R39" i="4" s="1"/>
  <c r="V29" i="33"/>
  <c r="V39" i="4" s="1"/>
  <c r="Q30" i="33"/>
  <c r="Q40" i="4" s="1"/>
  <c r="U30" i="33"/>
  <c r="U40" i="4" s="1"/>
  <c r="T31" i="33"/>
  <c r="T41" i="4" s="1"/>
  <c r="Q32" i="33"/>
  <c r="Q42" i="4" s="1"/>
  <c r="Q33" i="33"/>
  <c r="Q43" i="4" s="1"/>
  <c r="U33" i="33"/>
  <c r="U43" i="4" s="1"/>
  <c r="R34" i="33"/>
  <c r="R44" i="4" s="1"/>
  <c r="V34" i="33"/>
  <c r="V44" i="4" s="1"/>
  <c r="R35" i="33"/>
  <c r="R45" i="4" s="1"/>
  <c r="V35" i="33"/>
  <c r="V45" i="4" s="1"/>
  <c r="S28" i="33"/>
  <c r="S38" i="4" s="1"/>
  <c r="R30" i="33"/>
  <c r="R40" i="4" s="1"/>
  <c r="V30" i="33"/>
  <c r="V40" i="4" s="1"/>
  <c r="Q31" i="33"/>
  <c r="Q41" i="4" s="1"/>
  <c r="U31" i="33"/>
  <c r="U41" i="4" s="1"/>
  <c r="R32" i="33"/>
  <c r="R42" i="4" s="1"/>
  <c r="V32" i="33"/>
  <c r="V42" i="4" s="1"/>
  <c r="R33" i="33"/>
  <c r="R43" i="4" s="1"/>
  <c r="V33" i="33"/>
  <c r="V43" i="4" s="1"/>
  <c r="S34" i="33"/>
  <c r="S44" i="4" s="1"/>
  <c r="S35" i="33"/>
  <c r="S45" i="4" s="1"/>
  <c r="O28" i="33"/>
  <c r="O38" i="4" s="1"/>
  <c r="O29" i="33"/>
  <c r="O39" i="4" s="1"/>
  <c r="O36" i="33"/>
  <c r="O46" i="4" s="1"/>
  <c r="O37" i="33"/>
  <c r="O47" i="4" s="1"/>
  <c r="O38" i="33"/>
  <c r="O48" i="4" s="1"/>
  <c r="O39" i="33"/>
  <c r="O49" i="4" s="1"/>
  <c r="O40" i="33"/>
  <c r="O50" i="4" s="1"/>
  <c r="O41" i="33"/>
  <c r="O51" i="4" s="1"/>
  <c r="O42" i="33"/>
  <c r="O52" i="4" s="1"/>
  <c r="O43" i="33"/>
  <c r="O53" i="4" s="1"/>
  <c r="E31" i="33"/>
  <c r="E41" i="4" s="1"/>
  <c r="O31" i="33"/>
  <c r="O32" i="33"/>
  <c r="O42" i="4" s="1"/>
  <c r="I28" i="33"/>
  <c r="I29" i="33"/>
  <c r="I39" i="4" s="1"/>
  <c r="I30" i="33"/>
  <c r="I40" i="4" s="1"/>
  <c r="O33" i="33"/>
  <c r="O43" i="4" s="1"/>
  <c r="O34" i="33"/>
  <c r="O44" i="4" s="1"/>
  <c r="E28" i="33"/>
  <c r="E29" i="33"/>
  <c r="E39" i="4" s="1"/>
  <c r="M28" i="33"/>
  <c r="M38" i="4" s="1"/>
  <c r="B29" i="33"/>
  <c r="B39" i="4" s="1"/>
  <c r="M29" i="33"/>
  <c r="M39" i="4" s="1"/>
  <c r="B30" i="33"/>
  <c r="B40" i="4" s="1"/>
  <c r="M30" i="33"/>
  <c r="M40" i="4" s="1"/>
  <c r="B31" i="33"/>
  <c r="B41" i="4" s="1"/>
  <c r="I31" i="33"/>
  <c r="I41" i="4" s="1"/>
  <c r="O35" i="33"/>
  <c r="O45" i="4" s="1"/>
  <c r="B28" i="33"/>
  <c r="B38" i="4" s="1"/>
  <c r="J28" i="33"/>
  <c r="J38" i="4" s="1"/>
  <c r="J29" i="33"/>
  <c r="J39" i="4" s="1"/>
  <c r="F30" i="33"/>
  <c r="F40" i="4" s="1"/>
  <c r="J31" i="33"/>
  <c r="J41" i="4" s="1"/>
  <c r="J32" i="33"/>
  <c r="J42" i="4" s="1"/>
  <c r="J33" i="33"/>
  <c r="J43" i="4" s="1"/>
  <c r="J34" i="33"/>
  <c r="J44" i="4" s="1"/>
  <c r="G35" i="33"/>
  <c r="G45" i="4" s="1"/>
  <c r="C28" i="33"/>
  <c r="C38" i="4" s="1"/>
  <c r="G28" i="33"/>
  <c r="G38" i="4" s="1"/>
  <c r="K28" i="33"/>
  <c r="C29" i="33"/>
  <c r="C39" i="4" s="1"/>
  <c r="G29" i="33"/>
  <c r="G39" i="4" s="1"/>
  <c r="K29" i="33"/>
  <c r="K39" i="4" s="1"/>
  <c r="C30" i="33"/>
  <c r="C40" i="4" s="1"/>
  <c r="G30" i="33"/>
  <c r="G40" i="4" s="1"/>
  <c r="K30" i="33"/>
  <c r="K40" i="4" s="1"/>
  <c r="C31" i="33"/>
  <c r="C41" i="4" s="1"/>
  <c r="K31" i="33"/>
  <c r="K41" i="4" s="1"/>
  <c r="C32" i="33"/>
  <c r="C42" i="4" s="1"/>
  <c r="G32" i="33"/>
  <c r="G42" i="4" s="1"/>
  <c r="K32" i="33"/>
  <c r="K42" i="4" s="1"/>
  <c r="C33" i="33"/>
  <c r="C43" i="4" s="1"/>
  <c r="G33" i="33"/>
  <c r="G43" i="4" s="1"/>
  <c r="K33" i="33"/>
  <c r="K43" i="4" s="1"/>
  <c r="C34" i="33"/>
  <c r="C44" i="4" s="1"/>
  <c r="G34" i="33"/>
  <c r="G44" i="4" s="1"/>
  <c r="K34" i="33"/>
  <c r="K44" i="4" s="1"/>
  <c r="D35" i="33"/>
  <c r="D45" i="4" s="1"/>
  <c r="H35" i="33"/>
  <c r="H45" i="4" s="1"/>
  <c r="L35" i="33"/>
  <c r="L45" i="4" s="1"/>
  <c r="F28" i="33"/>
  <c r="F38" i="4" s="1"/>
  <c r="F29" i="33"/>
  <c r="F39" i="4" s="1"/>
  <c r="J30" i="33"/>
  <c r="J40" i="4" s="1"/>
  <c r="F31" i="33"/>
  <c r="F41" i="4" s="1"/>
  <c r="F32" i="33"/>
  <c r="F42" i="4" s="1"/>
  <c r="F34" i="33"/>
  <c r="F44" i="4" s="1"/>
  <c r="C35" i="33"/>
  <c r="C45" i="4" s="1"/>
  <c r="K35" i="33"/>
  <c r="K45" i="4" s="1"/>
  <c r="D28" i="33"/>
  <c r="D38" i="4" s="1"/>
  <c r="H28" i="33"/>
  <c r="H38" i="4" s="1"/>
  <c r="L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E35" i="33"/>
  <c r="E45" i="4" s="1"/>
  <c r="I35" i="33"/>
  <c r="I45" i="4" s="1"/>
  <c r="B32" i="33"/>
  <c r="B42" i="4" s="1"/>
  <c r="E32" i="33"/>
  <c r="I32" i="33"/>
  <c r="M32" i="33"/>
  <c r="B33" i="33"/>
  <c r="B43" i="4" s="1"/>
  <c r="E33" i="33"/>
  <c r="E43" i="4" s="1"/>
  <c r="I33" i="33"/>
  <c r="I43" i="4" s="1"/>
  <c r="M33" i="33"/>
  <c r="M43" i="4" s="1"/>
  <c r="B34" i="33"/>
  <c r="B44" i="4" s="1"/>
  <c r="E34" i="33"/>
  <c r="E44" i="4" s="1"/>
  <c r="I34" i="33"/>
  <c r="I44" i="4" s="1"/>
  <c r="M34" i="33"/>
  <c r="M44" i="4" s="1"/>
  <c r="F35" i="33"/>
  <c r="F45" i="4" s="1"/>
  <c r="J35" i="33"/>
  <c r="J45" i="4" s="1"/>
  <c r="I38" i="4"/>
  <c r="E38" i="4"/>
  <c r="R38" i="4"/>
  <c r="B22" i="33"/>
  <c r="E22" i="33"/>
  <c r="I45" i="33"/>
  <c r="I52" i="33"/>
  <c r="I27" i="33"/>
  <c r="P38" i="4"/>
  <c r="B27" i="33"/>
  <c r="B52" i="33" s="1"/>
  <c r="Q38" i="4"/>
  <c r="D27" i="33"/>
  <c r="D52" i="33" s="1"/>
  <c r="I22" i="33"/>
  <c r="E27" i="33"/>
  <c r="E52" i="33" s="1"/>
  <c r="D45" i="33"/>
  <c r="F22" i="33"/>
  <c r="B46" i="33"/>
  <c r="F45" i="33"/>
  <c r="G22" i="33"/>
  <c r="G27" i="33"/>
  <c r="G52" i="33" s="1"/>
  <c r="C22" i="33"/>
  <c r="C27" i="33"/>
  <c r="C52" i="33" s="1"/>
  <c r="H27" i="33"/>
  <c r="H52" i="33" s="1"/>
  <c r="H45" i="33"/>
  <c r="J56" i="33"/>
  <c r="V56" i="33"/>
  <c r="O56" i="33"/>
  <c r="D56" i="33"/>
  <c r="I56" i="33"/>
  <c r="Q56" i="33"/>
  <c r="G56" i="33"/>
  <c r="F56" i="33"/>
  <c r="K56" i="33"/>
  <c r="H56" i="33"/>
  <c r="T56" i="33"/>
  <c r="E56" i="33"/>
  <c r="C56" i="33"/>
  <c r="R56" i="33"/>
  <c r="M56" i="33"/>
  <c r="B56" i="33"/>
  <c r="P56" i="33"/>
  <c r="L56" i="33"/>
  <c r="S56" i="33"/>
  <c r="U56" i="33"/>
  <c r="S47" i="33" l="1"/>
  <c r="S48" i="33" s="1"/>
  <c r="S54" i="33" s="1"/>
  <c r="U47" i="33"/>
  <c r="U48" i="33" s="1"/>
  <c r="U54" i="33" s="1"/>
  <c r="J46" i="33"/>
  <c r="J53" i="33" s="1"/>
  <c r="V46" i="33"/>
  <c r="V53" i="33" s="1"/>
  <c r="E47" i="33"/>
  <c r="E48" i="33" s="1"/>
  <c r="E54" i="33" s="1"/>
  <c r="T46" i="33"/>
  <c r="T53" i="33" s="1"/>
  <c r="R46" i="33"/>
  <c r="R53" i="33" s="1"/>
  <c r="D47" i="33"/>
  <c r="P47" i="33"/>
  <c r="P48" i="33" s="1"/>
  <c r="P54" i="33" s="1"/>
  <c r="M47" i="33"/>
  <c r="M48" i="33" s="1"/>
  <c r="M54" i="33" s="1"/>
  <c r="G46" i="33"/>
  <c r="G53" i="33" s="1"/>
  <c r="L47" i="33"/>
  <c r="L48" i="33" s="1"/>
  <c r="L54" i="33" s="1"/>
  <c r="P46" i="33"/>
  <c r="P53" i="33" s="1"/>
  <c r="S57" i="33"/>
  <c r="V57" i="33"/>
  <c r="T57" i="33"/>
  <c r="U57" i="33"/>
  <c r="R57" i="33"/>
  <c r="P57" i="33"/>
  <c r="Q57" i="33"/>
  <c r="V47" i="33"/>
  <c r="V48" i="33" s="1"/>
  <c r="V54" i="33" s="1"/>
  <c r="I46" i="33"/>
  <c r="I53" i="33" s="1"/>
  <c r="D46" i="33"/>
  <c r="D53" i="33" s="1"/>
  <c r="O46" i="33"/>
  <c r="O53" i="33" s="1"/>
  <c r="O55" i="33" s="1"/>
  <c r="T40" i="4"/>
  <c r="R47" i="33"/>
  <c r="R48" i="33" s="1"/>
  <c r="R54" i="33" s="1"/>
  <c r="Q46" i="33"/>
  <c r="Q53" i="33" s="1"/>
  <c r="U46" i="33"/>
  <c r="U53" i="33" s="1"/>
  <c r="U55" i="33" s="1"/>
  <c r="S46" i="33"/>
  <c r="S53" i="33" s="1"/>
  <c r="J47" i="33"/>
  <c r="J48" i="33" s="1"/>
  <c r="J54" i="33" s="1"/>
  <c r="Q47" i="33"/>
  <c r="Q48" i="33" s="1"/>
  <c r="Q54" i="33" s="1"/>
  <c r="T47" i="33"/>
  <c r="T48" i="33" s="1"/>
  <c r="T54" i="33" s="1"/>
  <c r="P40" i="4"/>
  <c r="C46" i="33"/>
  <c r="C53" i="33" s="1"/>
  <c r="M46" i="33"/>
  <c r="M53" i="33" s="1"/>
  <c r="L46" i="33"/>
  <c r="L53" i="33" s="1"/>
  <c r="G47" i="33"/>
  <c r="G48" i="33" s="1"/>
  <c r="G54" i="33" s="1"/>
  <c r="F46" i="33"/>
  <c r="F53" i="33" s="1"/>
  <c r="I47" i="33"/>
  <c r="I48" i="33" s="1"/>
  <c r="I54" i="33" s="1"/>
  <c r="O57" i="33"/>
  <c r="P59" i="33" s="1"/>
  <c r="B47" i="33"/>
  <c r="B48" i="33" s="1"/>
  <c r="B54" i="33" s="1"/>
  <c r="H47" i="33"/>
  <c r="H48" i="33" s="1"/>
  <c r="H54" i="33" s="1"/>
  <c r="O47" i="33"/>
  <c r="O48" i="33" s="1"/>
  <c r="O54" i="33" s="1"/>
  <c r="L38" i="4"/>
  <c r="C47" i="33"/>
  <c r="C48" i="33" s="1"/>
  <c r="C54" i="33" s="1"/>
  <c r="E46" i="33"/>
  <c r="E53" i="33" s="1"/>
  <c r="H46" i="33"/>
  <c r="H53" i="33" s="1"/>
  <c r="F47" i="33"/>
  <c r="F48" i="33" s="1"/>
  <c r="F54" i="33" s="1"/>
  <c r="O41" i="4"/>
  <c r="K57" i="33"/>
  <c r="M57" i="33"/>
  <c r="L57" i="33"/>
  <c r="G57" i="33"/>
  <c r="I57" i="33"/>
  <c r="H57" i="33"/>
  <c r="C57" i="33"/>
  <c r="J57" i="33"/>
  <c r="E57" i="33"/>
  <c r="D57" i="33"/>
  <c r="F57" i="33"/>
  <c r="B57" i="33"/>
  <c r="K46" i="33"/>
  <c r="K53" i="33" s="1"/>
  <c r="M42" i="4"/>
  <c r="D48" i="33"/>
  <c r="D54" i="33" s="1"/>
  <c r="K38" i="4"/>
  <c r="I42" i="4"/>
  <c r="K47" i="33"/>
  <c r="K48" i="33" s="1"/>
  <c r="K54" i="33" s="1"/>
  <c r="E42" i="4"/>
  <c r="R55" i="33"/>
  <c r="B53" i="33"/>
  <c r="V55" i="33" l="1"/>
  <c r="S55" i="33"/>
  <c r="P55" i="33"/>
  <c r="M55" i="33"/>
  <c r="R59" i="33"/>
  <c r="R60" i="33" s="1"/>
  <c r="R61" i="33" s="1"/>
  <c r="T59" i="33"/>
  <c r="V59" i="33"/>
  <c r="T55" i="33"/>
  <c r="Q55" i="33"/>
  <c r="Q59" i="33"/>
  <c r="Q60" i="33" s="1"/>
  <c r="Q61" i="33" s="1"/>
  <c r="M59" i="33"/>
  <c r="S59" i="33"/>
  <c r="U59" i="33"/>
  <c r="U60" i="33" s="1"/>
  <c r="U61" i="33" s="1"/>
  <c r="K59" i="33"/>
  <c r="B64" i="33"/>
  <c r="F59" i="33"/>
  <c r="F60" i="33" s="1"/>
  <c r="F61" i="33" s="1"/>
  <c r="B65" i="33"/>
  <c r="I59" i="33"/>
  <c r="E59" i="33"/>
  <c r="E60" i="33" s="1"/>
  <c r="E61" i="33" s="1"/>
  <c r="H59" i="33"/>
  <c r="H60" i="33" s="1"/>
  <c r="H61" i="33" s="1"/>
  <c r="J59" i="33"/>
  <c r="J60" i="33" s="1"/>
  <c r="J61" i="33" s="1"/>
  <c r="L59" i="33"/>
  <c r="L60" i="33" s="1"/>
  <c r="L61" i="33" s="1"/>
  <c r="D59" i="33"/>
  <c r="O59" i="33"/>
  <c r="O60" i="33" s="1"/>
  <c r="O61" i="33" s="1"/>
  <c r="C59" i="33"/>
  <c r="C60" i="33" s="1"/>
  <c r="C61" i="33" s="1"/>
  <c r="G59" i="33"/>
  <c r="V60" i="33"/>
  <c r="V61" i="33" s="1"/>
  <c r="T60" i="33"/>
  <c r="T61" i="33" s="1"/>
  <c r="P60" i="33"/>
  <c r="P61" i="33" s="1"/>
  <c r="G60" i="33"/>
  <c r="G61" i="33" s="1"/>
  <c r="M60" i="33"/>
  <c r="M61" i="33" s="1"/>
  <c r="I60" i="33"/>
  <c r="I61" i="33" s="1"/>
  <c r="D55" i="33"/>
  <c r="B55" i="33"/>
  <c r="K55" i="33"/>
  <c r="L55" i="33"/>
  <c r="G55" i="33"/>
  <c r="F55" i="33"/>
  <c r="C55" i="33"/>
  <c r="J55" i="33"/>
  <c r="H55" i="33"/>
  <c r="I55" i="33"/>
  <c r="E55" i="33"/>
  <c r="S60" i="33"/>
  <c r="D60" i="33"/>
  <c r="K60" i="33"/>
  <c r="K61" i="33" l="1"/>
  <c r="D61" i="33"/>
  <c r="S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U28" i="23"/>
  <c r="U22" i="4" s="1"/>
  <c r="V28" i="23"/>
  <c r="R29" i="23"/>
  <c r="R23" i="4" s="1"/>
  <c r="V29" i="23"/>
  <c r="V23" i="4" s="1"/>
  <c r="P30" i="23"/>
  <c r="P24" i="4" s="1"/>
  <c r="T30" i="23"/>
  <c r="T24" i="4" s="1"/>
  <c r="Q31" i="23"/>
  <c r="Q25" i="4" s="1"/>
  <c r="U31" i="23"/>
  <c r="U25" i="4" s="1"/>
  <c r="Q32" i="23"/>
  <c r="Q26" i="4" s="1"/>
  <c r="U32" i="23"/>
  <c r="U26" i="4" s="1"/>
  <c r="P33" i="23"/>
  <c r="P27" i="4" s="1"/>
  <c r="T33" i="23"/>
  <c r="R34" i="23"/>
  <c r="R28" i="4" s="1"/>
  <c r="V34" i="23"/>
  <c r="V28" i="4" s="1"/>
  <c r="Q35" i="23"/>
  <c r="Q29" i="4" s="1"/>
  <c r="U35" i="23"/>
  <c r="V35" i="23"/>
  <c r="V29" i="4" s="1"/>
  <c r="P36" i="23"/>
  <c r="P30" i="4" s="1"/>
  <c r="Q36" i="23"/>
  <c r="Q30" i="4" s="1"/>
  <c r="R36" i="23"/>
  <c r="R30" i="4" s="1"/>
  <c r="S36" i="23"/>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R43" i="23"/>
  <c r="S43" i="23"/>
  <c r="T43" i="23"/>
  <c r="U43" i="23"/>
  <c r="V43" i="23"/>
  <c r="O41" i="23"/>
  <c r="O35"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U37" i="4"/>
  <c r="Q37" i="4"/>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S32" i="4"/>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S22"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G34" i="23"/>
  <c r="G28" i="4" s="1"/>
  <c r="H29" i="23"/>
  <c r="H23" i="4" s="1"/>
  <c r="G29" i="23"/>
  <c r="G23"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P28" i="1"/>
  <c r="Q33" i="1"/>
  <c r="Q11"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O9" i="12" l="1"/>
  <c r="O10" i="12" s="1"/>
  <c r="J29" i="23"/>
  <c r="J23" i="4" s="1"/>
  <c r="L30" i="23"/>
  <c r="L24" i="4" s="1"/>
  <c r="M28" i="23"/>
  <c r="T35" i="23"/>
  <c r="T29" i="4" s="1"/>
  <c r="P35" i="23"/>
  <c r="P29" i="4" s="1"/>
  <c r="U34" i="23"/>
  <c r="U28" i="4" s="1"/>
  <c r="Q34" i="23"/>
  <c r="Q28" i="4" s="1"/>
  <c r="S33" i="23"/>
  <c r="S27" i="4" s="1"/>
  <c r="T32" i="23"/>
  <c r="T26" i="4" s="1"/>
  <c r="P32" i="23"/>
  <c r="P26" i="4" s="1"/>
  <c r="T31" i="23"/>
  <c r="T25" i="4" s="1"/>
  <c r="P31" i="23"/>
  <c r="P25" i="4" s="1"/>
  <c r="S30" i="23"/>
  <c r="S24" i="4" s="1"/>
  <c r="U29" i="23"/>
  <c r="Q29" i="23"/>
  <c r="T28" i="23"/>
  <c r="S35" i="23"/>
  <c r="S29" i="4" s="1"/>
  <c r="T34" i="23"/>
  <c r="T28" i="4" s="1"/>
  <c r="P34" i="23"/>
  <c r="P28" i="4" s="1"/>
  <c r="V33" i="23"/>
  <c r="V27" i="4" s="1"/>
  <c r="R33" i="23"/>
  <c r="R27" i="4" s="1"/>
  <c r="S32" i="23"/>
  <c r="S26" i="4" s="1"/>
  <c r="S31" i="23"/>
  <c r="S25" i="4" s="1"/>
  <c r="V30" i="23"/>
  <c r="R30" i="23"/>
  <c r="T29" i="23"/>
  <c r="T23" i="4" s="1"/>
  <c r="P29" i="23"/>
  <c r="P46" i="23" s="1"/>
  <c r="P53" i="23" s="1"/>
  <c r="R35" i="23"/>
  <c r="R29" i="4" s="1"/>
  <c r="S34" i="23"/>
  <c r="S28" i="4" s="1"/>
  <c r="U33" i="23"/>
  <c r="U27" i="4" s="1"/>
  <c r="Q33" i="23"/>
  <c r="Q27" i="4" s="1"/>
  <c r="V32" i="23"/>
  <c r="V26" i="4" s="1"/>
  <c r="R32" i="23"/>
  <c r="R26" i="4" s="1"/>
  <c r="V31" i="23"/>
  <c r="V25" i="4" s="1"/>
  <c r="R31" i="23"/>
  <c r="R25" i="4" s="1"/>
  <c r="U30" i="23"/>
  <c r="U24" i="4" s="1"/>
  <c r="Q30" i="23"/>
  <c r="Q24" i="4" s="1"/>
  <c r="S29" i="23"/>
  <c r="J34" i="23"/>
  <c r="J28" i="4" s="1"/>
  <c r="J32" i="23"/>
  <c r="J26" i="4" s="1"/>
  <c r="L34" i="23"/>
  <c r="L28" i="4" s="1"/>
  <c r="O42" i="23"/>
  <c r="O36" i="4" s="1"/>
  <c r="I30" i="23"/>
  <c r="I24" i="4" s="1"/>
  <c r="J31" i="23"/>
  <c r="J25" i="4" s="1"/>
  <c r="J35" i="23"/>
  <c r="J29" i="4" s="1"/>
  <c r="J33" i="23"/>
  <c r="J27" i="4" s="1"/>
  <c r="I32" i="23"/>
  <c r="I26" i="4" s="1"/>
  <c r="E34" i="23"/>
  <c r="E28" i="4" s="1"/>
  <c r="H30" i="23"/>
  <c r="H24" i="4" s="1"/>
  <c r="H34" i="23"/>
  <c r="H28" i="4" s="1"/>
  <c r="K28" i="23"/>
  <c r="K22" i="4" s="1"/>
  <c r="O40" i="23"/>
  <c r="O34" i="4" s="1"/>
  <c r="I31" i="23"/>
  <c r="I25" i="4" s="1"/>
  <c r="J28" i="23"/>
  <c r="J22" i="4" s="1"/>
  <c r="O36" i="23"/>
  <c r="O30" i="4" s="1"/>
  <c r="H32" i="23"/>
  <c r="H26" i="4" s="1"/>
  <c r="I29" i="23"/>
  <c r="I23" i="4" s="1"/>
  <c r="I33" i="23"/>
  <c r="I27" i="4" s="1"/>
  <c r="O33" i="23"/>
  <c r="O27" i="4" s="1"/>
  <c r="I35" i="23"/>
  <c r="I29" i="4" s="1"/>
  <c r="H28" i="23"/>
  <c r="H22" i="4" s="1"/>
  <c r="I28" i="23"/>
  <c r="I22" i="4" s="1"/>
  <c r="D33" i="23"/>
  <c r="D27" i="4" s="1"/>
  <c r="H35" i="23"/>
  <c r="H29" i="4" s="1"/>
  <c r="J30" i="23"/>
  <c r="J24" i="4" s="1"/>
  <c r="F34" i="23"/>
  <c r="F28" i="4" s="1"/>
  <c r="F28" i="23"/>
  <c r="G31" i="23"/>
  <c r="G25" i="4" s="1"/>
  <c r="C35" i="23"/>
  <c r="C29" i="4" s="1"/>
  <c r="K31" i="23"/>
  <c r="K25" i="4" s="1"/>
  <c r="M30" i="23"/>
  <c r="M24" i="4" s="1"/>
  <c r="O43" i="23"/>
  <c r="O39" i="23"/>
  <c r="O33" i="4" s="1"/>
  <c r="K33" i="23"/>
  <c r="K27" i="4" s="1"/>
  <c r="O29" i="23"/>
  <c r="O23" i="4" s="1"/>
  <c r="H31" i="23"/>
  <c r="F31" i="23"/>
  <c r="F25" i="4" s="1"/>
  <c r="H33" i="23"/>
  <c r="H27" i="4" s="1"/>
  <c r="I34" i="23"/>
  <c r="E33" i="23"/>
  <c r="E27" i="4" s="1"/>
  <c r="E30" i="23"/>
  <c r="E24" i="4" s="1"/>
  <c r="L29" i="23"/>
  <c r="L23" i="4" s="1"/>
  <c r="M35" i="23"/>
  <c r="M29" i="4" s="1"/>
  <c r="O35" i="23"/>
  <c r="O29" i="4" s="1"/>
  <c r="L35" i="23"/>
  <c r="L29" i="4" s="1"/>
  <c r="K34" i="23"/>
  <c r="K28" i="4" s="1"/>
  <c r="M32" i="23"/>
  <c r="M26" i="4" s="1"/>
  <c r="K29" i="23"/>
  <c r="K35" i="23"/>
  <c r="K29" i="4" s="1"/>
  <c r="M33" i="23"/>
  <c r="M27" i="4" s="1"/>
  <c r="L32" i="23"/>
  <c r="L26" i="4" s="1"/>
  <c r="M31" i="23"/>
  <c r="M25" i="4" s="1"/>
  <c r="K30" i="23"/>
  <c r="K24" i="4" s="1"/>
  <c r="M34" i="23"/>
  <c r="M28" i="4" s="1"/>
  <c r="L33" i="23"/>
  <c r="L27" i="4" s="1"/>
  <c r="K32" i="23"/>
  <c r="K26" i="4" s="1"/>
  <c r="L31" i="23"/>
  <c r="L25" i="4" s="1"/>
  <c r="M29" i="23"/>
  <c r="L28" i="23"/>
  <c r="L22" i="4" s="1"/>
  <c r="D35" i="23"/>
  <c r="D29" i="4" s="1"/>
  <c r="D32" i="23"/>
  <c r="D26" i="4" s="1"/>
  <c r="E28" i="23"/>
  <c r="E22" i="4" s="1"/>
  <c r="F35" i="23"/>
  <c r="F29" i="4" s="1"/>
  <c r="F30" i="23"/>
  <c r="F24" i="4" s="1"/>
  <c r="D30" i="23"/>
  <c r="D24" i="4" s="1"/>
  <c r="F32" i="23"/>
  <c r="F26" i="4" s="1"/>
  <c r="G35" i="23"/>
  <c r="G29" i="4" s="1"/>
  <c r="C28" i="23"/>
  <c r="C22" i="4" s="1"/>
  <c r="G32" i="23"/>
  <c r="G26" i="4" s="1"/>
  <c r="G33" i="23"/>
  <c r="G27" i="4" s="1"/>
  <c r="C30" i="23"/>
  <c r="C24" i="4" s="1"/>
  <c r="D28" i="23"/>
  <c r="D22" i="4" s="1"/>
  <c r="C33" i="23"/>
  <c r="C27" i="4" s="1"/>
  <c r="E29" i="23"/>
  <c r="E23" i="4" s="1"/>
  <c r="D34" i="23"/>
  <c r="D28" i="4" s="1"/>
  <c r="D31" i="23"/>
  <c r="D25" i="4" s="1"/>
  <c r="E32" i="23"/>
  <c r="E26" i="4" s="1"/>
  <c r="C32" i="23"/>
  <c r="C26" i="4" s="1"/>
  <c r="G28" i="23"/>
  <c r="F33" i="23"/>
  <c r="F27" i="4" s="1"/>
  <c r="E35" i="23"/>
  <c r="E29" i="4" s="1"/>
  <c r="D29" i="23"/>
  <c r="D23" i="4" s="1"/>
  <c r="G30" i="23"/>
  <c r="G24" i="4" s="1"/>
  <c r="C34" i="23"/>
  <c r="C28" i="4" s="1"/>
  <c r="C29" i="23"/>
  <c r="C23" i="4" s="1"/>
  <c r="E31" i="23"/>
  <c r="E25" i="4" s="1"/>
  <c r="C31" i="23"/>
  <c r="C25" i="4" s="1"/>
  <c r="F29" i="23"/>
  <c r="R33" i="1"/>
  <c r="R11" i="4" s="1"/>
  <c r="T35" i="1"/>
  <c r="T13" i="4" s="1"/>
  <c r="V34" i="1"/>
  <c r="V12" i="4" s="1"/>
  <c r="S33" i="1"/>
  <c r="S11" i="4" s="1"/>
  <c r="V32" i="1"/>
  <c r="V10" i="4" s="1"/>
  <c r="T31" i="1"/>
  <c r="T9" i="4" s="1"/>
  <c r="S30" i="1"/>
  <c r="S8" i="4" s="1"/>
  <c r="U29" i="1"/>
  <c r="U7" i="4" s="1"/>
  <c r="U28" i="1"/>
  <c r="O43" i="1"/>
  <c r="Q28" i="1"/>
  <c r="O32" i="1"/>
  <c r="O10" i="4" s="1"/>
  <c r="S35" i="1"/>
  <c r="S13" i="4" s="1"/>
  <c r="U34" i="1"/>
  <c r="U12" i="4" s="1"/>
  <c r="V33" i="1"/>
  <c r="V11" i="4" s="1"/>
  <c r="U32" i="1"/>
  <c r="U10" i="4" s="1"/>
  <c r="S31" i="1"/>
  <c r="S9" i="4" s="1"/>
  <c r="V30" i="1"/>
  <c r="V8" i="4" s="1"/>
  <c r="T29" i="1"/>
  <c r="T7" i="4" s="1"/>
  <c r="T28" i="1"/>
  <c r="P33" i="1"/>
  <c r="P11" i="4" s="1"/>
  <c r="Q34" i="1"/>
  <c r="Q12" i="4" s="1"/>
  <c r="V35" i="1"/>
  <c r="V13" i="4" s="1"/>
  <c r="T34" i="1"/>
  <c r="T12" i="4" s="1"/>
  <c r="U33" i="1"/>
  <c r="U11" i="4" s="1"/>
  <c r="T32" i="1"/>
  <c r="T10" i="4" s="1"/>
  <c r="V31" i="1"/>
  <c r="V9" i="4" s="1"/>
  <c r="U30" i="1"/>
  <c r="U8" i="4" s="1"/>
  <c r="S29" i="1"/>
  <c r="S7" i="4" s="1"/>
  <c r="S28" i="1"/>
  <c r="Q35" i="1"/>
  <c r="Q13" i="4" s="1"/>
  <c r="P30" i="1"/>
  <c r="P8" i="4" s="1"/>
  <c r="Q31" i="1"/>
  <c r="Q9" i="4" s="1"/>
  <c r="U35" i="1"/>
  <c r="U13" i="4" s="1"/>
  <c r="S34" i="1"/>
  <c r="S12" i="4" s="1"/>
  <c r="T33" i="1"/>
  <c r="T11" i="4" s="1"/>
  <c r="S32" i="1"/>
  <c r="S10" i="4" s="1"/>
  <c r="U31" i="1"/>
  <c r="U9" i="4" s="1"/>
  <c r="T30" i="1"/>
  <c r="T8" i="4" s="1"/>
  <c r="V29" i="1"/>
  <c r="V7" i="4" s="1"/>
  <c r="V28" i="1"/>
  <c r="O38" i="1"/>
  <c r="O16" i="4" s="1"/>
  <c r="O41" i="1"/>
  <c r="O19" i="4" s="1"/>
  <c r="O40" i="1"/>
  <c r="O18" i="4" s="1"/>
  <c r="F29" i="1"/>
  <c r="F7" i="4" s="1"/>
  <c r="E29" i="1"/>
  <c r="E7" i="4" s="1"/>
  <c r="E30" i="1"/>
  <c r="E8" i="4" s="1"/>
  <c r="E35" i="1"/>
  <c r="E13" i="4" s="1"/>
  <c r="E33" i="1"/>
  <c r="E11" i="4" s="1"/>
  <c r="G35" i="1"/>
  <c r="G13" i="4" s="1"/>
  <c r="O42" i="1"/>
  <c r="O20" i="4" s="1"/>
  <c r="O39" i="1"/>
  <c r="O17" i="4" s="1"/>
  <c r="I34" i="1"/>
  <c r="I12" i="4" s="1"/>
  <c r="H30" i="1"/>
  <c r="H8" i="4" s="1"/>
  <c r="G30" i="1"/>
  <c r="G8" i="4" s="1"/>
  <c r="F30" i="1"/>
  <c r="I30" i="1"/>
  <c r="I8" i="4" s="1"/>
  <c r="G29" i="1"/>
  <c r="G7" i="4" s="1"/>
  <c r="J34" i="1"/>
  <c r="J12" i="4" s="1"/>
  <c r="I33" i="1"/>
  <c r="I11" i="4" s="1"/>
  <c r="H35" i="1"/>
  <c r="H13" i="4" s="1"/>
  <c r="M28" i="1"/>
  <c r="M6" i="4" s="1"/>
  <c r="G34" i="1"/>
  <c r="G12" i="4" s="1"/>
  <c r="F34" i="1"/>
  <c r="F12" i="4" s="1"/>
  <c r="I29" i="1"/>
  <c r="H33" i="1"/>
  <c r="H11" i="4" s="1"/>
  <c r="H31" i="1"/>
  <c r="H9" i="4" s="1"/>
  <c r="P34" i="1"/>
  <c r="P12" i="4" s="1"/>
  <c r="F33" i="1"/>
  <c r="F11" i="4" s="1"/>
  <c r="C35" i="1"/>
  <c r="C13" i="4" s="1"/>
  <c r="H32" i="1"/>
  <c r="H10" i="4" s="1"/>
  <c r="F35" i="1"/>
  <c r="F13" i="4" s="1"/>
  <c r="D33" i="1"/>
  <c r="D11" i="4" s="1"/>
  <c r="D35" i="1"/>
  <c r="D13" i="4" s="1"/>
  <c r="H34" i="1"/>
  <c r="H12" i="4" s="1"/>
  <c r="J33" i="1"/>
  <c r="J11" i="4" s="1"/>
  <c r="E32" i="1"/>
  <c r="E10" i="4" s="1"/>
  <c r="F32" i="1"/>
  <c r="F10" i="4" s="1"/>
  <c r="J29" i="1"/>
  <c r="J7" i="4" s="1"/>
  <c r="J28" i="1"/>
  <c r="J6" i="4" s="1"/>
  <c r="M34" i="1"/>
  <c r="M12" i="4" s="1"/>
  <c r="L33" i="1"/>
  <c r="L11" i="4" s="1"/>
  <c r="K30" i="1"/>
  <c r="K8" i="4" s="1"/>
  <c r="J32" i="1"/>
  <c r="M35" i="1"/>
  <c r="M13" i="4" s="1"/>
  <c r="L34" i="1"/>
  <c r="L12" i="4" s="1"/>
  <c r="K33" i="1"/>
  <c r="K11" i="4" s="1"/>
  <c r="M32" i="1"/>
  <c r="M10" i="4" s="1"/>
  <c r="M31" i="1"/>
  <c r="M9" i="4" s="1"/>
  <c r="M29" i="1"/>
  <c r="L28" i="1"/>
  <c r="J35" i="1"/>
  <c r="J13" i="4" s="1"/>
  <c r="J31" i="1"/>
  <c r="J9" i="4" s="1"/>
  <c r="L35" i="1"/>
  <c r="L13" i="4" s="1"/>
  <c r="K34" i="1"/>
  <c r="K12" i="4" s="1"/>
  <c r="L32" i="1"/>
  <c r="L10" i="4" s="1"/>
  <c r="L31" i="1"/>
  <c r="L9" i="4" s="1"/>
  <c r="M30" i="1"/>
  <c r="M8" i="4" s="1"/>
  <c r="L29" i="1"/>
  <c r="L7" i="4" s="1"/>
  <c r="K28" i="1"/>
  <c r="C33" i="1"/>
  <c r="C11" i="4" s="1"/>
  <c r="J30" i="1"/>
  <c r="K35" i="1"/>
  <c r="K13" i="4" s="1"/>
  <c r="M33" i="1"/>
  <c r="M11" i="4" s="1"/>
  <c r="K32" i="1"/>
  <c r="K10" i="4" s="1"/>
  <c r="K31" i="1"/>
  <c r="K9" i="4" s="1"/>
  <c r="L30" i="1"/>
  <c r="L8" i="4" s="1"/>
  <c r="K29" i="1"/>
  <c r="K7" i="4" s="1"/>
  <c r="B33" i="1"/>
  <c r="B11" i="4" s="1"/>
  <c r="L6" i="4"/>
  <c r="T6" i="4"/>
  <c r="M22" i="4"/>
  <c r="P6" i="4"/>
  <c r="Q6" i="4"/>
  <c r="S6" i="4"/>
  <c r="Q22"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P37" i="1"/>
  <c r="F22" i="23"/>
  <c r="O36" i="1"/>
  <c r="H45" i="23"/>
  <c r="R31" i="1"/>
  <c r="R9" i="4" s="1"/>
  <c r="R22" i="4"/>
  <c r="V22" i="4"/>
  <c r="U29" i="4"/>
  <c r="T27"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V6" i="4"/>
  <c r="G21" i="4"/>
  <c r="I21" i="4"/>
  <c r="F21" i="4"/>
  <c r="H21" i="4"/>
  <c r="E21" i="4"/>
  <c r="L52" i="23"/>
  <c r="D17" i="4"/>
  <c r="F8" i="4"/>
  <c r="J10" i="4"/>
  <c r="C4" i="4"/>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M56" i="23"/>
  <c r="C56" i="1"/>
  <c r="T56" i="23"/>
  <c r="R56" i="1"/>
  <c r="T56" i="1"/>
  <c r="J56" i="23"/>
  <c r="J56" i="1"/>
  <c r="I56" i="1"/>
  <c r="L56" i="1"/>
  <c r="G56" i="23"/>
  <c r="O56" i="1"/>
  <c r="D56" i="23"/>
  <c r="O56" i="23"/>
  <c r="K56" i="23"/>
  <c r="G56" i="1"/>
  <c r="B56" i="23"/>
  <c r="L56" i="23"/>
  <c r="H56" i="1"/>
  <c r="S56" i="23"/>
  <c r="F56" i="1"/>
  <c r="K56" i="1"/>
  <c r="R56" i="23"/>
  <c r="U56" i="1"/>
  <c r="L78" i="4"/>
  <c r="S56" i="1"/>
  <c r="V56" i="23"/>
  <c r="E56" i="1"/>
  <c r="F56" i="23"/>
  <c r="D56" i="1"/>
  <c r="Q56" i="23"/>
  <c r="P56" i="23"/>
  <c r="M56" i="1"/>
  <c r="Q56" i="1"/>
  <c r="P56" i="1"/>
  <c r="C56" i="23"/>
  <c r="U56" i="23"/>
  <c r="V56" i="1"/>
  <c r="B56" i="1"/>
  <c r="E56" i="23"/>
  <c r="H56" i="23"/>
  <c r="I56" i="23"/>
  <c r="T46" i="1" l="1"/>
  <c r="T53" i="1" s="1"/>
  <c r="S46" i="1"/>
  <c r="S53" i="1" s="1"/>
  <c r="F47" i="23"/>
  <c r="F48" i="23" s="1"/>
  <c r="F54" i="23" s="1"/>
  <c r="J46" i="23"/>
  <c r="J53" i="23" s="1"/>
  <c r="H46" i="23"/>
  <c r="H53" i="23" s="1"/>
  <c r="S47" i="23"/>
  <c r="S48" i="23" s="1"/>
  <c r="S54" i="23" s="1"/>
  <c r="E46" i="23"/>
  <c r="E53" i="23" s="1"/>
  <c r="Q46" i="23"/>
  <c r="Q53" i="23" s="1"/>
  <c r="R47" i="23"/>
  <c r="R48" i="23" s="1"/>
  <c r="R54" i="23" s="1"/>
  <c r="U47" i="23"/>
  <c r="U48" i="23" s="1"/>
  <c r="U54" i="23" s="1"/>
  <c r="P47" i="23"/>
  <c r="P48" i="23" s="1"/>
  <c r="P54" i="23" s="1"/>
  <c r="V47" i="23"/>
  <c r="V48" i="23" s="1"/>
  <c r="V54" i="23" s="1"/>
  <c r="U46" i="23"/>
  <c r="U53" i="23" s="1"/>
  <c r="S46" i="23"/>
  <c r="S53" i="23" s="1"/>
  <c r="J47" i="23"/>
  <c r="J48" i="23" s="1"/>
  <c r="J54" i="23" s="1"/>
  <c r="Q47" i="23"/>
  <c r="Q48" i="23" s="1"/>
  <c r="Q54" i="23" s="1"/>
  <c r="F22" i="4"/>
  <c r="T47" i="23"/>
  <c r="T48" i="23" s="1"/>
  <c r="T54" i="23" s="1"/>
  <c r="V46" i="23"/>
  <c r="V53" i="23" s="1"/>
  <c r="T46" i="23"/>
  <c r="T53" i="23" s="1"/>
  <c r="P23" i="4"/>
  <c r="R46" i="23"/>
  <c r="R53" i="23" s="1"/>
  <c r="V46" i="1"/>
  <c r="V53" i="1" s="1"/>
  <c r="S47" i="1"/>
  <c r="S48" i="1" s="1"/>
  <c r="S54" i="1" s="1"/>
  <c r="U47" i="1"/>
  <c r="U48" i="1" s="1"/>
  <c r="U54" i="1" s="1"/>
  <c r="V47" i="1"/>
  <c r="V48" i="1" s="1"/>
  <c r="V54" i="1" s="1"/>
  <c r="T47" i="1"/>
  <c r="T48" i="1" s="1"/>
  <c r="T54" i="1" s="1"/>
  <c r="U46" i="1"/>
  <c r="U53" i="1" s="1"/>
  <c r="F46" i="1"/>
  <c r="F53" i="1" s="1"/>
  <c r="P57" i="23"/>
  <c r="Q57" i="23"/>
  <c r="S57" i="23"/>
  <c r="U57" i="23"/>
  <c r="R57" i="23"/>
  <c r="V57" i="23"/>
  <c r="T57" i="23"/>
  <c r="Q23" i="4"/>
  <c r="M47" i="23"/>
  <c r="M48" i="23" s="1"/>
  <c r="M54" i="23" s="1"/>
  <c r="S23" i="4"/>
  <c r="S63" i="4" s="1"/>
  <c r="S64" i="4" s="1"/>
  <c r="U23" i="4"/>
  <c r="U63" i="4" s="1"/>
  <c r="U64" i="4" s="1"/>
  <c r="R24" i="4"/>
  <c r="V24" i="4"/>
  <c r="V57" i="4" s="1"/>
  <c r="V58" i="4" s="1"/>
  <c r="V76" i="4" s="1"/>
  <c r="T22" i="4"/>
  <c r="J57" i="23"/>
  <c r="I46" i="23"/>
  <c r="I53" i="23" s="1"/>
  <c r="M46" i="23"/>
  <c r="M53" i="23" s="1"/>
  <c r="F46" i="23"/>
  <c r="F53" i="23" s="1"/>
  <c r="C47" i="23"/>
  <c r="C48" i="23" s="1"/>
  <c r="C54" i="23" s="1"/>
  <c r="C46" i="23"/>
  <c r="C53" i="23" s="1"/>
  <c r="E47" i="23"/>
  <c r="E48" i="23" s="1"/>
  <c r="E54" i="23" s="1"/>
  <c r="H47" i="23"/>
  <c r="H48" i="23" s="1"/>
  <c r="H54" i="23" s="1"/>
  <c r="L46" i="23"/>
  <c r="L53" i="23" s="1"/>
  <c r="I47" i="23"/>
  <c r="I48" i="23" s="1"/>
  <c r="I54" i="23" s="1"/>
  <c r="H57" i="23"/>
  <c r="I57" i="23"/>
  <c r="D46" i="23"/>
  <c r="D53" i="23" s="1"/>
  <c r="L47" i="23"/>
  <c r="L48" i="23" s="1"/>
  <c r="L54" i="23" s="1"/>
  <c r="D47" i="23"/>
  <c r="D48" i="23" s="1"/>
  <c r="D54" i="23" s="1"/>
  <c r="H25" i="4"/>
  <c r="K46" i="23"/>
  <c r="K53" i="23" s="1"/>
  <c r="I28" i="4"/>
  <c r="K47" i="23"/>
  <c r="K48" i="23" s="1"/>
  <c r="K54" i="23" s="1"/>
  <c r="K57" i="23"/>
  <c r="L57" i="23"/>
  <c r="M57" i="23"/>
  <c r="K23" i="4"/>
  <c r="M23" i="4"/>
  <c r="G57" i="23"/>
  <c r="E57" i="23"/>
  <c r="F57" i="23"/>
  <c r="D57" i="23"/>
  <c r="C57" i="23"/>
  <c r="G46" i="23"/>
  <c r="G53" i="23" s="1"/>
  <c r="G47" i="23"/>
  <c r="G48" i="23" s="1"/>
  <c r="G54" i="23" s="1"/>
  <c r="G22" i="4"/>
  <c r="F23" i="4"/>
  <c r="T57" i="1"/>
  <c r="S57" i="1"/>
  <c r="V57" i="1"/>
  <c r="U57" i="1"/>
  <c r="L46" i="1"/>
  <c r="L53" i="1" s="1"/>
  <c r="J47" i="1"/>
  <c r="J48" i="1" s="1"/>
  <c r="J54" i="1" s="1"/>
  <c r="M47" i="1"/>
  <c r="M48" i="1" s="1"/>
  <c r="M54" i="1" s="1"/>
  <c r="L47" i="1"/>
  <c r="L48" i="1" s="1"/>
  <c r="L54" i="1" s="1"/>
  <c r="K46" i="1"/>
  <c r="K53" i="1" s="1"/>
  <c r="J46" i="1"/>
  <c r="J53" i="1" s="1"/>
  <c r="K47" i="1"/>
  <c r="K48" i="1" s="1"/>
  <c r="K54" i="1" s="1"/>
  <c r="M46" i="1"/>
  <c r="M53" i="1" s="1"/>
  <c r="K57" i="1"/>
  <c r="L57" i="1"/>
  <c r="J57" i="1"/>
  <c r="M57" i="1"/>
  <c r="L63" i="4"/>
  <c r="L64" i="4" s="1"/>
  <c r="P47" i="1"/>
  <c r="P48" i="1" s="1"/>
  <c r="P54" i="1" s="1"/>
  <c r="K6" i="4"/>
  <c r="J8" i="4"/>
  <c r="J63" i="4" s="1"/>
  <c r="J64" i="4" s="1"/>
  <c r="M7" i="4"/>
  <c r="D6" i="4"/>
  <c r="R6" i="4"/>
  <c r="C6" i="4"/>
  <c r="B22" i="4"/>
  <c r="I6" i="4"/>
  <c r="P7" i="4"/>
  <c r="E6" i="4"/>
  <c r="H6" i="4"/>
  <c r="F6" i="4"/>
  <c r="O6" i="4"/>
  <c r="B6" i="4"/>
  <c r="G6" i="4"/>
  <c r="Q7" i="4"/>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T57" i="4"/>
  <c r="T58" i="4" s="1"/>
  <c r="T76" i="4" s="1"/>
  <c r="H57" i="1"/>
  <c r="G57" i="1"/>
  <c r="F57" i="1"/>
  <c r="I57" i="1"/>
  <c r="E57" i="1"/>
  <c r="H7" i="4"/>
  <c r="G46" i="1"/>
  <c r="G53" i="1" s="1"/>
  <c r="H46" i="1"/>
  <c r="H53" i="1" s="1"/>
  <c r="H47" i="1"/>
  <c r="H48" i="1" s="1"/>
  <c r="H54" i="1" s="1"/>
  <c r="G11" i="4"/>
  <c r="F9" i="4"/>
  <c r="I13" i="4"/>
  <c r="E12" i="4"/>
  <c r="I55" i="4"/>
  <c r="I62" i="4"/>
  <c r="L56" i="4"/>
  <c r="L75" i="4" s="1"/>
  <c r="O55" i="4"/>
  <c r="O62" i="4"/>
  <c r="F55" i="4"/>
  <c r="F62" i="4"/>
  <c r="M55" i="4"/>
  <c r="M62" i="4"/>
  <c r="J55" i="4"/>
  <c r="J62" i="4"/>
  <c r="L57" i="4"/>
  <c r="L58" i="4" s="1"/>
  <c r="L76" i="4" s="1"/>
  <c r="P55" i="4"/>
  <c r="P62" i="4"/>
  <c r="G55" i="4"/>
  <c r="G62" i="4"/>
  <c r="H74" i="4"/>
  <c r="H62" i="4"/>
  <c r="U22" i="33"/>
  <c r="U45" i="33"/>
  <c r="U27" i="33"/>
  <c r="U52" i="33" s="1"/>
  <c r="R45" i="33"/>
  <c r="R27" i="33"/>
  <c r="R52" i="33" s="1"/>
  <c r="R22" i="33"/>
  <c r="T56" i="4"/>
  <c r="T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G78" i="4"/>
  <c r="Q78" i="4"/>
  <c r="U78" i="4"/>
  <c r="J78" i="4"/>
  <c r="P78" i="4"/>
  <c r="R78" i="4"/>
  <c r="K78" i="4"/>
  <c r="I78" i="4"/>
  <c r="B78" i="4"/>
  <c r="O78" i="4"/>
  <c r="F78" i="4"/>
  <c r="V78" i="4"/>
  <c r="T78" i="4"/>
  <c r="D78" i="4"/>
  <c r="M78" i="4"/>
  <c r="C78" i="4"/>
  <c r="S78" i="4"/>
  <c r="H78" i="4"/>
  <c r="E78" i="4"/>
  <c r="U57" i="4" l="1"/>
  <c r="U58" i="4" s="1"/>
  <c r="U76" i="4" s="1"/>
  <c r="V56" i="4"/>
  <c r="V75" i="4" s="1"/>
  <c r="V63" i="4"/>
  <c r="V64" i="4" s="1"/>
  <c r="U56" i="4"/>
  <c r="U75" i="4" s="1"/>
  <c r="S57" i="4"/>
  <c r="S58" i="4" s="1"/>
  <c r="S76" i="4" s="1"/>
  <c r="C63" i="4"/>
  <c r="C64" i="4" s="1"/>
  <c r="S56" i="4"/>
  <c r="S75" i="4" s="1"/>
  <c r="K56" i="4"/>
  <c r="K75" i="4" s="1"/>
  <c r="F63" i="4"/>
  <c r="F64" i="4" s="1"/>
  <c r="U79" i="4"/>
  <c r="T79" i="4"/>
  <c r="S79" i="4"/>
  <c r="V79" i="4"/>
  <c r="K57" i="4"/>
  <c r="K58" i="4" s="1"/>
  <c r="K76" i="4" s="1"/>
  <c r="F55" i="23"/>
  <c r="M56" i="4"/>
  <c r="M75" i="4" s="1"/>
  <c r="C55" i="23"/>
  <c r="M57" i="4"/>
  <c r="M58" i="4" s="1"/>
  <c r="M76" i="4" s="1"/>
  <c r="R63" i="4"/>
  <c r="R64" i="4" s="1"/>
  <c r="J56" i="4"/>
  <c r="J75" i="4" s="1"/>
  <c r="J57" i="4"/>
  <c r="J58" i="4" s="1"/>
  <c r="J76" i="4" s="1"/>
  <c r="H56" i="4"/>
  <c r="H75" i="4" s="1"/>
  <c r="I57" i="4"/>
  <c r="I58" i="4" s="1"/>
  <c r="I76" i="4" s="1"/>
  <c r="K79" i="4"/>
  <c r="M79" i="4"/>
  <c r="J79" i="4"/>
  <c r="V4" i="4"/>
  <c r="V55" i="4" s="1"/>
  <c r="K63" i="4"/>
  <c r="K64" i="4" s="1"/>
  <c r="M63" i="4"/>
  <c r="M64" i="4" s="1"/>
  <c r="G55" i="1"/>
  <c r="I63" i="4"/>
  <c r="I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H3" i="12" s="1"/>
  <c r="J4" i="12"/>
  <c r="M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U4" i="4"/>
  <c r="F2" i="27"/>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O76" i="4"/>
  <c r="C55" i="1"/>
  <c r="H55" i="1"/>
  <c r="F55" i="1"/>
  <c r="I55" i="1"/>
  <c r="L55" i="1"/>
  <c r="J55" i="1"/>
  <c r="D55" i="1"/>
  <c r="K55" i="1"/>
  <c r="E55" i="1"/>
  <c r="O59" i="1"/>
  <c r="J59" i="1"/>
  <c r="J60" i="1" s="1"/>
  <c r="F59" i="1"/>
  <c r="F60" i="1" s="1"/>
  <c r="M59" i="1"/>
  <c r="M60" i="1" s="1"/>
  <c r="I59" i="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J3" i="12"/>
  <c r="T27" i="1"/>
  <c r="T52" i="1" s="1"/>
  <c r="T45" i="1"/>
  <c r="T4" i="4"/>
  <c r="T62" i="4" s="1"/>
  <c r="T22" i="1"/>
  <c r="O60" i="1"/>
  <c r="T60" i="23"/>
  <c r="I60" i="1"/>
  <c r="M60" i="23"/>
  <c r="V62" i="4" l="1"/>
  <c r="V74" i="4"/>
  <c r="Z2" i="12" s="1"/>
  <c r="AH2" i="12"/>
  <c r="I3" i="12"/>
  <c r="F3" i="12"/>
  <c r="F4" i="12"/>
  <c r="H4" i="12"/>
  <c r="G3" i="12"/>
  <c r="J80" i="4"/>
  <c r="I4" i="12"/>
  <c r="G4" i="12"/>
  <c r="F4" i="27"/>
  <c r="AA2" i="12"/>
  <c r="P75" i="4"/>
  <c r="B5" i="27" s="1"/>
  <c r="O81" i="4"/>
  <c r="O82" i="4" s="1"/>
  <c r="AE2" i="12"/>
  <c r="U74" i="4"/>
  <c r="Y2" i="12" s="1"/>
  <c r="U62" i="4"/>
  <c r="B6" i="12"/>
  <c r="B6" i="27"/>
  <c r="R61" i="23"/>
  <c r="U55" i="4"/>
  <c r="F3" i="27"/>
  <c r="V77" i="4"/>
  <c r="U77" i="4"/>
  <c r="O77" i="4"/>
  <c r="S77" i="4"/>
  <c r="Q77" i="4"/>
  <c r="R77" i="4"/>
  <c r="P81" i="4"/>
  <c r="P82" i="4" s="1"/>
  <c r="Q81" i="4"/>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AD4" i="12" s="1"/>
  <c r="P3" i="12"/>
  <c r="Q3" i="12"/>
  <c r="K2" i="12"/>
  <c r="K4" i="12" s="1"/>
  <c r="B4" i="27"/>
  <c r="B4" i="12"/>
  <c r="O61" i="1"/>
  <c r="Q61" i="1"/>
  <c r="P61" i="1"/>
  <c r="C61" i="1"/>
  <c r="R61" i="1"/>
  <c r="AB2" i="12"/>
  <c r="AB4" i="12" s="1"/>
  <c r="AF2" i="12"/>
  <c r="T55" i="4"/>
  <c r="T74" i="4"/>
  <c r="Q82" i="4"/>
  <c r="B5" i="12" l="1"/>
  <c r="P77" i="4"/>
  <c r="AE4" i="12"/>
  <c r="Z4" i="12"/>
  <c r="W4" i="12"/>
  <c r="AG4" i="12"/>
  <c r="AC4" i="12"/>
  <c r="AH4" i="12"/>
  <c r="AF4" i="12"/>
  <c r="Y4" i="12"/>
  <c r="AA4" i="12"/>
  <c r="K77" i="4"/>
  <c r="J77" i="4"/>
  <c r="G77" i="4"/>
  <c r="F77" i="4"/>
  <c r="L77" i="4"/>
  <c r="B77" i="4"/>
  <c r="B2" i="27"/>
  <c r="G6" i="27" s="1"/>
  <c r="M77" i="4"/>
  <c r="I77" i="4"/>
  <c r="I3" i="28" s="1"/>
  <c r="B2" i="12"/>
  <c r="E6" i="12" s="1"/>
  <c r="H77" i="4"/>
  <c r="D77" i="4"/>
  <c r="C77" i="4"/>
  <c r="E77" i="4"/>
  <c r="AG8" i="12"/>
  <c r="U8" i="12"/>
  <c r="AJ8" i="12"/>
  <c r="AB8" i="12"/>
  <c r="Z8" i="12"/>
  <c r="AC8" i="12"/>
  <c r="V8" i="12"/>
  <c r="X8" i="12"/>
  <c r="AH8" i="12"/>
  <c r="AD8" i="12"/>
  <c r="AI8" i="12"/>
  <c r="W8" i="12"/>
  <c r="Y8" i="12"/>
  <c r="AE8" i="12"/>
  <c r="AA8" i="12"/>
  <c r="AF8" i="12"/>
  <c r="H8" i="27"/>
  <c r="H9" i="27" s="1"/>
  <c r="H10" i="27" s="1"/>
  <c r="J8" i="27"/>
  <c r="J9" i="27" s="1"/>
  <c r="J10" i="27" s="1"/>
  <c r="I8" i="27"/>
  <c r="I9" i="27" s="1"/>
  <c r="I10" i="27" s="1"/>
  <c r="Q5" i="12"/>
  <c r="R5" i="12"/>
  <c r="P83" i="4"/>
  <c r="S5" i="12"/>
  <c r="Q83" i="4"/>
  <c r="P5" i="12"/>
  <c r="O83" i="4"/>
  <c r="O61" i="23"/>
  <c r="AG3" i="12"/>
  <c r="AD3" i="12"/>
  <c r="AE3" i="12"/>
  <c r="AC3" i="12"/>
  <c r="W3" i="12"/>
  <c r="Y3" i="12"/>
  <c r="I2" i="27"/>
  <c r="I4" i="27" s="1"/>
  <c r="V2" i="12"/>
  <c r="V4" i="12" s="1"/>
  <c r="J2" i="28"/>
  <c r="K3" i="12"/>
  <c r="F2" i="28"/>
  <c r="J3" i="28"/>
  <c r="F3" i="28"/>
  <c r="Z3" i="12"/>
  <c r="AA3" i="12"/>
  <c r="AH3" i="12"/>
  <c r="I2" i="28"/>
  <c r="E3" i="28"/>
  <c r="AH7" i="12"/>
  <c r="AD7" i="12"/>
  <c r="AC7" i="12"/>
  <c r="V7" i="12"/>
  <c r="AI7" i="12"/>
  <c r="AG7" i="12"/>
  <c r="W7" i="12"/>
  <c r="X7" i="12"/>
  <c r="Y7" i="12"/>
  <c r="U7" i="12"/>
  <c r="AA7" i="12"/>
  <c r="AE7" i="12"/>
  <c r="Z7" i="12"/>
  <c r="AF7" i="12"/>
  <c r="AB7" i="12"/>
  <c r="AJ7" i="12"/>
  <c r="I7" i="27"/>
  <c r="H7" i="27"/>
  <c r="J7" i="27"/>
  <c r="AF3" i="12"/>
  <c r="F15" i="28"/>
  <c r="F8" i="28"/>
  <c r="AB3" i="12"/>
  <c r="F9" i="28"/>
  <c r="F13" i="28"/>
  <c r="J13" i="28"/>
  <c r="F5" i="28"/>
  <c r="F4" i="28"/>
  <c r="J11" i="28"/>
  <c r="J9" i="28"/>
  <c r="F14" i="28"/>
  <c r="F12" i="28"/>
  <c r="J6" i="28"/>
  <c r="J7" i="28"/>
  <c r="F11" i="28"/>
  <c r="F6" i="28"/>
  <c r="J14" i="28"/>
  <c r="J5" i="28"/>
  <c r="J8" i="28"/>
  <c r="F10" i="28"/>
  <c r="J10" i="28"/>
  <c r="J4" i="28"/>
  <c r="J12" i="28"/>
  <c r="F7" i="28"/>
  <c r="J15" i="28"/>
  <c r="AI2" i="12"/>
  <c r="AI4" i="12" s="1"/>
  <c r="X2" i="12"/>
  <c r="X4" i="12" s="1"/>
  <c r="E13" i="28" l="1"/>
  <c r="I15" i="28"/>
  <c r="I10" i="28"/>
  <c r="E8" i="28"/>
  <c r="I14" i="28"/>
  <c r="E11" i="28"/>
  <c r="E7" i="28"/>
  <c r="I12" i="28"/>
  <c r="I4" i="28"/>
  <c r="E6" i="28"/>
  <c r="E15" i="28"/>
  <c r="I11" i="28"/>
  <c r="I7" i="28"/>
  <c r="E12" i="28"/>
  <c r="I6" i="28"/>
  <c r="E4" i="28"/>
  <c r="E9" i="28"/>
  <c r="I5" i="28"/>
  <c r="I9" i="28"/>
  <c r="I13" i="28"/>
  <c r="I8" i="28"/>
  <c r="E5" i="28"/>
  <c r="E10" i="28"/>
  <c r="E14" i="28"/>
  <c r="AF9" i="12"/>
  <c r="AF10" i="12" s="1"/>
  <c r="W9" i="12"/>
  <c r="W10" i="12" s="1"/>
  <c r="X9" i="12"/>
  <c r="X10" i="12" s="1"/>
  <c r="AB9" i="12"/>
  <c r="AB10" i="12" s="1"/>
  <c r="AA9" i="12"/>
  <c r="AA10" i="12" s="1"/>
  <c r="AI9" i="12"/>
  <c r="AI10" i="12" s="1"/>
  <c r="V9" i="12"/>
  <c r="V10" i="12" s="1"/>
  <c r="AJ9" i="12"/>
  <c r="AJ10" i="12" s="1"/>
  <c r="AE9" i="12"/>
  <c r="AE10" i="12" s="1"/>
  <c r="AD9" i="12"/>
  <c r="AD10" i="12" s="1"/>
  <c r="AC9" i="12"/>
  <c r="AC10" i="12" s="1"/>
  <c r="U9" i="12"/>
  <c r="U10" i="12" s="1"/>
  <c r="Y9" i="12"/>
  <c r="Y10" i="12" s="1"/>
  <c r="AH9" i="12"/>
  <c r="AH10" i="12" s="1"/>
  <c r="Z9" i="12"/>
  <c r="Z10" i="12" s="1"/>
  <c r="AG9" i="12"/>
  <c r="AG10" i="12" s="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G12" i="22" s="1"/>
  <c r="F16" i="22"/>
  <c r="G16" i="22" s="1"/>
  <c r="F22" i="22"/>
  <c r="I22" i="22" s="1"/>
  <c r="J5" i="12"/>
  <c r="F15" i="22"/>
  <c r="K15" i="22" s="1"/>
  <c r="M15" i="22" s="1"/>
  <c r="L5" i="12"/>
  <c r="F21" i="22"/>
  <c r="G21" i="22" s="1"/>
  <c r="F5" i="12"/>
  <c r="F24" i="22"/>
  <c r="G24" i="22" s="1"/>
  <c r="F10" i="22"/>
  <c r="F11" i="22"/>
  <c r="F13" i="22"/>
  <c r="I13" i="22" s="1"/>
  <c r="F14" i="22"/>
  <c r="I14" i="22" s="1"/>
  <c r="F18" i="22"/>
  <c r="G18" i="22" s="1"/>
  <c r="F8" i="22"/>
  <c r="G8" i="22" s="1"/>
  <c r="F5" i="27"/>
  <c r="F25" i="22"/>
  <c r="K25" i="22" s="1"/>
  <c r="M25" i="22" s="1"/>
  <c r="G5" i="12"/>
  <c r="H5" i="12"/>
  <c r="F17" i="22"/>
  <c r="K17" i="22" s="1"/>
  <c r="M17" i="22" s="1"/>
  <c r="K5" i="12"/>
  <c r="G51" i="22"/>
  <c r="J51" i="22" s="1"/>
  <c r="G44" i="22"/>
  <c r="J44" i="22" s="1"/>
  <c r="G38" i="22"/>
  <c r="J38" i="22" s="1"/>
  <c r="G33" i="22"/>
  <c r="J33" i="22" s="1"/>
  <c r="G46" i="22"/>
  <c r="J46" i="22" s="1"/>
  <c r="G37" i="22"/>
  <c r="J37" i="22" s="1"/>
  <c r="G40" i="22"/>
  <c r="J40" i="22" s="1"/>
  <c r="G41" i="22"/>
  <c r="J41" i="22" s="1"/>
  <c r="G50" i="22"/>
  <c r="J50" i="22" s="1"/>
  <c r="G35" i="22"/>
  <c r="J35" i="22" s="1"/>
  <c r="G42" i="22"/>
  <c r="J42" i="22" s="1"/>
  <c r="G47" i="22"/>
  <c r="J47" i="22" s="1"/>
  <c r="G49" i="22"/>
  <c r="J49" i="22" s="1"/>
  <c r="G34" i="22"/>
  <c r="J34" i="22" s="1"/>
  <c r="I12" i="22"/>
  <c r="G39" i="22"/>
  <c r="J39" i="22" s="1"/>
  <c r="G32" i="22"/>
  <c r="J32" i="22" s="1"/>
  <c r="G45" i="22"/>
  <c r="J45" i="22" s="1"/>
  <c r="G36" i="22"/>
  <c r="J36" i="22" s="1"/>
  <c r="G48" i="22"/>
  <c r="J48" i="22" s="1"/>
  <c r="G43" i="22"/>
  <c r="J43" i="22" s="1"/>
  <c r="L3" i="28"/>
  <c r="K26" i="22" l="1"/>
  <c r="M26" i="22" s="1"/>
  <c r="G13" i="22"/>
  <c r="I39" i="22"/>
  <c r="M39" i="22" s="1"/>
  <c r="I49" i="22"/>
  <c r="M49" i="22" s="1"/>
  <c r="I51" i="22"/>
  <c r="M51" i="22" s="1"/>
  <c r="I37" i="22"/>
  <c r="M37" i="22" s="1"/>
  <c r="I44" i="22"/>
  <c r="I38" i="22"/>
  <c r="I15" i="22"/>
  <c r="G15" i="22"/>
  <c r="K12" i="22"/>
  <c r="M12" i="22" s="1"/>
  <c r="K19" i="22"/>
  <c r="M19" i="22" s="1"/>
  <c r="K18" i="22"/>
  <c r="M18" i="22" s="1"/>
  <c r="K24" i="22"/>
  <c r="M24" i="22" s="1"/>
  <c r="G25" i="22"/>
  <c r="K14" i="22"/>
  <c r="M14" i="22" s="1"/>
  <c r="I36" i="22"/>
  <c r="I35" i="22"/>
  <c r="I48" i="22"/>
  <c r="I50" i="22"/>
  <c r="M50" i="22" s="1"/>
  <c r="G14" i="22"/>
  <c r="I41" i="22"/>
  <c r="I40" i="22"/>
  <c r="I43" i="22"/>
  <c r="I32" i="22"/>
  <c r="K16" i="22"/>
  <c r="M16" i="22" s="1"/>
  <c r="I19" i="22"/>
  <c r="I42" i="22"/>
  <c r="I18" i="22"/>
  <c r="I33" i="22"/>
  <c r="I45" i="22"/>
  <c r="I34" i="22"/>
  <c r="K49" i="22"/>
  <c r="N49" i="22" s="1"/>
  <c r="I47" i="22"/>
  <c r="I46" i="22"/>
  <c r="G10" i="22"/>
  <c r="I10" i="22" s="1"/>
  <c r="K10" i="22" s="1"/>
  <c r="I25" i="22"/>
  <c r="I24" i="22"/>
  <c r="G9" i="22"/>
  <c r="I9" i="22" s="1"/>
  <c r="K9" i="22" s="1"/>
  <c r="M9" i="22" s="1"/>
  <c r="I7" i="22"/>
  <c r="G3" i="28" s="1"/>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H3" i="28"/>
  <c r="N15" i="22"/>
  <c r="N25" i="22"/>
  <c r="N17" i="22"/>
  <c r="N26" i="22"/>
  <c r="K3" i="28"/>
  <c r="G8" i="28"/>
  <c r="G7" i="28"/>
  <c r="H14" i="28"/>
  <c r="H5" i="28"/>
  <c r="M10" i="22" l="1"/>
  <c r="N10" i="22"/>
  <c r="K7" i="22"/>
  <c r="M7" i="22" s="1"/>
  <c r="K2" i="28"/>
  <c r="H8" i="28"/>
  <c r="H9" i="28"/>
  <c r="G15" i="28"/>
  <c r="G14" i="28"/>
  <c r="H11" i="28"/>
  <c r="H15" i="28"/>
  <c r="G6" i="28"/>
  <c r="H7" i="28"/>
  <c r="H10" i="28"/>
  <c r="H6" i="28"/>
  <c r="G11" i="28"/>
  <c r="K39" i="22"/>
  <c r="N39" i="22" s="1"/>
  <c r="K51" i="22"/>
  <c r="N51" i="22" s="1"/>
  <c r="G10" i="28"/>
  <c r="G12" i="28"/>
  <c r="G13" i="28"/>
  <c r="K37" i="22"/>
  <c r="N37" i="22" s="1"/>
  <c r="H4" i="28"/>
  <c r="H13" i="28"/>
  <c r="H12" i="28"/>
  <c r="G5" i="28"/>
  <c r="G9" i="28"/>
  <c r="G4" i="28"/>
  <c r="K50" i="22"/>
  <c r="N50" i="22" s="1"/>
  <c r="M44" i="22"/>
  <c r="K44" i="22"/>
  <c r="N44" i="22" s="1"/>
  <c r="M38" i="22"/>
  <c r="K38" i="22"/>
  <c r="N38" i="22" s="1"/>
  <c r="N19" i="22"/>
  <c r="N18" i="22"/>
  <c r="N12" i="22"/>
  <c r="N24" i="22"/>
  <c r="K36" i="22"/>
  <c r="N36" i="22" s="1"/>
  <c r="N14" i="22"/>
  <c r="K35" i="22"/>
  <c r="N35" i="22" s="1"/>
  <c r="M41" i="22"/>
  <c r="K41" i="22"/>
  <c r="N41" i="22" s="1"/>
  <c r="G2" i="28"/>
  <c r="H2" i="28"/>
  <c r="N16" i="22"/>
  <c r="M40" i="22"/>
  <c r="K40" i="22"/>
  <c r="N40" i="22" s="1"/>
  <c r="M48" i="22"/>
  <c r="K48" i="22"/>
  <c r="N48" i="22" s="1"/>
  <c r="M46" i="22"/>
  <c r="K46" i="22"/>
  <c r="N46" i="22" s="1"/>
  <c r="K33" i="22"/>
  <c r="N33" i="22" s="1"/>
  <c r="K34" i="22"/>
  <c r="N34" i="22" s="1"/>
  <c r="K32" i="22"/>
  <c r="M32" i="22" s="1"/>
  <c r="M47" i="22"/>
  <c r="K47" i="22"/>
  <c r="N47" i="22" s="1"/>
  <c r="M45" i="22"/>
  <c r="K45" i="22"/>
  <c r="N45" i="22" s="1"/>
  <c r="M42" i="22"/>
  <c r="K42" i="22"/>
  <c r="N42" i="22" s="1"/>
  <c r="M43" i="22"/>
  <c r="K43" i="22"/>
  <c r="N43" i="22" s="1"/>
  <c r="N20" i="22"/>
  <c r="N13" i="22"/>
  <c r="N7" i="22"/>
  <c r="N8" i="22"/>
  <c r="N21" i="22"/>
  <c r="N11" i="22"/>
  <c r="N9" i="22"/>
  <c r="N23" i="22"/>
  <c r="N22" i="22"/>
  <c r="M33" i="22" l="1"/>
  <c r="M35" i="22"/>
  <c r="M34" i="22"/>
  <c r="M36" i="22"/>
  <c r="L2" i="28"/>
  <c r="N3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<sst xmlns="http://schemas.openxmlformats.org/spreadsheetml/2006/main" count="8845" uniqueCount="5272">
  <si>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</si>
  <si>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</si>
  <si>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</si>
  <si>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</si>
  <si>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</si>
  <si>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</si>
  <si>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</si>
  <si>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</si>
  <si>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</si>
  <si>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</si>
  <si>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</si>
  <si>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</si>
  <si>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</si>
  <si>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</si>
  <si>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</si>
  <si>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</si>
  <si>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</si>
  <si>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</si>
  <si>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</si>
  <si>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</si>
  <si>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</si>
  <si>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</si>
  <si>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</si>
  <si>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</si>
  <si>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</si>
  <si>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</si>
  <si>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</si>
  <si>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</si>
  <si>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</si>
  <si>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</si>
  <si>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</si>
  <si>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</si>
  <si>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</si>
  <si>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</si>
  <si>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</si>
  <si>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</si>
  <si>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</si>
  <si>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</si>
  <si>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</si>
  <si>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</si>
  <si>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</si>
  <si>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</si>
  <si>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</si>
  <si>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</si>
  <si>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</si>
  <si>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</si>
  <si>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</si>
  <si>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</si>
  <si>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</si>
  <si>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</si>
  <si>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</si>
  <si>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</si>
  <si>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</si>
  <si>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</si>
  <si>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</si>
  <si>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</si>
  <si>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</si>
  <si>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</si>
  <si>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</si>
  <si>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</si>
  <si>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</si>
  <si>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</si>
  <si>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</si>
  <si>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</si>
  <si>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</si>
  <si>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</si>
  <si>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</si>
  <si>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</si>
  <si>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</si>
  <si>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</si>
  <si>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</si>
  <si>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</si>
  <si>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</si>
  <si>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</si>
  <si>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</si>
  <si>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</si>
  <si>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</si>
  <si>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</si>
  <si>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</si>
  <si>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</si>
  <si>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</si>
  <si>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</si>
  <si>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</si>
  <si>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</si>
  <si>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</si>
  <si>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</si>
  <si>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</si>
  <si>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</si>
  <si>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</si>
  <si>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</si>
  <si>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</si>
  <si>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</si>
  <si>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</si>
  <si>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</si>
  <si>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</si>
  <si>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</si>
  <si>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</si>
  <si>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</si>
  <si>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</si>
  <si>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</si>
  <si>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</si>
  <si>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</si>
  <si>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</si>
  <si>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</si>
  <si>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</si>
  <si>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</si>
  <si>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</si>
  <si>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</si>
  <si>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</si>
  <si>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</si>
  <si>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</si>
  <si>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</si>
  <si>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</si>
  <si>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</si>
  <si>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</si>
  <si>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</si>
  <si>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</si>
  <si>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</si>
  <si>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</si>
  <si>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</si>
  <si>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</si>
  <si>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</si>
  <si>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</si>
  <si>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</si>
  <si>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</si>
  <si>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</si>
  <si>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</si>
  <si>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</si>
  <si>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</si>
  <si>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</si>
  <si>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</si>
  <si>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</si>
  <si>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</si>
  <si>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</si>
  <si>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</si>
  <si>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</si>
  <si>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</si>
  <si>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</si>
  <si>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</si>
  <si>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</si>
  <si>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</si>
  <si>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</si>
  <si>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</si>
  <si>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</si>
  <si>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</si>
  <si>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</si>
  <si>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</si>
  <si>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</si>
  <si>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</si>
  <si>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</si>
  <si>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</si>
  <si>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</si>
  <si>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</si>
  <si>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</si>
  <si>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</si>
  <si>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</si>
  <si>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</si>
  <si>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</si>
  <si>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</si>
  <si>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</si>
  <si>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</si>
  <si>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</si>
  <si>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</si>
  <si>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</si>
  <si>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</si>
  <si>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</si>
  <si>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ns</t>
  </si>
  <si>
    <t>&gt;0,99</t>
  </si>
  <si>
    <t>*</t>
  </si>
  <si>
    <t>***</t>
  </si>
  <si>
    <t>&lt;0,001</t>
  </si>
  <si>
    <t>Kruskal-Wallis</t>
  </si>
  <si>
    <t xml:space="preserve">file name </t>
  </si>
  <si>
    <t xml:space="preserve">C:\Users\andre\Desktop\REACTIV CEFAS\Tamoxifen\Tamoxifen/20201125_Cefas_Test7_Run2/Plate 1/@1/A10_01.tif </t>
  </si>
  <si>
    <t xml:space="preserve"> 8889.8867 </t>
  </si>
  <si>
    <t xml:space="preserve"> 36.3552 </t>
  </si>
  <si>
    <t xml:space="preserve">C:\Users\andre\Desktop\REACTIV CEFAS\Tamoxifen\Tamoxifen/20201125_Cefas_Test7_Run2/Plate 1/@1/A10_02.tif </t>
  </si>
  <si>
    <t xml:space="preserve"> 9062.9258 </t>
  </si>
  <si>
    <t xml:space="preserve"> 35.9332 </t>
  </si>
  <si>
    <t xml:space="preserve">C:\Users\andre\Desktop\REACTIV CEFAS\Tamoxifen\Tamoxifen/20201125_Cefas_Test7_Run2/Plate 1/@1/A10_03.tif </t>
  </si>
  <si>
    <t xml:space="preserve"> 7224.3848 </t>
  </si>
  <si>
    <t xml:space="preserve"> 37.6557 </t>
  </si>
  <si>
    <t xml:space="preserve">C:\Users\andre\Desktop\REACTIV CEFAS\Tamoxifen\Tamoxifen/20201125_Cefas_Test7_Run2/Plate 1/@1/B10_01.tif </t>
  </si>
  <si>
    <t xml:space="preserve"> 6532.2282 </t>
  </si>
  <si>
    <t xml:space="preserve"> 37.0596 </t>
  </si>
  <si>
    <t xml:space="preserve">C:\Users\andre\Desktop\REACTIV CEFAS\Tamoxifen\Tamoxifen/20201125_Cefas_Test7_Run2/Plate 1/@1/B10_02.tif </t>
  </si>
  <si>
    <t xml:space="preserve"> 8478.9187 </t>
  </si>
  <si>
    <t xml:space="preserve"> 38.375 </t>
  </si>
  <si>
    <t xml:space="preserve">C:\Users\andre\Desktop\REACTIV CEFAS\Tamoxifen\Tamoxifen/20201125_Cefas_Test7_Run2/Plate 1/@1/B10_03.tif </t>
  </si>
  <si>
    <t xml:space="preserve"> 4996.5057 </t>
  </si>
  <si>
    <t xml:space="preserve"> 38.7922 </t>
  </si>
  <si>
    <t>C:\Users\andre\Desktop\REACTIV CEFAS\Tamoxifen\Tamoxifen/20201125_Cefas_Test7_Run2/Plate 1/@1/C10_01- exclu.tif</t>
  </si>
  <si>
    <t xml:space="preserve">C:\Users\andre\Desktop\REACTIV CEFAS\Tamoxifen\Tamoxifen/20201125_Cefas_Test7_Run2/Plate 1/@1/C10_02.tif </t>
  </si>
  <si>
    <t xml:space="preserve"> 10512.1288 </t>
  </si>
  <si>
    <t xml:space="preserve"> 36.6543 </t>
  </si>
  <si>
    <t xml:space="preserve">C:\Users\andre\Desktop\REACTIV CEFAS\Tamoxifen\Tamoxifen/20201125_Cefas_Test7_Run2/Plate 1/@1/C10_03.tif </t>
  </si>
  <si>
    <t xml:space="preserve"> 8933.1465 </t>
  </si>
  <si>
    <t xml:space="preserve"> 39.2082 </t>
  </si>
  <si>
    <t xml:space="preserve">C:\Users\andre\Desktop\REACTIV CEFAS\Tamoxifen\Tamoxifen/20201125_Cefas_Test7_Run2/Plate 1/@1/D10_01.tif </t>
  </si>
  <si>
    <t xml:space="preserve"> 10166.0505 </t>
  </si>
  <si>
    <t xml:space="preserve"> 41.9936 </t>
  </si>
  <si>
    <t xml:space="preserve">C:\Users\andre\Desktop\REACTIV CEFAS\Tamoxifen\Tamoxifen/20201125_Cefas_Test7_Run2/Plate 1/@1/D10_02.tif </t>
  </si>
  <si>
    <t xml:space="preserve"> 10057.901 </t>
  </si>
  <si>
    <t xml:space="preserve"> 42.2495 </t>
  </si>
  <si>
    <t xml:space="preserve">C:\Users\andre\Desktop\REACTIV CEFAS\Tamoxifen\Tamoxifen/20201125_Cefas_Test7_Run2/Plate 1/@1/D10_03.tif </t>
  </si>
  <si>
    <t xml:space="preserve"> 281.1886 </t>
  </si>
  <si>
    <t xml:space="preserve"> 31.1538 </t>
  </si>
  <si>
    <t xml:space="preserve">C:\Users\andre\Desktop\REACTIV CEFAS\Tamoxifen\Tamoxifen/20201125_Cefas_Test7_Run2/Plate 1/@1/E10_01.tif </t>
  </si>
  <si>
    <t xml:space="preserve"> 8046.3208 </t>
  </si>
  <si>
    <t xml:space="preserve"> 36.672 </t>
  </si>
  <si>
    <t xml:space="preserve">C:\Users\andre\Desktop\REACTIV CEFAS\Tamoxifen\Tamoxifen/20201125_Cefas_Test7_Run2/Plate 1/@1/E10_02.tif </t>
  </si>
  <si>
    <t xml:space="preserve"> 5948.221 </t>
  </si>
  <si>
    <t xml:space="preserve"> 34.8182 </t>
  </si>
  <si>
    <t xml:space="preserve">C:\Users\andre\Desktop\REACTIV CEFAS\Tamoxifen\Tamoxifen/20201125_Cefas_Test7_Run2/Plate 1/@1/E10_03.tif </t>
  </si>
  <si>
    <t xml:space="preserve"> 7916.5414 </t>
  </si>
  <si>
    <t xml:space="preserve"> 36.1557 </t>
  </si>
  <si>
    <t xml:space="preserve">C:\Users\andre\Desktop\REACTIV CEFAS\Tamoxifen\Tamoxifen/20201125_Cefas_Test7_Run2/Plate 1/@1/F10_01.tif </t>
  </si>
  <si>
    <t xml:space="preserve"> 5061.3953 </t>
  </si>
  <si>
    <t xml:space="preserve"> 34.8462 </t>
  </si>
  <si>
    <t xml:space="preserve">C:\Users\andre\Desktop\REACTIV CEFAS\Tamoxifen\Tamoxifen/20201125_Cefas_Test7_Run2/Plate 1/@1/F10_02.tif </t>
  </si>
  <si>
    <t xml:space="preserve"> 2379.2884 </t>
  </si>
  <si>
    <t xml:space="preserve"> 32.7909 </t>
  </si>
  <si>
    <t xml:space="preserve">C:\Users\andre\Desktop\REACTIV CEFAS\Tamoxifen\Tamoxifen/20201125_Cefas_Test7_Run2/Plate 1/@1/F10_03.tif </t>
  </si>
  <si>
    <t xml:space="preserve"> 1211.2741 </t>
  </si>
  <si>
    <t xml:space="preserve"> 33.9643 </t>
  </si>
  <si>
    <t xml:space="preserve">C:\Users\andre\Desktop\REACTIV CEFAS\Tamoxifen\Tamoxifen/20201125_Cefas_Test7_Run2/Plate 1/@1/G10_01.tif </t>
  </si>
  <si>
    <t xml:space="preserve"> 4542.2779 </t>
  </si>
  <si>
    <t xml:space="preserve"> 37.7714 </t>
  </si>
  <si>
    <t xml:space="preserve">C:\Users\andre\Desktop\REACTIV CEFAS\Tamoxifen\Tamoxifen/20201125_Cefas_Test7_Run2/Plate 1/@1/G10_02.tif </t>
  </si>
  <si>
    <t xml:space="preserve"> 21.6299 </t>
  </si>
  <si>
    <t xml:space="preserve">C:\Users\andre\Desktop\REACTIV CEFAS\Tamoxifen\Tamoxifen/20201125_Cefas_Test7_Run2/Plate 1/@1/G10_03.tif </t>
  </si>
  <si>
    <t xml:space="preserve"> 432.5979 </t>
  </si>
  <si>
    <t xml:space="preserve"> 30.5 </t>
  </si>
  <si>
    <t xml:space="preserve">C:\Users\andre\Desktop\REACTIV CEFAS\Tamoxifen\Tamoxifen/20201125_Cefas_Test7_Run2/Plate 1/@1/H10_01.tif </t>
  </si>
  <si>
    <t xml:space="preserve"> 43.2598 </t>
  </si>
  <si>
    <t xml:space="preserve"> 33.5 </t>
  </si>
  <si>
    <t xml:space="preserve">C:\Users\andre\Desktop\REACTIV CEFAS\Tamoxifen\Tamoxifen/20201125_Cefas_Test7_Run2/Plate 1/@1/H10_02.tif </t>
  </si>
  <si>
    <t xml:space="preserve"> 2725.3667 </t>
  </si>
  <si>
    <t xml:space="preserve"> 35.3889 </t>
  </si>
  <si>
    <t xml:space="preserve">C:\Users\andre\Desktop\REACTIV CEFAS\Tamoxifen\Tamoxifen/20201125_Cefas_Test7_Run2/Plate 1/@1/H10_03.tif </t>
  </si>
  <si>
    <t xml:space="preserve"> 1535.7225 </t>
  </si>
  <si>
    <t xml:space="preserve"> 33.6761 </t>
  </si>
  <si>
    <t xml:space="preserve">group </t>
  </si>
  <si>
    <t xml:space="preserve"> mean of mean fluo </t>
  </si>
  <si>
    <t xml:space="preserve"> SD mean fluo </t>
  </si>
  <si>
    <t xml:space="preserve"> mean of total fluo </t>
  </si>
  <si>
    <t xml:space="preserve"> SD total fluo </t>
  </si>
  <si>
    <t xml:space="preserve">C:\Users\andre\Desktop\REACTIV CEFAS\Tamoxifen\Tamoxifen/20201125_Cefas_Test7_Run2/Plate 1/@1/ </t>
  </si>
  <si>
    <t xml:space="preserve"> 34.3964 </t>
  </si>
  <si>
    <t xml:space="preserve"> 7.9672 </t>
  </si>
  <si>
    <t xml:space="preserve"> 195721.667 </t>
  </si>
  <si>
    <t xml:space="preserve"> 146495.472 </t>
  </si>
  <si>
    <t xml:space="preserve">C:\Users\andre\Desktop\REACTIV CEFAS\Tamoxifen\Tamoxifen/20201125_Cefas_Test7_Run2/Plate 1/@13/A8_01.tif </t>
  </si>
  <si>
    <t xml:space="preserve"> 41486.1379 </t>
  </si>
  <si>
    <t xml:space="preserve"> 35.5448 </t>
  </si>
  <si>
    <t xml:space="preserve">C:\Users\andre\Desktop\REACTIV CEFAS\Tamoxifen\Tamoxifen/20201125_Cefas_Test7_Run2/Plate 1/@13/A8_02.tif </t>
  </si>
  <si>
    <t xml:space="preserve"> 34434.7922 </t>
  </si>
  <si>
    <t xml:space="preserve"> 35.1445 </t>
  </si>
  <si>
    <t xml:space="preserve">C:\Users\andre\Desktop\REACTIV CEFAS\Tamoxifen\Tamoxifen/20201125_Cefas_Test7_Run2/Plate 1/@13/A8_03.tif </t>
  </si>
  <si>
    <t xml:space="preserve"> 29524.8062 </t>
  </si>
  <si>
    <t xml:space="preserve"> 35.1538 </t>
  </si>
  <si>
    <t>C:\Users\andre\Desktop\REACTIV CEFAS\Tamoxifen\Tamoxifen/20201125_Cefas_Test7_Run2/Plate 1/@13/B8_01- exclu.tif</t>
  </si>
  <si>
    <t xml:space="preserve">C:\Users\andre\Desktop\REACTIV CEFAS\Tamoxifen\Tamoxifen/20201125_Cefas_Test7_Run2/Plate 1/@13/B8_02.tif </t>
  </si>
  <si>
    <t xml:space="preserve"> 56800.1033 </t>
  </si>
  <si>
    <t xml:space="preserve"> 47.1329 </t>
  </si>
  <si>
    <t xml:space="preserve">C:\Users\andre\Desktop\REACTIV CEFAS\Tamoxifen\Tamoxifen/20201125_Cefas_Test7_Run2/Plate 1/@13/B8_03.tif </t>
  </si>
  <si>
    <t xml:space="preserve"> 53447.4696 </t>
  </si>
  <si>
    <t xml:space="preserve"> 45.2036 </t>
  </si>
  <si>
    <t xml:space="preserve">C:\Users\andre\Desktop\REACTIV CEFAS\Tamoxifen\Tamoxifen/20201125_Cefas_Test7_Run2/Plate 1/@13/C8_01.tif </t>
  </si>
  <si>
    <t xml:space="preserve"> 19402.0155 </t>
  </si>
  <si>
    <t xml:space="preserve"> 35.2497 </t>
  </si>
  <si>
    <t xml:space="preserve">C:\Users\andre\Desktop\REACTIV CEFAS\Tamoxifen\Tamoxifen/20201125_Cefas_Test7_Run2/Plate 1/@13/C8_02.tif </t>
  </si>
  <si>
    <t xml:space="preserve"> 20483.5102 </t>
  </si>
  <si>
    <t xml:space="preserve"> 36.2196 </t>
  </si>
  <si>
    <t xml:space="preserve">C:\Users\andre\Desktop\REACTIV CEFAS\Tamoxifen\Tamoxifen/20201125_Cefas_Test7_Run2/Plate 1/@13/C8_03.tif </t>
  </si>
  <si>
    <t xml:space="preserve"> 18882.898 </t>
  </si>
  <si>
    <t xml:space="preserve"> 35.4215 </t>
  </si>
  <si>
    <t xml:space="preserve">C:\Users\andre\Desktop\REACTIV CEFAS\Tamoxifen\Tamoxifen/20201125_Cefas_Test7_Run2/Plate 1/@13/D8_01.tif </t>
  </si>
  <si>
    <t xml:space="preserve"> 37787.4259 </t>
  </si>
  <si>
    <t xml:space="preserve"> 41.0246 </t>
  </si>
  <si>
    <t xml:space="preserve">C:\Users\andre\Desktop\REACTIV CEFAS\Tamoxifen\Tamoxifen/20201125_Cefas_Test7_Run2/Plate 1/@13/D8_02.tif </t>
  </si>
  <si>
    <t xml:space="preserve"> 48818.6722 </t>
  </si>
  <si>
    <t xml:space="preserve"> 42.8285 </t>
  </si>
  <si>
    <t xml:space="preserve">C:\Users\andre\Desktop\REACTIV CEFAS\Tamoxifen\Tamoxifen/20201125_Cefas_Test7_Run2/Plate 1/@13/D8_03.tif </t>
  </si>
  <si>
    <t xml:space="preserve"> 46807.092 </t>
  </si>
  <si>
    <t xml:space="preserve"> 42.3757 </t>
  </si>
  <si>
    <t xml:space="preserve">C:\Users\andre\Desktop\REACTIV CEFAS\Tamoxifen\Tamoxifen/20201125_Cefas_Test7_Run2/Plate 1/@13/E8_01.tif </t>
  </si>
  <si>
    <t xml:space="preserve"> 17779.7734 </t>
  </si>
  <si>
    <t xml:space="preserve"> 35.8358 </t>
  </si>
  <si>
    <t xml:space="preserve">C:\Users\andre\Desktop\REACTIV CEFAS\Tamoxifen\Tamoxifen/20201125_Cefas_Test7_Run2/Plate 1/@13/E8_02.tif </t>
  </si>
  <si>
    <t xml:space="preserve"> 18212.3713 </t>
  </si>
  <si>
    <t xml:space="preserve"> 36.7114 </t>
  </si>
  <si>
    <t xml:space="preserve">C:\Users\andre\Desktop\REACTIV CEFAS\Tamoxifen\Tamoxifen/20201125_Cefas_Test7_Run2/Plate 1/@13/E8_03.tif </t>
  </si>
  <si>
    <t xml:space="preserve"> 13929.6521 </t>
  </si>
  <si>
    <t xml:space="preserve"> 33.9224 </t>
  </si>
  <si>
    <t xml:space="preserve">C:\Users\andre\Desktop\REACTIV CEFAS\Tamoxifen\Tamoxifen/20201125_Cefas_Test7_Run2/Plate 1/@13/F8_01.tif </t>
  </si>
  <si>
    <t xml:space="preserve"> 12264.1503 </t>
  </si>
  <si>
    <t xml:space="preserve"> 33.9312 </t>
  </si>
  <si>
    <t xml:space="preserve">C:\Users\andre\Desktop\REACTIV CEFAS\Tamoxifen\Tamoxifen/20201125_Cefas_Test7_Run2/Plate 1/@13/F8_02.tif </t>
  </si>
  <si>
    <t xml:space="preserve"> 16784.7982 </t>
  </si>
  <si>
    <t xml:space="preserve"> 34.2758 </t>
  </si>
  <si>
    <t xml:space="preserve">C:\Users\andre\Desktop\REACTIV CEFAS\Tamoxifen\Tamoxifen/20201125_Cefas_Test7_Run2/Plate 1/@13/F8_03.tif </t>
  </si>
  <si>
    <t xml:space="preserve"> 13951.282 </t>
  </si>
  <si>
    <t xml:space="preserve"> 34.1411 </t>
  </si>
  <si>
    <t xml:space="preserve">C:\Users\andre\Desktop\REACTIV CEFAS\Tamoxifen\Tamoxifen/20201125_Cefas_Test7_Run2/Plate 1/@13/G8_01.tif </t>
  </si>
  <si>
    <t xml:space="preserve"> 627.2669 </t>
  </si>
  <si>
    <t xml:space="preserve"> 30.931 </t>
  </si>
  <si>
    <t xml:space="preserve">C:\Users\andre\Desktop\REACTIV CEFAS\Tamoxifen\Tamoxifen/20201125_Cefas_Test7_Run2/Plate 1/@13/G8_02.tif </t>
  </si>
  <si>
    <t xml:space="preserve"> 2184.6194 </t>
  </si>
  <si>
    <t xml:space="preserve"> 33.2475 </t>
  </si>
  <si>
    <t xml:space="preserve">C:\Users\andre\Desktop\REACTIV CEFAS\Tamoxifen\Tamoxifen/20201125_Cefas_Test7_Run2/Plate 1/@13/G8_03.tif </t>
  </si>
  <si>
    <t xml:space="preserve"> 2076.4699 </t>
  </si>
  <si>
    <t xml:space="preserve"> 34.3542 </t>
  </si>
  <si>
    <t xml:space="preserve">C:\Users\andre\Desktop\REACTIV CEFAS\Tamoxifen\Tamoxifen/20201125_Cefas_Test7_Run2/Plate 1/@13/H8_01.tif </t>
  </si>
  <si>
    <t xml:space="preserve"> 40209.9741 </t>
  </si>
  <si>
    <t xml:space="preserve"> 40.1372 </t>
  </si>
  <si>
    <t xml:space="preserve">C:\Users\andre\Desktop\REACTIV CEFAS\Tamoxifen\Tamoxifen/20201125_Cefas_Test7_Run2/Plate 1/@13/H8_02.tif </t>
  </si>
  <si>
    <t xml:space="preserve"> 39604.3371 </t>
  </si>
  <si>
    <t xml:space="preserve"> 39.7739 </t>
  </si>
  <si>
    <t xml:space="preserve">C:\Users\andre\Desktop\REACTIV CEFAS\Tamoxifen\Tamoxifen/20201125_Cefas_Test7_Run2/Plate 1/@13/H8_03.tif </t>
  </si>
  <si>
    <t xml:space="preserve"> 34845.7602 </t>
  </si>
  <si>
    <t xml:space="preserve"> 39.7381 </t>
  </si>
  <si>
    <t xml:space="preserve">C:\Users\andre\Desktop\REACTIV CEFAS\Tamoxifen\Tamoxifen/20201125_Cefas_Test7_Run2/Plate 1/@13/ </t>
  </si>
  <si>
    <t xml:space="preserve"> 37.4447 </t>
  </si>
  <si>
    <t xml:space="preserve"> 4.1161 </t>
  </si>
  <si>
    <t xml:space="preserve"> 1102193.75 </t>
  </si>
  <si>
    <t xml:space="preserve"> 760495.783 </t>
  </si>
  <si>
    <t xml:space="preserve">C:\Users\andre\Desktop\REACTIV CEFAS\Tamoxifen\Tamoxifen/20201125_Cefas_Test7_Run2/Plate 1/@14/A9_01.tif </t>
  </si>
  <si>
    <t xml:space="preserve"> 454.2278 </t>
  </si>
  <si>
    <t xml:space="preserve"> 33.0952 </t>
  </si>
  <si>
    <t xml:space="preserve">C:\Users\andre\Desktop\REACTIV CEFAS\Tamoxifen\Tamoxifen/20201125_Cefas_Test7_Run2/Plate 1/@14/A9_02.tif </t>
  </si>
  <si>
    <t xml:space="preserve"> 3785.2316 </t>
  </si>
  <si>
    <t xml:space="preserve"> 33.04 </t>
  </si>
  <si>
    <t>C:\Users\andre\Desktop\REACTIV CEFAS\Tamoxifen\Tamoxifen/20201125_Cefas_Test7_Run2/Plate 1/@14/A9_03- exclu.tif</t>
  </si>
  <si>
    <t xml:space="preserve">C:\Users\andre\Desktop\REACTIV CEFAS\Tamoxifen\Tamoxifen/20201125_Cefas_Test7_Run2/Plate 1/@14/B9_01.tif </t>
  </si>
  <si>
    <t xml:space="preserve"> 18666.5991 </t>
  </si>
  <si>
    <t xml:space="preserve"> 34.7671 </t>
  </si>
  <si>
    <t xml:space="preserve">C:\Users\andre\Desktop\REACTIV CEFAS\Tamoxifen\Tamoxifen/20201125_Cefas_Test7_Run2/Plate 1/@14/B9_02.tif </t>
  </si>
  <si>
    <t xml:space="preserve"> 16633.389 </t>
  </si>
  <si>
    <t xml:space="preserve"> 34.7321 </t>
  </si>
  <si>
    <t xml:space="preserve">C:\Users\andre\Desktop\REACTIV CEFAS\Tamoxifen\Tamoxifen/20201125_Cefas_Test7_Run2/Plate 1/@14/B9_03.tif </t>
  </si>
  <si>
    <t xml:space="preserve"> 8673.5877 </t>
  </si>
  <si>
    <t xml:space="preserve"> 34.606 </t>
  </si>
  <si>
    <t xml:space="preserve">C:\Users\andre\Desktop\REACTIV CEFAS\Tamoxifen\Tamoxifen/20201125_Cefas_Test7_Run2/Plate 1/@14/C9_01.tif </t>
  </si>
  <si>
    <t xml:space="preserve"> 30130.4432 </t>
  </si>
  <si>
    <t xml:space="preserve"> 36.9655 </t>
  </si>
  <si>
    <t xml:space="preserve">C:\Users\andre\Desktop\REACTIV CEFAS\Tamoxifen\Tamoxifen/20201125_Cefas_Test7_Run2/Plate 1/@14/C9_02.tif </t>
  </si>
  <si>
    <t xml:space="preserve"> 23381.9161 </t>
  </si>
  <si>
    <t xml:space="preserve"> 35.5791 </t>
  </si>
  <si>
    <t xml:space="preserve">C:\Users\andre\Desktop\REACTIV CEFAS\Tamoxifen\Tamoxifen/20201125_Cefas_Test7_Run2/Plate 1/@14/C9_03.tif </t>
  </si>
  <si>
    <t xml:space="preserve"> 28551.4609 </t>
  </si>
  <si>
    <t xml:space="preserve"> 36.1 </t>
  </si>
  <si>
    <t xml:space="preserve">C:\Users\andre\Desktop\REACTIV CEFAS\Tamoxifen\Tamoxifen/20201125_Cefas_Test7_Run2/Plate 1/@14/D9_01.tif </t>
  </si>
  <si>
    <t xml:space="preserve"> 30563.0411 </t>
  </si>
  <si>
    <t xml:space="preserve"> 36.6362 </t>
  </si>
  <si>
    <t xml:space="preserve">C:\Users\andre\Desktop\REACTIV CEFAS\Tamoxifen\Tamoxifen/20201125_Cefas_Test7_Run2/Plate 1/@14/D9_02.tif </t>
  </si>
  <si>
    <t xml:space="preserve"> 30476.5215 </t>
  </si>
  <si>
    <t xml:space="preserve"> 40.401 </t>
  </si>
  <si>
    <t>C:\Users\andre\Desktop\REACTIV CEFAS\Tamoxifen\Tamoxifen/20201125_Cefas_Test7_Run2/Plate 1/@14/D9_03- exclu.tif</t>
  </si>
  <si>
    <t xml:space="preserve">C:\Users\andre\Desktop\REACTIV CEFAS\Tamoxifen\Tamoxifen/20201125_Cefas_Test7_Run2/Plate 1/@14/E9_01.tif </t>
  </si>
  <si>
    <t xml:space="preserve"> 52019.8966 </t>
  </si>
  <si>
    <t xml:space="preserve"> 39.4316 </t>
  </si>
  <si>
    <t xml:space="preserve">C:\Users\andre\Desktop\REACTIV CEFAS\Tamoxifen\Tamoxifen/20201125_Cefas_Test7_Run2/Plate 1/@14/E9_02.tif </t>
  </si>
  <si>
    <t xml:space="preserve"> 52928.3522 </t>
  </si>
  <si>
    <t xml:space="preserve"> 37.6984 </t>
  </si>
  <si>
    <t xml:space="preserve">C:\Users\andre\Desktop\REACTIV CEFAS\Tamoxifen\Tamoxifen/20201125_Cefas_Test7_Run2/Plate 1/@14/E9_03.tif </t>
  </si>
  <si>
    <t xml:space="preserve"> 45314.6292 </t>
  </si>
  <si>
    <t xml:space="preserve"> 40.2029 </t>
  </si>
  <si>
    <t>C:\Users\andre\Desktop\REACTIV CEFAS\Tamoxifen\Tamoxifen/20201125_Cefas_Test7_Run2/Plate 1/@14/F9_01- exclu.tif</t>
  </si>
  <si>
    <t>C:\Users\andre\Desktop\REACTIV CEFAS\Tamoxifen\Tamoxifen/20201125_Cefas_Test7_Run2/Plate 1/@14/F9_02- exclu.tif</t>
  </si>
  <si>
    <t>C:\Users\andre\Desktop\REACTIV CEFAS\Tamoxifen\Tamoxifen/20201125_Cefas_Test7_Run2/Plate 1/@14/F9_03- exclu.tif</t>
  </si>
  <si>
    <t xml:space="preserve">C:\Users\andre\Desktop\REACTIV CEFAS\Tamoxifen\Tamoxifen/20201125_Cefas_Test7_Run2/Plate 1/@14/G9_01.tif </t>
  </si>
  <si>
    <t xml:space="preserve"> 40318.1236 </t>
  </si>
  <si>
    <t xml:space="preserve"> 36.3256 </t>
  </si>
  <si>
    <t xml:space="preserve">C:\Users\andre\Desktop\REACTIV CEFAS\Tamoxifen\Tamoxifen/20201125_Cefas_Test7_Run2/Plate 1/@14/G9_02.tif </t>
  </si>
  <si>
    <t xml:space="preserve"> 46006.7859 </t>
  </si>
  <si>
    <t xml:space="preserve"> 36.4725 </t>
  </si>
  <si>
    <t xml:space="preserve">C:\Users\andre\Desktop\REACTIV CEFAS\Tamoxifen\Tamoxifen/20201125_Cefas_Test7_Run2/Plate 1/@14/G9_03.tif </t>
  </si>
  <si>
    <t xml:space="preserve"> 43605.8676 </t>
  </si>
  <si>
    <t xml:space="preserve"> 35.5154 </t>
  </si>
  <si>
    <t xml:space="preserve">C:\Users\andre\Desktop\REACTIV CEFAS\Tamoxifen\Tamoxifen/20201125_Cefas_Test7_Run2/Plate 1/@14/H9_01.tif </t>
  </si>
  <si>
    <t xml:space="preserve"> 20050.9123 </t>
  </si>
  <si>
    <t xml:space="preserve"> 33.7789 </t>
  </si>
  <si>
    <t xml:space="preserve">C:\Users\andre\Desktop\REACTIV CEFAS\Tamoxifen\Tamoxifen/20201125_Cefas_Test7_Run2/Plate 1/@14/H9_02.tif </t>
  </si>
  <si>
    <t xml:space="preserve"> 13843.1326 </t>
  </si>
  <si>
    <t xml:space="preserve"> 35.4922 </t>
  </si>
  <si>
    <t xml:space="preserve">C:\Users\andre\Desktop\REACTIV CEFAS\Tamoxifen\Tamoxifen/20201125_Cefas_Test7_Run2/Plate 1/@14/H9_03.tif </t>
  </si>
  <si>
    <t xml:space="preserve"> 12199.2606 </t>
  </si>
  <si>
    <t xml:space="preserve"> 33.3812 </t>
  </si>
  <si>
    <t xml:space="preserve">C:\Users\andre\Desktop\REACTIV CEFAS\Tamoxifen\Tamoxifen/20201125_Cefas_Test7_Run2/Plate 1/@14/ </t>
  </si>
  <si>
    <t xml:space="preserve"> 29.7975 </t>
  </si>
  <si>
    <t xml:space="preserve"> 13.7913 </t>
  </si>
  <si>
    <t xml:space="preserve"> 797770.042 </t>
  </si>
  <si>
    <t xml:space="preserve"> 694203.93 </t>
  </si>
  <si>
    <t>C:\Users\andre\Desktop\REACTIV CEFAS\Tamoxifen\Tamoxifen/20201125_Cefas_Test7_Run2/Plate 1/@15/A11_01- exclu.tif</t>
  </si>
  <si>
    <t>C:\Users\andre\Desktop\REACTIV CEFAS\Tamoxifen\Tamoxifen/20201125_Cefas_Test7_Run2/Plate 1/@15/A11_02- exclu.tif</t>
  </si>
  <si>
    <t>C:\Users\andre\Desktop\REACTIV CEFAS\Tamoxifen\Tamoxifen/20201125_Cefas_Test7_Run2/Plate 1/@15/A11_03- exclu.tif</t>
  </si>
  <si>
    <t xml:space="preserve">C:\Users\andre\Desktop\REACTIV CEFAS\Tamoxifen\Tamoxifen/20201125_Cefas_Test7_Run2/Plate 1/@15/B11_01.tif </t>
  </si>
  <si>
    <t xml:space="preserve"> 64413.8262 </t>
  </si>
  <si>
    <t xml:space="preserve"> 49.4389 </t>
  </si>
  <si>
    <t>C:\Users\andre\Desktop\REACTIV CEFAS\Tamoxifen\Tamoxifen/20201125_Cefas_Test7_Run2/Plate 1/@15/B11_02- exclu.tif</t>
  </si>
  <si>
    <t>C:\Users\andre\Desktop\REACTIV CEFAS\Tamoxifen\Tamoxifen/20201125_Cefas_Test7_Run2/Plate 1/@15/B11_03- exclu.tif</t>
  </si>
  <si>
    <t xml:space="preserve">C:\Users\andre\Desktop\REACTIV CEFAS\Tamoxifen\Tamoxifen/20201125_Cefas_Test7_Run2/Plate 1/@15/C11_01.tif </t>
  </si>
  <si>
    <t xml:space="preserve"> 23317.0264 </t>
  </si>
  <si>
    <t xml:space="preserve"> 46.2727 </t>
  </si>
  <si>
    <t xml:space="preserve">C:\Users\andre\Desktop\REACTIV CEFAS\Tamoxifen\Tamoxifen/20201125_Cefas_Test7_Run2/Plate 1/@15/C11_02.tif </t>
  </si>
  <si>
    <t xml:space="preserve"> 20505.1401 </t>
  </si>
  <si>
    <t xml:space="preserve"> 45.8914 </t>
  </si>
  <si>
    <t xml:space="preserve">C:\Users\andre\Desktop\REACTIV CEFAS\Tamoxifen\Tamoxifen/20201125_Cefas_Test7_Run2/Plate 1/@15/C11_03.tif </t>
  </si>
  <si>
    <t xml:space="preserve"> 16806.4281 </t>
  </si>
  <si>
    <t xml:space="preserve"> 46.3668 </t>
  </si>
  <si>
    <t xml:space="preserve">C:\Users\andre\Desktop\REACTIV CEFAS\Tamoxifen\Tamoxifen/20201125_Cefas_Test7_Run2/Plate 1/@15/D11_01.tif </t>
  </si>
  <si>
    <t xml:space="preserve"> 88617.6783 </t>
  </si>
  <si>
    <t xml:space="preserve"> 47.8584 </t>
  </si>
  <si>
    <t xml:space="preserve">C:\Users\andre\Desktop\REACTIV CEFAS\Tamoxifen\Tamoxifen/20201125_Cefas_Test7_Run2/Plate 1/@15/D11_02.tif </t>
  </si>
  <si>
    <t xml:space="preserve"> 86757.5074 </t>
  </si>
  <si>
    <t xml:space="preserve"> 51.1149 </t>
  </si>
  <si>
    <t xml:space="preserve">C:\Users\andre\Desktop\REACTIV CEFAS\Tamoxifen\Tamoxifen/20201125_Cefas_Test7_Run2/Plate 1/@15/D11_03.tif </t>
  </si>
  <si>
    <t xml:space="preserve"> 83686.0623 </t>
  </si>
  <si>
    <t xml:space="preserve"> 47.5348 </t>
  </si>
  <si>
    <t xml:space="preserve">C:\Users\andre\Desktop\REACTIV CEFAS\Tamoxifen\Tamoxifen/20201125_Cefas_Test7_Run2/Plate 1/@15/E11_01.tif </t>
  </si>
  <si>
    <t xml:space="preserve"> 60044.5875 </t>
  </si>
  <si>
    <t xml:space="preserve"> 43.4143 </t>
  </si>
  <si>
    <t xml:space="preserve">C:\Users\andre\Desktop\REACTIV CEFAS\Tamoxifen\Tamoxifen/20201125_Cefas_Test7_Run2/Plate 1/@15/E11_02.tif </t>
  </si>
  <si>
    <t xml:space="preserve"> 63116.0325 </t>
  </si>
  <si>
    <t xml:space="preserve"> 46.9469 </t>
  </si>
  <si>
    <t xml:space="preserve">C:\Users\andre\Desktop\REACTIV CEFAS\Tamoxifen\Tamoxifen/20201125_Cefas_Test7_Run2/Plate 1/@15/E11_03.tif </t>
  </si>
  <si>
    <t xml:space="preserve"> 63591.8902 </t>
  </si>
  <si>
    <t xml:space="preserve"> 45.9776 </t>
  </si>
  <si>
    <t xml:space="preserve">C:\Users\andre\Desktop\REACTIV CEFAS\Tamoxifen\Tamoxifen/20201125_Cefas_Test7_Run2/Plate 1/@15/F11_01.tif </t>
  </si>
  <si>
    <t xml:space="preserve"> 81263.5141 </t>
  </si>
  <si>
    <t xml:space="preserve"> 54.4913 </t>
  </si>
  <si>
    <t xml:space="preserve">C:\Users\andre\Desktop\REACTIV CEFAS\Tamoxifen\Tamoxifen/20201125_Cefas_Test7_Run2/Plate 1/@15/F11_02.tif </t>
  </si>
  <si>
    <t xml:space="preserve"> 83750.952 </t>
  </si>
  <si>
    <t xml:space="preserve"> 54.8802 </t>
  </si>
  <si>
    <t xml:space="preserve">C:\Users\andre\Desktop\REACTIV CEFAS\Tamoxifen\Tamoxifen/20201125_Cefas_Test7_Run2/Plate 1/@15/F11_03.tif </t>
  </si>
  <si>
    <t xml:space="preserve"> 76894.2754 </t>
  </si>
  <si>
    <t xml:space="preserve"> 51.2515 </t>
  </si>
  <si>
    <t xml:space="preserve">C:\Users\andre\Desktop\REACTIV CEFAS\Tamoxifen\Tamoxifen/20201125_Cefas_Test7_Run2/Plate 1/@15/G11_01.tif </t>
  </si>
  <si>
    <t xml:space="preserve"> 60239.2565 </t>
  </si>
  <si>
    <t xml:space="preserve"> 52.4977 </t>
  </si>
  <si>
    <t xml:space="preserve">C:\Users\andre\Desktop\REACTIV CEFAS\Tamoxifen\Tamoxifen/20201125_Cefas_Test7_Run2/Plate 1/@15/G11_02.tif </t>
  </si>
  <si>
    <t xml:space="preserve"> 57167.8115 </t>
  </si>
  <si>
    <t xml:space="preserve"> 48.4268 </t>
  </si>
  <si>
    <t xml:space="preserve">C:\Users\andre\Desktop\REACTIV CEFAS\Tamoxifen\Tamoxifen/20201125_Cefas_Test7_Run2/Plate 1/@15/G11_03.tif </t>
  </si>
  <si>
    <t xml:space="preserve"> 65668.3601 </t>
  </si>
  <si>
    <t xml:space="preserve"> 51.5471 </t>
  </si>
  <si>
    <t xml:space="preserve">C:\Users\andre\Desktop\REACTIV CEFAS\Tamoxifen\Tamoxifen/20201125_Cefas_Test7_Run2/Plate 1/@15/H11_01.tif </t>
  </si>
  <si>
    <t xml:space="preserve"> 53988.217 </t>
  </si>
  <si>
    <t xml:space="preserve"> 52.3922 </t>
  </si>
  <si>
    <t xml:space="preserve">C:\Users\andre\Desktop\REACTIV CEFAS\Tamoxifen\Tamoxifen/20201125_Cefas_Test7_Run2/Plate 1/@15/H11_02.tif </t>
  </si>
  <si>
    <t xml:space="preserve"> 53166.281 </t>
  </si>
  <si>
    <t xml:space="preserve"> 55.2823 </t>
  </si>
  <si>
    <t xml:space="preserve">C:\Users\andre\Desktop\REACTIV CEFAS\Tamoxifen\Tamoxifen/20201125_Cefas_Test7_Run2/Plate 1/@15/H11_03.tif </t>
  </si>
  <si>
    <t xml:space="preserve"> 49489.1989 </t>
  </si>
  <si>
    <t xml:space="preserve"> 52.1075 </t>
  </si>
  <si>
    <t xml:space="preserve">C:\Users\andre\Desktop\REACTIV CEFAS\Tamoxifen\Tamoxifen/20201125_Cefas_Test7_Run2/Plate 1/@15/ </t>
  </si>
  <si>
    <t xml:space="preserve"> 50.417 </t>
  </si>
  <si>
    <t xml:space="preserve"> 4.0759 </t>
  </si>
  <si>
    <t xml:space="preserve"> 3003694.75 </t>
  </si>
  <si>
    <t xml:space="preserve"> 1073057.3 </t>
  </si>
  <si>
    <t>C:\Users\andre\Desktop\REACTIV CEFAS\Tamoxifen\Tamoxifen/20201125_Cefas_Test7_Run2/Plate 1/@16/A12_01- exclu.tif</t>
  </si>
  <si>
    <t>C:\Users\andre\Desktop\REACTIV CEFAS\Tamoxifen\Tamoxifen/20201125_Cefas_Test7_Run2/Plate 1/@16/A12_02- exclu.tif</t>
  </si>
  <si>
    <t>C:\Users\andre\Desktop\REACTIV CEFAS\Tamoxifen\Tamoxifen/20201125_Cefas_Test7_Run2/Plate 1/@16/A12_03- exclu.tif</t>
  </si>
  <si>
    <t xml:space="preserve">C:\Users\andre\Desktop\REACTIV CEFAS\Tamoxifen\Tamoxifen/20201125_Cefas_Test7_Run2/Plate 1/@16/B12_01.tif </t>
  </si>
  <si>
    <t xml:space="preserve"> 540.7474 </t>
  </si>
  <si>
    <t xml:space="preserve"> 33.16 </t>
  </si>
  <si>
    <t xml:space="preserve">C:\Users\andre\Desktop\REACTIV CEFAS\Tamoxifen\Tamoxifen/20201125_Cefas_Test7_Run2/Plate 1/@16/B12_02.tif </t>
  </si>
  <si>
    <t xml:space="preserve">C:\Users\andre\Desktop\REACTIV CEFAS\Tamoxifen\Tamoxifen/20201125_Cefas_Test7_Run2/Plate 1/@16/B12_03.tif </t>
  </si>
  <si>
    <t xml:space="preserve"> 4628.7975 </t>
  </si>
  <si>
    <t xml:space="preserve"> 34.3364 </t>
  </si>
  <si>
    <t xml:space="preserve">C:\Users\andre\Desktop\REACTIV CEFAS\Tamoxifen\Tamoxifen/20201125_Cefas_Test7_Run2/Plate 1/@16/C12_01.tif </t>
  </si>
  <si>
    <t xml:space="preserve"> 4736.9469 </t>
  </si>
  <si>
    <t xml:space="preserve"> 33.9041 </t>
  </si>
  <si>
    <t xml:space="preserve">C:\Users\andre\Desktop\REACTIV CEFAS\Tamoxifen\Tamoxifen/20201125_Cefas_Test7_Run2/Plate 1/@16/C12_02.tif </t>
  </si>
  <si>
    <t xml:space="preserve"> 2054.84 </t>
  </si>
  <si>
    <t xml:space="preserve"> 32.3053 </t>
  </si>
  <si>
    <t xml:space="preserve">C:\Users\andre\Desktop\REACTIV CEFAS\Tamoxifen\Tamoxifen/20201125_Cefas_Test7_Run2/Plate 1/@16/C12_03.tif </t>
  </si>
  <si>
    <t xml:space="preserve"> 5753.552 </t>
  </si>
  <si>
    <t xml:space="preserve"> 34.9887 </t>
  </si>
  <si>
    <t xml:space="preserve">C:\Users\andre\Desktop\REACTIV CEFAS\Tamoxifen\Tamoxifen/20201125_Cefas_Test7_Run2/Plate 1/@16/D12_01.tif </t>
  </si>
  <si>
    <t xml:space="preserve"> 7202.7549 </t>
  </si>
  <si>
    <t xml:space="preserve"> 42.1862 </t>
  </si>
  <si>
    <t xml:space="preserve">C:\Users\andre\Desktop\REACTIV CEFAS\Tamoxifen\Tamoxifen/20201125_Cefas_Test7_Run2/Plate 1/@16/D12_02.tif </t>
  </si>
  <si>
    <t xml:space="preserve"> 42.4726 </t>
  </si>
  <si>
    <t xml:space="preserve">C:\Users\andre\Desktop\REACTIV CEFAS\Tamoxifen\Tamoxifen/20201125_Cefas_Test7_Run2/Plate 1/@16/D12_03.tif </t>
  </si>
  <si>
    <t xml:space="preserve"> 6640.3777 </t>
  </si>
  <si>
    <t xml:space="preserve"> 40.5765 </t>
  </si>
  <si>
    <t xml:space="preserve">C:\Users\andre\Desktop\REACTIV CEFAS\Tamoxifen\Tamoxifen/20201125_Cefas_Test7_Run2/Plate 1/@16/E12_01.tif </t>
  </si>
  <si>
    <t xml:space="preserve"> 4239.4593 </t>
  </si>
  <si>
    <t xml:space="preserve"> 34.4031 </t>
  </si>
  <si>
    <t xml:space="preserve">C:\Users\andre\Desktop\REACTIV CEFAS\Tamoxifen\Tamoxifen/20201125_Cefas_Test7_Run2/Plate 1/@16/E12_02.tif </t>
  </si>
  <si>
    <t xml:space="preserve"> 1103.1246 </t>
  </si>
  <si>
    <t xml:space="preserve">C:\Users\andre\Desktop\REACTIV CEFAS\Tamoxifen\Tamoxifen/20201125_Cefas_Test7_Run2/Plate 1/@16/E12_03.tif </t>
  </si>
  <si>
    <t xml:space="preserve"> 1124.7545 </t>
  </si>
  <si>
    <t xml:space="preserve"> 34.1538 </t>
  </si>
  <si>
    <t xml:space="preserve">C:\Users\andre\Desktop\REACTIV CEFAS\Tamoxifen\Tamoxifen/20201125_Cefas_Test7_Run2/Plate 1/@16/F12_01.tif </t>
  </si>
  <si>
    <t xml:space="preserve"> 10403.9793 </t>
  </si>
  <si>
    <t xml:space="preserve"> 45.7214 </t>
  </si>
  <si>
    <t xml:space="preserve">C:\Users\andre\Desktop\REACTIV CEFAS\Tamoxifen\Tamoxifen/20201125_Cefas_Test7_Run2/Plate 1/@16/F12_02.tif </t>
  </si>
  <si>
    <t xml:space="preserve"> 10209.3103 </t>
  </si>
  <si>
    <t xml:space="preserve"> 47.9153 </t>
  </si>
  <si>
    <t xml:space="preserve">C:\Users\andre\Desktop\REACTIV CEFAS\Tamoxifen\Tamoxifen/20201125_Cefas_Test7_Run2/Plate 1/@16/F12_03.tif </t>
  </si>
  <si>
    <t xml:space="preserve"> 7029.7158 </t>
  </si>
  <si>
    <t xml:space="preserve"> 39.1723 </t>
  </si>
  <si>
    <t xml:space="preserve">C:\Users\andre\Desktop\REACTIV CEFAS\Tamoxifen\Tamoxifen/20201125_Cefas_Test7_Run2/Plate 1/@16/G12_01.tif </t>
  </si>
  <si>
    <t xml:space="preserve"> 4563.9078 </t>
  </si>
  <si>
    <t xml:space="preserve"> 39.436 </t>
  </si>
  <si>
    <t xml:space="preserve">C:\Users\andre\Desktop\REACTIV CEFAS\Tamoxifen\Tamoxifen/20201125_Cefas_Test7_Run2/Plate 1/@16/G12_02.tif </t>
  </si>
  <si>
    <t xml:space="preserve"> 4412.4985 </t>
  </si>
  <si>
    <t xml:space="preserve"> 39.8873 </t>
  </si>
  <si>
    <t xml:space="preserve">C:\Users\andre\Desktop\REACTIV CEFAS\Tamoxifen\Tamoxifen/20201125_Cefas_Test7_Run2/Plate 1/@16/G12_03.tif </t>
  </si>
  <si>
    <t xml:space="preserve"> 1297.7937 </t>
  </si>
  <si>
    <t xml:space="preserve"> 33.1833 </t>
  </si>
  <si>
    <t xml:space="preserve">C:\Users\andre\Desktop\REACTIV CEFAS\Tamoxifen\Tamoxifen/20201125_Cefas_Test7_Run2/Plate 1/@16/H12_01.tif </t>
  </si>
  <si>
    <t xml:space="preserve"> 2617.2173 </t>
  </si>
  <si>
    <t xml:space="preserve"> 32.4959 </t>
  </si>
  <si>
    <t xml:space="preserve">C:\Users\andre\Desktop\REACTIV CEFAS\Tamoxifen\Tamoxifen/20201125_Cefas_Test7_Run2/Plate 1/@16/H12_02.tif </t>
  </si>
  <si>
    <t xml:space="preserve">C:\Users\andre\Desktop\REACTIV CEFAS\Tamoxifen\Tamoxifen/20201125_Cefas_Test7_Run2/Plate 1/@16/H12_03.tif </t>
  </si>
  <si>
    <t xml:space="preserve"> 3612.1924 </t>
  </si>
  <si>
    <t xml:space="preserve"> 38.1916 </t>
  </si>
  <si>
    <t xml:space="preserve">C:\Users\andre\Desktop\REACTIV CEFAS\Tamoxifen\Tamoxifen/20201125_Cefas_Test7_Run2/Plate 1/@16/ </t>
  </si>
  <si>
    <t xml:space="preserve"> 35.4494 </t>
  </si>
  <si>
    <t xml:space="preserve"> 12.0859 </t>
  </si>
  <si>
    <t xml:space="preserve"> 245550.667 </t>
  </si>
  <si>
    <t xml:space="preserve"> 237990.303 </t>
  </si>
  <si>
    <t>C:\Users\andre\Desktop\REACTIV CEFAS\Tamoxifen\Tamoxifen/20201125_Cefas_Test7_Run2/Plate 1/@2/A2_01- exclu.tif</t>
  </si>
  <si>
    <t>C:\Users\andre\Desktop\REACTIV CEFAS\Tamoxifen\Tamoxifen/20201125_Cefas_Test7_Run2/Plate 1/@2/A2_02- exclu.tif</t>
  </si>
  <si>
    <t>C:\Users\andre\Desktop\REACTIV CEFAS\Tamoxifen\Tamoxifen/20201125_Cefas_Test7_Run2/Plate 1/@2/A2_03- exclu.tif</t>
  </si>
  <si>
    <t xml:space="preserve">C:\Users\andre\Desktop\REACTIV CEFAS\Tamoxifen\Tamoxifen/20201125_Cefas_Test7_Run2/Plate 1/@2/B2_01.tif </t>
  </si>
  <si>
    <t xml:space="preserve"> 108.1495 </t>
  </si>
  <si>
    <t xml:space="preserve"> 30.4 </t>
  </si>
  <si>
    <t xml:space="preserve">C:\Users\andre\Desktop\REACTIV CEFAS\Tamoxifen\Tamoxifen/20201125_Cefas_Test7_Run2/Plate 1/@2/B2_02.tif </t>
  </si>
  <si>
    <t xml:space="preserve"> 2292.7688 </t>
  </si>
  <si>
    <t xml:space="preserve">C:\Users\andre\Desktop\REACTIV CEFAS\Tamoxifen\Tamoxifen/20201125_Cefas_Test7_Run2/Plate 1/@2/B2_03.tif </t>
  </si>
  <si>
    <t xml:space="preserve"> 3482.413 </t>
  </si>
  <si>
    <t xml:space="preserve"> 33.3975 </t>
  </si>
  <si>
    <t>C:\Users\andre\Desktop\REACTIV CEFAS\Tamoxifen\Tamoxifen/20201125_Cefas_Test7_Run2/Plate 1/@2/C2_01- exclu.tif</t>
  </si>
  <si>
    <t xml:space="preserve">C:\Users\andre\Desktop\REACTIV CEFAS\Tamoxifen\Tamoxifen/20201125_Cefas_Test7_Run2/Plate 1/@2/C2_02.tif </t>
  </si>
  <si>
    <t xml:space="preserve"> 12177.6307 </t>
  </si>
  <si>
    <t xml:space="preserve"> 36.4281 </t>
  </si>
  <si>
    <t xml:space="preserve">C:\Users\andre\Desktop\REACTIV CEFAS\Tamoxifen\Tamoxifen/20201125_Cefas_Test7_Run2/Plate 1/@2/C2_03.tif </t>
  </si>
  <si>
    <t xml:space="preserve"> 3504.0429 </t>
  </si>
  <si>
    <t xml:space="preserve"> 33.1049 </t>
  </si>
  <si>
    <t xml:space="preserve">C:\Users\andre\Desktop\REACTIV CEFAS\Tamoxifen\Tamoxifen/20201125_Cefas_Test7_Run2/Plate 1/@2/D2_01.tif </t>
  </si>
  <si>
    <t xml:space="preserve"> 475.8577 </t>
  </si>
  <si>
    <t xml:space="preserve"> 31.8636 </t>
  </si>
  <si>
    <t xml:space="preserve">C:\Users\andre\Desktop\REACTIV CEFAS\Tamoxifen\Tamoxifen/20201125_Cefas_Test7_Run2/Plate 1/@2/D2_02.tif </t>
  </si>
  <si>
    <t xml:space="preserve"> 562.3773 </t>
  </si>
  <si>
    <t xml:space="preserve"> 31.8846 </t>
  </si>
  <si>
    <t xml:space="preserve">C:\Users\andre\Desktop\REACTIV CEFAS\Tamoxifen\Tamoxifen/20201125_Cefas_Test7_Run2/Plate 1/@2/D2_03.tif </t>
  </si>
  <si>
    <t xml:space="preserve"> 173.0392 </t>
  </si>
  <si>
    <t xml:space="preserve"> 35.5 </t>
  </si>
  <si>
    <t xml:space="preserve">C:\Users\andre\Desktop\REACTIV CEFAS\Tamoxifen\Tamoxifen/20201125_Cefas_Test7_Run2/Plate 1/@2/E2_01.tif </t>
  </si>
  <si>
    <t xml:space="preserve"> 757.0463 </t>
  </si>
  <si>
    <t xml:space="preserve"> 33.5429 </t>
  </si>
  <si>
    <t xml:space="preserve">C:\Users\andre\Desktop\REACTIV CEFAS\Tamoxifen\Tamoxifen/20201125_Cefas_Test7_Run2/Plate 1/@2/E2_02.tif </t>
  </si>
  <si>
    <t xml:space="preserve"> 35.1321 </t>
  </si>
  <si>
    <t xml:space="preserve">C:\Users\andre\Desktop\REACTIV CEFAS\Tamoxifen\Tamoxifen/20201125_Cefas_Test7_Run2/Plate 1/@2/E2_03.tif </t>
  </si>
  <si>
    <t xml:space="preserve"> 1643.872 </t>
  </si>
  <si>
    <t xml:space="preserve"> 34.0263 </t>
  </si>
  <si>
    <t xml:space="preserve">C:\Users\andre\Desktop\REACTIV CEFAS\Tamoxifen\Tamoxifen/20201125_Cefas_Test7_Run2/Plate 1/@2/F2_01.tif </t>
  </si>
  <si>
    <t xml:space="preserve"> 16027.7519 </t>
  </si>
  <si>
    <t xml:space="preserve"> 44.4224 </t>
  </si>
  <si>
    <t xml:space="preserve">C:\Users\andre\Desktop\REACTIV CEFAS\Tamoxifen\Tamoxifen/20201125_Cefas_Test7_Run2/Plate 1/@2/F2_02.tif </t>
  </si>
  <si>
    <t xml:space="preserve"> 14145.9511 </t>
  </si>
  <si>
    <t xml:space="preserve"> 41.3135 </t>
  </si>
  <si>
    <t xml:space="preserve">C:\Users\andre\Desktop\REACTIV CEFAS\Tamoxifen\Tamoxifen/20201125_Cefas_Test7_Run2/Plate 1/@2/F2_03.tif </t>
  </si>
  <si>
    <t xml:space="preserve"> 9582.0433 </t>
  </si>
  <si>
    <t xml:space="preserve"> 39.4673 </t>
  </si>
  <si>
    <t xml:space="preserve">C:\Users\andre\Desktop\REACTIV CEFAS\Tamoxifen\Tamoxifen/20201125_Cefas_Test7_Run2/Plate 1/@2/G2_01.tif </t>
  </si>
  <si>
    <t xml:space="preserve"> 6337.5591 </t>
  </si>
  <si>
    <t xml:space="preserve"> 36.5563 </t>
  </si>
  <si>
    <t xml:space="preserve">C:\Users\andre\Desktop\REACTIV CEFAS\Tamoxifen\Tamoxifen/20201125_Cefas_Test7_Run2/Plate 1/@2/G2_02.tif </t>
  </si>
  <si>
    <t xml:space="preserve">C:\Users\andre\Desktop\REACTIV CEFAS\Tamoxifen\Tamoxifen/20201125_Cefas_Test7_Run2/Plate 1/@2/G2_03.tif </t>
  </si>
  <si>
    <t xml:space="preserve"> 12869.7873 </t>
  </si>
  <si>
    <t xml:space="preserve"> 42.916 </t>
  </si>
  <si>
    <t xml:space="preserve">C:\Users\andre\Desktop\REACTIV CEFAS\Tamoxifen\Tamoxifen/20201125_Cefas_Test7_Run2/Plate 1/@2/H2_01.tif </t>
  </si>
  <si>
    <t xml:space="preserve"> 1925.0606 </t>
  </si>
  <si>
    <t xml:space="preserve"> 34.1124 </t>
  </si>
  <si>
    <t xml:space="preserve">C:\Users\andre\Desktop\REACTIV CEFAS\Tamoxifen\Tamoxifen/20201125_Cefas_Test7_Run2/Plate 1/@2/H2_02.tif </t>
  </si>
  <si>
    <t xml:space="preserve"> 3741.9718 </t>
  </si>
  <si>
    <t xml:space="preserve"> 38.3526 </t>
  </si>
  <si>
    <t xml:space="preserve">C:\Users\andre\Desktop\REACTIV CEFAS\Tamoxifen\Tamoxifen/20201125_Cefas_Test7_Run2/Plate 1/@2/H2_03.tif </t>
  </si>
  <si>
    <t xml:space="preserve"> 973.3453 </t>
  </si>
  <si>
    <t xml:space="preserve"> 31.4 </t>
  </si>
  <si>
    <t xml:space="preserve">C:\Users\andre\Desktop\REACTIV CEFAS\Tamoxifen\Tamoxifen/20201125_Cefas_Test7_Run2/Plate 1/@2/ </t>
  </si>
  <si>
    <t xml:space="preserve"> 34.9813 </t>
  </si>
  <si>
    <t xml:space="preserve"> 3.7881 </t>
  </si>
  <si>
    <t xml:space="preserve"> 176882.958 </t>
  </si>
  <si>
    <t xml:space="preserve"> 205798.906 </t>
  </si>
  <si>
    <t xml:space="preserve">C:\Users\andre\Desktop\REACTIV CEFAS\Tamoxifen\Tamoxifen/20201125_Cefas_Test7_Run2/Plate 1/@3/A3_01.tif </t>
  </si>
  <si>
    <t xml:space="preserve"> 1470.8328 </t>
  </si>
  <si>
    <t xml:space="preserve"> 32.9118 </t>
  </si>
  <si>
    <t xml:space="preserve">C:\Users\andre\Desktop\REACTIV CEFAS\Tamoxifen\Tamoxifen/20201125_Cefas_Test7_Run2/Plate 1/@3/A3_02.tif </t>
  </si>
  <si>
    <t xml:space="preserve"> 33.1348 </t>
  </si>
  <si>
    <t xml:space="preserve">C:\Users\andre\Desktop\REACTIV CEFAS\Tamoxifen\Tamoxifen/20201125_Cefas_Test7_Run2/Plate 1/@3/A3_03.tif </t>
  </si>
  <si>
    <t xml:space="preserve"> 324.4484 </t>
  </si>
  <si>
    <t xml:space="preserve"> 33.3333 </t>
  </si>
  <si>
    <t xml:space="preserve">C:\Users\andre\Desktop\REACTIV CEFAS\Tamoxifen\Tamoxifen/20201125_Cefas_Test7_Run2/Plate 1/@3/B3_01.tif </t>
  </si>
  <si>
    <t xml:space="preserve"> 4693.6871 </t>
  </si>
  <si>
    <t xml:space="preserve"> 34.8065 </t>
  </si>
  <si>
    <t xml:space="preserve">C:\Users\andre\Desktop\REACTIV CEFAS\Tamoxifen\Tamoxifen/20201125_Cefas_Test7_Run2/Plate 1/@3/B3_02.tif </t>
  </si>
  <si>
    <t xml:space="preserve"> 31.4615 </t>
  </si>
  <si>
    <t xml:space="preserve">C:\Users\andre\Desktop\REACTIV CEFAS\Tamoxifen\Tamoxifen/20201125_Cefas_Test7_Run2/Plate 1/@3/B3_03.tif </t>
  </si>
  <si>
    <t xml:space="preserve">C:\Users\andre\Desktop\REACTIV CEFAS\Tamoxifen\Tamoxifen/20201125_Cefas_Test7_Run2/Plate 1/@3/C3_01.tif </t>
  </si>
  <si>
    <t xml:space="preserve"> 32.2708 </t>
  </si>
  <si>
    <t xml:space="preserve">C:\Users\andre\Desktop\REACTIV CEFAS\Tamoxifen\Tamoxifen/20201125_Cefas_Test7_Run2/Plate 1/@3/C3_02.tif </t>
  </si>
  <si>
    <t xml:space="preserve"> 9928.1216 </t>
  </si>
  <si>
    <t xml:space="preserve"> 46.3312 </t>
  </si>
  <si>
    <t xml:space="preserve">C:\Users\andre\Desktop\REACTIV CEFAS\Tamoxifen\Tamoxifen/20201125_Cefas_Test7_Run2/Plate 1/@3/C3_03.tif </t>
  </si>
  <si>
    <t xml:space="preserve"> 3201.2244 </t>
  </si>
  <si>
    <t xml:space="preserve"> 39.0676 </t>
  </si>
  <si>
    <t xml:space="preserve">C:\Users\andre\Desktop\REACTIV CEFAS\Tamoxifen\Tamoxifen/20201125_Cefas_Test7_Run2/Plate 1/@3/D3_01.tif </t>
  </si>
  <si>
    <t xml:space="preserve"> 6943.1962 </t>
  </si>
  <si>
    <t xml:space="preserve"> 31.9813 </t>
  </si>
  <si>
    <t xml:space="preserve">C:\Users\andre\Desktop\REACTIV CEFAS\Tamoxifen\Tamoxifen/20201125_Cefas_Test7_Run2/Plate 1/@3/D3_02.tif </t>
  </si>
  <si>
    <t xml:space="preserve"> 32.7186 </t>
  </si>
  <si>
    <t xml:space="preserve">C:\Users\andre\Desktop\REACTIV CEFAS\Tamoxifen\Tamoxifen/20201125_Cefas_Test7_Run2/Plate 1/@3/D3_03.tif </t>
  </si>
  <si>
    <t xml:space="preserve"> 9127.8155 </t>
  </si>
  <si>
    <t xml:space="preserve"> 32.372 </t>
  </si>
  <si>
    <t xml:space="preserve">C:\Users\andre\Desktop\REACTIV CEFAS\Tamoxifen\Tamoxifen/20201125_Cefas_Test7_Run2/Plate 1/@3/E3_01.tif </t>
  </si>
  <si>
    <t xml:space="preserve"> 1946.6905 </t>
  </si>
  <si>
    <t xml:space="preserve"> 33.5667 </t>
  </si>
  <si>
    <t xml:space="preserve">C:\Users\andre\Desktop\REACTIV CEFAS\Tamoxifen\Tamoxifen/20201125_Cefas_Test7_Run2/Plate 1/@3/E3_02.tif </t>
  </si>
  <si>
    <t xml:space="preserve"> 3136.3347 </t>
  </si>
  <si>
    <t xml:space="preserve"> 36.531 </t>
  </si>
  <si>
    <t xml:space="preserve">C:\Users\andre\Desktop\REACTIV CEFAS\Tamoxifen\Tamoxifen/20201125_Cefas_Test7_Run2/Plate 1/@3/E3_03.tif </t>
  </si>
  <si>
    <t xml:space="preserve"> 3568.9326 </t>
  </si>
  <si>
    <t xml:space="preserve"> 33.9333 </t>
  </si>
  <si>
    <t xml:space="preserve">C:\Users\andre\Desktop\REACTIV CEFAS\Tamoxifen\Tamoxifen/20201125_Cefas_Test7_Run2/Plate 1/@3/F3_01.tif </t>
  </si>
  <si>
    <t xml:space="preserve"> 35.7425 </t>
  </si>
  <si>
    <t xml:space="preserve">C:\Users\andre\Desktop\REACTIV CEFAS\Tamoxifen\Tamoxifen/20201125_Cefas_Test7_Run2/Plate 1/@3/F3_02.tif </t>
  </si>
  <si>
    <t xml:space="preserve"> 4909.9861 </t>
  </si>
  <si>
    <t xml:space="preserve"> 33.9207 </t>
  </si>
  <si>
    <t xml:space="preserve">C:\Users\andre\Desktop\REACTIV CEFAS\Tamoxifen\Tamoxifen/20201125_Cefas_Test7_Run2/Plate 1/@3/F3_03.tif </t>
  </si>
  <si>
    <t xml:space="preserve"> 2855.1461 </t>
  </si>
  <si>
    <t xml:space="preserve"> 32.0909 </t>
  </si>
  <si>
    <t xml:space="preserve">C:\Users\andre\Desktop\REACTIV CEFAS\Tamoxifen\Tamoxifen/20201125_Cefas_Test7_Run2/Plate 1/@3/G3_01.tif </t>
  </si>
  <si>
    <t xml:space="preserve"> 5493.9932 </t>
  </si>
  <si>
    <t xml:space="preserve"> 39.7953 </t>
  </si>
  <si>
    <t xml:space="preserve">C:\Users\andre\Desktop\REACTIV CEFAS\Tamoxifen\Tamoxifen/20201125_Cefas_Test7_Run2/Plate 1/@3/G3_02.tif </t>
  </si>
  <si>
    <t xml:space="preserve"> 7354.1642 </t>
  </si>
  <si>
    <t xml:space="preserve"> 44.2559 </t>
  </si>
  <si>
    <t xml:space="preserve">C:\Users\andre\Desktop\REACTIV CEFAS\Tamoxifen\Tamoxifen/20201125_Cefas_Test7_Run2/Plate 1/@3/G3_03.tif </t>
  </si>
  <si>
    <t xml:space="preserve"> 7527.2033 </t>
  </si>
  <si>
    <t xml:space="preserve"> 44.8994 </t>
  </si>
  <si>
    <t xml:space="preserve">C:\Users\andre\Desktop\REACTIV CEFAS\Tamoxifen\Tamoxifen/20201125_Cefas_Test7_Run2/Plate 1/@3/H3_01.tif </t>
  </si>
  <si>
    <t xml:space="preserve"> 12783.2677 </t>
  </si>
  <si>
    <t xml:space="preserve"> 40.5939 </t>
  </si>
  <si>
    <t xml:space="preserve">C:\Users\andre\Desktop\REACTIV CEFAS\Tamoxifen\Tamoxifen/20201125_Cefas_Test7_Run2/Plate 1/@3/H3_02.tif </t>
  </si>
  <si>
    <t xml:space="preserve"> 11139.3957 </t>
  </si>
  <si>
    <t xml:space="preserve"> 38.9592 </t>
  </si>
  <si>
    <t xml:space="preserve">C:\Users\andre\Desktop\REACTIV CEFAS\Tamoxifen\Tamoxifen/20201125_Cefas_Test7_Run2/Plate 1/@3/H3_03.tif </t>
  </si>
  <si>
    <t xml:space="preserve"> 41.516 </t>
  </si>
  <si>
    <t xml:space="preserve">C:\Users\andre\Desktop\REACTIV CEFAS\Tamoxifen\Tamoxifen/20201125_Cefas_Test7_Run2/Plate 1/@3/ </t>
  </si>
  <si>
    <t xml:space="preserve"> 36.0914 </t>
  </si>
  <si>
    <t xml:space="preserve"> 4.6858 </t>
  </si>
  <si>
    <t xml:space="preserve"> 197631.5 </t>
  </si>
  <si>
    <t xml:space="preserve"> 160861.076 </t>
  </si>
  <si>
    <t xml:space="preserve">C:\Users\andre\Desktop\REACTIV CEFAS\Tamoxifen\Tamoxifen/20201125_Cefas_Test7_Run2/Plate 1/@4/A4_01.tif </t>
  </si>
  <si>
    <t xml:space="preserve"> 44882.0314 </t>
  </si>
  <si>
    <t xml:space="preserve"> 37.7142 </t>
  </si>
  <si>
    <t xml:space="preserve">C:\Users\andre\Desktop\REACTIV CEFAS\Tamoxifen\Tamoxifen/20201125_Cefas_Test7_Run2/Plate 1/@4/A4_02.tif </t>
  </si>
  <si>
    <t xml:space="preserve"> 52387.6048 </t>
  </si>
  <si>
    <t xml:space="preserve"> 40.5879 </t>
  </si>
  <si>
    <t xml:space="preserve">C:\Users\andre\Desktop\REACTIV CEFAS\Tamoxifen\Tamoxifen/20201125_Cefas_Test7_Run2/Plate 1/@4/A4_03.tif </t>
  </si>
  <si>
    <t xml:space="preserve"> 56821.7332 </t>
  </si>
  <si>
    <t xml:space="preserve"> 38.804 </t>
  </si>
  <si>
    <t xml:space="preserve">C:\Users\andre\Desktop\REACTIV CEFAS\Tamoxifen\Tamoxifen/20201125_Cefas_Test7_Run2/Plate 1/@4/B4_01.tif </t>
  </si>
  <si>
    <t xml:space="preserve"> 43973.5758 </t>
  </si>
  <si>
    <t xml:space="preserve"> 35.2691 </t>
  </si>
  <si>
    <t xml:space="preserve">C:\Users\andre\Desktop\REACTIV CEFAS\Tamoxifen\Tamoxifen/20201125_Cefas_Test7_Run2/Plate 1/@4/B4_02.tif </t>
  </si>
  <si>
    <t xml:space="preserve"> 46547.5332 </t>
  </si>
  <si>
    <t xml:space="preserve"> 37.0028 </t>
  </si>
  <si>
    <t xml:space="preserve">C:\Users\andre\Desktop\REACTIV CEFAS\Tamoxifen\Tamoxifen/20201125_Cefas_Test7_Run2/Plate 1/@4/B4_03.tif </t>
  </si>
  <si>
    <t xml:space="preserve"> 42372.9636 </t>
  </si>
  <si>
    <t xml:space="preserve"> 35.5539 </t>
  </si>
  <si>
    <t xml:space="preserve">C:\Users\andre\Desktop\REACTIV CEFAS\Tamoxifen\Tamoxifen/20201125_Cefas_Test7_Run2/Plate 1/@4/C4_01.tif </t>
  </si>
  <si>
    <t xml:space="preserve"> 32.6149 </t>
  </si>
  <si>
    <t xml:space="preserve">C:\Users\andre\Desktop\REACTIV CEFAS\Tamoxifen\Tamoxifen/20201125_Cefas_Test7_Run2/Plate 1/@4/C4_02.tif </t>
  </si>
  <si>
    <t xml:space="preserve"> 32.6826 </t>
  </si>
  <si>
    <t xml:space="preserve">C:\Users\andre\Desktop\REACTIV CEFAS\Tamoxifen\Tamoxifen/20201125_Cefas_Test7_Run2/Plate 1/@4/C4_03.tif </t>
  </si>
  <si>
    <t xml:space="preserve"> 713.7865 </t>
  </si>
  <si>
    <t xml:space="preserve"> 31.8788 </t>
  </si>
  <si>
    <t xml:space="preserve">C:\Users\andre\Desktop\REACTIV CEFAS\Tamoxifen\Tamoxifen/20201125_Cefas_Test7_Run2/Plate 1/@4/D4_01.tif </t>
  </si>
  <si>
    <t xml:space="preserve"> 3157.9646 </t>
  </si>
  <si>
    <t xml:space="preserve"> 32.5822 </t>
  </si>
  <si>
    <t xml:space="preserve">C:\Users\andre\Desktop\REACTIV CEFAS\Tamoxifen\Tamoxifen/20201125_Cefas_Test7_Run2/Plate 1/@4/D4_02.tif </t>
  </si>
  <si>
    <t xml:space="preserve"> 37.4137 </t>
  </si>
  <si>
    <t xml:space="preserve">C:\Users\andre\Desktop\REACTIV CEFAS\Tamoxifen\Tamoxifen/20201125_Cefas_Test7_Run2/Plate 1/@4/D4_03.tif </t>
  </si>
  <si>
    <t xml:space="preserve"> 12026.2214 </t>
  </si>
  <si>
    <t xml:space="preserve"> 41.2104 </t>
  </si>
  <si>
    <t xml:space="preserve">C:\Users\andre\Desktop\REACTIV CEFAS\Tamoxifen\Tamoxifen/20201125_Cefas_Test7_Run2/Plate 1/@4/E4_01.tif </t>
  </si>
  <si>
    <t xml:space="preserve"> 33.9074 </t>
  </si>
  <si>
    <t xml:space="preserve">C:\Users\andre\Desktop\REACTIV CEFAS\Tamoxifen\Tamoxifen/20201125_Cefas_Test7_Run2/Plate 1/@4/E4_02.tif </t>
  </si>
  <si>
    <t xml:space="preserve"> 22841.1687 </t>
  </si>
  <si>
    <t xml:space="preserve"> 37.392 </t>
  </si>
  <si>
    <t xml:space="preserve">C:\Users\andre\Desktop\REACTIV CEFAS\Tamoxifen\Tamoxifen/20201125_Cefas_Test7_Run2/Plate 1/@4/E4_03.tif </t>
  </si>
  <si>
    <t xml:space="preserve"> 12307.41 </t>
  </si>
  <si>
    <t xml:space="preserve"> 33.3058 </t>
  </si>
  <si>
    <t xml:space="preserve">C:\Users\andre\Desktop\REACTIV CEFAS\Tamoxifen\Tamoxifen/20201125_Cefas_Test7_Run2/Plate 1/@4/F4_01.tif </t>
  </si>
  <si>
    <t xml:space="preserve"> 14297.3603 </t>
  </si>
  <si>
    <t xml:space="preserve"> 34.7882 </t>
  </si>
  <si>
    <t xml:space="preserve">C:\Users\andre\Desktop\REACTIV CEFAS\Tamoxifen\Tamoxifen/20201125_Cefas_Test7_Run2/Plate 1/@4/F4_02.tif </t>
  </si>
  <si>
    <t xml:space="preserve"> 13518.6841 </t>
  </si>
  <si>
    <t xml:space="preserve"> 33.0992 </t>
  </si>
  <si>
    <t xml:space="preserve">C:\Users\andre\Desktop\REACTIV CEFAS\Tamoxifen\Tamoxifen/20201125_Cefas_Test7_Run2/Plate 1/@4/F4_03.tif </t>
  </si>
  <si>
    <t xml:space="preserve"> 18017.7022 </t>
  </si>
  <si>
    <t xml:space="preserve"> 35.6639 </t>
  </si>
  <si>
    <t xml:space="preserve">C:\Users\andre\Desktop\REACTIV CEFAS\Tamoxifen\Tamoxifen/20201125_Cefas_Test7_Run2/Plate 1/@4/G4_01.tif </t>
  </si>
  <si>
    <t xml:space="preserve"> 4261.0892 </t>
  </si>
  <si>
    <t xml:space="preserve"> 35.0558 </t>
  </si>
  <si>
    <t xml:space="preserve">C:\Users\andre\Desktop\REACTIV CEFAS\Tamoxifen\Tamoxifen/20201125_Cefas_Test7_Run2/Plate 1/@4/G4_02.tif </t>
  </si>
  <si>
    <t xml:space="preserve"> 4715.317 </t>
  </si>
  <si>
    <t xml:space="preserve"> 38.2569 </t>
  </si>
  <si>
    <t xml:space="preserve">C:\Users\andre\Desktop\REACTIV CEFAS\Tamoxifen\Tamoxifen/20201125_Cefas_Test7_Run2/Plate 1/@4/G4_03.tif </t>
  </si>
  <si>
    <t xml:space="preserve"> 2400.9183 </t>
  </si>
  <si>
    <t xml:space="preserve"> 30.8559 </t>
  </si>
  <si>
    <t xml:space="preserve">C:\Users\andre\Desktop\REACTIV CEFAS\Tamoxifen\Tamoxifen/20201125_Cefas_Test7_Run2/Plate 1/@4/H4_01.tif </t>
  </si>
  <si>
    <t xml:space="preserve"> 15530.2643 </t>
  </si>
  <si>
    <t xml:space="preserve"> 33.6783 </t>
  </si>
  <si>
    <t xml:space="preserve">C:\Users\andre\Desktop\REACTIV CEFAS\Tamoxifen\Tamoxifen/20201125_Cefas_Test7_Run2/Plate 1/@4/H4_02.tif </t>
  </si>
  <si>
    <t xml:space="preserve"> 10966.3566 </t>
  </si>
  <si>
    <t xml:space="preserve"> 35.8876 </t>
  </si>
  <si>
    <t xml:space="preserve">C:\Users\andre\Desktop\REACTIV CEFAS\Tamoxifen\Tamoxifen/20201125_Cefas_Test7_Run2/Plate 1/@4/H4_03.tif </t>
  </si>
  <si>
    <t xml:space="preserve"> 13821.5027 </t>
  </si>
  <si>
    <t xml:space="preserve"> 39.5196 </t>
  </si>
  <si>
    <t xml:space="preserve">C:\Users\andre\Desktop\REACTIV CEFAS\Tamoxifen\Tamoxifen/20201125_Cefas_Test7_Run2/Plate 1/@4/ </t>
  </si>
  <si>
    <t xml:space="preserve"> 35.6135 </t>
  </si>
  <si>
    <t xml:space="preserve"> 2.8291 </t>
  </si>
  <si>
    <t xml:space="preserve"> 723845.333 </t>
  </si>
  <si>
    <t xml:space="preserve"> 681247.563 </t>
  </si>
  <si>
    <t xml:space="preserve">C:\Users\andre\Desktop\REACTIV CEFAS\Tamoxifen\Tamoxifen/20201125_Cefas_Test7_Run2/Plate 1/@5/A5_01.tif </t>
  </si>
  <si>
    <t xml:space="preserve"> 62769.9542 </t>
  </si>
  <si>
    <t xml:space="preserve"> 43.948 </t>
  </si>
  <si>
    <t xml:space="preserve">C:\Users\andre\Desktop\REACTIV CEFAS\Tamoxifen\Tamoxifen/20201125_Cefas_Test7_Run2/Plate 1/@5/A5_02.tif </t>
  </si>
  <si>
    <t xml:space="preserve"> 58227.6763 </t>
  </si>
  <si>
    <t xml:space="preserve"> 40.3804 </t>
  </si>
  <si>
    <t xml:space="preserve">C:\Users\andre\Desktop\REACTIV CEFAS\Tamoxifen\Tamoxifen/20201125_Cefas_Test7_Run2/Plate 1/@5/A5_03.tif </t>
  </si>
  <si>
    <t xml:space="preserve"> 55156.2313 </t>
  </si>
  <si>
    <t xml:space="preserve"> 43.2216 </t>
  </si>
  <si>
    <t xml:space="preserve">C:\Users\andre\Desktop\REACTIV CEFAS\Tamoxifen\Tamoxifen/20201125_Cefas_Test7_Run2/Plate 1/@5/B5_01.tif </t>
  </si>
  <si>
    <t xml:space="preserve"> 32315.0626 </t>
  </si>
  <si>
    <t xml:space="preserve"> 37.4177 </t>
  </si>
  <si>
    <t xml:space="preserve">C:\Users\andre\Desktop\REACTIV CEFAS\Tamoxifen\Tamoxifen/20201125_Cefas_Test7_Run2/Plate 1/@5/B5_02.tif </t>
  </si>
  <si>
    <t xml:space="preserve"> 36359.8529 </t>
  </si>
  <si>
    <t xml:space="preserve"> 36.5776 </t>
  </si>
  <si>
    <t xml:space="preserve">C:\Users\andre\Desktop\REACTIV CEFAS\Tamoxifen\Tamoxifen/20201125_Cefas_Test7_Run2/Plate 1/@5/B5_03.tif </t>
  </si>
  <si>
    <t xml:space="preserve"> 43108.38 </t>
  </si>
  <si>
    <t xml:space="preserve"> 35.8294 </t>
  </si>
  <si>
    <t>C:\Users\andre\Desktop\REACTIV CEFAS\Tamoxifen\Tamoxifen/20201125_Cefas_Test7_Run2/Plate 1/@5/C5_01- exclu.tif</t>
  </si>
  <si>
    <t>C:\Users\andre\Desktop\REACTIV CEFAS\Tamoxifen\Tamoxifen/20201125_Cefas_Test7_Run2/Plate 1/@5/C5_02- exclu.tif</t>
  </si>
  <si>
    <t>C:\Users\andre\Desktop\REACTIV CEFAS\Tamoxifen\Tamoxifen/20201125_Cefas_Test7_Run2/Plate 1/@5/C5_03- exclu.tif</t>
  </si>
  <si>
    <t xml:space="preserve">C:\Users\andre\Desktop\REACTIV CEFAS\Tamoxifen\Tamoxifen/20201125_Cefas_Test7_Run2/Plate 1/@5/D5_01.tif </t>
  </si>
  <si>
    <t xml:space="preserve"> 55394.1601 </t>
  </si>
  <si>
    <t xml:space="preserve"> 38.0894 </t>
  </si>
  <si>
    <t xml:space="preserve">C:\Users\andre\Desktop\REACTIV CEFAS\Tamoxifen\Tamoxifen/20201125_Cefas_Test7_Run2/Plate 1/@5/D5_02.tif </t>
  </si>
  <si>
    <t xml:space="preserve"> 47282.9497 </t>
  </si>
  <si>
    <t xml:space="preserve"> 39.0206 </t>
  </si>
  <si>
    <t xml:space="preserve">C:\Users\andre\Desktop\REACTIV CEFAS\Tamoxifen\Tamoxifen/20201125_Cefas_Test7_Run2/Plate 1/@5/D5_03.tif </t>
  </si>
  <si>
    <t xml:space="preserve"> 47326.2094 </t>
  </si>
  <si>
    <t xml:space="preserve"> 37.3167 </t>
  </si>
  <si>
    <t xml:space="preserve">C:\Users\andre\Desktop\REACTIV CEFAS\Tamoxifen\Tamoxifen/20201125_Cefas_Test7_Run2/Plate 1/@5/E5_01.tif </t>
  </si>
  <si>
    <t xml:space="preserve"> 48018.3661 </t>
  </si>
  <si>
    <t xml:space="preserve"> 38.0378 </t>
  </si>
  <si>
    <t xml:space="preserve">C:\Users\andre\Desktop\REACTIV CEFAS\Tamoxifen\Tamoxifen/20201125_Cefas_Test7_Run2/Plate 1/@5/E5_02.tif </t>
  </si>
  <si>
    <t xml:space="preserve"> 43324.6789 </t>
  </si>
  <si>
    <t xml:space="preserve"> 35.8183 </t>
  </si>
  <si>
    <t xml:space="preserve">C:\Users\andre\Desktop\REACTIV CEFAS\Tamoxifen\Tamoxifen/20201125_Cefas_Test7_Run2/Plate 1/@5/E5_03.tif </t>
  </si>
  <si>
    <t xml:space="preserve"> 42524.3728 </t>
  </si>
  <si>
    <t xml:space="preserve"> 35.4736 </t>
  </si>
  <si>
    <t xml:space="preserve">C:\Users\andre\Desktop\REACTIV CEFAS\Tamoxifen\Tamoxifen/20201125_Cefas_Test7_Run2/Plate 1/@5/F5_01.tif </t>
  </si>
  <si>
    <t xml:space="preserve"> 37052.0095 </t>
  </si>
  <si>
    <t xml:space="preserve"> 37.5902 </t>
  </si>
  <si>
    <t>C:\Users\andre\Desktop\REACTIV CEFAS\Tamoxifen\Tamoxifen/20201125_Cefas_Test7_Run2/Plate 1/@5/F5_02- exclu.tif</t>
  </si>
  <si>
    <t xml:space="preserve">C:\Users\andre\Desktop\REACTIV CEFAS\Tamoxifen\Tamoxifen/20201125_Cefas_Test7_Run2/Plate 1/@5/F5_03.tif </t>
  </si>
  <si>
    <t xml:space="preserve"> 42632.5223 </t>
  </si>
  <si>
    <t xml:space="preserve"> 38.4216 </t>
  </si>
  <si>
    <t xml:space="preserve">C:\Users\andre\Desktop\REACTIV CEFAS\Tamoxifen\Tamoxifen/20201125_Cefas_Test7_Run2/Plate 1/@5/G5_01.tif </t>
  </si>
  <si>
    <t xml:space="preserve"> 34953.9097 </t>
  </si>
  <si>
    <t xml:space="preserve"> 34.409 </t>
  </si>
  <si>
    <t xml:space="preserve">C:\Users\andre\Desktop\REACTIV CEFAS\Tamoxifen\Tamoxifen/20201125_Cefas_Test7_Run2/Plate 1/@5/G5_02.tif </t>
  </si>
  <si>
    <t xml:space="preserve"> 14967.8871 </t>
  </si>
  <si>
    <t xml:space="preserve"> 31.8728 </t>
  </si>
  <si>
    <t xml:space="preserve">C:\Users\andre\Desktop\REACTIV CEFAS\Tamoxifen\Tamoxifen/20201125_Cefas_Test7_Run2/Plate 1/@5/G5_03.tif </t>
  </si>
  <si>
    <t xml:space="preserve"> 21759.674 </t>
  </si>
  <si>
    <t xml:space="preserve"> 34.2087 </t>
  </si>
  <si>
    <t xml:space="preserve">C:\Users\andre\Desktop\REACTIV CEFAS\Tamoxifen\Tamoxifen/20201125_Cefas_Test7_Run2/Plate 1/@5/H5_01.tif </t>
  </si>
  <si>
    <t xml:space="preserve"> 75098.9942 </t>
  </si>
  <si>
    <t xml:space="preserve"> 39.6604 </t>
  </si>
  <si>
    <t xml:space="preserve">C:\Users\andre\Desktop\REACTIV CEFAS\Tamoxifen\Tamoxifen/20201125_Cefas_Test7_Run2/Plate 1/@5/H5_02.tif </t>
  </si>
  <si>
    <t xml:space="preserve"> 76829.3857 </t>
  </si>
  <si>
    <t xml:space="preserve"> 41.0909 </t>
  </si>
  <si>
    <t xml:space="preserve">C:\Users\andre\Desktop\REACTIV CEFAS\Tamoxifen\Tamoxifen/20201125_Cefas_Test7_Run2/Plate 1/@5/H5_03.tif </t>
  </si>
  <si>
    <t xml:space="preserve"> 62423.8759 </t>
  </si>
  <si>
    <t xml:space="preserve"> 37.9615 </t>
  </si>
  <si>
    <t xml:space="preserve">C:\Users\andre\Desktop\REACTIV CEFAS\Tamoxifen\Tamoxifen/20201125_Cefas_Test7_Run2/Plate 1/@5/ </t>
  </si>
  <si>
    <t xml:space="preserve"> 34.8357 </t>
  </si>
  <si>
    <t xml:space="preserve"> 11.1335 </t>
  </si>
  <si>
    <t xml:space="preserve"> 1587408.83 </t>
  </si>
  <si>
    <t xml:space="preserve"> 841427.826 </t>
  </si>
  <si>
    <t xml:space="preserve">C:\Users\andre\Desktop\REACTIV CEFAS\Tamoxifen\Tamoxifen/20201125_Cefas_Test7_Run2/Plate 1/@6/A6_01.tif </t>
  </si>
  <si>
    <t xml:space="preserve"> 14794.8479 </t>
  </si>
  <si>
    <t xml:space="preserve"> 37.3947 </t>
  </si>
  <si>
    <t xml:space="preserve">C:\Users\andre\Desktop\REACTIV CEFAS\Tamoxifen\Tamoxifen/20201125_Cefas_Test7_Run2/Plate 1/@6/A6_02.tif </t>
  </si>
  <si>
    <t xml:space="preserve"> 6770.157 </t>
  </si>
  <si>
    <t xml:space="preserve"> 34.508 </t>
  </si>
  <si>
    <t xml:space="preserve">C:\Users\andre\Desktop\REACTIV CEFAS\Tamoxifen\Tamoxifen/20201125_Cefas_Test7_Run2/Plate 1/@6/A6_03.tif </t>
  </si>
  <si>
    <t xml:space="preserve"> 8868.2568 </t>
  </si>
  <si>
    <t xml:space="preserve"> 34.661 </t>
  </si>
  <si>
    <t xml:space="preserve">C:\Users\andre\Desktop\REACTIV CEFAS\Tamoxifen\Tamoxifen/20201125_Cefas_Test7_Run2/Plate 1/@6/B6_01.tif </t>
  </si>
  <si>
    <t xml:space="preserve"> 79662.9019 </t>
  </si>
  <si>
    <t xml:space="preserve"> 43.7203 </t>
  </si>
  <si>
    <t xml:space="preserve">C:\Users\andre\Desktop\REACTIV CEFAS\Tamoxifen\Tamoxifen/20201125_Cefas_Test7_Run2/Plate 1/@6/B6_02.tif </t>
  </si>
  <si>
    <t xml:space="preserve"> 69929.4493 </t>
  </si>
  <si>
    <t xml:space="preserve"> 43.6421 </t>
  </si>
  <si>
    <t xml:space="preserve">C:\Users\andre\Desktop\REACTIV CEFAS\Tamoxifen\Tamoxifen/20201125_Cefas_Test7_Run2/Plate 1/@6/B6_03.tif </t>
  </si>
  <si>
    <t xml:space="preserve"> 71789.6203 </t>
  </si>
  <si>
    <t xml:space="preserve"> 42.1657 </t>
  </si>
  <si>
    <t xml:space="preserve">C:\Users\andre\Desktop\REACTIV CEFAS\Tamoxifen\Tamoxifen/20201125_Cefas_Test7_Run2/Plate 1/@6/C6_01.tif </t>
  </si>
  <si>
    <t xml:space="preserve"> 37527.8672 </t>
  </si>
  <si>
    <t xml:space="preserve"> 43.1879 </t>
  </si>
  <si>
    <t xml:space="preserve">C:\Users\andre\Desktop\REACTIV CEFAS\Tamoxifen\Tamoxifen/20201125_Cefas_Test7_Run2/Plate 1/@6/C6_02.tif </t>
  </si>
  <si>
    <t xml:space="preserve"> 36900.6002 </t>
  </si>
  <si>
    <t xml:space="preserve"> 43.9631 </t>
  </si>
  <si>
    <t xml:space="preserve">C:\Users\andre\Desktop\REACTIV CEFAS\Tamoxifen\Tamoxifen/20201125_Cefas_Test7_Run2/Plate 1/@6/C6_03.tif </t>
  </si>
  <si>
    <t xml:space="preserve"> 42805.5615 </t>
  </si>
  <si>
    <t xml:space="preserve"> 42.4275 </t>
  </si>
  <si>
    <t xml:space="preserve">C:\Users\andre\Desktop\REACTIV CEFAS\Tamoxifen\Tamoxifen/20201125_Cefas_Test7_Run2/Plate 1/@6/D6_01.tif </t>
  </si>
  <si>
    <t xml:space="preserve"> 44622.4726 </t>
  </si>
  <si>
    <t xml:space="preserve"> 36.2574 </t>
  </si>
  <si>
    <t xml:space="preserve">C:\Users\andre\Desktop\REACTIV CEFAS\Tamoxifen\Tamoxifen/20201125_Cefas_Test7_Run2/Plate 1/@6/D6_02.tif </t>
  </si>
  <si>
    <t xml:space="preserve"> 50159.7256 </t>
  </si>
  <si>
    <t xml:space="preserve"> 39.1259 </t>
  </si>
  <si>
    <t xml:space="preserve">C:\Users\andre\Desktop\REACTIV CEFAS\Tamoxifen\Tamoxifen/20201125_Cefas_Test7_Run2/Plate 1/@6/D6_03.tif </t>
  </si>
  <si>
    <t xml:space="preserve"> 19207.3464 </t>
  </si>
  <si>
    <t xml:space="preserve"> 33.4583 </t>
  </si>
  <si>
    <t xml:space="preserve">C:\Users\andre\Desktop\REACTIV CEFAS\Tamoxifen\Tamoxifen/20201125_Cefas_Test7_Run2/Plate 1/@6/E6_01.tif </t>
  </si>
  <si>
    <t xml:space="preserve"> 60412.2957 </t>
  </si>
  <si>
    <t xml:space="preserve"> 43.1078 </t>
  </si>
  <si>
    <t>C:\Users\andre\Desktop\REACTIV CEFAS\Tamoxifen\Tamoxifen/20201125_Cefas_Test7_Run2/Plate 1/@6/E6_02- exclu.tif</t>
  </si>
  <si>
    <t xml:space="preserve">C:\Users\andre\Desktop\REACTIV CEFAS\Tamoxifen\Tamoxifen/20201125_Cefas_Test7_Run2/Plate 1/@6/E6_03.tif </t>
  </si>
  <si>
    <t xml:space="preserve"> 77564.8021 </t>
  </si>
  <si>
    <t xml:space="preserve"> 47.7931 </t>
  </si>
  <si>
    <t xml:space="preserve">C:\Users\andre\Desktop\REACTIV CEFAS\Tamoxifen\Tamoxifen/20201125_Cefas_Test7_Run2/Plate 1/@6/F6_01.tif </t>
  </si>
  <si>
    <t xml:space="preserve"> 64219.1572 </t>
  </si>
  <si>
    <t xml:space="preserve"> 42.6278 </t>
  </si>
  <si>
    <t xml:space="preserve">C:\Users\andre\Desktop\REACTIV CEFAS\Tamoxifen\Tamoxifen/20201125_Cefas_Test7_Run2/Plate 1/@6/F6_02.tif </t>
  </si>
  <si>
    <t xml:space="preserve"> 63873.0788 </t>
  </si>
  <si>
    <t xml:space="preserve"> 43.3207 </t>
  </si>
  <si>
    <t xml:space="preserve">C:\Users\andre\Desktop\REACTIV CEFAS\Tamoxifen\Tamoxifen/20201125_Cefas_Test7_Run2/Plate 1/@6/F6_03.tif </t>
  </si>
  <si>
    <t xml:space="preserve"> 63570.2603 </t>
  </si>
  <si>
    <t xml:space="preserve"> 42.8704 </t>
  </si>
  <si>
    <t xml:space="preserve">C:\Users\andre\Desktop\REACTIV CEFAS\Tamoxifen\Tamoxifen/20201125_Cefas_Test7_Run2/Plate 1/@6/G6_01.tif </t>
  </si>
  <si>
    <t xml:space="preserve"> 40469.5329 </t>
  </si>
  <si>
    <t xml:space="preserve"> 44.3025 </t>
  </si>
  <si>
    <t xml:space="preserve">C:\Users\andre\Desktop\REACTIV CEFAS\Tamoxifen\Tamoxifen/20201125_Cefas_Test7_Run2/Plate 1/@6/G6_02.tif </t>
  </si>
  <si>
    <t xml:space="preserve"> 42026.8853 </t>
  </si>
  <si>
    <t xml:space="preserve"> 48.5409 </t>
  </si>
  <si>
    <t xml:space="preserve">C:\Users\andre\Desktop\REACTIV CEFAS\Tamoxifen\Tamoxifen/20201125_Cefas_Test7_Run2/Plate 1/@6/G6_03.tif </t>
  </si>
  <si>
    <t xml:space="preserve"> 37571.127 </t>
  </si>
  <si>
    <t xml:space="preserve"> 44.1952 </t>
  </si>
  <si>
    <t xml:space="preserve">C:\Users\andre\Desktop\REACTIV CEFAS\Tamoxifen\Tamoxifen/20201125_Cefas_Test7_Run2/Plate 1/@6/H6_01.tif </t>
  </si>
  <si>
    <t xml:space="preserve"> 65473.691 </t>
  </si>
  <si>
    <t xml:space="preserve"> 39.1658 </t>
  </si>
  <si>
    <t xml:space="preserve">C:\Users\andre\Desktop\REACTIV CEFAS\Tamoxifen\Tamoxifen/20201125_Cefas_Test7_Run2/Plate 1/@6/H6_02.tif </t>
  </si>
  <si>
    <t xml:space="preserve"> 68177.4279 </t>
  </si>
  <si>
    <t xml:space="preserve"> 40.1129 </t>
  </si>
  <si>
    <t xml:space="preserve">C:\Users\andre\Desktop\REACTIV CEFAS\Tamoxifen\Tamoxifen/20201125_Cefas_Test7_Run2/Plate 1/@6/H6_03.tif </t>
  </si>
  <si>
    <t xml:space="preserve"> 56843.3631 </t>
  </si>
  <si>
    <t xml:space="preserve"> 38.3116 </t>
  </si>
  <si>
    <t xml:space="preserve">C:\Users\andre\Desktop\REACTIV CEFAS\Tamoxifen\Tamoxifen/20201125_Cefas_Test7_Run2/Plate 1/@6/ </t>
  </si>
  <si>
    <t xml:space="preserve"> 41.121 </t>
  </si>
  <si>
    <t xml:space="preserve"> 4.0077 </t>
  </si>
  <si>
    <t xml:space="preserve"> 2061520.83 </t>
  </si>
  <si>
    <t xml:space="preserve"> 947436.581 </t>
  </si>
  <si>
    <t xml:space="preserve">C:\Users\andre\Desktop\REACTIV CEFAS\Tamoxifen\Tamoxifen/20201125_Cefas_Test7_Run2/Plate 1/@7/A7_01.tif </t>
  </si>
  <si>
    <t xml:space="preserve"> 86000.461 </t>
  </si>
  <si>
    <t xml:space="preserve"> 56.7558 </t>
  </si>
  <si>
    <t xml:space="preserve">C:\Users\andre\Desktop\REACTIV CEFAS\Tamoxifen\Tamoxifen/20201125_Cefas_Test7_Run2/Plate 1/@7/A7_02.tif </t>
  </si>
  <si>
    <t xml:space="preserve"> 85221.7848 </t>
  </si>
  <si>
    <t xml:space="preserve"> 54.5635 </t>
  </si>
  <si>
    <t xml:space="preserve">C:\Users\andre\Desktop\REACTIV CEFAS\Tamoxifen\Tamoxifen/20201125_Cefas_Test7_Run2/Plate 1/@7/A7_03.tif </t>
  </si>
  <si>
    <t xml:space="preserve"> 82193.5996 </t>
  </si>
  <si>
    <t xml:space="preserve"> 54.6979 </t>
  </si>
  <si>
    <t>C:\Users\andre\Desktop\REACTIV CEFAS\Tamoxifen\Tamoxifen/20201125_Cefas_Test7_Run2/Plate 1/@7/B7_01- exclu.tif</t>
  </si>
  <si>
    <t>C:\Users\andre\Desktop\REACTIV CEFAS\Tamoxifen\Tamoxifen/20201125_Cefas_Test7_Run2/Plate 1/@7/B7_02- exclu.tif</t>
  </si>
  <si>
    <t>C:\Users\andre\Desktop\REACTIV CEFAS\Tamoxifen\Tamoxifen/20201125_Cefas_Test7_Run2/Plate 1/@7/B7_03- exclu.tif</t>
  </si>
  <si>
    <t xml:space="preserve">C:\Users\andre\Desktop\REACTIV CEFAS\Tamoxifen\Tamoxifen/20201125_Cefas_Test7_Run2/Plate 1/@7/C7_01.tif </t>
  </si>
  <si>
    <t xml:space="preserve"> 66749.8548 </t>
  </si>
  <si>
    <t xml:space="preserve"> 54.7168 </t>
  </si>
  <si>
    <t xml:space="preserve">C:\Users\andre\Desktop\REACTIV CEFAS\Tamoxifen\Tamoxifen/20201125_Cefas_Test7_Run2/Plate 1/@7/C7_02.tif </t>
  </si>
  <si>
    <t xml:space="preserve"> 73563.2716 </t>
  </si>
  <si>
    <t xml:space="preserve"> 51.6442 </t>
  </si>
  <si>
    <t xml:space="preserve">C:\Users\andre\Desktop\REACTIV CEFAS\Tamoxifen\Tamoxifen/20201125_Cefas_Test7_Run2/Plate 1/@7/C7_03.tif </t>
  </si>
  <si>
    <t xml:space="preserve"> 64543.6056 </t>
  </si>
  <si>
    <t xml:space="preserve"> 54.0697 </t>
  </si>
  <si>
    <t xml:space="preserve">C:\Users\andre\Desktop\REACTIV CEFAS\Tamoxifen\Tamoxifen/20201125_Cefas_Test7_Run2/Plate 1/@7/D7_01.tif </t>
  </si>
  <si>
    <t xml:space="preserve"> 58379.0856 </t>
  </si>
  <si>
    <t xml:space="preserve"> 55.0582 </t>
  </si>
  <si>
    <t xml:space="preserve">C:\Users\andre\Desktop\REACTIV CEFAS\Tamoxifen\Tamoxifen/20201125_Cefas_Test7_Run2/Plate 1/@7/D7_02.tif </t>
  </si>
  <si>
    <t xml:space="preserve"> 61234.2317 </t>
  </si>
  <si>
    <t xml:space="preserve"> 59.5878 </t>
  </si>
  <si>
    <t xml:space="preserve">C:\Users\andre\Desktop\REACTIV CEFAS\Tamoxifen\Tamoxifen/20201125_Cefas_Test7_Run2/Plate 1/@7/D7_03.tif </t>
  </si>
  <si>
    <t xml:space="preserve"> 56302.6157 </t>
  </si>
  <si>
    <t xml:space="preserve"> 53.2516 </t>
  </si>
  <si>
    <t xml:space="preserve">C:\Users\andre\Desktop\REACTIV CEFAS\Tamoxifen\Tamoxifen/20201125_Cefas_Test7_Run2/Plate 1/@7/E7_01.tif </t>
  </si>
  <si>
    <t xml:space="preserve"> 85632.7528 </t>
  </si>
  <si>
    <t xml:space="preserve"> 56.2064 </t>
  </si>
  <si>
    <t xml:space="preserve">C:\Users\andre\Desktop\REACTIV CEFAS\Tamoxifen\Tamoxifen/20201125_Cefas_Test7_Run2/Plate 1/@7/E7_02.tif </t>
  </si>
  <si>
    <t xml:space="preserve"> 86411.429 </t>
  </si>
  <si>
    <t xml:space="preserve"> 61.4711 </t>
  </si>
  <si>
    <t xml:space="preserve">C:\Users\andre\Desktop\REACTIV CEFAS\Tamoxifen\Tamoxifen/20201125_Cefas_Test7_Run2/Plate 1/@7/E7_03.tif </t>
  </si>
  <si>
    <t xml:space="preserve"> 78148.8093 </t>
  </si>
  <si>
    <t xml:space="preserve"> 57.1143 </t>
  </si>
  <si>
    <t xml:space="preserve">C:\Users\andre\Desktop\REACTIV CEFAS\Tamoxifen\Tamoxifen/20201125_Cefas_Test7_Run2/Plate 1/@7/F7_01.tif </t>
  </si>
  <si>
    <t xml:space="preserve"> 47542.5084 </t>
  </si>
  <si>
    <t xml:space="preserve"> 53.3385 </t>
  </si>
  <si>
    <t xml:space="preserve">C:\Users\andre\Desktop\REACTIV CEFAS\Tamoxifen\Tamoxifen/20201125_Cefas_Test7_Run2/Plate 1/@7/F7_02.tif </t>
  </si>
  <si>
    <t xml:space="preserve"> 44644.1025 </t>
  </si>
  <si>
    <t xml:space="preserve"> 52.3304 </t>
  </si>
  <si>
    <t xml:space="preserve">C:\Users\andre\Desktop\REACTIV CEFAS\Tamoxifen\Tamoxifen/20201125_Cefas_Test7_Run2/Plate 1/@7/F7_03.tif </t>
  </si>
  <si>
    <t xml:space="preserve"> 49986.6865 </t>
  </si>
  <si>
    <t xml:space="preserve"> 55.2627 </t>
  </si>
  <si>
    <t xml:space="preserve">C:\Users\andre\Desktop\REACTIV CEFAS\Tamoxifen\Tamoxifen/20201125_Cefas_Test7_Run2/Plate 1/@7/G7_01.tif </t>
  </si>
  <si>
    <t xml:space="preserve"> 66858.0043 </t>
  </si>
  <si>
    <t xml:space="preserve"> 60.8651 </t>
  </si>
  <si>
    <t xml:space="preserve">C:\Users\andre\Desktop\REACTIV CEFAS\Tamoxifen\Tamoxifen/20201125_Cefas_Test7_Run2/Plate 1/@7/G7_02.tif </t>
  </si>
  <si>
    <t xml:space="preserve"> 62683.4346 </t>
  </si>
  <si>
    <t xml:space="preserve"> 63.4275 </t>
  </si>
  <si>
    <t xml:space="preserve">C:\Users\andre\Desktop\REACTIV CEFAS\Tamoxifen\Tamoxifen/20201125_Cefas_Test7_Run2/Plate 1/@7/G7_03.tif </t>
  </si>
  <si>
    <t xml:space="preserve"> 69042.6237 </t>
  </si>
  <si>
    <t xml:space="preserve"> 59.8725 </t>
  </si>
  <si>
    <t xml:space="preserve">C:\Users\andre\Desktop\REACTIV CEFAS\Tamoxifen\Tamoxifen/20201125_Cefas_Test7_Run2/Plate 1/@7/H7_01.tif </t>
  </si>
  <si>
    <t xml:space="preserve"> 61731.7193 </t>
  </si>
  <si>
    <t xml:space="preserve"> 59.3563 </t>
  </si>
  <si>
    <t xml:space="preserve">C:\Users\andre\Desktop\REACTIV CEFAS\Tamoxifen\Tamoxifen/20201125_Cefas_Test7_Run2/Plate 1/@7/H7_02.tif </t>
  </si>
  <si>
    <t xml:space="preserve"> 66036.0683 </t>
  </si>
  <si>
    <t xml:space="preserve"> 55.734 </t>
  </si>
  <si>
    <t xml:space="preserve">C:\Users\andre\Desktop\REACTIV CEFAS\Tamoxifen\Tamoxifen/20201125_Cefas_Test7_Run2/Plate 1/@7/H7_03.tif </t>
  </si>
  <si>
    <t xml:space="preserve"> 57730.1888 </t>
  </si>
  <si>
    <t xml:space="preserve"> 61.2825 </t>
  </si>
  <si>
    <t xml:space="preserve">C:\Users\andre\Desktop\REACTIV CEFAS\Tamoxifen\Tamoxifen/20201125_Cefas_Test7_Run2/Plate 1/@7/ </t>
  </si>
  <si>
    <t xml:space="preserve"> 54.1366 </t>
  </si>
  <si>
    <t xml:space="preserve"> 7.5914 </t>
  </si>
  <si>
    <t xml:space="preserve"> 3446944.58 </t>
  </si>
  <si>
    <t xml:space="preserve"> 1236038.46 </t>
  </si>
  <si>
    <t xml:space="preserve">C:\Users\andre\Desktop\REACTIV CEFAS\Tamoxifen\Tamoxifen/20201125_Cefas_Test7_Run2/Plate 3/@10/A4_01.tif </t>
  </si>
  <si>
    <t xml:space="preserve"> 6488.9684 </t>
  </si>
  <si>
    <t xml:space="preserve"> 37.39 </t>
  </si>
  <si>
    <t xml:space="preserve">C:\Users\andre\Desktop\REACTIV CEFAS\Tamoxifen\Tamoxifen/20201125_Cefas_Test7_Run2/Plate 3/@10/A4_02.tif </t>
  </si>
  <si>
    <t xml:space="preserve"> 35.7877 </t>
  </si>
  <si>
    <t xml:space="preserve">C:\Users\andre\Desktop\REACTIV CEFAS\Tamoxifen\Tamoxifen/20201125_Cefas_Test7_Run2/Plate 3/@10/A4_03.tif </t>
  </si>
  <si>
    <t xml:space="preserve"> 5407.4737 </t>
  </si>
  <si>
    <t xml:space="preserve"> 34.444 </t>
  </si>
  <si>
    <t xml:space="preserve">C:\Users\andre\Desktop\REACTIV CEFAS\Tamoxifen\Tamoxifen/20201125_Cefas_Test7_Run2/Plate 3/@10/B4_01.tif </t>
  </si>
  <si>
    <t xml:space="preserve"> 5039.7654 </t>
  </si>
  <si>
    <t xml:space="preserve"> 37.7425 </t>
  </si>
  <si>
    <t xml:space="preserve">C:\Users\andre\Desktop\REACTIV CEFAS\Tamoxifen\Tamoxifen/20201125_Cefas_Test7_Run2/Plate 3/@10/B4_02.tif </t>
  </si>
  <si>
    <t xml:space="preserve"> 33.378 </t>
  </si>
  <si>
    <t xml:space="preserve">C:\Users\andre\Desktop\REACTIV CEFAS\Tamoxifen\Tamoxifen/20201125_Cefas_Test7_Run2/Plate 3/@10/B4_03.tif </t>
  </si>
  <si>
    <t xml:space="preserve"> 2119.7297 </t>
  </si>
  <si>
    <t xml:space="preserve"> 34.1327 </t>
  </si>
  <si>
    <t xml:space="preserve">C:\Users\andre\Desktop\REACTIV CEFAS\Tamoxifen\Tamoxifen/20201125_Cefas_Test7_Run2/Plate 3/@10/C4_01.tif </t>
  </si>
  <si>
    <t xml:space="preserve"> 670.5267 </t>
  </si>
  <si>
    <t xml:space="preserve"> 31.1613 </t>
  </si>
  <si>
    <t xml:space="preserve">C:\Users\andre\Desktop\REACTIV CEFAS\Tamoxifen\Tamoxifen/20201125_Cefas_Test7_Run2/Plate 3/@10/C4_02.tif </t>
  </si>
  <si>
    <t xml:space="preserve"> 2465.808 </t>
  </si>
  <si>
    <t xml:space="preserve"> 33.193 </t>
  </si>
  <si>
    <t xml:space="preserve">C:\Users\andre\Desktop\REACTIV CEFAS\Tamoxifen\Tamoxifen/20201125_Cefas_Test7_Run2/Plate 3/@10/C4_03.tif </t>
  </si>
  <si>
    <t xml:space="preserve"> 34.3861 </t>
  </si>
  <si>
    <t xml:space="preserve">C:\Users\andre\Desktop\REACTIV CEFAS\Tamoxifen\Tamoxifen/20201125_Cefas_Test7_Run2/Plate 3/@10/D4_01.tif </t>
  </si>
  <si>
    <t xml:space="preserve"> 2876.776 </t>
  </si>
  <si>
    <t xml:space="preserve"> 36.6316 </t>
  </si>
  <si>
    <t xml:space="preserve">C:\Users\andre\Desktop\REACTIV CEFAS\Tamoxifen\Tamoxifen/20201125_Cefas_Test7_Run2/Plate 3/@10/D4_02.tif </t>
  </si>
  <si>
    <t xml:space="preserve"> 4585.5377 </t>
  </si>
  <si>
    <t xml:space="preserve"> 35.3255 </t>
  </si>
  <si>
    <t xml:space="preserve">C:\Users\andre\Desktop\REACTIV CEFAS\Tamoxifen\Tamoxifen/20201125_Cefas_Test7_Run2/Plate 3/@10/D4_03.tif </t>
  </si>
  <si>
    <t xml:space="preserve"> 5861.7014 </t>
  </si>
  <si>
    <t xml:space="preserve"> 34.4244 </t>
  </si>
  <si>
    <t xml:space="preserve">C:\Users\andre\Desktop\REACTIV CEFAS\Tamoxifen\Tamoxifen/20201125_Cefas_Test7_Run2/Plate 3/@10/E4_01.tif </t>
  </si>
  <si>
    <t xml:space="preserve"> 7440.6838 </t>
  </si>
  <si>
    <t xml:space="preserve"> 34.8808 </t>
  </si>
  <si>
    <t xml:space="preserve">C:\Users\andre\Desktop\REACTIV CEFAS\Tamoxifen\Tamoxifen/20201125_Cefas_Test7_Run2/Plate 3/@10/E4_02.tif </t>
  </si>
  <si>
    <t xml:space="preserve"> 1362.6834 </t>
  </si>
  <si>
    <t xml:space="preserve"> 33.2381 </t>
  </si>
  <si>
    <t xml:space="preserve">C:\Users\andre\Desktop\REACTIV CEFAS\Tamoxifen\Tamoxifen/20201125_Cefas_Test7_Run2/Plate 3/@10/E4_03.tif </t>
  </si>
  <si>
    <t xml:space="preserve"> 8846.6269 </t>
  </si>
  <si>
    <t xml:space="preserve"> 38.8093 </t>
  </si>
  <si>
    <t xml:space="preserve">C:\Users\andre\Desktop\REACTIV CEFAS\Tamoxifen\Tamoxifen/20201125_Cefas_Test7_Run2/Plate 3/@10/F4_01.tif </t>
  </si>
  <si>
    <t xml:space="preserve"> 8976.4063 </t>
  </si>
  <si>
    <t xml:space="preserve"> 40.8602 </t>
  </si>
  <si>
    <t xml:space="preserve">C:\Users\andre\Desktop\REACTIV CEFAS\Tamoxifen\Tamoxifen/20201125_Cefas_Test7_Run2/Plate 3/@10/F4_02.tif </t>
  </si>
  <si>
    <t xml:space="preserve"> 2509.0678 </t>
  </si>
  <si>
    <t xml:space="preserve"> 36.931 </t>
  </si>
  <si>
    <t xml:space="preserve">C:\Users\andre\Desktop\REACTIV CEFAS\Tamoxifen\Tamoxifen/20201125_Cefas_Test7_Run2/Plate 3/@10/F4_03.tif </t>
  </si>
  <si>
    <t xml:space="preserve"> 259.5587 </t>
  </si>
  <si>
    <t xml:space="preserve"> 31.75 </t>
  </si>
  <si>
    <t xml:space="preserve">C:\Users\andre\Desktop\REACTIV CEFAS\Tamoxifen\Tamoxifen/20201125_Cefas_Test7_Run2/Plate 3/@10/G4_01.tif </t>
  </si>
  <si>
    <t xml:space="preserve"> 3979.9006 </t>
  </si>
  <si>
    <t xml:space="preserve"> 36.0217 </t>
  </si>
  <si>
    <t xml:space="preserve">C:\Users\andre\Desktop\REACTIV CEFAS\Tamoxifen\Tamoxifen/20201125_Cefas_Test7_Run2/Plate 3/@10/G4_02.tif </t>
  </si>
  <si>
    <t xml:space="preserve"> 10274.1999 </t>
  </si>
  <si>
    <t xml:space="preserve"> 43.8232 </t>
  </si>
  <si>
    <t xml:space="preserve">C:\Users\andre\Desktop\REACTIV CEFAS\Tamoxifen\Tamoxifen/20201125_Cefas_Test7_Run2/Plate 3/@10/G4_03.tif </t>
  </si>
  <si>
    <t xml:space="preserve"> 32.5 </t>
  </si>
  <si>
    <t xml:space="preserve">C:\Users\andre\Desktop\REACTIV CEFAS\Tamoxifen\Tamoxifen/20201125_Cefas_Test7_Run2/Plate 3/@10/H4_01.tif </t>
  </si>
  <si>
    <t xml:space="preserve"> 1276.1638 </t>
  </si>
  <si>
    <t xml:space="preserve"> 31.7288 </t>
  </si>
  <si>
    <t xml:space="preserve">C:\Users\andre\Desktop\REACTIV CEFAS\Tamoxifen\Tamoxifen/20201125_Cefas_Test7_Run2/Plate 3/@10/H4_02.tif </t>
  </si>
  <si>
    <t xml:space="preserve"> 3006.5554 </t>
  </si>
  <si>
    <t xml:space="preserve"> 32.4532 </t>
  </si>
  <si>
    <t xml:space="preserve">C:\Users\andre\Desktop\REACTIV CEFAS\Tamoxifen\Tamoxifen/20201125_Cefas_Test7_Run2/Plate 3/@10/H4_03.tif </t>
  </si>
  <si>
    <t xml:space="preserve"> 2162.9895 </t>
  </si>
  <si>
    <t xml:space="preserve"> 33.54 </t>
  </si>
  <si>
    <t xml:space="preserve">C:\Users\andre\Desktop\REACTIV CEFAS\Tamoxifen\Tamoxifen/20201125_Cefas_Test7_Run2/Plate 3/@10/ </t>
  </si>
  <si>
    <t xml:space="preserve"> 35.1889 </t>
  </si>
  <si>
    <t xml:space="preserve"> 3.0137 </t>
  </si>
  <si>
    <t xml:space="preserve"> 151246.083 </t>
  </si>
  <si>
    <t xml:space="preserve"> 118740.243 </t>
  </si>
  <si>
    <t xml:space="preserve">C:\Users\andre\Desktop\REACTIV CEFAS\Tamoxifen\Tamoxifen/20201125_Cefas_Test7_Run2/Plate 3/@11/A5_01.tif </t>
  </si>
  <si>
    <t xml:space="preserve"> 17022.7271 </t>
  </si>
  <si>
    <t xml:space="preserve"> 32.4015 </t>
  </si>
  <si>
    <t xml:space="preserve">C:\Users\andre\Desktop\REACTIV CEFAS\Tamoxifen\Tamoxifen/20201125_Cefas_Test7_Run2/Plate 3/@11/A5_02.tif </t>
  </si>
  <si>
    <t xml:space="preserve"> 17996.0723 </t>
  </si>
  <si>
    <t xml:space="preserve"> 32.6094 </t>
  </si>
  <si>
    <t xml:space="preserve">C:\Users\andre\Desktop\REACTIV CEFAS\Tamoxifen\Tamoxifen/20201125_Cefas_Test7_Run2/Plate 3/@11/A5_03.tif </t>
  </si>
  <si>
    <t xml:space="preserve"> 22408.5708 </t>
  </si>
  <si>
    <t xml:space="preserve"> 38.2944 </t>
  </si>
  <si>
    <t xml:space="preserve">C:\Users\andre\Desktop\REACTIV CEFAS\Tamoxifen\Tamoxifen/20201125_Cefas_Test7_Run2/Plate 3/@11/B5_01.tif </t>
  </si>
  <si>
    <t xml:space="preserve"> 45920.2663 </t>
  </si>
  <si>
    <t xml:space="preserve"> 35.0862 </t>
  </si>
  <si>
    <t xml:space="preserve">C:\Users\andre\Desktop\REACTIV CEFAS\Tamoxifen\Tamoxifen/20201125_Cefas_Test7_Run2/Plate 3/@11/B5_02.tif </t>
  </si>
  <si>
    <t xml:space="preserve"> 34456.4221 </t>
  </si>
  <si>
    <t xml:space="preserve"> 35.28 </t>
  </si>
  <si>
    <t xml:space="preserve">C:\Users\andre\Desktop\REACTIV CEFAS\Tamoxifen\Tamoxifen/20201125_Cefas_Test7_Run2/Plate 3/@11/B5_03.tif </t>
  </si>
  <si>
    <t xml:space="preserve"> 31449.8668 </t>
  </si>
  <si>
    <t xml:space="preserve"> 33.707 </t>
  </si>
  <si>
    <t xml:space="preserve">C:\Users\andre\Desktop\REACTIV CEFAS\Tamoxifen\Tamoxifen/20201125_Cefas_Test7_Run2/Plate 3/@11/C5_01.tif </t>
  </si>
  <si>
    <t xml:space="preserve"> 25069.0479 </t>
  </si>
  <si>
    <t xml:space="preserve"> 37.9034 </t>
  </si>
  <si>
    <t xml:space="preserve">C:\Users\andre\Desktop\REACTIV CEFAS\Tamoxifen\Tamoxifen/20201125_Cefas_Test7_Run2/Plate 3/@11/C5_02.tif </t>
  </si>
  <si>
    <t xml:space="preserve"> 27880.9342 </t>
  </si>
  <si>
    <t xml:space="preserve"> 36.9597 </t>
  </si>
  <si>
    <t xml:space="preserve">C:\Users\andre\Desktop\REACTIV CEFAS\Tamoxifen\Tamoxifen/20201125_Cefas_Test7_Run2/Plate 3/@11/C5_03.tif </t>
  </si>
  <si>
    <t xml:space="preserve"> 36468.0023 </t>
  </si>
  <si>
    <t xml:space="preserve"> 38.7954 </t>
  </si>
  <si>
    <t xml:space="preserve">C:\Users\andre\Desktop\REACTIV CEFAS\Tamoxifen\Tamoxifen/20201125_Cefas_Test7_Run2/Plate 3/@11/D5_01.tif </t>
  </si>
  <si>
    <t xml:space="preserve"> 36.313 </t>
  </si>
  <si>
    <t xml:space="preserve">C:\Users\andre\Desktop\REACTIV CEFAS\Tamoxifen\Tamoxifen/20201125_Cefas_Test7_Run2/Plate 3/@11/D5_02.tif </t>
  </si>
  <si>
    <t xml:space="preserve"> 14924.6273 </t>
  </si>
  <si>
    <t xml:space="preserve"> 35.9855 </t>
  </si>
  <si>
    <t xml:space="preserve">C:\Users\andre\Desktop\REACTIV CEFAS\Tamoxifen\Tamoxifen/20201125_Cefas_Test7_Run2/Plate 3/@11/D5_03.tif </t>
  </si>
  <si>
    <t xml:space="preserve"> 15422.1149 </t>
  </si>
  <si>
    <t xml:space="preserve"> 36.7896 </t>
  </si>
  <si>
    <t xml:space="preserve">C:\Users\andre\Desktop\REACTIV CEFAS\Tamoxifen\Tamoxifen/20201125_Cefas_Test7_Run2/Plate 3/@11/E5_01.tif </t>
  </si>
  <si>
    <t xml:space="preserve"> 34.6067 </t>
  </si>
  <si>
    <t xml:space="preserve">C:\Users\andre\Desktop\REACTIV CEFAS\Tamoxifen\Tamoxifen/20201125_Cefas_Test7_Run2/Plate 3/@11/E5_02.tif </t>
  </si>
  <si>
    <t xml:space="preserve"> 32.323 </t>
  </si>
  <si>
    <t xml:space="preserve">C:\Users\andre\Desktop\REACTIV CEFAS\Tamoxifen\Tamoxifen/20201125_Cefas_Test7_Run2/Plate 3/@11/E5_03.tif </t>
  </si>
  <si>
    <t xml:space="preserve"> 3633.8223 </t>
  </si>
  <si>
    <t xml:space="preserve"> 33.5298 </t>
  </si>
  <si>
    <t xml:space="preserve">C:\Users\andre\Desktop\REACTIV CEFAS\Tamoxifen\Tamoxifen/20201125_Cefas_Test7_Run2/Plate 3/@11/F5_01.tif </t>
  </si>
  <si>
    <t xml:space="preserve"> 31.8 </t>
  </si>
  <si>
    <t xml:space="preserve">C:\Users\andre\Desktop\REACTIV CEFAS\Tamoxifen\Tamoxifen/20201125_Cefas_Test7_Run2/Plate 3/@11/F5_02.tif </t>
  </si>
  <si>
    <t xml:space="preserve"> 2984.9255 </t>
  </si>
  <si>
    <t xml:space="preserve"> 33.5942 </t>
  </si>
  <si>
    <t xml:space="preserve">C:\Users\andre\Desktop\REACTIV CEFAS\Tamoxifen\Tamoxifen/20201125_Cefas_Test7_Run2/Plate 3/@11/F5_03.tif </t>
  </si>
  <si>
    <t xml:space="preserve"> 5667.0324 </t>
  </si>
  <si>
    <t xml:space="preserve"> 35.2519 </t>
  </si>
  <si>
    <t>C:\Users\andre\Desktop\REACTIV CEFAS\Tamoxifen\Tamoxifen/20201125_Cefas_Test7_Run2/Plate 3/@11/G5_01- exclu.tif</t>
  </si>
  <si>
    <t>C:\Users\andre\Desktop\REACTIV CEFAS\Tamoxifen\Tamoxifen/20201125_Cefas_Test7_Run2/Plate 3/@11/G5_02- exclu.tif</t>
  </si>
  <si>
    <t xml:space="preserve">C:\Users\andre\Desktop\REACTIV CEFAS\Tamoxifen\Tamoxifen/20201125_Cefas_Test7_Run2/Plate 3/@11/G5_03.tif </t>
  </si>
  <si>
    <t xml:space="preserve"> 3266.1141 </t>
  </si>
  <si>
    <t xml:space="preserve"> 40.0861 </t>
  </si>
  <si>
    <t xml:space="preserve">C:\Users\andre\Desktop\REACTIV CEFAS\Tamoxifen\Tamoxifen/20201125_Cefas_Test7_Run2/Plate 3/@11/H5_01.tif </t>
  </si>
  <si>
    <t xml:space="preserve"> 11788.2926 </t>
  </si>
  <si>
    <t xml:space="preserve"> 31.9541 </t>
  </si>
  <si>
    <t xml:space="preserve">C:\Users\andre\Desktop\REACTIV CEFAS\Tamoxifen\Tamoxifen/20201125_Cefas_Test7_Run2/Plate 3/@11/H5_02.tif </t>
  </si>
  <si>
    <t xml:space="preserve"> 23338.6563 </t>
  </si>
  <si>
    <t xml:space="preserve"> 33.4069 </t>
  </si>
  <si>
    <t xml:space="preserve">C:\Users\andre\Desktop\REACTIV CEFAS\Tamoxifen\Tamoxifen/20201125_Cefas_Test7_Run2/Plate 3/@11/H5_03.tif </t>
  </si>
  <si>
    <t xml:space="preserve"> 22322.0513 </t>
  </si>
  <si>
    <t xml:space="preserve"> 33.1037 </t>
  </si>
  <si>
    <t xml:space="preserve">C:\Users\andre\Desktop\REACTIV CEFAS\Tamoxifen\Tamoxifen/20201125_Cefas_Test7_Run2/Plate 3/@11/ </t>
  </si>
  <si>
    <t xml:space="preserve"> 35.3455 </t>
  </si>
  <si>
    <t xml:space="preserve"> 2.6548 </t>
  </si>
  <si>
    <t xml:space="preserve"> 601915.833 </t>
  </si>
  <si>
    <t xml:space="preserve"> 441427.512 </t>
  </si>
  <si>
    <t xml:space="preserve">C:\Users\andre\Desktop\REACTIV CEFAS\Tamoxifen\Tamoxifen/20201125_Cefas_Test7_Run2/Plate 3/@12/A6_01.tif </t>
  </si>
  <si>
    <t xml:space="preserve"> 16741.5384 </t>
  </si>
  <si>
    <t xml:space="preserve"> 37.8475 </t>
  </si>
  <si>
    <t xml:space="preserve">C:\Users\andre\Desktop\REACTIV CEFAS\Tamoxifen\Tamoxifen/20201125_Cefas_Test7_Run2/Plate 3/@12/A6_02.tif </t>
  </si>
  <si>
    <t xml:space="preserve"> 18385.4104 </t>
  </si>
  <si>
    <t xml:space="preserve"> 36.0471 </t>
  </si>
  <si>
    <t xml:space="preserve">C:\Users\andre\Desktop\REACTIV CEFAS\Tamoxifen\Tamoxifen/20201125_Cefas_Test7_Run2/Plate 3/@12/A6_03.tif </t>
  </si>
  <si>
    <t xml:space="preserve"> 29719.4752 </t>
  </si>
  <si>
    <t xml:space="preserve"> 34.5116 </t>
  </si>
  <si>
    <t xml:space="preserve">C:\Users\andre\Desktop\REACTIV CEFAS\Tamoxifen\Tamoxifen/20201125_Cefas_Test7_Run2/Plate 3/@12/B6_01.tif </t>
  </si>
  <si>
    <t xml:space="preserve"> 4477.3882 </t>
  </si>
  <si>
    <t xml:space="preserve"> 32.5894 </t>
  </si>
  <si>
    <t xml:space="preserve">C:\Users\andre\Desktop\REACTIV CEFAS\Tamoxifen\Tamoxifen/20201125_Cefas_Test7_Run2/Plate 3/@12/B6_02.tif </t>
  </si>
  <si>
    <t xml:space="preserve"> 9300.8547 </t>
  </si>
  <si>
    <t xml:space="preserve"> 32.2372 </t>
  </si>
  <si>
    <t xml:space="preserve">C:\Users\andre\Desktop\REACTIV CEFAS\Tamoxifen\Tamoxifen/20201125_Cefas_Test7_Run2/Plate 3/@12/B6_03.tif </t>
  </si>
  <si>
    <t xml:space="preserve"> 8803.3671 </t>
  </si>
  <si>
    <t xml:space="preserve"> 34.2531 </t>
  </si>
  <si>
    <t xml:space="preserve">C:\Users\andre\Desktop\REACTIV CEFAS\Tamoxifen\Tamoxifen/20201125_Cefas_Test7_Run2/Plate 3/@12/C6_01.tif </t>
  </si>
  <si>
    <t xml:space="preserve"> 9387.3743 </t>
  </si>
  <si>
    <t xml:space="preserve"> 33.7235 </t>
  </si>
  <si>
    <t xml:space="preserve">C:\Users\andre\Desktop\REACTIV CEFAS\Tamoxifen\Tamoxifen/20201125_Cefas_Test7_Run2/Plate 3/@12/C6_02.tif </t>
  </si>
  <si>
    <t xml:space="preserve"> 10901.4669 </t>
  </si>
  <si>
    <t xml:space="preserve"> 33.0238 </t>
  </si>
  <si>
    <t xml:space="preserve">C:\Users\andre\Desktop\REACTIV CEFAS\Tamoxifen\Tamoxifen/20201125_Cefas_Test7_Run2/Plate 3/@12/C6_03.tif </t>
  </si>
  <si>
    <t xml:space="preserve"> 21651.5245 </t>
  </si>
  <si>
    <t xml:space="preserve"> 32.8212 </t>
  </si>
  <si>
    <t xml:space="preserve">C:\Users\andre\Desktop\REACTIV CEFAS\Tamoxifen\Tamoxifen/20201125_Cefas_Test7_Run2/Plate 3/@12/D6_01.tif </t>
  </si>
  <si>
    <t xml:space="preserve"> 6056.3705 </t>
  </si>
  <si>
    <t xml:space="preserve"> 37.4929 </t>
  </si>
  <si>
    <t xml:space="preserve">C:\Users\andre\Desktop\REACTIV CEFAS\Tamoxifen\Tamoxifen/20201125_Cefas_Test7_Run2/Plate 3/@12/D6_02.tif </t>
  </si>
  <si>
    <t xml:space="preserve"> 39.1401 </t>
  </si>
  <si>
    <t>C:\Users\andre\Desktop\REACTIV CEFAS\Tamoxifen\Tamoxifen/20201125_Cefas_Test7_Run2/Plate 3/@12/D6_03- exclu.tif</t>
  </si>
  <si>
    <t xml:space="preserve">C:\Users\andre\Desktop\REACTIV CEFAS\Tamoxifen\Tamoxifen/20201125_Cefas_Test7_Run2/Plate 3/@12/E6_01.tif </t>
  </si>
  <si>
    <t xml:space="preserve"> 68458.6165 </t>
  </si>
  <si>
    <t xml:space="preserve"> 37.2234 </t>
  </si>
  <si>
    <t xml:space="preserve">C:\Users\andre\Desktop\REACTIV CEFAS\Tamoxifen\Tamoxifen/20201125_Cefas_Test7_Run2/Plate 3/@12/E6_02.tif </t>
  </si>
  <si>
    <t xml:space="preserve"> 63051.1428 </t>
  </si>
  <si>
    <t xml:space="preserve"> 35.634 </t>
  </si>
  <si>
    <t xml:space="preserve">C:\Users\andre\Desktop\REACTIV CEFAS\Tamoxifen\Tamoxifen/20201125_Cefas_Test7_Run2/Plate 3/@12/E6_03.tif </t>
  </si>
  <si>
    <t xml:space="preserve"> 52776.9429 </t>
  </si>
  <si>
    <t xml:space="preserve"> 34.2012 </t>
  </si>
  <si>
    <t xml:space="preserve">C:\Users\andre\Desktop\REACTIV CEFAS\Tamoxifen\Tamoxifen/20201125_Cefas_Test7_Run2/Plate 3/@12/F6_01.tif </t>
  </si>
  <si>
    <t xml:space="preserve"> 22797.9089 </t>
  </si>
  <si>
    <t xml:space="preserve"> 36.5598 </t>
  </si>
  <si>
    <t xml:space="preserve">C:\Users\andre\Desktop\REACTIV CEFAS\Tamoxifen\Tamoxifen/20201125_Cefas_Test7_Run2/Plate 3/@12/F6_02.tif </t>
  </si>
  <si>
    <t xml:space="preserve"> 40599.3122 </t>
  </si>
  <si>
    <t xml:space="preserve"> 39.0213 </t>
  </si>
  <si>
    <t xml:space="preserve">C:\Users\andre\Desktop\REACTIV CEFAS\Tamoxifen\Tamoxifen/20201125_Cefas_Test7_Run2/Plate 3/@12/F6_03.tif </t>
  </si>
  <si>
    <t xml:space="preserve"> 18558.4496 </t>
  </si>
  <si>
    <t xml:space="preserve"> 37.1865 </t>
  </si>
  <si>
    <t xml:space="preserve">C:\Users\andre\Desktop\REACTIV CEFAS\Tamoxifen\Tamoxifen/20201125_Cefas_Test7_Run2/Plate 3/@12/G6_01.tif </t>
  </si>
  <si>
    <t xml:space="preserve"> 3677.0821 </t>
  </si>
  <si>
    <t xml:space="preserve"> 34.3 </t>
  </si>
  <si>
    <t xml:space="preserve">C:\Users\andre\Desktop\REACTIV CEFAS\Tamoxifen\Tamoxifen/20201125_Cefas_Test7_Run2/Plate 3/@12/G6_02.tif </t>
  </si>
  <si>
    <t xml:space="preserve"> 30.9556 </t>
  </si>
  <si>
    <t xml:space="preserve">C:\Users\andre\Desktop\REACTIV CEFAS\Tamoxifen\Tamoxifen/20201125_Cefas_Test7_Run2/Plate 3/@12/G6_03.tif </t>
  </si>
  <si>
    <t xml:space="preserve"> 9776.7124 </t>
  </si>
  <si>
    <t xml:space="preserve"> 34.2611 </t>
  </si>
  <si>
    <t xml:space="preserve">C:\Users\andre\Desktop\REACTIV CEFAS\Tamoxifen\Tamoxifen/20201125_Cefas_Test7_Run2/Plate 3/@12/H6_01.tif </t>
  </si>
  <si>
    <t xml:space="preserve"> 13691.7233 </t>
  </si>
  <si>
    <t xml:space="preserve"> 34.406 </t>
  </si>
  <si>
    <t xml:space="preserve">C:\Users\andre\Desktop\REACTIV CEFAS\Tamoxifen\Tamoxifen/20201125_Cefas_Test7_Run2/Plate 3/@12/H6_02.tif </t>
  </si>
  <si>
    <t xml:space="preserve"> 5731.9221 </t>
  </si>
  <si>
    <t xml:space="preserve"> 32.9736 </t>
  </si>
  <si>
    <t xml:space="preserve">C:\Users\andre\Desktop\REACTIV CEFAS\Tamoxifen\Tamoxifen/20201125_Cefas_Test7_Run2/Plate 3/@12/H6_03.tif </t>
  </si>
  <si>
    <t xml:space="preserve"> 35.1589 </t>
  </si>
  <si>
    <t xml:space="preserve">C:\Users\andre\Desktop\REACTIV CEFAS\Tamoxifen\Tamoxifen/20201125_Cefas_Test7_Run2/Plate 3/@12/ </t>
  </si>
  <si>
    <t xml:space="preserve"> 34.99 </t>
  </si>
  <si>
    <t xml:space="preserve"> 2.1768 </t>
  </si>
  <si>
    <t xml:space="preserve"> 677932.208 </t>
  </si>
  <si>
    <t xml:space="preserve"> 689245.326 </t>
  </si>
  <si>
    <t xml:space="preserve">C:\Users\andre\Desktop\REACTIV CEFAS\Tamoxifen\Tamoxifen/20201125_Cefas_Test7_Run2/Plate 3/@17/A8_01.tif </t>
  </si>
  <si>
    <t xml:space="preserve"> 50613.9534 </t>
  </si>
  <si>
    <t xml:space="preserve"> 41.2521 </t>
  </si>
  <si>
    <t xml:space="preserve">C:\Users\andre\Desktop\REACTIV CEFAS\Tamoxifen\Tamoxifen/20201125_Cefas_Test7_Run2/Plate 3/@17/A8_02.tif </t>
  </si>
  <si>
    <t xml:space="preserve"> 50527.4339 </t>
  </si>
  <si>
    <t xml:space="preserve"> 43.4628 </t>
  </si>
  <si>
    <t xml:space="preserve">C:\Users\andre\Desktop\REACTIV CEFAS\Tamoxifen\Tamoxifen/20201125_Cefas_Test7_Run2/Plate 3/@17/A8_03.tif </t>
  </si>
  <si>
    <t xml:space="preserve"> 36078.6642 </t>
  </si>
  <si>
    <t xml:space="preserve"> 41.0024 </t>
  </si>
  <si>
    <t xml:space="preserve">C:\Users\andre\Desktop\REACTIV CEFAS\Tamoxifen\Tamoxifen/20201125_Cefas_Test7_Run2/Plate 3/@17/B8_01.tif </t>
  </si>
  <si>
    <t xml:space="preserve"> 74688.0262 </t>
  </si>
  <si>
    <t xml:space="preserve"> 44.7663 </t>
  </si>
  <si>
    <t xml:space="preserve">C:\Users\andre\Desktop\REACTIV CEFAS\Tamoxifen\Tamoxifen/20201125_Cefas_Test7_Run2/Plate 3/@17/B8_02.tif </t>
  </si>
  <si>
    <t xml:space="preserve"> 79684.5318 </t>
  </si>
  <si>
    <t xml:space="preserve"> 48.43 </t>
  </si>
  <si>
    <t xml:space="preserve">C:\Users\andre\Desktop\REACTIV CEFAS\Tamoxifen\Tamoxifen/20201125_Cefas_Test7_Run2/Plate 3/@17/B8_03.tif </t>
  </si>
  <si>
    <t xml:space="preserve"> 77478.2826 </t>
  </si>
  <si>
    <t xml:space="preserve"> 44.8481 </t>
  </si>
  <si>
    <t xml:space="preserve">C:\Users\andre\Desktop\REACTIV CEFAS\Tamoxifen\Tamoxifen/20201125_Cefas_Test7_Run2/Plate 3/@17/C8_01.tif </t>
  </si>
  <si>
    <t xml:space="preserve"> 36576.1518 </t>
  </si>
  <si>
    <t xml:space="preserve"> 37.4991 </t>
  </si>
  <si>
    <t xml:space="preserve">C:\Users\andre\Desktop\REACTIV CEFAS\Tamoxifen\Tamoxifen/20201125_Cefas_Test7_Run2/Plate 3/@17/C8_02.tif </t>
  </si>
  <si>
    <t xml:space="preserve"> 40685.8318 </t>
  </si>
  <si>
    <t xml:space="preserve"> 40.5965 </t>
  </si>
  <si>
    <t xml:space="preserve">C:\Users\andre\Desktop\REACTIV CEFAS\Tamoxifen\Tamoxifen/20201125_Cefas_Test7_Run2/Plate 3/@17/C8_03.tif </t>
  </si>
  <si>
    <t xml:space="preserve"> 33872.415 </t>
  </si>
  <si>
    <t xml:space="preserve"> 39.1782 </t>
  </si>
  <si>
    <t>C:\Users\andre\Desktop\REACTIV CEFAS\Tamoxifen\Tamoxifen/20201125_Cefas_Test7_Run2/Plate 3/@17/D8_01- exclu.tif</t>
  </si>
  <si>
    <t>C:\Users\andre\Desktop\REACTIV CEFAS\Tamoxifen\Tamoxifen/20201125_Cefas_Test7_Run2/Plate 3/@17/D8_02- exclu.tif</t>
  </si>
  <si>
    <t xml:space="preserve">C:\Users\andre\Desktop\REACTIV CEFAS\Tamoxifen\Tamoxifen/20201125_Cefas_Test7_Run2/Plate 3/@17/D8_03.tif </t>
  </si>
  <si>
    <t xml:space="preserve"> 16503.6096 </t>
  </si>
  <si>
    <t xml:space="preserve"> 35.3853 </t>
  </si>
  <si>
    <t xml:space="preserve">C:\Users\andre\Desktop\REACTIV CEFAS\Tamoxifen\Tamoxifen/20201125_Cefas_Test7_Run2/Plate 3/@17/E8_01.tif </t>
  </si>
  <si>
    <t xml:space="preserve"> 14254.1006 </t>
  </si>
  <si>
    <t xml:space="preserve"> 35.9651 </t>
  </si>
  <si>
    <t xml:space="preserve">C:\Users\andre\Desktop\REACTIV CEFAS\Tamoxifen\Tamoxifen/20201125_Cefas_Test7_Run2/Plate 3/@17/E8_02.tif </t>
  </si>
  <si>
    <t xml:space="preserve"> 22862.7986 </t>
  </si>
  <si>
    <t xml:space="preserve"> 37.5535 </t>
  </si>
  <si>
    <t xml:space="preserve">C:\Users\andre\Desktop\REACTIV CEFAS\Tamoxifen\Tamoxifen/20201125_Cefas_Test7_Run2/Plate 3/@17/E8_03.tif </t>
  </si>
  <si>
    <t xml:space="preserve"> 13540.314 </t>
  </si>
  <si>
    <t xml:space="preserve"> 33.1645 </t>
  </si>
  <si>
    <t xml:space="preserve">C:\Users\andre\Desktop\REACTIV CEFAS\Tamoxifen\Tamoxifen/20201125_Cefas_Test7_Run2/Plate 3/@17/F8_01.tif </t>
  </si>
  <si>
    <t xml:space="preserve"> 34.072 </t>
  </si>
  <si>
    <t xml:space="preserve">C:\Users\andre\Desktop\REACTIV CEFAS\Tamoxifen\Tamoxifen/20201125_Cefas_Test7_Run2/Plate 3/@17/F8_02.tif </t>
  </si>
  <si>
    <t xml:space="preserve"> 12848.1574 </t>
  </si>
  <si>
    <t xml:space="preserve"> 42.9613 </t>
  </si>
  <si>
    <t xml:space="preserve">C:\Users\andre\Desktop\REACTIV CEFAS\Tamoxifen\Tamoxifen/20201125_Cefas_Test7_Run2/Plate 3/@17/F8_03.tif </t>
  </si>
  <si>
    <t xml:space="preserve"> 1492.4627 </t>
  </si>
  <si>
    <t xml:space="preserve"> 32.3768 </t>
  </si>
  <si>
    <t xml:space="preserve">C:\Users\andre\Desktop\REACTIV CEFAS\Tamoxifen\Tamoxifen/20201125_Cefas_Test7_Run2/Plate 3/@17/G8_01.tif </t>
  </si>
  <si>
    <t xml:space="preserve"> 67377.1218 </t>
  </si>
  <si>
    <t xml:space="preserve"> 38.0356 </t>
  </si>
  <si>
    <t xml:space="preserve">C:\Users\andre\Desktop\REACTIV CEFAS\Tamoxifen\Tamoxifen/20201125_Cefas_Test7_Run2/Plate 3/@17/G8_02.tif </t>
  </si>
  <si>
    <t xml:space="preserve"> 70232.2679 </t>
  </si>
  <si>
    <t xml:space="preserve"> 40.365 </t>
  </si>
  <si>
    <t xml:space="preserve">C:\Users\andre\Desktop\REACTIV CEFAS\Tamoxifen\Tamoxifen/20201125_Cefas_Test7_Run2/Plate 3/@17/G8_03.tif </t>
  </si>
  <si>
    <t xml:space="preserve"> 61082.8224 </t>
  </si>
  <si>
    <t xml:space="preserve"> 38.5368 </t>
  </si>
  <si>
    <t xml:space="preserve">C:\Users\andre\Desktop\REACTIV CEFAS\Tamoxifen\Tamoxifen/20201125_Cefas_Test7_Run2/Plate 3/@17/H8_01.tif </t>
  </si>
  <si>
    <t xml:space="preserve"> 46828.7219 </t>
  </si>
  <si>
    <t xml:space="preserve"> 35.9751 </t>
  </si>
  <si>
    <t xml:space="preserve">C:\Users\andre\Desktop\REACTIV CEFAS\Tamoxifen\Tamoxifen/20201125_Cefas_Test7_Run2/Plate 3/@17/H8_02.tif </t>
  </si>
  <si>
    <t xml:space="preserve"> 48624.0031 </t>
  </si>
  <si>
    <t xml:space="preserve"> 39.915 </t>
  </si>
  <si>
    <t xml:space="preserve">C:\Users\andre\Desktop\REACTIV CEFAS\Tamoxifen\Tamoxifen/20201125_Cefas_Test7_Run2/Plate 3/@17/H8_03.tif </t>
  </si>
  <si>
    <t xml:space="preserve"> 55740.2385 </t>
  </si>
  <si>
    <t xml:space="preserve"> 36.5243 </t>
  </si>
  <si>
    <t xml:space="preserve">C:\Users\andre\Desktop\REACTIV CEFAS\Tamoxifen\Tamoxifen/20201125_Cefas_Test7_Run2/Plate 3/@17/ </t>
  </si>
  <si>
    <t xml:space="preserve"> 39.4 </t>
  </si>
  <si>
    <t xml:space="preserve"> 3.9815 </t>
  </si>
  <si>
    <t xml:space="preserve"> 1647096.67 </t>
  </si>
  <si>
    <t xml:space="preserve">C:\Users\andre\Desktop\REACTIV CEFAS\Tamoxifen\Tamoxifen/20201125_Cefas_Test7_Run2/Plate 3/@18/A9_01.tif </t>
  </si>
  <si>
    <t xml:space="preserve"> 31147.0483 </t>
  </si>
  <si>
    <t xml:space="preserve"> 35.366 </t>
  </si>
  <si>
    <t xml:space="preserve">C:\Users\andre\Desktop\REACTIV CEFAS\Tamoxifen\Tamoxifen/20201125_Cefas_Test7_Run2/Plate 3/@18/A9_02.tif </t>
  </si>
  <si>
    <t xml:space="preserve"> 30779.3401 </t>
  </si>
  <si>
    <t xml:space="preserve"> 35.6198 </t>
  </si>
  <si>
    <t xml:space="preserve">C:\Users\andre\Desktop\REACTIV CEFAS\Tamoxifen\Tamoxifen/20201125_Cefas_Test7_Run2/Plate 3/@18/A9_03.tif </t>
  </si>
  <si>
    <t xml:space="preserve"> 27556.4858 </t>
  </si>
  <si>
    <t xml:space="preserve"> 34.2818 </t>
  </si>
  <si>
    <t xml:space="preserve">C:\Users\andre\Desktop\REACTIV CEFAS\Tamoxifen\Tamoxifen/20201125_Cefas_Test7_Run2/Plate 3/@18/B9_01.tif </t>
  </si>
  <si>
    <t xml:space="preserve"> 53404.2098 </t>
  </si>
  <si>
    <t xml:space="preserve"> 42.8275 </t>
  </si>
  <si>
    <t xml:space="preserve">C:\Users\andre\Desktop\REACTIV CEFAS\Tamoxifen\Tamoxifen/20201125_Cefas_Test7_Run2/Plate 3/@18/B9_02.tif </t>
  </si>
  <si>
    <t xml:space="preserve"> 59676.8793 </t>
  </si>
  <si>
    <t xml:space="preserve"> 40.6665 </t>
  </si>
  <si>
    <t xml:space="preserve">C:\Users\andre\Desktop\REACTIV CEFAS\Tamoxifen\Tamoxifen/20201125_Cefas_Test7_Run2/Plate 3/@18/B9_03.tif </t>
  </si>
  <si>
    <t xml:space="preserve"> 59763.3989 </t>
  </si>
  <si>
    <t xml:space="preserve"> 45.3218 </t>
  </si>
  <si>
    <t xml:space="preserve">C:\Users\andre\Desktop\REACTIV CEFAS\Tamoxifen\Tamoxifen/20201125_Cefas_Test7_Run2/Plate 3/@18/C9_01.tif </t>
  </si>
  <si>
    <t xml:space="preserve"> 15724.9334 </t>
  </si>
  <si>
    <t xml:space="preserve"> 34.641 </t>
  </si>
  <si>
    <t xml:space="preserve">C:\Users\andre\Desktop\REACTIV CEFAS\Tamoxifen\Tamoxifen/20201125_Cefas_Test7_Run2/Plate 3/@18/C9_02.tif </t>
  </si>
  <si>
    <t xml:space="preserve"> 30909.1194 </t>
  </si>
  <si>
    <t xml:space="preserve"> 35.1554 </t>
  </si>
  <si>
    <t xml:space="preserve">C:\Users\andre\Desktop\REACTIV CEFAS\Tamoxifen\Tamoxifen/20201125_Cefas_Test7_Run2/Plate 3/@18/C9_03.tif </t>
  </si>
  <si>
    <t xml:space="preserve"> 28984.0588 </t>
  </si>
  <si>
    <t xml:space="preserve"> 34.1716 </t>
  </si>
  <si>
    <t xml:space="preserve">C:\Users\andre\Desktop\REACTIV CEFAS\Tamoxifen\Tamoxifen/20201125_Cefas_Test7_Run2/Plate 3/@18/D9_01.tif </t>
  </si>
  <si>
    <t xml:space="preserve"> 36.5118 </t>
  </si>
  <si>
    <t xml:space="preserve">C:\Users\andre\Desktop\REACTIV CEFAS\Tamoxifen\Tamoxifen/20201125_Cefas_Test7_Run2/Plate 3/@18/D9_02.tif </t>
  </si>
  <si>
    <t xml:space="preserve"> 39106.8495 </t>
  </si>
  <si>
    <t xml:space="preserve"> 35.4552 </t>
  </si>
  <si>
    <t xml:space="preserve">C:\Users\andre\Desktop\REACTIV CEFAS\Tamoxifen\Tamoxifen/20201125_Cefas_Test7_Run2/Plate 3/@18/D9_03.tif </t>
  </si>
  <si>
    <t xml:space="preserve"> 35862.3653 </t>
  </si>
  <si>
    <t xml:space="preserve"> 35.8607 </t>
  </si>
  <si>
    <t xml:space="preserve">C:\Users\andre\Desktop\REACTIV CEFAS\Tamoxifen\Tamoxifen/20201125_Cefas_Test7_Run2/Plate 3/@18/E9_01.tif </t>
  </si>
  <si>
    <t xml:space="preserve"> 40.877 </t>
  </si>
  <si>
    <t xml:space="preserve">C:\Users\andre\Desktop\REACTIV CEFAS\Tamoxifen\Tamoxifen/20201125_Cefas_Test7_Run2/Plate 3/@18/E9_02.tif </t>
  </si>
  <si>
    <t xml:space="preserve"> 46396.124 </t>
  </si>
  <si>
    <t xml:space="preserve"> 40.7473 </t>
  </si>
  <si>
    <t xml:space="preserve">C:\Users\andre\Desktop\REACTIV CEFAS\Tamoxifen\Tamoxifen/20201125_Cefas_Test7_Run2/Plate 3/@18/E9_03.tif </t>
  </si>
  <si>
    <t xml:space="preserve"> 43800.5366 </t>
  </si>
  <si>
    <t xml:space="preserve"> 39.882 </t>
  </si>
  <si>
    <t xml:space="preserve">C:\Users\andre\Desktop\REACTIV CEFAS\Tamoxifen\Tamoxifen/20201125_Cefas_Test7_Run2/Plate 3/@18/F9_01.tif </t>
  </si>
  <si>
    <t xml:space="preserve">C:\Users\andre\Desktop\REACTIV CEFAS\Tamoxifen\Tamoxifen/20201125_Cefas_Test7_Run2/Plate 3/@18/F9_02.tif </t>
  </si>
  <si>
    <t xml:space="preserve">C:\Users\andre\Desktop\REACTIV CEFAS\Tamoxifen\Tamoxifen/20201125_Cefas_Test7_Run2/Plate 3/@18/F9_03.tif </t>
  </si>
  <si>
    <t xml:space="preserve">C:\Users\andre\Desktop\REACTIV CEFAS\Tamoxifen\Tamoxifen/20201125_Cefas_Test7_Run2/Plate 3/@18/G9_01.tif </t>
  </si>
  <si>
    <t xml:space="preserve"> 77261.9836 </t>
  </si>
  <si>
    <t xml:space="preserve"> 47.2147 </t>
  </si>
  <si>
    <t xml:space="preserve">C:\Users\andre\Desktop\REACTIV CEFAS\Tamoxifen\Tamoxifen/20201125_Cefas_Test7_Run2/Plate 3/@18/G9_02.tif </t>
  </si>
  <si>
    <t xml:space="preserve"> 46.8779 </t>
  </si>
  <si>
    <t xml:space="preserve">C:\Users\andre\Desktop\REACTIV CEFAS\Tamoxifen\Tamoxifen/20201125_Cefas_Test7_Run2/Plate 3/@18/G9_03.tif </t>
  </si>
  <si>
    <t xml:space="preserve"> 71616.5811 </t>
  </si>
  <si>
    <t xml:space="preserve"> 43.9571 </t>
  </si>
  <si>
    <t xml:space="preserve">C:\Users\andre\Desktop\REACTIV CEFAS\Tamoxifen\Tamoxifen/20201125_Cefas_Test7_Run2/Plate 3/@18/H9_01.tif </t>
  </si>
  <si>
    <t xml:space="preserve"> 47931.8465 </t>
  </si>
  <si>
    <t xml:space="preserve"> 41.6042 </t>
  </si>
  <si>
    <t xml:space="preserve">C:\Users\andre\Desktop\REACTIV CEFAS\Tamoxifen\Tamoxifen/20201125_Cefas_Test7_Run2/Plate 3/@18/H9_02.tif </t>
  </si>
  <si>
    <t xml:space="preserve"> 58854.9433 </t>
  </si>
  <si>
    <t xml:space="preserve"> 43.5391 </t>
  </si>
  <si>
    <t xml:space="preserve">C:\Users\andre\Desktop\REACTIV CEFAS\Tamoxifen\Tamoxifen/20201125_Cefas_Test7_Run2/Plate 3/@18/H9_03.tif </t>
  </si>
  <si>
    <t xml:space="preserve"> 54096.3665 </t>
  </si>
  <si>
    <t xml:space="preserve"> 42.0412 </t>
  </si>
  <si>
    <t xml:space="preserve">C:\Users\andre\Desktop\REACTIV CEFAS\Tamoxifen\Tamoxifen/20201125_Cefas_Test7_Run2/Plate 3/@18/ </t>
  </si>
  <si>
    <t xml:space="preserve"> 34.6925 </t>
  </si>
  <si>
    <t xml:space="preserve"> 13.9966 </t>
  </si>
  <si>
    <t xml:space="preserve"> 1675663.5 </t>
  </si>
  <si>
    <t xml:space="preserve"> 1054186.9 </t>
  </si>
  <si>
    <t xml:space="preserve">C:\Users\andre\Desktop\REACTIV CEFAS\Tamoxifen\Tamoxifen/20201125_Cefas_Test7_Run2/Plate 3/@19/A10_01.tif </t>
  </si>
  <si>
    <t xml:space="preserve"> 29589.6959 </t>
  </si>
  <si>
    <t xml:space="preserve"> 40.3472 </t>
  </si>
  <si>
    <t xml:space="preserve">C:\Users\andre\Desktop\REACTIV CEFAS\Tamoxifen\Tamoxifen/20201125_Cefas_Test7_Run2/Plate 3/@19/A10_02.tif </t>
  </si>
  <si>
    <t xml:space="preserve"> 27275.2971 </t>
  </si>
  <si>
    <t xml:space="preserve"> 40.7645 </t>
  </si>
  <si>
    <t xml:space="preserve">C:\Users\andre\Desktop\REACTIV CEFAS\Tamoxifen\Tamoxifen/20201125_Cefas_Test7_Run2/Plate 3/@19/A10_03.tif </t>
  </si>
  <si>
    <t xml:space="preserve"> 27102.258 </t>
  </si>
  <si>
    <t xml:space="preserve"> 41.4988 </t>
  </si>
  <si>
    <t>C:\Users\andre\Desktop\REACTIV CEFAS\Tamoxifen\Tamoxifen/20201125_Cefas_Test7_Run2/Plate 3/@19/B10_01- exclu.tif</t>
  </si>
  <si>
    <t>C:\Users\andre\Desktop\REACTIV CEFAS\Tamoxifen\Tamoxifen/20201125_Cefas_Test7_Run2/Plate 3/@19/B10_02- exclu.tif</t>
  </si>
  <si>
    <t xml:space="preserve">C:\Users\andre\Desktop\REACTIV CEFAS\Tamoxifen\Tamoxifen/20201125_Cefas_Test7_Run2/Plate 3/@19/B10_03.tif </t>
  </si>
  <si>
    <t xml:space="preserve"> 52625.5336 </t>
  </si>
  <si>
    <t xml:space="preserve"> 41.9083 </t>
  </si>
  <si>
    <t xml:space="preserve">C:\Users\andre\Desktop\REACTIV CEFAS\Tamoxifen\Tamoxifen/20201125_Cefas_Test7_Run2/Plate 3/@19/C10_01.tif </t>
  </si>
  <si>
    <t xml:space="preserve"> 60931.4132 </t>
  </si>
  <si>
    <t xml:space="preserve"> 41.4828 </t>
  </si>
  <si>
    <t xml:space="preserve">C:\Users\andre\Desktop\REACTIV CEFAS\Tamoxifen\Tamoxifen/20201125_Cefas_Test7_Run2/Plate 3/@19/C10_02.tif </t>
  </si>
  <si>
    <t xml:space="preserve"> 63375.5913 </t>
  </si>
  <si>
    <t xml:space="preserve"> 41.3771 </t>
  </si>
  <si>
    <t xml:space="preserve">C:\Users\andre\Desktop\REACTIV CEFAS\Tamoxifen\Tamoxifen/20201125_Cefas_Test7_Run2/Plate 3/@19/C10_03.tif </t>
  </si>
  <si>
    <t xml:space="preserve"> 56778.4734 </t>
  </si>
  <si>
    <t xml:space="preserve"> 39.7745 </t>
  </si>
  <si>
    <t xml:space="preserve">C:\Users\andre\Desktop\REACTIV CEFAS\Tamoxifen\Tamoxifen/20201125_Cefas_Test7_Run2/Plate 3/@19/D10_01.tif </t>
  </si>
  <si>
    <t xml:space="preserve"> 37.6149 </t>
  </si>
  <si>
    <t xml:space="preserve">C:\Users\andre\Desktop\REACTIV CEFAS\Tamoxifen\Tamoxifen/20201125_Cefas_Test7_Run2/Plate 3/@19/D10_02.tif </t>
  </si>
  <si>
    <t xml:space="preserve"> 62834.8439 </t>
  </si>
  <si>
    <t xml:space="preserve"> 40.9318 </t>
  </si>
  <si>
    <t xml:space="preserve">C:\Users\andre\Desktop\REACTIV CEFAS\Tamoxifen\Tamoxifen/20201125_Cefas_Test7_Run2/Plate 3/@19/D10_03.tif </t>
  </si>
  <si>
    <t xml:space="preserve"> 50246.2452 </t>
  </si>
  <si>
    <t xml:space="preserve"> 38.5329 </t>
  </si>
  <si>
    <t xml:space="preserve">C:\Users\andre\Desktop\REACTIV CEFAS\Tamoxifen\Tamoxifen/20201125_Cefas_Test7_Run2/Plate 3/@19/E10_01.tif </t>
  </si>
  <si>
    <t xml:space="preserve"> 30995.639 </t>
  </si>
  <si>
    <t xml:space="preserve"> 38.2421 </t>
  </si>
  <si>
    <t xml:space="preserve">C:\Users\andre\Desktop\REACTIV CEFAS\Tamoxifen\Tamoxifen/20201125_Cefas_Test7_Run2/Plate 3/@19/E10_02.tif </t>
  </si>
  <si>
    <t xml:space="preserve"> 26950.8487 </t>
  </si>
  <si>
    <t xml:space="preserve"> 39.9567 </t>
  </si>
  <si>
    <t xml:space="preserve">C:\Users\andre\Desktop\REACTIV CEFAS\Tamoxifen\Tamoxifen/20201125_Cefas_Test7_Run2/Plate 3/@19/E10_03.tif </t>
  </si>
  <si>
    <t xml:space="preserve"> 27816.0445 </t>
  </si>
  <si>
    <t xml:space="preserve"> 37.6042 </t>
  </si>
  <si>
    <t xml:space="preserve">C:\Users\andre\Desktop\REACTIV CEFAS\Tamoxifen\Tamoxifen/20201125_Cefas_Test7_Run2/Plate 3/@19/F10_01.tif </t>
  </si>
  <si>
    <t xml:space="preserve"> 64868.054 </t>
  </si>
  <si>
    <t xml:space="preserve"> 45.0343 </t>
  </si>
  <si>
    <t xml:space="preserve">C:\Users\andre\Desktop\REACTIV CEFAS\Tamoxifen\Tamoxifen/20201125_Cefas_Test7_Run2/Plate 3/@19/F10_02.tif </t>
  </si>
  <si>
    <t xml:space="preserve"> 72698.0758 </t>
  </si>
  <si>
    <t xml:space="preserve"> 47.0979 </t>
  </si>
  <si>
    <t xml:space="preserve">C:\Users\andre\Desktop\REACTIV CEFAS\Tamoxifen\Tamoxifen/20201125_Cefas_Test7_Run2/Plate 3/@19/F10_03.tif </t>
  </si>
  <si>
    <t xml:space="preserve"> 68610.0258 </t>
  </si>
  <si>
    <t xml:space="preserve"> 48.8427 </t>
  </si>
  <si>
    <t xml:space="preserve">C:\Users\andre\Desktop\REACTIV CEFAS\Tamoxifen\Tamoxifen/20201125_Cefas_Test7_Run2/Plate 3/@19/G10_01.tif </t>
  </si>
  <si>
    <t xml:space="preserve"> 36100.2941 </t>
  </si>
  <si>
    <t xml:space="preserve"> 35.1708 </t>
  </si>
  <si>
    <t xml:space="preserve">C:\Users\andre\Desktop\REACTIV CEFAS\Tamoxifen\Tamoxifen/20201125_Cefas_Test7_Run2/Plate 3/@19/G10_02.tif </t>
  </si>
  <si>
    <t xml:space="preserve"> 31644.5358 </t>
  </si>
  <si>
    <t xml:space="preserve"> 35.0636 </t>
  </si>
  <si>
    <t xml:space="preserve">C:\Users\andre\Desktop\REACTIV CEFAS\Tamoxifen\Tamoxifen/20201125_Cefas_Test7_Run2/Plate 3/@19/G10_03.tif </t>
  </si>
  <si>
    <t xml:space="preserve"> 42589.2625 </t>
  </si>
  <si>
    <t xml:space="preserve"> 35.8614 </t>
  </si>
  <si>
    <t xml:space="preserve">C:\Users\andre\Desktop\REACTIV CEFAS\Tamoxifen\Tamoxifen/20201125_Cefas_Test7_Run2/Plate 3/@19/H10_01.tif </t>
  </si>
  <si>
    <t xml:space="preserve"> 66165.8477 </t>
  </si>
  <si>
    <t xml:space="preserve"> 40.2586 </t>
  </si>
  <si>
    <t xml:space="preserve">C:\Users\andre\Desktop\REACTIV CEFAS\Tamoxifen\Tamoxifen/20201125_Cefas_Test7_Run2/Plate 3/@19/H10_02.tif </t>
  </si>
  <si>
    <t xml:space="preserve"> 66966.1538 </t>
  </si>
  <si>
    <t xml:space="preserve"> 42.6428 </t>
  </si>
  <si>
    <t xml:space="preserve">C:\Users\andre\Desktop\REACTIV CEFAS\Tamoxifen\Tamoxifen/20201125_Cefas_Test7_Run2/Plate 3/@19/H10_03.tif </t>
  </si>
  <si>
    <t xml:space="preserve"> 74579.8767 </t>
  </si>
  <si>
    <t xml:space="preserve"> 43.8898 </t>
  </si>
  <si>
    <t xml:space="preserve">C:\Users\andre\Desktop\REACTIV CEFAS\Tamoxifen\Tamoxifen/20201125_Cefas_Test7_Run2/Plate 3/@19/ </t>
  </si>
  <si>
    <t xml:space="preserve"> 41.0343 </t>
  </si>
  <si>
    <t xml:space="preserve"> 3.6348 </t>
  </si>
  <si>
    <t xml:space="preserve"> 2044010.58 </t>
  </si>
  <si>
    <t xml:space="preserve"> 800993.749 </t>
  </si>
  <si>
    <t xml:space="preserve">C:\Users\andre\Desktop\REACTIV CEFAS\Tamoxifen\Tamoxifen/20201125_Cefas_Test7_Run2/Plate 3/@20/A11_01.tif </t>
  </si>
  <si>
    <t xml:space="preserve"> 32185.2832 </t>
  </si>
  <si>
    <t xml:space="preserve"> 38.2816 </t>
  </si>
  <si>
    <t xml:space="preserve">C:\Users\andre\Desktop\REACTIV CEFAS\Tamoxifen\Tamoxifen/20201125_Cefas_Test7_Run2/Plate 3/@20/A11_02.tif </t>
  </si>
  <si>
    <t xml:space="preserve"> 24312.0016 </t>
  </si>
  <si>
    <t xml:space="preserve"> 42.589 </t>
  </si>
  <si>
    <t>C:\Users\andre\Desktop\REACTIV CEFAS\Tamoxifen\Tamoxifen/20201125_Cefas_Test7_Run2/Plate 3/@20/A11_03- exclu.tif</t>
  </si>
  <si>
    <t>C:\Users\andre\Desktop\REACTIV CEFAS\Tamoxifen\Tamoxifen/20201125_Cefas_Test7_Run2/Plate 3/@20/B11_01- exclu.tif</t>
  </si>
  <si>
    <t>C:\Users\andre\Desktop\REACTIV CEFAS\Tamoxifen\Tamoxifen/20201125_Cefas_Test7_Run2/Plate 3/@20/B11_02- exclu.tif</t>
  </si>
  <si>
    <t xml:space="preserve">C:\Users\andre\Desktop\REACTIV CEFAS\Tamoxifen\Tamoxifen/20201125_Cefas_Test7_Run2/Plate 3/@20/B11_03.tif </t>
  </si>
  <si>
    <t xml:space="preserve"> 56540.5446 </t>
  </si>
  <si>
    <t xml:space="preserve"> 35.4923 </t>
  </si>
  <si>
    <t xml:space="preserve">C:\Users\andre\Desktop\REACTIV CEFAS\Tamoxifen\Tamoxifen/20201125_Cefas_Test7_Run2/Plate 3/@20/C11_01.tif </t>
  </si>
  <si>
    <t xml:space="preserve"> 33894.0449 </t>
  </si>
  <si>
    <t xml:space="preserve"> 37.6522 </t>
  </si>
  <si>
    <t xml:space="preserve">C:\Users\andre\Desktop\REACTIV CEFAS\Tamoxifen\Tamoxifen/20201125_Cefas_Test7_Run2/Plate 3/@20/C11_02.tif </t>
  </si>
  <si>
    <t xml:space="preserve"> 30087.1834 </t>
  </si>
  <si>
    <t xml:space="preserve"> 38.3817 </t>
  </si>
  <si>
    <t xml:space="preserve">C:\Users\andre\Desktop\REACTIV CEFAS\Tamoxifen\Tamoxifen/20201125_Cefas_Test7_Run2/Plate 3/@20/C11_03.tif </t>
  </si>
  <si>
    <t xml:space="preserve"> 31211.9379 </t>
  </si>
  <si>
    <t xml:space="preserve"> 37.0603 </t>
  </si>
  <si>
    <t xml:space="preserve">C:\Users\andre\Desktop\REACTIV CEFAS\Tamoxifen\Tamoxifen/20201125_Cefas_Test7_Run2/Plate 3/@20/D11_01.tif </t>
  </si>
  <si>
    <t xml:space="preserve"> 51306.1101 </t>
  </si>
  <si>
    <t xml:space="preserve"> 41.2171 </t>
  </si>
  <si>
    <t xml:space="preserve">C:\Users\andre\Desktop\REACTIV CEFAS\Tamoxifen\Tamoxifen/20201125_Cefas_Test7_Run2/Plate 3/@20/D11_02.tif </t>
  </si>
  <si>
    <t xml:space="preserve"> 41.2538 </t>
  </si>
  <si>
    <t xml:space="preserve">C:\Users\andre\Desktop\REACTIV CEFAS\Tamoxifen\Tamoxifen/20201125_Cefas_Test7_Run2/Plate 3/@20/D11_03.tif </t>
  </si>
  <si>
    <t xml:space="preserve"> 43757.2768 </t>
  </si>
  <si>
    <t xml:space="preserve"> 41.5353 </t>
  </si>
  <si>
    <t xml:space="preserve">C:\Users\andre\Desktop\REACTIV CEFAS\Tamoxifen\Tamoxifen/20201125_Cefas_Test7_Run2/Plate 3/@20/E11_01.tif </t>
  </si>
  <si>
    <t xml:space="preserve"> 35797.4756 </t>
  </si>
  <si>
    <t xml:space="preserve"> 36.368 </t>
  </si>
  <si>
    <t xml:space="preserve">C:\Users\andre\Desktop\REACTIV CEFAS\Tamoxifen\Tamoxifen/20201125_Cefas_Test7_Run2/Plate 3/@20/E11_02.tif </t>
  </si>
  <si>
    <t xml:space="preserve"> 40534.4225 </t>
  </si>
  <si>
    <t xml:space="preserve"> 37.0928 </t>
  </si>
  <si>
    <t xml:space="preserve">C:\Users\andre\Desktop\REACTIV CEFAS\Tamoxifen\Tamoxifen/20201125_Cefas_Test7_Run2/Plate 3/@20/E11_03.tif </t>
  </si>
  <si>
    <t xml:space="preserve"> 43346.3088 </t>
  </si>
  <si>
    <t xml:space="preserve"> 37.1991 </t>
  </si>
  <si>
    <t xml:space="preserve">C:\Users\andre\Desktop\REACTIV CEFAS\Tamoxifen\Tamoxifen/20201125_Cefas_Test7_Run2/Plate 3/@20/F11_01.tif </t>
  </si>
  <si>
    <t xml:space="preserve"> 66014.4384 </t>
  </si>
  <si>
    <t xml:space="preserve"> 45.9309 </t>
  </si>
  <si>
    <t xml:space="preserve">C:\Users\andre\Desktop\REACTIV CEFAS\Tamoxifen\Tamoxifen/20201125_Cefas_Test7_Run2/Plate 3/@20/F11_02.tif </t>
  </si>
  <si>
    <t xml:space="preserve"> 72481.7769 </t>
  </si>
  <si>
    <t xml:space="preserve"> 43.234 </t>
  </si>
  <si>
    <t xml:space="preserve">C:\Users\andre\Desktop\REACTIV CEFAS\Tamoxifen\Tamoxifen/20201125_Cefas_Test7_Run2/Plate 3/@20/F11_03.tif </t>
  </si>
  <si>
    <t xml:space="preserve"> 75012.4746 </t>
  </si>
  <si>
    <t xml:space="preserve"> 43.7497 </t>
  </si>
  <si>
    <t xml:space="preserve">C:\Users\andre\Desktop\REACTIV CEFAS\Tamoxifen\Tamoxifen/20201125_Cefas_Test7_Run2/Plate 3/@20/G11_01.tif </t>
  </si>
  <si>
    <t xml:space="preserve"> 52560.6439 </t>
  </si>
  <si>
    <t xml:space="preserve"> 41.5193 </t>
  </si>
  <si>
    <t xml:space="preserve">C:\Users\andre\Desktop\REACTIV CEFAS\Tamoxifen\Tamoxifen/20201125_Cefas_Test7_Run2/Plate 3/@20/G11_02.tif </t>
  </si>
  <si>
    <t xml:space="preserve"> 47218.06 </t>
  </si>
  <si>
    <t xml:space="preserve"> 42.1388 </t>
  </si>
  <si>
    <t xml:space="preserve">C:\Users\andre\Desktop\REACTIV CEFAS\Tamoxifen\Tamoxifen/20201125_Cefas_Test7_Run2/Plate 3/@20/G11_03.tif </t>
  </si>
  <si>
    <t xml:space="preserve"> 40945.3905 </t>
  </si>
  <si>
    <t xml:space="preserve"> 39.3809 </t>
  </si>
  <si>
    <t xml:space="preserve">C:\Users\andre\Desktop\REACTIV CEFAS\Tamoxifen\Tamoxifen/20201125_Cefas_Test7_Run2/Plate 3/@20/H11_01.tif </t>
  </si>
  <si>
    <t xml:space="preserve"> 74190.5386 </t>
  </si>
  <si>
    <t xml:space="preserve"> 41.7067 </t>
  </si>
  <si>
    <t xml:space="preserve">C:\Users\andre\Desktop\REACTIV CEFAS\Tamoxifen\Tamoxifen/20201125_Cefas_Test7_Run2/Plate 3/@20/H11_02.tif </t>
  </si>
  <si>
    <t xml:space="preserve"> 67485.2712 </t>
  </si>
  <si>
    <t xml:space="preserve"> 44.6067 </t>
  </si>
  <si>
    <t xml:space="preserve">C:\Users\andre\Desktop\REACTIV CEFAS\Tamoxifen\Tamoxifen/20201125_Cefas_Test7_Run2/Plate 3/@20/H11_03.tif </t>
  </si>
  <si>
    <t xml:space="preserve"> 69951.0792 </t>
  </si>
  <si>
    <t xml:space="preserve"> 43.2709 </t>
  </si>
  <si>
    <t xml:space="preserve">C:\Users\andre\Desktop\REACTIV CEFAS\Tamoxifen\Tamoxifen/20201125_Cefas_Test7_Run2/Plate 3/@20/ </t>
  </si>
  <si>
    <t xml:space="preserve"> 40.383 </t>
  </si>
  <si>
    <t xml:space="preserve"> 2.8399 </t>
  </si>
  <si>
    <t xml:space="preserve"> 1890798.79 </t>
  </si>
  <si>
    <t xml:space="preserve"> 799932.928 </t>
  </si>
  <si>
    <t>C:\Users\andre\Desktop\REACTIV CEFAS\Tamoxifen\Tamoxifen/20201125_Cefas_Test7_Run2/Plate 3/@21/A12_01- exclu.tif</t>
  </si>
  <si>
    <t>C:\Users\andre\Desktop\REACTIV CEFAS\Tamoxifen\Tamoxifen/20201125_Cefas_Test7_Run2/Plate 3/@21/A12_02- exclu.tif</t>
  </si>
  <si>
    <t xml:space="preserve">C:\Users\andre\Desktop\REACTIV CEFAS\Tamoxifen\Tamoxifen/20201125_Cefas_Test7_Run2/Plate 3/@21/A12_03.tif </t>
  </si>
  <si>
    <t xml:space="preserve"> 34564.5716 </t>
  </si>
  <si>
    <t xml:space="preserve"> 37.1702 </t>
  </si>
  <si>
    <t xml:space="preserve">C:\Users\andre\Desktop\REACTIV CEFAS\Tamoxifen\Tamoxifen/20201125_Cefas_Test7_Run2/Plate 3/@21/B12_01.tif </t>
  </si>
  <si>
    <t xml:space="preserve"> 26583.1405 </t>
  </si>
  <si>
    <t xml:space="preserve"> 34.5151 </t>
  </si>
  <si>
    <t xml:space="preserve">C:\Users\andre\Desktop\REACTIV CEFAS\Tamoxifen\Tamoxifen/20201125_Cefas_Test7_Run2/Plate 3/@21/B12_02.tif </t>
  </si>
  <si>
    <t xml:space="preserve"> 34499.6819 </t>
  </si>
  <si>
    <t xml:space="preserve"> 36.7574 </t>
  </si>
  <si>
    <t xml:space="preserve">C:\Users\andre\Desktop\REACTIV CEFAS\Tamoxifen\Tamoxifen/20201125_Cefas_Test7_Run2/Plate 3/@21/B12_03.tif </t>
  </si>
  <si>
    <t xml:space="preserve"> 34175.2335 </t>
  </si>
  <si>
    <t xml:space="preserve"> 37.2715 </t>
  </si>
  <si>
    <t xml:space="preserve">C:\Users\andre\Desktop\REACTIV CEFAS\Tamoxifen\Tamoxifen/20201125_Cefas_Test7_Run2/Plate 3/@21/C12_01.tif </t>
  </si>
  <si>
    <t xml:space="preserve"> 47.7936 </t>
  </si>
  <si>
    <t xml:space="preserve">C:\Users\andre\Desktop\REACTIV CEFAS\Tamoxifen\Tamoxifen/20201125_Cefas_Test7_Run2/Plate 3/@21/C12_02.tif </t>
  </si>
  <si>
    <t xml:space="preserve"> 42070.1451 </t>
  </si>
  <si>
    <t xml:space="preserve"> 47.1563 </t>
  </si>
  <si>
    <t xml:space="preserve">C:\Users\andre\Desktop\REACTIV CEFAS\Tamoxifen\Tamoxifen/20201125_Cefas_Test7_Run2/Plate 3/@21/C12_03.tif </t>
  </si>
  <si>
    <t xml:space="preserve"> 39150.1093 </t>
  </si>
  <si>
    <t xml:space="preserve"> 48.6823 </t>
  </si>
  <si>
    <t xml:space="preserve">C:\Users\andre\Desktop\REACTIV CEFAS\Tamoxifen\Tamoxifen/20201125_Cefas_Test7_Run2/Plate 3/@21/D12_01.tif </t>
  </si>
  <si>
    <t xml:space="preserve"> 34088.7139 </t>
  </si>
  <si>
    <t xml:space="preserve"> 36.3255 </t>
  </si>
  <si>
    <t xml:space="preserve">C:\Users\andre\Desktop\REACTIV CEFAS\Tamoxifen\Tamoxifen/20201125_Cefas_Test7_Run2/Plate 3/@21/D12_02.tif </t>
  </si>
  <si>
    <t xml:space="preserve"> 34694.351 </t>
  </si>
  <si>
    <t xml:space="preserve"> 37.9177 </t>
  </si>
  <si>
    <t xml:space="preserve">C:\Users\andre\Desktop\REACTIV CEFAS\Tamoxifen\Tamoxifen/20201125_Cefas_Test7_Run2/Plate 3/@21/D12_03.tif </t>
  </si>
  <si>
    <t xml:space="preserve"> 33158.6285 </t>
  </si>
  <si>
    <t xml:space="preserve"> 36.8037 </t>
  </si>
  <si>
    <t xml:space="preserve">C:\Users\andre\Desktop\REACTIV CEFAS\Tamoxifen\Tamoxifen/20201125_Cefas_Test7_Run2/Plate 3/@21/E12_01.tif </t>
  </si>
  <si>
    <t xml:space="preserve"> 12047.8513 </t>
  </si>
  <si>
    <t xml:space="preserve"> 31.8007 </t>
  </si>
  <si>
    <t xml:space="preserve">C:\Users\andre\Desktop\REACTIV CEFAS\Tamoxifen\Tamoxifen/20201125_Cefas_Test7_Run2/Plate 3/@21/E12_02.tif </t>
  </si>
  <si>
    <t xml:space="preserve"> 9257.5949 </t>
  </si>
  <si>
    <t xml:space="preserve"> 31.9229 </t>
  </si>
  <si>
    <t xml:space="preserve">C:\Users\andre\Desktop\REACTIV CEFAS\Tamoxifen\Tamoxifen/20201125_Cefas_Test7_Run2/Plate 3/@21/E12_03.tif </t>
  </si>
  <si>
    <t xml:space="preserve"> 129.7794 </t>
  </si>
  <si>
    <t xml:space="preserve">C:\Users\andre\Desktop\REACTIV CEFAS\Tamoxifen\Tamoxifen/20201125_Cefas_Test7_Run2/Plate 3/@21/F12_01.tif </t>
  </si>
  <si>
    <t xml:space="preserve"> 65084.3529 </t>
  </si>
  <si>
    <t xml:space="preserve"> 41.6152 </t>
  </si>
  <si>
    <t xml:space="preserve">C:\Users\andre\Desktop\REACTIV CEFAS\Tamoxifen\Tamoxifen/20201125_Cefas_Test7_Run2/Plate 3/@21/F12_02.tif </t>
  </si>
  <si>
    <t xml:space="preserve"> 53274.4305 </t>
  </si>
  <si>
    <t xml:space="preserve"> 41.002 </t>
  </si>
  <si>
    <t xml:space="preserve">C:\Users\andre\Desktop\REACTIV CEFAS\Tamoxifen\Tamoxifen/20201125_Cefas_Test7_Run2/Plate 3/@21/F12_03.tif </t>
  </si>
  <si>
    <t xml:space="preserve"> 74536.6169 </t>
  </si>
  <si>
    <t xml:space="preserve"> 42.5171 </t>
  </si>
  <si>
    <t xml:space="preserve">C:\Users\andre\Desktop\REACTIV CEFAS\Tamoxifen\Tamoxifen/20201125_Cefas_Test7_Run2/Plate 3/@21/G12_01.tif </t>
  </si>
  <si>
    <t xml:space="preserve"> 58919.833 </t>
  </si>
  <si>
    <t xml:space="preserve"> 38.0804 </t>
  </si>
  <si>
    <t xml:space="preserve">C:\Users\andre\Desktop\REACTIV CEFAS\Tamoxifen\Tamoxifen/20201125_Cefas_Test7_Run2/Plate 3/@21/G12_02.tif </t>
  </si>
  <si>
    <t xml:space="preserve"> 37.6796 </t>
  </si>
  <si>
    <t xml:space="preserve">C:\Users\andre\Desktop\REACTIV CEFAS\Tamoxifen\Tamoxifen/20201125_Cefas_Test7_Run2/Plate 3/@21/G12_03.tif </t>
  </si>
  <si>
    <t xml:space="preserve"> 47261.3198 </t>
  </si>
  <si>
    <t xml:space="preserve"> 44.0494 </t>
  </si>
  <si>
    <t xml:space="preserve">C:\Users\andre\Desktop\REACTIV CEFAS\Tamoxifen\Tamoxifen/20201125_Cefas_Test7_Run2/Plate 3/@21/H12_01.tif </t>
  </si>
  <si>
    <t xml:space="preserve"> 70340.4173 </t>
  </si>
  <si>
    <t xml:space="preserve"> 38.9517 </t>
  </si>
  <si>
    <t xml:space="preserve">C:\Users\andre\Desktop\REACTIV CEFAS\Tamoxifen\Tamoxifen/20201125_Cefas_Test7_Run2/Plate 3/@21/H12_02.tif </t>
  </si>
  <si>
    <t xml:space="preserve"> 63808.1892 </t>
  </si>
  <si>
    <t xml:space="preserve"> 36.3593 </t>
  </si>
  <si>
    <t xml:space="preserve">C:\Users\andre\Desktop\REACTIV CEFAS\Tamoxifen\Tamoxifen/20201125_Cefas_Test7_Run2/Plate 3/@21/H12_03.tif </t>
  </si>
  <si>
    <t xml:space="preserve"> 59590.3597 </t>
  </si>
  <si>
    <t xml:space="preserve"> 35.543 </t>
  </si>
  <si>
    <t xml:space="preserve">C:\Users\andre\Desktop\REACTIV CEFAS\Tamoxifen\Tamoxifen/20201125_Cefas_Test7_Run2/Plate 3/@21/ </t>
  </si>
  <si>
    <t xml:space="preserve"> 38.7048 </t>
  </si>
  <si>
    <t xml:space="preserve"> 4.8215 </t>
  </si>
  <si>
    <t xml:space="preserve"> 1629794.42 </t>
  </si>
  <si>
    <t xml:space="preserve"> 801399.271 </t>
  </si>
  <si>
    <t xml:space="preserve">C:\Users\andre\Desktop\REACTIV CEFAS\Tamoxifen\Tamoxifen/20201125_Cefas_Test7_Run2/Plate 3/@8/A2_01.tif </t>
  </si>
  <si>
    <t xml:space="preserve"> 1016.605 </t>
  </si>
  <si>
    <t xml:space="preserve"> 32.8298 </t>
  </si>
  <si>
    <t xml:space="preserve">C:\Users\andre\Desktop\REACTIV CEFAS\Tamoxifen\Tamoxifen/20201125_Cefas_Test7_Run2/Plate 3/@8/A2_02.tif </t>
  </si>
  <si>
    <t xml:space="preserve"> 3590.5625 </t>
  </si>
  <si>
    <t xml:space="preserve"> 33.9096 </t>
  </si>
  <si>
    <t xml:space="preserve">C:\Users\andre\Desktop\REACTIV CEFAS\Tamoxifen\Tamoxifen/20201125_Cefas_Test7_Run2/Plate 3/@8/A2_03.tif </t>
  </si>
  <si>
    <t xml:space="preserve"> 3439.1532 </t>
  </si>
  <si>
    <t xml:space="preserve"> 32.5472 </t>
  </si>
  <si>
    <t xml:space="preserve">C:\Users\andre\Desktop\REACTIV CEFAS\Tamoxifen\Tamoxifen/20201125_Cefas_Test7_Run2/Plate 3/@8/B2_01.tif </t>
  </si>
  <si>
    <t xml:space="preserve"> 8587.0682 </t>
  </si>
  <si>
    <t xml:space="preserve"> 36.5416 </t>
  </si>
  <si>
    <t xml:space="preserve">C:\Users\andre\Desktop\REACTIV CEFAS\Tamoxifen\Tamoxifen/20201125_Cefas_Test7_Run2/Plate 3/@8/B2_02.tif </t>
  </si>
  <si>
    <t xml:space="preserve"> 3850.1212 </t>
  </si>
  <si>
    <t xml:space="preserve"> 31.1461 </t>
  </si>
  <si>
    <t xml:space="preserve">C:\Users\andre\Desktop\REACTIV CEFAS\Tamoxifen\Tamoxifen/20201125_Cefas_Test7_Run2/Plate 3/@8/B2_03.tif </t>
  </si>
  <si>
    <t xml:space="preserve"> 43.8457 </t>
  </si>
  <si>
    <t xml:space="preserve">C:\Users\andre\Desktop\REACTIV CEFAS\Tamoxifen\Tamoxifen/20201125_Cefas_Test7_Run2/Plate 3/@8/C2_01.tif </t>
  </si>
  <si>
    <t xml:space="preserve">C:\Users\andre\Desktop\REACTIV CEFAS\Tamoxifen\Tamoxifen/20201125_Cefas_Test7_Run2/Plate 3/@8/C2_02.tif </t>
  </si>
  <si>
    <t xml:space="preserve">C:\Users\andre\Desktop\REACTIV CEFAS\Tamoxifen\Tamoxifen/20201125_Cefas_Test7_Run2/Plate 3/@8/C2_03.tif </t>
  </si>
  <si>
    <t xml:space="preserve">C:\Users\andre\Desktop\REACTIV CEFAS\Tamoxifen\Tamoxifen/20201125_Cefas_Test7_Run2/Plate 3/@8/D2_01.tif </t>
  </si>
  <si>
    <t xml:space="preserve"> 5147.9149 </t>
  </si>
  <si>
    <t xml:space="preserve"> 39.7101 </t>
  </si>
  <si>
    <t xml:space="preserve">C:\Users\andre\Desktop\REACTIV CEFAS\Tamoxifen\Tamoxifen/20201125_Cefas_Test7_Run2/Plate 3/@8/D2_02.tif </t>
  </si>
  <si>
    <t xml:space="preserve"> 37.8136 </t>
  </si>
  <si>
    <t xml:space="preserve">C:\Users\andre\Desktop\REACTIV CEFAS\Tamoxifen\Tamoxifen/20201125_Cefas_Test7_Run2/Plate 3/@8/D2_03.tif </t>
  </si>
  <si>
    <t xml:space="preserve"> 6878.3065 </t>
  </si>
  <si>
    <t xml:space="preserve"> 36.2201 </t>
  </si>
  <si>
    <t xml:space="preserve">C:\Users\andre\Desktop\REACTIV CEFAS\Tamoxifen\Tamoxifen/20201125_Cefas_Test7_Run2/Plate 3/@8/E2_01.tif </t>
  </si>
  <si>
    <t xml:space="preserve"> 37.948 </t>
  </si>
  <si>
    <t xml:space="preserve">C:\Users\andre\Desktop\REACTIV CEFAS\Tamoxifen\Tamoxifen/20201125_Cefas_Test7_Run2/Plate 3/@8/E2_02.tif </t>
  </si>
  <si>
    <t xml:space="preserve"> 36.1262 </t>
  </si>
  <si>
    <t xml:space="preserve">C:\Users\andre\Desktop\REACTIV CEFAS\Tamoxifen\Tamoxifen/20201125_Cefas_Test7_Run2/Plate 3/@8/E2_03.tif </t>
  </si>
  <si>
    <t xml:space="preserve"> 7873.2816 </t>
  </si>
  <si>
    <t xml:space="preserve"> 42.2967 </t>
  </si>
  <si>
    <t xml:space="preserve">C:\Users\andre\Desktop\REACTIV CEFAS\Tamoxifen\Tamoxifen/20201125_Cefas_Test7_Run2/Plate 3/@8/F2_01.tif </t>
  </si>
  <si>
    <t xml:space="preserve"> 3698.712 </t>
  </si>
  <si>
    <t xml:space="preserve"> 37.5088 </t>
  </si>
  <si>
    <t xml:space="preserve">C:\Users\andre\Desktop\REACTIV CEFAS\Tamoxifen\Tamoxifen/20201125_Cefas_Test7_Run2/Plate 3/@8/F2_02.tif </t>
  </si>
  <si>
    <t xml:space="preserve"> 4217.8295 </t>
  </si>
  <si>
    <t xml:space="preserve"> 40.4308 </t>
  </si>
  <si>
    <t xml:space="preserve">C:\Users\andre\Desktop\REACTIV CEFAS\Tamoxifen\Tamoxifen/20201125_Cefas_Test7_Run2/Plate 3/@8/F2_03.tif </t>
  </si>
  <si>
    <t xml:space="preserve"> 216.2989 </t>
  </si>
  <si>
    <t xml:space="preserve">C:\Users\andre\Desktop\REACTIV CEFAS\Tamoxifen\Tamoxifen/20201125_Cefas_Test7_Run2/Plate 3/@8/G2_01.tif </t>
  </si>
  <si>
    <t xml:space="preserve"> 2963.2956 </t>
  </si>
  <si>
    <t xml:space="preserve"> 35.7737 </t>
  </si>
  <si>
    <t xml:space="preserve">C:\Users\andre\Desktop\REACTIV CEFAS\Tamoxifen\Tamoxifen/20201125_Cefas_Test7_Run2/Plate 3/@8/G2_02.tif </t>
  </si>
  <si>
    <t xml:space="preserve"> 11745.0328 </t>
  </si>
  <si>
    <t xml:space="preserve"> 40.4549 </t>
  </si>
  <si>
    <t xml:space="preserve">C:\Users\andre\Desktop\REACTIV CEFAS\Tamoxifen\Tamoxifen/20201125_Cefas_Test7_Run2/Plate 3/@8/G2_03.tif </t>
  </si>
  <si>
    <t xml:space="preserve"> 11269.1751 </t>
  </si>
  <si>
    <t xml:space="preserve"> 45.167 </t>
  </si>
  <si>
    <t xml:space="preserve">C:\Users\andre\Desktop\REACTIV CEFAS\Tamoxifen\Tamoxifen/20201125_Cefas_Test7_Run2/Plate 3/@8/H2_01.tif </t>
  </si>
  <si>
    <t xml:space="preserve"> 2920.0358 </t>
  </si>
  <si>
    <t xml:space="preserve"> 34.7037 </t>
  </si>
  <si>
    <t xml:space="preserve">C:\Users\andre\Desktop\REACTIV CEFAS\Tamoxifen\Tamoxifen/20201125_Cefas_Test7_Run2/Plate 3/@8/H2_02.tif </t>
  </si>
  <si>
    <t xml:space="preserve">C:\Users\andre\Desktop\REACTIV CEFAS\Tamoxifen\Tamoxifen/20201125_Cefas_Test7_Run2/Plate 3/@8/H2_03.tif </t>
  </si>
  <si>
    <t xml:space="preserve"> 1687.1318 </t>
  </si>
  <si>
    <t xml:space="preserve"> 34.2179 </t>
  </si>
  <si>
    <t xml:space="preserve">C:\Users\andre\Desktop\REACTIV CEFAS\Tamoxifen\Tamoxifen/20201125_Cefas_Test7_Run2/Plate 3/@8/ </t>
  </si>
  <si>
    <t xml:space="preserve"> 33.5288 </t>
  </si>
  <si>
    <t xml:space="preserve"> 11.0408 </t>
  </si>
  <si>
    <t xml:space="preserve"> 189650.958 </t>
  </si>
  <si>
    <t xml:space="preserve"> 182112.434 </t>
  </si>
  <si>
    <t xml:space="preserve">C:\Users\andre\Desktop\REACTIV CEFAS\Tamoxifen\Tamoxifen/20201125_Cefas_Test7_Run2/Plate 3/@9/A3_01.tif </t>
  </si>
  <si>
    <t xml:space="preserve"> 7483.9435 </t>
  </si>
  <si>
    <t xml:space="preserve"> 45.2861 </t>
  </si>
  <si>
    <t xml:space="preserve">C:\Users\andre\Desktop\REACTIV CEFAS\Tamoxifen\Tamoxifen/20201125_Cefas_Test7_Run2/Plate 3/@9/A3_02.tif </t>
  </si>
  <si>
    <t xml:space="preserve"> 40.3291 </t>
  </si>
  <si>
    <t xml:space="preserve">C:\Users\andre\Desktop\REACTIV CEFAS\Tamoxifen\Tamoxifen/20201125_Cefas_Test7_Run2/Plate 3/@9/A3_03.tif </t>
  </si>
  <si>
    <t xml:space="preserve"> 12329.0399 </t>
  </si>
  <si>
    <t xml:space="preserve"> 47.0719 </t>
  </si>
  <si>
    <t xml:space="preserve">C:\Users\andre\Desktop\REACTIV CEFAS\Tamoxifen\Tamoxifen/20201125_Cefas_Test7_Run2/Plate 3/@9/B3_01.tif </t>
  </si>
  <si>
    <t xml:space="preserve"> 9755.0825 </t>
  </si>
  <si>
    <t xml:space="preserve"> 43.2106 </t>
  </si>
  <si>
    <t xml:space="preserve">C:\Users\andre\Desktop\REACTIV CEFAS\Tamoxifen\Tamoxifen/20201125_Cefas_Test7_Run2/Plate 3/@9/B3_02.tif </t>
  </si>
  <si>
    <t xml:space="preserve"> 9949.7515 </t>
  </si>
  <si>
    <t xml:space="preserve"> 40.3457 </t>
  </si>
  <si>
    <t xml:space="preserve">C:\Users\andre\Desktop\REACTIV CEFAS\Tamoxifen\Tamoxifen/20201125_Cefas_Test7_Run2/Plate 3/@9/B3_03.tif </t>
  </si>
  <si>
    <t xml:space="preserve"> 13432.1646 </t>
  </si>
  <si>
    <t xml:space="preserve"> 47.314 </t>
  </si>
  <si>
    <t xml:space="preserve">C:\Users\andre\Desktop\REACTIV CEFAS\Tamoxifen\Tamoxifen/20201125_Cefas_Test7_Run2/Plate 3/@9/C3_01.tif </t>
  </si>
  <si>
    <t xml:space="preserve"> 36.4342 </t>
  </si>
  <si>
    <t xml:space="preserve">C:\Users\andre\Desktop\REACTIV CEFAS\Tamoxifen\Tamoxifen/20201125_Cefas_Test7_Run2/Plate 3/@9/C3_02.tif </t>
  </si>
  <si>
    <t xml:space="preserve"> 1989.9503 </t>
  </si>
  <si>
    <t xml:space="preserve"> 35.1957 </t>
  </si>
  <si>
    <t xml:space="preserve">C:\Users\andre\Desktop\REACTIV CEFAS\Tamoxifen\Tamoxifen/20201125_Cefas_Test7_Run2/Plate 3/@9/C3_03.tif </t>
  </si>
  <si>
    <t xml:space="preserve"> 1881.8008 </t>
  </si>
  <si>
    <t xml:space="preserve"> 34.6897 </t>
  </si>
  <si>
    <t xml:space="preserve">C:\Users\andre\Desktop\REACTIV CEFAS\Tamoxifen\Tamoxifen/20201125_Cefas_Test7_Run2/Plate 3/@9/D3_01.tif </t>
  </si>
  <si>
    <t xml:space="preserve"> 3331.0038 </t>
  </si>
  <si>
    <t xml:space="preserve"> 37.2792 </t>
  </si>
  <si>
    <t xml:space="preserve">C:\Users\andre\Desktop\REACTIV CEFAS\Tamoxifen\Tamoxifen/20201125_Cefas_Test7_Run2/Plate 3/@9/D3_02.tif </t>
  </si>
  <si>
    <t xml:space="preserve"> 7570.4631 </t>
  </si>
  <si>
    <t xml:space="preserve"> 41.52 </t>
  </si>
  <si>
    <t>C:\Users\andre\Desktop\REACTIV CEFAS\Tamoxifen\Tamoxifen/20201125_Cefas_Test7_Run2/Plate 3/@9/D3_03- exclu.tif</t>
  </si>
  <si>
    <t xml:space="preserve">C:\Users\andre\Desktop\REACTIV CEFAS\Tamoxifen\Tamoxifen/20201125_Cefas_Test7_Run2/Plate 3/@9/E3_01.tif </t>
  </si>
  <si>
    <t xml:space="preserve">C:\Users\andre\Desktop\REACTIV CEFAS\Tamoxifen\Tamoxifen/20201125_Cefas_Test7_Run2/Plate 3/@9/E3_02.tif </t>
  </si>
  <si>
    <t xml:space="preserve"> 3071.445 </t>
  </si>
  <si>
    <t xml:space="preserve"> 36.6549 </t>
  </si>
  <si>
    <t xml:space="preserve">C:\Users\andre\Desktop\REACTIV CEFAS\Tamoxifen\Tamoxifen/20201125_Cefas_Test7_Run2/Plate 3/@9/E3_03.tif </t>
  </si>
  <si>
    <t xml:space="preserve"> 7137.8652 </t>
  </si>
  <si>
    <t xml:space="preserve"> 39.5515 </t>
  </si>
  <si>
    <t xml:space="preserve">C:\Users\andre\Desktop\REACTIV CEFAS\Tamoxifen\Tamoxifen/20201125_Cefas_Test7_Run2/Plate 3/@9/F3_01.tif </t>
  </si>
  <si>
    <t xml:space="preserve"> 2595.5874 </t>
  </si>
  <si>
    <t xml:space="preserve"> 33.325 </t>
  </si>
  <si>
    <t xml:space="preserve">C:\Users\andre\Desktop\REACTIV CEFAS\Tamoxifen\Tamoxifen/20201125_Cefas_Test7_Run2/Plate 3/@9/F3_02.tif </t>
  </si>
  <si>
    <t xml:space="preserve"> 2573.9575 </t>
  </si>
  <si>
    <t xml:space="preserve"> 31.6134 </t>
  </si>
  <si>
    <t xml:space="preserve">C:\Users\andre\Desktop\REACTIV CEFAS\Tamoxifen\Tamoxifen/20201125_Cefas_Test7_Run2/Plate 3/@9/F3_03.tif </t>
  </si>
  <si>
    <t xml:space="preserve"> 5320.9541 </t>
  </si>
  <si>
    <t xml:space="preserve"> 35.4228 </t>
  </si>
  <si>
    <t xml:space="preserve">C:\Users\andre\Desktop\REACTIV CEFAS\Tamoxifen\Tamoxifen/20201125_Cefas_Test7_Run2/Plate 3/@9/G3_01.tif </t>
  </si>
  <si>
    <t xml:space="preserve"> 35.1069 </t>
  </si>
  <si>
    <t xml:space="preserve">C:\Users\andre\Desktop\REACTIV CEFAS\Tamoxifen\Tamoxifen/20201125_Cefas_Test7_Run2/Plate 3/@9/G3_02.tif </t>
  </si>
  <si>
    <t xml:space="preserve"> 3374.2636 </t>
  </si>
  <si>
    <t xml:space="preserve"> 33.0449 </t>
  </si>
  <si>
    <t xml:space="preserve">C:\Users\andre\Desktop\REACTIV CEFAS\Tamoxifen\Tamoxifen/20201125_Cefas_Test7_Run2/Plate 3/@9/G3_03.tif </t>
  </si>
  <si>
    <t xml:space="preserve"> 4325.9789 </t>
  </si>
  <si>
    <t xml:space="preserve"> 33.365 </t>
  </si>
  <si>
    <t xml:space="preserve">C:\Users\andre\Desktop\REACTIV CEFAS\Tamoxifen\Tamoxifen/20201125_Cefas_Test7_Run2/Plate 3/@9/H3_01.tif </t>
  </si>
  <si>
    <t xml:space="preserve"> 4174.5697 </t>
  </si>
  <si>
    <t xml:space="preserve"> 34.6528 </t>
  </si>
  <si>
    <t xml:space="preserve">C:\Users\andre\Desktop\REACTIV CEFAS\Tamoxifen\Tamoxifen/20201125_Cefas_Test7_Run2/Plate 3/@9/H3_02.tif </t>
  </si>
  <si>
    <t xml:space="preserve"> 38.504 </t>
  </si>
  <si>
    <t xml:space="preserve">C:\Users\andre\Desktop\REACTIV CEFAS\Tamoxifen\Tamoxifen/20201125_Cefas_Test7_Run2/Plate 3/@9/H3_03.tif </t>
  </si>
  <si>
    <t xml:space="preserve"> 9041.296 </t>
  </si>
  <si>
    <t xml:space="preserve"> 40.0909 </t>
  </si>
  <si>
    <t xml:space="preserve">C:\Users\andre\Desktop\REACTIV CEFAS\Tamoxifen\Tamoxifen/20201125_Cefas_Test7_Run2/Plate 3/@9/ </t>
  </si>
  <si>
    <t xml:space="preserve"> 36.9806 </t>
  </si>
  <si>
    <t xml:space="preserve"> 9.2029 </t>
  </si>
  <si>
    <t xml:space="preserve"> 242180.958 </t>
  </si>
  <si>
    <t xml:space="preserve"> 185956.645 </t>
  </si>
  <si>
    <t>1</t>
  </si>
  <si>
    <t>13</t>
  </si>
  <si>
    <t>14</t>
  </si>
  <si>
    <t>15</t>
  </si>
  <si>
    <t>16</t>
  </si>
  <si>
    <t>2</t>
  </si>
  <si>
    <t>3</t>
  </si>
  <si>
    <t>4</t>
  </si>
  <si>
    <t>5</t>
  </si>
  <si>
    <t>6</t>
  </si>
  <si>
    <t>7</t>
  </si>
  <si>
    <t>10</t>
  </si>
  <si>
    <t>11</t>
  </si>
  <si>
    <t>12</t>
  </si>
  <si>
    <t>17</t>
  </si>
  <si>
    <t>18</t>
  </si>
  <si>
    <t>19</t>
  </si>
  <si>
    <t>20</t>
  </si>
  <si>
    <t>21</t>
  </si>
  <si>
    <t>8</t>
  </si>
  <si>
    <t>9</t>
  </si>
  <si>
    <t>B</t>
  </si>
  <si>
    <t>C</t>
  </si>
  <si>
    <t>D</t>
  </si>
  <si>
    <t>E</t>
  </si>
  <si>
    <t>F</t>
  </si>
  <si>
    <t>G</t>
  </si>
  <si>
    <t>H</t>
  </si>
  <si>
    <t xml:space="preserve">C:\Users\andre\Desktop\REACTIV CEFAS\Tamoxifen\Tamoxifen/20201210_Cefas_Test9_Run3/Plate 1/@1/A10_01.tif </t>
  </si>
  <si>
    <t xml:space="preserve"> 64.8897 </t>
  </si>
  <si>
    <t xml:space="preserve">C:\Users\andre\Desktop\REACTIV CEFAS\Tamoxifen\Tamoxifen/20201210_Cefas_Test9_Run3/Plate 1/@1/A10_02.tif </t>
  </si>
  <si>
    <t xml:space="preserve"> 194.6691 </t>
  </si>
  <si>
    <t xml:space="preserve"> 31.3333 </t>
  </si>
  <si>
    <t xml:space="preserve">C:\Users\andre\Desktop\REACTIV CEFAS\Tamoxifen\Tamoxifen/20201210_Cefas_Test9_Run3/Plate 1/@1/A10_03.tif </t>
  </si>
  <si>
    <t xml:space="preserve"> 30.375 </t>
  </si>
  <si>
    <t xml:space="preserve">C:\Users\andre\Desktop\REACTIV CEFAS\Tamoxifen\Tamoxifen/20201210_Cefas_Test9_Run3/Plate 1/@1/A10_04.tif </t>
  </si>
  <si>
    <t xml:space="preserve"> 31.5 </t>
  </si>
  <si>
    <t xml:space="preserve">C:\Users\andre\Desktop\REACTIV CEFAS\Tamoxifen\Tamoxifen/20201210_Cefas_Test9_Run3/Plate 1/@1/B10_01.tif </t>
  </si>
  <si>
    <t xml:space="preserve"> 5883.3313 </t>
  </si>
  <si>
    <t xml:space="preserve"> 40.8346 </t>
  </si>
  <si>
    <t xml:space="preserve">C:\Users\andre\Desktop\REACTIV CEFAS\Tamoxifen\Tamoxifen/20201210_Cefas_Test9_Run3/Plate 1/@1/B10_02.tif </t>
  </si>
  <si>
    <t xml:space="preserve"> 9235.965 </t>
  </si>
  <si>
    <t xml:space="preserve"> 43.3981 </t>
  </si>
  <si>
    <t xml:space="preserve">C:\Users\andre\Desktop\REACTIV CEFAS\Tamoxifen\Tamoxifen/20201210_Cefas_Test9_Run3/Plate 1/@1/B10_03.tif </t>
  </si>
  <si>
    <t xml:space="preserve"> 3915.0109 </t>
  </si>
  <si>
    <t xml:space="preserve"> 44.7459 </t>
  </si>
  <si>
    <t xml:space="preserve">C:\Users\andre\Desktop\REACTIV CEFAS\Tamoxifen\Tamoxifen/20201210_Cefas_Test9_Run3/Plate 1/@1/B10_04.tif </t>
  </si>
  <si>
    <t xml:space="preserve"> 8760.1073 </t>
  </si>
  <si>
    <t xml:space="preserve"> 43.1111 </t>
  </si>
  <si>
    <t xml:space="preserve">C:\Users\andre\Desktop\REACTIV CEFAS\Tamoxifen\Tamoxifen/20201210_Cefas_Test9_Run3/Plate 1/@1/C10_01.tif </t>
  </si>
  <si>
    <t xml:space="preserve"> 1405.9432 </t>
  </si>
  <si>
    <t xml:space="preserve"> 34.1077 </t>
  </si>
  <si>
    <t xml:space="preserve">C:\Users\andre\Desktop\REACTIV CEFAS\Tamoxifen\Tamoxifen/20201210_Cefas_Test9_Run3/Plate 1/@1/C10_02.tif </t>
  </si>
  <si>
    <t xml:space="preserve"> 1168.0143 </t>
  </si>
  <si>
    <t xml:space="preserve"> 32.7778 </t>
  </si>
  <si>
    <t xml:space="preserve">C:\Users\andre\Desktop\REACTIV CEFAS\Tamoxifen\Tamoxifen/20201210_Cefas_Test9_Run3/Plate 1/@1/C10_03.tif </t>
  </si>
  <si>
    <t xml:space="preserve">C:\Users\andre\Desktop\REACTIV CEFAS\Tamoxifen\Tamoxifen/20201210_Cefas_Test9_Run3/Plate 1/@1/C10_04.tif </t>
  </si>
  <si>
    <t xml:space="preserve"> 1600.6122 </t>
  </si>
  <si>
    <t xml:space="preserve"> 32.8784 </t>
  </si>
  <si>
    <t xml:space="preserve">C:\Users\andre\Desktop\REACTIV CEFAS\Tamoxifen\Tamoxifen/20201210_Cefas_Test9_Run3/Plate 1/@1/D10_01.tif </t>
  </si>
  <si>
    <t xml:space="preserve"> 9690.1928 </t>
  </si>
  <si>
    <t xml:space="preserve"> 38.1161 </t>
  </si>
  <si>
    <t xml:space="preserve">C:\Users\andre\Desktop\REACTIV CEFAS\Tamoxifen\Tamoxifen/20201210_Cefas_Test9_Run3/Plate 1/@1/D10_02.tif </t>
  </si>
  <si>
    <t xml:space="preserve"> 9517.1536 </t>
  </si>
  <si>
    <t xml:space="preserve"> 38.8455 </t>
  </si>
  <si>
    <t xml:space="preserve">C:\Users\andre\Desktop\REACTIV CEFAS\Tamoxifen\Tamoxifen/20201210_Cefas_Test9_Run3/Plate 1/@1/D10_03.tif </t>
  </si>
  <si>
    <t xml:space="preserve"> 36.2206 </t>
  </si>
  <si>
    <t xml:space="preserve">C:\Users\andre\Desktop\REACTIV CEFAS\Tamoxifen\Tamoxifen/20201210_Cefas_Test9_Run3/Plate 1/@1/D10_04.tif </t>
  </si>
  <si>
    <t xml:space="preserve"> 38.4082 </t>
  </si>
  <si>
    <t xml:space="preserve">C:\Users\andre\Desktop\REACTIV CEFAS\Tamoxifen\Tamoxifen/20201210_Cefas_Test9_Run3/Plate 1/@1/E10_01.tif </t>
  </si>
  <si>
    <t xml:space="preserve"> 4282.7191 </t>
  </si>
  <si>
    <t xml:space="preserve"> 35.3434 </t>
  </si>
  <si>
    <t xml:space="preserve">C:\Users\andre\Desktop\REACTIV CEFAS\Tamoxifen\Tamoxifen/20201210_Cefas_Test9_Run3/Plate 1/@1/E10_02.tif </t>
  </si>
  <si>
    <t xml:space="preserve">C:\Users\andre\Desktop\REACTIV CEFAS\Tamoxifen\Tamoxifen/20201210_Cefas_Test9_Run3/Plate 1/@1/E10_03.tif </t>
  </si>
  <si>
    <t xml:space="preserve">C:\Users\andre\Desktop\REACTIV CEFAS\Tamoxifen\Tamoxifen/20201210_Cefas_Test9_Run3/Plate 1/@1/E10_04.tif </t>
  </si>
  <si>
    <t xml:space="preserve"> 3655.4522 </t>
  </si>
  <si>
    <t xml:space="preserve"> 35.7751 </t>
  </si>
  <si>
    <t xml:space="preserve">C:\Users\andre\Desktop\REACTIV CEFAS\Tamoxifen\Tamoxifen/20201210_Cefas_Test9_Run3/Plate 1/@1/F10_01.tif </t>
  </si>
  <si>
    <t xml:space="preserve"> 33.9365 </t>
  </si>
  <si>
    <t xml:space="preserve">C:\Users\andre\Desktop\REACTIV CEFAS\Tamoxifen\Tamoxifen/20201210_Cefas_Test9_Run3/Plate 1/@1/F10_02.tif </t>
  </si>
  <si>
    <t xml:space="preserve"> 4088.0501 </t>
  </si>
  <si>
    <t xml:space="preserve"> 34.2116 </t>
  </si>
  <si>
    <t xml:space="preserve">C:\Users\andre\Desktop\REACTIV CEFAS\Tamoxifen\Tamoxifen/20201210_Cefas_Test9_Run3/Plate 1/@1/F10_03.tif </t>
  </si>
  <si>
    <t xml:space="preserve"> 5342.584 </t>
  </si>
  <si>
    <t xml:space="preserve"> 36.4332 </t>
  </si>
  <si>
    <t xml:space="preserve">C:\Users\andre\Desktop\REACTIV CEFAS\Tamoxifen\Tamoxifen/20201210_Cefas_Test9_Run3/Plate 1/@1/F10_04.tif </t>
  </si>
  <si>
    <t xml:space="preserve"> 5515.6231 </t>
  </si>
  <si>
    <t xml:space="preserve"> 35.0078 </t>
  </si>
  <si>
    <t xml:space="preserve">C:\Users\andre\Desktop\REACTIV CEFAS\Tamoxifen\Tamoxifen/20201210_Cefas_Test9_Run3/Plate 1/@1/G10_01.tif </t>
  </si>
  <si>
    <t xml:space="preserve">C:\Users\andre\Desktop\REACTIV CEFAS\Tamoxifen\Tamoxifen/20201210_Cefas_Test9_Run3/Plate 1/@1/G10_02.tif </t>
  </si>
  <si>
    <t xml:space="preserve"> 11507.1039 </t>
  </si>
  <si>
    <t xml:space="preserve"> 40.5414 </t>
  </si>
  <si>
    <t xml:space="preserve">C:\Users\andre\Desktop\REACTIV CEFAS\Tamoxifen\Tamoxifen/20201210_Cefas_Test9_Run3/Plate 1/@1/G10_03.tif </t>
  </si>
  <si>
    <t xml:space="preserve"> 6294.2993 </t>
  </si>
  <si>
    <t xml:space="preserve"> 39.8144 </t>
  </si>
  <si>
    <t xml:space="preserve">C:\Users\andre\Desktop\REACTIV CEFAS\Tamoxifen\Tamoxifen/20201210_Cefas_Test9_Run3/Plate 1/@1/G10_04.tif </t>
  </si>
  <si>
    <t xml:space="preserve"> 2530.6977 </t>
  </si>
  <si>
    <t xml:space="preserve"> 37.188 </t>
  </si>
  <si>
    <t>C:\Users\andre\Desktop\REACTIV CEFAS\Tamoxifen\Tamoxifen/20201210_Cefas_Test9_Run3/Plate 1/@1/H10_01- exclu.tif</t>
  </si>
  <si>
    <t>C:\Users\andre\Desktop\REACTIV CEFAS\Tamoxifen\Tamoxifen/20201210_Cefas_Test9_Run3/Plate 1/@1/H10_02- exclu.tif</t>
  </si>
  <si>
    <t xml:space="preserve">C:\Users\andre\Desktop\REACTIV CEFAS\Tamoxifen\Tamoxifen/20201210_Cefas_Test9_Run3/Plate 1/@1/H10_03.tif </t>
  </si>
  <si>
    <t xml:space="preserve"> 12220.8905 </t>
  </si>
  <si>
    <t xml:space="preserve"> 43.0354 </t>
  </si>
  <si>
    <t xml:space="preserve">C:\Users\andre\Desktop\REACTIV CEFAS\Tamoxifen\Tamoxifen/20201210_Cefas_Test9_Run3/Plate 1/@1/H10_04.tif </t>
  </si>
  <si>
    <t xml:space="preserve"> 11290.805 </t>
  </si>
  <si>
    <t xml:space="preserve"> 45.136 </t>
  </si>
  <si>
    <t xml:space="preserve">C:\Users\andre\Desktop\REACTIV CEFAS\Tamoxifen\Tamoxifen/20201210_Cefas_Test9_Run3/Plate 1/@1/ </t>
  </si>
  <si>
    <t xml:space="preserve"> 33.8654 </t>
  </si>
  <si>
    <t xml:space="preserve"> 12.0452 </t>
  </si>
  <si>
    <t xml:space="preserve"> 197537.125 </t>
  </si>
  <si>
    <t xml:space="preserve"> 193076.567 </t>
  </si>
  <si>
    <t xml:space="preserve">C:\Users\andre\Desktop\REACTIV CEFAS\Tamoxifen\Tamoxifen/20201210_Cefas_Test9_Run3/Plate 1/@13/A8_01.tif </t>
  </si>
  <si>
    <t xml:space="preserve"> 40.9197 </t>
  </si>
  <si>
    <t xml:space="preserve">C:\Users\andre\Desktop\REACTIV CEFAS\Tamoxifen\Tamoxifen/20201210_Cefas_Test9_Run3/Plate 1/@13/A8_02.tif </t>
  </si>
  <si>
    <t xml:space="preserve"> 41.3916 </t>
  </si>
  <si>
    <t xml:space="preserve">C:\Users\andre\Desktop\REACTIV CEFAS\Tamoxifen\Tamoxifen/20201210_Cefas_Test9_Run3/Plate 1/@13/A8_03.tif </t>
  </si>
  <si>
    <t xml:space="preserve"> 57946.4877 </t>
  </si>
  <si>
    <t xml:space="preserve"> 37.1146 </t>
  </si>
  <si>
    <t xml:space="preserve">C:\Users\andre\Desktop\REACTIV CEFAS\Tamoxifen\Tamoxifen/20201210_Cefas_Test9_Run3/Plate 1/@13/A8_04.tif </t>
  </si>
  <si>
    <t xml:space="preserve"> 72525.0367 </t>
  </si>
  <si>
    <t xml:space="preserve"> 41.9675 </t>
  </si>
  <si>
    <t>C:\Users\andre\Desktop\REACTIV CEFAS\Tamoxifen\Tamoxifen/20201210_Cefas_Test9_Run3/Plate 1/@13/B8_01- exclu.tif</t>
  </si>
  <si>
    <t xml:space="preserve">C:\Users\andre\Desktop\REACTIV CEFAS\Tamoxifen\Tamoxifen/20201210_Cefas_Test9_Run3/Plate 1/@13/B8_02.tif </t>
  </si>
  <si>
    <t xml:space="preserve"> 79576.3823 </t>
  </si>
  <si>
    <t xml:space="preserve"> 44.3881 </t>
  </si>
  <si>
    <t>C:\Users\andre\Desktop\REACTIV CEFAS\Tamoxifen\Tamoxifen/20201210_Cefas_Test9_Run3/Plate 1/@13/B8_03- exclu.tif</t>
  </si>
  <si>
    <t>C:\Users\andre\Desktop\REACTIV CEFAS\Tamoxifen\Tamoxifen/20201210_Cefas_Test9_Run3/Plate 1/@13/B8_04- exclu.tif</t>
  </si>
  <si>
    <t xml:space="preserve">C:\Users\andre\Desktop\REACTIV CEFAS\Tamoxifen\Tamoxifen/20201210_Cefas_Test9_Run3/Plate 1/@13/C8_01.tif </t>
  </si>
  <si>
    <t xml:space="preserve"> 26691.29 </t>
  </si>
  <si>
    <t xml:space="preserve"> 33.6613 </t>
  </si>
  <si>
    <t xml:space="preserve">C:\Users\andre\Desktop\REACTIV CEFAS\Tamoxifen\Tamoxifen/20201210_Cefas_Test9_Run3/Plate 1/@13/C8_02.tif </t>
  </si>
  <si>
    <t xml:space="preserve"> 14448.7696 </t>
  </si>
  <si>
    <t xml:space="preserve"> 33.4087 </t>
  </si>
  <si>
    <t xml:space="preserve">C:\Users\andre\Desktop\REACTIV CEFAS\Tamoxifen\Tamoxifen/20201210_Cefas_Test9_Run3/Plate 1/@13/C8_03.tif </t>
  </si>
  <si>
    <t xml:space="preserve"> 20829.5885 </t>
  </si>
  <si>
    <t xml:space="preserve"> 34.4444 </t>
  </si>
  <si>
    <t xml:space="preserve">C:\Users\andre\Desktop\REACTIV CEFAS\Tamoxifen\Tamoxifen/20201210_Cefas_Test9_Run3/Plate 1/@13/C8_04.tif </t>
  </si>
  <si>
    <t xml:space="preserve"> 21110.7772 </t>
  </si>
  <si>
    <t xml:space="preserve"> 34.7152 </t>
  </si>
  <si>
    <t xml:space="preserve">C:\Users\andre\Desktop\REACTIV CEFAS\Tamoxifen\Tamoxifen/20201210_Cefas_Test9_Run3/Plate 1/@13/D8_01.tif </t>
  </si>
  <si>
    <t xml:space="preserve"> 28789.3898 </t>
  </si>
  <si>
    <t xml:space="preserve"> 38.0015 </t>
  </si>
  <si>
    <t xml:space="preserve">C:\Users\andre\Desktop\REACTIV CEFAS\Tamoxifen\Tamoxifen/20201210_Cefas_Test9_Run3/Plate 1/@13/D8_02.tif </t>
  </si>
  <si>
    <t xml:space="preserve"> 35559.5468 </t>
  </si>
  <si>
    <t xml:space="preserve"> 39.4264 </t>
  </si>
  <si>
    <t xml:space="preserve">C:\Users\andre\Desktop\REACTIV CEFAS\Tamoxifen\Tamoxifen/20201210_Cefas_Test9_Run3/Plate 1/@13/D8_03.tif </t>
  </si>
  <si>
    <t xml:space="preserve"> 34240.1232 </t>
  </si>
  <si>
    <t xml:space="preserve"> 40.1396 </t>
  </si>
  <si>
    <t xml:space="preserve">C:\Users\andre\Desktop\REACTIV CEFAS\Tamoxifen\Tamoxifen/20201210_Cefas_Test9_Run3/Plate 1/@13/D8_04.tif </t>
  </si>
  <si>
    <t xml:space="preserve"> 30065.5535 </t>
  </si>
  <si>
    <t xml:space="preserve"> 41.523 </t>
  </si>
  <si>
    <t xml:space="preserve">C:\Users\andre\Desktop\REACTIV CEFAS\Tamoxifen\Tamoxifen/20201210_Cefas_Test9_Run3/Plate 1/@13/E8_01.tif </t>
  </si>
  <si>
    <t xml:space="preserve"> 44.7132 </t>
  </si>
  <si>
    <t xml:space="preserve">C:\Users\andre\Desktop\REACTIV CEFAS\Tamoxifen\Tamoxifen/20201210_Cefas_Test9_Run3/Plate 1/@13/E8_02.tif </t>
  </si>
  <si>
    <t xml:space="preserve"> 51998.2667 </t>
  </si>
  <si>
    <t xml:space="preserve"> 42.7646 </t>
  </si>
  <si>
    <t xml:space="preserve">C:\Users\andre\Desktop\REACTIV CEFAS\Tamoxifen\Tamoxifen/20201210_Cefas_Test9_Run3/Plate 1/@13/E8_03.tif </t>
  </si>
  <si>
    <t xml:space="preserve"> 64932.9437 </t>
  </si>
  <si>
    <t xml:space="preserve"> 41.3877 </t>
  </si>
  <si>
    <t xml:space="preserve">C:\Users\andre\Desktop\REACTIV CEFAS\Tamoxifen\Tamoxifen/20201210_Cefas_Test9_Run3/Plate 1/@13/E8_04.tif </t>
  </si>
  <si>
    <t xml:space="preserve"> 54875.0427 </t>
  </si>
  <si>
    <t xml:space="preserve"> 44.162 </t>
  </si>
  <si>
    <t xml:space="preserve">C:\Users\andre\Desktop\REACTIV CEFAS\Tamoxifen\Tamoxifen/20201210_Cefas_Test9_Run3/Plate 1/@13/F8_01.tif </t>
  </si>
  <si>
    <t xml:space="preserve"> 50960.0317 </t>
  </si>
  <si>
    <t xml:space="preserve"> 39.7513 </t>
  </si>
  <si>
    <t xml:space="preserve">C:\Users\andre\Desktop\REACTIV CEFAS\Tamoxifen\Tamoxifen/20201210_Cefas_Test9_Run3/Plate 1/@13/F8_02.tif </t>
  </si>
  <si>
    <t xml:space="preserve"> 54377.5551 </t>
  </si>
  <si>
    <t xml:space="preserve"> 40.6189 </t>
  </si>
  <si>
    <t xml:space="preserve">C:\Users\andre\Desktop\REACTIV CEFAS\Tamoxifen\Tamoxifen/20201210_Cefas_Test9_Run3/Plate 1/@13/F8_03.tif </t>
  </si>
  <si>
    <t xml:space="preserve"> 40707.4617 </t>
  </si>
  <si>
    <t xml:space="preserve"> 37.7582 </t>
  </si>
  <si>
    <t xml:space="preserve">C:\Users\andre\Desktop\REACTIV CEFAS\Tamoxifen\Tamoxifen/20201210_Cefas_Test9_Run3/Plate 1/@13/F8_04.tif </t>
  </si>
  <si>
    <t xml:space="preserve"> 45163.22 </t>
  </si>
  <si>
    <t xml:space="preserve"> 38.5967 </t>
  </si>
  <si>
    <t xml:space="preserve">C:\Users\andre\Desktop\REACTIV CEFAS\Tamoxifen\Tamoxifen/20201210_Cefas_Test9_Run3/Plate 1/@13/G8_01.tif </t>
  </si>
  <si>
    <t xml:space="preserve"> 45509.2983 </t>
  </si>
  <si>
    <t xml:space="preserve"> 41.25 </t>
  </si>
  <si>
    <t xml:space="preserve">C:\Users\andre\Desktop\REACTIV CEFAS\Tamoxifen\Tamoxifen/20201210_Cefas_Test9_Run3/Plate 1/@13/G8_02.tif </t>
  </si>
  <si>
    <t xml:space="preserve"> 48234.665 </t>
  </si>
  <si>
    <t xml:space="preserve"> 39.2426 </t>
  </si>
  <si>
    <t xml:space="preserve">C:\Users\andre\Desktop\REACTIV CEFAS\Tamoxifen\Tamoxifen/20201210_Cefas_Test9_Run3/Plate 1/@13/G8_03.tif </t>
  </si>
  <si>
    <t xml:space="preserve"> 38.9841 </t>
  </si>
  <si>
    <t xml:space="preserve">C:\Users\andre\Desktop\REACTIV CEFAS\Tamoxifen\Tamoxifen/20201210_Cefas_Test9_Run3/Plate 1/@13/G8_04.tif </t>
  </si>
  <si>
    <t xml:space="preserve"> 45941.8962 </t>
  </si>
  <si>
    <t xml:space="preserve"> 39.2505 </t>
  </si>
  <si>
    <t xml:space="preserve">C:\Users\andre\Desktop\REACTIV CEFAS\Tamoxifen\Tamoxifen/20201210_Cefas_Test9_Run3/Plate 1/@13/H8_01.tif </t>
  </si>
  <si>
    <t xml:space="preserve"> 47693.9177 </t>
  </si>
  <si>
    <t xml:space="preserve"> 41.4653 </t>
  </si>
  <si>
    <t xml:space="preserve">C:\Users\andre\Desktop\REACTIV CEFAS\Tamoxifen\Tamoxifen/20201210_Cefas_Test9_Run3/Plate 1/@13/H8_02.tif </t>
  </si>
  <si>
    <t xml:space="preserve"> 49510.8288 </t>
  </si>
  <si>
    <t xml:space="preserve"> 41.6811 </t>
  </si>
  <si>
    <t xml:space="preserve">C:\Users\andre\Desktop\REACTIV CEFAS\Tamoxifen\Tamoxifen/20201210_Cefas_Test9_Run3/Plate 1/@13/H8_03.tif </t>
  </si>
  <si>
    <t xml:space="preserve"> 49705.4979 </t>
  </si>
  <si>
    <t xml:space="preserve"> 42.2781 </t>
  </si>
  <si>
    <t xml:space="preserve">C:\Users\andre\Desktop\REACTIV CEFAS\Tamoxifen\Tamoxifen/20201210_Cefas_Test9_Run3/Plate 1/@13/H8_04.tif </t>
  </si>
  <si>
    <t xml:space="preserve"> 51500.7791 </t>
  </si>
  <si>
    <t xml:space="preserve"> 44.6161 </t>
  </si>
  <si>
    <t xml:space="preserve">C:\Users\andre\Desktop\REACTIV CEFAS\Tamoxifen\Tamoxifen/20201210_Cefas_Test9_Run3/Plate 1/@13/ </t>
  </si>
  <si>
    <t xml:space="preserve"> 40.3355 </t>
  </si>
  <si>
    <t xml:space="preserve"> 3.1774 </t>
  </si>
  <si>
    <t xml:space="preserve"> 1963382.03 </t>
  </si>
  <si>
    <t xml:space="preserve"> 720059.046 </t>
  </si>
  <si>
    <t xml:space="preserve">C:\Users\andre\Desktop\REACTIV CEFAS\Tamoxifen\Tamoxifen/20201210_Cefas_Test9_Run3/Plate 1/@14/A9_01.tif </t>
  </si>
  <si>
    <t xml:space="preserve"> 48559.1134 </t>
  </si>
  <si>
    <t xml:space="preserve"> 37.8143 </t>
  </si>
  <si>
    <t xml:space="preserve">C:\Users\andre\Desktop\REACTIV CEFAS\Tamoxifen\Tamoxifen/20201210_Cefas_Test9_Run3/Plate 1/@14/A9_02.tif </t>
  </si>
  <si>
    <t xml:space="preserve"> 55134.6014 </t>
  </si>
  <si>
    <t xml:space="preserve"> 41.4602 </t>
  </si>
  <si>
    <t xml:space="preserve">C:\Users\andre\Desktop\REACTIV CEFAS\Tamoxifen\Tamoxifen/20201210_Cefas_Test9_Run3/Plate 1/@14/A9_03.tif </t>
  </si>
  <si>
    <t xml:space="preserve"> 53944.9572 </t>
  </si>
  <si>
    <t xml:space="preserve"> 42.8336 </t>
  </si>
  <si>
    <t xml:space="preserve">C:\Users\andre\Desktop\REACTIV CEFAS\Tamoxifen\Tamoxifen/20201210_Cefas_Test9_Run3/Plate 1/@14/A9_04.tif </t>
  </si>
  <si>
    <t xml:space="preserve"> 58790.0536 </t>
  </si>
  <si>
    <t xml:space="preserve"> 43.4963 </t>
  </si>
  <si>
    <t xml:space="preserve">C:\Users\andre\Desktop\REACTIV CEFAS\Tamoxifen\Tamoxifen/20201210_Cefas_Test9_Run3/Plate 1/@14/B9_01.tif </t>
  </si>
  <si>
    <t xml:space="preserve"> 47369.4692 </t>
  </si>
  <si>
    <t xml:space="preserve"> 40.6055 </t>
  </si>
  <si>
    <t xml:space="preserve">C:\Users\andre\Desktop\REACTIV CEFAS\Tamoxifen\Tamoxifen/20201210_Cefas_Test9_Run3/Plate 1/@14/B9_02.tif </t>
  </si>
  <si>
    <t xml:space="preserve"> 54420.8149 </t>
  </si>
  <si>
    <t xml:space="preserve"> 43.7424 </t>
  </si>
  <si>
    <t xml:space="preserve">C:\Users\andre\Desktop\REACTIV CEFAS\Tamoxifen\Tamoxifen/20201210_Cefas_Test9_Run3/Plate 1/@14/B9_03.tif </t>
  </si>
  <si>
    <t xml:space="preserve"> 54139.6263 </t>
  </si>
  <si>
    <t xml:space="preserve"> 45.1067 </t>
  </si>
  <si>
    <t xml:space="preserve">C:\Users\andre\Desktop\REACTIV CEFAS\Tamoxifen\Tamoxifen/20201210_Cefas_Test9_Run3/Plate 1/@14/B9_04.tif </t>
  </si>
  <si>
    <t xml:space="preserve"> 52365.9749 </t>
  </si>
  <si>
    <t xml:space="preserve"> 43.646 </t>
  </si>
  <si>
    <t xml:space="preserve">C:\Users\andre\Desktop\REACTIV CEFAS\Tamoxifen\Tamoxifen/20201210_Cefas_Test9_Run3/Plate 1/@14/C9_01.tif </t>
  </si>
  <si>
    <t xml:space="preserve"> 29762.735 </t>
  </si>
  <si>
    <t xml:space="preserve"> 34.1948 </t>
  </si>
  <si>
    <t xml:space="preserve">C:\Users\andre\Desktop\REACTIV CEFAS\Tamoxifen\Tamoxifen/20201210_Cefas_Test9_Run3/Plate 1/@14/C9_02.tif </t>
  </si>
  <si>
    <t xml:space="preserve"> 23598.215 </t>
  </si>
  <si>
    <t xml:space="preserve"> 34.2548 </t>
  </si>
  <si>
    <t xml:space="preserve">C:\Users\andre\Desktop\REACTIV CEFAS\Tamoxifen\Tamoxifen/20201210_Cefas_Test9_Run3/Plate 1/@14/C9_03.tif </t>
  </si>
  <si>
    <t xml:space="preserve"> 27469.9662 </t>
  </si>
  <si>
    <t xml:space="preserve"> 35.0386 </t>
  </si>
  <si>
    <t xml:space="preserve">C:\Users\andre\Desktop\REACTIV CEFAS\Tamoxifen\Tamoxifen/20201210_Cefas_Test9_Run3/Plate 1/@14/C9_04.tif </t>
  </si>
  <si>
    <t xml:space="preserve"> 24960.8984 </t>
  </si>
  <si>
    <t xml:space="preserve"> 33.5433 </t>
  </si>
  <si>
    <t xml:space="preserve">C:\Users\andre\Desktop\REACTIV CEFAS\Tamoxifen\Tamoxifen/20201210_Cefas_Test9_Run3/Plate 1/@14/D9_01.tif </t>
  </si>
  <si>
    <t xml:space="preserve"> 41572.6575 </t>
  </si>
  <si>
    <t xml:space="preserve"> 37.5869 </t>
  </si>
  <si>
    <t xml:space="preserve">C:\Users\andre\Desktop\REACTIV CEFAS\Tamoxifen\Tamoxifen/20201210_Cefas_Test9_Run3/Plate 1/@14/D9_02.tif </t>
  </si>
  <si>
    <t xml:space="preserve"> 39323.1484 </t>
  </si>
  <si>
    <t xml:space="preserve"> 36.3894 </t>
  </si>
  <si>
    <t xml:space="preserve">C:\Users\andre\Desktop\REACTIV CEFAS\Tamoxifen\Tamoxifen/20201210_Cefas_Test9_Run3/Plate 1/@14/D9_03.tif </t>
  </si>
  <si>
    <t xml:space="preserve"> 47196.4301 </t>
  </si>
  <si>
    <t xml:space="preserve"> 37.5655 </t>
  </si>
  <si>
    <t xml:space="preserve">C:\Users\andre\Desktop\REACTIV CEFAS\Tamoxifen\Tamoxifen/20201210_Cefas_Test9_Run3/Plate 1/@14/D9_04.tif </t>
  </si>
  <si>
    <t xml:space="preserve"> 49251.2701 </t>
  </si>
  <si>
    <t xml:space="preserve"> 39.5604 </t>
  </si>
  <si>
    <t xml:space="preserve">C:\Users\andre\Desktop\REACTIV CEFAS\Tamoxifen\Tamoxifen/20201210_Cefas_Test9_Run3/Plate 1/@14/E9_01.tif </t>
  </si>
  <si>
    <t xml:space="preserve"> 44773.8819 </t>
  </si>
  <si>
    <t xml:space="preserve"> 40.7657 </t>
  </si>
  <si>
    <t xml:space="preserve">C:\Users\andre\Desktop\REACTIV CEFAS\Tamoxifen\Tamoxifen/20201210_Cefas_Test9_Run3/Plate 1/@14/E9_02.tif </t>
  </si>
  <si>
    <t xml:space="preserve"> 38717.5114 </t>
  </si>
  <si>
    <t xml:space="preserve"> 40.5179 </t>
  </si>
  <si>
    <t xml:space="preserve">C:\Users\andre\Desktop\REACTIV CEFAS\Tamoxifen\Tamoxifen/20201210_Cefas_Test9_Run3/Plate 1/@14/E9_03.tif </t>
  </si>
  <si>
    <t xml:space="preserve"> 46525.9033 </t>
  </si>
  <si>
    <t xml:space="preserve"> 41.5904 </t>
  </si>
  <si>
    <t xml:space="preserve">C:\Users\andre\Desktop\REACTIV CEFAS\Tamoxifen\Tamoxifen/20201210_Cefas_Test9_Run3/Plate 1/@14/E9_04.tif </t>
  </si>
  <si>
    <t xml:space="preserve"> 49943.4267 </t>
  </si>
  <si>
    <t xml:space="preserve"> 42.9602 </t>
  </si>
  <si>
    <t xml:space="preserve">C:\Users\andre\Desktop\REACTIV CEFAS\Tamoxifen\Tamoxifen/20201210_Cefas_Test9_Run3/Plate 1/@14/F9_01.tif </t>
  </si>
  <si>
    <t xml:space="preserve"> 28400.0516 </t>
  </si>
  <si>
    <t xml:space="preserve"> 35.0221 </t>
  </si>
  <si>
    <t xml:space="preserve">C:\Users\andre\Desktop\REACTIV CEFAS\Tamoxifen\Tamoxifen/20201210_Cefas_Test9_Run3/Plate 1/@14/F9_02.tif </t>
  </si>
  <si>
    <t xml:space="preserve"> 22451.8306 </t>
  </si>
  <si>
    <t xml:space="preserve"> 35.8719 </t>
  </si>
  <si>
    <t xml:space="preserve">C:\Users\andre\Desktop\REACTIV CEFAS\Tamoxifen\Tamoxifen/20201210_Cefas_Test9_Run3/Plate 1/@14/F9_03.tif </t>
  </si>
  <si>
    <t xml:space="preserve"> 23057.4677 </t>
  </si>
  <si>
    <t xml:space="preserve"> 36.2702 </t>
  </si>
  <si>
    <t xml:space="preserve">C:\Users\andre\Desktop\REACTIV CEFAS\Tamoxifen\Tamoxifen/20201210_Cefas_Test9_Run3/Plate 1/@14/F9_04.tif </t>
  </si>
  <si>
    <t xml:space="preserve"> 32163.6533 </t>
  </si>
  <si>
    <t xml:space="preserve"> 38.039 </t>
  </si>
  <si>
    <t xml:space="preserve">C:\Users\andre\Desktop\REACTIV CEFAS\Tamoxifen\Tamoxifen/20201210_Cefas_Test9_Run3/Plate 1/@14/G9_01.tif </t>
  </si>
  <si>
    <t xml:space="preserve"> 19488.5351 </t>
  </si>
  <si>
    <t xml:space="preserve"> 34.576 </t>
  </si>
  <si>
    <t xml:space="preserve">C:\Users\andre\Desktop\REACTIV CEFAS\Tamoxifen\Tamoxifen/20201210_Cefas_Test9_Run3/Plate 1/@14/G9_02.tif </t>
  </si>
  <si>
    <t xml:space="preserve"> 20786.3287 </t>
  </si>
  <si>
    <t xml:space="preserve"> 35.1707 </t>
  </si>
  <si>
    <t xml:space="preserve">C:\Users\andre\Desktop\REACTIV CEFAS\Tamoxifen\Tamoxifen/20201210_Cefas_Test9_Run3/Plate 1/@14/G9_03.tif </t>
  </si>
  <si>
    <t xml:space="preserve"> 27664.6352 </t>
  </si>
  <si>
    <t xml:space="preserve"> 37.233 </t>
  </si>
  <si>
    <t>C:\Users\andre\Desktop\REACTIV CEFAS\Tamoxifen\Tamoxifen/20201210_Cefas_Test9_Run3/Plate 1/@14/G9_04- exclu.tif</t>
  </si>
  <si>
    <t xml:space="preserve">C:\Users\andre\Desktop\REACTIV CEFAS\Tamoxifen\Tamoxifen/20201210_Cefas_Test9_Run3/Plate 1/@14/H9_01.tif </t>
  </si>
  <si>
    <t xml:space="preserve"> 4152.9398 </t>
  </si>
  <si>
    <t xml:space="preserve"> 31.599 </t>
  </si>
  <si>
    <t xml:space="preserve">C:\Users\andre\Desktop\REACTIV CEFAS\Tamoxifen\Tamoxifen/20201210_Cefas_Test9_Run3/Plate 1/@14/H9_02.tif </t>
  </si>
  <si>
    <t xml:space="preserve"> 10685.1679 </t>
  </si>
  <si>
    <t xml:space="preserve"> 32.496 </t>
  </si>
  <si>
    <t xml:space="preserve">C:\Users\andre\Desktop\REACTIV CEFAS\Tamoxifen\Tamoxifen/20201210_Cefas_Test9_Run3/Plate 1/@14/H9_03.tif </t>
  </si>
  <si>
    <t xml:space="preserve"> 32.2555 </t>
  </si>
  <si>
    <t xml:space="preserve">C:\Users\andre\Desktop\REACTIV CEFAS\Tamoxifen\Tamoxifen/20201210_Cefas_Test9_Run3/Plate 1/@14/H9_04.tif </t>
  </si>
  <si>
    <t xml:space="preserve"> 12069.4812 </t>
  </si>
  <si>
    <t xml:space="preserve"> 32.4624 </t>
  </si>
  <si>
    <t xml:space="preserve">C:\Users\andre\Desktop\REACTIV CEFAS\Tamoxifen\Tamoxifen/20201210_Cefas_Test9_Run3/Plate 1/@14/ </t>
  </si>
  <si>
    <t xml:space="preserve"> 37.9721 </t>
  </si>
  <si>
    <t xml:space="preserve"> 3.9561 </t>
  </si>
  <si>
    <t xml:space="preserve"> 1373291.5 </t>
  </si>
  <si>
    <t xml:space="preserve"> 728860.219 </t>
  </si>
  <si>
    <t xml:space="preserve">C:\Users\andre\Desktop\REACTIV CEFAS\Tamoxifen\Tamoxifen/20201210_Cefas_Test9_Run3/Plate 1/@15/A11_01.tif </t>
  </si>
  <si>
    <t xml:space="preserve"> 63548.6304 </t>
  </si>
  <si>
    <t xml:space="preserve"> 47.0092 </t>
  </si>
  <si>
    <t xml:space="preserve">C:\Users\andre\Desktop\REACTIV CEFAS\Tamoxifen\Tamoxifen/20201210_Cefas_Test9_Run3/Plate 1/@15/A11_02.tif </t>
  </si>
  <si>
    <t xml:space="preserve"> 68393.7268 </t>
  </si>
  <si>
    <t xml:space="preserve"> 47.7562 </t>
  </si>
  <si>
    <t xml:space="preserve">C:\Users\andre\Desktop\REACTIV CEFAS\Tamoxifen\Tamoxifen/20201210_Cefas_Test9_Run3/Plate 1/@15/A11_03.tif </t>
  </si>
  <si>
    <t xml:space="preserve"> 72287.1078 </t>
  </si>
  <si>
    <t xml:space="preserve"> 49.0078 </t>
  </si>
  <si>
    <t xml:space="preserve">C:\Users\andre\Desktop\REACTIV CEFAS\Tamoxifen\Tamoxifen/20201210_Cefas_Test9_Run3/Plate 1/@15/A11_04.tif </t>
  </si>
  <si>
    <t xml:space="preserve"> 67788.0898 </t>
  </si>
  <si>
    <t xml:space="preserve"> 45.2565 </t>
  </si>
  <si>
    <t xml:space="preserve">C:\Users\andre\Desktop\REACTIV CEFAS\Tamoxifen\Tamoxifen/20201210_Cefas_Test9_Run3/Plate 1/@15/B11_01.tif </t>
  </si>
  <si>
    <t xml:space="preserve"> 34110.3438 </t>
  </si>
  <si>
    <t xml:space="preserve"> 40.2682 </t>
  </si>
  <si>
    <t xml:space="preserve">C:\Users\andre\Desktop\REACTIV CEFAS\Tamoxifen\Tamoxifen/20201210_Cefas_Test9_Run3/Plate 1/@15/B11_02.tif </t>
  </si>
  <si>
    <t xml:space="preserve"> 39669.2267 </t>
  </si>
  <si>
    <t xml:space="preserve"> 44.2426 </t>
  </si>
  <si>
    <t xml:space="preserve">C:\Users\andre\Desktop\REACTIV CEFAS\Tamoxifen\Tamoxifen/20201210_Cefas_Test9_Run3/Plate 1/@15/B11_03.tif </t>
  </si>
  <si>
    <t xml:space="preserve"> 40815.6112 </t>
  </si>
  <si>
    <t xml:space="preserve"> 44.5284 </t>
  </si>
  <si>
    <t xml:space="preserve">C:\Users\andre\Desktop\REACTIV CEFAS\Tamoxifen\Tamoxifen/20201210_Cefas_Test9_Run3/Plate 1/@15/B11_04.tif </t>
  </si>
  <si>
    <t xml:space="preserve"> 38566.1021 </t>
  </si>
  <si>
    <t xml:space="preserve"> 43.0869 </t>
  </si>
  <si>
    <t xml:space="preserve">C:\Users\andre\Desktop\REACTIV CEFAS\Tamoxifen\Tamoxifen/20201210_Cefas_Test9_Run3/Plate 1/@15/C11_01.tif </t>
  </si>
  <si>
    <t xml:space="preserve"> 81652.8522 </t>
  </si>
  <si>
    <t xml:space="preserve"> 46.903 </t>
  </si>
  <si>
    <t xml:space="preserve">C:\Users\andre\Desktop\REACTIV CEFAS\Tamoxifen\Tamoxifen/20201210_Cefas_Test9_Run3/Plate 1/@15/C11_02.tif </t>
  </si>
  <si>
    <t xml:space="preserve"> 80268.539 </t>
  </si>
  <si>
    <t xml:space="preserve"> 49.8354 </t>
  </si>
  <si>
    <t xml:space="preserve">C:\Users\andre\Desktop\REACTIV CEFAS\Tamoxifen\Tamoxifen/20201210_Cefas_Test9_Run3/Plate 1/@15/C11_03.tif </t>
  </si>
  <si>
    <t xml:space="preserve"> 82842.4964 </t>
  </si>
  <si>
    <t xml:space="preserve"> 48.8394 </t>
  </si>
  <si>
    <t xml:space="preserve">C:\Users\andre\Desktop\REACTIV CEFAS\Tamoxifen\Tamoxifen/20201210_Cefas_Test9_Run3/Plate 1/@15/C11_04.tif </t>
  </si>
  <si>
    <t xml:space="preserve"> 82777.6067 </t>
  </si>
  <si>
    <t xml:space="preserve"> 48.5171 </t>
  </si>
  <si>
    <t xml:space="preserve">C:\Users\andre\Desktop\REACTIV CEFAS\Tamoxifen\Tamoxifen/20201210_Cefas_Test9_Run3/Plate 1/@15/D11_01.tif </t>
  </si>
  <si>
    <t xml:space="preserve"> 69864.5597 </t>
  </si>
  <si>
    <t xml:space="preserve"> 42.3638 </t>
  </si>
  <si>
    <t xml:space="preserve">C:\Users\andre\Desktop\REACTIV CEFAS\Tamoxifen\Tamoxifen/20201210_Cefas_Test9_Run3/Plate 1/@15/D11_02.tif </t>
  </si>
  <si>
    <t xml:space="preserve"> 68545.1361 </t>
  </si>
  <si>
    <t xml:space="preserve"> 43.0953 </t>
  </si>
  <si>
    <t xml:space="preserve">C:\Users\andre\Desktop\REACTIV CEFAS\Tamoxifen\Tamoxifen/20201210_Cefas_Test9_Run3/Plate 1/@15/D11_03.tif </t>
  </si>
  <si>
    <t xml:space="preserve"> 58465.6052 </t>
  </si>
  <si>
    <t xml:space="preserve"> 40.1465 </t>
  </si>
  <si>
    <t xml:space="preserve">C:\Users\andre\Desktop\REACTIV CEFAS\Tamoxifen\Tamoxifen/20201210_Cefas_Test9_Run3/Plate 1/@15/D11_04.tif </t>
  </si>
  <si>
    <t xml:space="preserve"> 55978.1673 </t>
  </si>
  <si>
    <t xml:space="preserve"> 39.2257 </t>
  </si>
  <si>
    <t xml:space="preserve">C:\Users\andre\Desktop\REACTIV CEFAS\Tamoxifen\Tamoxifen/20201210_Cefas_Test9_Run3/Plate 1/@15/E11_01.tif </t>
  </si>
  <si>
    <t xml:space="preserve"> 76548.1971 </t>
  </si>
  <si>
    <t xml:space="preserve"> 51.0167 </t>
  </si>
  <si>
    <t xml:space="preserve">C:\Users\andre\Desktop\REACTIV CEFAS\Tamoxifen\Tamoxifen/20201210_Cefas_Test9_Run3/Plate 1/@15/E11_02.tif </t>
  </si>
  <si>
    <t xml:space="preserve"> 83231.8345 </t>
  </si>
  <si>
    <t xml:space="preserve"> 55.8828 </t>
  </si>
  <si>
    <t xml:space="preserve">C:\Users\andre\Desktop\REACTIV CEFAS\Tamoxifen\Tamoxifen/20201210_Cefas_Test9_Run3/Plate 1/@15/E11_03.tif </t>
  </si>
  <si>
    <t xml:space="preserve"> 53.6492 </t>
  </si>
  <si>
    <t xml:space="preserve">C:\Users\andre\Desktop\REACTIV CEFAS\Tamoxifen\Tamoxifen/20201210_Cefas_Test9_Run3/Plate 1/@15/E11_04.tif </t>
  </si>
  <si>
    <t xml:space="preserve"> 78127.1794 </t>
  </si>
  <si>
    <t xml:space="preserve"> 52.2793 </t>
  </si>
  <si>
    <t>C:\Users\andre\Desktop\REACTIV CEFAS\Tamoxifen\Tamoxifen/20201210_Cefas_Test9_Run3/Plate 1/@15/F11_01- exclu.tif</t>
  </si>
  <si>
    <t>C:\Users\andre\Desktop\REACTIV CEFAS\Tamoxifen\Tamoxifen/20201210_Cefas_Test9_Run3/Plate 1/@15/F11_02- exclu.tif</t>
  </si>
  <si>
    <t>C:\Users\andre\Desktop\REACTIV CEFAS\Tamoxifen\Tamoxifen/20201210_Cefas_Test9_Run3/Plate 1/@15/F11_03- exclu.tif</t>
  </si>
  <si>
    <t>C:\Users\andre\Desktop\REACTIV CEFAS\Tamoxifen\Tamoxifen/20201210_Cefas_Test9_Run3/Plate 1/@15/F11_04- exclu.tif</t>
  </si>
  <si>
    <t xml:space="preserve">C:\Users\andre\Desktop\REACTIV CEFAS\Tamoxifen\Tamoxifen/20201210_Cefas_Test9_Run3/Plate 1/@15/G11_01.tif </t>
  </si>
  <si>
    <t xml:space="preserve"> 64002.8582 </t>
  </si>
  <si>
    <t xml:space="preserve"> 42.5657 </t>
  </si>
  <si>
    <t xml:space="preserve">C:\Users\andre\Desktop\REACTIV CEFAS\Tamoxifen\Tamoxifen/20201210_Cefas_Test9_Run3/Plate 1/@15/G11_02.tif </t>
  </si>
  <si>
    <t xml:space="preserve"> 56107.9467 </t>
  </si>
  <si>
    <t xml:space="preserve"> 43.7255 </t>
  </si>
  <si>
    <t xml:space="preserve">C:\Users\andre\Desktop\REACTIV CEFAS\Tamoxifen\Tamoxifen/20201210_Cefas_Test9_Run3/Plate 1/@15/G11_03.tif </t>
  </si>
  <si>
    <t xml:space="preserve"> 51890.1172 </t>
  </si>
  <si>
    <t xml:space="preserve"> 42.3022 </t>
  </si>
  <si>
    <t xml:space="preserve">C:\Users\andre\Desktop\REACTIV CEFAS\Tamoxifen\Tamoxifen/20201210_Cefas_Test9_Run3/Plate 1/@15/G11_04.tif </t>
  </si>
  <si>
    <t xml:space="preserve"> 46980.1311 </t>
  </si>
  <si>
    <t xml:space="preserve"> 43.2937 </t>
  </si>
  <si>
    <t>C:\Users\andre\Desktop\REACTIV CEFAS\Tamoxifen\Tamoxifen/20201210_Cefas_Test9_Run3/Plate 1/@15/H11_01- exclu.tif</t>
  </si>
  <si>
    <t>C:\Users\andre\Desktop\REACTIV CEFAS\Tamoxifen\Tamoxifen/20201210_Cefas_Test9_Run3/Plate 1/@15/H11_02- exclu.tif</t>
  </si>
  <si>
    <t xml:space="preserve">C:\Users\andre\Desktop\REACTIV CEFAS\Tamoxifen\Tamoxifen/20201210_Cefas_Test9_Run3/Plate 1/@15/H11_03.tif </t>
  </si>
  <si>
    <t xml:space="preserve"> 38501.2124 </t>
  </si>
  <si>
    <t xml:space="preserve"> 41.2837 </t>
  </si>
  <si>
    <t xml:space="preserve">C:\Users\andre\Desktop\REACTIV CEFAS\Tamoxifen\Tamoxifen/20201210_Cefas_Test9_Run3/Plate 1/@15/H11_04.tif </t>
  </si>
  <si>
    <t xml:space="preserve"> 36922.2301 </t>
  </si>
  <si>
    <t xml:space="preserve"> 40.3749 </t>
  </si>
  <si>
    <t xml:space="preserve">C:\Users\andre\Desktop\REACTIV CEFAS\Tamoxifen\Tamoxifen/20201210_Cefas_Test9_Run3/Plate 1/@15/ </t>
  </si>
  <si>
    <t xml:space="preserve"> 44.3554 </t>
  </si>
  <si>
    <t xml:space="preserve"> 5.498 </t>
  </si>
  <si>
    <t xml:space="preserve"> 2536426.22 </t>
  </si>
  <si>
    <t xml:space="preserve"> 1264019.33 </t>
  </si>
  <si>
    <t xml:space="preserve">C:\Users\andre\Desktop\REACTIV CEFAS\Tamoxifen\Tamoxifen/20201210_Cefas_Test9_Run3/Plate 1/@16/A12_01.tif </t>
  </si>
  <si>
    <t xml:space="preserve"> 32.717 </t>
  </si>
  <si>
    <t xml:space="preserve">C:\Users\andre\Desktop\REACTIV CEFAS\Tamoxifen\Tamoxifen/20201210_Cefas_Test9_Run3/Plate 1/@16/A12_02.tif </t>
  </si>
  <si>
    <t xml:space="preserve"> 1427.573 </t>
  </si>
  <si>
    <t xml:space="preserve"> 33.2424 </t>
  </si>
  <si>
    <t xml:space="preserve">C:\Users\andre\Desktop\REACTIV CEFAS\Tamoxifen\Tamoxifen/20201210_Cefas_Test9_Run3/Plate 1/@16/A12_03.tif </t>
  </si>
  <si>
    <t xml:space="preserve">C:\Users\andre\Desktop\REACTIV CEFAS\Tamoxifen\Tamoxifen/20201210_Cefas_Test9_Run3/Plate 1/@16/A12_04.tif </t>
  </si>
  <si>
    <t xml:space="preserve"> 35.5231 </t>
  </si>
  <si>
    <t xml:space="preserve">C:\Users\andre\Desktop\REACTIV CEFAS\Tamoxifen\Tamoxifen/20201210_Cefas_Test9_Run3/Plate 1/@16/B12_01.tif </t>
  </si>
  <si>
    <t xml:space="preserve"> 7375.7941 </t>
  </si>
  <si>
    <t xml:space="preserve"> 37.5543 </t>
  </si>
  <si>
    <t xml:space="preserve">C:\Users\andre\Desktop\REACTIV CEFAS\Tamoxifen\Tamoxifen/20201210_Cefas_Test9_Run3/Plate 1/@16/B12_02.tif </t>
  </si>
  <si>
    <t xml:space="preserve"> 7116.2353 </t>
  </si>
  <si>
    <t xml:space="preserve"> 39.8723 </t>
  </si>
  <si>
    <t xml:space="preserve">C:\Users\andre\Desktop\REACTIV CEFAS\Tamoxifen\Tamoxifen/20201210_Cefas_Test9_Run3/Plate 1/@16/B12_03.tif </t>
  </si>
  <si>
    <t xml:space="preserve"> 39.5308 </t>
  </si>
  <si>
    <t xml:space="preserve">C:\Users\andre\Desktop\REACTIV CEFAS\Tamoxifen\Tamoxifen/20201210_Cefas_Test9_Run3/Plate 1/@16/B12_04.tif </t>
  </si>
  <si>
    <t xml:space="preserve"> 8197.7301 </t>
  </si>
  <si>
    <t xml:space="preserve"> 39.2111 </t>
  </si>
  <si>
    <t xml:space="preserve">C:\Users\andre\Desktop\REACTIV CEFAS\Tamoxifen\Tamoxifen/20201210_Cefas_Test9_Run3/Plate 1/@16/C12_01.tif </t>
  </si>
  <si>
    <t xml:space="preserve"> 31.1034 </t>
  </si>
  <si>
    <t xml:space="preserve">C:\Users\andre\Desktop\REACTIV CEFAS\Tamoxifen\Tamoxifen/20201210_Cefas_Test9_Run3/Plate 1/@16/C12_02.tif </t>
  </si>
  <si>
    <t xml:space="preserve"> 30.5556 </t>
  </si>
  <si>
    <t xml:space="preserve">C:\Users\andre\Desktop\REACTIV CEFAS\Tamoxifen\Tamoxifen/20201210_Cefas_Test9_Run3/Plate 1/@16/C12_03.tif </t>
  </si>
  <si>
    <t xml:space="preserve"> 3244.4842 </t>
  </si>
  <si>
    <t xml:space="preserve"> 33.1333 </t>
  </si>
  <si>
    <t xml:space="preserve">C:\Users\andre\Desktop\REACTIV CEFAS\Tamoxifen\Tamoxifen/20201210_Cefas_Test9_Run3/Plate 1/@16/C12_04.tif </t>
  </si>
  <si>
    <t xml:space="preserve"> 2227.8791 </t>
  </si>
  <si>
    <t xml:space="preserve"> 31.7282 </t>
  </si>
  <si>
    <t xml:space="preserve">C:\Users\andre\Desktop\REACTIV CEFAS\Tamoxifen\Tamoxifen/20201210_Cefas_Test9_Run3/Plate 1/@16/D12_01.tif </t>
  </si>
  <si>
    <t xml:space="preserve"> 37.758 </t>
  </si>
  <si>
    <t xml:space="preserve">C:\Users\andre\Desktop\REACTIV CEFAS\Tamoxifen\Tamoxifen/20201210_Cefas_Test9_Run3/Plate 1/@16/D12_02.tif </t>
  </si>
  <si>
    <t xml:space="preserve"> 34.2366 </t>
  </si>
  <si>
    <t xml:space="preserve">C:\Users\andre\Desktop\REACTIV CEFAS\Tamoxifen\Tamoxifen/20201210_Cefas_Test9_Run3/Plate 1/@16/D12_03.tif </t>
  </si>
  <si>
    <t xml:space="preserve"> 35.3318 </t>
  </si>
  <si>
    <t xml:space="preserve">C:\Users\andre\Desktop\REACTIV CEFAS\Tamoxifen\Tamoxifen/20201210_Cefas_Test9_Run3/Plate 1/@16/D12_04.tif </t>
  </si>
  <si>
    <t xml:space="preserve"> 4845.0964 </t>
  </si>
  <si>
    <t xml:space="preserve"> 34.5804 </t>
  </si>
  <si>
    <t xml:space="preserve">C:\Users\andre\Desktop\REACTIV CEFAS\Tamoxifen\Tamoxifen/20201210_Cefas_Test9_Run3/Plate 1/@16/E12_01.tif </t>
  </si>
  <si>
    <t xml:space="preserve"> 12242.5204 </t>
  </si>
  <si>
    <t xml:space="preserve"> 39.6625 </t>
  </si>
  <si>
    <t xml:space="preserve">C:\Users\andre\Desktop\REACTIV CEFAS\Tamoxifen\Tamoxifen/20201210_Cefas_Test9_Run3/Plate 1/@16/E12_02.tif </t>
  </si>
  <si>
    <t xml:space="preserve"> 6683.6374 </t>
  </si>
  <si>
    <t xml:space="preserve"> 35.6311 </t>
  </si>
  <si>
    <t xml:space="preserve">C:\Users\andre\Desktop\REACTIV CEFAS\Tamoxifen\Tamoxifen/20201210_Cefas_Test9_Run3/Plate 1/@16/E12_03.tif </t>
  </si>
  <si>
    <t xml:space="preserve"> 13497.0542 </t>
  </si>
  <si>
    <t xml:space="preserve"> 42.226 </t>
  </si>
  <si>
    <t>C:\Users\andre\Desktop\REACTIV CEFAS\Tamoxifen\Tamoxifen/20201210_Cefas_Test9_Run3/Plate 1/@16/E12_04- exclu.tif</t>
  </si>
  <si>
    <t xml:space="preserve">C:\Users\andre\Desktop\REACTIV CEFAS\Tamoxifen\Tamoxifen/20201210_Cefas_Test9_Run3/Plate 1/@16/F12_01.tif </t>
  </si>
  <si>
    <t xml:space="preserve"> 8651.9579 </t>
  </si>
  <si>
    <t xml:space="preserve"> 42.8125 </t>
  </si>
  <si>
    <t>C:\Users\andre\Desktop\REACTIV CEFAS\Tamoxifen\Tamoxifen/20201210_Cefas_Test9_Run3/Plate 1/@16/F12_02- exclu.tif</t>
  </si>
  <si>
    <t>C:\Users\andre\Desktop\REACTIV CEFAS\Tamoxifen\Tamoxifen/20201210_Cefas_Test9_Run3/Plate 1/@16/F12_03- exclu.tif</t>
  </si>
  <si>
    <t>C:\Users\andre\Desktop\REACTIV CEFAS\Tamoxifen\Tamoxifen/20201210_Cefas_Test9_Run3/Plate 1/@16/F12_04- exclu.tif</t>
  </si>
  <si>
    <t xml:space="preserve">C:\Users\andre\Desktop\REACTIV CEFAS\Tamoxifen\Tamoxifen/20201210_Cefas_Test9_Run3/Plate 1/@16/G12_01.tif </t>
  </si>
  <si>
    <t xml:space="preserve"> 32.16 </t>
  </si>
  <si>
    <t xml:space="preserve">C:\Users\andre\Desktop\REACTIV CEFAS\Tamoxifen\Tamoxifen/20201210_Cefas_Test9_Run3/Plate 1/@16/G12_02.tif </t>
  </si>
  <si>
    <t xml:space="preserve">C:\Users\andre\Desktop\REACTIV CEFAS\Tamoxifen\Tamoxifen/20201210_Cefas_Test9_Run3/Plate 1/@16/G12_03.tif </t>
  </si>
  <si>
    <t xml:space="preserve"> 151.4093 </t>
  </si>
  <si>
    <t xml:space="preserve"> 32.1429 </t>
  </si>
  <si>
    <t xml:space="preserve">C:\Users\andre\Desktop\REACTIV CEFAS\Tamoxifen\Tamoxifen/20201210_Cefas_Test9_Run3/Plate 1/@16/G12_04.tif </t>
  </si>
  <si>
    <t xml:space="preserve"> 930.0855 </t>
  </si>
  <si>
    <t xml:space="preserve"> 33.9767 </t>
  </si>
  <si>
    <t xml:space="preserve">C:\Users\andre\Desktop\REACTIV CEFAS\Tamoxifen\Tamoxifen/20201210_Cefas_Test9_Run3/Plate 1/@16/H12_01.tif </t>
  </si>
  <si>
    <t xml:space="preserve"> 38.0702 </t>
  </si>
  <si>
    <t xml:space="preserve">C:\Users\andre\Desktop\REACTIV CEFAS\Tamoxifen\Tamoxifen/20201210_Cefas_Test9_Run3/Plate 1/@16/H12_02.tif </t>
  </si>
  <si>
    <t xml:space="preserve"> 10014.6412 </t>
  </si>
  <si>
    <t xml:space="preserve"> 39.4989 </t>
  </si>
  <si>
    <t xml:space="preserve">C:\Users\andre\Desktop\REACTIV CEFAS\Tamoxifen\Tamoxifen/20201210_Cefas_Test9_Run3/Plate 1/@16/H12_03.tif </t>
  </si>
  <si>
    <t xml:space="preserve">C:\Users\andre\Desktop\REACTIV CEFAS\Tamoxifen\Tamoxifen/20201210_Cefas_Test9_Run3/Plate 1/@16/H12_04.tif </t>
  </si>
  <si>
    <t xml:space="preserve"> 5212.8046 </t>
  </si>
  <si>
    <t xml:space="preserve"> 39.0913 </t>
  </si>
  <si>
    <t xml:space="preserve">C:\Users\andre\Desktop\REACTIV CEFAS\Tamoxifen\Tamoxifen/20201210_Cefas_Test9_Run3/Plate 1/@16/ </t>
  </si>
  <si>
    <t xml:space="preserve"> 34.1732 </t>
  </si>
  <si>
    <t xml:space="preserve"> 12.2936 </t>
  </si>
  <si>
    <t xml:space="preserve"> 233703.531 </t>
  </si>
  <si>
    <t xml:space="preserve"> 219019.115 </t>
  </si>
  <si>
    <t xml:space="preserve">C:\Users\andre\Desktop\REACTIV CEFAS\Tamoxifen\Tamoxifen/20201210_Cefas_Test9_Run3/Plate 1/@2/A2_01.tif </t>
  </si>
  <si>
    <t xml:space="preserve"> 2487.4379 </t>
  </si>
  <si>
    <t xml:space="preserve"> 33.0261 </t>
  </si>
  <si>
    <t xml:space="preserve">C:\Users\andre\Desktop\REACTIV CEFAS\Tamoxifen\Tamoxifen/20201210_Cefas_Test9_Run3/Plate 1/@2/A2_02.tif </t>
  </si>
  <si>
    <t xml:space="preserve"> 1665.5019 </t>
  </si>
  <si>
    <t xml:space="preserve">C:\Users\andre\Desktop\REACTIV CEFAS\Tamoxifen\Tamoxifen/20201210_Cefas_Test9_Run3/Plate 1/@2/A2_03.tif </t>
  </si>
  <si>
    <t xml:space="preserve"> 32.4 </t>
  </si>
  <si>
    <t xml:space="preserve">C:\Users\andre\Desktop\REACTIV CEFAS\Tamoxifen\Tamoxifen/20201210_Cefas_Test9_Run3/Plate 1/@2/A2_04.tif </t>
  </si>
  <si>
    <t xml:space="preserve"> 34.4865 </t>
  </si>
  <si>
    <t xml:space="preserve">C:\Users\andre\Desktop\REACTIV CEFAS\Tamoxifen\Tamoxifen/20201210_Cefas_Test9_Run3/Plate 1/@2/B2_01.tif </t>
  </si>
  <si>
    <t xml:space="preserve"> 3893.381 </t>
  </si>
  <si>
    <t xml:space="preserve"> 33.5444 </t>
  </si>
  <si>
    <t xml:space="preserve">C:\Users\andre\Desktop\REACTIV CEFAS\Tamoxifen\Tamoxifen/20201210_Cefas_Test9_Run3/Plate 1/@2/B2_02.tif </t>
  </si>
  <si>
    <t xml:space="preserve"> 367.7082 </t>
  </si>
  <si>
    <t xml:space="preserve"> 32.2353 </t>
  </si>
  <si>
    <t xml:space="preserve">C:\Users\andre\Desktop\REACTIV CEFAS\Tamoxifen\Tamoxifen/20201210_Cefas_Test9_Run3/Plate 1/@2/B2_03.tif </t>
  </si>
  <si>
    <t xml:space="preserve"> 7051.3456 </t>
  </si>
  <si>
    <t xml:space="preserve"> 40.8067 </t>
  </si>
  <si>
    <t xml:space="preserve">C:\Users\andre\Desktop\REACTIV CEFAS\Tamoxifen\Tamoxifen/20201210_Cefas_Test9_Run3/Plate 1/@2/B2_04.tif </t>
  </si>
  <si>
    <t xml:space="preserve"> 35.127 </t>
  </si>
  <si>
    <t xml:space="preserve">C:\Users\andre\Desktop\REACTIV CEFAS\Tamoxifen\Tamoxifen/20201210_Cefas_Test9_Run3/Plate 1/@2/C2_01.tif </t>
  </si>
  <si>
    <t xml:space="preserve"> 1578.9823 </t>
  </si>
  <si>
    <t xml:space="preserve"> 32.0959 </t>
  </si>
  <si>
    <t xml:space="preserve">C:\Users\andre\Desktop\REACTIV CEFAS\Tamoxifen\Tamoxifen/20201210_Cefas_Test9_Run3/Plate 1/@2/C2_02.tif </t>
  </si>
  <si>
    <t xml:space="preserve"> 34.8261 </t>
  </si>
  <si>
    <t xml:space="preserve">C:\Users\andre\Desktop\REACTIV CEFAS\Tamoxifen\Tamoxifen/20201210_Cefas_Test9_Run3/Plate 1/@2/C2_03.tif </t>
  </si>
  <si>
    <t xml:space="preserve"> 30.5833 </t>
  </si>
  <si>
    <t xml:space="preserve">C:\Users\andre\Desktop\REACTIV CEFAS\Tamoxifen\Tamoxifen/20201210_Cefas_Test9_Run3/Plate 1/@2/C2_04.tif </t>
  </si>
  <si>
    <t xml:space="preserve"> 2206.2493 </t>
  </si>
  <si>
    <t xml:space="preserve"> 34.2843 </t>
  </si>
  <si>
    <t xml:space="preserve">C:\Users\andre\Desktop\REACTIV CEFAS\Tamoxifen\Tamoxifen/20201210_Cefas_Test9_Run3/Plate 1/@2/D2_01.tif </t>
  </si>
  <si>
    <t xml:space="preserve"> 32.8571 </t>
  </si>
  <si>
    <t xml:space="preserve">C:\Users\andre\Desktop\REACTIV CEFAS\Tamoxifen\Tamoxifen/20201210_Cefas_Test9_Run3/Plate 1/@2/D2_02.tif </t>
  </si>
  <si>
    <t xml:space="preserve"> 32.4615 </t>
  </si>
  <si>
    <t xml:space="preserve">C:\Users\andre\Desktop\REACTIV CEFAS\Tamoxifen\Tamoxifen/20201210_Cefas_Test9_Run3/Plate 1/@2/D2_03.tif </t>
  </si>
  <si>
    <t xml:space="preserve"> 4607.1676 </t>
  </si>
  <si>
    <t xml:space="preserve"> 36.5869 </t>
  </si>
  <si>
    <t xml:space="preserve">C:\Users\andre\Desktop\REACTIV CEFAS\Tamoxifen\Tamoxifen/20201210_Cefas_Test9_Run3/Plate 1/@2/D2_04.tif </t>
  </si>
  <si>
    <t xml:space="preserve"> 30.6 </t>
  </si>
  <si>
    <t xml:space="preserve">C:\Users\andre\Desktop\REACTIV CEFAS\Tamoxifen\Tamoxifen/20201210_Cefas_Test9_Run3/Plate 1/@2/E2_01.tif </t>
  </si>
  <si>
    <t xml:space="preserve">C:\Users\andre\Desktop\REACTIV CEFAS\Tamoxifen\Tamoxifen/20201210_Cefas_Test9_Run3/Plate 1/@2/E2_02.tif </t>
  </si>
  <si>
    <t xml:space="preserve">C:\Users\andre\Desktop\REACTIV CEFAS\Tamoxifen\Tamoxifen/20201210_Cefas_Test9_Run3/Plate 1/@2/E2_03.tif </t>
  </si>
  <si>
    <t xml:space="preserve">C:\Users\andre\Desktop\REACTIV CEFAS\Tamoxifen\Tamoxifen/20201210_Cefas_Test9_Run3/Plate 1/@2/E2_04.tif </t>
  </si>
  <si>
    <t>C:\Users\andre\Desktop\REACTIV CEFAS\Tamoxifen\Tamoxifen/20201210_Cefas_Test9_Run3/Plate 1/@2/F2_01- exclu.tif</t>
  </si>
  <si>
    <t>C:\Users\andre\Desktop\REACTIV CEFAS\Tamoxifen\Tamoxifen/20201210_Cefas_Test9_Run3/Plate 1/@2/F2_02- exclu.tif</t>
  </si>
  <si>
    <t>C:\Users\andre\Desktop\REACTIV CEFAS\Tamoxifen\Tamoxifen/20201210_Cefas_Test9_Run3/Plate 1/@2/F2_03- exclu.tif</t>
  </si>
  <si>
    <t>C:\Users\andre\Desktop\REACTIV CEFAS\Tamoxifen\Tamoxifen/20201210_Cefas_Test9_Run3/Plate 1/@2/F2_04- exclu.tif</t>
  </si>
  <si>
    <t xml:space="preserve">C:\Users\andre\Desktop\REACTIV CEFAS\Tamoxifen\Tamoxifen/20201210_Cefas_Test9_Run3/Plate 1/@2/G2_01.tif </t>
  </si>
  <si>
    <t xml:space="preserve"> 1384.3133 </t>
  </si>
  <si>
    <t xml:space="preserve"> 33.2812 </t>
  </si>
  <si>
    <t xml:space="preserve">C:\Users\andre\Desktop\REACTIV CEFAS\Tamoxifen\Tamoxifen/20201210_Cefas_Test9_Run3/Plate 1/@2/G2_02.tif </t>
  </si>
  <si>
    <t xml:space="preserve"> 2703.7368 </t>
  </si>
  <si>
    <t xml:space="preserve"> 35.216 </t>
  </si>
  <si>
    <t xml:space="preserve">C:\Users\andre\Desktop\REACTIV CEFAS\Tamoxifen\Tamoxifen/20201210_Cefas_Test9_Run3/Plate 1/@2/G2_03.tif </t>
  </si>
  <si>
    <t xml:space="preserve"> 35.7605 </t>
  </si>
  <si>
    <t>C:\Users\andre\Desktop\REACTIV CEFAS\Tamoxifen\Tamoxifen/20201210_Cefas_Test9_Run3/Plate 1/@2/G2_04- exclu.tif</t>
  </si>
  <si>
    <t xml:space="preserve">C:\Users\andre\Desktop\REACTIV CEFAS\Tamoxifen\Tamoxifen/20201210_Cefas_Test9_Run3/Plate 1/@2/H2_01.tif </t>
  </si>
  <si>
    <t xml:space="preserve"> 7765.1322 </t>
  </si>
  <si>
    <t xml:space="preserve"> 37.5682 </t>
  </si>
  <si>
    <t xml:space="preserve">C:\Users\andre\Desktop\REACTIV CEFAS\Tamoxifen\Tamoxifen/20201210_Cefas_Test9_Run3/Plate 1/@2/H2_02.tif </t>
  </si>
  <si>
    <t xml:space="preserve"> 6726.8972 </t>
  </si>
  <si>
    <t xml:space="preserve"> 35.8296 </t>
  </si>
  <si>
    <t xml:space="preserve">C:\Users\andre\Desktop\REACTIV CEFAS\Tamoxifen\Tamoxifen/20201210_Cefas_Test9_Run3/Plate 1/@2/H2_03.tif </t>
  </si>
  <si>
    <t xml:space="preserve">C:\Users\andre\Desktop\REACTIV CEFAS\Tamoxifen\Tamoxifen/20201210_Cefas_Test9_Run3/Plate 1/@2/H2_04.tif </t>
  </si>
  <si>
    <t xml:space="preserve"> 6186.1499 </t>
  </si>
  <si>
    <t xml:space="preserve"> 37.6748 </t>
  </si>
  <si>
    <t xml:space="preserve">C:\Users\andre\Desktop\REACTIV CEFAS\Tamoxifen\Tamoxifen/20201210_Cefas_Test9_Run3/Plate 1/@2/ </t>
  </si>
  <si>
    <t xml:space="preserve"> 32.7899 </t>
  </si>
  <si>
    <t xml:space="preserve"> 12.4045 </t>
  </si>
  <si>
    <t xml:space="preserve"> 185895.375 </t>
  </si>
  <si>
    <t xml:space="preserve"> 295092.582 </t>
  </si>
  <si>
    <t xml:space="preserve">C:\Users\andre\Desktop\REACTIV CEFAS\Tamoxifen\Tamoxifen/20201210_Cefas_Test9_Run3/Plate 1/@3/A3_01.tif </t>
  </si>
  <si>
    <t xml:space="preserve">C:\Users\andre\Desktop\REACTIV CEFAS\Tamoxifen\Tamoxifen/20201210_Cefas_Test9_Run3/Plate 1/@3/A3_02.tif </t>
  </si>
  <si>
    <t xml:space="preserve">C:\Users\andre\Desktop\REACTIV CEFAS\Tamoxifen\Tamoxifen/20201210_Cefas_Test9_Run3/Plate 1/@3/A3_03.tif </t>
  </si>
  <si>
    <t xml:space="preserve"> 32.63 </t>
  </si>
  <si>
    <t xml:space="preserve">C:\Users\andre\Desktop\REACTIV CEFAS\Tamoxifen\Tamoxifen/20201210_Cefas_Test9_Run3/Plate 1/@3/A3_04.tif </t>
  </si>
  <si>
    <t xml:space="preserve"> 30.5714 </t>
  </si>
  <si>
    <t xml:space="preserve">C:\Users\andre\Desktop\REACTIV CEFAS\Tamoxifen\Tamoxifen/20201210_Cefas_Test9_Run3/Plate 1/@3/B3_01.tif </t>
  </si>
  <si>
    <t xml:space="preserve"> 25047.418 </t>
  </si>
  <si>
    <t xml:space="preserve"> 33.2392 </t>
  </si>
  <si>
    <t xml:space="preserve">C:\Users\andre\Desktop\REACTIV CEFAS\Tamoxifen\Tamoxifen/20201210_Cefas_Test9_Run3/Plate 1/@3/B3_02.tif </t>
  </si>
  <si>
    <t xml:space="preserve"> 33915.6748 </t>
  </si>
  <si>
    <t xml:space="preserve"> 36.5204 </t>
  </si>
  <si>
    <t xml:space="preserve">C:\Users\andre\Desktop\REACTIV CEFAS\Tamoxifen\Tamoxifen/20201210_Cefas_Test9_Run3/Plate 1/@3/B3_03.tif </t>
  </si>
  <si>
    <t xml:space="preserve"> 29676.2154 </t>
  </si>
  <si>
    <t xml:space="preserve"> 33.9599 </t>
  </si>
  <si>
    <t xml:space="preserve">C:\Users\andre\Desktop\REACTIV CEFAS\Tamoxifen\Tamoxifen/20201210_Cefas_Test9_Run3/Plate 1/@3/B3_04.tif </t>
  </si>
  <si>
    <t xml:space="preserve"> 31471.4967 </t>
  </si>
  <si>
    <t xml:space="preserve"> 35.3155 </t>
  </si>
  <si>
    <t xml:space="preserve">C:\Users\andre\Desktop\REACTIV CEFAS\Tamoxifen\Tamoxifen/20201210_Cefas_Test9_Run3/Plate 1/@3/C3_01.tif </t>
  </si>
  <si>
    <t xml:space="preserve"> 7419.0539 </t>
  </si>
  <si>
    <t xml:space="preserve"> 34.4198 </t>
  </si>
  <si>
    <t xml:space="preserve">C:\Users\andre\Desktop\REACTIV CEFAS\Tamoxifen\Tamoxifen/20201210_Cefas_Test9_Run3/Plate 1/@3/C3_02.tif </t>
  </si>
  <si>
    <t xml:space="preserve"> 32.1087 </t>
  </si>
  <si>
    <t xml:space="preserve">C:\Users\andre\Desktop\REACTIV CEFAS\Tamoxifen\Tamoxifen/20201210_Cefas_Test9_Run3/Plate 1/@3/C3_03.tif </t>
  </si>
  <si>
    <t xml:space="preserve"> 5126.285 </t>
  </si>
  <si>
    <t xml:space="preserve"> 34.5738 </t>
  </si>
  <si>
    <t xml:space="preserve">C:\Users\andre\Desktop\REACTIV CEFAS\Tamoxifen\Tamoxifen/20201210_Cefas_Test9_Run3/Plate 1/@3/C3_04.tif </t>
  </si>
  <si>
    <t xml:space="preserve"> 34.7216 </t>
  </si>
  <si>
    <t xml:space="preserve">C:\Users\andre\Desktop\REACTIV CEFAS\Tamoxifen\Tamoxifen/20201210_Cefas_Test9_Run3/Plate 1/@3/D3_01.tif </t>
  </si>
  <si>
    <t xml:space="preserve"> 38.0988 </t>
  </si>
  <si>
    <t>C:\Users\andre\Desktop\REACTIV CEFAS\Tamoxifen\Tamoxifen/20201210_Cefas_Test9_Run3/Plate 1/@3/D3_02- exclu.tif</t>
  </si>
  <si>
    <t>C:\Users\andre\Desktop\REACTIV CEFAS\Tamoxifen\Tamoxifen/20201210_Cefas_Test9_Run3/Plate 1/@3/D3_03- exclu.tif</t>
  </si>
  <si>
    <t>C:\Users\andre\Desktop\REACTIV CEFAS\Tamoxifen\Tamoxifen/20201210_Cefas_Test9_Run3/Plate 1/@3/D3_04- exclu.tif</t>
  </si>
  <si>
    <t xml:space="preserve">C:\Users\andre\Desktop\REACTIV CEFAS\Tamoxifen\Tamoxifen/20201210_Cefas_Test9_Run3/Plate 1/@3/E3_01.tif </t>
  </si>
  <si>
    <t xml:space="preserve"> 31.0156 </t>
  </si>
  <si>
    <t xml:space="preserve">C:\Users\andre\Desktop\REACTIV CEFAS\Tamoxifen\Tamoxifen/20201210_Cefas_Test9_Run3/Plate 1/@3/E3_02.tif </t>
  </si>
  <si>
    <t xml:space="preserve"> 5991.4808 </t>
  </si>
  <si>
    <t xml:space="preserve"> 39.2383 </t>
  </si>
  <si>
    <t xml:space="preserve">C:\Users\andre\Desktop\REACTIV CEFAS\Tamoxifen\Tamoxifen/20201210_Cefas_Test9_Run3/Plate 1/@3/E3_03.tif </t>
  </si>
  <si>
    <t xml:space="preserve"> 35.5087 </t>
  </si>
  <si>
    <t xml:space="preserve">C:\Users\andre\Desktop\REACTIV CEFAS\Tamoxifen\Tamoxifen/20201210_Cefas_Test9_Run3/Plate 1/@3/E3_04.tif </t>
  </si>
  <si>
    <t xml:space="preserve"> 39.468 </t>
  </si>
  <si>
    <t xml:space="preserve">C:\Users\andre\Desktop\REACTIV CEFAS\Tamoxifen\Tamoxifen/20201210_Cefas_Test9_Run3/Plate 1/@3/F3_01.tif </t>
  </si>
  <si>
    <t xml:space="preserve"> 34.872 </t>
  </si>
  <si>
    <t xml:space="preserve">C:\Users\andre\Desktop\REACTIV CEFAS\Tamoxifen\Tamoxifen/20201210_Cefas_Test9_Run3/Plate 1/@3/F3_02.tif </t>
  </si>
  <si>
    <t xml:space="preserve"> 33.5781 </t>
  </si>
  <si>
    <t xml:space="preserve">C:\Users\andre\Desktop\REACTIV CEFAS\Tamoxifen\Tamoxifen/20201210_Cefas_Test9_Run3/Plate 1/@3/F3_03.tif </t>
  </si>
  <si>
    <t xml:space="preserve"> 4499.0181 </t>
  </si>
  <si>
    <t xml:space="preserve"> 37.1298 </t>
  </si>
  <si>
    <t xml:space="preserve">C:\Users\andre\Desktop\REACTIV CEFAS\Tamoxifen\Tamoxifen/20201210_Cefas_Test9_Run3/Plate 1/@3/F3_04.tif </t>
  </si>
  <si>
    <t xml:space="preserve">C:\Users\andre\Desktop\REACTIV CEFAS\Tamoxifen\Tamoxifen/20201210_Cefas_Test9_Run3/Plate 1/@3/G3_01.tif </t>
  </si>
  <si>
    <t xml:space="preserve">C:\Users\andre\Desktop\REACTIV CEFAS\Tamoxifen\Tamoxifen/20201210_Cefas_Test9_Run3/Plate 1/@3/G3_02.tif </t>
  </si>
  <si>
    <t xml:space="preserve"> 38.7946 </t>
  </si>
  <si>
    <t>C:\Users\andre\Desktop\REACTIV CEFAS\Tamoxifen\Tamoxifen/20201210_Cefas_Test9_Run3/Plate 1/@3/G3_03- exclu.tif</t>
  </si>
  <si>
    <t xml:space="preserve">C:\Users\andre\Desktop\REACTIV CEFAS\Tamoxifen\Tamoxifen/20201210_Cefas_Test9_Run3/Plate 1/@3/G3_04.tif </t>
  </si>
  <si>
    <t xml:space="preserve"> 8954.7764 </t>
  </si>
  <si>
    <t xml:space="preserve"> 40.4324 </t>
  </si>
  <si>
    <t xml:space="preserve">C:\Users\andre\Desktop\REACTIV CEFAS\Tamoxifen\Tamoxifen/20201210_Cefas_Test9_Run3/Plate 1/@3/H3_01.tif </t>
  </si>
  <si>
    <t xml:space="preserve"> 35.1368 </t>
  </si>
  <si>
    <t xml:space="preserve">C:\Users\andre\Desktop\REACTIV CEFAS\Tamoxifen\Tamoxifen/20201210_Cefas_Test9_Run3/Plate 1/@3/H3_02.tif </t>
  </si>
  <si>
    <t xml:space="preserve"> 34.4045 </t>
  </si>
  <si>
    <t xml:space="preserve">C:\Users\andre\Desktop\REACTIV CEFAS\Tamoxifen\Tamoxifen/20201210_Cefas_Test9_Run3/Plate 1/@3/H3_03.tif </t>
  </si>
  <si>
    <t xml:space="preserve"> 2422.5482 </t>
  </si>
  <si>
    <t xml:space="preserve"> 33.7321 </t>
  </si>
  <si>
    <t>C:\Users\andre\Desktop\REACTIV CEFAS\Tamoxifen\Tamoxifen/20201210_Cefas_Test9_Run3/Plate 1/@3/H3_04- exclu.tif</t>
  </si>
  <si>
    <t xml:space="preserve">C:\Users\andre\Desktop\REACTIV CEFAS\Tamoxifen\Tamoxifen/20201210_Cefas_Test9_Run3/Plate 1/@3/ </t>
  </si>
  <si>
    <t xml:space="preserve"> 33.4889 </t>
  </si>
  <si>
    <t xml:space="preserve"> 9.748 </t>
  </si>
  <si>
    <t xml:space="preserve"> 346719.666 </t>
  </si>
  <si>
    <t xml:space="preserve">C:\Users\andre\Desktop\REACTIV CEFAS\Tamoxifen\Tamoxifen/20201210_Cefas_Test9_Run3/Plate 1/@4/A4_01.tif </t>
  </si>
  <si>
    <t xml:space="preserve"> 29805.9948 </t>
  </si>
  <si>
    <t xml:space="preserve"> 33.5914 </t>
  </si>
  <si>
    <t xml:space="preserve">C:\Users\andre\Desktop\REACTIV CEFAS\Tamoxifen\Tamoxifen/20201210_Cefas_Test9_Run3/Plate 1/@4/A4_02.tif </t>
  </si>
  <si>
    <t xml:space="preserve"> 35.7034 </t>
  </si>
  <si>
    <t>C:\Users\andre\Desktop\REACTIV CEFAS\Tamoxifen\Tamoxifen/20201210_Cefas_Test9_Run3/Plate 1/@4/A4_03- exclu.tif</t>
  </si>
  <si>
    <t>C:\Users\andre\Desktop\REACTIV CEFAS\Tamoxifen\Tamoxifen/20201210_Cefas_Test9_Run3/Plate 1/@4/A4_04- exclu.tif</t>
  </si>
  <si>
    <t xml:space="preserve">C:\Users\andre\Desktop\REACTIV CEFAS\Tamoxifen\Tamoxifen/20201210_Cefas_Test9_Run3/Plate 1/@4/B4_01.tif </t>
  </si>
  <si>
    <t xml:space="preserve"> 31.3125 </t>
  </si>
  <si>
    <t>C:\Users\andre\Desktop\REACTIV CEFAS\Tamoxifen\Tamoxifen/20201210_Cefas_Test9_Run3/Plate 1/@4/B4_02- exclu.tif</t>
  </si>
  <si>
    <t xml:space="preserve">C:\Users\andre\Desktop\REACTIV CEFAS\Tamoxifen\Tamoxifen/20201210_Cefas_Test9_Run3/Plate 1/@4/B4_03.tif </t>
  </si>
  <si>
    <t xml:space="preserve"> 5580.5128 </t>
  </si>
  <si>
    <t xml:space="preserve"> 33.7287 </t>
  </si>
  <si>
    <t>C:\Users\andre\Desktop\REACTIV CEFAS\Tamoxifen\Tamoxifen/20201210_Cefas_Test9_Run3/Plate 1/@4/B4_04- exclu.tif</t>
  </si>
  <si>
    <t xml:space="preserve">C:\Users\andre\Desktop\REACTIV CEFAS\Tamoxifen\Tamoxifen/20201210_Cefas_Test9_Run3/Plate 1/@4/C4_01.tif </t>
  </si>
  <si>
    <t xml:space="preserve"> 31.9928 </t>
  </si>
  <si>
    <t xml:space="preserve">C:\Users\andre\Desktop\REACTIV CEFAS\Tamoxifen\Tamoxifen/20201210_Cefas_Test9_Run3/Plate 1/@4/C4_02.tif </t>
  </si>
  <si>
    <t xml:space="preserve"> 2941.6657 </t>
  </si>
  <si>
    <t xml:space="preserve"> 32.7647 </t>
  </si>
  <si>
    <t xml:space="preserve">C:\Users\andre\Desktop\REACTIV CEFAS\Tamoxifen\Tamoxifen/20201210_Cefas_Test9_Run3/Plate 1/@4/C4_03.tif </t>
  </si>
  <si>
    <t xml:space="preserve"> 5623.7726 </t>
  </si>
  <si>
    <t xml:space="preserve"> 31.9423 </t>
  </si>
  <si>
    <t xml:space="preserve">C:\Users\andre\Desktop\REACTIV CEFAS\Tamoxifen\Tamoxifen/20201210_Cefas_Test9_Run3/Plate 1/@4/C4_04.tif </t>
  </si>
  <si>
    <t xml:space="preserve"> 33.2649 </t>
  </si>
  <si>
    <t>C:\Users\andre\Desktop\REACTIV CEFAS\Tamoxifen\Tamoxifen/20201210_Cefas_Test9_Run3/Plate 1/@4/D4_01- exclu.tif</t>
  </si>
  <si>
    <t xml:space="preserve">C:\Users\andre\Desktop\REACTIV CEFAS\Tamoxifen\Tamoxifen/20201210_Cefas_Test9_Run3/Plate 1/@4/D4_02.tif </t>
  </si>
  <si>
    <t xml:space="preserve"> 4650.4273 </t>
  </si>
  <si>
    <t xml:space="preserve"> 34.1163 </t>
  </si>
  <si>
    <t xml:space="preserve">C:\Users\andre\Desktop\REACTIV CEFAS\Tamoxifen\Tamoxifen/20201210_Cefas_Test9_Run3/Plate 1/@4/D4_03.tif </t>
  </si>
  <si>
    <t xml:space="preserve"> 34.1918 </t>
  </si>
  <si>
    <t xml:space="preserve">C:\Users\andre\Desktop\REACTIV CEFAS\Tamoxifen\Tamoxifen/20201210_Cefas_Test9_Run3/Plate 1/@4/D4_04.tif </t>
  </si>
  <si>
    <t xml:space="preserve"> 34.0769 </t>
  </si>
  <si>
    <t xml:space="preserve">C:\Users\andre\Desktop\REACTIV CEFAS\Tamoxifen\Tamoxifen/20201210_Cefas_Test9_Run3/Plate 1/@4/E4_01.tif </t>
  </si>
  <si>
    <t xml:space="preserve"> 33.5733 </t>
  </si>
  <si>
    <t xml:space="preserve">C:\Users\andre\Desktop\REACTIV CEFAS\Tamoxifen\Tamoxifen/20201210_Cefas_Test9_Run3/Plate 1/@4/E4_02.tif </t>
  </si>
  <si>
    <t xml:space="preserve"> 1838.541 </t>
  </si>
  <si>
    <t xml:space="preserve"> 31.6353 </t>
  </si>
  <si>
    <t xml:space="preserve">C:\Users\andre\Desktop\REACTIV CEFAS\Tamoxifen\Tamoxifen/20201210_Cefas_Test9_Run3/Plate 1/@4/E4_03.tif </t>
  </si>
  <si>
    <t xml:space="preserve"> 14383.8799 </t>
  </si>
  <si>
    <t xml:space="preserve"> 33.6286 </t>
  </si>
  <si>
    <t xml:space="preserve">C:\Users\andre\Desktop\REACTIV CEFAS\Tamoxifen\Tamoxifen/20201210_Cefas_Test9_Run3/Plate 1/@4/E4_04.tif </t>
  </si>
  <si>
    <t xml:space="preserve"> 17866.293 </t>
  </si>
  <si>
    <t xml:space="preserve"> 35.3644 </t>
  </si>
  <si>
    <t xml:space="preserve">C:\Users\andre\Desktop\REACTIV CEFAS\Tamoxifen\Tamoxifen/20201210_Cefas_Test9_Run3/Plate 1/@4/F4_01.tif </t>
  </si>
  <si>
    <t xml:space="preserve"> 38.533 </t>
  </si>
  <si>
    <t xml:space="preserve">C:\Users\andre\Desktop\REACTIV CEFAS\Tamoxifen\Tamoxifen/20201210_Cefas_Test9_Run3/Plate 1/@4/F4_02.tif </t>
  </si>
  <si>
    <t xml:space="preserve"> 40.3187 </t>
  </si>
  <si>
    <t xml:space="preserve">C:\Users\andre\Desktop\REACTIV CEFAS\Tamoxifen\Tamoxifen/20201210_Cefas_Test9_Run3/Plate 1/@4/F4_03.tif </t>
  </si>
  <si>
    <t xml:space="preserve"> 11528.7338 </t>
  </si>
  <si>
    <t xml:space="preserve"> 37.5197 </t>
  </si>
  <si>
    <t xml:space="preserve">C:\Users\andre\Desktop\REACTIV CEFAS\Tamoxifen\Tamoxifen/20201210_Cefas_Test9_Run3/Plate 1/@4/F4_04.tif </t>
  </si>
  <si>
    <t xml:space="preserve"> 12458.8193 </t>
  </si>
  <si>
    <t xml:space="preserve"> 39.2622 </t>
  </si>
  <si>
    <t xml:space="preserve">C:\Users\andre\Desktop\REACTIV CEFAS\Tamoxifen\Tamoxifen/20201210_Cefas_Test9_Run3/Plate 1/@4/G4_01.tif </t>
  </si>
  <si>
    <t xml:space="preserve"> 13021.1966 </t>
  </si>
  <si>
    <t xml:space="preserve"> 33.2326 </t>
  </si>
  <si>
    <t xml:space="preserve">C:\Users\andre\Desktop\REACTIV CEFAS\Tamoxifen\Tamoxifen/20201210_Cefas_Test9_Run3/Plate 1/@4/G4_02.tif </t>
  </si>
  <si>
    <t xml:space="preserve"> 16525.2395 </t>
  </si>
  <si>
    <t xml:space="preserve"> 33.8835 </t>
  </si>
  <si>
    <t xml:space="preserve">C:\Users\andre\Desktop\REACTIV CEFAS\Tamoxifen\Tamoxifen/20201210_Cefas_Test9_Run3/Plate 1/@4/G4_03.tif </t>
  </si>
  <si>
    <t xml:space="preserve"> 23771.2542 </t>
  </si>
  <si>
    <t xml:space="preserve"> 35.2129 </t>
  </si>
  <si>
    <t xml:space="preserve">C:\Users\andre\Desktop\REACTIV CEFAS\Tamoxifen\Tamoxifen/20201210_Cefas_Test9_Run3/Plate 1/@4/G4_04.tif </t>
  </si>
  <si>
    <t xml:space="preserve"> 26885.959 </t>
  </si>
  <si>
    <t xml:space="preserve"> 36.1553 </t>
  </si>
  <si>
    <t xml:space="preserve">C:\Users\andre\Desktop\REACTIV CEFAS\Tamoxifen\Tamoxifen/20201210_Cefas_Test9_Run3/Plate 1/@4/H4_01.tif </t>
  </si>
  <si>
    <t xml:space="preserve"> 13237.4955 </t>
  </si>
  <si>
    <t xml:space="preserve"> 32.1977 </t>
  </si>
  <si>
    <t xml:space="preserve">C:\Users\andre\Desktop\REACTIV CEFAS\Tamoxifen\Tamoxifen/20201210_Cefas_Test9_Run3/Plate 1/@4/H4_02.tif </t>
  </si>
  <si>
    <t xml:space="preserve"> 16611.7591 </t>
  </si>
  <si>
    <t xml:space="preserve"> 33.8646 </t>
  </si>
  <si>
    <t xml:space="preserve">C:\Users\andre\Desktop\REACTIV CEFAS\Tamoxifen\Tamoxifen/20201210_Cefas_Test9_Run3/Plate 1/@4/H4_03.tif </t>
  </si>
  <si>
    <t xml:space="preserve"> 12502.0791 </t>
  </si>
  <si>
    <t xml:space="preserve"> 34.7612 </t>
  </si>
  <si>
    <t xml:space="preserve">C:\Users\andre\Desktop\REACTIV CEFAS\Tamoxifen\Tamoxifen/20201210_Cefas_Test9_Run3/Plate 1/@4/H4_04.tif </t>
  </si>
  <si>
    <t xml:space="preserve"> 15097.6665 </t>
  </si>
  <si>
    <t xml:space="preserve"> 34.2235 </t>
  </si>
  <si>
    <t xml:space="preserve">C:\Users\andre\Desktop\REACTIV CEFAS\Tamoxifen\Tamoxifen/20201210_Cefas_Test9_Run3/Plate 1/@4/ </t>
  </si>
  <si>
    <t xml:space="preserve"> 34.9403 </t>
  </si>
  <si>
    <t xml:space="preserve"> 2.8811 </t>
  </si>
  <si>
    <t xml:space="preserve"> 479724.625 </t>
  </si>
  <si>
    <t xml:space="preserve"> 505727.661 </t>
  </si>
  <si>
    <t>C:\Users\andre\Desktop\REACTIV CEFAS\Tamoxifen\Tamoxifen/20201210_Cefas_Test9_Run3/Plate 1/@5/A5_01- exclu.tif</t>
  </si>
  <si>
    <t xml:space="preserve">C:\Users\andre\Desktop\REACTIV CEFAS\Tamoxifen\Tamoxifen/20201210_Cefas_Test9_Run3/Plate 1/@5/A5_02.tif </t>
  </si>
  <si>
    <t xml:space="preserve"> 33.7414 </t>
  </si>
  <si>
    <t>C:\Users\andre\Desktop\REACTIV CEFAS\Tamoxifen\Tamoxifen/20201210_Cefas_Test9_Run3/Plate 1/@5/A5_03- exclu.tif</t>
  </si>
  <si>
    <t>C:\Users\andre\Desktop\REACTIV CEFAS\Tamoxifen\Tamoxifen/20201210_Cefas_Test9_Run3/Plate 1/@5/A5_04- exclu.tif</t>
  </si>
  <si>
    <t xml:space="preserve">C:\Users\andre\Desktop\REACTIV CEFAS\Tamoxifen\Tamoxifen/20201210_Cefas_Test9_Run3/Plate 1/@5/B5_01.tif </t>
  </si>
  <si>
    <t xml:space="preserve"> 58249.3062 </t>
  </si>
  <si>
    <t xml:space="preserve"> 44.6896 </t>
  </si>
  <si>
    <t xml:space="preserve">C:\Users\andre\Desktop\REACTIV CEFAS\Tamoxifen\Tamoxifen/20201210_Cefas_Test9_Run3/Plate 1/@5/B5_02.tif </t>
  </si>
  <si>
    <t xml:space="preserve"> 51717.0781 </t>
  </si>
  <si>
    <t xml:space="preserve"> 41.3756 </t>
  </si>
  <si>
    <t xml:space="preserve">C:\Users\andre\Desktop\REACTIV CEFAS\Tamoxifen\Tamoxifen/20201210_Cefas_Test9_Run3/Plate 1/@5/B5_03.tif </t>
  </si>
  <si>
    <t xml:space="preserve"> 52344.345 </t>
  </si>
  <si>
    <t xml:space="preserve"> 41.3236 </t>
  </si>
  <si>
    <t xml:space="preserve">C:\Users\andre\Desktop\REACTIV CEFAS\Tamoxifen\Tamoxifen/20201210_Cefas_Test9_Run3/Plate 1/@5/B5_04.tif </t>
  </si>
  <si>
    <t xml:space="preserve"> 51760.3378 </t>
  </si>
  <si>
    <t xml:space="preserve"> 42.2043 </t>
  </si>
  <si>
    <t xml:space="preserve">C:\Users\andre\Desktop\REACTIV CEFAS\Tamoxifen\Tamoxifen/20201210_Cefas_Test9_Run3/Plate 1/@5/C5_01.tif </t>
  </si>
  <si>
    <t xml:space="preserve"> 66533.5559 </t>
  </si>
  <si>
    <t xml:space="preserve"> 48.251 </t>
  </si>
  <si>
    <t xml:space="preserve">C:\Users\andre\Desktop\REACTIV CEFAS\Tamoxifen\Tamoxifen/20201210_Cefas_Test9_Run3/Plate 1/@5/C5_02.tif </t>
  </si>
  <si>
    <t xml:space="preserve"> 61537.0502 </t>
  </si>
  <si>
    <t xml:space="preserve"> 45.6699 </t>
  </si>
  <si>
    <t xml:space="preserve">C:\Users\andre\Desktop\REACTIV CEFAS\Tamoxifen\Tamoxifen/20201210_Cefas_Test9_Run3/Plate 1/@5/C5_03.tif </t>
  </si>
  <si>
    <t xml:space="preserve"> 63700.0397 </t>
  </si>
  <si>
    <t xml:space="preserve"> 48.2808 </t>
  </si>
  <si>
    <t xml:space="preserve">C:\Users\andre\Desktop\REACTIV CEFAS\Tamoxifen\Tamoxifen/20201210_Cefas_Test9_Run3/Plate 1/@5/C5_04.tif </t>
  </si>
  <si>
    <t xml:space="preserve"> 47.2471 </t>
  </si>
  <si>
    <t xml:space="preserve">C:\Users\andre\Desktop\REACTIV CEFAS\Tamoxifen\Tamoxifen/20201210_Cefas_Test9_Run3/Plate 1/@5/D5_01.tif </t>
  </si>
  <si>
    <t xml:space="preserve"> 3720.3419 </t>
  </si>
  <si>
    <t xml:space="preserve"> 31.7209 </t>
  </si>
  <si>
    <t xml:space="preserve">C:\Users\andre\Desktop\REACTIV CEFAS\Tamoxifen\Tamoxifen/20201210_Cefas_Test9_Run3/Plate 1/@5/D5_02.tif </t>
  </si>
  <si>
    <t xml:space="preserve"> 24636.45 </t>
  </si>
  <si>
    <t xml:space="preserve"> 34.6664 </t>
  </si>
  <si>
    <t xml:space="preserve">C:\Users\andre\Desktop\REACTIV CEFAS\Tamoxifen\Tamoxifen/20201210_Cefas_Test9_Run3/Plate 1/@5/D5_03.tif </t>
  </si>
  <si>
    <t xml:space="preserve"> 3114.7048 </t>
  </si>
  <si>
    <t xml:space="preserve"> 31.8264 </t>
  </si>
  <si>
    <t xml:space="preserve">C:\Users\andre\Desktop\REACTIV CEFAS\Tamoxifen\Tamoxifen/20201210_Cefas_Test9_Run3/Plate 1/@5/D5_04.tif </t>
  </si>
  <si>
    <t xml:space="preserve"> 17412.0652 </t>
  </si>
  <si>
    <t xml:space="preserve"> 33.328 </t>
  </si>
  <si>
    <t xml:space="preserve">C:\Users\andre\Desktop\REACTIV CEFAS\Tamoxifen\Tamoxifen/20201210_Cefas_Test9_Run3/Plate 1/@5/E5_01.tif </t>
  </si>
  <si>
    <t xml:space="preserve"> 62856.4738 </t>
  </si>
  <si>
    <t xml:space="preserve"> 41.2577 </t>
  </si>
  <si>
    <t xml:space="preserve">C:\Users\andre\Desktop\REACTIV CEFAS\Tamoxifen\Tamoxifen/20201210_Cefas_Test9_Run3/Plate 1/@5/E5_02.tif </t>
  </si>
  <si>
    <t xml:space="preserve"> 73325.3428 </t>
  </si>
  <si>
    <t xml:space="preserve"> 41.8209 </t>
  </si>
  <si>
    <t xml:space="preserve">C:\Users\andre\Desktop\REACTIV CEFAS\Tamoxifen\Tamoxifen/20201210_Cefas_Test9_Run3/Plate 1/@5/E5_03.tif </t>
  </si>
  <si>
    <t xml:space="preserve"> 58487.2351 </t>
  </si>
  <si>
    <t xml:space="preserve"> 37.7899 </t>
  </si>
  <si>
    <t xml:space="preserve">C:\Users\andre\Desktop\REACTIV CEFAS\Tamoxifen\Tamoxifen/20201210_Cefas_Test9_Run3/Plate 1/@5/E5_04.tif </t>
  </si>
  <si>
    <t xml:space="preserve"> 63764.9294 </t>
  </si>
  <si>
    <t xml:space="preserve"> 39.5543 </t>
  </si>
  <si>
    <t>C:\Users\andre\Desktop\REACTIV CEFAS\Tamoxifen\Tamoxifen/20201210_Cefas_Test9_Run3/Plate 1/@5/F5_01- exclu.tif</t>
  </si>
  <si>
    <t xml:space="preserve">C:\Users\andre\Desktop\REACTIV CEFAS\Tamoxifen\Tamoxifen/20201210_Cefas_Test9_Run3/Plate 1/@5/F5_02.tif </t>
  </si>
  <si>
    <t xml:space="preserve"> 35.2591 </t>
  </si>
  <si>
    <t>C:\Users\andre\Desktop\REACTIV CEFAS\Tamoxifen\Tamoxifen/20201210_Cefas_Test9_Run3/Plate 1/@5/F5_03- exclu.tif</t>
  </si>
  <si>
    <t xml:space="preserve">C:\Users\andre\Desktop\REACTIV CEFAS\Tamoxifen\Tamoxifen/20201210_Cefas_Test9_Run3/Plate 1/@5/F5_04.tif </t>
  </si>
  <si>
    <t xml:space="preserve"> 5969.8509 </t>
  </si>
  <si>
    <t xml:space="preserve"> 33.0543 </t>
  </si>
  <si>
    <t xml:space="preserve">C:\Users\andre\Desktop\REACTIV CEFAS\Tamoxifen\Tamoxifen/20201210_Cefas_Test9_Run3/Plate 1/@5/G5_01.tif </t>
  </si>
  <si>
    <t xml:space="preserve"> 44925.2911 </t>
  </si>
  <si>
    <t xml:space="preserve"> 35.0289 </t>
  </si>
  <si>
    <t>C:\Users\andre\Desktop\REACTIV CEFAS\Tamoxifen\Tamoxifen/20201210_Cefas_Test9_Run3/Plate 1/@5/G5_02- exclu.tif</t>
  </si>
  <si>
    <t>C:\Users\andre\Desktop\REACTIV CEFAS\Tamoxifen\Tamoxifen/20201210_Cefas_Test9_Run3/Plate 1/@5/G5_03- exclu.tif</t>
  </si>
  <si>
    <t>C:\Users\andre\Desktop\REACTIV CEFAS\Tamoxifen\Tamoxifen/20201210_Cefas_Test9_Run3/Plate 1/@5/G5_04- exclu.tif</t>
  </si>
  <si>
    <t xml:space="preserve">C:\Users\andre\Desktop\REACTIV CEFAS\Tamoxifen\Tamoxifen/20201210_Cefas_Test9_Run3/Plate 1/@5/H5_01.tif </t>
  </si>
  <si>
    <t xml:space="preserve"> 47088.2806 </t>
  </si>
  <si>
    <t xml:space="preserve"> 38.158 </t>
  </si>
  <si>
    <t xml:space="preserve">C:\Users\andre\Desktop\REACTIV CEFAS\Tamoxifen\Tamoxifen/20201210_Cefas_Test9_Run3/Plate 1/@5/H5_02.tif </t>
  </si>
  <si>
    <t xml:space="preserve"> 35.5757 </t>
  </si>
  <si>
    <t xml:space="preserve">C:\Users\andre\Desktop\REACTIV CEFAS\Tamoxifen\Tamoxifen/20201210_Cefas_Test9_Run3/Plate 1/@5/H5_03.tif </t>
  </si>
  <si>
    <t xml:space="preserve"> 36.1499 </t>
  </si>
  <si>
    <t xml:space="preserve">C:\Users\andre\Desktop\REACTIV CEFAS\Tamoxifen\Tamoxifen/20201210_Cefas_Test9_Run3/Plate 1/@5/H5_04.tif </t>
  </si>
  <si>
    <t xml:space="preserve"> 46504.2735 </t>
  </si>
  <si>
    <t xml:space="preserve"> 39.6512 </t>
  </si>
  <si>
    <t xml:space="preserve">C:\Users\andre\Desktop\REACTIV CEFAS\Tamoxifen\Tamoxifen/20201210_Cefas_Test9_Run3/Plate 1/@5/ </t>
  </si>
  <si>
    <t xml:space="preserve"> 37.9896 </t>
  </si>
  <si>
    <t xml:space="preserve"> 8.5493 </t>
  </si>
  <si>
    <t xml:space="preserve"> 1605178.75 </t>
  </si>
  <si>
    <t xml:space="preserve"> 1017758.56 </t>
  </si>
  <si>
    <t xml:space="preserve">C:\Users\andre\Desktop\REACTIV CEFAS\Tamoxifen\Tamoxifen/20201210_Cefas_Test9_Run3/Plate 1/@6/A6_01.tif </t>
  </si>
  <si>
    <t xml:space="preserve"> 75466.7024 </t>
  </si>
  <si>
    <t xml:space="preserve"> 48.4821 </t>
  </si>
  <si>
    <t xml:space="preserve">C:\Users\andre\Desktop\REACTIV CEFAS\Tamoxifen\Tamoxifen/20201210_Cefas_Test9_Run3/Plate 1/@6/A6_02.tif </t>
  </si>
  <si>
    <t xml:space="preserve"> 66663.3352 </t>
  </si>
  <si>
    <t xml:space="preserve"> 47.9977 </t>
  </si>
  <si>
    <t xml:space="preserve">C:\Users\andre\Desktop\REACTIV CEFAS\Tamoxifen\Tamoxifen/20201210_Cefas_Test9_Run3/Plate 1/@6/A6_03.tif </t>
  </si>
  <si>
    <t xml:space="preserve"> 72351.9975 </t>
  </si>
  <si>
    <t xml:space="preserve"> 46.2404 </t>
  </si>
  <si>
    <t xml:space="preserve">C:\Users\andre\Desktop\REACTIV CEFAS\Tamoxifen\Tamoxifen/20201210_Cefas_Test9_Run3/Plate 1/@6/A6_04.tif </t>
  </si>
  <si>
    <t xml:space="preserve"> 78559.7773 </t>
  </si>
  <si>
    <t xml:space="preserve"> 50.2566 </t>
  </si>
  <si>
    <t>C:\Users\andre\Desktop\REACTIV CEFAS\Tamoxifen\Tamoxifen/20201210_Cefas_Test9_Run3/Plate 1/@6/B6_01- exclu.tif</t>
  </si>
  <si>
    <t>C:\Users\andre\Desktop\REACTIV CEFAS\Tamoxifen\Tamoxifen/20201210_Cefas_Test9_Run3/Plate 1/@6/B6_02- exclu.tif</t>
  </si>
  <si>
    <t>C:\Users\andre\Desktop\REACTIV CEFAS\Tamoxifen\Tamoxifen/20201210_Cefas_Test9_Run3/Plate 1/@6/B6_03- exclu.tif</t>
  </si>
  <si>
    <t>C:\Users\andre\Desktop\REACTIV CEFAS\Tamoxifen\Tamoxifen/20201210_Cefas_Test9_Run3/Plate 1/@6/B6_04- exclu.tif</t>
  </si>
  <si>
    <t xml:space="preserve">C:\Users\andre\Desktop\REACTIV CEFAS\Tamoxifen\Tamoxifen/20201210_Cefas_Test9_Run3/Plate 1/@6/C6_01.tif </t>
  </si>
  <si>
    <t xml:space="preserve"> 83945.6211 </t>
  </si>
  <si>
    <t xml:space="preserve"> 46.7016 </t>
  </si>
  <si>
    <t xml:space="preserve">C:\Users\andre\Desktop\REACTIV CEFAS\Tamoxifen\Tamoxifen/20201210_Cefas_Test9_Run3/Plate 1/@6/C6_02.tif </t>
  </si>
  <si>
    <t xml:space="preserve"> 84724.2973 </t>
  </si>
  <si>
    <t xml:space="preserve"> 47.4271 </t>
  </si>
  <si>
    <t xml:space="preserve">C:\Users\andre\Desktop\REACTIV CEFAS\Tamoxifen\Tamoxifen/20201210_Cefas_Test9_Run3/Plate 1/@6/C6_03.tif </t>
  </si>
  <si>
    <t xml:space="preserve"> 84659.4076 </t>
  </si>
  <si>
    <t xml:space="preserve"> 46.4683 </t>
  </si>
  <si>
    <t xml:space="preserve">C:\Users\andre\Desktop\REACTIV CEFAS\Tamoxifen\Tamoxifen/20201210_Cefas_Test9_Run3/Plate 1/@6/C6_04.tif </t>
  </si>
  <si>
    <t xml:space="preserve"> 89071.9061 </t>
  </si>
  <si>
    <t xml:space="preserve"> 49.6508 </t>
  </si>
  <si>
    <t xml:space="preserve">C:\Users\andre\Desktop\REACTIV CEFAS\Tamoxifen\Tamoxifen/20201210_Cefas_Test9_Run3/Plate 1/@6/D6_01.tif </t>
  </si>
  <si>
    <t xml:space="preserve"> 66598.4456 </t>
  </si>
  <si>
    <t xml:space="preserve"> 49.1095 </t>
  </si>
  <si>
    <t xml:space="preserve">C:\Users\andre\Desktop\REACTIV CEFAS\Tamoxifen\Tamoxifen/20201210_Cefas_Test9_Run3/Plate 1/@6/D6_02.tif </t>
  </si>
  <si>
    <t xml:space="preserve"> 70816.275 </t>
  </si>
  <si>
    <t xml:space="preserve"> 53.7443 </t>
  </si>
  <si>
    <t xml:space="preserve">C:\Users\andre\Desktop\REACTIV CEFAS\Tamoxifen\Tamoxifen/20201210_Cefas_Test9_Run3/Plate 1/@6/D6_03.tif </t>
  </si>
  <si>
    <t xml:space="preserve"> 65408.8014 </t>
  </si>
  <si>
    <t xml:space="preserve"> 55.1567 </t>
  </si>
  <si>
    <t xml:space="preserve">C:\Users\andre\Desktop\REACTIV CEFAS\Tamoxifen\Tamoxifen/20201210_Cefas_Test9_Run3/Plate 1/@6/D6_04.tif </t>
  </si>
  <si>
    <t xml:space="preserve"> 70621.606 </t>
  </si>
  <si>
    <t xml:space="preserve"> 53.7538 </t>
  </si>
  <si>
    <t xml:space="preserve">C:\Users\andre\Desktop\REACTIV CEFAS\Tamoxifen\Tamoxifen/20201210_Cefas_Test9_Run3/Plate 1/@6/E6_01.tif </t>
  </si>
  <si>
    <t xml:space="preserve"> 22213.9018 </t>
  </si>
  <si>
    <t xml:space="preserve"> 44.2084 </t>
  </si>
  <si>
    <t xml:space="preserve">C:\Users\andre\Desktop\REACTIV CEFAS\Tamoxifen\Tamoxifen/20201210_Cefas_Test9_Run3/Plate 1/@6/E6_02.tif </t>
  </si>
  <si>
    <t xml:space="preserve"> 31687.7956 </t>
  </si>
  <si>
    <t xml:space="preserve"> 44.4833 </t>
  </si>
  <si>
    <t xml:space="preserve">C:\Users\andre\Desktop\REACTIV CEFAS\Tamoxifen\Tamoxifen/20201210_Cefas_Test9_Run3/Plate 1/@6/E6_03.tif </t>
  </si>
  <si>
    <t xml:space="preserve"> 31233.5678 </t>
  </si>
  <si>
    <t xml:space="preserve"> 43.5506 </t>
  </si>
  <si>
    <t xml:space="preserve">C:\Users\andre\Desktop\REACTIV CEFAS\Tamoxifen\Tamoxifen/20201210_Cefas_Test9_Run3/Plate 1/@6/E6_04.tif </t>
  </si>
  <si>
    <t xml:space="preserve"> 17433.6951 </t>
  </si>
  <si>
    <t xml:space="preserve"> 43.0831 </t>
  </si>
  <si>
    <t xml:space="preserve">C:\Users\andre\Desktop\REACTIV CEFAS\Tamoxifen\Tamoxifen/20201210_Cefas_Test9_Run3/Plate 1/@6/F6_01.tif </t>
  </si>
  <si>
    <t xml:space="preserve"> 41313.0987 </t>
  </si>
  <si>
    <t xml:space="preserve"> 44.6037 </t>
  </si>
  <si>
    <t xml:space="preserve">C:\Users\andre\Desktop\REACTIV CEFAS\Tamoxifen\Tamoxifen/20201210_Cefas_Test9_Run3/Plate 1/@6/F6_02.tif </t>
  </si>
  <si>
    <t xml:space="preserve"> 45.522 </t>
  </si>
  <si>
    <t xml:space="preserve">C:\Users\andre\Desktop\REACTIV CEFAS\Tamoxifen\Tamoxifen/20201210_Cefas_Test9_Run3/Plate 1/@6/F6_03.tif </t>
  </si>
  <si>
    <t xml:space="preserve"> 42264.8141 </t>
  </si>
  <si>
    <t xml:space="preserve"> 49.2385 </t>
  </si>
  <si>
    <t xml:space="preserve">C:\Users\andre\Desktop\REACTIV CEFAS\Tamoxifen\Tamoxifen/20201210_Cefas_Test9_Run3/Plate 1/@6/F6_04.tif </t>
  </si>
  <si>
    <t xml:space="preserve"> 46.3133 </t>
  </si>
  <si>
    <t xml:space="preserve">C:\Users\andre\Desktop\REACTIV CEFAS\Tamoxifen\Tamoxifen/20201210_Cefas_Test9_Run3/Plate 1/@6/G6_01.tif </t>
  </si>
  <si>
    <t xml:space="preserve"> 49.8122 </t>
  </si>
  <si>
    <t xml:space="preserve">C:\Users\andre\Desktop\REACTIV CEFAS\Tamoxifen\Tamoxifen/20201210_Cefas_Test9_Run3/Plate 1/@6/G6_02.tif </t>
  </si>
  <si>
    <t xml:space="preserve"> 48926.8217 </t>
  </si>
  <si>
    <t xml:space="preserve"> 48.1631 </t>
  </si>
  <si>
    <t xml:space="preserve">C:\Users\andre\Desktop\REACTIV CEFAS\Tamoxifen\Tamoxifen/20201210_Cefas_Test9_Run3/Plate 1/@6/G6_03.tif </t>
  </si>
  <si>
    <t xml:space="preserve"> 55091.3416 </t>
  </si>
  <si>
    <t xml:space="preserve"> 51.1327 </t>
  </si>
  <si>
    <t>C:\Users\andre\Desktop\REACTIV CEFAS\Tamoxifen\Tamoxifen/20201210_Cefas_Test9_Run3/Plate 1/@6/G6_04- exclu.tif</t>
  </si>
  <si>
    <t xml:space="preserve">C:\Users\andre\Desktop\REACTIV CEFAS\Tamoxifen\Tamoxifen/20201210_Cefas_Test9_Run3/Plate 1/@6/H6_01.tif </t>
  </si>
  <si>
    <t xml:space="preserve"> 55307.6406 </t>
  </si>
  <si>
    <t xml:space="preserve"> 46.9312 </t>
  </si>
  <si>
    <t xml:space="preserve">C:\Users\andre\Desktop\REACTIV CEFAS\Tamoxifen\Tamoxifen/20201210_Cefas_Test9_Run3/Plate 1/@6/H6_02.tif </t>
  </si>
  <si>
    <t xml:space="preserve"> 57600.4094 </t>
  </si>
  <si>
    <t xml:space="preserve"> 46.6538 </t>
  </si>
  <si>
    <t xml:space="preserve">C:\Users\andre\Desktop\REACTIV CEFAS\Tamoxifen\Tamoxifen/20201210_Cefas_Test9_Run3/Plate 1/@6/H6_03.tif </t>
  </si>
  <si>
    <t xml:space="preserve"> 55696.9787 </t>
  </si>
  <si>
    <t xml:space="preserve"> 47.1864 </t>
  </si>
  <si>
    <t xml:space="preserve">C:\Users\andre\Desktop\REACTIV CEFAS\Tamoxifen\Tamoxifen/20201210_Cefas_Test9_Run3/Plate 1/@6/H6_04.tif </t>
  </si>
  <si>
    <t xml:space="preserve"> 60520.4452 </t>
  </si>
  <si>
    <t xml:space="preserve"> 47.6762 </t>
  </si>
  <si>
    <t xml:space="preserve">C:\Users\andre\Desktop\REACTIV CEFAS\Tamoxifen\Tamoxifen/20201210_Cefas_Test9_Run3/Plate 1/@6/ </t>
  </si>
  <si>
    <t xml:space="preserve"> 47.4847 </t>
  </si>
  <si>
    <t xml:space="preserve"> 3.5886 </t>
  </si>
  <si>
    <t xml:space="preserve"> 2669827.22 </t>
  </si>
  <si>
    <t xml:space="preserve"> 1018763.13 </t>
  </si>
  <si>
    <t xml:space="preserve">C:\Users\andre\Desktop\REACTIV CEFAS\Tamoxifen\Tamoxifen/20201210_Cefas_Test9_Run3/Plate 1/@7/A7_01.tif </t>
  </si>
  <si>
    <t xml:space="preserve"> 92294.7604 </t>
  </si>
  <si>
    <t xml:space="preserve"> 60.4978 </t>
  </si>
  <si>
    <t xml:space="preserve">C:\Users\andre\Desktop\REACTIV CEFAS\Tamoxifen\Tamoxifen/20201210_Cefas_Test9_Run3/Plate 1/@7/A7_02.tif </t>
  </si>
  <si>
    <t xml:space="preserve"> 92748.9882 </t>
  </si>
  <si>
    <t xml:space="preserve"> 62.2038 </t>
  </si>
  <si>
    <t xml:space="preserve">C:\Users\andre\Desktop\REACTIV CEFAS\Tamoxifen\Tamoxifen/20201210_Cefas_Test9_Run3/Plate 1/@7/A7_03.tif </t>
  </si>
  <si>
    <t xml:space="preserve"> 94284.7107 </t>
  </si>
  <si>
    <t xml:space="preserve"> 62.4079 </t>
  </si>
  <si>
    <t xml:space="preserve">C:\Users\andre\Desktop\REACTIV CEFAS\Tamoxifen\Tamoxifen/20201210_Cefas_Test9_Run3/Plate 1/@7/A7_04.tif </t>
  </si>
  <si>
    <t xml:space="preserve"> 92597.5789 </t>
  </si>
  <si>
    <t xml:space="preserve"> 59.9923 </t>
  </si>
  <si>
    <t>C:\Users\andre\Desktop\REACTIV CEFAS\Tamoxifen\Tamoxifen/20201210_Cefas_Test9_Run3/Plate 1/@7/B7_01- exclu.tif</t>
  </si>
  <si>
    <t>C:\Users\andre\Desktop\REACTIV CEFAS\Tamoxifen\Tamoxifen/20201210_Cefas_Test9_Run3/Plate 1/@7/B7_02- exclu.tif</t>
  </si>
  <si>
    <t>C:\Users\andre\Desktop\REACTIV CEFAS\Tamoxifen\Tamoxifen/20201210_Cefas_Test9_Run3/Plate 1/@7/B7_03- exclu.tif</t>
  </si>
  <si>
    <t xml:space="preserve">C:\Users\andre\Desktop\REACTIV CEFAS\Tamoxifen\Tamoxifen/20201210_Cefas_Test9_Run3/Plate 1/@7/B7_04.tif </t>
  </si>
  <si>
    <t xml:space="preserve"> 96901.9279 </t>
  </si>
  <si>
    <t xml:space="preserve"> 64.6634 </t>
  </si>
  <si>
    <t xml:space="preserve">C:\Users\andre\Desktop\REACTIV CEFAS\Tamoxifen\Tamoxifen/20201210_Cefas_Test9_Run3/Plate 1/@7/C7_01.tif </t>
  </si>
  <si>
    <t xml:space="preserve"> 66706.595 </t>
  </si>
  <si>
    <t xml:space="preserve"> 53.2348 </t>
  </si>
  <si>
    <t xml:space="preserve">C:\Users\andre\Desktop\REACTIV CEFAS\Tamoxifen\Tamoxifen/20201210_Cefas_Test9_Run3/Plate 1/@7/C7_02.tif </t>
  </si>
  <si>
    <t xml:space="preserve"> 69194.0329 </t>
  </si>
  <si>
    <t xml:space="preserve"> 59.2682 </t>
  </si>
  <si>
    <t xml:space="preserve">C:\Users\andre\Desktop\REACTIV CEFAS\Tamoxifen\Tamoxifen/20201210_Cefas_Test9_Run3/Plate 1/@7/C7_03.tif </t>
  </si>
  <si>
    <t xml:space="preserve"> 64976.2035 </t>
  </si>
  <si>
    <t xml:space="preserve"> 54.2706 </t>
  </si>
  <si>
    <t xml:space="preserve">C:\Users\andre\Desktop\REACTIV CEFAS\Tamoxifen\Tamoxifen/20201210_Cefas_Test9_Run3/Plate 1/@7/C7_04.tif </t>
  </si>
  <si>
    <t xml:space="preserve"> 63353.9614 </t>
  </si>
  <si>
    <t xml:space="preserve"> 54.0731 </t>
  </si>
  <si>
    <t xml:space="preserve">C:\Users\andre\Desktop\REACTIV CEFAS\Tamoxifen\Tamoxifen/20201210_Cefas_Test9_Run3/Plate 1/@7/D7_01.tif </t>
  </si>
  <si>
    <t xml:space="preserve"> 82734.347 </t>
  </si>
  <si>
    <t xml:space="preserve"> 61.4952 </t>
  </si>
  <si>
    <t xml:space="preserve">C:\Users\andre\Desktop\REACTIV CEFAS\Tamoxifen\Tamoxifen/20201210_Cefas_Test9_Run3/Plate 1/@7/D7_02.tif </t>
  </si>
  <si>
    <t xml:space="preserve"> 61.3345 </t>
  </si>
  <si>
    <t xml:space="preserve">C:\Users\andre\Desktop\REACTIV CEFAS\Tamoxifen\Tamoxifen/20201210_Cefas_Test9_Run3/Plate 1/@7/D7_03.tif </t>
  </si>
  <si>
    <t xml:space="preserve"> 80355.0585 </t>
  </si>
  <si>
    <t xml:space="preserve"> 64.5133 </t>
  </si>
  <si>
    <t xml:space="preserve">C:\Users\andre\Desktop\REACTIV CEFAS\Tamoxifen\Tamoxifen/20201210_Cefas_Test9_Run3/Plate 1/@7/D7_04.tif </t>
  </si>
  <si>
    <t xml:space="preserve"> 80441.5781 </t>
  </si>
  <si>
    <t xml:space="preserve"> 59.2423 </t>
  </si>
  <si>
    <t xml:space="preserve">C:\Users\andre\Desktop\REACTIV CEFAS\Tamoxifen\Tamoxifen/20201210_Cefas_Test9_Run3/Plate 1/@7/E7_01.tif </t>
  </si>
  <si>
    <t xml:space="preserve"> 68501.8763 </t>
  </si>
  <si>
    <t xml:space="preserve"> 56.8137 </t>
  </si>
  <si>
    <t xml:space="preserve">C:\Users\andre\Desktop\REACTIV CEFAS\Tamoxifen\Tamoxifen/20201210_Cefas_Test9_Run3/Plate 1/@7/E7_02.tif </t>
  </si>
  <si>
    <t xml:space="preserve"> 69129.1432 </t>
  </si>
  <si>
    <t xml:space="preserve"> 55.0391 </t>
  </si>
  <si>
    <t xml:space="preserve">C:\Users\andre\Desktop\REACTIV CEFAS\Tamoxifen\Tamoxifen/20201210_Cefas_Test9_Run3/Plate 1/@7/E7_03.tif </t>
  </si>
  <si>
    <t xml:space="preserve"> 68761.435 </t>
  </si>
  <si>
    <t xml:space="preserve"> 58.8761 </t>
  </si>
  <si>
    <t xml:space="preserve">C:\Users\andre\Desktop\REACTIV CEFAS\Tamoxifen\Tamoxifen/20201210_Cefas_Test9_Run3/Plate 1/@7/E7_04.tif </t>
  </si>
  <si>
    <t xml:space="preserve"> 70751.3853 </t>
  </si>
  <si>
    <t xml:space="preserve"> 57.1804 </t>
  </si>
  <si>
    <t>C:\Users\andre\Desktop\REACTIV CEFAS\Tamoxifen\Tamoxifen/20201210_Cefas_Test9_Run3/Plate 1/@7/F7_01- exclu.tif</t>
  </si>
  <si>
    <t>C:\Users\andre\Desktop\REACTIV CEFAS\Tamoxifen\Tamoxifen/20201210_Cefas_Test9_Run3/Plate 1/@7/F7_02- exclu.tif</t>
  </si>
  <si>
    <t>C:\Users\andre\Desktop\REACTIV CEFAS\Tamoxifen\Tamoxifen/20201210_Cefas_Test9_Run3/Plate 1/@7/F7_03- exclu.tif</t>
  </si>
  <si>
    <t>C:\Users\andre\Desktop\REACTIV CEFAS\Tamoxifen\Tamoxifen/20201210_Cefas_Test9_Run3/Plate 1/@7/F7_04- exclu.tif</t>
  </si>
  <si>
    <t xml:space="preserve">C:\Users\andre\Desktop\REACTIV CEFAS\Tamoxifen\Tamoxifen/20201210_Cefas_Test9_Run3/Plate 1/@7/G7_01.tif </t>
  </si>
  <si>
    <t xml:space="preserve"> 73649.7912 </t>
  </si>
  <si>
    <t xml:space="preserve"> 44.2511 </t>
  </si>
  <si>
    <t xml:space="preserve">C:\Users\andre\Desktop\REACTIV CEFAS\Tamoxifen\Tamoxifen/20201210_Cefas_Test9_Run3/Plate 1/@7/G7_02.tif </t>
  </si>
  <si>
    <t xml:space="preserve"> 69367.0721 </t>
  </si>
  <si>
    <t xml:space="preserve"> 43.8575 </t>
  </si>
  <si>
    <t xml:space="preserve">C:\Users\andre\Desktop\REACTIV CEFAS\Tamoxifen\Tamoxifen/20201210_Cefas_Test9_Run3/Plate 1/@7/G7_03.tif </t>
  </si>
  <si>
    <t xml:space="preserve"> 69237.2927 </t>
  </si>
  <si>
    <t xml:space="preserve"> 43.7545 </t>
  </si>
  <si>
    <t xml:space="preserve">C:\Users\andre\Desktop\REACTIV CEFAS\Tamoxifen\Tamoxifen/20201210_Cefas_Test9_Run3/Plate 1/@7/G7_04.tif </t>
  </si>
  <si>
    <t xml:space="preserve"> 73022.5243 </t>
  </si>
  <si>
    <t xml:space="preserve"> 48.0702 </t>
  </si>
  <si>
    <t>C:\Users\andre\Desktop\REACTIV CEFAS\Tamoxifen\Tamoxifen/20201210_Cefas_Test9_Run3/Plate 1/@7/H7_01- exclu.tif</t>
  </si>
  <si>
    <t>C:\Users\andre\Desktop\REACTIV CEFAS\Tamoxifen\Tamoxifen/20201210_Cefas_Test9_Run3/Plate 1/@7/H7_02- exclu.tif</t>
  </si>
  <si>
    <t>C:\Users\andre\Desktop\REACTIV CEFAS\Tamoxifen\Tamoxifen/20201210_Cefas_Test9_Run3/Plate 1/@7/H7_03- exclu.tif</t>
  </si>
  <si>
    <t>C:\Users\andre\Desktop\REACTIV CEFAS\Tamoxifen\Tamoxifen/20201210_Cefas_Test9_Run3/Plate 1/@7/H7_04- exclu.tif</t>
  </si>
  <si>
    <t xml:space="preserve">C:\Users\andre\Desktop\REACTIV CEFAS\Tamoxifen\Tamoxifen/20201210_Cefas_Test9_Run3/Plate 1/@7/ </t>
  </si>
  <si>
    <t xml:space="preserve"> 50.559 </t>
  </si>
  <si>
    <t xml:space="preserve"> 12.403 </t>
  </si>
  <si>
    <t xml:space="preserve"> 3345979.06 </t>
  </si>
  <si>
    <t xml:space="preserve"> 2129631.33 </t>
  </si>
  <si>
    <t xml:space="preserve">C:\Users\andre\Desktop\REACTIV CEFAS\Tamoxifen\Tamoxifen/20201210_Cefas_Test9_Run3/Plate 3/@10/A4_01.tif </t>
  </si>
  <si>
    <t xml:space="preserve"> 1341.0535 </t>
  </si>
  <si>
    <t xml:space="preserve"> 31.7258 </t>
  </si>
  <si>
    <t xml:space="preserve">C:\Users\andre\Desktop\REACTIV CEFAS\Tamoxifen\Tamoxifen/20201210_Cefas_Test9_Run3/Plate 3/@10/A4_02.tif </t>
  </si>
  <si>
    <t xml:space="preserve"> 32.6897 </t>
  </si>
  <si>
    <t xml:space="preserve">C:\Users\andre\Desktop\REACTIV CEFAS\Tamoxifen\Tamoxifen/20201210_Cefas_Test9_Run3/Plate 3/@10/A4_03.tif </t>
  </si>
  <si>
    <t xml:space="preserve"> 3763.6017 </t>
  </si>
  <si>
    <t xml:space="preserve"> 32.6724 </t>
  </si>
  <si>
    <t xml:space="preserve">C:\Users\andre\Desktop\REACTIV CEFAS\Tamoxifen\Tamoxifen/20201210_Cefas_Test9_Run3/Plate 3/@10/A4_04.tif </t>
  </si>
  <si>
    <t xml:space="preserve"> 31.6316 </t>
  </si>
  <si>
    <t xml:space="preserve">C:\Users\andre\Desktop\REACTIV CEFAS\Tamoxifen\Tamoxifen/20201210_Cefas_Test9_Run3/Plate 3/@10/B4_01.tif </t>
  </si>
  <si>
    <t xml:space="preserve"> 32.0819 </t>
  </si>
  <si>
    <t xml:space="preserve">C:\Users\andre\Desktop\REACTIV CEFAS\Tamoxifen\Tamoxifen/20201210_Cefas_Test9_Run3/Plate 3/@10/B4_02.tif </t>
  </si>
  <si>
    <t xml:space="preserve"> 32.6885 </t>
  </si>
  <si>
    <t xml:space="preserve">C:\Users\andre\Desktop\REACTIV CEFAS\Tamoxifen\Tamoxifen/20201210_Cefas_Test9_Run3/Plate 3/@10/B4_03.tif </t>
  </si>
  <si>
    <t xml:space="preserve"> 14405.5098 </t>
  </si>
  <si>
    <t xml:space="preserve"> 33.1051 </t>
  </si>
  <si>
    <t xml:space="preserve">C:\Users\andre\Desktop\REACTIV CEFAS\Tamoxifen\Tamoxifen/20201210_Cefas_Test9_Run3/Plate 3/@10/B4_04.tif </t>
  </si>
  <si>
    <t xml:space="preserve"> 16481.9797 </t>
  </si>
  <si>
    <t xml:space="preserve"> 33.4633 </t>
  </si>
  <si>
    <t xml:space="preserve">C:\Users\andre\Desktop\REACTIV CEFAS\Tamoxifen\Tamoxifen/20201210_Cefas_Test9_Run3/Plate 3/@10/C4_01.tif </t>
  </si>
  <si>
    <t xml:space="preserve"> 3828.4913 </t>
  </si>
  <si>
    <t xml:space="preserve"> 32.8249 </t>
  </si>
  <si>
    <t xml:space="preserve">C:\Users\andre\Desktop\REACTIV CEFAS\Tamoxifen\Tamoxifen/20201210_Cefas_Test9_Run3/Plate 3/@10/C4_02.tif </t>
  </si>
  <si>
    <t xml:space="preserve"> 3525.6728 </t>
  </si>
  <si>
    <t xml:space="preserve"> 33.1288 </t>
  </si>
  <si>
    <t xml:space="preserve">C:\Users\andre\Desktop\REACTIV CEFAS\Tamoxifen\Tamoxifen/20201210_Cefas_Test9_Run3/Plate 3/@10/C4_03.tif </t>
  </si>
  <si>
    <t xml:space="preserve"> 37.6209 </t>
  </si>
  <si>
    <t xml:space="preserve">C:\Users\andre\Desktop\REACTIV CEFAS\Tamoxifen\Tamoxifen/20201210_Cefas_Test9_Run3/Plate 3/@10/C4_04.tif </t>
  </si>
  <si>
    <t xml:space="preserve"> 9192.7052 </t>
  </si>
  <si>
    <t xml:space="preserve"> 35.8165 </t>
  </si>
  <si>
    <t xml:space="preserve">C:\Users\andre\Desktop\REACTIV CEFAS\Tamoxifen\Tamoxifen/20201210_Cefas_Test9_Run3/Plate 3/@10/D4_01.tif </t>
  </si>
  <si>
    <t xml:space="preserve"> 4109.68 </t>
  </si>
  <si>
    <t xml:space="preserve"> 33.8474 </t>
  </si>
  <si>
    <t xml:space="preserve">C:\Users\andre\Desktop\REACTIV CEFAS\Tamoxifen\Tamoxifen/20201210_Cefas_Test9_Run3/Plate 3/@10/D4_02.tif </t>
  </si>
  <si>
    <t xml:space="preserve"> 31.3448 </t>
  </si>
  <si>
    <t xml:space="preserve">C:\Users\andre\Desktop\REACTIV CEFAS\Tamoxifen\Tamoxifen/20201210_Cefas_Test9_Run3/Plate 3/@10/D4_03.tif </t>
  </si>
  <si>
    <t xml:space="preserve"> 1622.2421 </t>
  </si>
  <si>
    <t xml:space="preserve"> 37.76 </t>
  </si>
  <si>
    <t xml:space="preserve">C:\Users\andre\Desktop\REACTIV CEFAS\Tamoxifen\Tamoxifen/20201210_Cefas_Test9_Run3/Plate 3/@10/D4_04.tif </t>
  </si>
  <si>
    <t xml:space="preserve"> 38.3693 </t>
  </si>
  <si>
    <t xml:space="preserve">C:\Users\andre\Desktop\REACTIV CEFAS\Tamoxifen\Tamoxifen/20201210_Cefas_Test9_Run3/Plate 3/@10/E4_01.tif </t>
  </si>
  <si>
    <t xml:space="preserve"> 9668.5629 </t>
  </si>
  <si>
    <t xml:space="preserve"> 37.9463 </t>
  </si>
  <si>
    <t xml:space="preserve">C:\Users\andre\Desktop\REACTIV CEFAS\Tamoxifen\Tamoxifen/20201210_Cefas_Test9_Run3/Plate 3/@10/E4_02.tif </t>
  </si>
  <si>
    <t xml:space="preserve"> 38.7897 </t>
  </si>
  <si>
    <t xml:space="preserve">C:\Users\andre\Desktop\REACTIV CEFAS\Tamoxifen\Tamoxifen/20201210_Cefas_Test9_Run3/Plate 3/@10/E4_03.tif </t>
  </si>
  <si>
    <t xml:space="preserve"> 38.4787 </t>
  </si>
  <si>
    <t xml:space="preserve">C:\Users\andre\Desktop\REACTIV CEFAS\Tamoxifen\Tamoxifen/20201210_Cefas_Test9_Run3/Plate 3/@10/E4_04.tif </t>
  </si>
  <si>
    <t xml:space="preserve"> 5818.4417 </t>
  </si>
  <si>
    <t xml:space="preserve"> 38.7695 </t>
  </si>
  <si>
    <t xml:space="preserve">C:\Users\andre\Desktop\REACTIV CEFAS\Tamoxifen\Tamoxifen/20201210_Cefas_Test9_Run3/Plate 3/@10/F4_01.tif </t>
  </si>
  <si>
    <t xml:space="preserve"> 2098.0998 </t>
  </si>
  <si>
    <t xml:space="preserve"> 34.8041 </t>
  </si>
  <si>
    <t>C:\Users\andre\Desktop\REACTIV CEFAS\Tamoxifen\Tamoxifen/20201210_Cefas_Test9_Run3/Plate 3/@10/F4_02- exclu.tif</t>
  </si>
  <si>
    <t xml:space="preserve">C:\Users\andre\Desktop\REACTIV CEFAS\Tamoxifen\Tamoxifen/20201210_Cefas_Test9_Run3/Plate 3/@10/F4_03.tif </t>
  </si>
  <si>
    <t xml:space="preserve"> 37.7259 </t>
  </si>
  <si>
    <t xml:space="preserve">C:\Users\andre\Desktop\REACTIV CEFAS\Tamoxifen\Tamoxifen/20201210_Cefas_Test9_Run3/Plate 3/@10/F4_04.tif </t>
  </si>
  <si>
    <t xml:space="preserve"> 35.7888 </t>
  </si>
  <si>
    <t xml:space="preserve">C:\Users\andre\Desktop\REACTIV CEFAS\Tamoxifen\Tamoxifen/20201210_Cefas_Test9_Run3/Plate 3/@10/G4_01.tif </t>
  </si>
  <si>
    <t xml:space="preserve"> 25869.354 </t>
  </si>
  <si>
    <t xml:space="preserve"> 34.9858 </t>
  </si>
  <si>
    <t xml:space="preserve">C:\Users\andre\Desktop\REACTIV CEFAS\Tamoxifen\Tamoxifen/20201210_Cefas_Test9_Run3/Plate 3/@10/G4_02.tif </t>
  </si>
  <si>
    <t xml:space="preserve"> 35213.4685 </t>
  </si>
  <si>
    <t xml:space="preserve"> 34.8311 </t>
  </si>
  <si>
    <t xml:space="preserve">C:\Users\andre\Desktop\REACTIV CEFAS\Tamoxifen\Tamoxifen/20201210_Cefas_Test9_Run3/Plate 3/@10/G4_03.tif </t>
  </si>
  <si>
    <t xml:space="preserve"> 28811.0196 </t>
  </si>
  <si>
    <t xml:space="preserve"> 33.9887 </t>
  </si>
  <si>
    <t xml:space="preserve">C:\Users\andre\Desktop\REACTIV CEFAS\Tamoxifen\Tamoxifen/20201210_Cefas_Test9_Run3/Plate 3/@10/G4_04.tif </t>
  </si>
  <si>
    <t xml:space="preserve"> 38522.8423 </t>
  </si>
  <si>
    <t xml:space="preserve"> 35.6451 </t>
  </si>
  <si>
    <t xml:space="preserve">C:\Users\andre\Desktop\REACTIV CEFAS\Tamoxifen\Tamoxifen/20201210_Cefas_Test9_Run3/Plate 3/@10/H4_01.tif </t>
  </si>
  <si>
    <t xml:space="preserve"> 14037.8016 </t>
  </si>
  <si>
    <t xml:space="preserve"> 37.4961 </t>
  </si>
  <si>
    <t xml:space="preserve">C:\Users\andre\Desktop\REACTIV CEFAS\Tamoxifen\Tamoxifen/20201210_Cefas_Test9_Run3/Plate 3/@10/H4_02.tif </t>
  </si>
  <si>
    <t xml:space="preserve"> 38.96 </t>
  </si>
  <si>
    <t xml:space="preserve">C:\Users\andre\Desktop\REACTIV CEFAS\Tamoxifen\Tamoxifen/20201210_Cefas_Test9_Run3/Plate 3/@10/H4_03.tif </t>
  </si>
  <si>
    <t xml:space="preserve"> 6899.9364 </t>
  </si>
  <si>
    <t xml:space="preserve"> 38.0031 </t>
  </si>
  <si>
    <t xml:space="preserve">C:\Users\andre\Desktop\REACTIV CEFAS\Tamoxifen\Tamoxifen/20201210_Cefas_Test9_Run3/Plate 3/@10/H4_04.tif </t>
  </si>
  <si>
    <t xml:space="preserve"> 37.454 </t>
  </si>
  <si>
    <t xml:space="preserve">C:\Users\andre\Desktop\REACTIV CEFAS\Tamoxifen\Tamoxifen/20201210_Cefas_Test9_Run3/Plate 3/@10/ </t>
  </si>
  <si>
    <t xml:space="preserve"> 6.7262 </t>
  </si>
  <si>
    <t xml:space="preserve"> 338719.406 </t>
  </si>
  <si>
    <t xml:space="preserve"> 343098.436 </t>
  </si>
  <si>
    <t xml:space="preserve">C:\Users\andre\Desktop\REACTIV CEFAS\Tamoxifen\Tamoxifen/20201210_Cefas_Test9_Run3/Plate 3/@11/A5_01.tif </t>
  </si>
  <si>
    <t xml:space="preserve"> 29957.4041 </t>
  </si>
  <si>
    <t xml:space="preserve"> 33.4592 </t>
  </si>
  <si>
    <t xml:space="preserve">C:\Users\andre\Desktop\REACTIV CEFAS\Tamoxifen\Tamoxifen/20201210_Cefas_Test9_Run3/Plate 3/@11/A5_02.tif </t>
  </si>
  <si>
    <t xml:space="preserve"> 43281.4192 </t>
  </si>
  <si>
    <t xml:space="preserve"> 36.3448 </t>
  </si>
  <si>
    <t xml:space="preserve">C:\Users\andre\Desktop\REACTIV CEFAS\Tamoxifen\Tamoxifen/20201210_Cefas_Test9_Run3/Plate 3/@11/A5_03.tif </t>
  </si>
  <si>
    <t xml:space="preserve"> 33245.148 </t>
  </si>
  <si>
    <t xml:space="preserve"> 34.4183 </t>
  </si>
  <si>
    <t xml:space="preserve">C:\Users\andre\Desktop\REACTIV CEFAS\Tamoxifen\Tamoxifen/20201210_Cefas_Test9_Run3/Plate 3/@11/A5_04.tif </t>
  </si>
  <si>
    <t xml:space="preserve"> 27058.9982 </t>
  </si>
  <si>
    <t xml:space="preserve"> 35.5028 </t>
  </si>
  <si>
    <t xml:space="preserve">C:\Users\andre\Desktop\REACTIV CEFAS\Tamoxifen\Tamoxifen/20201210_Cefas_Test9_Run3/Plate 3/@11/B5_01.tif </t>
  </si>
  <si>
    <t xml:space="preserve"> 9171.0753 </t>
  </si>
  <si>
    <t xml:space="preserve"> 33.4741 </t>
  </si>
  <si>
    <t xml:space="preserve">C:\Users\andre\Desktop\REACTIV CEFAS\Tamoxifen\Tamoxifen/20201210_Cefas_Test9_Run3/Plate 3/@11/B5_02.tif </t>
  </si>
  <si>
    <t xml:space="preserve"> 32.564 </t>
  </si>
  <si>
    <t xml:space="preserve">C:\Users\andre\Desktop\REACTIV CEFAS\Tamoxifen\Tamoxifen/20201210_Cefas_Test9_Run3/Plate 3/@11/B5_03.tif </t>
  </si>
  <si>
    <t xml:space="preserve"> 12134.3709 </t>
  </si>
  <si>
    <t xml:space="preserve"> 32.4866 </t>
  </si>
  <si>
    <t xml:space="preserve">C:\Users\andre\Desktop\REACTIV CEFAS\Tamoxifen\Tamoxifen/20201210_Cefas_Test9_Run3/Plate 3/@11/B5_04.tif </t>
  </si>
  <si>
    <t xml:space="preserve"> 30757.7102 </t>
  </si>
  <si>
    <t xml:space="preserve"> 33.7918 </t>
  </si>
  <si>
    <t xml:space="preserve">C:\Users\andre\Desktop\REACTIV CEFAS\Tamoxifen\Tamoxifen/20201210_Cefas_Test9_Run3/Plate 3/@11/C5_01.tif </t>
  </si>
  <si>
    <t xml:space="preserve"> 32.7145 </t>
  </si>
  <si>
    <t>C:\Users\andre\Desktop\REACTIV CEFAS\Tamoxifen\Tamoxifen/20201210_Cefas_Test9_Run3/Plate 3/@11/C5_02- exclu.tif</t>
  </si>
  <si>
    <t xml:space="preserve">C:\Users\andre\Desktop\REACTIV CEFAS\Tamoxifen\Tamoxifen/20201210_Cefas_Test9_Run3/Plate 3/@11/C5_03.tif </t>
  </si>
  <si>
    <t xml:space="preserve"> 34607.8314 </t>
  </si>
  <si>
    <t xml:space="preserve"> 36.2525 </t>
  </si>
  <si>
    <t xml:space="preserve">C:\Users\andre\Desktop\REACTIV CEFAS\Tamoxifen\Tamoxifen/20201210_Cefas_Test9_Run3/Plate 3/@11/C5_04.tif </t>
  </si>
  <si>
    <t xml:space="preserve"> 24614.8201 </t>
  </si>
  <si>
    <t xml:space="preserve"> 38.2663 </t>
  </si>
  <si>
    <t xml:space="preserve">C:\Users\andre\Desktop\REACTIV CEFAS\Tamoxifen\Tamoxifen/20201210_Cefas_Test9_Run3/Plate 3/@11/D5_01.tif </t>
  </si>
  <si>
    <t xml:space="preserve"> 17671.6239 </t>
  </si>
  <si>
    <t xml:space="preserve"> 35.6034 </t>
  </si>
  <si>
    <t xml:space="preserve">C:\Users\andre\Desktop\REACTIV CEFAS\Tamoxifen\Tamoxifen/20201210_Cefas_Test9_Run3/Plate 3/@11/D5_02.tif </t>
  </si>
  <si>
    <t xml:space="preserve"> 16287.3107 </t>
  </si>
  <si>
    <t xml:space="preserve"> 33.1992 </t>
  </si>
  <si>
    <t xml:space="preserve">C:\Users\andre\Desktop\REACTIV CEFAS\Tamoxifen\Tamoxifen/20201210_Cefas_Test9_Run3/Plate 3/@11/D5_03.tif </t>
  </si>
  <si>
    <t xml:space="preserve"> 33.4071 </t>
  </si>
  <si>
    <t xml:space="preserve">C:\Users\andre\Desktop\REACTIV CEFAS\Tamoxifen\Tamoxifen/20201210_Cefas_Test9_Run3/Plate 3/@11/D5_04.tif </t>
  </si>
  <si>
    <t xml:space="preserve"> 16200.7911 </t>
  </si>
  <si>
    <t xml:space="preserve"> 33.9613 </t>
  </si>
  <si>
    <t xml:space="preserve">C:\Users\andre\Desktop\REACTIV CEFAS\Tamoxifen\Tamoxifen/20201210_Cefas_Test9_Run3/Plate 3/@11/E5_01.tif </t>
  </si>
  <si>
    <t xml:space="preserve"> 19293.866 </t>
  </si>
  <si>
    <t xml:space="preserve"> 34.2836 </t>
  </si>
  <si>
    <t xml:space="preserve">C:\Users\andre\Desktop\REACTIV CEFAS\Tamoxifen\Tamoxifen/20201210_Cefas_Test9_Run3/Plate 3/@11/E5_02.tif </t>
  </si>
  <si>
    <t xml:space="preserve"> 30584.671 </t>
  </si>
  <si>
    <t xml:space="preserve"> 40.8621 </t>
  </si>
  <si>
    <t>C:\Users\andre\Desktop\REACTIV CEFAS\Tamoxifen\Tamoxifen/20201210_Cefas_Test9_Run3/Plate 3/@11/E5_03- exclu.tif</t>
  </si>
  <si>
    <t xml:space="preserve">C:\Users\andre\Desktop\REACTIV CEFAS\Tamoxifen\Tamoxifen/20201210_Cefas_Test9_Run3/Plate 3/@11/E5_04.tif </t>
  </si>
  <si>
    <t xml:space="preserve"> 9711.8227 </t>
  </si>
  <si>
    <t xml:space="preserve"> 32.5078 </t>
  </si>
  <si>
    <t xml:space="preserve">C:\Users\andre\Desktop\REACTIV CEFAS\Tamoxifen\Tamoxifen/20201210_Cefas_Test9_Run3/Plate 3/@11/F5_01.tif </t>
  </si>
  <si>
    <t xml:space="preserve"> 16092.6416 </t>
  </si>
  <si>
    <t xml:space="preserve"> 32.9852 </t>
  </si>
  <si>
    <t xml:space="preserve">C:\Users\andre\Desktop\REACTIV CEFAS\Tamoxifen\Tamoxifen/20201210_Cefas_Test9_Run3/Plate 3/@11/F5_02.tif </t>
  </si>
  <si>
    <t xml:space="preserve"> 15854.7128 </t>
  </si>
  <si>
    <t xml:space="preserve"> 37.0996 </t>
  </si>
  <si>
    <t xml:space="preserve">C:\Users\andre\Desktop\REACTIV CEFAS\Tamoxifen\Tamoxifen/20201210_Cefas_Test9_Run3/Plate 3/@11/F5_03.tif </t>
  </si>
  <si>
    <t xml:space="preserve"> 10879.837 </t>
  </si>
  <si>
    <t xml:space="preserve"> 32.9165 </t>
  </si>
  <si>
    <t xml:space="preserve">C:\Users\andre\Desktop\REACTIV CEFAS\Tamoxifen\Tamoxifen/20201210_Cefas_Test9_Run3/Plate 3/@11/F5_04.tif </t>
  </si>
  <si>
    <t xml:space="preserve"> 20851.2184 </t>
  </si>
  <si>
    <t xml:space="preserve"> 39.8537 </t>
  </si>
  <si>
    <t>C:\Users\andre\Desktop\REACTIV CEFAS\Tamoxifen\Tamoxifen/20201210_Cefas_Test9_Run3/Plate 3/@11/G5_01- exclu.tif</t>
  </si>
  <si>
    <t>C:\Users\andre\Desktop\REACTIV CEFAS\Tamoxifen\Tamoxifen/20201210_Cefas_Test9_Run3/Plate 3/@11/G5_02- exclu.tif</t>
  </si>
  <si>
    <t>C:\Users\andre\Desktop\REACTIV CEFAS\Tamoxifen\Tamoxifen/20201210_Cefas_Test9_Run3/Plate 3/@11/G5_03- exclu.tif</t>
  </si>
  <si>
    <t xml:space="preserve">C:\Users\andre\Desktop\REACTIV CEFAS\Tamoxifen\Tamoxifen/20201210_Cefas_Test9_Run3/Plate 3/@11/G5_04.tif </t>
  </si>
  <si>
    <t xml:space="preserve"> 41204.9493 </t>
  </si>
  <si>
    <t xml:space="preserve"> 36.6236 </t>
  </si>
  <si>
    <t xml:space="preserve">C:\Users\andre\Desktop\REACTIV CEFAS\Tamoxifen\Tamoxifen/20201210_Cefas_Test9_Run3/Plate 3/@11/H5_01.tif </t>
  </si>
  <si>
    <t xml:space="preserve"> 37.3702 </t>
  </si>
  <si>
    <t xml:space="preserve">C:\Users\andre\Desktop\REACTIV CEFAS\Tamoxifen\Tamoxifen/20201210_Cefas_Test9_Run3/Plate 3/@11/H5_02.tif </t>
  </si>
  <si>
    <t xml:space="preserve"> 47174.8002 </t>
  </si>
  <si>
    <t xml:space="preserve"> 36.16 </t>
  </si>
  <si>
    <t xml:space="preserve">C:\Users\andre\Desktop\REACTIV CEFAS\Tamoxifen\Tamoxifen/20201210_Cefas_Test9_Run3/Plate 3/@11/H5_03.tif </t>
  </si>
  <si>
    <t xml:space="preserve"> 46634.0528 </t>
  </si>
  <si>
    <t xml:space="preserve"> 36.9309 </t>
  </si>
  <si>
    <t xml:space="preserve">C:\Users\andre\Desktop\REACTIV CEFAS\Tamoxifen\Tamoxifen/20201210_Cefas_Test9_Run3/Plate 3/@11/H5_04.tif </t>
  </si>
  <si>
    <t xml:space="preserve"> 37.6541 </t>
  </si>
  <si>
    <t xml:space="preserve">C:\Users\andre\Desktop\REACTIV CEFAS\Tamoxifen\Tamoxifen/20201210_Cefas_Test9_Run3/Plate 3/@11/ </t>
  </si>
  <si>
    <t xml:space="preserve"> 36.13 </t>
  </si>
  <si>
    <t xml:space="preserve"> 3.3059 </t>
  </si>
  <si>
    <t xml:space="preserve"> 1060411.66 </t>
  </si>
  <si>
    <t xml:space="preserve"> 575824.504 </t>
  </si>
  <si>
    <t xml:space="preserve">C:\Users\andre\Desktop\REACTIV CEFAS\Tamoxifen\Tamoxifen/20201210_Cefas_Test9_Run3/Plate 3/@12/A6_01.tif </t>
  </si>
  <si>
    <t xml:space="preserve"> 31.9726 </t>
  </si>
  <si>
    <t xml:space="preserve">C:\Users\andre\Desktop\REACTIV CEFAS\Tamoxifen\Tamoxifen/20201210_Cefas_Test9_Run3/Plate 3/@12/A6_02.tif </t>
  </si>
  <si>
    <t xml:space="preserve"> 34.43 </t>
  </si>
  <si>
    <t xml:space="preserve">C:\Users\andre\Desktop\REACTIV CEFAS\Tamoxifen\Tamoxifen/20201210_Cefas_Test9_Run3/Plate 3/@12/A6_03.tif </t>
  </si>
  <si>
    <t xml:space="preserve"> 12437.1894 </t>
  </si>
  <si>
    <t xml:space="preserve"> 33.1809 </t>
  </si>
  <si>
    <t xml:space="preserve">C:\Users\andre\Desktop\REACTIV CEFAS\Tamoxifen\Tamoxifen/20201210_Cefas_Test9_Run3/Plate 3/@12/A6_04.tif </t>
  </si>
  <si>
    <t xml:space="preserve"> 33.1959 </t>
  </si>
  <si>
    <t xml:space="preserve">C:\Users\andre\Desktop\REACTIV CEFAS\Tamoxifen\Tamoxifen/20201210_Cefas_Test9_Run3/Plate 3/@12/B6_01.tif </t>
  </si>
  <si>
    <t xml:space="preserve"> 27989.0836 </t>
  </si>
  <si>
    <t xml:space="preserve"> 34.6491 </t>
  </si>
  <si>
    <t xml:space="preserve">C:\Users\andre\Desktop\REACTIV CEFAS\Tamoxifen\Tamoxifen/20201210_Cefas_Test9_Run3/Plate 3/@12/B6_02.tif </t>
  </si>
  <si>
    <t xml:space="preserve"> 11571.9936 </t>
  </si>
  <si>
    <t xml:space="preserve"> 33.0505 </t>
  </si>
  <si>
    <t xml:space="preserve">C:\Users\andre\Desktop\REACTIV CEFAS\Tamoxifen\Tamoxifen/20201210_Cefas_Test9_Run3/Plate 3/@12/B6_03.tif </t>
  </si>
  <si>
    <t xml:space="preserve"> 25501.6458 </t>
  </si>
  <si>
    <t xml:space="preserve"> 33.8948 </t>
  </si>
  <si>
    <t xml:space="preserve">C:\Users\andre\Desktop\REACTIV CEFAS\Tamoxifen\Tamoxifen/20201210_Cefas_Test9_Run3/Plate 3/@12/B6_04.tif </t>
  </si>
  <si>
    <t xml:space="preserve"> 26410.1013 </t>
  </si>
  <si>
    <t xml:space="preserve"> 34.7707 </t>
  </si>
  <si>
    <t xml:space="preserve">C:\Users\andre\Desktop\REACTIV CEFAS\Tamoxifen\Tamoxifen/20201210_Cefas_Test9_Run3/Plate 3/@12/C6_01.tif </t>
  </si>
  <si>
    <t xml:space="preserve"> 31.381 </t>
  </si>
  <si>
    <t xml:space="preserve">C:\Users\andre\Desktop\REACTIV CEFAS\Tamoxifen\Tamoxifen/20201210_Cefas_Test9_Run3/Plate 3/@12/C6_02.tif </t>
  </si>
  <si>
    <t xml:space="preserve"> 33.4516 </t>
  </si>
  <si>
    <t xml:space="preserve">C:\Users\andre\Desktop\REACTIV CEFAS\Tamoxifen\Tamoxifen/20201210_Cefas_Test9_Run3/Plate 3/@12/C6_03.tif </t>
  </si>
  <si>
    <t xml:space="preserve"> 994.9752 </t>
  </si>
  <si>
    <t xml:space="preserve"> 31.2609 </t>
  </si>
  <si>
    <t xml:space="preserve">C:\Users\andre\Desktop\REACTIV CEFAS\Tamoxifen\Tamoxifen/20201210_Cefas_Test9_Run3/Plate 3/@12/C6_04.tif </t>
  </si>
  <si>
    <t xml:space="preserve"> 32.6324 </t>
  </si>
  <si>
    <t xml:space="preserve">C:\Users\andre\Desktop\REACTIV CEFAS\Tamoxifen\Tamoxifen/20201210_Cefas_Test9_Run3/Plate 3/@12/D6_01.tif </t>
  </si>
  <si>
    <t xml:space="preserve"> 19921.133 </t>
  </si>
  <si>
    <t xml:space="preserve"> 31.9446 </t>
  </si>
  <si>
    <t xml:space="preserve">C:\Users\andre\Desktop\REACTIV CEFAS\Tamoxifen\Tamoxifen/20201210_Cefas_Test9_Run3/Plate 3/@12/D6_02.tif </t>
  </si>
  <si>
    <t xml:space="preserve"> 21867.8235 </t>
  </si>
  <si>
    <t xml:space="preserve"> 32.091 </t>
  </si>
  <si>
    <t xml:space="preserve">C:\Users\andre\Desktop\REACTIV CEFAS\Tamoxifen\Tamoxifen/20201210_Cefas_Test9_Run3/Plate 3/@12/D6_03.tif </t>
  </si>
  <si>
    <t xml:space="preserve"> 32747.6605 </t>
  </si>
  <si>
    <t xml:space="preserve"> 33.6486 </t>
  </si>
  <si>
    <t xml:space="preserve">C:\Users\andre\Desktop\REACTIV CEFAS\Tamoxifen\Tamoxifen/20201210_Cefas_Test9_Run3/Plate 3/@12/D6_04.tif </t>
  </si>
  <si>
    <t xml:space="preserve"> 26561.5106 </t>
  </si>
  <si>
    <t xml:space="preserve"> 32.1792 </t>
  </si>
  <si>
    <t xml:space="preserve">C:\Users\andre\Desktop\REACTIV CEFAS\Tamoxifen\Tamoxifen/20201210_Cefas_Test9_Run3/Plate 3/@12/E6_01.tif </t>
  </si>
  <si>
    <t xml:space="preserve"> 32.9609 </t>
  </si>
  <si>
    <t xml:space="preserve">C:\Users\andre\Desktop\REACTIV CEFAS\Tamoxifen\Tamoxifen/20201210_Cefas_Test9_Run3/Plate 3/@12/E6_02.tif </t>
  </si>
  <si>
    <t xml:space="preserve"> 13864.7625 </t>
  </si>
  <si>
    <t xml:space="preserve"> 35.2262 </t>
  </si>
  <si>
    <t xml:space="preserve">C:\Users\andre\Desktop\REACTIV CEFAS\Tamoxifen\Tamoxifen/20201210_Cefas_Test9_Run3/Plate 3/@12/E6_03.tif </t>
  </si>
  <si>
    <t xml:space="preserve"> 18969.4176 </t>
  </si>
  <si>
    <t xml:space="preserve"> 35.6408 </t>
  </si>
  <si>
    <t xml:space="preserve">C:\Users\andre\Desktop\REACTIV CEFAS\Tamoxifen\Tamoxifen/20201210_Cefas_Test9_Run3/Plate 3/@12/E6_04.tif </t>
  </si>
  <si>
    <t xml:space="preserve"> 11312.4349 </t>
  </si>
  <si>
    <t xml:space="preserve"> 31.9159 </t>
  </si>
  <si>
    <t xml:space="preserve">C:\Users\andre\Desktop\REACTIV CEFAS\Tamoxifen\Tamoxifen/20201210_Cefas_Test9_Run3/Plate 3/@12/F6_01.tif </t>
  </si>
  <si>
    <t xml:space="preserve"> 34.1699 </t>
  </si>
  <si>
    <t xml:space="preserve">C:\Users\andre\Desktop\REACTIV CEFAS\Tamoxifen\Tamoxifen/20201210_Cefas_Test9_Run3/Plate 3/@12/F6_02.tif </t>
  </si>
  <si>
    <t xml:space="preserve"> 33.6346 </t>
  </si>
  <si>
    <t xml:space="preserve">C:\Users\andre\Desktop\REACTIV CEFAS\Tamoxifen\Tamoxifen/20201210_Cefas_Test9_Run3/Plate 3/@12/F6_03.tif </t>
  </si>
  <si>
    <t xml:space="preserve"> 21694.7843 </t>
  </si>
  <si>
    <t xml:space="preserve"> 35.9561 </t>
  </si>
  <si>
    <t xml:space="preserve">C:\Users\andre\Desktop\REACTIV CEFAS\Tamoxifen\Tamoxifen/20201210_Cefas_Test9_Run3/Plate 3/@12/F6_04.tif </t>
  </si>
  <si>
    <t xml:space="preserve"> 14708.3283 </t>
  </si>
  <si>
    <t xml:space="preserve"> 34.1618 </t>
  </si>
  <si>
    <t xml:space="preserve">C:\Users\andre\Desktop\REACTIV CEFAS\Tamoxifen\Tamoxifen/20201210_Cefas_Test9_Run3/Plate 3/@12/G6_01.tif </t>
  </si>
  <si>
    <t xml:space="preserve"> 12112.741 </t>
  </si>
  <si>
    <t xml:space="preserve"> 33.4482 </t>
  </si>
  <si>
    <t xml:space="preserve">C:\Users\andre\Desktop\REACTIV CEFAS\Tamoxifen\Tamoxifen/20201210_Cefas_Test9_Run3/Plate 3/@12/G6_02.tif </t>
  </si>
  <si>
    <t xml:space="preserve"> 14881.3675 </t>
  </si>
  <si>
    <t xml:space="preserve"> 33.7674 </t>
  </si>
  <si>
    <t xml:space="preserve">C:\Users\andre\Desktop\REACTIV CEFAS\Tamoxifen\Tamoxifen/20201210_Cefas_Test9_Run3/Plate 3/@12/G6_03.tif </t>
  </si>
  <si>
    <t xml:space="preserve"> 13367.2749 </t>
  </si>
  <si>
    <t xml:space="preserve"> 32.8706 </t>
  </si>
  <si>
    <t xml:space="preserve">C:\Users\andre\Desktop\REACTIV CEFAS\Tamoxifen\Tamoxifen/20201210_Cefas_Test9_Run3/Plate 3/@12/G6_04.tif </t>
  </si>
  <si>
    <t xml:space="preserve"> 21673.1544 </t>
  </si>
  <si>
    <t xml:space="preserve"> 35.2006 </t>
  </si>
  <si>
    <t>C:\Users\andre\Desktop\REACTIV CEFAS\Tamoxifen\Tamoxifen/20201210_Cefas_Test9_Run3/Plate 3/@12/H6_01- exclu.tif</t>
  </si>
  <si>
    <t xml:space="preserve">C:\Users\andre\Desktop\REACTIV CEFAS\Tamoxifen\Tamoxifen/20201210_Cefas_Test9_Run3/Plate 3/@12/H6_02.tif </t>
  </si>
  <si>
    <t xml:space="preserve"> 40.0233 </t>
  </si>
  <si>
    <t>C:\Users\andre\Desktop\REACTIV CEFAS\Tamoxifen\Tamoxifen/20201210_Cefas_Test9_Run3/Plate 3/@12/H6_03- exclu.tif</t>
  </si>
  <si>
    <t xml:space="preserve">C:\Users\andre\Desktop\REACTIV CEFAS\Tamoxifen\Tamoxifen/20201210_Cefas_Test9_Run3/Plate 3/@12/H6_04.tif </t>
  </si>
  <si>
    <t xml:space="preserve"> 38890.5505 </t>
  </si>
  <si>
    <t xml:space="preserve"> 37.8982 </t>
  </si>
  <si>
    <t xml:space="preserve">C:\Users\andre\Desktop\REACTIV CEFAS\Tamoxifen\Tamoxifen/20201210_Cefas_Test9_Run3/Plate 3/@12/ </t>
  </si>
  <si>
    <t xml:space="preserve"> 34.2936 </t>
  </si>
  <si>
    <t xml:space="preserve"> 2.6269 </t>
  </si>
  <si>
    <t xml:space="preserve"> 658766.188 </t>
  </si>
  <si>
    <t xml:space="preserve"> 509798.135 </t>
  </si>
  <si>
    <t xml:space="preserve">C:\Users\andre\Desktop\REACTIV CEFAS\Tamoxifen\Tamoxifen/20201210_Cefas_Test9_Run3/Plate 3/@17/A8_01.tif </t>
  </si>
  <si>
    <t xml:space="preserve"> 68090.9083 </t>
  </si>
  <si>
    <t xml:space="preserve"> 43.0407 </t>
  </si>
  <si>
    <t xml:space="preserve">C:\Users\andre\Desktop\REACTIV CEFAS\Tamoxifen\Tamoxifen/20201210_Cefas_Test9_Run3/Plate 3/@17/A8_02.tif </t>
  </si>
  <si>
    <t xml:space="preserve"> 64673.3849 </t>
  </si>
  <si>
    <t xml:space="preserve"> 42.2344 </t>
  </si>
  <si>
    <t xml:space="preserve">C:\Users\andre\Desktop\REACTIV CEFAS\Tamoxifen\Tamoxifen/20201210_Cefas_Test9_Run3/Plate 3/@17/A8_03.tif </t>
  </si>
  <si>
    <t xml:space="preserve"> 53144.6511 </t>
  </si>
  <si>
    <t xml:space="preserve"> 48.8457 </t>
  </si>
  <si>
    <t xml:space="preserve">C:\Users\andre\Desktop\REACTIV CEFAS\Tamoxifen\Tamoxifen/20201210_Cefas_Test9_Run3/Plate 3/@17/A8_04.tif </t>
  </si>
  <si>
    <t xml:space="preserve"> 74644.7664 </t>
  </si>
  <si>
    <t xml:space="preserve"> 43.038 </t>
  </si>
  <si>
    <t xml:space="preserve">C:\Users\andre\Desktop\REACTIV CEFAS\Tamoxifen\Tamoxifen/20201210_Cefas_Test9_Run3/Plate 3/@17/B8_01.tif </t>
  </si>
  <si>
    <t xml:space="preserve"> 61342.3812 </t>
  </si>
  <si>
    <t xml:space="preserve"> 37.7489 </t>
  </si>
  <si>
    <t xml:space="preserve">C:\Users\andre\Desktop\REACTIV CEFAS\Tamoxifen\Tamoxifen/20201210_Cefas_Test9_Run3/Plate 3/@17/B8_02.tif </t>
  </si>
  <si>
    <t xml:space="preserve"> 65906.2889 </t>
  </si>
  <si>
    <t xml:space="preserve"> 39.3052 </t>
  </si>
  <si>
    <t xml:space="preserve">C:\Users\andre\Desktop\REACTIV CEFAS\Tamoxifen\Tamoxifen/20201210_Cefas_Test9_Run3/Plate 3/@17/B8_03.tif </t>
  </si>
  <si>
    <t xml:space="preserve"> 63137.6624 </t>
  </si>
  <si>
    <t xml:space="preserve"> 38.8184 </t>
  </si>
  <si>
    <t xml:space="preserve">C:\Users\andre\Desktop\REACTIV CEFAS\Tamoxifen\Tamoxifen/20201210_Cefas_Test9_Run3/Plate 3/@17/B8_04.tif </t>
  </si>
  <si>
    <t xml:space="preserve"> 62661.8047 </t>
  </si>
  <si>
    <t xml:space="preserve"> 38.7004 </t>
  </si>
  <si>
    <t>C:\Users\andre\Desktop\REACTIV CEFAS\Tamoxifen\Tamoxifen/20201210_Cefas_Test9_Run3/Plate 3/@17/C8_01- exclu.tif</t>
  </si>
  <si>
    <t xml:space="preserve">C:\Users\andre\Desktop\REACTIV CEFAS\Tamoxifen\Tamoxifen/20201210_Cefas_Test9_Run3/Plate 3/@17/C8_02.tif </t>
  </si>
  <si>
    <t xml:space="preserve"> 47564.1383 </t>
  </si>
  <si>
    <t xml:space="preserve"> 41.2883 </t>
  </si>
  <si>
    <t xml:space="preserve">C:\Users\andre\Desktop\REACTIV CEFAS\Tamoxifen\Tamoxifen/20201210_Cefas_Test9_Run3/Plate 3/@17/C8_03.tif </t>
  </si>
  <si>
    <t xml:space="preserve"> 53360.95 </t>
  </si>
  <si>
    <t xml:space="preserve"> 39.1127 </t>
  </si>
  <si>
    <t xml:space="preserve">C:\Users\andre\Desktop\REACTIV CEFAS\Tamoxifen\Tamoxifen/20201210_Cefas_Test9_Run3/Plate 3/@17/C8_04.tif </t>
  </si>
  <si>
    <t xml:space="preserve"> 60260.8864 </t>
  </si>
  <si>
    <t xml:space="preserve"> 41.0822 </t>
  </si>
  <si>
    <t xml:space="preserve">C:\Users\andre\Desktop\REACTIV CEFAS\Tamoxifen\Tamoxifen/20201210_Cefas_Test9_Run3/Plate 3/@17/D8_01.tif </t>
  </si>
  <si>
    <t xml:space="preserve"> 38.9478 </t>
  </si>
  <si>
    <t xml:space="preserve">C:\Users\andre\Desktop\REACTIV CEFAS\Tamoxifen\Tamoxifen/20201210_Cefas_Test9_Run3/Plate 3/@17/D8_02.tif </t>
  </si>
  <si>
    <t xml:space="preserve"> 35710.956 </t>
  </si>
  <si>
    <t xml:space="preserve"> 38.9491 </t>
  </si>
  <si>
    <t xml:space="preserve">C:\Users\andre\Desktop\REACTIV CEFAS\Tamoxifen\Tamoxifen/20201210_Cefas_Test9_Run3/Plate 3/@17/D8_03.tif </t>
  </si>
  <si>
    <t xml:space="preserve"> 29027.3186 </t>
  </si>
  <si>
    <t xml:space="preserve"> 38.9203 </t>
  </si>
  <si>
    <t xml:space="preserve">C:\Users\andre\Desktop\REACTIV CEFAS\Tamoxifen\Tamoxifen/20201210_Cefas_Test9_Run3/Plate 3/@17/D8_04.tif </t>
  </si>
  <si>
    <t xml:space="preserve"> 26280.322 </t>
  </si>
  <si>
    <t xml:space="preserve"> 36.6716 </t>
  </si>
  <si>
    <t xml:space="preserve">C:\Users\andre\Desktop\REACTIV CEFAS\Tamoxifen\Tamoxifen/20201210_Cefas_Test9_Run3/Plate 3/@17/E8_01.tif </t>
  </si>
  <si>
    <t xml:space="preserve"> 68372.0969 </t>
  </si>
  <si>
    <t xml:space="preserve"> 44.2183 </t>
  </si>
  <si>
    <t xml:space="preserve">C:\Users\andre\Desktop\REACTIV CEFAS\Tamoxifen\Tamoxifen/20201210_Cefas_Test9_Run3/Plate 3/@17/E8_02.tif </t>
  </si>
  <si>
    <t xml:space="preserve"> 69648.2607 </t>
  </si>
  <si>
    <t xml:space="preserve"> 48.1516 </t>
  </si>
  <si>
    <t xml:space="preserve">C:\Users\andre\Desktop\REACTIV CEFAS\Tamoxifen\Tamoxifen/20201210_Cefas_Test9_Run3/Plate 3/@17/E8_03.tif </t>
  </si>
  <si>
    <t xml:space="preserve"> 72827.8552 </t>
  </si>
  <si>
    <t xml:space="preserve"> 46.1345 </t>
  </si>
  <si>
    <t xml:space="preserve">C:\Users\andre\Desktop\REACTIV CEFAS\Tamoxifen\Tamoxifen/20201210_Cefas_Test9_Run3/Plate 3/@17/E8_04.tif </t>
  </si>
  <si>
    <t xml:space="preserve"> 70794.6451 </t>
  </si>
  <si>
    <t xml:space="preserve"> 49.0596 </t>
  </si>
  <si>
    <t xml:space="preserve">C:\Users\andre\Desktop\REACTIV CEFAS\Tamoxifen\Tamoxifen/20201210_Cefas_Test9_Run3/Plate 3/@17/F8_01.tif </t>
  </si>
  <si>
    <t xml:space="preserve"> 18796.3784 </t>
  </si>
  <si>
    <t xml:space="preserve"> 37.244 </t>
  </si>
  <si>
    <t xml:space="preserve">C:\Users\andre\Desktop\REACTIV CEFAS\Tamoxifen\Tamoxifen/20201210_Cefas_Test9_Run3/Plate 3/@17/F8_02.tif </t>
  </si>
  <si>
    <t xml:space="preserve"> 17044.357 </t>
  </si>
  <si>
    <t xml:space="preserve"> 33.3464 </t>
  </si>
  <si>
    <t xml:space="preserve">C:\Users\andre\Desktop\REACTIV CEFAS\Tamoxifen\Tamoxifen/20201210_Cefas_Test9_Run3/Plate 3/@17/F8_03.tif </t>
  </si>
  <si>
    <t xml:space="preserve"> 20202.3216 </t>
  </si>
  <si>
    <t xml:space="preserve"> 34.8233 </t>
  </si>
  <si>
    <t xml:space="preserve">C:\Users\andre\Desktop\REACTIV CEFAS\Tamoxifen\Tamoxifen/20201210_Cefas_Test9_Run3/Plate 3/@17/F8_04.tif </t>
  </si>
  <si>
    <t xml:space="preserve"> 23252.1367 </t>
  </si>
  <si>
    <t xml:space="preserve"> 36.013 </t>
  </si>
  <si>
    <t xml:space="preserve">C:\Users\andre\Desktop\REACTIV CEFAS\Tamoxifen\Tamoxifen/20201210_Cefas_Test9_Run3/Plate 3/@17/G8_01.tif </t>
  </si>
  <si>
    <t xml:space="preserve"> 31493.1266 </t>
  </si>
  <si>
    <t xml:space="preserve"> 39.908 </t>
  </si>
  <si>
    <t xml:space="preserve">C:\Users\andre\Desktop\REACTIV CEFAS\Tamoxifen\Tamoxifen/20201210_Cefas_Test9_Run3/Plate 3/@17/G8_02.tif </t>
  </si>
  <si>
    <t xml:space="preserve"> 38.7428 </t>
  </si>
  <si>
    <t xml:space="preserve">C:\Users\andre\Desktop\REACTIV CEFAS\Tamoxifen\Tamoxifen/20201210_Cefas_Test9_Run3/Plate 3/@17/G8_03.tif </t>
  </si>
  <si>
    <t xml:space="preserve"> 31276.8276 </t>
  </si>
  <si>
    <t xml:space="preserve"> 39.5775 </t>
  </si>
  <si>
    <t xml:space="preserve">C:\Users\andre\Desktop\REACTIV CEFAS\Tamoxifen\Tamoxifen/20201210_Cefas_Test9_Run3/Plate 3/@17/G8_04.tif </t>
  </si>
  <si>
    <t xml:space="preserve"> 30541.4112 </t>
  </si>
  <si>
    <t xml:space="preserve"> 41.2642 </t>
  </si>
  <si>
    <t>C:\Users\andre\Desktop\REACTIV CEFAS\Tamoxifen\Tamoxifen/20201210_Cefas_Test9_Run3/Plate 3/@17/H8_01- exclu.tif</t>
  </si>
  <si>
    <t xml:space="preserve">C:\Users\andre\Desktop\REACTIV CEFAS\Tamoxifen\Tamoxifen/20201210_Cefas_Test9_Run3/Plate 3/@17/H8_02.tif </t>
  </si>
  <si>
    <t xml:space="preserve"> 67398.7517 </t>
  </si>
  <si>
    <t xml:space="preserve"> 42.0703 </t>
  </si>
  <si>
    <t xml:space="preserve">C:\Users\andre\Desktop\REACTIV CEFAS\Tamoxifen\Tamoxifen/20201210_Cefas_Test9_Run3/Plate 3/@17/H8_03.tif </t>
  </si>
  <si>
    <t xml:space="preserve"> 67506.9011 </t>
  </si>
  <si>
    <t xml:space="preserve"> 43.6642 </t>
  </si>
  <si>
    <t xml:space="preserve">C:\Users\andre\Desktop\REACTIV CEFAS\Tamoxifen\Tamoxifen/20201210_Cefas_Test9_Run3/Plate 3/@17/H8_04.tif </t>
  </si>
  <si>
    <t xml:space="preserve"> 63007.8831 </t>
  </si>
  <si>
    <t xml:space="preserve"> 40.0896 </t>
  </si>
  <si>
    <t xml:space="preserve">C:\Users\andre\Desktop\REACTIV CEFAS\Tamoxifen\Tamoxifen/20201210_Cefas_Test9_Run3/Plate 3/@17/ </t>
  </si>
  <si>
    <t xml:space="preserve"> 40.9558 </t>
  </si>
  <si>
    <t xml:space="preserve"> 3.9961 </t>
  </si>
  <si>
    <t xml:space="preserve"> 2085315.91 </t>
  </si>
  <si>
    <t xml:space="preserve"> 891190.396 </t>
  </si>
  <si>
    <t xml:space="preserve">C:\Users\andre\Desktop\REACTIV CEFAS\Tamoxifen\Tamoxifen/20201210_Cefas_Test9_Run3/Plate 3/@18/A9_01.tif </t>
  </si>
  <si>
    <t xml:space="preserve"> 36489.6322 </t>
  </si>
  <si>
    <t xml:space="preserve"> 35.4191 </t>
  </si>
  <si>
    <t xml:space="preserve">C:\Users\andre\Desktop\REACTIV CEFAS\Tamoxifen\Tamoxifen/20201210_Cefas_Test9_Run3/Plate 3/@18/A9_02.tif </t>
  </si>
  <si>
    <t xml:space="preserve"> 38349.8032 </t>
  </si>
  <si>
    <t xml:space="preserve"> 35.0361 </t>
  </si>
  <si>
    <t xml:space="preserve">C:\Users\andre\Desktop\REACTIV CEFAS\Tamoxifen\Tamoxifen/20201210_Cefas_Test9_Run3/Plate 3/@18/A9_03.tif </t>
  </si>
  <si>
    <t xml:space="preserve"> 38284.9135 </t>
  </si>
  <si>
    <t xml:space="preserve"> 35.1153 </t>
  </si>
  <si>
    <t xml:space="preserve">C:\Users\andre\Desktop\REACTIV CEFAS\Tamoxifen\Tamoxifen/20201210_Cefas_Test9_Run3/Plate 3/@18/A9_04.tif </t>
  </si>
  <si>
    <t xml:space="preserve"> 41702.4368 </t>
  </si>
  <si>
    <t xml:space="preserve"> 34.0508 </t>
  </si>
  <si>
    <t xml:space="preserve">C:\Users\andre\Desktop\REACTIV CEFAS\Tamoxifen\Tamoxifen/20201210_Cefas_Test9_Run3/Plate 3/@18/B9_01.tif </t>
  </si>
  <si>
    <t xml:space="preserve"> 31.8637 </t>
  </si>
  <si>
    <t xml:space="preserve">C:\Users\andre\Desktop\REACTIV CEFAS\Tamoxifen\Tamoxifen/20201210_Cefas_Test9_Run3/Plate 3/@18/B9_02.tif </t>
  </si>
  <si>
    <t xml:space="preserve"> 31.1244 </t>
  </si>
  <si>
    <t xml:space="preserve">C:\Users\andre\Desktop\REACTIV CEFAS\Tamoxifen\Tamoxifen/20201210_Cefas_Test9_Run3/Plate 3/@18/B9_03.tif </t>
  </si>
  <si>
    <t xml:space="preserve"> 31.4025 </t>
  </si>
  <si>
    <t xml:space="preserve">C:\Users\andre\Desktop\REACTIV CEFAS\Tamoxifen\Tamoxifen/20201210_Cefas_Test9_Run3/Plate 3/@18/B9_04.tif </t>
  </si>
  <si>
    <t xml:space="preserve"> 31.8692 </t>
  </si>
  <si>
    <t xml:space="preserve">C:\Users\andre\Desktop\REACTIV CEFAS\Tamoxifen\Tamoxifen/20201210_Cefas_Test9_Run3/Plate 3/@18/C9_01.tif </t>
  </si>
  <si>
    <t xml:space="preserve"> 50873.5122 </t>
  </si>
  <si>
    <t xml:space="preserve"> 37.3244 </t>
  </si>
  <si>
    <t xml:space="preserve">C:\Users\andre\Desktop\REACTIV CEFAS\Tamoxifen\Tamoxifen/20201210_Cefas_Test9_Run3/Plate 3/@18/C9_02.tif </t>
  </si>
  <si>
    <t xml:space="preserve"> 38414.6929 </t>
  </si>
  <si>
    <t xml:space="preserve"> 35.826 </t>
  </si>
  <si>
    <t xml:space="preserve">C:\Users\andre\Desktop\REACTIV CEFAS\Tamoxifen\Tamoxifen/20201210_Cefas_Test9_Run3/Plate 3/@18/C9_03.tif </t>
  </si>
  <si>
    <t xml:space="preserve"> 38609.3619 </t>
  </si>
  <si>
    <t xml:space="preserve"> 35.8437 </t>
  </si>
  <si>
    <t xml:space="preserve">C:\Users\andre\Desktop\REACTIV CEFAS\Tamoxifen\Tamoxifen/20201210_Cefas_Test9_Run3/Plate 3/@18/C9_04.tif </t>
  </si>
  <si>
    <t xml:space="preserve"> 32077.1337 </t>
  </si>
  <si>
    <t xml:space="preserve"> 34.708 </t>
  </si>
  <si>
    <t xml:space="preserve">C:\Users\andre\Desktop\REACTIV CEFAS\Tamoxifen\Tamoxifen/20201210_Cefas_Test9_Run3/Plate 3/@18/D9_01.tif </t>
  </si>
  <si>
    <t xml:space="preserve"> 67723.2001 </t>
  </si>
  <si>
    <t xml:space="preserve"> 43.205 </t>
  </si>
  <si>
    <t xml:space="preserve">C:\Users\andre\Desktop\REACTIV CEFAS\Tamoxifen\Tamoxifen/20201210_Cefas_Test9_Run3/Plate 3/@18/D9_02.tif </t>
  </si>
  <si>
    <t xml:space="preserve"> 67831.3496 </t>
  </si>
  <si>
    <t xml:space="preserve"> 45.1859 </t>
  </si>
  <si>
    <t xml:space="preserve">C:\Users\andre\Desktop\REACTIV CEFAS\Tamoxifen\Tamoxifen/20201210_Cefas_Test9_Run3/Plate 3/@18/D9_03.tif </t>
  </si>
  <si>
    <t xml:space="preserve"> 70989.3142 </t>
  </si>
  <si>
    <t xml:space="preserve"> 47.6368 </t>
  </si>
  <si>
    <t xml:space="preserve">C:\Users\andre\Desktop\REACTIV CEFAS\Tamoxifen\Tamoxifen/20201210_Cefas_Test9_Run3/Plate 3/@18/D9_04.tif </t>
  </si>
  <si>
    <t xml:space="preserve"> 66576.8157 </t>
  </si>
  <si>
    <t xml:space="preserve"> 44.8109 </t>
  </si>
  <si>
    <t xml:space="preserve">C:\Users\andre\Desktop\REACTIV CEFAS\Tamoxifen\Tamoxifen/20201210_Cefas_Test9_Run3/Plate 3/@18/E9_01.tif </t>
  </si>
  <si>
    <t xml:space="preserve"> 41140.0596 </t>
  </si>
  <si>
    <t xml:space="preserve"> 35.9947 </t>
  </si>
  <si>
    <t xml:space="preserve">C:\Users\andre\Desktop\REACTIV CEFAS\Tamoxifen\Tamoxifen/20201210_Cefas_Test9_Run3/Plate 3/@18/E9_02.tif </t>
  </si>
  <si>
    <t xml:space="preserve"> 23641.4748 </t>
  </si>
  <si>
    <t xml:space="preserve"> 34.344 </t>
  </si>
  <si>
    <t>C:\Users\andre\Desktop\REACTIV CEFAS\Tamoxifen\Tamoxifen/20201210_Cefas_Test9_Run3/Plate 3/@18/E9_03- exclu.tif</t>
  </si>
  <si>
    <t xml:space="preserve">C:\Users\andre\Desktop\REACTIV CEFAS\Tamoxifen\Tamoxifen/20201210_Cefas_Test9_Run3/Plate 3/@18/E9_04.tif </t>
  </si>
  <si>
    <t xml:space="preserve"> 40793.9813 </t>
  </si>
  <si>
    <t xml:space="preserve"> 35.6495 </t>
  </si>
  <si>
    <t xml:space="preserve">C:\Users\andre\Desktop\REACTIV CEFAS\Tamoxifen\Tamoxifen/20201210_Cefas_Test9_Run3/Plate 3/@18/F9_01.tif </t>
  </si>
  <si>
    <t xml:space="preserve"> 59871.5483 </t>
  </si>
  <si>
    <t xml:space="preserve"> 44.4483 </t>
  </si>
  <si>
    <t xml:space="preserve">C:\Users\andre\Desktop\REACTIV CEFAS\Tamoxifen\Tamoxifen/20201210_Cefas_Test9_Run3/Plate 3/@18/F9_02.tif </t>
  </si>
  <si>
    <t xml:space="preserve"> 71054.2039 </t>
  </si>
  <si>
    <t xml:space="preserve"> 47.5406 </t>
  </si>
  <si>
    <t>C:\Users\andre\Desktop\REACTIV CEFAS\Tamoxifen\Tamoxifen/20201210_Cefas_Test9_Run3/Plate 3/@18/F9_03- exclu.tif</t>
  </si>
  <si>
    <t xml:space="preserve">C:\Users\andre\Desktop\REACTIV CEFAS\Tamoxifen\Tamoxifen/20201210_Cefas_Test9_Run3/Plate 3/@18/F9_04.tif </t>
  </si>
  <si>
    <t xml:space="preserve"> 71486.8017 </t>
  </si>
  <si>
    <t xml:space="preserve"> 48.7734 </t>
  </si>
  <si>
    <t xml:space="preserve">C:\Users\andre\Desktop\REACTIV CEFAS\Tamoxifen\Tamoxifen/20201210_Cefas_Test9_Run3/Plate 3/@18/G9_01.tif </t>
  </si>
  <si>
    <t xml:space="preserve"> 45.1734 </t>
  </si>
  <si>
    <t xml:space="preserve">C:\Users\andre\Desktop\REACTIV CEFAS\Tamoxifen\Tamoxifen/20201210_Cefas_Test9_Run3/Plate 3/@18/G9_02.tif </t>
  </si>
  <si>
    <t xml:space="preserve"> 71941.0295 </t>
  </si>
  <si>
    <t xml:space="preserve"> 43.1843 </t>
  </si>
  <si>
    <t xml:space="preserve">C:\Users\andre\Desktop\REACTIV CEFAS\Tamoxifen\Tamoxifen/20201210_Cefas_Test9_Run3/Plate 3/@18/G9_03.tif </t>
  </si>
  <si>
    <t xml:space="preserve"> 73455.1222 </t>
  </si>
  <si>
    <t xml:space="preserve"> 44.4644 </t>
  </si>
  <si>
    <t xml:space="preserve">C:\Users\andre\Desktop\REACTIV CEFAS\Tamoxifen\Tamoxifen/20201210_Cefas_Test9_Run3/Plate 3/@18/G9_04.tif </t>
  </si>
  <si>
    <t xml:space="preserve"> 66338.8868 </t>
  </si>
  <si>
    <t xml:space="preserve"> 49.0756 </t>
  </si>
  <si>
    <t xml:space="preserve">C:\Users\andre\Desktop\REACTIV CEFAS\Tamoxifen\Tamoxifen/20201210_Cefas_Test9_Run3/Plate 3/@18/H9_01.tif </t>
  </si>
  <si>
    <t xml:space="preserve"> 39452.9278 </t>
  </si>
  <si>
    <t xml:space="preserve"> 37.7034 </t>
  </si>
  <si>
    <t xml:space="preserve">C:\Users\andre\Desktop\REACTIV CEFAS\Tamoxifen\Tamoxifen/20201210_Cefas_Test9_Run3/Plate 3/@18/H9_02.tif </t>
  </si>
  <si>
    <t xml:space="preserve"> 39258.2588 </t>
  </si>
  <si>
    <t xml:space="preserve"> 37.0006 </t>
  </si>
  <si>
    <t xml:space="preserve">C:\Users\andre\Desktop\REACTIV CEFAS\Tamoxifen\Tamoxifen/20201210_Cefas_Test9_Run3/Plate 3/@18/H9_03.tif </t>
  </si>
  <si>
    <t xml:space="preserve"> 38025.3548 </t>
  </si>
  <si>
    <t xml:space="preserve"> 36.7827 </t>
  </si>
  <si>
    <t xml:space="preserve">C:\Users\andre\Desktop\REACTIV CEFAS\Tamoxifen\Tamoxifen/20201210_Cefas_Test9_Run3/Plate 3/@18/H9_04.tif </t>
  </si>
  <si>
    <t xml:space="preserve"> 38176.764 </t>
  </si>
  <si>
    <t xml:space="preserve"> 37.6266 </t>
  </si>
  <si>
    <t xml:space="preserve">C:\Users\andre\Desktop\REACTIV CEFAS\Tamoxifen\Tamoxifen/20201210_Cefas_Test9_Run3/Plate 3/@18/ </t>
  </si>
  <si>
    <t xml:space="preserve"> 39.1747 </t>
  </si>
  <si>
    <t xml:space="preserve"> 5.8214 </t>
  </si>
  <si>
    <t xml:space="preserve"> 1898385.53 </t>
  </si>
  <si>
    <t xml:space="preserve"> 1091331.46 </t>
  </si>
  <si>
    <t xml:space="preserve">C:\Users\andre\Desktop\REACTIV CEFAS\Tamoxifen\Tamoxifen/20201210_Cefas_Test9_Run3/Plate 3/@19/A10_01.tif </t>
  </si>
  <si>
    <t xml:space="preserve"> 64024.4881 </t>
  </si>
  <si>
    <t xml:space="preserve"> 42.5311 </t>
  </si>
  <si>
    <t xml:space="preserve">C:\Users\andre\Desktop\REACTIV CEFAS\Tamoxifen\Tamoxifen/20201210_Cefas_Test9_Run3/Plate 3/@19/A10_02.tif </t>
  </si>
  <si>
    <t xml:space="preserve"> 72243.8481 </t>
  </si>
  <si>
    <t xml:space="preserve"> 46.7778 </t>
  </si>
  <si>
    <t xml:space="preserve">C:\Users\andre\Desktop\REACTIV CEFAS\Tamoxifen\Tamoxifen/20201210_Cefas_Test9_Run3/Plate 3/@19/A10_03.tif </t>
  </si>
  <si>
    <t xml:space="preserve"> 56151.2065 </t>
  </si>
  <si>
    <t xml:space="preserve"> 40.7685 </t>
  </si>
  <si>
    <t xml:space="preserve">C:\Users\andre\Desktop\REACTIV CEFAS\Tamoxifen\Tamoxifen/20201210_Cefas_Test9_Run3/Plate 3/@19/A10_04.tif </t>
  </si>
  <si>
    <t xml:space="preserve"> 56410.7652 </t>
  </si>
  <si>
    <t xml:space="preserve"> 39.5134 </t>
  </si>
  <si>
    <t xml:space="preserve">C:\Users\andre\Desktop\REACTIV CEFAS\Tamoxifen\Tamoxifen/20201210_Cefas_Test9_Run3/Plate 3/@19/B10_01.tif </t>
  </si>
  <si>
    <t xml:space="preserve"> 49554.0886 </t>
  </si>
  <si>
    <t xml:space="preserve"> 34.7254 </t>
  </si>
  <si>
    <t xml:space="preserve">C:\Users\andre\Desktop\REACTIV CEFAS\Tamoxifen\Tamoxifen/20201210_Cefas_Test9_Run3/Plate 3/@19/B10_02.tif </t>
  </si>
  <si>
    <t xml:space="preserve"> 41442.8781 </t>
  </si>
  <si>
    <t xml:space="preserve"> 35.1576 </t>
  </si>
  <si>
    <t xml:space="preserve">C:\Users\andre\Desktop\REACTIV CEFAS\Tamoxifen\Tamoxifen/20201210_Cefas_Test9_Run3/Plate 3/@19/B10_03.tif </t>
  </si>
  <si>
    <t xml:space="preserve"> 34.8597 </t>
  </si>
  <si>
    <t xml:space="preserve">C:\Users\andre\Desktop\REACTIV CEFAS\Tamoxifen\Tamoxifen/20201210_Cefas_Test9_Run3/Plate 3/@19/B10_04.tif </t>
  </si>
  <si>
    <t xml:space="preserve"> 47996.7362 </t>
  </si>
  <si>
    <t xml:space="preserve"> 36.3389 </t>
  </si>
  <si>
    <t xml:space="preserve">C:\Users\andre\Desktop\REACTIV CEFAS\Tamoxifen\Tamoxifen/20201210_Cefas_Test9_Run3/Plate 3/@19/C10_01.tif </t>
  </si>
  <si>
    <t xml:space="preserve"> 54031.4768 </t>
  </si>
  <si>
    <t xml:space="preserve"> 41.9408 </t>
  </si>
  <si>
    <t xml:space="preserve">C:\Users\andre\Desktop\REACTIV CEFAS\Tamoxifen\Tamoxifen/20201210_Cefas_Test9_Run3/Plate 3/@19/C10_02.tif </t>
  </si>
  <si>
    <t xml:space="preserve"> 67571.7908 </t>
  </si>
  <si>
    <t xml:space="preserve"> 45.3428 </t>
  </si>
  <si>
    <t xml:space="preserve">C:\Users\andre\Desktop\REACTIV CEFAS\Tamoxifen\Tamoxifen/20201210_Cefas_Test9_Run3/Plate 3/@19/C10_03.tif </t>
  </si>
  <si>
    <t xml:space="preserve"> 46.0748 </t>
  </si>
  <si>
    <t xml:space="preserve">C:\Users\andre\Desktop\REACTIV CEFAS\Tamoxifen\Tamoxifen/20201210_Cefas_Test9_Run3/Plate 3/@19/C10_04.tif </t>
  </si>
  <si>
    <t xml:space="preserve"> 42.9908 </t>
  </si>
  <si>
    <t xml:space="preserve">C:\Users\andre\Desktop\REACTIV CEFAS\Tamoxifen\Tamoxifen/20201210_Cefas_Test9_Run3/Plate 3/@19/D10_01.tif </t>
  </si>
  <si>
    <t xml:space="preserve"> 77024.0548 </t>
  </si>
  <si>
    <t xml:space="preserve"> 43.3409 </t>
  </si>
  <si>
    <t xml:space="preserve">C:\Users\andre\Desktop\REACTIV CEFAS\Tamoxifen\Tamoxifen/20201210_Cefas_Test9_Run3/Plate 3/@19/D10_02.tif </t>
  </si>
  <si>
    <t xml:space="preserve"> 73909.3499 </t>
  </si>
  <si>
    <t xml:space="preserve"> 46.6658 </t>
  </si>
  <si>
    <t xml:space="preserve">C:\Users\andre\Desktop\REACTIV CEFAS\Tamoxifen\Tamoxifen/20201210_Cefas_Test9_Run3/Plate 3/@19/D10_03.tif </t>
  </si>
  <si>
    <t xml:space="preserve"> 76353.528 </t>
  </si>
  <si>
    <t xml:space="preserve"> 48.8683 </t>
  </si>
  <si>
    <t xml:space="preserve">C:\Users\andre\Desktop\REACTIV CEFAS\Tamoxifen\Tamoxifen/20201210_Cefas_Test9_Run3/Plate 3/@19/D10_04.tif </t>
  </si>
  <si>
    <t xml:space="preserve"> 73152.3036 </t>
  </si>
  <si>
    <t xml:space="preserve"> 45.7646 </t>
  </si>
  <si>
    <t xml:space="preserve">C:\Users\andre\Desktop\REACTIV CEFAS\Tamoxifen\Tamoxifen/20201210_Cefas_Test9_Run3/Plate 3/@19/E10_01.tif </t>
  </si>
  <si>
    <t xml:space="preserve"> 33.7398 </t>
  </si>
  <si>
    <t xml:space="preserve">C:\Users\andre\Desktop\REACTIV CEFAS\Tamoxifen\Tamoxifen/20201210_Cefas_Test9_Run3/Plate 3/@19/E10_02.tif </t>
  </si>
  <si>
    <t xml:space="preserve"> 25717.9447 </t>
  </si>
  <si>
    <t xml:space="preserve"> 38.8015 </t>
  </si>
  <si>
    <t xml:space="preserve">C:\Users\andre\Desktop\REACTIV CEFAS\Tamoxifen\Tamoxifen/20201210_Cefas_Test9_Run3/Plate 3/@19/E10_03.tif </t>
  </si>
  <si>
    <t xml:space="preserve"> 22019.2327 </t>
  </si>
  <si>
    <t xml:space="preserve"> 38.1601 </t>
  </si>
  <si>
    <t xml:space="preserve">C:\Users\andre\Desktop\REACTIV CEFAS\Tamoxifen\Tamoxifen/20201210_Cefas_Test9_Run3/Plate 3/@19/E10_04.tif </t>
  </si>
  <si>
    <t xml:space="preserve"> 18428.6702 </t>
  </si>
  <si>
    <t xml:space="preserve"> 36.5716 </t>
  </si>
  <si>
    <t xml:space="preserve">C:\Users\andre\Desktop\REACTIV CEFAS\Tamoxifen\Tamoxifen/20201210_Cefas_Test9_Run3/Plate 3/@19/F10_01.tif </t>
  </si>
  <si>
    <t xml:space="preserve"> 38.2112 </t>
  </si>
  <si>
    <t xml:space="preserve">C:\Users\andre\Desktop\REACTIV CEFAS\Tamoxifen\Tamoxifen/20201210_Cefas_Test9_Run3/Plate 3/@19/F10_02.tif </t>
  </si>
  <si>
    <t xml:space="preserve"> 49597.3484 </t>
  </si>
  <si>
    <t xml:space="preserve"> 37.9799 </t>
  </si>
  <si>
    <t xml:space="preserve">C:\Users\andre\Desktop\REACTIV CEFAS\Tamoxifen\Tamoxifen/20201210_Cefas_Test9_Run3/Plate 3/@19/F10_03.tif </t>
  </si>
  <si>
    <t xml:space="preserve"> 51435.8894 </t>
  </si>
  <si>
    <t xml:space="preserve"> 42.3461 </t>
  </si>
  <si>
    <t xml:space="preserve">C:\Users\andre\Desktop\REACTIV CEFAS\Tamoxifen\Tamoxifen/20201210_Cefas_Test9_Run3/Plate 3/@19/F10_04.tif </t>
  </si>
  <si>
    <t xml:space="preserve"> 48537.4835 </t>
  </si>
  <si>
    <t xml:space="preserve"> 38.2843 </t>
  </si>
  <si>
    <t xml:space="preserve">C:\Users\andre\Desktop\REACTIV CEFAS\Tamoxifen\Tamoxifen/20201210_Cefas_Test9_Run3/Plate 3/@19/G10_01.tif </t>
  </si>
  <si>
    <t xml:space="preserve"> 80939.0657 </t>
  </si>
  <si>
    <t xml:space="preserve"> 41.299 </t>
  </si>
  <si>
    <t xml:space="preserve">C:\Users\andre\Desktop\REACTIV CEFAS\Tamoxifen\Tamoxifen/20201210_Cefas_Test9_Run3/Plate 3/@19/G10_02.tif </t>
  </si>
  <si>
    <t xml:space="preserve"> 74731.2859 </t>
  </si>
  <si>
    <t xml:space="preserve"> 41.6098 </t>
  </si>
  <si>
    <t xml:space="preserve">C:\Users\andre\Desktop\REACTIV CEFAS\Tamoxifen\Tamoxifen/20201210_Cefas_Test9_Run3/Plate 3/@19/G10_03.tif </t>
  </si>
  <si>
    <t xml:space="preserve"> 82258.4893 </t>
  </si>
  <si>
    <t xml:space="preserve"> 42.8906 </t>
  </si>
  <si>
    <t xml:space="preserve">C:\Users\andre\Desktop\REACTIV CEFAS\Tamoxifen\Tamoxifen/20201210_Cefas_Test9_Run3/Plate 3/@19/G10_04.tif </t>
  </si>
  <si>
    <t xml:space="preserve"> 85654.3827 </t>
  </si>
  <si>
    <t xml:space="preserve"> 41.5242 </t>
  </si>
  <si>
    <t xml:space="preserve">C:\Users\andre\Desktop\REACTIV CEFAS\Tamoxifen\Tamoxifen/20201210_Cefas_Test9_Run3/Plate 3/@19/H10_01.tif </t>
  </si>
  <si>
    <t xml:space="preserve"> 70902.7946 </t>
  </si>
  <si>
    <t xml:space="preserve"> 40.1354 </t>
  </si>
  <si>
    <t xml:space="preserve">C:\Users\andre\Desktop\REACTIV CEFAS\Tamoxifen\Tamoxifen/20201210_Cefas_Test9_Run3/Plate 3/@19/H10_02.tif </t>
  </si>
  <si>
    <t xml:space="preserve"> 40.1434 </t>
  </si>
  <si>
    <t xml:space="preserve">C:\Users\andre\Desktop\REACTIV CEFAS\Tamoxifen\Tamoxifen/20201210_Cefas_Test9_Run3/Plate 3/@19/H10_03.tif </t>
  </si>
  <si>
    <t xml:space="preserve"> 77672.9516 </t>
  </si>
  <si>
    <t xml:space="preserve"> 41.5135 </t>
  </si>
  <si>
    <t xml:space="preserve">C:\Users\andre\Desktop\REACTIV CEFAS\Tamoxifen\Tamoxifen/20201210_Cefas_Test9_Run3/Plate 3/@19/H10_04.tif </t>
  </si>
  <si>
    <t xml:space="preserve"> 77997.4 </t>
  </si>
  <si>
    <t xml:space="preserve"> 40.784 </t>
  </si>
  <si>
    <t xml:space="preserve">C:\Users\andre\Desktop\REACTIV CEFAS\Tamoxifen\Tamoxifen/20201210_Cefas_Test9_Run3/Plate 3/@19/ </t>
  </si>
  <si>
    <t xml:space="preserve"> 40.8017 </t>
  </si>
  <si>
    <t xml:space="preserve"> 3.8468 </t>
  </si>
  <si>
    <t xml:space="preserve"> 2465378.78 </t>
  </si>
  <si>
    <t xml:space="preserve"> 945342.69 </t>
  </si>
  <si>
    <t xml:space="preserve">C:\Users\andre\Desktop\REACTIV CEFAS\Tamoxifen\Tamoxifen/20201210_Cefas_Test9_Run3/Plate 3/@20/A11_01.tif </t>
  </si>
  <si>
    <t xml:space="preserve"> 33547.9666 </t>
  </si>
  <si>
    <t xml:space="preserve"> 40.4197 </t>
  </si>
  <si>
    <t xml:space="preserve">C:\Users\andre\Desktop\REACTIV CEFAS\Tamoxifen\Tamoxifen/20201210_Cefas_Test9_Run3/Plate 3/@20/A11_02.tif </t>
  </si>
  <si>
    <t xml:space="preserve"> 37.543 </t>
  </si>
  <si>
    <t xml:space="preserve">C:\Users\andre\Desktop\REACTIV CEFAS\Tamoxifen\Tamoxifen/20201210_Cefas_Test9_Run3/Plate 3/@20/A11_03.tif </t>
  </si>
  <si>
    <t xml:space="preserve"> 38652.6217 </t>
  </si>
  <si>
    <t xml:space="preserve"> 41.8165 </t>
  </si>
  <si>
    <t xml:space="preserve">C:\Users\andre\Desktop\REACTIV CEFAS\Tamoxifen\Tamoxifen/20201210_Cefas_Test9_Run3/Plate 3/@20/A11_04.tif </t>
  </si>
  <si>
    <t xml:space="preserve"> 44795.5118 </t>
  </si>
  <si>
    <t xml:space="preserve"> 39.3095 </t>
  </si>
  <si>
    <t xml:space="preserve">C:\Users\andre\Desktop\REACTIV CEFAS\Tamoxifen\Tamoxifen/20201210_Cefas_Test9_Run3/Plate 3/@20/B11_01.tif </t>
  </si>
  <si>
    <t xml:space="preserve"> 70599.9761 </t>
  </si>
  <si>
    <t xml:space="preserve"> 41.1131 </t>
  </si>
  <si>
    <t xml:space="preserve">C:\Users\andre\Desktop\REACTIV CEFAS\Tamoxifen\Tamoxifen/20201210_Cefas_Test9_Run3/Plate 3/@20/B11_02.tif </t>
  </si>
  <si>
    <t xml:space="preserve"> 40.188 </t>
  </si>
  <si>
    <t xml:space="preserve">C:\Users\andre\Desktop\REACTIV CEFAS\Tamoxifen\Tamoxifen/20201210_Cefas_Test9_Run3/Plate 3/@20/B11_03.tif </t>
  </si>
  <si>
    <t xml:space="preserve"> 62380.6161 </t>
  </si>
  <si>
    <t xml:space="preserve"> 40.4924 </t>
  </si>
  <si>
    <t xml:space="preserve">C:\Users\andre\Desktop\REACTIV CEFAS\Tamoxifen\Tamoxifen/20201210_Cefas_Test9_Run3/Plate 3/@20/B11_04.tif </t>
  </si>
  <si>
    <t xml:space="preserve"> 56562.1745 </t>
  </si>
  <si>
    <t xml:space="preserve"> 38.3893 </t>
  </si>
  <si>
    <t>C:\Users\andre\Desktop\REACTIV CEFAS\Tamoxifen\Tamoxifen/20201210_Cefas_Test9_Run3/Plate 3/@20/C11_01- exclu.tif</t>
  </si>
  <si>
    <t>C:\Users\andre\Desktop\REACTIV CEFAS\Tamoxifen\Tamoxifen/20201210_Cefas_Test9_Run3/Plate 3/@20/C11_02- exclu.tif</t>
  </si>
  <si>
    <t xml:space="preserve">C:\Users\andre\Desktop\REACTIV CEFAS\Tamoxifen\Tamoxifen/20201210_Cefas_Test9_Run3/Plate 3/@20/C11_03.tif </t>
  </si>
  <si>
    <t xml:space="preserve"> 36057.0343 </t>
  </si>
  <si>
    <t xml:space="preserve"> 40.811 </t>
  </si>
  <si>
    <t xml:space="preserve">C:\Users\andre\Desktop\REACTIV CEFAS\Tamoxifen\Tamoxifen/20201210_Cefas_Test9_Run3/Plate 3/@20/C11_04.tif </t>
  </si>
  <si>
    <t xml:space="preserve"> 48775.4124 </t>
  </si>
  <si>
    <t xml:space="preserve"> 39.9854 </t>
  </si>
  <si>
    <t xml:space="preserve">C:\Users\andre\Desktop\REACTIV CEFAS\Tamoxifen\Tamoxifen/20201210_Cefas_Test9_Run3/Plate 3/@20/D11_01.tif </t>
  </si>
  <si>
    <t xml:space="preserve"> 47823.697 </t>
  </si>
  <si>
    <t xml:space="preserve"> 37.6106 </t>
  </si>
  <si>
    <t xml:space="preserve">C:\Users\andre\Desktop\REACTIV CEFAS\Tamoxifen\Tamoxifen/20201210_Cefas_Test9_Run3/Plate 3/@20/D11_02.tif </t>
  </si>
  <si>
    <t xml:space="preserve"> 41334.7286 </t>
  </si>
  <si>
    <t xml:space="preserve"> 37.0905 </t>
  </si>
  <si>
    <t xml:space="preserve">C:\Users\andre\Desktop\REACTIV CEFAS\Tamoxifen\Tamoxifen/20201210_Cefas_Test9_Run3/Plate 3/@20/D11_03.tif </t>
  </si>
  <si>
    <t xml:space="preserve"> 54745.2633 </t>
  </si>
  <si>
    <t xml:space="preserve"> 41.1885 </t>
  </si>
  <si>
    <t xml:space="preserve">C:\Users\andre\Desktop\REACTIV CEFAS\Tamoxifen\Tamoxifen/20201210_Cefas_Test9_Run3/Plate 3/@20/D11_04.tif </t>
  </si>
  <si>
    <t xml:space="preserve"> 51868.4873 </t>
  </si>
  <si>
    <t xml:space="preserve"> 43.8632 </t>
  </si>
  <si>
    <t xml:space="preserve">C:\Users\andre\Desktop\REACTIV CEFAS\Tamoxifen\Tamoxifen/20201210_Cefas_Test9_Run3/Plate 3/@20/E11_01.tif </t>
  </si>
  <si>
    <t xml:space="preserve"> 45228.1097 </t>
  </si>
  <si>
    <t xml:space="preserve"> 35.7293 </t>
  </si>
  <si>
    <t xml:space="preserve">C:\Users\andre\Desktop\REACTIV CEFAS\Tamoxifen\Tamoxifen/20201210_Cefas_Test9_Run3/Plate 3/@20/E11_02.tif </t>
  </si>
  <si>
    <t xml:space="preserve"> 48342.8145 </t>
  </si>
  <si>
    <t xml:space="preserve"> 37.1119 </t>
  </si>
  <si>
    <t xml:space="preserve">C:\Users\andre\Desktop\REACTIV CEFAS\Tamoxifen\Tamoxifen/20201210_Cefas_Test9_Run3/Plate 3/@20/E11_03.tif </t>
  </si>
  <si>
    <t xml:space="preserve"> 48710.5227 </t>
  </si>
  <si>
    <t xml:space="preserve"> 35.8139 </t>
  </si>
  <si>
    <t xml:space="preserve">C:\Users\andre\Desktop\REACTIV CEFAS\Tamoxifen\Tamoxifen/20201210_Cefas_Test9_Run3/Plate 3/@20/E11_04.tif </t>
  </si>
  <si>
    <t xml:space="preserve"> 41053.54 </t>
  </si>
  <si>
    <t xml:space="preserve"> 36.235 </t>
  </si>
  <si>
    <t xml:space="preserve">C:\Users\andre\Desktop\REACTIV CEFAS\Tamoxifen\Tamoxifen/20201210_Cefas_Test9_Run3/Plate 3/@20/F11_01.tif </t>
  </si>
  <si>
    <t xml:space="preserve"> 57297.5909 </t>
  </si>
  <si>
    <t xml:space="preserve"> 40.5949 </t>
  </si>
  <si>
    <t xml:space="preserve">C:\Users\andre\Desktop\REACTIV CEFAS\Tamoxifen\Tamoxifen/20201210_Cefas_Test9_Run3/Plate 3/@20/F11_02.tif </t>
  </si>
  <si>
    <t xml:space="preserve"> 38.7923 </t>
  </si>
  <si>
    <t xml:space="preserve">C:\Users\andre\Desktop\REACTIV CEFAS\Tamoxifen\Tamoxifen/20201210_Cefas_Test9_Run3/Plate 3/@20/F11_03.tif </t>
  </si>
  <si>
    <t xml:space="preserve"> 41.7802 </t>
  </si>
  <si>
    <t xml:space="preserve">C:\Users\andre\Desktop\REACTIV CEFAS\Tamoxifen\Tamoxifen/20201210_Cefas_Test9_Run3/Plate 3/@20/F11_04.tif </t>
  </si>
  <si>
    <t xml:space="preserve"> 54117.9964 </t>
  </si>
  <si>
    <t xml:space="preserve"> 40.4257 </t>
  </si>
  <si>
    <t xml:space="preserve">C:\Users\andre\Desktop\REACTIV CEFAS\Tamoxifen\Tamoxifen/20201210_Cefas_Test9_Run3/Plate 3/@20/G11_01.tif </t>
  </si>
  <si>
    <t xml:space="preserve"> 84572.888 </t>
  </si>
  <si>
    <t xml:space="preserve"> 48.545 </t>
  </si>
  <si>
    <t xml:space="preserve">C:\Users\andre\Desktop\REACTIV CEFAS\Tamoxifen\Tamoxifen/20201210_Cefas_Test9_Run3/Plate 3/@20/G11_02.tif </t>
  </si>
  <si>
    <t xml:space="preserve"> 63202.5521 </t>
  </si>
  <si>
    <t xml:space="preserve"> 50.7122 </t>
  </si>
  <si>
    <t>C:\Users\andre\Desktop\REACTIV CEFAS\Tamoxifen\Tamoxifen/20201210_Cefas_Test9_Run3/Plate 3/@20/G11_03- exclu.tif</t>
  </si>
  <si>
    <t>C:\Users\andre\Desktop\REACTIV CEFAS\Tamoxifen\Tamoxifen/20201210_Cefas_Test9_Run3/Plate 3/@20/G11_04- exclu.tif</t>
  </si>
  <si>
    <t xml:space="preserve">C:\Users\andre\Desktop\REACTIV CEFAS\Tamoxifen\Tamoxifen/20201210_Cefas_Test9_Run3/Plate 3/@20/H11_01.tif </t>
  </si>
  <si>
    <t xml:space="preserve"> 4044.7903 </t>
  </si>
  <si>
    <t xml:space="preserve"> 33.107 </t>
  </si>
  <si>
    <t xml:space="preserve">C:\Users\andre\Desktop\REACTIV CEFAS\Tamoxifen\Tamoxifen/20201210_Cefas_Test9_Run3/Plate 3/@20/H11_02.tif </t>
  </si>
  <si>
    <t xml:space="preserve"> 31.6667 </t>
  </si>
  <si>
    <t xml:space="preserve">C:\Users\andre\Desktop\REACTIV CEFAS\Tamoxifen\Tamoxifen/20201210_Cefas_Test9_Run3/Plate 3/@20/H11_03.tif </t>
  </si>
  <si>
    <t xml:space="preserve"> 31.5373 </t>
  </si>
  <si>
    <t xml:space="preserve">C:\Users\andre\Desktop\REACTIV CEFAS\Tamoxifen\Tamoxifen/20201210_Cefas_Test9_Run3/Plate 3/@20/H11_04.tif </t>
  </si>
  <si>
    <t xml:space="preserve"> 17282.2858 </t>
  </si>
  <si>
    <t xml:space="preserve"> 31.9124 </t>
  </si>
  <si>
    <t xml:space="preserve">C:\Users\andre\Desktop\REACTIV CEFAS\Tamoxifen\Tamoxifen/20201210_Cefas_Test9_Run3/Plate 3/@20/ </t>
  </si>
  <si>
    <t xml:space="preserve"> 39.6772 </t>
  </si>
  <si>
    <t xml:space="preserve"> 4.8067 </t>
  </si>
  <si>
    <t xml:space="preserve"> 1846626.56 </t>
  </si>
  <si>
    <t xml:space="preserve"> 888713.017 </t>
  </si>
  <si>
    <t xml:space="preserve">C:\Users\andre\Desktop\REACTIV CEFAS\Tamoxifen\Tamoxifen/20201210_Cefas_Test9_Run3/Plate 3/@21/A12_01.tif </t>
  </si>
  <si>
    <t xml:space="preserve"> 12631.8585 </t>
  </si>
  <si>
    <t xml:space="preserve">C:\Users\andre\Desktop\REACTIV CEFAS\Tamoxifen\Tamoxifen/20201210_Cefas_Test9_Run3/Plate 3/@21/A12_02.tif </t>
  </si>
  <si>
    <t xml:space="preserve"> 32.9449 </t>
  </si>
  <si>
    <t xml:space="preserve">C:\Users\andre\Desktop\REACTIV CEFAS\Tamoxifen\Tamoxifen/20201210_Cefas_Test9_Run3/Plate 3/@21/A12_03.tif </t>
  </si>
  <si>
    <t xml:space="preserve"> 19791.3536 </t>
  </si>
  <si>
    <t xml:space="preserve"> 33.3432 </t>
  </si>
  <si>
    <t>C:\Users\andre\Desktop\REACTIV CEFAS\Tamoxifen\Tamoxifen/20201210_Cefas_Test9_Run3/Plate 3/@21/A12_04- exclu.tif</t>
  </si>
  <si>
    <t xml:space="preserve">C:\Users\andre\Desktop\REACTIV CEFAS\Tamoxifen\Tamoxifen/20201210_Cefas_Test9_Run3/Plate 3/@21/B12_01.tif </t>
  </si>
  <si>
    <t xml:space="preserve"> 20980.9978 </t>
  </si>
  <si>
    <t xml:space="preserve"> 35.9845 </t>
  </si>
  <si>
    <t xml:space="preserve">C:\Users\andre\Desktop\REACTIV CEFAS\Tamoxifen\Tamoxifen/20201210_Cefas_Test9_Run3/Plate 3/@21/B12_02.tif </t>
  </si>
  <si>
    <t xml:space="preserve"> 35.0952 </t>
  </si>
  <si>
    <t xml:space="preserve">C:\Users\andre\Desktop\REACTIV CEFAS\Tamoxifen\Tamoxifen/20201210_Cefas_Test9_Run3/Plate 3/@21/B12_03.tif </t>
  </si>
  <si>
    <t xml:space="preserve"> 26042.3931 </t>
  </si>
  <si>
    <t xml:space="preserve"> 35.3904 </t>
  </si>
  <si>
    <t xml:space="preserve">C:\Users\andre\Desktop\REACTIV CEFAS\Tamoxifen\Tamoxifen/20201210_Cefas_Test9_Run3/Plate 3/@21/B12_04.tif </t>
  </si>
  <si>
    <t xml:space="preserve"> 36230.0735 </t>
  </si>
  <si>
    <t xml:space="preserve"> 38.3278 </t>
  </si>
  <si>
    <t xml:space="preserve">C:\Users\andre\Desktop\REACTIV CEFAS\Tamoxifen\Tamoxifen/20201210_Cefas_Test9_Run3/Plate 3/@21/C12_01.tif </t>
  </si>
  <si>
    <t xml:space="preserve"> 49337.7896 </t>
  </si>
  <si>
    <t xml:space="preserve"> 37.0285 </t>
  </si>
  <si>
    <t xml:space="preserve">C:\Users\andre\Desktop\REACTIV CEFAS\Tamoxifen\Tamoxifen/20201210_Cefas_Test9_Run3/Plate 3/@21/C12_02.tif </t>
  </si>
  <si>
    <t xml:space="preserve"> 45055.0705 </t>
  </si>
  <si>
    <t xml:space="preserve"> 37.8963 </t>
  </si>
  <si>
    <t xml:space="preserve">C:\Users\andre\Desktop\REACTIV CEFAS\Tamoxifen\Tamoxifen/20201210_Cefas_Test9_Run3/Plate 3/@21/C12_03.tif </t>
  </si>
  <si>
    <t xml:space="preserve"> 34.8739 </t>
  </si>
  <si>
    <t xml:space="preserve">C:\Users\andre\Desktop\REACTIV CEFAS\Tamoxifen\Tamoxifen/20201210_Cefas_Test9_Run3/Plate 3/@21/C12_04.tif </t>
  </si>
  <si>
    <t xml:space="preserve"> 42113.4048 </t>
  </si>
  <si>
    <t xml:space="preserve"> 35.9666 </t>
  </si>
  <si>
    <t xml:space="preserve">C:\Users\andre\Desktop\REACTIV CEFAS\Tamoxifen\Tamoxifen/20201210_Cefas_Test9_Run3/Plate 3/@21/D12_01.tif </t>
  </si>
  <si>
    <t xml:space="preserve"> 13107.7161 </t>
  </si>
  <si>
    <t xml:space="preserve"> 36.6287 </t>
  </si>
  <si>
    <t xml:space="preserve">C:\Users\andre\Desktop\REACTIV CEFAS\Tamoxifen\Tamoxifen/20201210_Cefas_Test9_Run3/Plate 3/@21/D12_02.tif </t>
  </si>
  <si>
    <t xml:space="preserve"> 17087.6168 </t>
  </si>
  <si>
    <t xml:space="preserve"> 36.6633 </t>
  </si>
  <si>
    <t xml:space="preserve">C:\Users\andre\Desktop\REACTIV CEFAS\Tamoxifen\Tamoxifen/20201210_Cefas_Test9_Run3/Plate 3/@21/D12_03.tif </t>
  </si>
  <si>
    <t xml:space="preserve"> 36.5931 </t>
  </si>
  <si>
    <t xml:space="preserve">C:\Users\andre\Desktop\REACTIV CEFAS\Tamoxifen\Tamoxifen/20201210_Cefas_Test9_Run3/Plate 3/@21/D12_04.tif </t>
  </si>
  <si>
    <t xml:space="preserve"> 20959.3679 </t>
  </si>
  <si>
    <t xml:space="preserve"> 36.7296 </t>
  </si>
  <si>
    <t xml:space="preserve">C:\Users\andre\Desktop\REACTIV CEFAS\Tamoxifen\Tamoxifen/20201210_Cefas_Test9_Run3/Plate 3/@21/E12_01.tif </t>
  </si>
  <si>
    <t xml:space="preserve"> 57665.2991 </t>
  </si>
  <si>
    <t xml:space="preserve"> 37.5716 </t>
  </si>
  <si>
    <t xml:space="preserve">C:\Users\andre\Desktop\REACTIV CEFAS\Tamoxifen\Tamoxifen/20201210_Cefas_Test9_Run3/Plate 3/@21/E12_02.tif </t>
  </si>
  <si>
    <t xml:space="preserve"> 46569.1631 </t>
  </si>
  <si>
    <t xml:space="preserve"> 35.0873 </t>
  </si>
  <si>
    <t xml:space="preserve">C:\Users\andre\Desktop\REACTIV CEFAS\Tamoxifen\Tamoxifen/20201210_Cefas_Test9_Run3/Plate 3/@21/E12_03.tif </t>
  </si>
  <si>
    <t xml:space="preserve"> 37.4774 </t>
  </si>
  <si>
    <t xml:space="preserve">C:\Users\andre\Desktop\REACTIV CEFAS\Tamoxifen\Tamoxifen/20201210_Cefas_Test9_Run3/Plate 3/@21/E12_04.tif </t>
  </si>
  <si>
    <t xml:space="preserve"> 43432.8284 </t>
  </si>
  <si>
    <t xml:space="preserve"> 34.9552 </t>
  </si>
  <si>
    <t xml:space="preserve">C:\Users\andre\Desktop\REACTIV CEFAS\Tamoxifen\Tamoxifen/20201210_Cefas_Test9_Run3/Plate 3/@21/F12_01.tif </t>
  </si>
  <si>
    <t xml:space="preserve"> 38.0142 </t>
  </si>
  <si>
    <t xml:space="preserve">C:\Users\andre\Desktop\REACTIV CEFAS\Tamoxifen\Tamoxifen/20201210_Cefas_Test9_Run3/Plate 3/@21/F12_02.tif </t>
  </si>
  <si>
    <t xml:space="preserve"> 38.1696 </t>
  </si>
  <si>
    <t xml:space="preserve">C:\Users\andre\Desktop\REACTIV CEFAS\Tamoxifen\Tamoxifen/20201210_Cefas_Test9_Run3/Plate 3/@21/F12_03.tif </t>
  </si>
  <si>
    <t xml:space="preserve"> 36.4891 </t>
  </si>
  <si>
    <t xml:space="preserve">C:\Users\andre\Desktop\REACTIV CEFAS\Tamoxifen\Tamoxifen/20201210_Cefas_Test9_Run3/Plate 3/@21/F12_04.tif </t>
  </si>
  <si>
    <t xml:space="preserve"> 9603.6732 </t>
  </si>
  <si>
    <t xml:space="preserve"> 36.8176 </t>
  </si>
  <si>
    <t xml:space="preserve">C:\Users\andre\Desktop\REACTIV CEFAS\Tamoxifen\Tamoxifen/20201210_Cefas_Test9_Run3/Plate 3/@21/G12_01.tif </t>
  </si>
  <si>
    <t xml:space="preserve"> 26172.1725 </t>
  </si>
  <si>
    <t xml:space="preserve"> 41.8603 </t>
  </si>
  <si>
    <t xml:space="preserve">C:\Users\andre\Desktop\REACTIV CEFAS\Tamoxifen\Tamoxifen/20201210_Cefas_Test9_Run3/Plate 3/@21/G12_02.tif </t>
  </si>
  <si>
    <t xml:space="preserve"> 24182.2222 </t>
  </si>
  <si>
    <t xml:space="preserve"> 39.9517 </t>
  </si>
  <si>
    <t>C:\Users\andre\Desktop\REACTIV CEFAS\Tamoxifen\Tamoxifen/20201210_Cefas_Test9_Run3/Plate 3/@21/G12_03- exclu.tif</t>
  </si>
  <si>
    <t xml:space="preserve">C:\Users\andre\Desktop\REACTIV CEFAS\Tamoxifen\Tamoxifen/20201210_Cefas_Test9_Run3/Plate 3/@21/G12_04.tif </t>
  </si>
  <si>
    <t xml:space="preserve"> 22992.578 </t>
  </si>
  <si>
    <t xml:space="preserve"> 38.4073 </t>
  </si>
  <si>
    <t xml:space="preserve">C:\Users\andre\Desktop\REACTIV CEFAS\Tamoxifen\Tamoxifen/20201210_Cefas_Test9_Run3/Plate 3/@21/H12_01.tif </t>
  </si>
  <si>
    <t xml:space="preserve"> 36.2851 </t>
  </si>
  <si>
    <t xml:space="preserve">C:\Users\andre\Desktop\REACTIV CEFAS\Tamoxifen\Tamoxifen/20201210_Cefas_Test9_Run3/Plate 3/@21/H12_02.tif </t>
  </si>
  <si>
    <t xml:space="preserve"> 55221.121 </t>
  </si>
  <si>
    <t xml:space="preserve"> 35.3651 </t>
  </si>
  <si>
    <t xml:space="preserve">C:\Users\andre\Desktop\REACTIV CEFAS\Tamoxifen\Tamoxifen/20201210_Cefas_Test9_Run3/Plate 3/@21/H12_03.tif </t>
  </si>
  <si>
    <t xml:space="preserve"> 57232.7012 </t>
  </si>
  <si>
    <t xml:space="preserve"> 35.4872 </t>
  </si>
  <si>
    <t xml:space="preserve">C:\Users\andre\Desktop\REACTIV CEFAS\Tamoxifen\Tamoxifen/20201210_Cefas_Test9_Run3/Plate 3/@21/H12_04.tif </t>
  </si>
  <si>
    <t xml:space="preserve"> 64197.5273 </t>
  </si>
  <si>
    <t xml:space="preserve"> 37.1715 </t>
  </si>
  <si>
    <t xml:space="preserve">C:\Users\andre\Desktop\REACTIV CEFAS\Tamoxifen\Tamoxifen/20201210_Cefas_Test9_Run3/Plate 3/@21/ </t>
  </si>
  <si>
    <t xml:space="preserve"> 36.794 </t>
  </si>
  <si>
    <t xml:space="preserve"> 2.1545 </t>
  </si>
  <si>
    <t xml:space="preserve"> 1175194.81 </t>
  </si>
  <si>
    <t xml:space="preserve"> 654553.081 </t>
  </si>
  <si>
    <t xml:space="preserve">C:\Users\andre\Desktop\REACTIV CEFAS\Tamoxifen\Tamoxifen/20201210_Cefas_Test9_Run3/Plate 3/@8/A2_01.tif </t>
  </si>
  <si>
    <t xml:space="preserve"> 35.5425 </t>
  </si>
  <si>
    <t>C:\Users\andre\Desktop\REACTIV CEFAS\Tamoxifen\Tamoxifen/20201210_Cefas_Test9_Run3/Plate 3/@8/A2_02- exclu.tif</t>
  </si>
  <si>
    <t>C:\Users\andre\Desktop\REACTIV CEFAS\Tamoxifen\Tamoxifen/20201210_Cefas_Test9_Run3/Plate 3/@8/A2_03- exclu.tif</t>
  </si>
  <si>
    <t xml:space="preserve">C:\Users\andre\Desktop\REACTIV CEFAS\Tamoxifen\Tamoxifen/20201210_Cefas_Test9_Run3/Plate 3/@8/A2_04.tif </t>
  </si>
  <si>
    <t xml:space="preserve"> 34.456 </t>
  </si>
  <si>
    <t xml:space="preserve">C:\Users\andre\Desktop\REACTIV CEFAS\Tamoxifen\Tamoxifen/20201210_Cefas_Test9_Run3/Plate 3/@8/B2_01.tif </t>
  </si>
  <si>
    <t xml:space="preserve"> 34.5709 </t>
  </si>
  <si>
    <t xml:space="preserve">C:\Users\andre\Desktop\REACTIV CEFAS\Tamoxifen\Tamoxifen/20201210_Cefas_Test9_Run3/Plate 3/@8/B2_02.tif </t>
  </si>
  <si>
    <t xml:space="preserve"> 35.738 </t>
  </si>
  <si>
    <t xml:space="preserve">C:\Users\andre\Desktop\REACTIV CEFAS\Tamoxifen\Tamoxifen/20201210_Cefas_Test9_Run3/Plate 3/@8/B2_03.tif </t>
  </si>
  <si>
    <t xml:space="preserve"> 3958.2707 </t>
  </si>
  <si>
    <t xml:space="preserve"> 34.7541 </t>
  </si>
  <si>
    <t xml:space="preserve">C:\Users\andre\Desktop\REACTIV CEFAS\Tamoxifen\Tamoxifen/20201210_Cefas_Test9_Run3/Plate 3/@8/B2_04.tif </t>
  </si>
  <si>
    <t xml:space="preserve"> 4823.4665 </t>
  </si>
  <si>
    <t xml:space="preserve"> 35.3004 </t>
  </si>
  <si>
    <t xml:space="preserve">C:\Users\andre\Desktop\REACTIV CEFAS\Tamoxifen\Tamoxifen/20201210_Cefas_Test9_Run3/Plate 3/@8/C2_01.tif </t>
  </si>
  <si>
    <t xml:space="preserve"> 6142.8901 </t>
  </si>
  <si>
    <t xml:space="preserve"> 35.0246 </t>
  </si>
  <si>
    <t xml:space="preserve">C:\Users\andre\Desktop\REACTIV CEFAS\Tamoxifen\Tamoxifen/20201210_Cefas_Test9_Run3/Plate 3/@8/C2_02.tif </t>
  </si>
  <si>
    <t xml:space="preserve"> 35.5417 </t>
  </si>
  <si>
    <t xml:space="preserve">C:\Users\andre\Desktop\REACTIV CEFAS\Tamoxifen\Tamoxifen/20201210_Cefas_Test9_Run3/Plate 3/@8/C2_03.tif </t>
  </si>
  <si>
    <t xml:space="preserve"> 34.672 </t>
  </si>
  <si>
    <t xml:space="preserve">C:\Users\andre\Desktop\REACTIV CEFAS\Tamoxifen\Tamoxifen/20201210_Cefas_Test9_Run3/Plate 3/@8/C2_04.tif </t>
  </si>
  <si>
    <t xml:space="preserve">C:\Users\andre\Desktop\REACTIV CEFAS\Tamoxifen\Tamoxifen/20201210_Cefas_Test9_Run3/Plate 3/@8/D2_01.tif </t>
  </si>
  <si>
    <t xml:space="preserve"> 6705.2673 </t>
  </si>
  <si>
    <t xml:space="preserve"> 34.4032 </t>
  </si>
  <si>
    <t>C:\Users\andre\Desktop\REACTIV CEFAS\Tamoxifen\Tamoxifen/20201210_Cefas_Test9_Run3/Plate 3/@8/D2_02- exclu.tif</t>
  </si>
  <si>
    <t xml:space="preserve">C:\Users\andre\Desktop\REACTIV CEFAS\Tamoxifen\Tamoxifen/20201210_Cefas_Test9_Run3/Plate 3/@8/D2_03.tif </t>
  </si>
  <si>
    <t xml:space="preserve"> 8998.0362 </t>
  </si>
  <si>
    <t xml:space="preserve"> 34.125 </t>
  </si>
  <si>
    <t xml:space="preserve">C:\Users\andre\Desktop\REACTIV CEFAS\Tamoxifen\Tamoxifen/20201210_Cefas_Test9_Run3/Plate 3/@8/D2_04.tif </t>
  </si>
  <si>
    <t xml:space="preserve"> 9971.3814 </t>
  </si>
  <si>
    <t xml:space="preserve"> 35.5531 </t>
  </si>
  <si>
    <t xml:space="preserve">C:\Users\andre\Desktop\REACTIV CEFAS\Tamoxifen\Tamoxifen/20201210_Cefas_Test9_Run3/Plate 3/@8/E2_01.tif </t>
  </si>
  <si>
    <t xml:space="preserve"> 8370.7692 </t>
  </si>
  <si>
    <t xml:space="preserve"> 41.1266 </t>
  </si>
  <si>
    <t xml:space="preserve">C:\Users\andre\Desktop\REACTIV CEFAS\Tamoxifen\Tamoxifen/20201210_Cefas_Test9_Run3/Plate 3/@8/E2_02.tif </t>
  </si>
  <si>
    <t xml:space="preserve"> 10728.4277 </t>
  </si>
  <si>
    <t xml:space="preserve"> 44.3367 </t>
  </si>
  <si>
    <t xml:space="preserve">C:\Users\andre\Desktop\REACTIV CEFAS\Tamoxifen\Tamoxifen/20201210_Cefas_Test9_Run3/Plate 3/@8/E2_03.tif </t>
  </si>
  <si>
    <t xml:space="preserve"> 42.203 </t>
  </si>
  <si>
    <t xml:space="preserve">C:\Users\andre\Desktop\REACTIV CEFAS\Tamoxifen\Tamoxifen/20201210_Cefas_Test9_Run3/Plate 3/@8/E2_04.tif </t>
  </si>
  <si>
    <t xml:space="preserve"> 8262.6197 </t>
  </si>
  <si>
    <t xml:space="preserve"> 43.6754 </t>
  </si>
  <si>
    <t xml:space="preserve">C:\Users\andre\Desktop\REACTIV CEFAS\Tamoxifen\Tamoxifen/20201210_Cefas_Test9_Run3/Plate 3/@8/F2_01.tif </t>
  </si>
  <si>
    <t xml:space="preserve"> 7894.9115 </t>
  </si>
  <si>
    <t xml:space="preserve"> 36.737 </t>
  </si>
  <si>
    <t xml:space="preserve">C:\Users\andre\Desktop\REACTIV CEFAS\Tamoxifen\Tamoxifen/20201210_Cefas_Test9_Run3/Plate 3/@8/F2_02.tif </t>
  </si>
  <si>
    <t xml:space="preserve"> 37.1308 </t>
  </si>
  <si>
    <t xml:space="preserve">C:\Users\andre\Desktop\REACTIV CEFAS\Tamoxifen\Tamoxifen/20201210_Cefas_Test9_Run3/Plate 3/@8/F2_03.tif </t>
  </si>
  <si>
    <t xml:space="preserve"> 8435.6589 </t>
  </si>
  <si>
    <t xml:space="preserve"> 36.741 </t>
  </si>
  <si>
    <t xml:space="preserve">C:\Users\andre\Desktop\REACTIV CEFAS\Tamoxifen\Tamoxifen/20201210_Cefas_Test9_Run3/Plate 3/@8/F2_04.tif </t>
  </si>
  <si>
    <t xml:space="preserve"> 5104.6551 </t>
  </si>
  <si>
    <t xml:space="preserve"> 34.7881 </t>
  </si>
  <si>
    <t xml:space="preserve">C:\Users\andre\Desktop\REACTIV CEFAS\Tamoxifen\Tamoxifen/20201210_Cefas_Test9_Run3/Plate 3/@8/G2_01.tif </t>
  </si>
  <si>
    <t xml:space="preserve"> 35.8182 </t>
  </si>
  <si>
    <t xml:space="preserve">C:\Users\andre\Desktop\REACTIV CEFAS\Tamoxifen\Tamoxifen/20201210_Cefas_Test9_Run3/Plate 3/@8/G2_02.tif </t>
  </si>
  <si>
    <t xml:space="preserve"> 40.1523 </t>
  </si>
  <si>
    <t xml:space="preserve">C:\Users\andre\Desktop\REACTIV CEFAS\Tamoxifen\Tamoxifen/20201210_Cefas_Test9_Run3/Plate 3/@8/G2_03.tif </t>
  </si>
  <si>
    <t xml:space="preserve"> 37.0577 </t>
  </si>
  <si>
    <t xml:space="preserve">C:\Users\andre\Desktop\REACTIV CEFAS\Tamoxifen\Tamoxifen/20201210_Cefas_Test9_Run3/Plate 3/@8/G2_04.tif </t>
  </si>
  <si>
    <t xml:space="preserve"> 40.7358 </t>
  </si>
  <si>
    <t xml:space="preserve">C:\Users\andre\Desktop\REACTIV CEFAS\Tamoxifen\Tamoxifen/20201210_Cefas_Test9_Run3/Plate 3/@8/H2_01.tif </t>
  </si>
  <si>
    <t xml:space="preserve"> 43.2093 </t>
  </si>
  <si>
    <t xml:space="preserve">C:\Users\andre\Desktop\REACTIV CEFAS\Tamoxifen\Tamoxifen/20201210_Cefas_Test9_Run3/Plate 3/@8/H2_02.tif </t>
  </si>
  <si>
    <t xml:space="preserve"> 37.5238 </t>
  </si>
  <si>
    <t xml:space="preserve">C:\Users\andre\Desktop\REACTIV CEFAS\Tamoxifen\Tamoxifen/20201210_Cefas_Test9_Run3/Plate 3/@8/H2_03.tif </t>
  </si>
  <si>
    <t xml:space="preserve"> 6467.3385 </t>
  </si>
  <si>
    <t xml:space="preserve"> 37.5753 </t>
  </si>
  <si>
    <t xml:space="preserve">C:\Users\andre\Desktop\REACTIV CEFAS\Tamoxifen\Tamoxifen/20201210_Cefas_Test9_Run3/Plate 3/@8/H2_04.tif </t>
  </si>
  <si>
    <t xml:space="preserve"> 6964.8261 </t>
  </si>
  <si>
    <t xml:space="preserve"> 42.5155 </t>
  </si>
  <si>
    <t xml:space="preserve">C:\Users\andre\Desktop\REACTIV CEFAS\Tamoxifen\Tamoxifen/20201210_Cefas_Test9_Run3/Plate 3/@8/ </t>
  </si>
  <si>
    <t xml:space="preserve"> 37.8092 </t>
  </si>
  <si>
    <t xml:space="preserve"> 4.1212 </t>
  </si>
  <si>
    <t xml:space="preserve"> 267721.312 </t>
  </si>
  <si>
    <t xml:space="preserve"> 146445.869 </t>
  </si>
  <si>
    <t xml:space="preserve">C:\Users\andre\Desktop\REACTIV CEFAS\Tamoxifen\Tamoxifen/20201210_Cefas_Test9_Run3/Plate 3/@9/A3_01.tif </t>
  </si>
  <si>
    <t xml:space="preserve"> 36.1416 </t>
  </si>
  <si>
    <t xml:space="preserve">C:\Users\andre\Desktop\REACTIV CEFAS\Tamoxifen\Tamoxifen/20201210_Cefas_Test9_Run3/Plate 3/@9/A3_02.tif </t>
  </si>
  <si>
    <t xml:space="preserve"> 32.6154 </t>
  </si>
  <si>
    <t xml:space="preserve">C:\Users\andre\Desktop\REACTIV CEFAS\Tamoxifen\Tamoxifen/20201210_Cefas_Test9_Run3/Plate 3/@9/A3_03.tif </t>
  </si>
  <si>
    <t xml:space="preserve"> 14427.1397 </t>
  </si>
  <si>
    <t xml:space="preserve"> 48.7826 </t>
  </si>
  <si>
    <t xml:space="preserve">C:\Users\andre\Desktop\REACTIV CEFAS\Tamoxifen\Tamoxifen/20201210_Cefas_Test9_Run3/Plate 3/@9/A3_04.tif </t>
  </si>
  <si>
    <t xml:space="preserve"> 1860.1709 </t>
  </si>
  <si>
    <t xml:space="preserve"> 34.7907 </t>
  </si>
  <si>
    <t xml:space="preserve">C:\Users\andre\Desktop\REACTIV CEFAS\Tamoxifen\Tamoxifen/20201210_Cefas_Test9_Run3/Plate 3/@9/B3_01.tif </t>
  </si>
  <si>
    <t xml:space="preserve"> 35.1812 </t>
  </si>
  <si>
    <t xml:space="preserve">C:\Users\andre\Desktop\REACTIV CEFAS\Tamoxifen\Tamoxifen/20201210_Cefas_Test9_Run3/Plate 3/@9/B3_02.tif </t>
  </si>
  <si>
    <t xml:space="preserve"> 31.8333 </t>
  </si>
  <si>
    <t xml:space="preserve">C:\Users\andre\Desktop\REACTIV CEFAS\Tamoxifen\Tamoxifen/20201210_Cefas_Test9_Run3/Plate 3/@9/B3_03.tif </t>
  </si>
  <si>
    <t xml:space="preserve"> 35.6618 </t>
  </si>
  <si>
    <t xml:space="preserve">C:\Users\andre\Desktop\REACTIV CEFAS\Tamoxifen\Tamoxifen/20201210_Cefas_Test9_Run3/Plate 3/@9/B3_04.tif </t>
  </si>
  <si>
    <t xml:space="preserve"> 1449.2029 </t>
  </si>
  <si>
    <t xml:space="preserve"> 32.6866 </t>
  </si>
  <si>
    <t xml:space="preserve">C:\Users\andre\Desktop\REACTIV CEFAS\Tamoxifen\Tamoxifen/20201210_Cefas_Test9_Run3/Plate 3/@9/C3_01.tif </t>
  </si>
  <si>
    <t xml:space="preserve"> 86.5196 </t>
  </si>
  <si>
    <t xml:space="preserve">C:\Users\andre\Desktop\REACTIV CEFAS\Tamoxifen\Tamoxifen/20201210_Cefas_Test9_Run3/Plate 3/@9/C3_02.tif </t>
  </si>
  <si>
    <t xml:space="preserve"> 47.286 </t>
  </si>
  <si>
    <t xml:space="preserve">C:\Users\andre\Desktop\REACTIV CEFAS\Tamoxifen\Tamoxifen/20201210_Cefas_Test9_Run3/Plate 3/@9/C3_03.tif </t>
  </si>
  <si>
    <t xml:space="preserve"> 11420.5844 </t>
  </si>
  <si>
    <t xml:space="preserve"> 41.6534 </t>
  </si>
  <si>
    <t xml:space="preserve">C:\Users\andre\Desktop\REACTIV CEFAS\Tamoxifen\Tamoxifen/20201210_Cefas_Test9_Run3/Plate 3/@9/C3_04.tif </t>
  </si>
  <si>
    <t xml:space="preserve"> 44.7429 </t>
  </si>
  <si>
    <t xml:space="preserve">C:\Users\andre\Desktop\REACTIV CEFAS\Tamoxifen\Tamoxifen/20201210_Cefas_Test9_Run3/Plate 3/@9/D3_01.tif </t>
  </si>
  <si>
    <t xml:space="preserve"> 1189.6442 </t>
  </si>
  <si>
    <t xml:space="preserve"> 31.5455 </t>
  </si>
  <si>
    <t xml:space="preserve">C:\Users\andre\Desktop\REACTIV CEFAS\Tamoxifen\Tamoxifen/20201210_Cefas_Test9_Run3/Plate 3/@9/D3_02.tif </t>
  </si>
  <si>
    <t xml:space="preserve"> 2552.3276 </t>
  </si>
  <si>
    <t xml:space="preserve"> 33.2542 </t>
  </si>
  <si>
    <t xml:space="preserve">C:\Users\andre\Desktop\REACTIV CEFAS\Tamoxifen\Tamoxifen/20201210_Cefas_Test9_Run3/Plate 3/@9/D3_03.tif </t>
  </si>
  <si>
    <t xml:space="preserve"> 33.9811 </t>
  </si>
  <si>
    <t xml:space="preserve">C:\Users\andre\Desktop\REACTIV CEFAS\Tamoxifen\Tamoxifen/20201210_Cefas_Test9_Run3/Plate 3/@9/D3_04.tif </t>
  </si>
  <si>
    <t xml:space="preserve"> 30.75 </t>
  </si>
  <si>
    <t xml:space="preserve">C:\Users\andre\Desktop\REACTIV CEFAS\Tamoxifen\Tamoxifen/20201210_Cefas_Test9_Run3/Plate 3/@9/E3_01.tif </t>
  </si>
  <si>
    <t xml:space="preserve"> 31.7255 </t>
  </si>
  <si>
    <t xml:space="preserve">C:\Users\andre\Desktop\REACTIV CEFAS\Tamoxifen\Tamoxifen/20201210_Cefas_Test9_Run3/Plate 3/@9/E3_02.tif </t>
  </si>
  <si>
    <t xml:space="preserve">C:\Users\andre\Desktop\REACTIV CEFAS\Tamoxifen\Tamoxifen/20201210_Cefas_Test9_Run3/Plate 3/@9/E3_03.tif </t>
  </si>
  <si>
    <t xml:space="preserve"> 30.3333 </t>
  </si>
  <si>
    <t xml:space="preserve">C:\Users\andre\Desktop\REACTIV CEFAS\Tamoxifen\Tamoxifen/20201210_Cefas_Test9_Run3/Plate 3/@9/E3_04.tif </t>
  </si>
  <si>
    <t xml:space="preserve">C:\Users\andre\Desktop\REACTIV CEFAS\Tamoxifen\Tamoxifen/20201210_Cefas_Test9_Run3/Plate 3/@9/F3_01.tif </t>
  </si>
  <si>
    <t xml:space="preserve"> 7094.6054 </t>
  </si>
  <si>
    <t xml:space="preserve"> 40.5305 </t>
  </si>
  <si>
    <t xml:space="preserve">C:\Users\andre\Desktop\REACTIV CEFAS\Tamoxifen\Tamoxifen/20201210_Cefas_Test9_Run3/Plate 3/@9/F3_02.tif </t>
  </si>
  <si>
    <t xml:space="preserve"> 7743.5023 </t>
  </si>
  <si>
    <t xml:space="preserve"> 40.3631 </t>
  </si>
  <si>
    <t xml:space="preserve">C:\Users\andre\Desktop\REACTIV CEFAS\Tamoxifen\Tamoxifen/20201210_Cefas_Test9_Run3/Plate 3/@9/F3_03.tif </t>
  </si>
  <si>
    <t xml:space="preserve"> 10339.0896 </t>
  </si>
  <si>
    <t xml:space="preserve"> 44.613 </t>
  </si>
  <si>
    <t xml:space="preserve">C:\Users\andre\Desktop\REACTIV CEFAS\Tamoxifen\Tamoxifen/20201210_Cefas_Test9_Run3/Plate 3/@9/F3_04.tif </t>
  </si>
  <si>
    <t xml:space="preserve"> 35.0678 </t>
  </si>
  <si>
    <t>C:\Users\andre\Desktop\REACTIV CEFAS\Tamoxifen\Tamoxifen/20201210_Cefas_Test9_Run3/Plate 3/@9/G3_01- exclu.tif</t>
  </si>
  <si>
    <t>C:\Users\andre\Desktop\REACTIV CEFAS\Tamoxifen\Tamoxifen/20201210_Cefas_Test9_Run3/Plate 3/@9/G3_02- exclu.tif</t>
  </si>
  <si>
    <t xml:space="preserve">C:\Users\andre\Desktop\REACTIV CEFAS\Tamoxifen\Tamoxifen/20201210_Cefas_Test9_Run3/Plate 3/@9/G3_03.tif </t>
  </si>
  <si>
    <t xml:space="preserve">C:\Users\andre\Desktop\REACTIV CEFAS\Tamoxifen\Tamoxifen/20201210_Cefas_Test9_Run3/Plate 3/@9/G3_04.tif </t>
  </si>
  <si>
    <t xml:space="preserve"> 12004.5915 </t>
  </si>
  <si>
    <t xml:space="preserve"> 47.1586 </t>
  </si>
  <si>
    <t xml:space="preserve">C:\Users\andre\Desktop\REACTIV CEFAS\Tamoxifen\Tamoxifen/20201210_Cefas_Test9_Run3/Plate 3/@9/H3_01.tif </t>
  </si>
  <si>
    <t xml:space="preserve"> 39.4208 </t>
  </si>
  <si>
    <t xml:space="preserve">C:\Users\andre\Desktop\REACTIV CEFAS\Tamoxifen\Tamoxifen/20201210_Cefas_Test9_Run3/Plate 3/@9/H3_02.tif </t>
  </si>
  <si>
    <t xml:space="preserve"> 6099.6303 </t>
  </si>
  <si>
    <t xml:space="preserve"> 39.0248 </t>
  </si>
  <si>
    <t xml:space="preserve">C:\Users\andre\Desktop\REACTIV CEFAS\Tamoxifen\Tamoxifen/20201210_Cefas_Test9_Run3/Plate 3/@9/H3_03.tif </t>
  </si>
  <si>
    <t xml:space="preserve"> 39.3278 </t>
  </si>
  <si>
    <t xml:space="preserve">C:\Users\andre\Desktop\REACTIV CEFAS\Tamoxifen\Tamoxifen/20201210_Cefas_Test9_Run3/Plate 3/@9/H3_04.tif </t>
  </si>
  <si>
    <t xml:space="preserve"> 6013.1107 </t>
  </si>
  <si>
    <t xml:space="preserve"> 38.7122 </t>
  </si>
  <si>
    <t xml:space="preserve">C:\Users\andre\Desktop\REACTIV CEFAS\Tamoxifen\Tamoxifen/20201210_Cefas_Test9_Run3/Plate 3/@9/ </t>
  </si>
  <si>
    <t xml:space="preserve"> 36.8981 </t>
  </si>
  <si>
    <t xml:space="preserve"> 9.0973 </t>
  </si>
  <si>
    <t xml:space="preserve"> 242298.094 </t>
  </si>
  <si>
    <t xml:space="preserve"> 244650.547 </t>
  </si>
  <si>
    <t xml:space="preserve">C:\Users\andre\Desktop\REACTIV CEFAS\Tamoxifen\Tamoxifen/20201219_Cefas_Test10_Run2/Plate 1/@1/A10_01.tif </t>
  </si>
  <si>
    <t xml:space="preserve"> 38.6272 </t>
  </si>
  <si>
    <t xml:space="preserve">C:\Users\andre\Desktop\REACTIV CEFAS\Tamoxifen\Tamoxifen/20201219_Cefas_Test10_Run2/Plate 1/@1/A10_02.tif </t>
  </si>
  <si>
    <t xml:space="preserve"> 37.3179 </t>
  </si>
  <si>
    <t xml:space="preserve">C:\Users\andre\Desktop\REACTIV CEFAS\Tamoxifen\Tamoxifen/20201219_Cefas_Test10_Run2/Plate 1/@1/A10_03.tif </t>
  </si>
  <si>
    <t xml:space="preserve"> 9452.264 </t>
  </si>
  <si>
    <t xml:space="preserve"> 35.7002 </t>
  </si>
  <si>
    <t xml:space="preserve">C:\Users\andre\Desktop\REACTIV CEFAS\Tamoxifen\Tamoxifen/20201219_Cefas_Test10_Run2/Plate 1/@1/A10_04.tif </t>
  </si>
  <si>
    <t xml:space="preserve"> 648.8968 </t>
  </si>
  <si>
    <t xml:space="preserve"> 33.5333 </t>
  </si>
  <si>
    <t xml:space="preserve">C:\Users\andre\Desktop\REACTIV CEFAS\Tamoxifen\Tamoxifen/20201219_Cefas_Test10_Run2/Plate 1/@1/B10_01.tif </t>
  </si>
  <si>
    <t xml:space="preserve"> 9495.5237 </t>
  </si>
  <si>
    <t xml:space="preserve"> 41.9385 </t>
  </si>
  <si>
    <t xml:space="preserve">C:\Users\andre\Desktop\REACTIV CEFAS\Tamoxifen\Tamoxifen/20201219_Cefas_Test10_Run2/Plate 1/@1/B10_02.tif </t>
  </si>
  <si>
    <t xml:space="preserve"> 8781.7372 </t>
  </si>
  <si>
    <t xml:space="preserve"> 41.3768 </t>
  </si>
  <si>
    <t xml:space="preserve">C:\Users\andre\Desktop\REACTIV CEFAS\Tamoxifen\Tamoxifen/20201219_Cefas_Test10_Run2/Plate 1/@1/B10_03.tif </t>
  </si>
  <si>
    <t xml:space="preserve"> 42.0698 </t>
  </si>
  <si>
    <t xml:space="preserve">C:\Users\andre\Desktop\REACTIV CEFAS\Tamoxifen\Tamoxifen/20201219_Cefas_Test10_Run2/Plate 1/@1/B10_04.tif </t>
  </si>
  <si>
    <t xml:space="preserve">C:\Users\andre\Desktop\REACTIV CEFAS\Tamoxifen\Tamoxifen/20201219_Cefas_Test10_Run2/Plate 1/@1/C10_01.tif </t>
  </si>
  <si>
    <t xml:space="preserve"> 38.4903 </t>
  </si>
  <si>
    <t xml:space="preserve">C:\Users\andre\Desktop\REACTIV CEFAS\Tamoxifen\Tamoxifen/20201219_Cefas_Test10_Run2/Plate 1/@1/C10_02.tif </t>
  </si>
  <si>
    <t xml:space="preserve"> 36.7804 </t>
  </si>
  <si>
    <t xml:space="preserve">C:\Users\andre\Desktop\REACTIV CEFAS\Tamoxifen\Tamoxifen/20201219_Cefas_Test10_Run2/Plate 1/@1/C10_03.tif </t>
  </si>
  <si>
    <t xml:space="preserve"> 36.7752 </t>
  </si>
  <si>
    <t xml:space="preserve">C:\Users\andre\Desktop\REACTIV CEFAS\Tamoxifen\Tamoxifen/20201219_Cefas_Test10_Run2/Plate 1/@1/C10_04.tif </t>
  </si>
  <si>
    <t xml:space="preserve"> 38.4106 </t>
  </si>
  <si>
    <t>C:\Users\andre\Desktop\REACTIV CEFAS\Tamoxifen\Tamoxifen/20201219_Cefas_Test10_Run2/Plate 1/@1/D10_01- exclu.tif</t>
  </si>
  <si>
    <t xml:space="preserve">C:\Users\andre\Desktop\REACTIV CEFAS\Tamoxifen\Tamoxifen/20201219_Cefas_Test10_Run2/Plate 1/@1/D10_02.tif </t>
  </si>
  <si>
    <t xml:space="preserve"> 11853.1823 </t>
  </si>
  <si>
    <t xml:space="preserve"> 41.1989 </t>
  </si>
  <si>
    <t xml:space="preserve">C:\Users\andre\Desktop\REACTIV CEFAS\Tamoxifen\Tamoxifen/20201219_Cefas_Test10_Run2/Plate 1/@1/D10_03.tif </t>
  </si>
  <si>
    <t xml:space="preserve"> 37.1426 </t>
  </si>
  <si>
    <t xml:space="preserve">C:\Users\andre\Desktop\REACTIV CEFAS\Tamoxifen\Tamoxifen/20201219_Cefas_Test10_Run2/Plate 1/@1/D10_04.tif </t>
  </si>
  <si>
    <t xml:space="preserve"> 43.5802 </t>
  </si>
  <si>
    <t xml:space="preserve">C:\Users\andre\Desktop\REACTIV CEFAS\Tamoxifen\Tamoxifen/20201219_Cefas_Test10_Run2/Plate 1/@1/E10_01.tif </t>
  </si>
  <si>
    <t xml:space="preserve"> 8414.029 </t>
  </si>
  <si>
    <t xml:space="preserve"> 43.2211 </t>
  </si>
  <si>
    <t xml:space="preserve">C:\Users\andre\Desktop\REACTIV CEFAS\Tamoxifen\Tamoxifen/20201219_Cefas_Test10_Run2/Plate 1/@1/E10_02.tif </t>
  </si>
  <si>
    <t xml:space="preserve"> 40.7208 </t>
  </si>
  <si>
    <t xml:space="preserve">C:\Users\andre\Desktop\REACTIV CEFAS\Tamoxifen\Tamoxifen/20201219_Cefas_Test10_Run2/Plate 1/@1/E10_03.tif </t>
  </si>
  <si>
    <t xml:space="preserve"> 5904.9612 </t>
  </si>
  <si>
    <t xml:space="preserve"> 40.8755 </t>
  </si>
  <si>
    <t xml:space="preserve">C:\Users\andre\Desktop\REACTIV CEFAS\Tamoxifen\Tamoxifen/20201219_Cefas_Test10_Run2/Plate 1/@1/E10_04.tif </t>
  </si>
  <si>
    <t xml:space="preserve"> 42.0848 </t>
  </si>
  <si>
    <t xml:space="preserve">C:\Users\andre\Desktop\REACTIV CEFAS\Tamoxifen\Tamoxifen/20201219_Cefas_Test10_Run2/Plate 1/@1/F10_01.tif </t>
  </si>
  <si>
    <t xml:space="preserve"> 14621.8088 </t>
  </si>
  <si>
    <t xml:space="preserve"> 43.8491 </t>
  </si>
  <si>
    <t xml:space="preserve">C:\Users\andre\Desktop\REACTIV CEFAS\Tamoxifen\Tamoxifen/20201219_Cefas_Test10_Run2/Plate 1/@1/F10_02.tif </t>
  </si>
  <si>
    <t xml:space="preserve"> 4866.7263 </t>
  </si>
  <si>
    <t xml:space="preserve"> 42.2933 </t>
  </si>
  <si>
    <t xml:space="preserve">C:\Users\andre\Desktop\REACTIV CEFAS\Tamoxifen\Tamoxifen/20201219_Cefas_Test10_Run2/Plate 1/@1/F10_03.tif </t>
  </si>
  <si>
    <t xml:space="preserve"> 40.2867 </t>
  </si>
  <si>
    <t xml:space="preserve">C:\Users\andre\Desktop\REACTIV CEFAS\Tamoxifen\Tamoxifen/20201219_Cefas_Test10_Run2/Plate 1/@1/F10_04.tif </t>
  </si>
  <si>
    <t xml:space="preserve"> 12415.5595 </t>
  </si>
  <si>
    <t xml:space="preserve"> 45.3118 </t>
  </si>
  <si>
    <t xml:space="preserve">C:\Users\andre\Desktop\REACTIV CEFAS\Tamoxifen\Tamoxifen/20201219_Cefas_Test10_Run2/Plate 1/@1/G10_01.tif </t>
  </si>
  <si>
    <t xml:space="preserve"> 41.3121 </t>
  </si>
  <si>
    <t xml:space="preserve">C:\Users\andre\Desktop\REACTIV CEFAS\Tamoxifen\Tamoxifen/20201219_Cefas_Test10_Run2/Plate 1/@1/G10_02.tif </t>
  </si>
  <si>
    <t xml:space="preserve"> 13670.0934 </t>
  </si>
  <si>
    <t xml:space="preserve"> 43.6978 </t>
  </si>
  <si>
    <t xml:space="preserve">C:\Users\andre\Desktop\REACTIV CEFAS\Tamoxifen\Tamoxifen/20201219_Cefas_Test10_Run2/Plate 1/@1/G10_03.tif </t>
  </si>
  <si>
    <t xml:space="preserve"> 43.6014 </t>
  </si>
  <si>
    <t xml:space="preserve">C:\Users\andre\Desktop\REACTIV CEFAS\Tamoxifen\Tamoxifen/20201219_Cefas_Test10_Run2/Plate 1/@1/G10_04.tif </t>
  </si>
  <si>
    <t xml:space="preserve"> 8457.2888 </t>
  </si>
  <si>
    <t xml:space="preserve"> 40.3683 </t>
  </si>
  <si>
    <t xml:space="preserve">C:\Users\andre\Desktop\REACTIV CEFAS\Tamoxifen\Tamoxifen/20201219_Cefas_Test10_Run2/Plate 1/@1/H10_01.tif </t>
  </si>
  <si>
    <t xml:space="preserve"> 37.9878 </t>
  </si>
  <si>
    <t xml:space="preserve">C:\Users\andre\Desktop\REACTIV CEFAS\Tamoxifen\Tamoxifen/20201219_Cefas_Test10_Run2/Plate 1/@1/H10_02.tif </t>
  </si>
  <si>
    <t xml:space="preserve"> 38.8277 </t>
  </si>
  <si>
    <t xml:space="preserve">C:\Users\andre\Desktop\REACTIV CEFAS\Tamoxifen\Tamoxifen/20201219_Cefas_Test10_Run2/Plate 1/@1/H10_03.tif </t>
  </si>
  <si>
    <t xml:space="preserve"> 39.1003 </t>
  </si>
  <si>
    <t xml:space="preserve">C:\Users\andre\Desktop\REACTIV CEFAS\Tamoxifen\Tamoxifen/20201219_Cefas_Test10_Run2/Plate 1/@1/H10_04.tif </t>
  </si>
  <si>
    <t xml:space="preserve">C:\Users\andre\Desktop\REACTIV CEFAS\Tamoxifen\Tamoxifen/20201219_Cefas_Test10_Run2/Plate 1/@1/ </t>
  </si>
  <si>
    <t xml:space="preserve"> 38.4022 </t>
  </si>
  <si>
    <t xml:space="preserve"> 7.8314 </t>
  </si>
  <si>
    <t xml:space="preserve"> 342960.219 </t>
  </si>
  <si>
    <t xml:space="preserve"> 161574.935 </t>
  </si>
  <si>
    <t xml:space="preserve">C:\Users\andre\Desktop\REACTIV CEFAS\Tamoxifen\Tamoxifen/20201219_Cefas_Test10_Run2/Plate 1/@13/A8_01.tif </t>
  </si>
  <si>
    <t xml:space="preserve"> 21218.9266 </t>
  </si>
  <si>
    <t xml:space="preserve"> 36.7156 </t>
  </si>
  <si>
    <t xml:space="preserve">C:\Users\andre\Desktop\REACTIV CEFAS\Tamoxifen\Tamoxifen/20201219_Cefas_Test10_Run2/Plate 1/@13/A8_02.tif </t>
  </si>
  <si>
    <t xml:space="preserve"> 25847.7241 </t>
  </si>
  <si>
    <t xml:space="preserve"> 39.1121 </t>
  </si>
  <si>
    <t xml:space="preserve">C:\Users\andre\Desktop\REACTIV CEFAS\Tamoxifen\Tamoxifen/20201219_Cefas_Test10_Run2/Plate 1/@13/A8_03.tif </t>
  </si>
  <si>
    <t xml:space="preserve"> 23079.0976 </t>
  </si>
  <si>
    <t xml:space="preserve"> 36.1949 </t>
  </si>
  <si>
    <t xml:space="preserve">C:\Users\andre\Desktop\REACTIV CEFAS\Tamoxifen\Tamoxifen/20201219_Cefas_Test10_Run2/Plate 1/@13/A8_04.tif </t>
  </si>
  <si>
    <t xml:space="preserve"> 32552.9914 </t>
  </si>
  <si>
    <t xml:space="preserve"> 38.6512 </t>
  </si>
  <si>
    <t xml:space="preserve">C:\Users\andre\Desktop\REACTIV CEFAS\Tamoxifen\Tamoxifen/20201219_Cefas_Test10_Run2/Plate 1/@13/B8_01.tif </t>
  </si>
  <si>
    <t xml:space="preserve"> 62229.2068 </t>
  </si>
  <si>
    <t xml:space="preserve"> 40.2218 </t>
  </si>
  <si>
    <t xml:space="preserve">C:\Users\andre\Desktop\REACTIV CEFAS\Tamoxifen\Tamoxifen/20201219_Cefas_Test10_Run2/Plate 1/@13/B8_02.tif </t>
  </si>
  <si>
    <t xml:space="preserve"> 67074.3032 </t>
  </si>
  <si>
    <t xml:space="preserve"> 41.3193 </t>
  </si>
  <si>
    <t xml:space="preserve">C:\Users\andre\Desktop\REACTIV CEFAS\Tamoxifen\Tamoxifen/20201219_Cefas_Test10_Run2/Plate 1/@13/B8_03.tif </t>
  </si>
  <si>
    <t xml:space="preserve"> 66511.926 </t>
  </si>
  <si>
    <t xml:space="preserve"> 40.5207 </t>
  </si>
  <si>
    <t xml:space="preserve">C:\Users\andre\Desktop\REACTIV CEFAS\Tamoxifen\Tamoxifen/20201219_Cefas_Test10_Run2/Plate 1/@13/B8_04.tif </t>
  </si>
  <si>
    <t xml:space="preserve"> 59330.801 </t>
  </si>
  <si>
    <t xml:space="preserve"> 41.9103 </t>
  </si>
  <si>
    <t xml:space="preserve">C:\Users\andre\Desktop\REACTIV CEFAS\Tamoxifen\Tamoxifen/20201219_Cefas_Test10_Run2/Plate 1/@13/C8_01.tif </t>
  </si>
  <si>
    <t xml:space="preserve"> 58660.2742 </t>
  </si>
  <si>
    <t xml:space="preserve"> 37.4491 </t>
  </si>
  <si>
    <t xml:space="preserve">C:\Users\andre\Desktop\REACTIV CEFAS\Tamoxifen\Tamoxifen/20201219_Cefas_Test10_Run2/Plate 1/@13/C8_02.tif </t>
  </si>
  <si>
    <t xml:space="preserve"> 61666.8296 </t>
  </si>
  <si>
    <t xml:space="preserve"> 37.9362 </t>
  </si>
  <si>
    <t xml:space="preserve">C:\Users\andre\Desktop\REACTIV CEFAS\Tamoxifen\Tamoxifen/20201219_Cefas_Test10_Run2/Plate 1/@13/C8_03.tif </t>
  </si>
  <si>
    <t xml:space="preserve"> 46698.9425 </t>
  </si>
  <si>
    <t xml:space="preserve"> 37.9305 </t>
  </si>
  <si>
    <t xml:space="preserve">C:\Users\andre\Desktop\REACTIV CEFAS\Tamoxifen\Tamoxifen/20201219_Cefas_Test10_Run2/Plate 1/@13/C8_04.tif </t>
  </si>
  <si>
    <t xml:space="preserve"> 54637.1138 </t>
  </si>
  <si>
    <t xml:space="preserve"> 36.9865 </t>
  </si>
  <si>
    <t xml:space="preserve">C:\Users\andre\Desktop\REACTIV CEFAS\Tamoxifen\Tamoxifen/20201219_Cefas_Test10_Run2/Plate 1/@13/D8_01.tif </t>
  </si>
  <si>
    <t xml:space="preserve"> 72308.7377 </t>
  </si>
  <si>
    <t xml:space="preserve"> 47.2629 </t>
  </si>
  <si>
    <t xml:space="preserve">C:\Users\andre\Desktop\REACTIV CEFAS\Tamoxifen\Tamoxifen/20201219_Cefas_Test10_Run2/Plate 1/@13/D8_02.tif </t>
  </si>
  <si>
    <t xml:space="preserve"> 66403.7765 </t>
  </si>
  <si>
    <t xml:space="preserve"> 44.1124 </t>
  </si>
  <si>
    <t xml:space="preserve">C:\Users\andre\Desktop\REACTIV CEFAS\Tamoxifen\Tamoxifen/20201219_Cefas_Test10_Run2/Plate 1/@13/D8_03.tif </t>
  </si>
  <si>
    <t xml:space="preserve"> 65192.5024 </t>
  </si>
  <si>
    <t xml:space="preserve"> 44.6407 </t>
  </si>
  <si>
    <t xml:space="preserve">C:\Users\andre\Desktop\REACTIV CEFAS\Tamoxifen\Tamoxifen/20201219_Cefas_Test10_Run2/Plate 1/@13/D8_04.tif </t>
  </si>
  <si>
    <t xml:space="preserve"> 71270.5028 </t>
  </si>
  <si>
    <t xml:space="preserve"> 48.0373 </t>
  </si>
  <si>
    <t xml:space="preserve">C:\Users\andre\Desktop\REACTIV CEFAS\Tamoxifen\Tamoxifen/20201219_Cefas_Test10_Run2/Plate 1/@13/E8_01.tif </t>
  </si>
  <si>
    <t xml:space="preserve"> 16373.8302 </t>
  </si>
  <si>
    <t xml:space="preserve"> 32.8587 </t>
  </si>
  <si>
    <t xml:space="preserve">C:\Users\andre\Desktop\REACTIV CEFAS\Tamoxifen\Tamoxifen/20201219_Cefas_Test10_Run2/Plate 1/@13/E8_02.tif </t>
  </si>
  <si>
    <t xml:space="preserve"> 21802.9338 </t>
  </si>
  <si>
    <t xml:space="preserve"> 35.0694 </t>
  </si>
  <si>
    <t xml:space="preserve">C:\Users\andre\Desktop\REACTIV CEFAS\Tamoxifen\Tamoxifen/20201219_Cefas_Test10_Run2/Plate 1/@13/E8_03.tif </t>
  </si>
  <si>
    <t xml:space="preserve"> 34780.8706 </t>
  </si>
  <si>
    <t xml:space="preserve"> 38.5572 </t>
  </si>
  <si>
    <t xml:space="preserve">C:\Users\andre\Desktop\REACTIV CEFAS\Tamoxifen\Tamoxifen/20201219_Cefas_Test10_Run2/Plate 1/@13/E8_04.tif </t>
  </si>
  <si>
    <t xml:space="preserve"> 27751.1548 </t>
  </si>
  <si>
    <t xml:space="preserve"> 37.5113 </t>
  </si>
  <si>
    <t xml:space="preserve">C:\Users\andre\Desktop\REACTIV CEFAS\Tamoxifen\Tamoxifen/20201219_Cefas_Test10_Run2/Plate 1/@13/F8_01.tif </t>
  </si>
  <si>
    <t xml:space="preserve"> 82950.6459 </t>
  </si>
  <si>
    <t xml:space="preserve"> 40.399 </t>
  </si>
  <si>
    <t xml:space="preserve">C:\Users\andre\Desktop\REACTIV CEFAS\Tamoxifen\Tamoxifen/20201219_Cefas_Test10_Run2/Plate 1/@13/F8_02.tif </t>
  </si>
  <si>
    <t xml:space="preserve"> 67961.1289 </t>
  </si>
  <si>
    <t xml:space="preserve"> 38.5401 </t>
  </si>
  <si>
    <t xml:space="preserve">C:\Users\andre\Desktop\REACTIV CEFAS\Tamoxifen\Tamoxifen/20201219_Cefas_Test10_Run2/Plate 1/@13/F8_03.tif </t>
  </si>
  <si>
    <t xml:space="preserve"> 65019.4633 </t>
  </si>
  <si>
    <t xml:space="preserve"> 38.503 </t>
  </si>
  <si>
    <t xml:space="preserve">C:\Users\andre\Desktop\REACTIV CEFAS\Tamoxifen\Tamoxifen/20201219_Cefas_Test10_Run2/Plate 1/@13/F8_04.tif </t>
  </si>
  <si>
    <t xml:space="preserve"> 73822.8304 </t>
  </si>
  <si>
    <t xml:space="preserve"> 37.792 </t>
  </si>
  <si>
    <t xml:space="preserve">C:\Users\andre\Desktop\REACTIV CEFAS\Tamoxifen\Tamoxifen/20201219_Cefas_Test10_Run2/Plate 1/@13/G8_01.tif </t>
  </si>
  <si>
    <t xml:space="preserve"> 56951.5126 </t>
  </si>
  <si>
    <t xml:space="preserve"> 36.9833 </t>
  </si>
  <si>
    <t xml:space="preserve">C:\Users\andre\Desktop\REACTIV CEFAS\Tamoxifen\Tamoxifen/20201219_Cefas_Test10_Run2/Plate 1/@13/G8_02.tif </t>
  </si>
  <si>
    <t xml:space="preserve"> 52279.4553 </t>
  </si>
  <si>
    <t xml:space="preserve"> 37.741 </t>
  </si>
  <si>
    <t xml:space="preserve">C:\Users\andre\Desktop\REACTIV CEFAS\Tamoxifen\Tamoxifen/20201219_Cefas_Test10_Run2/Plate 1/@13/G8_03.tif </t>
  </si>
  <si>
    <t xml:space="preserve"> 69972.7091 </t>
  </si>
  <si>
    <t xml:space="preserve"> 41.2117 </t>
  </si>
  <si>
    <t xml:space="preserve">C:\Users\andre\Desktop\REACTIV CEFAS\Tamoxifen\Tamoxifen/20201219_Cefas_Test10_Run2/Plate 1/@13/G8_04.tif </t>
  </si>
  <si>
    <t xml:space="preserve"> 68026.0186 </t>
  </si>
  <si>
    <t xml:space="preserve"> 39.8124 </t>
  </si>
  <si>
    <t xml:space="preserve">C:\Users\andre\Desktop\REACTIV CEFAS\Tamoxifen\Tamoxifen/20201219_Cefas_Test10_Run2/Plate 1/@13/H8_01.tif </t>
  </si>
  <si>
    <t xml:space="preserve"> 61126.0822 </t>
  </si>
  <si>
    <t xml:space="preserve">C:\Users\andre\Desktop\REACTIV CEFAS\Tamoxifen\Tamoxifen/20201219_Cefas_Test10_Run2/Plate 1/@13/H8_02.tif </t>
  </si>
  <si>
    <t xml:space="preserve"> 59374.0608 </t>
  </si>
  <si>
    <t xml:space="preserve"> 36.8933 </t>
  </si>
  <si>
    <t xml:space="preserve">C:\Users\andre\Desktop\REACTIV CEFAS\Tamoxifen\Tamoxifen/20201219_Cefas_Test10_Run2/Plate 1/@13/H8_03.tif </t>
  </si>
  <si>
    <t xml:space="preserve"> 69994.339 </t>
  </si>
  <si>
    <t xml:space="preserve"> 40.204 </t>
  </si>
  <si>
    <t xml:space="preserve">C:\Users\andre\Desktop\REACTIV CEFAS\Tamoxifen\Tamoxifen/20201219_Cefas_Test10_Run2/Plate 1/@13/H8_04.tif </t>
  </si>
  <si>
    <t xml:space="preserve"> 65387.1715 </t>
  </si>
  <si>
    <t xml:space="preserve"> 38.3735 </t>
  </si>
  <si>
    <t xml:space="preserve">C:\Users\andre\Desktop\REACTIV CEFAS\Tamoxifen\Tamoxifen/20201219_Cefas_Test10_Run2/Plate 1/@13/ </t>
  </si>
  <si>
    <t xml:space="preserve"> 39.2527 </t>
  </si>
  <si>
    <t xml:space="preserve"> 3.2528 </t>
  </si>
  <si>
    <t xml:space="preserve"> 2178795.56 </t>
  </si>
  <si>
    <t xml:space="preserve"> 828316.915 </t>
  </si>
  <si>
    <t xml:space="preserve">C:\Users\andre\Desktop\REACTIV CEFAS\Tamoxifen\Tamoxifen/20201219_Cefas_Test10_Run2/Plate 1/@14/A9_01.tif </t>
  </si>
  <si>
    <t xml:space="preserve"> 29438.2866 </t>
  </si>
  <si>
    <t xml:space="preserve"> 34.5312 </t>
  </si>
  <si>
    <t xml:space="preserve">C:\Users\andre\Desktop\REACTIV CEFAS\Tamoxifen\Tamoxifen/20201219_Cefas_Test10_Run2/Plate 1/@14/A9_02.tif </t>
  </si>
  <si>
    <t xml:space="preserve"> 36619.4116 </t>
  </si>
  <si>
    <t xml:space="preserve"> 35.4696 </t>
  </si>
  <si>
    <t xml:space="preserve">C:\Users\andre\Desktop\REACTIV CEFAS\Tamoxifen\Tamoxifen/20201219_Cefas_Test10_Run2/Plate 1/@14/A9_03.tif </t>
  </si>
  <si>
    <t xml:space="preserve"> 29048.9485 </t>
  </si>
  <si>
    <t xml:space="preserve"> 34.4743 </t>
  </si>
  <si>
    <t xml:space="preserve">C:\Users\andre\Desktop\REACTIV CEFAS\Tamoxifen\Tamoxifen/20201219_Cefas_Test10_Run2/Plate 1/@14/A9_04.tif </t>
  </si>
  <si>
    <t xml:space="preserve"> 35516.287 </t>
  </si>
  <si>
    <t xml:space="preserve"> 34.0097 </t>
  </si>
  <si>
    <t xml:space="preserve">C:\Users\andre\Desktop\REACTIV CEFAS\Tamoxifen\Tamoxifen/20201219_Cefas_Test10_Run2/Plate 1/@14/B9_01.tif </t>
  </si>
  <si>
    <t xml:space="preserve"> 39755.7463 </t>
  </si>
  <si>
    <t xml:space="preserve"> 36.2171 </t>
  </si>
  <si>
    <t xml:space="preserve">C:\Users\andre\Desktop\REACTIV CEFAS\Tamoxifen\Tamoxifen/20201219_Cefas_Test10_Run2/Plate 1/@14/B9_02.tif </t>
  </si>
  <si>
    <t xml:space="preserve"> 30736.0803 </t>
  </si>
  <si>
    <t xml:space="preserve"> 35.2977 </t>
  </si>
  <si>
    <t>C:\Users\andre\Desktop\REACTIV CEFAS\Tamoxifen\Tamoxifen/20201219_Cefas_Test10_Run2/Plate 1/@14/B9_03- exclu.tif</t>
  </si>
  <si>
    <t xml:space="preserve">C:\Users\andre\Desktop\REACTIV CEFAS\Tamoxifen\Tamoxifen/20201219_Cefas_Test10_Run2/Plate 1/@14/B9_04.tif </t>
  </si>
  <si>
    <t xml:space="preserve"> 48515.8537 </t>
  </si>
  <si>
    <t xml:space="preserve"> 35.1904 </t>
  </si>
  <si>
    <t xml:space="preserve">C:\Users\andre\Desktop\REACTIV CEFAS\Tamoxifen\Tamoxifen/20201219_Cefas_Test10_Run2/Plate 1/@14/C9_01.tif </t>
  </si>
  <si>
    <t xml:space="preserve"> 91624.2336 </t>
  </si>
  <si>
    <t xml:space="preserve"> 45.7229 </t>
  </si>
  <si>
    <t xml:space="preserve">C:\Users\andre\Desktop\REACTIV CEFAS\Tamoxifen\Tamoxifen/20201219_Cefas_Test10_Run2/Plate 1/@14/C9_02.tif </t>
  </si>
  <si>
    <t xml:space="preserve"> 85438.0838 </t>
  </si>
  <si>
    <t xml:space="preserve"> 42.7415 </t>
  </si>
  <si>
    <t xml:space="preserve">C:\Users\andre\Desktop\REACTIV CEFAS\Tamoxifen\Tamoxifen/20201219_Cefas_Test10_Run2/Plate 1/@14/C9_03.tif </t>
  </si>
  <si>
    <t xml:space="preserve"> 79122.1546 </t>
  </si>
  <si>
    <t xml:space="preserve"> 43.45 </t>
  </si>
  <si>
    <t xml:space="preserve">C:\Users\andre\Desktop\REACTIV CEFAS\Tamoxifen\Tamoxifen/20201219_Cefas_Test10_Run2/Plate 1/@14/C9_04.tif </t>
  </si>
  <si>
    <t xml:space="preserve"> 44.1799 </t>
  </si>
  <si>
    <t xml:space="preserve">C:\Users\andre\Desktop\REACTIV CEFAS\Tamoxifen\Tamoxifen/20201219_Cefas_Test10_Run2/Plate 1/@14/D9_01.tif </t>
  </si>
  <si>
    <t xml:space="preserve"> 83426.5036 </t>
  </si>
  <si>
    <t xml:space="preserve"> 38.0552 </t>
  </si>
  <si>
    <t xml:space="preserve">C:\Users\andre\Desktop\REACTIV CEFAS\Tamoxifen\Tamoxifen/20201219_Cefas_Test10_Run2/Plate 1/@14/D9_02.tif </t>
  </si>
  <si>
    <t xml:space="preserve"> 79900.8308 </t>
  </si>
  <si>
    <t xml:space="preserve"> 37.1871 </t>
  </si>
  <si>
    <t xml:space="preserve">C:\Users\andre\Desktop\REACTIV CEFAS\Tamoxifen\Tamoxifen/20201219_Cefas_Test10_Run2/Plate 1/@14/D9_03.tif </t>
  </si>
  <si>
    <t xml:space="preserve"> 84032.1406 </t>
  </si>
  <si>
    <t xml:space="preserve"> 38.5552 </t>
  </si>
  <si>
    <t xml:space="preserve">C:\Users\andre\Desktop\REACTIV CEFAS\Tamoxifen\Tamoxifen/20201219_Cefas_Test10_Run2/Plate 1/@14/D9_04.tif </t>
  </si>
  <si>
    <t xml:space="preserve"> 103758.605 </t>
  </si>
  <si>
    <t xml:space="preserve"> 41.5804 </t>
  </si>
  <si>
    <t xml:space="preserve">C:\Users\andre\Desktop\REACTIV CEFAS\Tamoxifen\Tamoxifen/20201219_Cefas_Test10_Run2/Plate 1/@14/E9_01.tif </t>
  </si>
  <si>
    <t xml:space="preserve"> 42221.5543 </t>
  </si>
  <si>
    <t xml:space="preserve"> 35.4293 </t>
  </si>
  <si>
    <t xml:space="preserve">C:\Users\andre\Desktop\REACTIV CEFAS\Tamoxifen\Tamoxifen/20201219_Cefas_Test10_Run2/Plate 1/@14/E9_02.tif </t>
  </si>
  <si>
    <t xml:space="preserve"> 26431.7312 </t>
  </si>
  <si>
    <t xml:space="preserve"> 35.3396 </t>
  </si>
  <si>
    <t xml:space="preserve">C:\Users\andre\Desktop\REACTIV CEFAS\Tamoxifen\Tamoxifen/20201219_Cefas_Test10_Run2/Plate 1/@14/E9_03.tif </t>
  </si>
  <si>
    <t xml:space="preserve"> 39712.4865 </t>
  </si>
  <si>
    <t xml:space="preserve"> 37.592 </t>
  </si>
  <si>
    <t xml:space="preserve">C:\Users\andre\Desktop\REACTIV CEFAS\Tamoxifen\Tamoxifen/20201219_Cefas_Test10_Run2/Plate 1/@14/E9_04.tif </t>
  </si>
  <si>
    <t xml:space="preserve"> 33612.8563 </t>
  </si>
  <si>
    <t xml:space="preserve"> 35.6165 </t>
  </si>
  <si>
    <t xml:space="preserve">C:\Users\andre\Desktop\REACTIV CEFAS\Tamoxifen\Tamoxifen/20201219_Cefas_Test10_Run2/Plate 1/@14/F9_01.tif </t>
  </si>
  <si>
    <t xml:space="preserve"> 59438.9504 </t>
  </si>
  <si>
    <t xml:space="preserve"> 42.3406 </t>
  </si>
  <si>
    <t xml:space="preserve">C:\Users\andre\Desktop\REACTIV CEFAS\Tamoxifen\Tamoxifen/20201219_Cefas_Test10_Run2/Plate 1/@14/F9_02.tif </t>
  </si>
  <si>
    <t xml:space="preserve"> 67247.3424 </t>
  </si>
  <si>
    <t xml:space="preserve"> 46.8344 </t>
  </si>
  <si>
    <t xml:space="preserve">C:\Users\andre\Desktop\REACTIV CEFAS\Tamoxifen\Tamoxifen/20201219_Cefas_Test10_Run2/Plate 1/@14/F9_03.tif </t>
  </si>
  <si>
    <t xml:space="preserve"> 59698.5092 </t>
  </si>
  <si>
    <t xml:space="preserve"> 42.8203 </t>
  </si>
  <si>
    <t xml:space="preserve">C:\Users\andre\Desktop\REACTIV CEFAS\Tamoxifen\Tamoxifen/20201219_Cefas_Test10_Run2/Plate 1/@14/F9_04.tif </t>
  </si>
  <si>
    <t xml:space="preserve"> 69756.4102 </t>
  </si>
  <si>
    <t xml:space="preserve"> 43.1563 </t>
  </si>
  <si>
    <t xml:space="preserve">C:\Users\andre\Desktop\REACTIV CEFAS\Tamoxifen\Tamoxifen/20201219_Cefas_Test10_Run2/Plate 1/@14/G9_01.tif </t>
  </si>
  <si>
    <t xml:space="preserve"> 63094.4026 </t>
  </si>
  <si>
    <t xml:space="preserve"> 48.1697 </t>
  </si>
  <si>
    <t xml:space="preserve">C:\Users\andre\Desktop\REACTIV CEFAS\Tamoxifen\Tamoxifen/20201219_Cefas_Test10_Run2/Plate 1/@14/G9_02.tif </t>
  </si>
  <si>
    <t xml:space="preserve"> 65214.1323 </t>
  </si>
  <si>
    <t xml:space="preserve"> 48.0083 </t>
  </si>
  <si>
    <t xml:space="preserve">C:\Users\andre\Desktop\REACTIV CEFAS\Tamoxifen\Tamoxifen/20201219_Cefas_Test10_Run2/Plate 1/@14/G9_03.tif </t>
  </si>
  <si>
    <t xml:space="preserve"> 44.9093 </t>
  </si>
  <si>
    <t xml:space="preserve">C:\Users\andre\Desktop\REACTIV CEFAS\Tamoxifen\Tamoxifen/20201219_Cefas_Test10_Run2/Plate 1/@14/G9_04.tif </t>
  </si>
  <si>
    <t xml:space="preserve"> 72200.5883 </t>
  </si>
  <si>
    <t xml:space="preserve"> 43.8805 </t>
  </si>
  <si>
    <t xml:space="preserve">C:\Users\andre\Desktop\REACTIV CEFAS\Tamoxifen\Tamoxifen/20201219_Cefas_Test10_Run2/Plate 1/@14/H9_01.tif </t>
  </si>
  <si>
    <t xml:space="preserve"> 63635.15 </t>
  </si>
  <si>
    <t xml:space="preserve"> 39.6941 </t>
  </si>
  <si>
    <t xml:space="preserve">C:\Users\andre\Desktop\REACTIV CEFAS\Tamoxifen\Tamoxifen/20201219_Cefas_Test10_Run2/Plate 1/@14/H9_02.tif </t>
  </si>
  <si>
    <t xml:space="preserve"> 62358.9862 </t>
  </si>
  <si>
    <t xml:space="preserve"> 39.795 </t>
  </si>
  <si>
    <t xml:space="preserve">C:\Users\andre\Desktop\REACTIV CEFAS\Tamoxifen\Tamoxifen/20201219_Cefas_Test10_Run2/Plate 1/@14/H9_03.tif </t>
  </si>
  <si>
    <t xml:space="preserve"> 41.5006 </t>
  </si>
  <si>
    <t xml:space="preserve">C:\Users\andre\Desktop\REACTIV CEFAS\Tamoxifen\Tamoxifen/20201219_Cefas_Test10_Run2/Plate 1/@14/H9_04.tif </t>
  </si>
  <si>
    <t xml:space="preserve"> 67550.1609 </t>
  </si>
  <si>
    <t xml:space="preserve"> 41.1082 </t>
  </si>
  <si>
    <t xml:space="preserve">C:\Users\andre\Desktop\REACTIV CEFAS\Tamoxifen\Tamoxifen/20201219_Cefas_Test10_Run2/Plate 1/@14/ </t>
  </si>
  <si>
    <t xml:space="preserve"> 40.0824 </t>
  </si>
  <si>
    <t xml:space="preserve"> 4.3013 </t>
  </si>
  <si>
    <t xml:space="preserve"> 2451689.66 </t>
  </si>
  <si>
    <t xml:space="preserve"> 1006017.12 </t>
  </si>
  <si>
    <t xml:space="preserve">C:\Users\andre\Desktop\REACTIV CEFAS\Tamoxifen\Tamoxifen/20201219_Cefas_Test10_Run2/Plate 1/@15/A11_01.tif </t>
  </si>
  <si>
    <t xml:space="preserve"> 87817.3722 </t>
  </si>
  <si>
    <t xml:space="preserve"> 46.5397 </t>
  </si>
  <si>
    <t xml:space="preserve">C:\Users\andre\Desktop\REACTIV CEFAS\Tamoxifen\Tamoxifen/20201219_Cefas_Test10_Run2/Plate 1/@15/A11_02.tif </t>
  </si>
  <si>
    <t xml:space="preserve"> 87990.4114 </t>
  </si>
  <si>
    <t xml:space="preserve"> 47.0656 </t>
  </si>
  <si>
    <t xml:space="preserve">C:\Users\andre\Desktop\REACTIV CEFAS\Tamoxifen\Tamoxifen/20201219_Cefas_Test10_Run2/Plate 1/@15/A11_03.tif </t>
  </si>
  <si>
    <t xml:space="preserve"> 93441.1448 </t>
  </si>
  <si>
    <t xml:space="preserve"> 50.7331 </t>
  </si>
  <si>
    <t xml:space="preserve">C:\Users\andre\Desktop\REACTIV CEFAS\Tamoxifen\Tamoxifen/20201219_Cefas_Test10_Run2/Plate 1/@15/A11_04.tif </t>
  </si>
  <si>
    <t xml:space="preserve"> 85719.2724 </t>
  </si>
  <si>
    <t xml:space="preserve"> 44.8844 </t>
  </si>
  <si>
    <t xml:space="preserve">C:\Users\andre\Desktop\REACTIV CEFAS\Tamoxifen\Tamoxifen/20201219_Cefas_Test10_Run2/Plate 1/@15/B11_01.tif </t>
  </si>
  <si>
    <t xml:space="preserve"> 53771.918 </t>
  </si>
  <si>
    <t xml:space="preserve"> 41.8825 </t>
  </si>
  <si>
    <t xml:space="preserve">C:\Users\andre\Desktop\REACTIV CEFAS\Tamoxifen\Tamoxifen/20201219_Cefas_Test10_Run2/Plate 1/@15/B11_02.tif </t>
  </si>
  <si>
    <t xml:space="preserve"> 44.1186 </t>
  </si>
  <si>
    <t xml:space="preserve">C:\Users\andre\Desktop\REACTIV CEFAS\Tamoxifen\Tamoxifen/20201219_Cefas_Test10_Run2/Plate 1/@15/B11_03.tif </t>
  </si>
  <si>
    <t xml:space="preserve"> 54334.2953 </t>
  </si>
  <si>
    <t xml:space="preserve"> 44.3854 </t>
  </si>
  <si>
    <t xml:space="preserve">C:\Users\andre\Desktop\REACTIV CEFAS\Tamoxifen\Tamoxifen/20201219_Cefas_Test10_Run2/Plate 1/@15/B11_04.tif </t>
  </si>
  <si>
    <t xml:space="preserve"> 51068.1812 </t>
  </si>
  <si>
    <t xml:space="preserve"> 42.8306 </t>
  </si>
  <si>
    <t xml:space="preserve">C:\Users\andre\Desktop\REACTIV CEFAS\Tamoxifen\Tamoxifen/20201219_Cefas_Test10_Run2/Plate 1/@15/C11_01.tif </t>
  </si>
  <si>
    <t xml:space="preserve"> 81285.144 </t>
  </si>
  <si>
    <t xml:space="preserve"> 45.9462 </t>
  </si>
  <si>
    <t xml:space="preserve">C:\Users\andre\Desktop\REACTIV CEFAS\Tamoxifen\Tamoxifen/20201219_Cefas_Test10_Run2/Plate 1/@15/C11_02.tif </t>
  </si>
  <si>
    <t xml:space="preserve"> 82582.9377 </t>
  </si>
  <si>
    <t xml:space="preserve"> 50.4817 </t>
  </si>
  <si>
    <t xml:space="preserve">C:\Users\andre\Desktop\REACTIV CEFAS\Tamoxifen\Tamoxifen/20201219_Cefas_Test10_Run2/Plate 1/@15/C11_03.tif </t>
  </si>
  <si>
    <t xml:space="preserve"> 79100.5247 </t>
  </si>
  <si>
    <t xml:space="preserve"> 45.1017 </t>
  </si>
  <si>
    <t xml:space="preserve">C:\Users\andre\Desktop\REACTIV CEFAS\Tamoxifen\Tamoxifen/20201219_Cefas_Test10_Run2/Plate 1/@15/C11_04.tif </t>
  </si>
  <si>
    <t xml:space="preserve"> 86281.6497 </t>
  </si>
  <si>
    <t xml:space="preserve"> 48.9057 </t>
  </si>
  <si>
    <t xml:space="preserve">C:\Users\andre\Desktop\REACTIV CEFAS\Tamoxifen\Tamoxifen/20201219_Cefas_Test10_Run2/Plate 1/@15/D11_01.tif </t>
  </si>
  <si>
    <t xml:space="preserve"> 71962.6594 </t>
  </si>
  <si>
    <t xml:space="preserve"> 40.1121 </t>
  </si>
  <si>
    <t xml:space="preserve">C:\Users\andre\Desktop\REACTIV CEFAS\Tamoxifen\Tamoxifen/20201219_Cefas_Test10_Run2/Plate 1/@15/D11_02.tif </t>
  </si>
  <si>
    <t xml:space="preserve"> 40.8495 </t>
  </si>
  <si>
    <t xml:space="preserve">C:\Users\andre\Desktop\REACTIV CEFAS\Tamoxifen\Tamoxifen/20201219_Cefas_Test10_Run2/Plate 1/@15/D11_03.tif </t>
  </si>
  <si>
    <t xml:space="preserve"> 75791.1508 </t>
  </si>
  <si>
    <t xml:space="preserve"> 42.3091 </t>
  </si>
  <si>
    <t xml:space="preserve">C:\Users\andre\Desktop\REACTIV CEFAS\Tamoxifen\Tamoxifen/20201219_Cefas_Test10_Run2/Plate 1/@15/D11_04.tif </t>
  </si>
  <si>
    <t xml:space="preserve"> 66814.7445 </t>
  </si>
  <si>
    <t xml:space="preserve"> 42.1748 </t>
  </si>
  <si>
    <t xml:space="preserve">C:\Users\andre\Desktop\REACTIV CEFAS\Tamoxifen\Tamoxifen/20201219_Cefas_Test10_Run2/Plate 1/@15/E11_01.tif </t>
  </si>
  <si>
    <t xml:space="preserve"> 87190.1052 </t>
  </si>
  <si>
    <t xml:space="preserve"> 44.2364 </t>
  </si>
  <si>
    <t xml:space="preserve">C:\Users\andre\Desktop\REACTIV CEFAS\Tamoxifen\Tamoxifen/20201219_Cefas_Test10_Run2/Plate 1/@15/E11_02.tif </t>
  </si>
  <si>
    <t xml:space="preserve"> 87406.4042 </t>
  </si>
  <si>
    <t xml:space="preserve"> 46.8114 </t>
  </si>
  <si>
    <t>C:\Users\andre\Desktop\REACTIV CEFAS\Tamoxifen\Tamoxifen/20201219_Cefas_Test10_Run2/Plate 1/@15/E11_03- exclu.tif</t>
  </si>
  <si>
    <t xml:space="preserve">C:\Users\andre\Desktop\REACTIV CEFAS\Tamoxifen\Tamoxifen/20201219_Cefas_Test10_Run2/Plate 1/@15/E11_04.tif </t>
  </si>
  <si>
    <t xml:space="preserve"> 95820.4332 </t>
  </si>
  <si>
    <t xml:space="preserve"> 48.6494 </t>
  </si>
  <si>
    <t xml:space="preserve">C:\Users\andre\Desktop\REACTIV CEFAS\Tamoxifen\Tamoxifen/20201219_Cefas_Test10_Run2/Plate 1/@15/F11_01.tif </t>
  </si>
  <si>
    <t xml:space="preserve"> 94090.0416 </t>
  </si>
  <si>
    <t xml:space="preserve"> 47.3037 </t>
  </si>
  <si>
    <t xml:space="preserve">C:\Users\andre\Desktop\REACTIV CEFAS\Tamoxifen\Tamoxifen/20201219_Cefas_Test10_Run2/Plate 1/@15/F11_02.tif </t>
  </si>
  <si>
    <t xml:space="preserve"> 82453.1583 </t>
  </si>
  <si>
    <t xml:space="preserve"> 43.6881 </t>
  </si>
  <si>
    <t xml:space="preserve">C:\Users\andre\Desktop\REACTIV CEFAS\Tamoxifen\Tamoxifen/20201219_Cefas_Test10_Run2/Plate 1/@15/F11_03.tif </t>
  </si>
  <si>
    <t xml:space="preserve"> 95431.0951 </t>
  </si>
  <si>
    <t xml:space="preserve"> 48.6757 </t>
  </si>
  <si>
    <t xml:space="preserve">C:\Users\andre\Desktop\REACTIV CEFAS\Tamoxifen\Tamoxifen/20201219_Cefas_Test10_Run2/Plate 1/@15/F11_04.tif </t>
  </si>
  <si>
    <t xml:space="preserve"> 88877.237 </t>
  </si>
  <si>
    <t xml:space="preserve"> 45.0433 </t>
  </si>
  <si>
    <t xml:space="preserve">C:\Users\andre\Desktop\REACTIV CEFAS\Tamoxifen\Tamoxifen/20201219_Cefas_Test10_Run2/Plate 1/@15/G11_01.tif </t>
  </si>
  <si>
    <t xml:space="preserve"> 70513.4565 </t>
  </si>
  <si>
    <t xml:space="preserve"> 47.6356 </t>
  </si>
  <si>
    <t xml:space="preserve">C:\Users\andre\Desktop\REACTIV CEFAS\Tamoxifen\Tamoxifen/20201219_Cefas_Test10_Run2/Plate 1/@15/G11_02.tif </t>
  </si>
  <si>
    <t xml:space="preserve"> 63613.5201 </t>
  </si>
  <si>
    <t xml:space="preserve"> 47.5097 </t>
  </si>
  <si>
    <t xml:space="preserve">C:\Users\andre\Desktop\REACTIV CEFAS\Tamoxifen\Tamoxifen/20201219_Cefas_Test10_Run2/Plate 1/@15/G11_03.tif </t>
  </si>
  <si>
    <t xml:space="preserve"> 67160.8228 </t>
  </si>
  <si>
    <t xml:space="preserve"> 51.9304 </t>
  </si>
  <si>
    <t xml:space="preserve">C:\Users\andre\Desktop\REACTIV CEFAS\Tamoxifen\Tamoxifen/20201219_Cefas_Test10_Run2/Plate 1/@15/G11_04.tif </t>
  </si>
  <si>
    <t xml:space="preserve"> 66793.1146 </t>
  </si>
  <si>
    <t xml:space="preserve"> 45.4705 </t>
  </si>
  <si>
    <t xml:space="preserve">C:\Users\andre\Desktop\REACTIV CEFAS\Tamoxifen\Tamoxifen/20201219_Cefas_Test10_Run2/Plate 1/@15/H11_01.tif </t>
  </si>
  <si>
    <t xml:space="preserve"> 41.079 </t>
  </si>
  <si>
    <t xml:space="preserve">C:\Users\andre\Desktop\REACTIV CEFAS\Tamoxifen\Tamoxifen/20201219_Cefas_Test10_Run2/Plate 1/@15/H11_02.tif </t>
  </si>
  <si>
    <t xml:space="preserve"> 63505.3706 </t>
  </si>
  <si>
    <t xml:space="preserve">C:\Users\andre\Desktop\REACTIV CEFAS\Tamoxifen\Tamoxifen/20201219_Cefas_Test10_Run2/Plate 1/@15/H11_03.tif </t>
  </si>
  <si>
    <t xml:space="preserve"> 62077.7976 </t>
  </si>
  <si>
    <t xml:space="preserve"> 39.9693 </t>
  </si>
  <si>
    <t xml:space="preserve">C:\Users\andre\Desktop\REACTIV CEFAS\Tamoxifen\Tamoxifen/20201219_Cefas_Test10_Run2/Plate 1/@15/H11_04.tif </t>
  </si>
  <si>
    <t xml:space="preserve"> 71227.243 </t>
  </si>
  <si>
    <t xml:space="preserve"> 42.0279 </t>
  </si>
  <si>
    <t xml:space="preserve">C:\Users\andre\Desktop\REACTIV CEFAS\Tamoxifen\Tamoxifen/20201219_Cefas_Test10_Run2/Plate 1/@15/ </t>
  </si>
  <si>
    <t xml:space="preserve"> 45.276 </t>
  </si>
  <si>
    <t xml:space="preserve"> 3.4122 </t>
  </si>
  <si>
    <t xml:space="preserve"> 3456553.84 </t>
  </si>
  <si>
    <t xml:space="preserve"> 787125.882 </t>
  </si>
  <si>
    <t xml:space="preserve">C:\Users\andre\Desktop\REACTIV CEFAS\Tamoxifen\Tamoxifen/20201219_Cefas_Test10_Run2/Plate 1/@16/A12_01.tif </t>
  </si>
  <si>
    <t xml:space="preserve"> 39.1769 </t>
  </si>
  <si>
    <t xml:space="preserve">C:\Users\andre\Desktop\REACTIV CEFAS\Tamoxifen\Tamoxifen/20201219_Cefas_Test10_Run2/Plate 1/@16/A12_02.tif </t>
  </si>
  <si>
    <t xml:space="preserve"> 37.5629 </t>
  </si>
  <si>
    <t xml:space="preserve">C:\Users\andre\Desktop\REACTIV CEFAS\Tamoxifen\Tamoxifen/20201219_Cefas_Test10_Run2/Plate 1/@16/A12_03.tif </t>
  </si>
  <si>
    <t xml:space="preserve"> 11939.7018 </t>
  </si>
  <si>
    <t xml:space="preserve"> 40.346 </t>
  </si>
  <si>
    <t xml:space="preserve">C:\Users\andre\Desktop\REACTIV CEFAS\Tamoxifen\Tamoxifen/20201219_Cefas_Test10_Run2/Plate 1/@16/A12_04.tif </t>
  </si>
  <si>
    <t xml:space="preserve"> 42.292 </t>
  </si>
  <si>
    <t xml:space="preserve">C:\Users\andre\Desktop\REACTIV CEFAS\Tamoxifen\Tamoxifen/20201219_Cefas_Test10_Run2/Plate 1/@16/B12_01.tif </t>
  </si>
  <si>
    <t xml:space="preserve"> 31.1522 </t>
  </si>
  <si>
    <t xml:space="preserve">C:\Users\andre\Desktop\REACTIV CEFAS\Tamoxifen\Tamoxifen/20201219_Cefas_Test10_Run2/Plate 1/@16/B12_02.tif </t>
  </si>
  <si>
    <t xml:space="preserve"> 33.9339 </t>
  </si>
  <si>
    <t xml:space="preserve">C:\Users\andre\Desktop\REACTIV CEFAS\Tamoxifen\Tamoxifen/20201219_Cefas_Test10_Run2/Plate 1/@16/B12_03.tif </t>
  </si>
  <si>
    <t xml:space="preserve"> 34.4533 </t>
  </si>
  <si>
    <t xml:space="preserve">C:\Users\andre\Desktop\REACTIV CEFAS\Tamoxifen\Tamoxifen/20201219_Cefas_Test10_Run2/Plate 1/@16/B12_04.tif </t>
  </si>
  <si>
    <t xml:space="preserve"> 2746.9966 </t>
  </si>
  <si>
    <t xml:space="preserve"> 32.2992 </t>
  </si>
  <si>
    <t xml:space="preserve">C:\Users\andre\Desktop\REACTIV CEFAS\Tamoxifen\Tamoxifen/20201219_Cefas_Test10_Run2/Plate 1/@16/C12_01.tif </t>
  </si>
  <si>
    <t xml:space="preserve"> 9733.4526 </t>
  </si>
  <si>
    <t xml:space="preserve"> 38.4711 </t>
  </si>
  <si>
    <t xml:space="preserve">C:\Users\andre\Desktop\REACTIV CEFAS\Tamoxifen\Tamoxifen/20201219_Cefas_Test10_Run2/Plate 1/@16/C12_02.tif </t>
  </si>
  <si>
    <t xml:space="preserve"> 35.0839 </t>
  </si>
  <si>
    <t xml:space="preserve">C:\Users\andre\Desktop\REACTIV CEFAS\Tamoxifen\Tamoxifen/20201219_Cefas_Test10_Run2/Plate 1/@16/C12_03.tif </t>
  </si>
  <si>
    <t xml:space="preserve"> 8716.8475 </t>
  </si>
  <si>
    <t xml:space="preserve"> 35.8486 </t>
  </si>
  <si>
    <t xml:space="preserve">C:\Users\andre\Desktop\REACTIV CEFAS\Tamoxifen\Tamoxifen/20201219_Cefas_Test10_Run2/Plate 1/@16/C12_04.tif </t>
  </si>
  <si>
    <t xml:space="preserve"> 5385.8438 </t>
  </si>
  <si>
    <t xml:space="preserve"> 36.3815 </t>
  </si>
  <si>
    <t xml:space="preserve">C:\Users\andre\Desktop\REACTIV CEFAS\Tamoxifen\Tamoxifen/20201219_Cefas_Test10_Run2/Plate 1/@16/D12_01.tif </t>
  </si>
  <si>
    <t xml:space="preserve"> 10663.5381 </t>
  </si>
  <si>
    <t xml:space="preserve"> 44.4949 </t>
  </si>
  <si>
    <t xml:space="preserve">C:\Users\andre\Desktop\REACTIV CEFAS\Tamoxifen\Tamoxifen/20201219_Cefas_Test10_Run2/Plate 1/@16/D12_02.tif </t>
  </si>
  <si>
    <t xml:space="preserve"> 11550.3637 </t>
  </si>
  <si>
    <t xml:space="preserve"> 45.8502 </t>
  </si>
  <si>
    <t xml:space="preserve">C:\Users\andre\Desktop\REACTIV CEFAS\Tamoxifen\Tamoxifen/20201219_Cefas_Test10_Run2/Plate 1/@16/D12_03.tif </t>
  </si>
  <si>
    <t xml:space="preserve"> 11831.5524 </t>
  </si>
  <si>
    <t xml:space="preserve"> 44.4424 </t>
  </si>
  <si>
    <t xml:space="preserve">C:\Users\andre\Desktop\REACTIV CEFAS\Tamoxifen\Tamoxifen/20201219_Cefas_Test10_Run2/Plate 1/@16/D12_04.tif </t>
  </si>
  <si>
    <t xml:space="preserve"> 37.8174 </t>
  </si>
  <si>
    <t xml:space="preserve">C:\Users\andre\Desktop\REACTIV CEFAS\Tamoxifen\Tamoxifen/20201219_Cefas_Test10_Run2/Plate 1/@16/E12_01.tif </t>
  </si>
  <si>
    <t xml:space="preserve"> 12804.8976 </t>
  </si>
  <si>
    <t xml:space="preserve"> 46.7568 </t>
  </si>
  <si>
    <t>C:\Users\andre\Desktop\REACTIV CEFAS\Tamoxifen\Tamoxifen/20201219_Cefas_Test10_Run2/Plate 1/@16/E12_02- exclu.tif</t>
  </si>
  <si>
    <t xml:space="preserve">C:\Users\andre\Desktop\REACTIV CEFAS\Tamoxifen\Tamoxifen/20201219_Cefas_Test10_Run2/Plate 1/@16/E12_03.tif </t>
  </si>
  <si>
    <t xml:space="preserve"> 40.5561 </t>
  </si>
  <si>
    <t>C:\Users\andre\Desktop\REACTIV CEFAS\Tamoxifen\Tamoxifen/20201219_Cefas_Test10_Run2/Plate 1/@16/E12_04- exclu.tif</t>
  </si>
  <si>
    <t xml:space="preserve">C:\Users\andre\Desktop\REACTIV CEFAS\Tamoxifen\Tamoxifen/20201219_Cefas_Test10_Run2/Plate 1/@16/F12_01.tif </t>
  </si>
  <si>
    <t xml:space="preserve"> 9819.9722 </t>
  </si>
  <si>
    <t xml:space="preserve"> 39.5374 </t>
  </si>
  <si>
    <t xml:space="preserve">C:\Users\andre\Desktop\REACTIV CEFAS\Tamoxifen\Tamoxifen/20201219_Cefas_Test10_Run2/Plate 1/@16/F12_02.tif </t>
  </si>
  <si>
    <t xml:space="preserve"> 40.9383 </t>
  </si>
  <si>
    <t xml:space="preserve">C:\Users\andre\Desktop\REACTIV CEFAS\Tamoxifen\Tamoxifen/20201219_Cefas_Test10_Run2/Plate 1/@16/F12_03.tif </t>
  </si>
  <si>
    <t xml:space="preserve"> 8154.4703 </t>
  </si>
  <si>
    <t xml:space="preserve"> 43.2573 </t>
  </si>
  <si>
    <t xml:space="preserve">C:\Users\andre\Desktop\REACTIV CEFAS\Tamoxifen\Tamoxifen/20201219_Cefas_Test10_Run2/Plate 1/@16/F12_04.tif </t>
  </si>
  <si>
    <t xml:space="preserve"> 4455.7583 </t>
  </si>
  <si>
    <t xml:space="preserve"> 39.3835 </t>
  </si>
  <si>
    <t xml:space="preserve">C:\Users\andre\Desktop\REACTIV CEFAS\Tamoxifen\Tamoxifen/20201219_Cefas_Test10_Run2/Plate 1/@16/G12_01.tif </t>
  </si>
  <si>
    <t xml:space="preserve"> 5191.1747 </t>
  </si>
  <si>
    <t xml:space="preserve"> 34.7542 </t>
  </si>
  <si>
    <t xml:space="preserve">C:\Users\andre\Desktop\REACTIV CEFAS\Tamoxifen\Tamoxifen/20201219_Cefas_Test10_Run2/Plate 1/@16/G12_02.tif </t>
  </si>
  <si>
    <t xml:space="preserve"> 9625.3031 </t>
  </si>
  <si>
    <t xml:space="preserve"> 40.4876 </t>
  </si>
  <si>
    <t>C:\Users\andre\Desktop\REACTIV CEFAS\Tamoxifen\Tamoxifen/20201219_Cefas_Test10_Run2/Plate 1/@16/G12_03- exclu.tif</t>
  </si>
  <si>
    <t xml:space="preserve">C:\Users\andre\Desktop\REACTIV CEFAS\Tamoxifen\Tamoxifen/20201219_Cefas_Test10_Run2/Plate 1/@16/G12_04.tif </t>
  </si>
  <si>
    <t xml:space="preserve"> 8824.997 </t>
  </si>
  <si>
    <t xml:space="preserve"> 39.3284 </t>
  </si>
  <si>
    <t xml:space="preserve">C:\Users\andre\Desktop\REACTIV CEFAS\Tamoxifen\Tamoxifen/20201219_Cefas_Test10_Run2/Plate 1/@16/H12_01.tif </t>
  </si>
  <si>
    <t xml:space="preserve">C:\Users\andre\Desktop\REACTIV CEFAS\Tamoxifen\Tamoxifen/20201219_Cefas_Test10_Run2/Plate 1/@16/H12_02.tif </t>
  </si>
  <si>
    <t xml:space="preserve"> 5450.7334 </t>
  </si>
  <si>
    <t xml:space="preserve"> 38.7659 </t>
  </si>
  <si>
    <t xml:space="preserve">C:\Users\andre\Desktop\REACTIV CEFAS\Tamoxifen\Tamoxifen/20201219_Cefas_Test10_Run2/Plate 1/@16/H12_03.tif </t>
  </si>
  <si>
    <t xml:space="preserve"> 35.0577 </t>
  </si>
  <si>
    <t xml:space="preserve">C:\Users\andre\Desktop\REACTIV CEFAS\Tamoxifen\Tamoxifen/20201219_Cefas_Test10_Run2/Plate 1/@16/H12_04.tif </t>
  </si>
  <si>
    <t xml:space="preserve"> 8911.5166 </t>
  </si>
  <si>
    <t xml:space="preserve"> 39.5995 </t>
  </si>
  <si>
    <t xml:space="preserve">C:\Users\andre\Desktop\REACTIV CEFAS\Tamoxifen\Tamoxifen/20201219_Cefas_Test10_Run2/Plate 1/@16/ </t>
  </si>
  <si>
    <t xml:space="preserve"> 38.2927 </t>
  </si>
  <si>
    <t xml:space="preserve"> 8.9437 </t>
  </si>
  <si>
    <t xml:space="preserve"> 336240.031 </t>
  </si>
  <si>
    <t xml:space="preserve"> 246722.619 </t>
  </si>
  <si>
    <t xml:space="preserve">C:\Users\andre\Desktop\REACTIV CEFAS\Tamoxifen\Tamoxifen/20201219_Cefas_Test10_Run2/Plate 1/@2/A2_01.tif </t>
  </si>
  <si>
    <t xml:space="preserve"> 15292.3355 </t>
  </si>
  <si>
    <t xml:space="preserve"> 35.884 </t>
  </si>
  <si>
    <t xml:space="preserve">C:\Users\andre\Desktop\REACTIV CEFAS\Tamoxifen\Tamoxifen/20201219_Cefas_Test10_Run2/Plate 1/@2/A2_02.tif </t>
  </si>
  <si>
    <t xml:space="preserve"> 10944.7267 </t>
  </si>
  <si>
    <t xml:space="preserve"> 37.67 </t>
  </si>
  <si>
    <t xml:space="preserve">C:\Users\andre\Desktop\REACTIV CEFAS\Tamoxifen\Tamoxifen/20201219_Cefas_Test10_Run2/Plate 1/@2/A2_03.tif </t>
  </si>
  <si>
    <t xml:space="preserve"> 11182.6555 </t>
  </si>
  <si>
    <t xml:space="preserve"> 37.7176 </t>
  </si>
  <si>
    <t>C:\Users\andre\Desktop\REACTIV CEFAS\Tamoxifen\Tamoxifen/20201219_Cefas_Test10_Run2/Plate 1/@2/A2_04- exclu.tif</t>
  </si>
  <si>
    <t xml:space="preserve">C:\Users\andre\Desktop\REACTIV CEFAS\Tamoxifen\Tamoxifen/20201219_Cefas_Test10_Run2/Plate 1/@2/B2_01.tif </t>
  </si>
  <si>
    <t xml:space="preserve"> 10923.0968 </t>
  </si>
  <si>
    <t xml:space="preserve"> 45.0851 </t>
  </si>
  <si>
    <t xml:space="preserve">C:\Users\andre\Desktop\REACTIV CEFAS\Tamoxifen\Tamoxifen/20201219_Cefas_Test10_Run2/Plate 1/@2/B2_02.tif </t>
  </si>
  <si>
    <t xml:space="preserve"> 9430.6341 </t>
  </si>
  <si>
    <t xml:space="preserve"> 45.3647 </t>
  </si>
  <si>
    <t xml:space="preserve">C:\Users\andre\Desktop\REACTIV CEFAS\Tamoxifen\Tamoxifen/20201219_Cefas_Test10_Run2/Plate 1/@2/B2_03.tif </t>
  </si>
  <si>
    <t xml:space="preserve"> 302.8185 </t>
  </si>
  <si>
    <t xml:space="preserve"> 31.8571 </t>
  </si>
  <si>
    <t xml:space="preserve">C:\Users\andre\Desktop\REACTIV CEFAS\Tamoxifen\Tamoxifen/20201219_Cefas_Test10_Run2/Plate 1/@2/B2_04.tif </t>
  </si>
  <si>
    <t xml:space="preserve"> 13259.1254 </t>
  </si>
  <si>
    <t xml:space="preserve"> 42.4649 </t>
  </si>
  <si>
    <t xml:space="preserve">C:\Users\andre\Desktop\REACTIV CEFAS\Tamoxifen\Tamoxifen/20201219_Cefas_Test10_Run2/Plate 1/@2/C2_01.tif </t>
  </si>
  <si>
    <t xml:space="preserve"> 37.7939 </t>
  </si>
  <si>
    <t xml:space="preserve">C:\Users\andre\Desktop\REACTIV CEFAS\Tamoxifen\Tamoxifen/20201219_Cefas_Test10_Run2/Plate 1/@2/C2_02.tif </t>
  </si>
  <si>
    <t xml:space="preserve"> 40.7714 </t>
  </si>
  <si>
    <t xml:space="preserve">C:\Users\andre\Desktop\REACTIV CEFAS\Tamoxifen\Tamoxifen/20201219_Cefas_Test10_Run2/Plate 1/@2/C2_03.tif </t>
  </si>
  <si>
    <t xml:space="preserve"> 3222.8543 </t>
  </si>
  <si>
    <t xml:space="preserve"> 39.5772 </t>
  </si>
  <si>
    <t>C:\Users\andre\Desktop\REACTIV CEFAS\Tamoxifen\Tamoxifen/20201219_Cefas_Test10_Run2/Plate 1/@2/C2_04- exclu.tif</t>
  </si>
  <si>
    <t xml:space="preserve">C:\Users\andre\Desktop\REACTIV CEFAS\Tamoxifen\Tamoxifen/20201219_Cefas_Test10_Run2/Plate 1/@2/D2_01.tif </t>
  </si>
  <si>
    <t xml:space="preserve"> 42.5661 </t>
  </si>
  <si>
    <t xml:space="preserve">C:\Users\andre\Desktop\REACTIV CEFAS\Tamoxifen\Tamoxifen/20201219_Cefas_Test10_Run2/Plate 1/@2/D2_02.tif </t>
  </si>
  <si>
    <t xml:space="preserve"> 33.9072 </t>
  </si>
  <si>
    <t xml:space="preserve">C:\Users\andre\Desktop\REACTIV CEFAS\Tamoxifen\Tamoxifen/20201219_Cefas_Test10_Run2/Plate 1/@2/D2_03.tif </t>
  </si>
  <si>
    <t xml:space="preserve"> 6251.0395 </t>
  </si>
  <si>
    <t xml:space="preserve"> 38.3322 </t>
  </si>
  <si>
    <t xml:space="preserve">C:\Users\andre\Desktop\REACTIV CEFAS\Tamoxifen\Tamoxifen/20201219_Cefas_Test10_Run2/Plate 1/@2/D2_04.tif </t>
  </si>
  <si>
    <t xml:space="preserve"> 7678.6126 </t>
  </si>
  <si>
    <t xml:space="preserve"> 49.7549 </t>
  </si>
  <si>
    <t xml:space="preserve">C:\Users\andre\Desktop\REACTIV CEFAS\Tamoxifen\Tamoxifen/20201219_Cefas_Test10_Run2/Plate 1/@2/E2_01.tif </t>
  </si>
  <si>
    <t xml:space="preserve"> 11680.1431 </t>
  </si>
  <si>
    <t xml:space="preserve"> 36.7444 </t>
  </si>
  <si>
    <t xml:space="preserve">C:\Users\andre\Desktop\REACTIV CEFAS\Tamoxifen\Tamoxifen/20201219_Cefas_Test10_Run2/Plate 1/@2/E2_02.tif </t>
  </si>
  <si>
    <t xml:space="preserve"> 35.1233 </t>
  </si>
  <si>
    <t xml:space="preserve">C:\Users\andre\Desktop\REACTIV CEFAS\Tamoxifen\Tamoxifen/20201219_Cefas_Test10_Run2/Plate 1/@2/E2_03.tif </t>
  </si>
  <si>
    <t xml:space="preserve"> 8284.2496 </t>
  </si>
  <si>
    <t xml:space="preserve"> 36.3681 </t>
  </si>
  <si>
    <t xml:space="preserve">C:\Users\andre\Desktop\REACTIV CEFAS\Tamoxifen\Tamoxifen/20201219_Cefas_Test10_Run2/Plate 1/@2/E2_04.tif </t>
  </si>
  <si>
    <t xml:space="preserve"> 4347.6088 </t>
  </si>
  <si>
    <t>C:\Users\andre\Desktop\REACTIV CEFAS\Tamoxifen\Tamoxifen/20201219_Cefas_Test10_Run2/Plate 1/@2/F2_01- exclu.tif</t>
  </si>
  <si>
    <t xml:space="preserve">C:\Users\andre\Desktop\REACTIV CEFAS\Tamoxifen\Tamoxifen/20201219_Cefas_Test10_Run2/Plate 1/@2/F2_02.tif </t>
  </si>
  <si>
    <t xml:space="preserve">C:\Users\andre\Desktop\REACTIV CEFAS\Tamoxifen\Tamoxifen/20201219_Cefas_Test10_Run2/Plate 1/@2/F2_03.tif </t>
  </si>
  <si>
    <t xml:space="preserve"> 4001.5305 </t>
  </si>
  <si>
    <t xml:space="preserve"> 33.5946 </t>
  </si>
  <si>
    <t xml:space="preserve">C:\Users\andre\Desktop\REACTIV CEFAS\Tamoxifen\Tamoxifen/20201219_Cefas_Test10_Run2/Plate 1/@2/F2_04.tif </t>
  </si>
  <si>
    <t xml:space="preserve"> 5364.2139 </t>
  </si>
  <si>
    <t xml:space="preserve"> 34.7298 </t>
  </si>
  <si>
    <t xml:space="preserve">C:\Users\andre\Desktop\REACTIV CEFAS\Tamoxifen\Tamoxifen/20201219_Cefas_Test10_Run2/Plate 1/@2/G2_01.tif </t>
  </si>
  <si>
    <t xml:space="preserve"> 39.0916 </t>
  </si>
  <si>
    <t xml:space="preserve">C:\Users\andre\Desktop\REACTIV CEFAS\Tamoxifen\Tamoxifen/20201219_Cefas_Test10_Run2/Plate 1/@2/G2_02.tif </t>
  </si>
  <si>
    <t xml:space="preserve"> 41.36 </t>
  </si>
  <si>
    <t xml:space="preserve">C:\Users\andre\Desktop\REACTIV CEFAS\Tamoxifen\Tamoxifen/20201219_Cefas_Test10_Run2/Plate 1/@2/G2_03.tif </t>
  </si>
  <si>
    <t xml:space="preserve"> 7700.2425 </t>
  </si>
  <si>
    <t xml:space="preserve"> 40.9944 </t>
  </si>
  <si>
    <t xml:space="preserve">C:\Users\andre\Desktop\REACTIV CEFAS\Tamoxifen\Tamoxifen/20201219_Cefas_Test10_Run2/Plate 1/@2/G2_04.tif </t>
  </si>
  <si>
    <t xml:space="preserve"> 32.8636 </t>
  </si>
  <si>
    <t xml:space="preserve">C:\Users\andre\Desktop\REACTIV CEFAS\Tamoxifen\Tamoxifen/20201219_Cefas_Test10_Run2/Plate 1/@2/H2_01.tif </t>
  </si>
  <si>
    <t xml:space="preserve"> 33.4839 </t>
  </si>
  <si>
    <t xml:space="preserve">C:\Users\andre\Desktop\REACTIV CEFAS\Tamoxifen\Tamoxifen/20201219_Cefas_Test10_Run2/Plate 1/@2/H2_02.tif </t>
  </si>
  <si>
    <t xml:space="preserve"> 31.6 </t>
  </si>
  <si>
    <t xml:space="preserve">C:\Users\andre\Desktop\REACTIV CEFAS\Tamoxifen\Tamoxifen/20201219_Cefas_Test10_Run2/Plate 1/@2/H2_03.tif </t>
  </si>
  <si>
    <t xml:space="preserve"> 41.0122 </t>
  </si>
  <si>
    <t xml:space="preserve">C:\Users\andre\Desktop\REACTIV CEFAS\Tamoxifen\Tamoxifen/20201219_Cefas_Test10_Run2/Plate 1/@2/H2_04.tif </t>
  </si>
  <si>
    <t xml:space="preserve"> 34.7269 </t>
  </si>
  <si>
    <t xml:space="preserve">C:\Users\andre\Desktop\REACTIV CEFAS\Tamoxifen\Tamoxifen/20201219_Cefas_Test10_Run2/Plate 1/@2/ </t>
  </si>
  <si>
    <t xml:space="preserve"> 33.3254 </t>
  </si>
  <si>
    <t xml:space="preserve"> 13.4468 </t>
  </si>
  <si>
    <t xml:space="preserve"> 247917.125 </t>
  </si>
  <si>
    <t xml:space="preserve"> 189762.754 </t>
  </si>
  <si>
    <t xml:space="preserve">C:\Users\andre\Desktop\REACTIV CEFAS\Tamoxifen\Tamoxifen/20201219_Cefas_Test10_Run2/Plate 1/@3/A3_01.tif </t>
  </si>
  <si>
    <t xml:space="preserve"> 6835.0467 </t>
  </si>
  <si>
    <t xml:space="preserve"> 33.3228 </t>
  </si>
  <si>
    <t xml:space="preserve">C:\Users\andre\Desktop\REACTIV CEFAS\Tamoxifen\Tamoxifen/20201219_Cefas_Test10_Run2/Plate 1/@3/A3_02.tif </t>
  </si>
  <si>
    <t xml:space="preserve"> 8176.1002 </t>
  </si>
  <si>
    <t xml:space="preserve"> 34.3439 </t>
  </si>
  <si>
    <t xml:space="preserve">C:\Users\andre\Desktop\REACTIV CEFAS\Tamoxifen\Tamoxifen/20201219_Cefas_Test10_Run2/Plate 1/@3/A3_03.tif </t>
  </si>
  <si>
    <t xml:space="preserve"> 10750.0576 </t>
  </si>
  <si>
    <t xml:space="preserve"> 38.4648 </t>
  </si>
  <si>
    <t xml:space="preserve">C:\Users\andre\Desktop\REACTIV CEFAS\Tamoxifen\Tamoxifen/20201219_Cefas_Test10_Run2/Plate 1/@3/A3_04.tif </t>
  </si>
  <si>
    <t xml:space="preserve"> 35.0357 </t>
  </si>
  <si>
    <t>C:\Users\andre\Desktop\REACTIV CEFAS\Tamoxifen\Tamoxifen/20201219_Cefas_Test10_Run2/Plate 1/@3/B3_01- exclu.tif</t>
  </si>
  <si>
    <t xml:space="preserve">C:\Users\andre\Desktop\REACTIV CEFAS\Tamoxifen\Tamoxifen/20201219_Cefas_Test10_Run2/Plate 1/@3/B3_02.tif </t>
  </si>
  <si>
    <t xml:space="preserve"> 4369.2387 </t>
  </si>
  <si>
    <t xml:space="preserve"> 40.6634 </t>
  </si>
  <si>
    <t xml:space="preserve">C:\Users\andre\Desktop\REACTIV CEFAS\Tamoxifen\Tamoxifen/20201219_Cefas_Test10_Run2/Plate 1/@3/B3_03.tif </t>
  </si>
  <si>
    <t xml:space="preserve"> 5558.8829 </t>
  </si>
  <si>
    <t xml:space="preserve"> 36.6809 </t>
  </si>
  <si>
    <t xml:space="preserve">C:\Users\andre\Desktop\REACTIV CEFAS\Tamoxifen\Tamoxifen/20201219_Cefas_Test10_Run2/Plate 1/@3/B3_04.tif </t>
  </si>
  <si>
    <t xml:space="preserve"> 5645.4025 </t>
  </si>
  <si>
    <t xml:space="preserve"> 40.5326 </t>
  </si>
  <si>
    <t xml:space="preserve">C:\Users\andre\Desktop\REACTIV CEFAS\Tamoxifen\Tamoxifen/20201219_Cefas_Test10_Run2/Plate 1/@3/C3_01.tif </t>
  </si>
  <si>
    <t xml:space="preserve"> 14535.2892 </t>
  </si>
  <si>
    <t xml:space="preserve"> 36.1518 </t>
  </si>
  <si>
    <t xml:space="preserve">C:\Users\andre\Desktop\REACTIV CEFAS\Tamoxifen\Tamoxifen/20201219_Cefas_Test10_Run2/Plate 1/@3/C3_02.tif </t>
  </si>
  <si>
    <t xml:space="preserve"> 13475.4244 </t>
  </si>
  <si>
    <t xml:space="preserve"> 34.4767 </t>
  </si>
  <si>
    <t xml:space="preserve">C:\Users\andre\Desktop\REACTIV CEFAS\Tamoxifen\Tamoxifen/20201219_Cefas_Test10_Run2/Plate 1/@3/C3_03.tif </t>
  </si>
  <si>
    <t xml:space="preserve"> 36.981 </t>
  </si>
  <si>
    <t xml:space="preserve">C:\Users\andre\Desktop\REACTIV CEFAS\Tamoxifen\Tamoxifen/20201219_Cefas_Test10_Run2/Plate 1/@3/C3_04.tif </t>
  </si>
  <si>
    <t xml:space="preserve"> 23122.3574 </t>
  </si>
  <si>
    <t xml:space="preserve"> 38.1422 </t>
  </si>
  <si>
    <t xml:space="preserve">C:\Users\andre\Desktop\REACTIV CEFAS\Tamoxifen\Tamoxifen/20201219_Cefas_Test10_Run2/Plate 1/@3/D3_01.tif </t>
  </si>
  <si>
    <t xml:space="preserve"> 735.4164 </t>
  </si>
  <si>
    <t>C:\Users\andre\Desktop\REACTIV CEFAS\Tamoxifen\Tamoxifen/20201219_Cefas_Test10_Run2/Plate 1/@3/D3_02- exclu.tif</t>
  </si>
  <si>
    <t>C:\Users\andre\Desktop\REACTIV CEFAS\Tamoxifen\Tamoxifen/20201219_Cefas_Test10_Run2/Plate 1/@3/D3_03- exclu.tif</t>
  </si>
  <si>
    <t xml:space="preserve">C:\Users\andre\Desktop\REACTIV CEFAS\Tamoxifen\Tamoxifen/20201219_Cefas_Test10_Run2/Plate 1/@3/D3_04.tif </t>
  </si>
  <si>
    <t xml:space="preserve"> 37.5892 </t>
  </si>
  <si>
    <t xml:space="preserve">C:\Users\andre\Desktop\REACTIV CEFAS\Tamoxifen\Tamoxifen/20201219_Cefas_Test10_Run2/Plate 1/@3/E3_01.tif </t>
  </si>
  <si>
    <t xml:space="preserve"> 10425.6092 </t>
  </si>
  <si>
    <t xml:space="preserve"> 38.8299 </t>
  </si>
  <si>
    <t xml:space="preserve">C:\Users\andre\Desktop\REACTIV CEFAS\Tamoxifen\Tamoxifen/20201219_Cefas_Test10_Run2/Plate 1/@3/E3_02.tif </t>
  </si>
  <si>
    <t xml:space="preserve"> 40.9578 </t>
  </si>
  <si>
    <t xml:space="preserve">C:\Users\andre\Desktop\REACTIV CEFAS\Tamoxifen\Tamoxifen/20201219_Cefas_Test10_Run2/Plate 1/@3/E3_03.tif </t>
  </si>
  <si>
    <t xml:space="preserve"> 41.548 </t>
  </si>
  <si>
    <t xml:space="preserve">C:\Users\andre\Desktop\REACTIV CEFAS\Tamoxifen\Tamoxifen/20201219_Cefas_Test10_Run2/Plate 1/@3/E3_04.tif </t>
  </si>
  <si>
    <t xml:space="preserve"> 13756.613 </t>
  </si>
  <si>
    <t xml:space="preserve"> 43.6572 </t>
  </si>
  <si>
    <t xml:space="preserve">C:\Users\andre\Desktop\REACTIV CEFAS\Tamoxifen\Tamoxifen/20201219_Cefas_Test10_Run2/Plate 1/@3/F3_01.tif </t>
  </si>
  <si>
    <t xml:space="preserve"> 410.968 </t>
  </si>
  <si>
    <t xml:space="preserve"> 31.7895 </t>
  </si>
  <si>
    <t xml:space="preserve">C:\Users\andre\Desktop\REACTIV CEFAS\Tamoxifen\Tamoxifen/20201219_Cefas_Test10_Run2/Plate 1/@3/F3_02.tif </t>
  </si>
  <si>
    <t xml:space="preserve"> 11442.2143 </t>
  </si>
  <si>
    <t xml:space="preserve"> 46.6371 </t>
  </si>
  <si>
    <t xml:space="preserve">C:\Users\andre\Desktop\REACTIV CEFAS\Tamoxifen\Tamoxifen/20201219_Cefas_Test10_Run2/Plate 1/@3/F3_03.tif </t>
  </si>
  <si>
    <t xml:space="preserve"> 9538.7835 </t>
  </si>
  <si>
    <t xml:space="preserve"> 44.0884 </t>
  </si>
  <si>
    <t xml:space="preserve">C:\Users\andre\Desktop\REACTIV CEFAS\Tamoxifen\Tamoxifen/20201219_Cefas_Test10_Run2/Plate 1/@3/F3_04.tif </t>
  </si>
  <si>
    <t xml:space="preserve"> 11161.0256 </t>
  </si>
  <si>
    <t xml:space="preserve"> 47.5368 </t>
  </si>
  <si>
    <t xml:space="preserve">C:\Users\andre\Desktop\REACTIV CEFAS\Tamoxifen\Tamoxifen/20201219_Cefas_Test10_Run2/Plate 1/@3/G3_01.tif </t>
  </si>
  <si>
    <t xml:space="preserve"> 36.7103 </t>
  </si>
  <si>
    <t xml:space="preserve">C:\Users\andre\Desktop\REACTIV CEFAS\Tamoxifen\Tamoxifen/20201219_Cefas_Test10_Run2/Plate 1/@3/G3_02.tif </t>
  </si>
  <si>
    <t xml:space="preserve"> 38.8725 </t>
  </si>
  <si>
    <t xml:space="preserve">C:\Users\andre\Desktop\REACTIV CEFAS\Tamoxifen\Tamoxifen/20201219_Cefas_Test10_Run2/Plate 1/@3/G3_03.tif </t>
  </si>
  <si>
    <t xml:space="preserve"> 6207.7798 </t>
  </si>
  <si>
    <t xml:space="preserve"> 36.9721 </t>
  </si>
  <si>
    <t xml:space="preserve">C:\Users\andre\Desktop\REACTIV CEFAS\Tamoxifen\Tamoxifen/20201219_Cefas_Test10_Run2/Plate 1/@3/G3_04.tif </t>
  </si>
  <si>
    <t xml:space="preserve"> 38.2376 </t>
  </si>
  <si>
    <t xml:space="preserve">C:\Users\andre\Desktop\REACTIV CEFAS\Tamoxifen\Tamoxifen/20201219_Cefas_Test10_Run2/Plate 1/@3/H3_01.tif </t>
  </si>
  <si>
    <t xml:space="preserve"> 5083.0252 </t>
  </si>
  <si>
    <t xml:space="preserve"> 37.766 </t>
  </si>
  <si>
    <t>C:\Users\andre\Desktop\REACTIV CEFAS\Tamoxifen\Tamoxifen/20201219_Cefas_Test10_Run2/Plate 1/@3/H3_02- exclu.tif</t>
  </si>
  <si>
    <t xml:space="preserve">C:\Users\andre\Desktop\REACTIV CEFAS\Tamoxifen\Tamoxifen/20201219_Cefas_Test10_Run2/Plate 1/@3/H3_03.tif </t>
  </si>
  <si>
    <t xml:space="preserve"> 40.2365 </t>
  </si>
  <si>
    <t xml:space="preserve">C:\Users\andre\Desktop\REACTIV CEFAS\Tamoxifen\Tamoxifen/20201219_Cefas_Test10_Run2/Plate 1/@3/H3_04.tif </t>
  </si>
  <si>
    <t xml:space="preserve"> 6510.5983 </t>
  </si>
  <si>
    <t xml:space="preserve"> 43.7209 </t>
  </si>
  <si>
    <t xml:space="preserve">C:\Users\andre\Desktop\REACTIV CEFAS\Tamoxifen\Tamoxifen/20201219_Cefas_Test10_Run2/Plate 1/@3/ </t>
  </si>
  <si>
    <t xml:space="preserve"> 35.3037 </t>
  </si>
  <si>
    <t xml:space="preserve"> 12.2299 </t>
  </si>
  <si>
    <t xml:space="preserve"> 310727.625 </t>
  </si>
  <si>
    <t xml:space="preserve"> 199954.018 </t>
  </si>
  <si>
    <t xml:space="preserve">C:\Users\andre\Desktop\REACTIV CEFAS\Tamoxifen\Tamoxifen/20201219_Cefas_Test10_Run2/Plate 1/@4/A4_01.tif </t>
  </si>
  <si>
    <t xml:space="preserve"> 9841.6021 </t>
  </si>
  <si>
    <t xml:space="preserve"> 36.4374 </t>
  </si>
  <si>
    <t xml:space="preserve">C:\Users\andre\Desktop\REACTIV CEFAS\Tamoxifen\Tamoxifen/20201219_Cefas_Test10_Run2/Plate 1/@4/A4_02.tif </t>
  </si>
  <si>
    <t xml:space="preserve"> 38.1005 </t>
  </si>
  <si>
    <t xml:space="preserve">C:\Users\andre\Desktop\REACTIV CEFAS\Tamoxifen\Tamoxifen/20201219_Cefas_Test10_Run2/Plate 1/@4/A4_03.tif </t>
  </si>
  <si>
    <t xml:space="preserve"> 4953.2459 </t>
  </si>
  <si>
    <t xml:space="preserve"> 37.7336 </t>
  </si>
  <si>
    <t xml:space="preserve">C:\Users\andre\Desktop\REACTIV CEFAS\Tamoxifen\Tamoxifen/20201219_Cefas_Test10_Run2/Plate 1/@4/A4_04.tif </t>
  </si>
  <si>
    <t xml:space="preserve"> 35.1768 </t>
  </si>
  <si>
    <t xml:space="preserve">C:\Users\andre\Desktop\REACTIV CEFAS\Tamoxifen\Tamoxifen/20201219_Cefas_Test10_Run2/Plate 1/@4/B4_01.tif </t>
  </si>
  <si>
    <t xml:space="preserve"> 8630.328 </t>
  </si>
  <si>
    <t xml:space="preserve"> 37.8496 </t>
  </si>
  <si>
    <t xml:space="preserve">C:\Users\andre\Desktop\REACTIV CEFAS\Tamoxifen\Tamoxifen/20201219_Cefas_Test10_Run2/Plate 1/@4/B4_02.tif </t>
  </si>
  <si>
    <t xml:space="preserve"> 36.7901 </t>
  </si>
  <si>
    <t xml:space="preserve">C:\Users\andre\Desktop\REACTIV CEFAS\Tamoxifen\Tamoxifen/20201219_Cefas_Test10_Run2/Plate 1/@4/B4_03.tif </t>
  </si>
  <si>
    <t xml:space="preserve"> 36.0098 </t>
  </si>
  <si>
    <t xml:space="preserve">C:\Users\andre\Desktop\REACTIV CEFAS\Tamoxifen\Tamoxifen/20201219_Cefas_Test10_Run2/Plate 1/@4/B4_04.tif </t>
  </si>
  <si>
    <t xml:space="preserve"> 35.4894 </t>
  </si>
  <si>
    <t xml:space="preserve">C:\Users\andre\Desktop\REACTIV CEFAS\Tamoxifen\Tamoxifen/20201219_Cefas_Test10_Run2/Plate 1/@4/C4_01.tif </t>
  </si>
  <si>
    <t xml:space="preserve"> 26756.1797 </t>
  </si>
  <si>
    <t xml:space="preserve"> 35.2288 </t>
  </si>
  <si>
    <t xml:space="preserve">C:\Users\andre\Desktop\REACTIV CEFAS\Tamoxifen\Tamoxifen/20201219_Cefas_Test10_Run2/Plate 1/@4/C4_02.tif </t>
  </si>
  <si>
    <t xml:space="preserve"> 33.7768 </t>
  </si>
  <si>
    <t xml:space="preserve">C:\Users\andre\Desktop\REACTIV CEFAS\Tamoxifen\Tamoxifen/20201219_Cefas_Test10_Run2/Plate 1/@4/C4_03.tif </t>
  </si>
  <si>
    <t xml:space="preserve"> 18320.5208 </t>
  </si>
  <si>
    <t xml:space="preserve"> 32.7119 </t>
  </si>
  <si>
    <t xml:space="preserve">C:\Users\andre\Desktop\REACTIV CEFAS\Tamoxifen\Tamoxifen/20201219_Cefas_Test10_Run2/Plate 1/@4/C4_04.tif </t>
  </si>
  <si>
    <t xml:space="preserve"> 28183.7527 </t>
  </si>
  <si>
    <t xml:space="preserve"> 34.1251 </t>
  </si>
  <si>
    <t xml:space="preserve">C:\Users\andre\Desktop\REACTIV CEFAS\Tamoxifen\Tamoxifen/20201219_Cefas_Test10_Run2/Plate 1/@4/D4_01.tif </t>
  </si>
  <si>
    <t xml:space="preserve"> 37.3964 </t>
  </si>
  <si>
    <t xml:space="preserve">C:\Users\andre\Desktop\REACTIV CEFAS\Tamoxifen\Tamoxifen/20201219_Cefas_Test10_Run2/Plate 1/@4/D4_02.tif </t>
  </si>
  <si>
    <t xml:space="preserve"> 4196.1996 </t>
  </si>
  <si>
    <t xml:space="preserve"> 37.2835 </t>
  </si>
  <si>
    <t xml:space="preserve">C:\Users\andre\Desktop\REACTIV CEFAS\Tamoxifen\Tamoxifen/20201219_Cefas_Test10_Run2/Plate 1/@4/D4_03.tif </t>
  </si>
  <si>
    <t xml:space="preserve"> 3936.6408 </t>
  </si>
  <si>
    <t xml:space="preserve"> 36.1264 </t>
  </si>
  <si>
    <t xml:space="preserve">C:\Users\andre\Desktop\REACTIV CEFAS\Tamoxifen\Tamoxifen/20201219_Cefas_Test10_Run2/Plate 1/@4/D4_04.tif </t>
  </si>
  <si>
    <t xml:space="preserve"> 35.9405 </t>
  </si>
  <si>
    <t xml:space="preserve">C:\Users\andre\Desktop\REACTIV CEFAS\Tamoxifen\Tamoxifen/20201219_Cefas_Test10_Run2/Plate 1/@4/E4_01.tif </t>
  </si>
  <si>
    <t xml:space="preserve"> 31.6833 </t>
  </si>
  <si>
    <t xml:space="preserve">C:\Users\andre\Desktop\REACTIV CEFAS\Tamoxifen\Tamoxifen/20201219_Cefas_Test10_Run2/Plate 1/@4/E4_02.tif </t>
  </si>
  <si>
    <t xml:space="preserve">C:\Users\andre\Desktop\REACTIV CEFAS\Tamoxifen\Tamoxifen/20201219_Cefas_Test10_Run2/Plate 1/@4/E4_03.tif </t>
  </si>
  <si>
    <t xml:space="preserve"> 34.3952 </t>
  </si>
  <si>
    <t xml:space="preserve">C:\Users\andre\Desktop\REACTIV CEFAS\Tamoxifen\Tamoxifen/20201219_Cefas_Test10_Run2/Plate 1/@4/E4_04.tif </t>
  </si>
  <si>
    <t xml:space="preserve"> 1795.2813 </t>
  </si>
  <si>
    <t xml:space="preserve"> 33.012 </t>
  </si>
  <si>
    <t xml:space="preserve">C:\Users\andre\Desktop\REACTIV CEFAS\Tamoxifen\Tamoxifen/20201219_Cefas_Test10_Run2/Plate 1/@4/F4_01.tif </t>
  </si>
  <si>
    <t xml:space="preserve"> 20288.8412 </t>
  </si>
  <si>
    <t xml:space="preserve"> 34.5426 </t>
  </si>
  <si>
    <t xml:space="preserve">C:\Users\andre\Desktop\REACTIV CEFAS\Tamoxifen\Tamoxifen/20201219_Cefas_Test10_Run2/Plate 1/@4/F4_02.tif </t>
  </si>
  <si>
    <t xml:space="preserve"> 32985.5893 </t>
  </si>
  <si>
    <t xml:space="preserve"> 35.6026 </t>
  </si>
  <si>
    <t xml:space="preserve">C:\Users\andre\Desktop\REACTIV CEFAS\Tamoxifen\Tamoxifen/20201219_Cefas_Test10_Run2/Plate 1/@4/F4_03.tif </t>
  </si>
  <si>
    <t xml:space="preserve"> 29935.7742 </t>
  </si>
  <si>
    <t xml:space="preserve"> 35.2623 </t>
  </si>
  <si>
    <t xml:space="preserve">C:\Users\andre\Desktop\REACTIV CEFAS\Tamoxifen\Tamoxifen/20201219_Cefas_Test10_Run2/Plate 1/@4/F4_04.tif </t>
  </si>
  <si>
    <t xml:space="preserve"> 41961.9956 </t>
  </si>
  <si>
    <t xml:space="preserve"> 36.1753 </t>
  </si>
  <si>
    <t xml:space="preserve">C:\Users\andre\Desktop\REACTIV CEFAS\Tamoxifen\Tamoxifen/20201219_Cefas_Test10_Run2/Plate 1/@4/G4_01.tif </t>
  </si>
  <si>
    <t xml:space="preserve"> 6402.4488 </t>
  </si>
  <si>
    <t xml:space="preserve"> 37.098 </t>
  </si>
  <si>
    <t>C:\Users\andre\Desktop\REACTIV CEFAS\Tamoxifen\Tamoxifen/20201219_Cefas_Test10_Run2/Plate 1/@4/G4_02- exclu.tif</t>
  </si>
  <si>
    <t>C:\Users\andre\Desktop\REACTIV CEFAS\Tamoxifen\Tamoxifen/20201219_Cefas_Test10_Run2/Plate 1/@4/G4_03- exclu.tif</t>
  </si>
  <si>
    <t xml:space="preserve">C:\Users\andre\Desktop\REACTIV CEFAS\Tamoxifen\Tamoxifen/20201219_Cefas_Test10_Run2/Plate 1/@4/G4_04.tif </t>
  </si>
  <si>
    <t xml:space="preserve">C:\Users\andre\Desktop\REACTIV CEFAS\Tamoxifen\Tamoxifen/20201219_Cefas_Test10_Run2/Plate 1/@4/H4_01.tif </t>
  </si>
  <si>
    <t xml:space="preserve"> 11074.506 </t>
  </si>
  <si>
    <t xml:space="preserve"> 46.2188 </t>
  </si>
  <si>
    <t xml:space="preserve">C:\Users\andre\Desktop\REACTIV CEFAS\Tamoxifen\Tamoxifen/20201219_Cefas_Test10_Run2/Plate 1/@4/H4_02.tif </t>
  </si>
  <si>
    <t xml:space="preserve"> 11658.5132 </t>
  </si>
  <si>
    <t xml:space="preserve"> 48.9091 </t>
  </si>
  <si>
    <t xml:space="preserve">C:\Users\andre\Desktop\REACTIV CEFAS\Tamoxifen\Tamoxifen/20201219_Cefas_Test10_Run2/Plate 1/@4/H4_03.tif </t>
  </si>
  <si>
    <t xml:space="preserve"> 44.7974 </t>
  </si>
  <si>
    <t>C:\Users\andre\Desktop\REACTIV CEFAS\Tamoxifen\Tamoxifen/20201219_Cefas_Test10_Run2/Plate 1/@4/H4_04- exclu.tif</t>
  </si>
  <si>
    <t xml:space="preserve">C:\Users\andre\Desktop\REACTIV CEFAS\Tamoxifen\Tamoxifen/20201219_Cefas_Test10_Run2/Plate 1/@4/ </t>
  </si>
  <si>
    <t xml:space="preserve"> 34.0627 </t>
  </si>
  <si>
    <t xml:space="preserve"> 9.7464 </t>
  </si>
  <si>
    <t xml:space="preserve"> 388645.938 </t>
  </si>
  <si>
    <t xml:space="preserve"> 382879.396 </t>
  </si>
  <si>
    <t xml:space="preserve">C:\Users\andre\Desktop\REACTIV CEFAS\Tamoxifen\Tamoxifen/20201219_Cefas_Test10_Run2/Plate 1/@5/A5_01.tif </t>
  </si>
  <si>
    <t xml:space="preserve"> 66836.3744 </t>
  </si>
  <si>
    <t xml:space="preserve"> 39.6194 </t>
  </si>
  <si>
    <t xml:space="preserve">C:\Users\andre\Desktop\REACTIV CEFAS\Tamoxifen\Tamoxifen/20201219_Cefas_Test10_Run2/Plate 1/@5/A5_02.tif </t>
  </si>
  <si>
    <t xml:space="preserve"> 61169.342 </t>
  </si>
  <si>
    <t xml:space="preserve"> 39.3716 </t>
  </si>
  <si>
    <t>C:\Users\andre\Desktop\REACTIV CEFAS\Tamoxifen\Tamoxifen/20201219_Cefas_Test10_Run2/Plate 1/@5/A5_03- exclu.tif</t>
  </si>
  <si>
    <t xml:space="preserve">C:\Users\andre\Desktop\REACTIV CEFAS\Tamoxifen\Tamoxifen/20201219_Cefas_Test10_Run2/Plate 1/@5/A5_04.tif </t>
  </si>
  <si>
    <t xml:space="preserve"> 47737.1774 </t>
  </si>
  <si>
    <t xml:space="preserve"> 35.8305 </t>
  </si>
  <si>
    <t xml:space="preserve">C:\Users\andre\Desktop\REACTIV CEFAS\Tamoxifen\Tamoxifen/20201219_Cefas_Test10_Run2/Plate 1/@5/B5_01.tif </t>
  </si>
  <si>
    <t xml:space="preserve"> 40404.6432 </t>
  </si>
  <si>
    <t xml:space="preserve"> 36.6552 </t>
  </si>
  <si>
    <t xml:space="preserve">C:\Users\andre\Desktop\REACTIV CEFAS\Tamoxifen\Tamoxifen/20201219_Cefas_Test10_Run2/Plate 1/@5/B5_02.tif </t>
  </si>
  <si>
    <t xml:space="preserve"> 34.2511 </t>
  </si>
  <si>
    <t xml:space="preserve">C:\Users\andre\Desktop\REACTIV CEFAS\Tamoxifen\Tamoxifen/20201219_Cefas_Test10_Run2/Plate 1/@5/B5_03.tif </t>
  </si>
  <si>
    <t xml:space="preserve"> 35581.1767 </t>
  </si>
  <si>
    <t xml:space="preserve"> 34.3538 </t>
  </si>
  <si>
    <t xml:space="preserve">C:\Users\andre\Desktop\REACTIV CEFAS\Tamoxifen\Tamoxifen/20201219_Cefas_Test10_Run2/Plate 1/@5/B5_04.tif </t>
  </si>
  <si>
    <t xml:space="preserve"> 47780.4372 </t>
  </si>
  <si>
    <t xml:space="preserve"> 35.9434 </t>
  </si>
  <si>
    <t xml:space="preserve">C:\Users\andre\Desktop\REACTIV CEFAS\Tamoxifen\Tamoxifen/20201219_Cefas_Test10_Run2/Plate 1/@5/C5_01.tif </t>
  </si>
  <si>
    <t xml:space="preserve"> 25458.386 </t>
  </si>
  <si>
    <t xml:space="preserve"> 37.017 </t>
  </si>
  <si>
    <t xml:space="preserve">C:\Users\andre\Desktop\REACTIV CEFAS\Tamoxifen\Tamoxifen/20201219_Cefas_Test10_Run2/Plate 1/@5/C5_02.tif </t>
  </si>
  <si>
    <t xml:space="preserve"> 23165.6171 </t>
  </si>
  <si>
    <t xml:space="preserve"> 37.4407 </t>
  </si>
  <si>
    <t xml:space="preserve">C:\Users\andre\Desktop\REACTIV CEFAS\Tamoxifen\Tamoxifen/20201219_Cefas_Test10_Run2/Plate 1/@5/C5_03.tif </t>
  </si>
  <si>
    <t xml:space="preserve"> 28486.5712 </t>
  </si>
  <si>
    <t xml:space="preserve"> 38.5695 </t>
  </si>
  <si>
    <t xml:space="preserve">C:\Users\andre\Desktop\REACTIV CEFAS\Tamoxifen\Tamoxifen/20201219_Cefas_Test10_Run2/Plate 1/@5/C5_04.tif </t>
  </si>
  <si>
    <t xml:space="preserve"> 36.1891 </t>
  </si>
  <si>
    <t xml:space="preserve">C:\Users\andre\Desktop\REACTIV CEFAS\Tamoxifen\Tamoxifen/20201219_Cefas_Test10_Run2/Plate 1/@5/D5_01.tif </t>
  </si>
  <si>
    <t xml:space="preserve"> 48061.6259 </t>
  </si>
  <si>
    <t xml:space="preserve"> 36.4046 </t>
  </si>
  <si>
    <t>C:\Users\andre\Desktop\REACTIV CEFAS\Tamoxifen\Tamoxifen/20201219_Cefas_Test10_Run2/Plate 1/@5/D5_02- exclu.tif</t>
  </si>
  <si>
    <t xml:space="preserve">C:\Users\andre\Desktop\REACTIV CEFAS\Tamoxifen\Tamoxifen/20201219_Cefas_Test10_Run2/Plate 1/@5/D5_03.tif </t>
  </si>
  <si>
    <t xml:space="preserve"> 54572.2241 </t>
  </si>
  <si>
    <t xml:space="preserve"> 37.2434 </t>
  </si>
  <si>
    <t xml:space="preserve">C:\Users\andre\Desktop\REACTIV CEFAS\Tamoxifen\Tamoxifen/20201219_Cefas_Test10_Run2/Plate 1/@5/D5_04.tif </t>
  </si>
  <si>
    <t xml:space="preserve"> 56670.3239 </t>
  </si>
  <si>
    <t xml:space="preserve"> 38.5042 </t>
  </si>
  <si>
    <t xml:space="preserve">C:\Users\andre\Desktop\REACTIV CEFAS\Tamoxifen\Tamoxifen/20201219_Cefas_Test10_Run2/Plate 1/@5/E5_01.tif </t>
  </si>
  <si>
    <t xml:space="preserve"> 67679.9403 </t>
  </si>
  <si>
    <t xml:space="preserve"> 41.1163 </t>
  </si>
  <si>
    <t xml:space="preserve">C:\Users\andre\Desktop\REACTIV CEFAS\Tamoxifen\Tamoxifen/20201219_Cefas_Test10_Run2/Plate 1/@5/E5_02.tif </t>
  </si>
  <si>
    <t xml:space="preserve"> 68436.9866 </t>
  </si>
  <si>
    <t xml:space="preserve"> 44.9011 </t>
  </si>
  <si>
    <t xml:space="preserve">C:\Users\andre\Desktop\REACTIV CEFAS\Tamoxifen\Tamoxifen/20201219_Cefas_Test10_Run2/Plate 1/@5/E5_03.tif </t>
  </si>
  <si>
    <t xml:space="preserve"> 69431.9618 </t>
  </si>
  <si>
    <t xml:space="preserve"> 42.2685 </t>
  </si>
  <si>
    <t xml:space="preserve">C:\Users\andre\Desktop\REACTIV CEFAS\Tamoxifen\Tamoxifen/20201219_Cefas_Test10_Run2/Plate 1/@5/E5_04.tif </t>
  </si>
  <si>
    <t xml:space="preserve"> 61104.4523 </t>
  </si>
  <si>
    <t xml:space="preserve"> 42.2241 </t>
  </si>
  <si>
    <t xml:space="preserve">C:\Users\andre\Desktop\REACTIV CEFAS\Tamoxifen\Tamoxifen/20201219_Cefas_Test10_Run2/Plate 1/@5/F5_01.tif </t>
  </si>
  <si>
    <t xml:space="preserve"> 64781.5344 </t>
  </si>
  <si>
    <t xml:space="preserve"> 47.0137 </t>
  </si>
  <si>
    <t>C:\Users\andre\Desktop\REACTIV CEFAS\Tamoxifen\Tamoxifen/20201219_Cefas_Test10_Run2/Plate 1/@5/F5_02- exclu.tif</t>
  </si>
  <si>
    <t xml:space="preserve">C:\Users\andre\Desktop\REACTIV CEFAS\Tamoxifen\Tamoxifen/20201219_Cefas_Test10_Run2/Plate 1/@5/F5_03.tif </t>
  </si>
  <si>
    <t xml:space="preserve"> 66295.627 </t>
  </si>
  <si>
    <t xml:space="preserve"> 49.9808 </t>
  </si>
  <si>
    <t xml:space="preserve">C:\Users\andre\Desktop\REACTIV CEFAS\Tamoxifen\Tamoxifen/20201219_Cefas_Test10_Run2/Plate 1/@5/F5_04.tif </t>
  </si>
  <si>
    <t xml:space="preserve"> 66425.4064 </t>
  </si>
  <si>
    <t xml:space="preserve"> 48.2081 </t>
  </si>
  <si>
    <t xml:space="preserve">C:\Users\andre\Desktop\REACTIV CEFAS\Tamoxifen\Tamoxifen/20201219_Cefas_Test10_Run2/Plate 1/@5/G5_01.tif </t>
  </si>
  <si>
    <t xml:space="preserve"> 34326.6428 </t>
  </si>
  <si>
    <t xml:space="preserve"> 32.7713 </t>
  </si>
  <si>
    <t xml:space="preserve">C:\Users\andre\Desktop\REACTIV CEFAS\Tamoxifen\Tamoxifen/20201219_Cefas_Test10_Run2/Plate 1/@5/G5_02.tif </t>
  </si>
  <si>
    <t xml:space="preserve"> 51457.5193 </t>
  </si>
  <si>
    <t xml:space="preserve"> 35.0383 </t>
  </si>
  <si>
    <t xml:space="preserve">C:\Users\andre\Desktop\REACTIV CEFAS\Tamoxifen\Tamoxifen/20201219_Cefas_Test10_Run2/Plate 1/@5/G5_03.tif </t>
  </si>
  <si>
    <t xml:space="preserve"> 31990.6142 </t>
  </si>
  <si>
    <t xml:space="preserve"> 32.4888 </t>
  </si>
  <si>
    <t xml:space="preserve">C:\Users\andre\Desktop\REACTIV CEFAS\Tamoxifen\Tamoxifen/20201219_Cefas_Test10_Run2/Plate 1/@5/G5_04.tif </t>
  </si>
  <si>
    <t xml:space="preserve"> 29892.5144 </t>
  </si>
  <si>
    <t xml:space="preserve"> 32.1773 </t>
  </si>
  <si>
    <t xml:space="preserve">C:\Users\andre\Desktop\REACTIV CEFAS\Tamoxifen\Tamoxifen/20201219_Cefas_Test10_Run2/Plate 1/@5/H5_01.tif </t>
  </si>
  <si>
    <t xml:space="preserve"> 33958.9346 </t>
  </si>
  <si>
    <t xml:space="preserve"> 34.1325 </t>
  </si>
  <si>
    <t xml:space="preserve">C:\Users\andre\Desktop\REACTIV CEFAS\Tamoxifen\Tamoxifen/20201219_Cefas_Test10_Run2/Plate 1/@5/H5_02.tif </t>
  </si>
  <si>
    <t xml:space="preserve"> 33.9132 </t>
  </si>
  <si>
    <t xml:space="preserve">C:\Users\andre\Desktop\REACTIV CEFAS\Tamoxifen\Tamoxifen/20201219_Cefas_Test10_Run2/Plate 1/@5/H5_03.tif </t>
  </si>
  <si>
    <t xml:space="preserve"> 37441.3476 </t>
  </si>
  <si>
    <t xml:space="preserve"> 33.9549 </t>
  </si>
  <si>
    <t xml:space="preserve">C:\Users\andre\Desktop\REACTIV CEFAS\Tamoxifen\Tamoxifen/20201219_Cefas_Test10_Run2/Plate 1/@5/H5_04.tif </t>
  </si>
  <si>
    <t xml:space="preserve"> 42502.7429 </t>
  </si>
  <si>
    <t xml:space="preserve"> 36.8911 </t>
  </si>
  <si>
    <t xml:space="preserve">C:\Users\andre\Desktop\REACTIV CEFAS\Tamoxifen\Tamoxifen/20201219_Cefas_Test10_Run2/Plate 1/@5/ </t>
  </si>
  <si>
    <t xml:space="preserve"> 38.3522 </t>
  </si>
  <si>
    <t xml:space="preserve"> 4.6312 </t>
  </si>
  <si>
    <t xml:space="preserve"> 1865818.38 </t>
  </si>
  <si>
    <t xml:space="preserve"> 778138.95 </t>
  </si>
  <si>
    <t xml:space="preserve">C:\Users\andre\Desktop\REACTIV CEFAS\Tamoxifen\Tamoxifen/20201219_Cefas_Test10_Run2/Plate 1/@6/A6_01.tif </t>
  </si>
  <si>
    <t xml:space="preserve"> 77326.8733 </t>
  </si>
  <si>
    <t xml:space="preserve"> 44.6187 </t>
  </si>
  <si>
    <t xml:space="preserve">C:\Users\andre\Desktop\REACTIV CEFAS\Tamoxifen\Tamoxifen/20201219_Cefas_Test10_Run2/Plate 1/@6/A6_02.tif </t>
  </si>
  <si>
    <t xml:space="preserve"> 42.0096 </t>
  </si>
  <si>
    <t xml:space="preserve">C:\Users\andre\Desktop\REACTIV CEFAS\Tamoxifen\Tamoxifen/20201219_Cefas_Test10_Run2/Plate 1/@6/A6_03.tif </t>
  </si>
  <si>
    <t xml:space="preserve"> 73887.7201 </t>
  </si>
  <si>
    <t xml:space="preserve"> 41.6133 </t>
  </si>
  <si>
    <t xml:space="preserve">C:\Users\andre\Desktop\REACTIV CEFAS\Tamoxifen\Tamoxifen/20201219_Cefas_Test10_Run2/Plate 1/@6/A6_04.tif </t>
  </si>
  <si>
    <t xml:space="preserve"> 75683.0013 </t>
  </si>
  <si>
    <t xml:space="preserve"> 43.7394 </t>
  </si>
  <si>
    <t xml:space="preserve">C:\Users\andre\Desktop\REACTIV CEFAS\Tamoxifen\Tamoxifen/20201219_Cefas_Test10_Run2/Plate 1/@6/B6_01.tif </t>
  </si>
  <si>
    <t xml:space="preserve"> 75401.8127 </t>
  </si>
  <si>
    <t xml:space="preserve"> 47.4584 </t>
  </si>
  <si>
    <t>C:\Users\andre\Desktop\REACTIV CEFAS\Tamoxifen\Tamoxifen/20201219_Cefas_Test10_Run2/Plate 1/@6/B6_02- exclu.tif</t>
  </si>
  <si>
    <t xml:space="preserve">C:\Users\andre\Desktop\REACTIV CEFAS\Tamoxifen\Tamoxifen/20201219_Cefas_Test10_Run2/Plate 1/@6/B6_03.tif </t>
  </si>
  <si>
    <t xml:space="preserve"> 68739.8051 </t>
  </si>
  <si>
    <t xml:space="preserve"> 43.8361 </t>
  </si>
  <si>
    <t xml:space="preserve">C:\Users\andre\Desktop\REACTIV CEFAS\Tamoxifen\Tamoxifen/20201219_Cefas_Test10_Run2/Plate 1/@6/B6_04.tif </t>
  </si>
  <si>
    <t xml:space="preserve"> 84745.9272 </t>
  </si>
  <si>
    <t xml:space="preserve"> 45.9342 </t>
  </si>
  <si>
    <t xml:space="preserve">C:\Users\andre\Desktop\REACTIV CEFAS\Tamoxifen\Tamoxifen/20201219_Cefas_Test10_Run2/Plate 1/@6/C6_01.tif </t>
  </si>
  <si>
    <t xml:space="preserve"> 86022.0909 </t>
  </si>
  <si>
    <t xml:space="preserve"> 42.4136 </t>
  </si>
  <si>
    <t xml:space="preserve">C:\Users\andre\Desktop\REACTIV CEFAS\Tamoxifen\Tamoxifen/20201219_Cefas_Test10_Run2/Plate 1/@6/C6_02.tif </t>
  </si>
  <si>
    <t xml:space="preserve"> 74277.0582 </t>
  </si>
  <si>
    <t xml:space="preserve"> 40.0649 </t>
  </si>
  <si>
    <t xml:space="preserve">C:\Users\andre\Desktop\REACTIV CEFAS\Tamoxifen\Tamoxifen/20201219_Cefas_Test10_Run2/Plate 1/@6/C6_03.tif </t>
  </si>
  <si>
    <t xml:space="preserve"> 76872.6455 </t>
  </si>
  <si>
    <t xml:space="preserve"> 47.1292 </t>
  </si>
  <si>
    <t xml:space="preserve">C:\Users\andre\Desktop\REACTIV CEFAS\Tamoxifen\Tamoxifen/20201219_Cefas_Test10_Run2/Plate 1/@6/C6_04.tif </t>
  </si>
  <si>
    <t xml:space="preserve"> 81501.443 </t>
  </si>
  <si>
    <t xml:space="preserve"> 44.9639 </t>
  </si>
  <si>
    <t xml:space="preserve">C:\Users\andre\Desktop\REACTIV CEFAS\Tamoxifen\Tamoxifen/20201219_Cefas_Test10_Run2/Plate 1/@6/D6_01.tif </t>
  </si>
  <si>
    <t xml:space="preserve"> 75315.2931 </t>
  </si>
  <si>
    <t xml:space="preserve"> 46.9609 </t>
  </si>
  <si>
    <t xml:space="preserve">C:\Users\andre\Desktop\REACTIV CEFAS\Tamoxifen\Tamoxifen/20201219_Cefas_Test10_Run2/Plate 1/@6/D6_02.tif </t>
  </si>
  <si>
    <t xml:space="preserve"> 83577.9128 </t>
  </si>
  <si>
    <t xml:space="preserve"> 46.5572 </t>
  </si>
  <si>
    <t xml:space="preserve">C:\Users\andre\Desktop\REACTIV CEFAS\Tamoxifen\Tamoxifen/20201219_Cefas_Test10_Run2/Plate 1/@6/D6_03.tif </t>
  </si>
  <si>
    <t xml:space="preserve"> 65711.6199 </t>
  </si>
  <si>
    <t xml:space="preserve"> 49.3776 </t>
  </si>
  <si>
    <t xml:space="preserve">C:\Users\andre\Desktop\REACTIV CEFAS\Tamoxifen\Tamoxifen/20201219_Cefas_Test10_Run2/Plate 1/@6/D6_04.tif </t>
  </si>
  <si>
    <t xml:space="preserve"> 76699.6064 </t>
  </si>
  <si>
    <t xml:space="preserve"> 48.8438 </t>
  </si>
  <si>
    <t xml:space="preserve">C:\Users\andre\Desktop\REACTIV CEFAS\Tamoxifen\Tamoxifen/20201219_Cefas_Test10_Run2/Plate 1/@6/E6_01.tif </t>
  </si>
  <si>
    <t xml:space="preserve"> 70102.4885 </t>
  </si>
  <si>
    <t xml:space="preserve"> 43.0204 </t>
  </si>
  <si>
    <t xml:space="preserve">C:\Users\andre\Desktop\REACTIV CEFAS\Tamoxifen\Tamoxifen/20201219_Cefas_Test10_Run2/Plate 1/@6/E6_02.tif </t>
  </si>
  <si>
    <t xml:space="preserve"> 71508.4316 </t>
  </si>
  <si>
    <t xml:space="preserve"> 43.1034 </t>
  </si>
  <si>
    <t xml:space="preserve">C:\Users\andre\Desktop\REACTIV CEFAS\Tamoxifen\Tamoxifen/20201219_Cefas_Test10_Run2/Plate 1/@6/E6_03.tif </t>
  </si>
  <si>
    <t xml:space="preserve"> 62099.4275 </t>
  </si>
  <si>
    <t xml:space="preserve"> 42.1181 </t>
  </si>
  <si>
    <t xml:space="preserve">C:\Users\andre\Desktop\REACTIV CEFAS\Tamoxifen\Tamoxifen/20201219_Cefas_Test10_Run2/Plate 1/@6/E6_04.tif </t>
  </si>
  <si>
    <t xml:space="preserve"> 65863.0291 </t>
  </si>
  <si>
    <t xml:space="preserve"> 42.3681 </t>
  </si>
  <si>
    <t xml:space="preserve">C:\Users\andre\Desktop\REACTIV CEFAS\Tamoxifen\Tamoxifen/20201219_Cefas_Test10_Run2/Plate 1/@6/F6_01.tif </t>
  </si>
  <si>
    <t xml:space="preserve"> 57513.8898 </t>
  </si>
  <si>
    <t xml:space="preserve"> 42.5829 </t>
  </si>
  <si>
    <t xml:space="preserve">C:\Users\andre\Desktop\REACTIV CEFAS\Tamoxifen\Tamoxifen/20201219_Cefas_Test10_Run2/Plate 1/@6/F6_02.tif </t>
  </si>
  <si>
    <t xml:space="preserve"> 61710.0894 </t>
  </si>
  <si>
    <t xml:space="preserve"> 42.6155 </t>
  </si>
  <si>
    <t xml:space="preserve">C:\Users\andre\Desktop\REACTIV CEFAS\Tamoxifen\Tamoxifen/20201219_Cefas_Test10_Run2/Plate 1/@6/F6_03.tif </t>
  </si>
  <si>
    <t xml:space="preserve"> 66317.2569 </t>
  </si>
  <si>
    <t xml:space="preserve"> 46.6725 </t>
  </si>
  <si>
    <t xml:space="preserve">C:\Users\andre\Desktop\REACTIV CEFAS\Tamoxifen\Tamoxifen/20201219_Cefas_Test10_Run2/Plate 1/@6/F6_04.tif </t>
  </si>
  <si>
    <t xml:space="preserve"> 44.5646 </t>
  </si>
  <si>
    <t xml:space="preserve">C:\Users\andre\Desktop\REACTIV CEFAS\Tamoxifen\Tamoxifen/20201219_Cefas_Test10_Run2/Plate 1/@6/G6_01.tif </t>
  </si>
  <si>
    <t xml:space="preserve"> 52733.6831 </t>
  </si>
  <si>
    <t xml:space="preserve"> 41.6448 </t>
  </si>
  <si>
    <t xml:space="preserve">C:\Users\andre\Desktop\REACTIV CEFAS\Tamoxifen\Tamoxifen/20201219_Cefas_Test10_Run2/Plate 1/@6/G6_02.tif </t>
  </si>
  <si>
    <t xml:space="preserve"> 42.3866 </t>
  </si>
  <si>
    <t xml:space="preserve">C:\Users\andre\Desktop\REACTIV CEFAS\Tamoxifen\Tamoxifen/20201219_Cefas_Test10_Run2/Plate 1/@6/G6_03.tif </t>
  </si>
  <si>
    <t xml:space="preserve"> 46.2109 </t>
  </si>
  <si>
    <t xml:space="preserve">C:\Users\andre\Desktop\REACTIV CEFAS\Tamoxifen\Tamoxifen/20201219_Cefas_Test10_Run2/Plate 1/@6/G6_04.tif </t>
  </si>
  <si>
    <t xml:space="preserve"> 63245.8119 </t>
  </si>
  <si>
    <t xml:space="preserve"> 42.6228 </t>
  </si>
  <si>
    <t xml:space="preserve">C:\Users\andre\Desktop\REACTIV CEFAS\Tamoxifen\Tamoxifen/20201219_Cefas_Test10_Run2/Plate 1/@6/H6_01.tif </t>
  </si>
  <si>
    <t xml:space="preserve"> 28097.2331 </t>
  </si>
  <si>
    <t xml:space="preserve"> 34.4172 </t>
  </si>
  <si>
    <t xml:space="preserve">C:\Users\andre\Desktop\REACTIV CEFAS\Tamoxifen\Tamoxifen/20201219_Cefas_Test10_Run2/Plate 1/@6/H6_02.tif </t>
  </si>
  <si>
    <t xml:space="preserve"> 34.5339 </t>
  </si>
  <si>
    <t xml:space="preserve">C:\Users\andre\Desktop\REACTIV CEFAS\Tamoxifen\Tamoxifen/20201219_Cefas_Test10_Run2/Plate 1/@6/H6_03.tif </t>
  </si>
  <si>
    <t xml:space="preserve"> 35.5067 </t>
  </si>
  <si>
    <t xml:space="preserve">C:\Users\andre\Desktop\REACTIV CEFAS\Tamoxifen\Tamoxifen/20201219_Cefas_Test10_Run2/Plate 1/@6/H6_04.tif </t>
  </si>
  <si>
    <t xml:space="preserve"> 46482.6436 </t>
  </si>
  <si>
    <t xml:space="preserve"> 36.7822 </t>
  </si>
  <si>
    <t xml:space="preserve">C:\Users\andre\Desktop\REACTIV CEFAS\Tamoxifen\Tamoxifen/20201219_Cefas_Test10_Run2/Plate 1/@6/ </t>
  </si>
  <si>
    <t xml:space="preserve"> 43.212 </t>
  </si>
  <si>
    <t xml:space="preserve"> 3.7964 </t>
  </si>
  <si>
    <t xml:space="preserve"> 2890210.81 </t>
  </si>
  <si>
    <t xml:space="preserve"> 782282.508 </t>
  </si>
  <si>
    <t>C:\Users\andre\Desktop\REACTIV CEFAS\Tamoxifen\Tamoxifen/20201219_Cefas_Test10_Run2/Plate 1/@7/A7_01- exclu.tif</t>
  </si>
  <si>
    <t>C:\Users\andre\Desktop\REACTIV CEFAS\Tamoxifen\Tamoxifen/20201219_Cefas_Test10_Run2/Plate 1/@7/A7_02- exclu.tif</t>
  </si>
  <si>
    <t xml:space="preserve">C:\Users\andre\Desktop\REACTIV CEFAS\Tamoxifen\Tamoxifen/20201219_Cefas_Test10_Run2/Plate 1/@7/A7_03.tif </t>
  </si>
  <si>
    <t xml:space="preserve"> 82388.2686 </t>
  </si>
  <si>
    <t xml:space="preserve"> 55.3043 </t>
  </si>
  <si>
    <t>C:\Users\andre\Desktop\REACTIV CEFAS\Tamoxifen\Tamoxifen/20201219_Cefas_Test10_Run2/Plate 1/@7/A7_04- exclu.tif</t>
  </si>
  <si>
    <t xml:space="preserve">C:\Users\andre\Desktop\REACTIV CEFAS\Tamoxifen\Tamoxifen/20201219_Cefas_Test10_Run2/Plate 1/@7/B7_01.tif </t>
  </si>
  <si>
    <t xml:space="preserve"> 71919.3996 </t>
  </si>
  <si>
    <t xml:space="preserve"> 49.4081 </t>
  </si>
  <si>
    <t>C:\Users\andre\Desktop\REACTIV CEFAS\Tamoxifen\Tamoxifen/20201219_Cefas_Test10_Run2/Plate 1/@7/B7_02- exclu.tif</t>
  </si>
  <si>
    <t>C:\Users\andre\Desktop\REACTIV CEFAS\Tamoxifen\Tamoxifen/20201219_Cefas_Test10_Run2/Plate 1/@7/B7_03- exclu.tif</t>
  </si>
  <si>
    <t>C:\Users\andre\Desktop\REACTIV CEFAS\Tamoxifen\Tamoxifen/20201219_Cefas_Test10_Run2/Plate 1/@7/B7_04- exclu.tif</t>
  </si>
  <si>
    <t xml:space="preserve">C:\Users\andre\Desktop\REACTIV CEFAS\Tamoxifen\Tamoxifen/20201219_Cefas_Test10_Run2/Plate 1/@7/C7_01.tif </t>
  </si>
  <si>
    <t xml:space="preserve"> 78256.9588 </t>
  </si>
  <si>
    <t xml:space="preserve"> 48.8029 </t>
  </si>
  <si>
    <t xml:space="preserve">C:\Users\andre\Desktop\REACTIV CEFAS\Tamoxifen\Tamoxifen/20201219_Cefas_Test10_Run2/Plate 1/@7/C7_02.tif </t>
  </si>
  <si>
    <t xml:space="preserve"> 76288.6384 </t>
  </si>
  <si>
    <t xml:space="preserve"> 47.3621 </t>
  </si>
  <si>
    <t xml:space="preserve">C:\Users\andre\Desktop\REACTIV CEFAS\Tamoxifen\Tamoxifen/20201219_Cefas_Test10_Run2/Plate 1/@7/C7_03.tif </t>
  </si>
  <si>
    <t xml:space="preserve"> 78343.4783 </t>
  </si>
  <si>
    <t xml:space="preserve"> 51.093 </t>
  </si>
  <si>
    <t xml:space="preserve">C:\Users\andre\Desktop\REACTIV CEFAS\Tamoxifen\Tamoxifen/20201219_Cefas_Test10_Run2/Plate 1/@7/C7_04.tif </t>
  </si>
  <si>
    <t xml:space="preserve"> 72741.3356 </t>
  </si>
  <si>
    <t xml:space="preserve"> 45.7868 </t>
  </si>
  <si>
    <t xml:space="preserve">C:\Users\andre\Desktop\REACTIV CEFAS\Tamoxifen\Tamoxifen/20201219_Cefas_Test10_Run2/Plate 1/@7/D7_01.tif </t>
  </si>
  <si>
    <t xml:space="preserve"> 93462.7747 </t>
  </si>
  <si>
    <t xml:space="preserve"> 54.6313 </t>
  </si>
  <si>
    <t xml:space="preserve">C:\Users\andre\Desktop\REACTIV CEFAS\Tamoxifen\Tamoxifen/20201219_Cefas_Test10_Run2/Plate 1/@7/D7_02.tif </t>
  </si>
  <si>
    <t xml:space="preserve"> 94133.3014 </t>
  </si>
  <si>
    <t xml:space="preserve"> 54.3603 </t>
  </si>
  <si>
    <t xml:space="preserve">C:\Users\andre\Desktop\REACTIV CEFAS\Tamoxifen\Tamoxifen/20201219_Cefas_Test10_Run2/Plate 1/@7/D7_03.tif </t>
  </si>
  <si>
    <t xml:space="preserve"> 83599.5427 </t>
  </si>
  <si>
    <t xml:space="preserve"> 50.3211 </t>
  </si>
  <si>
    <t xml:space="preserve">C:\Users\andre\Desktop\REACTIV CEFAS\Tamoxifen\Tamoxifen/20201219_Cefas_Test10_Run2/Plate 1/@7/D7_04.tif </t>
  </si>
  <si>
    <t xml:space="preserve"> 93830.4829 </t>
  </si>
  <si>
    <t xml:space="preserve"> 54.5931 </t>
  </si>
  <si>
    <t xml:space="preserve">C:\Users\andre\Desktop\REACTIV CEFAS\Tamoxifen\Tamoxifen/20201219_Cefas_Test10_Run2/Plate 1/@7/E7_01.tif </t>
  </si>
  <si>
    <t xml:space="preserve"> 76396.7878 </t>
  </si>
  <si>
    <t xml:space="preserve"> 50.4881 </t>
  </si>
  <si>
    <t xml:space="preserve">C:\Users\andre\Desktop\REACTIV CEFAS\Tamoxifen\Tamoxifen/20201219_Cefas_Test10_Run2/Plate 1/@7/E7_02.tif </t>
  </si>
  <si>
    <t xml:space="preserve"> 75358.5529 </t>
  </si>
  <si>
    <t xml:space="preserve"> 48.0772 </t>
  </si>
  <si>
    <t xml:space="preserve">C:\Users\andre\Desktop\REACTIV CEFAS\Tamoxifen\Tamoxifen/20201219_Cefas_Test10_Run2/Plate 1/@7/E7_03.tif </t>
  </si>
  <si>
    <t xml:space="preserve"> 75250.4034 </t>
  </si>
  <si>
    <t xml:space="preserve"> 48.3599 </t>
  </si>
  <si>
    <t xml:space="preserve">C:\Users\andre\Desktop\REACTIV CEFAS\Tamoxifen\Tamoxifen/20201219_Cefas_Test10_Run2/Plate 1/@7/E7_04.tif </t>
  </si>
  <si>
    <t xml:space="preserve"> 88596.0484 </t>
  </si>
  <si>
    <t xml:space="preserve"> 49.3645 </t>
  </si>
  <si>
    <t xml:space="preserve">C:\Users\andre\Desktop\REACTIV CEFAS\Tamoxifen\Tamoxifen/20201219_Cefas_Test10_Run2/Plate 1/@7/F7_01.tif </t>
  </si>
  <si>
    <t xml:space="preserve"> 45.425 </t>
  </si>
  <si>
    <t xml:space="preserve">C:\Users\andre\Desktop\REACTIV CEFAS\Tamoxifen\Tamoxifen/20201219_Cefas_Test10_Run2/Plate 1/@7/F7_02.tif </t>
  </si>
  <si>
    <t xml:space="preserve"> 66122.5879 </t>
  </si>
  <si>
    <t xml:space="preserve"> 47.0723 </t>
  </si>
  <si>
    <t xml:space="preserve">C:\Users\andre\Desktop\REACTIV CEFAS\Tamoxifen\Tamoxifen/20201219_Cefas_Test10_Run2/Plate 1/@7/F7_03.tif </t>
  </si>
  <si>
    <t xml:space="preserve"> 49.935 </t>
  </si>
  <si>
    <t xml:space="preserve">C:\Users\andre\Desktop\REACTIV CEFAS\Tamoxifen\Tamoxifen/20201219_Cefas_Test10_Run2/Plate 1/@7/F7_04.tif </t>
  </si>
  <si>
    <t xml:space="preserve"> 70773.0152 </t>
  </si>
  <si>
    <t xml:space="preserve"> 47.6745 </t>
  </si>
  <si>
    <t xml:space="preserve">C:\Users\andre\Desktop\REACTIV CEFAS\Tamoxifen\Tamoxifen/20201219_Cefas_Test10_Run2/Plate 1/@7/G7_01.tif </t>
  </si>
  <si>
    <t xml:space="preserve"> 62532.0254 </t>
  </si>
  <si>
    <t xml:space="preserve"> 43.5738 </t>
  </si>
  <si>
    <t xml:space="preserve">C:\Users\andre\Desktop\REACTIV CEFAS\Tamoxifen\Tamoxifen/20201219_Cefas_Test10_Run2/Plate 1/@7/G7_02.tif </t>
  </si>
  <si>
    <t xml:space="preserve"> 67528.531 </t>
  </si>
  <si>
    <t xml:space="preserve"> 48.8792 </t>
  </si>
  <si>
    <t xml:space="preserve">C:\Users\andre\Desktop\REACTIV CEFAS\Tamoxifen\Tamoxifen/20201219_Cefas_Test10_Run2/Plate 1/@7/G7_03.tif </t>
  </si>
  <si>
    <t xml:space="preserve"> 44.0613 </t>
  </si>
  <si>
    <t xml:space="preserve">C:\Users\andre\Desktop\REACTIV CEFAS\Tamoxifen\Tamoxifen/20201219_Cefas_Test10_Run2/Plate 1/@7/G7_04.tif </t>
  </si>
  <si>
    <t xml:space="preserve"> 43.5007 </t>
  </si>
  <si>
    <t xml:space="preserve">C:\Users\andre\Desktop\REACTIV CEFAS\Tamoxifen\Tamoxifen/20201219_Cefas_Test10_Run2/Plate 1/@7/H7_01.tif </t>
  </si>
  <si>
    <t xml:space="preserve"> 89526.1339 </t>
  </si>
  <si>
    <t xml:space="preserve"> 49.517 </t>
  </si>
  <si>
    <t xml:space="preserve">C:\Users\andre\Desktop\REACTIV CEFAS\Tamoxifen\Tamoxifen/20201219_Cefas_Test10_Run2/Plate 1/@7/H7_02.tif </t>
  </si>
  <si>
    <t xml:space="preserve"> 92554.3191 </t>
  </si>
  <si>
    <t xml:space="preserve"> 49.8934 </t>
  </si>
  <si>
    <t xml:space="preserve">C:\Users\andre\Desktop\REACTIV CEFAS\Tamoxifen\Tamoxifen/20201219_Cefas_Test10_Run2/Plate 1/@7/H7_03.tif </t>
  </si>
  <si>
    <t xml:space="preserve"> 85329.9343 </t>
  </si>
  <si>
    <t xml:space="preserve"> 52.4043 </t>
  </si>
  <si>
    <t xml:space="preserve">C:\Users\andre\Desktop\REACTIV CEFAS\Tamoxifen\Tamoxifen/20201219_Cefas_Test10_Run2/Plate 1/@7/H7_04.tif </t>
  </si>
  <si>
    <t xml:space="preserve"> 99735.4441 </t>
  </si>
  <si>
    <t xml:space="preserve"> 52.8447 </t>
  </si>
  <si>
    <t xml:space="preserve">C:\Users\andre\Desktop\REACTIV CEFAS\Tamoxifen\Tamoxifen/20201219_Cefas_Test10_Run2/Plate 1/@7/ </t>
  </si>
  <si>
    <t xml:space="preserve"> 48.78 </t>
  </si>
  <si>
    <t xml:space="preserve"> 5.0179 </t>
  </si>
  <si>
    <t xml:space="preserve"> 3560015.09 </t>
  </si>
  <si>
    <t xml:space="preserve"> 1102789.07 </t>
  </si>
  <si>
    <t>C:\Users\andre\Desktop\REACTIV CEFAS\Tamoxifen\Tamoxifen/20201219_Cefas_Test10_Run2/Plate 4/@10/A4_01- exclu.tif</t>
  </si>
  <si>
    <t xml:space="preserve">C:\Users\andre\Desktop\REACTIV CEFAS\Tamoxifen\Tamoxifen/20201219_Cefas_Test10_Run2/Plate 4/@10/A4_02.tif </t>
  </si>
  <si>
    <t xml:space="preserve"> 12977.9368 </t>
  </si>
  <si>
    <t xml:space="preserve"> 40.4367 </t>
  </si>
  <si>
    <t xml:space="preserve">C:\Users\andre\Desktop\REACTIV CEFAS\Tamoxifen\Tamoxifen/20201219_Cefas_Test10_Run2/Plate 4/@10/A4_03.tif </t>
  </si>
  <si>
    <t xml:space="preserve"> 31.5429 </t>
  </si>
  <si>
    <t xml:space="preserve">C:\Users\andre\Desktop\REACTIV CEFAS\Tamoxifen\Tamoxifen/20201219_Cefas_Test10_Run2/Plate 4/@10/A4_04.tif </t>
  </si>
  <si>
    <t xml:space="preserve"> 12740.0079 </t>
  </si>
  <si>
    <t xml:space="preserve"> 34.9626 </t>
  </si>
  <si>
    <t xml:space="preserve">C:\Users\andre\Desktop\REACTIV CEFAS\Tamoxifen\Tamoxifen/20201219_Cefas_Test10_Run2/Plate 4/@10/B4_01.tif </t>
  </si>
  <si>
    <t xml:space="preserve"> 33.5101 </t>
  </si>
  <si>
    <t xml:space="preserve">C:\Users\andre\Desktop\REACTIV CEFAS\Tamoxifen\Tamoxifen/20201219_Cefas_Test10_Run2/Plate 4/@10/B4_02.tif </t>
  </si>
  <si>
    <t xml:space="preserve"> 14189.2109 </t>
  </si>
  <si>
    <t xml:space="preserve"> 34.7287 </t>
  </si>
  <si>
    <t xml:space="preserve">C:\Users\andre\Desktop\REACTIV CEFAS\Tamoxifen\Tamoxifen/20201219_Cefas_Test10_Run2/Plate 4/@10/B4_03.tif </t>
  </si>
  <si>
    <t xml:space="preserve"> 16871.3178 </t>
  </si>
  <si>
    <t xml:space="preserve"> 33.7449 </t>
  </si>
  <si>
    <t xml:space="preserve">C:\Users\andre\Desktop\REACTIV CEFAS\Tamoxifen\Tamoxifen/20201219_Cefas_Test10_Run2/Plate 4/@10/B4_04.tif </t>
  </si>
  <si>
    <t xml:space="preserve"> 12913.0471 </t>
  </si>
  <si>
    <t xml:space="preserve"> 33.5712 </t>
  </si>
  <si>
    <t>C:\Users\andre\Desktop\REACTIV CEFAS\Tamoxifen\Tamoxifen/20201219_Cefas_Test10_Run2/Plate 4/@10/C4_01- exclu.tif</t>
  </si>
  <si>
    <t>C:\Users\andre\Desktop\REACTIV CEFAS\Tamoxifen\Tamoxifen/20201219_Cefas_Test10_Run2/Plate 4/@10/C4_02- exclu.tif</t>
  </si>
  <si>
    <t>C:\Users\andre\Desktop\REACTIV CEFAS\Tamoxifen\Tamoxifen/20201219_Cefas_Test10_Run2/Plate 4/@10/C4_03- exclu.tif</t>
  </si>
  <si>
    <t>C:\Users\andre\Desktop\REACTIV CEFAS\Tamoxifen\Tamoxifen/20201219_Cefas_Test10_Run2/Plate 4/@10/C4_04- exclu.tif</t>
  </si>
  <si>
    <t xml:space="preserve">C:\Users\andre\Desktop\REACTIV CEFAS\Tamoxifen\Tamoxifen/20201219_Cefas_Test10_Run2/Plate 4/@10/D4_01.tif </t>
  </si>
  <si>
    <t xml:space="preserve"> 9149.4454 </t>
  </si>
  <si>
    <t xml:space="preserve"> 39.2199 </t>
  </si>
  <si>
    <t xml:space="preserve">C:\Users\andre\Desktop\REACTIV CEFAS\Tamoxifen\Tamoxifen/20201219_Cefas_Test10_Run2/Plate 4/@10/D4_02.tif </t>
  </si>
  <si>
    <t xml:space="preserve"> 12566.9688 </t>
  </si>
  <si>
    <t xml:space="preserve"> 46.5353 </t>
  </si>
  <si>
    <t xml:space="preserve">C:\Users\andre\Desktop\REACTIV CEFAS\Tamoxifen\Tamoxifen/20201219_Cefas_Test10_Run2/Plate 4/@10/D4_03.tif </t>
  </si>
  <si>
    <t xml:space="preserve"> 43.3142 </t>
  </si>
  <si>
    <t xml:space="preserve">C:\Users\andre\Desktop\REACTIV CEFAS\Tamoxifen\Tamoxifen/20201219_Cefas_Test10_Run2/Plate 4/@10/D4_04.tif </t>
  </si>
  <si>
    <t xml:space="preserve"> 10706.7978 </t>
  </si>
  <si>
    <t xml:space="preserve"> 46.2 </t>
  </si>
  <si>
    <t xml:space="preserve">C:\Users\andre\Desktop\REACTIV CEFAS\Tamoxifen\Tamoxifen/20201219_Cefas_Test10_Run2/Plate 4/@10/E4_01.tif </t>
  </si>
  <si>
    <t xml:space="preserve"> 11398.9545 </t>
  </si>
  <si>
    <t xml:space="preserve"> 40.3662 </t>
  </si>
  <si>
    <t xml:space="preserve">C:\Users\andre\Desktop\REACTIV CEFAS\Tamoxifen\Tamoxifen/20201219_Cefas_Test10_Run2/Plate 4/@10/E4_02.tif </t>
  </si>
  <si>
    <t xml:space="preserve"> 10079.5309 </t>
  </si>
  <si>
    <t xml:space="preserve"> 39.2124 </t>
  </si>
  <si>
    <t xml:space="preserve">C:\Users\andre\Desktop\REACTIV CEFAS\Tamoxifen\Tamoxifen/20201219_Cefas_Test10_Run2/Plate 4/@10/E4_03.tif </t>
  </si>
  <si>
    <t xml:space="preserve"> 17260.6559 </t>
  </si>
  <si>
    <t xml:space="preserve"> 41.307 </t>
  </si>
  <si>
    <t xml:space="preserve">C:\Users\andre\Desktop\REACTIV CEFAS\Tamoxifen\Tamoxifen/20201219_Cefas_Test10_Run2/Plate 4/@10/E4_04.tif </t>
  </si>
  <si>
    <t xml:space="preserve"> 46.0963 </t>
  </si>
  <si>
    <t xml:space="preserve">C:\Users\andre\Desktop\REACTIV CEFAS\Tamoxifen\Tamoxifen/20201219_Cefas_Test10_Run2/Plate 4/@10/F4_01.tif </t>
  </si>
  <si>
    <t xml:space="preserve">C:\Users\andre\Desktop\REACTIV CEFAS\Tamoxifen\Tamoxifen/20201219_Cefas_Test10_Run2/Plate 4/@10/F4_02.tif </t>
  </si>
  <si>
    <t xml:space="preserve"> 33.2833 </t>
  </si>
  <si>
    <t xml:space="preserve">C:\Users\andre\Desktop\REACTIV CEFAS\Tamoxifen\Tamoxifen/20201219_Cefas_Test10_Run2/Plate 4/@10/F4_03.tif </t>
  </si>
  <si>
    <t xml:space="preserve"> 36.776 </t>
  </si>
  <si>
    <t xml:space="preserve">C:\Users\andre\Desktop\REACTIV CEFAS\Tamoxifen\Tamoxifen/20201219_Cefas_Test10_Run2/Plate 4/@10/F4_04.tif </t>
  </si>
  <si>
    <t xml:space="preserve">C:\Users\andre\Desktop\REACTIV CEFAS\Tamoxifen\Tamoxifen/20201219_Cefas_Test10_Run2/Plate 4/@10/G4_01.tif </t>
  </si>
  <si>
    <t xml:space="preserve"> 44124.985 </t>
  </si>
  <si>
    <t xml:space="preserve"> 35.602 </t>
  </si>
  <si>
    <t xml:space="preserve">C:\Users\andre\Desktop\REACTIV CEFAS\Tamoxifen\Tamoxifen/20201219_Cefas_Test10_Run2/Plate 4/@10/G4_02.tif </t>
  </si>
  <si>
    <t xml:space="preserve"> 32942.3295 </t>
  </si>
  <si>
    <t xml:space="preserve">C:\Users\andre\Desktop\REACTIV CEFAS\Tamoxifen\Tamoxifen/20201219_Cefas_Test10_Run2/Plate 4/@10/G4_03.tif </t>
  </si>
  <si>
    <t xml:space="preserve"> 31925.7245 </t>
  </si>
  <si>
    <t xml:space="preserve"> 34.9695 </t>
  </si>
  <si>
    <t xml:space="preserve">C:\Users\andre\Desktop\REACTIV CEFAS\Tamoxifen\Tamoxifen/20201219_Cefas_Test10_Run2/Plate 4/@10/G4_04.tif </t>
  </si>
  <si>
    <t xml:space="preserve"> 31255.1977 </t>
  </si>
  <si>
    <t xml:space="preserve"> 34.0554 </t>
  </si>
  <si>
    <t xml:space="preserve">C:\Users\andre\Desktop\REACTIV CEFAS\Tamoxifen\Tamoxifen/20201219_Cefas_Test10_Run2/Plate 4/@10/H4_01.tif </t>
  </si>
  <si>
    <t xml:space="preserve"> 25523.2757 </t>
  </si>
  <si>
    <t xml:space="preserve"> 34.4864 </t>
  </si>
  <si>
    <t xml:space="preserve">C:\Users\andre\Desktop\REACTIV CEFAS\Tamoxifen\Tamoxifen/20201219_Cefas_Test10_Run2/Plate 4/@10/H4_02.tif </t>
  </si>
  <si>
    <t xml:space="preserve"> 15184.186 </t>
  </si>
  <si>
    <t xml:space="preserve"> 32.2507 </t>
  </si>
  <si>
    <t xml:space="preserve">C:\Users\andre\Desktop\REACTIV CEFAS\Tamoxifen\Tamoxifen/20201219_Cefas_Test10_Run2/Plate 4/@10/H4_03.tif </t>
  </si>
  <si>
    <t xml:space="preserve"> 23511.6955 </t>
  </si>
  <si>
    <t xml:space="preserve"> 32.6044 </t>
  </si>
  <si>
    <t xml:space="preserve">C:\Users\andre\Desktop\REACTIV CEFAS\Tamoxifen\Tamoxifen/20201219_Cefas_Test10_Run2/Plate 4/@10/H4_04.tif </t>
  </si>
  <si>
    <t xml:space="preserve"> 32.8614 </t>
  </si>
  <si>
    <t xml:space="preserve">C:\Users\andre\Desktop\REACTIV CEFAS\Tamoxifen\Tamoxifen/20201219_Cefas_Test10_Run2/Plate 4/@10/ </t>
  </si>
  <si>
    <t xml:space="preserve"> 35.3408 </t>
  </si>
  <si>
    <t xml:space="preserve"> 7.9844 </t>
  </si>
  <si>
    <t xml:space="preserve"> 500177.75 </t>
  </si>
  <si>
    <t xml:space="preserve"> 403631.88 </t>
  </si>
  <si>
    <t xml:space="preserve">C:\Users\andre\Desktop\REACTIV CEFAS\Tamoxifen\Tamoxifen/20201219_Cefas_Test10_Run2/Plate 4/@11/A5_01.tif </t>
  </si>
  <si>
    <t xml:space="preserve"> 35473.0272 </t>
  </si>
  <si>
    <t xml:space="preserve"> 33.989 </t>
  </si>
  <si>
    <t xml:space="preserve">C:\Users\andre\Desktop\REACTIV CEFAS\Tamoxifen\Tamoxifen/20201219_Cefas_Test10_Run2/Plate 4/@11/A5_02.tif </t>
  </si>
  <si>
    <t xml:space="preserve"> 27967.4538 </t>
  </si>
  <si>
    <t xml:space="preserve"> 34.297 </t>
  </si>
  <si>
    <t xml:space="preserve">C:\Users\andre\Desktop\REACTIV CEFAS\Tamoxifen\Tamoxifen/20201219_Cefas_Test10_Run2/Plate 4/@11/A5_03.tif </t>
  </si>
  <si>
    <t xml:space="preserve"> 23619.8449 </t>
  </si>
  <si>
    <t xml:space="preserve"> 33.7912 </t>
  </si>
  <si>
    <t>C:\Users\andre\Desktop\REACTIV CEFAS\Tamoxifen\Tamoxifen/20201219_Cefas_Test10_Run2/Plate 4/@11/A5_04- exclu.tif</t>
  </si>
  <si>
    <t xml:space="preserve">C:\Users\andre\Desktop\REACTIV CEFAS\Tamoxifen\Tamoxifen/20201219_Cefas_Test10_Run2/Plate 4/@11/B5_01.tif </t>
  </si>
  <si>
    <t xml:space="preserve"> 32.8125 </t>
  </si>
  <si>
    <t xml:space="preserve">C:\Users\andre\Desktop\REACTIV CEFAS\Tamoxifen\Tamoxifen/20201219_Cefas_Test10_Run2/Plate 4/@11/B5_02.tif </t>
  </si>
  <si>
    <t xml:space="preserve"> 16892.9477 </t>
  </si>
  <si>
    <t xml:space="preserve"> 33.306 </t>
  </si>
  <si>
    <t xml:space="preserve">C:\Users\andre\Desktop\REACTIV CEFAS\Tamoxifen\Tamoxifen/20201219_Cefas_Test10_Run2/Plate 4/@11/B5_03.tif </t>
  </si>
  <si>
    <t xml:space="preserve"> 32.6343 </t>
  </si>
  <si>
    <t>C:\Users\andre\Desktop\REACTIV CEFAS\Tamoxifen\Tamoxifen/20201219_Cefas_Test10_Run2/Plate 4/@11/B5_04- exclu.tif</t>
  </si>
  <si>
    <t xml:space="preserve">C:\Users\andre\Desktop\REACTIV CEFAS\Tamoxifen\Tamoxifen/20201219_Cefas_Test10_Run2/Plate 4/@11/C5_01.tif </t>
  </si>
  <si>
    <t xml:space="preserve"> 34.6789 </t>
  </si>
  <si>
    <t xml:space="preserve">C:\Users\andre\Desktop\REACTIV CEFAS\Tamoxifen\Tamoxifen/20201219_Cefas_Test10_Run2/Plate 4/@11/C5_02.tif </t>
  </si>
  <si>
    <t xml:space="preserve"> 31.6327 </t>
  </si>
  <si>
    <t>C:\Users\andre\Desktop\REACTIV CEFAS\Tamoxifen\Tamoxifen/20201219_Cefas_Test10_Run2/Plate 4/@11/C5_03- exclu.tif</t>
  </si>
  <si>
    <t xml:space="preserve">C:\Users\andre\Desktop\REACTIV CEFAS\Tamoxifen\Tamoxifen/20201219_Cefas_Test10_Run2/Plate 4/@11/C5_04.tif </t>
  </si>
  <si>
    <t xml:space="preserve"> 8738.4774 </t>
  </si>
  <si>
    <t xml:space="preserve"> 32.5248 </t>
  </si>
  <si>
    <t xml:space="preserve">C:\Users\andre\Desktop\REACTIV CEFAS\Tamoxifen\Tamoxifen/20201219_Cefas_Test10_Run2/Plate 4/@11/D5_01.tif </t>
  </si>
  <si>
    <t xml:space="preserve"> 40664.2019 </t>
  </si>
  <si>
    <t xml:space="preserve"> 35.9649 </t>
  </si>
  <si>
    <t xml:space="preserve">C:\Users\andre\Desktop\REACTIV CEFAS\Tamoxifen\Tamoxifen/20201219_Cefas_Test10_Run2/Plate 4/@11/D5_02.tif </t>
  </si>
  <si>
    <t xml:space="preserve"> 37.5408 </t>
  </si>
  <si>
    <t xml:space="preserve">C:\Users\andre\Desktop\REACTIV CEFAS\Tamoxifen\Tamoxifen/20201219_Cefas_Test10_Run2/Plate 4/@11/D5_03.tif </t>
  </si>
  <si>
    <t xml:space="preserve"> 34542.9417 </t>
  </si>
  <si>
    <t xml:space="preserve"> 34.7514 </t>
  </si>
  <si>
    <t>C:\Users\andre\Desktop\REACTIV CEFAS\Tamoxifen\Tamoxifen/20201219_Cefas_Test10_Run2/Plate 4/@11/D5_04- exclu.tif</t>
  </si>
  <si>
    <t xml:space="preserve">C:\Users\andre\Desktop\REACTIV CEFAS\Tamoxifen\Tamoxifen/20201219_Cefas_Test10_Run2/Plate 4/@11/E5_01.tif </t>
  </si>
  <si>
    <t xml:space="preserve"> 7635.3528 </t>
  </si>
  <si>
    <t xml:space="preserve"> 38.898 </t>
  </si>
  <si>
    <t xml:space="preserve">C:\Users\andre\Desktop\REACTIV CEFAS\Tamoxifen\Tamoxifen/20201219_Cefas_Test10_Run2/Plate 4/@11/E5_02.tif </t>
  </si>
  <si>
    <t xml:space="preserve"> 39.1125 </t>
  </si>
  <si>
    <t xml:space="preserve">C:\Users\andre\Desktop\REACTIV CEFAS\Tamoxifen\Tamoxifen/20201219_Cefas_Test10_Run2/Plate 4/@11/E5_03.tif </t>
  </si>
  <si>
    <t xml:space="preserve"> 36.2121 </t>
  </si>
  <si>
    <t xml:space="preserve">C:\Users\andre\Desktop\REACTIV CEFAS\Tamoxifen\Tamoxifen/20201219_Cefas_Test10_Run2/Plate 4/@11/E5_04.tif </t>
  </si>
  <si>
    <t xml:space="preserve"> 3093.0749 </t>
  </si>
  <si>
    <t xml:space="preserve"> 34.965 </t>
  </si>
  <si>
    <t xml:space="preserve">C:\Users\andre\Desktop\REACTIV CEFAS\Tamoxifen\Tamoxifen/20201219_Cefas_Test10_Run2/Plate 4/@11/F5_01.tif </t>
  </si>
  <si>
    <t xml:space="preserve"> 37.7364 </t>
  </si>
  <si>
    <t xml:space="preserve">C:\Users\andre\Desktop\REACTIV CEFAS\Tamoxifen\Tamoxifen/20201219_Cefas_Test10_Run2/Plate 4/@11/F5_02.tif </t>
  </si>
  <si>
    <t xml:space="preserve"> 7008.0859 </t>
  </si>
  <si>
    <t xml:space="preserve"> 36.5062 </t>
  </si>
  <si>
    <t xml:space="preserve">C:\Users\andre\Desktop\REACTIV CEFAS\Tamoxifen\Tamoxifen/20201219_Cefas_Test10_Run2/Plate 4/@11/F5_03.tif </t>
  </si>
  <si>
    <t xml:space="preserve"> 8522.1785 </t>
  </si>
  <si>
    <t xml:space="preserve"> 36.7487 </t>
  </si>
  <si>
    <t xml:space="preserve">C:\Users\andre\Desktop\REACTIV CEFAS\Tamoxifen\Tamoxifen/20201219_Cefas_Test10_Run2/Plate 4/@11/F5_04.tif </t>
  </si>
  <si>
    <t xml:space="preserve"> 2811.8863 </t>
  </si>
  <si>
    <t xml:space="preserve"> 33.3462 </t>
  </si>
  <si>
    <t xml:space="preserve">C:\Users\andre\Desktop\REACTIV CEFAS\Tamoxifen\Tamoxifen/20201219_Cefas_Test10_Run2/Plate 4/@11/G5_01.tif </t>
  </si>
  <si>
    <t xml:space="preserve"> 23857.7738 </t>
  </si>
  <si>
    <t xml:space="preserve"> 35.9619 </t>
  </si>
  <si>
    <t xml:space="preserve">C:\Users\andre\Desktop\REACTIV CEFAS\Tamoxifen\Tamoxifen/20201219_Cefas_Test10_Run2/Plate 4/@11/G5_02.tif </t>
  </si>
  <si>
    <t xml:space="preserve"> 35.837 </t>
  </si>
  <si>
    <t xml:space="preserve">C:\Users\andre\Desktop\REACTIV CEFAS\Tamoxifen\Tamoxifen/20201219_Cefas_Test10_Run2/Plate 4/@11/G5_03.tif </t>
  </si>
  <si>
    <t xml:space="preserve"> 7721.8724 </t>
  </si>
  <si>
    <t xml:space="preserve"> 35.6807 </t>
  </si>
  <si>
    <t xml:space="preserve">C:\Users\andre\Desktop\REACTIV CEFAS\Tamoxifen\Tamoxifen/20201219_Cefas_Test10_Run2/Plate 4/@11/G5_04.tif </t>
  </si>
  <si>
    <t xml:space="preserve"> 25588.1653 </t>
  </si>
  <si>
    <t xml:space="preserve"> 34.3212 </t>
  </si>
  <si>
    <t xml:space="preserve">C:\Users\andre\Desktop\REACTIV CEFAS\Tamoxifen\Tamoxifen/20201219_Cefas_Test10_Run2/Plate 4/@11/H5_01.tif </t>
  </si>
  <si>
    <t xml:space="preserve"> 32.1032 </t>
  </si>
  <si>
    <t xml:space="preserve">C:\Users\andre\Desktop\REACTIV CEFAS\Tamoxifen\Tamoxifen/20201219_Cefas_Test10_Run2/Plate 4/@11/H5_02.tif </t>
  </si>
  <si>
    <t xml:space="preserve"> 40.6232 </t>
  </si>
  <si>
    <t>C:\Users\andre\Desktop\REACTIV CEFAS\Tamoxifen\Tamoxifen/20201219_Cefas_Test10_Run2/Plate 4/@11/H5_03- exclu.tif</t>
  </si>
  <si>
    <t xml:space="preserve">C:\Users\andre\Desktop\REACTIV CEFAS\Tamoxifen\Tamoxifen/20201219_Cefas_Test10_Run2/Plate 4/@11/H5_04.tif </t>
  </si>
  <si>
    <t xml:space="preserve"> 5472.3633 </t>
  </si>
  <si>
    <t xml:space="preserve"> 33.0158 </t>
  </si>
  <si>
    <t xml:space="preserve">C:\Users\andre\Desktop\REACTIV CEFAS\Tamoxifen\Tamoxifen/20201219_Cefas_Test10_Run2/Plate 4/@11/ </t>
  </si>
  <si>
    <t xml:space="preserve"> 34.779 </t>
  </si>
  <si>
    <t xml:space="preserve"> 2.3782 </t>
  </si>
  <si>
    <t xml:space="preserve"> 505136.469 </t>
  </si>
  <si>
    <t xml:space="preserve"> 413901.574 </t>
  </si>
  <si>
    <t xml:space="preserve">C:\Users\andre\Desktop\REACTIV CEFAS\Tamoxifen\Tamoxifen/20201219_Cefas_Test10_Run2/Plate 4/@12/A6_01.tif </t>
  </si>
  <si>
    <t xml:space="preserve"> 36.7236 </t>
  </si>
  <si>
    <t xml:space="preserve">C:\Users\andre\Desktop\REACTIV CEFAS\Tamoxifen\Tamoxifen/20201219_Cefas_Test10_Run2/Plate 4/@12/A6_02.tif </t>
  </si>
  <si>
    <t xml:space="preserve"> 36.9071 </t>
  </si>
  <si>
    <t xml:space="preserve">C:\Users\andre\Desktop\REACTIV CEFAS\Tamoxifen\Tamoxifen/20201219_Cefas_Test10_Run2/Plate 4/@12/A6_03.tif </t>
  </si>
  <si>
    <t xml:space="preserve"> 35.7955 </t>
  </si>
  <si>
    <t xml:space="preserve">C:\Users\andre\Desktop\REACTIV CEFAS\Tamoxifen\Tamoxifen/20201219_Cefas_Test10_Run2/Plate 4/@12/A6_04.tif </t>
  </si>
  <si>
    <t xml:space="preserve"> 12826.5275 </t>
  </si>
  <si>
    <t xml:space="preserve"> 42.6526 </t>
  </si>
  <si>
    <t xml:space="preserve">C:\Users\andre\Desktop\REACTIV CEFAS\Tamoxifen\Tamoxifen/20201219_Cefas_Test10_Run2/Plate 4/@12/B6_01.tif </t>
  </si>
  <si>
    <t xml:space="preserve"> 35.6536 </t>
  </si>
  <si>
    <t xml:space="preserve">C:\Users\andre\Desktop\REACTIV CEFAS\Tamoxifen\Tamoxifen/20201219_Cefas_Test10_Run2/Plate 4/@12/B6_02.tif </t>
  </si>
  <si>
    <t xml:space="preserve"> 36.0033 </t>
  </si>
  <si>
    <t xml:space="preserve">C:\Users\andre\Desktop\REACTIV CEFAS\Tamoxifen\Tamoxifen/20201219_Cefas_Test10_Run2/Plate 4/@12/B6_03.tif </t>
  </si>
  <si>
    <t xml:space="preserve"> 38.3993 </t>
  </si>
  <si>
    <t xml:space="preserve">C:\Users\andre\Desktop\REACTIV CEFAS\Tamoxifen\Tamoxifen/20201219_Cefas_Test10_Run2/Plate 4/@12/B6_04.tif </t>
  </si>
  <si>
    <t xml:space="preserve"> 9344.1145 </t>
  </si>
  <si>
    <t xml:space="preserve"> 42.1898 </t>
  </si>
  <si>
    <t xml:space="preserve">C:\Users\andre\Desktop\REACTIV CEFAS\Tamoxifen\Tamoxifen/20201219_Cefas_Test10_Run2/Plate 4/@12/C6_01.tif </t>
  </si>
  <si>
    <t xml:space="preserve"> 33.6927 </t>
  </si>
  <si>
    <t xml:space="preserve">C:\Users\andre\Desktop\REACTIV CEFAS\Tamoxifen\Tamoxifen/20201219_Cefas_Test10_Run2/Plate 4/@12/C6_02.tif </t>
  </si>
  <si>
    <t xml:space="preserve"> 26669.6601 </t>
  </si>
  <si>
    <t xml:space="preserve"> 33.9781 </t>
  </si>
  <si>
    <t xml:space="preserve">C:\Users\andre\Desktop\REACTIV CEFAS\Tamoxifen\Tamoxifen/20201219_Cefas_Test10_Run2/Plate 4/@12/C6_03.tif </t>
  </si>
  <si>
    <t xml:space="preserve"> 30433.2617 </t>
  </si>
  <si>
    <t xml:space="preserve"> 33.6795 </t>
  </si>
  <si>
    <t xml:space="preserve">C:\Users\andre\Desktop\REACTIV CEFAS\Tamoxifen\Tamoxifen/20201219_Cefas_Test10_Run2/Plate 4/@12/C6_04.tif </t>
  </si>
  <si>
    <t xml:space="preserve"> 33764.2655 </t>
  </si>
  <si>
    <t xml:space="preserve"> 33.9071 </t>
  </si>
  <si>
    <t xml:space="preserve">C:\Users\andre\Desktop\REACTIV CEFAS\Tamoxifen\Tamoxifen/20201219_Cefas_Test10_Run2/Plate 4/@12/D6_01.tif </t>
  </si>
  <si>
    <t xml:space="preserve">C:\Users\andre\Desktop\REACTIV CEFAS\Tamoxifen\Tamoxifen/20201219_Cefas_Test10_Run2/Plate 4/@12/D6_02.tif </t>
  </si>
  <si>
    <t xml:space="preserve"> 3417.5234 </t>
  </si>
  <si>
    <t xml:space="preserve"> 32.443 </t>
  </si>
  <si>
    <t xml:space="preserve">C:\Users\andre\Desktop\REACTIV CEFAS\Tamoxifen\Tamoxifen/20201219_Cefas_Test10_Run2/Plate 4/@12/D6_03.tif </t>
  </si>
  <si>
    <t xml:space="preserve">C:\Users\andre\Desktop\REACTIV CEFAS\Tamoxifen\Tamoxifen/20201219_Cefas_Test10_Run2/Plate 4/@12/D6_04.tif </t>
  </si>
  <si>
    <t xml:space="preserve"> 31.8919 </t>
  </si>
  <si>
    <t xml:space="preserve">C:\Users\andre\Desktop\REACTIV CEFAS\Tamoxifen\Tamoxifen/20201219_Cefas_Test10_Run2/Plate 4/@12/E6_01.tif </t>
  </si>
  <si>
    <t xml:space="preserve"> 31.5912 </t>
  </si>
  <si>
    <t>C:\Users\andre\Desktop\REACTIV CEFAS\Tamoxifen\Tamoxifen/20201219_Cefas_Test10_Run2/Plate 4/@12/E6_02- exclu.tif</t>
  </si>
  <si>
    <t xml:space="preserve">C:\Users\andre\Desktop\REACTIV CEFAS\Tamoxifen\Tamoxifen/20201219_Cefas_Test10_Run2/Plate 4/@12/E6_03.tif </t>
  </si>
  <si>
    <t xml:space="preserve"> 10468.869 </t>
  </si>
  <si>
    <t xml:space="preserve"> 38.626 </t>
  </si>
  <si>
    <t xml:space="preserve">C:\Users\andre\Desktop\REACTIV CEFAS\Tamoxifen\Tamoxifen/20201219_Cefas_Test10_Run2/Plate 4/@12/E6_04.tif </t>
  </si>
  <si>
    <t xml:space="preserve"> 13086.0863 </t>
  </si>
  <si>
    <t xml:space="preserve"> 40.3554 </t>
  </si>
  <si>
    <t xml:space="preserve">C:\Users\andre\Desktop\REACTIV CEFAS\Tamoxifen\Tamoxifen/20201219_Cefas_Test10_Run2/Plate 4/@12/F6_01.tif </t>
  </si>
  <si>
    <t xml:space="preserve"> 36.0918 </t>
  </si>
  <si>
    <t xml:space="preserve">C:\Users\andre\Desktop\REACTIV CEFAS\Tamoxifen\Tamoxifen/20201219_Cefas_Test10_Run2/Plate 4/@12/F6_02.tif </t>
  </si>
  <si>
    <t xml:space="preserve"> 9322.4846 </t>
  </si>
  <si>
    <t xml:space="preserve"> 34.413 </t>
  </si>
  <si>
    <t xml:space="preserve">C:\Users\andre\Desktop\REACTIV CEFAS\Tamoxifen\Tamoxifen/20201219_Cefas_Test10_Run2/Plate 4/@12/F6_03.tif </t>
  </si>
  <si>
    <t xml:space="preserve"> 37.4451 </t>
  </si>
  <si>
    <t xml:space="preserve">C:\Users\andre\Desktop\REACTIV CEFAS\Tamoxifen\Tamoxifen/20201219_Cefas_Test10_Run2/Plate 4/@12/F6_04.tif </t>
  </si>
  <si>
    <t xml:space="preserve"> 35.6023 </t>
  </si>
  <si>
    <t xml:space="preserve">C:\Users\andre\Desktop\REACTIV CEFAS\Tamoxifen\Tamoxifen/20201219_Cefas_Test10_Run2/Plate 4/@12/G6_01.tif </t>
  </si>
  <si>
    <t xml:space="preserve"> 6921.5663 </t>
  </si>
  <si>
    <t xml:space="preserve"> 39.2344 </t>
  </si>
  <si>
    <t xml:space="preserve">C:\Users\andre\Desktop\REACTIV CEFAS\Tamoxifen\Tamoxifen/20201219_Cefas_Test10_Run2/Plate 4/@12/G6_02.tif </t>
  </si>
  <si>
    <t xml:space="preserve"> 39.5927 </t>
  </si>
  <si>
    <t xml:space="preserve">C:\Users\andre\Desktop\REACTIV CEFAS\Tamoxifen\Tamoxifen/20201219_Cefas_Test10_Run2/Plate 4/@12/G6_03.tif </t>
  </si>
  <si>
    <t xml:space="preserve"> 41.6844 </t>
  </si>
  <si>
    <t>C:\Users\andre\Desktop\REACTIV CEFAS\Tamoxifen\Tamoxifen/20201219_Cefas_Test10_Run2/Plate 4/@12/G6_04- exclu.tif</t>
  </si>
  <si>
    <t xml:space="preserve">C:\Users\andre\Desktop\REACTIV CEFAS\Tamoxifen\Tamoxifen/20201219_Cefas_Test10_Run2/Plate 4/@12/H6_01.tif </t>
  </si>
  <si>
    <t xml:space="preserve"> 14275.7305 </t>
  </si>
  <si>
    <t xml:space="preserve"> 38.9061 </t>
  </si>
  <si>
    <t xml:space="preserve">C:\Users\andre\Desktop\REACTIV CEFAS\Tamoxifen\Tamoxifen/20201219_Cefas_Test10_Run2/Plate 4/@12/H6_02.tif </t>
  </si>
  <si>
    <t xml:space="preserve"> 2682.1069 </t>
  </si>
  <si>
    <t xml:space="preserve"> 31.2258 </t>
  </si>
  <si>
    <t xml:space="preserve">C:\Users\andre\Desktop\REACTIV CEFAS\Tamoxifen\Tamoxifen/20201219_Cefas_Test10_Run2/Plate 4/@12/H6_03.tif </t>
  </si>
  <si>
    <t xml:space="preserve"> 14492.0294 </t>
  </si>
  <si>
    <t xml:space="preserve"> 40.4866 </t>
  </si>
  <si>
    <t xml:space="preserve">C:\Users\andre\Desktop\REACTIV CEFAS\Tamoxifen\Tamoxifen/20201219_Cefas_Test10_Run2/Plate 4/@12/H6_04.tif </t>
  </si>
  <si>
    <t xml:space="preserve"> 25934.2437 </t>
  </si>
  <si>
    <t xml:space="preserve"> 37.6447 </t>
  </si>
  <si>
    <t xml:space="preserve">C:\Users\andre\Desktop\REACTIV CEFAS\Tamoxifen\Tamoxifen/20201219_Cefas_Test10_Run2/Plate 4/@12/ </t>
  </si>
  <si>
    <t xml:space="preserve"> 36.1666 </t>
  </si>
  <si>
    <t xml:space="preserve"> 3.3617 </t>
  </si>
  <si>
    <t xml:space="preserve"> 390769.031 </t>
  </si>
  <si>
    <t xml:space="preserve"> 308516.403 </t>
  </si>
  <si>
    <t xml:space="preserve">C:\Users\andre\Desktop\REACTIV CEFAS\Tamoxifen\Tamoxifen/20201219_Cefas_Test10_Run2/Plate 4/@17/A8_01.tif </t>
  </si>
  <si>
    <t xml:space="preserve"> 56735.2136 </t>
  </si>
  <si>
    <t xml:space="preserve"> 36.6447 </t>
  </si>
  <si>
    <t xml:space="preserve">C:\Users\andre\Desktop\REACTIV CEFAS\Tamoxifen\Tamoxifen/20201219_Cefas_Test10_Run2/Plate 4/@17/A8_02.tif </t>
  </si>
  <si>
    <t xml:space="preserve"> 69302.1824 </t>
  </si>
  <si>
    <t xml:space="preserve"> 40.6654 </t>
  </si>
  <si>
    <t xml:space="preserve">C:\Users\andre\Desktop\REACTIV CEFAS\Tamoxifen\Tamoxifen/20201219_Cefas_Test10_Run2/Plate 4/@17/A8_03.tif </t>
  </si>
  <si>
    <t xml:space="preserve"> 61299.1214 </t>
  </si>
  <si>
    <t xml:space="preserve"> 39.1648 </t>
  </si>
  <si>
    <t xml:space="preserve">C:\Users\andre\Desktop\REACTIV CEFAS\Tamoxifen\Tamoxifen/20201219_Cefas_Test10_Run2/Plate 4/@17/A8_04.tif </t>
  </si>
  <si>
    <t xml:space="preserve"> 61277.4915 </t>
  </si>
  <si>
    <t xml:space="preserve"> 38.515 </t>
  </si>
  <si>
    <t xml:space="preserve">C:\Users\andre\Desktop\REACTIV CEFAS\Tamoxifen\Tamoxifen/20201219_Cefas_Test10_Run2/Plate 4/@17/B8_01.tif </t>
  </si>
  <si>
    <t xml:space="preserve"> 78408.368 </t>
  </si>
  <si>
    <t xml:space="preserve"> 43.3208 </t>
  </si>
  <si>
    <t xml:space="preserve">C:\Users\andre\Desktop\REACTIV CEFAS\Tamoxifen\Tamoxifen/20201219_Cefas_Test10_Run2/Plate 4/@17/B8_02.tif </t>
  </si>
  <si>
    <t xml:space="preserve"> 45.288 </t>
  </si>
  <si>
    <t xml:space="preserve">C:\Users\andre\Desktop\REACTIV CEFAS\Tamoxifen\Tamoxifen/20201219_Cefas_Test10_Run2/Plate 4/@17/B8_03.tif </t>
  </si>
  <si>
    <t xml:space="preserve"> 77283.6135 </t>
  </si>
  <si>
    <t xml:space="preserve"> 43.5564 </t>
  </si>
  <si>
    <t xml:space="preserve">C:\Users\andre\Desktop\REACTIV CEFAS\Tamoxifen\Tamoxifen/20201219_Cefas_Test10_Run2/Plate 4/@17/B8_04.tif </t>
  </si>
  <si>
    <t xml:space="preserve"> 76764.496 </t>
  </si>
  <si>
    <t xml:space="preserve"> 41.4458 </t>
  </si>
  <si>
    <t xml:space="preserve">C:\Users\andre\Desktop\REACTIV CEFAS\Tamoxifen\Tamoxifen/20201219_Cefas_Test10_Run2/Plate 4/@17/C8_01.tif </t>
  </si>
  <si>
    <t xml:space="preserve"> 76980.795 </t>
  </si>
  <si>
    <t xml:space="preserve"> 43.3167 </t>
  </si>
  <si>
    <t xml:space="preserve">C:\Users\andre\Desktop\REACTIV CEFAS\Tamoxifen\Tamoxifen/20201219_Cefas_Test10_Run2/Plate 4/@17/C8_02.tif </t>
  </si>
  <si>
    <t xml:space="preserve"> 82150.3398 </t>
  </si>
  <si>
    <t xml:space="preserve"> 41.7904 </t>
  </si>
  <si>
    <t xml:space="preserve">C:\Users\andre\Desktop\REACTIV CEFAS\Tamoxifen\Tamoxifen/20201219_Cefas_Test10_Run2/Plate 4/@17/C8_03.tif </t>
  </si>
  <si>
    <t xml:space="preserve"> 72135.6986 </t>
  </si>
  <si>
    <t xml:space="preserve"> 40.4138 </t>
  </si>
  <si>
    <t xml:space="preserve">C:\Users\andre\Desktop\REACTIV CEFAS\Tamoxifen\Tamoxifen/20201219_Cefas_Test10_Run2/Plate 4/@17/C8_04.tif </t>
  </si>
  <si>
    <t xml:space="preserve"> 91234.8955 </t>
  </si>
  <si>
    <t xml:space="preserve"> 43.7511 </t>
  </si>
  <si>
    <t xml:space="preserve">C:\Users\andre\Desktop\REACTIV CEFAS\Tamoxifen\Tamoxifen/20201219_Cefas_Test10_Run2/Plate 4/@17/D8_01.tif </t>
  </si>
  <si>
    <t xml:space="preserve"> 83988.8808 </t>
  </si>
  <si>
    <t xml:space="preserve"> 47.2524 </t>
  </si>
  <si>
    <t xml:space="preserve">C:\Users\andre\Desktop\REACTIV CEFAS\Tamoxifen\Tamoxifen/20201219_Cefas_Test10_Run2/Plate 4/@17/D8_02.tif </t>
  </si>
  <si>
    <t xml:space="preserve"> 83275.0943 </t>
  </si>
  <si>
    <t xml:space="preserve"> 46.9081 </t>
  </si>
  <si>
    <t xml:space="preserve">C:\Users\andre\Desktop\REACTIV CEFAS\Tamoxifen\Tamoxifen/20201219_Cefas_Test10_Run2/Plate 4/@17/D8_03.tif </t>
  </si>
  <si>
    <t xml:space="preserve"> 76267.0085 </t>
  </si>
  <si>
    <t xml:space="preserve"> 44.6061 </t>
  </si>
  <si>
    <t xml:space="preserve">C:\Users\andre\Desktop\REACTIV CEFAS\Tamoxifen\Tamoxifen/20201219_Cefas_Test10_Run2/Plate 4/@17/D8_04.tif </t>
  </si>
  <si>
    <t xml:space="preserve"> 47.1009 </t>
  </si>
  <si>
    <t xml:space="preserve">C:\Users\andre\Desktop\REACTIV CEFAS\Tamoxifen\Tamoxifen/20201219_Cefas_Test10_Run2/Plate 4/@17/E8_01.tif </t>
  </si>
  <si>
    <t xml:space="preserve"> 90996.9667 </t>
  </si>
  <si>
    <t xml:space="preserve"> 43.4678 </t>
  </si>
  <si>
    <t xml:space="preserve">C:\Users\andre\Desktop\REACTIV CEFAS\Tamoxifen\Tamoxifen/20201219_Cefas_Test10_Run2/Plate 4/@17/E8_02.tif </t>
  </si>
  <si>
    <t xml:space="preserve"> 85156.8952 </t>
  </si>
  <si>
    <t xml:space="preserve"> 40.9507 </t>
  </si>
  <si>
    <t xml:space="preserve">C:\Users\andre\Desktop\REACTIV CEFAS\Tamoxifen\Tamoxifen/20201219_Cefas_Test10_Run2/Plate 4/@17/E8_03.tif </t>
  </si>
  <si>
    <t xml:space="preserve"> 81934.0409 </t>
  </si>
  <si>
    <t xml:space="preserve"> 39.9879 </t>
  </si>
  <si>
    <t xml:space="preserve">C:\Users\andre\Desktop\REACTIV CEFAS\Tamoxifen\Tamoxifen/20201219_Cefas_Test10_Run2/Plate 4/@17/E8_04.tif </t>
  </si>
  <si>
    <t xml:space="preserve"> 98351.1309 </t>
  </si>
  <si>
    <t xml:space="preserve"> 44.1834 </t>
  </si>
  <si>
    <t xml:space="preserve">C:\Users\andre\Desktop\REACTIV CEFAS\Tamoxifen\Tamoxifen/20201219_Cefas_Test10_Run2/Plate 4/@17/F8_01.tif </t>
  </si>
  <si>
    <t xml:space="preserve"> 71659.8409 </t>
  </si>
  <si>
    <t xml:space="preserve"> 39.9408 </t>
  </si>
  <si>
    <t xml:space="preserve">C:\Users\andre\Desktop\REACTIV CEFAS\Tamoxifen\Tamoxifen/20201219_Cefas_Test10_Run2/Plate 4/@17/F8_02.tif </t>
  </si>
  <si>
    <t xml:space="preserve"> 70426.9369 </t>
  </si>
  <si>
    <t xml:space="preserve"> 40.4358 </t>
  </si>
  <si>
    <t xml:space="preserve">C:\Users\andre\Desktop\REACTIV CEFAS\Tamoxifen\Tamoxifen/20201219_Cefas_Test10_Run2/Plate 4/@17/F8_03.tif </t>
  </si>
  <si>
    <t xml:space="preserve"> 41.1549 </t>
  </si>
  <si>
    <t xml:space="preserve">C:\Users\andre\Desktop\REACTIV CEFAS\Tamoxifen\Tamoxifen/20201219_Cefas_Test10_Run2/Plate 4/@17/F8_04.tif </t>
  </si>
  <si>
    <t xml:space="preserve"> 70491.8266 </t>
  </si>
  <si>
    <t xml:space="preserve"> 39.0325 </t>
  </si>
  <si>
    <t xml:space="preserve">C:\Users\andre\Desktop\REACTIV CEFAS\Tamoxifen\Tamoxifen/20201219_Cefas_Test10_Run2/Plate 4/@17/G8_01.tif </t>
  </si>
  <si>
    <t xml:space="preserve"> 68999.3639 </t>
  </si>
  <si>
    <t xml:space="preserve"> 41.3097 </t>
  </si>
  <si>
    <t xml:space="preserve">C:\Users\andre\Desktop\REACTIV CEFAS\Tamoxifen\Tamoxifen/20201219_Cefas_Test10_Run2/Plate 4/@17/G8_02.tif </t>
  </si>
  <si>
    <t xml:space="preserve"> 74817.8055 </t>
  </si>
  <si>
    <t xml:space="preserve"> 42.6698 </t>
  </si>
  <si>
    <t xml:space="preserve">C:\Users\andre\Desktop\REACTIV CEFAS\Tamoxifen\Tamoxifen/20201219_Cefas_Test10_Run2/Plate 4/@17/G8_03.tif </t>
  </si>
  <si>
    <t xml:space="preserve"> 61039.5626 </t>
  </si>
  <si>
    <t xml:space="preserve"> 42.6162 </t>
  </si>
  <si>
    <t xml:space="preserve">C:\Users\andre\Desktop\REACTIV CEFAS\Tamoxifen\Tamoxifen/20201219_Cefas_Test10_Run2/Plate 4/@17/G8_04.tif </t>
  </si>
  <si>
    <t xml:space="preserve"> 39.252 </t>
  </si>
  <si>
    <t>C:\Users\andre\Desktop\REACTIV CEFAS\Tamoxifen\Tamoxifen/20201219_Cefas_Test10_Run2/Plate 4/@17/H8_01- exclu.tif</t>
  </si>
  <si>
    <t xml:space="preserve">C:\Users\andre\Desktop\REACTIV CEFAS\Tamoxifen\Tamoxifen/20201219_Cefas_Test10_Run2/Plate 4/@17/H8_02.tif </t>
  </si>
  <si>
    <t xml:space="preserve"> 37.0658 </t>
  </si>
  <si>
    <t xml:space="preserve">C:\Users\andre\Desktop\REACTIV CEFAS\Tamoxifen\Tamoxifen/20201219_Cefas_Test10_Run2/Plate 4/@17/H8_03.tif </t>
  </si>
  <si>
    <t xml:space="preserve"> 59395.6907 </t>
  </si>
  <si>
    <t xml:space="preserve"> 37.6839 </t>
  </si>
  <si>
    <t xml:space="preserve">C:\Users\andre\Desktop\REACTIV CEFAS\Tamoxifen\Tamoxifen/20201219_Cefas_Test10_Run2/Plate 4/@17/H8_04.tif </t>
  </si>
  <si>
    <t xml:space="preserve"> 70967.6843 </t>
  </si>
  <si>
    <t xml:space="preserve"> 39.9957 </t>
  </si>
  <si>
    <t xml:space="preserve">C:\Users\andre\Desktop\REACTIV CEFAS\Tamoxifen\Tamoxifen/20201219_Cefas_Test10_Run2/Plate 4/@17/ </t>
  </si>
  <si>
    <t xml:space="preserve"> 41.5982 </t>
  </si>
  <si>
    <t xml:space="preserve"> 2.8716 </t>
  </si>
  <si>
    <t xml:space="preserve"> 3103511.34 </t>
  </si>
  <si>
    <t xml:space="preserve"> 625383.647 </t>
  </si>
  <si>
    <t xml:space="preserve">C:\Users\andre\Desktop\REACTIV CEFAS\Tamoxifen\Tamoxifen/20201219_Cefas_Test10_Run2/Plate 4/@18/A9_01.tif </t>
  </si>
  <si>
    <t xml:space="preserve"> 41810.5863 </t>
  </si>
  <si>
    <t xml:space="preserve"> 37.8753 </t>
  </si>
  <si>
    <t xml:space="preserve">C:\Users\andre\Desktop\REACTIV CEFAS\Tamoxifen\Tamoxifen/20201219_Cefas_Test10_Run2/Plate 4/@18/A9_02.tif </t>
  </si>
  <si>
    <t xml:space="preserve"> 37268.3084 </t>
  </si>
  <si>
    <t xml:space="preserve"> 37.408 </t>
  </si>
  <si>
    <t>C:\Users\andre\Desktop\REACTIV CEFAS\Tamoxifen\Tamoxifen/20201219_Cefas_Test10_Run2/Plate 4/@18/A9_03- exclu.tif</t>
  </si>
  <si>
    <t xml:space="preserve">C:\Users\andre\Desktop\REACTIV CEFAS\Tamoxifen\Tamoxifen/20201219_Cefas_Test10_Run2/Plate 4/@18/A9_04.tif </t>
  </si>
  <si>
    <t xml:space="preserve"> 37.9928 </t>
  </si>
  <si>
    <t xml:space="preserve">C:\Users\andre\Desktop\REACTIV CEFAS\Tamoxifen\Tamoxifen/20201219_Cefas_Test10_Run2/Plate 4/@18/B9_01.tif </t>
  </si>
  <si>
    <t xml:space="preserve"> 39020.3299 </t>
  </si>
  <si>
    <t xml:space="preserve"> 37.0261 </t>
  </si>
  <si>
    <t xml:space="preserve">C:\Users\andre\Desktop\REACTIV CEFAS\Tamoxifen\Tamoxifen/20201219_Cefas_Test10_Run2/Plate 4/@18/B9_02.tif </t>
  </si>
  <si>
    <t xml:space="preserve"> 55545.5694 </t>
  </si>
  <si>
    <t xml:space="preserve"> 38.7819 </t>
  </si>
  <si>
    <t xml:space="preserve">C:\Users\andre\Desktop\REACTIV CEFAS\Tamoxifen\Tamoxifen/20201219_Cefas_Test10_Run2/Plate 4/@18/B9_03.tif </t>
  </si>
  <si>
    <t xml:space="preserve"> 47412.729 </t>
  </si>
  <si>
    <t xml:space="preserve"> 39.3207 </t>
  </si>
  <si>
    <t xml:space="preserve">C:\Users\andre\Desktop\REACTIV CEFAS\Tamoxifen\Tamoxifen/20201219_Cefas_Test10_Run2/Plate 4/@18/B9_04.tif </t>
  </si>
  <si>
    <t xml:space="preserve"> 64089.3778 </t>
  </si>
  <si>
    <t xml:space="preserve"> 40.186 </t>
  </si>
  <si>
    <t xml:space="preserve">C:\Users\andre\Desktop\REACTIV CEFAS\Tamoxifen\Tamoxifen/20201219_Cefas_Test10_Run2/Plate 4/@18/C9_01.tif </t>
  </si>
  <si>
    <t xml:space="preserve"> 69561.7411 </t>
  </si>
  <si>
    <t xml:space="preserve"> 38.635 </t>
  </si>
  <si>
    <t xml:space="preserve">C:\Users\andre\Desktop\REACTIV CEFAS\Tamoxifen\Tamoxifen/20201219_Cefas_Test10_Run2/Plate 4/@18/C9_02.tif </t>
  </si>
  <si>
    <t xml:space="preserve"> 38.0748 </t>
  </si>
  <si>
    <t xml:space="preserve">C:\Users\andre\Desktop\REACTIV CEFAS\Tamoxifen\Tamoxifen/20201219_Cefas_Test10_Run2/Plate 4/@18/C9_03.tif </t>
  </si>
  <si>
    <t xml:space="preserve"> 41.2188 </t>
  </si>
  <si>
    <t xml:space="preserve">C:\Users\andre\Desktop\REACTIV CEFAS\Tamoxifen\Tamoxifen/20201219_Cefas_Test10_Run2/Plate 4/@18/C9_04.tif </t>
  </si>
  <si>
    <t xml:space="preserve"> 82280.1192 </t>
  </si>
  <si>
    <t xml:space="preserve"> 40.7384 </t>
  </si>
  <si>
    <t xml:space="preserve">C:\Users\andre\Desktop\REACTIV CEFAS\Tamoxifen\Tamoxifen/20201219_Cefas_Test10_Run2/Plate 4/@18/D9_01.tif </t>
  </si>
  <si>
    <t xml:space="preserve"> 76245.3786 </t>
  </si>
  <si>
    <t xml:space="preserve"> 43.857 </t>
  </si>
  <si>
    <t xml:space="preserve">C:\Users\andre\Desktop\REACTIV CEFAS\Tamoxifen\Tamoxifen/20201219_Cefas_Test10_Run2/Plate 4/@18/D9_02.tif </t>
  </si>
  <si>
    <t xml:space="preserve"> 46.6608 </t>
  </si>
  <si>
    <t xml:space="preserve">C:\Users\andre\Desktop\REACTIV CEFAS\Tamoxifen\Tamoxifen/20201219_Cefas_Test10_Run2/Plate 4/@18/D9_03.tif </t>
  </si>
  <si>
    <t xml:space="preserve"> 72373.6274 </t>
  </si>
  <si>
    <t xml:space="preserve"> 44.22 </t>
  </si>
  <si>
    <t xml:space="preserve">C:\Users\andre\Desktop\REACTIV CEFAS\Tamoxifen\Tamoxifen/20201219_Cefas_Test10_Run2/Plate 4/@18/D9_04.tif </t>
  </si>
  <si>
    <t xml:space="preserve"> 80160.3895 </t>
  </si>
  <si>
    <t xml:space="preserve"> 43.8837 </t>
  </si>
  <si>
    <t xml:space="preserve">C:\Users\andre\Desktop\REACTIV CEFAS\Tamoxifen\Tamoxifen/20201219_Cefas_Test10_Run2/Plate 4/@18/E9_01.tif </t>
  </si>
  <si>
    <t xml:space="preserve"> 64716.6447 </t>
  </si>
  <si>
    <t xml:space="preserve"> 41.7497 </t>
  </si>
  <si>
    <t xml:space="preserve">C:\Users\andre\Desktop\REACTIV CEFAS\Tamoxifen\Tamoxifen/20201219_Cefas_Test10_Run2/Plate 4/@18/E9_02.tif </t>
  </si>
  <si>
    <t xml:space="preserve"> 38.6651 </t>
  </si>
  <si>
    <t xml:space="preserve">C:\Users\andre\Desktop\REACTIV CEFAS\Tamoxifen\Tamoxifen/20201219_Cefas_Test10_Run2/Plate 4/@18/E9_03.tif </t>
  </si>
  <si>
    <t xml:space="preserve"> 70080.8586 </t>
  </si>
  <si>
    <t xml:space="preserve"> 39.3929 </t>
  </si>
  <si>
    <t xml:space="preserve">C:\Users\andre\Desktop\REACTIV CEFAS\Tamoxifen\Tamoxifen/20201219_Cefas_Test10_Run2/Plate 4/@18/E9_04.tif </t>
  </si>
  <si>
    <t xml:space="preserve"> 40.868 </t>
  </si>
  <si>
    <t xml:space="preserve">C:\Users\andre\Desktop\REACTIV CEFAS\Tamoxifen\Tamoxifen/20201219_Cefas_Test10_Run2/Plate 4/@18/F9_01.tif </t>
  </si>
  <si>
    <t xml:space="preserve"> 77629.6918 </t>
  </si>
  <si>
    <t xml:space="preserve"> 41.3831 </t>
  </si>
  <si>
    <t xml:space="preserve">C:\Users\andre\Desktop\REACTIV CEFAS\Tamoxifen\Tamoxifen/20201219_Cefas_Test10_Run2/Plate 4/@18/F9_02.tif </t>
  </si>
  <si>
    <t xml:space="preserve"> 86519.5785 </t>
  </si>
  <si>
    <t xml:space="preserve"> 41.2302 </t>
  </si>
  <si>
    <t xml:space="preserve">C:\Users\andre\Desktop\REACTIV CEFAS\Tamoxifen\Tamoxifen/20201219_Cefas_Test10_Run2/Plate 4/@18/F9_03.tif </t>
  </si>
  <si>
    <t xml:space="preserve"> 41.6351 </t>
  </si>
  <si>
    <t xml:space="preserve">C:\Users\andre\Desktop\REACTIV CEFAS\Tamoxifen\Tamoxifen/20201219_Cefas_Test10_Run2/Plate 4/@18/F9_04.tif </t>
  </si>
  <si>
    <t xml:space="preserve"> 76937.5352 </t>
  </si>
  <si>
    <t xml:space="preserve"> 40.5415 </t>
  </si>
  <si>
    <t xml:space="preserve">C:\Users\andre\Desktop\REACTIV CEFAS\Tamoxifen\Tamoxifen/20201219_Cefas_Test10_Run2/Plate 4/@18/G9_01.tif </t>
  </si>
  <si>
    <t xml:space="preserve"> 41.5309 </t>
  </si>
  <si>
    <t xml:space="preserve">C:\Users\andre\Desktop\REACTIV CEFAS\Tamoxifen\Tamoxifen/20201219_Cefas_Test10_Run2/Plate 4/@18/G9_02.tif </t>
  </si>
  <si>
    <t xml:space="preserve"> 74255.4283 </t>
  </si>
  <si>
    <t xml:space="preserve"> 40.9152 </t>
  </si>
  <si>
    <t xml:space="preserve">C:\Users\andre\Desktop\REACTIV CEFAS\Tamoxifen\Tamoxifen/20201219_Cefas_Test10_Run2/Plate 4/@18/G9_03.tif </t>
  </si>
  <si>
    <t xml:space="preserve"> 38.7798 </t>
  </si>
  <si>
    <t xml:space="preserve">C:\Users\andre\Desktop\REACTIV CEFAS\Tamoxifen\Tamoxifen/20201219_Cefas_Test10_Run2/Plate 4/@18/G9_04.tif </t>
  </si>
  <si>
    <t xml:space="preserve"> 68199.0578 </t>
  </si>
  <si>
    <t xml:space="preserve"> 39.5756 </t>
  </si>
  <si>
    <t xml:space="preserve">C:\Users\andre\Desktop\REACTIV CEFAS\Tamoxifen\Tamoxifen/20201219_Cefas_Test10_Run2/Plate 4/@18/H9_01.tif </t>
  </si>
  <si>
    <t xml:space="preserve"> 86670.9878 </t>
  </si>
  <si>
    <t xml:space="preserve"> 47.9798 </t>
  </si>
  <si>
    <t xml:space="preserve">C:\Users\andre\Desktop\REACTIV CEFAS\Tamoxifen\Tamoxifen/20201219_Cefas_Test10_Run2/Plate 4/@18/H9_02.tif </t>
  </si>
  <si>
    <t xml:space="preserve"> 84918.9663 </t>
  </si>
  <si>
    <t xml:space="preserve"> 45.2338 </t>
  </si>
  <si>
    <t xml:space="preserve">C:\Users\andre\Desktop\REACTIV CEFAS\Tamoxifen\Tamoxifen/20201219_Cefas_Test10_Run2/Plate 4/@18/H9_03.tif </t>
  </si>
  <si>
    <t xml:space="preserve"> 86779.1373 </t>
  </si>
  <si>
    <t xml:space="preserve"> 47.3003 </t>
  </si>
  <si>
    <t xml:space="preserve">C:\Users\andre\Desktop\REACTIV CEFAS\Tamoxifen\Tamoxifen/20201219_Cefas_Test10_Run2/Plate 4/@18/H9_04.tif </t>
  </si>
  <si>
    <t xml:space="preserve"> 85567.8632 </t>
  </si>
  <si>
    <t xml:space="preserve"> 46.8463 </t>
  </si>
  <si>
    <t xml:space="preserve">C:\Users\andre\Desktop\REACTIV CEFAS\Tamoxifen\Tamoxifen/20201219_Cefas_Test10_Run2/Plate 4/@18/ </t>
  </si>
  <si>
    <t xml:space="preserve"> 40.9483 </t>
  </si>
  <si>
    <t xml:space="preserve"> 3.5441 </t>
  </si>
  <si>
    <t xml:space="preserve"> 2851470.31 </t>
  </si>
  <si>
    <t xml:space="preserve"> 893814.377 </t>
  </si>
  <si>
    <t xml:space="preserve">C:\Users\andre\Desktop\REACTIV CEFAS\Tamoxifen\Tamoxifen/20201219_Cefas_Test10_Run2/Plate 4/@19/A10_01.tif </t>
  </si>
  <si>
    <t xml:space="preserve"> 50029.9463 </t>
  </si>
  <si>
    <t xml:space="preserve"> 40.8201 </t>
  </si>
  <si>
    <t xml:space="preserve">C:\Users\andre\Desktop\REACTIV CEFAS\Tamoxifen\Tamoxifen/20201219_Cefas_Test10_Run2/Plate 4/@19/A10_02.tif </t>
  </si>
  <si>
    <t xml:space="preserve"> 54312.6654 </t>
  </si>
  <si>
    <t xml:space="preserve"> 42.3986 </t>
  </si>
  <si>
    <t xml:space="preserve">C:\Users\andre\Desktop\REACTIV CEFAS\Tamoxifen\Tamoxifen/20201219_Cefas_Test10_Run2/Plate 4/@19/A10_03.tif </t>
  </si>
  <si>
    <t xml:space="preserve"> 59027.9824 </t>
  </si>
  <si>
    <t xml:space="preserve"> 41.4357 </t>
  </si>
  <si>
    <t xml:space="preserve">C:\Users\andre\Desktop\REACTIV CEFAS\Tamoxifen\Tamoxifen/20201219_Cefas_Test10_Run2/Plate 4/@19/A10_04.tif </t>
  </si>
  <si>
    <t xml:space="preserve"> 46439.3838 </t>
  </si>
  <si>
    <t xml:space="preserve"> 38.2422 </t>
  </si>
  <si>
    <t xml:space="preserve">C:\Users\andre\Desktop\REACTIV CEFAS\Tamoxifen\Tamoxifen/20201219_Cefas_Test10_Run2/Plate 4/@19/B10_01.tif </t>
  </si>
  <si>
    <t xml:space="preserve"> 38.583 </t>
  </si>
  <si>
    <t xml:space="preserve">C:\Users\andre\Desktop\REACTIV CEFAS\Tamoxifen\Tamoxifen/20201219_Cefas_Test10_Run2/Plate 4/@19/B10_02.tif </t>
  </si>
  <si>
    <t xml:space="preserve"> 58054.6372 </t>
  </si>
  <si>
    <t xml:space="preserve"> 38.1073 </t>
  </si>
  <si>
    <t xml:space="preserve">C:\Users\andre\Desktop\REACTIV CEFAS\Tamoxifen\Tamoxifen/20201219_Cefas_Test10_Run2/Plate 4/@19/B10_03.tif </t>
  </si>
  <si>
    <t xml:space="preserve"> 56324.2456 </t>
  </si>
  <si>
    <t xml:space="preserve"> 36.2746 </t>
  </si>
  <si>
    <t xml:space="preserve">C:\Users\andre\Desktop\REACTIV CEFAS\Tamoxifen\Tamoxifen/20201219_Cefas_Test10_Run2/Plate 4/@19/B10_04.tif </t>
  </si>
  <si>
    <t xml:space="preserve"> 36.5157 </t>
  </si>
  <si>
    <t xml:space="preserve">C:\Users\andre\Desktop\REACTIV CEFAS\Tamoxifen\Tamoxifen/20201219_Cefas_Test10_Run2/Plate 4/@19/C10_01.tif </t>
  </si>
  <si>
    <t xml:space="preserve"> 72914.3748 </t>
  </si>
  <si>
    <t xml:space="preserve"> 37.3311 </t>
  </si>
  <si>
    <t xml:space="preserve">C:\Users\andre\Desktop\REACTIV CEFAS\Tamoxifen\Tamoxifen/20201219_Cefas_Test10_Run2/Plate 4/@19/C10_02.tif </t>
  </si>
  <si>
    <t xml:space="preserve"> 57816.7083 </t>
  </si>
  <si>
    <t xml:space="preserve"> 36.2357 </t>
  </si>
  <si>
    <t xml:space="preserve">C:\Users\andre\Desktop\REACTIV CEFAS\Tamoxifen\Tamoxifen/20201219_Cefas_Test10_Run2/Plate 4/@19/C10_03.tif </t>
  </si>
  <si>
    <t xml:space="preserve"> 50376.0246 </t>
  </si>
  <si>
    <t xml:space="preserve"> 35.5071 </t>
  </si>
  <si>
    <t xml:space="preserve">C:\Users\andre\Desktop\REACTIV CEFAS\Tamoxifen\Tamoxifen/20201219_Cefas_Test10_Run2/Plate 4/@19/C10_04.tif </t>
  </si>
  <si>
    <t xml:space="preserve"> 71703.1007 </t>
  </si>
  <si>
    <t xml:space="preserve"> 37.6627 </t>
  </si>
  <si>
    <t xml:space="preserve">C:\Users\andre\Desktop\REACTIV CEFAS\Tamoxifen\Tamoxifen/20201219_Cefas_Test10_Run2/Plate 4/@19/D10_01.tif </t>
  </si>
  <si>
    <t xml:space="preserve"> 56345.8755 </t>
  </si>
  <si>
    <t xml:space="preserve"> 38.3762 </t>
  </si>
  <si>
    <t xml:space="preserve">C:\Users\andre\Desktop\REACTIV CEFAS\Tamoxifen\Tamoxifen/20201219_Cefas_Test10_Run2/Plate 4/@19/D10_02.tif </t>
  </si>
  <si>
    <t xml:space="preserve"> 60888.1534 </t>
  </si>
  <si>
    <t xml:space="preserve"> 39.5776 </t>
  </si>
  <si>
    <t xml:space="preserve">C:\Users\andre\Desktop\REACTIV CEFAS\Tamoxifen\Tamoxifen/20201219_Cefas_Test10_Run2/Plate 4/@19/D10_03.tif </t>
  </si>
  <si>
    <t xml:space="preserve"> 60347.406 </t>
  </si>
  <si>
    <t xml:space="preserve"> 40.2513 </t>
  </si>
  <si>
    <t xml:space="preserve">C:\Users\andre\Desktop\REACTIV CEFAS\Tamoxifen\Tamoxifen/20201219_Cefas_Test10_Run2/Plate 4/@19/D10_04.tif </t>
  </si>
  <si>
    <t xml:space="preserve"> 37.991 </t>
  </si>
  <si>
    <t xml:space="preserve">C:\Users\andre\Desktop\REACTIV CEFAS\Tamoxifen\Tamoxifen/20201219_Cefas_Test10_Run2/Plate 4/@19/E10_01.tif </t>
  </si>
  <si>
    <t xml:space="preserve"> 75661.3714 </t>
  </si>
  <si>
    <t xml:space="preserve"> 40.4623 </t>
  </si>
  <si>
    <t xml:space="preserve">C:\Users\andre\Desktop\REACTIV CEFAS\Tamoxifen\Tamoxifen/20201219_Cefas_Test10_Run2/Plate 4/@19/E10_02.tif </t>
  </si>
  <si>
    <t xml:space="preserve"> 86800.7671 </t>
  </si>
  <si>
    <t xml:space="preserve"> 43.3053 </t>
  </si>
  <si>
    <t xml:space="preserve">C:\Users\andre\Desktop\REACTIV CEFAS\Tamoxifen\Tamoxifen/20201219_Cefas_Test10_Run2/Plate 4/@19/E10_03.tif </t>
  </si>
  <si>
    <t xml:space="preserve"> 78689.5567 </t>
  </si>
  <si>
    <t xml:space="preserve"> 39.3035 </t>
  </si>
  <si>
    <t xml:space="preserve">C:\Users\andre\Desktop\REACTIV CEFAS\Tamoxifen\Tamoxifen/20201219_Cefas_Test10_Run2/Plate 4/@19/E10_04.tif </t>
  </si>
  <si>
    <t xml:space="preserve"> 78386.7381 </t>
  </si>
  <si>
    <t xml:space="preserve"> 37.3982 </t>
  </si>
  <si>
    <t xml:space="preserve">C:\Users\andre\Desktop\REACTIV CEFAS\Tamoxifen\Tamoxifen/20201219_Cefas_Test10_Run2/Plate 4/@19/F10_01.tif </t>
  </si>
  <si>
    <t xml:space="preserve"> 36.6807 </t>
  </si>
  <si>
    <t xml:space="preserve">C:\Users\andre\Desktop\REACTIV CEFAS\Tamoxifen\Tamoxifen/20201219_Cefas_Test10_Run2/Plate 4/@19/F10_02.tif </t>
  </si>
  <si>
    <t xml:space="preserve"> 22624.8698 </t>
  </si>
  <si>
    <t xml:space="preserve"> 35.5755 </t>
  </si>
  <si>
    <t xml:space="preserve">C:\Users\andre\Desktop\REACTIV CEFAS\Tamoxifen\Tamoxifen/20201219_Cefas_Test10_Run2/Plate 4/@19/F10_03.tif </t>
  </si>
  <si>
    <t xml:space="preserve"> 35.7015 </t>
  </si>
  <si>
    <t xml:space="preserve">C:\Users\andre\Desktop\REACTIV CEFAS\Tamoxifen\Tamoxifen/20201219_Cefas_Test10_Run2/Plate 4/@19/F10_04.tif </t>
  </si>
  <si>
    <t xml:space="preserve"> 14729.9582 </t>
  </si>
  <si>
    <t xml:space="preserve"> 33.7709 </t>
  </si>
  <si>
    <t xml:space="preserve">C:\Users\andre\Desktop\REACTIV CEFAS\Tamoxifen\Tamoxifen/20201219_Cefas_Test10_Run2/Plate 4/@19/G10_01.tif </t>
  </si>
  <si>
    <t xml:space="preserve"> 33937.3047 </t>
  </si>
  <si>
    <t xml:space="preserve"> 36.2741 </t>
  </si>
  <si>
    <t xml:space="preserve">C:\Users\andre\Desktop\REACTIV CEFAS\Tamoxifen\Tamoxifen/20201219_Cefas_Test10_Run2/Plate 4/@19/G10_02.tif </t>
  </si>
  <si>
    <t xml:space="preserve"> 34.2096 </t>
  </si>
  <si>
    <t xml:space="preserve">C:\Users\andre\Desktop\REACTIV CEFAS\Tamoxifen\Tamoxifen/20201219_Cefas_Test10_Run2/Plate 4/@19/G10_03.tif </t>
  </si>
  <si>
    <t xml:space="preserve"> 38220.0238 </t>
  </si>
  <si>
    <t xml:space="preserve"> 35.1483 </t>
  </si>
  <si>
    <t xml:space="preserve">C:\Users\andre\Desktop\REACTIV CEFAS\Tamoxifen\Tamoxifen/20201219_Cefas_Test10_Run2/Plate 4/@19/G10_04.tif </t>
  </si>
  <si>
    <t xml:space="preserve"> 51955.0069 </t>
  </si>
  <si>
    <t xml:space="preserve"> 36.8306 </t>
  </si>
  <si>
    <t xml:space="preserve">C:\Users\andre\Desktop\REACTIV CEFAS\Tamoxifen\Tamoxifen/20201219_Cefas_Test10_Run2/Plate 4/@19/H10_01.tif </t>
  </si>
  <si>
    <t xml:space="preserve"> 33721.0057 </t>
  </si>
  <si>
    <t xml:space="preserve"> 39.5561 </t>
  </si>
  <si>
    <t xml:space="preserve">C:\Users\andre\Desktop\REACTIV CEFAS\Tamoxifen\Tamoxifen/20201219_Cefas_Test10_Run2/Plate 4/@19/H10_02.tif </t>
  </si>
  <si>
    <t xml:space="preserve"> 36.1491 </t>
  </si>
  <si>
    <t xml:space="preserve">C:\Users\andre\Desktop\REACTIV CEFAS\Tamoxifen\Tamoxifen/20201219_Cefas_Test10_Run2/Plate 4/@19/H10_03.tif </t>
  </si>
  <si>
    <t xml:space="preserve"> 39.8846 </t>
  </si>
  <si>
    <t xml:space="preserve">C:\Users\andre\Desktop\REACTIV CEFAS\Tamoxifen\Tamoxifen/20201219_Cefas_Test10_Run2/Plate 4/@19/H10_04.tif </t>
  </si>
  <si>
    <t xml:space="preserve"> 34002.1944 </t>
  </si>
  <si>
    <t xml:space="preserve"> 37.4472 </t>
  </si>
  <si>
    <t xml:space="preserve">C:\Users\andre\Desktop\REACTIV CEFAS\Tamoxifen\Tamoxifen/20201219_Cefas_Test10_Run2/Plate 4/@19/ </t>
  </si>
  <si>
    <t xml:space="preserve"> 37.9065 </t>
  </si>
  <si>
    <t xml:space="preserve"> 2.3113 </t>
  </si>
  <si>
    <t xml:space="preserve"> 1951916.22 </t>
  </si>
  <si>
    <t xml:space="preserve"> 765835.604 </t>
  </si>
  <si>
    <t xml:space="preserve">C:\Users\andre\Desktop\REACTIV CEFAS\Tamoxifen\Tamoxifen/20201219_Cefas_Test10_Run2/Plate 4/@20/A11_01.tif </t>
  </si>
  <si>
    <t xml:space="preserve"> 42416.2234 </t>
  </si>
  <si>
    <t xml:space="preserve"> 34.5237 </t>
  </si>
  <si>
    <t xml:space="preserve">C:\Users\andre\Desktop\REACTIV CEFAS\Tamoxifen\Tamoxifen/20201219_Cefas_Test10_Run2/Plate 4/@20/A11_02.tif </t>
  </si>
  <si>
    <t xml:space="preserve"> 49078.2309 </t>
  </si>
  <si>
    <t xml:space="preserve"> 35.372 </t>
  </si>
  <si>
    <t xml:space="preserve">C:\Users\andre\Desktop\REACTIV CEFAS\Tamoxifen\Tamoxifen/20201219_Cefas_Test10_Run2/Plate 4/@20/A11_03.tif </t>
  </si>
  <si>
    <t xml:space="preserve"> 35754.2158 </t>
  </si>
  <si>
    <t xml:space="preserve"> 34.464 </t>
  </si>
  <si>
    <t xml:space="preserve">C:\Users\andre\Desktop\REACTIV CEFAS\Tamoxifen\Tamoxifen/20201219_Cefas_Test10_Run2/Plate 4/@20/A11_04.tif </t>
  </si>
  <si>
    <t xml:space="preserve"> 57643.6692 </t>
  </si>
  <si>
    <t xml:space="preserve"> 36.2942 </t>
  </si>
  <si>
    <t xml:space="preserve">C:\Users\andre\Desktop\REACTIV CEFAS\Tamoxifen\Tamoxifen/20201219_Cefas_Test10_Run2/Plate 4/@20/B11_01.tif </t>
  </si>
  <si>
    <t xml:space="preserve"> 40426.2731 </t>
  </si>
  <si>
    <t xml:space="preserve"> 34.0578 </t>
  </si>
  <si>
    <t xml:space="preserve">C:\Users\andre\Desktop\REACTIV CEFAS\Tamoxifen\Tamoxifen/20201219_Cefas_Test10_Run2/Plate 4/@20/B11_02.tif </t>
  </si>
  <si>
    <t xml:space="preserve"> 43714.017 </t>
  </si>
  <si>
    <t xml:space="preserve"> 35.6373 </t>
  </si>
  <si>
    <t xml:space="preserve">C:\Users\andre\Desktop\REACTIV CEFAS\Tamoxifen\Tamoxifen/20201219_Cefas_Test10_Run2/Plate 4/@20/B11_03.tif </t>
  </si>
  <si>
    <t xml:space="preserve"> 34.0986 </t>
  </si>
  <si>
    <t xml:space="preserve">C:\Users\andre\Desktop\REACTIV CEFAS\Tamoxifen\Tamoxifen/20201219_Cefas_Test10_Run2/Plate 4/@20/B11_04.tif </t>
  </si>
  <si>
    <t xml:space="preserve"> 33028.8491 </t>
  </si>
  <si>
    <t xml:space="preserve"> 34.1081 </t>
  </si>
  <si>
    <t xml:space="preserve">C:\Users\andre\Desktop\REACTIV CEFAS\Tamoxifen\Tamoxifen/20201219_Cefas_Test10_Run2/Plate 4/@20/C11_01.tif </t>
  </si>
  <si>
    <t xml:space="preserve"> 45076.7004 </t>
  </si>
  <si>
    <t xml:space="preserve"> 35.1497 </t>
  </si>
  <si>
    <t xml:space="preserve">C:\Users\andre\Desktop\REACTIV CEFAS\Tamoxifen\Tamoxifen/20201219_Cefas_Test10_Run2/Plate 4/@20/C11_02.tif </t>
  </si>
  <si>
    <t xml:space="preserve"> 49143.1206 </t>
  </si>
  <si>
    <t xml:space="preserve">C:\Users\andre\Desktop\REACTIV CEFAS\Tamoxifen\Tamoxifen/20201219_Cefas_Test10_Run2/Plate 4/@20/C11_03.tif </t>
  </si>
  <si>
    <t xml:space="preserve"> 46655.6827 </t>
  </si>
  <si>
    <t xml:space="preserve"> 35.3547 </t>
  </si>
  <si>
    <t xml:space="preserve">C:\Users\andre\Desktop\REACTIV CEFAS\Tamoxifen\Tamoxifen/20201219_Cefas_Test10_Run2/Plate 4/@20/C11_04.tif </t>
  </si>
  <si>
    <t xml:space="preserve"> 43259.7893 </t>
  </si>
  <si>
    <t xml:space="preserve"> 34.604 </t>
  </si>
  <si>
    <t>C:\Users\andre\Desktop\REACTIV CEFAS\Tamoxifen\Tamoxifen/20201219_Cefas_Test10_Run2/Plate 4/@20/D11_01- exclu.tif</t>
  </si>
  <si>
    <t xml:space="preserve">C:\Users\andre\Desktop\REACTIV CEFAS\Tamoxifen\Tamoxifen/20201219_Cefas_Test10_Run2/Plate 4/@20/D11_02.tif </t>
  </si>
  <si>
    <t xml:space="preserve"> 73476.7521 </t>
  </si>
  <si>
    <t xml:space="preserve"> 40.1048 </t>
  </si>
  <si>
    <t>C:\Users\andre\Desktop\REACTIV CEFAS\Tamoxifen\Tamoxifen/20201219_Cefas_Test10_Run2/Plate 4/@20/D11_03- exclu.tif</t>
  </si>
  <si>
    <t xml:space="preserve">C:\Users\andre\Desktop\REACTIV CEFAS\Tamoxifen\Tamoxifen/20201219_Cefas_Test10_Run2/Plate 4/@20/D11_04.tif </t>
  </si>
  <si>
    <t xml:space="preserve"> 56648.694 </t>
  </si>
  <si>
    <t xml:space="preserve"> 43.3635 </t>
  </si>
  <si>
    <t xml:space="preserve">C:\Users\andre\Desktop\REACTIV CEFAS\Tamoxifen\Tamoxifen/20201219_Cefas_Test10_Run2/Plate 4/@20/E11_01.tif </t>
  </si>
  <si>
    <t xml:space="preserve"> 15876.3427 </t>
  </si>
  <si>
    <t xml:space="preserve"> 34.451 </t>
  </si>
  <si>
    <t xml:space="preserve">C:\Users\andre\Desktop\REACTIV CEFAS\Tamoxifen\Tamoxifen/20201219_Cefas_Test10_Run2/Plate 4/@20/E11_02.tif </t>
  </si>
  <si>
    <t xml:space="preserve"> 21240.5565 </t>
  </si>
  <si>
    <t xml:space="preserve"> 34.2261 </t>
  </si>
  <si>
    <t xml:space="preserve">C:\Users\andre\Desktop\REACTIV CEFAS\Tamoxifen\Tamoxifen/20201219_Cefas_Test10_Run2/Plate 4/@20/E11_03.tif </t>
  </si>
  <si>
    <t xml:space="preserve"> 33.4036 </t>
  </si>
  <si>
    <t xml:space="preserve">C:\Users\andre\Desktop\REACTIV CEFAS\Tamoxifen\Tamoxifen/20201219_Cefas_Test10_Run2/Plate 4/@20/E11_04.tif </t>
  </si>
  <si>
    <t xml:space="preserve"> 38328.1733 </t>
  </si>
  <si>
    <t xml:space="preserve"> 37.6168 </t>
  </si>
  <si>
    <t xml:space="preserve">C:\Users\andre\Desktop\REACTIV CEFAS\Tamoxifen\Tamoxifen/20201219_Cefas_Test10_Run2/Plate 4/@20/F11_01.tif </t>
  </si>
  <si>
    <t xml:space="preserve"> 67312.2321 </t>
  </si>
  <si>
    <t xml:space="preserve"> 36.9431 </t>
  </si>
  <si>
    <t xml:space="preserve">C:\Users\andre\Desktop\REACTIV CEFAS\Tamoxifen\Tamoxifen/20201219_Cefas_Test10_Run2/Plate 4/@20/F11_02.tif </t>
  </si>
  <si>
    <t xml:space="preserve"> 75704.6312 </t>
  </si>
  <si>
    <t xml:space="preserve"> 37.204 </t>
  </si>
  <si>
    <t xml:space="preserve">C:\Users\andre\Desktop\REACTIV CEFAS\Tamoxifen\Tamoxifen/20201219_Cefas_Test10_Run2/Plate 4/@20/F11_03.tif </t>
  </si>
  <si>
    <t xml:space="preserve"> 62791.5841 </t>
  </si>
  <si>
    <t xml:space="preserve"> 35.226 </t>
  </si>
  <si>
    <t xml:space="preserve">C:\Users\andre\Desktop\REACTIV CEFAS\Tamoxifen\Tamoxifen/20201219_Cefas_Test10_Run2/Plate 4/@20/F11_04.tif </t>
  </si>
  <si>
    <t xml:space="preserve"> 56627.0641 </t>
  </si>
  <si>
    <t xml:space="preserve"> 36.0458 </t>
  </si>
  <si>
    <t xml:space="preserve">C:\Users\andre\Desktop\REACTIV CEFAS\Tamoxifen\Tamoxifen/20201219_Cefas_Test10_Run2/Plate 4/@20/G11_01.tif </t>
  </si>
  <si>
    <t xml:space="preserve"> 36165.1838 </t>
  </si>
  <si>
    <t xml:space="preserve"> 35.695 </t>
  </si>
  <si>
    <t xml:space="preserve">C:\Users\andre\Desktop\REACTIV CEFAS\Tamoxifen\Tamoxifen/20201219_Cefas_Test10_Run2/Plate 4/@20/G11_02.tif </t>
  </si>
  <si>
    <t xml:space="preserve"> 51197.9606 </t>
  </si>
  <si>
    <t xml:space="preserve"> 39.2273 </t>
  </si>
  <si>
    <t xml:space="preserve">C:\Users\andre\Desktop\REACTIV CEFAS\Tamoxifen\Tamoxifen/20201219_Cefas_Test10_Run2/Plate 4/@20/G11_03.tif </t>
  </si>
  <si>
    <t xml:space="preserve"> 35.9868 </t>
  </si>
  <si>
    <t xml:space="preserve">C:\Users\andre\Desktop\REACTIV CEFAS\Tamoxifen\Tamoxifen/20201219_Cefas_Test10_Run2/Plate 4/@20/G11_04.tif </t>
  </si>
  <si>
    <t xml:space="preserve"> 39972.0453 </t>
  </si>
  <si>
    <t xml:space="preserve"> 37.1153 </t>
  </si>
  <si>
    <t xml:space="preserve">C:\Users\andre\Desktop\REACTIV CEFAS\Tamoxifen\Tamoxifen/20201219_Cefas_Test10_Run2/Plate 4/@20/H11_01.tif </t>
  </si>
  <si>
    <t xml:space="preserve"> 33.371 </t>
  </si>
  <si>
    <t xml:space="preserve">C:\Users\andre\Desktop\REACTIV CEFAS\Tamoxifen\Tamoxifen/20201219_Cefas_Test10_Run2/Plate 4/@20/H11_02.tif </t>
  </si>
  <si>
    <t xml:space="preserve"> 33.1502 </t>
  </si>
  <si>
    <t xml:space="preserve">C:\Users\andre\Desktop\REACTIV CEFAS\Tamoxifen\Tamoxifen/20201219_Cefas_Test10_Run2/Plate 4/@20/H11_03.tif </t>
  </si>
  <si>
    <t xml:space="preserve"> 33.3292 </t>
  </si>
  <si>
    <t xml:space="preserve">C:\Users\andre\Desktop\REACTIV CEFAS\Tamoxifen\Tamoxifen/20201219_Cefas_Test10_Run2/Plate 4/@20/H11_04.tif </t>
  </si>
  <si>
    <t xml:space="preserve"> 34.224 </t>
  </si>
  <si>
    <t>C:\Users\andre\Desktop\REACTIV CEFAS\Tamoxifen\Tamoxifen/20201219_Cefas_Test10_Run2/Plate 4/@20/I11_01- exclu.tif</t>
  </si>
  <si>
    <t>C:\Users\andre\Desktop\REACTIV CEFAS\Tamoxifen\Tamoxifen/20201219_Cefas_Test10_Run2/Plate 4/@20/I11_02- exclu.tif</t>
  </si>
  <si>
    <t>C:\Users\andre\Desktop\REACTIV CEFAS\Tamoxifen\Tamoxifen/20201219_Cefas_Test10_Run2/Plate 4/@20/I11_03- exclu.tif</t>
  </si>
  <si>
    <t>C:\Users\andre\Desktop\REACTIV CEFAS\Tamoxifen\Tamoxifen/20201219_Cefas_Test10_Run2/Plate 4/@20/I11_04- exclu.tif</t>
  </si>
  <si>
    <t xml:space="preserve">C:\Users\andre\Desktop\REACTIV CEFAS\Tamoxifen\Tamoxifen/20201219_Cefas_Test10_Run2/Plate 4/@20/ </t>
  </si>
  <si>
    <t xml:space="preserve"> 36.0086 </t>
  </si>
  <si>
    <t xml:space="preserve"> 2.7642 </t>
  </si>
  <si>
    <t xml:space="preserve"> 1352940.25 </t>
  </si>
  <si>
    <t xml:space="preserve"> 786536.278 </t>
  </si>
  <si>
    <t xml:space="preserve">C:\Users\andre\Desktop\REACTIV CEFAS\Tamoxifen\Tamoxifen/20201219_Cefas_Test10_Run2/Plate 4/@21/A12_01.tif </t>
  </si>
  <si>
    <t xml:space="preserve"> 21175.6668 </t>
  </si>
  <si>
    <t xml:space="preserve"> 32.6701 </t>
  </si>
  <si>
    <t xml:space="preserve">C:\Users\andre\Desktop\REACTIV CEFAS\Tamoxifen\Tamoxifen/20201219_Cefas_Test10_Run2/Plate 4/@21/A12_02.tif </t>
  </si>
  <si>
    <t xml:space="preserve"> 32.9865 </t>
  </si>
  <si>
    <t xml:space="preserve">C:\Users\andre\Desktop\REACTIV CEFAS\Tamoxifen\Tamoxifen/20201219_Cefas_Test10_Run2/Plate 4/@21/A12_03.tif </t>
  </si>
  <si>
    <t xml:space="preserve"> 40772.3514 </t>
  </si>
  <si>
    <t xml:space="preserve"> 35.7146 </t>
  </si>
  <si>
    <t>C:\Users\andre\Desktop\REACTIV CEFAS\Tamoxifen\Tamoxifen/20201219_Cefas_Test10_Run2/Plate 4/@21/A12_04- exclu.tif</t>
  </si>
  <si>
    <t xml:space="preserve">C:\Users\andre\Desktop\REACTIV CEFAS\Tamoxifen\Tamoxifen/20201219_Cefas_Test10_Run2/Plate 4/@21/B12_01.tif </t>
  </si>
  <si>
    <t xml:space="preserve"> 52841.8326 </t>
  </si>
  <si>
    <t xml:space="preserve"> 36.1834 </t>
  </si>
  <si>
    <t xml:space="preserve">C:\Users\andre\Desktop\REACTIV CEFAS\Tamoxifen\Tamoxifen/20201219_Cefas_Test10_Run2/Plate 4/@21/B12_02.tif </t>
  </si>
  <si>
    <t xml:space="preserve"> 59201.0216 </t>
  </si>
  <si>
    <t xml:space="preserve"> 37.1893 </t>
  </si>
  <si>
    <t xml:space="preserve">C:\Users\andre\Desktop\REACTIV CEFAS\Tamoxifen\Tamoxifen/20201219_Cefas_Test10_Run2/Plate 4/@21/B12_03.tif </t>
  </si>
  <si>
    <t xml:space="preserve"> 44514.3231 </t>
  </si>
  <si>
    <t xml:space="preserve"> 35.6866 </t>
  </si>
  <si>
    <t xml:space="preserve">C:\Users\andre\Desktop\REACTIV CEFAS\Tamoxifen\Tamoxifen/20201219_Cefas_Test10_Run2/Plate 4/@21/B12_04.tif </t>
  </si>
  <si>
    <t xml:space="preserve"> 40101.8246 </t>
  </si>
  <si>
    <t xml:space="preserve"> 35.3296 </t>
  </si>
  <si>
    <t xml:space="preserve">C:\Users\andre\Desktop\REACTIV CEFAS\Tamoxifen\Tamoxifen/20201219_Cefas_Test10_Run2/Plate 4/@21/C12_01.tif </t>
  </si>
  <si>
    <t xml:space="preserve"> 15249.0757 </t>
  </si>
  <si>
    <t xml:space="preserve"> 35.3149 </t>
  </si>
  <si>
    <t xml:space="preserve">C:\Users\andre\Desktop\REACTIV CEFAS\Tamoxifen\Tamoxifen/20201219_Cefas_Test10_Run2/Plate 4/@21/C12_02.tif </t>
  </si>
  <si>
    <t xml:space="preserve"> 36.7809 </t>
  </si>
  <si>
    <t xml:space="preserve">C:\Users\andre\Desktop\REACTIV CEFAS\Tamoxifen\Tamoxifen/20201219_Cefas_Test10_Run2/Plate 4/@21/C12_03.tif </t>
  </si>
  <si>
    <t xml:space="preserve"> 18753.1186 </t>
  </si>
  <si>
    <t xml:space="preserve"> 38.1027 </t>
  </si>
  <si>
    <t xml:space="preserve">C:\Users\andre\Desktop\REACTIV CEFAS\Tamoxifen\Tamoxifen/20201219_Cefas_Test10_Run2/Plate 4/@21/C12_04.tif </t>
  </si>
  <si>
    <t xml:space="preserve"> 32.46 </t>
  </si>
  <si>
    <t xml:space="preserve">C:\Users\andre\Desktop\REACTIV CEFAS\Tamoxifen\Tamoxifen/20201219_Cefas_Test10_Run2/Plate 4/@21/D12_01.tif </t>
  </si>
  <si>
    <t xml:space="preserve"> 25350.2365 </t>
  </si>
  <si>
    <t xml:space="preserve"> 36.0452 </t>
  </si>
  <si>
    <t xml:space="preserve">C:\Users\andre\Desktop\REACTIV CEFAS\Tamoxifen\Tamoxifen/20201219_Cefas_Test10_Run2/Plate 4/@21/D12_02.tif </t>
  </si>
  <si>
    <t xml:space="preserve"> 17801.4033 </t>
  </si>
  <si>
    <t xml:space="preserve"> 34.0729 </t>
  </si>
  <si>
    <t xml:space="preserve">C:\Users\andre\Desktop\REACTIV CEFAS\Tamoxifen\Tamoxifen/20201219_Cefas_Test10_Run2/Plate 4/@21/D12_03.tif </t>
  </si>
  <si>
    <t xml:space="preserve"> 14838.1077 </t>
  </si>
  <si>
    <t xml:space="preserve"> 34.1239 </t>
  </si>
  <si>
    <t xml:space="preserve">C:\Users\andre\Desktop\REACTIV CEFAS\Tamoxifen\Tamoxifen/20201219_Cefas_Test10_Run2/Plate 4/@21/D12_04.tif </t>
  </si>
  <si>
    <t xml:space="preserve"> 33.9021 </t>
  </si>
  <si>
    <t xml:space="preserve">C:\Users\andre\Desktop\REACTIV CEFAS\Tamoxifen\Tamoxifen/20201219_Cefas_Test10_Run2/Plate 4/@21/E12_01.tif </t>
  </si>
  <si>
    <t xml:space="preserve"> 34.2428 </t>
  </si>
  <si>
    <t xml:space="preserve">C:\Users\andre\Desktop\REACTIV CEFAS\Tamoxifen\Tamoxifen/20201219_Cefas_Test10_Run2/Plate 4/@21/E12_02.tif </t>
  </si>
  <si>
    <t xml:space="preserve"> 5299.3242 </t>
  </si>
  <si>
    <t xml:space="preserve"> 34.2898 </t>
  </si>
  <si>
    <t xml:space="preserve">C:\Users\andre\Desktop\REACTIV CEFAS\Tamoxifen\Tamoxifen/20201219_Cefas_Test10_Run2/Plate 4/@21/E12_03.tif </t>
  </si>
  <si>
    <t xml:space="preserve"> 35.2038 </t>
  </si>
  <si>
    <t xml:space="preserve">C:\Users\andre\Desktop\REACTIV CEFAS\Tamoxifen\Tamoxifen/20201219_Cefas_Test10_Run2/Plate 4/@21/E12_04.tif </t>
  </si>
  <si>
    <t xml:space="preserve"> 2790.2564 </t>
  </si>
  <si>
    <t xml:space="preserve"> 31.186 </t>
  </si>
  <si>
    <t xml:space="preserve">C:\Users\andre\Desktop\REACTIV CEFAS\Tamoxifen\Tamoxifen/20201219_Cefas_Test10_Run2/Plate 4/@21/F12_01.tif </t>
  </si>
  <si>
    <t xml:space="preserve"> 17952.8125 </t>
  </si>
  <si>
    <t xml:space="preserve"> 36.4325 </t>
  </si>
  <si>
    <t xml:space="preserve">C:\Users\andre\Desktop\REACTIV CEFAS\Tamoxifen\Tamoxifen/20201219_Cefas_Test10_Run2/Plate 4/@21/F12_02.tif </t>
  </si>
  <si>
    <t xml:space="preserve"> 24528.3005 </t>
  </si>
  <si>
    <t xml:space="preserve"> 36.2046 </t>
  </si>
  <si>
    <t xml:space="preserve">C:\Users\andre\Desktop\REACTIV CEFAS\Tamoxifen\Tamoxifen/20201219_Cefas_Test10_Run2/Plate 4/@21/F12_03.tif </t>
  </si>
  <si>
    <t xml:space="preserve"> 12523.709 </t>
  </si>
  <si>
    <t xml:space="preserve"> 37.639 </t>
  </si>
  <si>
    <t xml:space="preserve">C:\Users\andre\Desktop\REACTIV CEFAS\Tamoxifen\Tamoxifen/20201219_Cefas_Test10_Run2/Plate 4/@21/F12_04.tif </t>
  </si>
  <si>
    <t xml:space="preserve"> 15227.4458 </t>
  </si>
  <si>
    <t xml:space="preserve"> 39.2642 </t>
  </si>
  <si>
    <t xml:space="preserve">C:\Users\andre\Desktop\REACTIV CEFAS\Tamoxifen\Tamoxifen/20201219_Cefas_Test10_Run2/Plate 4/@21/G12_01.tif </t>
  </si>
  <si>
    <t xml:space="preserve"> 30173.703 </t>
  </si>
  <si>
    <t xml:space="preserve"> 34.2351 </t>
  </si>
  <si>
    <t xml:space="preserve">C:\Users\andre\Desktop\REACTIV CEFAS\Tamoxifen\Tamoxifen/20201219_Cefas_Test10_Run2/Plate 4/@21/G12_02.tif </t>
  </si>
  <si>
    <t xml:space="preserve"> 16460.3498 </t>
  </si>
  <si>
    <t xml:space="preserve"> 33.0828 </t>
  </si>
  <si>
    <t>C:\Users\andre\Desktop\REACTIV CEFAS\Tamoxifen\Tamoxifen/20201219_Cefas_Test10_Run2/Plate 4/@21/G12_03- exclu.tif</t>
  </si>
  <si>
    <t xml:space="preserve">C:\Users\andre\Desktop\REACTIV CEFAS\Tamoxifen\Tamoxifen/20201219_Cefas_Test10_Run2/Plate 4/@21/G12_04.tif </t>
  </si>
  <si>
    <t xml:space="preserve"> 18580.0795 </t>
  </si>
  <si>
    <t xml:space="preserve"> 33.4144 </t>
  </si>
  <si>
    <t xml:space="preserve">C:\Users\andre\Desktop\REACTIV CEFAS\Tamoxifen\Tamoxifen/20201219_Cefas_Test10_Run2/Plate 4/@21/H12_01.tif </t>
  </si>
  <si>
    <t xml:space="preserve"> 36.3353 </t>
  </si>
  <si>
    <t xml:space="preserve">C:\Users\andre\Desktop\REACTIV CEFAS\Tamoxifen\Tamoxifen/20201219_Cefas_Test10_Run2/Plate 4/@21/H12_02.tif </t>
  </si>
  <si>
    <t xml:space="preserve"> 14318.9902 </t>
  </si>
  <si>
    <t xml:space="preserve"> 35.3988 </t>
  </si>
  <si>
    <t xml:space="preserve">C:\Users\andre\Desktop\REACTIV CEFAS\Tamoxifen\Tamoxifen/20201219_Cefas_Test10_Run2/Plate 4/@21/H12_03.tif </t>
  </si>
  <si>
    <t xml:space="preserve"> 36.612 </t>
  </si>
  <si>
    <t xml:space="preserve">C:\Users\andre\Desktop\REACTIV CEFAS\Tamoxifen\Tamoxifen/20201219_Cefas_Test10_Run2/Plate 4/@21/H12_04.tif </t>
  </si>
  <si>
    <t xml:space="preserve"> 36.6457 </t>
  </si>
  <si>
    <t xml:space="preserve">C:\Users\andre\Desktop\REACTIV CEFAS\Tamoxifen\Tamoxifen/20201219_Cefas_Test10_Run2/Plate 4/@21/ </t>
  </si>
  <si>
    <t xml:space="preserve"> 35.0926 </t>
  </si>
  <si>
    <t xml:space="preserve"> 1.8499 </t>
  </si>
  <si>
    <t xml:space="preserve"> 744605.094 </t>
  </si>
  <si>
    <t xml:space="preserve"> 508201.133 </t>
  </si>
  <si>
    <t xml:space="preserve">C:\Users\andre\Desktop\REACTIV CEFAS\Tamoxifen\Tamoxifen/20201219_Cefas_Test10_Run2/Plate 4/@8/A2_01.tif </t>
  </si>
  <si>
    <t xml:space="preserve"> 7981.4311 </t>
  </si>
  <si>
    <t xml:space="preserve"> 33.5772 </t>
  </si>
  <si>
    <t xml:space="preserve">C:\Users\andre\Desktop\REACTIV CEFAS\Tamoxifen\Tamoxifen/20201219_Cefas_Test10_Run2/Plate 4/@8/A2_02.tif </t>
  </si>
  <si>
    <t xml:space="preserve"> 34.9974 </t>
  </si>
  <si>
    <t xml:space="preserve">C:\Users\andre\Desktop\REACTIV CEFAS\Tamoxifen\Tamoxifen/20201219_Cefas_Test10_Run2/Plate 4/@8/A2_03.tif </t>
  </si>
  <si>
    <t xml:space="preserve"> 7462.3136 </t>
  </si>
  <si>
    <t xml:space="preserve"> 36.9913 </t>
  </si>
  <si>
    <t xml:space="preserve">C:\Users\andre\Desktop\REACTIV CEFAS\Tamoxifen\Tamoxifen/20201219_Cefas_Test10_Run2/Plate 4/@8/A2_04.tif </t>
  </si>
  <si>
    <t xml:space="preserve"> 40.9053 </t>
  </si>
  <si>
    <t xml:space="preserve">C:\Users\andre\Desktop\REACTIV CEFAS\Tamoxifen\Tamoxifen/20201219_Cefas_Test10_Run2/Plate 4/@8/B2_01.tif </t>
  </si>
  <si>
    <t xml:space="preserve"> 7159.4951 </t>
  </si>
  <si>
    <t xml:space="preserve"> 35.8943 </t>
  </si>
  <si>
    <t xml:space="preserve">C:\Users\andre\Desktop\REACTIV CEFAS\Tamoxifen\Tamoxifen/20201219_Cefas_Test10_Run2/Plate 4/@8/B2_02.tif </t>
  </si>
  <si>
    <t xml:space="preserve"> 6078.0004 </t>
  </si>
  <si>
    <t xml:space="preserve"> 36.4698 </t>
  </si>
  <si>
    <t xml:space="preserve">C:\Users\andre\Desktop\REACTIV CEFAS\Tamoxifen\Tamoxifen/20201219_Cefas_Test10_Run2/Plate 4/@8/B2_03.tif </t>
  </si>
  <si>
    <t xml:space="preserve"> 40.1176 </t>
  </si>
  <si>
    <t xml:space="preserve">C:\Users\andre\Desktop\REACTIV CEFAS\Tamoxifen\Tamoxifen/20201219_Cefas_Test10_Run2/Plate 4/@8/B2_04.tif </t>
  </si>
  <si>
    <t xml:space="preserve"> 37.375 </t>
  </si>
  <si>
    <t xml:space="preserve">C:\Users\andre\Desktop\REACTIV CEFAS\Tamoxifen\Tamoxifen/20201219_Cefas_Test10_Run2/Plate 4/@8/C2_01.tif </t>
  </si>
  <si>
    <t xml:space="preserve"> 37.8452 </t>
  </si>
  <si>
    <t xml:space="preserve">C:\Users\andre\Desktop\REACTIV CEFAS\Tamoxifen\Tamoxifen/20201219_Cefas_Test10_Run2/Plate 4/@8/C2_02.tif </t>
  </si>
  <si>
    <t xml:space="preserve"> 38.5326 </t>
  </si>
  <si>
    <t xml:space="preserve">C:\Users\andre\Desktop\REACTIV CEFAS\Tamoxifen\Tamoxifen/20201219_Cefas_Test10_Run2/Plate 4/@8/C2_03.tif </t>
  </si>
  <si>
    <t xml:space="preserve"> 11918.0719 </t>
  </si>
  <si>
    <t xml:space="preserve"> 39.8838 </t>
  </si>
  <si>
    <t xml:space="preserve">C:\Users\andre\Desktop\REACTIV CEFAS\Tamoxifen\Tamoxifen/20201219_Cefas_Test10_Run2/Plate 4/@8/C2_04.tif </t>
  </si>
  <si>
    <t xml:space="preserve"> 39.788 </t>
  </si>
  <si>
    <t xml:space="preserve">C:\Users\andre\Desktop\REACTIV CEFAS\Tamoxifen\Tamoxifen/20201219_Cefas_Test10_Run2/Plate 4/@8/D2_01.tif </t>
  </si>
  <si>
    <t xml:space="preserve"> 43.2873 </t>
  </si>
  <si>
    <t xml:space="preserve">C:\Users\andre\Desktop\REACTIV CEFAS\Tamoxifen\Tamoxifen/20201219_Cefas_Test10_Run2/Plate 4/@8/D2_02.tif </t>
  </si>
  <si>
    <t xml:space="preserve"> 42.6096 </t>
  </si>
  <si>
    <t xml:space="preserve">C:\Users\andre\Desktop\REACTIV CEFAS\Tamoxifen\Tamoxifen/20201219_Cefas_Test10_Run2/Plate 4/@8/D2_03.tif </t>
  </si>
  <si>
    <t xml:space="preserve"> 42.6383 </t>
  </si>
  <si>
    <t xml:space="preserve">C:\Users\andre\Desktop\REACTIV CEFAS\Tamoxifen\Tamoxifen/20201219_Cefas_Test10_Run2/Plate 4/@8/D2_04.tif </t>
  </si>
  <si>
    <t xml:space="preserve"> 41.2541 </t>
  </si>
  <si>
    <t xml:space="preserve">C:\Users\andre\Desktop\REACTIV CEFAS\Tamoxifen\Tamoxifen/20201219_Cefas_Test10_Run2/Plate 4/@8/E2_01.tif </t>
  </si>
  <si>
    <t xml:space="preserve"> 15032.7768 </t>
  </si>
  <si>
    <t xml:space="preserve"> 47.7914 </t>
  </si>
  <si>
    <t xml:space="preserve">C:\Users\andre\Desktop\REACTIV CEFAS\Tamoxifen\Tamoxifen/20201219_Cefas_Test10_Run2/Plate 4/@8/E2_02.tif </t>
  </si>
  <si>
    <t xml:space="preserve"> 8349.1393 </t>
  </si>
  <si>
    <t xml:space="preserve"> 44.9067 </t>
  </si>
  <si>
    <t xml:space="preserve">C:\Users\andre\Desktop\REACTIV CEFAS\Tamoxifen\Tamoxifen/20201219_Cefas_Test10_Run2/Plate 4/@8/E2_03.tif </t>
  </si>
  <si>
    <t xml:space="preserve"> 15011.1469 </t>
  </si>
  <si>
    <t xml:space="preserve"> 46.3631 </t>
  </si>
  <si>
    <t xml:space="preserve">C:\Users\andre\Desktop\REACTIV CEFAS\Tamoxifen\Tamoxifen/20201219_Cefas_Test10_Run2/Plate 4/@8/E2_04.tif </t>
  </si>
  <si>
    <t xml:space="preserve"> 46.75 </t>
  </si>
  <si>
    <t xml:space="preserve">C:\Users\andre\Desktop\REACTIV CEFAS\Tamoxifen\Tamoxifen/20201219_Cefas_Test10_Run2/Plate 4/@8/F2_01.tif </t>
  </si>
  <si>
    <t xml:space="preserve"> 37.5645 </t>
  </si>
  <si>
    <t xml:space="preserve">C:\Users\andre\Desktop\REACTIV CEFAS\Tamoxifen\Tamoxifen/20201219_Cefas_Test10_Run2/Plate 4/@8/F2_02.tif </t>
  </si>
  <si>
    <t xml:space="preserve"> 38.2488 </t>
  </si>
  <si>
    <t xml:space="preserve">C:\Users\andre\Desktop\REACTIV CEFAS\Tamoxifen\Tamoxifen/20201219_Cefas_Test10_Run2/Plate 4/@8/F2_03.tif </t>
  </si>
  <si>
    <t xml:space="preserve"> 42.6197 </t>
  </si>
  <si>
    <t xml:space="preserve">C:\Users\andre\Desktop\REACTIV CEFAS\Tamoxifen\Tamoxifen/20201219_Cefas_Test10_Run2/Plate 4/@8/F2_04.tif </t>
  </si>
  <si>
    <t xml:space="preserve"> 39.8211 </t>
  </si>
  <si>
    <t xml:space="preserve">C:\Users\andre\Desktop\REACTIV CEFAS\Tamoxifen\Tamoxifen/20201219_Cefas_Test10_Run2/Plate 4/@8/G2_01.tif </t>
  </si>
  <si>
    <t xml:space="preserve"> 35.2512 </t>
  </si>
  <si>
    <t xml:space="preserve">C:\Users\andre\Desktop\REACTIV CEFAS\Tamoxifen\Tamoxifen/20201219_Cefas_Test10_Run2/Plate 4/@8/G2_02.tif </t>
  </si>
  <si>
    <t xml:space="preserve"> 36.6774 </t>
  </si>
  <si>
    <t xml:space="preserve">C:\Users\andre\Desktop\REACTIV CEFAS\Tamoxifen\Tamoxifen/20201219_Cefas_Test10_Run2/Plate 4/@8/G2_03.tif </t>
  </si>
  <si>
    <t xml:space="preserve"> 8500.5486 </t>
  </si>
  <si>
    <t xml:space="preserve"> 37.0051 </t>
  </si>
  <si>
    <t xml:space="preserve">C:\Users\andre\Desktop\REACTIV CEFAS\Tamoxifen\Tamoxifen/20201219_Cefas_Test10_Run2/Plate 4/@8/G2_04.tif </t>
  </si>
  <si>
    <t xml:space="preserve"> 11052.8762 </t>
  </si>
  <si>
    <t xml:space="preserve"> 37.5558 </t>
  </si>
  <si>
    <t xml:space="preserve">C:\Users\andre\Desktop\REACTIV CEFAS\Tamoxifen\Tamoxifen/20201219_Cefas_Test10_Run2/Plate 4/@8/H2_01.tif </t>
  </si>
  <si>
    <t xml:space="preserve"> 42.2633 </t>
  </si>
  <si>
    <t xml:space="preserve">C:\Users\andre\Desktop\REACTIV CEFAS\Tamoxifen\Tamoxifen/20201219_Cefas_Test10_Run2/Plate 4/@8/H2_02.tif </t>
  </si>
  <si>
    <t xml:space="preserve"> 41.8032 </t>
  </si>
  <si>
    <t xml:space="preserve">C:\Users\andre\Desktop\REACTIV CEFAS\Tamoxifen\Tamoxifen/20201219_Cefas_Test10_Run2/Plate 4/@8/H2_03.tif </t>
  </si>
  <si>
    <t xml:space="preserve"> 42.5579 </t>
  </si>
  <si>
    <t xml:space="preserve">C:\Users\andre\Desktop\REACTIV CEFAS\Tamoxifen\Tamoxifen/20201219_Cefas_Test10_Run2/Plate 4/@8/H2_04.tif </t>
  </si>
  <si>
    <t xml:space="preserve"> 7613.7229 </t>
  </si>
  <si>
    <t xml:space="preserve"> 33.7216 </t>
  </si>
  <si>
    <t xml:space="preserve">C:\Users\andre\Desktop\REACTIV CEFAS\Tamoxifen\Tamoxifen/20201219_Cefas_Test10_Run2/Plate 4/@8/ </t>
  </si>
  <si>
    <t xml:space="preserve"> 39.7834 </t>
  </si>
  <si>
    <t xml:space="preserve"> 3.7394 </t>
  </si>
  <si>
    <t xml:space="preserve"> 368573.406 </t>
  </si>
  <si>
    <t xml:space="preserve"> 128326.363 </t>
  </si>
  <si>
    <t xml:space="preserve">C:\Users\andre\Desktop\REACTIV CEFAS\Tamoxifen\Tamoxifen/20201219_Cefas_Test10_Run2/Plate 4/@9/A3_01.tif </t>
  </si>
  <si>
    <t xml:space="preserve"> 7072.9755 </t>
  </si>
  <si>
    <t xml:space="preserve"> 41.2905 </t>
  </si>
  <si>
    <t xml:space="preserve">C:\Users\andre\Desktop\REACTIV CEFAS\Tamoxifen\Tamoxifen/20201219_Cefas_Test10_Run2/Plate 4/@9/A3_02.tif </t>
  </si>
  <si>
    <t xml:space="preserve"> 43.0172 </t>
  </si>
  <si>
    <t xml:space="preserve">C:\Users\andre\Desktop\REACTIV CEFAS\Tamoxifen\Tamoxifen/20201219_Cefas_Test10_Run2/Plate 4/@9/A3_03.tif </t>
  </si>
  <si>
    <t xml:space="preserve"> 35.6352 </t>
  </si>
  <si>
    <t>C:\Users\andre\Desktop\REACTIV CEFAS\Tamoxifen\Tamoxifen/20201219_Cefas_Test10_Run2/Plate 4/@9/A3_04- exclu.tif</t>
  </si>
  <si>
    <t>C:\Users\andre\Desktop\REACTIV CEFAS\Tamoxifen\Tamoxifen/20201219_Cefas_Test10_Run2/Plate 4/@9/B3_01- exclu.tif</t>
  </si>
  <si>
    <t xml:space="preserve">C:\Users\andre\Desktop\REACTIV CEFAS\Tamoxifen\Tamoxifen/20201219_Cefas_Test10_Run2/Plate 4/@9/B3_02.tif </t>
  </si>
  <si>
    <t xml:space="preserve"> 13648.4635 </t>
  </si>
  <si>
    <t xml:space="preserve"> 41.233 </t>
  </si>
  <si>
    <t xml:space="preserve">C:\Users\andre\Desktop\REACTIV CEFAS\Tamoxifen\Tamoxifen/20201219_Cefas_Test10_Run2/Plate 4/@9/B3_03.tif </t>
  </si>
  <si>
    <t xml:space="preserve"> 14081.0614 </t>
  </si>
  <si>
    <t xml:space="preserve"> 43.6052 </t>
  </si>
  <si>
    <t xml:space="preserve">C:\Users\andre\Desktop\REACTIV CEFAS\Tamoxifen\Tamoxifen/20201219_Cefas_Test10_Run2/Plate 4/@9/B3_04.tif </t>
  </si>
  <si>
    <t xml:space="preserve"> 41.9457 </t>
  </si>
  <si>
    <t xml:space="preserve">C:\Users\andre\Desktop\REACTIV CEFAS\Tamoxifen\Tamoxifen/20201219_Cefas_Test10_Run2/Plate 4/@9/C3_01.tif </t>
  </si>
  <si>
    <t xml:space="preserve"> 36.066 </t>
  </si>
  <si>
    <t xml:space="preserve">C:\Users\andre\Desktop\REACTIV CEFAS\Tamoxifen\Tamoxifen/20201219_Cefas_Test10_Run2/Plate 4/@9/C3_02.tif </t>
  </si>
  <si>
    <t xml:space="preserve"> 4066.4202 </t>
  </si>
  <si>
    <t xml:space="preserve"> 32.8404 </t>
  </si>
  <si>
    <t xml:space="preserve">C:\Users\andre\Desktop\REACTIV CEFAS\Tamoxifen\Tamoxifen/20201219_Cefas_Test10_Run2/Plate 4/@9/C3_03.tif </t>
  </si>
  <si>
    <t xml:space="preserve"> 5775.1819 </t>
  </si>
  <si>
    <t xml:space="preserve"> 33.8427 </t>
  </si>
  <si>
    <t xml:space="preserve">C:\Users\andre\Desktop\REACTIV CEFAS\Tamoxifen\Tamoxifen/20201219_Cefas_Test10_Run2/Plate 4/@9/C3_04.tif </t>
  </si>
  <si>
    <t xml:space="preserve"> 33.473 </t>
  </si>
  <si>
    <t xml:space="preserve">C:\Users\andre\Desktop\REACTIV CEFAS\Tamoxifen\Tamoxifen/20201219_Cefas_Test10_Run2/Plate 4/@9/D3_01.tif </t>
  </si>
  <si>
    <t xml:space="preserve"> 37.8064 </t>
  </si>
  <si>
    <t xml:space="preserve">C:\Users\andre\Desktop\REACTIV CEFAS\Tamoxifen\Tamoxifen/20201219_Cefas_Test10_Run2/Plate 4/@9/D3_02.tif </t>
  </si>
  <si>
    <t xml:space="preserve"> 35.4565 </t>
  </si>
  <si>
    <t xml:space="preserve">C:\Users\andre\Desktop\REACTIV CEFAS\Tamoxifen\Tamoxifen/20201219_Cefas_Test10_Run2/Plate 4/@9/D3_03.tif </t>
  </si>
  <si>
    <t xml:space="preserve"> 14016.1717 </t>
  </si>
  <si>
    <t xml:space="preserve"> 40.7978 </t>
  </si>
  <si>
    <t xml:space="preserve">C:\Users\andre\Desktop\REACTIV CEFAS\Tamoxifen\Tamoxifen/20201219_Cefas_Test10_Run2/Plate 4/@9/D3_04.tif </t>
  </si>
  <si>
    <t xml:space="preserve"> 39.37 </t>
  </si>
  <si>
    <t xml:space="preserve">C:\Users\andre\Desktop\REACTIV CEFAS\Tamoxifen\Tamoxifen/20201219_Cefas_Test10_Run2/Plate 4/@9/E3_01.tif </t>
  </si>
  <si>
    <t xml:space="preserve"> 34.1338 </t>
  </si>
  <si>
    <t xml:space="preserve">C:\Users\andre\Desktop\REACTIV CEFAS\Tamoxifen\Tamoxifen/20201219_Cefas_Test10_Run2/Plate 4/@9/E3_02.tif </t>
  </si>
  <si>
    <t xml:space="preserve"> 36.6559 </t>
  </si>
  <si>
    <t xml:space="preserve">C:\Users\andre\Desktop\REACTIV CEFAS\Tamoxifen\Tamoxifen/20201219_Cefas_Test10_Run2/Plate 4/@9/E3_03.tif </t>
  </si>
  <si>
    <t xml:space="preserve"> 8305.8795 </t>
  </si>
  <si>
    <t xml:space="preserve"> 35.7214 </t>
  </si>
  <si>
    <t xml:space="preserve">C:\Users\andre\Desktop\REACTIV CEFAS\Tamoxifen\Tamoxifen/20201219_Cefas_Test10_Run2/Plate 4/@9/E3_04.tif </t>
  </si>
  <si>
    <t xml:space="preserve"> 10122.7907 </t>
  </si>
  <si>
    <t xml:space="preserve"> 37.6902 </t>
  </si>
  <si>
    <t xml:space="preserve">C:\Users\andre\Desktop\REACTIV CEFAS\Tamoxifen\Tamoxifen/20201219_Cefas_Test10_Run2/Plate 4/@9/F3_01.tif </t>
  </si>
  <si>
    <t xml:space="preserve"> 36.2576 </t>
  </si>
  <si>
    <t xml:space="preserve">C:\Users\andre\Desktop\REACTIV CEFAS\Tamoxifen\Tamoxifen/20201219_Cefas_Test10_Run2/Plate 4/@9/F3_02.tif </t>
  </si>
  <si>
    <t xml:space="preserve"> 39.0262 </t>
  </si>
  <si>
    <t xml:space="preserve">C:\Users\andre\Desktop\REACTIV CEFAS\Tamoxifen\Tamoxifen/20201219_Cefas_Test10_Run2/Plate 4/@9/F3_03.tif </t>
  </si>
  <si>
    <t xml:space="preserve"> 40.7853 </t>
  </si>
  <si>
    <t xml:space="preserve">C:\Users\andre\Desktop\REACTIV CEFAS\Tamoxifen\Tamoxifen/20201219_Cefas_Test10_Run2/Plate 4/@9/F3_04.tif </t>
  </si>
  <si>
    <t xml:space="preserve"> 39.9078 </t>
  </si>
  <si>
    <t xml:space="preserve">C:\Users\andre\Desktop\REACTIV CEFAS\Tamoxifen\Tamoxifen/20201219_Cefas_Test10_Run2/Plate 4/@9/G3_01.tif </t>
  </si>
  <si>
    <t xml:space="preserve"> 38.7094 </t>
  </si>
  <si>
    <t xml:space="preserve">C:\Users\andre\Desktop\REACTIV CEFAS\Tamoxifen\Tamoxifen/20201219_Cefas_Test10_Run2/Plate 4/@9/G3_02.tif </t>
  </si>
  <si>
    <t xml:space="preserve"> 9019.6661 </t>
  </si>
  <si>
    <t xml:space="preserve"> 36.3693 </t>
  </si>
  <si>
    <t xml:space="preserve">C:\Users\andre\Desktop\REACTIV CEFAS\Tamoxifen\Tamoxifen/20201219_Cefas_Test10_Run2/Plate 4/@9/G3_03.tif </t>
  </si>
  <si>
    <t xml:space="preserve"> 31.2 </t>
  </si>
  <si>
    <t xml:space="preserve">C:\Users\andre\Desktop\REACTIV CEFAS\Tamoxifen\Tamoxifen/20201219_Cefas_Test10_Run2/Plate 4/@9/G3_04.tif </t>
  </si>
  <si>
    <t xml:space="preserve"> 37.3527 </t>
  </si>
  <si>
    <t xml:space="preserve">C:\Users\andre\Desktop\REACTIV CEFAS\Tamoxifen\Tamoxifen/20201219_Cefas_Test10_Run2/Plate 4/@9/H3_01.tif </t>
  </si>
  <si>
    <t xml:space="preserve"> 42.1877 </t>
  </si>
  <si>
    <t xml:space="preserve">C:\Users\andre\Desktop\REACTIV CEFAS\Tamoxifen\Tamoxifen/20201219_Cefas_Test10_Run2/Plate 4/@9/H3_02.tif </t>
  </si>
  <si>
    <t xml:space="preserve"> 42.5785 </t>
  </si>
  <si>
    <t xml:space="preserve">C:\Users\andre\Desktop\REACTIV CEFAS\Tamoxifen\Tamoxifen/20201219_Cefas_Test10_Run2/Plate 4/@9/H3_03.tif </t>
  </si>
  <si>
    <t xml:space="preserve"> 43.6729 </t>
  </si>
  <si>
    <t xml:space="preserve">C:\Users\andre\Desktop\REACTIV CEFAS\Tamoxifen\Tamoxifen/20201219_Cefas_Test10_Run2/Plate 4/@9/H3_04.tif </t>
  </si>
  <si>
    <t xml:space="preserve"> 41.6358 </t>
  </si>
  <si>
    <t xml:space="preserve">C:\Users\andre\Desktop\REACTIV CEFAS\Tamoxifen\Tamoxifen/20201219_Cefas_Test10_Run2/Plate 4/@9/ </t>
  </si>
  <si>
    <t xml:space="preserve"> 38.3488 </t>
  </si>
  <si>
    <t xml:space="preserve"> 3.465 </t>
  </si>
  <si>
    <t xml:space="preserve"> 297329.25 </t>
  </si>
  <si>
    <t xml:space="preserve"> 146068.414 </t>
  </si>
  <si>
    <t>TAM-30.2µg/L</t>
  </si>
  <si>
    <t>Chemical</t>
  </si>
  <si>
    <t>TAM</t>
  </si>
  <si>
    <t>TAM-60.4µg/L</t>
  </si>
  <si>
    <t>TAM-121µg/L</t>
  </si>
  <si>
    <t>TAM-242µg/L</t>
  </si>
  <si>
    <t>TAM-483µg/L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</si>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</sst>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pivotButton="1" applyAlignment="1">
      <alignment horizont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alignment horizontal="center"/>
    </dxf>
    <dxf>
      <alignment horizontal="center"/>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9.8524511028598813E-2</c:v>
                  </c:pt>
                  <c:pt idx="2">
                    <c:v>0.11822862243559057</c:v>
                  </c:pt>
                  <c:pt idx="3">
                    <c:v>2.0917614435982144E-2</c:v>
                  </c:pt>
                  <c:pt idx="4">
                    <c:v>8.6412416930480823E-2</c:v>
                  </c:pt>
                  <c:pt idx="5">
                    <c:v>0.11908212521314311</c:v>
                  </c:pt>
                  <c:pt idx="6">
                    <c:v>0.11597166260402984</c:v>
                  </c:pt>
                  <c:pt idx="7">
                    <c:v>0.12202311764714356</c:v>
                  </c:pt>
                  <c:pt idx="8">
                    <c:v>7.3187919839171056E-2</c:v>
                  </c:pt>
                </c:numCache>
              </c:numRef>
            </c:plus>
            <c:minus>
              <c:numRef>
                <c:f>'R1'!$N$48:$V$48</c:f>
                <c:numCache>
                  <c:formatCode>General</c:formatCode>
                  <c:ptCount val="9"/>
                  <c:pt idx="0">
                    <c:v>0</c:v>
                  </c:pt>
                  <c:pt idx="1">
                    <c:v>9.8524511028598813E-2</c:v>
                  </c:pt>
                  <c:pt idx="2">
                    <c:v>0.11822862243559057</c:v>
                  </c:pt>
                  <c:pt idx="3">
                    <c:v>2.0917614435982144E-2</c:v>
                  </c:pt>
                  <c:pt idx="4">
                    <c:v>8.6412416930480823E-2</c:v>
                  </c:pt>
                  <c:pt idx="5">
                    <c:v>0.11908212521314311</c:v>
                  </c:pt>
                  <c:pt idx="6">
                    <c:v>0.11597166260402984</c:v>
                  </c:pt>
                  <c:pt idx="7">
                    <c:v>0.12202311764714356</c:v>
                  </c:pt>
                  <c:pt idx="8">
                    <c:v>7.3187919839171056E-2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TAM-30.2µg/L</c:v>
                </c:pt>
                <c:pt idx="8">
                  <c:v>TAM-60.4µg/L</c:v>
                </c:pt>
                <c:pt idx="9">
                  <c:v>TAM-121µg/L</c:v>
                </c:pt>
                <c:pt idx="10">
                  <c:v>TAM-242µg/L</c:v>
                </c:pt>
                <c:pt idx="11">
                  <c:v>TAM-483µg/L</c:v>
                </c:pt>
                <c:pt idx="13">
                  <c:v>Testo -30µg/L</c:v>
                </c:pt>
                <c:pt idx="14">
                  <c:v>Testo 30µg/L + EE2 -64ng/L</c:v>
                </c:pt>
                <c:pt idx="15">
                  <c:v>Testo 30µg/L + FAD-10mg/L</c:v>
                </c:pt>
                <c:pt idx="16">
                  <c:v>TAM-30,2µg/L + Testostérone</c:v>
                </c:pt>
                <c:pt idx="17">
                  <c:v>TAM-60,4µg/L + Testostérone</c:v>
                </c:pt>
                <c:pt idx="18">
                  <c:v>TAM-121µg/L + Testostérone</c:v>
                </c:pt>
                <c:pt idx="19">
                  <c:v>TAM-242µg/L + Testostérone</c:v>
                </c:pt>
                <c:pt idx="20">
                  <c:v>TAM-483µg/L + Testostérone</c:v>
                </c:pt>
              </c:strCache>
            </c:strRef>
          </c:cat>
          <c:val>
            <c:numRef>
              <c:f>'R1'!$B$53:$V$53</c:f>
              <c:numCache>
                <c:formatCode>0.0000</c:formatCode>
                <c:ptCount val="21"/>
                <c:pt idx="0">
                  <c:v>0.15220188225354636</c:v>
                </c:pt>
                <c:pt idx="1">
                  <c:v>0.11710025255483086</c:v>
                </c:pt>
                <c:pt idx="2">
                  <c:v>0.13545074587899422</c:v>
                </c:pt>
                <c:pt idx="3">
                  <c:v>0.17816381216659882</c:v>
                </c:pt>
                <c:pt idx="4">
                  <c:v>0.82442846543816628</c:v>
                </c:pt>
                <c:pt idx="5">
                  <c:v>1.2542178804715496</c:v>
                </c:pt>
                <c:pt idx="6">
                  <c:v>1.6999871629516492</c:v>
                </c:pt>
                <c:pt idx="7">
                  <c:v>0.15953282585297809</c:v>
                </c:pt>
                <c:pt idx="8">
                  <c:v>0.13368645935817614</c:v>
                </c:pt>
                <c:pt idx="9">
                  <c:v>0.24281229049663974</c:v>
                </c:pt>
                <c:pt idx="10">
                  <c:v>0.23899975724738709</c:v>
                </c:pt>
                <c:pt idx="11">
                  <c:v>0.17181979485750631</c:v>
                </c:pt>
                <c:pt idx="13">
                  <c:v>1</c:v>
                </c:pt>
                <c:pt idx="14">
                  <c:v>1.4943045542525961</c:v>
                </c:pt>
                <c:pt idx="15">
                  <c:v>0.13746264317596157</c:v>
                </c:pt>
                <c:pt idx="16">
                  <c:v>1.3480017491822545</c:v>
                </c:pt>
                <c:pt idx="17">
                  <c:v>1.2541274712927131</c:v>
                </c:pt>
                <c:pt idx="18">
                  <c:v>0.84486483540332002</c:v>
                </c:pt>
                <c:pt idx="19">
                  <c:v>0.65742104314080785</c:v>
                </c:pt>
                <c:pt idx="20">
                  <c:v>0.32710890799831077</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4.1061176253944204E-2</c:v>
                  </c:pt>
                  <c:pt idx="1">
                    <c:v>6.9638435479776967E-2</c:v>
                  </c:pt>
                  <c:pt idx="2">
                    <c:v>4.8680875976055256E-2</c:v>
                  </c:pt>
                  <c:pt idx="3">
                    <c:v>0.23452204391340875</c:v>
                  </c:pt>
                  <c:pt idx="4">
                    <c:v>0.24736871576310462</c:v>
                  </c:pt>
                  <c:pt idx="5">
                    <c:v>0.32558067784808692</c:v>
                  </c:pt>
                  <c:pt idx="6">
                    <c:v>0.28732964408023348</c:v>
                  </c:pt>
                  <c:pt idx="7">
                    <c:v>4.8840143440542827E-2</c:v>
                  </c:pt>
                  <c:pt idx="8">
                    <c:v>5.1029828389943861E-2</c:v>
                  </c:pt>
                  <c:pt idx="9">
                    <c:v>2.1130647959152624E-2</c:v>
                  </c:pt>
                  <c:pt idx="10">
                    <c:v>0.14989550413978517</c:v>
                  </c:pt>
                  <c:pt idx="11">
                    <c:v>0.22857791656634568</c:v>
                  </c:pt>
                  <c:pt idx="13">
                    <c:v>0.17869100447860387</c:v>
                  </c:pt>
                  <c:pt idx="14">
                    <c:v>0.40359672418520665</c:v>
                  </c:pt>
                  <c:pt idx="15">
                    <c:v>4.9499890636947604E-2</c:v>
                  </c:pt>
                  <c:pt idx="16">
                    <c:v>0.37653787321443111</c:v>
                  </c:pt>
                  <c:pt idx="17">
                    <c:v>0.3647387468529445</c:v>
                  </c:pt>
                  <c:pt idx="18">
                    <c:v>0.27352367691710305</c:v>
                  </c:pt>
                  <c:pt idx="19">
                    <c:v>0.2565032381538892</c:v>
                  </c:pt>
                  <c:pt idx="20">
                    <c:v>0.27001726833089862</c:v>
                  </c:pt>
                </c:numCache>
              </c:numRef>
            </c:plus>
            <c:minus>
              <c:numRef>
                <c:f>'R1'!$N$48:$V$48</c:f>
                <c:numCache>
                  <c:formatCode>General</c:formatCode>
                  <c:ptCount val="9"/>
                  <c:pt idx="0">
                    <c:v>0</c:v>
                  </c:pt>
                  <c:pt idx="1">
                    <c:v>9.8524511028598813E-2</c:v>
                  </c:pt>
                  <c:pt idx="2">
                    <c:v>0.11822862243559057</c:v>
                  </c:pt>
                  <c:pt idx="3">
                    <c:v>2.0917614435982144E-2</c:v>
                  </c:pt>
                  <c:pt idx="4">
                    <c:v>8.6412416930480823E-2</c:v>
                  </c:pt>
                  <c:pt idx="5">
                    <c:v>0.11908212521314311</c:v>
                  </c:pt>
                  <c:pt idx="6">
                    <c:v>0.11597166260402984</c:v>
                  </c:pt>
                  <c:pt idx="7">
                    <c:v>0.12202311764714356</c:v>
                  </c:pt>
                  <c:pt idx="8">
                    <c:v>7.3187919839171056E-2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TAM-30.2µg/L</c:v>
                </c:pt>
                <c:pt idx="8">
                  <c:v>TAM-60.4µg/L</c:v>
                </c:pt>
                <c:pt idx="9">
                  <c:v>TAM-121µg/L</c:v>
                </c:pt>
                <c:pt idx="10">
                  <c:v>TAM-242µg/L</c:v>
                </c:pt>
                <c:pt idx="11">
                  <c:v>TAM-483µg/L</c:v>
                </c:pt>
                <c:pt idx="13">
                  <c:v>Testo -30µg/L</c:v>
                </c:pt>
                <c:pt idx="14">
                  <c:v>Testo 30µg/L + EE2 -64ng/L</c:v>
                </c:pt>
                <c:pt idx="15">
                  <c:v>Testo 30µg/L + FAD-10mg/L</c:v>
                </c:pt>
                <c:pt idx="16">
                  <c:v>TAM-30,2µg/L + Testostérone</c:v>
                </c:pt>
                <c:pt idx="17">
                  <c:v>TAM-60,4µg/L + Testostérone</c:v>
                </c:pt>
                <c:pt idx="18">
                  <c:v>TAM-121µg/L + Testostérone</c:v>
                </c:pt>
                <c:pt idx="19">
                  <c:v>TAM-242µg/L + Testostérone</c:v>
                </c:pt>
                <c:pt idx="20">
                  <c:v>TAM-483µg/L + Testostérone</c:v>
                </c:pt>
              </c:strCache>
            </c:strRef>
          </c:cat>
          <c:val>
            <c:numRef>
              <c:f>'R2'!$B$53:$V$53</c:f>
              <c:numCache>
                <c:formatCode>0.0000</c:formatCode>
                <c:ptCount val="21"/>
                <c:pt idx="0">
                  <c:v>0.2001901507846312</c:v>
                </c:pt>
                <c:pt idx="1">
                  <c:v>0.17785362333190982</c:v>
                </c:pt>
                <c:pt idx="2">
                  <c:v>0.18746566997144154</c:v>
                </c:pt>
                <c:pt idx="3">
                  <c:v>0.68661195390934526</c:v>
                </c:pt>
                <c:pt idx="4">
                  <c:v>1.7011239781513778</c:v>
                </c:pt>
                <c:pt idx="5">
                  <c:v>2.000096236853409</c:v>
                </c:pt>
                <c:pt idx="6">
                  <c:v>3.6187008359345954</c:v>
                </c:pt>
                <c:pt idx="7">
                  <c:v>0.17989563386749721</c:v>
                </c:pt>
                <c:pt idx="8">
                  <c:v>0.21405221396828333</c:v>
                </c:pt>
                <c:pt idx="9">
                  <c:v>0.14346624066831354</c:v>
                </c:pt>
                <c:pt idx="10">
                  <c:v>0.55154668938689733</c:v>
                </c:pt>
                <c:pt idx="11">
                  <c:v>0.64838732866182847</c:v>
                </c:pt>
                <c:pt idx="13">
                  <c:v>0.99999999999999978</c:v>
                </c:pt>
                <c:pt idx="14">
                  <c:v>2.8966358015934395</c:v>
                </c:pt>
                <c:pt idx="15">
                  <c:v>0.1647039610328207</c:v>
                </c:pt>
                <c:pt idx="16">
                  <c:v>1.5240525286272755</c:v>
                </c:pt>
                <c:pt idx="17">
                  <c:v>1.5894702042649609</c:v>
                </c:pt>
                <c:pt idx="18">
                  <c:v>1.9582692114412725</c:v>
                </c:pt>
                <c:pt idx="19">
                  <c:v>1.8785326611185782</c:v>
                </c:pt>
                <c:pt idx="20">
                  <c:v>1.5571142116337255</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3.5239828271144524E-2</c:v>
                  </c:pt>
                  <c:pt idx="1">
                    <c:v>1.3746311121568962E-2</c:v>
                  </c:pt>
                  <c:pt idx="2">
                    <c:v>6.8102667527604729E-2</c:v>
                  </c:pt>
                  <c:pt idx="3">
                    <c:v>7.1973622209703506E-2</c:v>
                  </c:pt>
                  <c:pt idx="4">
                    <c:v>0.20789296550057199</c:v>
                  </c:pt>
                  <c:pt idx="5">
                    <c:v>0.22764225586280012</c:v>
                  </c:pt>
                  <c:pt idx="6">
                    <c:v>0.29049250548501793</c:v>
                  </c:pt>
                  <c:pt idx="7">
                    <c:v>1.6383268512007262E-2</c:v>
                  </c:pt>
                  <c:pt idx="8">
                    <c:v>3.0925287341605521E-2</c:v>
                  </c:pt>
                  <c:pt idx="9">
                    <c:v>6.9347296283294405E-2</c:v>
                  </c:pt>
                  <c:pt idx="10">
                    <c:v>9.9382562313423198E-2</c:v>
                  </c:pt>
                  <c:pt idx="11">
                    <c:v>9.5715817281970525E-2</c:v>
                  </c:pt>
                  <c:pt idx="13">
                    <c:v>0.1237766778101316</c:v>
                  </c:pt>
                  <c:pt idx="14">
                    <c:v>0.23506320583332604</c:v>
                  </c:pt>
                  <c:pt idx="15">
                    <c:v>3.2292261781286025E-2</c:v>
                  </c:pt>
                  <c:pt idx="16">
                    <c:v>0.19256342419454558</c:v>
                  </c:pt>
                  <c:pt idx="17">
                    <c:v>0.22866458076472293</c:v>
                  </c:pt>
                  <c:pt idx="18">
                    <c:v>0.19856022502634207</c:v>
                  </c:pt>
                  <c:pt idx="19">
                    <c:v>0.19997980307141711</c:v>
                  </c:pt>
                  <c:pt idx="20">
                    <c:v>0.13860604772708179</c:v>
                  </c:pt>
                </c:numCache>
              </c:numRef>
            </c:plus>
            <c:minus>
              <c:numRef>
                <c:f>'R1'!$N$48:$V$48</c:f>
                <c:numCache>
                  <c:formatCode>General</c:formatCode>
                  <c:ptCount val="9"/>
                  <c:pt idx="0">
                    <c:v>0</c:v>
                  </c:pt>
                  <c:pt idx="1">
                    <c:v>9.8524511028598813E-2</c:v>
                  </c:pt>
                  <c:pt idx="2">
                    <c:v>0.11822862243559057</c:v>
                  </c:pt>
                  <c:pt idx="3">
                    <c:v>2.0917614435982144E-2</c:v>
                  </c:pt>
                  <c:pt idx="4">
                    <c:v>8.6412416930480823E-2</c:v>
                  </c:pt>
                  <c:pt idx="5">
                    <c:v>0.11908212521314311</c:v>
                  </c:pt>
                  <c:pt idx="6">
                    <c:v>0.11597166260402984</c:v>
                  </c:pt>
                  <c:pt idx="7">
                    <c:v>0.12202311764714356</c:v>
                  </c:pt>
                  <c:pt idx="8">
                    <c:v>7.3187919839171056E-2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TAM-30.2µg/L</c:v>
                </c:pt>
                <c:pt idx="8">
                  <c:v>TAM-60.4µg/L</c:v>
                </c:pt>
                <c:pt idx="9">
                  <c:v>TAM-121µg/L</c:v>
                </c:pt>
                <c:pt idx="10">
                  <c:v>TAM-242µg/L</c:v>
                </c:pt>
                <c:pt idx="11">
                  <c:v>TAM-483µg/L</c:v>
                </c:pt>
                <c:pt idx="13">
                  <c:v>Testo -30µg/L</c:v>
                </c:pt>
                <c:pt idx="14">
                  <c:v>Testo 30µg/L + EE2 -64ng/L</c:v>
                </c:pt>
                <c:pt idx="15">
                  <c:v>Testo 30µg/L + FAD-10mg/L</c:v>
                </c:pt>
                <c:pt idx="16">
                  <c:v>TAM-30,2µg/L + Testostérone</c:v>
                </c:pt>
                <c:pt idx="17">
                  <c:v>TAM-60,4µg/L + Testostérone</c:v>
                </c:pt>
                <c:pt idx="18">
                  <c:v>TAM-121µg/L + Testostérone</c:v>
                </c:pt>
                <c:pt idx="19">
                  <c:v>TAM-242µg/L + Testostérone</c:v>
                </c:pt>
                <c:pt idx="20">
                  <c:v>TAM-483µg/L + Testostérone</c:v>
                </c:pt>
              </c:strCache>
            </c:strRef>
          </c:cat>
          <c:val>
            <c:numRef>
              <c:f>'R3'!$B$53:$V$53</c:f>
              <c:numCache>
                <c:formatCode>0.0000</c:formatCode>
                <c:ptCount val="21"/>
                <c:pt idx="0">
                  <c:v>0.11359420478039334</c:v>
                </c:pt>
                <c:pt idx="1">
                  <c:v>4.9391841407717518E-2</c:v>
                </c:pt>
                <c:pt idx="2">
                  <c:v>0.15417035508723126</c:v>
                </c:pt>
                <c:pt idx="3">
                  <c:v>0.24584670345400292</c:v>
                </c:pt>
                <c:pt idx="4">
                  <c:v>0.92180987007146975</c:v>
                </c:pt>
                <c:pt idx="5">
                  <c:v>1.6552826724431999</c:v>
                </c:pt>
                <c:pt idx="6">
                  <c:v>2.7097241311248994</c:v>
                </c:pt>
                <c:pt idx="7">
                  <c:v>0.13993214549720609</c:v>
                </c:pt>
                <c:pt idx="8">
                  <c:v>0.12861437306475268</c:v>
                </c:pt>
                <c:pt idx="9">
                  <c:v>0.20146033397946927</c:v>
                </c:pt>
                <c:pt idx="10">
                  <c:v>0.57637218144287039</c:v>
                </c:pt>
                <c:pt idx="11">
                  <c:v>0.3743923490006329</c:v>
                </c:pt>
                <c:pt idx="13">
                  <c:v>1.0000000000000002</c:v>
                </c:pt>
                <c:pt idx="14">
                  <c:v>1.6398925302656242</c:v>
                </c:pt>
                <c:pt idx="15">
                  <c:v>0.11770359869337851</c:v>
                </c:pt>
                <c:pt idx="16">
                  <c:v>1.2269329344287883</c:v>
                </c:pt>
                <c:pt idx="17">
                  <c:v>1.1104329221224349</c:v>
                </c:pt>
                <c:pt idx="18">
                  <c:v>1.4451118538830985</c:v>
                </c:pt>
                <c:pt idx="19">
                  <c:v>1.1276366606185515</c:v>
                </c:pt>
                <c:pt idx="20">
                  <c:v>0.66368664652837228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6F8EB1CC-E2E8-4653-A2EE-CB4DBEBB281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E3D491FD-26AF-43F0-B65C-4958E2A0FA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DC07511C-AE1B-4940-9ECE-FDB357C384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32D665C8-5707-41FB-99E2-602112E9FFD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5156833B-242B-4F49-B216-4E09B18EE4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591038D4-385F-47A2-91D3-EF002C0A08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4E351769-E1F6-497C-8D7C-7540F1A3CD3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2A16C3DB-CDC8-424A-A301-91733C15A05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6AABCC3F-8F76-4B7F-A312-E037B9CD018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50C9959B-9E2C-465B-8EA4-7AB4168FC5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898F88FE-E809-4498-964B-0C43BD4963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783E52DB-CD9D-457F-AEF6-9D0541E129E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4F49A1A6-F37D-44FB-8549-B2FD3EF7C6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3F308AEB-DF3A-46C7-9EBE-8D512214B2A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26ACF15E-B6B1-429F-B48C-1D81936F0A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010515F2-15E6-486B-A1C8-F06E73F0DC2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51158B72-E6F3-4E2B-9CA5-8B7DD45D754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1D439268-AB6F-4EC1-A137-CA90EFC528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E9F84DA0-1319-4D4F-B6DE-B40F80BA46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00925BAD-DBD5-4489-98AC-0DC2CC4BA2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1.9365571043145693E-2</c:v>
                  </c:pt>
                  <c:pt idx="1">
                    <c:v>2.5067552331564907E-2</c:v>
                  </c:pt>
                  <c:pt idx="2">
                    <c:v>2.7951608063571508E-2</c:v>
                  </c:pt>
                  <c:pt idx="3">
                    <c:v>9.2868010165333553E-2</c:v>
                  </c:pt>
                  <c:pt idx="4">
                    <c:v>0.13491067463796305</c:v>
                  </c:pt>
                  <c:pt idx="5">
                    <c:v>0.14840348648951027</c:v>
                  </c:pt>
                  <c:pt idx="6">
                    <c:v>0.22080533487353657</c:v>
                  </c:pt>
                  <c:pt idx="7">
                    <c:v>1.7463740417755023E-2</c:v>
                  </c:pt>
                  <c:pt idx="8">
                    <c:v>2.1709337939657392E-2</c:v>
                  </c:pt>
                  <c:pt idx="9">
                    <c:v>3.0970254155055329E-2</c:v>
                  </c:pt>
                  <c:pt idx="10">
                    <c:v>6.9012019828936413E-2</c:v>
                  </c:pt>
                  <c:pt idx="11">
                    <c:v>8.982734087683944E-2</c:v>
                  </c:pt>
                  <c:pt idx="13">
                    <c:v>7.6679645910067123E-2</c:v>
                  </c:pt>
                  <c:pt idx="14">
                    <c:v>0.20022874074787131</c:v>
                  </c:pt>
                  <c:pt idx="15">
                    <c:v>1.9584651256111855E-2</c:v>
                  </c:pt>
                  <c:pt idx="16">
                    <c:v>0.13982098800681309</c:v>
                  </c:pt>
                  <c:pt idx="17">
                    <c:v>0.14829351226027887</c:v>
                  </c:pt>
                  <c:pt idx="18">
                    <c:v>0.14817411874108727</c:v>
                  </c:pt>
                  <c:pt idx="19">
                    <c:v>0.15243983638302838</c:v>
                  </c:pt>
                  <c:pt idx="20">
                    <c:v>0.14697327197750062</c:v>
                  </c:pt>
                </c:numCache>
              </c:numRef>
            </c:plus>
            <c:minus>
              <c:numRef>
                <c:f>'pooled normalised values'!$B$76:$V$76</c:f>
                <c:numCache>
                  <c:formatCode>General</c:formatCode>
                  <c:ptCount val="21"/>
                  <c:pt idx="0">
                    <c:v>1.9365571043145693E-2</c:v>
                  </c:pt>
                  <c:pt idx="1">
                    <c:v>2.5067552331564907E-2</c:v>
                  </c:pt>
                  <c:pt idx="2">
                    <c:v>2.7951608063571508E-2</c:v>
                  </c:pt>
                  <c:pt idx="3">
                    <c:v>9.2868010165333553E-2</c:v>
                  </c:pt>
                  <c:pt idx="4">
                    <c:v>0.13491067463796305</c:v>
                  </c:pt>
                  <c:pt idx="5">
                    <c:v>0.14840348648951027</c:v>
                  </c:pt>
                  <c:pt idx="6">
                    <c:v>0.22080533487353657</c:v>
                  </c:pt>
                  <c:pt idx="7">
                    <c:v>1.7463740417755023E-2</c:v>
                  </c:pt>
                  <c:pt idx="8">
                    <c:v>2.1709337939657392E-2</c:v>
                  </c:pt>
                  <c:pt idx="9">
                    <c:v>3.0970254155055329E-2</c:v>
                  </c:pt>
                  <c:pt idx="10">
                    <c:v>6.9012019828936413E-2</c:v>
                  </c:pt>
                  <c:pt idx="11">
                    <c:v>8.982734087683944E-2</c:v>
                  </c:pt>
                  <c:pt idx="13">
                    <c:v>7.6679645910067123E-2</c:v>
                  </c:pt>
                  <c:pt idx="14">
                    <c:v>0.20022874074787131</c:v>
                  </c:pt>
                  <c:pt idx="15">
                    <c:v>1.9584651256111855E-2</c:v>
                  </c:pt>
                  <c:pt idx="16">
                    <c:v>0.13982098800681309</c:v>
                  </c:pt>
                  <c:pt idx="17">
                    <c:v>0.14829351226027887</c:v>
                  </c:pt>
                  <c:pt idx="18">
                    <c:v>0.14817411874108727</c:v>
                  </c:pt>
                  <c:pt idx="19">
                    <c:v>0.15243983638302838</c:v>
                  </c:pt>
                  <c:pt idx="20">
                    <c:v>0.14697327197750062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TAM-30.2µg/L</c:v>
                </c:pt>
                <c:pt idx="8">
                  <c:v>TAM-60.4µg/L</c:v>
                </c:pt>
                <c:pt idx="9">
                  <c:v>TAM-121µg/L</c:v>
                </c:pt>
                <c:pt idx="10">
                  <c:v>TAM-242µg/L</c:v>
                </c:pt>
                <c:pt idx="11">
                  <c:v>TAM-483µg/L</c:v>
                </c:pt>
                <c:pt idx="13">
                  <c:v>Testo -30µg/L</c:v>
                </c:pt>
                <c:pt idx="14">
                  <c:v>Testo 30µg/L + EE2 -64ng/L</c:v>
                </c:pt>
                <c:pt idx="15">
                  <c:v>Testo 30µg/L + FAD-10mg/L</c:v>
                </c:pt>
                <c:pt idx="16">
                  <c:v>TAM-30,2µg/L + Testostérone</c:v>
                </c:pt>
                <c:pt idx="17">
                  <c:v>TAM-60,4µg/L + Testostérone</c:v>
                </c:pt>
                <c:pt idx="18">
                  <c:v>TAM-121µg/L + Testostérone</c:v>
                </c:pt>
                <c:pt idx="19">
                  <c:v>TAM-242µg/L + Testostérone</c:v>
                </c:pt>
                <c:pt idx="20">
                  <c:v>TAM-483µg/L + Testostérone</c:v>
                </c:pt>
              </c:strCache>
            </c:strRef>
          </c:cat>
          <c:val>
            <c:numRef>
              <c:f>'pooled normalised values'!$B$75:$V$75</c:f>
              <c:numCache>
                <c:formatCode>0.0000</c:formatCode>
                <c:ptCount val="21"/>
                <c:pt idx="0">
                  <c:v>0.15532874593952364</c:v>
                </c:pt>
                <c:pt idx="1">
                  <c:v>0.11488728516436537</c:v>
                </c:pt>
                <c:pt idx="2">
                  <c:v>0.159028923645889</c:v>
                </c:pt>
                <c:pt idx="3">
                  <c:v>0.37020748984331564</c:v>
                </c:pt>
                <c:pt idx="4">
                  <c:v>1.1251206317885538</c:v>
                </c:pt>
                <c:pt idx="5">
                  <c:v>1.6357170280740028</c:v>
                </c:pt>
                <c:pt idx="6">
                  <c:v>2.6280546639002265</c:v>
                </c:pt>
                <c:pt idx="7">
                  <c:v>0.15978686840589382</c:v>
                </c:pt>
                <c:pt idx="8">
                  <c:v>0.15878434879707071</c:v>
                </c:pt>
                <c:pt idx="9">
                  <c:v>0.19387385350690178</c:v>
                </c:pt>
                <c:pt idx="10">
                  <c:v>0.45563954269238494</c:v>
                </c:pt>
                <c:pt idx="11">
                  <c:v>0.39819982417332245</c:v>
                </c:pt>
                <c:pt idx="13">
                  <c:v>1</c:v>
                </c:pt>
                <c:pt idx="14">
                  <c:v>1.9868243071379188</c:v>
                </c:pt>
                <c:pt idx="15">
                  <c:v>0.13888076792106369</c:v>
                </c:pt>
                <c:pt idx="16">
                  <c:v>1.366329070746106</c:v>
                </c:pt>
                <c:pt idx="17">
                  <c:v>1.318010199226703</c:v>
                </c:pt>
                <c:pt idx="18">
                  <c:v>1.4160819669092304</c:v>
                </c:pt>
                <c:pt idx="19">
                  <c:v>1.221196788292646</c:v>
                </c:pt>
                <c:pt idx="20">
                  <c:v>0.84930325538680274</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c:v>
                  </c:pt>
                  <c:pt idx="11">
                    <c:v>*</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TAM-30,2µg/L : 0%</c:v>
                  </c:pt>
                  <c:pt idx="1">
                    <c:v>TAM-60,4µg/L : 0%</c:v>
                  </c:pt>
                  <c:pt idx="2">
                    <c:v>TAM-121µg/L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TAM-30,2µg/L : 0%</c:v>
                  </c:pt>
                  <c:pt idx="1">
                    <c:v>TAM-60,4µg/L : 0%</c:v>
                  </c:pt>
                  <c:pt idx="2">
                    <c:v>TAM-121µg/L : 0%</c:v>
                  </c:pt>
                  <c:pt idx="3">
                    <c:v>TAM-242µg/L : 0%</c:v>
                  </c:pt>
                  <c:pt idx="4">
                    <c:v>TAM-483µg/L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TAM-30,2µg/L : 0%</c:v>
                  </c:pt>
                  <c:pt idx="1">
                    <c:v>TAM-60,4µg/L : 0%</c:v>
                  </c:pt>
                  <c:pt idx="2">
                    <c:v>TAM-121µg/L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TAM-30,2µg/L : 0%</c:v>
                  </c:pt>
                  <c:pt idx="1">
                    <c:v>TAM-60,4µg/L : 0%</c:v>
                  </c:pt>
                  <c:pt idx="2">
                    <c:v>TAM-121µg/L : 0%</c:v>
                  </c:pt>
                  <c:pt idx="3">
                    <c:v>TAM-242µg/L : 0%</c:v>
                  </c:pt>
                  <c:pt idx="4">
                    <c:v>TAM-483µg/L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TAM-60.4µg/L</c:v>
                </c:pt>
                <c:pt idx="2">
                  <c:v>TAM-121µg/L</c:v>
                </c:pt>
                <c:pt idx="3">
                  <c:v>TAM-242µg/L</c:v>
                </c:pt>
                <c:pt idx="4">
                  <c:v>TAM-483µg/L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TAM-60.4µg/L</c:v>
                </c:pt>
                <c:pt idx="2">
                  <c:v>TAM-121µg/L</c:v>
                </c:pt>
                <c:pt idx="3">
                  <c:v>TAM-242µg/L</c:v>
                </c:pt>
                <c:pt idx="4">
                  <c:v>TAM-483µg/L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TAM-60.4µg/L</c:v>
                </c:pt>
                <c:pt idx="2">
                  <c:v>TAM-121µg/L</c:v>
                </c:pt>
                <c:pt idx="3">
                  <c:v>TAM-242µg/L</c:v>
                </c:pt>
                <c:pt idx="4">
                  <c:v>TAM-483µg/L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0068CC0F-E7B6-4561-AEC8-C4E7C62E85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A761FC19-82C7-426E-ABDD-C2B264E8BEF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DA4E099E-7239-4E13-808E-E129DE681A5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1C6BC54E-1AF9-442D-B341-7351E5876C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CEEB7F8F-A45B-4BE4-AB97-07012E838A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9519C86F-E51F-4BA4-9A59-15EC6E53AC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BD4C8CAF-72CB-456D-8AD2-631BF6E1C8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2F027328-220A-4D60-BB7C-D4EB8E8B0B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3F532E9E-FF34-4EA2-89E1-66EA05F1AC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1F3B14CD-DCCA-428C-B1D7-9DBFE009CC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90FFD600-F5FD-4FA0-A494-4A9E3CB1E35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82D90462-0AED-4ABD-B5CE-31988D68B0A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761D9D7B-08F4-4AEC-975B-9A2A1B73CEF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434C409A-9F75-448D-AC7C-377A5CC626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2.1709337939657392E-2</c:v>
                  </c:pt>
                  <c:pt idx="2">
                    <c:v>3.0970254155055329E-2</c:v>
                  </c:pt>
                  <c:pt idx="3">
                    <c:v>6.9012019828936413E-2</c:v>
                  </c:pt>
                  <c:pt idx="4">
                    <c:v>8.982734087683944E-2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2.1709337939657392E-2</c:v>
                  </c:pt>
                  <c:pt idx="2">
                    <c:v>3.0970254155055329E-2</c:v>
                  </c:pt>
                  <c:pt idx="3">
                    <c:v>6.9012019828936413E-2</c:v>
                  </c:pt>
                  <c:pt idx="4">
                    <c:v>8.982734087683944E-2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TAM-60.4µg/L</c:v>
                </c:pt>
                <c:pt idx="2">
                  <c:v>TAM-121µg/L</c:v>
                </c:pt>
                <c:pt idx="3">
                  <c:v>TAM-242µg/L</c:v>
                </c:pt>
                <c:pt idx="4">
                  <c:v>TAM-483µg/L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0.15878434879707071</c:v>
                </c:pt>
                <c:pt idx="2">
                  <c:v>0.19387385350690178</c:v>
                </c:pt>
                <c:pt idx="3">
                  <c:v>0.45563954269238494</c:v>
                </c:pt>
                <c:pt idx="4">
                  <c:v>0.39819982417332245</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0.15532874593952364</c:v>
                </c:pt>
                <c:pt idx="1">
                  <c:v>0.15532874593952364</c:v>
                </c:pt>
                <c:pt idx="2">
                  <c:v>0.15532874593952364</c:v>
                </c:pt>
                <c:pt idx="3">
                  <c:v>0.15532874593952364</c:v>
                </c:pt>
                <c:pt idx="4">
                  <c:v>0.15532874593952364</c:v>
                </c:pt>
                <c:pt idx="5">
                  <c:v>0.15532874593952364</c:v>
                </c:pt>
                <c:pt idx="6">
                  <c:v>0.15532874593952364</c:v>
                </c:pt>
                <c:pt idx="7">
                  <c:v>0.15532874593952364</c:v>
                </c:pt>
                <c:pt idx="8">
                  <c:v>0.15532874593952364</c:v>
                </c:pt>
                <c:pt idx="9">
                  <c:v>0.15532874593952364</c:v>
                </c:pt>
                <c:pt idx="10">
                  <c:v>0.15532874593952364</c:v>
                </c:pt>
                <c:pt idx="11">
                  <c:v>0.15532874593952364</c:v>
                </c:pt>
                <c:pt idx="12">
                  <c:v>0.15532874593952364</c:v>
                </c:pt>
                <c:pt idx="13">
                  <c:v>0.15532874593952364</c:v>
                </c:pt>
                <c:pt idx="14">
                  <c:v>0.15532874593952364</c:v>
                </c:pt>
                <c:pt idx="15">
                  <c:v>0.15532874593952364</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TAM-30,2µg/L + Testostérone</c:v>
                </c:pt>
                <c:pt idx="2">
                  <c:v>TAM-60,4µg/L + Testostérone</c:v>
                </c:pt>
                <c:pt idx="3">
                  <c:v>TAM-121µg/L + Testostérone</c:v>
                </c:pt>
                <c:pt idx="4">
                  <c:v>TAM-242µg/L + Testostérone</c:v>
                </c:pt>
                <c:pt idx="5">
                  <c:v>TAM-483µg/L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0.13888076792106369</c:v>
                </c:pt>
                <c:pt idx="1">
                  <c:v>0.13888076792106369</c:v>
                </c:pt>
                <c:pt idx="2">
                  <c:v>0.13888076792106369</c:v>
                </c:pt>
                <c:pt idx="3">
                  <c:v>0.13888076792106369</c:v>
                </c:pt>
                <c:pt idx="4">
                  <c:v>0.13888076792106369</c:v>
                </c:pt>
                <c:pt idx="5">
                  <c:v>0.13888076792106369</c:v>
                </c:pt>
                <c:pt idx="6">
                  <c:v>0.13888076792106369</c:v>
                </c:pt>
                <c:pt idx="7">
                  <c:v>0.13888076792106369</c:v>
                </c:pt>
                <c:pt idx="8">
                  <c:v>0.13888076792106369</c:v>
                </c:pt>
                <c:pt idx="9">
                  <c:v>0.13888076792106369</c:v>
                </c:pt>
                <c:pt idx="10">
                  <c:v>0.13888076792106369</c:v>
                </c:pt>
                <c:pt idx="11">
                  <c:v>0.13888076792106369</c:v>
                </c:pt>
                <c:pt idx="12">
                  <c:v>0.13888076792106369</c:v>
                </c:pt>
                <c:pt idx="13">
                  <c:v>0.13888076792106369</c:v>
                </c:pt>
                <c:pt idx="14">
                  <c:v>0.13888076792106369</c:v>
                </c:pt>
                <c:pt idx="15">
                  <c:v>0.13888076792106369</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TAM-30,2µg/L + Testostérone</c:v>
                </c:pt>
                <c:pt idx="2">
                  <c:v>TAM-60,4µg/L + Testostérone</c:v>
                </c:pt>
                <c:pt idx="3">
                  <c:v>TAM-121µg/L + Testostérone</c:v>
                </c:pt>
                <c:pt idx="4">
                  <c:v>TAM-242µg/L + Testostérone</c:v>
                </c:pt>
                <c:pt idx="5">
                  <c:v>TAM-483µg/L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1.8479435392168551</c:v>
                </c:pt>
                <c:pt idx="1">
                  <c:v>1.8479435392168551</c:v>
                </c:pt>
                <c:pt idx="2">
                  <c:v>1.8479435392168551</c:v>
                </c:pt>
                <c:pt idx="3">
                  <c:v>1.8479435392168551</c:v>
                </c:pt>
                <c:pt idx="4">
                  <c:v>1.8479435392168551</c:v>
                </c:pt>
                <c:pt idx="5">
                  <c:v>1.8479435392168551</c:v>
                </c:pt>
                <c:pt idx="6">
                  <c:v>1.8479435392168551</c:v>
                </c:pt>
                <c:pt idx="7">
                  <c:v>1.8479435392168551</c:v>
                </c:pt>
                <c:pt idx="8">
                  <c:v>1.8479435392168551</c:v>
                </c:pt>
                <c:pt idx="9">
                  <c:v>1.8479435392168551</c:v>
                </c:pt>
                <c:pt idx="10">
                  <c:v>1.8479435392168551</c:v>
                </c:pt>
                <c:pt idx="11">
                  <c:v>1.8479435392168551</c:v>
                </c:pt>
                <c:pt idx="12">
                  <c:v>1.8479435392168551</c:v>
                </c:pt>
                <c:pt idx="13">
                  <c:v>1.8479435392168551</c:v>
                </c:pt>
                <c:pt idx="14">
                  <c:v>1.8479435392168551</c:v>
                </c:pt>
                <c:pt idx="15">
                  <c:v>1.8479435392168551</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TAM-30,2µg/L + Testostérone</c:v>
                </c:pt>
                <c:pt idx="2">
                  <c:v>TAM-60,4µg/L + Testostérone</c:v>
                </c:pt>
                <c:pt idx="3">
                  <c:v>TAM-121µg/L + Testostérone</c:v>
                </c:pt>
                <c:pt idx="4">
                  <c:v>TAM-242µg/L + Testostérone</c:v>
                </c:pt>
                <c:pt idx="5">
                  <c:v>TAM-483µg/L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0.65205646078314494</c:v>
                </c:pt>
                <c:pt idx="1">
                  <c:v>0.65205646078314494</c:v>
                </c:pt>
                <c:pt idx="2">
                  <c:v>0.65205646078314494</c:v>
                </c:pt>
                <c:pt idx="3">
                  <c:v>0.65205646078314494</c:v>
                </c:pt>
                <c:pt idx="4">
                  <c:v>0.65205646078314494</c:v>
                </c:pt>
                <c:pt idx="5">
                  <c:v>0.65205646078314494</c:v>
                </c:pt>
                <c:pt idx="6">
                  <c:v>0.65205646078314494</c:v>
                </c:pt>
                <c:pt idx="7">
                  <c:v>0.65205646078314494</c:v>
                </c:pt>
                <c:pt idx="8">
                  <c:v>0.65205646078314494</c:v>
                </c:pt>
                <c:pt idx="9">
                  <c:v>0.65205646078314494</c:v>
                </c:pt>
                <c:pt idx="10">
                  <c:v>0.65205646078314494</c:v>
                </c:pt>
                <c:pt idx="11">
                  <c:v>0.65205646078314494</c:v>
                </c:pt>
                <c:pt idx="12">
                  <c:v>0.65205646078314494</c:v>
                </c:pt>
                <c:pt idx="13">
                  <c:v>0.65205646078314494</c:v>
                </c:pt>
                <c:pt idx="14">
                  <c:v>0.65205646078314494</c:v>
                </c:pt>
                <c:pt idx="15">
                  <c:v>0.65205646078314494</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CB941C13-86E3-4BC2-8D30-C9608D167FA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3D6A4787-0417-468F-8DBE-F05355A855E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34A2853D-6EEC-4886-9AC0-E16489F1040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01B47298-0757-48BD-A77A-D45082ACDDF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8CB31AED-07DC-40A0-A408-ADDA3A9BB8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67079126-DBDE-4C58-84BC-300C74DFF5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3F8B399E-6DB7-4E75-B815-95B15FABC3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AA96ED55-731E-4D11-912E-B4EFFE1C923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EBB60D85-2C5B-48D4-B93A-A290660192C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7211BA6B-273B-49F2-9E84-A56C6AC24F4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F6E57E60-163A-45C1-81EC-CACAF9D59D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26676DCF-EEE6-4F4A-876B-55DF0CB152D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CED1A7F5-C7B5-4EEE-823D-D1DB447A80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9153499F-0AEE-4B03-8577-25B1D9ABE2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0.13982098800681309</c:v>
                  </c:pt>
                  <c:pt idx="2">
                    <c:v>0.14829351226027887</c:v>
                  </c:pt>
                  <c:pt idx="3">
                    <c:v>0.14817411874108727</c:v>
                  </c:pt>
                  <c:pt idx="4">
                    <c:v>0.15243983638302838</c:v>
                  </c:pt>
                  <c:pt idx="5">
                    <c:v>0.14697327197750062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0.13982098800681309</c:v>
                  </c:pt>
                  <c:pt idx="2">
                    <c:v>0.14829351226027887</c:v>
                  </c:pt>
                  <c:pt idx="3">
                    <c:v>0.14817411874108727</c:v>
                  </c:pt>
                  <c:pt idx="4">
                    <c:v>0.15243983638302838</c:v>
                  </c:pt>
                  <c:pt idx="5">
                    <c:v>0.14697327197750062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TAM-30,2µg/L + Testostérone</c:v>
                </c:pt>
                <c:pt idx="2">
                  <c:v>TAM-60,4µg/L + Testostérone</c:v>
                </c:pt>
                <c:pt idx="3">
                  <c:v>TAM-121µg/L + Testostérone</c:v>
                </c:pt>
                <c:pt idx="4">
                  <c:v>TAM-242µg/L + Testostérone</c:v>
                </c:pt>
                <c:pt idx="5">
                  <c:v>TAM-483µg/L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1.366329070746106</c:v>
                </c:pt>
                <c:pt idx="2">
                  <c:v>1.318010199226703</c:v>
                </c:pt>
                <c:pt idx="3">
                  <c:v>1.4160819669092304</c:v>
                </c:pt>
                <c:pt idx="4">
                  <c:v>1.221196788292646</c:v>
                </c:pt>
                <c:pt idx="5">
                  <c:v>0.84930325538680274</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TAM-30,2µg/L + Testostérone</c:v>
                </c:pt>
                <c:pt idx="2">
                  <c:v>TAM-60,4µg/L + Testostérone</c:v>
                </c:pt>
                <c:pt idx="3">
                  <c:v>TAM-121µg/L + Testostérone</c:v>
                </c:pt>
                <c:pt idx="4">
                  <c:v>TAM-242µg/L + Testostérone</c:v>
                </c:pt>
                <c:pt idx="5">
                  <c:v>TAM-483µg/L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TAM-60.4µg/L</c:v>
                </c:pt>
                <c:pt idx="2">
                  <c:v>TAM-121µg/L</c:v>
                </c:pt>
                <c:pt idx="3">
                  <c:v>TAM-242µg/L</c:v>
                </c:pt>
                <c:pt idx="4">
                  <c:v>TAM-483µg/L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TAM-60.4µg/L</c:v>
                </c:pt>
                <c:pt idx="2">
                  <c:v>TAM-121µg/L</c:v>
                </c:pt>
                <c:pt idx="3">
                  <c:v>TAM-242µg/L</c:v>
                </c:pt>
                <c:pt idx="4">
                  <c:v>TAM-483µg/L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TAM-60.4µg/L</c:v>
                </c:pt>
                <c:pt idx="2">
                  <c:v>TAM-121µg/L</c:v>
                </c:pt>
                <c:pt idx="3">
                  <c:v>TAM-242µg/L</c:v>
                </c:pt>
                <c:pt idx="4">
                  <c:v>TAM-483µg/L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734E51AF-4498-477E-BDCD-5583021092A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28CF2729-170E-49C2-9FE1-8EB0C4E6E1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072C12CF-A351-4DBE-B1F2-67228150021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1019AC20-3FA3-4EF6-8AAE-EAA52A6F4C5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BB2DEB3E-B0F9-456C-814E-87DB7356FE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2013A2AC-5571-4893-ADF0-98E3F60DCC0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9FF5CABB-9645-4403-868D-621BB9F265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BEF97F97-186B-4375-BCA6-3B4DA2D7FA9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ADB0D069-C581-48ED-B543-588F52F48A9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B65BEFD0-B3EF-4AB7-AAC8-FB7D56495E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AF79C818-17EC-4A4B-9323-710241CA18A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C68101AC-9DCE-4610-A878-A2E86D736F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31048767-7892-43DE-BC65-CF3AA4D2B3E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006BCA93-73A4-4D8F-A716-0410D43B830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2.1709337939657392E-2</c:v>
                  </c:pt>
                  <c:pt idx="2">
                    <c:v>3.0970254155055329E-2</c:v>
                  </c:pt>
                  <c:pt idx="3">
                    <c:v>6.9012019828936413E-2</c:v>
                  </c:pt>
                  <c:pt idx="4">
                    <c:v>8.982734087683944E-2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2.1709337939657392E-2</c:v>
                  </c:pt>
                  <c:pt idx="2">
                    <c:v>3.0970254155055329E-2</c:v>
                  </c:pt>
                  <c:pt idx="3">
                    <c:v>6.9012019828936413E-2</c:v>
                  </c:pt>
                  <c:pt idx="4">
                    <c:v>8.982734087683944E-2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TAM-60.4µg/L</c:v>
                </c:pt>
                <c:pt idx="2">
                  <c:v>TAM-121µg/L</c:v>
                </c:pt>
                <c:pt idx="3">
                  <c:v>TAM-242µg/L</c:v>
                </c:pt>
                <c:pt idx="4">
                  <c:v>TAM-483µg/L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0.15878434879707071</c:v>
                </c:pt>
                <c:pt idx="2">
                  <c:v>0.19387385350690178</c:v>
                </c:pt>
                <c:pt idx="3">
                  <c:v>0.45563954269238494</c:v>
                </c:pt>
                <c:pt idx="4">
                  <c:v>0.39819982417332245</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0.15532874593952364</c:v>
                </c:pt>
                <c:pt idx="1">
                  <c:v>0.15532874593952364</c:v>
                </c:pt>
                <c:pt idx="2">
                  <c:v>0.15532874593952364</c:v>
                </c:pt>
                <c:pt idx="3">
                  <c:v>0.15532874593952364</c:v>
                </c:pt>
                <c:pt idx="4">
                  <c:v>0.15532874593952364</c:v>
                </c:pt>
                <c:pt idx="5">
                  <c:v>0.15532874593952364</c:v>
                </c:pt>
                <c:pt idx="6">
                  <c:v>0.15532874593952364</c:v>
                </c:pt>
                <c:pt idx="7">
                  <c:v>0.15532874593952364</c:v>
                </c:pt>
                <c:pt idx="8">
                  <c:v>0.15532874593952364</c:v>
                </c:pt>
                <c:pt idx="9">
                  <c:v>0.15532874593952364</c:v>
                </c:pt>
                <c:pt idx="10">
                  <c:v>0.15532874593952364</c:v>
                </c:pt>
                <c:pt idx="11">
                  <c:v>0.15532874593952364</c:v>
                </c:pt>
                <c:pt idx="12">
                  <c:v>0.15532874593952364</c:v>
                </c:pt>
                <c:pt idx="13">
                  <c:v>0.15532874593952364</c:v>
                </c:pt>
                <c:pt idx="14">
                  <c:v>0.15532874593952364</c:v>
                </c:pt>
                <c:pt idx="15">
                  <c:v>0.15532874593952364</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TAM-30,2µg/L + Testostérone</c:v>
                </c:pt>
                <c:pt idx="2">
                  <c:v>TAM-60,4µg/L + Testostérone</c:v>
                </c:pt>
                <c:pt idx="3">
                  <c:v>TAM-121µg/L + Testostérone</c:v>
                </c:pt>
                <c:pt idx="4">
                  <c:v>TAM-242µg/L + Testostérone</c:v>
                </c:pt>
                <c:pt idx="5">
                  <c:v>TAM-483µg/L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0.13888076792106369</c:v>
                </c:pt>
                <c:pt idx="1">
                  <c:v>0.13888076792106369</c:v>
                </c:pt>
                <c:pt idx="2">
                  <c:v>0.13888076792106369</c:v>
                </c:pt>
                <c:pt idx="3">
                  <c:v>0.13888076792106369</c:v>
                </c:pt>
                <c:pt idx="4">
                  <c:v>0.13888076792106369</c:v>
                </c:pt>
                <c:pt idx="5">
                  <c:v>0.13888076792106369</c:v>
                </c:pt>
                <c:pt idx="6">
                  <c:v>0.13888076792106369</c:v>
                </c:pt>
                <c:pt idx="7">
                  <c:v>0.13888076792106369</c:v>
                </c:pt>
                <c:pt idx="8">
                  <c:v>0.13888076792106369</c:v>
                </c:pt>
                <c:pt idx="9">
                  <c:v>0.13888076792106369</c:v>
                </c:pt>
                <c:pt idx="10">
                  <c:v>0.13888076792106369</c:v>
                </c:pt>
                <c:pt idx="11">
                  <c:v>0.13888076792106369</c:v>
                </c:pt>
                <c:pt idx="12">
                  <c:v>0.13888076792106369</c:v>
                </c:pt>
                <c:pt idx="13">
                  <c:v>0.13888076792106369</c:v>
                </c:pt>
                <c:pt idx="14">
                  <c:v>0.13888076792106369</c:v>
                </c:pt>
                <c:pt idx="15">
                  <c:v>0.13888076792106369</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TAM-30,2µg/L + Testostérone</c:v>
                </c:pt>
                <c:pt idx="2">
                  <c:v>TAM-60,4µg/L + Testostérone</c:v>
                </c:pt>
                <c:pt idx="3">
                  <c:v>TAM-121µg/L + Testostérone</c:v>
                </c:pt>
                <c:pt idx="4">
                  <c:v>TAM-242µg/L + Testostérone</c:v>
                </c:pt>
                <c:pt idx="5">
                  <c:v>TAM-483µg/L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1.8479435392168551</c:v>
                </c:pt>
                <c:pt idx="1">
                  <c:v>1.8479435392168551</c:v>
                </c:pt>
                <c:pt idx="2">
                  <c:v>1.8479435392168551</c:v>
                </c:pt>
                <c:pt idx="3">
                  <c:v>1.8479435392168551</c:v>
                </c:pt>
                <c:pt idx="4">
                  <c:v>1.8479435392168551</c:v>
                </c:pt>
                <c:pt idx="5">
                  <c:v>1.8479435392168551</c:v>
                </c:pt>
                <c:pt idx="6">
                  <c:v>1.8479435392168551</c:v>
                </c:pt>
                <c:pt idx="7">
                  <c:v>1.8479435392168551</c:v>
                </c:pt>
                <c:pt idx="8">
                  <c:v>1.8479435392168551</c:v>
                </c:pt>
                <c:pt idx="9">
                  <c:v>1.8479435392168551</c:v>
                </c:pt>
                <c:pt idx="10">
                  <c:v>1.8479435392168551</c:v>
                </c:pt>
                <c:pt idx="11">
                  <c:v>1.8479435392168551</c:v>
                </c:pt>
                <c:pt idx="12">
                  <c:v>1.8479435392168551</c:v>
                </c:pt>
                <c:pt idx="13">
                  <c:v>1.8479435392168551</c:v>
                </c:pt>
                <c:pt idx="14">
                  <c:v>1.8479435392168551</c:v>
                </c:pt>
                <c:pt idx="15">
                  <c:v>1.8479435392168551</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TAM-30,2µg/L + Testostérone</c:v>
                </c:pt>
                <c:pt idx="2">
                  <c:v>TAM-60,4µg/L + Testostérone</c:v>
                </c:pt>
                <c:pt idx="3">
                  <c:v>TAM-121µg/L + Testostérone</c:v>
                </c:pt>
                <c:pt idx="4">
                  <c:v>TAM-242µg/L + Testostérone</c:v>
                </c:pt>
                <c:pt idx="5">
                  <c:v>TAM-483µg/L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0.65205646078314494</c:v>
                </c:pt>
                <c:pt idx="1">
                  <c:v>0.65205646078314494</c:v>
                </c:pt>
                <c:pt idx="2">
                  <c:v>0.65205646078314494</c:v>
                </c:pt>
                <c:pt idx="3">
                  <c:v>0.65205646078314494</c:v>
                </c:pt>
                <c:pt idx="4">
                  <c:v>0.65205646078314494</c:v>
                </c:pt>
                <c:pt idx="5">
                  <c:v>0.65205646078314494</c:v>
                </c:pt>
                <c:pt idx="6">
                  <c:v>0.65205646078314494</c:v>
                </c:pt>
                <c:pt idx="7">
                  <c:v>0.65205646078314494</c:v>
                </c:pt>
                <c:pt idx="8">
                  <c:v>0.65205646078314494</c:v>
                </c:pt>
                <c:pt idx="9">
                  <c:v>0.65205646078314494</c:v>
                </c:pt>
                <c:pt idx="10">
                  <c:v>0.65205646078314494</c:v>
                </c:pt>
                <c:pt idx="11">
                  <c:v>0.65205646078314494</c:v>
                </c:pt>
                <c:pt idx="12">
                  <c:v>0.65205646078314494</c:v>
                </c:pt>
                <c:pt idx="13">
                  <c:v>0.65205646078314494</c:v>
                </c:pt>
                <c:pt idx="14">
                  <c:v>0.65205646078314494</c:v>
                </c:pt>
                <c:pt idx="15">
                  <c:v>0.65205646078314494</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75398644-9235-404C-B160-EE1CC341ACF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2BF96EDF-837C-4A58-81A2-21EEB5D50A4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8098313F-6E43-4159-A79B-88AE7D14509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EDF2A5B8-3D58-46F6-BC3D-4F76B70568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F4595579-DCE2-43FA-B76E-352EC47D5EA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80CD7C7B-1271-4425-8519-911AC1E4F5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D00585DE-F06F-40B5-9035-E97E48F81EB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E102FB29-C6E4-4E9B-A847-C7EE77E9FD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586516FF-5472-428D-8284-71CADB7FBDC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5FF40BB5-66E3-4914-8328-970526F8F4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EC6832C9-7E4B-4ED3-87AF-EFC404C690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592D8721-20AB-4581-9C83-5BC6233C363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7AD45194-8BC9-4677-9B1F-69C48D1A3DA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2BC9F5E9-742E-47FC-9F1D-5C9181B5AF3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0.13982098800681309</c:v>
                  </c:pt>
                  <c:pt idx="2">
                    <c:v>0.14829351226027887</c:v>
                  </c:pt>
                  <c:pt idx="3">
                    <c:v>0.14817411874108727</c:v>
                  </c:pt>
                  <c:pt idx="4">
                    <c:v>0.15243983638302838</c:v>
                  </c:pt>
                  <c:pt idx="5">
                    <c:v>0.14697327197750062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0.13982098800681309</c:v>
                  </c:pt>
                  <c:pt idx="2">
                    <c:v>0.14829351226027887</c:v>
                  </c:pt>
                  <c:pt idx="3">
                    <c:v>0.14817411874108727</c:v>
                  </c:pt>
                  <c:pt idx="4">
                    <c:v>0.15243983638302838</c:v>
                  </c:pt>
                  <c:pt idx="5">
                    <c:v>0.14697327197750062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TAM-30,2µg/L + Testostérone</c:v>
                </c:pt>
                <c:pt idx="2">
                  <c:v>TAM-60,4µg/L + Testostérone</c:v>
                </c:pt>
                <c:pt idx="3">
                  <c:v>TAM-121µg/L + Testostérone</c:v>
                </c:pt>
                <c:pt idx="4">
                  <c:v>TAM-242µg/L + Testostérone</c:v>
                </c:pt>
                <c:pt idx="5">
                  <c:v>TAM-483µg/L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1.366329070746106</c:v>
                </c:pt>
                <c:pt idx="2">
                  <c:v>1.318010199226703</c:v>
                </c:pt>
                <c:pt idx="3">
                  <c:v>1.4160819669092304</c:v>
                </c:pt>
                <c:pt idx="4">
                  <c:v>1.221196788292646</c:v>
                </c:pt>
                <c:pt idx="5">
                  <c:v>0.84930325538680274</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TAM-30,2µg/L + Testostérone</c:v>
                </c:pt>
                <c:pt idx="2">
                  <c:v>TAM-60,4µg/L + Testostérone</c:v>
                </c:pt>
                <c:pt idx="3">
                  <c:v>TAM-121µg/L + Testostérone</c:v>
                </c:pt>
                <c:pt idx="4">
                  <c:v>TAM-242µg/L + Testostérone</c:v>
                </c:pt>
                <c:pt idx="5">
                  <c:v>TAM-483µg/L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TAM-60.4µg/L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TAM-60.4µg/L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TAM-60.4µg/L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4B37B1CD-8F34-4D1C-9FF2-2BB584054D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3ACD9D0B-6EDA-4680-9B41-4A979A5A9FA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2.1709337939657392E-2</c:v>
                  </c:pt>
                </c:numCache>
              </c:numRef>
            </c:plus>
            <c:minus>
              <c:numRef>
                <c:f>'Graph format rapport CHG 1éch'!$E$4:$G$4</c:f>
                <c:numCache>
                  <c:formatCode>General</c:formatCode>
                  <c:ptCount val="3"/>
                  <c:pt idx="1">
                    <c:v>2.1709337939657392E-2</c:v>
                  </c:pt>
                </c:numCache>
              </c:numRef>
            </c:minus>
          </c:errBars>
          <c:cat>
            <c:strRef>
              <c:f>'Graph format rapport CHG 1éch'!$E$2:$G$2</c:f>
              <c:strCache>
                <c:ptCount val="2"/>
                <c:pt idx="1">
                  <c:v>TAM-60.4µg/L</c:v>
                </c:pt>
              </c:strCache>
            </c:strRef>
          </c:cat>
          <c:val>
            <c:numRef>
              <c:f>'Graph format rapport CHG 1éch'!$E$3:$G$3</c:f>
              <c:numCache>
                <c:formatCode>General</c:formatCode>
                <c:ptCount val="3"/>
                <c:pt idx="1">
                  <c:v>0.15878434879707071</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0.15532874593952364</c:v>
                </c:pt>
                <c:pt idx="1">
                  <c:v>0.15532874593952364</c:v>
                </c:pt>
                <c:pt idx="2">
                  <c:v>0.15532874593952364</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TAM-30,2µg/L + Testostérone</c:v>
                </c:pt>
              </c:strCache>
            </c:strRef>
          </c:cat>
          <c:val>
            <c:numRef>
              <c:f>'Graph format rapport CHG 1éch'!$H$8:$J$8</c:f>
              <c:numCache>
                <c:formatCode>General</c:formatCode>
                <c:ptCount val="3"/>
                <c:pt idx="0">
                  <c:v>0.13888076792106369</c:v>
                </c:pt>
                <c:pt idx="1">
                  <c:v>0.13888076792106369</c:v>
                </c:pt>
                <c:pt idx="2">
                  <c:v>0.13888076792106369</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TAM-30,2µg/L + Testostérone</c:v>
                </c:pt>
              </c:strCache>
            </c:strRef>
          </c:cat>
          <c:val>
            <c:numRef>
              <c:f>'Graph format rapport CHG 1éch'!$H$9:$J$9</c:f>
              <c:numCache>
                <c:formatCode>General</c:formatCode>
                <c:ptCount val="3"/>
                <c:pt idx="0">
                  <c:v>1.8479435392168551</c:v>
                </c:pt>
                <c:pt idx="1">
                  <c:v>1.8479435392168551</c:v>
                </c:pt>
                <c:pt idx="2">
                  <c:v>1.8479435392168551</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TAM-30,2µg/L + Testostérone</c:v>
                </c:pt>
              </c:strCache>
            </c:strRef>
          </c:cat>
          <c:val>
            <c:numRef>
              <c:f>'Graph format rapport CHG 1éch'!$H$10:$J$10</c:f>
              <c:numCache>
                <c:formatCode>General</c:formatCode>
                <c:ptCount val="3"/>
                <c:pt idx="0">
                  <c:v>0.65205646078314494</c:v>
                </c:pt>
                <c:pt idx="1">
                  <c:v>0.65205646078314494</c:v>
                </c:pt>
                <c:pt idx="2">
                  <c:v>0.65205646078314494</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4BB4CEBD-2F1A-45B8-A335-92E6A229B5D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B7D4CEEA-9258-4FC5-9294-E7BFD79066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0.13982098800681309</c:v>
                  </c:pt>
                </c:numCache>
              </c:numRef>
            </c:plus>
            <c:minus>
              <c:numRef>
                <c:f>'Graph format rapport CHG 1éch'!$H$4:$J$4</c:f>
                <c:numCache>
                  <c:formatCode>General</c:formatCode>
                  <c:ptCount val="3"/>
                  <c:pt idx="1">
                    <c:v>0.13982098800681309</c:v>
                  </c:pt>
                </c:numCache>
              </c:numRef>
            </c:minus>
          </c:errBars>
          <c:cat>
            <c:strRef>
              <c:f>'Graph format rapport CHG 1éch'!$H$2:$J$2</c:f>
              <c:strCache>
                <c:ptCount val="2"/>
                <c:pt idx="1">
                  <c:v>TAM-30,2µg/L + Testostérone</c:v>
                </c:pt>
              </c:strCache>
            </c:strRef>
          </c:cat>
          <c:val>
            <c:numRef>
              <c:f>'Graph format rapport CHG 1éch'!$H$3:$J$3</c:f>
              <c:numCache>
                <c:formatCode>General</c:formatCode>
                <c:ptCount val="3"/>
                <c:pt idx="1">
                  <c:v>1.366329070746106</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TAM-30,2µg/L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TAM-60.4µg/L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TAM-60.4µg/L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TAM-60.4µg/L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911CEDA5-F2FD-47BF-9AAE-6004F7B470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53B1334E-FE1B-41DC-8828-90140BB2BE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2.1709337939657392E-2</c:v>
                  </c:pt>
                </c:numCache>
              </c:numRef>
            </c:plus>
            <c:minus>
              <c:numRef>
                <c:f>'Graph format rapport CHG 1éch'!$E$4:$G$4</c:f>
                <c:numCache>
                  <c:formatCode>General</c:formatCode>
                  <c:ptCount val="3"/>
                  <c:pt idx="1">
                    <c:v>2.1709337939657392E-2</c:v>
                  </c:pt>
                </c:numCache>
              </c:numRef>
            </c:minus>
          </c:errBars>
          <c:cat>
            <c:strRef>
              <c:f>'Graph format rapport CHG 1éch'!$E$2:$G$2</c:f>
              <c:strCache>
                <c:ptCount val="2"/>
                <c:pt idx="1">
                  <c:v>TAM-60.4µg/L</c:v>
                </c:pt>
              </c:strCache>
            </c:strRef>
          </c:cat>
          <c:val>
            <c:numRef>
              <c:f>'Graph format rapport CHG 1éch'!$E$3:$G$3</c:f>
              <c:numCache>
                <c:formatCode>General</c:formatCode>
                <c:ptCount val="3"/>
                <c:pt idx="1">
                  <c:v>0.15878434879707071</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0.15532874593952364</c:v>
                </c:pt>
                <c:pt idx="1">
                  <c:v>0.15532874593952364</c:v>
                </c:pt>
                <c:pt idx="2">
                  <c:v>0.15532874593952364</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TAM-30,2µg/L + Testostérone</c:v>
                </c:pt>
              </c:strCache>
            </c:strRef>
          </c:cat>
          <c:val>
            <c:numRef>
              <c:f>'Graph format rapport CHG 1éch'!$H$8:$J$8</c:f>
              <c:numCache>
                <c:formatCode>General</c:formatCode>
                <c:ptCount val="3"/>
                <c:pt idx="0">
                  <c:v>0.13888076792106369</c:v>
                </c:pt>
                <c:pt idx="1">
                  <c:v>0.13888076792106369</c:v>
                </c:pt>
                <c:pt idx="2">
                  <c:v>0.13888076792106369</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TAM-30,2µg/L + Testostérone</c:v>
                </c:pt>
              </c:strCache>
            </c:strRef>
          </c:cat>
          <c:val>
            <c:numRef>
              <c:f>'Graph format rapport CHG 1éch'!$H$9:$J$9</c:f>
              <c:numCache>
                <c:formatCode>General</c:formatCode>
                <c:ptCount val="3"/>
                <c:pt idx="0">
                  <c:v>1.8479435392168551</c:v>
                </c:pt>
                <c:pt idx="1">
                  <c:v>1.8479435392168551</c:v>
                </c:pt>
                <c:pt idx="2">
                  <c:v>1.8479435392168551</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TAM-30,2µg/L + Testostérone</c:v>
                </c:pt>
              </c:strCache>
            </c:strRef>
          </c:cat>
          <c:val>
            <c:numRef>
              <c:f>'Graph format rapport CHG 1éch'!$H$10:$J$10</c:f>
              <c:numCache>
                <c:formatCode>General</c:formatCode>
                <c:ptCount val="3"/>
                <c:pt idx="0">
                  <c:v>0.65205646078314494</c:v>
                </c:pt>
                <c:pt idx="1">
                  <c:v>0.65205646078314494</c:v>
                </c:pt>
                <c:pt idx="2">
                  <c:v>0.65205646078314494</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C37A8B2C-DF86-4C60-B909-64F97FFD958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02BEEB99-781E-4349-BB50-536633DE8AB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0.13982098800681309</c:v>
                  </c:pt>
                </c:numCache>
              </c:numRef>
            </c:plus>
            <c:minus>
              <c:numRef>
                <c:f>'Graph format rapport CHG 1éch'!$H$4:$J$4</c:f>
                <c:numCache>
                  <c:formatCode>General</c:formatCode>
                  <c:ptCount val="3"/>
                  <c:pt idx="1">
                    <c:v>0.13982098800681309</c:v>
                  </c:pt>
                </c:numCache>
              </c:numRef>
            </c:minus>
          </c:errBars>
          <c:cat>
            <c:strRef>
              <c:f>'Graph format rapport CHG 1éch'!$H$2:$J$2</c:f>
              <c:strCache>
                <c:ptCount val="2"/>
                <c:pt idx="1">
                  <c:v>TAM-30,2µg/L + Testostérone</c:v>
                </c:pt>
              </c:strCache>
            </c:strRef>
          </c:cat>
          <c:val>
            <c:numRef>
              <c:f>'Graph format rapport CHG 1éch'!$H$3:$J$3</c:f>
              <c:numCache>
                <c:formatCode>General</c:formatCode>
                <c:ptCount val="3"/>
                <c:pt idx="1">
                  <c:v>1.366329070746106</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TAM-30,2µg/L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6"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76906249997" createdVersion="5" refreshedVersion="7" minRefreshableVersion="3" recordCount="1556" xr:uid="{00000000-000A-0000-FFFF-FFFF0C000000}">
  <cacheSource type="worksheet">
    <worksheetSource name="Tableau4"/>
  </cacheSource>
  <cacheFields count="9">
    <cacheField name="Nom groupe" numFmtId="0">
      <sharedItems containsBlank="1" count="23">
        <s v=""/>
        <s v="1"/>
        <s v="13"/>
        <s v="14"/>
        <s v="15"/>
        <s v="16"/>
        <s v="2"/>
        <s v="3"/>
        <s v="4"/>
        <s v="5"/>
        <s v="6"/>
        <s v="7"/>
        <s v="10"/>
        <s v="11"/>
        <s v="12"/>
        <s v="17"/>
        <s v="18"/>
        <s v="19"/>
        <s v="20"/>
        <s v="21"/>
        <s v="8"/>
        <s v="9"/>
        <m u="1"/>
      </sharedItems>
    </cacheField>
    <cacheField name="N° de valeur" numFmtId="0">
      <sharedItems count="11">
        <e v="#VALUE!"/>
        <s v="A"/>
        <s v="B"/>
        <s v="C"/>
        <s v="D"/>
        <s v="E"/>
        <s v="F"/>
        <s v="G"/>
        <s v="H"/>
        <s v=" "/>
        <s v="I"/>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1"/>
    </cacheField>
    <cacheField name=" " numFmtId="0">
      <sharedItems containsBlank="1" count="45">
        <s v=" "/>
        <m/>
        <s v=" SD mean fluo "/>
        <s v=" 7.8314 "/>
        <s v=" 3.2528 "/>
        <s v=" 4.3013 "/>
        <s v=" 3.4122 "/>
        <s v=" 8.9437 "/>
        <s v=" 13.4468 "/>
        <s v=" 12.2299 "/>
        <s v=" 9.7464 "/>
        <s v=" 4.6312 "/>
        <s v=" 3.7964 "/>
        <s v=" 5.0179 "/>
        <s v=" 7.9844 "/>
        <s v=" 2.3782 "/>
        <s v=" 3.3617 "/>
        <s v=" 2.8716 "/>
        <s v=" 3.5441 "/>
        <s v=" 2.3113 "/>
        <s v=" 2.7642 "/>
        <s v=" 1.8499 "/>
        <s v=" 3.7394 "/>
        <s v=" 3.465 "/>
        <s v=" 9.8373 " u="1"/>
        <s v=" 4.3254 " u="1"/>
        <s v=" 13.2229 " u="1"/>
        <s v=" 12.6426 " u="1"/>
        <s v=" 3.6832 " u="1"/>
        <s v=" 2.53 " u="1"/>
        <s v=" 10.5978 " u="1"/>
        <s v=" 2.7482 " u="1"/>
        <s v=" 3.3232 " u="1"/>
        <s v=" 3.5366 " u="1"/>
        <s v=" 10.8343 " u="1"/>
        <s v=" 5.8019 " u="1"/>
        <s v=" 10.0395 " u="1"/>
        <s v=" 4.981 " u="1"/>
        <s v=" 11.5766 " u="1"/>
        <s v=" 8.0859 " u="1"/>
        <s v=" 3.7472 " u="1"/>
        <s v=" 3.2173 " u="1"/>
        <s v=" 11.1287 " u="1"/>
        <s v=" 3.9927 " u="1"/>
        <s v=" 15.4064 " u="1"/>
      </sharedItems>
    </cacheField>
    <cacheField name=" total fluorescence" numFmtId="0">
      <sharedItems containsBlank="1" containsMixedTypes="1" containsNumber="1" containsInteger="1" minValue="0" maxValue="5270492"/>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7690659722" createdVersion="5" refreshedVersion="7" minRefreshableVersion="3" recordCount="1530" xr:uid="{00000000-000A-0000-FFFF-FFFF10000000}">
  <cacheSource type="worksheet">
    <worksheetSource name="Tableau46"/>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3"/>
    </cacheField>
    <cacheField name=" " numFmtId="0">
      <sharedItems containsBlank="1" count="34">
        <s v=" "/>
        <m/>
        <s v=" SD mean fluo "/>
        <s v=" 7.9672 "/>
        <s v=" 4.1161 "/>
        <s v=" 13.7913 "/>
        <s v=" 4.0759 "/>
        <s v=" 12.0859 "/>
        <s v=" 3.7881 "/>
        <s v=" 4.6858 "/>
        <s v=" 2.8291 "/>
        <s v=" 11.1335 "/>
        <s v=" 4.0077 "/>
        <s v=" 7.5914 "/>
        <s v=" 3.0137 "/>
        <s v=" 2.6548 "/>
        <s v=" 2.1768 "/>
        <s v=" 3.9815 "/>
        <s v=" 13.9966 "/>
        <s v=" 3.6348 "/>
        <s v=" 2.8399 "/>
        <s v=" 4.8215 "/>
        <s v=" 11.0408 "/>
        <s v=" 9.2029 "/>
        <s v=" 7.3552 " u="1"/>
        <s v=" 14.0282 " u="1"/>
        <s v=" 5.21 " u="1"/>
        <s v=" 3.5834 " u="1"/>
        <s v=" 13.8633 " u="1"/>
        <s v=" 15.9342 " u="1"/>
        <s v=" 8.0883 " u="1"/>
        <s v=" 3.506 " u="1"/>
        <s v=" 18.0199 " u="1"/>
        <s v=" 11.2114 " u="1"/>
      </sharedItems>
    </cacheField>
    <cacheField name=" total fluorescence" numFmtId="0">
      <sharedItems containsBlank="1" containsMixedTypes="1" containsNumber="1" containsInteger="1" minValue="0" maxValue="5311805"/>
    </cacheField>
    <cacheField name="         " numFmtId="0">
      <sharedItems containsBlank="1" containsMixedTypes="1" containsNumber="1" containsInteger="1" minValue="1060326" maxValue="1060326"/>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76906828705" createdVersion="5" refreshedVersion="7" minRefreshableVersion="3" recordCount="1710" xr:uid="{00000000-000A-0000-FFFF-FFFF14000000}">
  <cacheSource type="worksheet">
    <worksheetSource name="Tableau467"/>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42"/>
    </cacheField>
    <cacheField name=" " numFmtId="0">
      <sharedItems containsBlank="1" count="45">
        <s v=" "/>
        <m/>
        <s v=" SD mean fluo "/>
        <s v=" 12.0452 "/>
        <s v=" 3.1774 "/>
        <s v=" 3.9561 "/>
        <s v=" 5.498 "/>
        <s v=" 12.2936 "/>
        <s v=" 12.4045 "/>
        <s v=" 9.748 "/>
        <s v=" 2.8811 "/>
        <s v=" 8.5493 "/>
        <s v=" 3.5886 "/>
        <s v=" 12.403 "/>
        <s v=" 6.7262 "/>
        <s v=" 3.3059 "/>
        <s v=" 2.6269 "/>
        <s v=" 3.9961 "/>
        <s v=" 5.8214 "/>
        <s v=" 3.8468 "/>
        <s v=" 4.8067 "/>
        <s v=" 2.1545 "/>
        <s v=" 4.1212 "/>
        <s v=" 9.0973 "/>
        <s v=" 16.1241 " u="1"/>
        <s v=" 3.7926 " u="1"/>
        <s v=" 3.7601 " u="1"/>
        <s v=" 3.4436 " u="1"/>
        <s v=" 4.7693 " u="1"/>
        <s v=" 4.0338 " u="1"/>
        <s v=" 5.1424 " u="1"/>
        <s v=" 4.1715 " u="1"/>
        <s v=" 8.8315 " u="1"/>
        <s v=" 10.6545 " u="1"/>
        <s v=" 6.0853 " u="1"/>
        <s v=" 5.4589 " u="1"/>
        <s v=" 8.7464 " u="1"/>
        <s v=" 5.7513 " u="1"/>
        <s v=" 4.8141 " u="1"/>
        <s v=" 13.8638 " u="1"/>
        <s v=" 8.4902 " u="1"/>
        <s v=" 2.5852 " u="1"/>
        <s v=" 3.5196 " u="1"/>
        <s v=" 9.1309 " u="1"/>
        <s v=" 8.6965 " u="1"/>
      </sharedItems>
    </cacheField>
    <cacheField name=" total fluorescence" numFmtId="0">
      <sharedItems containsBlank="1" containsMixedTypes="1" containsNumber="1" containsInteger="1" minValue="0" maxValue="6266007"/>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76907175928" createdVersion="6" refreshedVersion="7" minRefreshableVersion="3" recordCount="52" xr:uid="{8DEF666A-6C7D-4C16-AD6D-82242760D5D9}">
  <cacheSource type="worksheet">
    <worksheetSource name="liste_groupe"/>
  </cacheSource>
  <cacheFields count="6">
    <cacheField name="Nom sur le graphique" numFmtId="0">
      <sharedItems containsBlank="1" count="24">
        <s v="Témoin solvant"/>
        <s v="EE2-22,5ng/L"/>
        <s v="EE2-33,8ng/L"/>
        <s v="EE2-50,6ng/L"/>
        <s v="EE2-76ng/L"/>
        <s v="EE2-114ng/L"/>
        <s v="EE2-170,9ng/L"/>
        <s v="EE2-488ng/L"/>
        <m/>
        <s v=" "/>
        <s v="Testo -30µg/L"/>
        <s v="Testo 30µg/L + EE2 -64ng/L"/>
        <s v="Testo 30µg/L + FAD-10mg/L"/>
        <s v="0-00 + Testostérone"/>
        <s v="AN-2.9mg/L" u="1"/>
        <s v="AN-1,45mg/L + Testostérone" u="1"/>
        <s v="AN-1.45mg/L" u="1"/>
        <s v="AN-0,18mg/L + Testostérone" u="1"/>
        <s v="AN-0,36mg/L + Testostérone" u="1"/>
        <s v="AN-0,73mg/L + Testostérone" u="1"/>
        <s v="AN-0.36mg/L" u="1"/>
        <s v="AN-0.73mg/L" u="1"/>
        <s v="AN-0.18mg/L" u="1"/>
        <s v="AN-2,9mg/L + Testostérone"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le name "/>
    <s v=" total area "/>
    <s v=" mean intensity "/>
    <x v="0"/>
    <s v=" total fluorescence"/>
    <m/>
    <m/>
  </r>
  <r>
    <x v="1"/>
    <x v="1"/>
    <s v="C:\Users\andre\Desktop\REACTIV CEFAS\Tamoxifen\Tamoxifen/20201219_Cefas_Test10_Run2/Plate 1/@1/A10_01.tif "/>
    <s v=" 13691.7233 "/>
    <s v=" 38.6272 "/>
    <x v="0"/>
    <n v="528873"/>
    <m/>
    <m/>
  </r>
  <r>
    <x v="1"/>
    <x v="1"/>
    <s v="C:\Users\andre\Desktop\REACTIV CEFAS\Tamoxifen\Tamoxifen/20201219_Cefas_Test10_Run2/Plate 1/@1/A10_02.tif "/>
    <s v=" 12177.6307 "/>
    <s v=" 37.3179 "/>
    <x v="0"/>
    <n v="454444"/>
    <m/>
    <m/>
  </r>
  <r>
    <x v="1"/>
    <x v="1"/>
    <s v="C:\Users\andre\Desktop\REACTIV CEFAS\Tamoxifen\Tamoxifen/20201219_Cefas_Test10_Run2/Plate 1/@1/A10_03.tif "/>
    <s v=" 9452.264 "/>
    <s v=" 35.7002 "/>
    <x v="0"/>
    <n v="337448"/>
    <m/>
    <m/>
  </r>
  <r>
    <x v="1"/>
    <x v="1"/>
    <s v="C:\Users\andre\Desktop\REACTIV CEFAS\Tamoxifen\Tamoxifen/20201219_Cefas_Test10_Run2/Plate 1/@1/A10_04.tif "/>
    <s v=" 648.8968 "/>
    <s v=" 33.5333 "/>
    <x v="0"/>
    <n v="21760"/>
    <m/>
    <m/>
  </r>
  <r>
    <x v="1"/>
    <x v="2"/>
    <s v="C:\Users\andre\Desktop\REACTIV CEFAS\Tamoxifen\Tamoxifen/20201219_Cefas_Test10_Run2/Plate 1/@1/B10_01.tif "/>
    <s v=" 9495.5237 "/>
    <s v=" 41.9385 "/>
    <x v="0"/>
    <n v="398228"/>
    <m/>
    <m/>
  </r>
  <r>
    <x v="1"/>
    <x v="2"/>
    <s v="C:\Users\andre\Desktop\REACTIV CEFAS\Tamoxifen\Tamoxifen/20201219_Cefas_Test10_Run2/Plate 1/@1/B10_02.tif "/>
    <s v=" 8781.7372 "/>
    <s v=" 41.3768 "/>
    <x v="0"/>
    <n v="363361"/>
    <m/>
    <m/>
  </r>
  <r>
    <x v="1"/>
    <x v="2"/>
    <s v="C:\Users\andre\Desktop\REACTIV CEFAS\Tamoxifen\Tamoxifen/20201219_Cefas_Test10_Run2/Plate 1/@1/B10_03.tif "/>
    <s v=" 7743.5023 "/>
    <s v=" 42.0698 "/>
    <x v="0"/>
    <n v="325768"/>
    <m/>
    <m/>
  </r>
  <r>
    <x v="1"/>
    <x v="2"/>
    <s v="C:\Users\andre\Desktop\REACTIV CEFAS\Tamoxifen\Tamoxifen/20201219_Cefas_Test10_Run2/Plate 1/@1/B10_04.tif "/>
    <n v="0"/>
    <n v="0"/>
    <x v="0"/>
    <n v="0"/>
    <m/>
    <m/>
  </r>
  <r>
    <x v="1"/>
    <x v="3"/>
    <s v="C:\Users\andre\Desktop\REACTIV CEFAS\Tamoxifen\Tamoxifen/20201219_Cefas_Test10_Run2/Plate 1/@1/C10_01.tif "/>
    <s v=" 8954.7764 "/>
    <s v=" 38.4903 "/>
    <x v="0"/>
    <n v="344672"/>
    <m/>
    <m/>
  </r>
  <r>
    <x v="1"/>
    <x v="3"/>
    <s v="C:\Users\andre\Desktop\REACTIV CEFAS\Tamoxifen\Tamoxifen/20201219_Cefas_Test10_Run2/Plate 1/@1/C10_02.tif "/>
    <s v=" 8370.7692 "/>
    <s v=" 36.7804 "/>
    <x v="0"/>
    <n v="307880"/>
    <m/>
    <m/>
  </r>
  <r>
    <x v="1"/>
    <x v="3"/>
    <s v="C:\Users\andre\Desktop\REACTIV CEFAS\Tamoxifen\Tamoxifen/20201219_Cefas_Test10_Run2/Plate 1/@1/C10_03.tif "/>
    <s v=" 8370.7692 "/>
    <s v=" 36.7752 "/>
    <x v="0"/>
    <n v="307837"/>
    <m/>
    <m/>
  </r>
  <r>
    <x v="1"/>
    <x v="3"/>
    <s v="C:\Users\andre\Desktop\REACTIV CEFAS\Tamoxifen\Tamoxifen/20201219_Cefas_Test10_Run2/Plate 1/@1/C10_04.tif "/>
    <s v=" 8587.0682 "/>
    <s v=" 38.4106 "/>
    <x v="0"/>
    <n v="329834"/>
    <m/>
    <m/>
  </r>
  <r>
    <x v="1"/>
    <x v="4"/>
    <s v="C:\Users\andre\Desktop\REACTIV CEFAS\Tamoxifen\Tamoxifen/20201219_Cefas_Test10_Run2/Plate 1/@1/D10_01- exclu.tif"/>
    <m/>
    <m/>
    <x v="1"/>
    <m/>
    <m/>
    <m/>
  </r>
  <r>
    <x v="1"/>
    <x v="4"/>
    <s v="C:\Users\andre\Desktop\REACTIV CEFAS\Tamoxifen\Tamoxifen/20201219_Cefas_Test10_Run2/Plate 1/@1/D10_02.tif "/>
    <s v=" 11853.1823 "/>
    <s v=" 41.1989 "/>
    <x v="0"/>
    <n v="488338"/>
    <m/>
    <m/>
  </r>
  <r>
    <x v="1"/>
    <x v="4"/>
    <s v="C:\Users\andre\Desktop\REACTIV CEFAS\Tamoxifen\Tamoxifen/20201219_Cefas_Test10_Run2/Plate 1/@1/D10_03.tif "/>
    <s v=" 10166.0505 "/>
    <s v=" 37.1426 "/>
    <x v="0"/>
    <n v="377593"/>
    <m/>
    <m/>
  </r>
  <r>
    <x v="1"/>
    <x v="4"/>
    <s v="C:\Users\andre\Desktop\REACTIV CEFAS\Tamoxifen\Tamoxifen/20201219_Cefas_Test10_Run2/Plate 1/@1/D10_04.tif "/>
    <s v=" 9171.0753 "/>
    <s v=" 43.5802 "/>
    <x v="0"/>
    <n v="399677"/>
    <m/>
    <m/>
  </r>
  <r>
    <x v="1"/>
    <x v="5"/>
    <s v="C:\Users\andre\Desktop\REACTIV CEFAS\Tamoxifen\Tamoxifen/20201219_Cefas_Test10_Run2/Plate 1/@1/E10_01.tif "/>
    <s v=" 8414.029 "/>
    <s v=" 43.2211 "/>
    <x v="0"/>
    <n v="363663"/>
    <m/>
    <m/>
  </r>
  <r>
    <x v="1"/>
    <x v="5"/>
    <s v="C:\Users\andre\Desktop\REACTIV CEFAS\Tamoxifen\Tamoxifen/20201219_Cefas_Test10_Run2/Plate 1/@1/E10_02.tif "/>
    <s v=" 5731.9221 "/>
    <s v=" 40.7208 "/>
    <x v="0"/>
    <n v="233408"/>
    <m/>
    <m/>
  </r>
  <r>
    <x v="1"/>
    <x v="5"/>
    <s v="C:\Users\andre\Desktop\REACTIV CEFAS\Tamoxifen\Tamoxifen/20201219_Cefas_Test10_Run2/Plate 1/@1/E10_03.tif "/>
    <s v=" 5904.9612 "/>
    <s v=" 40.8755 "/>
    <x v="0"/>
    <n v="241368"/>
    <m/>
    <m/>
  </r>
  <r>
    <x v="1"/>
    <x v="5"/>
    <s v="C:\Users\andre\Desktop\REACTIV CEFAS\Tamoxifen\Tamoxifen/20201219_Cefas_Test10_Run2/Plate 1/@1/E10_04.tif "/>
    <s v=" 9690.1928 "/>
    <s v=" 42.0848 "/>
    <x v="0"/>
    <n v="407810"/>
    <m/>
    <m/>
  </r>
  <r>
    <x v="1"/>
    <x v="6"/>
    <s v="C:\Users\andre\Desktop\REACTIV CEFAS\Tamoxifen\Tamoxifen/20201219_Cefas_Test10_Run2/Plate 1/@1/F10_01.tif "/>
    <s v=" 14621.8088 "/>
    <s v=" 43.8491 "/>
    <x v="0"/>
    <n v="641153"/>
    <m/>
    <m/>
  </r>
  <r>
    <x v="1"/>
    <x v="6"/>
    <s v="C:\Users\andre\Desktop\REACTIV CEFAS\Tamoxifen\Tamoxifen/20201219_Cefas_Test10_Run2/Plate 1/@1/F10_02.tif "/>
    <s v=" 4866.7263 "/>
    <s v=" 42.2933 "/>
    <x v="0"/>
    <n v="205830"/>
    <m/>
    <m/>
  </r>
  <r>
    <x v="1"/>
    <x v="6"/>
    <s v="C:\Users\andre\Desktop\REACTIV CEFAS\Tamoxifen\Tamoxifen/20201219_Cefas_Test10_Run2/Plate 1/@1/F10_03.tif "/>
    <s v=" 9127.8155 "/>
    <s v=" 40.2867 "/>
    <x v="0"/>
    <n v="367730"/>
    <m/>
    <m/>
  </r>
  <r>
    <x v="1"/>
    <x v="6"/>
    <s v="C:\Users\andre\Desktop\REACTIV CEFAS\Tamoxifen\Tamoxifen/20201219_Cefas_Test10_Run2/Plate 1/@1/F10_04.tif "/>
    <s v=" 12415.5595 "/>
    <s v=" 45.3118 "/>
    <x v="0"/>
    <n v="562572"/>
    <m/>
    <m/>
  </r>
  <r>
    <x v="1"/>
    <x v="7"/>
    <s v="C:\Users\andre\Desktop\REACTIV CEFAS\Tamoxifen\Tamoxifen/20201219_Cefas_Test10_Run2/Plate 1/@1/G10_01.tif "/>
    <s v=" 13237.4955 "/>
    <s v=" 41.3121 "/>
    <x v="0"/>
    <n v="546869"/>
    <m/>
    <m/>
  </r>
  <r>
    <x v="1"/>
    <x v="7"/>
    <s v="C:\Users\andre\Desktop\REACTIV CEFAS\Tamoxifen\Tamoxifen/20201219_Cefas_Test10_Run2/Plate 1/@1/G10_02.tif "/>
    <s v=" 13670.0934 "/>
    <s v=" 43.6978 "/>
    <x v="0"/>
    <n v="597353"/>
    <m/>
    <m/>
  </r>
  <r>
    <x v="1"/>
    <x v="7"/>
    <s v="C:\Users\andre\Desktop\REACTIV CEFAS\Tamoxifen\Tamoxifen/20201219_Cefas_Test10_Run2/Plate 1/@1/G10_03.tif "/>
    <s v=" 12264.1503 "/>
    <s v=" 43.6014 "/>
    <x v="0"/>
    <n v="534734"/>
    <m/>
    <m/>
  </r>
  <r>
    <x v="1"/>
    <x v="7"/>
    <s v="C:\Users\andre\Desktop\REACTIV CEFAS\Tamoxifen\Tamoxifen/20201219_Cefas_Test10_Run2/Plate 1/@1/G10_04.tif "/>
    <s v=" 8457.2888 "/>
    <s v=" 40.3683 "/>
    <x v="0"/>
    <n v="341406"/>
    <m/>
    <m/>
  </r>
  <r>
    <x v="1"/>
    <x v="8"/>
    <s v="C:\Users\andre\Desktop\REACTIV CEFAS\Tamoxifen\Tamoxifen/20201219_Cefas_Test10_Run2/Plate 1/@1/H10_01.tif "/>
    <s v=" 8889.8867 "/>
    <s v=" 37.9878 "/>
    <x v="0"/>
    <n v="337708"/>
    <m/>
    <m/>
  </r>
  <r>
    <x v="1"/>
    <x v="8"/>
    <s v="C:\Users\andre\Desktop\REACTIV CEFAS\Tamoxifen\Tamoxifen/20201219_Cefas_Test10_Run2/Plate 1/@1/H10_02.tif "/>
    <s v=" 5147.9149 "/>
    <s v=" 38.8277 "/>
    <x v="0"/>
    <n v="199882"/>
    <m/>
    <m/>
  </r>
  <r>
    <x v="1"/>
    <x v="8"/>
    <s v="C:\Users\andre\Desktop\REACTIV CEFAS\Tamoxifen\Tamoxifen/20201219_Cefas_Test10_Run2/Plate 1/@1/H10_03.tif "/>
    <s v=" 6683.6374 "/>
    <s v=" 39.1003 "/>
    <x v="0"/>
    <n v="261332"/>
    <m/>
    <m/>
  </r>
  <r>
    <x v="1"/>
    <x v="8"/>
    <s v="C:\Users\andre\Desktop\REACTIV CEFAS\Tamoxifen\Tamoxifen/20201219_Cefas_Test10_Run2/Plate 1/@1/H10_04.tif "/>
    <s v=" 64.8897 "/>
    <s v=" 30.3333 "/>
    <x v="0"/>
    <n v="1968"/>
    <m/>
    <m/>
  </r>
  <r>
    <x v="0"/>
    <x v="0"/>
    <s v=" "/>
    <m/>
    <m/>
    <x v="1"/>
    <m/>
    <m/>
    <m/>
  </r>
  <r>
    <x v="0"/>
    <x v="0"/>
    <s v="group "/>
    <s v=" "/>
    <s v=" mean of mean fluo "/>
    <x v="2"/>
    <s v=" mean of total fluo "/>
    <s v=" SD total fluo "/>
    <m/>
  </r>
  <r>
    <x v="1"/>
    <x v="9"/>
    <s v="C:\Users\andre\Desktop\REACTIV CEFAS\Tamoxifen\Tamoxifen/20201219_Cefas_Test10_Run2/Plate 1/@1/ "/>
    <s v=" "/>
    <s v=" 38.4022 "/>
    <x v="3"/>
    <s v=" 342960.219 "/>
    <s v=" 161574.935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Tamoxifen\Tamoxifen/20201219_Cefas_Test10_Run2/Plate 1/@13/A8_01.tif "/>
    <s v=" 21218.9266 "/>
    <s v=" 36.7156 "/>
    <x v="0"/>
    <n v="779066"/>
    <m/>
    <m/>
  </r>
  <r>
    <x v="2"/>
    <x v="1"/>
    <s v="C:\Users\andre\Desktop\REACTIV CEFAS\Tamoxifen\Tamoxifen/20201219_Cefas_Test10_Run2/Plate 1/@13/A8_02.tif "/>
    <s v=" 25847.7241 "/>
    <s v=" 39.1121 "/>
    <x v="0"/>
    <n v="1010960"/>
    <m/>
    <m/>
  </r>
  <r>
    <x v="2"/>
    <x v="1"/>
    <s v="C:\Users\andre\Desktop\REACTIV CEFAS\Tamoxifen\Tamoxifen/20201219_Cefas_Test10_Run2/Plate 1/@13/A8_03.tif "/>
    <s v=" 23079.0976 "/>
    <s v=" 36.1949 "/>
    <x v="0"/>
    <n v="835347"/>
    <m/>
    <m/>
  </r>
  <r>
    <x v="2"/>
    <x v="1"/>
    <s v="C:\Users\andre\Desktop\REACTIV CEFAS\Tamoxifen\Tamoxifen/20201219_Cefas_Test10_Run2/Plate 1/@13/A8_04.tif "/>
    <s v=" 32552.9914 "/>
    <s v=" 38.6512 "/>
    <x v="0"/>
    <n v="1258211"/>
    <m/>
    <m/>
  </r>
  <r>
    <x v="2"/>
    <x v="2"/>
    <s v="C:\Users\andre\Desktop\REACTIV CEFAS\Tamoxifen\Tamoxifen/20201219_Cefas_Test10_Run2/Plate 1/@13/B8_01.tif "/>
    <s v=" 62229.2068 "/>
    <s v=" 40.2218 "/>
    <x v="0"/>
    <n v="2502968"/>
    <m/>
    <m/>
  </r>
  <r>
    <x v="2"/>
    <x v="2"/>
    <s v="C:\Users\andre\Desktop\REACTIV CEFAS\Tamoxifen\Tamoxifen/20201219_Cefas_Test10_Run2/Plate 1/@13/B8_02.tif "/>
    <s v=" 67074.3032 "/>
    <s v=" 41.3193 "/>
    <x v="0"/>
    <n v="2771460"/>
    <m/>
    <m/>
  </r>
  <r>
    <x v="2"/>
    <x v="2"/>
    <s v="C:\Users\andre\Desktop\REACTIV CEFAS\Tamoxifen\Tamoxifen/20201219_Cefas_Test10_Run2/Plate 1/@13/B8_03.tif "/>
    <s v=" 66511.926 "/>
    <s v=" 40.5207 "/>
    <x v="0"/>
    <n v="2695107"/>
    <m/>
    <m/>
  </r>
  <r>
    <x v="2"/>
    <x v="2"/>
    <s v="C:\Users\andre\Desktop\REACTIV CEFAS\Tamoxifen\Tamoxifen/20201219_Cefas_Test10_Run2/Plate 1/@13/B8_04.tif "/>
    <s v=" 59330.801 "/>
    <s v=" 41.9103 "/>
    <x v="0"/>
    <n v="2486573"/>
    <m/>
    <m/>
  </r>
  <r>
    <x v="2"/>
    <x v="3"/>
    <s v="C:\Users\andre\Desktop\REACTIV CEFAS\Tamoxifen\Tamoxifen/20201219_Cefas_Test10_Run2/Plate 1/@13/C8_01.tif "/>
    <s v=" 58660.2742 "/>
    <s v=" 37.4491 "/>
    <x v="0"/>
    <n v="2196775"/>
    <m/>
    <m/>
  </r>
  <r>
    <x v="2"/>
    <x v="3"/>
    <s v="C:\Users\andre\Desktop\REACTIV CEFAS\Tamoxifen\Tamoxifen/20201219_Cefas_Test10_Run2/Plate 1/@13/C8_02.tif "/>
    <s v=" 61666.8296 "/>
    <s v=" 37.9362 "/>
    <x v="0"/>
    <n v="2339403"/>
    <m/>
    <m/>
  </r>
  <r>
    <x v="2"/>
    <x v="3"/>
    <s v="C:\Users\andre\Desktop\REACTIV CEFAS\Tamoxifen\Tamoxifen/20201219_Cefas_Test10_Run2/Plate 1/@13/C8_03.tif "/>
    <s v=" 46698.9425 "/>
    <s v=" 37.9305 "/>
    <x v="0"/>
    <n v="1771315"/>
    <m/>
    <m/>
  </r>
  <r>
    <x v="2"/>
    <x v="3"/>
    <s v="C:\Users\andre\Desktop\REACTIV CEFAS\Tamoxifen\Tamoxifen/20201219_Cefas_Test10_Run2/Plate 1/@13/C8_04.tif "/>
    <s v=" 54637.1138 "/>
    <s v=" 36.9865 "/>
    <x v="0"/>
    <n v="2020838"/>
    <m/>
    <m/>
  </r>
  <r>
    <x v="2"/>
    <x v="4"/>
    <s v="C:\Users\andre\Desktop\REACTIV CEFAS\Tamoxifen\Tamoxifen/20201219_Cefas_Test10_Run2/Plate 1/@13/D8_01.tif "/>
    <s v=" 72308.7377 "/>
    <s v=" 47.2629 "/>
    <x v="0"/>
    <n v="3417523"/>
    <m/>
    <m/>
  </r>
  <r>
    <x v="2"/>
    <x v="4"/>
    <s v="C:\Users\andre\Desktop\REACTIV CEFAS\Tamoxifen\Tamoxifen/20201219_Cefas_Test10_Run2/Plate 1/@13/D8_02.tif "/>
    <s v=" 66403.7765 "/>
    <s v=" 44.1124 "/>
    <x v="0"/>
    <n v="2929228"/>
    <m/>
    <m/>
  </r>
  <r>
    <x v="2"/>
    <x v="4"/>
    <s v="C:\Users\andre\Desktop\REACTIV CEFAS\Tamoxifen\Tamoxifen/20201219_Cefas_Test10_Run2/Plate 1/@13/D8_03.tif "/>
    <s v=" 65192.5024 "/>
    <s v=" 44.6407 "/>
    <x v="0"/>
    <n v="2910237"/>
    <m/>
    <m/>
  </r>
  <r>
    <x v="2"/>
    <x v="4"/>
    <s v="C:\Users\andre\Desktop\REACTIV CEFAS\Tamoxifen\Tamoxifen/20201219_Cefas_Test10_Run2/Plate 1/@13/D8_04.tif "/>
    <s v=" 71270.5028 "/>
    <s v=" 48.0373 "/>
    <x v="0"/>
    <n v="3423645"/>
    <m/>
    <m/>
  </r>
  <r>
    <x v="2"/>
    <x v="5"/>
    <s v="C:\Users\andre\Desktop\REACTIV CEFAS\Tamoxifen\Tamoxifen/20201219_Cefas_Test10_Run2/Plate 1/@13/E8_01.tif "/>
    <s v=" 16373.8302 "/>
    <s v=" 32.8587 "/>
    <x v="0"/>
    <n v="538022"/>
    <m/>
    <m/>
  </r>
  <r>
    <x v="2"/>
    <x v="5"/>
    <s v="C:\Users\andre\Desktop\REACTIV CEFAS\Tamoxifen\Tamoxifen/20201219_Cefas_Test10_Run2/Plate 1/@13/E8_02.tif "/>
    <s v=" 21802.9338 "/>
    <s v=" 35.0694 "/>
    <x v="0"/>
    <n v="764617"/>
    <m/>
    <m/>
  </r>
  <r>
    <x v="2"/>
    <x v="5"/>
    <s v="C:\Users\andre\Desktop\REACTIV CEFAS\Tamoxifen\Tamoxifen/20201219_Cefas_Test10_Run2/Plate 1/@13/E8_03.tif "/>
    <s v=" 34780.8706 "/>
    <s v=" 38.5572 "/>
    <x v="0"/>
    <n v="1341053"/>
    <m/>
    <m/>
  </r>
  <r>
    <x v="2"/>
    <x v="5"/>
    <s v="C:\Users\andre\Desktop\REACTIV CEFAS\Tamoxifen\Tamoxifen/20201219_Cefas_Test10_Run2/Plate 1/@13/E8_04.tif "/>
    <s v=" 27751.1548 "/>
    <s v=" 37.5113 "/>
    <x v="0"/>
    <n v="1040982"/>
    <m/>
    <m/>
  </r>
  <r>
    <x v="2"/>
    <x v="6"/>
    <s v="C:\Users\andre\Desktop\REACTIV CEFAS\Tamoxifen\Tamoxifen/20201219_Cefas_Test10_Run2/Plate 1/@13/F8_01.tif "/>
    <s v=" 82950.6459 "/>
    <s v=" 40.399 "/>
    <x v="0"/>
    <n v="3351120"/>
    <m/>
    <m/>
  </r>
  <r>
    <x v="2"/>
    <x v="6"/>
    <s v="C:\Users\andre\Desktop\REACTIV CEFAS\Tamoxifen\Tamoxifen/20201219_Cefas_Test10_Run2/Plate 1/@13/F8_02.tif "/>
    <s v=" 67961.1289 "/>
    <s v=" 38.5401 "/>
    <x v="0"/>
    <n v="2619229"/>
    <m/>
    <m/>
  </r>
  <r>
    <x v="2"/>
    <x v="6"/>
    <s v="C:\Users\andre\Desktop\REACTIV CEFAS\Tamoxifen\Tamoxifen/20201219_Cefas_Test10_Run2/Plate 1/@13/F8_03.tif "/>
    <s v=" 65019.4633 "/>
    <s v=" 38.503 "/>
    <x v="0"/>
    <n v="2503444"/>
    <m/>
    <m/>
  </r>
  <r>
    <x v="2"/>
    <x v="6"/>
    <s v="C:\Users\andre\Desktop\REACTIV CEFAS\Tamoxifen\Tamoxifen/20201219_Cefas_Test10_Run2/Plate 1/@13/F8_04.tif "/>
    <s v=" 73822.8304 "/>
    <s v=" 37.792 "/>
    <x v="0"/>
    <n v="2789910"/>
    <m/>
    <m/>
  </r>
  <r>
    <x v="2"/>
    <x v="7"/>
    <s v="C:\Users\andre\Desktop\REACTIV CEFAS\Tamoxifen\Tamoxifen/20201219_Cefas_Test10_Run2/Plate 1/@13/G8_01.tif "/>
    <s v=" 56951.5126 "/>
    <s v=" 36.9833 "/>
    <x v="0"/>
    <n v="2106254"/>
    <m/>
    <m/>
  </r>
  <r>
    <x v="2"/>
    <x v="7"/>
    <s v="C:\Users\andre\Desktop\REACTIV CEFAS\Tamoxifen\Tamoxifen/20201219_Cefas_Test10_Run2/Plate 1/@13/G8_02.tif "/>
    <s v=" 52279.4553 "/>
    <s v=" 37.741 "/>
    <x v="0"/>
    <n v="1973079"/>
    <m/>
    <m/>
  </r>
  <r>
    <x v="2"/>
    <x v="7"/>
    <s v="C:\Users\andre\Desktop\REACTIV CEFAS\Tamoxifen\Tamoxifen/20201219_Cefas_Test10_Run2/Plate 1/@13/G8_03.tif "/>
    <s v=" 69972.7091 "/>
    <s v=" 41.2117 "/>
    <x v="0"/>
    <n v="2883698"/>
    <m/>
    <m/>
  </r>
  <r>
    <x v="2"/>
    <x v="7"/>
    <s v="C:\Users\andre\Desktop\REACTIV CEFAS\Tamoxifen\Tamoxifen/20201219_Cefas_Test10_Run2/Plate 1/@13/G8_04.tif "/>
    <s v=" 68026.0186 "/>
    <s v=" 39.8124 "/>
    <x v="0"/>
    <n v="2708279"/>
    <m/>
    <m/>
  </r>
  <r>
    <x v="2"/>
    <x v="8"/>
    <s v="C:\Users\andre\Desktop\REACTIV CEFAS\Tamoxifen\Tamoxifen/20201219_Cefas_Test10_Run2/Plate 1/@13/H8_01.tif "/>
    <s v=" 61126.0822 "/>
    <s v=" 36.6362 "/>
    <x v="0"/>
    <n v="2239430"/>
    <m/>
    <m/>
  </r>
  <r>
    <x v="2"/>
    <x v="8"/>
    <s v="C:\Users\andre\Desktop\REACTIV CEFAS\Tamoxifen\Tamoxifen/20201219_Cefas_Test10_Run2/Plate 1/@13/H8_02.tif "/>
    <s v=" 59374.0608 "/>
    <s v=" 36.8933 "/>
    <x v="0"/>
    <n v="2190503"/>
    <m/>
    <m/>
  </r>
  <r>
    <x v="2"/>
    <x v="8"/>
    <s v="C:\Users\andre\Desktop\REACTIV CEFAS\Tamoxifen\Tamoxifen/20201219_Cefas_Test10_Run2/Plate 1/@13/H8_03.tif "/>
    <s v=" 69994.339 "/>
    <s v=" 40.204 "/>
    <x v="0"/>
    <n v="2814049"/>
    <m/>
    <m/>
  </r>
  <r>
    <x v="2"/>
    <x v="8"/>
    <s v="C:\Users\andre\Desktop\REACTIV CEFAS\Tamoxifen\Tamoxifen/20201219_Cefas_Test10_Run2/Plate 1/@13/H8_04.tif "/>
    <s v=" 65387.1715 "/>
    <s v=" 38.3735 "/>
    <x v="0"/>
    <n v="2509133"/>
    <m/>
    <m/>
  </r>
  <r>
    <x v="0"/>
    <x v="0"/>
    <s v=" "/>
    <m/>
    <m/>
    <x v="1"/>
    <m/>
    <m/>
    <m/>
  </r>
  <r>
    <x v="0"/>
    <x v="0"/>
    <s v="group "/>
    <s v=" "/>
    <s v=" mean of mean fluo "/>
    <x v="2"/>
    <s v=" mean of total fluo "/>
    <s v=" SD total fluo "/>
    <m/>
  </r>
  <r>
    <x v="2"/>
    <x v="9"/>
    <s v="C:\Users\andre\Desktop\REACTIV CEFAS\Tamoxifen\Tamoxifen/20201219_Cefas_Test10_Run2/Plate 1/@13/ "/>
    <s v=" "/>
    <s v=" 39.2527 "/>
    <x v="4"/>
    <s v=" 2178795.56 "/>
    <s v=" 828316.915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Tamoxifen\Tamoxifen/20201219_Cefas_Test10_Run2/Plate 1/@14/A9_01.tif "/>
    <s v=" 29438.2866 "/>
    <s v=" 34.5312 "/>
    <x v="0"/>
    <n v="1016540"/>
    <m/>
    <m/>
  </r>
  <r>
    <x v="3"/>
    <x v="1"/>
    <s v="C:\Users\andre\Desktop\REACTIV CEFAS\Tamoxifen\Tamoxifen/20201219_Cefas_Test10_Run2/Plate 1/@14/A9_02.tif "/>
    <s v=" 36619.4116 "/>
    <s v=" 35.4696 "/>
    <x v="0"/>
    <n v="1298875"/>
    <m/>
    <m/>
  </r>
  <r>
    <x v="3"/>
    <x v="1"/>
    <s v="C:\Users\andre\Desktop\REACTIV CEFAS\Tamoxifen\Tamoxifen/20201219_Cefas_Test10_Run2/Plate 1/@14/A9_03.tif "/>
    <s v=" 29048.9485 "/>
    <s v=" 34.4743 "/>
    <x v="0"/>
    <n v="1001442"/>
    <m/>
    <m/>
  </r>
  <r>
    <x v="3"/>
    <x v="1"/>
    <s v="C:\Users\andre\Desktop\REACTIV CEFAS\Tamoxifen\Tamoxifen/20201219_Cefas_Test10_Run2/Plate 1/@14/A9_04.tif "/>
    <s v=" 35516.287 "/>
    <s v=" 34.0097 "/>
    <x v="0"/>
    <n v="1207900"/>
    <m/>
    <m/>
  </r>
  <r>
    <x v="3"/>
    <x v="2"/>
    <s v="C:\Users\andre\Desktop\REACTIV CEFAS\Tamoxifen\Tamoxifen/20201219_Cefas_Test10_Run2/Plate 1/@14/B9_01.tif "/>
    <s v=" 39755.7463 "/>
    <s v=" 36.2171 "/>
    <x v="0"/>
    <n v="1439837"/>
    <m/>
    <m/>
  </r>
  <r>
    <x v="3"/>
    <x v="2"/>
    <s v="C:\Users\andre\Desktop\REACTIV CEFAS\Tamoxifen\Tamoxifen/20201219_Cefas_Test10_Run2/Plate 1/@14/B9_02.tif "/>
    <s v=" 30736.0803 "/>
    <s v=" 35.2977 "/>
    <x v="0"/>
    <n v="1084912"/>
    <m/>
    <m/>
  </r>
  <r>
    <x v="3"/>
    <x v="2"/>
    <s v="C:\Users\andre\Desktop\REACTIV CEFAS\Tamoxifen\Tamoxifen/20201219_Cefas_Test10_Run2/Plate 1/@14/B9_03- exclu.tif"/>
    <m/>
    <m/>
    <x v="1"/>
    <m/>
    <m/>
    <m/>
  </r>
  <r>
    <x v="3"/>
    <x v="2"/>
    <s v="C:\Users\andre\Desktop\REACTIV CEFAS\Tamoxifen\Tamoxifen/20201219_Cefas_Test10_Run2/Plate 1/@14/B9_04.tif "/>
    <s v=" 48515.8537 "/>
    <s v=" 35.1904 "/>
    <x v="0"/>
    <n v="1707291"/>
    <m/>
    <m/>
  </r>
  <r>
    <x v="3"/>
    <x v="3"/>
    <s v="C:\Users\andre\Desktop\REACTIV CEFAS\Tamoxifen\Tamoxifen/20201219_Cefas_Test10_Run2/Plate 1/@14/C9_01.tif "/>
    <s v=" 91624.2336 "/>
    <s v=" 45.7229 "/>
    <x v="0"/>
    <n v="4189321"/>
    <m/>
    <m/>
  </r>
  <r>
    <x v="3"/>
    <x v="3"/>
    <s v="C:\Users\andre\Desktop\REACTIV CEFAS\Tamoxifen\Tamoxifen/20201219_Cefas_Test10_Run2/Plate 1/@14/C9_02.tif "/>
    <s v=" 85438.0838 "/>
    <s v=" 42.7415 "/>
    <x v="0"/>
    <n v="3651753"/>
    <m/>
    <m/>
  </r>
  <r>
    <x v="3"/>
    <x v="3"/>
    <s v="C:\Users\andre\Desktop\REACTIV CEFAS\Tamoxifen\Tamoxifen/20201219_Cefas_Test10_Run2/Plate 1/@14/C9_03.tif "/>
    <s v=" 79122.1546 "/>
    <s v=" 43.45 "/>
    <x v="0"/>
    <n v="3437855"/>
    <m/>
    <m/>
  </r>
  <r>
    <x v="3"/>
    <x v="3"/>
    <s v="C:\Users\andre\Desktop\REACTIV CEFAS\Tamoxifen\Tamoxifen/20201219_Cefas_Test10_Run2/Plate 1/@14/C9_04.tif "/>
    <s v=" 85221.7848 "/>
    <s v=" 44.1799 "/>
    <x v="0"/>
    <n v="3765094"/>
    <m/>
    <m/>
  </r>
  <r>
    <x v="3"/>
    <x v="4"/>
    <s v="C:\Users\andre\Desktop\REACTIV CEFAS\Tamoxifen\Tamoxifen/20201219_Cefas_Test10_Run2/Plate 1/@14/D9_01.tif "/>
    <s v=" 83426.5036 "/>
    <s v=" 38.0552 "/>
    <x v="0"/>
    <n v="3174814"/>
    <m/>
    <m/>
  </r>
  <r>
    <x v="3"/>
    <x v="4"/>
    <s v="C:\Users\andre\Desktop\REACTIV CEFAS\Tamoxifen\Tamoxifen/20201219_Cefas_Test10_Run2/Plate 1/@14/D9_02.tif "/>
    <s v=" 79900.8308 "/>
    <s v=" 37.1871 "/>
    <x v="0"/>
    <n v="2971277"/>
    <m/>
    <m/>
  </r>
  <r>
    <x v="3"/>
    <x v="4"/>
    <s v="C:\Users\andre\Desktop\REACTIV CEFAS\Tamoxifen\Tamoxifen/20201219_Cefas_Test10_Run2/Plate 1/@14/D9_03.tif "/>
    <s v=" 84032.1406 "/>
    <s v=" 38.5552 "/>
    <x v="0"/>
    <n v="3239877"/>
    <m/>
    <m/>
  </r>
  <r>
    <x v="3"/>
    <x v="4"/>
    <s v="C:\Users\andre\Desktop\REACTIV CEFAS\Tamoxifen\Tamoxifen/20201219_Cefas_Test10_Run2/Plate 1/@14/D9_04.tif "/>
    <s v=" 103758.605 "/>
    <s v=" 41.5804 "/>
    <x v="0"/>
    <n v="4314320"/>
    <m/>
    <m/>
  </r>
  <r>
    <x v="3"/>
    <x v="5"/>
    <s v="C:\Users\andre\Desktop\REACTIV CEFAS\Tamoxifen\Tamoxifen/20201219_Cefas_Test10_Run2/Plate 1/@14/E9_01.tif "/>
    <s v=" 42221.5543 "/>
    <s v=" 35.4293 "/>
    <x v="0"/>
    <n v="1495880"/>
    <m/>
    <m/>
  </r>
  <r>
    <x v="3"/>
    <x v="5"/>
    <s v="C:\Users\andre\Desktop\REACTIV CEFAS\Tamoxifen\Tamoxifen/20201219_Cefas_Test10_Run2/Plate 1/@14/E9_02.tif "/>
    <s v=" 26431.7312 "/>
    <s v=" 35.3396 "/>
    <x v="0"/>
    <n v="934087"/>
    <m/>
    <m/>
  </r>
  <r>
    <x v="3"/>
    <x v="5"/>
    <s v="C:\Users\andre\Desktop\REACTIV CEFAS\Tamoxifen\Tamoxifen/20201219_Cefas_Test10_Run2/Plate 1/@14/E9_03.tif "/>
    <s v=" 39712.4865 "/>
    <s v=" 37.592 "/>
    <x v="0"/>
    <n v="1492874"/>
    <m/>
    <m/>
  </r>
  <r>
    <x v="3"/>
    <x v="5"/>
    <s v="C:\Users\andre\Desktop\REACTIV CEFAS\Tamoxifen\Tamoxifen/20201219_Cefas_Test10_Run2/Plate 1/@14/E9_04.tif "/>
    <s v=" 33612.8563 "/>
    <s v=" 35.6165 "/>
    <x v="0"/>
    <n v="1197171"/>
    <m/>
    <m/>
  </r>
  <r>
    <x v="3"/>
    <x v="6"/>
    <s v="C:\Users\andre\Desktop\REACTIV CEFAS\Tamoxifen\Tamoxifen/20201219_Cefas_Test10_Run2/Plate 1/@14/F9_01.tif "/>
    <s v=" 59438.9504 "/>
    <s v=" 42.3406 "/>
    <x v="0"/>
    <n v="2516681"/>
    <m/>
    <m/>
  </r>
  <r>
    <x v="3"/>
    <x v="6"/>
    <s v="C:\Users\andre\Desktop\REACTIV CEFAS\Tamoxifen\Tamoxifen/20201219_Cefas_Test10_Run2/Plate 1/@14/F9_02.tif "/>
    <s v=" 67247.3424 "/>
    <s v=" 46.8344 "/>
    <x v="0"/>
    <n v="3149486"/>
    <m/>
    <m/>
  </r>
  <r>
    <x v="3"/>
    <x v="6"/>
    <s v="C:\Users\andre\Desktop\REACTIV CEFAS\Tamoxifen\Tamoxifen/20201219_Cefas_Test10_Run2/Plate 1/@14/F9_03.tif "/>
    <s v=" 59698.5092 "/>
    <s v=" 42.8203 "/>
    <x v="0"/>
    <n v="2556307"/>
    <m/>
    <m/>
  </r>
  <r>
    <x v="3"/>
    <x v="6"/>
    <s v="C:\Users\andre\Desktop\REACTIV CEFAS\Tamoxifen\Tamoxifen/20201219_Cefas_Test10_Run2/Plate 1/@14/F9_04.tif "/>
    <s v=" 69756.4102 "/>
    <s v=" 43.1563 "/>
    <x v="0"/>
    <n v="3010427"/>
    <m/>
    <m/>
  </r>
  <r>
    <x v="3"/>
    <x v="7"/>
    <s v="C:\Users\andre\Desktop\REACTIV CEFAS\Tamoxifen\Tamoxifen/20201219_Cefas_Test10_Run2/Plate 1/@14/G9_01.tif "/>
    <s v=" 63094.4026 "/>
    <s v=" 48.1697 "/>
    <x v="0"/>
    <n v="3039238"/>
    <m/>
    <m/>
  </r>
  <r>
    <x v="3"/>
    <x v="7"/>
    <s v="C:\Users\andre\Desktop\REACTIV CEFAS\Tamoxifen\Tamoxifen/20201219_Cefas_Test10_Run2/Plate 1/@14/G9_02.tif "/>
    <s v=" 65214.1323 "/>
    <s v=" 48.0083 "/>
    <x v="0"/>
    <n v="3130819"/>
    <m/>
    <m/>
  </r>
  <r>
    <x v="3"/>
    <x v="7"/>
    <s v="C:\Users\andre\Desktop\REACTIV CEFAS\Tamoxifen\Tamoxifen/20201219_Cefas_Test10_Run2/Plate 1/@14/G9_03.tif "/>
    <s v=" 65084.3529 "/>
    <s v=" 44.9093 "/>
    <x v="0"/>
    <n v="2922891"/>
    <m/>
    <m/>
  </r>
  <r>
    <x v="3"/>
    <x v="7"/>
    <s v="C:\Users\andre\Desktop\REACTIV CEFAS\Tamoxifen\Tamoxifen/20201219_Cefas_Test10_Run2/Plate 1/@14/G9_04.tif "/>
    <s v=" 72200.5883 "/>
    <s v=" 43.8805 "/>
    <x v="0"/>
    <n v="3168196"/>
    <m/>
    <m/>
  </r>
  <r>
    <x v="3"/>
    <x v="8"/>
    <s v="C:\Users\andre\Desktop\REACTIV CEFAS\Tamoxifen\Tamoxifen/20201219_Cefas_Test10_Run2/Plate 1/@14/H9_01.tif "/>
    <s v=" 63635.15 "/>
    <s v=" 39.6941 "/>
    <x v="0"/>
    <n v="2525939"/>
    <m/>
    <m/>
  </r>
  <r>
    <x v="3"/>
    <x v="8"/>
    <s v="C:\Users\andre\Desktop\REACTIV CEFAS\Tamoxifen\Tamoxifen/20201219_Cefas_Test10_Run2/Plate 1/@14/H9_02.tif "/>
    <s v=" 62358.9862 "/>
    <s v=" 39.795 "/>
    <x v="0"/>
    <n v="2481576"/>
    <m/>
    <m/>
  </r>
  <r>
    <x v="3"/>
    <x v="8"/>
    <s v="C:\Users\andre\Desktop\REACTIV CEFAS\Tamoxifen\Tamoxifen/20201219_Cefas_Test10_Run2/Plate 1/@14/H9_03.tif "/>
    <s v=" 68177.4279 "/>
    <s v=" 41.5006 "/>
    <x v="0"/>
    <n v="2829407"/>
    <m/>
    <m/>
  </r>
  <r>
    <x v="3"/>
    <x v="8"/>
    <s v="C:\Users\andre\Desktop\REACTIV CEFAS\Tamoxifen\Tamoxifen/20201219_Cefas_Test10_Run2/Plate 1/@14/H9_04.tif "/>
    <s v=" 67550.1609 "/>
    <s v=" 41.1082 "/>
    <x v="0"/>
    <n v="2776868"/>
    <m/>
    <m/>
  </r>
  <r>
    <x v="0"/>
    <x v="0"/>
    <s v=" "/>
    <m/>
    <m/>
    <x v="1"/>
    <m/>
    <m/>
    <m/>
  </r>
  <r>
    <x v="0"/>
    <x v="0"/>
    <s v="group "/>
    <s v=" "/>
    <s v=" mean of mean fluo "/>
    <x v="2"/>
    <s v=" mean of total fluo "/>
    <s v=" SD total fluo "/>
    <m/>
  </r>
  <r>
    <x v="3"/>
    <x v="9"/>
    <s v="C:\Users\andre\Desktop\REACTIV CEFAS\Tamoxifen\Tamoxifen/20201219_Cefas_Test10_Run2/Plate 1/@14/ "/>
    <s v=" "/>
    <s v=" 40.0824 "/>
    <x v="5"/>
    <s v=" 2451689.66 "/>
    <s v=" 1006017.12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Tamoxifen\Tamoxifen/20201219_Cefas_Test10_Run2/Plate 1/@15/A11_01.tif "/>
    <s v=" 87817.3722 "/>
    <s v=" 46.5397 "/>
    <x v="0"/>
    <n v="4086990"/>
    <m/>
    <m/>
  </r>
  <r>
    <x v="4"/>
    <x v="1"/>
    <s v="C:\Users\andre\Desktop\REACTIV CEFAS\Tamoxifen\Tamoxifen/20201219_Cefas_Test10_Run2/Plate 1/@15/A11_02.tif "/>
    <s v=" 87990.4114 "/>
    <s v=" 47.0656 "/>
    <x v="0"/>
    <n v="4141325"/>
    <m/>
    <m/>
  </r>
  <r>
    <x v="4"/>
    <x v="1"/>
    <s v="C:\Users\andre\Desktop\REACTIV CEFAS\Tamoxifen\Tamoxifen/20201219_Cefas_Test10_Run2/Plate 1/@15/A11_03.tif "/>
    <s v=" 93441.1448 "/>
    <s v=" 50.7331 "/>
    <x v="0"/>
    <n v="4740559"/>
    <m/>
    <m/>
  </r>
  <r>
    <x v="4"/>
    <x v="1"/>
    <s v="C:\Users\andre\Desktop\REACTIV CEFAS\Tamoxifen\Tamoxifen/20201219_Cefas_Test10_Run2/Plate 1/@15/A11_04.tif "/>
    <s v=" 85719.2724 "/>
    <s v=" 44.8844 "/>
    <x v="0"/>
    <n v="3847461"/>
    <m/>
    <m/>
  </r>
  <r>
    <x v="4"/>
    <x v="2"/>
    <s v="C:\Users\andre\Desktop\REACTIV CEFAS\Tamoxifen\Tamoxifen/20201219_Cefas_Test10_Run2/Plate 1/@15/B11_01.tif "/>
    <s v=" 53771.918 "/>
    <s v=" 41.8825 "/>
    <x v="0"/>
    <n v="2252105"/>
    <m/>
    <m/>
  </r>
  <r>
    <x v="4"/>
    <x v="2"/>
    <s v="C:\Users\andre\Desktop\REACTIV CEFAS\Tamoxifen\Tamoxifen/20201219_Cefas_Test10_Run2/Plate 1/@15/B11_02.tif "/>
    <s v=" 55091.3416 "/>
    <s v=" 44.1186 "/>
    <x v="0"/>
    <n v="2430551"/>
    <m/>
    <m/>
  </r>
  <r>
    <x v="4"/>
    <x v="2"/>
    <s v="C:\Users\andre\Desktop\REACTIV CEFAS\Tamoxifen\Tamoxifen/20201219_Cefas_Test10_Run2/Plate 1/@15/B11_03.tif "/>
    <s v=" 54334.2953 "/>
    <s v=" 44.3854 "/>
    <x v="0"/>
    <n v="2411647"/>
    <m/>
    <m/>
  </r>
  <r>
    <x v="4"/>
    <x v="2"/>
    <s v="C:\Users\andre\Desktop\REACTIV CEFAS\Tamoxifen\Tamoxifen/20201219_Cefas_Test10_Run2/Plate 1/@15/B11_04.tif "/>
    <s v=" 51068.1812 "/>
    <s v=" 42.8306 "/>
    <x v="0"/>
    <n v="2187280"/>
    <m/>
    <m/>
  </r>
  <r>
    <x v="4"/>
    <x v="3"/>
    <s v="C:\Users\andre\Desktop\REACTIV CEFAS\Tamoxifen\Tamoxifen/20201219_Cefas_Test10_Run2/Plate 1/@15/C11_01.tif "/>
    <s v=" 81285.144 "/>
    <s v=" 45.9462 "/>
    <x v="0"/>
    <n v="3734747"/>
    <m/>
    <m/>
  </r>
  <r>
    <x v="4"/>
    <x v="3"/>
    <s v="C:\Users\andre\Desktop\REACTIV CEFAS\Tamoxifen\Tamoxifen/20201219_Cefas_Test10_Run2/Plate 1/@15/C11_02.tif "/>
    <s v=" 82582.9377 "/>
    <s v=" 50.4817 "/>
    <x v="0"/>
    <n v="4168924"/>
    <m/>
    <m/>
  </r>
  <r>
    <x v="4"/>
    <x v="3"/>
    <s v="C:\Users\andre\Desktop\REACTIV CEFAS\Tamoxifen\Tamoxifen/20201219_Cefas_Test10_Run2/Plate 1/@15/C11_03.tif "/>
    <s v=" 79100.5247 "/>
    <s v=" 45.1017 "/>
    <x v="0"/>
    <n v="3567570"/>
    <m/>
    <m/>
  </r>
  <r>
    <x v="4"/>
    <x v="3"/>
    <s v="C:\Users\andre\Desktop\REACTIV CEFAS\Tamoxifen\Tamoxifen/20201219_Cefas_Test10_Run2/Plate 1/@15/C11_04.tif "/>
    <s v=" 86281.6497 "/>
    <s v=" 48.9057 "/>
    <x v="0"/>
    <n v="4219668"/>
    <m/>
    <m/>
  </r>
  <r>
    <x v="4"/>
    <x v="4"/>
    <s v="C:\Users\andre\Desktop\REACTIV CEFAS\Tamoxifen\Tamoxifen/20201219_Cefas_Test10_Run2/Plate 1/@15/D11_01.tif "/>
    <s v=" 71962.6594 "/>
    <s v=" 40.1121 "/>
    <x v="0"/>
    <n v="2886574"/>
    <m/>
    <m/>
  </r>
  <r>
    <x v="4"/>
    <x v="4"/>
    <s v="C:\Users\andre\Desktop\REACTIV CEFAS\Tamoxifen\Tamoxifen/20201219_Cefas_Test10_Run2/Plate 1/@15/D11_02.tif "/>
    <s v=" 73563.2716 "/>
    <s v=" 40.8495 "/>
    <x v="0"/>
    <n v="3005020"/>
    <m/>
    <m/>
  </r>
  <r>
    <x v="4"/>
    <x v="4"/>
    <s v="C:\Users\andre\Desktop\REACTIV CEFAS\Tamoxifen\Tamoxifen/20201219_Cefas_Test10_Run2/Plate 1/@15/D11_03.tif "/>
    <s v=" 75791.1508 "/>
    <s v=" 42.3091 "/>
    <x v="0"/>
    <n v="3206654"/>
    <m/>
    <m/>
  </r>
  <r>
    <x v="4"/>
    <x v="4"/>
    <s v="C:\Users\andre\Desktop\REACTIV CEFAS\Tamoxifen\Tamoxifen/20201219_Cefas_Test10_Run2/Plate 1/@15/D11_04.tif "/>
    <s v=" 66814.7445 "/>
    <s v=" 42.1748 "/>
    <x v="0"/>
    <n v="2817899"/>
    <m/>
    <m/>
  </r>
  <r>
    <x v="4"/>
    <x v="5"/>
    <s v="C:\Users\andre\Desktop\REACTIV CEFAS\Tamoxifen\Tamoxifen/20201219_Cefas_Test10_Run2/Plate 1/@15/E11_01.tif "/>
    <s v=" 87190.1052 "/>
    <s v=" 44.2364 "/>
    <x v="0"/>
    <n v="3856978"/>
    <m/>
    <m/>
  </r>
  <r>
    <x v="4"/>
    <x v="5"/>
    <s v="C:\Users\andre\Desktop\REACTIV CEFAS\Tamoxifen\Tamoxifen/20201219_Cefas_Test10_Run2/Plate 1/@15/E11_02.tif "/>
    <s v=" 87406.4042 "/>
    <s v=" 46.8114 "/>
    <x v="0"/>
    <n v="4091619"/>
    <m/>
    <m/>
  </r>
  <r>
    <x v="4"/>
    <x v="5"/>
    <s v="C:\Users\andre\Desktop\REACTIV CEFAS\Tamoxifen\Tamoxifen/20201219_Cefas_Test10_Run2/Plate 1/@15/E11_03- exclu.tif"/>
    <m/>
    <m/>
    <x v="1"/>
    <m/>
    <m/>
    <m/>
  </r>
  <r>
    <x v="4"/>
    <x v="5"/>
    <s v="C:\Users\andre\Desktop\REACTIV CEFAS\Tamoxifen\Tamoxifen/20201219_Cefas_Test10_Run2/Plate 1/@15/E11_04.tif "/>
    <s v=" 95820.4332 "/>
    <s v=" 48.6494 "/>
    <x v="0"/>
    <n v="4661610"/>
    <m/>
    <m/>
  </r>
  <r>
    <x v="4"/>
    <x v="6"/>
    <s v="C:\Users\andre\Desktop\REACTIV CEFAS\Tamoxifen\Tamoxifen/20201219_Cefas_Test10_Run2/Plate 1/@15/F11_01.tif "/>
    <s v=" 94090.0416 "/>
    <s v=" 47.3037 "/>
    <x v="0"/>
    <n v="4450805"/>
    <m/>
    <m/>
  </r>
  <r>
    <x v="4"/>
    <x v="6"/>
    <s v="C:\Users\andre\Desktop\REACTIV CEFAS\Tamoxifen\Tamoxifen/20201219_Cefas_Test10_Run2/Plate 1/@15/F11_02.tif "/>
    <s v=" 82453.1583 "/>
    <s v=" 43.6881 "/>
    <x v="0"/>
    <n v="3602221"/>
    <m/>
    <m/>
  </r>
  <r>
    <x v="4"/>
    <x v="6"/>
    <s v="C:\Users\andre\Desktop\REACTIV CEFAS\Tamoxifen\Tamoxifen/20201219_Cefas_Test10_Run2/Plate 1/@15/F11_03.tif "/>
    <s v=" 95431.0951 "/>
    <s v=" 48.6757 "/>
    <x v="0"/>
    <n v="4645171"/>
    <m/>
    <m/>
  </r>
  <r>
    <x v="4"/>
    <x v="6"/>
    <s v="C:\Users\andre\Desktop\REACTIV CEFAS\Tamoxifen\Tamoxifen/20201219_Cefas_Test10_Run2/Plate 1/@15/F11_04.tif "/>
    <s v=" 88877.237 "/>
    <s v=" 45.0433 "/>
    <x v="0"/>
    <n v="4003326"/>
    <m/>
    <m/>
  </r>
  <r>
    <x v="4"/>
    <x v="7"/>
    <s v="C:\Users\andre\Desktop\REACTIV CEFAS\Tamoxifen\Tamoxifen/20201219_Cefas_Test10_Run2/Plate 1/@15/G11_01.tif "/>
    <s v=" 70513.4565 "/>
    <s v=" 47.6356 "/>
    <x v="0"/>
    <n v="3358950"/>
    <m/>
    <m/>
  </r>
  <r>
    <x v="4"/>
    <x v="7"/>
    <s v="C:\Users\andre\Desktop\REACTIV CEFAS\Tamoxifen\Tamoxifen/20201219_Cefas_Test10_Run2/Plate 1/@15/G11_02.tif "/>
    <s v=" 63613.5201 "/>
    <s v=" 47.5097 "/>
    <x v="0"/>
    <n v="3022259"/>
    <m/>
    <m/>
  </r>
  <r>
    <x v="4"/>
    <x v="7"/>
    <s v="C:\Users\andre\Desktop\REACTIV CEFAS\Tamoxifen\Tamoxifen/20201219_Cefas_Test10_Run2/Plate 1/@15/G11_03.tif "/>
    <s v=" 67160.8228 "/>
    <s v=" 51.9304 "/>
    <x v="0"/>
    <n v="3487691"/>
    <m/>
    <m/>
  </r>
  <r>
    <x v="4"/>
    <x v="7"/>
    <s v="C:\Users\andre\Desktop\REACTIV CEFAS\Tamoxifen\Tamoxifen/20201219_Cefas_Test10_Run2/Plate 1/@15/G11_04.tif "/>
    <s v=" 66793.1146 "/>
    <s v=" 45.4705 "/>
    <x v="0"/>
    <n v="3037118"/>
    <m/>
    <m/>
  </r>
  <r>
    <x v="4"/>
    <x v="8"/>
    <s v="C:\Users\andre\Desktop\REACTIV CEFAS\Tamoxifen\Tamoxifen/20201219_Cefas_Test10_Run2/Plate 1/@15/H11_01.tif "/>
    <s v=" 56951.5126 "/>
    <s v=" 41.079 "/>
    <x v="0"/>
    <n v="2339511"/>
    <m/>
    <m/>
  </r>
  <r>
    <x v="4"/>
    <x v="8"/>
    <s v="C:\Users\andre\Desktop\REACTIV CEFAS\Tamoxifen\Tamoxifen/20201219_Cefas_Test10_Run2/Plate 1/@15/H11_02.tif "/>
    <s v=" 63505.3706 "/>
    <s v=" 39.908 "/>
    <x v="0"/>
    <n v="2534375"/>
    <m/>
    <m/>
  </r>
  <r>
    <x v="4"/>
    <x v="8"/>
    <s v="C:\Users\andre\Desktop\REACTIV CEFAS\Tamoxifen\Tamoxifen/20201219_Cefas_Test10_Run2/Plate 1/@15/H11_03.tif "/>
    <s v=" 62077.7976 "/>
    <s v=" 39.9693 "/>
    <x v="0"/>
    <n v="2481208"/>
    <m/>
    <m/>
  </r>
  <r>
    <x v="4"/>
    <x v="8"/>
    <s v="C:\Users\andre\Desktop\REACTIV CEFAS\Tamoxifen\Tamoxifen/20201219_Cefas_Test10_Run2/Plate 1/@15/H11_04.tif "/>
    <s v=" 71227.243 "/>
    <s v=" 42.0279 "/>
    <x v="0"/>
    <n v="2993534"/>
    <m/>
    <m/>
  </r>
  <r>
    <x v="0"/>
    <x v="0"/>
    <s v=" "/>
    <m/>
    <m/>
    <x v="1"/>
    <m/>
    <m/>
    <m/>
  </r>
  <r>
    <x v="0"/>
    <x v="0"/>
    <s v="group "/>
    <s v=" "/>
    <s v=" mean of mean fluo "/>
    <x v="2"/>
    <s v=" mean of total fluo "/>
    <s v=" SD total fluo "/>
    <m/>
  </r>
  <r>
    <x v="4"/>
    <x v="9"/>
    <s v="C:\Users\andre\Desktop\REACTIV CEFAS\Tamoxifen\Tamoxifen/20201219_Cefas_Test10_Run2/Plate 1/@15/ "/>
    <s v=" "/>
    <s v=" 45.276 "/>
    <x v="6"/>
    <s v=" 3456553.84 "/>
    <s v=" 787125.882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Tamoxifen\Tamoxifen/20201219_Cefas_Test10_Run2/Plate 1/@16/A12_01.tif "/>
    <s v=" 16633.389 "/>
    <s v=" 39.1769 "/>
    <x v="0"/>
    <n v="651644"/>
    <m/>
    <m/>
  </r>
  <r>
    <x v="5"/>
    <x v="1"/>
    <s v="C:\Users\andre\Desktop\REACTIV CEFAS\Tamoxifen\Tamoxifen/20201219_Cefas_Test10_Run2/Plate 1/@16/A12_02.tif "/>
    <s v=" 6878.3065 "/>
    <s v=" 37.5629 "/>
    <x v="0"/>
    <n v="258369"/>
    <m/>
    <m/>
  </r>
  <r>
    <x v="5"/>
    <x v="1"/>
    <s v="C:\Users\andre\Desktop\REACTIV CEFAS\Tamoxifen\Tamoxifen/20201219_Cefas_Test10_Run2/Plate 1/@16/A12_03.tif "/>
    <s v=" 11939.7018 "/>
    <s v=" 40.346 "/>
    <x v="0"/>
    <n v="481719"/>
    <m/>
    <m/>
  </r>
  <r>
    <x v="5"/>
    <x v="1"/>
    <s v="C:\Users\andre\Desktop\REACTIV CEFAS\Tamoxifen\Tamoxifen/20201219_Cefas_Test10_Run2/Plate 1/@16/A12_04.tif "/>
    <s v=" 8889.8867 "/>
    <s v=" 42.292 "/>
    <x v="0"/>
    <n v="375971"/>
    <m/>
    <m/>
  </r>
  <r>
    <x v="5"/>
    <x v="2"/>
    <s v="C:\Users\andre\Desktop\REACTIV CEFAS\Tamoxifen\Tamoxifen/20201219_Cefas_Test10_Run2/Plate 1/@16/B12_01.tif "/>
    <s v=" 994.9752 "/>
    <s v=" 31.1522 "/>
    <x v="0"/>
    <n v="30996"/>
    <m/>
    <m/>
  </r>
  <r>
    <x v="5"/>
    <x v="2"/>
    <s v="C:\Users\andre\Desktop\REACTIV CEFAS\Tamoxifen\Tamoxifen/20201219_Cefas_Test10_Run2/Plate 1/@16/B12_02.tif "/>
    <s v=" 2617.2173 "/>
    <s v=" 33.9339 "/>
    <x v="0"/>
    <n v="88812"/>
    <m/>
    <m/>
  </r>
  <r>
    <x v="5"/>
    <x v="2"/>
    <s v="C:\Users\andre\Desktop\REACTIV CEFAS\Tamoxifen\Tamoxifen/20201219_Cefas_Test10_Run2/Plate 1/@16/B12_03.tif "/>
    <s v=" 3244.4842 "/>
    <s v=" 34.4533 "/>
    <x v="0"/>
    <n v="111783"/>
    <m/>
    <m/>
  </r>
  <r>
    <x v="5"/>
    <x v="2"/>
    <s v="C:\Users\andre\Desktop\REACTIV CEFAS\Tamoxifen\Tamoxifen/20201219_Cefas_Test10_Run2/Plate 1/@16/B12_04.tif "/>
    <s v=" 2746.9966 "/>
    <s v=" 32.2992 "/>
    <x v="0"/>
    <n v="88726"/>
    <m/>
    <m/>
  </r>
  <r>
    <x v="5"/>
    <x v="3"/>
    <s v="C:\Users\andre\Desktop\REACTIV CEFAS\Tamoxifen\Tamoxifen/20201219_Cefas_Test10_Run2/Plate 1/@16/C12_01.tif "/>
    <s v=" 9733.4526 "/>
    <s v=" 38.4711 "/>
    <x v="0"/>
    <n v="374457"/>
    <m/>
    <m/>
  </r>
  <r>
    <x v="5"/>
    <x v="3"/>
    <s v="C:\Users\andre\Desktop\REACTIV CEFAS\Tamoxifen\Tamoxifen/20201219_Cefas_Test10_Run2/Plate 1/@16/C12_02.tif "/>
    <s v=" 6186.1499 "/>
    <s v=" 35.0839 "/>
    <x v="0"/>
    <n v="217034"/>
    <m/>
    <m/>
  </r>
  <r>
    <x v="5"/>
    <x v="3"/>
    <s v="C:\Users\andre\Desktop\REACTIV CEFAS\Tamoxifen\Tamoxifen/20201219_Cefas_Test10_Run2/Plate 1/@16/C12_03.tif "/>
    <s v=" 8716.8475 "/>
    <s v=" 35.8486 "/>
    <x v="0"/>
    <n v="312487"/>
    <m/>
    <m/>
  </r>
  <r>
    <x v="5"/>
    <x v="3"/>
    <s v="C:\Users\andre\Desktop\REACTIV CEFAS\Tamoxifen\Tamoxifen/20201219_Cefas_Test10_Run2/Plate 1/@16/C12_04.tif "/>
    <s v=" 5385.8438 "/>
    <s v=" 36.3815 "/>
    <x v="0"/>
    <n v="195945"/>
    <m/>
    <m/>
  </r>
  <r>
    <x v="5"/>
    <x v="4"/>
    <s v="C:\Users\andre\Desktop\REACTIV CEFAS\Tamoxifen\Tamoxifen/20201219_Cefas_Test10_Run2/Plate 1/@16/D12_01.tif "/>
    <s v=" 10663.5381 "/>
    <s v=" 44.4949 "/>
    <x v="0"/>
    <n v="474473"/>
    <m/>
    <m/>
  </r>
  <r>
    <x v="5"/>
    <x v="4"/>
    <s v="C:\Users\andre\Desktop\REACTIV CEFAS\Tamoxifen\Tamoxifen/20201219_Cefas_Test10_Run2/Plate 1/@16/D12_02.tif "/>
    <s v=" 11550.3637 "/>
    <s v=" 45.8502 "/>
    <x v="0"/>
    <n v="529586"/>
    <m/>
    <m/>
  </r>
  <r>
    <x v="5"/>
    <x v="4"/>
    <s v="C:\Users\andre\Desktop\REACTIV CEFAS\Tamoxifen\Tamoxifen/20201219_Cefas_Test10_Run2/Plate 1/@16/D12_03.tif "/>
    <s v=" 11831.5524 "/>
    <s v=" 44.4424 "/>
    <x v="0"/>
    <n v="525823"/>
    <m/>
    <m/>
  </r>
  <r>
    <x v="5"/>
    <x v="4"/>
    <s v="C:\Users\andre\Desktop\REACTIV CEFAS\Tamoxifen\Tamoxifen/20201219_Cefas_Test10_Run2/Plate 1/@16/D12_04.tif "/>
    <s v=" 4736.9469 "/>
    <s v=" 37.8174 "/>
    <x v="0"/>
    <n v="179139"/>
    <m/>
    <m/>
  </r>
  <r>
    <x v="5"/>
    <x v="5"/>
    <s v="C:\Users\andre\Desktop\REACTIV CEFAS\Tamoxifen\Tamoxifen/20201219_Cefas_Test10_Run2/Plate 1/@16/E12_01.tif "/>
    <s v=" 12804.8976 "/>
    <s v=" 46.7568 "/>
    <x v="0"/>
    <n v="598715"/>
    <m/>
    <m/>
  </r>
  <r>
    <x v="5"/>
    <x v="5"/>
    <s v="C:\Users\andre\Desktop\REACTIV CEFAS\Tamoxifen\Tamoxifen/20201219_Cefas_Test10_Run2/Plate 1/@16/E12_02- exclu.tif"/>
    <m/>
    <m/>
    <x v="1"/>
    <m/>
    <m/>
    <m/>
  </r>
  <r>
    <x v="5"/>
    <x v="5"/>
    <s v="C:\Users\andre\Desktop\REACTIV CEFAS\Tamoxifen\Tamoxifen/20201219_Cefas_Test10_Run2/Plate 1/@16/E12_03.tif "/>
    <s v=" 8673.5877 "/>
    <s v=" 40.5561 "/>
    <x v="0"/>
    <n v="351767"/>
    <m/>
    <m/>
  </r>
  <r>
    <x v="5"/>
    <x v="5"/>
    <s v="C:\Users\andre\Desktop\REACTIV CEFAS\Tamoxifen\Tamoxifen/20201219_Cefas_Test10_Run2/Plate 1/@16/E12_04- exclu.tif"/>
    <m/>
    <m/>
    <x v="1"/>
    <m/>
    <m/>
    <m/>
  </r>
  <r>
    <x v="5"/>
    <x v="6"/>
    <s v="C:\Users\andre\Desktop\REACTIV CEFAS\Tamoxifen\Tamoxifen/20201219_Cefas_Test10_Run2/Plate 1/@16/F12_01.tif "/>
    <s v=" 9819.9722 "/>
    <s v=" 39.5374 "/>
    <x v="0"/>
    <n v="388257"/>
    <m/>
    <m/>
  </r>
  <r>
    <x v="5"/>
    <x v="6"/>
    <s v="C:\Users\andre\Desktop\REACTIV CEFAS\Tamoxifen\Tamoxifen/20201219_Cefas_Test10_Run2/Plate 1/@16/F12_02.tif "/>
    <s v=" 12264.1503 "/>
    <s v=" 40.9383 "/>
    <x v="0"/>
    <n v="502073"/>
    <m/>
    <m/>
  </r>
  <r>
    <x v="5"/>
    <x v="6"/>
    <s v="C:\Users\andre\Desktop\REACTIV CEFAS\Tamoxifen\Tamoxifen/20201219_Cefas_Test10_Run2/Plate 1/@16/F12_03.tif "/>
    <s v=" 8154.4703 "/>
    <s v=" 43.2573 "/>
    <x v="0"/>
    <n v="352740"/>
    <m/>
    <m/>
  </r>
  <r>
    <x v="5"/>
    <x v="6"/>
    <s v="C:\Users\andre\Desktop\REACTIV CEFAS\Tamoxifen\Tamoxifen/20201219_Cefas_Test10_Run2/Plate 1/@16/F12_04.tif "/>
    <s v=" 4455.7583 "/>
    <s v=" 39.3835 "/>
    <x v="0"/>
    <n v="175483"/>
    <m/>
    <m/>
  </r>
  <r>
    <x v="5"/>
    <x v="7"/>
    <s v="C:\Users\andre\Desktop\REACTIV CEFAS\Tamoxifen\Tamoxifen/20201219_Cefas_Test10_Run2/Plate 1/@16/G12_01.tif "/>
    <s v=" 5191.1747 "/>
    <s v=" 34.7542 "/>
    <x v="0"/>
    <n v="180415"/>
    <m/>
    <m/>
  </r>
  <r>
    <x v="5"/>
    <x v="7"/>
    <s v="C:\Users\andre\Desktop\REACTIV CEFAS\Tamoxifen\Tamoxifen/20201219_Cefas_Test10_Run2/Plate 1/@16/G12_02.tif "/>
    <s v=" 9625.3031 "/>
    <s v=" 40.4876 "/>
    <x v="0"/>
    <n v="389706"/>
    <m/>
    <m/>
  </r>
  <r>
    <x v="5"/>
    <x v="7"/>
    <s v="C:\Users\andre\Desktop\REACTIV CEFAS\Tamoxifen\Tamoxifen/20201219_Cefas_Test10_Run2/Plate 1/@16/G12_03- exclu.tif"/>
    <m/>
    <m/>
    <x v="1"/>
    <m/>
    <m/>
    <m/>
  </r>
  <r>
    <x v="5"/>
    <x v="7"/>
    <s v="C:\Users\andre\Desktop\REACTIV CEFAS\Tamoxifen\Tamoxifen/20201219_Cefas_Test10_Run2/Plate 1/@16/G12_04.tif "/>
    <s v=" 8824.997 "/>
    <s v=" 39.3284 "/>
    <x v="0"/>
    <n v="347073"/>
    <m/>
    <m/>
  </r>
  <r>
    <x v="5"/>
    <x v="8"/>
    <s v="C:\Users\andre\Desktop\REACTIV CEFAS\Tamoxifen\Tamoxifen/20201219_Cefas_Test10_Run2/Plate 1/@16/H12_01.tif "/>
    <s v=" 43.2598 "/>
    <s v=" 31.5 "/>
    <x v="0"/>
    <n v="1363"/>
    <m/>
    <m/>
  </r>
  <r>
    <x v="5"/>
    <x v="8"/>
    <s v="C:\Users\andre\Desktop\REACTIV CEFAS\Tamoxifen\Tamoxifen/20201219_Cefas_Test10_Run2/Plate 1/@16/H12_02.tif "/>
    <s v=" 5450.7334 "/>
    <s v=" 38.7659 "/>
    <x v="0"/>
    <n v="211302"/>
    <m/>
    <m/>
  </r>
  <r>
    <x v="5"/>
    <x v="8"/>
    <s v="C:\Users\andre\Desktop\REACTIV CEFAS\Tamoxifen\Tamoxifen/20201219_Cefas_Test10_Run2/Plate 1/@16/H12_03.tif "/>
    <s v=" 4499.0181 "/>
    <s v=" 35.0577 "/>
    <x v="0"/>
    <n v="157725"/>
    <m/>
    <m/>
  </r>
  <r>
    <x v="5"/>
    <x v="8"/>
    <s v="C:\Users\andre\Desktop\REACTIV CEFAS\Tamoxifen\Tamoxifen/20201219_Cefas_Test10_Run2/Plate 1/@16/H12_04.tif "/>
    <s v=" 8911.5166 "/>
    <s v=" 39.5995 "/>
    <x v="0"/>
    <n v="352892"/>
    <m/>
    <m/>
  </r>
  <r>
    <x v="0"/>
    <x v="0"/>
    <s v=" "/>
    <m/>
    <m/>
    <x v="1"/>
    <m/>
    <m/>
    <m/>
  </r>
  <r>
    <x v="0"/>
    <x v="0"/>
    <s v="group "/>
    <s v=" "/>
    <s v=" mean of mean fluo "/>
    <x v="2"/>
    <s v=" mean of total fluo "/>
    <s v=" SD total fluo "/>
    <m/>
  </r>
  <r>
    <x v="5"/>
    <x v="9"/>
    <s v="C:\Users\andre\Desktop\REACTIV CEFAS\Tamoxifen\Tamoxifen/20201219_Cefas_Test10_Run2/Plate 1/@16/ "/>
    <s v=" "/>
    <s v=" 38.2927 "/>
    <x v="7"/>
    <s v=" 336240.031 "/>
    <s v=" 246722.619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Tamoxifen\Tamoxifen/20201219_Cefas_Test10_Run2/Plate 1/@2/A2_01.tif "/>
    <s v=" 15292.3355 "/>
    <s v=" 35.884 "/>
    <x v="0"/>
    <n v="548750"/>
    <m/>
    <m/>
  </r>
  <r>
    <x v="6"/>
    <x v="1"/>
    <s v="C:\Users\andre\Desktop\REACTIV CEFAS\Tamoxifen\Tamoxifen/20201219_Cefas_Test10_Run2/Plate 1/@2/A2_02.tif "/>
    <s v=" 10944.7267 "/>
    <s v=" 37.67 "/>
    <x v="0"/>
    <n v="412287"/>
    <m/>
    <m/>
  </r>
  <r>
    <x v="6"/>
    <x v="1"/>
    <s v="C:\Users\andre\Desktop\REACTIV CEFAS\Tamoxifen\Tamoxifen/20201219_Cefas_Test10_Run2/Plate 1/@2/A2_03.tif "/>
    <s v=" 11182.6555 "/>
    <s v=" 37.7176 "/>
    <x v="0"/>
    <n v="421783"/>
    <m/>
    <m/>
  </r>
  <r>
    <x v="6"/>
    <x v="1"/>
    <s v="C:\Users\andre\Desktop\REACTIV CEFAS\Tamoxifen\Tamoxifen/20201219_Cefas_Test10_Run2/Plate 1/@2/A2_04- exclu.tif"/>
    <m/>
    <m/>
    <x v="1"/>
    <m/>
    <m/>
    <m/>
  </r>
  <r>
    <x v="6"/>
    <x v="2"/>
    <s v="C:\Users\andre\Desktop\REACTIV CEFAS\Tamoxifen\Tamoxifen/20201219_Cefas_Test10_Run2/Plate 1/@2/B2_01.tif "/>
    <s v=" 10923.0968 "/>
    <s v=" 45.0851 "/>
    <x v="0"/>
    <n v="492469"/>
    <m/>
    <m/>
  </r>
  <r>
    <x v="6"/>
    <x v="2"/>
    <s v="C:\Users\andre\Desktop\REACTIV CEFAS\Tamoxifen\Tamoxifen/20201219_Cefas_Test10_Run2/Plate 1/@2/B2_02.tif "/>
    <s v=" 9430.6341 "/>
    <s v=" 45.3647 "/>
    <x v="0"/>
    <n v="427818"/>
    <m/>
    <m/>
  </r>
  <r>
    <x v="6"/>
    <x v="2"/>
    <s v="C:\Users\andre\Desktop\REACTIV CEFAS\Tamoxifen\Tamoxifen/20201219_Cefas_Test10_Run2/Plate 1/@2/B2_03.tif "/>
    <s v=" 302.8185 "/>
    <s v=" 31.8571 "/>
    <x v="0"/>
    <n v="9647"/>
    <m/>
    <m/>
  </r>
  <r>
    <x v="6"/>
    <x v="2"/>
    <s v="C:\Users\andre\Desktop\REACTIV CEFAS\Tamoxifen\Tamoxifen/20201219_Cefas_Test10_Run2/Plate 1/@2/B2_04.tif "/>
    <s v=" 13259.1254 "/>
    <s v=" 42.4649 "/>
    <x v="0"/>
    <n v="563048"/>
    <m/>
    <m/>
  </r>
  <r>
    <x v="6"/>
    <x v="3"/>
    <s v="C:\Users\andre\Desktop\REACTIV CEFAS\Tamoxifen\Tamoxifen/20201219_Cefas_Test10_Run2/Plate 1/@2/C2_01.tif "/>
    <s v=" 4931.616 "/>
    <s v=" 37.7939 "/>
    <x v="0"/>
    <n v="186385"/>
    <m/>
    <m/>
  </r>
  <r>
    <x v="6"/>
    <x v="3"/>
    <s v="C:\Users\andre\Desktop\REACTIV CEFAS\Tamoxifen\Tamoxifen/20201219_Cefas_Test10_Run2/Plate 1/@2/C2_02.tif "/>
    <s v=" 3785.2316 "/>
    <s v=" 40.7714 "/>
    <x v="0"/>
    <n v="154329"/>
    <m/>
    <m/>
  </r>
  <r>
    <x v="6"/>
    <x v="3"/>
    <s v="C:\Users\andre\Desktop\REACTIV CEFAS\Tamoxifen\Tamoxifen/20201219_Cefas_Test10_Run2/Plate 1/@2/C2_03.tif "/>
    <s v=" 3222.8543 "/>
    <s v=" 39.5772 "/>
    <x v="0"/>
    <n v="127551"/>
    <m/>
    <m/>
  </r>
  <r>
    <x v="6"/>
    <x v="3"/>
    <s v="C:\Users\andre\Desktop\REACTIV CEFAS\Tamoxifen\Tamoxifen/20201219_Cefas_Test10_Run2/Plate 1/@2/C2_04- exclu.tif"/>
    <m/>
    <m/>
    <x v="1"/>
    <m/>
    <m/>
    <m/>
  </r>
  <r>
    <x v="6"/>
    <x v="4"/>
    <s v="C:\Users\andre\Desktop\REACTIV CEFAS\Tamoxifen\Tamoxifen/20201219_Cefas_Test10_Run2/Plate 1/@2/D2_01.tif "/>
    <s v=" 13259.1254 "/>
    <s v=" 42.5661 "/>
    <x v="0"/>
    <n v="564389"/>
    <m/>
    <m/>
  </r>
  <r>
    <x v="6"/>
    <x v="4"/>
    <s v="C:\Users\andre\Desktop\REACTIV CEFAS\Tamoxifen\Tamoxifen/20201219_Cefas_Test10_Run2/Plate 1/@2/D2_02.tif "/>
    <s v=" 8154.4703 "/>
    <s v=" 33.9072 "/>
    <x v="0"/>
    <n v="276495"/>
    <m/>
    <m/>
  </r>
  <r>
    <x v="6"/>
    <x v="4"/>
    <s v="C:\Users\andre\Desktop\REACTIV CEFAS\Tamoxifen\Tamoxifen/20201219_Cefas_Test10_Run2/Plate 1/@2/D2_03.tif "/>
    <s v=" 6251.0395 "/>
    <s v=" 38.3322 "/>
    <x v="0"/>
    <n v="239616"/>
    <m/>
    <m/>
  </r>
  <r>
    <x v="6"/>
    <x v="4"/>
    <s v="C:\Users\andre\Desktop\REACTIV CEFAS\Tamoxifen\Tamoxifen/20201219_Cefas_Test10_Run2/Plate 1/@2/D2_04.tif "/>
    <s v=" 7678.6126 "/>
    <s v=" 49.7549 "/>
    <x v="0"/>
    <n v="382049"/>
    <m/>
    <m/>
  </r>
  <r>
    <x v="6"/>
    <x v="5"/>
    <s v="C:\Users\andre\Desktop\REACTIV CEFAS\Tamoxifen\Tamoxifen/20201219_Cefas_Test10_Run2/Plate 1/@2/E2_01.tif "/>
    <s v=" 11680.1431 "/>
    <s v=" 36.7444 "/>
    <x v="0"/>
    <n v="429180"/>
    <m/>
    <m/>
  </r>
  <r>
    <x v="6"/>
    <x v="5"/>
    <s v="C:\Users\andre\Desktop\REACTIV CEFAS\Tamoxifen\Tamoxifen/20201219_Cefas_Test10_Run2/Plate 1/@2/E2_02.tif "/>
    <s v=" 3157.9646 "/>
    <s v=" 35.1233 "/>
    <x v="0"/>
    <n v="110918"/>
    <m/>
    <m/>
  </r>
  <r>
    <x v="6"/>
    <x v="5"/>
    <s v="C:\Users\andre\Desktop\REACTIV CEFAS\Tamoxifen\Tamoxifen/20201219_Cefas_Test10_Run2/Plate 1/@2/E2_03.tif "/>
    <s v=" 8284.2496 "/>
    <s v=" 36.3681 "/>
    <x v="0"/>
    <n v="301283"/>
    <m/>
    <m/>
  </r>
  <r>
    <x v="6"/>
    <x v="5"/>
    <s v="C:\Users\andre\Desktop\REACTIV CEFAS\Tamoxifen\Tamoxifen/20201219_Cefas_Test10_Run2/Plate 1/@2/E2_04.tif "/>
    <s v=" 4347.6088 "/>
    <s v=" 35.9751 "/>
    <x v="0"/>
    <n v="156406"/>
    <m/>
    <m/>
  </r>
  <r>
    <x v="6"/>
    <x v="6"/>
    <s v="C:\Users\andre\Desktop\REACTIV CEFAS\Tamoxifen\Tamoxifen/20201219_Cefas_Test10_Run2/Plate 1/@2/F2_01- exclu.tif"/>
    <m/>
    <m/>
    <x v="1"/>
    <m/>
    <m/>
    <m/>
  </r>
  <r>
    <x v="6"/>
    <x v="6"/>
    <s v="C:\Users\andre\Desktop\REACTIV CEFAS\Tamoxifen\Tamoxifen/20201219_Cefas_Test10_Run2/Plate 1/@2/F2_02.tif "/>
    <n v="0"/>
    <n v="0"/>
    <x v="0"/>
    <n v="0"/>
    <m/>
    <m/>
  </r>
  <r>
    <x v="6"/>
    <x v="6"/>
    <s v="C:\Users\andre\Desktop\REACTIV CEFAS\Tamoxifen\Tamoxifen/20201219_Cefas_Test10_Run2/Plate 1/@2/F2_03.tif "/>
    <s v=" 4001.5305 "/>
    <s v=" 33.5946 "/>
    <x v="0"/>
    <n v="134430"/>
    <m/>
    <m/>
  </r>
  <r>
    <x v="6"/>
    <x v="6"/>
    <s v="C:\Users\andre\Desktop\REACTIV CEFAS\Tamoxifen\Tamoxifen/20201219_Cefas_Test10_Run2/Plate 1/@2/F2_04.tif "/>
    <s v=" 5364.2139 "/>
    <s v=" 34.7298 "/>
    <x v="0"/>
    <n v="186298"/>
    <m/>
    <m/>
  </r>
  <r>
    <x v="6"/>
    <x v="7"/>
    <s v="C:\Users\andre\Desktop\REACTIV CEFAS\Tamoxifen\Tamoxifen/20201219_Cefas_Test10_Run2/Plate 1/@2/G2_01.tif "/>
    <s v=" 12047.8513 "/>
    <s v=" 39.0916 "/>
    <x v="0"/>
    <n v="470969"/>
    <m/>
    <m/>
  </r>
  <r>
    <x v="6"/>
    <x v="7"/>
    <s v="C:\Users\andre\Desktop\REACTIV CEFAS\Tamoxifen\Tamoxifen/20201219_Cefas_Test10_Run2/Plate 1/@2/G2_02.tif "/>
    <s v=" 9733.4526 "/>
    <s v=" 41.36 "/>
    <x v="0"/>
    <n v="402576"/>
    <m/>
    <m/>
  </r>
  <r>
    <x v="6"/>
    <x v="7"/>
    <s v="C:\Users\andre\Desktop\REACTIV CEFAS\Tamoxifen\Tamoxifen/20201219_Cefas_Test10_Run2/Plate 1/@2/G2_03.tif "/>
    <s v=" 7700.2425 "/>
    <s v=" 40.9944 "/>
    <x v="0"/>
    <n v="315667"/>
    <m/>
    <m/>
  </r>
  <r>
    <x v="6"/>
    <x v="7"/>
    <s v="C:\Users\andre\Desktop\REACTIV CEFAS\Tamoxifen\Tamoxifen/20201219_Cefas_Test10_Run2/Plate 1/@2/G2_04.tif "/>
    <s v=" 475.8577 "/>
    <s v=" 32.8636 "/>
    <x v="0"/>
    <n v="15638"/>
    <m/>
    <m/>
  </r>
  <r>
    <x v="6"/>
    <x v="8"/>
    <s v="C:\Users\andre\Desktop\REACTIV CEFAS\Tamoxifen\Tamoxifen/20201219_Cefas_Test10_Run2/Plate 1/@2/H2_01.tif "/>
    <s v=" 1341.0535 "/>
    <s v=" 33.4839 "/>
    <x v="0"/>
    <n v="44904"/>
    <m/>
    <m/>
  </r>
  <r>
    <x v="6"/>
    <x v="8"/>
    <s v="C:\Users\andre\Desktop\REACTIV CEFAS\Tamoxifen\Tamoxifen/20201219_Cefas_Test10_Run2/Plate 1/@2/H2_02.tif "/>
    <s v=" 216.2989 "/>
    <s v=" 31.6 "/>
    <x v="0"/>
    <n v="6835"/>
    <m/>
    <m/>
  </r>
  <r>
    <x v="6"/>
    <x v="8"/>
    <s v="C:\Users\andre\Desktop\REACTIV CEFAS\Tamoxifen\Tamoxifen/20201219_Cefas_Test10_Run2/Plate 1/@2/H2_03.tif "/>
    <s v=" 8889.8867 "/>
    <s v=" 41.0122 "/>
    <x v="0"/>
    <n v="364594"/>
    <m/>
    <m/>
  </r>
  <r>
    <x v="6"/>
    <x v="8"/>
    <s v="C:\Users\andre\Desktop\REACTIV CEFAS\Tamoxifen\Tamoxifen/20201219_Cefas_Test10_Run2/Plate 1/@2/H2_04.tif "/>
    <s v=" 5385.8438 "/>
    <s v=" 34.7269 "/>
    <x v="0"/>
    <n v="187034"/>
    <m/>
    <m/>
  </r>
  <r>
    <x v="0"/>
    <x v="0"/>
    <s v=" "/>
    <m/>
    <m/>
    <x v="1"/>
    <m/>
    <m/>
    <m/>
  </r>
  <r>
    <x v="0"/>
    <x v="0"/>
    <s v="group "/>
    <s v=" "/>
    <s v=" mean of mean fluo "/>
    <x v="2"/>
    <s v=" mean of total fluo "/>
    <s v=" SD total fluo "/>
    <m/>
  </r>
  <r>
    <x v="6"/>
    <x v="9"/>
    <s v="C:\Users\andre\Desktop\REACTIV CEFAS\Tamoxifen\Tamoxifen/20201219_Cefas_Test10_Run2/Plate 1/@2/ "/>
    <s v=" "/>
    <s v=" 33.3254 "/>
    <x v="8"/>
    <s v=" 247917.125 "/>
    <s v=" 189762.754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Tamoxifen\Tamoxifen/20201219_Cefas_Test10_Run2/Plate 1/@3/A3_01.tif "/>
    <s v=" 6835.0467 "/>
    <s v=" 33.3228 "/>
    <x v="0"/>
    <n v="227763"/>
    <m/>
    <m/>
  </r>
  <r>
    <x v="7"/>
    <x v="1"/>
    <s v="C:\Users\andre\Desktop\REACTIV CEFAS\Tamoxifen\Tamoxifen/20201219_Cefas_Test10_Run2/Plate 1/@3/A3_02.tif "/>
    <s v=" 8176.1002 "/>
    <s v=" 34.3439 "/>
    <x v="0"/>
    <n v="280799"/>
    <m/>
    <m/>
  </r>
  <r>
    <x v="7"/>
    <x v="1"/>
    <s v="C:\Users\andre\Desktop\REACTIV CEFAS\Tamoxifen\Tamoxifen/20201219_Cefas_Test10_Run2/Plate 1/@3/A3_03.tif "/>
    <s v=" 10750.0576 "/>
    <s v=" 38.4648 "/>
    <x v="0"/>
    <n v="413499"/>
    <m/>
    <m/>
  </r>
  <r>
    <x v="7"/>
    <x v="1"/>
    <s v="C:\Users\andre\Desktop\REACTIV CEFAS\Tamoxifen\Tamoxifen/20201219_Cefas_Test10_Run2/Plate 1/@3/A3_04.tif "/>
    <s v=" 7873.2816 "/>
    <s v=" 35.0357 "/>
    <x v="0"/>
    <n v="275846"/>
    <m/>
    <m/>
  </r>
  <r>
    <x v="7"/>
    <x v="2"/>
    <s v="C:\Users\andre\Desktop\REACTIV CEFAS\Tamoxifen\Tamoxifen/20201219_Cefas_Test10_Run2/Plate 1/@3/B3_01- exclu.tif"/>
    <m/>
    <m/>
    <x v="1"/>
    <m/>
    <m/>
    <m/>
  </r>
  <r>
    <x v="7"/>
    <x v="2"/>
    <s v="C:\Users\andre\Desktop\REACTIV CEFAS\Tamoxifen\Tamoxifen/20201219_Cefas_Test10_Run2/Plate 1/@3/B3_02.tif "/>
    <s v=" 4369.2387 "/>
    <s v=" 40.6634 "/>
    <x v="0"/>
    <n v="177668"/>
    <m/>
    <m/>
  </r>
  <r>
    <x v="7"/>
    <x v="2"/>
    <s v="C:\Users\andre\Desktop\REACTIV CEFAS\Tamoxifen\Tamoxifen/20201219_Cefas_Test10_Run2/Plate 1/@3/B3_03.tif "/>
    <s v=" 5558.8829 "/>
    <s v=" 36.6809 "/>
    <x v="0"/>
    <n v="203905"/>
    <m/>
    <m/>
  </r>
  <r>
    <x v="7"/>
    <x v="2"/>
    <s v="C:\Users\andre\Desktop\REACTIV CEFAS\Tamoxifen\Tamoxifen/20201219_Cefas_Test10_Run2/Plate 1/@3/B3_04.tif "/>
    <s v=" 5645.4025 "/>
    <s v=" 40.5326 "/>
    <x v="0"/>
    <n v="228823"/>
    <m/>
    <m/>
  </r>
  <r>
    <x v="7"/>
    <x v="3"/>
    <s v="C:\Users\andre\Desktop\REACTIV CEFAS\Tamoxifen\Tamoxifen/20201219_Cefas_Test10_Run2/Plate 1/@3/C3_01.tif "/>
    <s v=" 14535.2892 "/>
    <s v=" 36.1518 "/>
    <x v="0"/>
    <n v="525477"/>
    <m/>
    <m/>
  </r>
  <r>
    <x v="7"/>
    <x v="3"/>
    <s v="C:\Users\andre\Desktop\REACTIV CEFAS\Tamoxifen\Tamoxifen/20201219_Cefas_Test10_Run2/Plate 1/@3/C3_02.tif "/>
    <s v=" 13475.4244 "/>
    <s v=" 34.4767 "/>
    <x v="0"/>
    <n v="464589"/>
    <m/>
    <m/>
  </r>
  <r>
    <x v="7"/>
    <x v="3"/>
    <s v="C:\Users\andre\Desktop\REACTIV CEFAS\Tamoxifen\Tamoxifen/20201219_Cefas_Test10_Run2/Plate 1/@3/C3_03.tif "/>
    <s v=" 9127.8155 "/>
    <s v=" 36.981 "/>
    <x v="0"/>
    <n v="337556"/>
    <m/>
    <m/>
  </r>
  <r>
    <x v="7"/>
    <x v="3"/>
    <s v="C:\Users\andre\Desktop\REACTIV CEFAS\Tamoxifen\Tamoxifen/20201219_Cefas_Test10_Run2/Plate 1/@3/C3_04.tif "/>
    <s v=" 23122.3574 "/>
    <s v=" 38.1422 "/>
    <x v="0"/>
    <n v="881937"/>
    <m/>
    <m/>
  </r>
  <r>
    <x v="7"/>
    <x v="4"/>
    <s v="C:\Users\andre\Desktop\REACTIV CEFAS\Tamoxifen\Tamoxifen/20201219_Cefas_Test10_Run2/Plate 1/@3/D3_01.tif "/>
    <s v=" 735.4164 "/>
    <s v=" 32.2353 "/>
    <x v="0"/>
    <n v="23706"/>
    <m/>
    <m/>
  </r>
  <r>
    <x v="7"/>
    <x v="4"/>
    <s v="C:\Users\andre\Desktop\REACTIV CEFAS\Tamoxifen\Tamoxifen/20201219_Cefas_Test10_Run2/Plate 1/@3/D3_02- exclu.tif"/>
    <m/>
    <m/>
    <x v="1"/>
    <m/>
    <m/>
    <m/>
  </r>
  <r>
    <x v="7"/>
    <x v="4"/>
    <s v="C:\Users\andre\Desktop\REACTIV CEFAS\Tamoxifen\Tamoxifen/20201219_Cefas_Test10_Run2/Plate 1/@3/D3_03- exclu.tif"/>
    <m/>
    <m/>
    <x v="1"/>
    <m/>
    <m/>
    <m/>
  </r>
  <r>
    <x v="7"/>
    <x v="4"/>
    <s v="C:\Users\andre\Desktop\REACTIV CEFAS\Tamoxifen\Tamoxifen/20201219_Cefas_Test10_Run2/Plate 1/@3/D3_04.tif "/>
    <s v=" 4001.5305 "/>
    <s v=" 37.5892 "/>
    <x v="0"/>
    <n v="150414"/>
    <m/>
    <m/>
  </r>
  <r>
    <x v="7"/>
    <x v="5"/>
    <s v="C:\Users\andre\Desktop\REACTIV CEFAS\Tamoxifen\Tamoxifen/20201219_Cefas_Test10_Run2/Plate 1/@3/E3_01.tif "/>
    <s v=" 10425.6092 "/>
    <s v=" 38.8299 "/>
    <x v="0"/>
    <n v="404825"/>
    <m/>
    <m/>
  </r>
  <r>
    <x v="7"/>
    <x v="5"/>
    <s v="C:\Users\andre\Desktop\REACTIV CEFAS\Tamoxifen\Tamoxifen/20201219_Cefas_Test10_Run2/Plate 1/@3/E3_02.tif "/>
    <s v=" 9235.965 "/>
    <s v=" 40.9578 "/>
    <x v="0"/>
    <n v="378285"/>
    <m/>
    <m/>
  </r>
  <r>
    <x v="7"/>
    <x v="5"/>
    <s v="C:\Users\andre\Desktop\REACTIV CEFAS\Tamoxifen\Tamoxifen/20201219_Cefas_Test10_Run2/Plate 1/@3/E3_03.tif "/>
    <s v=" 9235.965 "/>
    <s v=" 41.548 "/>
    <x v="0"/>
    <n v="383736"/>
    <m/>
    <m/>
  </r>
  <r>
    <x v="7"/>
    <x v="5"/>
    <s v="C:\Users\andre\Desktop\REACTIV CEFAS\Tamoxifen\Tamoxifen/20201219_Cefas_Test10_Run2/Plate 1/@3/E3_04.tif "/>
    <s v=" 13756.613 "/>
    <s v=" 43.6572 "/>
    <x v="0"/>
    <n v="600576"/>
    <m/>
    <m/>
  </r>
  <r>
    <x v="7"/>
    <x v="6"/>
    <s v="C:\Users\andre\Desktop\REACTIV CEFAS\Tamoxifen\Tamoxifen/20201219_Cefas_Test10_Run2/Plate 1/@3/F3_01.tif "/>
    <s v=" 410.968 "/>
    <s v=" 31.7895 "/>
    <x v="0"/>
    <n v="13064"/>
    <m/>
    <m/>
  </r>
  <r>
    <x v="7"/>
    <x v="6"/>
    <s v="C:\Users\andre\Desktop\REACTIV CEFAS\Tamoxifen\Tamoxifen/20201219_Cefas_Test10_Run2/Plate 1/@3/F3_02.tif "/>
    <s v=" 11442.2143 "/>
    <s v=" 46.6371 "/>
    <x v="0"/>
    <n v="533631"/>
    <m/>
    <m/>
  </r>
  <r>
    <x v="7"/>
    <x v="6"/>
    <s v="C:\Users\andre\Desktop\REACTIV CEFAS\Tamoxifen\Tamoxifen/20201219_Cefas_Test10_Run2/Plate 1/@3/F3_03.tif "/>
    <s v=" 9538.7835 "/>
    <s v=" 44.0884 "/>
    <x v="0"/>
    <n v="420550"/>
    <m/>
    <m/>
  </r>
  <r>
    <x v="7"/>
    <x v="6"/>
    <s v="C:\Users\andre\Desktop\REACTIV CEFAS\Tamoxifen\Tamoxifen/20201219_Cefas_Test10_Run2/Plate 1/@3/F3_04.tif "/>
    <s v=" 11161.0256 "/>
    <s v=" 47.5368 "/>
    <x v="0"/>
    <n v="530560"/>
    <m/>
    <m/>
  </r>
  <r>
    <x v="7"/>
    <x v="7"/>
    <s v="C:\Users\andre\Desktop\REACTIV CEFAS\Tamoxifen\Tamoxifen/20201219_Cefas_Test10_Run2/Plate 1/@3/G3_01.tif "/>
    <s v=" 8587.0682 "/>
    <s v=" 36.7103 "/>
    <x v="0"/>
    <n v="315234"/>
    <m/>
    <m/>
  </r>
  <r>
    <x v="7"/>
    <x v="7"/>
    <s v="C:\Users\andre\Desktop\REACTIV CEFAS\Tamoxifen\Tamoxifen/20201219_Cefas_Test10_Run2/Plate 1/@3/G3_02.tif "/>
    <s v=" 8651.9579 "/>
    <s v=" 38.8725 "/>
    <x v="0"/>
    <n v="336323"/>
    <m/>
    <m/>
  </r>
  <r>
    <x v="7"/>
    <x v="7"/>
    <s v="C:\Users\andre\Desktop\REACTIV CEFAS\Tamoxifen\Tamoxifen/20201219_Cefas_Test10_Run2/Plate 1/@3/G3_03.tif "/>
    <s v=" 6207.7798 "/>
    <s v=" 36.9721 "/>
    <x v="0"/>
    <n v="229515"/>
    <m/>
    <m/>
  </r>
  <r>
    <x v="7"/>
    <x v="7"/>
    <s v="C:\Users\andre\Desktop\REACTIV CEFAS\Tamoxifen\Tamoxifen/20201219_Cefas_Test10_Run2/Plate 1/@3/G3_04.tif "/>
    <s v=" 10014.6412 "/>
    <s v=" 38.2376 "/>
    <x v="0"/>
    <n v="382936"/>
    <m/>
    <m/>
  </r>
  <r>
    <x v="7"/>
    <x v="8"/>
    <s v="C:\Users\andre\Desktop\REACTIV CEFAS\Tamoxifen\Tamoxifen/20201219_Cefas_Test10_Run2/Plate 1/@3/H3_01.tif "/>
    <s v=" 5083.0252 "/>
    <s v=" 37.766 "/>
    <x v="0"/>
    <n v="191965"/>
    <m/>
    <m/>
  </r>
  <r>
    <x v="7"/>
    <x v="8"/>
    <s v="C:\Users\andre\Desktop\REACTIV CEFAS\Tamoxifen\Tamoxifen/20201219_Cefas_Test10_Run2/Plate 1/@3/H3_02- exclu.tif"/>
    <m/>
    <m/>
    <x v="1"/>
    <m/>
    <m/>
    <m/>
  </r>
  <r>
    <x v="7"/>
    <x v="8"/>
    <s v="C:\Users\andre\Desktop\REACTIV CEFAS\Tamoxifen\Tamoxifen/20201219_Cefas_Test10_Run2/Plate 1/@3/H3_03.tif "/>
    <s v=" 5212.8046 "/>
    <s v=" 40.2365 "/>
    <x v="0"/>
    <n v="209745"/>
    <m/>
    <m/>
  </r>
  <r>
    <x v="7"/>
    <x v="8"/>
    <s v="C:\Users\andre\Desktop\REACTIV CEFAS\Tamoxifen\Tamoxifen/20201219_Cefas_Test10_Run2/Plate 1/@3/H3_04.tif "/>
    <s v=" 6510.5983 "/>
    <s v=" 43.7209 "/>
    <x v="0"/>
    <n v="284649"/>
    <m/>
    <m/>
  </r>
  <r>
    <x v="0"/>
    <x v="0"/>
    <s v=" "/>
    <m/>
    <m/>
    <x v="1"/>
    <m/>
    <m/>
    <m/>
  </r>
  <r>
    <x v="0"/>
    <x v="0"/>
    <s v="group "/>
    <s v=" "/>
    <s v=" mean of mean fluo "/>
    <x v="2"/>
    <s v=" mean of total fluo "/>
    <s v=" SD total fluo "/>
    <m/>
  </r>
  <r>
    <x v="7"/>
    <x v="9"/>
    <s v="C:\Users\andre\Desktop\REACTIV CEFAS\Tamoxifen\Tamoxifen/20201219_Cefas_Test10_Run2/Plate 1/@3/ "/>
    <s v=" "/>
    <s v=" 35.3037 "/>
    <x v="9"/>
    <s v=" 310727.625 "/>
    <s v=" 199954.018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Tamoxifen\Tamoxifen/20201219_Cefas_Test10_Run2/Plate 1/@4/A4_01.tif "/>
    <s v=" 9841.6021 "/>
    <s v=" 36.4374 "/>
    <x v="0"/>
    <n v="358602"/>
    <m/>
    <m/>
  </r>
  <r>
    <x v="8"/>
    <x v="1"/>
    <s v="C:\Users\andre\Desktop\REACTIV CEFAS\Tamoxifen\Tamoxifen/20201219_Cefas_Test10_Run2/Plate 1/@4/A4_02.tif "/>
    <s v=" 8824.997 "/>
    <s v=" 38.1005 "/>
    <x v="0"/>
    <n v="336237"/>
    <m/>
    <m/>
  </r>
  <r>
    <x v="8"/>
    <x v="1"/>
    <s v="C:\Users\andre\Desktop\REACTIV CEFAS\Tamoxifen\Tamoxifen/20201219_Cefas_Test10_Run2/Plate 1/@4/A4_03.tif "/>
    <s v=" 4953.2459 "/>
    <s v=" 37.7336 "/>
    <x v="0"/>
    <n v="186904"/>
    <m/>
    <m/>
  </r>
  <r>
    <x v="8"/>
    <x v="1"/>
    <s v="C:\Users\andre\Desktop\REACTIV CEFAS\Tamoxifen\Tamoxifen/20201219_Cefas_Test10_Run2/Plate 1/@4/A4_04.tif "/>
    <s v=" 8933.1465 "/>
    <s v=" 35.1768 "/>
    <x v="0"/>
    <n v="314239"/>
    <m/>
    <m/>
  </r>
  <r>
    <x v="8"/>
    <x v="2"/>
    <s v="C:\Users\andre\Desktop\REACTIV CEFAS\Tamoxifen\Tamoxifen/20201219_Cefas_Test10_Run2/Plate 1/@4/B4_01.tif "/>
    <s v=" 8630.328 "/>
    <s v=" 37.8496 "/>
    <x v="0"/>
    <n v="326655"/>
    <m/>
    <m/>
  </r>
  <r>
    <x v="8"/>
    <x v="2"/>
    <s v="C:\Users\andre\Desktop\REACTIV CEFAS\Tamoxifen\Tamoxifen/20201219_Cefas_Test10_Run2/Plate 1/@4/B4_02.tif "/>
    <s v=" 5667.0324 "/>
    <s v=" 36.7901 "/>
    <x v="0"/>
    <n v="208491"/>
    <m/>
    <m/>
  </r>
  <r>
    <x v="8"/>
    <x v="2"/>
    <s v="C:\Users\andre\Desktop\REACTIV CEFAS\Tamoxifen\Tamoxifen/20201219_Cefas_Test10_Run2/Plate 1/@4/B4_03.tif "/>
    <s v=" 8846.6269 "/>
    <s v=" 36.0098 "/>
    <x v="0"/>
    <n v="318565"/>
    <m/>
    <m/>
  </r>
  <r>
    <x v="8"/>
    <x v="2"/>
    <s v="C:\Users\andre\Desktop\REACTIV CEFAS\Tamoxifen\Tamoxifen/20201219_Cefas_Test10_Run2/Plate 1/@4/B4_04.tif "/>
    <s v=" 8176.1002 "/>
    <s v=" 35.4894 "/>
    <x v="0"/>
    <n v="290165"/>
    <m/>
    <m/>
  </r>
  <r>
    <x v="8"/>
    <x v="3"/>
    <s v="C:\Users\andre\Desktop\REACTIV CEFAS\Tamoxifen\Tamoxifen/20201219_Cefas_Test10_Run2/Plate 1/@4/C4_01.tif "/>
    <s v=" 26756.1797 "/>
    <s v=" 35.2288 "/>
    <x v="0"/>
    <n v="942588"/>
    <m/>
    <m/>
  </r>
  <r>
    <x v="8"/>
    <x v="3"/>
    <s v="C:\Users\andre\Desktop\REACTIV CEFAS\Tamoxifen\Tamoxifen/20201219_Cefas_Test10_Run2/Plate 1/@4/C4_02.tif "/>
    <s v=" 14145.9511 "/>
    <s v=" 33.7768 "/>
    <x v="0"/>
    <n v="477804"/>
    <m/>
    <m/>
  </r>
  <r>
    <x v="8"/>
    <x v="3"/>
    <s v="C:\Users\andre\Desktop\REACTIV CEFAS\Tamoxifen\Tamoxifen/20201219_Cefas_Test10_Run2/Plate 1/@4/C4_03.tif "/>
    <s v=" 18320.5208 "/>
    <s v=" 32.7119 "/>
    <x v="0"/>
    <n v="599299"/>
    <m/>
    <m/>
  </r>
  <r>
    <x v="8"/>
    <x v="3"/>
    <s v="C:\Users\andre\Desktop\REACTIV CEFAS\Tamoxifen\Tamoxifen/20201219_Cefas_Test10_Run2/Plate 1/@4/C4_04.tif "/>
    <s v=" 28183.7527 "/>
    <s v=" 34.1251 "/>
    <x v="0"/>
    <n v="961773"/>
    <m/>
    <m/>
  </r>
  <r>
    <x v="8"/>
    <x v="4"/>
    <s v="C:\Users\andre\Desktop\REACTIV CEFAS\Tamoxifen\Tamoxifen/20201219_Cefas_Test10_Run2/Plate 1/@4/D4_01.tif "/>
    <s v=" 5948.221 "/>
    <s v=" 37.3964 "/>
    <x v="0"/>
    <n v="222442"/>
    <m/>
    <m/>
  </r>
  <r>
    <x v="8"/>
    <x v="4"/>
    <s v="C:\Users\andre\Desktop\REACTIV CEFAS\Tamoxifen\Tamoxifen/20201219_Cefas_Test10_Run2/Plate 1/@4/D4_02.tif "/>
    <s v=" 4196.1996 "/>
    <s v=" 37.2835 "/>
    <x v="0"/>
    <n v="156449"/>
    <m/>
    <m/>
  </r>
  <r>
    <x v="8"/>
    <x v="4"/>
    <s v="C:\Users\andre\Desktop\REACTIV CEFAS\Tamoxifen\Tamoxifen/20201219_Cefas_Test10_Run2/Plate 1/@4/D4_03.tif "/>
    <s v=" 3936.6408 "/>
    <s v=" 36.1264 "/>
    <x v="0"/>
    <n v="142217"/>
    <m/>
    <m/>
  </r>
  <r>
    <x v="8"/>
    <x v="4"/>
    <s v="C:\Users\andre\Desktop\REACTIV CEFAS\Tamoxifen\Tamoxifen/20201219_Cefas_Test10_Run2/Plate 1/@4/D4_04.tif "/>
    <s v=" 4001.5305 "/>
    <s v=" 35.9405 "/>
    <x v="0"/>
    <n v="143817"/>
    <m/>
    <m/>
  </r>
  <r>
    <x v="8"/>
    <x v="5"/>
    <s v="C:\Users\andre\Desktop\REACTIV CEFAS\Tamoxifen\Tamoxifen/20201219_Cefas_Test10_Run2/Plate 1/@4/E4_01.tif "/>
    <s v=" 1297.7937 "/>
    <s v=" 31.6833 "/>
    <x v="0"/>
    <n v="41118"/>
    <m/>
    <m/>
  </r>
  <r>
    <x v="8"/>
    <x v="5"/>
    <s v="C:\Users\andre\Desktop\REACTIV CEFAS\Tamoxifen\Tamoxifen/20201219_Cefas_Test10_Run2/Plate 1/@4/E4_02.tif "/>
    <n v="0"/>
    <n v="0"/>
    <x v="0"/>
    <n v="0"/>
    <m/>
    <m/>
  </r>
  <r>
    <x v="8"/>
    <x v="5"/>
    <s v="C:\Users\andre\Desktop\REACTIV CEFAS\Tamoxifen\Tamoxifen/20201219_Cefas_Test10_Run2/Plate 1/@4/E4_03.tif "/>
    <s v=" 3612.1924 "/>
    <s v=" 34.3952 "/>
    <x v="0"/>
    <n v="124242"/>
    <m/>
    <m/>
  </r>
  <r>
    <x v="8"/>
    <x v="5"/>
    <s v="C:\Users\andre\Desktop\REACTIV CEFAS\Tamoxifen\Tamoxifen/20201219_Cefas_Test10_Run2/Plate 1/@4/E4_04.tif "/>
    <s v=" 1795.2813 "/>
    <s v=" 33.012 "/>
    <x v="0"/>
    <n v="59266"/>
    <m/>
    <m/>
  </r>
  <r>
    <x v="8"/>
    <x v="6"/>
    <s v="C:\Users\andre\Desktop\REACTIV CEFAS\Tamoxifen\Tamoxifen/20201219_Cefas_Test10_Run2/Plate 1/@4/F4_01.tif "/>
    <s v=" 20288.8412 "/>
    <s v=" 34.5426 "/>
    <x v="0"/>
    <n v="700830"/>
    <m/>
    <m/>
  </r>
  <r>
    <x v="8"/>
    <x v="6"/>
    <s v="C:\Users\andre\Desktop\REACTIV CEFAS\Tamoxifen\Tamoxifen/20201219_Cefas_Test10_Run2/Plate 1/@4/F4_02.tif "/>
    <s v=" 32985.5893 "/>
    <s v=" 35.6026 "/>
    <x v="0"/>
    <n v="1174373"/>
    <m/>
    <m/>
  </r>
  <r>
    <x v="8"/>
    <x v="6"/>
    <s v="C:\Users\andre\Desktop\REACTIV CEFAS\Tamoxifen\Tamoxifen/20201219_Cefas_Test10_Run2/Plate 1/@4/F4_03.tif "/>
    <s v=" 29935.7742 "/>
    <s v=" 35.2623 "/>
    <x v="0"/>
    <n v="1055604"/>
    <m/>
    <m/>
  </r>
  <r>
    <x v="8"/>
    <x v="6"/>
    <s v="C:\Users\andre\Desktop\REACTIV CEFAS\Tamoxifen\Tamoxifen/20201219_Cefas_Test10_Run2/Plate 1/@4/F4_04.tif "/>
    <s v=" 41961.9956 "/>
    <s v=" 36.1753 "/>
    <x v="0"/>
    <n v="1517986"/>
    <m/>
    <m/>
  </r>
  <r>
    <x v="8"/>
    <x v="7"/>
    <s v="C:\Users\andre\Desktop\REACTIV CEFAS\Tamoxifen\Tamoxifen/20201219_Cefas_Test10_Run2/Plate 1/@4/G4_01.tif "/>
    <s v=" 6402.4488 "/>
    <s v=" 37.098 "/>
    <x v="0"/>
    <n v="237518"/>
    <m/>
    <m/>
  </r>
  <r>
    <x v="8"/>
    <x v="7"/>
    <s v="C:\Users\andre\Desktop\REACTIV CEFAS\Tamoxifen\Tamoxifen/20201219_Cefas_Test10_Run2/Plate 1/@4/G4_02- exclu.tif"/>
    <m/>
    <m/>
    <x v="1"/>
    <m/>
    <m/>
    <m/>
  </r>
  <r>
    <x v="8"/>
    <x v="7"/>
    <s v="C:\Users\andre\Desktop\REACTIV CEFAS\Tamoxifen\Tamoxifen/20201219_Cefas_Test10_Run2/Plate 1/@4/G4_03- exclu.tif"/>
    <m/>
    <m/>
    <x v="1"/>
    <m/>
    <m/>
    <m/>
  </r>
  <r>
    <x v="8"/>
    <x v="7"/>
    <s v="C:\Users\andre\Desktop\REACTIV CEFAS\Tamoxifen\Tamoxifen/20201219_Cefas_Test10_Run2/Plate 1/@4/G4_04.tif "/>
    <s v=" 21.6299 "/>
    <n v="30"/>
    <x v="0"/>
    <n v="649"/>
    <m/>
    <m/>
  </r>
  <r>
    <x v="8"/>
    <x v="8"/>
    <s v="C:\Users\andre\Desktop\REACTIV CEFAS\Tamoxifen\Tamoxifen/20201219_Cefas_Test10_Run2/Plate 1/@4/H4_01.tif "/>
    <s v=" 11074.506 "/>
    <s v=" 46.2188 "/>
    <x v="0"/>
    <n v="511850"/>
    <m/>
    <m/>
  </r>
  <r>
    <x v="8"/>
    <x v="8"/>
    <s v="C:\Users\andre\Desktop\REACTIV CEFAS\Tamoxifen\Tamoxifen/20201219_Cefas_Test10_Run2/Plate 1/@4/H4_02.tif "/>
    <s v=" 11658.5132 "/>
    <s v=" 48.9091 "/>
    <x v="0"/>
    <n v="570207"/>
    <m/>
    <m/>
  </r>
  <r>
    <x v="8"/>
    <x v="8"/>
    <s v="C:\Users\andre\Desktop\REACTIV CEFAS\Tamoxifen\Tamoxifen/20201219_Cefas_Test10_Run2/Plate 1/@4/H4_03.tif "/>
    <s v=" 9928.1216 "/>
    <s v=" 44.7974 "/>
    <x v="0"/>
    <n v="444754"/>
    <m/>
    <m/>
  </r>
  <r>
    <x v="8"/>
    <x v="8"/>
    <s v="C:\Users\andre\Desktop\REACTIV CEFAS\Tamoxifen\Tamoxifen/20201219_Cefas_Test10_Run2/Plate 1/@4/H4_04- exclu.tif"/>
    <m/>
    <m/>
    <x v="1"/>
    <m/>
    <m/>
    <m/>
  </r>
  <r>
    <x v="0"/>
    <x v="0"/>
    <s v=" "/>
    <m/>
    <m/>
    <x v="1"/>
    <m/>
    <m/>
    <m/>
  </r>
  <r>
    <x v="0"/>
    <x v="0"/>
    <s v="group "/>
    <s v=" "/>
    <s v=" mean of mean fluo "/>
    <x v="2"/>
    <s v=" mean of total fluo "/>
    <s v=" SD total fluo "/>
    <m/>
  </r>
  <r>
    <x v="8"/>
    <x v="9"/>
    <s v="C:\Users\andre\Desktop\REACTIV CEFAS\Tamoxifen\Tamoxifen/20201219_Cefas_Test10_Run2/Plate 1/@4/ "/>
    <s v=" "/>
    <s v=" 34.0627 "/>
    <x v="10"/>
    <s v=" 388645.938 "/>
    <s v=" 382879.396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Tamoxifen\Tamoxifen/20201219_Cefas_Test10_Run2/Plate 1/@5/A5_01.tif "/>
    <s v=" 66836.3744 "/>
    <s v=" 39.6194 "/>
    <x v="0"/>
    <n v="2648018"/>
    <m/>
    <m/>
  </r>
  <r>
    <x v="9"/>
    <x v="1"/>
    <s v="C:\Users\andre\Desktop\REACTIV CEFAS\Tamoxifen\Tamoxifen/20201219_Cefas_Test10_Run2/Plate 1/@5/A5_02.tif "/>
    <s v=" 61169.342 "/>
    <s v=" 39.3716 "/>
    <x v="0"/>
    <n v="2408337"/>
    <m/>
    <m/>
  </r>
  <r>
    <x v="9"/>
    <x v="1"/>
    <s v="C:\Users\andre\Desktop\REACTIV CEFAS\Tamoxifen\Tamoxifen/20201219_Cefas_Test10_Run2/Plate 1/@5/A5_03- exclu.tif"/>
    <m/>
    <m/>
    <x v="1"/>
    <m/>
    <m/>
    <m/>
  </r>
  <r>
    <x v="9"/>
    <x v="1"/>
    <s v="C:\Users\andre\Desktop\REACTIV CEFAS\Tamoxifen\Tamoxifen/20201219_Cefas_Test10_Run2/Plate 1/@5/A5_04.tif "/>
    <s v=" 47737.1774 "/>
    <s v=" 35.8305 "/>
    <x v="0"/>
    <n v="1710449"/>
    <m/>
    <m/>
  </r>
  <r>
    <x v="9"/>
    <x v="2"/>
    <s v="C:\Users\andre\Desktop\REACTIV CEFAS\Tamoxifen\Tamoxifen/20201219_Cefas_Test10_Run2/Plate 1/@5/B5_01.tif "/>
    <s v=" 40404.6432 "/>
    <s v=" 36.6552 "/>
    <x v="0"/>
    <n v="1481042"/>
    <m/>
    <m/>
  </r>
  <r>
    <x v="9"/>
    <x v="2"/>
    <s v="C:\Users\andre\Desktop\REACTIV CEFAS\Tamoxifen\Tamoxifen/20201219_Cefas_Test10_Run2/Plate 1/@5/B5_02.tif "/>
    <s v=" 33158.6285 "/>
    <s v=" 34.2511 "/>
    <x v="0"/>
    <n v="1135721"/>
    <m/>
    <m/>
  </r>
  <r>
    <x v="9"/>
    <x v="2"/>
    <s v="C:\Users\andre\Desktop\REACTIV CEFAS\Tamoxifen\Tamoxifen/20201219_Cefas_Test10_Run2/Plate 1/@5/B5_03.tif "/>
    <s v=" 35581.1767 "/>
    <s v=" 34.3538 "/>
    <x v="0"/>
    <n v="1222349"/>
    <m/>
    <m/>
  </r>
  <r>
    <x v="9"/>
    <x v="2"/>
    <s v="C:\Users\andre\Desktop\REACTIV CEFAS\Tamoxifen\Tamoxifen/20201219_Cefas_Test10_Run2/Plate 1/@5/B5_04.tif "/>
    <s v=" 47780.4372 "/>
    <s v=" 35.9434 "/>
    <x v="0"/>
    <n v="1717392"/>
    <m/>
    <m/>
  </r>
  <r>
    <x v="9"/>
    <x v="3"/>
    <s v="C:\Users\andre\Desktop\REACTIV CEFAS\Tamoxifen\Tamoxifen/20201219_Cefas_Test10_Run2/Plate 1/@5/C5_01.tif "/>
    <s v=" 25458.386 "/>
    <s v=" 37.017 "/>
    <x v="0"/>
    <n v="942393"/>
    <m/>
    <m/>
  </r>
  <r>
    <x v="9"/>
    <x v="3"/>
    <s v="C:\Users\andre\Desktop\REACTIV CEFAS\Tamoxifen\Tamoxifen/20201219_Cefas_Test10_Run2/Plate 1/@5/C5_02.tif "/>
    <s v=" 23165.6171 "/>
    <s v=" 37.4407 "/>
    <x v="0"/>
    <n v="867337"/>
    <m/>
    <m/>
  </r>
  <r>
    <x v="9"/>
    <x v="3"/>
    <s v="C:\Users\andre\Desktop\REACTIV CEFAS\Tamoxifen\Tamoxifen/20201219_Cefas_Test10_Run2/Plate 1/@5/C5_03.tif "/>
    <s v=" 28486.5712 "/>
    <s v=" 38.5695 "/>
    <x v="0"/>
    <n v="1098712"/>
    <m/>
    <m/>
  </r>
  <r>
    <x v="9"/>
    <x v="3"/>
    <s v="C:\Users\andre\Desktop\REACTIV CEFAS\Tamoxifen\Tamoxifen/20201219_Cefas_Test10_Run2/Plate 1/@5/C5_04.tif "/>
    <s v=" 31449.8668 "/>
    <s v=" 36.1891 "/>
    <x v="0"/>
    <n v="1138143"/>
    <m/>
    <m/>
  </r>
  <r>
    <x v="9"/>
    <x v="4"/>
    <s v="C:\Users\andre\Desktop\REACTIV CEFAS\Tamoxifen\Tamoxifen/20201219_Cefas_Test10_Run2/Plate 1/@5/D5_01.tif "/>
    <s v=" 48061.6259 "/>
    <s v=" 36.4046 "/>
    <x v="0"/>
    <n v="1749664"/>
    <m/>
    <m/>
  </r>
  <r>
    <x v="9"/>
    <x v="4"/>
    <s v="C:\Users\andre\Desktop\REACTIV CEFAS\Tamoxifen\Tamoxifen/20201219_Cefas_Test10_Run2/Plate 1/@5/D5_02- exclu.tif"/>
    <m/>
    <m/>
    <x v="1"/>
    <m/>
    <m/>
    <m/>
  </r>
  <r>
    <x v="9"/>
    <x v="4"/>
    <s v="C:\Users\andre\Desktop\REACTIV CEFAS\Tamoxifen\Tamoxifen/20201219_Cefas_Test10_Run2/Plate 1/@5/D5_03.tif "/>
    <s v=" 54572.2241 "/>
    <s v=" 37.2434 "/>
    <x v="0"/>
    <n v="2032453"/>
    <m/>
    <m/>
  </r>
  <r>
    <x v="9"/>
    <x v="4"/>
    <s v="C:\Users\andre\Desktop\REACTIV CEFAS\Tamoxifen\Tamoxifen/20201219_Cefas_Test10_Run2/Plate 1/@5/D5_04.tif "/>
    <s v=" 56670.3239 "/>
    <s v=" 38.5042 "/>
    <x v="0"/>
    <n v="2182045"/>
    <m/>
    <m/>
  </r>
  <r>
    <x v="9"/>
    <x v="5"/>
    <s v="C:\Users\andre\Desktop\REACTIV CEFAS\Tamoxifen\Tamoxifen/20201219_Cefas_Test10_Run2/Plate 1/@5/E5_01.tif "/>
    <s v=" 67679.9403 "/>
    <s v=" 41.1163 "/>
    <x v="0"/>
    <n v="2782751"/>
    <m/>
    <m/>
  </r>
  <r>
    <x v="9"/>
    <x v="5"/>
    <s v="C:\Users\andre\Desktop\REACTIV CEFAS\Tamoxifen\Tamoxifen/20201219_Cefas_Test10_Run2/Plate 1/@5/E5_02.tif "/>
    <s v=" 68436.9866 "/>
    <s v=" 44.9011 "/>
    <x v="0"/>
    <n v="3072894"/>
    <m/>
    <m/>
  </r>
  <r>
    <x v="9"/>
    <x v="5"/>
    <s v="C:\Users\andre\Desktop\REACTIV CEFAS\Tamoxifen\Tamoxifen/20201219_Cefas_Test10_Run2/Plate 1/@5/E5_03.tif "/>
    <s v=" 69431.9618 "/>
    <s v=" 42.2685 "/>
    <x v="0"/>
    <n v="2934787"/>
    <m/>
    <m/>
  </r>
  <r>
    <x v="9"/>
    <x v="5"/>
    <s v="C:\Users\andre\Desktop\REACTIV CEFAS\Tamoxifen\Tamoxifen/20201219_Cefas_Test10_Run2/Plate 1/@5/E5_04.tif "/>
    <s v=" 61104.4523 "/>
    <s v=" 42.2241 "/>
    <x v="0"/>
    <n v="2580079"/>
    <m/>
    <m/>
  </r>
  <r>
    <x v="9"/>
    <x v="6"/>
    <s v="C:\Users\andre\Desktop\REACTIV CEFAS\Tamoxifen\Tamoxifen/20201219_Cefas_Test10_Run2/Plate 1/@5/F5_01.tif "/>
    <s v=" 64781.5344 "/>
    <s v=" 47.0137 "/>
    <x v="0"/>
    <n v="3045619"/>
    <m/>
    <m/>
  </r>
  <r>
    <x v="9"/>
    <x v="6"/>
    <s v="C:\Users\andre\Desktop\REACTIV CEFAS\Tamoxifen\Tamoxifen/20201219_Cefas_Test10_Run2/Plate 1/@5/F5_02- exclu.tif"/>
    <m/>
    <m/>
    <x v="1"/>
    <m/>
    <m/>
    <m/>
  </r>
  <r>
    <x v="9"/>
    <x v="6"/>
    <s v="C:\Users\andre\Desktop\REACTIV CEFAS\Tamoxifen\Tamoxifen/20201219_Cefas_Test10_Run2/Plate 1/@5/F5_03.tif "/>
    <s v=" 66295.627 "/>
    <s v=" 49.9808 "/>
    <x v="0"/>
    <n v="3313505"/>
    <m/>
    <m/>
  </r>
  <r>
    <x v="9"/>
    <x v="6"/>
    <s v="C:\Users\andre\Desktop\REACTIV CEFAS\Tamoxifen\Tamoxifen/20201219_Cefas_Test10_Run2/Plate 1/@5/F5_04.tif "/>
    <s v=" 66425.4064 "/>
    <s v=" 48.2081 "/>
    <x v="0"/>
    <n v="3202241"/>
    <m/>
    <m/>
  </r>
  <r>
    <x v="9"/>
    <x v="7"/>
    <s v="C:\Users\andre\Desktop\REACTIV CEFAS\Tamoxifen\Tamoxifen/20201219_Cefas_Test10_Run2/Plate 1/@5/G5_01.tif "/>
    <s v=" 34326.6428 "/>
    <s v=" 32.7713 "/>
    <x v="0"/>
    <n v="1124928"/>
    <m/>
    <m/>
  </r>
  <r>
    <x v="9"/>
    <x v="7"/>
    <s v="C:\Users\andre\Desktop\REACTIV CEFAS\Tamoxifen\Tamoxifen/20201219_Cefas_Test10_Run2/Plate 1/@5/G5_02.tif "/>
    <s v=" 51457.5193 "/>
    <s v=" 35.0383 "/>
    <x v="0"/>
    <n v="1802981"/>
    <m/>
    <m/>
  </r>
  <r>
    <x v="9"/>
    <x v="7"/>
    <s v="C:\Users\andre\Desktop\REACTIV CEFAS\Tamoxifen\Tamoxifen/20201219_Cefas_Test10_Run2/Plate 1/@5/G5_03.tif "/>
    <s v=" 31990.6142 "/>
    <s v=" 32.4888 "/>
    <x v="0"/>
    <n v="1039338"/>
    <m/>
    <m/>
  </r>
  <r>
    <x v="9"/>
    <x v="7"/>
    <s v="C:\Users\andre\Desktop\REACTIV CEFAS\Tamoxifen\Tamoxifen/20201219_Cefas_Test10_Run2/Plate 1/@5/G5_04.tif "/>
    <s v=" 29892.5144 "/>
    <s v=" 32.1773 "/>
    <x v="0"/>
    <n v="961860"/>
    <m/>
    <m/>
  </r>
  <r>
    <x v="9"/>
    <x v="8"/>
    <s v="C:\Users\andre\Desktop\REACTIV CEFAS\Tamoxifen\Tamoxifen/20201219_Cefas_Test10_Run2/Plate 1/@5/H5_01.tif "/>
    <s v=" 33958.9346 "/>
    <s v=" 34.1325 "/>
    <x v="0"/>
    <n v="1159103"/>
    <m/>
    <m/>
  </r>
  <r>
    <x v="9"/>
    <x v="8"/>
    <s v="C:\Users\andre\Desktop\REACTIV CEFAS\Tamoxifen\Tamoxifen/20201219_Cefas_Test10_Run2/Plate 1/@5/H5_02.tif "/>
    <s v=" 39106.8495 "/>
    <s v=" 33.9132 "/>
    <x v="0"/>
    <n v="1326237"/>
    <m/>
    <m/>
  </r>
  <r>
    <x v="9"/>
    <x v="8"/>
    <s v="C:\Users\andre\Desktop\REACTIV CEFAS\Tamoxifen\Tamoxifen/20201219_Cefas_Test10_Run2/Plate 1/@5/H5_03.tif "/>
    <s v=" 37441.3476 "/>
    <s v=" 33.9549 "/>
    <x v="0"/>
    <n v="1271319"/>
    <m/>
    <m/>
  </r>
  <r>
    <x v="9"/>
    <x v="8"/>
    <s v="C:\Users\andre\Desktop\REACTIV CEFAS\Tamoxifen\Tamoxifen/20201219_Cefas_Test10_Run2/Plate 1/@5/H5_04.tif "/>
    <s v=" 42502.7429 "/>
    <s v=" 36.8911 "/>
    <x v="0"/>
    <n v="1567973"/>
    <m/>
    <m/>
  </r>
  <r>
    <x v="0"/>
    <x v="0"/>
    <s v=" "/>
    <m/>
    <m/>
    <x v="1"/>
    <m/>
    <m/>
    <m/>
  </r>
  <r>
    <x v="0"/>
    <x v="0"/>
    <s v="group "/>
    <s v=" "/>
    <s v=" mean of mean fluo "/>
    <x v="2"/>
    <s v=" mean of total fluo "/>
    <s v=" SD total fluo "/>
    <m/>
  </r>
  <r>
    <x v="9"/>
    <x v="9"/>
    <s v="C:\Users\andre\Desktop\REACTIV CEFAS\Tamoxifen\Tamoxifen/20201219_Cefas_Test10_Run2/Plate 1/@5/ "/>
    <s v=" "/>
    <s v=" 38.3522 "/>
    <x v="11"/>
    <s v=" 1865818.38 "/>
    <s v=" 778138.95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Tamoxifen\Tamoxifen/20201219_Cefas_Test10_Run2/Plate 1/@6/A6_01.tif "/>
    <s v=" 77326.8733 "/>
    <s v=" 44.6187 "/>
    <x v="0"/>
    <n v="3450228"/>
    <m/>
    <m/>
  </r>
  <r>
    <x v="10"/>
    <x v="1"/>
    <s v="C:\Users\andre\Desktop\REACTIV CEFAS\Tamoxifen\Tamoxifen/20201219_Cefas_Test10_Run2/Plate 1/@6/A6_02.tif "/>
    <s v=" 71789.6203 "/>
    <s v=" 42.0096 "/>
    <x v="0"/>
    <n v="3015856"/>
    <m/>
    <m/>
  </r>
  <r>
    <x v="10"/>
    <x v="1"/>
    <s v="C:\Users\andre\Desktop\REACTIV CEFAS\Tamoxifen\Tamoxifen/20201219_Cefas_Test10_Run2/Plate 1/@6/A6_03.tif "/>
    <s v=" 73887.7201 "/>
    <s v=" 41.6133 "/>
    <x v="0"/>
    <n v="3074711"/>
    <m/>
    <m/>
  </r>
  <r>
    <x v="10"/>
    <x v="1"/>
    <s v="C:\Users\andre\Desktop\REACTIV CEFAS\Tamoxifen\Tamoxifen/20201219_Cefas_Test10_Run2/Plate 1/@6/A6_04.tif "/>
    <s v=" 75683.0013 "/>
    <s v=" 43.7394 "/>
    <x v="0"/>
    <n v="3310326"/>
    <m/>
    <m/>
  </r>
  <r>
    <x v="10"/>
    <x v="2"/>
    <s v="C:\Users\andre\Desktop\REACTIV CEFAS\Tamoxifen\Tamoxifen/20201219_Cefas_Test10_Run2/Plate 1/@6/B6_01.tif "/>
    <s v=" 75401.8127 "/>
    <s v=" 47.4584 "/>
    <x v="0"/>
    <n v="3578450"/>
    <m/>
    <m/>
  </r>
  <r>
    <x v="10"/>
    <x v="2"/>
    <s v="C:\Users\andre\Desktop\REACTIV CEFAS\Tamoxifen\Tamoxifen/20201219_Cefas_Test10_Run2/Plate 1/@6/B6_02- exclu.tif"/>
    <m/>
    <m/>
    <x v="1"/>
    <m/>
    <m/>
    <m/>
  </r>
  <r>
    <x v="10"/>
    <x v="2"/>
    <s v="C:\Users\andre\Desktop\REACTIV CEFAS\Tamoxifen\Tamoxifen/20201219_Cefas_Test10_Run2/Plate 1/@6/B6_03.tif "/>
    <s v=" 68739.8051 "/>
    <s v=" 43.8361 "/>
    <x v="0"/>
    <n v="3013282"/>
    <m/>
    <m/>
  </r>
  <r>
    <x v="10"/>
    <x v="2"/>
    <s v="C:\Users\andre\Desktop\REACTIV CEFAS\Tamoxifen\Tamoxifen/20201219_Cefas_Test10_Run2/Plate 1/@6/B6_04.tif "/>
    <s v=" 84745.9272 "/>
    <s v=" 45.9342 "/>
    <x v="0"/>
    <n v="3892732"/>
    <m/>
    <m/>
  </r>
  <r>
    <x v="10"/>
    <x v="3"/>
    <s v="C:\Users\andre\Desktop\REACTIV CEFAS\Tamoxifen\Tamoxifen/20201219_Cefas_Test10_Run2/Plate 1/@6/C6_01.tif "/>
    <s v=" 86022.0909 "/>
    <s v=" 42.4136 "/>
    <x v="0"/>
    <n v="3648509"/>
    <m/>
    <m/>
  </r>
  <r>
    <x v="10"/>
    <x v="3"/>
    <s v="C:\Users\andre\Desktop\REACTIV CEFAS\Tamoxifen\Tamoxifen/20201219_Cefas_Test10_Run2/Plate 1/@6/C6_02.tif "/>
    <s v=" 74277.0582 "/>
    <s v=" 40.0649 "/>
    <x v="0"/>
    <n v="2975906"/>
    <m/>
    <m/>
  </r>
  <r>
    <x v="10"/>
    <x v="3"/>
    <s v="C:\Users\andre\Desktop\REACTIV CEFAS\Tamoxifen\Tamoxifen/20201219_Cefas_Test10_Run2/Plate 1/@6/C6_03.tif "/>
    <s v=" 76872.6455 "/>
    <s v=" 47.1292 "/>
    <x v="0"/>
    <n v="3622942"/>
    <m/>
    <m/>
  </r>
  <r>
    <x v="10"/>
    <x v="3"/>
    <s v="C:\Users\andre\Desktop\REACTIV CEFAS\Tamoxifen\Tamoxifen/20201219_Cefas_Test10_Run2/Plate 1/@6/C6_04.tif "/>
    <s v=" 81501.443 "/>
    <s v=" 44.9639 "/>
    <x v="0"/>
    <n v="3664623"/>
    <m/>
    <m/>
  </r>
  <r>
    <x v="10"/>
    <x v="4"/>
    <s v="C:\Users\andre\Desktop\REACTIV CEFAS\Tamoxifen\Tamoxifen/20201219_Cefas_Test10_Run2/Plate 1/@6/D6_01.tif "/>
    <s v=" 75315.2931 "/>
    <s v=" 46.9609 "/>
    <x v="0"/>
    <n v="3536877"/>
    <m/>
    <m/>
  </r>
  <r>
    <x v="10"/>
    <x v="4"/>
    <s v="C:\Users\andre\Desktop\REACTIV CEFAS\Tamoxifen\Tamoxifen/20201219_Cefas_Test10_Run2/Plate 1/@6/D6_02.tif "/>
    <s v=" 83577.9128 "/>
    <s v=" 46.5572 "/>
    <x v="0"/>
    <n v="3891153"/>
    <m/>
    <m/>
  </r>
  <r>
    <x v="10"/>
    <x v="4"/>
    <s v="C:\Users\andre\Desktop\REACTIV CEFAS\Tamoxifen\Tamoxifen/20201219_Cefas_Test10_Run2/Plate 1/@6/D6_03.tif "/>
    <s v=" 65711.6199 "/>
    <s v=" 49.3776 "/>
    <x v="0"/>
    <n v="3244679"/>
    <m/>
    <m/>
  </r>
  <r>
    <x v="10"/>
    <x v="4"/>
    <s v="C:\Users\andre\Desktop\REACTIV CEFAS\Tamoxifen\Tamoxifen/20201219_Cefas_Test10_Run2/Plate 1/@6/D6_04.tif "/>
    <s v=" 76699.6064 "/>
    <s v=" 48.8438 "/>
    <x v="0"/>
    <n v="3746298"/>
    <m/>
    <m/>
  </r>
  <r>
    <x v="10"/>
    <x v="5"/>
    <s v="C:\Users\andre\Desktop\REACTIV CEFAS\Tamoxifen\Tamoxifen/20201219_Cefas_Test10_Run2/Plate 1/@6/E6_01.tif "/>
    <s v=" 70102.4885 "/>
    <s v=" 43.0204 "/>
    <x v="0"/>
    <n v="3015835"/>
    <m/>
    <m/>
  </r>
  <r>
    <x v="10"/>
    <x v="5"/>
    <s v="C:\Users\andre\Desktop\REACTIV CEFAS\Tamoxifen\Tamoxifen/20201219_Cefas_Test10_Run2/Plate 1/@6/E6_02.tif "/>
    <s v=" 71508.4316 "/>
    <s v=" 43.1034 "/>
    <x v="0"/>
    <n v="3082260"/>
    <m/>
    <m/>
  </r>
  <r>
    <x v="10"/>
    <x v="5"/>
    <s v="C:\Users\andre\Desktop\REACTIV CEFAS\Tamoxifen\Tamoxifen/20201219_Cefas_Test10_Run2/Plate 1/@6/E6_03.tif "/>
    <s v=" 62099.4275 "/>
    <s v=" 42.1181 "/>
    <x v="0"/>
    <n v="2615508"/>
    <m/>
    <m/>
  </r>
  <r>
    <x v="10"/>
    <x v="5"/>
    <s v="C:\Users\andre\Desktop\REACTIV CEFAS\Tamoxifen\Tamoxifen/20201219_Cefas_Test10_Run2/Plate 1/@6/E6_04.tif "/>
    <s v=" 65863.0291 "/>
    <s v=" 42.3681 "/>
    <x v="0"/>
    <n v="2790494"/>
    <m/>
    <m/>
  </r>
  <r>
    <x v="10"/>
    <x v="6"/>
    <s v="C:\Users\andre\Desktop\REACTIV CEFAS\Tamoxifen\Tamoxifen/20201219_Cefas_Test10_Run2/Plate 1/@6/F6_01.tif "/>
    <s v=" 57513.8898 "/>
    <s v=" 42.5829 "/>
    <x v="0"/>
    <n v="2449110"/>
    <m/>
    <m/>
  </r>
  <r>
    <x v="10"/>
    <x v="6"/>
    <s v="C:\Users\andre\Desktop\REACTIV CEFAS\Tamoxifen\Tamoxifen/20201219_Cefas_Test10_Run2/Plate 1/@6/F6_02.tif "/>
    <s v=" 61710.0894 "/>
    <s v=" 42.6155 "/>
    <x v="0"/>
    <n v="2629806"/>
    <m/>
    <m/>
  </r>
  <r>
    <x v="10"/>
    <x v="6"/>
    <s v="C:\Users\andre\Desktop\REACTIV CEFAS\Tamoxifen\Tamoxifen/20201219_Cefas_Test10_Run2/Plate 1/@6/F6_03.tif "/>
    <s v=" 66317.2569 "/>
    <s v=" 46.6725 "/>
    <x v="0"/>
    <n v="3095195"/>
    <m/>
    <m/>
  </r>
  <r>
    <x v="10"/>
    <x v="6"/>
    <s v="C:\Users\andre\Desktop\REACTIV CEFAS\Tamoxifen\Tamoxifen/20201219_Cefas_Test10_Run2/Plate 1/@6/F6_04.tif "/>
    <s v=" 64932.9437 "/>
    <s v=" 44.5646 "/>
    <x v="0"/>
    <n v="2893712"/>
    <m/>
    <m/>
  </r>
  <r>
    <x v="10"/>
    <x v="7"/>
    <s v="C:\Users\andre\Desktop\REACTIV CEFAS\Tamoxifen\Tamoxifen/20201219_Cefas_Test10_Run2/Plate 1/@6/G6_01.tif "/>
    <s v=" 52733.6831 "/>
    <s v=" 41.6448 "/>
    <x v="0"/>
    <n v="2196083"/>
    <m/>
    <m/>
  </r>
  <r>
    <x v="10"/>
    <x v="7"/>
    <s v="C:\Users\andre\Desktop\REACTIV CEFAS\Tamoxifen\Tamoxifen/20201219_Cefas_Test10_Run2/Plate 1/@6/G6_02.tif "/>
    <s v=" 56562.1745 "/>
    <s v=" 42.3866 "/>
    <x v="0"/>
    <n v="2397479"/>
    <m/>
    <m/>
  </r>
  <r>
    <x v="10"/>
    <x v="7"/>
    <s v="C:\Users\andre\Desktop\REACTIV CEFAS\Tamoxifen\Tamoxifen/20201219_Cefas_Test10_Run2/Plate 1/@6/G6_03.tif "/>
    <s v=" 61731.7193 "/>
    <s v=" 46.2109 "/>
    <x v="0"/>
    <n v="2852680"/>
    <m/>
    <m/>
  </r>
  <r>
    <x v="10"/>
    <x v="7"/>
    <s v="C:\Users\andre\Desktop\REACTIV CEFAS\Tamoxifen\Tamoxifen/20201219_Cefas_Test10_Run2/Plate 1/@6/G6_04.tif "/>
    <s v=" 63245.8119 "/>
    <s v=" 42.6228 "/>
    <x v="0"/>
    <n v="2695712"/>
    <m/>
    <m/>
  </r>
  <r>
    <x v="10"/>
    <x v="8"/>
    <s v="C:\Users\andre\Desktop\REACTIV CEFAS\Tamoxifen\Tamoxifen/20201219_Cefas_Test10_Run2/Plate 1/@6/H6_01.tif "/>
    <s v=" 28097.2331 "/>
    <s v=" 34.4172 "/>
    <x v="0"/>
    <n v="967029"/>
    <m/>
    <m/>
  </r>
  <r>
    <x v="10"/>
    <x v="8"/>
    <s v="C:\Users\andre\Desktop\REACTIV CEFAS\Tamoxifen\Tamoxifen/20201219_Cefas_Test10_Run2/Plate 1/@6/H6_02.tif "/>
    <s v=" 31276.8276 "/>
    <s v=" 34.5339 "/>
    <x v="0"/>
    <n v="1080110"/>
    <m/>
    <m/>
  </r>
  <r>
    <x v="10"/>
    <x v="8"/>
    <s v="C:\Users\andre\Desktop\REACTIV CEFAS\Tamoxifen\Tamoxifen/20201219_Cefas_Test10_Run2/Plate 1/@6/H6_03.tif "/>
    <s v=" 30779.3401 "/>
    <s v=" 35.5067 "/>
    <x v="0"/>
    <n v="1092872"/>
    <m/>
    <m/>
  </r>
  <r>
    <x v="10"/>
    <x v="8"/>
    <s v="C:\Users\andre\Desktop\REACTIV CEFAS\Tamoxifen\Tamoxifen/20201219_Cefas_Test10_Run2/Plate 1/@6/H6_04.tif "/>
    <s v=" 46482.6436 "/>
    <s v=" 36.7822 "/>
    <x v="0"/>
    <n v="1709735"/>
    <m/>
    <m/>
  </r>
  <r>
    <x v="0"/>
    <x v="0"/>
    <s v=" "/>
    <m/>
    <m/>
    <x v="1"/>
    <m/>
    <m/>
    <m/>
  </r>
  <r>
    <x v="0"/>
    <x v="0"/>
    <s v="group "/>
    <s v=" "/>
    <s v=" mean of mean fluo "/>
    <x v="2"/>
    <s v=" mean of total fluo "/>
    <s v=" SD total fluo "/>
    <m/>
  </r>
  <r>
    <x v="10"/>
    <x v="9"/>
    <s v="C:\Users\andre\Desktop\REACTIV CEFAS\Tamoxifen\Tamoxifen/20201219_Cefas_Test10_Run2/Plate 1/@6/ "/>
    <s v=" "/>
    <s v=" 43.212 "/>
    <x v="12"/>
    <s v=" 2890210.81 "/>
    <s v=" 782282.508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Tamoxifen\Tamoxifen/20201219_Cefas_Test10_Run2/Plate 1/@7/A7_01- exclu.tif"/>
    <m/>
    <m/>
    <x v="1"/>
    <m/>
    <m/>
    <m/>
  </r>
  <r>
    <x v="11"/>
    <x v="1"/>
    <s v="C:\Users\andre\Desktop\REACTIV CEFAS\Tamoxifen\Tamoxifen/20201219_Cefas_Test10_Run2/Plate 1/@7/A7_02- exclu.tif"/>
    <m/>
    <m/>
    <x v="1"/>
    <m/>
    <m/>
    <m/>
  </r>
  <r>
    <x v="11"/>
    <x v="1"/>
    <s v="C:\Users\andre\Desktop\REACTIV CEFAS\Tamoxifen\Tamoxifen/20201219_Cefas_Test10_Run2/Plate 1/@7/A7_03.tif "/>
    <s v=" 82388.2686 "/>
    <s v=" 55.3043 "/>
    <x v="0"/>
    <n v="4556424"/>
    <m/>
    <m/>
  </r>
  <r>
    <x v="11"/>
    <x v="1"/>
    <s v="C:\Users\andre\Desktop\REACTIV CEFAS\Tamoxifen\Tamoxifen/20201219_Cefas_Test10_Run2/Plate 1/@7/A7_04- exclu.tif"/>
    <m/>
    <m/>
    <x v="1"/>
    <m/>
    <m/>
    <m/>
  </r>
  <r>
    <x v="11"/>
    <x v="2"/>
    <s v="C:\Users\andre\Desktop\REACTIV CEFAS\Tamoxifen\Tamoxifen/20201219_Cefas_Test10_Run2/Plate 1/@7/B7_01.tif "/>
    <s v=" 71919.3996 "/>
    <s v=" 49.4081 "/>
    <x v="0"/>
    <n v="3553402"/>
    <m/>
    <m/>
  </r>
  <r>
    <x v="11"/>
    <x v="2"/>
    <s v="C:\Users\andre\Desktop\REACTIV CEFAS\Tamoxifen\Tamoxifen/20201219_Cefas_Test10_Run2/Plate 1/@7/B7_02- exclu.tif"/>
    <m/>
    <m/>
    <x v="1"/>
    <m/>
    <m/>
    <m/>
  </r>
  <r>
    <x v="11"/>
    <x v="2"/>
    <s v="C:\Users\andre\Desktop\REACTIV CEFAS\Tamoxifen\Tamoxifen/20201219_Cefas_Test10_Run2/Plate 1/@7/B7_03- exclu.tif"/>
    <m/>
    <m/>
    <x v="1"/>
    <m/>
    <m/>
    <m/>
  </r>
  <r>
    <x v="11"/>
    <x v="2"/>
    <s v="C:\Users\andre\Desktop\REACTIV CEFAS\Tamoxifen\Tamoxifen/20201219_Cefas_Test10_Run2/Plate 1/@7/B7_04- exclu.tif"/>
    <m/>
    <m/>
    <x v="1"/>
    <m/>
    <m/>
    <m/>
  </r>
  <r>
    <x v="11"/>
    <x v="3"/>
    <s v="C:\Users\andre\Desktop\REACTIV CEFAS\Tamoxifen\Tamoxifen/20201219_Cefas_Test10_Run2/Plate 1/@7/C7_01.tif "/>
    <s v=" 78256.9588 "/>
    <s v=" 48.8029 "/>
    <x v="0"/>
    <n v="3819169"/>
    <m/>
    <m/>
  </r>
  <r>
    <x v="11"/>
    <x v="3"/>
    <s v="C:\Users\andre\Desktop\REACTIV CEFAS\Tamoxifen\Tamoxifen/20201219_Cefas_Test10_Run2/Plate 1/@7/C7_02.tif "/>
    <s v=" 76288.6384 "/>
    <s v=" 47.3621 "/>
    <x v="0"/>
    <n v="3613187"/>
    <m/>
    <m/>
  </r>
  <r>
    <x v="11"/>
    <x v="3"/>
    <s v="C:\Users\andre\Desktop\REACTIV CEFAS\Tamoxifen\Tamoxifen/20201219_Cefas_Test10_Run2/Plate 1/@7/C7_03.tif "/>
    <s v=" 78343.4783 "/>
    <s v=" 51.093 "/>
    <x v="0"/>
    <n v="4002807"/>
    <m/>
    <m/>
  </r>
  <r>
    <x v="11"/>
    <x v="3"/>
    <s v="C:\Users\andre\Desktop\REACTIV CEFAS\Tamoxifen\Tamoxifen/20201219_Cefas_Test10_Run2/Plate 1/@7/C7_04.tif "/>
    <s v=" 72741.3356 "/>
    <s v=" 45.7868 "/>
    <x v="0"/>
    <n v="3330593"/>
    <m/>
    <m/>
  </r>
  <r>
    <x v="11"/>
    <x v="4"/>
    <s v="C:\Users\andre\Desktop\REACTIV CEFAS\Tamoxifen\Tamoxifen/20201219_Cefas_Test10_Run2/Plate 1/@7/D7_01.tif "/>
    <s v=" 93462.7747 "/>
    <s v=" 54.6313 "/>
    <x v="0"/>
    <n v="5105996"/>
    <m/>
    <m/>
  </r>
  <r>
    <x v="11"/>
    <x v="4"/>
    <s v="C:\Users\andre\Desktop\REACTIV CEFAS\Tamoxifen\Tamoxifen/20201219_Cefas_Test10_Run2/Plate 1/@7/D7_02.tif "/>
    <s v=" 94133.3014 "/>
    <s v=" 54.3603 "/>
    <x v="0"/>
    <n v="5117114"/>
    <m/>
    <m/>
  </r>
  <r>
    <x v="11"/>
    <x v="4"/>
    <s v="C:\Users\andre\Desktop\REACTIV CEFAS\Tamoxifen\Tamoxifen/20201219_Cefas_Test10_Run2/Plate 1/@7/D7_03.tif "/>
    <s v=" 83599.5427 "/>
    <s v=" 50.3211 "/>
    <x v="0"/>
    <n v="4206820"/>
    <m/>
    <m/>
  </r>
  <r>
    <x v="11"/>
    <x v="4"/>
    <s v="C:\Users\andre\Desktop\REACTIV CEFAS\Tamoxifen\Tamoxifen/20201219_Cefas_Test10_Run2/Plate 1/@7/D7_04.tif "/>
    <s v=" 93830.4829 "/>
    <s v=" 54.5931 "/>
    <x v="0"/>
    <n v="5122500"/>
    <m/>
    <m/>
  </r>
  <r>
    <x v="11"/>
    <x v="5"/>
    <s v="C:\Users\andre\Desktop\REACTIV CEFAS\Tamoxifen\Tamoxifen/20201219_Cefas_Test10_Run2/Plate 1/@7/E7_01.tif "/>
    <s v=" 76396.7878 "/>
    <s v=" 50.4881 "/>
    <x v="0"/>
    <n v="3857129"/>
    <m/>
    <m/>
  </r>
  <r>
    <x v="11"/>
    <x v="5"/>
    <s v="C:\Users\andre\Desktop\REACTIV CEFAS\Tamoxifen\Tamoxifen/20201219_Cefas_Test10_Run2/Plate 1/@7/E7_02.tif "/>
    <s v=" 75358.5529 "/>
    <s v=" 48.0772 "/>
    <x v="0"/>
    <n v="3623029"/>
    <m/>
    <m/>
  </r>
  <r>
    <x v="11"/>
    <x v="5"/>
    <s v="C:\Users\andre\Desktop\REACTIV CEFAS\Tamoxifen\Tamoxifen/20201219_Cefas_Test10_Run2/Plate 1/@7/E7_03.tif "/>
    <s v=" 75250.4034 "/>
    <s v=" 48.3599 "/>
    <x v="0"/>
    <n v="3639100"/>
    <m/>
    <m/>
  </r>
  <r>
    <x v="11"/>
    <x v="5"/>
    <s v="C:\Users\andre\Desktop\REACTIV CEFAS\Tamoxifen\Tamoxifen/20201219_Cefas_Test10_Run2/Plate 1/@7/E7_04.tif "/>
    <s v=" 88596.0484 "/>
    <s v=" 49.3645 "/>
    <x v="0"/>
    <n v="4373500"/>
    <m/>
    <m/>
  </r>
  <r>
    <x v="11"/>
    <x v="6"/>
    <s v="C:\Users\andre\Desktop\REACTIV CEFAS\Tamoxifen\Tamoxifen/20201219_Cefas_Test10_Run2/Plate 1/@7/F7_01.tif "/>
    <s v=" 63613.5201 "/>
    <s v=" 45.425 "/>
    <x v="0"/>
    <n v="2889646"/>
    <m/>
    <m/>
  </r>
  <r>
    <x v="11"/>
    <x v="6"/>
    <s v="C:\Users\andre\Desktop\REACTIV CEFAS\Tamoxifen\Tamoxifen/20201219_Cefas_Test10_Run2/Plate 1/@7/F7_02.tif "/>
    <s v=" 66122.5879 "/>
    <s v=" 47.0723 "/>
    <x v="0"/>
    <n v="3112542"/>
    <m/>
    <m/>
  </r>
  <r>
    <x v="11"/>
    <x v="6"/>
    <s v="C:\Users\andre\Desktop\REACTIV CEFAS\Tamoxifen\Tamoxifen/20201219_Cefas_Test10_Run2/Plate 1/@7/F7_03.tif "/>
    <s v=" 73909.3499 "/>
    <s v=" 49.935 "/>
    <x v="0"/>
    <n v="3690666"/>
    <m/>
    <m/>
  </r>
  <r>
    <x v="11"/>
    <x v="6"/>
    <s v="C:\Users\andre\Desktop\REACTIV CEFAS\Tamoxifen\Tamoxifen/20201219_Cefas_Test10_Run2/Plate 1/@7/F7_04.tif "/>
    <s v=" 70773.0152 "/>
    <s v=" 47.6745 "/>
    <x v="0"/>
    <n v="3374069"/>
    <m/>
    <m/>
  </r>
  <r>
    <x v="11"/>
    <x v="7"/>
    <s v="C:\Users\andre\Desktop\REACTIV CEFAS\Tamoxifen\Tamoxifen/20201219_Cefas_Test10_Run2/Plate 1/@7/G7_01.tif "/>
    <s v=" 62532.0254 "/>
    <s v=" 43.5738 "/>
    <x v="0"/>
    <n v="2724761"/>
    <m/>
    <m/>
  </r>
  <r>
    <x v="11"/>
    <x v="7"/>
    <s v="C:\Users\andre\Desktop\REACTIV CEFAS\Tamoxifen\Tamoxifen/20201219_Cefas_Test10_Run2/Plate 1/@7/G7_02.tif "/>
    <s v=" 67528.531 "/>
    <s v=" 48.8792 "/>
    <x v="0"/>
    <n v="3300744"/>
    <m/>
    <m/>
  </r>
  <r>
    <x v="11"/>
    <x v="7"/>
    <s v="C:\Users\andre\Desktop\REACTIV CEFAS\Tamoxifen\Tamoxifen/20201219_Cefas_Test10_Run2/Plate 1/@7/G7_03.tif "/>
    <s v=" 62856.4738 "/>
    <s v=" 44.0613 "/>
    <x v="0"/>
    <n v="2769535"/>
    <m/>
    <m/>
  </r>
  <r>
    <x v="11"/>
    <x v="7"/>
    <s v="C:\Users\andre\Desktop\REACTIV CEFAS\Tamoxifen\Tamoxifen/20201219_Cefas_Test10_Run2/Plate 1/@7/G7_04.tif "/>
    <s v=" 63808.1892 "/>
    <s v=" 43.5007 "/>
    <x v="0"/>
    <n v="2775699"/>
    <m/>
    <m/>
  </r>
  <r>
    <x v="11"/>
    <x v="8"/>
    <s v="C:\Users\andre\Desktop\REACTIV CEFAS\Tamoxifen\Tamoxifen/20201219_Cefas_Test10_Run2/Plate 1/@7/H7_01.tif "/>
    <s v=" 89526.1339 "/>
    <s v=" 49.517 "/>
    <x v="0"/>
    <n v="4433069"/>
    <m/>
    <m/>
  </r>
  <r>
    <x v="11"/>
    <x v="8"/>
    <s v="C:\Users\andre\Desktop\REACTIV CEFAS\Tamoxifen\Tamoxifen/20201219_Cefas_Test10_Run2/Plate 1/@7/H7_02.tif "/>
    <s v=" 92554.3191 "/>
    <s v=" 49.8934 "/>
    <x v="0"/>
    <n v="4617853"/>
    <m/>
    <m/>
  </r>
  <r>
    <x v="11"/>
    <x v="8"/>
    <s v="C:\Users\andre\Desktop\REACTIV CEFAS\Tamoxifen\Tamoxifen/20201219_Cefas_Test10_Run2/Plate 1/@7/H7_03.tif "/>
    <s v=" 85329.9343 "/>
    <s v=" 52.4043 "/>
    <x v="0"/>
    <n v="4471656"/>
    <m/>
    <m/>
  </r>
  <r>
    <x v="11"/>
    <x v="8"/>
    <s v="C:\Users\andre\Desktop\REACTIV CEFAS\Tamoxifen\Tamoxifen/20201219_Cefas_Test10_Run2/Plate 1/@7/H7_04.tif "/>
    <s v=" 99735.4441 "/>
    <s v=" 52.8447 "/>
    <x v="0"/>
    <n v="5270492"/>
    <m/>
    <m/>
  </r>
  <r>
    <x v="0"/>
    <x v="0"/>
    <s v=" "/>
    <m/>
    <m/>
    <x v="1"/>
    <m/>
    <m/>
    <m/>
  </r>
  <r>
    <x v="0"/>
    <x v="0"/>
    <s v="group "/>
    <s v=" "/>
    <s v=" mean of mean fluo "/>
    <x v="2"/>
    <s v=" mean of total fluo "/>
    <s v=" SD total fluo "/>
    <m/>
  </r>
  <r>
    <x v="11"/>
    <x v="9"/>
    <s v="C:\Users\andre\Desktop\REACTIV CEFAS\Tamoxifen\Tamoxifen/20201219_Cefas_Test10_Run2/Plate 1/@7/ "/>
    <s v=" "/>
    <s v=" 48.78 "/>
    <x v="13"/>
    <s v=" 3560015.09 "/>
    <s v=" 1102789.07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Tamoxifen\Tamoxifen/20201219_Cefas_Test10_Run2/Plate 4/@10/A4_01- exclu.tif"/>
    <m/>
    <m/>
    <x v="1"/>
    <m/>
    <m/>
    <m/>
  </r>
  <r>
    <x v="12"/>
    <x v="1"/>
    <s v="C:\Users\andre\Desktop\REACTIV CEFAS\Tamoxifen\Tamoxifen/20201219_Cefas_Test10_Run2/Plate 4/@10/A4_02.tif "/>
    <s v=" 12977.9368 "/>
    <s v=" 40.4367 "/>
    <x v="0"/>
    <n v="524785"/>
    <m/>
    <m/>
  </r>
  <r>
    <x v="12"/>
    <x v="1"/>
    <s v="C:\Users\andre\Desktop\REACTIV CEFAS\Tamoxifen\Tamoxifen/20201219_Cefas_Test10_Run2/Plate 4/@10/A4_03.tif "/>
    <s v=" 757.0463 "/>
    <s v=" 31.5429 "/>
    <x v="0"/>
    <n v="23879"/>
    <m/>
    <m/>
  </r>
  <r>
    <x v="12"/>
    <x v="1"/>
    <s v="C:\Users\andre\Desktop\REACTIV CEFAS\Tamoxifen\Tamoxifen/20201219_Cefas_Test10_Run2/Plate 4/@10/A4_04.tif "/>
    <s v=" 12740.0079 "/>
    <s v=" 34.9626 "/>
    <x v="0"/>
    <n v="445424"/>
    <m/>
    <m/>
  </r>
  <r>
    <x v="12"/>
    <x v="2"/>
    <s v="C:\Users\andre\Desktop\REACTIV CEFAS\Tamoxifen\Tamoxifen/20201219_Cefas_Test10_Run2/Plate 4/@10/B4_01.tif "/>
    <s v=" 10728.4277 "/>
    <s v=" 33.5101 "/>
    <x v="0"/>
    <n v="359510"/>
    <m/>
    <m/>
  </r>
  <r>
    <x v="12"/>
    <x v="2"/>
    <s v="C:\Users\andre\Desktop\REACTIV CEFAS\Tamoxifen\Tamoxifen/20201219_Cefas_Test10_Run2/Plate 4/@10/B4_02.tif "/>
    <s v=" 14189.2109 "/>
    <s v=" 34.7287 "/>
    <x v="0"/>
    <n v="492772"/>
    <m/>
    <m/>
  </r>
  <r>
    <x v="12"/>
    <x v="2"/>
    <s v="C:\Users\andre\Desktop\REACTIV CEFAS\Tamoxifen\Tamoxifen/20201219_Cefas_Test10_Run2/Plate 4/@10/B4_03.tif "/>
    <s v=" 16871.3178 "/>
    <s v=" 33.7449 "/>
    <x v="0"/>
    <n v="569320"/>
    <m/>
    <m/>
  </r>
  <r>
    <x v="12"/>
    <x v="2"/>
    <s v="C:\Users\andre\Desktop\REACTIV CEFAS\Tamoxifen\Tamoxifen/20201219_Cefas_Test10_Run2/Plate 4/@10/B4_04.tif "/>
    <s v=" 12913.0471 "/>
    <s v=" 33.5712 "/>
    <x v="0"/>
    <n v="433506"/>
    <m/>
    <m/>
  </r>
  <r>
    <x v="12"/>
    <x v="3"/>
    <s v="C:\Users\andre\Desktop\REACTIV CEFAS\Tamoxifen\Tamoxifen/20201219_Cefas_Test10_Run2/Plate 4/@10/C4_01- exclu.tif"/>
    <m/>
    <m/>
    <x v="1"/>
    <m/>
    <m/>
    <m/>
  </r>
  <r>
    <x v="12"/>
    <x v="3"/>
    <s v="C:\Users\andre\Desktop\REACTIV CEFAS\Tamoxifen\Tamoxifen/20201219_Cefas_Test10_Run2/Plate 4/@10/C4_02- exclu.tif"/>
    <m/>
    <m/>
    <x v="1"/>
    <m/>
    <m/>
    <m/>
  </r>
  <r>
    <x v="12"/>
    <x v="3"/>
    <s v="C:\Users\andre\Desktop\REACTIV CEFAS\Tamoxifen\Tamoxifen/20201219_Cefas_Test10_Run2/Plate 4/@10/C4_03- exclu.tif"/>
    <m/>
    <m/>
    <x v="1"/>
    <m/>
    <m/>
    <m/>
  </r>
  <r>
    <x v="12"/>
    <x v="3"/>
    <s v="C:\Users\andre\Desktop\REACTIV CEFAS\Tamoxifen\Tamoxifen/20201219_Cefas_Test10_Run2/Plate 4/@10/C4_04- exclu.tif"/>
    <m/>
    <m/>
    <x v="1"/>
    <m/>
    <m/>
    <m/>
  </r>
  <r>
    <x v="12"/>
    <x v="4"/>
    <s v="C:\Users\andre\Desktop\REACTIV CEFAS\Tamoxifen\Tamoxifen/20201219_Cefas_Test10_Run2/Plate 4/@10/D4_01.tif "/>
    <s v=" 9149.4454 "/>
    <s v=" 39.2199 "/>
    <x v="0"/>
    <n v="358840"/>
    <m/>
    <m/>
  </r>
  <r>
    <x v="12"/>
    <x v="4"/>
    <s v="C:\Users\andre\Desktop\REACTIV CEFAS\Tamoxifen\Tamoxifen/20201219_Cefas_Test10_Run2/Plate 4/@10/D4_02.tif "/>
    <s v=" 12566.9688 "/>
    <s v=" 46.5353 "/>
    <x v="0"/>
    <n v="584807"/>
    <m/>
    <m/>
  </r>
  <r>
    <x v="12"/>
    <x v="4"/>
    <s v="C:\Users\andre\Desktop\REACTIV CEFAS\Tamoxifen\Tamoxifen/20201219_Cefas_Test10_Run2/Plate 4/@10/D4_03.tif "/>
    <s v=" 12804.8976 "/>
    <s v=" 43.3142 "/>
    <x v="0"/>
    <n v="554634"/>
    <m/>
    <m/>
  </r>
  <r>
    <x v="12"/>
    <x v="4"/>
    <s v="C:\Users\andre\Desktop\REACTIV CEFAS\Tamoxifen\Tamoxifen/20201219_Cefas_Test10_Run2/Plate 4/@10/D4_04.tif "/>
    <s v=" 10706.7978 "/>
    <s v=" 46.2 "/>
    <x v="0"/>
    <n v="494654"/>
    <m/>
    <m/>
  </r>
  <r>
    <x v="12"/>
    <x v="5"/>
    <s v="C:\Users\andre\Desktop\REACTIV CEFAS\Tamoxifen\Tamoxifen/20201219_Cefas_Test10_Run2/Plate 4/@10/E4_01.tif "/>
    <s v=" 11398.9545 "/>
    <s v=" 40.3662 "/>
    <x v="0"/>
    <n v="460133"/>
    <m/>
    <m/>
  </r>
  <r>
    <x v="12"/>
    <x v="5"/>
    <s v="C:\Users\andre\Desktop\REACTIV CEFAS\Tamoxifen\Tamoxifen/20201219_Cefas_Test10_Run2/Plate 4/@10/E4_02.tif "/>
    <s v=" 10079.5309 "/>
    <s v=" 39.2124 "/>
    <x v="0"/>
    <n v="395243"/>
    <m/>
    <m/>
  </r>
  <r>
    <x v="12"/>
    <x v="5"/>
    <s v="C:\Users\andre\Desktop\REACTIV CEFAS\Tamoxifen\Tamoxifen/20201219_Cefas_Test10_Run2/Plate 4/@10/E4_03.tif "/>
    <s v=" 17260.6559 "/>
    <s v=" 41.307 "/>
    <x v="0"/>
    <n v="712986"/>
    <m/>
    <m/>
  </r>
  <r>
    <x v="12"/>
    <x v="5"/>
    <s v="C:\Users\andre\Desktop\REACTIV CEFAS\Tamoxifen\Tamoxifen/20201219_Cefas_Test10_Run2/Plate 4/@10/E4_04.tif "/>
    <s v=" 22019.2327 "/>
    <s v=" 46.0963 "/>
    <x v="0"/>
    <n v="1015004"/>
    <m/>
    <m/>
  </r>
  <r>
    <x v="12"/>
    <x v="6"/>
    <s v="C:\Users\andre\Desktop\REACTIV CEFAS\Tamoxifen\Tamoxifen/20201219_Cefas_Test10_Run2/Plate 4/@10/F4_01.tif "/>
    <s v=" 21.6299 "/>
    <n v="31"/>
    <x v="0"/>
    <n v="671"/>
    <m/>
    <m/>
  </r>
  <r>
    <x v="12"/>
    <x v="6"/>
    <s v="C:\Users\andre\Desktop\REACTIV CEFAS\Tamoxifen\Tamoxifen/20201219_Cefas_Test10_Run2/Plate 4/@10/F4_02.tif "/>
    <s v=" 1297.7937 "/>
    <s v=" 33.2833 "/>
    <x v="0"/>
    <n v="43195"/>
    <m/>
    <m/>
  </r>
  <r>
    <x v="12"/>
    <x v="6"/>
    <s v="C:\Users\andre\Desktop\REACTIV CEFAS\Tamoxifen\Tamoxifen/20201219_Cefas_Test10_Run2/Plate 4/@10/F4_03.tif "/>
    <s v=" 2703.7368 "/>
    <s v=" 36.776 "/>
    <x v="0"/>
    <n v="99433"/>
    <m/>
    <m/>
  </r>
  <r>
    <x v="12"/>
    <x v="6"/>
    <s v="C:\Users\andre\Desktop\REACTIV CEFAS\Tamoxifen\Tamoxifen/20201219_Cefas_Test10_Run2/Plate 4/@10/F4_04.tif "/>
    <n v="0"/>
    <n v="0"/>
    <x v="0"/>
    <n v="0"/>
    <m/>
    <m/>
  </r>
  <r>
    <x v="12"/>
    <x v="7"/>
    <s v="C:\Users\andre\Desktop\REACTIV CEFAS\Tamoxifen\Tamoxifen/20201219_Cefas_Test10_Run2/Plate 4/@10/G4_01.tif "/>
    <s v=" 44124.985 "/>
    <s v=" 35.602 "/>
    <x v="0"/>
    <n v="1570936"/>
    <m/>
    <m/>
  </r>
  <r>
    <x v="12"/>
    <x v="7"/>
    <s v="C:\Users\andre\Desktop\REACTIV CEFAS\Tamoxifen\Tamoxifen/20201219_Cefas_Test10_Run2/Plate 4/@10/G4_02.tif "/>
    <s v=" 32942.3295 "/>
    <s v=" 35.0558 "/>
    <x v="0"/>
    <n v="1154820"/>
    <m/>
    <m/>
  </r>
  <r>
    <x v="12"/>
    <x v="7"/>
    <s v="C:\Users\andre\Desktop\REACTIV CEFAS\Tamoxifen\Tamoxifen/20201219_Cefas_Test10_Run2/Plate 4/@10/G4_03.tif "/>
    <s v=" 31925.7245 "/>
    <s v=" 34.9695 "/>
    <x v="0"/>
    <n v="1116427"/>
    <m/>
    <m/>
  </r>
  <r>
    <x v="12"/>
    <x v="7"/>
    <s v="C:\Users\andre\Desktop\REACTIV CEFAS\Tamoxifen\Tamoxifen/20201219_Cefas_Test10_Run2/Plate 4/@10/G4_04.tif "/>
    <s v=" 31255.1977 "/>
    <s v=" 34.0554 "/>
    <x v="0"/>
    <n v="1064407"/>
    <m/>
    <m/>
  </r>
  <r>
    <x v="12"/>
    <x v="8"/>
    <s v="C:\Users\andre\Desktop\REACTIV CEFAS\Tamoxifen\Tamoxifen/20201219_Cefas_Test10_Run2/Plate 4/@10/H4_01.tif "/>
    <s v=" 25523.2757 "/>
    <s v=" 34.4864 "/>
    <x v="0"/>
    <n v="880207"/>
    <m/>
    <m/>
  </r>
  <r>
    <x v="12"/>
    <x v="8"/>
    <s v="C:\Users\andre\Desktop\REACTIV CEFAS\Tamoxifen\Tamoxifen/20201219_Cefas_Test10_Run2/Plate 4/@10/H4_02.tif "/>
    <s v=" 15184.186 "/>
    <s v=" 32.2507 "/>
    <x v="0"/>
    <n v="489701"/>
    <m/>
    <m/>
  </r>
  <r>
    <x v="12"/>
    <x v="8"/>
    <s v="C:\Users\andre\Desktop\REACTIV CEFAS\Tamoxifen\Tamoxifen/20201219_Cefas_Test10_Run2/Plate 4/@10/H4_03.tif "/>
    <s v=" 23511.6955 "/>
    <s v=" 32.6044 "/>
    <x v="0"/>
    <n v="766585"/>
    <m/>
    <m/>
  </r>
  <r>
    <x v="12"/>
    <x v="8"/>
    <s v="C:\Users\andre\Desktop\REACTIV CEFAS\Tamoxifen\Tamoxifen/20201219_Cefas_Test10_Run2/Plate 4/@10/H4_04.tif "/>
    <s v=" 23252.1367 "/>
    <s v=" 32.8614 "/>
    <x v="0"/>
    <n v="764098"/>
    <m/>
    <m/>
  </r>
  <r>
    <x v="0"/>
    <x v="0"/>
    <s v=" "/>
    <m/>
    <m/>
    <x v="1"/>
    <m/>
    <m/>
    <m/>
  </r>
  <r>
    <x v="0"/>
    <x v="0"/>
    <s v="group "/>
    <s v=" "/>
    <s v=" mean of mean fluo "/>
    <x v="2"/>
    <s v=" mean of total fluo "/>
    <s v=" SD total fluo "/>
    <m/>
  </r>
  <r>
    <x v="12"/>
    <x v="9"/>
    <s v="C:\Users\andre\Desktop\REACTIV CEFAS\Tamoxifen\Tamoxifen/20201219_Cefas_Test10_Run2/Plate 4/@10/ "/>
    <s v=" "/>
    <s v=" 35.3408 "/>
    <x v="14"/>
    <s v=" 500177.75 "/>
    <s v=" 403631.88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Tamoxifen\Tamoxifen/20201219_Cefas_Test10_Run2/Plate 4/@11/A5_01.tif "/>
    <s v=" 35473.0272 "/>
    <s v=" 33.989 "/>
    <x v="0"/>
    <n v="1205694"/>
    <m/>
    <m/>
  </r>
  <r>
    <x v="13"/>
    <x v="1"/>
    <s v="C:\Users\andre\Desktop\REACTIV CEFAS\Tamoxifen\Tamoxifen/20201219_Cefas_Test10_Run2/Plate 4/@11/A5_02.tif "/>
    <s v=" 27967.4538 "/>
    <s v=" 34.297 "/>
    <x v="0"/>
    <n v="959199"/>
    <m/>
    <m/>
  </r>
  <r>
    <x v="13"/>
    <x v="1"/>
    <s v="C:\Users\andre\Desktop\REACTIV CEFAS\Tamoxifen\Tamoxifen/20201219_Cefas_Test10_Run2/Plate 4/@11/A5_03.tif "/>
    <s v=" 23619.8449 "/>
    <s v=" 33.7912 "/>
    <x v="0"/>
    <n v="798143"/>
    <m/>
    <m/>
  </r>
  <r>
    <x v="13"/>
    <x v="1"/>
    <s v="C:\Users\andre\Desktop\REACTIV CEFAS\Tamoxifen\Tamoxifen/20201219_Cefas_Test10_Run2/Plate 4/@11/A5_04- exclu.tif"/>
    <m/>
    <m/>
    <x v="1"/>
    <m/>
    <m/>
    <m/>
  </r>
  <r>
    <x v="13"/>
    <x v="2"/>
    <s v="C:\Users\andre\Desktop\REACTIV CEFAS\Tamoxifen\Tamoxifen/20201219_Cefas_Test10_Run2/Plate 4/@11/B5_01.tif "/>
    <s v=" 16611.7591 "/>
    <s v=" 32.8125 "/>
    <x v="0"/>
    <n v="545073"/>
    <m/>
    <m/>
  </r>
  <r>
    <x v="13"/>
    <x v="2"/>
    <s v="C:\Users\andre\Desktop\REACTIV CEFAS\Tamoxifen\Tamoxifen/20201219_Cefas_Test10_Run2/Plate 4/@11/B5_02.tif "/>
    <s v=" 16892.9477 "/>
    <s v=" 33.306 "/>
    <x v="0"/>
    <n v="562637"/>
    <m/>
    <m/>
  </r>
  <r>
    <x v="13"/>
    <x v="2"/>
    <s v="C:\Users\andre\Desktop\REACTIV CEFAS\Tamoxifen\Tamoxifen/20201219_Cefas_Test10_Run2/Plate 4/@11/B5_03.tif "/>
    <s v=" 13367.2749 "/>
    <s v=" 32.6343 "/>
    <x v="0"/>
    <n v="436232"/>
    <m/>
    <m/>
  </r>
  <r>
    <x v="13"/>
    <x v="2"/>
    <s v="C:\Users\andre\Desktop\REACTIV CEFAS\Tamoxifen\Tamoxifen/20201219_Cefas_Test10_Run2/Plate 4/@11/B5_04- exclu.tif"/>
    <m/>
    <m/>
    <x v="1"/>
    <m/>
    <m/>
    <m/>
  </r>
  <r>
    <x v="13"/>
    <x v="3"/>
    <s v="C:\Users\andre\Desktop\REACTIV CEFAS\Tamoxifen\Tamoxifen/20201219_Cefas_Test10_Run2/Plate 4/@11/C5_01.tif "/>
    <s v=" 8824.997 "/>
    <s v=" 34.6789 "/>
    <x v="0"/>
    <n v="306041"/>
    <m/>
    <m/>
  </r>
  <r>
    <x v="13"/>
    <x v="3"/>
    <s v="C:\Users\andre\Desktop\REACTIV CEFAS\Tamoxifen\Tamoxifen/20201219_Cefas_Test10_Run2/Plate 4/@11/C5_02.tif "/>
    <s v=" 2119.7297 "/>
    <s v=" 31.6327 "/>
    <x v="0"/>
    <n v="67053"/>
    <m/>
    <m/>
  </r>
  <r>
    <x v="13"/>
    <x v="3"/>
    <s v="C:\Users\andre\Desktop\REACTIV CEFAS\Tamoxifen\Tamoxifen/20201219_Cefas_Test10_Run2/Plate 4/@11/C5_03- exclu.tif"/>
    <m/>
    <m/>
    <x v="1"/>
    <m/>
    <m/>
    <m/>
  </r>
  <r>
    <x v="13"/>
    <x v="3"/>
    <s v="C:\Users\andre\Desktop\REACTIV CEFAS\Tamoxifen\Tamoxifen/20201219_Cefas_Test10_Run2/Plate 4/@11/C5_04.tif "/>
    <s v=" 8738.4774 "/>
    <s v=" 32.5248 "/>
    <x v="0"/>
    <n v="284217"/>
    <m/>
    <m/>
  </r>
  <r>
    <x v="13"/>
    <x v="4"/>
    <s v="C:\Users\andre\Desktop\REACTIV CEFAS\Tamoxifen\Tamoxifen/20201219_Cefas_Test10_Run2/Plate 4/@11/D5_01.tif "/>
    <s v=" 40664.2019 "/>
    <s v=" 35.9649 "/>
    <x v="0"/>
    <n v="1462484"/>
    <m/>
    <m/>
  </r>
  <r>
    <x v="13"/>
    <x v="4"/>
    <s v="C:\Users\andre\Desktop\REACTIV CEFAS\Tamoxifen\Tamoxifen/20201219_Cefas_Test10_Run2/Plate 4/@11/D5_02.tif "/>
    <s v=" 41313.0987 "/>
    <s v=" 37.5408 "/>
    <x v="0"/>
    <n v="1550928"/>
    <m/>
    <m/>
  </r>
  <r>
    <x v="13"/>
    <x v="4"/>
    <s v="C:\Users\andre\Desktop\REACTIV CEFAS\Tamoxifen\Tamoxifen/20201219_Cefas_Test10_Run2/Plate 4/@11/D5_03.tif "/>
    <s v=" 34542.9417 "/>
    <s v=" 34.7514 "/>
    <x v="0"/>
    <n v="1200416"/>
    <m/>
    <m/>
  </r>
  <r>
    <x v="13"/>
    <x v="4"/>
    <s v="C:\Users\andre\Desktop\REACTIV CEFAS\Tamoxifen\Tamoxifen/20201219_Cefas_Test10_Run2/Plate 4/@11/D5_04- exclu.tif"/>
    <m/>
    <m/>
    <x v="1"/>
    <m/>
    <m/>
    <m/>
  </r>
  <r>
    <x v="13"/>
    <x v="5"/>
    <s v="C:\Users\andre\Desktop\REACTIV CEFAS\Tamoxifen\Tamoxifen/20201219_Cefas_Test10_Run2/Plate 4/@11/E5_01.tif "/>
    <s v=" 7635.3528 "/>
    <s v=" 38.898 "/>
    <x v="0"/>
    <n v="297000"/>
    <m/>
    <m/>
  </r>
  <r>
    <x v="13"/>
    <x v="5"/>
    <s v="C:\Users\andre\Desktop\REACTIV CEFAS\Tamoxifen\Tamoxifen/20201219_Cefas_Test10_Run2/Plate 4/@11/E5_02.tif "/>
    <s v=" 5191.1747 "/>
    <s v=" 39.1125 "/>
    <x v="0"/>
    <n v="203040"/>
    <m/>
    <m/>
  </r>
  <r>
    <x v="13"/>
    <x v="5"/>
    <s v="C:\Users\andre\Desktop\REACTIV CEFAS\Tamoxifen\Tamoxifen/20201219_Cefas_Test10_Run2/Plate 4/@11/E5_03.tif "/>
    <s v=" 3568.9326 "/>
    <s v=" 36.2121 "/>
    <x v="0"/>
    <n v="129239"/>
    <m/>
    <m/>
  </r>
  <r>
    <x v="13"/>
    <x v="5"/>
    <s v="C:\Users\andre\Desktop\REACTIV CEFAS\Tamoxifen\Tamoxifen/20201219_Cefas_Test10_Run2/Plate 4/@11/E5_04.tif "/>
    <s v=" 3093.0749 "/>
    <s v=" 34.965 "/>
    <x v="0"/>
    <n v="108149"/>
    <m/>
    <m/>
  </r>
  <r>
    <x v="13"/>
    <x v="6"/>
    <s v="C:\Users\andre\Desktop\REACTIV CEFAS\Tamoxifen\Tamoxifen/20201219_Cefas_Test10_Run2/Plate 4/@11/F5_01.tif "/>
    <s v=" 9517.1536 "/>
    <s v=" 37.7364 "/>
    <x v="0"/>
    <n v="359143"/>
    <m/>
    <m/>
  </r>
  <r>
    <x v="13"/>
    <x v="6"/>
    <s v="C:\Users\andre\Desktop\REACTIV CEFAS\Tamoxifen\Tamoxifen/20201219_Cefas_Test10_Run2/Plate 4/@11/F5_02.tif "/>
    <s v=" 7008.0859 "/>
    <s v=" 36.5062 "/>
    <x v="0"/>
    <n v="255838"/>
    <m/>
    <m/>
  </r>
  <r>
    <x v="13"/>
    <x v="6"/>
    <s v="C:\Users\andre\Desktop\REACTIV CEFAS\Tamoxifen\Tamoxifen/20201219_Cefas_Test10_Run2/Plate 4/@11/F5_03.tif "/>
    <s v=" 8522.1785 "/>
    <s v=" 36.7487 "/>
    <x v="0"/>
    <n v="313179"/>
    <m/>
    <m/>
  </r>
  <r>
    <x v="13"/>
    <x v="6"/>
    <s v="C:\Users\andre\Desktop\REACTIV CEFAS\Tamoxifen\Tamoxifen/20201219_Cefas_Test10_Run2/Plate 4/@11/F5_04.tif "/>
    <s v=" 2811.8863 "/>
    <s v=" 33.3462 "/>
    <x v="0"/>
    <n v="93766"/>
    <m/>
    <m/>
  </r>
  <r>
    <x v="13"/>
    <x v="7"/>
    <s v="C:\Users\andre\Desktop\REACTIV CEFAS\Tamoxifen\Tamoxifen/20201219_Cefas_Test10_Run2/Plate 4/@11/G5_01.tif "/>
    <s v=" 23857.7738 "/>
    <s v=" 35.9619 "/>
    <x v="0"/>
    <n v="857971"/>
    <m/>
    <m/>
  </r>
  <r>
    <x v="13"/>
    <x v="7"/>
    <s v="C:\Users\andre\Desktop\REACTIV CEFAS\Tamoxifen\Tamoxifen/20201219_Cefas_Test10_Run2/Plate 4/@11/G5_02.tif "/>
    <s v=" 10879.837 "/>
    <s v=" 35.837 "/>
    <x v="0"/>
    <n v="389900"/>
    <m/>
    <m/>
  </r>
  <r>
    <x v="13"/>
    <x v="7"/>
    <s v="C:\Users\andre\Desktop\REACTIV CEFAS\Tamoxifen\Tamoxifen/20201219_Cefas_Test10_Run2/Plate 4/@11/G5_03.tif "/>
    <s v=" 7721.8724 "/>
    <s v=" 35.6807 "/>
    <x v="0"/>
    <n v="275522"/>
    <m/>
    <m/>
  </r>
  <r>
    <x v="13"/>
    <x v="7"/>
    <s v="C:\Users\andre\Desktop\REACTIV CEFAS\Tamoxifen\Tamoxifen/20201219_Cefas_Test10_Run2/Plate 4/@11/G5_04.tif "/>
    <s v=" 25588.1653 "/>
    <s v=" 34.3212 "/>
    <x v="0"/>
    <n v="878217"/>
    <m/>
    <m/>
  </r>
  <r>
    <x v="13"/>
    <x v="8"/>
    <s v="C:\Users\andre\Desktop\REACTIV CEFAS\Tamoxifen\Tamoxifen/20201219_Cefas_Test10_Run2/Plate 4/@11/H5_01.tif "/>
    <s v=" 2725.3667 "/>
    <s v=" 32.1032 "/>
    <x v="0"/>
    <n v="87493"/>
    <m/>
    <m/>
  </r>
  <r>
    <x v="13"/>
    <x v="8"/>
    <s v="C:\Users\andre\Desktop\REACTIV CEFAS\Tamoxifen\Tamoxifen/20201219_Cefas_Test10_Run2/Plate 4/@11/H5_02.tif "/>
    <s v=" 11939.7018 "/>
    <s v=" 40.6232 "/>
    <x v="0"/>
    <n v="485029"/>
    <m/>
    <m/>
  </r>
  <r>
    <x v="13"/>
    <x v="8"/>
    <s v="C:\Users\andre\Desktop\REACTIV CEFAS\Tamoxifen\Tamoxifen/20201219_Cefas_Test10_Run2/Plate 4/@11/H5_03- exclu.tif"/>
    <m/>
    <m/>
    <x v="1"/>
    <m/>
    <m/>
    <m/>
  </r>
  <r>
    <x v="13"/>
    <x v="8"/>
    <s v="C:\Users\andre\Desktop\REACTIV CEFAS\Tamoxifen\Tamoxifen/20201219_Cefas_Test10_Run2/Plate 4/@11/H5_04.tif "/>
    <s v=" 5472.3633 "/>
    <s v=" 33.0158 "/>
    <x v="0"/>
    <n v="180675"/>
    <m/>
    <m/>
  </r>
  <r>
    <x v="0"/>
    <x v="0"/>
    <s v=" "/>
    <m/>
    <m/>
    <x v="1"/>
    <m/>
    <m/>
    <m/>
  </r>
  <r>
    <x v="0"/>
    <x v="0"/>
    <s v="group "/>
    <s v=" "/>
    <s v=" mean of mean fluo "/>
    <x v="2"/>
    <s v=" mean of total fluo "/>
    <s v=" SD total fluo "/>
    <m/>
  </r>
  <r>
    <x v="13"/>
    <x v="9"/>
    <s v="C:\Users\andre\Desktop\REACTIV CEFAS\Tamoxifen\Tamoxifen/20201219_Cefas_Test10_Run2/Plate 4/@11/ "/>
    <s v=" "/>
    <s v=" 34.779 "/>
    <x v="15"/>
    <s v=" 505136.469 "/>
    <s v=" 413901.574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Tamoxifen\Tamoxifen/20201219_Cefas_Test10_Run2/Plate 4/@12/A6_01.tif "/>
    <s v=" 5948.221 "/>
    <s v=" 36.7236 "/>
    <x v="0"/>
    <n v="218440"/>
    <m/>
    <m/>
  </r>
  <r>
    <x v="14"/>
    <x v="1"/>
    <s v="C:\Users\andre\Desktop\REACTIV CEFAS\Tamoxifen\Tamoxifen/20201219_Cefas_Test10_Run2/Plate 4/@12/A6_02.tif "/>
    <s v=" 6056.3705 "/>
    <s v=" 36.9071 "/>
    <x v="0"/>
    <n v="223523"/>
    <m/>
    <m/>
  </r>
  <r>
    <x v="14"/>
    <x v="1"/>
    <s v="C:\Users\andre\Desktop\REACTIV CEFAS\Tamoxifen\Tamoxifen/20201219_Cefas_Test10_Run2/Plate 4/@12/A6_03.tif "/>
    <s v=" 5818.4417 "/>
    <s v=" 35.7955 "/>
    <x v="0"/>
    <n v="208274"/>
    <m/>
    <m/>
  </r>
  <r>
    <x v="14"/>
    <x v="1"/>
    <s v="C:\Users\andre\Desktop\REACTIV CEFAS\Tamoxifen\Tamoxifen/20201219_Cefas_Test10_Run2/Plate 4/@12/A6_04.tif "/>
    <s v=" 12826.5275 "/>
    <s v=" 42.6526 "/>
    <x v="0"/>
    <n v="547085"/>
    <m/>
    <m/>
  </r>
  <r>
    <x v="14"/>
    <x v="2"/>
    <s v="C:\Users\andre\Desktop\REACTIV CEFAS\Tamoxifen\Tamoxifen/20201219_Cefas_Test10_Run2/Plate 4/@12/B6_01.tif "/>
    <s v=" 6056.3705 "/>
    <s v=" 35.6536 "/>
    <x v="0"/>
    <n v="215931"/>
    <m/>
    <m/>
  </r>
  <r>
    <x v="14"/>
    <x v="2"/>
    <s v="C:\Users\andre\Desktop\REACTIV CEFAS\Tamoxifen\Tamoxifen/20201219_Cefas_Test10_Run2/Plate 4/@12/B6_02.tif "/>
    <s v=" 6532.2282 "/>
    <s v=" 36.0033 "/>
    <x v="0"/>
    <n v="235182"/>
    <m/>
    <m/>
  </r>
  <r>
    <x v="14"/>
    <x v="2"/>
    <s v="C:\Users\andre\Desktop\REACTIV CEFAS\Tamoxifen\Tamoxifen/20201219_Cefas_Test10_Run2/Plate 4/@12/B6_03.tif "/>
    <s v=" 6337.5591 "/>
    <s v=" 38.3993 "/>
    <x v="0"/>
    <n v="243358"/>
    <m/>
    <m/>
  </r>
  <r>
    <x v="14"/>
    <x v="2"/>
    <s v="C:\Users\andre\Desktop\REACTIV CEFAS\Tamoxifen\Tamoxifen/20201219_Cefas_Test10_Run2/Plate 4/@12/B6_04.tif "/>
    <s v=" 9344.1145 "/>
    <s v=" 42.1898 "/>
    <x v="0"/>
    <n v="394226"/>
    <m/>
    <m/>
  </r>
  <r>
    <x v="14"/>
    <x v="3"/>
    <s v="C:\Users\andre\Desktop\REACTIV CEFAS\Tamoxifen\Tamoxifen/20201219_Cefas_Test10_Run2/Plate 4/@12/C6_01.tif "/>
    <s v=" 26042.3931 "/>
    <s v=" 33.6927 "/>
    <x v="0"/>
    <n v="877438"/>
    <m/>
    <m/>
  </r>
  <r>
    <x v="14"/>
    <x v="3"/>
    <s v="C:\Users\andre\Desktop\REACTIV CEFAS\Tamoxifen\Tamoxifen/20201219_Cefas_Test10_Run2/Plate 4/@12/C6_02.tif "/>
    <s v=" 26669.6601 "/>
    <s v=" 33.9781 "/>
    <x v="0"/>
    <n v="906184"/>
    <m/>
    <m/>
  </r>
  <r>
    <x v="14"/>
    <x v="3"/>
    <s v="C:\Users\andre\Desktop\REACTIV CEFAS\Tamoxifen\Tamoxifen/20201219_Cefas_Test10_Run2/Plate 4/@12/C6_03.tif "/>
    <s v=" 30433.2617 "/>
    <s v=" 33.6795 "/>
    <x v="0"/>
    <n v="1024976"/>
    <m/>
    <m/>
  </r>
  <r>
    <x v="14"/>
    <x v="3"/>
    <s v="C:\Users\andre\Desktop\REACTIV CEFAS\Tamoxifen\Tamoxifen/20201219_Cefas_Test10_Run2/Plate 4/@12/C6_04.tif "/>
    <s v=" 33764.2655 "/>
    <s v=" 33.9071 "/>
    <x v="0"/>
    <n v="1144849"/>
    <m/>
    <m/>
  </r>
  <r>
    <x v="14"/>
    <x v="4"/>
    <s v="C:\Users\andre\Desktop\REACTIV CEFAS\Tamoxifen\Tamoxifen/20201219_Cefas_Test10_Run2/Plate 4/@12/D6_01.tif "/>
    <s v=" 562.3773 "/>
    <s v=" 32.5 "/>
    <x v="0"/>
    <n v="18277"/>
    <m/>
    <m/>
  </r>
  <r>
    <x v="14"/>
    <x v="4"/>
    <s v="C:\Users\andre\Desktop\REACTIV CEFAS\Tamoxifen\Tamoxifen/20201219_Cefas_Test10_Run2/Plate 4/@12/D6_02.tif "/>
    <s v=" 3417.5234 "/>
    <s v=" 32.443 "/>
    <x v="0"/>
    <n v="110875"/>
    <m/>
    <m/>
  </r>
  <r>
    <x v="14"/>
    <x v="4"/>
    <s v="C:\Users\andre\Desktop\REACTIV CEFAS\Tamoxifen\Tamoxifen/20201219_Cefas_Test10_Run2/Plate 4/@12/D6_03.tif "/>
    <s v=" 108.1495 "/>
    <s v=" 31.8 "/>
    <x v="0"/>
    <n v="3439"/>
    <m/>
    <m/>
  </r>
  <r>
    <x v="14"/>
    <x v="4"/>
    <s v="C:\Users\andre\Desktop\REACTIV CEFAS\Tamoxifen\Tamoxifen/20201219_Cefas_Test10_Run2/Plate 4/@12/D6_04.tif "/>
    <s v=" 2400.9183 "/>
    <s v=" 31.8919 "/>
    <x v="0"/>
    <n v="76570"/>
    <m/>
    <m/>
  </r>
  <r>
    <x v="14"/>
    <x v="5"/>
    <s v="C:\Users\andre\Desktop\REACTIV CEFAS\Tamoxifen\Tamoxifen/20201219_Cefas_Test10_Run2/Plate 4/@12/E6_01.tif "/>
    <s v=" 2963.2956 "/>
    <s v=" 31.5912 "/>
    <x v="0"/>
    <n v="93614"/>
    <m/>
    <m/>
  </r>
  <r>
    <x v="14"/>
    <x v="5"/>
    <s v="C:\Users\andre\Desktop\REACTIV CEFAS\Tamoxifen\Tamoxifen/20201219_Cefas_Test10_Run2/Plate 4/@12/E6_02- exclu.tif"/>
    <m/>
    <m/>
    <x v="1"/>
    <m/>
    <m/>
    <m/>
  </r>
  <r>
    <x v="14"/>
    <x v="5"/>
    <s v="C:\Users\andre\Desktop\REACTIV CEFAS\Tamoxifen\Tamoxifen/20201219_Cefas_Test10_Run2/Plate 4/@12/E6_03.tif "/>
    <s v=" 10468.869 "/>
    <s v=" 38.626 "/>
    <x v="0"/>
    <n v="404371"/>
    <m/>
    <m/>
  </r>
  <r>
    <x v="14"/>
    <x v="5"/>
    <s v="C:\Users\andre\Desktop\REACTIV CEFAS\Tamoxifen\Tamoxifen/20201219_Cefas_Test10_Run2/Plate 4/@12/E6_04.tif "/>
    <s v=" 13086.0863 "/>
    <s v=" 40.3554 "/>
    <x v="0"/>
    <n v="528094"/>
    <m/>
    <m/>
  </r>
  <r>
    <x v="14"/>
    <x v="6"/>
    <s v="C:\Users\andre\Desktop\REACTIV CEFAS\Tamoxifen\Tamoxifen/20201219_Cefas_Test10_Run2/Plate 4/@12/F6_01.tif "/>
    <s v=" 13670.0934 "/>
    <s v=" 36.0918 "/>
    <x v="0"/>
    <n v="493378"/>
    <m/>
    <m/>
  </r>
  <r>
    <x v="14"/>
    <x v="6"/>
    <s v="C:\Users\andre\Desktop\REACTIV CEFAS\Tamoxifen\Tamoxifen/20201219_Cefas_Test10_Run2/Plate 4/@12/F6_02.tif "/>
    <s v=" 9322.4846 "/>
    <s v=" 34.413 "/>
    <x v="0"/>
    <n v="320815"/>
    <m/>
    <m/>
  </r>
  <r>
    <x v="14"/>
    <x v="6"/>
    <s v="C:\Users\andre\Desktop\REACTIV CEFAS\Tamoxifen\Tamoxifen/20201219_Cefas_Test10_Run2/Plate 4/@12/F6_03.tif "/>
    <s v=" 7094.6054 "/>
    <s v=" 37.4451 "/>
    <x v="0"/>
    <n v="265658"/>
    <m/>
    <m/>
  </r>
  <r>
    <x v="14"/>
    <x v="6"/>
    <s v="C:\Users\andre\Desktop\REACTIV CEFAS\Tamoxifen\Tamoxifen/20201219_Cefas_Test10_Run2/Plate 4/@12/F6_04.tif "/>
    <s v=" 13107.7161 "/>
    <s v=" 35.6023 "/>
    <x v="0"/>
    <n v="466665"/>
    <m/>
    <m/>
  </r>
  <r>
    <x v="14"/>
    <x v="7"/>
    <s v="C:\Users\andre\Desktop\REACTIV CEFAS\Tamoxifen\Tamoxifen/20201219_Cefas_Test10_Run2/Plate 4/@12/G6_01.tif "/>
    <s v=" 6921.5663 "/>
    <s v=" 39.2344 "/>
    <x v="0"/>
    <n v="271563"/>
    <m/>
    <m/>
  </r>
  <r>
    <x v="14"/>
    <x v="7"/>
    <s v="C:\Users\andre\Desktop\REACTIV CEFAS\Tamoxifen\Tamoxifen/20201219_Cefas_Test10_Run2/Plate 4/@12/G6_02.tif "/>
    <s v=" 6532.2282 "/>
    <s v=" 39.5927 "/>
    <x v="0"/>
    <n v="258629"/>
    <m/>
    <m/>
  </r>
  <r>
    <x v="14"/>
    <x v="7"/>
    <s v="C:\Users\andre\Desktop\REACTIV CEFAS\Tamoxifen\Tamoxifen/20201219_Cefas_Test10_Run2/Plate 4/@12/G6_03.tif "/>
    <s v=" 7743.5023 "/>
    <s v=" 41.6844 "/>
    <x v="0"/>
    <n v="322783"/>
    <m/>
    <m/>
  </r>
  <r>
    <x v="14"/>
    <x v="7"/>
    <s v="C:\Users\andre\Desktop\REACTIV CEFAS\Tamoxifen\Tamoxifen/20201219_Cefas_Test10_Run2/Plate 4/@12/G6_04- exclu.tif"/>
    <m/>
    <m/>
    <x v="1"/>
    <m/>
    <m/>
    <m/>
  </r>
  <r>
    <x v="14"/>
    <x v="8"/>
    <s v="C:\Users\andre\Desktop\REACTIV CEFAS\Tamoxifen\Tamoxifen/20201219_Cefas_Test10_Run2/Plate 4/@12/H6_01.tif "/>
    <s v=" 14275.7305 "/>
    <s v=" 38.9061 "/>
    <x v="0"/>
    <n v="555412"/>
    <m/>
    <m/>
  </r>
  <r>
    <x v="14"/>
    <x v="8"/>
    <s v="C:\Users\andre\Desktop\REACTIV CEFAS\Tamoxifen\Tamoxifen/20201219_Cefas_Test10_Run2/Plate 4/@12/H6_02.tif "/>
    <s v=" 2682.1069 "/>
    <s v=" 31.2258 "/>
    <x v="0"/>
    <n v="83751"/>
    <m/>
    <m/>
  </r>
  <r>
    <x v="14"/>
    <x v="8"/>
    <s v="C:\Users\andre\Desktop\REACTIV CEFAS\Tamoxifen\Tamoxifen/20201219_Cefas_Test10_Run2/Plate 4/@12/H6_03.tif "/>
    <s v=" 14492.0294 "/>
    <s v=" 40.4866 "/>
    <x v="0"/>
    <n v="586733"/>
    <m/>
    <m/>
  </r>
  <r>
    <x v="14"/>
    <x v="8"/>
    <s v="C:\Users\andre\Desktop\REACTIV CEFAS\Tamoxifen\Tamoxifen/20201219_Cefas_Test10_Run2/Plate 4/@12/H6_04.tif "/>
    <s v=" 25934.2437 "/>
    <s v=" 37.6447 "/>
    <x v="0"/>
    <n v="976287"/>
    <m/>
    <m/>
  </r>
  <r>
    <x v="0"/>
    <x v="0"/>
    <s v=" "/>
    <m/>
    <m/>
    <x v="1"/>
    <m/>
    <m/>
    <m/>
  </r>
  <r>
    <x v="0"/>
    <x v="0"/>
    <s v="group "/>
    <s v=" "/>
    <s v=" mean of mean fluo "/>
    <x v="2"/>
    <s v=" mean of total fluo "/>
    <s v=" SD total fluo "/>
    <m/>
  </r>
  <r>
    <x v="14"/>
    <x v="9"/>
    <s v="C:\Users\andre\Desktop\REACTIV CEFAS\Tamoxifen\Tamoxifen/20201219_Cefas_Test10_Run2/Plate 4/@12/ "/>
    <s v=" "/>
    <s v=" 36.1666 "/>
    <x v="16"/>
    <s v=" 390769.031 "/>
    <s v=" 308516.403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Tamoxifen\Tamoxifen/20201219_Cefas_Test10_Run2/Plate 4/@17/A8_01.tif "/>
    <s v=" 56735.2136 "/>
    <s v=" 36.6447 "/>
    <x v="0"/>
    <n v="2079044"/>
    <m/>
    <m/>
  </r>
  <r>
    <x v="15"/>
    <x v="1"/>
    <s v="C:\Users\andre\Desktop\REACTIV CEFAS\Tamoxifen\Tamoxifen/20201219_Cefas_Test10_Run2/Plate 4/@17/A8_02.tif "/>
    <s v=" 69302.1824 "/>
    <s v=" 40.6654 "/>
    <x v="0"/>
    <n v="2818202"/>
    <m/>
    <m/>
  </r>
  <r>
    <x v="15"/>
    <x v="1"/>
    <s v="C:\Users\andre\Desktop\REACTIV CEFAS\Tamoxifen\Tamoxifen/20201219_Cefas_Test10_Run2/Plate 4/@17/A8_03.tif "/>
    <s v=" 61299.1214 "/>
    <s v=" 39.1648 "/>
    <x v="0"/>
    <n v="2400767"/>
    <m/>
    <m/>
  </r>
  <r>
    <x v="15"/>
    <x v="1"/>
    <s v="C:\Users\andre\Desktop\REACTIV CEFAS\Tamoxifen\Tamoxifen/20201219_Cefas_Test10_Run2/Plate 4/@17/A8_04.tif "/>
    <s v=" 61277.4915 "/>
    <s v=" 38.515 "/>
    <x v="0"/>
    <n v="2360103"/>
    <m/>
    <m/>
  </r>
  <r>
    <x v="15"/>
    <x v="2"/>
    <s v="C:\Users\andre\Desktop\REACTIV CEFAS\Tamoxifen\Tamoxifen/20201219_Cefas_Test10_Run2/Plate 4/@17/B8_01.tif "/>
    <s v=" 78408.368 "/>
    <s v=" 43.3208 "/>
    <x v="0"/>
    <n v="3396715"/>
    <m/>
    <m/>
  </r>
  <r>
    <x v="15"/>
    <x v="2"/>
    <s v="C:\Users\andre\Desktop\REACTIV CEFAS\Tamoxifen\Tamoxifen/20201219_Cefas_Test10_Run2/Plate 4/@17/B8_02.tif "/>
    <s v=" 84724.2973 "/>
    <s v=" 45.288 "/>
    <x v="0"/>
    <n v="3836992"/>
    <m/>
    <m/>
  </r>
  <r>
    <x v="15"/>
    <x v="2"/>
    <s v="C:\Users\andre\Desktop\REACTIV CEFAS\Tamoxifen\Tamoxifen/20201219_Cefas_Test10_Run2/Plate 4/@17/B8_03.tif "/>
    <s v=" 77283.6135 "/>
    <s v=" 43.5564 "/>
    <x v="0"/>
    <n v="3366196"/>
    <m/>
    <m/>
  </r>
  <r>
    <x v="15"/>
    <x v="2"/>
    <s v="C:\Users\andre\Desktop\REACTIV CEFAS\Tamoxifen\Tamoxifen/20201219_Cefas_Test10_Run2/Plate 4/@17/B8_04.tif "/>
    <s v=" 76764.496 "/>
    <s v=" 41.4458 "/>
    <x v="0"/>
    <n v="3181563"/>
    <m/>
    <m/>
  </r>
  <r>
    <x v="15"/>
    <x v="3"/>
    <s v="C:\Users\andre\Desktop\REACTIV CEFAS\Tamoxifen\Tamoxifen/20201219_Cefas_Test10_Run2/Plate 4/@17/C8_01.tif "/>
    <s v=" 76980.795 "/>
    <s v=" 43.3167 "/>
    <x v="0"/>
    <n v="3334551"/>
    <m/>
    <m/>
  </r>
  <r>
    <x v="15"/>
    <x v="3"/>
    <s v="C:\Users\andre\Desktop\REACTIV CEFAS\Tamoxifen\Tamoxifen/20201219_Cefas_Test10_Run2/Plate 4/@17/C8_02.tif "/>
    <s v=" 82150.3398 "/>
    <s v=" 41.7904 "/>
    <x v="0"/>
    <n v="3433097"/>
    <m/>
    <m/>
  </r>
  <r>
    <x v="15"/>
    <x v="3"/>
    <s v="C:\Users\andre\Desktop\REACTIV CEFAS\Tamoxifen\Tamoxifen/20201219_Cefas_Test10_Run2/Plate 4/@17/C8_03.tif "/>
    <s v=" 72135.6986 "/>
    <s v=" 40.4138 "/>
    <x v="0"/>
    <n v="2915277"/>
    <m/>
    <m/>
  </r>
  <r>
    <x v="15"/>
    <x v="3"/>
    <s v="C:\Users\andre\Desktop\REACTIV CEFAS\Tamoxifen\Tamoxifen/20201219_Cefas_Test10_Run2/Plate 4/@17/C8_04.tif "/>
    <s v=" 91234.8955 "/>
    <s v=" 43.7511 "/>
    <x v="0"/>
    <n v="3991624"/>
    <m/>
    <m/>
  </r>
  <r>
    <x v="15"/>
    <x v="4"/>
    <s v="C:\Users\andre\Desktop\REACTIV CEFAS\Tamoxifen\Tamoxifen/20201219_Cefas_Test10_Run2/Plate 4/@17/D8_01.tif "/>
    <s v=" 83988.8808 "/>
    <s v=" 47.2524 "/>
    <x v="0"/>
    <n v="3968675"/>
    <m/>
    <m/>
  </r>
  <r>
    <x v="15"/>
    <x v="4"/>
    <s v="C:\Users\andre\Desktop\REACTIV CEFAS\Tamoxifen\Tamoxifen/20201219_Cefas_Test10_Run2/Plate 4/@17/D8_02.tif "/>
    <s v=" 83275.0943 "/>
    <s v=" 46.9081 "/>
    <x v="0"/>
    <n v="3906272"/>
    <m/>
    <m/>
  </r>
  <r>
    <x v="15"/>
    <x v="4"/>
    <s v="C:\Users\andre\Desktop\REACTIV CEFAS\Tamoxifen\Tamoxifen/20201219_Cefas_Test10_Run2/Plate 4/@17/D8_03.tif "/>
    <s v=" 76267.0085 "/>
    <s v=" 44.6061 "/>
    <x v="0"/>
    <n v="3401971"/>
    <m/>
    <m/>
  </r>
  <r>
    <x v="15"/>
    <x v="4"/>
    <s v="C:\Users\andre\Desktop\REACTIV CEFAS\Tamoxifen\Tamoxifen/20201219_Cefas_Test10_Run2/Plate 4/@17/D8_04.tif "/>
    <s v=" 82734.347 "/>
    <s v=" 47.1009 "/>
    <x v="0"/>
    <n v="3896863"/>
    <m/>
    <m/>
  </r>
  <r>
    <x v="15"/>
    <x v="5"/>
    <s v="C:\Users\andre\Desktop\REACTIV CEFAS\Tamoxifen\Tamoxifen/20201219_Cefas_Test10_Run2/Plate 4/@17/E8_01.tif "/>
    <s v=" 90996.9667 "/>
    <s v=" 43.4678 "/>
    <x v="0"/>
    <n v="3955437"/>
    <m/>
    <m/>
  </r>
  <r>
    <x v="15"/>
    <x v="5"/>
    <s v="C:\Users\andre\Desktop\REACTIV CEFAS\Tamoxifen\Tamoxifen/20201219_Cefas_Test10_Run2/Plate 4/@17/E8_02.tif "/>
    <s v=" 85156.8952 "/>
    <s v=" 40.9507 "/>
    <x v="0"/>
    <n v="3487237"/>
    <m/>
    <m/>
  </r>
  <r>
    <x v="15"/>
    <x v="5"/>
    <s v="C:\Users\andre\Desktop\REACTIV CEFAS\Tamoxifen\Tamoxifen/20201219_Cefas_Test10_Run2/Plate 4/@17/E8_03.tif "/>
    <s v=" 81934.0409 "/>
    <s v=" 39.9879 "/>
    <x v="0"/>
    <n v="3276367"/>
    <m/>
    <m/>
  </r>
  <r>
    <x v="15"/>
    <x v="5"/>
    <s v="C:\Users\andre\Desktop\REACTIV CEFAS\Tamoxifen\Tamoxifen/20201219_Cefas_Test10_Run2/Plate 4/@17/E8_04.tif "/>
    <s v=" 98351.1309 "/>
    <s v=" 44.1834 "/>
    <x v="0"/>
    <n v="4345489"/>
    <m/>
    <m/>
  </r>
  <r>
    <x v="15"/>
    <x v="6"/>
    <s v="C:\Users\andre\Desktop\REACTIV CEFAS\Tamoxifen\Tamoxifen/20201219_Cefas_Test10_Run2/Plate 4/@17/F8_01.tif "/>
    <s v=" 71659.8409 "/>
    <s v=" 39.9408 "/>
    <x v="0"/>
    <n v="2862154"/>
    <m/>
    <m/>
  </r>
  <r>
    <x v="15"/>
    <x v="6"/>
    <s v="C:\Users\andre\Desktop\REACTIV CEFAS\Tamoxifen\Tamoxifen/20201219_Cefas_Test10_Run2/Plate 4/@17/F8_02.tif "/>
    <s v=" 70426.9369 "/>
    <s v=" 40.4358 "/>
    <x v="0"/>
    <n v="2847770"/>
    <m/>
    <m/>
  </r>
  <r>
    <x v="15"/>
    <x v="6"/>
    <s v="C:\Users\andre\Desktop\REACTIV CEFAS\Tamoxifen\Tamoxifen/20201219_Cefas_Test10_Run2/Plate 4/@17/F8_03.tif "/>
    <s v=" 73887.7201 "/>
    <s v=" 41.1549 "/>
    <x v="0"/>
    <n v="3040839"/>
    <m/>
    <m/>
  </r>
  <r>
    <x v="15"/>
    <x v="6"/>
    <s v="C:\Users\andre\Desktop\REACTIV CEFAS\Tamoxifen\Tamoxifen/20201219_Cefas_Test10_Run2/Plate 4/@17/F8_04.tif "/>
    <s v=" 70491.8266 "/>
    <s v=" 39.0325 "/>
    <x v="0"/>
    <n v="2751474"/>
    <m/>
    <m/>
  </r>
  <r>
    <x v="15"/>
    <x v="7"/>
    <s v="C:\Users\andre\Desktop\REACTIV CEFAS\Tamoxifen\Tamoxifen/20201219_Cefas_Test10_Run2/Plate 4/@17/G8_01.tif "/>
    <s v=" 68999.3639 "/>
    <s v=" 41.3097 "/>
    <x v="0"/>
    <n v="2850344"/>
    <m/>
    <m/>
  </r>
  <r>
    <x v="15"/>
    <x v="7"/>
    <s v="C:\Users\andre\Desktop\REACTIV CEFAS\Tamoxifen\Tamoxifen/20201219_Cefas_Test10_Run2/Plate 4/@17/G8_02.tif "/>
    <s v=" 74817.8055 "/>
    <s v=" 42.6698 "/>
    <x v="0"/>
    <n v="3192464"/>
    <m/>
    <m/>
  </r>
  <r>
    <x v="15"/>
    <x v="7"/>
    <s v="C:\Users\andre\Desktop\REACTIV CEFAS\Tamoxifen\Tamoxifen/20201219_Cefas_Test10_Run2/Plate 4/@17/G8_03.tif "/>
    <s v=" 61039.5626 "/>
    <s v=" 42.6162 "/>
    <x v="0"/>
    <n v="2601276"/>
    <m/>
    <m/>
  </r>
  <r>
    <x v="15"/>
    <x v="7"/>
    <s v="C:\Users\andre\Desktop\REACTIV CEFAS\Tamoxifen\Tamoxifen/20201219_Cefas_Test10_Run2/Plate 4/@17/G8_04.tif "/>
    <s v=" 63700.0397 "/>
    <s v=" 39.252 "/>
    <x v="0"/>
    <n v="2500351"/>
    <m/>
    <m/>
  </r>
  <r>
    <x v="15"/>
    <x v="8"/>
    <s v="C:\Users\andre\Desktop\REACTIV CEFAS\Tamoxifen\Tamoxifen/20201219_Cefas_Test10_Run2/Plate 4/@17/H8_01- exclu.tif"/>
    <m/>
    <m/>
    <x v="1"/>
    <m/>
    <m/>
    <m/>
  </r>
  <r>
    <x v="15"/>
    <x v="8"/>
    <s v="C:\Users\andre\Desktop\REACTIV CEFAS\Tamoxifen\Tamoxifen/20201219_Cefas_Test10_Run2/Plate 4/@17/H8_02.tif "/>
    <s v=" 58487.2351 "/>
    <s v=" 37.0658 "/>
    <x v="0"/>
    <n v="2167878"/>
    <m/>
    <m/>
  </r>
  <r>
    <x v="15"/>
    <x v="8"/>
    <s v="C:\Users\andre\Desktop\REACTIV CEFAS\Tamoxifen\Tamoxifen/20201219_Cefas_Test10_Run2/Plate 4/@17/H8_03.tif "/>
    <s v=" 59395.6907 "/>
    <s v=" 37.6839 "/>
    <x v="0"/>
    <n v="2238261"/>
    <m/>
    <m/>
  </r>
  <r>
    <x v="15"/>
    <x v="8"/>
    <s v="C:\Users\andre\Desktop\REACTIV CEFAS\Tamoxifen\Tamoxifen/20201219_Cefas_Test10_Run2/Plate 4/@17/H8_04.tif "/>
    <s v=" 70967.6843 "/>
    <s v=" 39.9957 "/>
    <x v="0"/>
    <n v="2838405"/>
    <m/>
    <m/>
  </r>
  <r>
    <x v="0"/>
    <x v="0"/>
    <s v=" "/>
    <m/>
    <m/>
    <x v="1"/>
    <m/>
    <m/>
    <m/>
  </r>
  <r>
    <x v="0"/>
    <x v="0"/>
    <s v="group "/>
    <s v=" "/>
    <s v=" mean of mean fluo "/>
    <x v="2"/>
    <s v=" mean of total fluo "/>
    <s v=" SD total fluo "/>
    <m/>
  </r>
  <r>
    <x v="15"/>
    <x v="9"/>
    <s v="C:\Users\andre\Desktop\REACTIV CEFAS\Tamoxifen\Tamoxifen/20201219_Cefas_Test10_Run2/Plate 4/@17/ "/>
    <s v=" "/>
    <s v=" 41.5982 "/>
    <x v="17"/>
    <s v=" 3103511.34 "/>
    <s v=" 625383.647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Tamoxifen\Tamoxifen/20201219_Cefas_Test10_Run2/Plate 4/@18/A9_01.tif "/>
    <s v=" 41810.5863 "/>
    <s v=" 37.8753 "/>
    <x v="0"/>
    <n v="1583589"/>
    <m/>
    <m/>
  </r>
  <r>
    <x v="16"/>
    <x v="1"/>
    <s v="C:\Users\andre\Desktop\REACTIV CEFAS\Tamoxifen\Tamoxifen/20201219_Cefas_Test10_Run2/Plate 4/@18/A9_02.tif "/>
    <s v=" 37268.3084 "/>
    <s v=" 37.408 "/>
    <x v="0"/>
    <n v="1394133"/>
    <m/>
    <m/>
  </r>
  <r>
    <x v="16"/>
    <x v="1"/>
    <s v="C:\Users\andre\Desktop\REACTIV CEFAS\Tamoxifen\Tamoxifen/20201219_Cefas_Test10_Run2/Plate 4/@18/A9_03- exclu.tif"/>
    <m/>
    <m/>
    <x v="1"/>
    <m/>
    <m/>
    <m/>
  </r>
  <r>
    <x v="16"/>
    <x v="1"/>
    <s v="C:\Users\andre\Desktop\REACTIV CEFAS\Tamoxifen\Tamoxifen/20201219_Cefas_Test10_Run2/Plate 4/@18/A9_04.tif "/>
    <s v=" 48018.3661 "/>
    <s v=" 37.9928 "/>
    <x v="0"/>
    <n v="1824352"/>
    <m/>
    <m/>
  </r>
  <r>
    <x v="16"/>
    <x v="2"/>
    <s v="C:\Users\andre\Desktop\REACTIV CEFAS\Tamoxifen\Tamoxifen/20201219_Cefas_Test10_Run2/Plate 4/@18/B9_01.tif "/>
    <s v=" 39020.3299 "/>
    <s v=" 37.0261 "/>
    <x v="0"/>
    <n v="1444769"/>
    <m/>
    <m/>
  </r>
  <r>
    <x v="16"/>
    <x v="2"/>
    <s v="C:\Users\andre\Desktop\REACTIV CEFAS\Tamoxifen\Tamoxifen/20201219_Cefas_Test10_Run2/Plate 4/@18/B9_02.tif "/>
    <s v=" 55545.5694 "/>
    <s v=" 38.7819 "/>
    <x v="0"/>
    <n v="2154164"/>
    <m/>
    <m/>
  </r>
  <r>
    <x v="16"/>
    <x v="2"/>
    <s v="C:\Users\andre\Desktop\REACTIV CEFAS\Tamoxifen\Tamoxifen/20201219_Cefas_Test10_Run2/Plate 4/@18/B9_03.tif "/>
    <s v=" 47412.729 "/>
    <s v=" 39.3207 "/>
    <x v="0"/>
    <n v="1864302"/>
    <m/>
    <m/>
  </r>
  <r>
    <x v="16"/>
    <x v="2"/>
    <s v="C:\Users\andre\Desktop\REACTIV CEFAS\Tamoxifen\Tamoxifen/20201219_Cefas_Test10_Run2/Plate 4/@18/B9_04.tif "/>
    <s v=" 64089.3778 "/>
    <s v=" 40.186 "/>
    <x v="0"/>
    <n v="2575493"/>
    <m/>
    <m/>
  </r>
  <r>
    <x v="16"/>
    <x v="3"/>
    <s v="C:\Users\andre\Desktop\REACTIV CEFAS\Tamoxifen\Tamoxifen/20201219_Cefas_Test10_Run2/Plate 4/@18/C9_01.tif "/>
    <s v=" 69561.7411 "/>
    <s v=" 38.635 "/>
    <x v="0"/>
    <n v="2687514"/>
    <m/>
    <m/>
  </r>
  <r>
    <x v="16"/>
    <x v="3"/>
    <s v="C:\Users\andre\Desktop\REACTIV CEFAS\Tamoxifen\Tamoxifen/20201219_Cefas_Test10_Run2/Plate 4/@18/C9_02.tif "/>
    <s v=" 69648.2607 "/>
    <s v=" 38.0748 "/>
    <x v="0"/>
    <n v="2651847"/>
    <m/>
    <m/>
  </r>
  <r>
    <x v="16"/>
    <x v="3"/>
    <s v="C:\Users\andre\Desktop\REACTIV CEFAS\Tamoxifen\Tamoxifen/20201219_Cefas_Test10_Run2/Plate 4/@18/C9_03.tif "/>
    <s v=" 81652.8522 "/>
    <s v=" 41.2188 "/>
    <x v="0"/>
    <n v="3365633"/>
    <m/>
    <m/>
  </r>
  <r>
    <x v="16"/>
    <x v="3"/>
    <s v="C:\Users\andre\Desktop\REACTIV CEFAS\Tamoxifen\Tamoxifen/20201219_Cefas_Test10_Run2/Plate 4/@18/C9_04.tif "/>
    <s v=" 82280.1192 "/>
    <s v=" 40.7384 "/>
    <x v="0"/>
    <n v="3351963"/>
    <m/>
    <m/>
  </r>
  <r>
    <x v="16"/>
    <x v="4"/>
    <s v="C:\Users\andre\Desktop\REACTIV CEFAS\Tamoxifen\Tamoxifen/20201219_Cefas_Test10_Run2/Plate 4/@18/D9_01.tif "/>
    <s v=" 76245.3786 "/>
    <s v=" 43.857 "/>
    <x v="0"/>
    <n v="3343895"/>
    <m/>
    <m/>
  </r>
  <r>
    <x v="16"/>
    <x v="4"/>
    <s v="C:\Users\andre\Desktop\REACTIV CEFAS\Tamoxifen\Tamoxifen/20201219_Cefas_Test10_Run2/Plate 4/@18/D9_02.tif "/>
    <s v=" 77997.4 "/>
    <s v=" 46.6608 "/>
    <x v="0"/>
    <n v="3639424"/>
    <m/>
    <m/>
  </r>
  <r>
    <x v="16"/>
    <x v="4"/>
    <s v="C:\Users\andre\Desktop\REACTIV CEFAS\Tamoxifen\Tamoxifen/20201219_Cefas_Test10_Run2/Plate 4/@18/D9_03.tif "/>
    <s v=" 72373.6274 "/>
    <s v=" 44.22 "/>
    <x v="0"/>
    <n v="3200359"/>
    <m/>
    <m/>
  </r>
  <r>
    <x v="16"/>
    <x v="4"/>
    <s v="C:\Users\andre\Desktop\REACTIV CEFAS\Tamoxifen\Tamoxifen/20201219_Cefas_Test10_Run2/Plate 4/@18/D9_04.tif "/>
    <s v=" 80160.3895 "/>
    <s v=" 43.8837 "/>
    <x v="0"/>
    <n v="3517735"/>
    <m/>
    <m/>
  </r>
  <r>
    <x v="16"/>
    <x v="5"/>
    <s v="C:\Users\andre\Desktop\REACTIV CEFAS\Tamoxifen\Tamoxifen/20201219_Cefas_Test10_Run2/Plate 4/@18/E9_01.tif "/>
    <s v=" 64716.6447 "/>
    <s v=" 41.7497 "/>
    <x v="0"/>
    <n v="2701898"/>
    <m/>
    <m/>
  </r>
  <r>
    <x v="16"/>
    <x v="5"/>
    <s v="C:\Users\andre\Desktop\REACTIV CEFAS\Tamoxifen\Tamoxifen/20201219_Cefas_Test10_Run2/Plate 4/@18/E9_02.tif "/>
    <s v=" 70340.4173 "/>
    <s v=" 38.6651 "/>
    <x v="0"/>
    <n v="2719721"/>
    <m/>
    <m/>
  </r>
  <r>
    <x v="16"/>
    <x v="5"/>
    <s v="C:\Users\andre\Desktop\REACTIV CEFAS\Tamoxifen\Tamoxifen/20201219_Cefas_Test10_Run2/Plate 4/@18/E9_03.tif "/>
    <s v=" 70080.8586 "/>
    <s v=" 39.3929 "/>
    <x v="0"/>
    <n v="2760688"/>
    <m/>
    <m/>
  </r>
  <r>
    <x v="16"/>
    <x v="5"/>
    <s v="C:\Users\andre\Desktop\REACTIV CEFAS\Tamoxifen\Tamoxifen/20201219_Cefas_Test10_Run2/Plate 4/@18/E9_04.tif "/>
    <s v=" 75401.8127 "/>
    <s v=" 40.868 "/>
    <x v="0"/>
    <n v="3081525"/>
    <m/>
    <m/>
  </r>
  <r>
    <x v="16"/>
    <x v="6"/>
    <s v="C:\Users\andre\Desktop\REACTIV CEFAS\Tamoxifen\Tamoxifen/20201219_Cefas_Test10_Run2/Plate 4/@18/F9_01.tif "/>
    <s v=" 77629.6918 "/>
    <s v=" 41.3831 "/>
    <x v="0"/>
    <n v="3212558"/>
    <m/>
    <m/>
  </r>
  <r>
    <x v="16"/>
    <x v="6"/>
    <s v="C:\Users\andre\Desktop\REACTIV CEFAS\Tamoxifen\Tamoxifen/20201219_Cefas_Test10_Run2/Plate 4/@18/F9_02.tif "/>
    <s v=" 86519.5785 "/>
    <s v=" 41.2302 "/>
    <x v="0"/>
    <n v="3567224"/>
    <m/>
    <m/>
  </r>
  <r>
    <x v="16"/>
    <x v="6"/>
    <s v="C:\Users\andre\Desktop\REACTIV CEFAS\Tamoxifen\Tamoxifen/20201219_Cefas_Test10_Run2/Plate 4/@18/F9_03.tif "/>
    <s v=" 82280.1192 "/>
    <s v=" 41.6351 "/>
    <x v="0"/>
    <n v="3425743"/>
    <m/>
    <m/>
  </r>
  <r>
    <x v="16"/>
    <x v="6"/>
    <s v="C:\Users\andre\Desktop\REACTIV CEFAS\Tamoxifen\Tamoxifen/20201219_Cefas_Test10_Run2/Plate 4/@18/F9_04.tif "/>
    <s v=" 76937.5352 "/>
    <s v=" 40.5415 "/>
    <x v="0"/>
    <n v="3119161"/>
    <m/>
    <m/>
  </r>
  <r>
    <x v="16"/>
    <x v="7"/>
    <s v="C:\Users\andre\Desktop\REACTIV CEFAS\Tamoxifen\Tamoxifen/20201219_Cefas_Test10_Run2/Plate 4/@18/G9_01.tif "/>
    <s v=" 80268.539 "/>
    <s v=" 41.5309 "/>
    <x v="0"/>
    <n v="3333621"/>
    <m/>
    <m/>
  </r>
  <r>
    <x v="16"/>
    <x v="7"/>
    <s v="C:\Users\andre\Desktop\REACTIV CEFAS\Tamoxifen\Tamoxifen/20201219_Cefas_Test10_Run2/Plate 4/@18/G9_02.tif "/>
    <s v=" 74255.4283 "/>
    <s v=" 40.9152 "/>
    <x v="0"/>
    <n v="3038178"/>
    <m/>
    <m/>
  </r>
  <r>
    <x v="16"/>
    <x v="7"/>
    <s v="C:\Users\andre\Desktop\REACTIV CEFAS\Tamoxifen\Tamoxifen/20201219_Cefas_Test10_Run2/Plate 4/@18/G9_03.tif "/>
    <s v=" 70816.275 "/>
    <s v=" 38.7798 "/>
    <x v="0"/>
    <n v="2746240"/>
    <m/>
    <m/>
  </r>
  <r>
    <x v="16"/>
    <x v="7"/>
    <s v="C:\Users\andre\Desktop\REACTIV CEFAS\Tamoxifen\Tamoxifen/20201219_Cefas_Test10_Run2/Plate 4/@18/G9_04.tif "/>
    <s v=" 68199.0578 "/>
    <s v=" 39.5756 "/>
    <x v="0"/>
    <n v="2699022"/>
    <m/>
    <m/>
  </r>
  <r>
    <x v="16"/>
    <x v="8"/>
    <s v="C:\Users\andre\Desktop\REACTIV CEFAS\Tamoxifen\Tamoxifen/20201219_Cefas_Test10_Run2/Plate 4/@18/H9_01.tif "/>
    <s v=" 86670.9878 "/>
    <s v=" 47.9798 "/>
    <x v="0"/>
    <n v="4158455"/>
    <m/>
    <m/>
  </r>
  <r>
    <x v="16"/>
    <x v="8"/>
    <s v="C:\Users\andre\Desktop\REACTIV CEFAS\Tamoxifen\Tamoxifen/20201219_Cefas_Test10_Run2/Plate 4/@18/H9_02.tif "/>
    <s v=" 84918.9663 "/>
    <s v=" 45.2338 "/>
    <x v="0"/>
    <n v="3841210"/>
    <m/>
    <m/>
  </r>
  <r>
    <x v="16"/>
    <x v="8"/>
    <s v="C:\Users\andre\Desktop\REACTIV CEFAS\Tamoxifen\Tamoxifen/20201219_Cefas_Test10_Run2/Plate 4/@18/H9_03.tif "/>
    <s v=" 86779.1373 "/>
    <s v=" 47.3003 "/>
    <x v="0"/>
    <n v="4104683"/>
    <m/>
    <m/>
  </r>
  <r>
    <x v="16"/>
    <x v="8"/>
    <s v="C:\Users\andre\Desktop\REACTIV CEFAS\Tamoxifen\Tamoxifen/20201219_Cefas_Test10_Run2/Plate 4/@18/H9_04.tif "/>
    <s v=" 85567.8632 "/>
    <s v=" 46.8463 "/>
    <x v="0"/>
    <n v="4008539"/>
    <m/>
    <m/>
  </r>
  <r>
    <x v="0"/>
    <x v="0"/>
    <s v=" "/>
    <m/>
    <m/>
    <x v="1"/>
    <m/>
    <m/>
    <m/>
  </r>
  <r>
    <x v="0"/>
    <x v="0"/>
    <s v="group "/>
    <s v=" "/>
    <s v=" mean of mean fluo "/>
    <x v="2"/>
    <s v=" mean of total fluo "/>
    <s v=" SD total fluo "/>
    <m/>
  </r>
  <r>
    <x v="16"/>
    <x v="9"/>
    <s v="C:\Users\andre\Desktop\REACTIV CEFAS\Tamoxifen\Tamoxifen/20201219_Cefas_Test10_Run2/Plate 4/@18/ "/>
    <s v=" "/>
    <s v=" 40.9483 "/>
    <x v="18"/>
    <s v=" 2851470.31 "/>
    <s v=" 893814.377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Tamoxifen\Tamoxifen/20201219_Cefas_Test10_Run2/Plate 4/@19/A10_01.tif "/>
    <s v=" 50029.9463 "/>
    <s v=" 40.8201 "/>
    <x v="0"/>
    <n v="2042230"/>
    <m/>
    <m/>
  </r>
  <r>
    <x v="17"/>
    <x v="1"/>
    <s v="C:\Users\andre\Desktop\REACTIV CEFAS\Tamoxifen\Tamoxifen/20201219_Cefas_Test10_Run2/Plate 4/@19/A10_02.tif "/>
    <s v=" 54312.6654 "/>
    <s v=" 42.3986 "/>
    <x v="0"/>
    <n v="2302783"/>
    <m/>
    <m/>
  </r>
  <r>
    <x v="17"/>
    <x v="1"/>
    <s v="C:\Users\andre\Desktop\REACTIV CEFAS\Tamoxifen\Tamoxifen/20201219_Cefas_Test10_Run2/Plate 4/@19/A10_03.tif "/>
    <s v=" 59027.9824 "/>
    <s v=" 41.4357 "/>
    <x v="0"/>
    <n v="2445865"/>
    <m/>
    <m/>
  </r>
  <r>
    <x v="17"/>
    <x v="1"/>
    <s v="C:\Users\andre\Desktop\REACTIV CEFAS\Tamoxifen\Tamoxifen/20201219_Cefas_Test10_Run2/Plate 4/@19/A10_04.tif "/>
    <s v=" 46439.3838 "/>
    <s v=" 38.2422 "/>
    <x v="0"/>
    <n v="1775944"/>
    <m/>
    <m/>
  </r>
  <r>
    <x v="17"/>
    <x v="2"/>
    <s v="C:\Users\andre\Desktop\REACTIV CEFAS\Tamoxifen\Tamoxifen/20201219_Cefas_Test10_Run2/Plate 4/@19/B10_01.tif "/>
    <s v=" 62661.8047 "/>
    <s v=" 38.583 "/>
    <x v="0"/>
    <n v="2417681"/>
    <m/>
    <m/>
  </r>
  <r>
    <x v="17"/>
    <x v="2"/>
    <s v="C:\Users\andre\Desktop\REACTIV CEFAS\Tamoxifen\Tamoxifen/20201219_Cefas_Test10_Run2/Plate 4/@19/B10_02.tif "/>
    <s v=" 58054.6372 "/>
    <s v=" 38.1073 "/>
    <x v="0"/>
    <n v="2212306"/>
    <m/>
    <m/>
  </r>
  <r>
    <x v="17"/>
    <x v="2"/>
    <s v="C:\Users\andre\Desktop\REACTIV CEFAS\Tamoxifen\Tamoxifen/20201219_Cefas_Test10_Run2/Plate 4/@19/B10_03.tif "/>
    <s v=" 56324.2456 "/>
    <s v=" 36.2746 "/>
    <x v="0"/>
    <n v="2043138"/>
    <m/>
    <m/>
  </r>
  <r>
    <x v="17"/>
    <x v="2"/>
    <s v="C:\Users\andre\Desktop\REACTIV CEFAS\Tamoxifen\Tamoxifen/20201219_Cefas_Test10_Run2/Plate 4/@19/B10_04.tif "/>
    <s v=" 54312.6654 "/>
    <s v=" 36.5157 "/>
    <x v="0"/>
    <n v="1983267"/>
    <m/>
    <m/>
  </r>
  <r>
    <x v="17"/>
    <x v="3"/>
    <s v="C:\Users\andre\Desktop\REACTIV CEFAS\Tamoxifen\Tamoxifen/20201219_Cefas_Test10_Run2/Plate 4/@19/C10_01.tif "/>
    <s v=" 72914.3748 "/>
    <s v=" 37.3311 "/>
    <x v="0"/>
    <n v="2721971"/>
    <m/>
    <m/>
  </r>
  <r>
    <x v="17"/>
    <x v="3"/>
    <s v="C:\Users\andre\Desktop\REACTIV CEFAS\Tamoxifen\Tamoxifen/20201219_Cefas_Test10_Run2/Plate 4/@19/C10_02.tif "/>
    <s v=" 57816.7083 "/>
    <s v=" 36.2357 "/>
    <x v="0"/>
    <n v="2095028"/>
    <m/>
    <m/>
  </r>
  <r>
    <x v="17"/>
    <x v="3"/>
    <s v="C:\Users\andre\Desktop\REACTIV CEFAS\Tamoxifen\Tamoxifen/20201219_Cefas_Test10_Run2/Plate 4/@19/C10_03.tif "/>
    <s v=" 50376.0246 "/>
    <s v=" 35.5071 "/>
    <x v="0"/>
    <n v="1788706"/>
    <m/>
    <m/>
  </r>
  <r>
    <x v="17"/>
    <x v="3"/>
    <s v="C:\Users\andre\Desktop\REACTIV CEFAS\Tamoxifen\Tamoxifen/20201219_Cefas_Test10_Run2/Plate 4/@19/C10_04.tif "/>
    <s v=" 71703.1007 "/>
    <s v=" 37.6627 "/>
    <x v="0"/>
    <n v="2700536"/>
    <m/>
    <m/>
  </r>
  <r>
    <x v="17"/>
    <x v="4"/>
    <s v="C:\Users\andre\Desktop\REACTIV CEFAS\Tamoxifen\Tamoxifen/20201219_Cefas_Test10_Run2/Plate 4/@19/D10_01.tif "/>
    <s v=" 56345.8755 "/>
    <s v=" 38.3762 "/>
    <x v="0"/>
    <n v="2162341"/>
    <m/>
    <m/>
  </r>
  <r>
    <x v="17"/>
    <x v="4"/>
    <s v="C:\Users\andre\Desktop\REACTIV CEFAS\Tamoxifen\Tamoxifen/20201219_Cefas_Test10_Run2/Plate 4/@19/D10_02.tif "/>
    <s v=" 60888.1534 "/>
    <s v=" 39.5776 "/>
    <x v="0"/>
    <n v="2409808"/>
    <m/>
    <m/>
  </r>
  <r>
    <x v="17"/>
    <x v="4"/>
    <s v="C:\Users\andre\Desktop\REACTIV CEFAS\Tamoxifen\Tamoxifen/20201219_Cefas_Test10_Run2/Plate 4/@19/D10_03.tif "/>
    <s v=" 60347.406 "/>
    <s v=" 40.2513 "/>
    <x v="0"/>
    <n v="2429059"/>
    <m/>
    <m/>
  </r>
  <r>
    <x v="17"/>
    <x v="4"/>
    <s v="C:\Users\andre\Desktop\REACTIV CEFAS\Tamoxifen\Tamoxifen/20201219_Cefas_Test10_Run2/Plate 4/@19/D10_04.tif "/>
    <s v=" 55307.6406 "/>
    <s v=" 37.991 "/>
    <x v="0"/>
    <n v="2101193"/>
    <m/>
    <m/>
  </r>
  <r>
    <x v="17"/>
    <x v="5"/>
    <s v="C:\Users\andre\Desktop\REACTIV CEFAS\Tamoxifen\Tamoxifen/20201219_Cefas_Test10_Run2/Plate 4/@19/E10_01.tif "/>
    <s v=" 75661.3714 "/>
    <s v=" 40.4623 "/>
    <x v="0"/>
    <n v="3061430"/>
    <m/>
    <m/>
  </r>
  <r>
    <x v="17"/>
    <x v="5"/>
    <s v="C:\Users\andre\Desktop\REACTIV CEFAS\Tamoxifen\Tamoxifen/20201219_Cefas_Test10_Run2/Plate 4/@19/E10_02.tif "/>
    <s v=" 86800.7671 "/>
    <s v=" 43.3053 "/>
    <x v="0"/>
    <n v="3758930"/>
    <m/>
    <m/>
  </r>
  <r>
    <x v="17"/>
    <x v="5"/>
    <s v="C:\Users\andre\Desktop\REACTIV CEFAS\Tamoxifen\Tamoxifen/20201219_Cefas_Test10_Run2/Plate 4/@19/E10_03.tif "/>
    <s v=" 78689.5567 "/>
    <s v=" 39.3035 "/>
    <x v="0"/>
    <n v="3092772"/>
    <m/>
    <m/>
  </r>
  <r>
    <x v="17"/>
    <x v="5"/>
    <s v="C:\Users\andre\Desktop\REACTIV CEFAS\Tamoxifen\Tamoxifen/20201219_Cefas_Test10_Run2/Plate 4/@19/E10_04.tif "/>
    <s v=" 78386.7381 "/>
    <s v=" 37.3982 "/>
    <x v="0"/>
    <n v="2931521"/>
    <m/>
    <m/>
  </r>
  <r>
    <x v="17"/>
    <x v="6"/>
    <s v="C:\Users\andre\Desktop\REACTIV CEFAS\Tamoxifen\Tamoxifen/20201219_Cefas_Test10_Run2/Plate 4/@19/F10_01.tif "/>
    <s v=" 28183.7527 "/>
    <s v=" 36.6807 "/>
    <x v="0"/>
    <n v="1033801"/>
    <m/>
    <m/>
  </r>
  <r>
    <x v="17"/>
    <x v="6"/>
    <s v="C:\Users\andre\Desktop\REACTIV CEFAS\Tamoxifen\Tamoxifen/20201219_Cefas_Test10_Run2/Plate 4/@19/F10_02.tif "/>
    <s v=" 22624.8698 "/>
    <s v=" 35.5755 "/>
    <x v="0"/>
    <n v="804892"/>
    <m/>
    <m/>
  </r>
  <r>
    <x v="17"/>
    <x v="6"/>
    <s v="C:\Users\andre\Desktop\REACTIV CEFAS\Tamoxifen\Tamoxifen/20201219_Cefas_Test10_Run2/Plate 4/@19/F10_03.tif "/>
    <s v=" 20288.8412 "/>
    <s v=" 35.7015 "/>
    <x v="0"/>
    <n v="724342"/>
    <m/>
    <m/>
  </r>
  <r>
    <x v="17"/>
    <x v="6"/>
    <s v="C:\Users\andre\Desktop\REACTIV CEFAS\Tamoxifen\Tamoxifen/20201219_Cefas_Test10_Run2/Plate 4/@19/F10_04.tif "/>
    <s v=" 14729.9582 "/>
    <s v=" 33.7709 "/>
    <x v="0"/>
    <n v="497444"/>
    <m/>
    <m/>
  </r>
  <r>
    <x v="17"/>
    <x v="7"/>
    <s v="C:\Users\andre\Desktop\REACTIV CEFAS\Tamoxifen\Tamoxifen/20201219_Cefas_Test10_Run2/Plate 4/@19/G10_01.tif "/>
    <s v=" 33937.3047 "/>
    <s v=" 36.2741 "/>
    <x v="0"/>
    <n v="1231044"/>
    <m/>
    <m/>
  </r>
  <r>
    <x v="17"/>
    <x v="7"/>
    <s v="C:\Users\andre\Desktop\REACTIV CEFAS\Tamoxifen\Tamoxifen/20201219_Cefas_Test10_Run2/Plate 4/@19/G10_02.tif "/>
    <s v=" 37571.127 "/>
    <s v=" 34.2096 "/>
    <x v="0"/>
    <n v="1285292"/>
    <m/>
    <m/>
  </r>
  <r>
    <x v="17"/>
    <x v="7"/>
    <s v="C:\Users\andre\Desktop\REACTIV CEFAS\Tamoxifen\Tamoxifen/20201219_Cefas_Test10_Run2/Plate 4/@19/G10_03.tif "/>
    <s v=" 38220.0238 "/>
    <s v=" 35.1483 "/>
    <x v="0"/>
    <n v="1343368"/>
    <m/>
    <m/>
  </r>
  <r>
    <x v="17"/>
    <x v="7"/>
    <s v="C:\Users\andre\Desktop\REACTIV CEFAS\Tamoxifen\Tamoxifen/20201219_Cefas_Test10_Run2/Plate 4/@19/G10_04.tif "/>
    <s v=" 51955.0069 "/>
    <s v=" 36.8306 "/>
    <x v="0"/>
    <n v="1913532"/>
    <m/>
    <m/>
  </r>
  <r>
    <x v="17"/>
    <x v="8"/>
    <s v="C:\Users\andre\Desktop\REACTIV CEFAS\Tamoxifen\Tamoxifen/20201219_Cefas_Test10_Run2/Plate 4/@19/H10_01.tif "/>
    <s v=" 33721.0057 "/>
    <s v=" 39.5561 "/>
    <x v="0"/>
    <n v="1333872"/>
    <m/>
    <m/>
  </r>
  <r>
    <x v="17"/>
    <x v="8"/>
    <s v="C:\Users\andre\Desktop\REACTIV CEFAS\Tamoxifen\Tamoxifen/20201219_Cefas_Test10_Run2/Plate 4/@19/H10_02.tif "/>
    <s v=" 27989.0836 "/>
    <s v=" 36.1491 "/>
    <x v="0"/>
    <n v="1011782"/>
    <m/>
    <m/>
  </r>
  <r>
    <x v="17"/>
    <x v="8"/>
    <s v="C:\Users\andre\Desktop\REACTIV CEFAS\Tamoxifen\Tamoxifen/20201219_Cefas_Test10_Run2/Plate 4/@19/H10_03.tif "/>
    <s v=" 38414.6929 "/>
    <s v=" 39.8846 "/>
    <x v="0"/>
    <n v="1532154"/>
    <m/>
    <m/>
  </r>
  <r>
    <x v="17"/>
    <x v="8"/>
    <s v="C:\Users\andre\Desktop\REACTIV CEFAS\Tamoxifen\Tamoxifen/20201219_Cefas_Test10_Run2/Plate 4/@19/H10_04.tif "/>
    <s v=" 34002.1944 "/>
    <s v=" 37.4472 "/>
    <x v="0"/>
    <n v="1273287"/>
    <m/>
    <m/>
  </r>
  <r>
    <x v="0"/>
    <x v="0"/>
    <s v=" "/>
    <m/>
    <m/>
    <x v="1"/>
    <m/>
    <m/>
    <m/>
  </r>
  <r>
    <x v="0"/>
    <x v="0"/>
    <s v="group "/>
    <s v=" "/>
    <s v=" mean of mean fluo "/>
    <x v="2"/>
    <s v=" mean of total fluo "/>
    <s v=" SD total fluo "/>
    <m/>
  </r>
  <r>
    <x v="17"/>
    <x v="9"/>
    <s v="C:\Users\andre\Desktop\REACTIV CEFAS\Tamoxifen\Tamoxifen/20201219_Cefas_Test10_Run2/Plate 4/@19/ "/>
    <s v=" "/>
    <s v=" 37.9065 "/>
    <x v="19"/>
    <s v=" 1951916.22 "/>
    <s v=" 765835.604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Tamoxifen\Tamoxifen/20201219_Cefas_Test10_Run2/Plate 4/@20/A11_01.tif "/>
    <s v=" 42416.2234 "/>
    <s v=" 34.5237 "/>
    <x v="0"/>
    <n v="1464365"/>
    <m/>
    <m/>
  </r>
  <r>
    <x v="18"/>
    <x v="1"/>
    <s v="C:\Users\andre\Desktop\REACTIV CEFAS\Tamoxifen\Tamoxifen/20201219_Cefas_Test10_Run2/Plate 4/@20/A11_02.tif "/>
    <s v=" 49078.2309 "/>
    <s v=" 35.372 "/>
    <x v="0"/>
    <n v="1735994"/>
    <m/>
    <m/>
  </r>
  <r>
    <x v="18"/>
    <x v="1"/>
    <s v="C:\Users\andre\Desktop\REACTIV CEFAS\Tamoxifen\Tamoxifen/20201219_Cefas_Test10_Run2/Plate 4/@20/A11_03.tif "/>
    <s v=" 35754.2158 "/>
    <s v=" 34.464 "/>
    <x v="0"/>
    <n v="1232233"/>
    <m/>
    <m/>
  </r>
  <r>
    <x v="18"/>
    <x v="1"/>
    <s v="C:\Users\andre\Desktop\REACTIV CEFAS\Tamoxifen\Tamoxifen/20201219_Cefas_Test10_Run2/Plate 4/@20/A11_04.tif "/>
    <s v=" 57643.6692 "/>
    <s v=" 36.2942 "/>
    <x v="0"/>
    <n v="2092130"/>
    <m/>
    <m/>
  </r>
  <r>
    <x v="18"/>
    <x v="2"/>
    <s v="C:\Users\andre\Desktop\REACTIV CEFAS\Tamoxifen\Tamoxifen/20201219_Cefas_Test10_Run2/Plate 4/@20/B11_01.tif "/>
    <s v=" 40426.2731 "/>
    <s v=" 34.0578 "/>
    <x v="0"/>
    <n v="1376829"/>
    <m/>
    <m/>
  </r>
  <r>
    <x v="18"/>
    <x v="2"/>
    <s v="C:\Users\andre\Desktop\REACTIV CEFAS\Tamoxifen\Tamoxifen/20201219_Cefas_Test10_Run2/Plate 4/@20/B11_02.tif "/>
    <s v=" 43714.017 "/>
    <s v=" 35.6373 "/>
    <x v="0"/>
    <n v="1557850"/>
    <m/>
    <m/>
  </r>
  <r>
    <x v="18"/>
    <x v="2"/>
    <s v="C:\Users\andre\Desktop\REACTIV CEFAS\Tamoxifen\Tamoxifen/20201219_Cefas_Test10_Run2/Plate 4/@20/B11_03.tif "/>
    <s v=" 31147.0483 "/>
    <s v=" 34.0986 "/>
    <x v="0"/>
    <n v="1062071"/>
    <m/>
    <m/>
  </r>
  <r>
    <x v="18"/>
    <x v="2"/>
    <s v="C:\Users\andre\Desktop\REACTIV CEFAS\Tamoxifen\Tamoxifen/20201219_Cefas_Test10_Run2/Plate 4/@20/B11_04.tif "/>
    <s v=" 33028.8491 "/>
    <s v=" 34.1081 "/>
    <x v="0"/>
    <n v="1126550"/>
    <m/>
    <m/>
  </r>
  <r>
    <x v="18"/>
    <x v="3"/>
    <s v="C:\Users\andre\Desktop\REACTIV CEFAS\Tamoxifen\Tamoxifen/20201219_Cefas_Test10_Run2/Plate 4/@20/C11_01.tif "/>
    <s v=" 45076.7004 "/>
    <s v=" 35.1497 "/>
    <x v="0"/>
    <n v="1584433"/>
    <m/>
    <m/>
  </r>
  <r>
    <x v="18"/>
    <x v="3"/>
    <s v="C:\Users\andre\Desktop\REACTIV CEFAS\Tamoxifen\Tamoxifen/20201219_Cefas_Test10_Run2/Plate 4/@20/C11_02.tif "/>
    <s v=" 49143.1206 "/>
    <s v=" 35.5 "/>
    <x v="0"/>
    <n v="1744581"/>
    <m/>
    <m/>
  </r>
  <r>
    <x v="18"/>
    <x v="3"/>
    <s v="C:\Users\andre\Desktop\REACTIV CEFAS\Tamoxifen\Tamoxifen/20201219_Cefas_Test10_Run2/Plate 4/@20/C11_03.tif "/>
    <s v=" 46655.6827 "/>
    <s v=" 35.3547 "/>
    <x v="0"/>
    <n v="1649496"/>
    <m/>
    <m/>
  </r>
  <r>
    <x v="18"/>
    <x v="3"/>
    <s v="C:\Users\andre\Desktop\REACTIV CEFAS\Tamoxifen\Tamoxifen/20201219_Cefas_Test10_Run2/Plate 4/@20/C11_04.tif "/>
    <s v=" 43259.7893 "/>
    <s v=" 34.604 "/>
    <x v="0"/>
    <n v="1496962"/>
    <m/>
    <m/>
  </r>
  <r>
    <x v="18"/>
    <x v="4"/>
    <s v="C:\Users\andre\Desktop\REACTIV CEFAS\Tamoxifen\Tamoxifen/20201219_Cefas_Test10_Run2/Plate 4/@20/D11_01- exclu.tif"/>
    <m/>
    <m/>
    <x v="1"/>
    <m/>
    <m/>
    <m/>
  </r>
  <r>
    <x v="18"/>
    <x v="4"/>
    <s v="C:\Users\andre\Desktop\REACTIV CEFAS\Tamoxifen\Tamoxifen/20201219_Cefas_Test10_Run2/Plate 4/@20/D11_02.tif "/>
    <s v=" 73476.7521 "/>
    <s v=" 40.1048 "/>
    <x v="0"/>
    <n v="2946770"/>
    <m/>
    <m/>
  </r>
  <r>
    <x v="18"/>
    <x v="4"/>
    <s v="C:\Users\andre\Desktop\REACTIV CEFAS\Tamoxifen\Tamoxifen/20201219_Cefas_Test10_Run2/Plate 4/@20/D11_03- exclu.tif"/>
    <m/>
    <m/>
    <x v="1"/>
    <m/>
    <m/>
    <m/>
  </r>
  <r>
    <x v="18"/>
    <x v="4"/>
    <s v="C:\Users\andre\Desktop\REACTIV CEFAS\Tamoxifen\Tamoxifen/20201219_Cefas_Test10_Run2/Plate 4/@20/D11_04.tif "/>
    <s v=" 56648.694 "/>
    <s v=" 43.3635 "/>
    <x v="0"/>
    <n v="2456486"/>
    <m/>
    <m/>
  </r>
  <r>
    <x v="18"/>
    <x v="5"/>
    <s v="C:\Users\andre\Desktop\REACTIV CEFAS\Tamoxifen\Tamoxifen/20201219_Cefas_Test10_Run2/Plate 4/@20/E11_01.tif "/>
    <s v=" 15876.3427 "/>
    <s v=" 34.451 "/>
    <x v="0"/>
    <n v="546955"/>
    <m/>
    <m/>
  </r>
  <r>
    <x v="18"/>
    <x v="5"/>
    <s v="C:\Users\andre\Desktop\REACTIV CEFAS\Tamoxifen\Tamoxifen/20201219_Cefas_Test10_Run2/Plate 4/@20/E11_02.tif "/>
    <s v=" 21240.5565 "/>
    <s v=" 34.2261 "/>
    <x v="0"/>
    <n v="726981"/>
    <m/>
    <m/>
  </r>
  <r>
    <x v="18"/>
    <x v="5"/>
    <s v="C:\Users\andre\Desktop\REACTIV CEFAS\Tamoxifen\Tamoxifen/20201219_Cefas_Test10_Run2/Plate 4/@20/E11_03.tif "/>
    <s v=" 16611.7591 "/>
    <s v=" 33.4036 "/>
    <x v="0"/>
    <n v="554893"/>
    <m/>
    <m/>
  </r>
  <r>
    <x v="18"/>
    <x v="5"/>
    <s v="C:\Users\andre\Desktop\REACTIV CEFAS\Tamoxifen\Tamoxifen/20201219_Cefas_Test10_Run2/Plate 4/@20/E11_04.tif "/>
    <s v=" 38328.1733 "/>
    <s v=" 37.6168 "/>
    <x v="0"/>
    <n v="1441784"/>
    <m/>
    <m/>
  </r>
  <r>
    <x v="18"/>
    <x v="6"/>
    <s v="C:\Users\andre\Desktop\REACTIV CEFAS\Tamoxifen\Tamoxifen/20201219_Cefas_Test10_Run2/Plate 4/@20/F11_01.tif "/>
    <s v=" 67312.2321 "/>
    <s v=" 36.9431 "/>
    <x v="0"/>
    <n v="2486724"/>
    <m/>
    <m/>
  </r>
  <r>
    <x v="18"/>
    <x v="6"/>
    <s v="C:\Users\andre\Desktop\REACTIV CEFAS\Tamoxifen\Tamoxifen/20201219_Cefas_Test10_Run2/Plate 4/@20/F11_02.tif "/>
    <s v=" 75704.6312 "/>
    <s v=" 37.204 "/>
    <x v="0"/>
    <n v="2816515"/>
    <m/>
    <m/>
  </r>
  <r>
    <x v="18"/>
    <x v="6"/>
    <s v="C:\Users\andre\Desktop\REACTIV CEFAS\Tamoxifen\Tamoxifen/20201219_Cefas_Test10_Run2/Plate 4/@20/F11_03.tif "/>
    <s v=" 62791.5841 "/>
    <s v=" 35.226 "/>
    <x v="0"/>
    <n v="2211895"/>
    <m/>
    <m/>
  </r>
  <r>
    <x v="18"/>
    <x v="6"/>
    <s v="C:\Users\andre\Desktop\REACTIV CEFAS\Tamoxifen\Tamoxifen/20201219_Cefas_Test10_Run2/Plate 4/@20/F11_04.tif "/>
    <s v=" 56627.0641 "/>
    <s v=" 36.0458 "/>
    <x v="0"/>
    <n v="2041170"/>
    <m/>
    <m/>
  </r>
  <r>
    <x v="18"/>
    <x v="7"/>
    <s v="C:\Users\andre\Desktop\REACTIV CEFAS\Tamoxifen\Tamoxifen/20201219_Cefas_Test10_Run2/Plate 4/@20/G11_01.tif "/>
    <s v=" 36165.1838 "/>
    <s v=" 35.695 "/>
    <x v="0"/>
    <n v="1290915"/>
    <m/>
    <m/>
  </r>
  <r>
    <x v="18"/>
    <x v="7"/>
    <s v="C:\Users\andre\Desktop\REACTIV CEFAS\Tamoxifen\Tamoxifen/20201219_Cefas_Test10_Run2/Plate 4/@20/G11_02.tif "/>
    <s v=" 51197.9606 "/>
    <s v=" 39.2273 "/>
    <x v="0"/>
    <n v="2008357"/>
    <m/>
    <m/>
  </r>
  <r>
    <x v="18"/>
    <x v="7"/>
    <s v="C:\Users\andre\Desktop\REACTIV CEFAS\Tamoxifen\Tamoxifen/20201219_Cefas_Test10_Run2/Plate 4/@20/G11_03.tif "/>
    <s v=" 34434.7922 "/>
    <s v=" 35.9868 "/>
    <x v="0"/>
    <n v="1239198"/>
    <m/>
    <m/>
  </r>
  <r>
    <x v="18"/>
    <x v="7"/>
    <s v="C:\Users\andre\Desktop\REACTIV CEFAS\Tamoxifen\Tamoxifen/20201219_Cefas_Test10_Run2/Plate 4/@20/G11_04.tif "/>
    <s v=" 39972.0453 "/>
    <s v=" 37.1153 "/>
    <x v="0"/>
    <n v="1483573"/>
    <m/>
    <m/>
  </r>
  <r>
    <x v="18"/>
    <x v="8"/>
    <s v="C:\Users\andre\Desktop\REACTIV CEFAS\Tamoxifen\Tamoxifen/20201219_Cefas_Test10_Run2/Plate 4/@20/H11_01.tif "/>
    <s v=" 6705.2673 "/>
    <s v=" 33.371 "/>
    <x v="0"/>
    <n v="223761"/>
    <m/>
    <m/>
  </r>
  <r>
    <x v="18"/>
    <x v="8"/>
    <s v="C:\Users\andre\Desktop\REACTIV CEFAS\Tamoxifen\Tamoxifen/20201219_Cefas_Test10_Run2/Plate 4/@20/H11_02.tif "/>
    <s v=" 5472.3633 "/>
    <s v=" 33.1502 "/>
    <x v="0"/>
    <n v="181410"/>
    <m/>
    <m/>
  </r>
  <r>
    <x v="18"/>
    <x v="8"/>
    <s v="C:\Users\andre\Desktop\REACTIV CEFAS\Tamoxifen\Tamoxifen/20201219_Cefas_Test10_Run2/Plate 4/@20/H11_03.tif "/>
    <s v=" 7029.7158 "/>
    <s v=" 33.3292 "/>
    <x v="0"/>
    <n v="234295"/>
    <m/>
    <m/>
  </r>
  <r>
    <x v="18"/>
    <x v="8"/>
    <s v="C:\Users\andre\Desktop\REACTIV CEFAS\Tamoxifen\Tamoxifen/20201219_Cefas_Test10_Run2/Plate 4/@20/H11_04.tif "/>
    <s v=" 5407.4737 "/>
    <s v=" 34.224 "/>
    <x v="0"/>
    <n v="185065"/>
    <m/>
    <m/>
  </r>
  <r>
    <x v="18"/>
    <x v="10"/>
    <s v="C:\Users\andre\Desktop\REACTIV CEFAS\Tamoxifen\Tamoxifen/20201219_Cefas_Test10_Run2/Plate 4/@20/I11_01- exclu.tif"/>
    <m/>
    <m/>
    <x v="1"/>
    <m/>
    <m/>
    <m/>
  </r>
  <r>
    <x v="18"/>
    <x v="10"/>
    <s v="C:\Users\andre\Desktop\REACTIV CEFAS\Tamoxifen\Tamoxifen/20201219_Cefas_Test10_Run2/Plate 4/@20/I11_02- exclu.tif"/>
    <m/>
    <m/>
    <x v="1"/>
    <m/>
    <m/>
    <m/>
  </r>
  <r>
    <x v="18"/>
    <x v="10"/>
    <s v="C:\Users\andre\Desktop\REACTIV CEFAS\Tamoxifen\Tamoxifen/20201219_Cefas_Test10_Run2/Plate 4/@20/I11_03- exclu.tif"/>
    <m/>
    <m/>
    <x v="1"/>
    <m/>
    <m/>
    <m/>
  </r>
  <r>
    <x v="18"/>
    <x v="10"/>
    <s v="C:\Users\andre\Desktop\REACTIV CEFAS\Tamoxifen\Tamoxifen/20201219_Cefas_Test10_Run2/Plate 4/@20/I11_04- exclu.tif"/>
    <m/>
    <m/>
    <x v="1"/>
    <m/>
    <m/>
    <m/>
  </r>
  <r>
    <x v="0"/>
    <x v="0"/>
    <s v=" "/>
    <m/>
    <m/>
    <x v="1"/>
    <m/>
    <m/>
    <m/>
  </r>
  <r>
    <x v="0"/>
    <x v="0"/>
    <s v="group "/>
    <s v=" "/>
    <s v=" mean of mean fluo "/>
    <x v="2"/>
    <s v=" mean of total fluo "/>
    <s v=" SD total fluo "/>
    <m/>
  </r>
  <r>
    <x v="18"/>
    <x v="9"/>
    <s v="C:\Users\andre\Desktop\REACTIV CEFAS\Tamoxifen\Tamoxifen/20201219_Cefas_Test10_Run2/Plate 4/@20/ "/>
    <s v=" "/>
    <s v=" 36.0086 "/>
    <x v="20"/>
    <s v=" 1352940.25 "/>
    <s v=" 786536.278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Tamoxifen\Tamoxifen/20201219_Cefas_Test10_Run2/Plate 4/@21/A12_01.tif "/>
    <s v=" 21175.6668 "/>
    <s v=" 32.6701 "/>
    <x v="0"/>
    <n v="691811"/>
    <m/>
    <m/>
  </r>
  <r>
    <x v="19"/>
    <x v="1"/>
    <s v="C:\Users\andre\Desktop\REACTIV CEFAS\Tamoxifen\Tamoxifen/20201219_Cefas_Test10_Run2/Plate 4/@21/A12_02.tif "/>
    <s v=" 25717.9447 "/>
    <s v=" 32.9865 "/>
    <x v="0"/>
    <n v="848346"/>
    <m/>
    <m/>
  </r>
  <r>
    <x v="19"/>
    <x v="1"/>
    <s v="C:\Users\andre\Desktop\REACTIV CEFAS\Tamoxifen\Tamoxifen/20201219_Cefas_Test10_Run2/Plate 4/@21/A12_03.tif "/>
    <s v=" 40772.3514 "/>
    <s v=" 35.7146 "/>
    <x v="0"/>
    <n v="1456168"/>
    <m/>
    <m/>
  </r>
  <r>
    <x v="19"/>
    <x v="1"/>
    <s v="C:\Users\andre\Desktop\REACTIV CEFAS\Tamoxifen\Tamoxifen/20201219_Cefas_Test10_Run2/Plate 4/@21/A12_04- exclu.tif"/>
    <m/>
    <m/>
    <x v="1"/>
    <m/>
    <m/>
    <m/>
  </r>
  <r>
    <x v="19"/>
    <x v="2"/>
    <s v="C:\Users\andre\Desktop\REACTIV CEFAS\Tamoxifen\Tamoxifen/20201219_Cefas_Test10_Run2/Plate 4/@21/B12_01.tif "/>
    <s v=" 52841.8326 "/>
    <s v=" 36.1834 "/>
    <x v="0"/>
    <n v="1911996"/>
    <m/>
    <m/>
  </r>
  <r>
    <x v="19"/>
    <x v="2"/>
    <s v="C:\Users\andre\Desktop\REACTIV CEFAS\Tamoxifen\Tamoxifen/20201219_Cefas_Test10_Run2/Plate 4/@21/B12_02.tif "/>
    <s v=" 59201.0216 "/>
    <s v=" 37.1893 "/>
    <x v="0"/>
    <n v="2201642"/>
    <m/>
    <m/>
  </r>
  <r>
    <x v="19"/>
    <x v="2"/>
    <s v="C:\Users\andre\Desktop\REACTIV CEFAS\Tamoxifen\Tamoxifen/20201219_Cefas_Test10_Run2/Plate 4/@21/B12_03.tif "/>
    <s v=" 44514.3231 "/>
    <s v=" 35.6866 "/>
    <x v="0"/>
    <n v="1588564"/>
    <m/>
    <m/>
  </r>
  <r>
    <x v="19"/>
    <x v="2"/>
    <s v="C:\Users\andre\Desktop\REACTIV CEFAS\Tamoxifen\Tamoxifen/20201219_Cefas_Test10_Run2/Plate 4/@21/B12_04.tif "/>
    <s v=" 40101.8246 "/>
    <s v=" 35.3296 "/>
    <x v="0"/>
    <n v="1416780"/>
    <m/>
    <m/>
  </r>
  <r>
    <x v="19"/>
    <x v="3"/>
    <s v="C:\Users\andre\Desktop\REACTIV CEFAS\Tamoxifen\Tamoxifen/20201219_Cefas_Test10_Run2/Plate 4/@21/C12_01.tif "/>
    <s v=" 15249.0757 "/>
    <s v=" 35.3149 "/>
    <x v="0"/>
    <n v="538519"/>
    <m/>
    <m/>
  </r>
  <r>
    <x v="19"/>
    <x v="3"/>
    <s v="C:\Users\andre\Desktop\REACTIV CEFAS\Tamoxifen\Tamoxifen/20201219_Cefas_Test10_Run2/Plate 4/@21/C12_02.tif "/>
    <s v=" 14708.3283 "/>
    <s v=" 36.7809 "/>
    <x v="0"/>
    <n v="540985"/>
    <m/>
    <m/>
  </r>
  <r>
    <x v="19"/>
    <x v="3"/>
    <s v="C:\Users\andre\Desktop\REACTIV CEFAS\Tamoxifen\Tamoxifen/20201219_Cefas_Test10_Run2/Plate 4/@21/C12_03.tif "/>
    <s v=" 18753.1186 "/>
    <s v=" 38.1027 "/>
    <x v="0"/>
    <n v="714544"/>
    <m/>
    <m/>
  </r>
  <r>
    <x v="19"/>
    <x v="3"/>
    <s v="C:\Users\andre\Desktop\REACTIV CEFAS\Tamoxifen\Tamoxifen/20201219_Cefas_Test10_Run2/Plate 4/@21/C12_04.tif "/>
    <s v=" 2162.9895 "/>
    <s v=" 32.46 "/>
    <x v="0"/>
    <n v="70211"/>
    <m/>
    <m/>
  </r>
  <r>
    <x v="19"/>
    <x v="4"/>
    <s v="C:\Users\andre\Desktop\REACTIV CEFAS\Tamoxifen\Tamoxifen/20201219_Cefas_Test10_Run2/Plate 4/@21/D12_01.tif "/>
    <s v=" 25350.2365 "/>
    <s v=" 36.0452 "/>
    <x v="0"/>
    <n v="913755"/>
    <m/>
    <m/>
  </r>
  <r>
    <x v="19"/>
    <x v="4"/>
    <s v="C:\Users\andre\Desktop\REACTIV CEFAS\Tamoxifen\Tamoxifen/20201219_Cefas_Test10_Run2/Plate 4/@21/D12_02.tif "/>
    <s v=" 17801.4033 "/>
    <s v=" 34.0729 "/>
    <x v="0"/>
    <n v="606546"/>
    <m/>
    <m/>
  </r>
  <r>
    <x v="19"/>
    <x v="4"/>
    <s v="C:\Users\andre\Desktop\REACTIV CEFAS\Tamoxifen\Tamoxifen/20201219_Cefas_Test10_Run2/Plate 4/@21/D12_03.tif "/>
    <s v=" 14838.1077 "/>
    <s v=" 34.1239 "/>
    <x v="0"/>
    <n v="506334"/>
    <m/>
    <m/>
  </r>
  <r>
    <x v="19"/>
    <x v="4"/>
    <s v="C:\Users\andre\Desktop\REACTIV CEFAS\Tamoxifen\Tamoxifen/20201219_Cefas_Test10_Run2/Plate 4/@21/D12_04.tif "/>
    <s v=" 15249.0757 "/>
    <s v=" 33.9021 "/>
    <x v="0"/>
    <n v="516976"/>
    <m/>
    <m/>
  </r>
  <r>
    <x v="19"/>
    <x v="5"/>
    <s v="C:\Users\andre\Desktop\REACTIV CEFAS\Tamoxifen\Tamoxifen/20201219_Cefas_Test10_Run2/Plate 4/@21/E12_01.tif "/>
    <s v=" 3741.9718 "/>
    <s v=" 34.2428 "/>
    <x v="0"/>
    <n v="128135"/>
    <m/>
    <m/>
  </r>
  <r>
    <x v="19"/>
    <x v="5"/>
    <s v="C:\Users\andre\Desktop\REACTIV CEFAS\Tamoxifen\Tamoxifen/20201219_Cefas_Test10_Run2/Plate 4/@21/E12_02.tif "/>
    <s v=" 5299.3242 "/>
    <s v=" 34.2898 "/>
    <x v="0"/>
    <n v="181713"/>
    <m/>
    <m/>
  </r>
  <r>
    <x v="19"/>
    <x v="5"/>
    <s v="C:\Users\andre\Desktop\REACTIV CEFAS\Tamoxifen\Tamoxifen/20201219_Cefas_Test10_Run2/Plate 4/@21/E12_03.tif "/>
    <s v=" 5623.7726 "/>
    <s v=" 35.2038 "/>
    <x v="0"/>
    <n v="197978"/>
    <m/>
    <m/>
  </r>
  <r>
    <x v="19"/>
    <x v="5"/>
    <s v="C:\Users\andre\Desktop\REACTIV CEFAS\Tamoxifen\Tamoxifen/20201219_Cefas_Test10_Run2/Plate 4/@21/E12_04.tif "/>
    <s v=" 2790.2564 "/>
    <s v=" 31.186 "/>
    <x v="0"/>
    <n v="87017"/>
    <m/>
    <m/>
  </r>
  <r>
    <x v="19"/>
    <x v="6"/>
    <s v="C:\Users\andre\Desktop\REACTIV CEFAS\Tamoxifen\Tamoxifen/20201219_Cefas_Test10_Run2/Plate 4/@21/F12_01.tif "/>
    <s v=" 17952.8125 "/>
    <s v=" 36.4325 "/>
    <x v="0"/>
    <n v="654066"/>
    <m/>
    <m/>
  </r>
  <r>
    <x v="19"/>
    <x v="6"/>
    <s v="C:\Users\andre\Desktop\REACTIV CEFAS\Tamoxifen\Tamoxifen/20201219_Cefas_Test10_Run2/Plate 4/@21/F12_02.tif "/>
    <s v=" 24528.3005 "/>
    <s v=" 36.2046 "/>
    <x v="0"/>
    <n v="888037"/>
    <m/>
    <m/>
  </r>
  <r>
    <x v="19"/>
    <x v="6"/>
    <s v="C:\Users\andre\Desktop\REACTIV CEFAS\Tamoxifen\Tamoxifen/20201219_Cefas_Test10_Run2/Plate 4/@21/F12_03.tif "/>
    <s v=" 12523.709 "/>
    <s v=" 37.639 "/>
    <x v="0"/>
    <n v="471380"/>
    <m/>
    <m/>
  </r>
  <r>
    <x v="19"/>
    <x v="6"/>
    <s v="C:\Users\andre\Desktop\REACTIV CEFAS\Tamoxifen\Tamoxifen/20201219_Cefas_Test10_Run2/Plate 4/@21/F12_04.tif "/>
    <s v=" 15227.4458 "/>
    <s v=" 39.2642 "/>
    <x v="0"/>
    <n v="597894"/>
    <m/>
    <m/>
  </r>
  <r>
    <x v="19"/>
    <x v="7"/>
    <s v="C:\Users\andre\Desktop\REACTIV CEFAS\Tamoxifen\Tamoxifen/20201219_Cefas_Test10_Run2/Plate 4/@21/G12_01.tif "/>
    <s v=" 30173.703 "/>
    <s v=" 34.2351 "/>
    <x v="0"/>
    <n v="1033001"/>
    <m/>
    <m/>
  </r>
  <r>
    <x v="19"/>
    <x v="7"/>
    <s v="C:\Users\andre\Desktop\REACTIV CEFAS\Tamoxifen\Tamoxifen/20201219_Cefas_Test10_Run2/Plate 4/@21/G12_02.tif "/>
    <s v=" 16460.3498 "/>
    <s v=" 33.0828 "/>
    <x v="0"/>
    <n v="544554"/>
    <m/>
    <m/>
  </r>
  <r>
    <x v="19"/>
    <x v="7"/>
    <s v="C:\Users\andre\Desktop\REACTIV CEFAS\Tamoxifen\Tamoxifen/20201219_Cefas_Test10_Run2/Plate 4/@21/G12_03- exclu.tif"/>
    <m/>
    <m/>
    <x v="1"/>
    <m/>
    <m/>
    <m/>
  </r>
  <r>
    <x v="19"/>
    <x v="7"/>
    <s v="C:\Users\andre\Desktop\REACTIV CEFAS\Tamoxifen\Tamoxifen/20201219_Cefas_Test10_Run2/Plate 4/@21/G12_04.tif "/>
    <s v=" 18580.0795 "/>
    <s v=" 33.4144 "/>
    <x v="0"/>
    <n v="620843"/>
    <m/>
    <m/>
  </r>
  <r>
    <x v="19"/>
    <x v="8"/>
    <s v="C:\Users\andre\Desktop\REACTIV CEFAS\Tamoxifen\Tamoxifen/20201219_Cefas_Test10_Run2/Plate 4/@21/H12_01.tif "/>
    <s v=" 14838.1077 "/>
    <s v=" 36.3353 "/>
    <x v="0"/>
    <n v="539147"/>
    <m/>
    <m/>
  </r>
  <r>
    <x v="19"/>
    <x v="8"/>
    <s v="C:\Users\andre\Desktop\REACTIV CEFAS\Tamoxifen\Tamoxifen/20201219_Cefas_Test10_Run2/Plate 4/@21/H12_02.tif "/>
    <s v=" 14318.9902 "/>
    <s v=" 35.3988 "/>
    <x v="0"/>
    <n v="506875"/>
    <m/>
    <m/>
  </r>
  <r>
    <x v="19"/>
    <x v="8"/>
    <s v="C:\Users\andre\Desktop\REACTIV CEFAS\Tamoxifen\Tamoxifen/20201219_Cefas_Test10_Run2/Plate 4/@21/H12_03.tif "/>
    <s v=" 9755.0825 "/>
    <s v=" 36.612 "/>
    <x v="0"/>
    <n v="357153"/>
    <m/>
    <m/>
  </r>
  <r>
    <x v="19"/>
    <x v="8"/>
    <s v="C:\Users\andre\Desktop\REACTIV CEFAS\Tamoxifen\Tamoxifen/20201219_Cefas_Test10_Run2/Plate 4/@21/H12_04.tif "/>
    <s v=" 30584.671 "/>
    <s v=" 36.6457 "/>
    <x v="0"/>
    <n v="1120796"/>
    <m/>
    <m/>
  </r>
  <r>
    <x v="0"/>
    <x v="0"/>
    <s v=" "/>
    <m/>
    <m/>
    <x v="1"/>
    <m/>
    <m/>
    <m/>
  </r>
  <r>
    <x v="0"/>
    <x v="0"/>
    <s v="group "/>
    <s v=" "/>
    <s v=" mean of mean fluo "/>
    <x v="2"/>
    <s v=" mean of total fluo "/>
    <s v=" SD total fluo "/>
    <m/>
  </r>
  <r>
    <x v="19"/>
    <x v="9"/>
    <s v="C:\Users\andre\Desktop\REACTIV CEFAS\Tamoxifen\Tamoxifen/20201219_Cefas_Test10_Run2/Plate 4/@21/ "/>
    <s v=" "/>
    <s v=" 35.0926 "/>
    <x v="21"/>
    <s v=" 744605.094 "/>
    <s v=" 508201.133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Tamoxifen\Tamoxifen/20201219_Cefas_Test10_Run2/Plate 4/@8/A2_01.tif "/>
    <s v=" 7981.4311 "/>
    <s v=" 33.5772 "/>
    <x v="0"/>
    <n v="267994"/>
    <m/>
    <m/>
  </r>
  <r>
    <x v="20"/>
    <x v="1"/>
    <s v="C:\Users\andre\Desktop\REACTIV CEFAS\Tamoxifen\Tamoxifen/20201219_Cefas_Test10_Run2/Plate 4/@8/A2_02.tif "/>
    <s v=" 8435.6589 "/>
    <s v=" 34.9974 "/>
    <x v="0"/>
    <n v="295226"/>
    <m/>
    <m/>
  </r>
  <r>
    <x v="20"/>
    <x v="1"/>
    <s v="C:\Users\andre\Desktop\REACTIV CEFAS\Tamoxifen\Tamoxifen/20201219_Cefas_Test10_Run2/Plate 4/@8/A2_03.tif "/>
    <s v=" 7462.3136 "/>
    <s v=" 36.9913 "/>
    <x v="0"/>
    <n v="276041"/>
    <m/>
    <m/>
  </r>
  <r>
    <x v="20"/>
    <x v="1"/>
    <s v="C:\Users\andre\Desktop\REACTIV CEFAS\Tamoxifen\Tamoxifen/20201219_Cefas_Test10_Run2/Plate 4/@8/A2_04.tif "/>
    <s v=" 10512.1288 "/>
    <s v=" 40.9053 "/>
    <x v="0"/>
    <n v="430002"/>
    <m/>
    <m/>
  </r>
  <r>
    <x v="20"/>
    <x v="2"/>
    <s v="C:\Users\andre\Desktop\REACTIV CEFAS\Tamoxifen\Tamoxifen/20201219_Cefas_Test10_Run2/Plate 4/@8/B2_01.tif "/>
    <s v=" 7159.4951 "/>
    <s v=" 35.8943 "/>
    <x v="0"/>
    <n v="256985"/>
    <m/>
    <m/>
  </r>
  <r>
    <x v="20"/>
    <x v="2"/>
    <s v="C:\Users\andre\Desktop\REACTIV CEFAS\Tamoxifen\Tamoxifen/20201219_Cefas_Test10_Run2/Plate 4/@8/B2_02.tif "/>
    <s v=" 6078.0004 "/>
    <s v=" 36.4698 "/>
    <x v="0"/>
    <n v="221663"/>
    <m/>
    <m/>
  </r>
  <r>
    <x v="20"/>
    <x v="2"/>
    <s v="C:\Users\andre\Desktop\REACTIV CEFAS\Tamoxifen\Tamoxifen/20201219_Cefas_Test10_Run2/Plate 4/@8/B2_03.tif "/>
    <s v=" 6251.0395 "/>
    <s v=" 40.1176 "/>
    <x v="0"/>
    <n v="250777"/>
    <m/>
    <m/>
  </r>
  <r>
    <x v="20"/>
    <x v="2"/>
    <s v="C:\Users\andre\Desktop\REACTIV CEFAS\Tamoxifen\Tamoxifen/20201219_Cefas_Test10_Run2/Plate 4/@8/B2_04.tif "/>
    <s v=" 2941.6657 "/>
    <s v=" 37.375 "/>
    <x v="0"/>
    <n v="109945"/>
    <m/>
    <m/>
  </r>
  <r>
    <x v="20"/>
    <x v="3"/>
    <s v="C:\Users\andre\Desktop\REACTIV CEFAS\Tamoxifen\Tamoxifen/20201219_Cefas_Test10_Run2/Plate 4/@8/C2_01.tif "/>
    <s v=" 10057.901 "/>
    <s v=" 37.8452 "/>
    <x v="0"/>
    <n v="380643"/>
    <m/>
    <m/>
  </r>
  <r>
    <x v="20"/>
    <x v="3"/>
    <s v="C:\Users\andre\Desktop\REACTIV CEFAS\Tamoxifen\Tamoxifen/20201219_Cefas_Test10_Run2/Plate 4/@8/C2_02.tif "/>
    <s v=" 11939.7018 "/>
    <s v=" 38.5326 "/>
    <x v="0"/>
    <n v="460068"/>
    <m/>
    <m/>
  </r>
  <r>
    <x v="20"/>
    <x v="3"/>
    <s v="C:\Users\andre\Desktop\REACTIV CEFAS\Tamoxifen\Tamoxifen/20201219_Cefas_Test10_Run2/Plate 4/@8/C2_03.tif "/>
    <s v=" 11918.0719 "/>
    <s v=" 39.8838 "/>
    <x v="0"/>
    <n v="475339"/>
    <m/>
    <m/>
  </r>
  <r>
    <x v="20"/>
    <x v="3"/>
    <s v="C:\Users\andre\Desktop\REACTIV CEFAS\Tamoxifen\Tamoxifen/20201219_Cefas_Test10_Run2/Plate 4/@8/C2_04.tif "/>
    <s v=" 6835.0467 "/>
    <s v=" 39.788 "/>
    <x v="0"/>
    <n v="271953"/>
    <m/>
    <m/>
  </r>
  <r>
    <x v="20"/>
    <x v="4"/>
    <s v="C:\Users\andre\Desktop\REACTIV CEFAS\Tamoxifen\Tamoxifen/20201219_Cefas_Test10_Run2/Plate 4/@8/D2_01.tif "/>
    <s v=" 7678.6126 "/>
    <s v=" 43.2873 "/>
    <x v="0"/>
    <n v="332387"/>
    <m/>
    <m/>
  </r>
  <r>
    <x v="20"/>
    <x v="4"/>
    <s v="C:\Users\andre\Desktop\REACTIV CEFAS\Tamoxifen\Tamoxifen/20201219_Cefas_Test10_Run2/Plate 4/@8/D2_02.tif "/>
    <s v=" 13021.1966 "/>
    <s v=" 42.6096 "/>
    <x v="0"/>
    <n v="554828"/>
    <m/>
    <m/>
  </r>
  <r>
    <x v="20"/>
    <x v="4"/>
    <s v="C:\Users\andre\Desktop\REACTIV CEFAS\Tamoxifen\Tamoxifen/20201219_Cefas_Test10_Run2/Plate 4/@8/D2_03.tif "/>
    <s v=" 10944.7267 "/>
    <s v=" 42.6383 "/>
    <x v="0"/>
    <n v="466665"/>
    <m/>
    <m/>
  </r>
  <r>
    <x v="20"/>
    <x v="4"/>
    <s v="C:\Users\andre\Desktop\REACTIV CEFAS\Tamoxifen\Tamoxifen/20201219_Cefas_Test10_Run2/Plate 4/@8/D2_04.tif "/>
    <s v=" 7916.5414 "/>
    <s v=" 41.2541 "/>
    <x v="0"/>
    <n v="326590"/>
    <m/>
    <m/>
  </r>
  <r>
    <x v="20"/>
    <x v="5"/>
    <s v="C:\Users\andre\Desktop\REACTIV CEFAS\Tamoxifen\Tamoxifen/20201219_Cefas_Test10_Run2/Plate 4/@8/E2_01.tif "/>
    <s v=" 15032.7768 "/>
    <s v=" 47.7914 "/>
    <x v="0"/>
    <n v="718437"/>
    <m/>
    <m/>
  </r>
  <r>
    <x v="20"/>
    <x v="5"/>
    <s v="C:\Users\andre\Desktop\REACTIV CEFAS\Tamoxifen\Tamoxifen/20201219_Cefas_Test10_Run2/Plate 4/@8/E2_02.tif "/>
    <s v=" 8349.1393 "/>
    <s v=" 44.9067 "/>
    <x v="0"/>
    <n v="374933"/>
    <m/>
    <m/>
  </r>
  <r>
    <x v="20"/>
    <x v="5"/>
    <s v="C:\Users\andre\Desktop\REACTIV CEFAS\Tamoxifen\Tamoxifen/20201219_Cefas_Test10_Run2/Plate 4/@8/E2_03.tif "/>
    <s v=" 15011.1469 "/>
    <s v=" 46.3631 "/>
    <x v="0"/>
    <n v="695963"/>
    <m/>
    <m/>
  </r>
  <r>
    <x v="20"/>
    <x v="5"/>
    <s v="C:\Users\andre\Desktop\REACTIV CEFAS\Tamoxifen\Tamoxifen/20201219_Cefas_Test10_Run2/Plate 4/@8/E2_04.tif "/>
    <s v=" 9517.1536 "/>
    <s v=" 46.75 "/>
    <x v="0"/>
    <n v="444927"/>
    <m/>
    <m/>
  </r>
  <r>
    <x v="20"/>
    <x v="6"/>
    <s v="C:\Users\andre\Desktop\REACTIV CEFAS\Tamoxifen\Tamoxifen/20201219_Cefas_Test10_Run2/Plate 4/@8/F2_01.tif "/>
    <s v=" 8046.3208 "/>
    <s v=" 37.5645 "/>
    <x v="0"/>
    <n v="302256"/>
    <m/>
    <m/>
  </r>
  <r>
    <x v="20"/>
    <x v="6"/>
    <s v="C:\Users\andre\Desktop\REACTIV CEFAS\Tamoxifen\Tamoxifen/20201219_Cefas_Test10_Run2/Plate 4/@8/F2_02.tif "/>
    <s v=" 8954.7764 "/>
    <s v=" 38.2488 "/>
    <x v="0"/>
    <n v="342509"/>
    <m/>
    <m/>
  </r>
  <r>
    <x v="20"/>
    <x v="6"/>
    <s v="C:\Users\andre\Desktop\REACTIV CEFAS\Tamoxifen\Tamoxifen/20201219_Cefas_Test10_Run2/Plate 4/@8/F2_03.tif "/>
    <s v=" 11658.5132 "/>
    <s v=" 42.6197 "/>
    <x v="0"/>
    <n v="496882"/>
    <m/>
    <m/>
  </r>
  <r>
    <x v="20"/>
    <x v="6"/>
    <s v="C:\Users\andre\Desktop\REACTIV CEFAS\Tamoxifen\Tamoxifen/20201219_Cefas_Test10_Run2/Plate 4/@8/F2_04.tif "/>
    <s v=" 10274.1999 "/>
    <s v=" 39.8211 "/>
    <x v="0"/>
    <n v="409129"/>
    <m/>
    <m/>
  </r>
  <r>
    <x v="20"/>
    <x v="7"/>
    <s v="C:\Users\andre\Desktop\REACTIV CEFAS\Tamoxifen\Tamoxifen/20201219_Cefas_Test10_Run2/Plate 4/@8/G2_01.tif "/>
    <s v=" 9127.8155 "/>
    <s v=" 35.2512 "/>
    <x v="0"/>
    <n v="321766"/>
    <m/>
    <m/>
  </r>
  <r>
    <x v="20"/>
    <x v="7"/>
    <s v="C:\Users\andre\Desktop\REACTIV CEFAS\Tamoxifen\Tamoxifen/20201219_Cefas_Test10_Run2/Plate 4/@8/G2_02.tif "/>
    <s v=" 8716.8475 "/>
    <s v=" 36.6774 "/>
    <x v="0"/>
    <n v="319711"/>
    <m/>
    <m/>
  </r>
  <r>
    <x v="20"/>
    <x v="7"/>
    <s v="C:\Users\andre\Desktop\REACTIV CEFAS\Tamoxifen\Tamoxifen/20201219_Cefas_Test10_Run2/Plate 4/@8/G2_03.tif "/>
    <s v=" 8500.5486 "/>
    <s v=" 37.0051 "/>
    <x v="0"/>
    <n v="314564"/>
    <m/>
    <m/>
  </r>
  <r>
    <x v="20"/>
    <x v="7"/>
    <s v="C:\Users\andre\Desktop\REACTIV CEFAS\Tamoxifen\Tamoxifen/20201219_Cefas_Test10_Run2/Plate 4/@8/G2_04.tif "/>
    <s v=" 11052.8762 "/>
    <s v=" 37.5558 "/>
    <x v="0"/>
    <n v="415099"/>
    <m/>
    <m/>
  </r>
  <r>
    <x v="20"/>
    <x v="8"/>
    <s v="C:\Users\andre\Desktop\REACTIV CEFAS\Tamoxifen\Tamoxifen/20201219_Cefas_Test10_Run2/Plate 4/@8/H2_01.tif "/>
    <s v=" 7721.8724 "/>
    <s v=" 42.2633 "/>
    <x v="0"/>
    <n v="326352"/>
    <m/>
    <m/>
  </r>
  <r>
    <x v="20"/>
    <x v="8"/>
    <s v="C:\Users\andre\Desktop\REACTIV CEFAS\Tamoxifen\Tamoxifen/20201219_Cefas_Test10_Run2/Plate 4/@8/H2_02.tif "/>
    <s v=" 6705.2673 "/>
    <s v=" 41.8032 "/>
    <x v="0"/>
    <n v="280302"/>
    <m/>
    <m/>
  </r>
  <r>
    <x v="20"/>
    <x v="8"/>
    <s v="C:\Users\andre\Desktop\REACTIV CEFAS\Tamoxifen\Tamoxifen/20201219_Cefas_Test10_Run2/Plate 4/@8/H2_03.tif "/>
    <s v=" 9344.1145 "/>
    <s v=" 42.5579 "/>
    <x v="0"/>
    <n v="397666"/>
    <m/>
    <m/>
  </r>
  <r>
    <x v="20"/>
    <x v="8"/>
    <s v="C:\Users\andre\Desktop\REACTIV CEFAS\Tamoxifen\Tamoxifen/20201219_Cefas_Test10_Run2/Plate 4/@8/H2_04.tif "/>
    <s v=" 7613.7229 "/>
    <s v=" 33.7216 "/>
    <x v="0"/>
    <n v="256747"/>
    <m/>
    <m/>
  </r>
  <r>
    <x v="0"/>
    <x v="0"/>
    <s v=" "/>
    <m/>
    <m/>
    <x v="1"/>
    <m/>
    <m/>
    <m/>
  </r>
  <r>
    <x v="0"/>
    <x v="0"/>
    <s v="group "/>
    <s v=" "/>
    <s v=" mean of mean fluo "/>
    <x v="2"/>
    <s v=" mean of total fluo "/>
    <s v=" SD total fluo "/>
    <m/>
  </r>
  <r>
    <x v="20"/>
    <x v="9"/>
    <s v="C:\Users\andre\Desktop\REACTIV CEFAS\Tamoxifen\Tamoxifen/20201219_Cefas_Test10_Run2/Plate 4/@8/ "/>
    <s v=" "/>
    <s v=" 39.7834 "/>
    <x v="22"/>
    <s v=" 368573.406 "/>
    <s v=" 128326.363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Tamoxifen\Tamoxifen/20201219_Cefas_Test10_Run2/Plate 4/@9/A3_01.tif "/>
    <s v=" 7072.9755 "/>
    <s v=" 41.2905 "/>
    <x v="0"/>
    <n v="292047"/>
    <m/>
    <m/>
  </r>
  <r>
    <x v="21"/>
    <x v="1"/>
    <s v="C:\Users\andre\Desktop\REACTIV CEFAS\Tamoxifen\Tamoxifen/20201219_Cefas_Test10_Run2/Plate 4/@9/A3_02.tif "/>
    <s v=" 8824.997 "/>
    <s v=" 43.0172 "/>
    <x v="0"/>
    <n v="379626"/>
    <m/>
    <m/>
  </r>
  <r>
    <x v="21"/>
    <x v="1"/>
    <s v="C:\Users\andre\Desktop\REACTIV CEFAS\Tamoxifen\Tamoxifen/20201219_Cefas_Test10_Run2/Plate 4/@9/A3_03.tif "/>
    <s v=" 6878.3065 "/>
    <s v=" 35.6352 "/>
    <x v="0"/>
    <n v="245110"/>
    <m/>
    <m/>
  </r>
  <r>
    <x v="21"/>
    <x v="1"/>
    <s v="C:\Users\andre\Desktop\REACTIV CEFAS\Tamoxifen\Tamoxifen/20201219_Cefas_Test10_Run2/Plate 4/@9/A3_04- exclu.tif"/>
    <m/>
    <m/>
    <x v="1"/>
    <m/>
    <m/>
    <m/>
  </r>
  <r>
    <x v="21"/>
    <x v="2"/>
    <s v="C:\Users\andre\Desktop\REACTIV CEFAS\Tamoxifen\Tamoxifen/20201219_Cefas_Test10_Run2/Plate 4/@9/B3_01- exclu.tif"/>
    <m/>
    <m/>
    <x v="1"/>
    <m/>
    <m/>
    <m/>
  </r>
  <r>
    <x v="21"/>
    <x v="2"/>
    <s v="C:\Users\andre\Desktop\REACTIV CEFAS\Tamoxifen\Tamoxifen/20201219_Cefas_Test10_Run2/Plate 4/@9/B3_02.tif "/>
    <s v=" 13648.4635 "/>
    <s v=" 41.233 "/>
    <x v="0"/>
    <n v="562767"/>
    <m/>
    <m/>
  </r>
  <r>
    <x v="21"/>
    <x v="2"/>
    <s v="C:\Users\andre\Desktop\REACTIV CEFAS\Tamoxifen\Tamoxifen/20201219_Cefas_Test10_Run2/Plate 4/@9/B3_03.tif "/>
    <s v=" 14081.0614 "/>
    <s v=" 43.6052 "/>
    <x v="0"/>
    <n v="614008"/>
    <m/>
    <m/>
  </r>
  <r>
    <x v="21"/>
    <x v="2"/>
    <s v="C:\Users\andre\Desktop\REACTIV CEFAS\Tamoxifen\Tamoxifen/20201219_Cefas_Test10_Run2/Plate 4/@9/B3_04.tif "/>
    <s v=" 12740.0079 "/>
    <s v=" 41.9457 "/>
    <x v="0"/>
    <n v="534388"/>
    <m/>
    <m/>
  </r>
  <r>
    <x v="21"/>
    <x v="3"/>
    <s v="C:\Users\andre\Desktop\REACTIV CEFAS\Tamoxifen\Tamoxifen/20201219_Cefas_Test10_Run2/Plate 4/@9/C3_01.tif "/>
    <s v=" 8197.7301 "/>
    <s v=" 36.066 "/>
    <x v="0"/>
    <n v="295659"/>
    <m/>
    <m/>
  </r>
  <r>
    <x v="21"/>
    <x v="3"/>
    <s v="C:\Users\andre\Desktop\REACTIV CEFAS\Tamoxifen\Tamoxifen/20201219_Cefas_Test10_Run2/Plate 4/@9/C3_02.tif "/>
    <s v=" 4066.4202 "/>
    <s v=" 32.8404 "/>
    <x v="0"/>
    <n v="133543"/>
    <m/>
    <m/>
  </r>
  <r>
    <x v="21"/>
    <x v="3"/>
    <s v="C:\Users\andre\Desktop\REACTIV CEFAS\Tamoxifen\Tamoxifen/20201219_Cefas_Test10_Run2/Plate 4/@9/C3_03.tif "/>
    <s v=" 5775.1819 "/>
    <s v=" 33.8427 "/>
    <x v="0"/>
    <n v="195448"/>
    <m/>
    <m/>
  </r>
  <r>
    <x v="21"/>
    <x v="3"/>
    <s v="C:\Users\andre\Desktop\REACTIV CEFAS\Tamoxifen\Tamoxifen/20201219_Cefas_Test10_Run2/Plate 4/@9/C3_04.tif "/>
    <s v=" 1600.6122 "/>
    <s v=" 33.473 "/>
    <x v="0"/>
    <n v="53577"/>
    <m/>
    <m/>
  </r>
  <r>
    <x v="21"/>
    <x v="4"/>
    <s v="C:\Users\andre\Desktop\REACTIV CEFAS\Tamoxifen\Tamoxifen/20201219_Cefas_Test10_Run2/Plate 4/@9/D3_01.tif "/>
    <s v=" 14967.8871 "/>
    <s v=" 37.8064 "/>
    <x v="0"/>
    <n v="565881"/>
    <m/>
    <m/>
  </r>
  <r>
    <x v="21"/>
    <x v="4"/>
    <s v="C:\Users\andre\Desktop\REACTIV CEFAS\Tamoxifen\Tamoxifen/20201219_Cefas_Test10_Run2/Plate 4/@9/D3_02.tif "/>
    <s v=" 6964.8261 "/>
    <s v=" 35.4565 "/>
    <x v="0"/>
    <n v="246949"/>
    <m/>
    <m/>
  </r>
  <r>
    <x v="21"/>
    <x v="4"/>
    <s v="C:\Users\andre\Desktop\REACTIV CEFAS\Tamoxifen\Tamoxifen/20201219_Cefas_Test10_Run2/Plate 4/@9/D3_03.tif "/>
    <s v=" 14016.1717 "/>
    <s v=" 40.7978 "/>
    <x v="0"/>
    <n v="571830"/>
    <m/>
    <m/>
  </r>
  <r>
    <x v="21"/>
    <x v="4"/>
    <s v="C:\Users\andre\Desktop\REACTIV CEFAS\Tamoxifen\Tamoxifen/20201219_Cefas_Test10_Run2/Plate 4/@9/D3_04.tif "/>
    <s v=" 8651.9579 "/>
    <s v=" 39.37 "/>
    <x v="0"/>
    <n v="340628"/>
    <m/>
    <m/>
  </r>
  <r>
    <x v="21"/>
    <x v="5"/>
    <s v="C:\Users\andre\Desktop\REACTIV CEFAS\Tamoxifen\Tamoxifen/20201219_Cefas_Test10_Run2/Plate 4/@9/E3_01.tif "/>
    <s v=" 8889.8867 "/>
    <s v=" 34.1338 "/>
    <x v="0"/>
    <n v="303446"/>
    <m/>
    <m/>
  </r>
  <r>
    <x v="21"/>
    <x v="5"/>
    <s v="C:\Users\andre\Desktop\REACTIV CEFAS\Tamoxifen\Tamoxifen/20201219_Cefas_Test10_Run2/Plate 4/@9/E3_02.tif "/>
    <s v=" 6726.8972 "/>
    <s v=" 36.6559 "/>
    <x v="0"/>
    <n v="246581"/>
    <m/>
    <m/>
  </r>
  <r>
    <x v="21"/>
    <x v="5"/>
    <s v="C:\Users\andre\Desktop\REACTIV CEFAS\Tamoxifen\Tamoxifen/20201219_Cefas_Test10_Run2/Plate 4/@9/E3_03.tif "/>
    <s v=" 8305.8795 "/>
    <s v=" 35.7214 "/>
    <x v="0"/>
    <n v="296697"/>
    <m/>
    <m/>
  </r>
  <r>
    <x v="21"/>
    <x v="5"/>
    <s v="C:\Users\andre\Desktop\REACTIV CEFAS\Tamoxifen\Tamoxifen/20201219_Cefas_Test10_Run2/Plate 4/@9/E3_04.tif "/>
    <s v=" 10122.7907 "/>
    <s v=" 37.6902 "/>
    <x v="0"/>
    <n v="381530"/>
    <m/>
    <m/>
  </r>
  <r>
    <x v="21"/>
    <x v="6"/>
    <s v="C:\Users\andre\Desktop\REACTIV CEFAS\Tamoxifen\Tamoxifen/20201219_Cefas_Test10_Run2/Plate 4/@9/F3_01.tif "/>
    <s v=" 4282.7191 "/>
    <s v=" 36.2576 "/>
    <x v="0"/>
    <n v="155281"/>
    <m/>
    <m/>
  </r>
  <r>
    <x v="21"/>
    <x v="6"/>
    <s v="C:\Users\andre\Desktop\REACTIV CEFAS\Tamoxifen\Tamoxifen/20201219_Cefas_Test10_Run2/Plate 4/@9/F3_02.tif "/>
    <s v=" 4953.2459 "/>
    <s v=" 39.0262 "/>
    <x v="0"/>
    <n v="193306"/>
    <m/>
    <m/>
  </r>
  <r>
    <x v="21"/>
    <x v="6"/>
    <s v="C:\Users\andre\Desktop\REACTIV CEFAS\Tamoxifen\Tamoxifen/20201219_Cefas_Test10_Run2/Plate 4/@9/F3_03.tif "/>
    <s v=" 3828.4913 "/>
    <s v=" 40.7853 "/>
    <x v="0"/>
    <n v="156146"/>
    <m/>
    <m/>
  </r>
  <r>
    <x v="21"/>
    <x v="6"/>
    <s v="C:\Users\andre\Desktop\REACTIV CEFAS\Tamoxifen\Tamoxifen/20201219_Cefas_Test10_Run2/Plate 4/@9/F3_04.tif "/>
    <s v=" 4455.7583 "/>
    <s v=" 39.9078 "/>
    <x v="0"/>
    <n v="177819"/>
    <m/>
    <m/>
  </r>
  <r>
    <x v="21"/>
    <x v="7"/>
    <s v="C:\Users\andre\Desktop\REACTIV CEFAS\Tamoxifen\Tamoxifen/20201219_Cefas_Test10_Run2/Plate 4/@9/G3_01.tif "/>
    <s v=" 10122.7907 "/>
    <s v=" 38.7094 "/>
    <x v="0"/>
    <n v="391847"/>
    <m/>
    <m/>
  </r>
  <r>
    <x v="21"/>
    <x v="7"/>
    <s v="C:\Users\andre\Desktop\REACTIV CEFAS\Tamoxifen\Tamoxifen/20201219_Cefas_Test10_Run2/Plate 4/@9/G3_02.tif "/>
    <s v=" 9019.6661 "/>
    <s v=" 36.3693 "/>
    <x v="0"/>
    <n v="328039"/>
    <m/>
    <m/>
  </r>
  <r>
    <x v="21"/>
    <x v="7"/>
    <s v="C:\Users\andre\Desktop\REACTIV CEFAS\Tamoxifen\Tamoxifen/20201219_Cefas_Test10_Run2/Plate 4/@9/G3_03.tif "/>
    <s v=" 1189.6442 "/>
    <s v=" 31.2 "/>
    <x v="0"/>
    <n v="37117"/>
    <m/>
    <m/>
  </r>
  <r>
    <x v="21"/>
    <x v="7"/>
    <s v="C:\Users\andre\Desktop\REACTIV CEFAS\Tamoxifen\Tamoxifen/20201219_Cefas_Test10_Run2/Plate 4/@9/G3_04.tif "/>
    <s v=" 4845.0964 "/>
    <s v=" 37.3527 "/>
    <x v="0"/>
    <n v="180977"/>
    <m/>
    <m/>
  </r>
  <r>
    <x v="21"/>
    <x v="8"/>
    <s v="C:\Users\andre\Desktop\REACTIV CEFAS\Tamoxifen\Tamoxifen/20201219_Cefas_Test10_Run2/Plate 4/@9/H3_01.tif "/>
    <s v=" 5991.4808 "/>
    <s v=" 42.1877 "/>
    <x v="0"/>
    <n v="252767"/>
    <m/>
    <m/>
  </r>
  <r>
    <x v="21"/>
    <x v="8"/>
    <s v="C:\Users\andre\Desktop\REACTIV CEFAS\Tamoxifen\Tamoxifen/20201219_Cefas_Test10_Run2/Plate 4/@9/H3_02.tif "/>
    <s v=" 7029.7158 "/>
    <s v=" 42.5785 "/>
    <x v="0"/>
    <n v="299314"/>
    <m/>
    <m/>
  </r>
  <r>
    <x v="21"/>
    <x v="8"/>
    <s v="C:\Users\andre\Desktop\REACTIV CEFAS\Tamoxifen\Tamoxifen/20201219_Cefas_Test10_Run2/Plate 4/@9/H3_03.tif "/>
    <s v=" 6943.1962 "/>
    <s v=" 43.6729 "/>
    <x v="0"/>
    <n v="303229"/>
    <m/>
    <m/>
  </r>
  <r>
    <x v="21"/>
    <x v="8"/>
    <s v="C:\Users\andre\Desktop\REACTIV CEFAS\Tamoxifen\Tamoxifen/20201219_Cefas_Test10_Run2/Plate 4/@9/H3_04.tif "/>
    <s v=" 6532.2282 "/>
    <s v=" 41.6358 "/>
    <x v="0"/>
    <n v="271974"/>
    <m/>
    <m/>
  </r>
  <r>
    <x v="0"/>
    <x v="0"/>
    <s v=" "/>
    <m/>
    <m/>
    <x v="1"/>
    <m/>
    <m/>
    <m/>
  </r>
  <r>
    <x v="0"/>
    <x v="0"/>
    <s v="group "/>
    <s v=" "/>
    <s v=" mean of mean fluo "/>
    <x v="2"/>
    <s v=" mean of total fluo "/>
    <s v=" SD total fluo "/>
    <m/>
  </r>
  <r>
    <x v="21"/>
    <x v="9"/>
    <s v="C:\Users\andre\Desktop\REACTIV CEFAS\Tamoxifen\Tamoxifen/20201219_Cefas_Test10_Run2/Plate 4/@9/ "/>
    <s v=" "/>
    <s v=" 38.3488 "/>
    <x v="23"/>
    <s v=" 297329.25 "/>
    <s v=" 146068.414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le name "/>
    <s v=" total area "/>
    <s v=" mean intensity "/>
    <x v="0"/>
    <s v=" total fluorescence"/>
    <m/>
    <m/>
  </r>
  <r>
    <x v="1"/>
    <x v="1"/>
    <s v="C:\Users\andre\Desktop\REACTIV CEFAS\Tamoxifen\Tamoxifen/20201125_Cefas_Test7_Run2/Plate 1/@1/A10_01.tif "/>
    <s v=" 8889.8867 "/>
    <s v=" 36.3552 "/>
    <x v="0"/>
    <n v="323194"/>
    <m/>
    <m/>
  </r>
  <r>
    <x v="1"/>
    <x v="1"/>
    <s v="C:\Users\andre\Desktop\REACTIV CEFAS\Tamoxifen\Tamoxifen/20201125_Cefas_Test7_Run2/Plate 1/@1/A10_02.tif "/>
    <s v=" 9062.9258 "/>
    <s v=" 35.9332 "/>
    <x v="0"/>
    <n v="325660"/>
    <m/>
    <m/>
  </r>
  <r>
    <x v="1"/>
    <x v="1"/>
    <s v="C:\Users\andre\Desktop\REACTIV CEFAS\Tamoxifen\Tamoxifen/20201125_Cefas_Test7_Run2/Plate 1/@1/A10_03.tif "/>
    <s v=" 7224.3848 "/>
    <s v=" 37.6557 "/>
    <x v="0"/>
    <n v="272039"/>
    <m/>
    <m/>
  </r>
  <r>
    <x v="1"/>
    <x v="2"/>
    <s v="C:\Users\andre\Desktop\REACTIV CEFAS\Tamoxifen\Tamoxifen/20201125_Cefas_Test7_Run2/Plate 1/@1/B10_01.tif "/>
    <s v=" 6532.2282 "/>
    <s v=" 37.0596 "/>
    <x v="0"/>
    <n v="242082"/>
    <m/>
    <m/>
  </r>
  <r>
    <x v="1"/>
    <x v="2"/>
    <s v="C:\Users\andre\Desktop\REACTIV CEFAS\Tamoxifen\Tamoxifen/20201125_Cefas_Test7_Run2/Plate 1/@1/B10_02.tif "/>
    <s v=" 8478.9187 "/>
    <s v=" 38.375 "/>
    <x v="0"/>
    <n v="325379"/>
    <m/>
    <m/>
  </r>
  <r>
    <x v="1"/>
    <x v="2"/>
    <s v="C:\Users\andre\Desktop\REACTIV CEFAS\Tamoxifen\Tamoxifen/20201125_Cefas_Test7_Run2/Plate 1/@1/B10_03.tif "/>
    <s v=" 4996.5057 "/>
    <s v=" 38.7922 "/>
    <x v="0"/>
    <n v="193825"/>
    <m/>
    <m/>
  </r>
  <r>
    <x v="1"/>
    <x v="3"/>
    <s v="C:\Users\andre\Desktop\REACTIV CEFAS\Tamoxifen\Tamoxifen/20201125_Cefas_Test7_Run2/Plate 1/@1/C10_01- exclu.tif"/>
    <m/>
    <m/>
    <x v="1"/>
    <m/>
    <m/>
    <m/>
  </r>
  <r>
    <x v="1"/>
    <x v="3"/>
    <s v="C:\Users\andre\Desktop\REACTIV CEFAS\Tamoxifen\Tamoxifen/20201125_Cefas_Test7_Run2/Plate 1/@1/C10_02.tif "/>
    <s v=" 10512.1288 "/>
    <s v=" 36.6543 "/>
    <x v="0"/>
    <n v="385315"/>
    <m/>
    <m/>
  </r>
  <r>
    <x v="1"/>
    <x v="3"/>
    <s v="C:\Users\andre\Desktop\REACTIV CEFAS\Tamoxifen\Tamoxifen/20201125_Cefas_Test7_Run2/Plate 1/@1/C10_03.tif "/>
    <s v=" 8933.1465 "/>
    <s v=" 39.2082 "/>
    <x v="0"/>
    <n v="350253"/>
    <m/>
    <m/>
  </r>
  <r>
    <x v="1"/>
    <x v="4"/>
    <s v="C:\Users\andre\Desktop\REACTIV CEFAS\Tamoxifen\Tamoxifen/20201125_Cefas_Test7_Run2/Plate 1/@1/D10_01.tif "/>
    <s v=" 10166.0505 "/>
    <s v=" 41.9936 "/>
    <x v="0"/>
    <n v="426909"/>
    <m/>
    <m/>
  </r>
  <r>
    <x v="1"/>
    <x v="4"/>
    <s v="C:\Users\andre\Desktop\REACTIV CEFAS\Tamoxifen\Tamoxifen/20201125_Cefas_Test7_Run2/Plate 1/@1/D10_02.tif "/>
    <s v=" 10057.901 "/>
    <s v=" 42.2495 "/>
    <x v="0"/>
    <n v="424941"/>
    <m/>
    <m/>
  </r>
  <r>
    <x v="1"/>
    <x v="4"/>
    <s v="C:\Users\andre\Desktop\REACTIV CEFAS\Tamoxifen\Tamoxifen/20201125_Cefas_Test7_Run2/Plate 1/@1/D10_03.tif "/>
    <s v=" 281.1886 "/>
    <s v=" 31.1538 "/>
    <x v="0"/>
    <n v="8760"/>
    <m/>
    <m/>
  </r>
  <r>
    <x v="1"/>
    <x v="5"/>
    <s v="C:\Users\andre\Desktop\REACTIV CEFAS\Tamoxifen\Tamoxifen/20201125_Cefas_Test7_Run2/Plate 1/@1/E10_01.tif "/>
    <s v=" 8046.3208 "/>
    <s v=" 36.672 "/>
    <x v="0"/>
    <n v="295075"/>
    <m/>
    <m/>
  </r>
  <r>
    <x v="1"/>
    <x v="5"/>
    <s v="C:\Users\andre\Desktop\REACTIV CEFAS\Tamoxifen\Tamoxifen/20201125_Cefas_Test7_Run2/Plate 1/@1/E10_02.tif "/>
    <s v=" 5948.221 "/>
    <s v=" 34.8182 "/>
    <x v="0"/>
    <n v="207106"/>
    <m/>
    <m/>
  </r>
  <r>
    <x v="1"/>
    <x v="5"/>
    <s v="C:\Users\andre\Desktop\REACTIV CEFAS\Tamoxifen\Tamoxifen/20201125_Cefas_Test7_Run2/Plate 1/@1/E10_03.tif "/>
    <s v=" 7916.5414 "/>
    <s v=" 36.1557 "/>
    <x v="0"/>
    <n v="286228"/>
    <m/>
    <m/>
  </r>
  <r>
    <x v="1"/>
    <x v="6"/>
    <s v="C:\Users\andre\Desktop\REACTIV CEFAS\Tamoxifen\Tamoxifen/20201125_Cefas_Test7_Run2/Plate 1/@1/F10_01.tif "/>
    <s v=" 5061.3953 "/>
    <s v=" 34.8462 "/>
    <x v="0"/>
    <n v="176370"/>
    <m/>
    <m/>
  </r>
  <r>
    <x v="1"/>
    <x v="6"/>
    <s v="C:\Users\andre\Desktop\REACTIV CEFAS\Tamoxifen\Tamoxifen/20201125_Cefas_Test7_Run2/Plate 1/@1/F10_02.tif "/>
    <s v=" 2379.2884 "/>
    <s v=" 32.7909 "/>
    <x v="0"/>
    <n v="78019"/>
    <m/>
    <m/>
  </r>
  <r>
    <x v="1"/>
    <x v="6"/>
    <s v="C:\Users\andre\Desktop\REACTIV CEFAS\Tamoxifen\Tamoxifen/20201125_Cefas_Test7_Run2/Plate 1/@1/F10_03.tif "/>
    <s v=" 1211.2741 "/>
    <s v=" 33.9643 "/>
    <x v="0"/>
    <n v="41140"/>
    <m/>
    <m/>
  </r>
  <r>
    <x v="1"/>
    <x v="7"/>
    <s v="C:\Users\andre\Desktop\REACTIV CEFAS\Tamoxifen\Tamoxifen/20201125_Cefas_Test7_Run2/Plate 1/@1/G10_01.tif "/>
    <s v=" 4542.2779 "/>
    <s v=" 37.7714 "/>
    <x v="0"/>
    <n v="171568"/>
    <m/>
    <m/>
  </r>
  <r>
    <x v="1"/>
    <x v="7"/>
    <s v="C:\Users\andre\Desktop\REACTIV CEFAS\Tamoxifen\Tamoxifen/20201125_Cefas_Test7_Run2/Plate 1/@1/G10_02.tif "/>
    <s v=" 21.6299 "/>
    <n v="30"/>
    <x v="0"/>
    <n v="649"/>
    <m/>
    <m/>
  </r>
  <r>
    <x v="1"/>
    <x v="7"/>
    <s v="C:\Users\andre\Desktop\REACTIV CEFAS\Tamoxifen\Tamoxifen/20201125_Cefas_Test7_Run2/Plate 1/@1/G10_03.tif "/>
    <s v=" 432.5979 "/>
    <s v=" 30.5 "/>
    <x v="0"/>
    <n v="13194"/>
    <m/>
    <m/>
  </r>
  <r>
    <x v="1"/>
    <x v="8"/>
    <s v="C:\Users\andre\Desktop\REACTIV CEFAS\Tamoxifen\Tamoxifen/20201125_Cefas_Test7_Run2/Plate 1/@1/H10_01.tif "/>
    <s v=" 43.2598 "/>
    <s v=" 33.5 "/>
    <x v="0"/>
    <n v="1449"/>
    <m/>
    <m/>
  </r>
  <r>
    <x v="1"/>
    <x v="8"/>
    <s v="C:\Users\andre\Desktop\REACTIV CEFAS\Tamoxifen\Tamoxifen/20201125_Cefas_Test7_Run2/Plate 1/@1/H10_02.tif "/>
    <s v=" 2725.3667 "/>
    <s v=" 35.3889 "/>
    <x v="0"/>
    <n v="96448"/>
    <m/>
    <m/>
  </r>
  <r>
    <x v="1"/>
    <x v="8"/>
    <s v="C:\Users\andre\Desktop\REACTIV CEFAS\Tamoxifen\Tamoxifen/20201125_Cefas_Test7_Run2/Plate 1/@1/H10_03.tif "/>
    <s v=" 1535.7225 "/>
    <s v=" 33.6761 "/>
    <x v="0"/>
    <n v="51717"/>
    <m/>
    <m/>
  </r>
  <r>
    <x v="0"/>
    <x v="0"/>
    <s v=" "/>
    <m/>
    <m/>
    <x v="1"/>
    <m/>
    <m/>
    <m/>
  </r>
  <r>
    <x v="0"/>
    <x v="0"/>
    <s v="group "/>
    <s v=" "/>
    <s v=" mean of mean fluo "/>
    <x v="2"/>
    <s v=" mean of total fluo "/>
    <s v=" SD total fluo "/>
    <m/>
  </r>
  <r>
    <x v="1"/>
    <x v="9"/>
    <s v="C:\Users\andre\Desktop\REACTIV CEFAS\Tamoxifen\Tamoxifen/20201125_Cefas_Test7_Run2/Plate 1/@1/ "/>
    <s v=" "/>
    <s v=" 34.3964 "/>
    <x v="3"/>
    <s v=" 195721.667 "/>
    <s v=" 146495.472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Tamoxifen\Tamoxifen/20201125_Cefas_Test7_Run2/Plate 1/@13/A8_01.tif "/>
    <s v=" 41486.1379 "/>
    <s v=" 35.5448 "/>
    <x v="0"/>
    <n v="1474618"/>
    <m/>
    <m/>
  </r>
  <r>
    <x v="2"/>
    <x v="1"/>
    <s v="C:\Users\andre\Desktop\REACTIV CEFAS\Tamoxifen\Tamoxifen/20201125_Cefas_Test7_Run2/Plate 1/@13/A8_02.tif "/>
    <s v=" 34434.7922 "/>
    <s v=" 35.1445 "/>
    <x v="0"/>
    <n v="1210193"/>
    <m/>
    <m/>
  </r>
  <r>
    <x v="2"/>
    <x v="1"/>
    <s v="C:\Users\andre\Desktop\REACTIV CEFAS\Tamoxifen\Tamoxifen/20201125_Cefas_Test7_Run2/Plate 1/@13/A8_03.tif "/>
    <s v=" 29524.8062 "/>
    <s v=" 35.1538 "/>
    <x v="0"/>
    <n v="1037910"/>
    <m/>
    <m/>
  </r>
  <r>
    <x v="2"/>
    <x v="2"/>
    <s v="C:\Users\andre\Desktop\REACTIV CEFAS\Tamoxifen\Tamoxifen/20201125_Cefas_Test7_Run2/Plate 1/@13/B8_01- exclu.tif"/>
    <m/>
    <m/>
    <x v="1"/>
    <m/>
    <m/>
    <m/>
  </r>
  <r>
    <x v="2"/>
    <x v="2"/>
    <s v="C:\Users\andre\Desktop\REACTIV CEFAS\Tamoxifen\Tamoxifen/20201125_Cefas_Test7_Run2/Plate 1/@13/B8_02.tif "/>
    <s v=" 56800.1033 "/>
    <s v=" 47.1329 "/>
    <x v="0"/>
    <n v="2677154"/>
    <m/>
    <m/>
  </r>
  <r>
    <x v="2"/>
    <x v="2"/>
    <s v="C:\Users\andre\Desktop\REACTIV CEFAS\Tamoxifen\Tamoxifen/20201125_Cefas_Test7_Run2/Plate 1/@13/B8_03.tif "/>
    <s v=" 53447.4696 "/>
    <s v=" 45.2036 "/>
    <x v="0"/>
    <n v="2416016"/>
    <m/>
    <m/>
  </r>
  <r>
    <x v="2"/>
    <x v="3"/>
    <s v="C:\Users\andre\Desktop\REACTIV CEFAS\Tamoxifen\Tamoxifen/20201125_Cefas_Test7_Run2/Plate 1/@13/C8_01.tif "/>
    <s v=" 19402.0155 "/>
    <s v=" 35.2497 "/>
    <x v="0"/>
    <n v="683916"/>
    <m/>
    <m/>
  </r>
  <r>
    <x v="2"/>
    <x v="3"/>
    <s v="C:\Users\andre\Desktop\REACTIV CEFAS\Tamoxifen\Tamoxifen/20201125_Cefas_Test7_Run2/Plate 1/@13/C8_02.tif "/>
    <s v=" 20483.5102 "/>
    <s v=" 36.2196 "/>
    <x v="0"/>
    <n v="741905"/>
    <m/>
    <m/>
  </r>
  <r>
    <x v="2"/>
    <x v="3"/>
    <s v="C:\Users\andre\Desktop\REACTIV CEFAS\Tamoxifen\Tamoxifen/20201125_Cefas_Test7_Run2/Plate 1/@13/C8_03.tif "/>
    <s v=" 18882.898 "/>
    <s v=" 35.4215 "/>
    <x v="0"/>
    <n v="668861"/>
    <m/>
    <m/>
  </r>
  <r>
    <x v="2"/>
    <x v="4"/>
    <s v="C:\Users\andre\Desktop\REACTIV CEFAS\Tamoxifen\Tamoxifen/20201125_Cefas_Test7_Run2/Plate 1/@13/D8_01.tif "/>
    <s v=" 37787.4259 "/>
    <s v=" 41.0246 "/>
    <x v="0"/>
    <n v="1550215"/>
    <m/>
    <m/>
  </r>
  <r>
    <x v="2"/>
    <x v="4"/>
    <s v="C:\Users\andre\Desktop\REACTIV CEFAS\Tamoxifen\Tamoxifen/20201125_Cefas_Test7_Run2/Plate 1/@13/D8_02.tif "/>
    <s v=" 48818.6722 "/>
    <s v=" 42.8285 "/>
    <x v="0"/>
    <n v="2090832"/>
    <m/>
    <m/>
  </r>
  <r>
    <x v="2"/>
    <x v="4"/>
    <s v="C:\Users\andre\Desktop\REACTIV CEFAS\Tamoxifen\Tamoxifen/20201125_Cefas_Test7_Run2/Plate 1/@13/D8_03.tif "/>
    <s v=" 46807.092 "/>
    <s v=" 42.3757 "/>
    <x v="0"/>
    <n v="1983483"/>
    <m/>
    <m/>
  </r>
  <r>
    <x v="2"/>
    <x v="5"/>
    <s v="C:\Users\andre\Desktop\REACTIV CEFAS\Tamoxifen\Tamoxifen/20201125_Cefas_Test7_Run2/Plate 1/@13/E8_01.tif "/>
    <s v=" 17779.7734 "/>
    <s v=" 35.8358 "/>
    <x v="0"/>
    <n v="637152"/>
    <m/>
    <m/>
  </r>
  <r>
    <x v="2"/>
    <x v="5"/>
    <s v="C:\Users\andre\Desktop\REACTIV CEFAS\Tamoxifen\Tamoxifen/20201125_Cefas_Test7_Run2/Plate 1/@13/E8_02.tif "/>
    <s v=" 18212.3713 "/>
    <s v=" 36.7114 "/>
    <x v="0"/>
    <n v="668602"/>
    <m/>
    <m/>
  </r>
  <r>
    <x v="2"/>
    <x v="5"/>
    <s v="C:\Users\andre\Desktop\REACTIV CEFAS\Tamoxifen\Tamoxifen/20201125_Cefas_Test7_Run2/Plate 1/@13/E8_03.tif "/>
    <s v=" 13929.6521 "/>
    <s v=" 33.9224 "/>
    <x v="0"/>
    <n v="472527"/>
    <m/>
    <m/>
  </r>
  <r>
    <x v="2"/>
    <x v="6"/>
    <s v="C:\Users\andre\Desktop\REACTIV CEFAS\Tamoxifen\Tamoxifen/20201125_Cefas_Test7_Run2/Plate 1/@13/F8_01.tif "/>
    <s v=" 12264.1503 "/>
    <s v=" 33.9312 "/>
    <x v="0"/>
    <n v="416138"/>
    <m/>
    <m/>
  </r>
  <r>
    <x v="2"/>
    <x v="6"/>
    <s v="C:\Users\andre\Desktop\REACTIV CEFAS\Tamoxifen\Tamoxifen/20201125_Cefas_Test7_Run2/Plate 1/@13/F8_02.tif "/>
    <s v=" 16784.7982 "/>
    <s v=" 34.2758 "/>
    <x v="0"/>
    <n v="575312"/>
    <m/>
    <m/>
  </r>
  <r>
    <x v="2"/>
    <x v="6"/>
    <s v="C:\Users\andre\Desktop\REACTIV CEFAS\Tamoxifen\Tamoxifen/20201125_Cefas_Test7_Run2/Plate 1/@13/F8_03.tif "/>
    <s v=" 13951.282 "/>
    <s v=" 34.1411 "/>
    <x v="0"/>
    <n v="476312"/>
    <m/>
    <m/>
  </r>
  <r>
    <x v="2"/>
    <x v="7"/>
    <s v="C:\Users\andre\Desktop\REACTIV CEFAS\Tamoxifen\Tamoxifen/20201125_Cefas_Test7_Run2/Plate 1/@13/G8_01.tif "/>
    <s v=" 627.2669 "/>
    <s v=" 30.931 "/>
    <x v="0"/>
    <n v="19402"/>
    <m/>
    <m/>
  </r>
  <r>
    <x v="2"/>
    <x v="7"/>
    <s v="C:\Users\andre\Desktop\REACTIV CEFAS\Tamoxifen\Tamoxifen/20201125_Cefas_Test7_Run2/Plate 1/@13/G8_02.tif "/>
    <s v=" 2184.6194 "/>
    <s v=" 33.2475 "/>
    <x v="0"/>
    <n v="72633"/>
    <m/>
    <m/>
  </r>
  <r>
    <x v="2"/>
    <x v="7"/>
    <s v="C:\Users\andre\Desktop\REACTIV CEFAS\Tamoxifen\Tamoxifen/20201125_Cefas_Test7_Run2/Plate 1/@13/G8_03.tif "/>
    <s v=" 2076.4699 "/>
    <s v=" 34.3542 "/>
    <x v="0"/>
    <n v="71335"/>
    <m/>
    <m/>
  </r>
  <r>
    <x v="2"/>
    <x v="8"/>
    <s v="C:\Users\andre\Desktop\REACTIV CEFAS\Tamoxifen\Tamoxifen/20201125_Cefas_Test7_Run2/Plate 1/@13/H8_01.tif "/>
    <s v=" 40209.9741 "/>
    <s v=" 40.1372 "/>
    <x v="0"/>
    <n v="1613915"/>
    <m/>
    <m/>
  </r>
  <r>
    <x v="2"/>
    <x v="8"/>
    <s v="C:\Users\andre\Desktop\REACTIV CEFAS\Tamoxifen\Tamoxifen/20201125_Cefas_Test7_Run2/Plate 1/@13/H8_02.tif "/>
    <s v=" 39604.3371 "/>
    <s v=" 39.7739 "/>
    <x v="0"/>
    <n v="1575219"/>
    <m/>
    <m/>
  </r>
  <r>
    <x v="2"/>
    <x v="8"/>
    <s v="C:\Users\andre\Desktop\REACTIV CEFAS\Tamoxifen\Tamoxifen/20201125_Cefas_Test7_Run2/Plate 1/@13/H8_03.tif "/>
    <s v=" 34845.7602 "/>
    <s v=" 39.7381 "/>
    <x v="0"/>
    <n v="1384703"/>
    <m/>
    <m/>
  </r>
  <r>
    <x v="0"/>
    <x v="0"/>
    <s v=" "/>
    <m/>
    <m/>
    <x v="1"/>
    <m/>
    <m/>
    <m/>
  </r>
  <r>
    <x v="0"/>
    <x v="0"/>
    <s v="group "/>
    <s v=" "/>
    <s v=" mean of mean fluo "/>
    <x v="2"/>
    <s v=" mean of total fluo "/>
    <s v=" SD total fluo "/>
    <m/>
  </r>
  <r>
    <x v="2"/>
    <x v="9"/>
    <s v="C:\Users\andre\Desktop\REACTIV CEFAS\Tamoxifen\Tamoxifen/20201125_Cefas_Test7_Run2/Plate 1/@13/ "/>
    <s v=" "/>
    <s v=" 37.4447 "/>
    <x v="4"/>
    <s v=" 1102193.75 "/>
    <s v=" 760495.783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Tamoxifen\Tamoxifen/20201125_Cefas_Test7_Run2/Plate 1/@14/A9_01.tif "/>
    <s v=" 454.2278 "/>
    <s v=" 33.0952 "/>
    <x v="0"/>
    <n v="15033"/>
    <m/>
    <m/>
  </r>
  <r>
    <x v="3"/>
    <x v="1"/>
    <s v="C:\Users\andre\Desktop\REACTIV CEFAS\Tamoxifen\Tamoxifen/20201125_Cefas_Test7_Run2/Plate 1/@14/A9_02.tif "/>
    <s v=" 3785.2316 "/>
    <s v=" 33.04 "/>
    <x v="0"/>
    <n v="125064"/>
    <m/>
    <m/>
  </r>
  <r>
    <x v="3"/>
    <x v="1"/>
    <s v="C:\Users\andre\Desktop\REACTIV CEFAS\Tamoxifen\Tamoxifen/20201125_Cefas_Test7_Run2/Plate 1/@14/A9_03- exclu.tif"/>
    <m/>
    <m/>
    <x v="1"/>
    <m/>
    <m/>
    <m/>
  </r>
  <r>
    <x v="3"/>
    <x v="2"/>
    <s v="C:\Users\andre\Desktop\REACTIV CEFAS\Tamoxifen\Tamoxifen/20201125_Cefas_Test7_Run2/Plate 1/@14/B9_01.tif "/>
    <s v=" 18666.5991 "/>
    <s v=" 34.7671 "/>
    <x v="0"/>
    <n v="648983"/>
    <m/>
    <m/>
  </r>
  <r>
    <x v="3"/>
    <x v="2"/>
    <s v="C:\Users\andre\Desktop\REACTIV CEFAS\Tamoxifen\Tamoxifen/20201125_Cefas_Test7_Run2/Plate 1/@14/B9_02.tif "/>
    <s v=" 16633.389 "/>
    <s v=" 34.7321 "/>
    <x v="0"/>
    <n v="577713"/>
    <m/>
    <m/>
  </r>
  <r>
    <x v="3"/>
    <x v="2"/>
    <s v="C:\Users\andre\Desktop\REACTIV CEFAS\Tamoxifen\Tamoxifen/20201125_Cefas_Test7_Run2/Plate 1/@14/B9_03.tif "/>
    <s v=" 8673.5877 "/>
    <s v=" 34.606 "/>
    <x v="0"/>
    <n v="300158"/>
    <m/>
    <m/>
  </r>
  <r>
    <x v="3"/>
    <x v="3"/>
    <s v="C:\Users\andre\Desktop\REACTIV CEFAS\Tamoxifen\Tamoxifen/20201125_Cefas_Test7_Run2/Plate 1/@14/C9_01.tif "/>
    <s v=" 30130.4432 "/>
    <s v=" 36.9655 "/>
    <x v="0"/>
    <n v="1113788"/>
    <m/>
    <m/>
  </r>
  <r>
    <x v="3"/>
    <x v="3"/>
    <s v="C:\Users\andre\Desktop\REACTIV CEFAS\Tamoxifen\Tamoxifen/20201125_Cefas_Test7_Run2/Plate 1/@14/C9_02.tif "/>
    <s v=" 23381.9161 "/>
    <s v=" 35.5791 "/>
    <x v="0"/>
    <n v="831907"/>
    <m/>
    <m/>
  </r>
  <r>
    <x v="3"/>
    <x v="3"/>
    <s v="C:\Users\andre\Desktop\REACTIV CEFAS\Tamoxifen\Tamoxifen/20201125_Cefas_Test7_Run2/Plate 1/@14/C9_03.tif "/>
    <s v=" 28551.4609 "/>
    <s v=" 36.1 "/>
    <x v="0"/>
    <n v="1030708"/>
    <m/>
    <m/>
  </r>
  <r>
    <x v="3"/>
    <x v="4"/>
    <s v="C:\Users\andre\Desktop\REACTIV CEFAS\Tamoxifen\Tamoxifen/20201125_Cefas_Test7_Run2/Plate 1/@14/D9_01.tif "/>
    <s v=" 30563.0411 "/>
    <s v=" 36.6362 "/>
    <x v="0"/>
    <n v="1119715"/>
    <m/>
    <m/>
  </r>
  <r>
    <x v="3"/>
    <x v="4"/>
    <s v="C:\Users\andre\Desktop\REACTIV CEFAS\Tamoxifen\Tamoxifen/20201125_Cefas_Test7_Run2/Plate 1/@14/D9_02.tif "/>
    <s v=" 30476.5215 "/>
    <s v=" 40.401 "/>
    <x v="0"/>
    <n v="1231282"/>
    <m/>
    <m/>
  </r>
  <r>
    <x v="3"/>
    <x v="4"/>
    <s v="C:\Users\andre\Desktop\REACTIV CEFAS\Tamoxifen\Tamoxifen/20201125_Cefas_Test7_Run2/Plate 1/@14/D9_03- exclu.tif"/>
    <m/>
    <m/>
    <x v="1"/>
    <m/>
    <m/>
    <m/>
  </r>
  <r>
    <x v="3"/>
    <x v="5"/>
    <s v="C:\Users\andre\Desktop\REACTIV CEFAS\Tamoxifen\Tamoxifen/20201125_Cefas_Test7_Run2/Plate 1/@14/E9_01.tif "/>
    <s v=" 52019.8966 "/>
    <s v=" 39.4316 "/>
    <x v="0"/>
    <n v="2051228"/>
    <m/>
    <m/>
  </r>
  <r>
    <x v="3"/>
    <x v="5"/>
    <s v="C:\Users\andre\Desktop\REACTIV CEFAS\Tamoxifen\Tamoxifen/20201125_Cefas_Test7_Run2/Plate 1/@14/E9_02.tif "/>
    <s v=" 52928.3522 "/>
    <s v=" 37.6984 "/>
    <x v="0"/>
    <n v="1995315"/>
    <m/>
    <m/>
  </r>
  <r>
    <x v="3"/>
    <x v="5"/>
    <s v="C:\Users\andre\Desktop\REACTIV CEFAS\Tamoxifen\Tamoxifen/20201125_Cefas_Test7_Run2/Plate 1/@14/E9_03.tif "/>
    <s v=" 45314.6292 "/>
    <s v=" 40.2029 "/>
    <x v="0"/>
    <n v="1821778"/>
    <m/>
    <m/>
  </r>
  <r>
    <x v="3"/>
    <x v="6"/>
    <s v="C:\Users\andre\Desktop\REACTIV CEFAS\Tamoxifen\Tamoxifen/20201125_Cefas_Test7_Run2/Plate 1/@14/F9_01- exclu.tif"/>
    <m/>
    <m/>
    <x v="1"/>
    <m/>
    <m/>
    <m/>
  </r>
  <r>
    <x v="3"/>
    <x v="6"/>
    <s v="C:\Users\andre\Desktop\REACTIV CEFAS\Tamoxifen\Tamoxifen/20201125_Cefas_Test7_Run2/Plate 1/@14/F9_02- exclu.tif"/>
    <m/>
    <m/>
    <x v="1"/>
    <m/>
    <m/>
    <m/>
  </r>
  <r>
    <x v="3"/>
    <x v="6"/>
    <s v="C:\Users\andre\Desktop\REACTIV CEFAS\Tamoxifen\Tamoxifen/20201125_Cefas_Test7_Run2/Plate 1/@14/F9_03- exclu.tif"/>
    <m/>
    <m/>
    <x v="1"/>
    <m/>
    <m/>
    <m/>
  </r>
  <r>
    <x v="3"/>
    <x v="7"/>
    <s v="C:\Users\andre\Desktop\REACTIV CEFAS\Tamoxifen\Tamoxifen/20201125_Cefas_Test7_Run2/Plate 1/@14/G9_01.tif "/>
    <s v=" 40318.1236 "/>
    <s v=" 36.3256 "/>
    <x v="0"/>
    <n v="1464582"/>
    <m/>
    <m/>
  </r>
  <r>
    <x v="3"/>
    <x v="7"/>
    <s v="C:\Users\andre\Desktop\REACTIV CEFAS\Tamoxifen\Tamoxifen/20201125_Cefas_Test7_Run2/Plate 1/@14/G9_02.tif "/>
    <s v=" 46006.7859 "/>
    <s v=" 36.4725 "/>
    <x v="0"/>
    <n v="1677982"/>
    <m/>
    <m/>
  </r>
  <r>
    <x v="3"/>
    <x v="7"/>
    <s v="C:\Users\andre\Desktop\REACTIV CEFAS\Tamoxifen\Tamoxifen/20201125_Cefas_Test7_Run2/Plate 1/@14/G9_03.tif "/>
    <s v=" 43605.8676 "/>
    <s v=" 35.5154 "/>
    <x v="0"/>
    <n v="1548679"/>
    <m/>
    <m/>
  </r>
  <r>
    <x v="3"/>
    <x v="8"/>
    <s v="C:\Users\andre\Desktop\REACTIV CEFAS\Tamoxifen\Tamoxifen/20201125_Cefas_Test7_Run2/Plate 1/@14/H9_01.tif "/>
    <s v=" 20050.9123 "/>
    <s v=" 33.7789 "/>
    <x v="0"/>
    <n v="677297"/>
    <m/>
    <m/>
  </r>
  <r>
    <x v="3"/>
    <x v="8"/>
    <s v="C:\Users\andre\Desktop\REACTIV CEFAS\Tamoxifen\Tamoxifen/20201125_Cefas_Test7_Run2/Plate 1/@14/H9_02.tif "/>
    <s v=" 13843.1326 "/>
    <s v=" 35.4922 "/>
    <x v="0"/>
    <n v="491323"/>
    <m/>
    <m/>
  </r>
  <r>
    <x v="3"/>
    <x v="8"/>
    <s v="C:\Users\andre\Desktop\REACTIV CEFAS\Tamoxifen\Tamoxifen/20201125_Cefas_Test7_Run2/Plate 1/@14/H9_03.tif "/>
    <s v=" 12199.2606 "/>
    <s v=" 33.3812 "/>
    <x v="0"/>
    <n v="407226"/>
    <m/>
    <m/>
  </r>
  <r>
    <x v="0"/>
    <x v="0"/>
    <s v=" "/>
    <m/>
    <m/>
    <x v="1"/>
    <m/>
    <m/>
    <m/>
  </r>
  <r>
    <x v="0"/>
    <x v="0"/>
    <s v="group "/>
    <s v=" "/>
    <s v=" mean of mean fluo "/>
    <x v="2"/>
    <s v=" mean of total fluo "/>
    <s v=" SD total fluo "/>
    <m/>
  </r>
  <r>
    <x v="3"/>
    <x v="9"/>
    <s v="C:\Users\andre\Desktop\REACTIV CEFAS\Tamoxifen\Tamoxifen/20201125_Cefas_Test7_Run2/Plate 1/@14/ "/>
    <s v=" "/>
    <s v=" 29.7975 "/>
    <x v="5"/>
    <s v=" 797770.042 "/>
    <s v=" 694203.93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Tamoxifen\Tamoxifen/20201125_Cefas_Test7_Run2/Plate 1/@15/A11_01- exclu.tif"/>
    <m/>
    <m/>
    <x v="1"/>
    <m/>
    <m/>
    <m/>
  </r>
  <r>
    <x v="4"/>
    <x v="1"/>
    <s v="C:\Users\andre\Desktop\REACTIV CEFAS\Tamoxifen\Tamoxifen/20201125_Cefas_Test7_Run2/Plate 1/@15/A11_02- exclu.tif"/>
    <m/>
    <m/>
    <x v="1"/>
    <m/>
    <m/>
    <m/>
  </r>
  <r>
    <x v="4"/>
    <x v="1"/>
    <s v="C:\Users\andre\Desktop\REACTIV CEFAS\Tamoxifen\Tamoxifen/20201125_Cefas_Test7_Run2/Plate 1/@15/A11_03- exclu.tif"/>
    <m/>
    <m/>
    <x v="1"/>
    <m/>
    <m/>
    <m/>
  </r>
  <r>
    <x v="4"/>
    <x v="2"/>
    <s v="C:\Users\andre\Desktop\REACTIV CEFAS\Tamoxifen\Tamoxifen/20201125_Cefas_Test7_Run2/Plate 1/@15/B11_01.tif "/>
    <s v=" 64413.8262 "/>
    <s v=" 49.4389 "/>
    <x v="0"/>
    <n v="3184548"/>
    <m/>
    <m/>
  </r>
  <r>
    <x v="4"/>
    <x v="2"/>
    <s v="C:\Users\andre\Desktop\REACTIV CEFAS\Tamoxifen\Tamoxifen/20201125_Cefas_Test7_Run2/Plate 1/@15/B11_02- exclu.tif"/>
    <m/>
    <m/>
    <x v="1"/>
    <m/>
    <m/>
    <m/>
  </r>
  <r>
    <x v="4"/>
    <x v="2"/>
    <s v="C:\Users\andre\Desktop\REACTIV CEFAS\Tamoxifen\Tamoxifen/20201125_Cefas_Test7_Run2/Plate 1/@15/B11_03- exclu.tif"/>
    <m/>
    <m/>
    <x v="1"/>
    <m/>
    <m/>
    <m/>
  </r>
  <r>
    <x v="4"/>
    <x v="3"/>
    <s v="C:\Users\andre\Desktop\REACTIV CEFAS\Tamoxifen\Tamoxifen/20201125_Cefas_Test7_Run2/Plate 1/@15/C11_01.tif "/>
    <s v=" 23317.0264 "/>
    <s v=" 46.2727 "/>
    <x v="0"/>
    <n v="1078942"/>
    <m/>
    <m/>
  </r>
  <r>
    <x v="4"/>
    <x v="3"/>
    <s v="C:\Users\andre\Desktop\REACTIV CEFAS\Tamoxifen\Tamoxifen/20201125_Cefas_Test7_Run2/Plate 1/@15/C11_02.tif "/>
    <s v=" 20505.1401 "/>
    <s v=" 45.8914 "/>
    <x v="0"/>
    <n v="941009"/>
    <m/>
    <m/>
  </r>
  <r>
    <x v="4"/>
    <x v="3"/>
    <s v="C:\Users\andre\Desktop\REACTIV CEFAS\Tamoxifen\Tamoxifen/20201125_Cefas_Test7_Run2/Plate 1/@15/C11_03.tif "/>
    <s v=" 16806.4281 "/>
    <s v=" 46.3668 "/>
    <x v="0"/>
    <n v="779260"/>
    <m/>
    <m/>
  </r>
  <r>
    <x v="4"/>
    <x v="4"/>
    <s v="C:\Users\andre\Desktop\REACTIV CEFAS\Tamoxifen\Tamoxifen/20201125_Cefas_Test7_Run2/Plate 1/@15/D11_01.tif "/>
    <s v=" 88617.6783 "/>
    <s v=" 47.8584 "/>
    <x v="0"/>
    <n v="4241103"/>
    <m/>
    <m/>
  </r>
  <r>
    <x v="4"/>
    <x v="4"/>
    <s v="C:\Users\andre\Desktop\REACTIV CEFAS\Tamoxifen\Tamoxifen/20201125_Cefas_Test7_Run2/Plate 1/@15/D11_02.tif "/>
    <s v=" 86757.5074 "/>
    <s v=" 51.1149 "/>
    <x v="0"/>
    <n v="4434604"/>
    <m/>
    <m/>
  </r>
  <r>
    <x v="4"/>
    <x v="4"/>
    <s v="C:\Users\andre\Desktop\REACTIV CEFAS\Tamoxifen\Tamoxifen/20201125_Cefas_Test7_Run2/Plate 1/@15/D11_03.tif "/>
    <s v=" 83686.0623 "/>
    <s v=" 47.5348 "/>
    <x v="0"/>
    <n v="3977997"/>
    <m/>
    <m/>
  </r>
  <r>
    <x v="4"/>
    <x v="5"/>
    <s v="C:\Users\andre\Desktop\REACTIV CEFAS\Tamoxifen\Tamoxifen/20201125_Cefas_Test7_Run2/Plate 1/@15/E11_01.tif "/>
    <s v=" 60044.5875 "/>
    <s v=" 43.4143 "/>
    <x v="0"/>
    <n v="2606792"/>
    <m/>
    <m/>
  </r>
  <r>
    <x v="4"/>
    <x v="5"/>
    <s v="C:\Users\andre\Desktop\REACTIV CEFAS\Tamoxifen\Tamoxifen/20201125_Cefas_Test7_Run2/Plate 1/@15/E11_02.tif "/>
    <s v=" 63116.0325 "/>
    <s v=" 46.9469 "/>
    <x v="0"/>
    <n v="2963101"/>
    <m/>
    <m/>
  </r>
  <r>
    <x v="4"/>
    <x v="5"/>
    <s v="C:\Users\andre\Desktop\REACTIV CEFAS\Tamoxifen\Tamoxifen/20201125_Cefas_Test7_Run2/Plate 1/@15/E11_03.tif "/>
    <s v=" 63591.8902 "/>
    <s v=" 45.9776 "/>
    <x v="0"/>
    <n v="2923799"/>
    <m/>
    <m/>
  </r>
  <r>
    <x v="4"/>
    <x v="6"/>
    <s v="C:\Users\andre\Desktop\REACTIV CEFAS\Tamoxifen\Tamoxifen/20201125_Cefas_Test7_Run2/Plate 1/@15/F11_01.tif "/>
    <s v=" 81263.5141 "/>
    <s v=" 54.4913 "/>
    <x v="0"/>
    <n v="4428159"/>
    <m/>
    <m/>
  </r>
  <r>
    <x v="4"/>
    <x v="6"/>
    <s v="C:\Users\andre\Desktop\REACTIV CEFAS\Tamoxifen\Tamoxifen/20201125_Cefas_Test7_Run2/Plate 1/@15/F11_02.tif "/>
    <s v=" 83750.952 "/>
    <s v=" 54.8802 "/>
    <x v="0"/>
    <n v="4596266"/>
    <m/>
    <m/>
  </r>
  <r>
    <x v="4"/>
    <x v="6"/>
    <s v="C:\Users\andre\Desktop\REACTIV CEFAS\Tamoxifen\Tamoxifen/20201125_Cefas_Test7_Run2/Plate 1/@15/F11_03.tif "/>
    <s v=" 76894.2754 "/>
    <s v=" 51.2515 "/>
    <x v="0"/>
    <n v="3940945"/>
    <m/>
    <m/>
  </r>
  <r>
    <x v="4"/>
    <x v="7"/>
    <s v="C:\Users\andre\Desktop\REACTIV CEFAS\Tamoxifen\Tamoxifen/20201125_Cefas_Test7_Run2/Plate 1/@15/G11_01.tif "/>
    <s v=" 60239.2565 "/>
    <s v=" 52.4977 "/>
    <x v="0"/>
    <n v="3162420"/>
    <m/>
    <m/>
  </r>
  <r>
    <x v="4"/>
    <x v="7"/>
    <s v="C:\Users\andre\Desktop\REACTIV CEFAS\Tamoxifen\Tamoxifen/20201125_Cefas_Test7_Run2/Plate 1/@15/G11_02.tif "/>
    <s v=" 57167.8115 "/>
    <s v=" 48.4268 "/>
    <x v="0"/>
    <n v="2768453"/>
    <m/>
    <m/>
  </r>
  <r>
    <x v="4"/>
    <x v="7"/>
    <s v="C:\Users\andre\Desktop\REACTIV CEFAS\Tamoxifen\Tamoxifen/20201125_Cefas_Test7_Run2/Plate 1/@15/G11_03.tif "/>
    <s v=" 65668.3601 "/>
    <s v=" 51.5471 "/>
    <x v="0"/>
    <n v="3385014"/>
    <m/>
    <m/>
  </r>
  <r>
    <x v="4"/>
    <x v="8"/>
    <s v="C:\Users\andre\Desktop\REACTIV CEFAS\Tamoxifen\Tamoxifen/20201125_Cefas_Test7_Run2/Plate 1/@15/H11_01.tif "/>
    <s v=" 53988.217 "/>
    <s v=" 52.3922 "/>
    <x v="0"/>
    <n v="2828563"/>
    <m/>
    <m/>
  </r>
  <r>
    <x v="4"/>
    <x v="8"/>
    <s v="C:\Users\andre\Desktop\REACTIV CEFAS\Tamoxifen\Tamoxifen/20201125_Cefas_Test7_Run2/Plate 1/@15/H11_02.tif "/>
    <s v=" 53166.281 "/>
    <s v=" 55.2823 "/>
    <x v="0"/>
    <n v="2939157"/>
    <m/>
    <m/>
  </r>
  <r>
    <x v="4"/>
    <x v="8"/>
    <s v="C:\Users\andre\Desktop\REACTIV CEFAS\Tamoxifen\Tamoxifen/20201125_Cefas_Test7_Run2/Plate 1/@15/H11_03.tif "/>
    <s v=" 49489.1989 "/>
    <s v=" 52.1075 "/>
    <x v="0"/>
    <n v="2578759"/>
    <m/>
    <m/>
  </r>
  <r>
    <x v="0"/>
    <x v="0"/>
    <s v=" "/>
    <m/>
    <m/>
    <x v="1"/>
    <m/>
    <m/>
    <m/>
  </r>
  <r>
    <x v="0"/>
    <x v="0"/>
    <s v="group "/>
    <s v=" "/>
    <s v=" mean of mean fluo "/>
    <x v="2"/>
    <s v=" mean of total fluo "/>
    <s v=" SD total fluo "/>
    <m/>
  </r>
  <r>
    <x v="4"/>
    <x v="9"/>
    <s v="C:\Users\andre\Desktop\REACTIV CEFAS\Tamoxifen\Tamoxifen/20201125_Cefas_Test7_Run2/Plate 1/@15/ "/>
    <s v=" "/>
    <s v=" 50.417 "/>
    <x v="6"/>
    <s v=" 3003694.75 "/>
    <s v=" 1073057.3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Tamoxifen\Tamoxifen/20201125_Cefas_Test7_Run2/Plate 1/@16/A12_01- exclu.tif"/>
    <m/>
    <m/>
    <x v="1"/>
    <m/>
    <m/>
    <m/>
  </r>
  <r>
    <x v="5"/>
    <x v="1"/>
    <s v="C:\Users\andre\Desktop\REACTIV CEFAS\Tamoxifen\Tamoxifen/20201125_Cefas_Test7_Run2/Plate 1/@16/A12_02- exclu.tif"/>
    <m/>
    <m/>
    <x v="1"/>
    <m/>
    <m/>
    <m/>
  </r>
  <r>
    <x v="5"/>
    <x v="1"/>
    <s v="C:\Users\andre\Desktop\REACTIV CEFAS\Tamoxifen\Tamoxifen/20201125_Cefas_Test7_Run2/Plate 1/@16/A12_03- exclu.tif"/>
    <m/>
    <m/>
    <x v="1"/>
    <m/>
    <m/>
    <m/>
  </r>
  <r>
    <x v="5"/>
    <x v="2"/>
    <s v="C:\Users\andre\Desktop\REACTIV CEFAS\Tamoxifen\Tamoxifen/20201125_Cefas_Test7_Run2/Plate 1/@16/B12_01.tif "/>
    <s v=" 540.7474 "/>
    <s v=" 33.16 "/>
    <x v="0"/>
    <n v="17931"/>
    <m/>
    <m/>
  </r>
  <r>
    <x v="5"/>
    <x v="2"/>
    <s v="C:\Users\andre\Desktop\REACTIV CEFAS\Tamoxifen\Tamoxifen/20201125_Cefas_Test7_Run2/Plate 1/@16/B12_02.tif "/>
    <n v="0"/>
    <n v="0"/>
    <x v="0"/>
    <n v="0"/>
    <m/>
    <m/>
  </r>
  <r>
    <x v="5"/>
    <x v="2"/>
    <s v="C:\Users\andre\Desktop\REACTIV CEFAS\Tamoxifen\Tamoxifen/20201125_Cefas_Test7_Run2/Plate 1/@16/B12_03.tif "/>
    <s v=" 4628.7975 "/>
    <s v=" 34.3364 "/>
    <x v="0"/>
    <n v="158936"/>
    <m/>
    <m/>
  </r>
  <r>
    <x v="5"/>
    <x v="3"/>
    <s v="C:\Users\andre\Desktop\REACTIV CEFAS\Tamoxifen\Tamoxifen/20201125_Cefas_Test7_Run2/Plate 1/@16/C12_01.tif "/>
    <s v=" 4736.9469 "/>
    <s v=" 33.9041 "/>
    <x v="0"/>
    <n v="160602"/>
    <m/>
    <m/>
  </r>
  <r>
    <x v="5"/>
    <x v="3"/>
    <s v="C:\Users\andre\Desktop\REACTIV CEFAS\Tamoxifen\Tamoxifen/20201125_Cefas_Test7_Run2/Plate 1/@16/C12_02.tif "/>
    <s v=" 2054.84 "/>
    <s v=" 32.3053 "/>
    <x v="0"/>
    <n v="66382"/>
    <m/>
    <m/>
  </r>
  <r>
    <x v="5"/>
    <x v="3"/>
    <s v="C:\Users\andre\Desktop\REACTIV CEFAS\Tamoxifen\Tamoxifen/20201125_Cefas_Test7_Run2/Plate 1/@16/C12_03.tif "/>
    <s v=" 5753.552 "/>
    <s v=" 34.9887 "/>
    <x v="0"/>
    <n v="201309"/>
    <m/>
    <m/>
  </r>
  <r>
    <x v="5"/>
    <x v="4"/>
    <s v="C:\Users\andre\Desktop\REACTIV CEFAS\Tamoxifen\Tamoxifen/20201125_Cefas_Test7_Run2/Plate 1/@16/D12_01.tif "/>
    <s v=" 7202.7549 "/>
    <s v=" 42.1862 "/>
    <x v="0"/>
    <n v="303857"/>
    <m/>
    <m/>
  </r>
  <r>
    <x v="5"/>
    <x v="4"/>
    <s v="C:\Users\andre\Desktop\REACTIV CEFAS\Tamoxifen\Tamoxifen/20201125_Cefas_Test7_Run2/Plate 1/@16/D12_02.tif "/>
    <s v=" 9062.9258 "/>
    <s v=" 42.4726 "/>
    <x v="0"/>
    <n v="384926"/>
    <m/>
    <m/>
  </r>
  <r>
    <x v="5"/>
    <x v="4"/>
    <s v="C:\Users\andre\Desktop\REACTIV CEFAS\Tamoxifen\Tamoxifen/20201125_Cefas_Test7_Run2/Plate 1/@16/D12_03.tif "/>
    <s v=" 6640.3777 "/>
    <s v=" 40.5765 "/>
    <x v="0"/>
    <n v="269444"/>
    <m/>
    <m/>
  </r>
  <r>
    <x v="5"/>
    <x v="5"/>
    <s v="C:\Users\andre\Desktop\REACTIV CEFAS\Tamoxifen\Tamoxifen/20201125_Cefas_Test7_Run2/Plate 1/@16/E12_01.tif "/>
    <s v=" 4239.4593 "/>
    <s v=" 34.4031 "/>
    <x v="0"/>
    <n v="145850"/>
    <m/>
    <m/>
  </r>
  <r>
    <x v="5"/>
    <x v="5"/>
    <s v="C:\Users\andre\Desktop\REACTIV CEFAS\Tamoxifen\Tamoxifen/20201125_Cefas_Test7_Run2/Plate 1/@16/E12_02.tif "/>
    <s v=" 1103.1246 "/>
    <n v="33"/>
    <x v="0"/>
    <n v="36403"/>
    <m/>
    <m/>
  </r>
  <r>
    <x v="5"/>
    <x v="5"/>
    <s v="C:\Users\andre\Desktop\REACTIV CEFAS\Tamoxifen\Tamoxifen/20201125_Cefas_Test7_Run2/Plate 1/@16/E12_03.tif "/>
    <s v=" 1124.7545 "/>
    <s v=" 34.1538 "/>
    <x v="0"/>
    <n v="38415"/>
    <m/>
    <m/>
  </r>
  <r>
    <x v="5"/>
    <x v="6"/>
    <s v="C:\Users\andre\Desktop\REACTIV CEFAS\Tamoxifen\Tamoxifen/20201125_Cefas_Test7_Run2/Plate 1/@16/F12_01.tif "/>
    <s v=" 10403.9793 "/>
    <s v=" 45.7214 "/>
    <x v="0"/>
    <n v="475685"/>
    <m/>
    <m/>
  </r>
  <r>
    <x v="5"/>
    <x v="6"/>
    <s v="C:\Users\andre\Desktop\REACTIV CEFAS\Tamoxifen\Tamoxifen/20201125_Cefas_Test7_Run2/Plate 1/@16/F12_02.tif "/>
    <s v=" 10209.3103 "/>
    <s v=" 47.9153 "/>
    <x v="0"/>
    <n v="489182"/>
    <m/>
    <m/>
  </r>
  <r>
    <x v="5"/>
    <x v="6"/>
    <s v="C:\Users\andre\Desktop\REACTIV CEFAS\Tamoxifen\Tamoxifen/20201125_Cefas_Test7_Run2/Plate 1/@16/F12_03.tif "/>
    <s v=" 7029.7158 "/>
    <s v=" 39.1723 "/>
    <x v="0"/>
    <n v="275370"/>
    <m/>
    <m/>
  </r>
  <r>
    <x v="5"/>
    <x v="7"/>
    <s v="C:\Users\andre\Desktop\REACTIV CEFAS\Tamoxifen\Tamoxifen/20201125_Cefas_Test7_Run2/Plate 1/@16/G12_01.tif "/>
    <s v=" 4563.9078 "/>
    <s v=" 39.436 "/>
    <x v="0"/>
    <n v="179982"/>
    <m/>
    <m/>
  </r>
  <r>
    <x v="5"/>
    <x v="7"/>
    <s v="C:\Users\andre\Desktop\REACTIV CEFAS\Tamoxifen\Tamoxifen/20201125_Cefas_Test7_Run2/Plate 1/@16/G12_02.tif "/>
    <s v=" 4412.4985 "/>
    <s v=" 39.8873 "/>
    <x v="0"/>
    <n v="176002"/>
    <m/>
    <m/>
  </r>
  <r>
    <x v="5"/>
    <x v="7"/>
    <s v="C:\Users\andre\Desktop\REACTIV CEFAS\Tamoxifen\Tamoxifen/20201125_Cefas_Test7_Run2/Plate 1/@16/G12_03.tif "/>
    <s v=" 1297.7937 "/>
    <s v=" 33.1833 "/>
    <x v="0"/>
    <n v="43065"/>
    <m/>
    <m/>
  </r>
  <r>
    <x v="5"/>
    <x v="8"/>
    <s v="C:\Users\andre\Desktop\REACTIV CEFAS\Tamoxifen\Tamoxifen/20201125_Cefas_Test7_Run2/Plate 1/@16/H12_01.tif "/>
    <s v=" 2617.2173 "/>
    <s v=" 32.4959 "/>
    <x v="0"/>
    <n v="85049"/>
    <m/>
    <m/>
  </r>
  <r>
    <x v="5"/>
    <x v="8"/>
    <s v="C:\Users\andre\Desktop\REACTIV CEFAS\Tamoxifen\Tamoxifen/20201125_Cefas_Test7_Run2/Plate 1/@16/H12_02.tif "/>
    <n v="0"/>
    <n v="0"/>
    <x v="0"/>
    <n v="0"/>
    <m/>
    <m/>
  </r>
  <r>
    <x v="5"/>
    <x v="8"/>
    <s v="C:\Users\andre\Desktop\REACTIV CEFAS\Tamoxifen\Tamoxifen/20201125_Cefas_Test7_Run2/Plate 1/@16/H12_03.tif "/>
    <s v=" 3612.1924 "/>
    <s v=" 38.1916 "/>
    <x v="0"/>
    <n v="137955"/>
    <m/>
    <m/>
  </r>
  <r>
    <x v="0"/>
    <x v="0"/>
    <s v=" "/>
    <m/>
    <m/>
    <x v="1"/>
    <m/>
    <m/>
    <m/>
  </r>
  <r>
    <x v="0"/>
    <x v="0"/>
    <s v="group "/>
    <s v=" "/>
    <s v=" mean of mean fluo "/>
    <x v="2"/>
    <s v=" mean of total fluo "/>
    <s v=" SD total fluo "/>
    <m/>
  </r>
  <r>
    <x v="5"/>
    <x v="9"/>
    <s v="C:\Users\andre\Desktop\REACTIV CEFAS\Tamoxifen\Tamoxifen/20201125_Cefas_Test7_Run2/Plate 1/@16/ "/>
    <s v=" "/>
    <s v=" 35.4494 "/>
    <x v="7"/>
    <s v=" 245550.667 "/>
    <s v=" 237990.303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Tamoxifen\Tamoxifen/20201125_Cefas_Test7_Run2/Plate 1/@2/A2_01- exclu.tif"/>
    <m/>
    <m/>
    <x v="1"/>
    <m/>
    <m/>
    <m/>
  </r>
  <r>
    <x v="6"/>
    <x v="1"/>
    <s v="C:\Users\andre\Desktop\REACTIV CEFAS\Tamoxifen\Tamoxifen/20201125_Cefas_Test7_Run2/Plate 1/@2/A2_02- exclu.tif"/>
    <m/>
    <m/>
    <x v="1"/>
    <m/>
    <m/>
    <m/>
  </r>
  <r>
    <x v="6"/>
    <x v="1"/>
    <s v="C:\Users\andre\Desktop\REACTIV CEFAS\Tamoxifen\Tamoxifen/20201125_Cefas_Test7_Run2/Plate 1/@2/A2_03- exclu.tif"/>
    <m/>
    <m/>
    <x v="1"/>
    <m/>
    <m/>
    <m/>
  </r>
  <r>
    <x v="6"/>
    <x v="2"/>
    <s v="C:\Users\andre\Desktop\REACTIV CEFAS\Tamoxifen\Tamoxifen/20201125_Cefas_Test7_Run2/Plate 1/@2/B2_01.tif "/>
    <s v=" 108.1495 "/>
    <s v=" 30.4 "/>
    <x v="0"/>
    <n v="3288"/>
    <m/>
    <m/>
  </r>
  <r>
    <x v="6"/>
    <x v="2"/>
    <s v="C:\Users\andre\Desktop\REACTIV CEFAS\Tamoxifen\Tamoxifen/20201125_Cefas_Test7_Run2/Plate 1/@2/B2_02.tif "/>
    <s v=" 2292.7688 "/>
    <n v="33"/>
    <x v="0"/>
    <n v="75661"/>
    <m/>
    <m/>
  </r>
  <r>
    <x v="6"/>
    <x v="2"/>
    <s v="C:\Users\andre\Desktop\REACTIV CEFAS\Tamoxifen\Tamoxifen/20201125_Cefas_Test7_Run2/Plate 1/@2/B2_03.tif "/>
    <s v=" 3482.413 "/>
    <s v=" 33.3975 "/>
    <x v="0"/>
    <n v="116304"/>
    <m/>
    <m/>
  </r>
  <r>
    <x v="6"/>
    <x v="3"/>
    <s v="C:\Users\andre\Desktop\REACTIV CEFAS\Tamoxifen\Tamoxifen/20201125_Cefas_Test7_Run2/Plate 1/@2/C2_01- exclu.tif"/>
    <m/>
    <m/>
    <x v="1"/>
    <m/>
    <m/>
    <m/>
  </r>
  <r>
    <x v="6"/>
    <x v="3"/>
    <s v="C:\Users\andre\Desktop\REACTIV CEFAS\Tamoxifen\Tamoxifen/20201125_Cefas_Test7_Run2/Plate 1/@2/C2_02.tif "/>
    <s v=" 12177.6307 "/>
    <s v=" 36.4281 "/>
    <x v="0"/>
    <n v="443608"/>
    <m/>
    <m/>
  </r>
  <r>
    <x v="6"/>
    <x v="3"/>
    <s v="C:\Users\andre\Desktop\REACTIV CEFAS\Tamoxifen\Tamoxifen/20201125_Cefas_Test7_Run2/Plate 1/@2/C2_03.tif "/>
    <s v=" 3504.0429 "/>
    <s v=" 33.1049 "/>
    <x v="0"/>
    <n v="116001"/>
    <m/>
    <m/>
  </r>
  <r>
    <x v="6"/>
    <x v="4"/>
    <s v="C:\Users\andre\Desktop\REACTIV CEFAS\Tamoxifen\Tamoxifen/20201125_Cefas_Test7_Run2/Plate 1/@2/D2_01.tif "/>
    <s v=" 475.8577 "/>
    <s v=" 31.8636 "/>
    <x v="0"/>
    <n v="15163"/>
    <m/>
    <m/>
  </r>
  <r>
    <x v="6"/>
    <x v="4"/>
    <s v="C:\Users\andre\Desktop\REACTIV CEFAS\Tamoxifen\Tamoxifen/20201125_Cefas_Test7_Run2/Plate 1/@2/D2_02.tif "/>
    <s v=" 562.3773 "/>
    <s v=" 31.8846 "/>
    <x v="0"/>
    <n v="17931"/>
    <m/>
    <m/>
  </r>
  <r>
    <x v="6"/>
    <x v="4"/>
    <s v="C:\Users\andre\Desktop\REACTIV CEFAS\Tamoxifen\Tamoxifen/20201125_Cefas_Test7_Run2/Plate 1/@2/D2_03.tif "/>
    <s v=" 173.0392 "/>
    <s v=" 35.5 "/>
    <x v="0"/>
    <n v="6143"/>
    <m/>
    <m/>
  </r>
  <r>
    <x v="6"/>
    <x v="5"/>
    <s v="C:\Users\andre\Desktop\REACTIV CEFAS\Tamoxifen\Tamoxifen/20201125_Cefas_Test7_Run2/Plate 1/@2/E2_01.tif "/>
    <s v=" 757.0463 "/>
    <s v=" 33.5429 "/>
    <x v="0"/>
    <n v="25393"/>
    <m/>
    <m/>
  </r>
  <r>
    <x v="6"/>
    <x v="5"/>
    <s v="C:\Users\andre\Desktop\REACTIV CEFAS\Tamoxifen\Tamoxifen/20201125_Cefas_Test7_Run2/Plate 1/@2/E2_02.tif "/>
    <s v=" 2292.7688 "/>
    <s v=" 35.1321 "/>
    <x v="0"/>
    <n v="80550"/>
    <m/>
    <m/>
  </r>
  <r>
    <x v="6"/>
    <x v="5"/>
    <s v="C:\Users\andre\Desktop\REACTIV CEFAS\Tamoxifen\Tamoxifen/20201125_Cefas_Test7_Run2/Plate 1/@2/E2_03.tif "/>
    <s v=" 1643.872 "/>
    <s v=" 34.0263 "/>
    <x v="0"/>
    <n v="55935"/>
    <m/>
    <m/>
  </r>
  <r>
    <x v="6"/>
    <x v="6"/>
    <s v="C:\Users\andre\Desktop\REACTIV CEFAS\Tamoxifen\Tamoxifen/20201125_Cefas_Test7_Run2/Plate 1/@2/F2_01.tif "/>
    <s v=" 16027.7519 "/>
    <s v=" 44.4224 "/>
    <x v="0"/>
    <n v="711991"/>
    <m/>
    <m/>
  </r>
  <r>
    <x v="6"/>
    <x v="6"/>
    <s v="C:\Users\andre\Desktop\REACTIV CEFAS\Tamoxifen\Tamoxifen/20201125_Cefas_Test7_Run2/Plate 1/@2/F2_02.tif "/>
    <s v=" 14145.9511 "/>
    <s v=" 41.3135 "/>
    <x v="0"/>
    <n v="584418"/>
    <m/>
    <m/>
  </r>
  <r>
    <x v="6"/>
    <x v="6"/>
    <s v="C:\Users\andre\Desktop\REACTIV CEFAS\Tamoxifen\Tamoxifen/20201125_Cefas_Test7_Run2/Plate 1/@2/F2_03.tif "/>
    <s v=" 9582.0433 "/>
    <s v=" 39.4673 "/>
    <x v="0"/>
    <n v="378177"/>
    <m/>
    <m/>
  </r>
  <r>
    <x v="6"/>
    <x v="7"/>
    <s v="C:\Users\andre\Desktop\REACTIV CEFAS\Tamoxifen\Tamoxifen/20201125_Cefas_Test7_Run2/Plate 1/@2/G2_01.tif "/>
    <s v=" 6337.5591 "/>
    <s v=" 36.5563 "/>
    <x v="0"/>
    <n v="231678"/>
    <m/>
    <m/>
  </r>
  <r>
    <x v="6"/>
    <x v="7"/>
    <s v="C:\Users\andre\Desktop\REACTIV CEFAS\Tamoxifen\Tamoxifen/20201125_Cefas_Test7_Run2/Plate 1/@2/G2_02.tif "/>
    <s v=" 108.1495 "/>
    <n v="31"/>
    <x v="0"/>
    <n v="3353"/>
    <m/>
    <m/>
  </r>
  <r>
    <x v="6"/>
    <x v="7"/>
    <s v="C:\Users\andre\Desktop\REACTIV CEFAS\Tamoxifen\Tamoxifen/20201125_Cefas_Test7_Run2/Plate 1/@2/G2_03.tif "/>
    <s v=" 12869.7873 "/>
    <s v=" 42.916 "/>
    <x v="0"/>
    <n v="552319"/>
    <m/>
    <m/>
  </r>
  <r>
    <x v="6"/>
    <x v="8"/>
    <s v="C:\Users\andre\Desktop\REACTIV CEFAS\Tamoxifen\Tamoxifen/20201125_Cefas_Test7_Run2/Plate 1/@2/H2_01.tif "/>
    <s v=" 1925.0606 "/>
    <s v=" 34.1124 "/>
    <x v="0"/>
    <n v="65668"/>
    <m/>
    <m/>
  </r>
  <r>
    <x v="6"/>
    <x v="8"/>
    <s v="C:\Users\andre\Desktop\REACTIV CEFAS\Tamoxifen\Tamoxifen/20201125_Cefas_Test7_Run2/Plate 1/@2/H2_02.tif "/>
    <s v=" 3741.9718 "/>
    <s v=" 38.3526 "/>
    <x v="0"/>
    <n v="143514"/>
    <m/>
    <m/>
  </r>
  <r>
    <x v="6"/>
    <x v="8"/>
    <s v="C:\Users\andre\Desktop\REACTIV CEFAS\Tamoxifen\Tamoxifen/20201125_Cefas_Test7_Run2/Plate 1/@2/H2_03.tif "/>
    <s v=" 973.3453 "/>
    <s v=" 31.4 "/>
    <x v="0"/>
    <n v="30563"/>
    <m/>
    <m/>
  </r>
  <r>
    <x v="0"/>
    <x v="0"/>
    <s v=" "/>
    <m/>
    <m/>
    <x v="1"/>
    <m/>
    <m/>
    <m/>
  </r>
  <r>
    <x v="0"/>
    <x v="0"/>
    <s v="group "/>
    <s v=" "/>
    <s v=" mean of mean fluo "/>
    <x v="2"/>
    <s v=" mean of total fluo "/>
    <s v=" SD total fluo "/>
    <m/>
  </r>
  <r>
    <x v="6"/>
    <x v="9"/>
    <s v="C:\Users\andre\Desktop\REACTIV CEFAS\Tamoxifen\Tamoxifen/20201125_Cefas_Test7_Run2/Plate 1/@2/ "/>
    <s v=" "/>
    <s v=" 34.9813 "/>
    <x v="8"/>
    <s v=" 176882.958 "/>
    <s v=" 205798.906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Tamoxifen\Tamoxifen/20201125_Cefas_Test7_Run2/Plate 1/@3/A3_01.tif "/>
    <s v=" 1470.8328 "/>
    <s v=" 32.9118 "/>
    <x v="0"/>
    <n v="48408"/>
    <m/>
    <m/>
  </r>
  <r>
    <x v="7"/>
    <x v="1"/>
    <s v="C:\Users\andre\Desktop\REACTIV CEFAS\Tamoxifen\Tamoxifen/20201125_Cefas_Test7_Run2/Plate 1/@3/A3_02.tif "/>
    <s v=" 1925.0606 "/>
    <s v=" 33.1348 "/>
    <x v="0"/>
    <n v="63787"/>
    <m/>
    <m/>
  </r>
  <r>
    <x v="7"/>
    <x v="1"/>
    <s v="C:\Users\andre\Desktop\REACTIV CEFAS\Tamoxifen\Tamoxifen/20201125_Cefas_Test7_Run2/Plate 1/@3/A3_03.tif "/>
    <s v=" 324.4484 "/>
    <s v=" 33.3333 "/>
    <x v="0"/>
    <n v="10815"/>
    <m/>
    <m/>
  </r>
  <r>
    <x v="7"/>
    <x v="2"/>
    <s v="C:\Users\andre\Desktop\REACTIV CEFAS\Tamoxifen\Tamoxifen/20201125_Cefas_Test7_Run2/Plate 1/@3/B3_01.tif "/>
    <s v=" 4693.6871 "/>
    <s v=" 34.8065 "/>
    <x v="0"/>
    <n v="163371"/>
    <m/>
    <m/>
  </r>
  <r>
    <x v="7"/>
    <x v="2"/>
    <s v="C:\Users\andre\Desktop\REACTIV CEFAS\Tamoxifen\Tamoxifen/20201125_Cefas_Test7_Run2/Plate 1/@3/B3_02.tif "/>
    <s v=" 281.1886 "/>
    <s v=" 31.4615 "/>
    <x v="0"/>
    <n v="8847"/>
    <m/>
    <m/>
  </r>
  <r>
    <x v="7"/>
    <x v="2"/>
    <s v="C:\Users\andre\Desktop\REACTIV CEFAS\Tamoxifen\Tamoxifen/20201125_Cefas_Test7_Run2/Plate 1/@3/B3_03.tif "/>
    <s v=" 43.2598 "/>
    <n v="30"/>
    <x v="0"/>
    <n v="1298"/>
    <m/>
    <m/>
  </r>
  <r>
    <x v="7"/>
    <x v="3"/>
    <s v="C:\Users\andre\Desktop\REACTIV CEFAS\Tamoxifen\Tamoxifen/20201125_Cefas_Test7_Run2/Plate 1/@3/C3_01.tif "/>
    <s v=" 2076.4699 "/>
    <s v=" 32.2708 "/>
    <x v="0"/>
    <n v="67009"/>
    <m/>
    <m/>
  </r>
  <r>
    <x v="7"/>
    <x v="3"/>
    <s v="C:\Users\andre\Desktop\REACTIV CEFAS\Tamoxifen\Tamoxifen/20201125_Cefas_Test7_Run2/Plate 1/@3/C3_02.tif "/>
    <s v=" 9928.1216 "/>
    <s v=" 46.3312 "/>
    <x v="0"/>
    <n v="459981"/>
    <m/>
    <m/>
  </r>
  <r>
    <x v="7"/>
    <x v="3"/>
    <s v="C:\Users\andre\Desktop\REACTIV CEFAS\Tamoxifen\Tamoxifen/20201125_Cefas_Test7_Run2/Plate 1/@3/C3_03.tif "/>
    <s v=" 3201.2244 "/>
    <s v=" 39.0676 "/>
    <x v="0"/>
    <n v="125064"/>
    <m/>
    <m/>
  </r>
  <r>
    <x v="7"/>
    <x v="4"/>
    <s v="C:\Users\andre\Desktop\REACTIV CEFAS\Tamoxifen\Tamoxifen/20201125_Cefas_Test7_Run2/Plate 1/@3/D3_01.tif "/>
    <s v=" 6943.1962 "/>
    <s v=" 31.9813 "/>
    <x v="0"/>
    <n v="222052"/>
    <m/>
    <m/>
  </r>
  <r>
    <x v="7"/>
    <x v="4"/>
    <s v="C:\Users\andre\Desktop\REACTIV CEFAS\Tamoxifen\Tamoxifen/20201125_Cefas_Test7_Run2/Plate 1/@3/D3_02.tif "/>
    <s v=" 3612.1924 "/>
    <s v=" 32.7186 "/>
    <x v="0"/>
    <n v="118186"/>
    <m/>
    <m/>
  </r>
  <r>
    <x v="7"/>
    <x v="4"/>
    <s v="C:\Users\andre\Desktop\REACTIV CEFAS\Tamoxifen\Tamoxifen/20201125_Cefas_Test7_Run2/Plate 1/@3/D3_03.tif "/>
    <s v=" 9127.8155 "/>
    <s v=" 32.372 "/>
    <x v="0"/>
    <n v="295486"/>
    <m/>
    <m/>
  </r>
  <r>
    <x v="7"/>
    <x v="5"/>
    <s v="C:\Users\andre\Desktop\REACTIV CEFAS\Tamoxifen\Tamoxifen/20201125_Cefas_Test7_Run2/Plate 1/@3/E3_01.tif "/>
    <s v=" 1946.6905 "/>
    <s v=" 33.5667 "/>
    <x v="0"/>
    <n v="65344"/>
    <m/>
    <m/>
  </r>
  <r>
    <x v="7"/>
    <x v="5"/>
    <s v="C:\Users\andre\Desktop\REACTIV CEFAS\Tamoxifen\Tamoxifen/20201125_Cefas_Test7_Run2/Plate 1/@3/E3_02.tif "/>
    <s v=" 3136.3347 "/>
    <s v=" 36.531 "/>
    <x v="0"/>
    <n v="114574"/>
    <m/>
    <m/>
  </r>
  <r>
    <x v="7"/>
    <x v="5"/>
    <s v="C:\Users\andre\Desktop\REACTIV CEFAS\Tamoxifen\Tamoxifen/20201125_Cefas_Test7_Run2/Plate 1/@3/E3_03.tif "/>
    <s v=" 3568.9326 "/>
    <s v=" 33.9333 "/>
    <x v="0"/>
    <n v="121106"/>
    <m/>
    <m/>
  </r>
  <r>
    <x v="7"/>
    <x v="6"/>
    <s v="C:\Users\andre\Desktop\REACTIV CEFAS\Tamoxifen\Tamoxifen/20201125_Cefas_Test7_Run2/Plate 1/@3/F3_01.tif "/>
    <s v=" 7224.3848 "/>
    <s v=" 35.7425 "/>
    <x v="0"/>
    <n v="258218"/>
    <m/>
    <m/>
  </r>
  <r>
    <x v="7"/>
    <x v="6"/>
    <s v="C:\Users\andre\Desktop\REACTIV CEFAS\Tamoxifen\Tamoxifen/20201125_Cefas_Test7_Run2/Plate 1/@3/F3_02.tif "/>
    <s v=" 4909.9861 "/>
    <s v=" 33.9207 "/>
    <x v="0"/>
    <n v="166550"/>
    <m/>
    <m/>
  </r>
  <r>
    <x v="7"/>
    <x v="6"/>
    <s v="C:\Users\andre\Desktop\REACTIV CEFAS\Tamoxifen\Tamoxifen/20201125_Cefas_Test7_Run2/Plate 1/@3/F3_03.tif "/>
    <s v=" 2855.1461 "/>
    <s v=" 32.0909 "/>
    <x v="0"/>
    <n v="91624"/>
    <m/>
    <m/>
  </r>
  <r>
    <x v="7"/>
    <x v="7"/>
    <s v="C:\Users\andre\Desktop\REACTIV CEFAS\Tamoxifen\Tamoxifen/20201125_Cefas_Test7_Run2/Plate 1/@3/G3_01.tif "/>
    <s v=" 5493.9932 "/>
    <s v=" 39.7953 "/>
    <x v="0"/>
    <n v="218635"/>
    <m/>
    <m/>
  </r>
  <r>
    <x v="7"/>
    <x v="7"/>
    <s v="C:\Users\andre\Desktop\REACTIV CEFAS\Tamoxifen\Tamoxifen/20201125_Cefas_Test7_Run2/Plate 1/@3/G3_02.tif "/>
    <s v=" 7354.1642 "/>
    <s v=" 44.2559 "/>
    <x v="0"/>
    <n v="325465"/>
    <m/>
    <m/>
  </r>
  <r>
    <x v="7"/>
    <x v="7"/>
    <s v="C:\Users\andre\Desktop\REACTIV CEFAS\Tamoxifen\Tamoxifen/20201125_Cefas_Test7_Run2/Plate 1/@3/G3_03.tif "/>
    <s v=" 7527.2033 "/>
    <s v=" 44.8994 "/>
    <x v="0"/>
    <n v="337967"/>
    <m/>
    <m/>
  </r>
  <r>
    <x v="7"/>
    <x v="8"/>
    <s v="C:\Users\andre\Desktop\REACTIV CEFAS\Tamoxifen\Tamoxifen/20201125_Cefas_Test7_Run2/Plate 1/@3/H3_01.tif "/>
    <s v=" 12783.2677 "/>
    <s v=" 40.5939 "/>
    <x v="0"/>
    <n v="518923"/>
    <m/>
    <m/>
  </r>
  <r>
    <x v="7"/>
    <x v="8"/>
    <s v="C:\Users\andre\Desktop\REACTIV CEFAS\Tamoxifen\Tamoxifen/20201125_Cefas_Test7_Run2/Plate 1/@3/H3_02.tif "/>
    <s v=" 11139.3957 "/>
    <s v=" 38.9592 "/>
    <x v="0"/>
    <n v="433982"/>
    <m/>
    <m/>
  </r>
  <r>
    <x v="7"/>
    <x v="8"/>
    <s v="C:\Users\andre\Desktop\REACTIV CEFAS\Tamoxifen\Tamoxifen/20201125_Cefas_Test7_Run2/Plate 1/@3/H3_03.tif "/>
    <s v=" 12199.2606 "/>
    <s v=" 41.516 "/>
    <x v="0"/>
    <n v="506464"/>
    <m/>
    <m/>
  </r>
  <r>
    <x v="0"/>
    <x v="0"/>
    <s v=" "/>
    <m/>
    <m/>
    <x v="1"/>
    <m/>
    <m/>
    <m/>
  </r>
  <r>
    <x v="0"/>
    <x v="0"/>
    <s v="group "/>
    <s v=" "/>
    <s v=" mean of mean fluo "/>
    <x v="2"/>
    <s v=" mean of total fluo "/>
    <s v=" SD total fluo "/>
    <m/>
  </r>
  <r>
    <x v="7"/>
    <x v="9"/>
    <s v="C:\Users\andre\Desktop\REACTIV CEFAS\Tamoxifen\Tamoxifen/20201125_Cefas_Test7_Run2/Plate 1/@3/ "/>
    <s v=" "/>
    <s v=" 36.0914 "/>
    <x v="9"/>
    <s v=" 197631.5 "/>
    <s v=" 160861.076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Tamoxifen\Tamoxifen/20201125_Cefas_Test7_Run2/Plate 1/@4/A4_01.tif "/>
    <s v=" 44882.0314 "/>
    <s v=" 37.7142 "/>
    <x v="0"/>
    <n v="1692691"/>
    <m/>
    <m/>
  </r>
  <r>
    <x v="8"/>
    <x v="1"/>
    <s v="C:\Users\andre\Desktop\REACTIV CEFAS\Tamoxifen\Tamoxifen/20201125_Cefas_Test7_Run2/Plate 1/@4/A4_02.tif "/>
    <s v=" 52387.6048 "/>
    <s v=" 40.5879 "/>
    <x v="0"/>
    <n v="2126305"/>
    <m/>
    <m/>
  </r>
  <r>
    <x v="8"/>
    <x v="1"/>
    <s v="C:\Users\andre\Desktop\REACTIV CEFAS\Tamoxifen\Tamoxifen/20201125_Cefas_Test7_Run2/Plate 1/@4/A4_03.tif "/>
    <s v=" 56821.7332 "/>
    <s v=" 38.804 "/>
    <x v="0"/>
    <n v="2204908"/>
    <m/>
    <m/>
  </r>
  <r>
    <x v="8"/>
    <x v="2"/>
    <s v="C:\Users\andre\Desktop\REACTIV CEFAS\Tamoxifen\Tamoxifen/20201125_Cefas_Test7_Run2/Plate 1/@4/B4_01.tif "/>
    <s v=" 43973.5758 "/>
    <s v=" 35.2691 "/>
    <x v="0"/>
    <n v="1550907"/>
    <m/>
    <m/>
  </r>
  <r>
    <x v="8"/>
    <x v="2"/>
    <s v="C:\Users\andre\Desktop\REACTIV CEFAS\Tamoxifen\Tamoxifen/20201125_Cefas_Test7_Run2/Plate 1/@4/B4_02.tif "/>
    <s v=" 46547.5332 "/>
    <s v=" 37.0028 "/>
    <x v="0"/>
    <n v="1722389"/>
    <m/>
    <m/>
  </r>
  <r>
    <x v="8"/>
    <x v="2"/>
    <s v="C:\Users\andre\Desktop\REACTIV CEFAS\Tamoxifen\Tamoxifen/20201125_Cefas_Test7_Run2/Plate 1/@4/B4_03.tif "/>
    <s v=" 42372.9636 "/>
    <s v=" 35.5539 "/>
    <x v="0"/>
    <n v="1506522"/>
    <m/>
    <m/>
  </r>
  <r>
    <x v="8"/>
    <x v="3"/>
    <s v="C:\Users\andre\Desktop\REACTIV CEFAS\Tamoxifen\Tamoxifen/20201125_Cefas_Test7_Run2/Plate 1/@4/C4_01.tif "/>
    <s v=" 3201.2244 "/>
    <s v=" 32.6149 "/>
    <x v="0"/>
    <n v="104408"/>
    <m/>
    <m/>
  </r>
  <r>
    <x v="8"/>
    <x v="3"/>
    <s v="C:\Users\andre\Desktop\REACTIV CEFAS\Tamoxifen\Tamoxifen/20201125_Cefas_Test7_Run2/Plate 1/@4/C4_02.tif "/>
    <s v=" 3612.1924 "/>
    <s v=" 32.6826 "/>
    <x v="0"/>
    <n v="118056"/>
    <m/>
    <m/>
  </r>
  <r>
    <x v="8"/>
    <x v="3"/>
    <s v="C:\Users\andre\Desktop\REACTIV CEFAS\Tamoxifen\Tamoxifen/20201125_Cefas_Test7_Run2/Plate 1/@4/C4_03.tif "/>
    <s v=" 713.7865 "/>
    <s v=" 31.8788 "/>
    <x v="0"/>
    <n v="22755"/>
    <m/>
    <m/>
  </r>
  <r>
    <x v="8"/>
    <x v="4"/>
    <s v="C:\Users\andre\Desktop\REACTIV CEFAS\Tamoxifen\Tamoxifen/20201125_Cefas_Test7_Run2/Plate 1/@4/D4_01.tif "/>
    <s v=" 3157.9646 "/>
    <s v=" 32.5822 "/>
    <x v="0"/>
    <n v="102893"/>
    <m/>
    <m/>
  </r>
  <r>
    <x v="8"/>
    <x v="4"/>
    <s v="C:\Users\andre\Desktop\REACTIV CEFAS\Tamoxifen\Tamoxifen/20201125_Cefas_Test7_Run2/Plate 1/@4/D4_02.tif "/>
    <s v=" 10403.9793 "/>
    <s v=" 37.4137 "/>
    <x v="0"/>
    <n v="389252"/>
    <m/>
    <m/>
  </r>
  <r>
    <x v="8"/>
    <x v="4"/>
    <s v="C:\Users\andre\Desktop\REACTIV CEFAS\Tamoxifen\Tamoxifen/20201125_Cefas_Test7_Run2/Plate 1/@4/D4_03.tif "/>
    <s v=" 12026.2214 "/>
    <s v=" 41.2104 "/>
    <x v="0"/>
    <n v="495606"/>
    <m/>
    <m/>
  </r>
  <r>
    <x v="8"/>
    <x v="5"/>
    <s v="C:\Users\andre\Desktop\REACTIV CEFAS\Tamoxifen\Tamoxifen/20201125_Cefas_Test7_Run2/Plate 1/@4/E4_01.tif "/>
    <s v=" 18212.3713 "/>
    <s v=" 33.9074 "/>
    <x v="0"/>
    <n v="617533"/>
    <m/>
    <m/>
  </r>
  <r>
    <x v="8"/>
    <x v="5"/>
    <s v="C:\Users\andre\Desktop\REACTIV CEFAS\Tamoxifen\Tamoxifen/20201125_Cefas_Test7_Run2/Plate 1/@4/E4_02.tif "/>
    <s v=" 22841.1687 "/>
    <s v=" 37.392 "/>
    <x v="0"/>
    <n v="854078"/>
    <m/>
    <m/>
  </r>
  <r>
    <x v="8"/>
    <x v="5"/>
    <s v="C:\Users\andre\Desktop\REACTIV CEFAS\Tamoxifen\Tamoxifen/20201125_Cefas_Test7_Run2/Plate 1/@4/E4_03.tif "/>
    <s v=" 12307.41 "/>
    <s v=" 33.3058 "/>
    <x v="0"/>
    <n v="409908"/>
    <m/>
    <m/>
  </r>
  <r>
    <x v="8"/>
    <x v="6"/>
    <s v="C:\Users\andre\Desktop\REACTIV CEFAS\Tamoxifen\Tamoxifen/20201125_Cefas_Test7_Run2/Plate 1/@4/F4_01.tif "/>
    <s v=" 14297.3603 "/>
    <s v=" 34.7882 "/>
    <x v="0"/>
    <n v="497379"/>
    <m/>
    <m/>
  </r>
  <r>
    <x v="8"/>
    <x v="6"/>
    <s v="C:\Users\andre\Desktop\REACTIV CEFAS\Tamoxifen\Tamoxifen/20201125_Cefas_Test7_Run2/Plate 1/@4/F4_02.tif "/>
    <s v=" 13518.6841 "/>
    <s v=" 33.0992 "/>
    <x v="0"/>
    <n v="447458"/>
    <m/>
    <m/>
  </r>
  <r>
    <x v="8"/>
    <x v="6"/>
    <s v="C:\Users\andre\Desktop\REACTIV CEFAS\Tamoxifen\Tamoxifen/20201125_Cefas_Test7_Run2/Plate 1/@4/F4_03.tif "/>
    <s v=" 18017.7022 "/>
    <s v=" 35.6639 "/>
    <x v="0"/>
    <n v="642581"/>
    <m/>
    <m/>
  </r>
  <r>
    <x v="8"/>
    <x v="7"/>
    <s v="C:\Users\andre\Desktop\REACTIV CEFAS\Tamoxifen\Tamoxifen/20201125_Cefas_Test7_Run2/Plate 1/@4/G4_01.tif "/>
    <s v=" 4261.0892 "/>
    <s v=" 35.0558 "/>
    <x v="0"/>
    <n v="149376"/>
    <m/>
    <m/>
  </r>
  <r>
    <x v="8"/>
    <x v="7"/>
    <s v="C:\Users\andre\Desktop\REACTIV CEFAS\Tamoxifen\Tamoxifen/20201125_Cefas_Test7_Run2/Plate 1/@4/G4_02.tif "/>
    <s v=" 4715.317 "/>
    <s v=" 38.2569 "/>
    <x v="0"/>
    <n v="180393"/>
    <m/>
    <m/>
  </r>
  <r>
    <x v="8"/>
    <x v="7"/>
    <s v="C:\Users\andre\Desktop\REACTIV CEFAS\Tamoxifen\Tamoxifen/20201125_Cefas_Test7_Run2/Plate 1/@4/G4_03.tif "/>
    <s v=" 2400.9183 "/>
    <s v=" 30.8559 "/>
    <x v="0"/>
    <n v="74082"/>
    <m/>
    <m/>
  </r>
  <r>
    <x v="8"/>
    <x v="8"/>
    <s v="C:\Users\andre\Desktop\REACTIV CEFAS\Tamoxifen\Tamoxifen/20201125_Cefas_Test7_Run2/Plate 1/@4/H4_01.tif "/>
    <s v=" 15530.2643 "/>
    <s v=" 33.6783 "/>
    <x v="0"/>
    <n v="523032"/>
    <m/>
    <m/>
  </r>
  <r>
    <x v="8"/>
    <x v="8"/>
    <s v="C:\Users\andre\Desktop\REACTIV CEFAS\Tamoxifen\Tamoxifen/20201125_Cefas_Test7_Run2/Plate 1/@4/H4_02.tif "/>
    <s v=" 10966.3566 "/>
    <s v=" 35.8876 "/>
    <x v="0"/>
    <n v="393556"/>
    <m/>
    <m/>
  </r>
  <r>
    <x v="8"/>
    <x v="8"/>
    <s v="C:\Users\andre\Desktop\REACTIV CEFAS\Tamoxifen\Tamoxifen/20201125_Cefas_Test7_Run2/Plate 1/@4/H4_03.tif "/>
    <s v=" 13821.5027 "/>
    <s v=" 39.5196 "/>
    <x v="0"/>
    <n v="546220"/>
    <m/>
    <m/>
  </r>
  <r>
    <x v="0"/>
    <x v="0"/>
    <s v=" "/>
    <m/>
    <m/>
    <x v="1"/>
    <m/>
    <m/>
    <m/>
  </r>
  <r>
    <x v="0"/>
    <x v="0"/>
    <s v="group "/>
    <s v=" "/>
    <s v=" mean of mean fluo "/>
    <x v="2"/>
    <s v=" mean of total fluo "/>
    <s v=" SD total fluo "/>
    <m/>
  </r>
  <r>
    <x v="8"/>
    <x v="9"/>
    <s v="C:\Users\andre\Desktop\REACTIV CEFAS\Tamoxifen\Tamoxifen/20201125_Cefas_Test7_Run2/Plate 1/@4/ "/>
    <s v=" "/>
    <s v=" 35.6135 "/>
    <x v="10"/>
    <s v=" 723845.333 "/>
    <s v=" 681247.563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Tamoxifen\Tamoxifen/20201125_Cefas_Test7_Run2/Plate 1/@5/A5_01.tif "/>
    <s v=" 62769.9542 "/>
    <s v=" 43.948 "/>
    <x v="0"/>
    <n v="2758612"/>
    <m/>
    <m/>
  </r>
  <r>
    <x v="9"/>
    <x v="1"/>
    <s v="C:\Users\andre\Desktop\REACTIV CEFAS\Tamoxifen\Tamoxifen/20201125_Cefas_Test7_Run2/Plate 1/@5/A5_02.tif "/>
    <s v=" 58227.6763 "/>
    <s v=" 40.3804 "/>
    <x v="0"/>
    <n v="2351256"/>
    <m/>
    <m/>
  </r>
  <r>
    <x v="9"/>
    <x v="1"/>
    <s v="C:\Users\andre\Desktop\REACTIV CEFAS\Tamoxifen\Tamoxifen/20201125_Cefas_Test7_Run2/Plate 1/@5/A5_03.tif "/>
    <s v=" 55156.2313 "/>
    <s v=" 43.2216 "/>
    <x v="0"/>
    <n v="2383939"/>
    <m/>
    <m/>
  </r>
  <r>
    <x v="9"/>
    <x v="2"/>
    <s v="C:\Users\andre\Desktop\REACTIV CEFAS\Tamoxifen\Tamoxifen/20201125_Cefas_Test7_Run2/Plate 1/@5/B5_01.tif "/>
    <s v=" 32315.0626 "/>
    <s v=" 37.4177 "/>
    <x v="0"/>
    <n v="1209154"/>
    <m/>
    <m/>
  </r>
  <r>
    <x v="9"/>
    <x v="2"/>
    <s v="C:\Users\andre\Desktop\REACTIV CEFAS\Tamoxifen\Tamoxifen/20201125_Cefas_Test7_Run2/Plate 1/@5/B5_02.tif "/>
    <s v=" 36359.8529 "/>
    <s v=" 36.5776 "/>
    <x v="0"/>
    <n v="1329957"/>
    <m/>
    <m/>
  </r>
  <r>
    <x v="9"/>
    <x v="2"/>
    <s v="C:\Users\andre\Desktop\REACTIV CEFAS\Tamoxifen\Tamoxifen/20201125_Cefas_Test7_Run2/Plate 1/@5/B5_03.tif "/>
    <s v=" 43108.38 "/>
    <s v=" 35.8294 "/>
    <x v="0"/>
    <n v="1544548"/>
    <m/>
    <m/>
  </r>
  <r>
    <x v="9"/>
    <x v="3"/>
    <s v="C:\Users\andre\Desktop\REACTIV CEFAS\Tamoxifen\Tamoxifen/20201125_Cefas_Test7_Run2/Plate 1/@5/C5_01- exclu.tif"/>
    <m/>
    <m/>
    <x v="1"/>
    <m/>
    <m/>
    <m/>
  </r>
  <r>
    <x v="9"/>
    <x v="3"/>
    <s v="C:\Users\andre\Desktop\REACTIV CEFAS\Tamoxifen\Tamoxifen/20201125_Cefas_Test7_Run2/Plate 1/@5/C5_02- exclu.tif"/>
    <m/>
    <m/>
    <x v="1"/>
    <m/>
    <m/>
    <m/>
  </r>
  <r>
    <x v="9"/>
    <x v="3"/>
    <s v="C:\Users\andre\Desktop\REACTIV CEFAS\Tamoxifen\Tamoxifen/20201125_Cefas_Test7_Run2/Plate 1/@5/C5_03- exclu.tif"/>
    <m/>
    <m/>
    <x v="1"/>
    <m/>
    <m/>
    <m/>
  </r>
  <r>
    <x v="9"/>
    <x v="4"/>
    <s v="C:\Users\andre\Desktop\REACTIV CEFAS\Tamoxifen\Tamoxifen/20201125_Cefas_Test7_Run2/Plate 1/@5/D5_01.tif "/>
    <s v=" 55394.1601 "/>
    <s v=" 38.0894 "/>
    <x v="0"/>
    <n v="2109931"/>
    <m/>
    <m/>
  </r>
  <r>
    <x v="9"/>
    <x v="4"/>
    <s v="C:\Users\andre\Desktop\REACTIV CEFAS\Tamoxifen\Tamoxifen/20201125_Cefas_Test7_Run2/Plate 1/@5/D5_02.tif "/>
    <s v=" 47282.9497 "/>
    <s v=" 39.0206 "/>
    <x v="0"/>
    <n v="1845008"/>
    <m/>
    <m/>
  </r>
  <r>
    <x v="9"/>
    <x v="4"/>
    <s v="C:\Users\andre\Desktop\REACTIV CEFAS\Tamoxifen\Tamoxifen/20201125_Cefas_Test7_Run2/Plate 1/@5/D5_03.tif "/>
    <s v=" 47326.2094 "/>
    <s v=" 37.3167 "/>
    <x v="0"/>
    <n v="1766059"/>
    <m/>
    <m/>
  </r>
  <r>
    <x v="9"/>
    <x v="5"/>
    <s v="C:\Users\andre\Desktop\REACTIV CEFAS\Tamoxifen\Tamoxifen/20201125_Cefas_Test7_Run2/Plate 1/@5/E5_01.tif "/>
    <s v=" 48018.3661 "/>
    <s v=" 38.0378 "/>
    <x v="0"/>
    <n v="1826515"/>
    <m/>
    <m/>
  </r>
  <r>
    <x v="9"/>
    <x v="5"/>
    <s v="C:\Users\andre\Desktop\REACTIV CEFAS\Tamoxifen\Tamoxifen/20201125_Cefas_Test7_Run2/Plate 1/@5/E5_02.tif "/>
    <s v=" 43324.6789 "/>
    <s v=" 35.8183 "/>
    <x v="0"/>
    <n v="1551815"/>
    <m/>
    <m/>
  </r>
  <r>
    <x v="9"/>
    <x v="5"/>
    <s v="C:\Users\andre\Desktop\REACTIV CEFAS\Tamoxifen\Tamoxifen/20201125_Cefas_Test7_Run2/Plate 1/@5/E5_03.tif "/>
    <s v=" 42524.3728 "/>
    <s v=" 35.4736 "/>
    <x v="0"/>
    <n v="1508490"/>
    <m/>
    <m/>
  </r>
  <r>
    <x v="9"/>
    <x v="6"/>
    <s v="C:\Users\andre\Desktop\REACTIV CEFAS\Tamoxifen\Tamoxifen/20201125_Cefas_Test7_Run2/Plate 1/@5/F5_01.tif "/>
    <s v=" 37052.0095 "/>
    <s v=" 37.5902 "/>
    <x v="0"/>
    <n v="1392792"/>
    <m/>
    <m/>
  </r>
  <r>
    <x v="9"/>
    <x v="6"/>
    <s v="C:\Users\andre\Desktop\REACTIV CEFAS\Tamoxifen\Tamoxifen/20201125_Cefas_Test7_Run2/Plate 1/@5/F5_02- exclu.tif"/>
    <m/>
    <m/>
    <x v="1"/>
    <m/>
    <m/>
    <m/>
  </r>
  <r>
    <x v="9"/>
    <x v="6"/>
    <s v="C:\Users\andre\Desktop\REACTIV CEFAS\Tamoxifen\Tamoxifen/20201125_Cefas_Test7_Run2/Plate 1/@5/F5_03.tif "/>
    <s v=" 42632.5223 "/>
    <s v=" 38.4216 "/>
    <x v="0"/>
    <n v="1638010"/>
    <m/>
    <m/>
  </r>
  <r>
    <x v="9"/>
    <x v="7"/>
    <s v="C:\Users\andre\Desktop\REACTIV CEFAS\Tamoxifen\Tamoxifen/20201125_Cefas_Test7_Run2/Plate 1/@5/G5_01.tif "/>
    <s v=" 34953.9097 "/>
    <s v=" 34.409 "/>
    <x v="0"/>
    <n v="1202730"/>
    <m/>
    <m/>
  </r>
  <r>
    <x v="9"/>
    <x v="7"/>
    <s v="C:\Users\andre\Desktop\REACTIV CEFAS\Tamoxifen\Tamoxifen/20201125_Cefas_Test7_Run2/Plate 1/@5/G5_02.tif "/>
    <s v=" 14967.8871 "/>
    <s v=" 31.8728 "/>
    <x v="0"/>
    <n v="477069"/>
    <m/>
    <m/>
  </r>
  <r>
    <x v="9"/>
    <x v="7"/>
    <s v="C:\Users\andre\Desktop\REACTIV CEFAS\Tamoxifen\Tamoxifen/20201125_Cefas_Test7_Run2/Plate 1/@5/G5_03.tif "/>
    <s v=" 21759.674 "/>
    <s v=" 34.2087 "/>
    <x v="0"/>
    <n v="744371"/>
    <m/>
    <m/>
  </r>
  <r>
    <x v="9"/>
    <x v="8"/>
    <s v="C:\Users\andre\Desktop\REACTIV CEFAS\Tamoxifen\Tamoxifen/20201125_Cefas_Test7_Run2/Plate 1/@5/H5_01.tif "/>
    <s v=" 75098.9942 "/>
    <s v=" 39.6604 "/>
    <x v="0"/>
    <n v="2978458"/>
    <m/>
    <m/>
  </r>
  <r>
    <x v="9"/>
    <x v="8"/>
    <s v="C:\Users\andre\Desktop\REACTIV CEFAS\Tamoxifen\Tamoxifen/20201125_Cefas_Test7_Run2/Plate 1/@5/H5_02.tif "/>
    <s v=" 76829.3857 "/>
    <s v=" 41.0909 "/>
    <x v="0"/>
    <n v="3156991"/>
    <m/>
    <m/>
  </r>
  <r>
    <x v="9"/>
    <x v="8"/>
    <s v="C:\Users\andre\Desktop\REACTIV CEFAS\Tamoxifen\Tamoxifen/20201125_Cefas_Test7_Run2/Plate 1/@5/H5_03.tif "/>
    <s v=" 62423.8759 "/>
    <s v=" 37.9615 "/>
    <x v="0"/>
    <n v="2369706"/>
    <m/>
    <m/>
  </r>
  <r>
    <x v="0"/>
    <x v="0"/>
    <s v=" "/>
    <m/>
    <m/>
    <x v="1"/>
    <m/>
    <m/>
    <m/>
  </r>
  <r>
    <x v="0"/>
    <x v="0"/>
    <s v="group "/>
    <s v=" "/>
    <s v=" mean of mean fluo "/>
    <x v="2"/>
    <s v=" mean of total fluo "/>
    <s v=" SD total fluo "/>
    <m/>
  </r>
  <r>
    <x v="9"/>
    <x v="9"/>
    <s v="C:\Users\andre\Desktop\REACTIV CEFAS\Tamoxifen\Tamoxifen/20201125_Cefas_Test7_Run2/Plate 1/@5/ "/>
    <s v=" "/>
    <s v=" 34.8357 "/>
    <x v="11"/>
    <s v=" 1587408.83 "/>
    <s v=" 841427.826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Tamoxifen\Tamoxifen/20201125_Cefas_Test7_Run2/Plate 1/@6/A6_01.tif "/>
    <s v=" 14794.8479 "/>
    <s v=" 37.3947 "/>
    <x v="0"/>
    <n v="553249"/>
    <m/>
    <m/>
  </r>
  <r>
    <x v="10"/>
    <x v="1"/>
    <s v="C:\Users\andre\Desktop\REACTIV CEFAS\Tamoxifen\Tamoxifen/20201125_Cefas_Test7_Run2/Plate 1/@6/A6_02.tif "/>
    <s v=" 6770.157 "/>
    <s v=" 34.508 "/>
    <x v="0"/>
    <n v="233624"/>
    <m/>
    <m/>
  </r>
  <r>
    <x v="10"/>
    <x v="1"/>
    <s v="C:\Users\andre\Desktop\REACTIV CEFAS\Tamoxifen\Tamoxifen/20201125_Cefas_Test7_Run2/Plate 1/@6/A6_03.tif "/>
    <s v=" 8868.2568 "/>
    <s v=" 34.661 "/>
    <x v="0"/>
    <n v="307382"/>
    <m/>
    <m/>
  </r>
  <r>
    <x v="10"/>
    <x v="2"/>
    <s v="C:\Users\andre\Desktop\REACTIV CEFAS\Tamoxifen\Tamoxifen/20201125_Cefas_Test7_Run2/Plate 1/@6/B6_01.tif "/>
    <s v=" 79662.9019 "/>
    <s v=" 43.7203 "/>
    <x v="0"/>
    <n v="3482889"/>
    <m/>
    <m/>
  </r>
  <r>
    <x v="10"/>
    <x v="2"/>
    <s v="C:\Users\andre\Desktop\REACTIV CEFAS\Tamoxifen\Tamoxifen/20201125_Cefas_Test7_Run2/Plate 1/@6/B6_02.tif "/>
    <s v=" 69929.4493 "/>
    <s v=" 43.6421 "/>
    <x v="0"/>
    <n v="3051870"/>
    <m/>
    <m/>
  </r>
  <r>
    <x v="10"/>
    <x v="2"/>
    <s v="C:\Users\andre\Desktop\REACTIV CEFAS\Tamoxifen\Tamoxifen/20201125_Cefas_Test7_Run2/Plate 1/@6/B6_03.tif "/>
    <s v=" 71789.6203 "/>
    <s v=" 42.1657 "/>
    <x v="0"/>
    <n v="3027060"/>
    <m/>
    <m/>
  </r>
  <r>
    <x v="10"/>
    <x v="3"/>
    <s v="C:\Users\andre\Desktop\REACTIV CEFAS\Tamoxifen\Tamoxifen/20201125_Cefas_Test7_Run2/Plate 1/@6/C6_01.tif "/>
    <s v=" 37527.8672 "/>
    <s v=" 43.1879 "/>
    <x v="0"/>
    <n v="1620750"/>
    <m/>
    <m/>
  </r>
  <r>
    <x v="10"/>
    <x v="3"/>
    <s v="C:\Users\andre\Desktop\REACTIV CEFAS\Tamoxifen\Tamoxifen/20201125_Cefas_Test7_Run2/Plate 1/@6/C6_02.tif "/>
    <s v=" 36900.6002 "/>
    <s v=" 43.9631 "/>
    <x v="0"/>
    <n v="1622264"/>
    <m/>
    <m/>
  </r>
  <r>
    <x v="10"/>
    <x v="3"/>
    <s v="C:\Users\andre\Desktop\REACTIV CEFAS\Tamoxifen\Tamoxifen/20201125_Cefas_Test7_Run2/Plate 1/@6/C6_03.tif "/>
    <s v=" 42805.5615 "/>
    <s v=" 42.4275 "/>
    <x v="0"/>
    <n v="1816132"/>
    <m/>
    <m/>
  </r>
  <r>
    <x v="10"/>
    <x v="4"/>
    <s v="C:\Users\andre\Desktop\REACTIV CEFAS\Tamoxifen\Tamoxifen/20201125_Cefas_Test7_Run2/Plate 1/@6/D6_01.tif "/>
    <s v=" 44622.4726 "/>
    <s v=" 36.2574 "/>
    <x v="0"/>
    <n v="1617894"/>
    <m/>
    <m/>
  </r>
  <r>
    <x v="10"/>
    <x v="4"/>
    <s v="C:\Users\andre\Desktop\REACTIV CEFAS\Tamoxifen\Tamoxifen/20201125_Cefas_Test7_Run2/Plate 1/@6/D6_02.tif "/>
    <s v=" 50159.7256 "/>
    <s v=" 39.1259 "/>
    <x v="0"/>
    <n v="1962545"/>
    <m/>
    <m/>
  </r>
  <r>
    <x v="10"/>
    <x v="4"/>
    <s v="C:\Users\andre\Desktop\REACTIV CEFAS\Tamoxifen\Tamoxifen/20201125_Cefas_Test7_Run2/Plate 1/@6/D6_03.tif "/>
    <s v=" 19207.3464 "/>
    <s v=" 33.4583 "/>
    <x v="0"/>
    <n v="642646"/>
    <m/>
    <m/>
  </r>
  <r>
    <x v="10"/>
    <x v="5"/>
    <s v="C:\Users\andre\Desktop\REACTIV CEFAS\Tamoxifen\Tamoxifen/20201125_Cefas_Test7_Run2/Plate 1/@6/E6_01.tif "/>
    <s v=" 60412.2957 "/>
    <s v=" 43.1078 "/>
    <x v="0"/>
    <n v="2604239"/>
    <m/>
    <m/>
  </r>
  <r>
    <x v="10"/>
    <x v="5"/>
    <s v="C:\Users\andre\Desktop\REACTIV CEFAS\Tamoxifen\Tamoxifen/20201125_Cefas_Test7_Run2/Plate 1/@6/E6_02- exclu.tif"/>
    <m/>
    <m/>
    <x v="1"/>
    <m/>
    <m/>
    <m/>
  </r>
  <r>
    <x v="10"/>
    <x v="5"/>
    <s v="C:\Users\andre\Desktop\REACTIV CEFAS\Tamoxifen\Tamoxifen/20201125_Cefas_Test7_Run2/Plate 1/@6/E6_03.tif "/>
    <s v=" 77564.8021 "/>
    <s v=" 47.7931 "/>
    <x v="0"/>
    <n v="3707061"/>
    <m/>
    <m/>
  </r>
  <r>
    <x v="10"/>
    <x v="6"/>
    <s v="C:\Users\andre\Desktop\REACTIV CEFAS\Tamoxifen\Tamoxifen/20201125_Cefas_Test7_Run2/Plate 1/@6/F6_01.tif "/>
    <s v=" 64219.1572 "/>
    <s v=" 42.6278 "/>
    <x v="0"/>
    <n v="2737523"/>
    <m/>
    <m/>
  </r>
  <r>
    <x v="10"/>
    <x v="6"/>
    <s v="C:\Users\andre\Desktop\REACTIV CEFAS\Tamoxifen\Tamoxifen/20201125_Cefas_Test7_Run2/Plate 1/@6/F6_02.tif "/>
    <s v=" 63873.0788 "/>
    <s v=" 43.3207 "/>
    <x v="0"/>
    <n v="2767026"/>
    <m/>
    <m/>
  </r>
  <r>
    <x v="10"/>
    <x v="6"/>
    <s v="C:\Users\andre\Desktop\REACTIV CEFAS\Tamoxifen\Tamoxifen/20201125_Cefas_Test7_Run2/Plate 1/@6/F6_03.tif "/>
    <s v=" 63570.2603 "/>
    <s v=" 42.8704 "/>
    <x v="0"/>
    <n v="2725280"/>
    <m/>
    <m/>
  </r>
  <r>
    <x v="10"/>
    <x v="7"/>
    <s v="C:\Users\andre\Desktop\REACTIV CEFAS\Tamoxifen\Tamoxifen/20201125_Cefas_Test7_Run2/Plate 1/@6/G6_01.tif "/>
    <s v=" 40469.5329 "/>
    <s v=" 44.3025 "/>
    <x v="0"/>
    <n v="1792902"/>
    <m/>
    <m/>
  </r>
  <r>
    <x v="10"/>
    <x v="7"/>
    <s v="C:\Users\andre\Desktop\REACTIV CEFAS\Tamoxifen\Tamoxifen/20201125_Cefas_Test7_Run2/Plate 1/@6/G6_02.tif "/>
    <s v=" 42026.8853 "/>
    <s v=" 48.5409 "/>
    <x v="0"/>
    <n v="2040024"/>
    <m/>
    <m/>
  </r>
  <r>
    <x v="10"/>
    <x v="7"/>
    <s v="C:\Users\andre\Desktop\REACTIV CEFAS\Tamoxifen\Tamoxifen/20201125_Cefas_Test7_Run2/Plate 1/@6/G6_03.tif "/>
    <s v=" 37571.127 "/>
    <s v=" 44.1952 "/>
    <x v="0"/>
    <n v="1660462"/>
    <m/>
    <m/>
  </r>
  <r>
    <x v="10"/>
    <x v="8"/>
    <s v="C:\Users\andre\Desktop\REACTIV CEFAS\Tamoxifen\Tamoxifen/20201125_Cefas_Test7_Run2/Plate 1/@6/H6_01.tif "/>
    <s v=" 65473.691 "/>
    <s v=" 39.1658 "/>
    <x v="0"/>
    <n v="2564332"/>
    <m/>
    <m/>
  </r>
  <r>
    <x v="10"/>
    <x v="8"/>
    <s v="C:\Users\andre\Desktop\REACTIV CEFAS\Tamoxifen\Tamoxifen/20201125_Cefas_Test7_Run2/Plate 1/@6/H6_02.tif "/>
    <s v=" 68177.4279 "/>
    <s v=" 40.1129 "/>
    <x v="0"/>
    <n v="2734797"/>
    <m/>
    <m/>
  </r>
  <r>
    <x v="10"/>
    <x v="8"/>
    <s v="C:\Users\andre\Desktop\REACTIV CEFAS\Tamoxifen\Tamoxifen/20201125_Cefas_Test7_Run2/Plate 1/@6/H6_03.tif "/>
    <s v=" 56843.3631 "/>
    <s v=" 38.3116 "/>
    <x v="0"/>
    <n v="2177763"/>
    <m/>
    <m/>
  </r>
  <r>
    <x v="0"/>
    <x v="0"/>
    <s v=" "/>
    <m/>
    <m/>
    <x v="1"/>
    <m/>
    <m/>
    <m/>
  </r>
  <r>
    <x v="0"/>
    <x v="0"/>
    <s v="group "/>
    <s v=" "/>
    <s v=" mean of mean fluo "/>
    <x v="2"/>
    <s v=" mean of total fluo "/>
    <s v=" SD total fluo "/>
    <m/>
  </r>
  <r>
    <x v="10"/>
    <x v="9"/>
    <s v="C:\Users\andre\Desktop\REACTIV CEFAS\Tamoxifen\Tamoxifen/20201125_Cefas_Test7_Run2/Plate 1/@6/ "/>
    <s v=" "/>
    <s v=" 41.121 "/>
    <x v="12"/>
    <s v=" 2061520.83 "/>
    <s v=" 947436.581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Tamoxifen\Tamoxifen/20201125_Cefas_Test7_Run2/Plate 1/@7/A7_01.tif "/>
    <s v=" 86000.461 "/>
    <s v=" 56.7558 "/>
    <x v="0"/>
    <n v="4881024"/>
    <m/>
    <m/>
  </r>
  <r>
    <x v="11"/>
    <x v="1"/>
    <s v="C:\Users\andre\Desktop\REACTIV CEFAS\Tamoxifen\Tamoxifen/20201125_Cefas_Test7_Run2/Plate 1/@7/A7_02.tif "/>
    <s v=" 85221.7848 "/>
    <s v=" 54.5635 "/>
    <x v="0"/>
    <n v="4649995"/>
    <m/>
    <m/>
  </r>
  <r>
    <x v="11"/>
    <x v="1"/>
    <s v="C:\Users\andre\Desktop\REACTIV CEFAS\Tamoxifen\Tamoxifen/20201125_Cefas_Test7_Run2/Plate 1/@7/A7_03.tif "/>
    <s v=" 82193.5996 "/>
    <s v=" 54.6979 "/>
    <x v="0"/>
    <n v="4495817"/>
    <m/>
    <m/>
  </r>
  <r>
    <x v="11"/>
    <x v="2"/>
    <s v="C:\Users\andre\Desktop\REACTIV CEFAS\Tamoxifen\Tamoxifen/20201125_Cefas_Test7_Run2/Plate 1/@7/B7_01- exclu.tif"/>
    <m/>
    <m/>
    <x v="1"/>
    <m/>
    <m/>
    <m/>
  </r>
  <r>
    <x v="11"/>
    <x v="2"/>
    <s v="C:\Users\andre\Desktop\REACTIV CEFAS\Tamoxifen\Tamoxifen/20201125_Cefas_Test7_Run2/Plate 1/@7/B7_02- exclu.tif"/>
    <m/>
    <m/>
    <x v="1"/>
    <m/>
    <m/>
    <m/>
  </r>
  <r>
    <x v="11"/>
    <x v="2"/>
    <s v="C:\Users\andre\Desktop\REACTIV CEFAS\Tamoxifen\Tamoxifen/20201125_Cefas_Test7_Run2/Plate 1/@7/B7_03- exclu.tif"/>
    <m/>
    <m/>
    <x v="1"/>
    <m/>
    <m/>
    <m/>
  </r>
  <r>
    <x v="11"/>
    <x v="3"/>
    <s v="C:\Users\andre\Desktop\REACTIV CEFAS\Tamoxifen\Tamoxifen/20201125_Cefas_Test7_Run2/Plate 1/@7/C7_01.tif "/>
    <s v=" 66749.8548 "/>
    <s v=" 54.7168 "/>
    <x v="0"/>
    <n v="3652337"/>
    <m/>
    <m/>
  </r>
  <r>
    <x v="11"/>
    <x v="3"/>
    <s v="C:\Users\andre\Desktop\REACTIV CEFAS\Tamoxifen\Tamoxifen/20201125_Cefas_Test7_Run2/Plate 1/@7/C7_02.tif "/>
    <s v=" 73563.2716 "/>
    <s v=" 51.6442 "/>
    <x v="0"/>
    <n v="3799118"/>
    <m/>
    <m/>
  </r>
  <r>
    <x v="11"/>
    <x v="3"/>
    <s v="C:\Users\andre\Desktop\REACTIV CEFAS\Tamoxifen\Tamoxifen/20201125_Cefas_Test7_Run2/Plate 1/@7/C7_03.tif "/>
    <s v=" 64543.6056 "/>
    <s v=" 54.0697 "/>
    <x v="0"/>
    <n v="3489854"/>
    <m/>
    <m/>
  </r>
  <r>
    <x v="11"/>
    <x v="4"/>
    <s v="C:\Users\andre\Desktop\REACTIV CEFAS\Tamoxifen\Tamoxifen/20201125_Cefas_Test7_Run2/Plate 1/@7/D7_01.tif "/>
    <s v=" 58379.0856 "/>
    <s v=" 55.0582 "/>
    <x v="0"/>
    <n v="3214246"/>
    <m/>
    <m/>
  </r>
  <r>
    <x v="11"/>
    <x v="4"/>
    <s v="C:\Users\andre\Desktop\REACTIV CEFAS\Tamoxifen\Tamoxifen/20201125_Cefas_Test7_Run2/Plate 1/@7/D7_02.tif "/>
    <s v=" 61234.2317 "/>
    <s v=" 59.5878 "/>
    <x v="0"/>
    <n v="3648812"/>
    <m/>
    <m/>
  </r>
  <r>
    <x v="11"/>
    <x v="4"/>
    <s v="C:\Users\andre\Desktop\REACTIV CEFAS\Tamoxifen\Tamoxifen/20201125_Cefas_Test7_Run2/Plate 1/@7/D7_03.tif "/>
    <s v=" 56302.6157 "/>
    <s v=" 53.2516 "/>
    <x v="0"/>
    <n v="2998206"/>
    <m/>
    <m/>
  </r>
  <r>
    <x v="11"/>
    <x v="5"/>
    <s v="C:\Users\andre\Desktop\REACTIV CEFAS\Tamoxifen\Tamoxifen/20201125_Cefas_Test7_Run2/Plate 1/@7/E7_01.tif "/>
    <s v=" 85632.7528 "/>
    <s v=" 56.2064 "/>
    <x v="0"/>
    <n v="4813106"/>
    <m/>
    <m/>
  </r>
  <r>
    <x v="11"/>
    <x v="5"/>
    <s v="C:\Users\andre\Desktop\REACTIV CEFAS\Tamoxifen\Tamoxifen/20201125_Cefas_Test7_Run2/Plate 1/@7/E7_02.tif "/>
    <s v=" 86411.429 "/>
    <s v=" 61.4711 "/>
    <x v="0"/>
    <n v="5311805"/>
    <m/>
    <m/>
  </r>
  <r>
    <x v="11"/>
    <x v="5"/>
    <s v="C:\Users\andre\Desktop\REACTIV CEFAS\Tamoxifen\Tamoxifen/20201125_Cefas_Test7_Run2/Plate 1/@7/E7_03.tif "/>
    <s v=" 78148.8093 "/>
    <s v=" 57.1143 "/>
    <x v="0"/>
    <n v="4463415"/>
    <m/>
    <m/>
  </r>
  <r>
    <x v="11"/>
    <x v="6"/>
    <s v="C:\Users\andre\Desktop\REACTIV CEFAS\Tamoxifen\Tamoxifen/20201125_Cefas_Test7_Run2/Plate 1/@7/F7_01.tif "/>
    <s v=" 47542.5084 "/>
    <s v=" 53.3385 "/>
    <x v="0"/>
    <n v="2535846"/>
    <m/>
    <m/>
  </r>
  <r>
    <x v="11"/>
    <x v="6"/>
    <s v="C:\Users\andre\Desktop\REACTIV CEFAS\Tamoxifen\Tamoxifen/20201125_Cefas_Test7_Run2/Plate 1/@7/F7_02.tif "/>
    <s v=" 44644.1025 "/>
    <s v=" 52.3304 "/>
    <x v="0"/>
    <n v="2336245"/>
    <m/>
    <m/>
  </r>
  <r>
    <x v="11"/>
    <x v="6"/>
    <s v="C:\Users\andre\Desktop\REACTIV CEFAS\Tamoxifen\Tamoxifen/20201125_Cefas_Test7_Run2/Plate 1/@7/F7_03.tif "/>
    <s v=" 49986.6865 "/>
    <s v=" 55.2627 "/>
    <x v="0"/>
    <n v="2762397"/>
    <m/>
    <m/>
  </r>
  <r>
    <x v="11"/>
    <x v="7"/>
    <s v="C:\Users\andre\Desktop\REACTIV CEFAS\Tamoxifen\Tamoxifen/20201125_Cefas_Test7_Run2/Plate 1/@7/G7_01.tif "/>
    <s v=" 66858.0043 "/>
    <s v=" 60.8651 "/>
    <x v="0"/>
    <n v="4069319"/>
    <m/>
    <m/>
  </r>
  <r>
    <x v="11"/>
    <x v="7"/>
    <s v="C:\Users\andre\Desktop\REACTIV CEFAS\Tamoxifen\Tamoxifen/20201125_Cefas_Test7_Run2/Plate 1/@7/G7_02.tif "/>
    <s v=" 62683.4346 "/>
    <s v=" 63.4275 "/>
    <x v="0"/>
    <n v="3975856"/>
    <m/>
    <m/>
  </r>
  <r>
    <x v="11"/>
    <x v="7"/>
    <s v="C:\Users\andre\Desktop\REACTIV CEFAS\Tamoxifen\Tamoxifen/20201125_Cefas_Test7_Run2/Plate 1/@7/G7_03.tif "/>
    <s v=" 69042.6237 "/>
    <s v=" 59.8725 "/>
    <x v="0"/>
    <n v="4133754"/>
    <m/>
    <m/>
  </r>
  <r>
    <x v="11"/>
    <x v="8"/>
    <s v="C:\Users\andre\Desktop\REACTIV CEFAS\Tamoxifen\Tamoxifen/20201125_Cefas_Test7_Run2/Plate 1/@7/H7_01.tif "/>
    <s v=" 61731.7193 "/>
    <s v=" 59.3563 "/>
    <x v="0"/>
    <n v="3664169"/>
    <m/>
    <m/>
  </r>
  <r>
    <x v="11"/>
    <x v="8"/>
    <s v="C:\Users\andre\Desktop\REACTIV CEFAS\Tamoxifen\Tamoxifen/20201125_Cefas_Test7_Run2/Plate 1/@7/H7_02.tif "/>
    <s v=" 66036.0683 "/>
    <s v=" 55.734 "/>
    <x v="0"/>
    <n v="3680456"/>
    <m/>
    <m/>
  </r>
  <r>
    <x v="11"/>
    <x v="8"/>
    <s v="C:\Users\andre\Desktop\REACTIV CEFAS\Tamoxifen\Tamoxifen/20201125_Cefas_Test7_Run2/Plate 1/@7/H7_03.tif "/>
    <s v=" 57730.1888 "/>
    <s v=" 61.2825 "/>
    <x v="0"/>
    <n v="3537850"/>
    <m/>
    <m/>
  </r>
  <r>
    <x v="0"/>
    <x v="0"/>
    <s v=" "/>
    <m/>
    <m/>
    <x v="1"/>
    <m/>
    <m/>
    <m/>
  </r>
  <r>
    <x v="0"/>
    <x v="0"/>
    <s v="group "/>
    <s v=" "/>
    <s v=" mean of mean fluo "/>
    <x v="2"/>
    <s v=" mean of total fluo "/>
    <s v=" SD total fluo "/>
    <m/>
  </r>
  <r>
    <x v="11"/>
    <x v="9"/>
    <s v="C:\Users\andre\Desktop\REACTIV CEFAS\Tamoxifen\Tamoxifen/20201125_Cefas_Test7_Run2/Plate 1/@7/ "/>
    <s v=" "/>
    <s v=" 54.1366 "/>
    <x v="13"/>
    <s v=" 3446944.58 "/>
    <s v=" 1236038.46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Tamoxifen\Tamoxifen/20201125_Cefas_Test7_Run2/Plate 3/@10/A4_01.tif "/>
    <s v=" 6488.9684 "/>
    <s v=" 37.39 "/>
    <x v="0"/>
    <n v="242623"/>
    <m/>
    <m/>
  </r>
  <r>
    <x v="12"/>
    <x v="1"/>
    <s v="C:\Users\andre\Desktop\REACTIV CEFAS\Tamoxifen\Tamoxifen/20201125_Cefas_Test7_Run2/Plate 3/@10/A4_02.tif "/>
    <s v=" 7029.7158 "/>
    <s v=" 35.7877 "/>
    <x v="0"/>
    <n v="251577"/>
    <m/>
    <m/>
  </r>
  <r>
    <x v="12"/>
    <x v="1"/>
    <s v="C:\Users\andre\Desktop\REACTIV CEFAS\Tamoxifen\Tamoxifen/20201125_Cefas_Test7_Run2/Plate 3/@10/A4_03.tif "/>
    <s v=" 5407.4737 "/>
    <s v=" 34.444 "/>
    <x v="0"/>
    <n v="186255"/>
    <m/>
    <m/>
  </r>
  <r>
    <x v="12"/>
    <x v="2"/>
    <s v="C:\Users\andre\Desktop\REACTIV CEFAS\Tamoxifen\Tamoxifen/20201125_Cefas_Test7_Run2/Plate 3/@10/B4_01.tif "/>
    <s v=" 5039.7654 "/>
    <s v=" 37.7425 "/>
    <x v="0"/>
    <n v="190213"/>
    <m/>
    <m/>
  </r>
  <r>
    <x v="12"/>
    <x v="2"/>
    <s v="C:\Users\andre\Desktop\REACTIV CEFAS\Tamoxifen\Tamoxifen/20201125_Cefas_Test7_Run2/Plate 3/@10/B4_02.tif "/>
    <s v=" 3547.3027 "/>
    <s v=" 33.378 "/>
    <x v="0"/>
    <n v="118402"/>
    <m/>
    <m/>
  </r>
  <r>
    <x v="12"/>
    <x v="2"/>
    <s v="C:\Users\andre\Desktop\REACTIV CEFAS\Tamoxifen\Tamoxifen/20201125_Cefas_Test7_Run2/Plate 3/@10/B4_03.tif "/>
    <s v=" 2119.7297 "/>
    <s v=" 34.1327 "/>
    <x v="0"/>
    <n v="72352"/>
    <m/>
    <m/>
  </r>
  <r>
    <x v="12"/>
    <x v="3"/>
    <s v="C:\Users\andre\Desktop\REACTIV CEFAS\Tamoxifen\Tamoxifen/20201125_Cefas_Test7_Run2/Plate 3/@10/C4_01.tif "/>
    <s v=" 670.5267 "/>
    <s v=" 31.1613 "/>
    <x v="0"/>
    <n v="20894"/>
    <m/>
    <m/>
  </r>
  <r>
    <x v="12"/>
    <x v="3"/>
    <s v="C:\Users\andre\Desktop\REACTIV CEFAS\Tamoxifen\Tamoxifen/20201125_Cefas_Test7_Run2/Plate 3/@10/C4_02.tif "/>
    <s v=" 2465.808 "/>
    <s v=" 33.193 "/>
    <x v="0"/>
    <n v="81848"/>
    <m/>
    <m/>
  </r>
  <r>
    <x v="12"/>
    <x v="3"/>
    <s v="C:\Users\andre\Desktop\REACTIV CEFAS\Tamoxifen\Tamoxifen/20201125_Cefas_Test7_Run2/Plate 3/@10/C4_03.tif "/>
    <s v=" 2184.6194 "/>
    <s v=" 34.3861 "/>
    <x v="0"/>
    <n v="75121"/>
    <m/>
    <m/>
  </r>
  <r>
    <x v="12"/>
    <x v="4"/>
    <s v="C:\Users\andre\Desktop\REACTIV CEFAS\Tamoxifen\Tamoxifen/20201125_Cefas_Test7_Run2/Plate 3/@10/D4_01.tif "/>
    <s v=" 2876.776 "/>
    <s v=" 36.6316 "/>
    <x v="0"/>
    <n v="105381"/>
    <m/>
    <m/>
  </r>
  <r>
    <x v="12"/>
    <x v="4"/>
    <s v="C:\Users\andre\Desktop\REACTIV CEFAS\Tamoxifen\Tamoxifen/20201125_Cefas_Test7_Run2/Plate 3/@10/D4_02.tif "/>
    <s v=" 4585.5377 "/>
    <s v=" 35.3255 "/>
    <x v="0"/>
    <n v="161986"/>
    <m/>
    <m/>
  </r>
  <r>
    <x v="12"/>
    <x v="4"/>
    <s v="C:\Users\andre\Desktop\REACTIV CEFAS\Tamoxifen\Tamoxifen/20201125_Cefas_Test7_Run2/Plate 3/@10/D4_03.tif "/>
    <s v=" 5861.7014 "/>
    <s v=" 34.4244 "/>
    <x v="0"/>
    <n v="201785"/>
    <m/>
    <m/>
  </r>
  <r>
    <x v="12"/>
    <x v="5"/>
    <s v="C:\Users\andre\Desktop\REACTIV CEFAS\Tamoxifen\Tamoxifen/20201125_Cefas_Test7_Run2/Plate 3/@10/E4_01.tif "/>
    <s v=" 7440.6838 "/>
    <s v=" 34.8808 "/>
    <x v="0"/>
    <n v="259537"/>
    <m/>
    <m/>
  </r>
  <r>
    <x v="12"/>
    <x v="5"/>
    <s v="C:\Users\andre\Desktop\REACTIV CEFAS\Tamoxifen\Tamoxifen/20201125_Cefas_Test7_Run2/Plate 3/@10/E4_02.tif "/>
    <s v=" 1362.6834 "/>
    <s v=" 33.2381 "/>
    <x v="0"/>
    <n v="45293"/>
    <m/>
    <m/>
  </r>
  <r>
    <x v="12"/>
    <x v="5"/>
    <s v="C:\Users\andre\Desktop\REACTIV CEFAS\Tamoxifen\Tamoxifen/20201125_Cefas_Test7_Run2/Plate 3/@10/E4_03.tif "/>
    <s v=" 8846.6269 "/>
    <s v=" 38.8093 "/>
    <x v="0"/>
    <n v="343331"/>
    <m/>
    <m/>
  </r>
  <r>
    <x v="12"/>
    <x v="6"/>
    <s v="C:\Users\andre\Desktop\REACTIV CEFAS\Tamoxifen\Tamoxifen/20201125_Cefas_Test7_Run2/Plate 3/@10/F4_01.tif "/>
    <s v=" 8976.4063 "/>
    <s v=" 40.8602 "/>
    <x v="0"/>
    <n v="366778"/>
    <m/>
    <m/>
  </r>
  <r>
    <x v="12"/>
    <x v="6"/>
    <s v="C:\Users\andre\Desktop\REACTIV CEFAS\Tamoxifen\Tamoxifen/20201125_Cefas_Test7_Run2/Plate 3/@10/F4_02.tif "/>
    <s v=" 2509.0678 "/>
    <s v=" 36.931 "/>
    <x v="0"/>
    <n v="92662"/>
    <m/>
    <m/>
  </r>
  <r>
    <x v="12"/>
    <x v="6"/>
    <s v="C:\Users\andre\Desktop\REACTIV CEFAS\Tamoxifen\Tamoxifen/20201125_Cefas_Test7_Run2/Plate 3/@10/F4_03.tif "/>
    <s v=" 259.5587 "/>
    <s v=" 31.75 "/>
    <x v="0"/>
    <n v="8241"/>
    <m/>
    <m/>
  </r>
  <r>
    <x v="12"/>
    <x v="7"/>
    <s v="C:\Users\andre\Desktop\REACTIV CEFAS\Tamoxifen\Tamoxifen/20201125_Cefas_Test7_Run2/Plate 3/@10/G4_01.tif "/>
    <s v=" 3979.9006 "/>
    <s v=" 36.0217 "/>
    <x v="0"/>
    <n v="143363"/>
    <m/>
    <m/>
  </r>
  <r>
    <x v="12"/>
    <x v="7"/>
    <s v="C:\Users\andre\Desktop\REACTIV CEFAS\Tamoxifen\Tamoxifen/20201125_Cefas_Test7_Run2/Plate 3/@10/G4_02.tif "/>
    <s v=" 10274.1999 "/>
    <s v=" 43.8232 "/>
    <x v="0"/>
    <n v="450248"/>
    <m/>
    <m/>
  </r>
  <r>
    <x v="12"/>
    <x v="7"/>
    <s v="C:\Users\andre\Desktop\REACTIV CEFAS\Tamoxifen\Tamoxifen/20201125_Cefas_Test7_Run2/Plate 3/@10/G4_03.tif "/>
    <s v=" 43.2598 "/>
    <s v=" 32.5 "/>
    <x v="0"/>
    <n v="1406"/>
    <m/>
    <m/>
  </r>
  <r>
    <x v="12"/>
    <x v="8"/>
    <s v="C:\Users\andre\Desktop\REACTIV CEFAS\Tamoxifen\Tamoxifen/20201125_Cefas_Test7_Run2/Plate 3/@10/H4_01.tif "/>
    <s v=" 1276.1638 "/>
    <s v=" 31.7288 "/>
    <x v="0"/>
    <n v="40491"/>
    <m/>
    <m/>
  </r>
  <r>
    <x v="12"/>
    <x v="8"/>
    <s v="C:\Users\andre\Desktop\REACTIV CEFAS\Tamoxifen\Tamoxifen/20201125_Cefas_Test7_Run2/Plate 3/@10/H4_02.tif "/>
    <s v=" 3006.5554 "/>
    <s v=" 32.4532 "/>
    <x v="0"/>
    <n v="97572"/>
    <m/>
    <m/>
  </r>
  <r>
    <x v="12"/>
    <x v="8"/>
    <s v="C:\Users\andre\Desktop\REACTIV CEFAS\Tamoxifen\Tamoxifen/20201125_Cefas_Test7_Run2/Plate 3/@10/H4_03.tif "/>
    <s v=" 2162.9895 "/>
    <s v=" 33.54 "/>
    <x v="0"/>
    <n v="72547"/>
    <m/>
    <m/>
  </r>
  <r>
    <x v="0"/>
    <x v="0"/>
    <s v=" "/>
    <m/>
    <m/>
    <x v="1"/>
    <m/>
    <m/>
    <m/>
  </r>
  <r>
    <x v="0"/>
    <x v="0"/>
    <s v="group "/>
    <s v=" "/>
    <s v=" mean of mean fluo "/>
    <x v="2"/>
    <s v=" mean of total fluo "/>
    <s v=" SD total fluo "/>
    <m/>
  </r>
  <r>
    <x v="12"/>
    <x v="9"/>
    <s v="C:\Users\andre\Desktop\REACTIV CEFAS\Tamoxifen\Tamoxifen/20201125_Cefas_Test7_Run2/Plate 3/@10/ "/>
    <s v=" "/>
    <s v=" 35.1889 "/>
    <x v="14"/>
    <s v=" 151246.083 "/>
    <s v=" 118740.243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Tamoxifen\Tamoxifen/20201125_Cefas_Test7_Run2/Plate 3/@11/A5_01.tif "/>
    <s v=" 17022.7271 "/>
    <s v=" 32.4015 "/>
    <x v="0"/>
    <n v="551562"/>
    <m/>
    <m/>
  </r>
  <r>
    <x v="13"/>
    <x v="1"/>
    <s v="C:\Users\andre\Desktop\REACTIV CEFAS\Tamoxifen\Tamoxifen/20201125_Cefas_Test7_Run2/Plate 3/@11/A5_02.tif "/>
    <s v=" 17996.0723 "/>
    <s v=" 32.6094 "/>
    <x v="0"/>
    <n v="586841"/>
    <m/>
    <m/>
  </r>
  <r>
    <x v="13"/>
    <x v="1"/>
    <s v="C:\Users\andre\Desktop\REACTIV CEFAS\Tamoxifen\Tamoxifen/20201125_Cefas_Test7_Run2/Plate 3/@11/A5_03.tif "/>
    <s v=" 22408.5708 "/>
    <s v=" 38.2944 "/>
    <x v="0"/>
    <n v="858123"/>
    <m/>
    <m/>
  </r>
  <r>
    <x v="13"/>
    <x v="2"/>
    <s v="C:\Users\andre\Desktop\REACTIV CEFAS\Tamoxifen\Tamoxifen/20201125_Cefas_Test7_Run2/Plate 3/@11/B5_01.tif "/>
    <s v=" 45920.2663 "/>
    <s v=" 35.0862 "/>
    <x v="0"/>
    <n v="1611168"/>
    <m/>
    <m/>
  </r>
  <r>
    <x v="13"/>
    <x v="2"/>
    <s v="C:\Users\andre\Desktop\REACTIV CEFAS\Tamoxifen\Tamoxifen/20201125_Cefas_Test7_Run2/Plate 3/@11/B5_02.tif "/>
    <s v=" 34456.4221 "/>
    <s v=" 35.28 "/>
    <x v="0"/>
    <n v="1215622"/>
    <m/>
    <m/>
  </r>
  <r>
    <x v="13"/>
    <x v="2"/>
    <s v="C:\Users\andre\Desktop\REACTIV CEFAS\Tamoxifen\Tamoxifen/20201125_Cefas_Test7_Run2/Plate 3/@11/B5_03.tif "/>
    <s v=" 31449.8668 "/>
    <s v=" 33.707 "/>
    <x v="0"/>
    <n v="1060081"/>
    <m/>
    <m/>
  </r>
  <r>
    <x v="13"/>
    <x v="3"/>
    <s v="C:\Users\andre\Desktop\REACTIV CEFAS\Tamoxifen\Tamoxifen/20201125_Cefas_Test7_Run2/Plate 3/@11/C5_01.tif "/>
    <s v=" 25069.0479 "/>
    <s v=" 37.9034 "/>
    <x v="0"/>
    <n v="950201"/>
    <m/>
    <m/>
  </r>
  <r>
    <x v="13"/>
    <x v="3"/>
    <s v="C:\Users\andre\Desktop\REACTIV CEFAS\Tamoxifen\Tamoxifen/20201125_Cefas_Test7_Run2/Plate 3/@11/C5_02.tif "/>
    <s v=" 27880.9342 "/>
    <s v=" 36.9597 "/>
    <x v="0"/>
    <n v="1030470"/>
    <m/>
    <m/>
  </r>
  <r>
    <x v="13"/>
    <x v="3"/>
    <s v="C:\Users\andre\Desktop\REACTIV CEFAS\Tamoxifen\Tamoxifen/20201125_Cefas_Test7_Run2/Plate 3/@11/C5_03.tif "/>
    <s v=" 36468.0023 "/>
    <s v=" 38.7954 "/>
    <x v="0"/>
    <n v="1414790"/>
    <m/>
    <m/>
  </r>
  <r>
    <x v="13"/>
    <x v="4"/>
    <s v="C:\Users\andre\Desktop\REACTIV CEFAS\Tamoxifen\Tamoxifen/20201125_Cefas_Test7_Run2/Plate 3/@11/D5_01.tif "/>
    <s v=" 8846.6269 "/>
    <s v=" 36.313 "/>
    <x v="0"/>
    <n v="321247"/>
    <m/>
    <m/>
  </r>
  <r>
    <x v="13"/>
    <x v="4"/>
    <s v="C:\Users\andre\Desktop\REACTIV CEFAS\Tamoxifen\Tamoxifen/20201125_Cefas_Test7_Run2/Plate 3/@11/D5_02.tif "/>
    <s v=" 14924.6273 "/>
    <s v=" 35.9855 "/>
    <x v="0"/>
    <n v="537070"/>
    <m/>
    <m/>
  </r>
  <r>
    <x v="13"/>
    <x v="4"/>
    <s v="C:\Users\andre\Desktop\REACTIV CEFAS\Tamoxifen\Tamoxifen/20201125_Cefas_Test7_Run2/Plate 3/@11/D5_03.tif "/>
    <s v=" 15422.1149 "/>
    <s v=" 36.7896 "/>
    <x v="0"/>
    <n v="567374"/>
    <m/>
    <m/>
  </r>
  <r>
    <x v="13"/>
    <x v="5"/>
    <s v="C:\Users\andre\Desktop\REACTIV CEFAS\Tamoxifen\Tamoxifen/20201125_Cefas_Test7_Run2/Plate 3/@11/E5_01.tif "/>
    <s v=" 12264.1503 "/>
    <s v=" 34.6067 "/>
    <x v="0"/>
    <n v="424422"/>
    <m/>
    <m/>
  </r>
  <r>
    <x v="13"/>
    <x v="5"/>
    <s v="C:\Users\andre\Desktop\REACTIV CEFAS\Tamoxifen\Tamoxifen/20201125_Cefas_Test7_Run2/Plate 3/@11/E5_02.tif "/>
    <s v=" 3482.413 "/>
    <s v=" 32.323 "/>
    <x v="0"/>
    <n v="112562"/>
    <m/>
    <m/>
  </r>
  <r>
    <x v="13"/>
    <x v="5"/>
    <s v="C:\Users\andre\Desktop\REACTIV CEFAS\Tamoxifen\Tamoxifen/20201125_Cefas_Test7_Run2/Plate 3/@11/E5_03.tif "/>
    <s v=" 3633.8223 "/>
    <s v=" 33.5298 "/>
    <x v="0"/>
    <n v="121841"/>
    <m/>
    <m/>
  </r>
  <r>
    <x v="13"/>
    <x v="6"/>
    <s v="C:\Users\andre\Desktop\REACTIV CEFAS\Tamoxifen\Tamoxifen/20201125_Cefas_Test7_Run2/Plate 3/@11/F5_01.tif "/>
    <s v=" 108.1495 "/>
    <s v=" 31.8 "/>
    <x v="0"/>
    <n v="3439"/>
    <m/>
    <m/>
  </r>
  <r>
    <x v="13"/>
    <x v="6"/>
    <s v="C:\Users\andre\Desktop\REACTIV CEFAS\Tamoxifen\Tamoxifen/20201125_Cefas_Test7_Run2/Plate 3/@11/F5_02.tif "/>
    <s v=" 2984.9255 "/>
    <s v=" 33.5942 "/>
    <x v="0"/>
    <n v="100276"/>
    <m/>
    <m/>
  </r>
  <r>
    <x v="13"/>
    <x v="6"/>
    <s v="C:\Users\andre\Desktop\REACTIV CEFAS\Tamoxifen\Tamoxifen/20201125_Cefas_Test7_Run2/Plate 3/@11/F5_03.tif "/>
    <s v=" 5667.0324 "/>
    <s v=" 35.2519 "/>
    <x v="0"/>
    <n v="199774"/>
    <m/>
    <m/>
  </r>
  <r>
    <x v="13"/>
    <x v="7"/>
    <s v="C:\Users\andre\Desktop\REACTIV CEFAS\Tamoxifen\Tamoxifen/20201125_Cefas_Test7_Run2/Plate 3/@11/G5_01- exclu.tif"/>
    <m/>
    <m/>
    <x v="1"/>
    <m/>
    <m/>
    <m/>
  </r>
  <r>
    <x v="13"/>
    <x v="7"/>
    <s v="C:\Users\andre\Desktop\REACTIV CEFAS\Tamoxifen\Tamoxifen/20201125_Cefas_Test7_Run2/Plate 3/@11/G5_02- exclu.tif"/>
    <m/>
    <m/>
    <x v="1"/>
    <m/>
    <m/>
    <m/>
  </r>
  <r>
    <x v="13"/>
    <x v="7"/>
    <s v="C:\Users\andre\Desktop\REACTIV CEFAS\Tamoxifen\Tamoxifen/20201125_Cefas_Test7_Run2/Plate 3/@11/G5_03.tif "/>
    <s v=" 3266.1141 "/>
    <s v=" 40.0861 "/>
    <x v="0"/>
    <n v="130926"/>
    <m/>
    <m/>
  </r>
  <r>
    <x v="13"/>
    <x v="8"/>
    <s v="C:\Users\andre\Desktop\REACTIV CEFAS\Tamoxifen\Tamoxifen/20201125_Cefas_Test7_Run2/Plate 3/@11/H5_01.tif "/>
    <s v=" 11788.2926 "/>
    <s v=" 31.9541 "/>
    <x v="0"/>
    <n v="376685"/>
    <m/>
    <m/>
  </r>
  <r>
    <x v="13"/>
    <x v="8"/>
    <s v="C:\Users\andre\Desktop\REACTIV CEFAS\Tamoxifen\Tamoxifen/20201125_Cefas_Test7_Run2/Plate 3/@11/H5_02.tif "/>
    <s v=" 23338.6563 "/>
    <s v=" 33.4069 "/>
    <x v="0"/>
    <n v="779671"/>
    <m/>
    <m/>
  </r>
  <r>
    <x v="13"/>
    <x v="8"/>
    <s v="C:\Users\andre\Desktop\REACTIV CEFAS\Tamoxifen\Tamoxifen/20201125_Cefas_Test7_Run2/Plate 3/@11/H5_03.tif "/>
    <s v=" 22322.0513 "/>
    <s v=" 33.1037 "/>
    <x v="0"/>
    <n v="738942"/>
    <m/>
    <m/>
  </r>
  <r>
    <x v="0"/>
    <x v="0"/>
    <s v=" "/>
    <m/>
    <m/>
    <x v="1"/>
    <m/>
    <m/>
    <m/>
  </r>
  <r>
    <x v="0"/>
    <x v="0"/>
    <s v="group "/>
    <s v=" "/>
    <s v=" mean of mean fluo "/>
    <x v="2"/>
    <s v=" mean of total fluo "/>
    <s v=" SD total fluo "/>
    <m/>
  </r>
  <r>
    <x v="13"/>
    <x v="9"/>
    <s v="C:\Users\andre\Desktop\REACTIV CEFAS\Tamoxifen\Tamoxifen/20201125_Cefas_Test7_Run2/Plate 3/@11/ "/>
    <s v=" "/>
    <s v=" 35.3455 "/>
    <x v="15"/>
    <s v=" 601915.833 "/>
    <s v=" 441427.512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Tamoxifen\Tamoxifen/20201125_Cefas_Test7_Run2/Plate 3/@12/A6_01.tif "/>
    <s v=" 16741.5384 "/>
    <s v=" 37.8475 "/>
    <x v="0"/>
    <n v="633626"/>
    <m/>
    <m/>
  </r>
  <r>
    <x v="14"/>
    <x v="1"/>
    <s v="C:\Users\andre\Desktop\REACTIV CEFAS\Tamoxifen\Tamoxifen/20201125_Cefas_Test7_Run2/Plate 3/@12/A6_02.tif "/>
    <s v=" 18385.4104 "/>
    <s v=" 36.0471 "/>
    <x v="0"/>
    <n v="662740"/>
    <m/>
    <m/>
  </r>
  <r>
    <x v="14"/>
    <x v="1"/>
    <s v="C:\Users\andre\Desktop\REACTIV CEFAS\Tamoxifen\Tamoxifen/20201125_Cefas_Test7_Run2/Plate 3/@12/A6_03.tif "/>
    <s v=" 29719.4752 "/>
    <s v=" 34.5116 "/>
    <x v="0"/>
    <n v="1025668"/>
    <m/>
    <m/>
  </r>
  <r>
    <x v="14"/>
    <x v="2"/>
    <s v="C:\Users\andre\Desktop\REACTIV CEFAS\Tamoxifen\Tamoxifen/20201125_Cefas_Test7_Run2/Plate 3/@12/B6_01.tif "/>
    <s v=" 4477.3882 "/>
    <s v=" 32.5894 "/>
    <x v="0"/>
    <n v="145915"/>
    <m/>
    <m/>
  </r>
  <r>
    <x v="14"/>
    <x v="2"/>
    <s v="C:\Users\andre\Desktop\REACTIV CEFAS\Tamoxifen\Tamoxifen/20201125_Cefas_Test7_Run2/Plate 3/@12/B6_02.tif "/>
    <s v=" 9300.8547 "/>
    <s v=" 32.2372 "/>
    <x v="0"/>
    <n v="299834"/>
    <m/>
    <m/>
  </r>
  <r>
    <x v="14"/>
    <x v="2"/>
    <s v="C:\Users\andre\Desktop\REACTIV CEFAS\Tamoxifen\Tamoxifen/20201125_Cefas_Test7_Run2/Plate 3/@12/B6_03.tif "/>
    <s v=" 8803.3671 "/>
    <s v=" 34.2531 "/>
    <x v="0"/>
    <n v="301542"/>
    <m/>
    <m/>
  </r>
  <r>
    <x v="14"/>
    <x v="3"/>
    <s v="C:\Users\andre\Desktop\REACTIV CEFAS\Tamoxifen\Tamoxifen/20201125_Cefas_Test7_Run2/Plate 3/@12/C6_01.tif "/>
    <s v=" 9387.3743 "/>
    <s v=" 33.7235 "/>
    <x v="0"/>
    <n v="316575"/>
    <m/>
    <m/>
  </r>
  <r>
    <x v="14"/>
    <x v="3"/>
    <s v="C:\Users\andre\Desktop\REACTIV CEFAS\Tamoxifen\Tamoxifen/20201125_Cefas_Test7_Run2/Plate 3/@12/C6_02.tif "/>
    <s v=" 10901.4669 "/>
    <s v=" 33.0238 "/>
    <x v="0"/>
    <n v="360008"/>
    <m/>
    <m/>
  </r>
  <r>
    <x v="14"/>
    <x v="3"/>
    <s v="C:\Users\andre\Desktop\REACTIV CEFAS\Tamoxifen\Tamoxifen/20201125_Cefas_Test7_Run2/Plate 3/@12/C6_03.tif "/>
    <s v=" 21651.5245 "/>
    <s v=" 32.8212 "/>
    <x v="0"/>
    <n v="710629"/>
    <m/>
    <m/>
  </r>
  <r>
    <x v="14"/>
    <x v="4"/>
    <s v="C:\Users\andre\Desktop\REACTIV CEFAS\Tamoxifen\Tamoxifen/20201125_Cefas_Test7_Run2/Plate 3/@12/D6_01.tif "/>
    <s v=" 6056.3705 "/>
    <s v=" 37.4929 "/>
    <x v="0"/>
    <n v="227071"/>
    <m/>
    <m/>
  </r>
  <r>
    <x v="14"/>
    <x v="4"/>
    <s v="C:\Users\andre\Desktop\REACTIV CEFAS\Tamoxifen\Tamoxifen/20201125_Cefas_Test7_Run2/Plate 3/@12/D6_02.tif "/>
    <s v=" 6640.3777 "/>
    <s v=" 39.1401 "/>
    <x v="0"/>
    <n v="259905"/>
    <m/>
    <m/>
  </r>
  <r>
    <x v="14"/>
    <x v="4"/>
    <s v="C:\Users\andre\Desktop\REACTIV CEFAS\Tamoxifen\Tamoxifen/20201125_Cefas_Test7_Run2/Plate 3/@12/D6_03- exclu.tif"/>
    <m/>
    <m/>
    <x v="1"/>
    <m/>
    <m/>
    <m/>
  </r>
  <r>
    <x v="14"/>
    <x v="5"/>
    <s v="C:\Users\andre\Desktop\REACTIV CEFAS\Tamoxifen\Tamoxifen/20201125_Cefas_Test7_Run2/Plate 3/@12/E6_01.tif "/>
    <s v=" 68458.6165 "/>
    <s v=" 37.2234 "/>
    <x v="0"/>
    <n v="2548261"/>
    <m/>
    <m/>
  </r>
  <r>
    <x v="14"/>
    <x v="5"/>
    <s v="C:\Users\andre\Desktop\REACTIV CEFAS\Tamoxifen\Tamoxifen/20201125_Cefas_Test7_Run2/Plate 3/@12/E6_02.tif "/>
    <s v=" 63051.1428 "/>
    <s v=" 35.634 "/>
    <x v="0"/>
    <n v="2246762"/>
    <m/>
    <m/>
  </r>
  <r>
    <x v="14"/>
    <x v="5"/>
    <s v="C:\Users\andre\Desktop\REACTIV CEFAS\Tamoxifen\Tamoxifen/20201125_Cefas_Test7_Run2/Plate 3/@12/E6_03.tif "/>
    <s v=" 52776.9429 "/>
    <s v=" 34.2012 "/>
    <x v="0"/>
    <n v="1805036"/>
    <m/>
    <m/>
  </r>
  <r>
    <x v="14"/>
    <x v="6"/>
    <s v="C:\Users\andre\Desktop\REACTIV CEFAS\Tamoxifen\Tamoxifen/20201125_Cefas_Test7_Run2/Plate 3/@12/F6_01.tif "/>
    <s v=" 22797.9089 "/>
    <s v=" 36.5598 "/>
    <x v="0"/>
    <n v="833486"/>
    <m/>
    <m/>
  </r>
  <r>
    <x v="14"/>
    <x v="6"/>
    <s v="C:\Users\andre\Desktop\REACTIV CEFAS\Tamoxifen\Tamoxifen/20201125_Cefas_Test7_Run2/Plate 3/@12/F6_02.tif "/>
    <s v=" 40599.3122 "/>
    <s v=" 39.0213 "/>
    <x v="0"/>
    <n v="1584238"/>
    <m/>
    <m/>
  </r>
  <r>
    <x v="14"/>
    <x v="6"/>
    <s v="C:\Users\andre\Desktop\REACTIV CEFAS\Tamoxifen\Tamoxifen/20201125_Cefas_Test7_Run2/Plate 3/@12/F6_03.tif "/>
    <s v=" 18558.4496 "/>
    <s v=" 37.1865 "/>
    <x v="0"/>
    <n v="690123"/>
    <m/>
    <m/>
  </r>
  <r>
    <x v="14"/>
    <x v="7"/>
    <s v="C:\Users\andre\Desktop\REACTIV CEFAS\Tamoxifen\Tamoxifen/20201125_Cefas_Test7_Run2/Plate 3/@12/G6_01.tif "/>
    <s v=" 3677.0821 "/>
    <s v=" 34.3 "/>
    <x v="0"/>
    <n v="126124"/>
    <m/>
    <m/>
  </r>
  <r>
    <x v="14"/>
    <x v="7"/>
    <s v="C:\Users\andre\Desktop\REACTIV CEFAS\Tamoxifen\Tamoxifen/20201125_Cefas_Test7_Run2/Plate 3/@12/G6_02.tif "/>
    <s v=" 973.3453 "/>
    <s v=" 30.9556 "/>
    <x v="0"/>
    <n v="30130"/>
    <m/>
    <m/>
  </r>
  <r>
    <x v="14"/>
    <x v="7"/>
    <s v="C:\Users\andre\Desktop\REACTIV CEFAS\Tamoxifen\Tamoxifen/20201125_Cefas_Test7_Run2/Plate 3/@12/G6_03.tif "/>
    <s v=" 9776.7124 "/>
    <s v=" 34.2611 "/>
    <x v="0"/>
    <n v="334961"/>
    <m/>
    <m/>
  </r>
  <r>
    <x v="14"/>
    <x v="8"/>
    <s v="C:\Users\andre\Desktop\REACTIV CEFAS\Tamoxifen\Tamoxifen/20201125_Cefas_Test7_Run2/Plate 3/@12/H6_01.tif "/>
    <s v=" 13691.7233 "/>
    <s v=" 34.406 "/>
    <x v="0"/>
    <n v="471077"/>
    <m/>
    <m/>
  </r>
  <r>
    <x v="14"/>
    <x v="8"/>
    <s v="C:\Users\andre\Desktop\REACTIV CEFAS\Tamoxifen\Tamoxifen/20201125_Cefas_Test7_Run2/Plate 3/@12/H6_02.tif "/>
    <s v=" 5731.9221 "/>
    <s v=" 32.9736 "/>
    <x v="0"/>
    <n v="189002"/>
    <m/>
    <m/>
  </r>
  <r>
    <x v="14"/>
    <x v="8"/>
    <s v="C:\Users\andre\Desktop\REACTIV CEFAS\Tamoxifen\Tamoxifen/20201125_Cefas_Test7_Run2/Plate 3/@12/H6_03.tif "/>
    <s v=" 10209.3103 "/>
    <s v=" 35.1589 "/>
    <x v="0"/>
    <n v="358948"/>
    <m/>
    <m/>
  </r>
  <r>
    <x v="0"/>
    <x v="0"/>
    <s v=" "/>
    <m/>
    <m/>
    <x v="1"/>
    <m/>
    <m/>
    <m/>
  </r>
  <r>
    <x v="0"/>
    <x v="0"/>
    <s v="group "/>
    <s v=" "/>
    <s v=" mean of mean fluo "/>
    <x v="2"/>
    <s v=" mean of total fluo "/>
    <s v=" SD total fluo "/>
    <m/>
  </r>
  <r>
    <x v="14"/>
    <x v="9"/>
    <s v="C:\Users\andre\Desktop\REACTIV CEFAS\Tamoxifen\Tamoxifen/20201125_Cefas_Test7_Run2/Plate 3/@12/ "/>
    <s v=" "/>
    <s v=" 34.99 "/>
    <x v="16"/>
    <s v=" 677932.208 "/>
    <s v=" 689245.326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Tamoxifen\Tamoxifen/20201125_Cefas_Test7_Run2/Plate 3/@17/A8_01.tif "/>
    <s v=" 50613.9534 "/>
    <s v=" 41.2521 "/>
    <x v="0"/>
    <n v="2087934"/>
    <m/>
    <m/>
  </r>
  <r>
    <x v="15"/>
    <x v="1"/>
    <s v="C:\Users\andre\Desktop\REACTIV CEFAS\Tamoxifen\Tamoxifen/20201125_Cefas_Test7_Run2/Plate 3/@17/A8_02.tif "/>
    <s v=" 50527.4339 "/>
    <s v=" 43.4628 "/>
    <x v="0"/>
    <n v="2196062"/>
    <m/>
    <m/>
  </r>
  <r>
    <x v="15"/>
    <x v="1"/>
    <s v="C:\Users\andre\Desktop\REACTIV CEFAS\Tamoxifen\Tamoxifen/20201125_Cefas_Test7_Run2/Plate 3/@17/A8_03.tif "/>
    <s v=" 36078.6642 "/>
    <s v=" 41.0024 "/>
    <x v="0"/>
    <n v="1479312"/>
    <m/>
    <m/>
  </r>
  <r>
    <x v="15"/>
    <x v="2"/>
    <s v="C:\Users\andre\Desktop\REACTIV CEFAS\Tamoxifen\Tamoxifen/20201125_Cefas_Test7_Run2/Plate 3/@17/B8_01.tif "/>
    <s v=" 74688.0262 "/>
    <s v=" 44.7663 "/>
    <x v="0"/>
    <n v="3343506"/>
    <m/>
    <m/>
  </r>
  <r>
    <x v="15"/>
    <x v="2"/>
    <s v="C:\Users\andre\Desktop\REACTIV CEFAS\Tamoxifen\Tamoxifen/20201125_Cefas_Test7_Run2/Plate 3/@17/B8_02.tif "/>
    <s v=" 79684.5318 "/>
    <s v=" 48.43 "/>
    <x v="0"/>
    <n v="3859119"/>
    <m/>
    <m/>
  </r>
  <r>
    <x v="15"/>
    <x v="2"/>
    <s v="C:\Users\andre\Desktop\REACTIV CEFAS\Tamoxifen\Tamoxifen/20201125_Cefas_Test7_Run2/Plate 3/@17/B8_03.tif "/>
    <s v=" 77478.2826 "/>
    <s v=" 44.8481 "/>
    <x v="0"/>
    <n v="3474756"/>
    <m/>
    <m/>
  </r>
  <r>
    <x v="15"/>
    <x v="3"/>
    <s v="C:\Users\andre\Desktop\REACTIV CEFAS\Tamoxifen\Tamoxifen/20201125_Cefas_Test7_Run2/Plate 3/@17/C8_01.tif "/>
    <s v=" 36576.1518 "/>
    <s v=" 37.4991 "/>
    <x v="0"/>
    <n v="1371573"/>
    <m/>
    <m/>
  </r>
  <r>
    <x v="15"/>
    <x v="3"/>
    <s v="C:\Users\andre\Desktop\REACTIV CEFAS\Tamoxifen\Tamoxifen/20201125_Cefas_Test7_Run2/Plate 3/@17/C8_02.tif "/>
    <s v=" 40685.8318 "/>
    <s v=" 40.5965 "/>
    <x v="0"/>
    <n v="1651702"/>
    <m/>
    <m/>
  </r>
  <r>
    <x v="15"/>
    <x v="3"/>
    <s v="C:\Users\andre\Desktop\REACTIV CEFAS\Tamoxifen\Tamoxifen/20201125_Cefas_Test7_Run2/Plate 3/@17/C8_03.tif "/>
    <s v=" 33872.415 "/>
    <s v=" 39.1782 "/>
    <x v="0"/>
    <n v="1327059"/>
    <m/>
    <m/>
  </r>
  <r>
    <x v="15"/>
    <x v="4"/>
    <s v="C:\Users\andre\Desktop\REACTIV CEFAS\Tamoxifen\Tamoxifen/20201125_Cefas_Test7_Run2/Plate 3/@17/D8_01- exclu.tif"/>
    <m/>
    <m/>
    <x v="1"/>
    <m/>
    <m/>
    <m/>
  </r>
  <r>
    <x v="15"/>
    <x v="4"/>
    <s v="C:\Users\andre\Desktop\REACTIV CEFAS\Tamoxifen\Tamoxifen/20201125_Cefas_Test7_Run2/Plate 3/@17/D8_02- exclu.tif"/>
    <m/>
    <m/>
    <x v="1"/>
    <m/>
    <m/>
    <m/>
  </r>
  <r>
    <x v="15"/>
    <x v="4"/>
    <s v="C:\Users\andre\Desktop\REACTIV CEFAS\Tamoxifen\Tamoxifen/20201125_Cefas_Test7_Run2/Plate 3/@17/D8_03.tif "/>
    <s v=" 16503.6096 "/>
    <s v=" 35.3853 "/>
    <x v="0"/>
    <n v="583986"/>
    <m/>
    <m/>
  </r>
  <r>
    <x v="15"/>
    <x v="5"/>
    <s v="C:\Users\andre\Desktop\REACTIV CEFAS\Tamoxifen\Tamoxifen/20201125_Cefas_Test7_Run2/Plate 3/@17/E8_01.tif "/>
    <s v=" 14254.1006 "/>
    <s v=" 35.9651 "/>
    <x v="0"/>
    <n v="512650"/>
    <m/>
    <m/>
  </r>
  <r>
    <x v="15"/>
    <x v="5"/>
    <s v="C:\Users\andre\Desktop\REACTIV CEFAS\Tamoxifen\Tamoxifen/20201125_Cefas_Test7_Run2/Plate 3/@17/E8_02.tif "/>
    <s v=" 22862.7986 "/>
    <s v=" 37.5535 "/>
    <x v="0"/>
    <n v="858577"/>
    <m/>
    <m/>
  </r>
  <r>
    <x v="15"/>
    <x v="5"/>
    <s v="C:\Users\andre\Desktop\REACTIV CEFAS\Tamoxifen\Tamoxifen/20201125_Cefas_Test7_Run2/Plate 3/@17/E8_03.tif "/>
    <s v=" 13540.314 "/>
    <s v=" 33.1645 "/>
    <x v="0"/>
    <n v="449058"/>
    <m/>
    <m/>
  </r>
  <r>
    <x v="15"/>
    <x v="6"/>
    <s v="C:\Users\andre\Desktop\REACTIV CEFAS\Tamoxifen\Tamoxifen/20201125_Cefas_Test7_Run2/Plate 3/@17/F8_01.tif "/>
    <s v=" 5407.4737 "/>
    <s v=" 34.072 "/>
    <x v="0"/>
    <n v="184243"/>
    <m/>
    <m/>
  </r>
  <r>
    <x v="15"/>
    <x v="6"/>
    <s v="C:\Users\andre\Desktop\REACTIV CEFAS\Tamoxifen\Tamoxifen/20201125_Cefas_Test7_Run2/Plate 3/@17/F8_02.tif "/>
    <s v=" 12848.1574 "/>
    <s v=" 42.9613 "/>
    <x v="0"/>
    <n v="551973"/>
    <m/>
    <m/>
  </r>
  <r>
    <x v="15"/>
    <x v="6"/>
    <s v="C:\Users\andre\Desktop\REACTIV CEFAS\Tamoxifen\Tamoxifen/20201125_Cefas_Test7_Run2/Plate 3/@17/F8_03.tif "/>
    <s v=" 1492.4627 "/>
    <s v=" 32.3768 "/>
    <x v="0"/>
    <n v="48321"/>
    <m/>
    <m/>
  </r>
  <r>
    <x v="15"/>
    <x v="7"/>
    <s v="C:\Users\andre\Desktop\REACTIV CEFAS\Tamoxifen\Tamoxifen/20201125_Cefas_Test7_Run2/Plate 3/@17/G8_01.tif "/>
    <s v=" 67377.1218 "/>
    <s v=" 38.0356 "/>
    <x v="0"/>
    <n v="2562732"/>
    <m/>
    <m/>
  </r>
  <r>
    <x v="15"/>
    <x v="7"/>
    <s v="C:\Users\andre\Desktop\REACTIV CEFAS\Tamoxifen\Tamoxifen/20201125_Cefas_Test7_Run2/Plate 3/@17/G8_02.tif "/>
    <s v=" 70232.2679 "/>
    <s v=" 40.365 "/>
    <x v="0"/>
    <n v="2834922"/>
    <m/>
    <m/>
  </r>
  <r>
    <x v="15"/>
    <x v="7"/>
    <s v="C:\Users\andre\Desktop\REACTIV CEFAS\Tamoxifen\Tamoxifen/20201125_Cefas_Test7_Run2/Plate 3/@17/G8_03.tif "/>
    <s v=" 61082.8224 "/>
    <s v=" 38.5368 "/>
    <x v="0"/>
    <n v="2353938"/>
    <m/>
    <m/>
  </r>
  <r>
    <x v="15"/>
    <x v="8"/>
    <s v="C:\Users\andre\Desktop\REACTIV CEFAS\Tamoxifen\Tamoxifen/20201125_Cefas_Test7_Run2/Plate 3/@17/H8_01.tif "/>
    <s v=" 46828.7219 "/>
    <s v=" 35.9751 "/>
    <x v="0"/>
    <n v="1684666"/>
    <m/>
    <m/>
  </r>
  <r>
    <x v="15"/>
    <x v="8"/>
    <s v="C:\Users\andre\Desktop\REACTIV CEFAS\Tamoxifen\Tamoxifen/20201125_Cefas_Test7_Run2/Plate 3/@17/H8_02.tif "/>
    <s v=" 48624.0031 "/>
    <s v=" 39.915 "/>
    <x v="0"/>
    <n v="1940829"/>
    <m/>
    <m/>
  </r>
  <r>
    <x v="15"/>
    <x v="8"/>
    <s v="C:\Users\andre\Desktop\REACTIV CEFAS\Tamoxifen\Tamoxifen/20201125_Cefas_Test7_Run2/Plate 3/@17/H8_03.tif "/>
    <s v=" 55740.2385 "/>
    <s v=" 36.5243 "/>
    <x v="0"/>
    <n v="2035871"/>
    <m/>
    <m/>
  </r>
  <r>
    <x v="0"/>
    <x v="0"/>
    <s v=" "/>
    <m/>
    <m/>
    <x v="1"/>
    <m/>
    <m/>
    <m/>
  </r>
  <r>
    <x v="0"/>
    <x v="0"/>
    <s v="group "/>
    <s v=" "/>
    <s v=" mean of mean fluo "/>
    <x v="2"/>
    <s v=" mean of total fluo "/>
    <s v=" SD total fluo "/>
    <m/>
  </r>
  <r>
    <x v="15"/>
    <x v="9"/>
    <s v="C:\Users\andre\Desktop\REACTIV CEFAS\Tamoxifen\Tamoxifen/20201125_Cefas_Test7_Run2/Plate 3/@17/ "/>
    <s v=" "/>
    <s v=" 39.4 "/>
    <x v="17"/>
    <s v=" 1647096.67 "/>
    <n v="1060326"/>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Tamoxifen\Tamoxifen/20201125_Cefas_Test7_Run2/Plate 3/@18/A9_01.tif "/>
    <s v=" 31147.0483 "/>
    <s v=" 35.366 "/>
    <x v="0"/>
    <n v="1101546"/>
    <m/>
    <m/>
  </r>
  <r>
    <x v="16"/>
    <x v="1"/>
    <s v="C:\Users\andre\Desktop\REACTIV CEFAS\Tamoxifen\Tamoxifen/20201125_Cefas_Test7_Run2/Plate 3/@18/A9_02.tif "/>
    <s v=" 30779.3401 "/>
    <s v=" 35.6198 "/>
    <x v="0"/>
    <n v="1096354"/>
    <m/>
    <m/>
  </r>
  <r>
    <x v="16"/>
    <x v="1"/>
    <s v="C:\Users\andre\Desktop\REACTIV CEFAS\Tamoxifen\Tamoxifen/20201125_Cefas_Test7_Run2/Plate 3/@18/A9_03.tif "/>
    <s v=" 27556.4858 "/>
    <s v=" 34.2818 "/>
    <x v="0"/>
    <n v="944686"/>
    <m/>
    <m/>
  </r>
  <r>
    <x v="16"/>
    <x v="2"/>
    <s v="C:\Users\andre\Desktop\REACTIV CEFAS\Tamoxifen\Tamoxifen/20201125_Cefas_Test7_Run2/Plate 3/@18/B9_01.tif "/>
    <s v=" 53404.2098 "/>
    <s v=" 42.8275 "/>
    <x v="0"/>
    <n v="2287167"/>
    <m/>
    <m/>
  </r>
  <r>
    <x v="16"/>
    <x v="2"/>
    <s v="C:\Users\andre\Desktop\REACTIV CEFAS\Tamoxifen\Tamoxifen/20201125_Cefas_Test7_Run2/Plate 3/@18/B9_02.tif "/>
    <s v=" 59676.8793 "/>
    <s v=" 40.6665 "/>
    <x v="0"/>
    <n v="2426853"/>
    <m/>
    <m/>
  </r>
  <r>
    <x v="16"/>
    <x v="2"/>
    <s v="C:\Users\andre\Desktop\REACTIV CEFAS\Tamoxifen\Tamoxifen/20201125_Cefas_Test7_Run2/Plate 3/@18/B9_03.tif "/>
    <s v=" 59763.3989 "/>
    <s v=" 45.3218 "/>
    <x v="0"/>
    <n v="2708582"/>
    <m/>
    <m/>
  </r>
  <r>
    <x v="16"/>
    <x v="3"/>
    <s v="C:\Users\andre\Desktop\REACTIV CEFAS\Tamoxifen\Tamoxifen/20201125_Cefas_Test7_Run2/Plate 3/@18/C9_01.tif "/>
    <s v=" 15724.9334 "/>
    <s v=" 34.641 "/>
    <x v="0"/>
    <n v="544727"/>
    <m/>
    <m/>
  </r>
  <r>
    <x v="16"/>
    <x v="3"/>
    <s v="C:\Users\andre\Desktop\REACTIV CEFAS\Tamoxifen\Tamoxifen/20201125_Cefas_Test7_Run2/Plate 3/@18/C9_02.tif "/>
    <s v=" 30909.1194 "/>
    <s v=" 35.1554 "/>
    <x v="0"/>
    <n v="1086621"/>
    <m/>
    <m/>
  </r>
  <r>
    <x v="16"/>
    <x v="3"/>
    <s v="C:\Users\andre\Desktop\REACTIV CEFAS\Tamoxifen\Tamoxifen/20201125_Cefas_Test7_Run2/Plate 3/@18/C9_03.tif "/>
    <s v=" 28984.0588 "/>
    <s v=" 34.1716 "/>
    <x v="0"/>
    <n v="990433"/>
    <m/>
    <m/>
  </r>
  <r>
    <x v="16"/>
    <x v="4"/>
    <s v="C:\Users\andre\Desktop\REACTIV CEFAS\Tamoxifen\Tamoxifen/20201125_Cefas_Test7_Run2/Plate 3/@18/D9_01.tif "/>
    <s v=" 44882.0314 "/>
    <s v=" 36.5118 "/>
    <x v="0"/>
    <n v="1638724"/>
    <m/>
    <m/>
  </r>
  <r>
    <x v="16"/>
    <x v="4"/>
    <s v="C:\Users\andre\Desktop\REACTIV CEFAS\Tamoxifen\Tamoxifen/20201125_Cefas_Test7_Run2/Plate 3/@18/D9_02.tif "/>
    <s v=" 39106.8495 "/>
    <s v=" 35.4552 "/>
    <x v="0"/>
    <n v="1386541"/>
    <m/>
    <m/>
  </r>
  <r>
    <x v="16"/>
    <x v="4"/>
    <s v="C:\Users\andre\Desktop\REACTIV CEFAS\Tamoxifen\Tamoxifen/20201125_Cefas_Test7_Run2/Plate 3/@18/D9_03.tif "/>
    <s v=" 35862.3653 "/>
    <s v=" 35.8607 "/>
    <x v="0"/>
    <n v="1286049"/>
    <m/>
    <m/>
  </r>
  <r>
    <x v="16"/>
    <x v="5"/>
    <s v="C:\Users\andre\Desktop\REACTIV CEFAS\Tamoxifen\Tamoxifen/20201125_Cefas_Test7_Run2/Plate 3/@18/E9_01.tif "/>
    <s v=" 42026.8853 "/>
    <s v=" 40.877 "/>
    <x v="0"/>
    <n v="1717933"/>
    <m/>
    <m/>
  </r>
  <r>
    <x v="16"/>
    <x v="5"/>
    <s v="C:\Users\andre\Desktop\REACTIV CEFAS\Tamoxifen\Tamoxifen/20201125_Cefas_Test7_Run2/Plate 3/@18/E9_02.tif "/>
    <s v=" 46396.124 "/>
    <s v=" 40.7473 "/>
    <x v="0"/>
    <n v="1890518"/>
    <m/>
    <m/>
  </r>
  <r>
    <x v="16"/>
    <x v="5"/>
    <s v="C:\Users\andre\Desktop\REACTIV CEFAS\Tamoxifen\Tamoxifen/20201125_Cefas_Test7_Run2/Plate 3/@18/E9_03.tif "/>
    <s v=" 43800.5366 "/>
    <s v=" 39.882 "/>
    <x v="0"/>
    <n v="1746852"/>
    <m/>
    <m/>
  </r>
  <r>
    <x v="16"/>
    <x v="6"/>
    <s v="C:\Users\andre\Desktop\REACTIV CEFAS\Tamoxifen\Tamoxifen/20201125_Cefas_Test7_Run2/Plate 3/@18/F9_01.tif "/>
    <n v="0"/>
    <n v="0"/>
    <x v="0"/>
    <n v="0"/>
    <m/>
    <m/>
  </r>
  <r>
    <x v="16"/>
    <x v="6"/>
    <s v="C:\Users\andre\Desktop\REACTIV CEFAS\Tamoxifen\Tamoxifen/20201125_Cefas_Test7_Run2/Plate 3/@18/F9_02.tif "/>
    <n v="0"/>
    <n v="0"/>
    <x v="0"/>
    <n v="0"/>
    <m/>
    <m/>
  </r>
  <r>
    <x v="16"/>
    <x v="6"/>
    <s v="C:\Users\andre\Desktop\REACTIV CEFAS\Tamoxifen\Tamoxifen/20201125_Cefas_Test7_Run2/Plate 3/@18/F9_03.tif "/>
    <n v="0"/>
    <n v="0"/>
    <x v="0"/>
    <n v="0"/>
    <m/>
    <m/>
  </r>
  <r>
    <x v="16"/>
    <x v="7"/>
    <s v="C:\Users\andre\Desktop\REACTIV CEFAS\Tamoxifen\Tamoxifen/20201125_Cefas_Test7_Run2/Plate 3/@18/G9_01.tif "/>
    <s v=" 77261.9836 "/>
    <s v=" 47.2147 "/>
    <x v="0"/>
    <n v="3647903"/>
    <m/>
    <m/>
  </r>
  <r>
    <x v="16"/>
    <x v="7"/>
    <s v="C:\Users\andre\Desktop\REACTIV CEFAS\Tamoxifen\Tamoxifen/20201125_Cefas_Test7_Run2/Plate 3/@18/G9_02.tif "/>
    <s v=" 79684.5318 "/>
    <s v=" 46.8779 "/>
    <x v="0"/>
    <n v="3735440"/>
    <m/>
    <m/>
  </r>
  <r>
    <x v="16"/>
    <x v="7"/>
    <s v="C:\Users\andre\Desktop\REACTIV CEFAS\Tamoxifen\Tamoxifen/20201125_Cefas_Test7_Run2/Plate 3/@18/G9_03.tif "/>
    <s v=" 71616.5811 "/>
    <s v=" 43.9571 "/>
    <x v="0"/>
    <n v="3148058"/>
    <m/>
    <m/>
  </r>
  <r>
    <x v="16"/>
    <x v="8"/>
    <s v="C:\Users\andre\Desktop\REACTIV CEFAS\Tamoxifen\Tamoxifen/20201125_Cefas_Test7_Run2/Plate 3/@18/H9_01.tif "/>
    <s v=" 47931.8465 "/>
    <s v=" 41.6042 "/>
    <x v="0"/>
    <n v="1994168"/>
    <m/>
    <m/>
  </r>
  <r>
    <x v="16"/>
    <x v="8"/>
    <s v="C:\Users\andre\Desktop\REACTIV CEFAS\Tamoxifen\Tamoxifen/20201125_Cefas_Test7_Run2/Plate 3/@18/H9_02.tif "/>
    <s v=" 58854.9433 "/>
    <s v=" 43.5391 "/>
    <x v="0"/>
    <n v="2562494"/>
    <m/>
    <m/>
  </r>
  <r>
    <x v="16"/>
    <x v="8"/>
    <s v="C:\Users\andre\Desktop\REACTIV CEFAS\Tamoxifen\Tamoxifen/20201125_Cefas_Test7_Run2/Plate 3/@18/H9_03.tif "/>
    <s v=" 54096.3665 "/>
    <s v=" 42.0412 "/>
    <x v="0"/>
    <n v="2274275"/>
    <m/>
    <m/>
  </r>
  <r>
    <x v="0"/>
    <x v="0"/>
    <s v=" "/>
    <m/>
    <m/>
    <x v="1"/>
    <m/>
    <m/>
    <m/>
  </r>
  <r>
    <x v="0"/>
    <x v="0"/>
    <s v="group "/>
    <s v=" "/>
    <s v=" mean of mean fluo "/>
    <x v="2"/>
    <s v=" mean of total fluo "/>
    <s v=" SD total fluo "/>
    <m/>
  </r>
  <r>
    <x v="16"/>
    <x v="9"/>
    <s v="C:\Users\andre\Desktop\REACTIV CEFAS\Tamoxifen\Tamoxifen/20201125_Cefas_Test7_Run2/Plate 3/@18/ "/>
    <s v=" "/>
    <s v=" 34.6925 "/>
    <x v="18"/>
    <s v=" 1675663.5 "/>
    <s v=" 1054186.9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Tamoxifen\Tamoxifen/20201125_Cefas_Test7_Run2/Plate 3/@19/A10_01.tif "/>
    <s v=" 29589.6959 "/>
    <s v=" 40.3472 "/>
    <x v="0"/>
    <n v="1193862"/>
    <m/>
    <m/>
  </r>
  <r>
    <x v="17"/>
    <x v="1"/>
    <s v="C:\Users\andre\Desktop\REACTIV CEFAS\Tamoxifen\Tamoxifen/20201125_Cefas_Test7_Run2/Plate 3/@19/A10_02.tif "/>
    <s v=" 27275.2971 "/>
    <s v=" 40.7645 "/>
    <x v="0"/>
    <n v="1111863"/>
    <m/>
    <m/>
  </r>
  <r>
    <x v="17"/>
    <x v="1"/>
    <s v="C:\Users\andre\Desktop\REACTIV CEFAS\Tamoxifen\Tamoxifen/20201125_Cefas_Test7_Run2/Plate 3/@19/A10_03.tif "/>
    <s v=" 27102.258 "/>
    <s v=" 41.4988 "/>
    <x v="0"/>
    <n v="1124711"/>
    <m/>
    <m/>
  </r>
  <r>
    <x v="17"/>
    <x v="2"/>
    <s v="C:\Users\andre\Desktop\REACTIV CEFAS\Tamoxifen\Tamoxifen/20201125_Cefas_Test7_Run2/Plate 3/@19/B10_01- exclu.tif"/>
    <m/>
    <m/>
    <x v="1"/>
    <m/>
    <m/>
    <m/>
  </r>
  <r>
    <x v="17"/>
    <x v="2"/>
    <s v="C:\Users\andre\Desktop\REACTIV CEFAS\Tamoxifen\Tamoxifen/20201125_Cefas_Test7_Run2/Plate 3/@19/B10_02- exclu.tif"/>
    <m/>
    <m/>
    <x v="1"/>
    <m/>
    <m/>
    <m/>
  </r>
  <r>
    <x v="17"/>
    <x v="2"/>
    <s v="C:\Users\andre\Desktop\REACTIV CEFAS\Tamoxifen\Tamoxifen/20201125_Cefas_Test7_Run2/Plate 3/@19/B10_03.tif "/>
    <s v=" 52625.5336 "/>
    <s v=" 41.9083 "/>
    <x v="0"/>
    <n v="2205449"/>
    <m/>
    <m/>
  </r>
  <r>
    <x v="17"/>
    <x v="3"/>
    <s v="C:\Users\andre\Desktop\REACTIV CEFAS\Tamoxifen\Tamoxifen/20201125_Cefas_Test7_Run2/Plate 3/@19/C10_01.tif "/>
    <s v=" 60931.4132 "/>
    <s v=" 41.4828 "/>
    <x v="0"/>
    <n v="2527605"/>
    <m/>
    <m/>
  </r>
  <r>
    <x v="17"/>
    <x v="3"/>
    <s v="C:\Users\andre\Desktop\REACTIV CEFAS\Tamoxifen\Tamoxifen/20201125_Cefas_Test7_Run2/Plate 3/@19/C10_02.tif "/>
    <s v=" 63375.5913 "/>
    <s v=" 41.3771 "/>
    <x v="0"/>
    <n v="2622300"/>
    <m/>
    <m/>
  </r>
  <r>
    <x v="17"/>
    <x v="3"/>
    <s v="C:\Users\andre\Desktop\REACTIV CEFAS\Tamoxifen\Tamoxifen/20201125_Cefas_Test7_Run2/Plate 3/@19/C10_03.tif "/>
    <s v=" 56778.4734 "/>
    <s v=" 39.7745 "/>
    <x v="0"/>
    <n v="2258334"/>
    <m/>
    <m/>
  </r>
  <r>
    <x v="17"/>
    <x v="4"/>
    <s v="C:\Users\andre\Desktop\REACTIV CEFAS\Tamoxifen\Tamoxifen/20201125_Cefas_Test7_Run2/Plate 3/@19/D10_01.tif "/>
    <s v=" 49986.6865 "/>
    <s v=" 37.6149 "/>
    <x v="0"/>
    <n v="1880243"/>
    <m/>
    <m/>
  </r>
  <r>
    <x v="17"/>
    <x v="4"/>
    <s v="C:\Users\andre\Desktop\REACTIV CEFAS\Tamoxifen\Tamoxifen/20201125_Cefas_Test7_Run2/Plate 3/@19/D10_02.tif "/>
    <s v=" 62834.8439 "/>
    <s v=" 40.9318 "/>
    <x v="0"/>
    <n v="2571946"/>
    <m/>
    <m/>
  </r>
  <r>
    <x v="17"/>
    <x v="4"/>
    <s v="C:\Users\andre\Desktop\REACTIV CEFAS\Tamoxifen\Tamoxifen/20201125_Cefas_Test7_Run2/Plate 3/@19/D10_03.tif "/>
    <s v=" 50246.2452 "/>
    <s v=" 38.5329 "/>
    <x v="0"/>
    <n v="1936135"/>
    <m/>
    <m/>
  </r>
  <r>
    <x v="17"/>
    <x v="5"/>
    <s v="C:\Users\andre\Desktop\REACTIV CEFAS\Tamoxifen\Tamoxifen/20201125_Cefas_Test7_Run2/Plate 3/@19/E10_01.tif "/>
    <s v=" 30995.639 "/>
    <s v=" 38.2421 "/>
    <x v="0"/>
    <n v="1185340"/>
    <m/>
    <m/>
  </r>
  <r>
    <x v="17"/>
    <x v="5"/>
    <s v="C:\Users\andre\Desktop\REACTIV CEFAS\Tamoxifen\Tamoxifen/20201125_Cefas_Test7_Run2/Plate 3/@19/E10_02.tif "/>
    <s v=" 26950.8487 "/>
    <s v=" 39.9567 "/>
    <x v="0"/>
    <n v="1076866"/>
    <m/>
    <m/>
  </r>
  <r>
    <x v="17"/>
    <x v="5"/>
    <s v="C:\Users\andre\Desktop\REACTIV CEFAS\Tamoxifen\Tamoxifen/20201125_Cefas_Test7_Run2/Plate 3/@19/E10_03.tif "/>
    <s v=" 27816.0445 "/>
    <s v=" 37.6042 "/>
    <x v="0"/>
    <n v="1046000"/>
    <m/>
    <m/>
  </r>
  <r>
    <x v="17"/>
    <x v="6"/>
    <s v="C:\Users\andre\Desktop\REACTIV CEFAS\Tamoxifen\Tamoxifen/20201125_Cefas_Test7_Run2/Plate 3/@19/F10_01.tif "/>
    <s v=" 64868.054 "/>
    <s v=" 45.0343 "/>
    <x v="0"/>
    <n v="2921290"/>
    <m/>
    <m/>
  </r>
  <r>
    <x v="17"/>
    <x v="6"/>
    <s v="C:\Users\andre\Desktop\REACTIV CEFAS\Tamoxifen\Tamoxifen/20201125_Cefas_Test7_Run2/Plate 3/@19/F10_02.tif "/>
    <s v=" 72698.0758 "/>
    <s v=" 47.0979 "/>
    <x v="0"/>
    <n v="3423926"/>
    <m/>
    <m/>
  </r>
  <r>
    <x v="17"/>
    <x v="6"/>
    <s v="C:\Users\andre\Desktop\REACTIV CEFAS\Tamoxifen\Tamoxifen/20201125_Cefas_Test7_Run2/Plate 3/@19/F10_03.tif "/>
    <s v=" 68610.0258 "/>
    <s v=" 48.8427 "/>
    <x v="0"/>
    <n v="3351098"/>
    <m/>
    <m/>
  </r>
  <r>
    <x v="17"/>
    <x v="7"/>
    <s v="C:\Users\andre\Desktop\REACTIV CEFAS\Tamoxifen\Tamoxifen/20201125_Cefas_Test7_Run2/Plate 3/@19/G10_01.tif "/>
    <s v=" 36100.2941 "/>
    <s v=" 35.1708 "/>
    <x v="0"/>
    <n v="1269675"/>
    <m/>
    <m/>
  </r>
  <r>
    <x v="17"/>
    <x v="7"/>
    <s v="C:\Users\andre\Desktop\REACTIV CEFAS\Tamoxifen\Tamoxifen/20201125_Cefas_Test7_Run2/Plate 3/@19/G10_02.tif "/>
    <s v=" 31644.5358 "/>
    <s v=" 35.0636 "/>
    <x v="0"/>
    <n v="1109570"/>
    <m/>
    <m/>
  </r>
  <r>
    <x v="17"/>
    <x v="7"/>
    <s v="C:\Users\andre\Desktop\REACTIV CEFAS\Tamoxifen\Tamoxifen/20201125_Cefas_Test7_Run2/Plate 3/@19/G10_03.tif "/>
    <s v=" 42589.2625 "/>
    <s v=" 35.8614 "/>
    <x v="0"/>
    <n v="1527308"/>
    <m/>
    <m/>
  </r>
  <r>
    <x v="17"/>
    <x v="8"/>
    <s v="C:\Users\andre\Desktop\REACTIV CEFAS\Tamoxifen\Tamoxifen/20201125_Cefas_Test7_Run2/Plate 3/@19/H10_01.tif "/>
    <s v=" 66165.8477 "/>
    <s v=" 40.2586 "/>
    <x v="0"/>
    <n v="2663743"/>
    <m/>
    <m/>
  </r>
  <r>
    <x v="17"/>
    <x v="8"/>
    <s v="C:\Users\andre\Desktop\REACTIV CEFAS\Tamoxifen\Tamoxifen/20201125_Cefas_Test7_Run2/Plate 3/@19/H10_02.tif "/>
    <s v=" 66966.1538 "/>
    <s v=" 42.6428 "/>
    <x v="0"/>
    <n v="2855622"/>
    <m/>
    <m/>
  </r>
  <r>
    <x v="17"/>
    <x v="8"/>
    <s v="C:\Users\andre\Desktop\REACTIV CEFAS\Tamoxifen\Tamoxifen/20201125_Cefas_Test7_Run2/Plate 3/@19/H10_03.tif "/>
    <s v=" 74579.8767 "/>
    <s v=" 43.8898 "/>
    <x v="0"/>
    <n v="3273295"/>
    <m/>
    <m/>
  </r>
  <r>
    <x v="0"/>
    <x v="0"/>
    <s v=" "/>
    <m/>
    <m/>
    <x v="1"/>
    <m/>
    <m/>
    <m/>
  </r>
  <r>
    <x v="0"/>
    <x v="0"/>
    <s v="group "/>
    <s v=" "/>
    <s v=" mean of mean fluo "/>
    <x v="2"/>
    <s v=" mean of total fluo "/>
    <s v=" SD total fluo "/>
    <m/>
  </r>
  <r>
    <x v="17"/>
    <x v="9"/>
    <s v="C:\Users\andre\Desktop\REACTIV CEFAS\Tamoxifen\Tamoxifen/20201125_Cefas_Test7_Run2/Plate 3/@19/ "/>
    <s v=" "/>
    <s v=" 41.0343 "/>
    <x v="19"/>
    <s v=" 2044010.58 "/>
    <s v=" 800993.749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Tamoxifen\Tamoxifen/20201125_Cefas_Test7_Run2/Plate 3/@20/A11_01.tif "/>
    <s v=" 32185.2832 "/>
    <s v=" 38.2816 "/>
    <x v="0"/>
    <n v="1232104"/>
    <m/>
    <m/>
  </r>
  <r>
    <x v="18"/>
    <x v="1"/>
    <s v="C:\Users\andre\Desktop\REACTIV CEFAS\Tamoxifen\Tamoxifen/20201125_Cefas_Test7_Run2/Plate 3/@20/A11_02.tif "/>
    <s v=" 24312.0016 "/>
    <s v=" 42.589 "/>
    <x v="0"/>
    <n v="1035423"/>
    <m/>
    <m/>
  </r>
  <r>
    <x v="18"/>
    <x v="1"/>
    <s v="C:\Users\andre\Desktop\REACTIV CEFAS\Tamoxifen\Tamoxifen/20201125_Cefas_Test7_Run2/Plate 3/@20/A11_03- exclu.tif"/>
    <m/>
    <m/>
    <x v="1"/>
    <m/>
    <m/>
    <m/>
  </r>
  <r>
    <x v="18"/>
    <x v="2"/>
    <s v="C:\Users\andre\Desktop\REACTIV CEFAS\Tamoxifen\Tamoxifen/20201125_Cefas_Test7_Run2/Plate 3/@20/B11_01- exclu.tif"/>
    <m/>
    <m/>
    <x v="1"/>
    <m/>
    <m/>
    <m/>
  </r>
  <r>
    <x v="18"/>
    <x v="2"/>
    <s v="C:\Users\andre\Desktop\REACTIV CEFAS\Tamoxifen\Tamoxifen/20201125_Cefas_Test7_Run2/Plate 3/@20/B11_02- exclu.tif"/>
    <m/>
    <m/>
    <x v="1"/>
    <m/>
    <m/>
    <m/>
  </r>
  <r>
    <x v="18"/>
    <x v="2"/>
    <s v="C:\Users\andre\Desktop\REACTIV CEFAS\Tamoxifen\Tamoxifen/20201125_Cefas_Test7_Run2/Plate 3/@20/B11_03.tif "/>
    <s v=" 56540.5446 "/>
    <s v=" 35.4923 "/>
    <x v="0"/>
    <n v="2006757"/>
    <m/>
    <m/>
  </r>
  <r>
    <x v="18"/>
    <x v="3"/>
    <s v="C:\Users\andre\Desktop\REACTIV CEFAS\Tamoxifen\Tamoxifen/20201125_Cefas_Test7_Run2/Plate 3/@20/C11_01.tif "/>
    <s v=" 33894.0449 "/>
    <s v=" 37.6522 "/>
    <x v="0"/>
    <n v="1276185"/>
    <m/>
    <m/>
  </r>
  <r>
    <x v="18"/>
    <x v="3"/>
    <s v="C:\Users\andre\Desktop\REACTIV CEFAS\Tamoxifen\Tamoxifen/20201125_Cefas_Test7_Run2/Plate 3/@20/C11_02.tif "/>
    <s v=" 30087.1834 "/>
    <s v=" 38.3817 "/>
    <x v="0"/>
    <n v="1154798"/>
    <m/>
    <m/>
  </r>
  <r>
    <x v="18"/>
    <x v="3"/>
    <s v="C:\Users\andre\Desktop\REACTIV CEFAS\Tamoxifen\Tamoxifen/20201125_Cefas_Test7_Run2/Plate 3/@20/C11_03.tif "/>
    <s v=" 31211.9379 "/>
    <s v=" 37.0603 "/>
    <x v="0"/>
    <n v="1156724"/>
    <m/>
    <m/>
  </r>
  <r>
    <x v="18"/>
    <x v="4"/>
    <s v="C:\Users\andre\Desktop\REACTIV CEFAS\Tamoxifen\Tamoxifen/20201125_Cefas_Test7_Run2/Plate 3/@20/D11_01.tif "/>
    <s v=" 51306.1101 "/>
    <s v=" 41.2171 "/>
    <x v="0"/>
    <n v="2114690"/>
    <m/>
    <m/>
  </r>
  <r>
    <x v="18"/>
    <x v="4"/>
    <s v="C:\Users\andre\Desktop\REACTIV CEFAS\Tamoxifen\Tamoxifen/20201125_Cefas_Test7_Run2/Plate 3/@20/D11_02.tif "/>
    <s v=" 43800.5366 "/>
    <s v=" 41.2538 "/>
    <x v="0"/>
    <n v="1806940"/>
    <m/>
    <m/>
  </r>
  <r>
    <x v="18"/>
    <x v="4"/>
    <s v="C:\Users\andre\Desktop\REACTIV CEFAS\Tamoxifen\Tamoxifen/20201125_Cefas_Test7_Run2/Plate 3/@20/D11_03.tif "/>
    <s v=" 43757.2768 "/>
    <s v=" 41.5353 "/>
    <x v="0"/>
    <n v="1817474"/>
    <m/>
    <m/>
  </r>
  <r>
    <x v="18"/>
    <x v="5"/>
    <s v="C:\Users\andre\Desktop\REACTIV CEFAS\Tamoxifen\Tamoxifen/20201125_Cefas_Test7_Run2/Plate 3/@20/E11_01.tif "/>
    <s v=" 35797.4756 "/>
    <s v=" 36.368 "/>
    <x v="0"/>
    <n v="1301882"/>
    <m/>
    <m/>
  </r>
  <r>
    <x v="18"/>
    <x v="5"/>
    <s v="C:\Users\andre\Desktop\REACTIV CEFAS\Tamoxifen\Tamoxifen/20201125_Cefas_Test7_Run2/Plate 3/@20/E11_02.tif "/>
    <s v=" 40534.4225 "/>
    <s v=" 37.0928 "/>
    <x v="0"/>
    <n v="1503537"/>
    <m/>
    <m/>
  </r>
  <r>
    <x v="18"/>
    <x v="5"/>
    <s v="C:\Users\andre\Desktop\REACTIV CEFAS\Tamoxifen\Tamoxifen/20201125_Cefas_Test7_Run2/Plate 3/@20/E11_03.tif "/>
    <s v=" 43346.3088 "/>
    <s v=" 37.1991 "/>
    <x v="0"/>
    <n v="1612444"/>
    <m/>
    <m/>
  </r>
  <r>
    <x v="18"/>
    <x v="6"/>
    <s v="C:\Users\andre\Desktop\REACTIV CEFAS\Tamoxifen\Tamoxifen/20201125_Cefas_Test7_Run2/Plate 3/@20/F11_01.tif "/>
    <s v=" 66014.4384 "/>
    <s v=" 45.9309 "/>
    <x v="0"/>
    <n v="3032100"/>
    <m/>
    <m/>
  </r>
  <r>
    <x v="18"/>
    <x v="6"/>
    <s v="C:\Users\andre\Desktop\REACTIV CEFAS\Tamoxifen\Tamoxifen/20201125_Cefas_Test7_Run2/Plate 3/@20/F11_02.tif "/>
    <s v=" 72481.7769 "/>
    <s v=" 43.234 "/>
    <x v="0"/>
    <n v="3133674"/>
    <m/>
    <m/>
  </r>
  <r>
    <x v="18"/>
    <x v="6"/>
    <s v="C:\Users\andre\Desktop\REACTIV CEFAS\Tamoxifen\Tamoxifen/20201125_Cefas_Test7_Run2/Plate 3/@20/F11_03.tif "/>
    <s v=" 75012.4746 "/>
    <s v=" 43.7497 "/>
    <x v="0"/>
    <n v="3281774"/>
    <m/>
    <m/>
  </r>
  <r>
    <x v="18"/>
    <x v="7"/>
    <s v="C:\Users\andre\Desktop\REACTIV CEFAS\Tamoxifen\Tamoxifen/20201125_Cefas_Test7_Run2/Plate 3/@20/G11_01.tif "/>
    <s v=" 52560.6439 "/>
    <s v=" 41.5193 "/>
    <x v="0"/>
    <n v="2182283"/>
    <m/>
    <m/>
  </r>
  <r>
    <x v="18"/>
    <x v="7"/>
    <s v="C:\Users\andre\Desktop\REACTIV CEFAS\Tamoxifen\Tamoxifen/20201125_Cefas_Test7_Run2/Plate 3/@20/G11_02.tif "/>
    <s v=" 47218.06 "/>
    <s v=" 42.1388 "/>
    <x v="0"/>
    <n v="1989712"/>
    <m/>
    <m/>
  </r>
  <r>
    <x v="18"/>
    <x v="7"/>
    <s v="C:\Users\andre\Desktop\REACTIV CEFAS\Tamoxifen\Tamoxifen/20201125_Cefas_Test7_Run2/Plate 3/@20/G11_03.tif "/>
    <s v=" 40945.3905 "/>
    <s v=" 39.3809 "/>
    <x v="0"/>
    <n v="1612465"/>
    <m/>
    <m/>
  </r>
  <r>
    <x v="18"/>
    <x v="8"/>
    <s v="C:\Users\andre\Desktop\REACTIV CEFAS\Tamoxifen\Tamoxifen/20201125_Cefas_Test7_Run2/Plate 3/@20/H11_01.tif "/>
    <s v=" 74190.5386 "/>
    <s v=" 41.7067 "/>
    <x v="0"/>
    <n v="3094243"/>
    <m/>
    <m/>
  </r>
  <r>
    <x v="18"/>
    <x v="8"/>
    <s v="C:\Users\andre\Desktop\REACTIV CEFAS\Tamoxifen\Tamoxifen/20201125_Cefas_Test7_Run2/Plate 3/@20/H11_02.tif "/>
    <s v=" 67485.2712 "/>
    <s v=" 44.6067 "/>
    <x v="0"/>
    <n v="3010297"/>
    <m/>
    <m/>
  </r>
  <r>
    <x v="18"/>
    <x v="8"/>
    <s v="C:\Users\andre\Desktop\REACTIV CEFAS\Tamoxifen\Tamoxifen/20201125_Cefas_Test7_Run2/Plate 3/@20/H11_03.tif "/>
    <s v=" 69951.0792 "/>
    <s v=" 43.2709 "/>
    <x v="0"/>
    <n v="3026844"/>
    <m/>
    <m/>
  </r>
  <r>
    <x v="0"/>
    <x v="0"/>
    <s v=" "/>
    <m/>
    <m/>
    <x v="1"/>
    <m/>
    <m/>
    <m/>
  </r>
  <r>
    <x v="0"/>
    <x v="0"/>
    <s v="group "/>
    <s v=" "/>
    <s v=" mean of mean fluo "/>
    <x v="2"/>
    <s v=" mean of total fluo "/>
    <s v=" SD total fluo "/>
    <m/>
  </r>
  <r>
    <x v="18"/>
    <x v="9"/>
    <s v="C:\Users\andre\Desktop\REACTIV CEFAS\Tamoxifen\Tamoxifen/20201125_Cefas_Test7_Run2/Plate 3/@20/ "/>
    <s v=" "/>
    <s v=" 40.383 "/>
    <x v="20"/>
    <s v=" 1890798.79 "/>
    <s v=" 799932.928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Tamoxifen\Tamoxifen/20201125_Cefas_Test7_Run2/Plate 3/@21/A12_01- exclu.tif"/>
    <m/>
    <m/>
    <x v="1"/>
    <m/>
    <m/>
    <m/>
  </r>
  <r>
    <x v="19"/>
    <x v="1"/>
    <s v="C:\Users\andre\Desktop\REACTIV CEFAS\Tamoxifen\Tamoxifen/20201125_Cefas_Test7_Run2/Plate 3/@21/A12_02- exclu.tif"/>
    <m/>
    <m/>
    <x v="1"/>
    <m/>
    <m/>
    <m/>
  </r>
  <r>
    <x v="19"/>
    <x v="1"/>
    <s v="C:\Users\andre\Desktop\REACTIV CEFAS\Tamoxifen\Tamoxifen/20201125_Cefas_Test7_Run2/Plate 3/@21/A12_03.tif "/>
    <s v=" 34564.5716 "/>
    <s v=" 37.1702 "/>
    <x v="0"/>
    <n v="1284772"/>
    <m/>
    <m/>
  </r>
  <r>
    <x v="19"/>
    <x v="2"/>
    <s v="C:\Users\andre\Desktop\REACTIV CEFAS\Tamoxifen\Tamoxifen/20201125_Cefas_Test7_Run2/Plate 3/@21/B12_01.tif "/>
    <s v=" 26583.1405 "/>
    <s v=" 34.5151 "/>
    <x v="0"/>
    <n v="917519"/>
    <m/>
    <m/>
  </r>
  <r>
    <x v="19"/>
    <x v="2"/>
    <s v="C:\Users\andre\Desktop\REACTIV CEFAS\Tamoxifen\Tamoxifen/20201125_Cefas_Test7_Run2/Plate 3/@21/B12_02.tif "/>
    <s v=" 34499.6819 "/>
    <s v=" 36.7574 "/>
    <x v="0"/>
    <n v="1268117"/>
    <m/>
    <m/>
  </r>
  <r>
    <x v="19"/>
    <x v="2"/>
    <s v="C:\Users\andre\Desktop\REACTIV CEFAS\Tamoxifen\Tamoxifen/20201125_Cefas_Test7_Run2/Plate 3/@21/B12_03.tif "/>
    <s v=" 34175.2335 "/>
    <s v=" 37.2715 "/>
    <x v="0"/>
    <n v="1273763"/>
    <m/>
    <m/>
  </r>
  <r>
    <x v="19"/>
    <x v="3"/>
    <s v="C:\Users\andre\Desktop\REACTIV CEFAS\Tamoxifen\Tamoxifen/20201125_Cefas_Test7_Run2/Plate 3/@21/C12_01.tif "/>
    <s v=" 43800.5366 "/>
    <s v=" 47.7936 "/>
    <x v="0"/>
    <n v="2093384"/>
    <m/>
    <m/>
  </r>
  <r>
    <x v="19"/>
    <x v="3"/>
    <s v="C:\Users\andre\Desktop\REACTIV CEFAS\Tamoxifen\Tamoxifen/20201125_Cefas_Test7_Run2/Plate 3/@21/C12_02.tif "/>
    <s v=" 42070.1451 "/>
    <s v=" 47.1563 "/>
    <x v="0"/>
    <n v="1983872"/>
    <m/>
    <m/>
  </r>
  <r>
    <x v="19"/>
    <x v="3"/>
    <s v="C:\Users\andre\Desktop\REACTIV CEFAS\Tamoxifen\Tamoxifen/20201125_Cefas_Test7_Run2/Plate 3/@21/C12_03.tif "/>
    <s v=" 39150.1093 "/>
    <s v=" 48.6823 "/>
    <x v="0"/>
    <n v="1905918"/>
    <m/>
    <m/>
  </r>
  <r>
    <x v="19"/>
    <x v="4"/>
    <s v="C:\Users\andre\Desktop\REACTIV CEFAS\Tamoxifen\Tamoxifen/20201125_Cefas_Test7_Run2/Plate 3/@21/D12_01.tif "/>
    <s v=" 34088.7139 "/>
    <s v=" 36.3255 "/>
    <x v="0"/>
    <n v="1238290"/>
    <m/>
    <m/>
  </r>
  <r>
    <x v="19"/>
    <x v="4"/>
    <s v="C:\Users\andre\Desktop\REACTIV CEFAS\Tamoxifen\Tamoxifen/20201125_Cefas_Test7_Run2/Plate 3/@21/D12_02.tif "/>
    <s v=" 34694.351 "/>
    <s v=" 37.9177 "/>
    <x v="0"/>
    <n v="1315530"/>
    <m/>
    <m/>
  </r>
  <r>
    <x v="19"/>
    <x v="4"/>
    <s v="C:\Users\andre\Desktop\REACTIV CEFAS\Tamoxifen\Tamoxifen/20201125_Cefas_Test7_Run2/Plate 3/@21/D12_03.tif "/>
    <s v=" 33158.6285 "/>
    <s v=" 36.8037 "/>
    <x v="0"/>
    <n v="1220359"/>
    <m/>
    <m/>
  </r>
  <r>
    <x v="19"/>
    <x v="5"/>
    <s v="C:\Users\andre\Desktop\REACTIV CEFAS\Tamoxifen\Tamoxifen/20201125_Cefas_Test7_Run2/Plate 3/@21/E12_01.tif "/>
    <s v=" 12047.8513 "/>
    <s v=" 31.8007 "/>
    <x v="0"/>
    <n v="383130"/>
    <m/>
    <m/>
  </r>
  <r>
    <x v="19"/>
    <x v="5"/>
    <s v="C:\Users\andre\Desktop\REACTIV CEFAS\Tamoxifen\Tamoxifen/20201125_Cefas_Test7_Run2/Plate 3/@21/E12_02.tif "/>
    <s v=" 9257.5949 "/>
    <s v=" 31.9229 "/>
    <x v="0"/>
    <n v="295529"/>
    <m/>
    <m/>
  </r>
  <r>
    <x v="19"/>
    <x v="5"/>
    <s v="C:\Users\andre\Desktop\REACTIV CEFAS\Tamoxifen\Tamoxifen/20201125_Cefas_Test7_Run2/Plate 3/@21/E12_03.tif "/>
    <s v=" 129.7794 "/>
    <n v="30"/>
    <x v="0"/>
    <n v="3893"/>
    <m/>
    <m/>
  </r>
  <r>
    <x v="19"/>
    <x v="6"/>
    <s v="C:\Users\andre\Desktop\REACTIV CEFAS\Tamoxifen\Tamoxifen/20201125_Cefas_Test7_Run2/Plate 3/@21/F12_01.tif "/>
    <s v=" 65084.3529 "/>
    <s v=" 41.6152 "/>
    <x v="0"/>
    <n v="2708495"/>
    <m/>
    <m/>
  </r>
  <r>
    <x v="19"/>
    <x v="6"/>
    <s v="C:\Users\andre\Desktop\REACTIV CEFAS\Tamoxifen\Tamoxifen/20201125_Cefas_Test7_Run2/Plate 3/@21/F12_02.tif "/>
    <s v=" 53274.4305 "/>
    <s v=" 41.002 "/>
    <x v="0"/>
    <n v="2184360"/>
    <m/>
    <m/>
  </r>
  <r>
    <x v="19"/>
    <x v="6"/>
    <s v="C:\Users\andre\Desktop\REACTIV CEFAS\Tamoxifen\Tamoxifen/20201125_Cefas_Test7_Run2/Plate 3/@21/F12_03.tif "/>
    <s v=" 74536.6169 "/>
    <s v=" 42.5171 "/>
    <x v="0"/>
    <n v="3169082"/>
    <m/>
    <m/>
  </r>
  <r>
    <x v="19"/>
    <x v="7"/>
    <s v="C:\Users\andre\Desktop\REACTIV CEFAS\Tamoxifen\Tamoxifen/20201125_Cefas_Test7_Run2/Plate 3/@21/G12_01.tif "/>
    <s v=" 58919.833 "/>
    <s v=" 38.0804 "/>
    <x v="0"/>
    <n v="2243691"/>
    <m/>
    <m/>
  </r>
  <r>
    <x v="19"/>
    <x v="7"/>
    <s v="C:\Users\andre\Desktop\REACTIV CEFAS\Tamoxifen\Tamoxifen/20201125_Cefas_Test7_Run2/Plate 3/@21/G12_02.tif "/>
    <s v=" 55156.2313 "/>
    <s v=" 37.6796 "/>
    <x v="0"/>
    <n v="2078265"/>
    <m/>
    <m/>
  </r>
  <r>
    <x v="19"/>
    <x v="7"/>
    <s v="C:\Users\andre\Desktop\REACTIV CEFAS\Tamoxifen\Tamoxifen/20201125_Cefas_Test7_Run2/Plate 3/@21/G12_03.tif "/>
    <s v=" 47261.3198 "/>
    <s v=" 44.0494 "/>
    <x v="0"/>
    <n v="2081834"/>
    <m/>
    <m/>
  </r>
  <r>
    <x v="19"/>
    <x v="8"/>
    <s v="C:\Users\andre\Desktop\REACTIV CEFAS\Tamoxifen\Tamoxifen/20201125_Cefas_Test7_Run2/Plate 3/@21/H12_01.tif "/>
    <s v=" 70340.4173 "/>
    <s v=" 38.9517 "/>
    <x v="0"/>
    <n v="2739880"/>
    <m/>
    <m/>
  </r>
  <r>
    <x v="19"/>
    <x v="8"/>
    <s v="C:\Users\andre\Desktop\REACTIV CEFAS\Tamoxifen\Tamoxifen/20201125_Cefas_Test7_Run2/Plate 3/@21/H12_02.tif "/>
    <s v=" 63808.1892 "/>
    <s v=" 36.3593 "/>
    <x v="0"/>
    <n v="2320022"/>
    <m/>
    <m/>
  </r>
  <r>
    <x v="19"/>
    <x v="8"/>
    <s v="C:\Users\andre\Desktop\REACTIV CEFAS\Tamoxifen\Tamoxifen/20201125_Cefas_Test7_Run2/Plate 3/@21/H12_03.tif "/>
    <s v=" 59590.3597 "/>
    <s v=" 35.543 "/>
    <x v="0"/>
    <n v="2118021"/>
    <m/>
    <m/>
  </r>
  <r>
    <x v="0"/>
    <x v="0"/>
    <s v=" "/>
    <m/>
    <m/>
    <x v="1"/>
    <m/>
    <m/>
    <m/>
  </r>
  <r>
    <x v="0"/>
    <x v="0"/>
    <s v="group "/>
    <s v=" "/>
    <s v=" mean of mean fluo "/>
    <x v="2"/>
    <s v=" mean of total fluo "/>
    <s v=" SD total fluo "/>
    <m/>
  </r>
  <r>
    <x v="19"/>
    <x v="9"/>
    <s v="C:\Users\andre\Desktop\REACTIV CEFAS\Tamoxifen\Tamoxifen/20201125_Cefas_Test7_Run2/Plate 3/@21/ "/>
    <s v=" "/>
    <s v=" 38.7048 "/>
    <x v="21"/>
    <s v=" 1629794.42 "/>
    <s v=" 801399.271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Tamoxifen\Tamoxifen/20201125_Cefas_Test7_Run2/Plate 3/@8/A2_01.tif "/>
    <s v=" 1016.605 "/>
    <s v=" 32.8298 "/>
    <x v="0"/>
    <n v="33375"/>
    <m/>
    <m/>
  </r>
  <r>
    <x v="20"/>
    <x v="1"/>
    <s v="C:\Users\andre\Desktop\REACTIV CEFAS\Tamoxifen\Tamoxifen/20201125_Cefas_Test7_Run2/Plate 3/@8/A2_02.tif "/>
    <s v=" 3590.5625 "/>
    <s v=" 33.9096 "/>
    <x v="0"/>
    <n v="121755"/>
    <m/>
    <m/>
  </r>
  <r>
    <x v="20"/>
    <x v="1"/>
    <s v="C:\Users\andre\Desktop\REACTIV CEFAS\Tamoxifen\Tamoxifen/20201125_Cefas_Test7_Run2/Plate 3/@8/A2_03.tif "/>
    <s v=" 3439.1532 "/>
    <s v=" 32.5472 "/>
    <x v="0"/>
    <n v="111935"/>
    <m/>
    <m/>
  </r>
  <r>
    <x v="20"/>
    <x v="2"/>
    <s v="C:\Users\andre\Desktop\REACTIV CEFAS\Tamoxifen\Tamoxifen/20201125_Cefas_Test7_Run2/Plate 3/@8/B2_01.tif "/>
    <s v=" 8587.0682 "/>
    <s v=" 36.5416 "/>
    <x v="0"/>
    <n v="313785"/>
    <m/>
    <m/>
  </r>
  <r>
    <x v="20"/>
    <x v="2"/>
    <s v="C:\Users\andre\Desktop\REACTIV CEFAS\Tamoxifen\Tamoxifen/20201125_Cefas_Test7_Run2/Plate 3/@8/B2_02.tif "/>
    <s v=" 3850.1212 "/>
    <s v=" 31.1461 "/>
    <x v="0"/>
    <n v="119916"/>
    <m/>
    <m/>
  </r>
  <r>
    <x v="20"/>
    <x v="2"/>
    <s v="C:\Users\andre\Desktop\REACTIV CEFAS\Tamoxifen\Tamoxifen/20201125_Cefas_Test7_Run2/Plate 3/@8/B2_03.tif "/>
    <s v=" 15984.4921 "/>
    <s v=" 43.8457 "/>
    <x v="0"/>
    <n v="700852"/>
    <m/>
    <m/>
  </r>
  <r>
    <x v="20"/>
    <x v="3"/>
    <s v="C:\Users\andre\Desktop\REACTIV CEFAS\Tamoxifen\Tamoxifen/20201125_Cefas_Test7_Run2/Plate 3/@8/C2_01.tif "/>
    <s v=" 21.6299 "/>
    <n v="32"/>
    <x v="0"/>
    <n v="692"/>
    <m/>
    <m/>
  </r>
  <r>
    <x v="20"/>
    <x v="3"/>
    <s v="C:\Users\andre\Desktop\REACTIV CEFAS\Tamoxifen\Tamoxifen/20201125_Cefas_Test7_Run2/Plate 3/@8/C2_02.tif "/>
    <s v=" 21.6299 "/>
    <n v="33"/>
    <x v="0"/>
    <n v="714"/>
    <m/>
    <m/>
  </r>
  <r>
    <x v="20"/>
    <x v="3"/>
    <s v="C:\Users\andre\Desktop\REACTIV CEFAS\Tamoxifen\Tamoxifen/20201125_Cefas_Test7_Run2/Plate 3/@8/C2_03.tif "/>
    <n v="0"/>
    <n v="0"/>
    <x v="0"/>
    <n v="0"/>
    <m/>
    <m/>
  </r>
  <r>
    <x v="20"/>
    <x v="4"/>
    <s v="C:\Users\andre\Desktop\REACTIV CEFAS\Tamoxifen\Tamoxifen/20201125_Cefas_Test7_Run2/Plate 3/@8/D2_01.tif "/>
    <s v=" 5147.9149 "/>
    <s v=" 39.7101 "/>
    <x v="0"/>
    <n v="204424"/>
    <m/>
    <m/>
  </r>
  <r>
    <x v="20"/>
    <x v="4"/>
    <s v="C:\Users\andre\Desktop\REACTIV CEFAS\Tamoxifen\Tamoxifen/20201125_Cefas_Test7_Run2/Plate 3/@8/D2_02.tif "/>
    <s v=" 8933.1465 "/>
    <s v=" 37.8136 "/>
    <x v="0"/>
    <n v="337794"/>
    <m/>
    <m/>
  </r>
  <r>
    <x v="20"/>
    <x v="4"/>
    <s v="C:\Users\andre\Desktop\REACTIV CEFAS\Tamoxifen\Tamoxifen/20201125_Cefas_Test7_Run2/Plate 3/@8/D2_03.tif "/>
    <s v=" 6878.3065 "/>
    <s v=" 36.2201 "/>
    <x v="0"/>
    <n v="249133"/>
    <m/>
    <m/>
  </r>
  <r>
    <x v="20"/>
    <x v="5"/>
    <s v="C:\Users\andre\Desktop\REACTIV CEFAS\Tamoxifen\Tamoxifen/20201125_Cefas_Test7_Run2/Plate 3/@8/E2_01.tif "/>
    <s v=" 5407.4737 "/>
    <s v=" 37.948 "/>
    <x v="0"/>
    <n v="205203"/>
    <m/>
    <m/>
  </r>
  <r>
    <x v="20"/>
    <x v="5"/>
    <s v="C:\Users\andre\Desktop\REACTIV CEFAS\Tamoxifen\Tamoxifen/20201125_Cefas_Test7_Run2/Plate 3/@8/E2_02.tif "/>
    <s v=" 7029.7158 "/>
    <s v=" 36.1262 "/>
    <x v="0"/>
    <n v="253957"/>
    <m/>
    <m/>
  </r>
  <r>
    <x v="20"/>
    <x v="5"/>
    <s v="C:\Users\andre\Desktop\REACTIV CEFAS\Tamoxifen\Tamoxifen/20201125_Cefas_Test7_Run2/Plate 3/@8/E2_03.tif "/>
    <s v=" 7873.2816 "/>
    <s v=" 42.2967 "/>
    <x v="0"/>
    <n v="333014"/>
    <m/>
    <m/>
  </r>
  <r>
    <x v="20"/>
    <x v="6"/>
    <s v="C:\Users\andre\Desktop\REACTIV CEFAS\Tamoxifen\Tamoxifen/20201125_Cefas_Test7_Run2/Plate 3/@8/F2_01.tif "/>
    <s v=" 3698.712 "/>
    <s v=" 37.5088 "/>
    <x v="0"/>
    <n v="138734"/>
    <m/>
    <m/>
  </r>
  <r>
    <x v="20"/>
    <x v="6"/>
    <s v="C:\Users\andre\Desktop\REACTIV CEFAS\Tamoxifen\Tamoxifen/20201125_Cefas_Test7_Run2/Plate 3/@8/F2_02.tif "/>
    <s v=" 4217.8295 "/>
    <s v=" 40.4308 "/>
    <x v="0"/>
    <n v="170530"/>
    <m/>
    <m/>
  </r>
  <r>
    <x v="20"/>
    <x v="6"/>
    <s v="C:\Users\andre\Desktop\REACTIV CEFAS\Tamoxifen\Tamoxifen/20201125_Cefas_Test7_Run2/Plate 3/@8/F2_03.tif "/>
    <s v=" 216.2989 "/>
    <s v=" 30.5 "/>
    <x v="0"/>
    <n v="6597"/>
    <m/>
    <m/>
  </r>
  <r>
    <x v="20"/>
    <x v="7"/>
    <s v="C:\Users\andre\Desktop\REACTIV CEFAS\Tamoxifen\Tamoxifen/20201125_Cefas_Test7_Run2/Plate 3/@8/G2_01.tif "/>
    <s v=" 2963.2956 "/>
    <s v=" 35.7737 "/>
    <x v="0"/>
    <n v="106008"/>
    <m/>
    <m/>
  </r>
  <r>
    <x v="20"/>
    <x v="7"/>
    <s v="C:\Users\andre\Desktop\REACTIV CEFAS\Tamoxifen\Tamoxifen/20201125_Cefas_Test7_Run2/Plate 3/@8/G2_02.tif "/>
    <s v=" 11745.0328 "/>
    <s v=" 40.4549 "/>
    <x v="0"/>
    <n v="475144"/>
    <m/>
    <m/>
  </r>
  <r>
    <x v="20"/>
    <x v="7"/>
    <s v="C:\Users\andre\Desktop\REACTIV CEFAS\Tamoxifen\Tamoxifen/20201125_Cefas_Test7_Run2/Plate 3/@8/G2_03.tif "/>
    <s v=" 11269.1751 "/>
    <s v=" 45.167 "/>
    <x v="0"/>
    <n v="508995"/>
    <m/>
    <m/>
  </r>
  <r>
    <x v="20"/>
    <x v="8"/>
    <s v="C:\Users\andre\Desktop\REACTIV CEFAS\Tamoxifen\Tamoxifen/20201125_Cefas_Test7_Run2/Plate 3/@8/H2_01.tif "/>
    <s v=" 2920.0358 "/>
    <s v=" 34.7037 "/>
    <x v="0"/>
    <n v="101336"/>
    <m/>
    <m/>
  </r>
  <r>
    <x v="20"/>
    <x v="8"/>
    <s v="C:\Users\andre\Desktop\REACTIV CEFAS\Tamoxifen\Tamoxifen/20201125_Cefas_Test7_Run2/Plate 3/@8/H2_02.tif "/>
    <n v="0"/>
    <n v="0"/>
    <x v="0"/>
    <n v="0"/>
    <m/>
    <m/>
  </r>
  <r>
    <x v="20"/>
    <x v="8"/>
    <s v="C:\Users\andre\Desktop\REACTIV CEFAS\Tamoxifen\Tamoxifen/20201125_Cefas_Test7_Run2/Plate 3/@8/H2_03.tif "/>
    <s v=" 1687.1318 "/>
    <s v=" 34.2179 "/>
    <x v="0"/>
    <n v="57730"/>
    <m/>
    <m/>
  </r>
  <r>
    <x v="0"/>
    <x v="0"/>
    <s v=" "/>
    <m/>
    <m/>
    <x v="1"/>
    <m/>
    <m/>
    <m/>
  </r>
  <r>
    <x v="0"/>
    <x v="0"/>
    <s v="group "/>
    <s v=" "/>
    <s v=" mean of mean fluo "/>
    <x v="2"/>
    <s v=" mean of total fluo "/>
    <s v=" SD total fluo "/>
    <m/>
  </r>
  <r>
    <x v="20"/>
    <x v="9"/>
    <s v="C:\Users\andre\Desktop\REACTIV CEFAS\Tamoxifen\Tamoxifen/20201125_Cefas_Test7_Run2/Plate 3/@8/ "/>
    <s v=" "/>
    <s v=" 33.5288 "/>
    <x v="22"/>
    <s v=" 189650.958 "/>
    <s v=" 182112.434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Tamoxifen\Tamoxifen/20201125_Cefas_Test7_Run2/Plate 3/@9/A3_01.tif "/>
    <s v=" 7483.9435 "/>
    <s v=" 45.2861 "/>
    <x v="0"/>
    <n v="338919"/>
    <m/>
    <m/>
  </r>
  <r>
    <x v="21"/>
    <x v="1"/>
    <s v="C:\Users\andre\Desktop\REACTIV CEFAS\Tamoxifen\Tamoxifen/20201125_Cefas_Test7_Run2/Plate 3/@9/A3_02.tif "/>
    <s v=" 8478.9187 "/>
    <s v=" 40.3291 "/>
    <x v="0"/>
    <n v="341947"/>
    <m/>
    <m/>
  </r>
  <r>
    <x v="21"/>
    <x v="1"/>
    <s v="C:\Users\andre\Desktop\REACTIV CEFAS\Tamoxifen\Tamoxifen/20201125_Cefas_Test7_Run2/Plate 3/@9/A3_03.tif "/>
    <s v=" 12329.0399 "/>
    <s v=" 47.0719 "/>
    <x v="0"/>
    <n v="580352"/>
    <m/>
    <m/>
  </r>
  <r>
    <x v="21"/>
    <x v="2"/>
    <s v="C:\Users\andre\Desktop\REACTIV CEFAS\Tamoxifen\Tamoxifen/20201125_Cefas_Test7_Run2/Plate 3/@9/B3_01.tif "/>
    <s v=" 9755.0825 "/>
    <s v=" 43.2106 "/>
    <x v="0"/>
    <n v="421523"/>
    <m/>
    <m/>
  </r>
  <r>
    <x v="21"/>
    <x v="2"/>
    <s v="C:\Users\andre\Desktop\REACTIV CEFAS\Tamoxifen\Tamoxifen/20201125_Cefas_Test7_Run2/Plate 3/@9/B3_02.tif "/>
    <s v=" 9949.7515 "/>
    <s v=" 40.3457 "/>
    <x v="0"/>
    <n v="401429"/>
    <m/>
    <m/>
  </r>
  <r>
    <x v="21"/>
    <x v="2"/>
    <s v="C:\Users\andre\Desktop\REACTIV CEFAS\Tamoxifen\Tamoxifen/20201125_Cefas_Test7_Run2/Plate 3/@9/B3_03.tif "/>
    <s v=" 13432.1646 "/>
    <s v=" 47.314 "/>
    <x v="0"/>
    <n v="635530"/>
    <m/>
    <m/>
  </r>
  <r>
    <x v="21"/>
    <x v="3"/>
    <s v="C:\Users\andre\Desktop\REACTIV CEFAS\Tamoxifen\Tamoxifen/20201125_Cefas_Test7_Run2/Plate 3/@9/C3_01.tif "/>
    <s v=" 1643.872 "/>
    <s v=" 36.4342 "/>
    <x v="0"/>
    <n v="59893"/>
    <m/>
    <m/>
  </r>
  <r>
    <x v="21"/>
    <x v="3"/>
    <s v="C:\Users\andre\Desktop\REACTIV CEFAS\Tamoxifen\Tamoxifen/20201125_Cefas_Test7_Run2/Plate 3/@9/C3_02.tif "/>
    <s v=" 1989.9503 "/>
    <s v=" 35.1957 "/>
    <x v="0"/>
    <n v="70038"/>
    <m/>
    <m/>
  </r>
  <r>
    <x v="21"/>
    <x v="3"/>
    <s v="C:\Users\andre\Desktop\REACTIV CEFAS\Tamoxifen\Tamoxifen/20201125_Cefas_Test7_Run2/Plate 3/@9/C3_03.tif "/>
    <s v=" 1881.8008 "/>
    <s v=" 34.6897 "/>
    <x v="0"/>
    <n v="65279"/>
    <m/>
    <m/>
  </r>
  <r>
    <x v="21"/>
    <x v="4"/>
    <s v="C:\Users\andre\Desktop\REACTIV CEFAS\Tamoxifen\Tamoxifen/20201125_Cefas_Test7_Run2/Plate 3/@9/D3_01.tif "/>
    <s v=" 3331.0038 "/>
    <s v=" 37.2792 "/>
    <x v="0"/>
    <n v="124177"/>
    <m/>
    <m/>
  </r>
  <r>
    <x v="21"/>
    <x v="4"/>
    <s v="C:\Users\andre\Desktop\REACTIV CEFAS\Tamoxifen\Tamoxifen/20201125_Cefas_Test7_Run2/Plate 3/@9/D3_02.tif "/>
    <s v=" 7570.4631 "/>
    <s v=" 41.52 "/>
    <x v="0"/>
    <n v="314326"/>
    <m/>
    <m/>
  </r>
  <r>
    <x v="21"/>
    <x v="4"/>
    <s v="C:\Users\andre\Desktop\REACTIV CEFAS\Tamoxifen\Tamoxifen/20201125_Cefas_Test7_Run2/Plate 3/@9/D3_03- exclu.tif"/>
    <m/>
    <m/>
    <x v="1"/>
    <m/>
    <m/>
    <m/>
  </r>
  <r>
    <x v="21"/>
    <x v="5"/>
    <s v="C:\Users\andre\Desktop\REACTIV CEFAS\Tamoxifen\Tamoxifen/20201125_Cefas_Test7_Run2/Plate 3/@9/E3_01.tif "/>
    <n v="0"/>
    <n v="0"/>
    <x v="0"/>
    <n v="0"/>
    <m/>
    <m/>
  </r>
  <r>
    <x v="21"/>
    <x v="5"/>
    <s v="C:\Users\andre\Desktop\REACTIV CEFAS\Tamoxifen\Tamoxifen/20201125_Cefas_Test7_Run2/Plate 3/@9/E3_02.tif "/>
    <s v=" 3071.445 "/>
    <s v=" 36.6549 "/>
    <x v="0"/>
    <n v="112584"/>
    <m/>
    <m/>
  </r>
  <r>
    <x v="21"/>
    <x v="5"/>
    <s v="C:\Users\andre\Desktop\REACTIV CEFAS\Tamoxifen\Tamoxifen/20201125_Cefas_Test7_Run2/Plate 3/@9/E3_03.tif "/>
    <s v=" 7137.8652 "/>
    <s v=" 39.5515 "/>
    <x v="0"/>
    <n v="282313"/>
    <m/>
    <m/>
  </r>
  <r>
    <x v="21"/>
    <x v="6"/>
    <s v="C:\Users\andre\Desktop\REACTIV CEFAS\Tamoxifen\Tamoxifen/20201125_Cefas_Test7_Run2/Plate 3/@9/F3_01.tif "/>
    <s v=" 2595.5874 "/>
    <s v=" 33.325 "/>
    <x v="0"/>
    <n v="86498"/>
    <m/>
    <m/>
  </r>
  <r>
    <x v="21"/>
    <x v="6"/>
    <s v="C:\Users\andre\Desktop\REACTIV CEFAS\Tamoxifen\Tamoxifen/20201125_Cefas_Test7_Run2/Plate 3/@9/F3_02.tif "/>
    <s v=" 2573.9575 "/>
    <s v=" 31.6134 "/>
    <x v="0"/>
    <n v="81372"/>
    <m/>
    <m/>
  </r>
  <r>
    <x v="21"/>
    <x v="6"/>
    <s v="C:\Users\andre\Desktop\REACTIV CEFAS\Tamoxifen\Tamoxifen/20201125_Cefas_Test7_Run2/Plate 3/@9/F3_03.tif "/>
    <s v=" 5320.9541 "/>
    <s v=" 35.4228 "/>
    <x v="0"/>
    <n v="188483"/>
    <m/>
    <m/>
  </r>
  <r>
    <x v="21"/>
    <x v="7"/>
    <s v="C:\Users\andre\Desktop\REACTIV CEFAS\Tamoxifen\Tamoxifen/20201125_Cefas_Test7_Run2/Plate 3/@9/G3_01.tif "/>
    <s v=" 3439.1532 "/>
    <s v=" 35.1069 "/>
    <x v="0"/>
    <n v="120738"/>
    <m/>
    <m/>
  </r>
  <r>
    <x v="21"/>
    <x v="7"/>
    <s v="C:\Users\andre\Desktop\REACTIV CEFAS\Tamoxifen\Tamoxifen/20201125_Cefas_Test7_Run2/Plate 3/@9/G3_02.tif "/>
    <s v=" 3374.2636 "/>
    <s v=" 33.0449 "/>
    <x v="0"/>
    <n v="111502"/>
    <m/>
    <m/>
  </r>
  <r>
    <x v="21"/>
    <x v="7"/>
    <s v="C:\Users\andre\Desktop\REACTIV CEFAS\Tamoxifen\Tamoxifen/20201125_Cefas_Test7_Run2/Plate 3/@9/G3_03.tif "/>
    <s v=" 4325.9789 "/>
    <s v=" 33.365 "/>
    <x v="0"/>
    <n v="144336"/>
    <m/>
    <m/>
  </r>
  <r>
    <x v="21"/>
    <x v="8"/>
    <s v="C:\Users\andre\Desktop\REACTIV CEFAS\Tamoxifen\Tamoxifen/20201125_Cefas_Test7_Run2/Plate 3/@9/H3_01.tif "/>
    <s v=" 4174.5697 "/>
    <s v=" 34.6528 "/>
    <x v="0"/>
    <n v="144661"/>
    <m/>
    <m/>
  </r>
  <r>
    <x v="21"/>
    <x v="8"/>
    <s v="C:\Users\andre\Desktop\REACTIV CEFAS\Tamoxifen\Tamoxifen/20201125_Cefas_Test7_Run2/Plate 3/@9/H3_02.tif "/>
    <s v=" 5407.4737 "/>
    <s v=" 38.504 "/>
    <x v="0"/>
    <n v="208209"/>
    <m/>
    <m/>
  </r>
  <r>
    <x v="21"/>
    <x v="8"/>
    <s v="C:\Users\andre\Desktop\REACTIV CEFAS\Tamoxifen\Tamoxifen/20201125_Cefas_Test7_Run2/Plate 3/@9/H3_03.tif "/>
    <s v=" 9041.296 "/>
    <s v=" 40.0909 "/>
    <x v="0"/>
    <n v="362474"/>
    <m/>
    <m/>
  </r>
  <r>
    <x v="0"/>
    <x v="0"/>
    <s v=" "/>
    <m/>
    <m/>
    <x v="1"/>
    <m/>
    <m/>
    <m/>
  </r>
  <r>
    <x v="0"/>
    <x v="0"/>
    <s v="group "/>
    <s v=" "/>
    <s v=" mean of mean fluo "/>
    <x v="2"/>
    <s v=" mean of total fluo "/>
    <s v=" SD total fluo "/>
    <m/>
  </r>
  <r>
    <x v="21"/>
    <x v="9"/>
    <s v="C:\Users\andre\Desktop\REACTIV CEFAS\Tamoxifen\Tamoxifen/20201125_Cefas_Test7_Run2/Plate 3/@9/ "/>
    <s v=" "/>
    <s v=" 36.9806 "/>
    <x v="23"/>
    <s v=" 242180.958 "/>
    <s v=" 185956.645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le name "/>
    <s v=" total area "/>
    <s v=" mean intensity "/>
    <x v="0"/>
    <s v=" total fluorescence"/>
    <m/>
    <m/>
  </r>
  <r>
    <x v="1"/>
    <x v="1"/>
    <s v="C:\Users\andre\Desktop\REACTIV CEFAS\Tamoxifen\Tamoxifen/20201210_Cefas_Test9_Run3/Plate 1/@1/A10_01.tif "/>
    <s v=" 64.8897 "/>
    <n v="30"/>
    <x v="0"/>
    <n v="1947"/>
    <m/>
    <m/>
  </r>
  <r>
    <x v="1"/>
    <x v="1"/>
    <s v="C:\Users\andre\Desktop\REACTIV CEFAS\Tamoxifen\Tamoxifen/20201210_Cefas_Test9_Run3/Plate 1/@1/A10_02.tif "/>
    <s v=" 194.6691 "/>
    <s v=" 31.3333 "/>
    <x v="0"/>
    <n v="6100"/>
    <m/>
    <m/>
  </r>
  <r>
    <x v="1"/>
    <x v="1"/>
    <s v="C:\Users\andre\Desktop\REACTIV CEFAS\Tamoxifen\Tamoxifen/20201210_Cefas_Test9_Run3/Plate 1/@1/A10_03.tif "/>
    <s v=" 173.0392 "/>
    <s v=" 30.375 "/>
    <x v="0"/>
    <n v="5256"/>
    <m/>
    <m/>
  </r>
  <r>
    <x v="1"/>
    <x v="1"/>
    <s v="C:\Users\andre\Desktop\REACTIV CEFAS\Tamoxifen\Tamoxifen/20201210_Cefas_Test9_Run3/Plate 1/@1/A10_04.tif "/>
    <s v=" 43.2598 "/>
    <s v=" 31.5 "/>
    <x v="0"/>
    <n v="1363"/>
    <m/>
    <m/>
  </r>
  <r>
    <x v="1"/>
    <x v="2"/>
    <s v="C:\Users\andre\Desktop\REACTIV CEFAS\Tamoxifen\Tamoxifen/20201210_Cefas_Test9_Run3/Plate 1/@1/B10_01.tif "/>
    <s v=" 5883.3313 "/>
    <s v=" 40.8346 "/>
    <x v="0"/>
    <n v="240243"/>
    <m/>
    <m/>
  </r>
  <r>
    <x v="1"/>
    <x v="2"/>
    <s v="C:\Users\andre\Desktop\REACTIV CEFAS\Tamoxifen\Tamoxifen/20201210_Cefas_Test9_Run3/Plate 1/@1/B10_02.tif "/>
    <s v=" 9235.965 "/>
    <s v=" 43.3981 "/>
    <x v="0"/>
    <n v="400824"/>
    <m/>
    <m/>
  </r>
  <r>
    <x v="1"/>
    <x v="2"/>
    <s v="C:\Users\andre\Desktop\REACTIV CEFAS\Tamoxifen\Tamoxifen/20201210_Cefas_Test9_Run3/Plate 1/@1/B10_03.tif "/>
    <s v=" 3915.0109 "/>
    <s v=" 44.7459 "/>
    <x v="0"/>
    <n v="175181"/>
    <m/>
    <m/>
  </r>
  <r>
    <x v="1"/>
    <x v="2"/>
    <s v="C:\Users\andre\Desktop\REACTIV CEFAS\Tamoxifen\Tamoxifen/20201210_Cefas_Test9_Run3/Plate 1/@1/B10_04.tif "/>
    <s v=" 8760.1073 "/>
    <s v=" 43.1111 "/>
    <x v="0"/>
    <n v="377658"/>
    <m/>
    <m/>
  </r>
  <r>
    <x v="1"/>
    <x v="3"/>
    <s v="C:\Users\andre\Desktop\REACTIV CEFAS\Tamoxifen\Tamoxifen/20201210_Cefas_Test9_Run3/Plate 1/@1/C10_01.tif "/>
    <s v=" 1405.9432 "/>
    <s v=" 34.1077 "/>
    <x v="0"/>
    <n v="47953"/>
    <m/>
    <m/>
  </r>
  <r>
    <x v="1"/>
    <x v="3"/>
    <s v="C:\Users\andre\Desktop\REACTIV CEFAS\Tamoxifen\Tamoxifen/20201210_Cefas_Test9_Run3/Plate 1/@1/C10_02.tif "/>
    <s v=" 1168.0143 "/>
    <s v=" 32.7778 "/>
    <x v="0"/>
    <n v="38285"/>
    <m/>
    <m/>
  </r>
  <r>
    <x v="1"/>
    <x v="3"/>
    <s v="C:\Users\andre\Desktop\REACTIV CEFAS\Tamoxifen\Tamoxifen/20201210_Cefas_Test9_Run3/Plate 1/@1/C10_03.tif "/>
    <n v="0"/>
    <n v="0"/>
    <x v="0"/>
    <n v="0"/>
    <m/>
    <m/>
  </r>
  <r>
    <x v="1"/>
    <x v="3"/>
    <s v="C:\Users\andre\Desktop\REACTIV CEFAS\Tamoxifen\Tamoxifen/20201210_Cefas_Test9_Run3/Plate 1/@1/C10_04.tif "/>
    <s v=" 1600.6122 "/>
    <s v=" 32.8784 "/>
    <x v="0"/>
    <n v="52626"/>
    <m/>
    <m/>
  </r>
  <r>
    <x v="1"/>
    <x v="4"/>
    <s v="C:\Users\andre\Desktop\REACTIV CEFAS\Tamoxifen\Tamoxifen/20201210_Cefas_Test9_Run3/Plate 1/@1/D10_01.tif "/>
    <s v=" 9690.1928 "/>
    <s v=" 38.1161 "/>
    <x v="0"/>
    <n v="369352"/>
    <m/>
    <m/>
  </r>
  <r>
    <x v="1"/>
    <x v="4"/>
    <s v="C:\Users\andre\Desktop\REACTIV CEFAS\Tamoxifen\Tamoxifen/20201210_Cefas_Test9_Run3/Plate 1/@1/D10_02.tif "/>
    <s v=" 9517.1536 "/>
    <s v=" 38.8455 "/>
    <x v="0"/>
    <n v="369698"/>
    <m/>
    <m/>
  </r>
  <r>
    <x v="1"/>
    <x v="4"/>
    <s v="C:\Users\andre\Desktop\REACTIV CEFAS\Tamoxifen\Tamoxifen/20201210_Cefas_Test9_Run3/Plate 1/@1/D10_03.tif "/>
    <s v=" 5883.3313 "/>
    <s v=" 36.2206 "/>
    <x v="0"/>
    <n v="213098"/>
    <m/>
    <m/>
  </r>
  <r>
    <x v="1"/>
    <x v="4"/>
    <s v="C:\Users\andre\Desktop\REACTIV CEFAS\Tamoxifen\Tamoxifen/20201210_Cefas_Test9_Run3/Plate 1/@1/D10_04.tif "/>
    <s v=" 4239.4593 "/>
    <s v=" 38.4082 "/>
    <x v="0"/>
    <n v="162830"/>
    <m/>
    <m/>
  </r>
  <r>
    <x v="1"/>
    <x v="5"/>
    <s v="C:\Users\andre\Desktop\REACTIV CEFAS\Tamoxifen\Tamoxifen/20201210_Cefas_Test9_Run3/Plate 1/@1/E10_01.tif "/>
    <s v=" 4282.7191 "/>
    <s v=" 35.3434 "/>
    <x v="0"/>
    <n v="151366"/>
    <m/>
    <m/>
  </r>
  <r>
    <x v="1"/>
    <x v="5"/>
    <s v="C:\Users\andre\Desktop\REACTIV CEFAS\Tamoxifen\Tamoxifen/20201210_Cefas_Test9_Run3/Plate 1/@1/E10_02.tif "/>
    <n v="0"/>
    <n v="0"/>
    <x v="0"/>
    <n v="0"/>
    <m/>
    <m/>
  </r>
  <r>
    <x v="1"/>
    <x v="5"/>
    <s v="C:\Users\andre\Desktop\REACTIV CEFAS\Tamoxifen\Tamoxifen/20201210_Cefas_Test9_Run3/Plate 1/@1/E10_03.tif "/>
    <n v="0"/>
    <n v="0"/>
    <x v="0"/>
    <n v="0"/>
    <m/>
    <m/>
  </r>
  <r>
    <x v="1"/>
    <x v="5"/>
    <s v="C:\Users\andre\Desktop\REACTIV CEFAS\Tamoxifen\Tamoxifen/20201210_Cefas_Test9_Run3/Plate 1/@1/E10_04.tif "/>
    <s v=" 3655.4522 "/>
    <s v=" 35.7751 "/>
    <x v="0"/>
    <n v="130774"/>
    <m/>
    <m/>
  </r>
  <r>
    <x v="1"/>
    <x v="6"/>
    <s v="C:\Users\andre\Desktop\REACTIV CEFAS\Tamoxifen\Tamoxifen/20201210_Cefas_Test9_Run3/Plate 1/@1/F10_01.tif "/>
    <s v=" 1362.6834 "/>
    <s v=" 33.9365 "/>
    <x v="0"/>
    <n v="46245"/>
    <m/>
    <m/>
  </r>
  <r>
    <x v="1"/>
    <x v="6"/>
    <s v="C:\Users\andre\Desktop\REACTIV CEFAS\Tamoxifen\Tamoxifen/20201210_Cefas_Test9_Run3/Plate 1/@1/F10_02.tif "/>
    <s v=" 4088.0501 "/>
    <s v=" 34.2116 "/>
    <x v="0"/>
    <n v="139859"/>
    <m/>
    <m/>
  </r>
  <r>
    <x v="1"/>
    <x v="6"/>
    <s v="C:\Users\andre\Desktop\REACTIV CEFAS\Tamoxifen\Tamoxifen/20201210_Cefas_Test9_Run3/Plate 1/@1/F10_03.tif "/>
    <s v=" 5342.584 "/>
    <s v=" 36.4332 "/>
    <x v="0"/>
    <n v="194647"/>
    <m/>
    <m/>
  </r>
  <r>
    <x v="1"/>
    <x v="6"/>
    <s v="C:\Users\andre\Desktop\REACTIV CEFAS\Tamoxifen\Tamoxifen/20201210_Cefas_Test9_Run3/Plate 1/@1/F10_04.tif "/>
    <s v=" 5515.6231 "/>
    <s v=" 35.0078 "/>
    <x v="0"/>
    <n v="193090"/>
    <m/>
    <m/>
  </r>
  <r>
    <x v="1"/>
    <x v="7"/>
    <s v="C:\Users\andre\Desktop\REACTIV CEFAS\Tamoxifen\Tamoxifen/20201210_Cefas_Test9_Run3/Plate 1/@1/G10_01.tif "/>
    <s v=" 21.6299 "/>
    <n v="30"/>
    <x v="0"/>
    <n v="649"/>
    <m/>
    <m/>
  </r>
  <r>
    <x v="1"/>
    <x v="7"/>
    <s v="C:\Users\andre\Desktop\REACTIV CEFAS\Tamoxifen\Tamoxifen/20201210_Cefas_Test9_Run3/Plate 1/@1/G10_02.tif "/>
    <s v=" 11507.1039 "/>
    <s v=" 40.5414 "/>
    <x v="0"/>
    <n v="466514"/>
    <m/>
    <m/>
  </r>
  <r>
    <x v="1"/>
    <x v="7"/>
    <s v="C:\Users\andre\Desktop\REACTIV CEFAS\Tamoxifen\Tamoxifen/20201210_Cefas_Test9_Run3/Plate 1/@1/G10_03.tif "/>
    <s v=" 6294.2993 "/>
    <s v=" 39.8144 "/>
    <x v="0"/>
    <n v="250604"/>
    <m/>
    <m/>
  </r>
  <r>
    <x v="1"/>
    <x v="7"/>
    <s v="C:\Users\andre\Desktop\REACTIV CEFAS\Tamoxifen\Tamoxifen/20201210_Cefas_Test9_Run3/Plate 1/@1/G10_04.tif "/>
    <s v=" 2530.6977 "/>
    <s v=" 37.188 "/>
    <x v="0"/>
    <n v="94112"/>
    <m/>
    <m/>
  </r>
  <r>
    <x v="1"/>
    <x v="8"/>
    <s v="C:\Users\andre\Desktop\REACTIV CEFAS\Tamoxifen\Tamoxifen/20201210_Cefas_Test9_Run3/Plate 1/@1/H10_01- exclu.tif"/>
    <m/>
    <m/>
    <x v="1"/>
    <m/>
    <m/>
    <m/>
  </r>
  <r>
    <x v="1"/>
    <x v="8"/>
    <s v="C:\Users\andre\Desktop\REACTIV CEFAS\Tamoxifen\Tamoxifen/20201210_Cefas_Test9_Run3/Plate 1/@1/H10_02- exclu.tif"/>
    <m/>
    <m/>
    <x v="1"/>
    <m/>
    <m/>
    <m/>
  </r>
  <r>
    <x v="1"/>
    <x v="8"/>
    <s v="C:\Users\andre\Desktop\REACTIV CEFAS\Tamoxifen\Tamoxifen/20201210_Cefas_Test9_Run3/Plate 1/@1/H10_03.tif "/>
    <s v=" 12220.8905 "/>
    <s v=" 43.0354 "/>
    <x v="0"/>
    <n v="525931"/>
    <m/>
    <m/>
  </r>
  <r>
    <x v="1"/>
    <x v="8"/>
    <s v="C:\Users\andre\Desktop\REACTIV CEFAS\Tamoxifen\Tamoxifen/20201210_Cefas_Test9_Run3/Plate 1/@1/H10_04.tif "/>
    <s v=" 11290.805 "/>
    <s v=" 45.136 "/>
    <x v="0"/>
    <n v="509622"/>
    <m/>
    <m/>
  </r>
  <r>
    <x v="0"/>
    <x v="0"/>
    <s v=" "/>
    <m/>
    <m/>
    <x v="1"/>
    <m/>
    <m/>
    <m/>
  </r>
  <r>
    <x v="0"/>
    <x v="0"/>
    <s v="group "/>
    <s v=" "/>
    <s v=" mean of mean fluo "/>
    <x v="2"/>
    <s v=" mean of total fluo "/>
    <s v=" SD total fluo "/>
    <m/>
  </r>
  <r>
    <x v="1"/>
    <x v="9"/>
    <s v="C:\Users\andre\Desktop\REACTIV CEFAS\Tamoxifen\Tamoxifen/20201210_Cefas_Test9_Run3/Plate 1/@1/ "/>
    <s v=" "/>
    <s v=" 33.8654 "/>
    <x v="3"/>
    <s v=" 197537.125 "/>
    <s v=" 193076.567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Tamoxifen\Tamoxifen/20201210_Cefas_Test9_Run3/Plate 1/@13/A8_01.tif "/>
    <s v=" 56540.5446 "/>
    <s v=" 40.9197 "/>
    <x v="0"/>
    <n v="2313620"/>
    <m/>
    <m/>
  </r>
  <r>
    <x v="2"/>
    <x v="1"/>
    <s v="C:\Users\andre\Desktop\REACTIV CEFAS\Tamoxifen\Tamoxifen/20201210_Cefas_Test9_Run3/Plate 1/@13/A8_02.tif "/>
    <s v=" 69042.6237 "/>
    <s v=" 41.3916 "/>
    <x v="0"/>
    <n v="2857785"/>
    <m/>
    <m/>
  </r>
  <r>
    <x v="2"/>
    <x v="1"/>
    <s v="C:\Users\andre\Desktop\REACTIV CEFAS\Tamoxifen\Tamoxifen/20201210_Cefas_Test9_Run3/Plate 1/@13/A8_03.tif "/>
    <s v=" 57946.4877 "/>
    <s v=" 37.1146 "/>
    <x v="0"/>
    <n v="2150660"/>
    <m/>
    <m/>
  </r>
  <r>
    <x v="2"/>
    <x v="1"/>
    <s v="C:\Users\andre\Desktop\REACTIV CEFAS\Tamoxifen\Tamoxifen/20201210_Cefas_Test9_Run3/Plate 1/@13/A8_04.tif "/>
    <s v=" 72525.0367 "/>
    <s v=" 41.9675 "/>
    <x v="0"/>
    <n v="3043694"/>
    <m/>
    <m/>
  </r>
  <r>
    <x v="2"/>
    <x v="2"/>
    <s v="C:\Users\andre\Desktop\REACTIV CEFAS\Tamoxifen\Tamoxifen/20201210_Cefas_Test9_Run3/Plate 1/@13/B8_01- exclu.tif"/>
    <m/>
    <m/>
    <x v="1"/>
    <m/>
    <m/>
    <m/>
  </r>
  <r>
    <x v="2"/>
    <x v="2"/>
    <s v="C:\Users\andre\Desktop\REACTIV CEFAS\Tamoxifen\Tamoxifen/20201210_Cefas_Test9_Run3/Plate 1/@13/B8_02.tif "/>
    <s v=" 79576.3823 "/>
    <s v=" 44.3881 "/>
    <x v="0"/>
    <n v="3532248"/>
    <m/>
    <m/>
  </r>
  <r>
    <x v="2"/>
    <x v="2"/>
    <s v="C:\Users\andre\Desktop\REACTIV CEFAS\Tamoxifen\Tamoxifen/20201210_Cefas_Test9_Run3/Plate 1/@13/B8_03- exclu.tif"/>
    <m/>
    <m/>
    <x v="1"/>
    <m/>
    <m/>
    <m/>
  </r>
  <r>
    <x v="2"/>
    <x v="2"/>
    <s v="C:\Users\andre\Desktop\REACTIV CEFAS\Tamoxifen\Tamoxifen/20201210_Cefas_Test9_Run3/Plate 1/@13/B8_04- exclu.tif"/>
    <m/>
    <m/>
    <x v="1"/>
    <m/>
    <m/>
    <m/>
  </r>
  <r>
    <x v="2"/>
    <x v="3"/>
    <s v="C:\Users\andre\Desktop\REACTIV CEFAS\Tamoxifen\Tamoxifen/20201210_Cefas_Test9_Run3/Plate 1/@13/C8_01.tif "/>
    <s v=" 26691.29 "/>
    <s v=" 33.6613 "/>
    <x v="0"/>
    <n v="898463"/>
    <m/>
    <m/>
  </r>
  <r>
    <x v="2"/>
    <x v="3"/>
    <s v="C:\Users\andre\Desktop\REACTIV CEFAS\Tamoxifen\Tamoxifen/20201210_Cefas_Test9_Run3/Plate 1/@13/C8_02.tif "/>
    <s v=" 14448.7696 "/>
    <s v=" 33.4087 "/>
    <x v="0"/>
    <n v="482714"/>
    <m/>
    <m/>
  </r>
  <r>
    <x v="2"/>
    <x v="3"/>
    <s v="C:\Users\andre\Desktop\REACTIV CEFAS\Tamoxifen\Tamoxifen/20201210_Cefas_Test9_Run3/Plate 1/@13/C8_03.tif "/>
    <s v=" 20829.5885 "/>
    <s v=" 34.4444 "/>
    <x v="0"/>
    <n v="717464"/>
    <m/>
    <m/>
  </r>
  <r>
    <x v="2"/>
    <x v="3"/>
    <s v="C:\Users\andre\Desktop\REACTIV CEFAS\Tamoxifen\Tamoxifen/20201210_Cefas_Test9_Run3/Plate 1/@13/C8_04.tif "/>
    <s v=" 21110.7772 "/>
    <s v=" 34.7152 "/>
    <x v="0"/>
    <n v="732864"/>
    <m/>
    <m/>
  </r>
  <r>
    <x v="2"/>
    <x v="4"/>
    <s v="C:\Users\andre\Desktop\REACTIV CEFAS\Tamoxifen\Tamoxifen/20201210_Cefas_Test9_Run3/Plate 1/@13/D8_01.tif "/>
    <s v=" 28789.3898 "/>
    <s v=" 38.0015 "/>
    <x v="0"/>
    <n v="1094040"/>
    <m/>
    <m/>
  </r>
  <r>
    <x v="2"/>
    <x v="4"/>
    <s v="C:\Users\andre\Desktop\REACTIV CEFAS\Tamoxifen\Tamoxifen/20201210_Cefas_Test9_Run3/Plate 1/@13/D8_02.tif "/>
    <s v=" 35559.5468 "/>
    <s v=" 39.4264 "/>
    <x v="0"/>
    <n v="1401985"/>
    <m/>
    <m/>
  </r>
  <r>
    <x v="2"/>
    <x v="4"/>
    <s v="C:\Users\andre\Desktop\REACTIV CEFAS\Tamoxifen\Tamoxifen/20201210_Cefas_Test9_Run3/Plate 1/@13/D8_03.tif "/>
    <s v=" 34240.1232 "/>
    <s v=" 40.1396 "/>
    <x v="0"/>
    <n v="1374385"/>
    <m/>
    <m/>
  </r>
  <r>
    <x v="2"/>
    <x v="4"/>
    <s v="C:\Users\andre\Desktop\REACTIV CEFAS\Tamoxifen\Tamoxifen/20201210_Cefas_Test9_Run3/Plate 1/@13/D8_04.tif "/>
    <s v=" 30065.5535 "/>
    <s v=" 41.523 "/>
    <x v="0"/>
    <n v="1248413"/>
    <m/>
    <m/>
  </r>
  <r>
    <x v="2"/>
    <x v="5"/>
    <s v="C:\Users\andre\Desktop\REACTIV CEFAS\Tamoxifen\Tamoxifen/20201210_Cefas_Test9_Run3/Plate 1/@13/E8_01.tif "/>
    <s v=" 47282.9497 "/>
    <s v=" 44.7132 "/>
    <x v="0"/>
    <n v="2114171"/>
    <m/>
    <m/>
  </r>
  <r>
    <x v="2"/>
    <x v="5"/>
    <s v="C:\Users\andre\Desktop\REACTIV CEFAS\Tamoxifen\Tamoxifen/20201210_Cefas_Test9_Run3/Plate 1/@13/E8_02.tif "/>
    <s v=" 51998.2667 "/>
    <s v=" 42.7646 "/>
    <x v="0"/>
    <n v="2223683"/>
    <m/>
    <m/>
  </r>
  <r>
    <x v="2"/>
    <x v="5"/>
    <s v="C:\Users\andre\Desktop\REACTIV CEFAS\Tamoxifen\Tamoxifen/20201210_Cefas_Test9_Run3/Plate 1/@13/E8_03.tif "/>
    <s v=" 64932.9437 "/>
    <s v=" 41.3877 "/>
    <x v="0"/>
    <n v="2687428"/>
    <m/>
    <m/>
  </r>
  <r>
    <x v="2"/>
    <x v="5"/>
    <s v="C:\Users\andre\Desktop\REACTIV CEFAS\Tamoxifen\Tamoxifen/20201210_Cefas_Test9_Run3/Plate 1/@13/E8_04.tif "/>
    <s v=" 54875.0427 "/>
    <s v=" 44.162 "/>
    <x v="0"/>
    <n v="2423392"/>
    <m/>
    <m/>
  </r>
  <r>
    <x v="2"/>
    <x v="6"/>
    <s v="C:\Users\andre\Desktop\REACTIV CEFAS\Tamoxifen\Tamoxifen/20201210_Cefas_Test9_Run3/Plate 1/@13/F8_01.tif "/>
    <s v=" 50960.0317 "/>
    <s v=" 39.7513 "/>
    <x v="0"/>
    <n v="2025726"/>
    <m/>
    <m/>
  </r>
  <r>
    <x v="2"/>
    <x v="6"/>
    <s v="C:\Users\andre\Desktop\REACTIV CEFAS\Tamoxifen\Tamoxifen/20201210_Cefas_Test9_Run3/Plate 1/@13/F8_02.tif "/>
    <s v=" 54377.5551 "/>
    <s v=" 40.6189 "/>
    <x v="0"/>
    <n v="2208758"/>
    <m/>
    <m/>
  </r>
  <r>
    <x v="2"/>
    <x v="6"/>
    <s v="C:\Users\andre\Desktop\REACTIV CEFAS\Tamoxifen\Tamoxifen/20201210_Cefas_Test9_Run3/Plate 1/@13/F8_03.tif "/>
    <s v=" 40707.4617 "/>
    <s v=" 37.7582 "/>
    <x v="0"/>
    <n v="1537042"/>
    <m/>
    <m/>
  </r>
  <r>
    <x v="2"/>
    <x v="6"/>
    <s v="C:\Users\andre\Desktop\REACTIV CEFAS\Tamoxifen\Tamoxifen/20201210_Cefas_Test9_Run3/Plate 1/@13/F8_04.tif "/>
    <s v=" 45163.22 "/>
    <s v=" 38.5967 "/>
    <x v="0"/>
    <n v="1743153"/>
    <m/>
    <m/>
  </r>
  <r>
    <x v="2"/>
    <x v="7"/>
    <s v="C:\Users\andre\Desktop\REACTIV CEFAS\Tamoxifen\Tamoxifen/20201210_Cefas_Test9_Run3/Plate 1/@13/G8_01.tif "/>
    <s v=" 45509.2983 "/>
    <s v=" 41.25 "/>
    <x v="0"/>
    <n v="1877259"/>
    <m/>
    <m/>
  </r>
  <r>
    <x v="2"/>
    <x v="7"/>
    <s v="C:\Users\andre\Desktop\REACTIV CEFAS\Tamoxifen\Tamoxifen/20201210_Cefas_Test9_Run3/Plate 1/@13/G8_02.tif "/>
    <s v=" 48234.665 "/>
    <s v=" 39.2426 "/>
    <x v="0"/>
    <n v="1892854"/>
    <m/>
    <m/>
  </r>
  <r>
    <x v="2"/>
    <x v="7"/>
    <s v="C:\Users\andre\Desktop\REACTIV CEFAS\Tamoxifen\Tamoxifen/20201210_Cefas_Test9_Run3/Plate 1/@13/G8_03.tif "/>
    <s v=" 47542.5084 "/>
    <s v=" 38.9841 "/>
    <x v="0"/>
    <n v="1853401"/>
    <m/>
    <m/>
  </r>
  <r>
    <x v="2"/>
    <x v="7"/>
    <s v="C:\Users\andre\Desktop\REACTIV CEFAS\Tamoxifen\Tamoxifen/20201210_Cefas_Test9_Run3/Plate 1/@13/G8_04.tif "/>
    <s v=" 45941.8962 "/>
    <s v=" 39.2505 "/>
    <x v="0"/>
    <n v="1803241"/>
    <m/>
    <m/>
  </r>
  <r>
    <x v="2"/>
    <x v="8"/>
    <s v="C:\Users\andre\Desktop\REACTIV CEFAS\Tamoxifen\Tamoxifen/20201210_Cefas_Test9_Run3/Plate 1/@13/H8_01.tif "/>
    <s v=" 47693.9177 "/>
    <s v=" 41.4653 "/>
    <x v="0"/>
    <n v="1977643"/>
    <m/>
    <m/>
  </r>
  <r>
    <x v="2"/>
    <x v="8"/>
    <s v="C:\Users\andre\Desktop\REACTIV CEFAS\Tamoxifen\Tamoxifen/20201210_Cefas_Test9_Run3/Plate 1/@13/H8_02.tif "/>
    <s v=" 49510.8288 "/>
    <s v=" 41.6811 "/>
    <x v="0"/>
    <n v="2063665"/>
    <m/>
    <m/>
  </r>
  <r>
    <x v="2"/>
    <x v="8"/>
    <s v="C:\Users\andre\Desktop\REACTIV CEFAS\Tamoxifen\Tamoxifen/20201210_Cefas_Test9_Run3/Plate 1/@13/H8_03.tif "/>
    <s v=" 49705.4979 "/>
    <s v=" 42.2781 "/>
    <x v="0"/>
    <n v="2101452"/>
    <m/>
    <m/>
  </r>
  <r>
    <x v="2"/>
    <x v="8"/>
    <s v="C:\Users\andre\Desktop\REACTIV CEFAS\Tamoxifen\Tamoxifen/20201210_Cefas_Test9_Run3/Plate 1/@13/H8_04.tif "/>
    <s v=" 51500.7791 "/>
    <s v=" 44.6161 "/>
    <x v="0"/>
    <n v="2297765"/>
    <m/>
    <m/>
  </r>
  <r>
    <x v="0"/>
    <x v="0"/>
    <s v=" "/>
    <m/>
    <m/>
    <x v="1"/>
    <m/>
    <m/>
    <m/>
  </r>
  <r>
    <x v="0"/>
    <x v="0"/>
    <s v="group "/>
    <s v=" "/>
    <s v=" mean of mean fluo "/>
    <x v="2"/>
    <s v=" mean of total fluo "/>
    <s v=" SD total fluo "/>
    <m/>
  </r>
  <r>
    <x v="2"/>
    <x v="9"/>
    <s v="C:\Users\andre\Desktop\REACTIV CEFAS\Tamoxifen\Tamoxifen/20201210_Cefas_Test9_Run3/Plate 1/@13/ "/>
    <s v=" "/>
    <s v=" 40.3355 "/>
    <x v="4"/>
    <s v=" 1963382.03 "/>
    <s v=" 720059.046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Tamoxifen\Tamoxifen/20201210_Cefas_Test9_Run3/Plate 1/@14/A9_01.tif "/>
    <s v=" 48559.1134 "/>
    <s v=" 37.8143 "/>
    <x v="0"/>
    <n v="1836227"/>
    <m/>
    <m/>
  </r>
  <r>
    <x v="3"/>
    <x v="1"/>
    <s v="C:\Users\andre\Desktop\REACTIV CEFAS\Tamoxifen\Tamoxifen/20201210_Cefas_Test9_Run3/Plate 1/@14/A9_02.tif "/>
    <s v=" 55134.6014 "/>
    <s v=" 41.4602 "/>
    <x v="0"/>
    <n v="2285891"/>
    <m/>
    <m/>
  </r>
  <r>
    <x v="3"/>
    <x v="1"/>
    <s v="C:\Users\andre\Desktop\REACTIV CEFAS\Tamoxifen\Tamoxifen/20201210_Cefas_Test9_Run3/Plate 1/@14/A9_03.tif "/>
    <s v=" 53944.9572 "/>
    <s v=" 42.8336 "/>
    <x v="0"/>
    <n v="2310657"/>
    <m/>
    <m/>
  </r>
  <r>
    <x v="3"/>
    <x v="1"/>
    <s v="C:\Users\andre\Desktop\REACTIV CEFAS\Tamoxifen\Tamoxifen/20201210_Cefas_Test9_Run3/Plate 1/@14/A9_04.tif "/>
    <s v=" 58790.0536 "/>
    <s v=" 43.4963 "/>
    <x v="0"/>
    <n v="2557151"/>
    <m/>
    <m/>
  </r>
  <r>
    <x v="3"/>
    <x v="2"/>
    <s v="C:\Users\andre\Desktop\REACTIV CEFAS\Tamoxifen\Tamoxifen/20201210_Cefas_Test9_Run3/Plate 1/@14/B9_01.tif "/>
    <s v=" 47369.4692 "/>
    <s v=" 40.6055 "/>
    <x v="0"/>
    <n v="1923460"/>
    <m/>
    <m/>
  </r>
  <r>
    <x v="3"/>
    <x v="2"/>
    <s v="C:\Users\andre\Desktop\REACTIV CEFAS\Tamoxifen\Tamoxifen/20201210_Cefas_Test9_Run3/Plate 1/@14/B9_02.tif "/>
    <s v=" 54420.8149 "/>
    <s v=" 43.7424 "/>
    <x v="0"/>
    <n v="2380500"/>
    <m/>
    <m/>
  </r>
  <r>
    <x v="3"/>
    <x v="2"/>
    <s v="C:\Users\andre\Desktop\REACTIV CEFAS\Tamoxifen\Tamoxifen/20201210_Cefas_Test9_Run3/Plate 1/@14/B9_03.tif "/>
    <s v=" 54139.6263 "/>
    <s v=" 45.1067 "/>
    <x v="0"/>
    <n v="2442058"/>
    <m/>
    <m/>
  </r>
  <r>
    <x v="3"/>
    <x v="2"/>
    <s v="C:\Users\andre\Desktop\REACTIV CEFAS\Tamoxifen\Tamoxifen/20201210_Cefas_Test9_Run3/Plate 1/@14/B9_04.tif "/>
    <s v=" 52365.9749 "/>
    <s v=" 43.646 "/>
    <x v="0"/>
    <n v="2285566"/>
    <m/>
    <m/>
  </r>
  <r>
    <x v="3"/>
    <x v="3"/>
    <s v="C:\Users\andre\Desktop\REACTIV CEFAS\Tamoxifen\Tamoxifen/20201210_Cefas_Test9_Run3/Plate 1/@14/C9_01.tif "/>
    <s v=" 29762.735 "/>
    <s v=" 34.1948 "/>
    <x v="0"/>
    <n v="1017730"/>
    <m/>
    <m/>
  </r>
  <r>
    <x v="3"/>
    <x v="3"/>
    <s v="C:\Users\andre\Desktop\REACTIV CEFAS\Tamoxifen\Tamoxifen/20201210_Cefas_Test9_Run3/Plate 1/@14/C9_02.tif "/>
    <s v=" 23598.215 "/>
    <s v=" 34.2548 "/>
    <x v="0"/>
    <n v="808352"/>
    <m/>
    <m/>
  </r>
  <r>
    <x v="3"/>
    <x v="3"/>
    <s v="C:\Users\andre\Desktop\REACTIV CEFAS\Tamoxifen\Tamoxifen/20201210_Cefas_Test9_Run3/Plate 1/@14/C9_03.tif "/>
    <s v=" 27469.9662 "/>
    <s v=" 35.0386 "/>
    <x v="0"/>
    <n v="962509"/>
    <m/>
    <m/>
  </r>
  <r>
    <x v="3"/>
    <x v="3"/>
    <s v="C:\Users\andre\Desktop\REACTIV CEFAS\Tamoxifen\Tamoxifen/20201210_Cefas_Test9_Run3/Plate 1/@14/C9_04.tif "/>
    <s v=" 24960.8984 "/>
    <s v=" 33.5433 "/>
    <x v="0"/>
    <n v="837272"/>
    <m/>
    <m/>
  </r>
  <r>
    <x v="3"/>
    <x v="4"/>
    <s v="C:\Users\andre\Desktop\REACTIV CEFAS\Tamoxifen\Tamoxifen/20201210_Cefas_Test9_Run3/Plate 1/@14/D9_01.tif "/>
    <s v=" 41572.6575 "/>
    <s v=" 37.5869 "/>
    <x v="0"/>
    <n v="1562587"/>
    <m/>
    <m/>
  </r>
  <r>
    <x v="3"/>
    <x v="4"/>
    <s v="C:\Users\andre\Desktop\REACTIV CEFAS\Tamoxifen\Tamoxifen/20201210_Cefas_Test9_Run3/Plate 1/@14/D9_02.tif "/>
    <s v=" 39323.1484 "/>
    <s v=" 36.3894 "/>
    <x v="0"/>
    <n v="1430947"/>
    <m/>
    <m/>
  </r>
  <r>
    <x v="3"/>
    <x v="4"/>
    <s v="C:\Users\andre\Desktop\REACTIV CEFAS\Tamoxifen\Tamoxifen/20201210_Cefas_Test9_Run3/Plate 1/@14/D9_03.tif "/>
    <s v=" 47196.4301 "/>
    <s v=" 37.5655 "/>
    <x v="0"/>
    <n v="1772959"/>
    <m/>
    <m/>
  </r>
  <r>
    <x v="3"/>
    <x v="4"/>
    <s v="C:\Users\andre\Desktop\REACTIV CEFAS\Tamoxifen\Tamoxifen/20201210_Cefas_Test9_Run3/Plate 1/@14/D9_04.tif "/>
    <s v=" 49251.2701 "/>
    <s v=" 39.5604 "/>
    <x v="0"/>
    <n v="1948399"/>
    <m/>
    <m/>
  </r>
  <r>
    <x v="3"/>
    <x v="5"/>
    <s v="C:\Users\andre\Desktop\REACTIV CEFAS\Tamoxifen\Tamoxifen/20201210_Cefas_Test9_Run3/Plate 1/@14/E9_01.tif "/>
    <s v=" 44773.8819 "/>
    <s v=" 40.7657 "/>
    <x v="0"/>
    <n v="1825239"/>
    <m/>
    <m/>
  </r>
  <r>
    <x v="3"/>
    <x v="5"/>
    <s v="C:\Users\andre\Desktop\REACTIV CEFAS\Tamoxifen\Tamoxifen/20201210_Cefas_Test9_Run3/Plate 1/@14/E9_02.tif "/>
    <s v=" 38717.5114 "/>
    <s v=" 40.5179 "/>
    <x v="0"/>
    <n v="1568751"/>
    <m/>
    <m/>
  </r>
  <r>
    <x v="3"/>
    <x v="5"/>
    <s v="C:\Users\andre\Desktop\REACTIV CEFAS\Tamoxifen\Tamoxifen/20201210_Cefas_Test9_Run3/Plate 1/@14/E9_03.tif "/>
    <s v=" 46525.9033 "/>
    <s v=" 41.5904 "/>
    <x v="0"/>
    <n v="1935032"/>
    <m/>
    <m/>
  </r>
  <r>
    <x v="3"/>
    <x v="5"/>
    <s v="C:\Users\andre\Desktop\REACTIV CEFAS\Tamoxifen\Tamoxifen/20201210_Cefas_Test9_Run3/Plate 1/@14/E9_04.tif "/>
    <s v=" 49943.4267 "/>
    <s v=" 42.9602 "/>
    <x v="0"/>
    <n v="2145577"/>
    <m/>
    <m/>
  </r>
  <r>
    <x v="3"/>
    <x v="6"/>
    <s v="C:\Users\andre\Desktop\REACTIV CEFAS\Tamoxifen\Tamoxifen/20201210_Cefas_Test9_Run3/Plate 1/@14/F9_01.tif "/>
    <s v=" 28400.0516 "/>
    <s v=" 35.0221 "/>
    <x v="0"/>
    <n v="994629"/>
    <m/>
    <m/>
  </r>
  <r>
    <x v="3"/>
    <x v="6"/>
    <s v="C:\Users\andre\Desktop\REACTIV CEFAS\Tamoxifen\Tamoxifen/20201210_Cefas_Test9_Run3/Plate 1/@14/F9_02.tif "/>
    <s v=" 22451.8306 "/>
    <s v=" 35.8719 "/>
    <x v="0"/>
    <n v="805389"/>
    <m/>
    <m/>
  </r>
  <r>
    <x v="3"/>
    <x v="6"/>
    <s v="C:\Users\andre\Desktop\REACTIV CEFAS\Tamoxifen\Tamoxifen/20201210_Cefas_Test9_Run3/Plate 1/@14/F9_03.tif "/>
    <s v=" 23057.4677 "/>
    <s v=" 36.2702 "/>
    <x v="0"/>
    <n v="836298"/>
    <m/>
    <m/>
  </r>
  <r>
    <x v="3"/>
    <x v="6"/>
    <s v="C:\Users\andre\Desktop\REACTIV CEFAS\Tamoxifen\Tamoxifen/20201210_Cefas_Test9_Run3/Plate 1/@14/F9_04.tif "/>
    <s v=" 32163.6533 "/>
    <s v=" 38.039 "/>
    <x v="0"/>
    <n v="1223473"/>
    <m/>
    <m/>
  </r>
  <r>
    <x v="3"/>
    <x v="7"/>
    <s v="C:\Users\andre\Desktop\REACTIV CEFAS\Tamoxifen\Tamoxifen/20201210_Cefas_Test9_Run3/Plate 1/@14/G9_01.tif "/>
    <s v=" 19488.5351 "/>
    <s v=" 34.576 "/>
    <x v="0"/>
    <n v="673836"/>
    <m/>
    <m/>
  </r>
  <r>
    <x v="3"/>
    <x v="7"/>
    <s v="C:\Users\andre\Desktop\REACTIV CEFAS\Tamoxifen\Tamoxifen/20201210_Cefas_Test9_Run3/Plate 1/@14/G9_02.tif "/>
    <s v=" 20786.3287 "/>
    <s v=" 35.1707 "/>
    <x v="0"/>
    <n v="731069"/>
    <m/>
    <m/>
  </r>
  <r>
    <x v="3"/>
    <x v="7"/>
    <s v="C:\Users\andre\Desktop\REACTIV CEFAS\Tamoxifen\Tamoxifen/20201210_Cefas_Test9_Run3/Plate 1/@14/G9_03.tif "/>
    <s v=" 27664.6352 "/>
    <s v=" 37.233 "/>
    <x v="0"/>
    <n v="1030037"/>
    <m/>
    <m/>
  </r>
  <r>
    <x v="3"/>
    <x v="7"/>
    <s v="C:\Users\andre\Desktop\REACTIV CEFAS\Tamoxifen\Tamoxifen/20201210_Cefas_Test9_Run3/Plate 1/@14/G9_04- exclu.tif"/>
    <m/>
    <m/>
    <x v="1"/>
    <m/>
    <m/>
    <m/>
  </r>
  <r>
    <x v="3"/>
    <x v="8"/>
    <s v="C:\Users\andre\Desktop\REACTIV CEFAS\Tamoxifen\Tamoxifen/20201210_Cefas_Test9_Run3/Plate 1/@14/H9_01.tif "/>
    <s v=" 4152.9398 "/>
    <s v=" 31.599 "/>
    <x v="0"/>
    <n v="131229"/>
    <m/>
    <m/>
  </r>
  <r>
    <x v="3"/>
    <x v="8"/>
    <s v="C:\Users\andre\Desktop\REACTIV CEFAS\Tamoxifen\Tamoxifen/20201210_Cefas_Test9_Run3/Plate 1/@14/H9_02.tif "/>
    <s v=" 10685.1679 "/>
    <s v=" 32.496 "/>
    <x v="0"/>
    <n v="347225"/>
    <m/>
    <m/>
  </r>
  <r>
    <x v="3"/>
    <x v="8"/>
    <s v="C:\Users\andre\Desktop\REACTIV CEFAS\Tamoxifen\Tamoxifen/20201210_Cefas_Test9_Run3/Plate 1/@14/H9_03.tif "/>
    <s v=" 2963.2956 "/>
    <s v=" 32.2555 "/>
    <x v="0"/>
    <n v="95583"/>
    <m/>
    <m/>
  </r>
  <r>
    <x v="3"/>
    <x v="8"/>
    <s v="C:\Users\andre\Desktop\REACTIV CEFAS\Tamoxifen\Tamoxifen/20201210_Cefas_Test9_Run3/Plate 1/@14/H9_04.tif "/>
    <s v=" 12069.4812 "/>
    <s v=" 32.4624 "/>
    <x v="0"/>
    <n v="391804"/>
    <m/>
    <m/>
  </r>
  <r>
    <x v="0"/>
    <x v="0"/>
    <s v=" "/>
    <m/>
    <m/>
    <x v="1"/>
    <m/>
    <m/>
    <m/>
  </r>
  <r>
    <x v="0"/>
    <x v="0"/>
    <s v="group "/>
    <s v=" "/>
    <s v=" mean of mean fluo "/>
    <x v="2"/>
    <s v=" mean of total fluo "/>
    <s v=" SD total fluo "/>
    <m/>
  </r>
  <r>
    <x v="3"/>
    <x v="9"/>
    <s v="C:\Users\andre\Desktop\REACTIV CEFAS\Tamoxifen\Tamoxifen/20201210_Cefas_Test9_Run3/Plate 1/@14/ "/>
    <s v=" "/>
    <s v=" 37.9721 "/>
    <x v="5"/>
    <s v=" 1373291.5 "/>
    <s v=" 728860.219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Tamoxifen\Tamoxifen/20201210_Cefas_Test9_Run3/Plate 1/@15/A11_01.tif "/>
    <s v=" 63548.6304 "/>
    <s v=" 47.0092 "/>
    <x v="0"/>
    <n v="2987370"/>
    <m/>
    <m/>
  </r>
  <r>
    <x v="4"/>
    <x v="1"/>
    <s v="C:\Users\andre\Desktop\REACTIV CEFAS\Tamoxifen\Tamoxifen/20201210_Cefas_Test9_Run3/Plate 1/@15/A11_02.tif "/>
    <s v=" 68393.7268 "/>
    <s v=" 47.7562 "/>
    <x v="0"/>
    <n v="3266222"/>
    <m/>
    <m/>
  </r>
  <r>
    <x v="4"/>
    <x v="1"/>
    <s v="C:\Users\andre\Desktop\REACTIV CEFAS\Tamoxifen\Tamoxifen/20201210_Cefas_Test9_Run3/Plate 1/@15/A11_03.tif "/>
    <s v=" 72287.1078 "/>
    <s v=" 49.0078 "/>
    <x v="0"/>
    <n v="3542631"/>
    <m/>
    <m/>
  </r>
  <r>
    <x v="4"/>
    <x v="1"/>
    <s v="C:\Users\andre\Desktop\REACTIV CEFAS\Tamoxifen\Tamoxifen/20201210_Cefas_Test9_Run3/Plate 1/@15/A11_04.tif "/>
    <s v=" 67788.0898 "/>
    <s v=" 45.2565 "/>
    <x v="0"/>
    <n v="3067854"/>
    <m/>
    <m/>
  </r>
  <r>
    <x v="4"/>
    <x v="2"/>
    <s v="C:\Users\andre\Desktop\REACTIV CEFAS\Tamoxifen\Tamoxifen/20201210_Cefas_Test9_Run3/Plate 1/@15/B11_01.tif "/>
    <s v=" 34110.3438 "/>
    <s v=" 40.2682 "/>
    <x v="0"/>
    <n v="1373563"/>
    <m/>
    <m/>
  </r>
  <r>
    <x v="4"/>
    <x v="2"/>
    <s v="C:\Users\andre\Desktop\REACTIV CEFAS\Tamoxifen\Tamoxifen/20201210_Cefas_Test9_Run3/Plate 1/@15/B11_02.tif "/>
    <s v=" 39669.2267 "/>
    <s v=" 44.2426 "/>
    <x v="0"/>
    <n v="1755071"/>
    <m/>
    <m/>
  </r>
  <r>
    <x v="4"/>
    <x v="2"/>
    <s v="C:\Users\andre\Desktop\REACTIV CEFAS\Tamoxifen\Tamoxifen/20201210_Cefas_Test9_Run3/Plate 1/@15/B11_03.tif "/>
    <s v=" 40815.6112 "/>
    <s v=" 44.5284 "/>
    <x v="0"/>
    <n v="1817452"/>
    <m/>
    <m/>
  </r>
  <r>
    <x v="4"/>
    <x v="2"/>
    <s v="C:\Users\andre\Desktop\REACTIV CEFAS\Tamoxifen\Tamoxifen/20201210_Cefas_Test9_Run3/Plate 1/@15/B11_04.tif "/>
    <s v=" 38566.1021 "/>
    <s v=" 43.0869 "/>
    <x v="0"/>
    <n v="1661695"/>
    <m/>
    <m/>
  </r>
  <r>
    <x v="4"/>
    <x v="3"/>
    <s v="C:\Users\andre\Desktop\REACTIV CEFAS\Tamoxifen\Tamoxifen/20201210_Cefas_Test9_Run3/Plate 1/@15/C11_01.tif "/>
    <s v=" 81652.8522 "/>
    <s v=" 46.903 "/>
    <x v="0"/>
    <n v="3829768"/>
    <m/>
    <m/>
  </r>
  <r>
    <x v="4"/>
    <x v="3"/>
    <s v="C:\Users\andre\Desktop\REACTIV CEFAS\Tamoxifen\Tamoxifen/20201210_Cefas_Test9_Run3/Plate 1/@15/C11_02.tif "/>
    <s v=" 80268.539 "/>
    <s v=" 49.8354 "/>
    <x v="0"/>
    <n v="4000211"/>
    <m/>
    <m/>
  </r>
  <r>
    <x v="4"/>
    <x v="3"/>
    <s v="C:\Users\andre\Desktop\REACTIV CEFAS\Tamoxifen\Tamoxifen/20201210_Cefas_Test9_Run3/Plate 1/@15/C11_03.tif "/>
    <s v=" 82842.4964 "/>
    <s v=" 48.8394 "/>
    <x v="0"/>
    <n v="4045980"/>
    <m/>
    <m/>
  </r>
  <r>
    <x v="4"/>
    <x v="3"/>
    <s v="C:\Users\andre\Desktop\REACTIV CEFAS\Tamoxifen\Tamoxifen/20201210_Cefas_Test9_Run3/Plate 1/@15/C11_04.tif "/>
    <s v=" 82777.6067 "/>
    <s v=" 48.5171 "/>
    <x v="0"/>
    <n v="4016131"/>
    <m/>
    <m/>
  </r>
  <r>
    <x v="4"/>
    <x v="4"/>
    <s v="C:\Users\andre\Desktop\REACTIV CEFAS\Tamoxifen\Tamoxifen/20201210_Cefas_Test9_Run3/Plate 1/@15/D11_01.tif "/>
    <s v=" 69864.5597 "/>
    <s v=" 42.3638 "/>
    <x v="0"/>
    <n v="2959727"/>
    <m/>
    <m/>
  </r>
  <r>
    <x v="4"/>
    <x v="4"/>
    <s v="C:\Users\andre\Desktop\REACTIV CEFAS\Tamoxifen\Tamoxifen/20201210_Cefas_Test9_Run3/Plate 1/@15/D11_02.tif "/>
    <s v=" 68545.1361 "/>
    <s v=" 43.0953 "/>
    <x v="0"/>
    <n v="2953973"/>
    <m/>
    <m/>
  </r>
  <r>
    <x v="4"/>
    <x v="4"/>
    <s v="C:\Users\andre\Desktop\REACTIV CEFAS\Tamoxifen\Tamoxifen/20201210_Cefas_Test9_Run3/Plate 1/@15/D11_03.tif "/>
    <s v=" 58465.6052 "/>
    <s v=" 40.1465 "/>
    <x v="0"/>
    <n v="2347190"/>
    <m/>
    <m/>
  </r>
  <r>
    <x v="4"/>
    <x v="4"/>
    <s v="C:\Users\andre\Desktop\REACTIV CEFAS\Tamoxifen\Tamoxifen/20201210_Cefas_Test9_Run3/Plate 1/@15/D11_04.tif "/>
    <s v=" 55978.1673 "/>
    <s v=" 39.2257 "/>
    <x v="0"/>
    <n v="2195780"/>
    <m/>
    <m/>
  </r>
  <r>
    <x v="4"/>
    <x v="5"/>
    <s v="C:\Users\andre\Desktop\REACTIV CEFAS\Tamoxifen\Tamoxifen/20201210_Cefas_Test9_Run3/Plate 1/@15/E11_01.tif "/>
    <s v=" 76548.1971 "/>
    <s v=" 51.0167 "/>
    <x v="0"/>
    <n v="3905234"/>
    <m/>
    <m/>
  </r>
  <r>
    <x v="4"/>
    <x v="5"/>
    <s v="C:\Users\andre\Desktop\REACTIV CEFAS\Tamoxifen\Tamoxifen/20201210_Cefas_Test9_Run3/Plate 1/@15/E11_02.tif "/>
    <s v=" 83231.8345 "/>
    <s v=" 55.8828 "/>
    <x v="0"/>
    <n v="4651228"/>
    <m/>
    <m/>
  </r>
  <r>
    <x v="4"/>
    <x v="5"/>
    <s v="C:\Users\andre\Desktop\REACTIV CEFAS\Tamoxifen\Tamoxifen/20201210_Cefas_Test9_Run3/Plate 1/@15/E11_03.tif "/>
    <s v=" 80268.539 "/>
    <s v=" 53.6492 "/>
    <x v="0"/>
    <n v="4306339"/>
    <m/>
    <m/>
  </r>
  <r>
    <x v="4"/>
    <x v="5"/>
    <s v="C:\Users\andre\Desktop\REACTIV CEFAS\Tamoxifen\Tamoxifen/20201210_Cefas_Test9_Run3/Plate 1/@15/E11_04.tif "/>
    <s v=" 78127.1794 "/>
    <s v=" 52.2793 "/>
    <x v="0"/>
    <n v="4084438"/>
    <m/>
    <m/>
  </r>
  <r>
    <x v="4"/>
    <x v="6"/>
    <s v="C:\Users\andre\Desktop\REACTIV CEFAS\Tamoxifen\Tamoxifen/20201210_Cefas_Test9_Run3/Plate 1/@15/F11_01- exclu.tif"/>
    <m/>
    <m/>
    <x v="1"/>
    <m/>
    <m/>
    <m/>
  </r>
  <r>
    <x v="4"/>
    <x v="6"/>
    <s v="C:\Users\andre\Desktop\REACTIV CEFAS\Tamoxifen\Tamoxifen/20201210_Cefas_Test9_Run3/Plate 1/@15/F11_02- exclu.tif"/>
    <m/>
    <m/>
    <x v="1"/>
    <m/>
    <m/>
    <m/>
  </r>
  <r>
    <x v="4"/>
    <x v="6"/>
    <s v="C:\Users\andre\Desktop\REACTIV CEFAS\Tamoxifen\Tamoxifen/20201210_Cefas_Test9_Run3/Plate 1/@15/F11_03- exclu.tif"/>
    <m/>
    <m/>
    <x v="1"/>
    <m/>
    <m/>
    <m/>
  </r>
  <r>
    <x v="4"/>
    <x v="6"/>
    <s v="C:\Users\andre\Desktop\REACTIV CEFAS\Tamoxifen\Tamoxifen/20201210_Cefas_Test9_Run3/Plate 1/@15/F11_04- exclu.tif"/>
    <m/>
    <m/>
    <x v="1"/>
    <m/>
    <m/>
    <m/>
  </r>
  <r>
    <x v="4"/>
    <x v="7"/>
    <s v="C:\Users\andre\Desktop\REACTIV CEFAS\Tamoxifen\Tamoxifen/20201210_Cefas_Test9_Run3/Plate 1/@15/G11_01.tif "/>
    <s v=" 64002.8582 "/>
    <s v=" 42.5657 "/>
    <x v="0"/>
    <n v="2724328"/>
    <m/>
    <m/>
  </r>
  <r>
    <x v="4"/>
    <x v="7"/>
    <s v="C:\Users\andre\Desktop\REACTIV CEFAS\Tamoxifen\Tamoxifen/20201210_Cefas_Test9_Run3/Plate 1/@15/G11_02.tif "/>
    <s v=" 56107.9467 "/>
    <s v=" 43.7255 "/>
    <x v="0"/>
    <n v="2453349"/>
    <m/>
    <m/>
  </r>
  <r>
    <x v="4"/>
    <x v="7"/>
    <s v="C:\Users\andre\Desktop\REACTIV CEFAS\Tamoxifen\Tamoxifen/20201210_Cefas_Test9_Run3/Plate 1/@15/G11_03.tif "/>
    <s v=" 51890.1172 "/>
    <s v=" 42.3022 "/>
    <x v="0"/>
    <n v="2195067"/>
    <m/>
    <m/>
  </r>
  <r>
    <x v="4"/>
    <x v="7"/>
    <s v="C:\Users\andre\Desktop\REACTIV CEFAS\Tamoxifen\Tamoxifen/20201210_Cefas_Test9_Run3/Plate 1/@15/G11_04.tif "/>
    <s v=" 46980.1311 "/>
    <s v=" 43.2937 "/>
    <x v="0"/>
    <n v="2033946"/>
    <m/>
    <m/>
  </r>
  <r>
    <x v="4"/>
    <x v="8"/>
    <s v="C:\Users\andre\Desktop\REACTIV CEFAS\Tamoxifen\Tamoxifen/20201210_Cefas_Test9_Run3/Plate 1/@15/H11_01- exclu.tif"/>
    <m/>
    <m/>
    <x v="1"/>
    <m/>
    <m/>
    <m/>
  </r>
  <r>
    <x v="4"/>
    <x v="8"/>
    <s v="C:\Users\andre\Desktop\REACTIV CEFAS\Tamoxifen\Tamoxifen/20201210_Cefas_Test9_Run3/Plate 1/@15/H11_02- exclu.tif"/>
    <m/>
    <m/>
    <x v="1"/>
    <m/>
    <m/>
    <m/>
  </r>
  <r>
    <x v="4"/>
    <x v="8"/>
    <s v="C:\Users\andre\Desktop\REACTIV CEFAS\Tamoxifen\Tamoxifen/20201210_Cefas_Test9_Run3/Plate 1/@15/H11_03.tif "/>
    <s v=" 38501.2124 "/>
    <s v=" 41.2837 "/>
    <x v="0"/>
    <n v="1589473"/>
    <m/>
    <m/>
  </r>
  <r>
    <x v="4"/>
    <x v="8"/>
    <s v="C:\Users\andre\Desktop\REACTIV CEFAS\Tamoxifen\Tamoxifen/20201210_Cefas_Test9_Run3/Plate 1/@15/H11_04.tif "/>
    <s v=" 36922.2301 "/>
    <s v=" 40.3749 "/>
    <x v="0"/>
    <n v="1490732"/>
    <m/>
    <m/>
  </r>
  <r>
    <x v="0"/>
    <x v="0"/>
    <s v=" "/>
    <m/>
    <m/>
    <x v="1"/>
    <m/>
    <m/>
    <m/>
  </r>
  <r>
    <x v="0"/>
    <x v="0"/>
    <s v="group "/>
    <s v=" "/>
    <s v=" mean of mean fluo "/>
    <x v="2"/>
    <s v=" mean of total fluo "/>
    <s v=" SD total fluo "/>
    <m/>
  </r>
  <r>
    <x v="4"/>
    <x v="9"/>
    <s v="C:\Users\andre\Desktop\REACTIV CEFAS\Tamoxifen\Tamoxifen/20201210_Cefas_Test9_Run3/Plate 1/@15/ "/>
    <s v=" "/>
    <s v=" 44.3554 "/>
    <x v="6"/>
    <s v=" 2536426.22 "/>
    <s v=" 1264019.33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Tamoxifen\Tamoxifen/20201210_Cefas_Test9_Run3/Plate 1/@16/A12_01.tif "/>
    <s v=" 2292.7688 "/>
    <s v=" 32.717 "/>
    <x v="0"/>
    <n v="75012"/>
    <m/>
    <m/>
  </r>
  <r>
    <x v="5"/>
    <x v="1"/>
    <s v="C:\Users\andre\Desktop\REACTIV CEFAS\Tamoxifen\Tamoxifen/20201210_Cefas_Test9_Run3/Plate 1/@16/A12_02.tif "/>
    <s v=" 1427.573 "/>
    <s v=" 33.2424 "/>
    <x v="0"/>
    <n v="47456"/>
    <m/>
    <m/>
  </r>
  <r>
    <x v="5"/>
    <x v="1"/>
    <s v="C:\Users\andre\Desktop\REACTIV CEFAS\Tamoxifen\Tamoxifen/20201210_Cefas_Test9_Run3/Plate 1/@16/A12_03.tif "/>
    <n v="0"/>
    <n v="0"/>
    <x v="0"/>
    <n v="0"/>
    <m/>
    <m/>
  </r>
  <r>
    <x v="5"/>
    <x v="1"/>
    <s v="C:\Users\andre\Desktop\REACTIV CEFAS\Tamoxifen\Tamoxifen/20201210_Cefas_Test9_Run3/Plate 1/@16/A12_04.tif "/>
    <s v=" 4217.8295 "/>
    <s v=" 35.5231 "/>
    <x v="0"/>
    <n v="149830"/>
    <m/>
    <m/>
  </r>
  <r>
    <x v="5"/>
    <x v="2"/>
    <s v="C:\Users\andre\Desktop\REACTIV CEFAS\Tamoxifen\Tamoxifen/20201210_Cefas_Test9_Run3/Plate 1/@16/B12_01.tif "/>
    <s v=" 7375.7941 "/>
    <s v=" 37.5543 "/>
    <x v="0"/>
    <n v="276992"/>
    <m/>
    <m/>
  </r>
  <r>
    <x v="5"/>
    <x v="2"/>
    <s v="C:\Users\andre\Desktop\REACTIV CEFAS\Tamoxifen\Tamoxifen/20201210_Cefas_Test9_Run3/Plate 1/@16/B12_02.tif "/>
    <s v=" 7116.2353 "/>
    <s v=" 39.8723 "/>
    <x v="0"/>
    <n v="283741"/>
    <m/>
    <m/>
  </r>
  <r>
    <x v="5"/>
    <x v="2"/>
    <s v="C:\Users\andre\Desktop\REACTIV CEFAS\Tamoxifen\Tamoxifen/20201210_Cefas_Test9_Run3/Plate 1/@16/B12_03.tif "/>
    <s v=" 9127.8155 "/>
    <s v=" 39.5308 "/>
    <x v="0"/>
    <n v="360830"/>
    <m/>
    <m/>
  </r>
  <r>
    <x v="5"/>
    <x v="2"/>
    <s v="C:\Users\andre\Desktop\REACTIV CEFAS\Tamoxifen\Tamoxifen/20201210_Cefas_Test9_Run3/Plate 1/@16/B12_04.tif "/>
    <s v=" 8197.7301 "/>
    <s v=" 39.2111 "/>
    <x v="0"/>
    <n v="321442"/>
    <m/>
    <m/>
  </r>
  <r>
    <x v="5"/>
    <x v="3"/>
    <s v="C:\Users\andre\Desktop\REACTIV CEFAS\Tamoxifen\Tamoxifen/20201210_Cefas_Test9_Run3/Plate 1/@16/C12_01.tif "/>
    <s v=" 627.2669 "/>
    <s v=" 31.1034 "/>
    <x v="0"/>
    <n v="19510"/>
    <m/>
    <m/>
  </r>
  <r>
    <x v="5"/>
    <x v="3"/>
    <s v="C:\Users\andre\Desktop\REACTIV CEFAS\Tamoxifen\Tamoxifen/20201210_Cefas_Test9_Run3/Plate 1/@16/C12_02.tif "/>
    <s v=" 194.6691 "/>
    <s v=" 30.5556 "/>
    <x v="0"/>
    <n v="5948"/>
    <m/>
    <m/>
  </r>
  <r>
    <x v="5"/>
    <x v="3"/>
    <s v="C:\Users\andre\Desktop\REACTIV CEFAS\Tamoxifen\Tamoxifen/20201210_Cefas_Test9_Run3/Plate 1/@16/C12_03.tif "/>
    <s v=" 3244.4842 "/>
    <s v=" 33.1333 "/>
    <x v="0"/>
    <n v="107501"/>
    <m/>
    <m/>
  </r>
  <r>
    <x v="5"/>
    <x v="3"/>
    <s v="C:\Users\andre\Desktop\REACTIV CEFAS\Tamoxifen\Tamoxifen/20201210_Cefas_Test9_Run3/Plate 1/@16/C12_04.tif "/>
    <s v=" 2227.8791 "/>
    <s v=" 31.7282 "/>
    <x v="0"/>
    <n v="70686"/>
    <m/>
    <m/>
  </r>
  <r>
    <x v="5"/>
    <x v="4"/>
    <s v="C:\Users\andre\Desktop\REACTIV CEFAS\Tamoxifen\Tamoxifen/20201210_Cefas_Test9_Run3/Plate 1/@16/D12_01.tif "/>
    <s v=" 4736.9469 "/>
    <s v=" 37.758 "/>
    <x v="0"/>
    <n v="178858"/>
    <m/>
    <m/>
  </r>
  <r>
    <x v="5"/>
    <x v="4"/>
    <s v="C:\Users\andre\Desktop\REACTIV CEFAS\Tamoxifen\Tamoxifen/20201210_Cefas_Test9_Run3/Plate 1/@16/D12_02.tif "/>
    <s v=" 5667.0324 "/>
    <s v=" 34.2366 "/>
    <x v="0"/>
    <n v="194020"/>
    <m/>
    <m/>
  </r>
  <r>
    <x v="5"/>
    <x v="4"/>
    <s v="C:\Users\andre\Desktop\REACTIV CEFAS\Tamoxifen\Tamoxifen/20201210_Cefas_Test9_Run3/Plate 1/@16/D12_03.tif "/>
    <s v=" 4693.6871 "/>
    <s v=" 35.3318 "/>
    <x v="0"/>
    <n v="165836"/>
    <m/>
    <m/>
  </r>
  <r>
    <x v="5"/>
    <x v="4"/>
    <s v="C:\Users\andre\Desktop\REACTIV CEFAS\Tamoxifen\Tamoxifen/20201210_Cefas_Test9_Run3/Plate 1/@16/D12_04.tif "/>
    <s v=" 4845.0964 "/>
    <s v=" 34.5804 "/>
    <x v="0"/>
    <n v="167545"/>
    <m/>
    <m/>
  </r>
  <r>
    <x v="5"/>
    <x v="5"/>
    <s v="C:\Users\andre\Desktop\REACTIV CEFAS\Tamoxifen\Tamoxifen/20201210_Cefas_Test9_Run3/Plate 1/@16/E12_01.tif "/>
    <s v=" 12242.5204 "/>
    <s v=" 39.6625 "/>
    <x v="0"/>
    <n v="485570"/>
    <m/>
    <m/>
  </r>
  <r>
    <x v="5"/>
    <x v="5"/>
    <s v="C:\Users\andre\Desktop\REACTIV CEFAS\Tamoxifen\Tamoxifen/20201210_Cefas_Test9_Run3/Plate 1/@16/E12_02.tif "/>
    <s v=" 6683.6374 "/>
    <s v=" 35.6311 "/>
    <x v="0"/>
    <n v="238145"/>
    <m/>
    <m/>
  </r>
  <r>
    <x v="5"/>
    <x v="5"/>
    <s v="C:\Users\andre\Desktop\REACTIV CEFAS\Tamoxifen\Tamoxifen/20201210_Cefas_Test9_Run3/Plate 1/@16/E12_03.tif "/>
    <s v=" 13497.0542 "/>
    <s v=" 42.226 "/>
    <x v="0"/>
    <n v="569926"/>
    <m/>
    <m/>
  </r>
  <r>
    <x v="5"/>
    <x v="5"/>
    <s v="C:\Users\andre\Desktop\REACTIV CEFAS\Tamoxifen\Tamoxifen/20201210_Cefas_Test9_Run3/Plate 1/@16/E12_04- exclu.tif"/>
    <m/>
    <m/>
    <x v="1"/>
    <m/>
    <m/>
    <m/>
  </r>
  <r>
    <x v="5"/>
    <x v="6"/>
    <s v="C:\Users\andre\Desktop\REACTIV CEFAS\Tamoxifen\Tamoxifen/20201210_Cefas_Test9_Run3/Plate 1/@16/F12_01.tif "/>
    <s v=" 8651.9579 "/>
    <s v=" 42.8125 "/>
    <x v="0"/>
    <n v="370412"/>
    <m/>
    <m/>
  </r>
  <r>
    <x v="5"/>
    <x v="6"/>
    <s v="C:\Users\andre\Desktop\REACTIV CEFAS\Tamoxifen\Tamoxifen/20201210_Cefas_Test9_Run3/Plate 1/@16/F12_02- exclu.tif"/>
    <m/>
    <m/>
    <x v="1"/>
    <m/>
    <m/>
    <m/>
  </r>
  <r>
    <x v="5"/>
    <x v="6"/>
    <s v="C:\Users\andre\Desktop\REACTIV CEFAS\Tamoxifen\Tamoxifen/20201210_Cefas_Test9_Run3/Plate 1/@16/F12_03- exclu.tif"/>
    <m/>
    <m/>
    <x v="1"/>
    <m/>
    <m/>
    <m/>
  </r>
  <r>
    <x v="5"/>
    <x v="6"/>
    <s v="C:\Users\andre\Desktop\REACTIV CEFAS\Tamoxifen\Tamoxifen/20201210_Cefas_Test9_Run3/Plate 1/@16/F12_04- exclu.tif"/>
    <m/>
    <m/>
    <x v="1"/>
    <m/>
    <m/>
    <m/>
  </r>
  <r>
    <x v="5"/>
    <x v="7"/>
    <s v="C:\Users\andre\Desktop\REACTIV CEFAS\Tamoxifen\Tamoxifen/20201210_Cefas_Test9_Run3/Plate 1/@16/G12_01.tif "/>
    <s v=" 540.7474 "/>
    <s v=" 32.16 "/>
    <x v="0"/>
    <n v="17390"/>
    <m/>
    <m/>
  </r>
  <r>
    <x v="5"/>
    <x v="7"/>
    <s v="C:\Users\andre\Desktop\REACTIV CEFAS\Tamoxifen\Tamoxifen/20201210_Cefas_Test9_Run3/Plate 1/@16/G12_02.tif "/>
    <n v="0"/>
    <n v="0"/>
    <x v="0"/>
    <n v="0"/>
    <m/>
    <m/>
  </r>
  <r>
    <x v="5"/>
    <x v="7"/>
    <s v="C:\Users\andre\Desktop\REACTIV CEFAS\Tamoxifen\Tamoxifen/20201210_Cefas_Test9_Run3/Plate 1/@16/G12_03.tif "/>
    <s v=" 151.4093 "/>
    <s v=" 32.1429 "/>
    <x v="0"/>
    <n v="4867"/>
    <m/>
    <m/>
  </r>
  <r>
    <x v="5"/>
    <x v="7"/>
    <s v="C:\Users\andre\Desktop\REACTIV CEFAS\Tamoxifen\Tamoxifen/20201210_Cefas_Test9_Run3/Plate 1/@16/G12_04.tif "/>
    <s v=" 930.0855 "/>
    <s v=" 33.9767 "/>
    <x v="0"/>
    <n v="31601"/>
    <m/>
    <m/>
  </r>
  <r>
    <x v="5"/>
    <x v="8"/>
    <s v="C:\Users\andre\Desktop\REACTIV CEFAS\Tamoxifen\Tamoxifen/20201210_Cefas_Test9_Run3/Plate 1/@16/H12_01.tif "/>
    <s v=" 3698.712 "/>
    <s v=" 38.0702 "/>
    <x v="0"/>
    <n v="140811"/>
    <m/>
    <m/>
  </r>
  <r>
    <x v="5"/>
    <x v="8"/>
    <s v="C:\Users\andre\Desktop\REACTIV CEFAS\Tamoxifen\Tamoxifen/20201210_Cefas_Test9_Run3/Plate 1/@16/H12_02.tif "/>
    <s v=" 10014.6412 "/>
    <s v=" 39.4989 "/>
    <x v="0"/>
    <n v="395568"/>
    <m/>
    <m/>
  </r>
  <r>
    <x v="5"/>
    <x v="8"/>
    <s v="C:\Users\andre\Desktop\REACTIV CEFAS\Tamoxifen\Tamoxifen/20201210_Cefas_Test9_Run3/Plate 1/@16/H12_03.tif "/>
    <n v="0"/>
    <n v="0"/>
    <x v="0"/>
    <n v="0"/>
    <m/>
    <m/>
  </r>
  <r>
    <x v="5"/>
    <x v="8"/>
    <s v="C:\Users\andre\Desktop\REACTIV CEFAS\Tamoxifen\Tamoxifen/20201210_Cefas_Test9_Run3/Plate 1/@16/H12_04.tif "/>
    <s v=" 5212.8046 "/>
    <s v=" 39.0913 "/>
    <x v="0"/>
    <n v="203775"/>
    <m/>
    <m/>
  </r>
  <r>
    <x v="0"/>
    <x v="0"/>
    <s v=" "/>
    <m/>
    <m/>
    <x v="1"/>
    <m/>
    <m/>
    <m/>
  </r>
  <r>
    <x v="0"/>
    <x v="0"/>
    <s v="group "/>
    <s v=" "/>
    <s v=" mean of mean fluo "/>
    <x v="2"/>
    <s v=" mean of total fluo "/>
    <s v=" SD total fluo "/>
    <m/>
  </r>
  <r>
    <x v="5"/>
    <x v="9"/>
    <s v="C:\Users\andre\Desktop\REACTIV CEFAS\Tamoxifen\Tamoxifen/20201210_Cefas_Test9_Run3/Plate 1/@16/ "/>
    <s v=" "/>
    <s v=" 34.1732 "/>
    <x v="7"/>
    <s v=" 233703.531 "/>
    <s v=" 219019.115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Tamoxifen\Tamoxifen/20201210_Cefas_Test9_Run3/Plate 1/@2/A2_01.tif "/>
    <s v=" 2487.4379 "/>
    <s v=" 33.0261 "/>
    <x v="0"/>
    <n v="82150"/>
    <m/>
    <m/>
  </r>
  <r>
    <x v="6"/>
    <x v="1"/>
    <s v="C:\Users\andre\Desktop\REACTIV CEFAS\Tamoxifen\Tamoxifen/20201210_Cefas_Test9_Run3/Plate 1/@2/A2_02.tif "/>
    <s v=" 1665.5019 "/>
    <n v="34"/>
    <x v="0"/>
    <n v="56627"/>
    <m/>
    <m/>
  </r>
  <r>
    <x v="6"/>
    <x v="1"/>
    <s v="C:\Users\andre\Desktop\REACTIV CEFAS\Tamoxifen\Tamoxifen/20201210_Cefas_Test9_Run3/Plate 1/@2/A2_03.tif "/>
    <s v=" 108.1495 "/>
    <s v=" 32.4 "/>
    <x v="0"/>
    <n v="3504"/>
    <m/>
    <m/>
  </r>
  <r>
    <x v="6"/>
    <x v="1"/>
    <s v="C:\Users\andre\Desktop\REACTIV CEFAS\Tamoxifen\Tamoxifen/20201210_Cefas_Test9_Run3/Plate 1/@2/A2_04.tif "/>
    <s v=" 1600.6122 "/>
    <s v=" 34.4865 "/>
    <x v="0"/>
    <n v="55199"/>
    <m/>
    <m/>
  </r>
  <r>
    <x v="6"/>
    <x v="2"/>
    <s v="C:\Users\andre\Desktop\REACTIV CEFAS\Tamoxifen\Tamoxifen/20201210_Cefas_Test9_Run3/Plate 1/@2/B2_01.tif "/>
    <s v=" 3893.381 "/>
    <s v=" 33.5444 "/>
    <x v="0"/>
    <n v="130601"/>
    <m/>
    <m/>
  </r>
  <r>
    <x v="6"/>
    <x v="2"/>
    <s v="C:\Users\andre\Desktop\REACTIV CEFAS\Tamoxifen\Tamoxifen/20201210_Cefas_Test9_Run3/Plate 1/@2/B2_02.tif "/>
    <s v=" 367.7082 "/>
    <s v=" 32.2353 "/>
    <x v="0"/>
    <n v="11853"/>
    <m/>
    <m/>
  </r>
  <r>
    <x v="6"/>
    <x v="2"/>
    <s v="C:\Users\andre\Desktop\REACTIV CEFAS\Tamoxifen\Tamoxifen/20201210_Cefas_Test9_Run3/Plate 1/@2/B2_03.tif "/>
    <s v=" 7051.3456 "/>
    <s v=" 40.8067 "/>
    <x v="0"/>
    <n v="287742"/>
    <m/>
    <m/>
  </r>
  <r>
    <x v="6"/>
    <x v="2"/>
    <s v="C:\Users\andre\Desktop\REACTIV CEFAS\Tamoxifen\Tamoxifen/20201210_Cefas_Test9_Run3/Plate 1/@2/B2_04.tif "/>
    <s v=" 2725.3667 "/>
    <s v=" 35.127 "/>
    <x v="0"/>
    <n v="95734"/>
    <m/>
    <m/>
  </r>
  <r>
    <x v="6"/>
    <x v="3"/>
    <s v="C:\Users\andre\Desktop\REACTIV CEFAS\Tamoxifen\Tamoxifen/20201210_Cefas_Test9_Run3/Plate 1/@2/C2_01.tif "/>
    <s v=" 1578.9823 "/>
    <s v=" 32.0959 "/>
    <x v="0"/>
    <n v="50679"/>
    <m/>
    <m/>
  </r>
  <r>
    <x v="6"/>
    <x v="3"/>
    <s v="C:\Users\andre\Desktop\REACTIV CEFAS\Tamoxifen\Tamoxifen/20201210_Cefas_Test9_Run3/Plate 1/@2/C2_02.tif "/>
    <s v=" 1989.9503 "/>
    <s v=" 34.8261 "/>
    <x v="0"/>
    <n v="69302"/>
    <m/>
    <m/>
  </r>
  <r>
    <x v="6"/>
    <x v="3"/>
    <s v="C:\Users\andre\Desktop\REACTIV CEFAS\Tamoxifen\Tamoxifen/20201210_Cefas_Test9_Run3/Plate 1/@2/C2_03.tif "/>
    <s v=" 259.5587 "/>
    <s v=" 30.5833 "/>
    <x v="0"/>
    <n v="7938"/>
    <m/>
    <m/>
  </r>
  <r>
    <x v="6"/>
    <x v="3"/>
    <s v="C:\Users\andre\Desktop\REACTIV CEFAS\Tamoxifen\Tamoxifen/20201210_Cefas_Test9_Run3/Plate 1/@2/C2_04.tif "/>
    <s v=" 2206.2493 "/>
    <s v=" 34.2843 "/>
    <x v="0"/>
    <n v="75640"/>
    <m/>
    <m/>
  </r>
  <r>
    <x v="6"/>
    <x v="4"/>
    <s v="C:\Users\andre\Desktop\REACTIV CEFAS\Tamoxifen\Tamoxifen/20201210_Cefas_Test9_Run3/Plate 1/@2/D2_01.tif "/>
    <s v=" 2573.9575 "/>
    <s v=" 32.8571 "/>
    <x v="0"/>
    <n v="84573"/>
    <m/>
    <m/>
  </r>
  <r>
    <x v="6"/>
    <x v="4"/>
    <s v="C:\Users\andre\Desktop\REACTIV CEFAS\Tamoxifen\Tamoxifen/20201210_Cefas_Test9_Run3/Plate 1/@2/D2_02.tif "/>
    <s v=" 1405.9432 "/>
    <s v=" 32.4615 "/>
    <x v="0"/>
    <n v="45639"/>
    <m/>
    <m/>
  </r>
  <r>
    <x v="6"/>
    <x v="4"/>
    <s v="C:\Users\andre\Desktop\REACTIV CEFAS\Tamoxifen\Tamoxifen/20201210_Cefas_Test9_Run3/Plate 1/@2/D2_03.tif "/>
    <s v=" 4607.1676 "/>
    <s v=" 36.5869 "/>
    <x v="0"/>
    <n v="168562"/>
    <m/>
    <m/>
  </r>
  <r>
    <x v="6"/>
    <x v="4"/>
    <s v="C:\Users\andre\Desktop\REACTIV CEFAS\Tamoxifen\Tamoxifen/20201210_Cefas_Test9_Run3/Plate 1/@2/D2_04.tif "/>
    <s v=" 108.1495 "/>
    <s v=" 30.6 "/>
    <x v="0"/>
    <n v="3309"/>
    <m/>
    <m/>
  </r>
  <r>
    <x v="6"/>
    <x v="5"/>
    <s v="C:\Users\andre\Desktop\REACTIV CEFAS\Tamoxifen\Tamoxifen/20201210_Cefas_Test9_Run3/Plate 1/@2/E2_01.tif "/>
    <s v=" 21.6299 "/>
    <n v="30"/>
    <x v="0"/>
    <n v="649"/>
    <m/>
    <m/>
  </r>
  <r>
    <x v="6"/>
    <x v="5"/>
    <s v="C:\Users\andre\Desktop\REACTIV CEFAS\Tamoxifen\Tamoxifen/20201210_Cefas_Test9_Run3/Plate 1/@2/E2_02.tif "/>
    <s v=" 43.2598 "/>
    <n v="30"/>
    <x v="0"/>
    <n v="1298"/>
    <m/>
    <m/>
  </r>
  <r>
    <x v="6"/>
    <x v="5"/>
    <s v="C:\Users\andre\Desktop\REACTIV CEFAS\Tamoxifen\Tamoxifen/20201210_Cefas_Test9_Run3/Plate 1/@2/E2_03.tif "/>
    <s v=" 64.8897 "/>
    <n v="30"/>
    <x v="0"/>
    <n v="1947"/>
    <m/>
    <m/>
  </r>
  <r>
    <x v="6"/>
    <x v="5"/>
    <s v="C:\Users\andre\Desktop\REACTIV CEFAS\Tamoxifen\Tamoxifen/20201210_Cefas_Test9_Run3/Plate 1/@2/E2_04.tif "/>
    <n v="0"/>
    <n v="0"/>
    <x v="0"/>
    <n v="0"/>
    <m/>
    <m/>
  </r>
  <r>
    <x v="6"/>
    <x v="6"/>
    <s v="C:\Users\andre\Desktop\REACTIV CEFAS\Tamoxifen\Tamoxifen/20201210_Cefas_Test9_Run3/Plate 1/@2/F2_01- exclu.tif"/>
    <m/>
    <m/>
    <x v="1"/>
    <m/>
    <m/>
    <m/>
  </r>
  <r>
    <x v="6"/>
    <x v="6"/>
    <s v="C:\Users\andre\Desktop\REACTIV CEFAS\Tamoxifen\Tamoxifen/20201210_Cefas_Test9_Run3/Plate 1/@2/F2_02- exclu.tif"/>
    <m/>
    <m/>
    <x v="1"/>
    <m/>
    <m/>
    <m/>
  </r>
  <r>
    <x v="6"/>
    <x v="6"/>
    <s v="C:\Users\andre\Desktop\REACTIV CEFAS\Tamoxifen\Tamoxifen/20201210_Cefas_Test9_Run3/Plate 1/@2/F2_03- exclu.tif"/>
    <m/>
    <m/>
    <x v="1"/>
    <m/>
    <m/>
    <m/>
  </r>
  <r>
    <x v="6"/>
    <x v="6"/>
    <s v="C:\Users\andre\Desktop\REACTIV CEFAS\Tamoxifen\Tamoxifen/20201210_Cefas_Test9_Run3/Plate 1/@2/F2_04- exclu.tif"/>
    <m/>
    <m/>
    <x v="1"/>
    <m/>
    <m/>
    <m/>
  </r>
  <r>
    <x v="6"/>
    <x v="7"/>
    <s v="C:\Users\andre\Desktop\REACTIV CEFAS\Tamoxifen\Tamoxifen/20201210_Cefas_Test9_Run3/Plate 1/@2/G2_01.tif "/>
    <s v=" 1384.3133 "/>
    <s v=" 33.2812 "/>
    <x v="0"/>
    <n v="46072"/>
    <m/>
    <m/>
  </r>
  <r>
    <x v="6"/>
    <x v="7"/>
    <s v="C:\Users\andre\Desktop\REACTIV CEFAS\Tamoxifen\Tamoxifen/20201210_Cefas_Test9_Run3/Plate 1/@2/G2_02.tif "/>
    <s v=" 2703.7368 "/>
    <s v=" 35.216 "/>
    <x v="0"/>
    <n v="95215"/>
    <m/>
    <m/>
  </r>
  <r>
    <x v="6"/>
    <x v="7"/>
    <s v="C:\Users\andre\Desktop\REACTIV CEFAS\Tamoxifen\Tamoxifen/20201210_Cefas_Test9_Run3/Plate 1/@2/G2_03.tif "/>
    <s v=" 3612.1924 "/>
    <s v=" 35.7605 "/>
    <x v="0"/>
    <n v="129174"/>
    <m/>
    <m/>
  </r>
  <r>
    <x v="6"/>
    <x v="7"/>
    <s v="C:\Users\andre\Desktop\REACTIV CEFAS\Tamoxifen\Tamoxifen/20201210_Cefas_Test9_Run3/Plate 1/@2/G2_04- exclu.tif"/>
    <m/>
    <m/>
    <x v="1"/>
    <m/>
    <m/>
    <m/>
  </r>
  <r>
    <x v="6"/>
    <x v="8"/>
    <s v="C:\Users\andre\Desktop\REACTIV CEFAS\Tamoxifen\Tamoxifen/20201210_Cefas_Test9_Run3/Plate 1/@2/H2_01.tif "/>
    <s v=" 7765.1322 "/>
    <s v=" 37.5682 "/>
    <x v="0"/>
    <n v="291722"/>
    <m/>
    <m/>
  </r>
  <r>
    <x v="6"/>
    <x v="8"/>
    <s v="C:\Users\andre\Desktop\REACTIV CEFAS\Tamoxifen\Tamoxifen/20201210_Cefas_Test9_Run3/Plate 1/@2/H2_02.tif "/>
    <s v=" 6726.8972 "/>
    <s v=" 35.8296 "/>
    <x v="0"/>
    <n v="241022"/>
    <m/>
    <m/>
  </r>
  <r>
    <x v="6"/>
    <x v="8"/>
    <s v="C:\Users\andre\Desktop\REACTIV CEFAS\Tamoxifen\Tamoxifen/20201210_Cefas_Test9_Run3/Plate 1/@2/H2_03.tif "/>
    <n v="0"/>
    <n v="0"/>
    <x v="0"/>
    <n v="0"/>
    <m/>
    <m/>
  </r>
  <r>
    <x v="6"/>
    <x v="8"/>
    <s v="C:\Users\andre\Desktop\REACTIV CEFAS\Tamoxifen\Tamoxifen/20201210_Cefas_Test9_Run3/Plate 1/@2/H2_04.tif "/>
    <s v=" 6186.1499 "/>
    <s v=" 37.6748 "/>
    <x v="0"/>
    <n v="233062"/>
    <m/>
    <m/>
  </r>
  <r>
    <x v="0"/>
    <x v="0"/>
    <s v=" "/>
    <m/>
    <m/>
    <x v="1"/>
    <m/>
    <m/>
    <m/>
  </r>
  <r>
    <x v="0"/>
    <x v="0"/>
    <s v="group "/>
    <s v=" "/>
    <s v=" mean of mean fluo "/>
    <x v="2"/>
    <s v=" mean of total fluo "/>
    <s v=" SD total fluo "/>
    <m/>
  </r>
  <r>
    <x v="6"/>
    <x v="9"/>
    <s v="C:\Users\andre\Desktop\REACTIV CEFAS\Tamoxifen\Tamoxifen/20201210_Cefas_Test9_Run3/Plate 1/@2/ "/>
    <s v=" "/>
    <s v=" 32.7899 "/>
    <x v="8"/>
    <s v=" 185895.375 "/>
    <s v=" 295092.582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Tamoxifen\Tamoxifen/20201210_Cefas_Test9_Run3/Plate 1/@3/A3_01.tif "/>
    <s v=" 281.1886 "/>
    <n v="31"/>
    <x v="0"/>
    <n v="8717"/>
    <m/>
    <m/>
  </r>
  <r>
    <x v="7"/>
    <x v="1"/>
    <s v="C:\Users\andre\Desktop\REACTIV CEFAS\Tamoxifen\Tamoxifen/20201210_Cefas_Test9_Run3/Plate 1/@3/A3_02.tif "/>
    <s v=" 64.8897 "/>
    <n v="31"/>
    <x v="0"/>
    <n v="2012"/>
    <m/>
    <m/>
  </r>
  <r>
    <x v="7"/>
    <x v="1"/>
    <s v="C:\Users\andre\Desktop\REACTIV CEFAS\Tamoxifen\Tamoxifen/20201210_Cefas_Test9_Run3/Plate 1/@3/A3_03.tif "/>
    <s v=" 2162.9895 "/>
    <s v=" 32.63 "/>
    <x v="0"/>
    <n v="70578"/>
    <m/>
    <m/>
  </r>
  <r>
    <x v="7"/>
    <x v="1"/>
    <s v="C:\Users\andre\Desktop\REACTIV CEFAS\Tamoxifen\Tamoxifen/20201210_Cefas_Test9_Run3/Plate 1/@3/A3_04.tif "/>
    <s v=" 151.4093 "/>
    <s v=" 30.5714 "/>
    <x v="0"/>
    <n v="4629"/>
    <m/>
    <m/>
  </r>
  <r>
    <x v="7"/>
    <x v="2"/>
    <s v="C:\Users\andre\Desktop\REACTIV CEFAS\Tamoxifen\Tamoxifen/20201210_Cefas_Test9_Run3/Plate 1/@3/B3_01.tif "/>
    <s v=" 25047.418 "/>
    <s v=" 33.2392 "/>
    <x v="0"/>
    <n v="832556"/>
    <m/>
    <m/>
  </r>
  <r>
    <x v="7"/>
    <x v="2"/>
    <s v="C:\Users\andre\Desktop\REACTIV CEFAS\Tamoxifen\Tamoxifen/20201210_Cefas_Test9_Run3/Plate 1/@3/B3_02.tif "/>
    <s v=" 33915.6748 "/>
    <s v=" 36.5204 "/>
    <x v="0"/>
    <n v="1238614"/>
    <m/>
    <m/>
  </r>
  <r>
    <x v="7"/>
    <x v="2"/>
    <s v="C:\Users\andre\Desktop\REACTIV CEFAS\Tamoxifen\Tamoxifen/20201210_Cefas_Test9_Run3/Plate 1/@3/B3_03.tif "/>
    <s v=" 29676.2154 "/>
    <s v=" 33.9599 "/>
    <x v="0"/>
    <n v="1007802"/>
    <m/>
    <m/>
  </r>
  <r>
    <x v="7"/>
    <x v="2"/>
    <s v="C:\Users\andre\Desktop\REACTIV CEFAS\Tamoxifen\Tamoxifen/20201210_Cefas_Test9_Run3/Plate 1/@3/B3_04.tif "/>
    <s v=" 31471.4967 "/>
    <s v=" 35.3155 "/>
    <x v="0"/>
    <n v="1111431"/>
    <m/>
    <m/>
  </r>
  <r>
    <x v="7"/>
    <x v="3"/>
    <s v="C:\Users\andre\Desktop\REACTIV CEFAS\Tamoxifen\Tamoxifen/20201210_Cefas_Test9_Run3/Plate 1/@3/C3_01.tif "/>
    <s v=" 7419.0539 "/>
    <s v=" 34.4198 "/>
    <x v="0"/>
    <n v="255363"/>
    <m/>
    <m/>
  </r>
  <r>
    <x v="7"/>
    <x v="3"/>
    <s v="C:\Users\andre\Desktop\REACTIV CEFAS\Tamoxifen\Tamoxifen/20201210_Cefas_Test9_Run3/Plate 1/@3/C3_02.tif "/>
    <s v=" 1989.9503 "/>
    <s v=" 32.1087 "/>
    <x v="0"/>
    <n v="63895"/>
    <m/>
    <m/>
  </r>
  <r>
    <x v="7"/>
    <x v="3"/>
    <s v="C:\Users\andre\Desktop\REACTIV CEFAS\Tamoxifen\Tamoxifen/20201210_Cefas_Test9_Run3/Plate 1/@3/C3_03.tif "/>
    <s v=" 5126.285 "/>
    <s v=" 34.5738 "/>
    <x v="0"/>
    <n v="177235"/>
    <m/>
    <m/>
  </r>
  <r>
    <x v="7"/>
    <x v="3"/>
    <s v="C:\Users\andre\Desktop\REACTIV CEFAS\Tamoxifen\Tamoxifen/20201210_Cefas_Test9_Run3/Plate 1/@3/C3_04.tif "/>
    <s v=" 6294.2993 "/>
    <s v=" 34.7216 "/>
    <x v="0"/>
    <n v="218548"/>
    <m/>
    <m/>
  </r>
  <r>
    <x v="7"/>
    <x v="4"/>
    <s v="C:\Users\andre\Desktop\REACTIV CEFAS\Tamoxifen\Tamoxifen/20201210_Cefas_Test9_Run3/Plate 1/@3/D3_01.tif "/>
    <s v=" 7440.6838 "/>
    <s v=" 38.0988 "/>
    <x v="0"/>
    <n v="283481"/>
    <m/>
    <m/>
  </r>
  <r>
    <x v="7"/>
    <x v="4"/>
    <s v="C:\Users\andre\Desktop\REACTIV CEFAS\Tamoxifen\Tamoxifen/20201210_Cefas_Test9_Run3/Plate 1/@3/D3_02- exclu.tif"/>
    <m/>
    <m/>
    <x v="1"/>
    <m/>
    <m/>
    <m/>
  </r>
  <r>
    <x v="7"/>
    <x v="4"/>
    <s v="C:\Users\andre\Desktop\REACTIV CEFAS\Tamoxifen\Tamoxifen/20201210_Cefas_Test9_Run3/Plate 1/@3/D3_03- exclu.tif"/>
    <m/>
    <m/>
    <x v="1"/>
    <m/>
    <m/>
    <m/>
  </r>
  <r>
    <x v="7"/>
    <x v="4"/>
    <s v="C:\Users\andre\Desktop\REACTIV CEFAS\Tamoxifen\Tamoxifen/20201210_Cefas_Test9_Run3/Plate 1/@3/D3_04- exclu.tif"/>
    <m/>
    <m/>
    <x v="1"/>
    <m/>
    <m/>
    <m/>
  </r>
  <r>
    <x v="7"/>
    <x v="5"/>
    <s v="C:\Users\andre\Desktop\REACTIV CEFAS\Tamoxifen\Tamoxifen/20201210_Cefas_Test9_Run3/Plate 1/@3/E3_01.tif "/>
    <s v=" 1384.3133 "/>
    <s v=" 31.0156 "/>
    <x v="0"/>
    <n v="42935"/>
    <m/>
    <m/>
  </r>
  <r>
    <x v="7"/>
    <x v="5"/>
    <s v="C:\Users\andre\Desktop\REACTIV CEFAS\Tamoxifen\Tamoxifen/20201210_Cefas_Test9_Run3/Plate 1/@3/E3_02.tif "/>
    <s v=" 5991.4808 "/>
    <s v=" 39.2383 "/>
    <x v="0"/>
    <n v="235095"/>
    <m/>
    <m/>
  </r>
  <r>
    <x v="7"/>
    <x v="5"/>
    <s v="C:\Users\andre\Desktop\REACTIV CEFAS\Tamoxifen\Tamoxifen/20201210_Cefas_Test9_Run3/Plate 1/@3/E3_03.tif "/>
    <s v=" 3741.9718 "/>
    <s v=" 35.5087 "/>
    <x v="0"/>
    <n v="132872"/>
    <m/>
    <m/>
  </r>
  <r>
    <x v="7"/>
    <x v="5"/>
    <s v="C:\Users\andre\Desktop\REACTIV CEFAS\Tamoxifen\Tamoxifen/20201210_Cefas_Test9_Run3/Plate 1/@3/E3_04.tif "/>
    <s v=" 5407.4737 "/>
    <s v=" 39.468 "/>
    <x v="0"/>
    <n v="213422"/>
    <m/>
    <m/>
  </r>
  <r>
    <x v="7"/>
    <x v="6"/>
    <s v="C:\Users\andre\Desktop\REACTIV CEFAS\Tamoxifen\Tamoxifen/20201210_Cefas_Test9_Run3/Plate 1/@3/F3_01.tif "/>
    <s v=" 4563.9078 "/>
    <s v=" 34.872 "/>
    <x v="0"/>
    <n v="159153"/>
    <m/>
    <m/>
  </r>
  <r>
    <x v="7"/>
    <x v="6"/>
    <s v="C:\Users\andre\Desktop\REACTIV CEFAS\Tamoxifen\Tamoxifen/20201210_Cefas_Test9_Run3/Plate 1/@3/F3_02.tif "/>
    <s v=" 1384.3133 "/>
    <s v=" 33.5781 "/>
    <x v="0"/>
    <n v="46483"/>
    <m/>
    <m/>
  </r>
  <r>
    <x v="7"/>
    <x v="6"/>
    <s v="C:\Users\andre\Desktop\REACTIV CEFAS\Tamoxifen\Tamoxifen/20201210_Cefas_Test9_Run3/Plate 1/@3/F3_03.tif "/>
    <s v=" 4499.0181 "/>
    <s v=" 37.1298 "/>
    <x v="0"/>
    <n v="167048"/>
    <m/>
    <m/>
  </r>
  <r>
    <x v="7"/>
    <x v="6"/>
    <s v="C:\Users\andre\Desktop\REACTIV CEFAS\Tamoxifen\Tamoxifen/20201210_Cefas_Test9_Run3/Plate 1/@3/F3_04.tif "/>
    <n v="0"/>
    <n v="0"/>
    <x v="0"/>
    <n v="0"/>
    <m/>
    <m/>
  </r>
  <r>
    <x v="7"/>
    <x v="7"/>
    <s v="C:\Users\andre\Desktop\REACTIV CEFAS\Tamoxifen\Tamoxifen/20201210_Cefas_Test9_Run3/Plate 1/@3/G3_01.tif "/>
    <n v="0"/>
    <n v="0"/>
    <x v="0"/>
    <n v="0"/>
    <m/>
    <m/>
  </r>
  <r>
    <x v="7"/>
    <x v="7"/>
    <s v="C:\Users\andre\Desktop\REACTIV CEFAS\Tamoxifen\Tamoxifen/20201210_Cefas_Test9_Run3/Plate 1/@3/G3_02.tif "/>
    <s v=" 9582.0433 "/>
    <s v=" 38.7946 "/>
    <x v="0"/>
    <n v="371731"/>
    <m/>
    <m/>
  </r>
  <r>
    <x v="7"/>
    <x v="7"/>
    <s v="C:\Users\andre\Desktop\REACTIV CEFAS\Tamoxifen\Tamoxifen/20201210_Cefas_Test9_Run3/Plate 1/@3/G3_03- exclu.tif"/>
    <m/>
    <m/>
    <x v="1"/>
    <m/>
    <m/>
    <m/>
  </r>
  <r>
    <x v="7"/>
    <x v="7"/>
    <s v="C:\Users\andre\Desktop\REACTIV CEFAS\Tamoxifen\Tamoxifen/20201210_Cefas_Test9_Run3/Plate 1/@3/G3_04.tif "/>
    <s v=" 8954.7764 "/>
    <s v=" 40.4324 "/>
    <x v="0"/>
    <n v="362063"/>
    <m/>
    <m/>
  </r>
  <r>
    <x v="7"/>
    <x v="8"/>
    <s v="C:\Users\andre\Desktop\REACTIV CEFAS\Tamoxifen\Tamoxifen/20201210_Cefas_Test9_Run3/Plate 1/@3/H3_01.tif "/>
    <s v=" 2530.6977 "/>
    <s v=" 35.1368 "/>
    <x v="0"/>
    <n v="88920"/>
    <m/>
    <m/>
  </r>
  <r>
    <x v="7"/>
    <x v="8"/>
    <s v="C:\Users\andre\Desktop\REACTIV CEFAS\Tamoxifen\Tamoxifen/20201210_Cefas_Test9_Run3/Plate 1/@3/H3_02.tif "/>
    <s v=" 1925.0606 "/>
    <s v=" 34.4045 "/>
    <x v="0"/>
    <n v="66231"/>
    <m/>
    <m/>
  </r>
  <r>
    <x v="7"/>
    <x v="8"/>
    <s v="C:\Users\andre\Desktop\REACTIV CEFAS\Tamoxifen\Tamoxifen/20201210_Cefas_Test9_Run3/Plate 1/@3/H3_03.tif "/>
    <s v=" 2422.5482 "/>
    <s v=" 33.7321 "/>
    <x v="0"/>
    <n v="81718"/>
    <m/>
    <m/>
  </r>
  <r>
    <x v="7"/>
    <x v="8"/>
    <s v="C:\Users\andre\Desktop\REACTIV CEFAS\Tamoxifen\Tamoxifen/20201210_Cefas_Test9_Run3/Plate 1/@3/H3_04- exclu.tif"/>
    <m/>
    <m/>
    <x v="1"/>
    <m/>
    <m/>
    <m/>
  </r>
  <r>
    <x v="0"/>
    <x v="0"/>
    <s v=" "/>
    <m/>
    <m/>
    <x v="1"/>
    <m/>
    <m/>
    <m/>
  </r>
  <r>
    <x v="0"/>
    <x v="0"/>
    <s v="group "/>
    <s v=" "/>
    <s v=" mean of mean fluo "/>
    <x v="2"/>
    <s v=" mean of total fluo "/>
    <s v=" SD total fluo "/>
    <m/>
  </r>
  <r>
    <x v="7"/>
    <x v="9"/>
    <s v="C:\Users\andre\Desktop\REACTIV CEFAS\Tamoxifen\Tamoxifen/20201210_Cefas_Test9_Run3/Plate 1/@3/ "/>
    <s v=" "/>
    <s v=" 33.4889 "/>
    <x v="9"/>
    <n v="271735"/>
    <s v=" 346719.666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Tamoxifen\Tamoxifen/20201210_Cefas_Test9_Run3/Plate 1/@4/A4_01.tif "/>
    <s v=" 29805.9948 "/>
    <s v=" 33.5914 "/>
    <x v="0"/>
    <n v="1001226"/>
    <m/>
    <m/>
  </r>
  <r>
    <x v="8"/>
    <x v="1"/>
    <s v="C:\Users\andre\Desktop\REACTIV CEFAS\Tamoxifen\Tamoxifen/20201210_Cefas_Test9_Run3/Plate 1/@4/A4_02.tif "/>
    <s v=" 33915.6748 "/>
    <s v=" 35.7034 "/>
    <x v="0"/>
    <n v="1210906"/>
    <m/>
    <m/>
  </r>
  <r>
    <x v="8"/>
    <x v="1"/>
    <s v="C:\Users\andre\Desktop\REACTIV CEFAS\Tamoxifen\Tamoxifen/20201210_Cefas_Test9_Run3/Plate 1/@4/A4_03- exclu.tif"/>
    <m/>
    <m/>
    <x v="1"/>
    <m/>
    <m/>
    <m/>
  </r>
  <r>
    <x v="8"/>
    <x v="1"/>
    <s v="C:\Users\andre\Desktop\REACTIV CEFAS\Tamoxifen\Tamoxifen/20201210_Cefas_Test9_Run3/Plate 1/@4/A4_04- exclu.tif"/>
    <m/>
    <m/>
    <x v="1"/>
    <m/>
    <m/>
    <m/>
  </r>
  <r>
    <x v="8"/>
    <x v="2"/>
    <s v="C:\Users\andre\Desktop\REACTIV CEFAS\Tamoxifen\Tamoxifen/20201210_Cefas_Test9_Run3/Plate 1/@4/B4_01.tif "/>
    <s v=" 2422.5482 "/>
    <s v=" 31.3125 "/>
    <x v="0"/>
    <n v="75856"/>
    <m/>
    <m/>
  </r>
  <r>
    <x v="8"/>
    <x v="2"/>
    <s v="C:\Users\andre\Desktop\REACTIV CEFAS\Tamoxifen\Tamoxifen/20201210_Cefas_Test9_Run3/Plate 1/@4/B4_02- exclu.tif"/>
    <m/>
    <m/>
    <x v="1"/>
    <m/>
    <m/>
    <m/>
  </r>
  <r>
    <x v="8"/>
    <x v="2"/>
    <s v="C:\Users\andre\Desktop\REACTIV CEFAS\Tamoxifen\Tamoxifen/20201210_Cefas_Test9_Run3/Plate 1/@4/B4_03.tif "/>
    <s v=" 5580.5128 "/>
    <s v=" 33.7287 "/>
    <x v="0"/>
    <n v="188223"/>
    <m/>
    <m/>
  </r>
  <r>
    <x v="8"/>
    <x v="2"/>
    <s v="C:\Users\andre\Desktop\REACTIV CEFAS\Tamoxifen\Tamoxifen/20201210_Cefas_Test9_Run3/Plate 1/@4/B4_04- exclu.tif"/>
    <m/>
    <m/>
    <x v="1"/>
    <m/>
    <m/>
    <m/>
  </r>
  <r>
    <x v="8"/>
    <x v="3"/>
    <s v="C:\Users\andre\Desktop\REACTIV CEFAS\Tamoxifen\Tamoxifen/20201210_Cefas_Test9_Run3/Plate 1/@4/C4_01.tif "/>
    <s v=" 2984.9255 "/>
    <s v=" 31.9928 "/>
    <x v="0"/>
    <n v="95496"/>
    <m/>
    <m/>
  </r>
  <r>
    <x v="8"/>
    <x v="3"/>
    <s v="C:\Users\andre\Desktop\REACTIV CEFAS\Tamoxifen\Tamoxifen/20201210_Cefas_Test9_Run3/Plate 1/@4/C4_02.tif "/>
    <s v=" 2941.6657 "/>
    <s v=" 32.7647 "/>
    <x v="0"/>
    <n v="96383"/>
    <m/>
    <m/>
  </r>
  <r>
    <x v="8"/>
    <x v="3"/>
    <s v="C:\Users\andre\Desktop\REACTIV CEFAS\Tamoxifen\Tamoxifen/20201210_Cefas_Test9_Run3/Plate 1/@4/C4_03.tif "/>
    <s v=" 5623.7726 "/>
    <s v=" 31.9423 "/>
    <x v="0"/>
    <n v="179636"/>
    <m/>
    <m/>
  </r>
  <r>
    <x v="8"/>
    <x v="3"/>
    <s v="C:\Users\andre\Desktop\REACTIV CEFAS\Tamoxifen\Tamoxifen/20201210_Cefas_Test9_Run3/Plate 1/@4/C4_04.tif "/>
    <s v=" 3266.1141 "/>
    <s v=" 33.2649 "/>
    <x v="0"/>
    <n v="108647"/>
    <m/>
    <m/>
  </r>
  <r>
    <x v="8"/>
    <x v="4"/>
    <s v="C:\Users\andre\Desktop\REACTIV CEFAS\Tamoxifen\Tamoxifen/20201210_Cefas_Test9_Run3/Plate 1/@4/D4_01- exclu.tif"/>
    <m/>
    <m/>
    <x v="1"/>
    <m/>
    <m/>
    <m/>
  </r>
  <r>
    <x v="8"/>
    <x v="4"/>
    <s v="C:\Users\andre\Desktop\REACTIV CEFAS\Tamoxifen\Tamoxifen/20201210_Cefas_Test9_Run3/Plate 1/@4/D4_02.tif "/>
    <s v=" 4650.4273 "/>
    <s v=" 34.1163 "/>
    <x v="0"/>
    <n v="158655"/>
    <m/>
    <m/>
  </r>
  <r>
    <x v="8"/>
    <x v="4"/>
    <s v="C:\Users\andre\Desktop\REACTIV CEFAS\Tamoxifen\Tamoxifen/20201210_Cefas_Test9_Run3/Plate 1/@4/D4_03.tif "/>
    <s v=" 3157.9646 "/>
    <s v=" 34.1918 "/>
    <x v="0"/>
    <n v="107976"/>
    <m/>
    <m/>
  </r>
  <r>
    <x v="8"/>
    <x v="4"/>
    <s v="C:\Users\andre\Desktop\REACTIV CEFAS\Tamoxifen\Tamoxifen/20201210_Cefas_Test9_Run3/Plate 1/@4/D4_04.tif "/>
    <s v=" 281.1886 "/>
    <s v=" 34.0769 "/>
    <x v="0"/>
    <n v="9582"/>
    <m/>
    <m/>
  </r>
  <r>
    <x v="8"/>
    <x v="5"/>
    <s v="C:\Users\andre\Desktop\REACTIV CEFAS\Tamoxifen\Tamoxifen/20201210_Cefas_Test9_Run3/Plate 1/@4/E4_01.tif "/>
    <s v=" 3244.4842 "/>
    <s v=" 33.5733 "/>
    <x v="0"/>
    <n v="108928"/>
    <m/>
    <m/>
  </r>
  <r>
    <x v="8"/>
    <x v="5"/>
    <s v="C:\Users\andre\Desktop\REACTIV CEFAS\Tamoxifen\Tamoxifen/20201210_Cefas_Test9_Run3/Plate 1/@4/E4_02.tif "/>
    <s v=" 1838.541 "/>
    <s v=" 31.6353 "/>
    <x v="0"/>
    <n v="58163"/>
    <m/>
    <m/>
  </r>
  <r>
    <x v="8"/>
    <x v="5"/>
    <s v="C:\Users\andre\Desktop\REACTIV CEFAS\Tamoxifen\Tamoxifen/20201210_Cefas_Test9_Run3/Plate 1/@4/E4_03.tif "/>
    <s v=" 14383.8799 "/>
    <s v=" 33.6286 "/>
    <x v="0"/>
    <n v="483709"/>
    <m/>
    <m/>
  </r>
  <r>
    <x v="8"/>
    <x v="5"/>
    <s v="C:\Users\andre\Desktop\REACTIV CEFAS\Tamoxifen\Tamoxifen/20201210_Cefas_Test9_Run3/Plate 1/@4/E4_04.tif "/>
    <s v=" 17866.293 "/>
    <s v=" 35.3644 "/>
    <x v="0"/>
    <n v="631831"/>
    <m/>
    <m/>
  </r>
  <r>
    <x v="8"/>
    <x v="6"/>
    <s v="C:\Users\andre\Desktop\REACTIV CEFAS\Tamoxifen\Tamoxifen/20201210_Cefas_Test9_Run3/Plate 1/@4/F4_01.tif "/>
    <s v=" 8197.7301 "/>
    <s v=" 38.533 "/>
    <x v="0"/>
    <n v="315883"/>
    <m/>
    <m/>
  </r>
  <r>
    <x v="8"/>
    <x v="6"/>
    <s v="C:\Users\andre\Desktop\REACTIV CEFAS\Tamoxifen\Tamoxifen/20201210_Cefas_Test9_Run3/Plate 1/@4/F4_02.tif "/>
    <s v=" 8889.8867 "/>
    <s v=" 40.3187 "/>
    <x v="0"/>
    <n v="358429"/>
    <m/>
    <m/>
  </r>
  <r>
    <x v="8"/>
    <x v="6"/>
    <s v="C:\Users\andre\Desktop\REACTIV CEFAS\Tamoxifen\Tamoxifen/20201210_Cefas_Test9_Run3/Plate 1/@4/F4_03.tif "/>
    <s v=" 11528.7338 "/>
    <s v=" 37.5197 "/>
    <x v="0"/>
    <n v="432555"/>
    <m/>
    <m/>
  </r>
  <r>
    <x v="8"/>
    <x v="6"/>
    <s v="C:\Users\andre\Desktop\REACTIV CEFAS\Tamoxifen\Tamoxifen/20201210_Cefas_Test9_Run3/Plate 1/@4/F4_04.tif "/>
    <s v=" 12458.8193 "/>
    <s v=" 39.2622 "/>
    <x v="0"/>
    <n v="489160"/>
    <m/>
    <m/>
  </r>
  <r>
    <x v="8"/>
    <x v="7"/>
    <s v="C:\Users\andre\Desktop\REACTIV CEFAS\Tamoxifen\Tamoxifen/20201210_Cefas_Test9_Run3/Plate 1/@4/G4_01.tif "/>
    <s v=" 13021.1966 "/>
    <s v=" 33.2326 "/>
    <x v="0"/>
    <n v="432728"/>
    <m/>
    <m/>
  </r>
  <r>
    <x v="8"/>
    <x v="7"/>
    <s v="C:\Users\andre\Desktop\REACTIV CEFAS\Tamoxifen\Tamoxifen/20201210_Cefas_Test9_Run3/Plate 1/@4/G4_02.tif "/>
    <s v=" 16525.2395 "/>
    <s v=" 33.8835 "/>
    <x v="0"/>
    <n v="559933"/>
    <m/>
    <m/>
  </r>
  <r>
    <x v="8"/>
    <x v="7"/>
    <s v="C:\Users\andre\Desktop\REACTIV CEFAS\Tamoxifen\Tamoxifen/20201210_Cefas_Test9_Run3/Plate 1/@4/G4_03.tif "/>
    <s v=" 23771.2542 "/>
    <s v=" 35.2129 "/>
    <x v="0"/>
    <n v="837055"/>
    <m/>
    <m/>
  </r>
  <r>
    <x v="8"/>
    <x v="7"/>
    <s v="C:\Users\andre\Desktop\REACTIV CEFAS\Tamoxifen\Tamoxifen/20201210_Cefas_Test9_Run3/Plate 1/@4/G4_04.tif "/>
    <s v=" 26885.959 "/>
    <s v=" 36.1553 "/>
    <x v="0"/>
    <n v="972069"/>
    <m/>
    <m/>
  </r>
  <r>
    <x v="8"/>
    <x v="8"/>
    <s v="C:\Users\andre\Desktop\REACTIV CEFAS\Tamoxifen\Tamoxifen/20201210_Cefas_Test9_Run3/Plate 1/@4/H4_01.tif "/>
    <s v=" 13237.4955 "/>
    <s v=" 32.1977 "/>
    <x v="0"/>
    <n v="426217"/>
    <m/>
    <m/>
  </r>
  <r>
    <x v="8"/>
    <x v="8"/>
    <s v="C:\Users\andre\Desktop\REACTIV CEFAS\Tamoxifen\Tamoxifen/20201210_Cefas_Test9_Run3/Plate 1/@4/H4_02.tif "/>
    <s v=" 16611.7591 "/>
    <s v=" 33.8646 "/>
    <x v="0"/>
    <n v="562550"/>
    <m/>
    <m/>
  </r>
  <r>
    <x v="8"/>
    <x v="8"/>
    <s v="C:\Users\andre\Desktop\REACTIV CEFAS\Tamoxifen\Tamoxifen/20201210_Cefas_Test9_Run3/Plate 1/@4/H4_03.tif "/>
    <s v=" 12502.0791 "/>
    <s v=" 34.7612 "/>
    <x v="0"/>
    <n v="434588"/>
    <m/>
    <m/>
  </r>
  <r>
    <x v="8"/>
    <x v="8"/>
    <s v="C:\Users\andre\Desktop\REACTIV CEFAS\Tamoxifen\Tamoxifen/20201210_Cefas_Test9_Run3/Plate 1/@4/H4_04.tif "/>
    <s v=" 15097.6665 "/>
    <s v=" 34.2235 "/>
    <x v="0"/>
    <n v="516695"/>
    <m/>
    <m/>
  </r>
  <r>
    <x v="0"/>
    <x v="0"/>
    <s v=" "/>
    <m/>
    <m/>
    <x v="1"/>
    <m/>
    <m/>
    <m/>
  </r>
  <r>
    <x v="0"/>
    <x v="0"/>
    <s v="group "/>
    <s v=" "/>
    <s v=" mean of mean fluo "/>
    <x v="2"/>
    <s v=" mean of total fluo "/>
    <s v=" SD total fluo "/>
    <m/>
  </r>
  <r>
    <x v="8"/>
    <x v="9"/>
    <s v="C:\Users\andre\Desktop\REACTIV CEFAS\Tamoxifen\Tamoxifen/20201210_Cefas_Test9_Run3/Plate 1/@4/ "/>
    <s v=" "/>
    <s v=" 34.9403 "/>
    <x v="10"/>
    <s v=" 479724.625 "/>
    <s v=" 505727.661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Tamoxifen\Tamoxifen/20201210_Cefas_Test9_Run3/Plate 1/@5/A5_01- exclu.tif"/>
    <m/>
    <m/>
    <x v="1"/>
    <m/>
    <m/>
    <m/>
  </r>
  <r>
    <x v="9"/>
    <x v="1"/>
    <s v="C:\Users\andre\Desktop\REACTIV CEFAS\Tamoxifen\Tamoxifen/20201210_Cefas_Test9_Run3/Plate 1/@5/A5_02.tif "/>
    <s v=" 23338.6563 "/>
    <s v=" 33.7414 "/>
    <x v="0"/>
    <n v="787480"/>
    <m/>
    <m/>
  </r>
  <r>
    <x v="9"/>
    <x v="1"/>
    <s v="C:\Users\andre\Desktop\REACTIV CEFAS\Tamoxifen\Tamoxifen/20201210_Cefas_Test9_Run3/Plate 1/@5/A5_03- exclu.tif"/>
    <m/>
    <m/>
    <x v="1"/>
    <m/>
    <m/>
    <m/>
  </r>
  <r>
    <x v="9"/>
    <x v="1"/>
    <s v="C:\Users\andre\Desktop\REACTIV CEFAS\Tamoxifen\Tamoxifen/20201210_Cefas_Test9_Run3/Plate 1/@5/A5_04- exclu.tif"/>
    <m/>
    <m/>
    <x v="1"/>
    <m/>
    <m/>
    <m/>
  </r>
  <r>
    <x v="9"/>
    <x v="2"/>
    <s v="C:\Users\andre\Desktop\REACTIV CEFAS\Tamoxifen\Tamoxifen/20201210_Cefas_Test9_Run3/Plate 1/@5/B5_01.tif "/>
    <s v=" 58249.3062 "/>
    <s v=" 44.6896 "/>
    <x v="0"/>
    <n v="2603136"/>
    <m/>
    <m/>
  </r>
  <r>
    <x v="9"/>
    <x v="2"/>
    <s v="C:\Users\andre\Desktop\REACTIV CEFAS\Tamoxifen\Tamoxifen/20201210_Cefas_Test9_Run3/Plate 1/@5/B5_02.tif "/>
    <s v=" 51717.0781 "/>
    <s v=" 41.3756 "/>
    <x v="0"/>
    <n v="2139824"/>
    <m/>
    <m/>
  </r>
  <r>
    <x v="9"/>
    <x v="2"/>
    <s v="C:\Users\andre\Desktop\REACTIV CEFAS\Tamoxifen\Tamoxifen/20201210_Cefas_Test9_Run3/Plate 1/@5/B5_03.tif "/>
    <s v=" 52344.345 "/>
    <s v=" 41.3236 "/>
    <x v="0"/>
    <n v="2163054"/>
    <m/>
    <m/>
  </r>
  <r>
    <x v="9"/>
    <x v="2"/>
    <s v="C:\Users\andre\Desktop\REACTIV CEFAS\Tamoxifen\Tamoxifen/20201210_Cefas_Test9_Run3/Plate 1/@5/B5_04.tif "/>
    <s v=" 51760.3378 "/>
    <s v=" 42.2043 "/>
    <x v="0"/>
    <n v="2184511"/>
    <m/>
    <m/>
  </r>
  <r>
    <x v="9"/>
    <x v="3"/>
    <s v="C:\Users\andre\Desktop\REACTIV CEFAS\Tamoxifen\Tamoxifen/20201210_Cefas_Test9_Run3/Plate 1/@5/C5_01.tif "/>
    <s v=" 66533.5559 "/>
    <s v=" 48.251 "/>
    <x v="0"/>
    <n v="3210309"/>
    <m/>
    <m/>
  </r>
  <r>
    <x v="9"/>
    <x v="3"/>
    <s v="C:\Users\andre\Desktop\REACTIV CEFAS\Tamoxifen\Tamoxifen/20201210_Cefas_Test9_Run3/Plate 1/@5/C5_02.tif "/>
    <s v=" 61537.0502 "/>
    <s v=" 45.6699 "/>
    <x v="0"/>
    <n v="2810394"/>
    <m/>
    <m/>
  </r>
  <r>
    <x v="9"/>
    <x v="3"/>
    <s v="C:\Users\andre\Desktop\REACTIV CEFAS\Tamoxifen\Tamoxifen/20201210_Cefas_Test9_Run3/Plate 1/@5/C5_03.tif "/>
    <s v=" 63700.0397 "/>
    <s v=" 48.2808 "/>
    <x v="0"/>
    <n v="3075490"/>
    <m/>
    <m/>
  </r>
  <r>
    <x v="9"/>
    <x v="3"/>
    <s v="C:\Users\andre\Desktop\REACTIV CEFAS\Tamoxifen\Tamoxifen/20201210_Cefas_Test9_Run3/Plate 1/@5/C5_04.tif "/>
    <s v=" 60044.5875 "/>
    <s v=" 47.2471 "/>
    <x v="0"/>
    <n v="2836934"/>
    <m/>
    <m/>
  </r>
  <r>
    <x v="9"/>
    <x v="4"/>
    <s v="C:\Users\andre\Desktop\REACTIV CEFAS\Tamoxifen\Tamoxifen/20201210_Cefas_Test9_Run3/Plate 1/@5/D5_01.tif "/>
    <s v=" 3720.3419 "/>
    <s v=" 31.7209 "/>
    <x v="0"/>
    <n v="118013"/>
    <m/>
    <m/>
  </r>
  <r>
    <x v="9"/>
    <x v="4"/>
    <s v="C:\Users\andre\Desktop\REACTIV CEFAS\Tamoxifen\Tamoxifen/20201210_Cefas_Test9_Run3/Plate 1/@5/D5_02.tif "/>
    <s v=" 24636.45 "/>
    <s v=" 34.6664 "/>
    <x v="0"/>
    <n v="854056"/>
    <m/>
    <m/>
  </r>
  <r>
    <x v="9"/>
    <x v="4"/>
    <s v="C:\Users\andre\Desktop\REACTIV CEFAS\Tamoxifen\Tamoxifen/20201210_Cefas_Test9_Run3/Plate 1/@5/D5_03.tif "/>
    <s v=" 3114.7048 "/>
    <s v=" 31.8264 "/>
    <x v="0"/>
    <n v="99130"/>
    <m/>
    <m/>
  </r>
  <r>
    <x v="9"/>
    <x v="4"/>
    <s v="C:\Users\andre\Desktop\REACTIV CEFAS\Tamoxifen\Tamoxifen/20201210_Cefas_Test9_Run3/Plate 1/@5/D5_04.tif "/>
    <s v=" 17412.0652 "/>
    <s v=" 33.328 "/>
    <x v="0"/>
    <n v="580308"/>
    <m/>
    <m/>
  </r>
  <r>
    <x v="9"/>
    <x v="5"/>
    <s v="C:\Users\andre\Desktop\REACTIV CEFAS\Tamoxifen\Tamoxifen/20201210_Cefas_Test9_Run3/Plate 1/@5/E5_01.tif "/>
    <s v=" 62856.4738 "/>
    <s v=" 41.2577 "/>
    <x v="0"/>
    <n v="2593316"/>
    <m/>
    <m/>
  </r>
  <r>
    <x v="9"/>
    <x v="5"/>
    <s v="C:\Users\andre\Desktop\REACTIV CEFAS\Tamoxifen\Tamoxifen/20201210_Cefas_Test9_Run3/Plate 1/@5/E5_02.tif "/>
    <s v=" 73325.3428 "/>
    <s v=" 41.8209 "/>
    <x v="0"/>
    <n v="3066535"/>
    <m/>
    <m/>
  </r>
  <r>
    <x v="9"/>
    <x v="5"/>
    <s v="C:\Users\andre\Desktop\REACTIV CEFAS\Tamoxifen\Tamoxifen/20201210_Cefas_Test9_Run3/Plate 1/@5/E5_03.tif "/>
    <s v=" 58487.2351 "/>
    <s v=" 37.7899 "/>
    <x v="0"/>
    <n v="2210229"/>
    <m/>
    <m/>
  </r>
  <r>
    <x v="9"/>
    <x v="5"/>
    <s v="C:\Users\andre\Desktop\REACTIV CEFAS\Tamoxifen\Tamoxifen/20201210_Cefas_Test9_Run3/Plate 1/@5/E5_04.tif "/>
    <s v=" 63764.9294 "/>
    <s v=" 39.5543 "/>
    <x v="0"/>
    <n v="2522175"/>
    <m/>
    <m/>
  </r>
  <r>
    <x v="9"/>
    <x v="6"/>
    <s v="C:\Users\andre\Desktop\REACTIV CEFAS\Tamoxifen\Tamoxifen/20201210_Cefas_Test9_Run3/Plate 1/@5/F5_01- exclu.tif"/>
    <m/>
    <m/>
    <x v="1"/>
    <m/>
    <m/>
    <m/>
  </r>
  <r>
    <x v="9"/>
    <x v="6"/>
    <s v="C:\Users\andre\Desktop\REACTIV CEFAS\Tamoxifen\Tamoxifen/20201210_Cefas_Test9_Run3/Plate 1/@5/F5_02.tif "/>
    <s v=" 13021.1966 "/>
    <s v=" 35.2591 "/>
    <x v="0"/>
    <n v="459116"/>
    <m/>
    <m/>
  </r>
  <r>
    <x v="9"/>
    <x v="6"/>
    <s v="C:\Users\andre\Desktop\REACTIV CEFAS\Tamoxifen\Tamoxifen/20201210_Cefas_Test9_Run3/Plate 1/@5/F5_03- exclu.tif"/>
    <m/>
    <m/>
    <x v="1"/>
    <m/>
    <m/>
    <m/>
  </r>
  <r>
    <x v="9"/>
    <x v="6"/>
    <s v="C:\Users\andre\Desktop\REACTIV CEFAS\Tamoxifen\Tamoxifen/20201210_Cefas_Test9_Run3/Plate 1/@5/F5_04.tif "/>
    <s v=" 5969.8509 "/>
    <s v=" 33.0543 "/>
    <x v="0"/>
    <n v="197330"/>
    <m/>
    <m/>
  </r>
  <r>
    <x v="9"/>
    <x v="7"/>
    <s v="C:\Users\andre\Desktop\REACTIV CEFAS\Tamoxifen\Tamoxifen/20201210_Cefas_Test9_Run3/Plate 1/@5/G5_01.tif "/>
    <s v=" 44925.2911 "/>
    <s v=" 35.0289 "/>
    <x v="0"/>
    <n v="1573683"/>
    <m/>
    <m/>
  </r>
  <r>
    <x v="9"/>
    <x v="7"/>
    <s v="C:\Users\andre\Desktop\REACTIV CEFAS\Tamoxifen\Tamoxifen/20201210_Cefas_Test9_Run3/Plate 1/@5/G5_02- exclu.tif"/>
    <m/>
    <m/>
    <x v="1"/>
    <m/>
    <m/>
    <m/>
  </r>
  <r>
    <x v="9"/>
    <x v="7"/>
    <s v="C:\Users\andre\Desktop\REACTIV CEFAS\Tamoxifen\Tamoxifen/20201210_Cefas_Test9_Run3/Plate 1/@5/G5_03- exclu.tif"/>
    <m/>
    <m/>
    <x v="1"/>
    <m/>
    <m/>
    <m/>
  </r>
  <r>
    <x v="9"/>
    <x v="7"/>
    <s v="C:\Users\andre\Desktop\REACTIV CEFAS\Tamoxifen\Tamoxifen/20201210_Cefas_Test9_Run3/Plate 1/@5/G5_04- exclu.tif"/>
    <m/>
    <m/>
    <x v="1"/>
    <m/>
    <m/>
    <m/>
  </r>
  <r>
    <x v="9"/>
    <x v="8"/>
    <s v="C:\Users\andre\Desktop\REACTIV CEFAS\Tamoxifen\Tamoxifen/20201210_Cefas_Test9_Run3/Plate 1/@5/H5_01.tif "/>
    <s v=" 47088.2806 "/>
    <s v=" 38.158 "/>
    <x v="0"/>
    <n v="1796795"/>
    <m/>
    <m/>
  </r>
  <r>
    <x v="9"/>
    <x v="8"/>
    <s v="C:\Users\andre\Desktop\REACTIV CEFAS\Tamoxifen\Tamoxifen/20201210_Cefas_Test9_Run3/Plate 1/@5/H5_02.tif "/>
    <s v=" 39150.1093 "/>
    <s v=" 35.5757 "/>
    <x v="0"/>
    <n v="1392792"/>
    <m/>
    <m/>
  </r>
  <r>
    <x v="9"/>
    <x v="8"/>
    <s v="C:\Users\andre\Desktop\REACTIV CEFAS\Tamoxifen\Tamoxifen/20201210_Cefas_Test9_Run3/Plate 1/@5/H5_03.tif "/>
    <s v=" 40534.4225 "/>
    <s v=" 36.1499 "/>
    <x v="0"/>
    <n v="1465317"/>
    <m/>
    <m/>
  </r>
  <r>
    <x v="9"/>
    <x v="8"/>
    <s v="C:\Users\andre\Desktop\REACTIV CEFAS\Tamoxifen\Tamoxifen/20201210_Cefas_Test9_Run3/Plate 1/@5/H5_04.tif "/>
    <s v=" 46504.2735 "/>
    <s v=" 39.6512 "/>
    <x v="0"/>
    <n v="1843949"/>
    <m/>
    <m/>
  </r>
  <r>
    <x v="0"/>
    <x v="0"/>
    <s v=" "/>
    <m/>
    <m/>
    <x v="1"/>
    <m/>
    <m/>
    <m/>
  </r>
  <r>
    <x v="0"/>
    <x v="0"/>
    <s v="group "/>
    <s v=" "/>
    <s v=" mean of mean fluo "/>
    <x v="2"/>
    <s v=" mean of total fluo "/>
    <s v=" SD total fluo "/>
    <m/>
  </r>
  <r>
    <x v="9"/>
    <x v="9"/>
    <s v="C:\Users\andre\Desktop\REACTIV CEFAS\Tamoxifen\Tamoxifen/20201210_Cefas_Test9_Run3/Plate 1/@5/ "/>
    <s v=" "/>
    <s v=" 37.9896 "/>
    <x v="11"/>
    <s v=" 1605178.75 "/>
    <s v=" 1017758.56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Tamoxifen\Tamoxifen/20201210_Cefas_Test9_Run3/Plate 1/@6/A6_01.tif "/>
    <s v=" 75466.7024 "/>
    <s v=" 48.4821 "/>
    <x v="0"/>
    <n v="3658783"/>
    <m/>
    <m/>
  </r>
  <r>
    <x v="10"/>
    <x v="1"/>
    <s v="C:\Users\andre\Desktop\REACTIV CEFAS\Tamoxifen\Tamoxifen/20201210_Cefas_Test9_Run3/Plate 1/@6/A6_02.tif "/>
    <s v=" 66663.3352 "/>
    <s v=" 47.9977 "/>
    <x v="0"/>
    <n v="3199689"/>
    <m/>
    <m/>
  </r>
  <r>
    <x v="10"/>
    <x v="1"/>
    <s v="C:\Users\andre\Desktop\REACTIV CEFAS\Tamoxifen\Tamoxifen/20201210_Cefas_Test9_Run3/Plate 1/@6/A6_03.tif "/>
    <s v=" 72351.9975 "/>
    <s v=" 46.2404 "/>
    <x v="0"/>
    <n v="3345582"/>
    <m/>
    <m/>
  </r>
  <r>
    <x v="10"/>
    <x v="1"/>
    <s v="C:\Users\andre\Desktop\REACTIV CEFAS\Tamoxifen\Tamoxifen/20201210_Cefas_Test9_Run3/Plate 1/@6/A6_04.tif "/>
    <s v=" 78559.7773 "/>
    <s v=" 50.2566 "/>
    <x v="0"/>
    <n v="3948148"/>
    <m/>
    <m/>
  </r>
  <r>
    <x v="10"/>
    <x v="2"/>
    <s v="C:\Users\andre\Desktop\REACTIV CEFAS\Tamoxifen\Tamoxifen/20201210_Cefas_Test9_Run3/Plate 1/@6/B6_01- exclu.tif"/>
    <m/>
    <m/>
    <x v="1"/>
    <m/>
    <m/>
    <m/>
  </r>
  <r>
    <x v="10"/>
    <x v="2"/>
    <s v="C:\Users\andre\Desktop\REACTIV CEFAS\Tamoxifen\Tamoxifen/20201210_Cefas_Test9_Run3/Plate 1/@6/B6_02- exclu.tif"/>
    <m/>
    <m/>
    <x v="1"/>
    <m/>
    <m/>
    <m/>
  </r>
  <r>
    <x v="10"/>
    <x v="2"/>
    <s v="C:\Users\andre\Desktop\REACTIV CEFAS\Tamoxifen\Tamoxifen/20201210_Cefas_Test9_Run3/Plate 1/@6/B6_03- exclu.tif"/>
    <m/>
    <m/>
    <x v="1"/>
    <m/>
    <m/>
    <m/>
  </r>
  <r>
    <x v="10"/>
    <x v="2"/>
    <s v="C:\Users\andre\Desktop\REACTIV CEFAS\Tamoxifen\Tamoxifen/20201210_Cefas_Test9_Run3/Plate 1/@6/B6_04- exclu.tif"/>
    <m/>
    <m/>
    <x v="1"/>
    <m/>
    <m/>
    <m/>
  </r>
  <r>
    <x v="10"/>
    <x v="3"/>
    <s v="C:\Users\andre\Desktop\REACTIV CEFAS\Tamoxifen\Tamoxifen/20201210_Cefas_Test9_Run3/Plate 1/@6/C6_01.tif "/>
    <s v=" 83945.6211 "/>
    <s v=" 46.7016 "/>
    <x v="0"/>
    <n v="3920397"/>
    <m/>
    <m/>
  </r>
  <r>
    <x v="10"/>
    <x v="3"/>
    <s v="C:\Users\andre\Desktop\REACTIV CEFAS\Tamoxifen\Tamoxifen/20201210_Cefas_Test9_Run3/Plate 1/@6/C6_02.tif "/>
    <s v=" 84724.2973 "/>
    <s v=" 47.4271 "/>
    <x v="0"/>
    <n v="4018229"/>
    <m/>
    <m/>
  </r>
  <r>
    <x v="10"/>
    <x v="3"/>
    <s v="C:\Users\andre\Desktop\REACTIV CEFAS\Tamoxifen\Tamoxifen/20201210_Cefas_Test9_Run3/Plate 1/@6/C6_03.tif "/>
    <s v=" 84659.4076 "/>
    <s v=" 46.4683 "/>
    <x v="0"/>
    <n v="3933980"/>
    <m/>
    <m/>
  </r>
  <r>
    <x v="10"/>
    <x v="3"/>
    <s v="C:\Users\andre\Desktop\REACTIV CEFAS\Tamoxifen\Tamoxifen/20201210_Cefas_Test9_Run3/Plate 1/@6/C6_04.tif "/>
    <s v=" 89071.9061 "/>
    <s v=" 49.6508 "/>
    <x v="0"/>
    <n v="4422492"/>
    <m/>
    <m/>
  </r>
  <r>
    <x v="10"/>
    <x v="4"/>
    <s v="C:\Users\andre\Desktop\REACTIV CEFAS\Tamoxifen\Tamoxifen/20201210_Cefas_Test9_Run3/Plate 1/@6/D6_01.tif "/>
    <s v=" 66598.4456 "/>
    <s v=" 49.1095 "/>
    <x v="0"/>
    <n v="3270613"/>
    <m/>
    <m/>
  </r>
  <r>
    <x v="10"/>
    <x v="4"/>
    <s v="C:\Users\andre\Desktop\REACTIV CEFAS\Tamoxifen\Tamoxifen/20201210_Cefas_Test9_Run3/Plate 1/@6/D6_02.tif "/>
    <s v=" 70816.275 "/>
    <s v=" 53.7443 "/>
    <x v="0"/>
    <n v="3805975"/>
    <m/>
    <m/>
  </r>
  <r>
    <x v="10"/>
    <x v="4"/>
    <s v="C:\Users\andre\Desktop\REACTIV CEFAS\Tamoxifen\Tamoxifen/20201210_Cefas_Test9_Run3/Plate 1/@6/D6_03.tif "/>
    <s v=" 65408.8014 "/>
    <s v=" 55.1567 "/>
    <x v="0"/>
    <n v="3607737"/>
    <m/>
    <m/>
  </r>
  <r>
    <x v="10"/>
    <x v="4"/>
    <s v="C:\Users\andre\Desktop\REACTIV CEFAS\Tamoxifen\Tamoxifen/20201210_Cefas_Test9_Run3/Plate 1/@6/D6_04.tif "/>
    <s v=" 70621.606 "/>
    <s v=" 53.7538 "/>
    <x v="0"/>
    <n v="3796176"/>
    <m/>
    <m/>
  </r>
  <r>
    <x v="10"/>
    <x v="5"/>
    <s v="C:\Users\andre\Desktop\REACTIV CEFAS\Tamoxifen\Tamoxifen/20201210_Cefas_Test9_Run3/Plate 1/@6/E6_01.tif "/>
    <s v=" 22213.9018 "/>
    <s v=" 44.2084 "/>
    <x v="0"/>
    <n v="982040"/>
    <m/>
    <m/>
  </r>
  <r>
    <x v="10"/>
    <x v="5"/>
    <s v="C:\Users\andre\Desktop\REACTIV CEFAS\Tamoxifen\Tamoxifen/20201210_Cefas_Test9_Run3/Plate 1/@6/E6_02.tif "/>
    <s v=" 31687.7956 "/>
    <s v=" 44.4833 "/>
    <x v="0"/>
    <n v="1409577"/>
    <m/>
    <m/>
  </r>
  <r>
    <x v="10"/>
    <x v="5"/>
    <s v="C:\Users\andre\Desktop\REACTIV CEFAS\Tamoxifen\Tamoxifen/20201210_Cefas_Test9_Run3/Plate 1/@6/E6_03.tif "/>
    <s v=" 31233.5678 "/>
    <s v=" 43.5506 "/>
    <x v="0"/>
    <n v="1360239"/>
    <m/>
    <m/>
  </r>
  <r>
    <x v="10"/>
    <x v="5"/>
    <s v="C:\Users\andre\Desktop\REACTIV CEFAS\Tamoxifen\Tamoxifen/20201210_Cefas_Test9_Run3/Plate 1/@6/E6_04.tif "/>
    <s v=" 17433.6951 "/>
    <s v=" 43.0831 "/>
    <x v="0"/>
    <n v="751098"/>
    <m/>
    <m/>
  </r>
  <r>
    <x v="10"/>
    <x v="6"/>
    <s v="C:\Users\andre\Desktop\REACTIV CEFAS\Tamoxifen\Tamoxifen/20201210_Cefas_Test9_Run3/Plate 1/@6/F6_01.tif "/>
    <s v=" 41313.0987 "/>
    <s v=" 44.6037 "/>
    <x v="0"/>
    <n v="1842716"/>
    <m/>
    <m/>
  </r>
  <r>
    <x v="10"/>
    <x v="6"/>
    <s v="C:\Users\andre\Desktop\REACTIV CEFAS\Tamoxifen\Tamoxifen/20201210_Cefas_Test9_Run3/Plate 1/@6/F6_02.tif "/>
    <s v=" 43757.2768 "/>
    <s v=" 45.522 "/>
    <x v="0"/>
    <n v="1991919"/>
    <m/>
    <m/>
  </r>
  <r>
    <x v="10"/>
    <x v="6"/>
    <s v="C:\Users\andre\Desktop\REACTIV CEFAS\Tamoxifen\Tamoxifen/20201210_Cefas_Test9_Run3/Plate 1/@6/F6_03.tif "/>
    <s v=" 42264.8141 "/>
    <s v=" 49.2385 "/>
    <x v="0"/>
    <n v="2081055"/>
    <m/>
    <m/>
  </r>
  <r>
    <x v="10"/>
    <x v="6"/>
    <s v="C:\Users\andre\Desktop\REACTIV CEFAS\Tamoxifen\Tamoxifen/20201210_Cefas_Test9_Run3/Plate 1/@6/F6_04.tif "/>
    <s v=" 42805.5615 "/>
    <s v=" 46.3133 "/>
    <x v="0"/>
    <n v="1982466"/>
    <m/>
    <m/>
  </r>
  <r>
    <x v="10"/>
    <x v="7"/>
    <s v="C:\Users\andre\Desktop\REACTIV CEFAS\Tamoxifen\Tamoxifen/20201210_Cefas_Test9_Run3/Plate 1/@6/G6_01.tif "/>
    <s v=" 60931.4132 "/>
    <s v=" 49.8122 "/>
    <x v="0"/>
    <n v="3035128"/>
    <m/>
    <m/>
  </r>
  <r>
    <x v="10"/>
    <x v="7"/>
    <s v="C:\Users\andre\Desktop\REACTIV CEFAS\Tamoxifen\Tamoxifen/20201210_Cefas_Test9_Run3/Plate 1/@6/G6_02.tif "/>
    <s v=" 48926.8217 "/>
    <s v=" 48.1631 "/>
    <x v="0"/>
    <n v="2356469"/>
    <m/>
    <m/>
  </r>
  <r>
    <x v="10"/>
    <x v="7"/>
    <s v="C:\Users\andre\Desktop\REACTIV CEFAS\Tamoxifen\Tamoxifen/20201210_Cefas_Test9_Run3/Plate 1/@6/G6_03.tif "/>
    <s v=" 55091.3416 "/>
    <s v=" 51.1327 "/>
    <x v="0"/>
    <n v="2816969"/>
    <m/>
    <m/>
  </r>
  <r>
    <x v="10"/>
    <x v="7"/>
    <s v="C:\Users\andre\Desktop\REACTIV CEFAS\Tamoxifen\Tamoxifen/20201210_Cefas_Test9_Run3/Plate 1/@6/G6_04- exclu.tif"/>
    <m/>
    <m/>
    <x v="1"/>
    <m/>
    <m/>
    <m/>
  </r>
  <r>
    <x v="10"/>
    <x v="8"/>
    <s v="C:\Users\andre\Desktop\REACTIV CEFAS\Tamoxifen\Tamoxifen/20201210_Cefas_Test9_Run3/Plate 1/@6/H6_01.tif "/>
    <s v=" 55307.6406 "/>
    <s v=" 46.9312 "/>
    <x v="0"/>
    <n v="2595652"/>
    <m/>
    <m/>
  </r>
  <r>
    <x v="10"/>
    <x v="8"/>
    <s v="C:\Users\andre\Desktop\REACTIV CEFAS\Tamoxifen\Tamoxifen/20201210_Cefas_Test9_Run3/Plate 1/@6/H6_02.tif "/>
    <s v=" 57600.4094 "/>
    <s v=" 46.6538 "/>
    <x v="0"/>
    <n v="2687276"/>
    <m/>
    <m/>
  </r>
  <r>
    <x v="10"/>
    <x v="8"/>
    <s v="C:\Users\andre\Desktop\REACTIV CEFAS\Tamoxifen\Tamoxifen/20201210_Cefas_Test9_Run3/Plate 1/@6/H6_03.tif "/>
    <s v=" 55696.9787 "/>
    <s v=" 47.1864 "/>
    <x v="0"/>
    <n v="2628140"/>
    <m/>
    <m/>
  </r>
  <r>
    <x v="10"/>
    <x v="8"/>
    <s v="C:\Users\andre\Desktop\REACTIV CEFAS\Tamoxifen\Tamoxifen/20201210_Cefas_Test9_Run3/Plate 1/@6/H6_04.tif "/>
    <s v=" 60520.4452 "/>
    <s v=" 47.6762 "/>
    <x v="0"/>
    <n v="2885385"/>
    <m/>
    <m/>
  </r>
  <r>
    <x v="0"/>
    <x v="0"/>
    <s v=" "/>
    <m/>
    <m/>
    <x v="1"/>
    <m/>
    <m/>
    <m/>
  </r>
  <r>
    <x v="0"/>
    <x v="0"/>
    <s v="group "/>
    <s v=" "/>
    <s v=" mean of mean fluo "/>
    <x v="2"/>
    <s v=" mean of total fluo "/>
    <s v=" SD total fluo "/>
    <m/>
  </r>
  <r>
    <x v="10"/>
    <x v="9"/>
    <s v="C:\Users\andre\Desktop\REACTIV CEFAS\Tamoxifen\Tamoxifen/20201210_Cefas_Test9_Run3/Plate 1/@6/ "/>
    <s v=" "/>
    <s v=" 47.4847 "/>
    <x v="12"/>
    <s v=" 2669827.22 "/>
    <s v=" 1018763.13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Tamoxifen\Tamoxifen/20201210_Cefas_Test9_Run3/Plate 1/@7/A7_01.tif "/>
    <s v=" 92294.7604 "/>
    <s v=" 60.4978 "/>
    <x v="0"/>
    <n v="5583628"/>
    <m/>
    <m/>
  </r>
  <r>
    <x v="11"/>
    <x v="1"/>
    <s v="C:\Users\andre\Desktop\REACTIV CEFAS\Tamoxifen\Tamoxifen/20201210_Cefas_Test9_Run3/Plate 1/@7/A7_02.tif "/>
    <s v=" 92748.9882 "/>
    <s v=" 62.2038 "/>
    <x v="0"/>
    <n v="5769342"/>
    <m/>
    <m/>
  </r>
  <r>
    <x v="11"/>
    <x v="1"/>
    <s v="C:\Users\andre\Desktop\REACTIV CEFAS\Tamoxifen\Tamoxifen/20201210_Cefas_Test9_Run3/Plate 1/@7/A7_03.tif "/>
    <s v=" 94284.7107 "/>
    <s v=" 62.4079 "/>
    <x v="0"/>
    <n v="5884110"/>
    <m/>
    <m/>
  </r>
  <r>
    <x v="11"/>
    <x v="1"/>
    <s v="C:\Users\andre\Desktop\REACTIV CEFAS\Tamoxifen\Tamoxifen/20201210_Cefas_Test9_Run3/Plate 1/@7/A7_04.tif "/>
    <s v=" 92597.5789 "/>
    <s v=" 59.9923 "/>
    <x v="0"/>
    <n v="5555141"/>
    <m/>
    <m/>
  </r>
  <r>
    <x v="11"/>
    <x v="2"/>
    <s v="C:\Users\andre\Desktop\REACTIV CEFAS\Tamoxifen\Tamoxifen/20201210_Cefas_Test9_Run3/Plate 1/@7/B7_01- exclu.tif"/>
    <m/>
    <m/>
    <x v="1"/>
    <m/>
    <m/>
    <m/>
  </r>
  <r>
    <x v="11"/>
    <x v="2"/>
    <s v="C:\Users\andre\Desktop\REACTIV CEFAS\Tamoxifen\Tamoxifen/20201210_Cefas_Test9_Run3/Plate 1/@7/B7_02- exclu.tif"/>
    <m/>
    <m/>
    <x v="1"/>
    <m/>
    <m/>
    <m/>
  </r>
  <r>
    <x v="11"/>
    <x v="2"/>
    <s v="C:\Users\andre\Desktop\REACTIV CEFAS\Tamoxifen\Tamoxifen/20201210_Cefas_Test9_Run3/Plate 1/@7/B7_03- exclu.tif"/>
    <m/>
    <m/>
    <x v="1"/>
    <m/>
    <m/>
    <m/>
  </r>
  <r>
    <x v="11"/>
    <x v="2"/>
    <s v="C:\Users\andre\Desktop\REACTIV CEFAS\Tamoxifen\Tamoxifen/20201210_Cefas_Test9_Run3/Plate 1/@7/B7_04.tif "/>
    <s v=" 96901.9279 "/>
    <s v=" 64.6634 "/>
    <x v="0"/>
    <n v="6266007"/>
    <m/>
    <m/>
  </r>
  <r>
    <x v="11"/>
    <x v="3"/>
    <s v="C:\Users\andre\Desktop\REACTIV CEFAS\Tamoxifen\Tamoxifen/20201210_Cefas_Test9_Run3/Plate 1/@7/C7_01.tif "/>
    <s v=" 66706.595 "/>
    <s v=" 53.2348 "/>
    <x v="0"/>
    <n v="3551110"/>
    <m/>
    <m/>
  </r>
  <r>
    <x v="11"/>
    <x v="3"/>
    <s v="C:\Users\andre\Desktop\REACTIV CEFAS\Tamoxifen\Tamoxifen/20201210_Cefas_Test9_Run3/Plate 1/@7/C7_02.tif "/>
    <s v=" 69194.0329 "/>
    <s v=" 59.2682 "/>
    <x v="0"/>
    <n v="4101006"/>
    <m/>
    <m/>
  </r>
  <r>
    <x v="11"/>
    <x v="3"/>
    <s v="C:\Users\andre\Desktop\REACTIV CEFAS\Tamoxifen\Tamoxifen/20201210_Cefas_Test9_Run3/Plate 1/@7/C7_03.tif "/>
    <s v=" 64976.2035 "/>
    <s v=" 54.2706 "/>
    <x v="0"/>
    <n v="3526300"/>
    <m/>
    <m/>
  </r>
  <r>
    <x v="11"/>
    <x v="3"/>
    <s v="C:\Users\andre\Desktop\REACTIV CEFAS\Tamoxifen\Tamoxifen/20201210_Cefas_Test9_Run3/Plate 1/@7/C7_04.tif "/>
    <s v=" 63353.9614 "/>
    <s v=" 54.0731 "/>
    <x v="0"/>
    <n v="3425743"/>
    <m/>
    <m/>
  </r>
  <r>
    <x v="11"/>
    <x v="4"/>
    <s v="C:\Users\andre\Desktop\REACTIV CEFAS\Tamoxifen\Tamoxifen/20201210_Cefas_Test9_Run3/Plate 1/@7/D7_01.tif "/>
    <s v=" 82734.347 "/>
    <s v=" 61.4952 "/>
    <x v="0"/>
    <n v="5087762"/>
    <m/>
    <m/>
  </r>
  <r>
    <x v="11"/>
    <x v="4"/>
    <s v="C:\Users\andre\Desktop\REACTIV CEFAS\Tamoxifen\Tamoxifen/20201210_Cefas_Test9_Run3/Plate 1/@7/D7_02.tif "/>
    <s v=" 78559.7773 "/>
    <s v=" 61.3345 "/>
    <x v="0"/>
    <n v="4818427"/>
    <m/>
    <m/>
  </r>
  <r>
    <x v="11"/>
    <x v="4"/>
    <s v="C:\Users\andre\Desktop\REACTIV CEFAS\Tamoxifen\Tamoxifen/20201210_Cefas_Test9_Run3/Plate 1/@7/D7_03.tif "/>
    <s v=" 80355.0585 "/>
    <s v=" 64.5133 "/>
    <x v="0"/>
    <n v="5183972"/>
    <m/>
    <m/>
  </r>
  <r>
    <x v="11"/>
    <x v="4"/>
    <s v="C:\Users\andre\Desktop\REACTIV CEFAS\Tamoxifen\Tamoxifen/20201210_Cefas_Test9_Run3/Plate 1/@7/D7_04.tif "/>
    <s v=" 80441.5781 "/>
    <s v=" 59.2423 "/>
    <x v="0"/>
    <n v="4765542"/>
    <m/>
    <m/>
  </r>
  <r>
    <x v="11"/>
    <x v="5"/>
    <s v="C:\Users\andre\Desktop\REACTIV CEFAS\Tamoxifen\Tamoxifen/20201210_Cefas_Test9_Run3/Plate 1/@7/E7_01.tif "/>
    <s v=" 68501.8763 "/>
    <s v=" 56.8137 "/>
    <x v="0"/>
    <n v="3891845"/>
    <m/>
    <m/>
  </r>
  <r>
    <x v="11"/>
    <x v="5"/>
    <s v="C:\Users\andre\Desktop\REACTIV CEFAS\Tamoxifen\Tamoxifen/20201210_Cefas_Test9_Run3/Plate 1/@7/E7_02.tif "/>
    <s v=" 69129.1432 "/>
    <s v=" 55.0391 "/>
    <x v="0"/>
    <n v="3804807"/>
    <m/>
    <m/>
  </r>
  <r>
    <x v="11"/>
    <x v="5"/>
    <s v="C:\Users\andre\Desktop\REACTIV CEFAS\Tamoxifen\Tamoxifen/20201210_Cefas_Test9_Run3/Plate 1/@7/E7_03.tif "/>
    <s v=" 68761.435 "/>
    <s v=" 58.8761 "/>
    <x v="0"/>
    <n v="4048402"/>
    <m/>
    <m/>
  </r>
  <r>
    <x v="11"/>
    <x v="5"/>
    <s v="C:\Users\andre\Desktop\REACTIV CEFAS\Tamoxifen\Tamoxifen/20201210_Cefas_Test9_Run3/Plate 1/@7/E7_04.tif "/>
    <s v=" 70751.3853 "/>
    <s v=" 57.1804 "/>
    <x v="0"/>
    <n v="4045591"/>
    <m/>
    <m/>
  </r>
  <r>
    <x v="11"/>
    <x v="6"/>
    <s v="C:\Users\andre\Desktop\REACTIV CEFAS\Tamoxifen\Tamoxifen/20201210_Cefas_Test9_Run3/Plate 1/@7/F7_01- exclu.tif"/>
    <m/>
    <m/>
    <x v="1"/>
    <m/>
    <m/>
    <m/>
  </r>
  <r>
    <x v="11"/>
    <x v="6"/>
    <s v="C:\Users\andre\Desktop\REACTIV CEFAS\Tamoxifen\Tamoxifen/20201210_Cefas_Test9_Run3/Plate 1/@7/F7_02- exclu.tif"/>
    <m/>
    <m/>
    <x v="1"/>
    <m/>
    <m/>
    <m/>
  </r>
  <r>
    <x v="11"/>
    <x v="6"/>
    <s v="C:\Users\andre\Desktop\REACTIV CEFAS\Tamoxifen\Tamoxifen/20201210_Cefas_Test9_Run3/Plate 1/@7/F7_03- exclu.tif"/>
    <m/>
    <m/>
    <x v="1"/>
    <m/>
    <m/>
    <m/>
  </r>
  <r>
    <x v="11"/>
    <x v="6"/>
    <s v="C:\Users\andre\Desktop\REACTIV CEFAS\Tamoxifen\Tamoxifen/20201210_Cefas_Test9_Run3/Plate 1/@7/F7_04- exclu.tif"/>
    <m/>
    <m/>
    <x v="1"/>
    <m/>
    <m/>
    <m/>
  </r>
  <r>
    <x v="11"/>
    <x v="7"/>
    <s v="C:\Users\andre\Desktop\REACTIV CEFAS\Tamoxifen\Tamoxifen/20201210_Cefas_Test9_Run3/Plate 1/@7/G7_01.tif "/>
    <s v=" 73649.7912 "/>
    <s v=" 44.2511 "/>
    <x v="0"/>
    <n v="3259084"/>
    <m/>
    <m/>
  </r>
  <r>
    <x v="11"/>
    <x v="7"/>
    <s v="C:\Users\andre\Desktop\REACTIV CEFAS\Tamoxifen\Tamoxifen/20201210_Cefas_Test9_Run3/Plate 1/@7/G7_02.tif "/>
    <s v=" 69367.0721 "/>
    <s v=" 43.8575 "/>
    <x v="0"/>
    <n v="3042266"/>
    <m/>
    <m/>
  </r>
  <r>
    <x v="11"/>
    <x v="7"/>
    <s v="C:\Users\andre\Desktop\REACTIV CEFAS\Tamoxifen\Tamoxifen/20201210_Cefas_Test9_Run3/Plate 1/@7/G7_03.tif "/>
    <s v=" 69237.2927 "/>
    <s v=" 43.7545 "/>
    <x v="0"/>
    <n v="3029440"/>
    <m/>
    <m/>
  </r>
  <r>
    <x v="11"/>
    <x v="7"/>
    <s v="C:\Users\andre\Desktop\REACTIV CEFAS\Tamoxifen\Tamoxifen/20201210_Cefas_Test9_Run3/Plate 1/@7/G7_04.tif "/>
    <s v=" 73022.5243 "/>
    <s v=" 48.0702 "/>
    <x v="0"/>
    <n v="3510207"/>
    <m/>
    <m/>
  </r>
  <r>
    <x v="11"/>
    <x v="8"/>
    <s v="C:\Users\andre\Desktop\REACTIV CEFAS\Tamoxifen\Tamoxifen/20201210_Cefas_Test9_Run3/Plate 1/@7/H7_01- exclu.tif"/>
    <m/>
    <m/>
    <x v="1"/>
    <m/>
    <m/>
    <m/>
  </r>
  <r>
    <x v="11"/>
    <x v="8"/>
    <s v="C:\Users\andre\Desktop\REACTIV CEFAS\Tamoxifen\Tamoxifen/20201210_Cefas_Test9_Run3/Plate 1/@7/H7_02- exclu.tif"/>
    <m/>
    <m/>
    <x v="1"/>
    <m/>
    <m/>
    <m/>
  </r>
  <r>
    <x v="11"/>
    <x v="8"/>
    <s v="C:\Users\andre\Desktop\REACTIV CEFAS\Tamoxifen\Tamoxifen/20201210_Cefas_Test9_Run3/Plate 1/@7/H7_03- exclu.tif"/>
    <m/>
    <m/>
    <x v="1"/>
    <m/>
    <m/>
    <m/>
  </r>
  <r>
    <x v="11"/>
    <x v="8"/>
    <s v="C:\Users\andre\Desktop\REACTIV CEFAS\Tamoxifen\Tamoxifen/20201210_Cefas_Test9_Run3/Plate 1/@7/H7_04- exclu.tif"/>
    <m/>
    <m/>
    <x v="1"/>
    <m/>
    <m/>
    <m/>
  </r>
  <r>
    <x v="0"/>
    <x v="0"/>
    <s v=" "/>
    <m/>
    <m/>
    <x v="1"/>
    <m/>
    <m/>
    <m/>
  </r>
  <r>
    <x v="0"/>
    <x v="0"/>
    <s v="group "/>
    <s v=" "/>
    <s v=" mean of mean fluo "/>
    <x v="2"/>
    <s v=" mean of total fluo "/>
    <s v=" SD total fluo "/>
    <m/>
  </r>
  <r>
    <x v="11"/>
    <x v="9"/>
    <s v="C:\Users\andre\Desktop\REACTIV CEFAS\Tamoxifen\Tamoxifen/20201210_Cefas_Test9_Run3/Plate 1/@7/ "/>
    <s v=" "/>
    <s v=" 50.559 "/>
    <x v="13"/>
    <s v=" 3345979.06 "/>
    <s v=" 2129631.33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Tamoxifen\Tamoxifen/20201210_Cefas_Test9_Run3/Plate 3/@10/A4_01.tif "/>
    <s v=" 1341.0535 "/>
    <s v=" 31.7258 "/>
    <x v="0"/>
    <n v="42546"/>
    <m/>
    <m/>
  </r>
  <r>
    <x v="12"/>
    <x v="1"/>
    <s v="C:\Users\andre\Desktop\REACTIV CEFAS\Tamoxifen\Tamoxifen/20201210_Cefas_Test9_Run3/Plate 3/@10/A4_02.tif "/>
    <s v=" 3136.3347 "/>
    <s v=" 32.6897 "/>
    <x v="0"/>
    <n v="102526"/>
    <m/>
    <m/>
  </r>
  <r>
    <x v="12"/>
    <x v="1"/>
    <s v="C:\Users\andre\Desktop\REACTIV CEFAS\Tamoxifen\Tamoxifen/20201210_Cefas_Test9_Run3/Plate 3/@10/A4_03.tif "/>
    <s v=" 3763.6017 "/>
    <s v=" 32.6724 "/>
    <x v="0"/>
    <n v="122966"/>
    <m/>
    <m/>
  </r>
  <r>
    <x v="12"/>
    <x v="1"/>
    <s v="C:\Users\andre\Desktop\REACTIV CEFAS\Tamoxifen\Tamoxifen/20201210_Cefas_Test9_Run3/Plate 3/@10/A4_04.tif "/>
    <s v=" 2465.808 "/>
    <s v=" 31.6316 "/>
    <x v="0"/>
    <n v="77997"/>
    <m/>
    <m/>
  </r>
  <r>
    <x v="12"/>
    <x v="2"/>
    <s v="C:\Users\andre\Desktop\REACTIV CEFAS\Tamoxifen\Tamoxifen/20201210_Cefas_Test9_Run3/Plate 3/@10/B4_01.tif "/>
    <s v=" 3698.712 "/>
    <s v=" 32.0819 "/>
    <x v="0"/>
    <n v="118662"/>
    <m/>
    <m/>
  </r>
  <r>
    <x v="12"/>
    <x v="2"/>
    <s v="C:\Users\andre\Desktop\REACTIV CEFAS\Tamoxifen\Tamoxifen/20201210_Cefas_Test9_Run3/Plate 3/@10/B4_02.tif "/>
    <s v=" 9928.1216 "/>
    <s v=" 32.6885 "/>
    <x v="0"/>
    <n v="324535"/>
    <m/>
    <m/>
  </r>
  <r>
    <x v="12"/>
    <x v="2"/>
    <s v="C:\Users\andre\Desktop\REACTIV CEFAS\Tamoxifen\Tamoxifen/20201210_Cefas_Test9_Run3/Plate 3/@10/B4_03.tif "/>
    <s v=" 14405.5098 "/>
    <s v=" 33.1051 "/>
    <x v="0"/>
    <n v="476896"/>
    <m/>
    <m/>
  </r>
  <r>
    <x v="12"/>
    <x v="2"/>
    <s v="C:\Users\andre\Desktop\REACTIV CEFAS\Tamoxifen\Tamoxifen/20201210_Cefas_Test9_Run3/Plate 3/@10/B4_04.tif "/>
    <s v=" 16481.9797 "/>
    <s v=" 33.4633 "/>
    <x v="0"/>
    <n v="551541"/>
    <m/>
    <m/>
  </r>
  <r>
    <x v="12"/>
    <x v="3"/>
    <s v="C:\Users\andre\Desktop\REACTIV CEFAS\Tamoxifen\Tamoxifen/20201210_Cefas_Test9_Run3/Plate 3/@10/C4_01.tif "/>
    <s v=" 3828.4913 "/>
    <s v=" 32.8249 "/>
    <x v="0"/>
    <n v="125670"/>
    <m/>
    <m/>
  </r>
  <r>
    <x v="12"/>
    <x v="3"/>
    <s v="C:\Users\andre\Desktop\REACTIV CEFAS\Tamoxifen\Tamoxifen/20201210_Cefas_Test9_Run3/Plate 3/@10/C4_02.tif "/>
    <s v=" 3525.6728 "/>
    <s v=" 33.1288 "/>
    <x v="0"/>
    <n v="116801"/>
    <m/>
    <m/>
  </r>
  <r>
    <x v="12"/>
    <x v="3"/>
    <s v="C:\Users\andre\Desktop\REACTIV CEFAS\Tamoxifen\Tamoxifen/20201210_Cefas_Test9_Run3/Plate 3/@10/C4_03.tif "/>
    <s v=" 5991.4808 "/>
    <s v=" 37.6209 "/>
    <x v="0"/>
    <n v="225405"/>
    <m/>
    <m/>
  </r>
  <r>
    <x v="12"/>
    <x v="3"/>
    <s v="C:\Users\andre\Desktop\REACTIV CEFAS\Tamoxifen\Tamoxifen/20201210_Cefas_Test9_Run3/Plate 3/@10/C4_04.tif "/>
    <s v=" 9192.7052 "/>
    <s v=" 35.8165 "/>
    <x v="0"/>
    <n v="329250"/>
    <m/>
    <m/>
  </r>
  <r>
    <x v="12"/>
    <x v="4"/>
    <s v="C:\Users\andre\Desktop\REACTIV CEFAS\Tamoxifen\Tamoxifen/20201210_Cefas_Test9_Run3/Plate 3/@10/D4_01.tif "/>
    <s v=" 4109.68 "/>
    <s v=" 33.8474 "/>
    <x v="0"/>
    <n v="139102"/>
    <m/>
    <m/>
  </r>
  <r>
    <x v="12"/>
    <x v="4"/>
    <s v="C:\Users\andre\Desktop\REACTIV CEFAS\Tamoxifen\Tamoxifen/20201210_Cefas_Test9_Run3/Plate 3/@10/D4_02.tif "/>
    <s v=" 627.2669 "/>
    <s v=" 31.3448 "/>
    <x v="0"/>
    <n v="19662"/>
    <m/>
    <m/>
  </r>
  <r>
    <x v="12"/>
    <x v="4"/>
    <s v="C:\Users\andre\Desktop\REACTIV CEFAS\Tamoxifen\Tamoxifen/20201210_Cefas_Test9_Run3/Plate 3/@10/D4_03.tif "/>
    <s v=" 1622.2421 "/>
    <s v=" 37.76 "/>
    <x v="0"/>
    <n v="61256"/>
    <m/>
    <m/>
  </r>
  <r>
    <x v="12"/>
    <x v="4"/>
    <s v="C:\Users\andre\Desktop\REACTIV CEFAS\Tamoxifen\Tamoxifen/20201210_Cefas_Test9_Run3/Plate 3/@10/D4_04.tif "/>
    <s v=" 5212.8046 "/>
    <s v=" 38.3693 "/>
    <x v="0"/>
    <n v="200012"/>
    <m/>
    <m/>
  </r>
  <r>
    <x v="12"/>
    <x v="5"/>
    <s v="C:\Users\andre\Desktop\REACTIV CEFAS\Tamoxifen\Tamoxifen/20201210_Cefas_Test9_Run3/Plate 3/@10/E4_01.tif "/>
    <s v=" 9668.5629 "/>
    <s v=" 37.9463 "/>
    <x v="0"/>
    <n v="366886"/>
    <m/>
    <m/>
  </r>
  <r>
    <x v="12"/>
    <x v="5"/>
    <s v="C:\Users\andre\Desktop\REACTIV CEFAS\Tamoxifen\Tamoxifen/20201210_Cefas_Test9_Run3/Plate 3/@10/E4_02.tif "/>
    <s v=" 14297.3603 "/>
    <s v=" 38.7897 "/>
    <x v="0"/>
    <n v="554590"/>
    <m/>
    <m/>
  </r>
  <r>
    <x v="12"/>
    <x v="5"/>
    <s v="C:\Users\andre\Desktop\REACTIV CEFAS\Tamoxifen\Tamoxifen/20201210_Cefas_Test9_Run3/Plate 3/@10/E4_03.tif "/>
    <s v=" 9127.8155 "/>
    <s v=" 38.4787 "/>
    <x v="0"/>
    <n v="351226"/>
    <m/>
    <m/>
  </r>
  <r>
    <x v="12"/>
    <x v="5"/>
    <s v="C:\Users\andre\Desktop\REACTIV CEFAS\Tamoxifen\Tamoxifen/20201210_Cefas_Test9_Run3/Plate 3/@10/E4_04.tif "/>
    <s v=" 5818.4417 "/>
    <s v=" 38.7695 "/>
    <x v="0"/>
    <n v="225578"/>
    <m/>
    <m/>
  </r>
  <r>
    <x v="12"/>
    <x v="6"/>
    <s v="C:\Users\andre\Desktop\REACTIV CEFAS\Tamoxifen\Tamoxifen/20201210_Cefas_Test9_Run3/Plate 3/@10/F4_01.tif "/>
    <s v=" 2098.0998 "/>
    <s v=" 34.8041 "/>
    <x v="0"/>
    <n v="73023"/>
    <m/>
    <m/>
  </r>
  <r>
    <x v="12"/>
    <x v="6"/>
    <s v="C:\Users\andre\Desktop\REACTIV CEFAS\Tamoxifen\Tamoxifen/20201210_Cefas_Test9_Run3/Plate 3/@10/F4_02- exclu.tif"/>
    <m/>
    <m/>
    <x v="1"/>
    <m/>
    <m/>
    <m/>
  </r>
  <r>
    <x v="12"/>
    <x v="6"/>
    <s v="C:\Users\andre\Desktop\REACTIV CEFAS\Tamoxifen\Tamoxifen/20201210_Cefas_Test9_Run3/Plate 3/@10/F4_03.tif "/>
    <s v=" 7419.0539 "/>
    <s v=" 37.7259 "/>
    <x v="0"/>
    <n v="279891"/>
    <m/>
    <m/>
  </r>
  <r>
    <x v="12"/>
    <x v="6"/>
    <s v="C:\Users\andre\Desktop\REACTIV CEFAS\Tamoxifen\Tamoxifen/20201210_Cefas_Test9_Run3/Plate 3/@10/F4_04.tif "/>
    <s v=" 3482.413 "/>
    <s v=" 35.7888 "/>
    <x v="0"/>
    <n v="124631"/>
    <m/>
    <m/>
  </r>
  <r>
    <x v="12"/>
    <x v="7"/>
    <s v="C:\Users\andre\Desktop\REACTIV CEFAS\Tamoxifen\Tamoxifen/20201210_Cefas_Test9_Run3/Plate 3/@10/G4_01.tif "/>
    <s v=" 25869.354 "/>
    <s v=" 34.9858 "/>
    <x v="0"/>
    <n v="905060"/>
    <m/>
    <m/>
  </r>
  <r>
    <x v="12"/>
    <x v="7"/>
    <s v="C:\Users\andre\Desktop\REACTIV CEFAS\Tamoxifen\Tamoxifen/20201210_Cefas_Test9_Run3/Plate 3/@10/G4_02.tif "/>
    <s v=" 35213.4685 "/>
    <s v=" 34.8311 "/>
    <x v="0"/>
    <n v="1226523"/>
    <m/>
    <m/>
  </r>
  <r>
    <x v="12"/>
    <x v="7"/>
    <s v="C:\Users\andre\Desktop\REACTIV CEFAS\Tamoxifen\Tamoxifen/20201210_Cefas_Test9_Run3/Plate 3/@10/G4_03.tif "/>
    <s v=" 28811.0196 "/>
    <s v=" 33.9887 "/>
    <x v="0"/>
    <n v="979250"/>
    <m/>
    <m/>
  </r>
  <r>
    <x v="12"/>
    <x v="7"/>
    <s v="C:\Users\andre\Desktop\REACTIV CEFAS\Tamoxifen\Tamoxifen/20201210_Cefas_Test9_Run3/Plate 3/@10/G4_04.tif "/>
    <s v=" 38522.8423 "/>
    <s v=" 35.6451 "/>
    <x v="0"/>
    <n v="1373152"/>
    <m/>
    <m/>
  </r>
  <r>
    <x v="12"/>
    <x v="8"/>
    <s v="C:\Users\andre\Desktop\REACTIV CEFAS\Tamoxifen\Tamoxifen/20201210_Cefas_Test9_Run3/Plate 3/@10/H4_01.tif "/>
    <s v=" 14037.8016 "/>
    <s v=" 37.4961 "/>
    <x v="0"/>
    <n v="526363"/>
    <m/>
    <m/>
  </r>
  <r>
    <x v="12"/>
    <x v="8"/>
    <s v="C:\Users\andre\Desktop\REACTIV CEFAS\Tamoxifen\Tamoxifen/20201210_Cefas_Test9_Run3/Plate 3/@10/H4_02.tif "/>
    <s v=" 7029.7158 "/>
    <s v=" 38.96 "/>
    <x v="0"/>
    <n v="273878"/>
    <m/>
    <m/>
  </r>
  <r>
    <x v="12"/>
    <x v="8"/>
    <s v="C:\Users\andre\Desktop\REACTIV CEFAS\Tamoxifen\Tamoxifen/20201210_Cefas_Test9_Run3/Plate 3/@10/H4_03.tif "/>
    <s v=" 6899.9364 "/>
    <s v=" 38.0031 "/>
    <x v="0"/>
    <n v="262219"/>
    <m/>
    <m/>
  </r>
  <r>
    <x v="12"/>
    <x v="8"/>
    <s v="C:\Users\andre\Desktop\REACTIV CEFAS\Tamoxifen\Tamoxifen/20201210_Cefas_Test9_Run3/Plate 3/@10/H4_04.tif "/>
    <s v=" 7527.2033 "/>
    <s v=" 37.454 "/>
    <x v="0"/>
    <n v="281924"/>
    <m/>
    <m/>
  </r>
  <r>
    <x v="0"/>
    <x v="0"/>
    <s v=" "/>
    <m/>
    <m/>
    <x v="1"/>
    <m/>
    <m/>
    <m/>
  </r>
  <r>
    <x v="0"/>
    <x v="0"/>
    <s v="group "/>
    <s v=" "/>
    <s v=" mean of mean fluo "/>
    <x v="2"/>
    <s v=" mean of total fluo "/>
    <s v=" SD total fluo "/>
    <m/>
  </r>
  <r>
    <x v="12"/>
    <x v="9"/>
    <s v="C:\Users\andre\Desktop\REACTIV CEFAS\Tamoxifen\Tamoxifen/20201210_Cefas_Test9_Run3/Plate 3/@10/ "/>
    <s v=" "/>
    <s v=" 34.2012 "/>
    <x v="14"/>
    <s v=" 338719.406 "/>
    <s v=" 343098.436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Tamoxifen\Tamoxifen/20201210_Cefas_Test9_Run3/Plate 3/@11/A5_01.tif "/>
    <s v=" 29957.4041 "/>
    <s v=" 33.4592 "/>
    <x v="0"/>
    <n v="1002351"/>
    <m/>
    <m/>
  </r>
  <r>
    <x v="13"/>
    <x v="1"/>
    <s v="C:\Users\andre\Desktop\REACTIV CEFAS\Tamoxifen\Tamoxifen/20201210_Cefas_Test9_Run3/Plate 3/@11/A5_02.tif "/>
    <s v=" 43281.4192 "/>
    <s v=" 36.3448 "/>
    <x v="0"/>
    <n v="1573056"/>
    <m/>
    <m/>
  </r>
  <r>
    <x v="13"/>
    <x v="1"/>
    <s v="C:\Users\andre\Desktop\REACTIV CEFAS\Tamoxifen\Tamoxifen/20201210_Cefas_Test9_Run3/Plate 3/@11/A5_03.tif "/>
    <s v=" 33245.148 "/>
    <s v=" 34.4183 "/>
    <x v="0"/>
    <n v="1144243"/>
    <m/>
    <m/>
  </r>
  <r>
    <x v="13"/>
    <x v="1"/>
    <s v="C:\Users\andre\Desktop\REACTIV CEFAS\Tamoxifen\Tamoxifen/20201210_Cefas_Test9_Run3/Plate 3/@11/A5_04.tif "/>
    <s v=" 27058.9982 "/>
    <s v=" 35.5028 "/>
    <x v="0"/>
    <n v="960670"/>
    <m/>
    <m/>
  </r>
  <r>
    <x v="13"/>
    <x v="2"/>
    <s v="C:\Users\andre\Desktop\REACTIV CEFAS\Tamoxifen\Tamoxifen/20201210_Cefas_Test9_Run3/Plate 3/@11/B5_01.tif "/>
    <s v=" 9171.0753 "/>
    <s v=" 33.4741 "/>
    <x v="0"/>
    <n v="306993"/>
    <m/>
    <m/>
  </r>
  <r>
    <x v="13"/>
    <x v="2"/>
    <s v="C:\Users\andre\Desktop\REACTIV CEFAS\Tamoxifen\Tamoxifen/20201210_Cefas_Test9_Run3/Plate 3/@11/B5_02.tif "/>
    <s v=" 13691.7233 "/>
    <s v=" 32.564 "/>
    <x v="0"/>
    <n v="445857"/>
    <m/>
    <m/>
  </r>
  <r>
    <x v="13"/>
    <x v="2"/>
    <s v="C:\Users\andre\Desktop\REACTIV CEFAS\Tamoxifen\Tamoxifen/20201210_Cefas_Test9_Run3/Plate 3/@11/B5_03.tif "/>
    <s v=" 12134.3709 "/>
    <s v=" 32.4866 "/>
    <x v="0"/>
    <n v="394205"/>
    <m/>
    <m/>
  </r>
  <r>
    <x v="13"/>
    <x v="2"/>
    <s v="C:\Users\andre\Desktop\REACTIV CEFAS\Tamoxifen\Tamoxifen/20201210_Cefas_Test9_Run3/Plate 3/@11/B5_04.tif "/>
    <s v=" 30757.7102 "/>
    <s v=" 33.7918 "/>
    <x v="0"/>
    <n v="1039360"/>
    <m/>
    <m/>
  </r>
  <r>
    <x v="13"/>
    <x v="3"/>
    <s v="C:\Users\andre\Desktop\REACTIV CEFAS\Tamoxifen\Tamoxifen/20201210_Cefas_Test9_Run3/Plate 3/@11/C5_01.tif "/>
    <s v=" 15984.4921 "/>
    <s v=" 32.7145 "/>
    <x v="0"/>
    <n v="522924"/>
    <m/>
    <m/>
  </r>
  <r>
    <x v="13"/>
    <x v="3"/>
    <s v="C:\Users\andre\Desktop\REACTIV CEFAS\Tamoxifen\Tamoxifen/20201210_Cefas_Test9_Run3/Plate 3/@11/C5_02- exclu.tif"/>
    <m/>
    <m/>
    <x v="1"/>
    <m/>
    <m/>
    <m/>
  </r>
  <r>
    <x v="13"/>
    <x v="3"/>
    <s v="C:\Users\andre\Desktop\REACTIV CEFAS\Tamoxifen\Tamoxifen/20201210_Cefas_Test9_Run3/Plate 3/@11/C5_03.tif "/>
    <s v=" 34607.8314 "/>
    <s v=" 36.2525 "/>
    <x v="0"/>
    <n v="1254620"/>
    <m/>
    <m/>
  </r>
  <r>
    <x v="13"/>
    <x v="3"/>
    <s v="C:\Users\andre\Desktop\REACTIV CEFAS\Tamoxifen\Tamoxifen/20201210_Cefas_Test9_Run3/Plate 3/@11/C5_04.tif "/>
    <s v=" 24614.8201 "/>
    <s v=" 38.2663 "/>
    <x v="0"/>
    <n v="941917"/>
    <m/>
    <m/>
  </r>
  <r>
    <x v="13"/>
    <x v="4"/>
    <s v="C:\Users\andre\Desktop\REACTIV CEFAS\Tamoxifen\Tamoxifen/20201210_Cefas_Test9_Run3/Plate 3/@11/D5_01.tif "/>
    <s v=" 17671.6239 "/>
    <s v=" 35.6034 "/>
    <x v="0"/>
    <n v="629170"/>
    <m/>
    <m/>
  </r>
  <r>
    <x v="13"/>
    <x v="4"/>
    <s v="C:\Users\andre\Desktop\REACTIV CEFAS\Tamoxifen\Tamoxifen/20201210_Cefas_Test9_Run3/Plate 3/@11/D5_02.tif "/>
    <s v=" 16287.3107 "/>
    <s v=" 33.1992 "/>
    <x v="0"/>
    <n v="540726"/>
    <m/>
    <m/>
  </r>
  <r>
    <x v="13"/>
    <x v="4"/>
    <s v="C:\Users\andre\Desktop\REACTIV CEFAS\Tamoxifen\Tamoxifen/20201210_Cefas_Test9_Run3/Plate 3/@11/D5_03.tif "/>
    <s v=" 18385.4104 "/>
    <s v=" 33.4071 "/>
    <x v="0"/>
    <n v="614202"/>
    <m/>
    <m/>
  </r>
  <r>
    <x v="13"/>
    <x v="4"/>
    <s v="C:\Users\andre\Desktop\REACTIV CEFAS\Tamoxifen\Tamoxifen/20201210_Cefas_Test9_Run3/Plate 3/@11/D5_04.tif "/>
    <s v=" 16200.7911 "/>
    <s v=" 33.9613 "/>
    <x v="0"/>
    <n v="550200"/>
    <m/>
    <m/>
  </r>
  <r>
    <x v="13"/>
    <x v="5"/>
    <s v="C:\Users\andre\Desktop\REACTIV CEFAS\Tamoxifen\Tamoxifen/20201210_Cefas_Test9_Run3/Plate 3/@11/E5_01.tif "/>
    <s v=" 19293.866 "/>
    <s v=" 34.2836 "/>
    <x v="0"/>
    <n v="661464"/>
    <m/>
    <m/>
  </r>
  <r>
    <x v="13"/>
    <x v="5"/>
    <s v="C:\Users\andre\Desktop\REACTIV CEFAS\Tamoxifen\Tamoxifen/20201210_Cefas_Test9_Run3/Plate 3/@11/E5_02.tif "/>
    <s v=" 30584.671 "/>
    <s v=" 40.8621 "/>
    <x v="0"/>
    <n v="1249754"/>
    <m/>
    <m/>
  </r>
  <r>
    <x v="13"/>
    <x v="5"/>
    <s v="C:\Users\andre\Desktop\REACTIV CEFAS\Tamoxifen\Tamoxifen/20201210_Cefas_Test9_Run3/Plate 3/@11/E5_03- exclu.tif"/>
    <m/>
    <m/>
    <x v="1"/>
    <m/>
    <m/>
    <m/>
  </r>
  <r>
    <x v="13"/>
    <x v="5"/>
    <s v="C:\Users\andre\Desktop\REACTIV CEFAS\Tamoxifen\Tamoxifen/20201210_Cefas_Test9_Run3/Plate 3/@11/E5_04.tif "/>
    <s v=" 9711.8227 "/>
    <s v=" 32.5078 "/>
    <x v="0"/>
    <n v="315710"/>
    <m/>
    <m/>
  </r>
  <r>
    <x v="13"/>
    <x v="6"/>
    <s v="C:\Users\andre\Desktop\REACTIV CEFAS\Tamoxifen\Tamoxifen/20201210_Cefas_Test9_Run3/Plate 3/@11/F5_01.tif "/>
    <s v=" 16092.6416 "/>
    <s v=" 32.9852 "/>
    <x v="0"/>
    <n v="530819"/>
    <m/>
    <m/>
  </r>
  <r>
    <x v="13"/>
    <x v="6"/>
    <s v="C:\Users\andre\Desktop\REACTIV CEFAS\Tamoxifen\Tamoxifen/20201210_Cefas_Test9_Run3/Plate 3/@11/F5_02.tif "/>
    <s v=" 15854.7128 "/>
    <s v=" 37.0996 "/>
    <x v="0"/>
    <n v="588203"/>
    <m/>
    <m/>
  </r>
  <r>
    <x v="13"/>
    <x v="6"/>
    <s v="C:\Users\andre\Desktop\REACTIV CEFAS\Tamoxifen\Tamoxifen/20201210_Cefas_Test9_Run3/Plate 3/@11/F5_03.tif "/>
    <s v=" 10879.837 "/>
    <s v=" 32.9165 "/>
    <x v="0"/>
    <n v="358126"/>
    <m/>
    <m/>
  </r>
  <r>
    <x v="13"/>
    <x v="6"/>
    <s v="C:\Users\andre\Desktop\REACTIV CEFAS\Tamoxifen\Tamoxifen/20201210_Cefas_Test9_Run3/Plate 3/@11/F5_04.tif "/>
    <s v=" 20851.2184 "/>
    <s v=" 39.8537 "/>
    <x v="0"/>
    <n v="830999"/>
    <m/>
    <m/>
  </r>
  <r>
    <x v="13"/>
    <x v="7"/>
    <s v="C:\Users\andre\Desktop\REACTIV CEFAS\Tamoxifen\Tamoxifen/20201210_Cefas_Test9_Run3/Plate 3/@11/G5_01- exclu.tif"/>
    <m/>
    <m/>
    <x v="1"/>
    <m/>
    <m/>
    <m/>
  </r>
  <r>
    <x v="13"/>
    <x v="7"/>
    <s v="C:\Users\andre\Desktop\REACTIV CEFAS\Tamoxifen\Tamoxifen/20201210_Cefas_Test9_Run3/Plate 3/@11/G5_02- exclu.tif"/>
    <m/>
    <m/>
    <x v="1"/>
    <m/>
    <m/>
    <m/>
  </r>
  <r>
    <x v="13"/>
    <x v="7"/>
    <s v="C:\Users\andre\Desktop\REACTIV CEFAS\Tamoxifen\Tamoxifen/20201210_Cefas_Test9_Run3/Plate 3/@11/G5_03- exclu.tif"/>
    <m/>
    <m/>
    <x v="1"/>
    <m/>
    <m/>
    <m/>
  </r>
  <r>
    <x v="13"/>
    <x v="7"/>
    <s v="C:\Users\andre\Desktop\REACTIV CEFAS\Tamoxifen\Tamoxifen/20201210_Cefas_Test9_Run3/Plate 3/@11/G5_04.tif "/>
    <s v=" 41204.9493 "/>
    <s v=" 36.6236 "/>
    <x v="0"/>
    <n v="1509074"/>
    <m/>
    <m/>
  </r>
  <r>
    <x v="13"/>
    <x v="8"/>
    <s v="C:\Users\andre\Desktop\REACTIV CEFAS\Tamoxifen\Tamoxifen/20201210_Cefas_Test9_Run3/Plate 3/@11/H5_01.tif "/>
    <s v=" 52928.3522 "/>
    <s v=" 37.3702 "/>
    <x v="0"/>
    <n v="1977946"/>
    <m/>
    <m/>
  </r>
  <r>
    <x v="13"/>
    <x v="8"/>
    <s v="C:\Users\andre\Desktop\REACTIV CEFAS\Tamoxifen\Tamoxifen/20201210_Cefas_Test9_Run3/Plate 3/@11/H5_02.tif "/>
    <s v=" 47174.8002 "/>
    <s v=" 36.16 "/>
    <x v="0"/>
    <n v="1705842"/>
    <m/>
    <m/>
  </r>
  <r>
    <x v="13"/>
    <x v="8"/>
    <s v="C:\Users\andre\Desktop\REACTIV CEFAS\Tamoxifen\Tamoxifen/20201210_Cefas_Test9_Run3/Plate 3/@11/H5_03.tif "/>
    <s v=" 46634.0528 "/>
    <s v=" 36.9309 "/>
    <x v="0"/>
    <n v="1722237"/>
    <m/>
    <m/>
  </r>
  <r>
    <x v="13"/>
    <x v="8"/>
    <s v="C:\Users\andre\Desktop\REACTIV CEFAS\Tamoxifen\Tamoxifen/20201210_Cefas_Test9_Run3/Plate 3/@11/H5_04.tif "/>
    <s v=" 50960.0317 "/>
    <s v=" 37.6541 "/>
    <x v="0"/>
    <n v="1918853"/>
    <m/>
    <m/>
  </r>
  <r>
    <x v="0"/>
    <x v="0"/>
    <s v=" "/>
    <m/>
    <m/>
    <x v="1"/>
    <m/>
    <m/>
    <m/>
  </r>
  <r>
    <x v="0"/>
    <x v="0"/>
    <s v="group "/>
    <s v=" "/>
    <s v=" mean of mean fluo "/>
    <x v="2"/>
    <s v=" mean of total fluo "/>
    <s v=" SD total fluo "/>
    <m/>
  </r>
  <r>
    <x v="13"/>
    <x v="9"/>
    <s v="C:\Users\andre\Desktop\REACTIV CEFAS\Tamoxifen\Tamoxifen/20201210_Cefas_Test9_Run3/Plate 3/@11/ "/>
    <s v=" "/>
    <s v=" 36.13 "/>
    <x v="15"/>
    <s v=" 1060411.66 "/>
    <s v=" 575824.504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Tamoxifen\Tamoxifen/20201210_Cefas_Test9_Run3/Plate 3/@12/A6_01.tif "/>
    <s v=" 1578.9823 "/>
    <s v=" 31.9726 "/>
    <x v="0"/>
    <n v="50484"/>
    <m/>
    <m/>
  </r>
  <r>
    <x v="14"/>
    <x v="1"/>
    <s v="C:\Users\andre\Desktop\REACTIV CEFAS\Tamoxifen\Tamoxifen/20201210_Cefas_Test9_Run3/Plate 3/@12/A6_02.tif "/>
    <s v=" 8651.9579 "/>
    <s v=" 34.43 "/>
    <x v="0"/>
    <n v="297887"/>
    <m/>
    <m/>
  </r>
  <r>
    <x v="14"/>
    <x v="1"/>
    <s v="C:\Users\andre\Desktop\REACTIV CEFAS\Tamoxifen\Tamoxifen/20201210_Cefas_Test9_Run3/Plate 3/@12/A6_03.tif "/>
    <s v=" 12437.1894 "/>
    <s v=" 33.1809 "/>
    <x v="0"/>
    <n v="412677"/>
    <m/>
    <m/>
  </r>
  <r>
    <x v="14"/>
    <x v="1"/>
    <s v="C:\Users\andre\Desktop\REACTIV CEFAS\Tamoxifen\Tamoxifen/20201210_Cefas_Test9_Run3/Plate 3/@12/A6_04.tif "/>
    <s v=" 9387.3743 "/>
    <s v=" 33.1959 "/>
    <x v="0"/>
    <n v="311622"/>
    <m/>
    <m/>
  </r>
  <r>
    <x v="14"/>
    <x v="2"/>
    <s v="C:\Users\andre\Desktop\REACTIV CEFAS\Tamoxifen\Tamoxifen/20201210_Cefas_Test9_Run3/Plate 3/@12/B6_01.tif "/>
    <s v=" 27989.0836 "/>
    <s v=" 34.6491 "/>
    <x v="0"/>
    <n v="969798"/>
    <m/>
    <m/>
  </r>
  <r>
    <x v="14"/>
    <x v="2"/>
    <s v="C:\Users\andre\Desktop\REACTIV CEFAS\Tamoxifen\Tamoxifen/20201210_Cefas_Test9_Run3/Plate 3/@12/B6_02.tif "/>
    <s v=" 11571.9936 "/>
    <s v=" 33.0505 "/>
    <x v="0"/>
    <n v="382460"/>
    <m/>
    <m/>
  </r>
  <r>
    <x v="14"/>
    <x v="2"/>
    <s v="C:\Users\andre\Desktop\REACTIV CEFAS\Tamoxifen\Tamoxifen/20201210_Cefas_Test9_Run3/Plate 3/@12/B6_03.tif "/>
    <s v=" 25501.6458 "/>
    <s v=" 33.8948 "/>
    <x v="0"/>
    <n v="864374"/>
    <m/>
    <m/>
  </r>
  <r>
    <x v="14"/>
    <x v="2"/>
    <s v="C:\Users\andre\Desktop\REACTIV CEFAS\Tamoxifen\Tamoxifen/20201210_Cefas_Test9_Run3/Plate 3/@12/B6_04.tif "/>
    <s v=" 26410.1013 "/>
    <s v=" 34.7707 "/>
    <x v="0"/>
    <n v="918297"/>
    <m/>
    <m/>
  </r>
  <r>
    <x v="14"/>
    <x v="3"/>
    <s v="C:\Users\andre\Desktop\REACTIV CEFAS\Tamoxifen\Tamoxifen/20201210_Cefas_Test9_Run3/Plate 3/@12/C6_01.tif "/>
    <s v=" 1362.6834 "/>
    <s v=" 31.381 "/>
    <x v="0"/>
    <n v="42762"/>
    <m/>
    <m/>
  </r>
  <r>
    <x v="14"/>
    <x v="3"/>
    <s v="C:\Users\andre\Desktop\REACTIV CEFAS\Tamoxifen\Tamoxifen/20201210_Cefas_Test9_Run3/Plate 3/@12/C6_02.tif "/>
    <s v=" 1341.0535 "/>
    <s v=" 33.4516 "/>
    <x v="0"/>
    <n v="44860"/>
    <m/>
    <m/>
  </r>
  <r>
    <x v="14"/>
    <x v="3"/>
    <s v="C:\Users\andre\Desktop\REACTIV CEFAS\Tamoxifen\Tamoxifen/20201210_Cefas_Test9_Run3/Plate 3/@12/C6_03.tif "/>
    <s v=" 994.9752 "/>
    <s v=" 31.2609 "/>
    <x v="0"/>
    <n v="31104"/>
    <m/>
    <m/>
  </r>
  <r>
    <x v="14"/>
    <x v="3"/>
    <s v="C:\Users\andre\Desktop\REACTIV CEFAS\Tamoxifen\Tamoxifen/20201210_Cefas_Test9_Run3/Plate 3/@12/C6_04.tif "/>
    <s v=" 1470.8328 "/>
    <s v=" 32.6324 "/>
    <x v="0"/>
    <n v="47997"/>
    <m/>
    <m/>
  </r>
  <r>
    <x v="14"/>
    <x v="4"/>
    <s v="C:\Users\andre\Desktop\REACTIV CEFAS\Tamoxifen\Tamoxifen/20201210_Cefas_Test9_Run3/Plate 3/@12/D6_01.tif "/>
    <s v=" 19921.133 "/>
    <s v=" 31.9446 "/>
    <x v="0"/>
    <n v="636373"/>
    <m/>
    <m/>
  </r>
  <r>
    <x v="14"/>
    <x v="4"/>
    <s v="C:\Users\andre\Desktop\REACTIV CEFAS\Tamoxifen\Tamoxifen/20201210_Cefas_Test9_Run3/Plate 3/@12/D6_02.tif "/>
    <s v=" 21867.8235 "/>
    <s v=" 32.091 "/>
    <x v="0"/>
    <n v="701760"/>
    <m/>
    <m/>
  </r>
  <r>
    <x v="14"/>
    <x v="4"/>
    <s v="C:\Users\andre\Desktop\REACTIV CEFAS\Tamoxifen\Tamoxifen/20201210_Cefas_Test9_Run3/Plate 3/@12/D6_03.tif "/>
    <s v=" 32747.6605 "/>
    <s v=" 33.6486 "/>
    <x v="0"/>
    <n v="1101913"/>
    <m/>
    <m/>
  </r>
  <r>
    <x v="14"/>
    <x v="4"/>
    <s v="C:\Users\andre\Desktop\REACTIV CEFAS\Tamoxifen\Tamoxifen/20201210_Cefas_Test9_Run3/Plate 3/@12/D6_04.tif "/>
    <s v=" 26561.5106 "/>
    <s v=" 32.1792 "/>
    <x v="0"/>
    <n v="854727"/>
    <m/>
    <m/>
  </r>
  <r>
    <x v="14"/>
    <x v="5"/>
    <s v="C:\Users\andre\Desktop\REACTIV CEFAS\Tamoxifen\Tamoxifen/20201210_Cefas_Test9_Run3/Plate 3/@12/E6_01.tif "/>
    <s v=" 12177.6307 "/>
    <s v=" 32.9609 "/>
    <x v="0"/>
    <n v="401386"/>
    <m/>
    <m/>
  </r>
  <r>
    <x v="14"/>
    <x v="5"/>
    <s v="C:\Users\andre\Desktop\REACTIV CEFAS\Tamoxifen\Tamoxifen/20201210_Cefas_Test9_Run3/Plate 3/@12/E6_02.tif "/>
    <s v=" 13864.7625 "/>
    <s v=" 35.2262 "/>
    <x v="0"/>
    <n v="488403"/>
    <m/>
    <m/>
  </r>
  <r>
    <x v="14"/>
    <x v="5"/>
    <s v="C:\Users\andre\Desktop\REACTIV CEFAS\Tamoxifen\Tamoxifen/20201210_Cefas_Test9_Run3/Plate 3/@12/E6_03.tif "/>
    <s v=" 18969.4176 "/>
    <s v=" 35.6408 "/>
    <x v="0"/>
    <n v="676086"/>
    <m/>
    <m/>
  </r>
  <r>
    <x v="14"/>
    <x v="5"/>
    <s v="C:\Users\andre\Desktop\REACTIV CEFAS\Tamoxifen\Tamoxifen/20201210_Cefas_Test9_Run3/Plate 3/@12/E6_04.tif "/>
    <s v=" 11312.4349 "/>
    <s v=" 31.9159 "/>
    <x v="0"/>
    <n v="361046"/>
    <m/>
    <m/>
  </r>
  <r>
    <x v="14"/>
    <x v="6"/>
    <s v="C:\Users\andre\Desktop\REACTIV CEFAS\Tamoxifen\Tamoxifen/20201210_Cefas_Test9_Run3/Plate 3/@12/F6_01.tif "/>
    <s v=" 15530.2643 "/>
    <s v=" 34.1699 "/>
    <x v="0"/>
    <n v="530668"/>
    <m/>
    <m/>
  </r>
  <r>
    <x v="14"/>
    <x v="6"/>
    <s v="C:\Users\andre\Desktop\REACTIV CEFAS\Tamoxifen\Tamoxifen/20201210_Cefas_Test9_Run3/Plate 3/@12/F6_02.tif "/>
    <s v=" 16633.389 "/>
    <s v=" 33.6346 "/>
    <x v="0"/>
    <n v="559457"/>
    <m/>
    <m/>
  </r>
  <r>
    <x v="14"/>
    <x v="6"/>
    <s v="C:\Users\andre\Desktop\REACTIV CEFAS\Tamoxifen\Tamoxifen/20201210_Cefas_Test9_Run3/Plate 3/@12/F6_03.tif "/>
    <s v=" 21694.7843 "/>
    <s v=" 35.9561 "/>
    <x v="0"/>
    <n v="780061"/>
    <m/>
    <m/>
  </r>
  <r>
    <x v="14"/>
    <x v="6"/>
    <s v="C:\Users\andre\Desktop\REACTIV CEFAS\Tamoxifen\Tamoxifen/20201210_Cefas_Test9_Run3/Plate 3/@12/F6_04.tif "/>
    <s v=" 14708.3283 "/>
    <s v=" 34.1618 "/>
    <x v="0"/>
    <n v="502462"/>
    <m/>
    <m/>
  </r>
  <r>
    <x v="14"/>
    <x v="7"/>
    <s v="C:\Users\andre\Desktop\REACTIV CEFAS\Tamoxifen\Tamoxifen/20201210_Cefas_Test9_Run3/Plate 3/@12/G6_01.tif "/>
    <s v=" 12112.741 "/>
    <s v=" 33.4482 "/>
    <x v="0"/>
    <n v="405150"/>
    <m/>
    <m/>
  </r>
  <r>
    <x v="14"/>
    <x v="7"/>
    <s v="C:\Users\andre\Desktop\REACTIV CEFAS\Tamoxifen\Tamoxifen/20201210_Cefas_Test9_Run3/Plate 3/@12/G6_02.tif "/>
    <s v=" 14881.3675 "/>
    <s v=" 33.7674 "/>
    <x v="0"/>
    <n v="502506"/>
    <m/>
    <m/>
  </r>
  <r>
    <x v="14"/>
    <x v="7"/>
    <s v="C:\Users\andre\Desktop\REACTIV CEFAS\Tamoxifen\Tamoxifen/20201210_Cefas_Test9_Run3/Plate 3/@12/G6_03.tif "/>
    <s v=" 13367.2749 "/>
    <s v=" 32.8706 "/>
    <x v="0"/>
    <n v="439390"/>
    <m/>
    <m/>
  </r>
  <r>
    <x v="14"/>
    <x v="7"/>
    <s v="C:\Users\andre\Desktop\REACTIV CEFAS\Tamoxifen\Tamoxifen/20201210_Cefas_Test9_Run3/Plate 3/@12/G6_04.tif "/>
    <s v=" 21673.1544 "/>
    <s v=" 35.2006 "/>
    <x v="0"/>
    <n v="762908"/>
    <m/>
    <m/>
  </r>
  <r>
    <x v="14"/>
    <x v="8"/>
    <s v="C:\Users\andre\Desktop\REACTIV CEFAS\Tamoxifen\Tamoxifen/20201210_Cefas_Test9_Run3/Plate 3/@12/H6_01- exclu.tif"/>
    <m/>
    <m/>
    <x v="1"/>
    <m/>
    <m/>
    <m/>
  </r>
  <r>
    <x v="14"/>
    <x v="8"/>
    <s v="C:\Users\andre\Desktop\REACTIV CEFAS\Tamoxifen\Tamoxifen/20201210_Cefas_Test9_Run3/Plate 3/@12/H6_02.tif "/>
    <s v=" 42632.5223 "/>
    <s v=" 40.0233 "/>
    <x v="0"/>
    <n v="1706296"/>
    <m/>
    <m/>
  </r>
  <r>
    <x v="14"/>
    <x v="8"/>
    <s v="C:\Users\andre\Desktop\REACTIV CEFAS\Tamoxifen\Tamoxifen/20201210_Cefas_Test9_Run3/Plate 3/@12/H6_03- exclu.tif"/>
    <m/>
    <m/>
    <x v="1"/>
    <m/>
    <m/>
    <m/>
  </r>
  <r>
    <x v="14"/>
    <x v="8"/>
    <s v="C:\Users\andre\Desktop\REACTIV CEFAS\Tamoxifen\Tamoxifen/20201210_Cefas_Test9_Run3/Plate 3/@12/H6_04.tif "/>
    <s v=" 38890.5505 "/>
    <s v=" 37.8982 "/>
    <x v="0"/>
    <n v="1473883"/>
    <m/>
    <m/>
  </r>
  <r>
    <x v="0"/>
    <x v="0"/>
    <s v=" "/>
    <m/>
    <m/>
    <x v="1"/>
    <m/>
    <m/>
    <m/>
  </r>
  <r>
    <x v="0"/>
    <x v="0"/>
    <s v="group "/>
    <s v=" "/>
    <s v=" mean of mean fluo "/>
    <x v="2"/>
    <s v=" mean of total fluo "/>
    <s v=" SD total fluo "/>
    <m/>
  </r>
  <r>
    <x v="14"/>
    <x v="9"/>
    <s v="C:\Users\andre\Desktop\REACTIV CEFAS\Tamoxifen\Tamoxifen/20201210_Cefas_Test9_Run3/Plate 3/@12/ "/>
    <s v=" "/>
    <s v=" 34.2936 "/>
    <x v="16"/>
    <s v=" 658766.188 "/>
    <s v=" 509798.135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Tamoxifen\Tamoxifen/20201210_Cefas_Test9_Run3/Plate 3/@17/A8_01.tif "/>
    <s v=" 68090.9083 "/>
    <s v=" 43.0407 "/>
    <x v="0"/>
    <n v="2930678"/>
    <m/>
    <m/>
  </r>
  <r>
    <x v="15"/>
    <x v="1"/>
    <s v="C:\Users\andre\Desktop\REACTIV CEFAS\Tamoxifen\Tamoxifen/20201210_Cefas_Test9_Run3/Plate 3/@17/A8_02.tif "/>
    <s v=" 64673.3849 "/>
    <s v=" 42.2344 "/>
    <x v="0"/>
    <n v="2731445"/>
    <m/>
    <m/>
  </r>
  <r>
    <x v="15"/>
    <x v="1"/>
    <s v="C:\Users\andre\Desktop\REACTIV CEFAS\Tamoxifen\Tamoxifen/20201210_Cefas_Test9_Run3/Plate 3/@17/A8_03.tif "/>
    <s v=" 53144.6511 "/>
    <s v=" 48.8457 "/>
    <x v="0"/>
    <n v="2595890"/>
    <m/>
    <m/>
  </r>
  <r>
    <x v="15"/>
    <x v="1"/>
    <s v="C:\Users\andre\Desktop\REACTIV CEFAS\Tamoxifen\Tamoxifen/20201210_Cefas_Test9_Run3/Plate 3/@17/A8_04.tif "/>
    <s v=" 74644.7664 "/>
    <s v=" 43.038 "/>
    <x v="0"/>
    <n v="3212558"/>
    <m/>
    <m/>
  </r>
  <r>
    <x v="15"/>
    <x v="2"/>
    <s v="C:\Users\andre\Desktop\REACTIV CEFAS\Tamoxifen\Tamoxifen/20201210_Cefas_Test9_Run3/Plate 3/@17/B8_01.tif "/>
    <s v=" 61342.3812 "/>
    <s v=" 37.7489 "/>
    <x v="0"/>
    <n v="2315610"/>
    <m/>
    <m/>
  </r>
  <r>
    <x v="15"/>
    <x v="2"/>
    <s v="C:\Users\andre\Desktop\REACTIV CEFAS\Tamoxifen\Tamoxifen/20201210_Cefas_Test9_Run3/Plate 3/@17/B8_02.tif "/>
    <s v=" 65906.2889 "/>
    <s v=" 39.3052 "/>
    <x v="0"/>
    <n v="2590461"/>
    <m/>
    <m/>
  </r>
  <r>
    <x v="15"/>
    <x v="2"/>
    <s v="C:\Users\andre\Desktop\REACTIV CEFAS\Tamoxifen\Tamoxifen/20201210_Cefas_Test9_Run3/Plate 3/@17/B8_03.tif "/>
    <s v=" 63137.6624 "/>
    <s v=" 38.8184 "/>
    <x v="0"/>
    <n v="2450905"/>
    <m/>
    <m/>
  </r>
  <r>
    <x v="15"/>
    <x v="2"/>
    <s v="C:\Users\andre\Desktop\REACTIV CEFAS\Tamoxifen\Tamoxifen/20201210_Cefas_Test9_Run3/Plate 3/@17/B8_04.tif "/>
    <s v=" 62661.8047 "/>
    <s v=" 38.7004 "/>
    <x v="0"/>
    <n v="2425036"/>
    <m/>
    <m/>
  </r>
  <r>
    <x v="15"/>
    <x v="3"/>
    <s v="C:\Users\andre\Desktop\REACTIV CEFAS\Tamoxifen\Tamoxifen/20201210_Cefas_Test9_Run3/Plate 3/@17/C8_01- exclu.tif"/>
    <m/>
    <m/>
    <x v="1"/>
    <m/>
    <m/>
    <m/>
  </r>
  <r>
    <x v="15"/>
    <x v="3"/>
    <s v="C:\Users\andre\Desktop\REACTIV CEFAS\Tamoxifen\Tamoxifen/20201210_Cefas_Test9_Run3/Plate 3/@17/C8_02.tif "/>
    <s v=" 47564.1383 "/>
    <s v=" 41.2883 "/>
    <x v="0"/>
    <n v="1963843"/>
    <m/>
    <m/>
  </r>
  <r>
    <x v="15"/>
    <x v="3"/>
    <s v="C:\Users\andre\Desktop\REACTIV CEFAS\Tamoxifen\Tamoxifen/20201210_Cefas_Test9_Run3/Plate 3/@17/C8_03.tif "/>
    <s v=" 53360.95 "/>
    <s v=" 39.1127 "/>
    <x v="0"/>
    <n v="2087090"/>
    <m/>
    <m/>
  </r>
  <r>
    <x v="15"/>
    <x v="3"/>
    <s v="C:\Users\andre\Desktop\REACTIV CEFAS\Tamoxifen\Tamoxifen/20201210_Cefas_Test9_Run3/Plate 3/@17/C8_04.tif "/>
    <s v=" 60260.8864 "/>
    <s v=" 41.0822 "/>
    <x v="0"/>
    <n v="2475650"/>
    <m/>
    <m/>
  </r>
  <r>
    <x v="15"/>
    <x v="4"/>
    <s v="C:\Users\andre\Desktop\REACTIV CEFAS\Tamoxifen\Tamoxifen/20201210_Cefas_Test9_Run3/Plate 3/@17/D8_01.tif "/>
    <s v=" 32315.0626 "/>
    <s v=" 38.9478 "/>
    <x v="0"/>
    <n v="1258600"/>
    <m/>
    <m/>
  </r>
  <r>
    <x v="15"/>
    <x v="4"/>
    <s v="C:\Users\andre\Desktop\REACTIV CEFAS\Tamoxifen\Tamoxifen/20201210_Cefas_Test9_Run3/Plate 3/@17/D8_02.tif "/>
    <s v=" 35710.956 "/>
    <s v=" 38.9491 "/>
    <x v="0"/>
    <n v="1390910"/>
    <m/>
    <m/>
  </r>
  <r>
    <x v="15"/>
    <x v="4"/>
    <s v="C:\Users\andre\Desktop\REACTIV CEFAS\Tamoxifen\Tamoxifen/20201210_Cefas_Test9_Run3/Plate 3/@17/D8_03.tif "/>
    <s v=" 29027.3186 "/>
    <s v=" 38.9203 "/>
    <x v="0"/>
    <n v="1129751"/>
    <m/>
    <m/>
  </r>
  <r>
    <x v="15"/>
    <x v="4"/>
    <s v="C:\Users\andre\Desktop\REACTIV CEFAS\Tamoxifen\Tamoxifen/20201210_Cefas_Test9_Run3/Plate 3/@17/D8_04.tif "/>
    <s v=" 26280.322 "/>
    <s v=" 36.6716 "/>
    <x v="0"/>
    <n v="963742"/>
    <m/>
    <m/>
  </r>
  <r>
    <x v="15"/>
    <x v="5"/>
    <s v="C:\Users\andre\Desktop\REACTIV CEFAS\Tamoxifen\Tamoxifen/20201210_Cefas_Test9_Run3/Plate 3/@17/E8_01.tif "/>
    <s v=" 68372.0969 "/>
    <s v=" 44.2183 "/>
    <x v="0"/>
    <n v="3023297"/>
    <m/>
    <m/>
  </r>
  <r>
    <x v="15"/>
    <x v="5"/>
    <s v="C:\Users\andre\Desktop\REACTIV CEFAS\Tamoxifen\Tamoxifen/20201210_Cefas_Test9_Run3/Plate 3/@17/E8_02.tif "/>
    <s v=" 69648.2607 "/>
    <s v=" 48.1516 "/>
    <x v="0"/>
    <n v="3353672"/>
    <m/>
    <m/>
  </r>
  <r>
    <x v="15"/>
    <x v="5"/>
    <s v="C:\Users\andre\Desktop\REACTIV CEFAS\Tamoxifen\Tamoxifen/20201210_Cefas_Test9_Run3/Plate 3/@17/E8_03.tif "/>
    <s v=" 72827.8552 "/>
    <s v=" 46.1345 "/>
    <x v="0"/>
    <n v="3359880"/>
    <m/>
    <m/>
  </r>
  <r>
    <x v="15"/>
    <x v="5"/>
    <s v="C:\Users\andre\Desktop\REACTIV CEFAS\Tamoxifen\Tamoxifen/20201210_Cefas_Test9_Run3/Plate 3/@17/E8_04.tif "/>
    <s v=" 70794.6451 "/>
    <s v=" 49.0596 "/>
    <x v="0"/>
    <n v="3473155"/>
    <m/>
    <m/>
  </r>
  <r>
    <x v="15"/>
    <x v="6"/>
    <s v="C:\Users\andre\Desktop\REACTIV CEFAS\Tamoxifen\Tamoxifen/20201210_Cefas_Test9_Run3/Plate 3/@17/F8_01.tif "/>
    <s v=" 18796.3784 "/>
    <s v=" 37.244 "/>
    <x v="0"/>
    <n v="700052"/>
    <m/>
    <m/>
  </r>
  <r>
    <x v="15"/>
    <x v="6"/>
    <s v="C:\Users\andre\Desktop\REACTIV CEFAS\Tamoxifen\Tamoxifen/20201210_Cefas_Test9_Run3/Plate 3/@17/F8_02.tif "/>
    <s v=" 17044.357 "/>
    <s v=" 33.3464 "/>
    <x v="0"/>
    <n v="568369"/>
    <m/>
    <m/>
  </r>
  <r>
    <x v="15"/>
    <x v="6"/>
    <s v="C:\Users\andre\Desktop\REACTIV CEFAS\Tamoxifen\Tamoxifen/20201210_Cefas_Test9_Run3/Plate 3/@17/F8_03.tif "/>
    <s v=" 20202.3216 "/>
    <s v=" 34.8233 "/>
    <x v="0"/>
    <n v="703512"/>
    <m/>
    <m/>
  </r>
  <r>
    <x v="15"/>
    <x v="6"/>
    <s v="C:\Users\andre\Desktop\REACTIV CEFAS\Tamoxifen\Tamoxifen/20201210_Cefas_Test9_Run3/Plate 3/@17/F8_04.tif "/>
    <s v=" 23252.1367 "/>
    <s v=" 36.013 "/>
    <x v="0"/>
    <n v="837380"/>
    <m/>
    <m/>
  </r>
  <r>
    <x v="15"/>
    <x v="7"/>
    <s v="C:\Users\andre\Desktop\REACTIV CEFAS\Tamoxifen\Tamoxifen/20201210_Cefas_Test9_Run3/Plate 3/@17/G8_01.tif "/>
    <s v=" 31493.1266 "/>
    <s v=" 39.908 "/>
    <x v="0"/>
    <n v="1256827"/>
    <m/>
    <m/>
  </r>
  <r>
    <x v="15"/>
    <x v="7"/>
    <s v="C:\Users\andre\Desktop\REACTIV CEFAS\Tamoxifen\Tamoxifen/20201210_Cefas_Test9_Run3/Plate 3/@17/G8_02.tif "/>
    <s v=" 36922.2301 "/>
    <s v=" 38.7428 "/>
    <x v="0"/>
    <n v="1430471"/>
    <m/>
    <m/>
  </r>
  <r>
    <x v="15"/>
    <x v="7"/>
    <s v="C:\Users\andre\Desktop\REACTIV CEFAS\Tamoxifen\Tamoxifen/20201210_Cefas_Test9_Run3/Plate 3/@17/G8_03.tif "/>
    <s v=" 31276.8276 "/>
    <s v=" 39.5775 "/>
    <x v="0"/>
    <n v="1237857"/>
    <m/>
    <m/>
  </r>
  <r>
    <x v="15"/>
    <x v="7"/>
    <s v="C:\Users\andre\Desktop\REACTIV CEFAS\Tamoxifen\Tamoxifen/20201210_Cefas_Test9_Run3/Plate 3/@17/G8_04.tif "/>
    <s v=" 30541.4112 "/>
    <s v=" 41.2642 "/>
    <x v="0"/>
    <n v="1260266"/>
    <m/>
    <m/>
  </r>
  <r>
    <x v="15"/>
    <x v="8"/>
    <s v="C:\Users\andre\Desktop\REACTIV CEFAS\Tamoxifen\Tamoxifen/20201210_Cefas_Test9_Run3/Plate 3/@17/H8_01- exclu.tif"/>
    <m/>
    <m/>
    <x v="1"/>
    <m/>
    <m/>
    <m/>
  </r>
  <r>
    <x v="15"/>
    <x v="8"/>
    <s v="C:\Users\andre\Desktop\REACTIV CEFAS\Tamoxifen\Tamoxifen/20201210_Cefas_Test9_Run3/Plate 3/@17/H8_02.tif "/>
    <s v=" 67398.7517 "/>
    <s v=" 42.0703 "/>
    <x v="0"/>
    <n v="2835485"/>
    <m/>
    <m/>
  </r>
  <r>
    <x v="15"/>
    <x v="8"/>
    <s v="C:\Users\andre\Desktop\REACTIV CEFAS\Tamoxifen\Tamoxifen/20201210_Cefas_Test9_Run3/Plate 3/@17/H8_03.tif "/>
    <s v=" 67506.9011 "/>
    <s v=" 43.6642 "/>
    <x v="0"/>
    <n v="2947636"/>
    <m/>
    <m/>
  </r>
  <r>
    <x v="15"/>
    <x v="8"/>
    <s v="C:\Users\andre\Desktop\REACTIV CEFAS\Tamoxifen\Tamoxifen/20201210_Cefas_Test9_Run3/Plate 3/@17/H8_04.tif "/>
    <s v=" 63007.8831 "/>
    <s v=" 40.0896 "/>
    <x v="0"/>
    <n v="2525961"/>
    <m/>
    <m/>
  </r>
  <r>
    <x v="0"/>
    <x v="0"/>
    <s v=" "/>
    <m/>
    <m/>
    <x v="1"/>
    <m/>
    <m/>
    <m/>
  </r>
  <r>
    <x v="0"/>
    <x v="0"/>
    <s v="group "/>
    <s v=" "/>
    <s v=" mean of mean fluo "/>
    <x v="2"/>
    <s v=" mean of total fluo "/>
    <s v=" SD total fluo "/>
    <m/>
  </r>
  <r>
    <x v="15"/>
    <x v="9"/>
    <s v="C:\Users\andre\Desktop\REACTIV CEFAS\Tamoxifen\Tamoxifen/20201210_Cefas_Test9_Run3/Plate 3/@17/ "/>
    <s v=" "/>
    <s v=" 40.9558 "/>
    <x v="17"/>
    <s v=" 2085315.91 "/>
    <s v=" 891190.396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Tamoxifen\Tamoxifen/20201210_Cefas_Test9_Run3/Plate 3/@18/A9_01.tif "/>
    <s v=" 36489.6322 "/>
    <s v=" 35.4191 "/>
    <x v="0"/>
    <n v="1292429"/>
    <m/>
    <m/>
  </r>
  <r>
    <x v="16"/>
    <x v="1"/>
    <s v="C:\Users\andre\Desktop\REACTIV CEFAS\Tamoxifen\Tamoxifen/20201210_Cefas_Test9_Run3/Plate 3/@18/A9_02.tif "/>
    <s v=" 38349.8032 "/>
    <s v=" 35.0361 "/>
    <x v="0"/>
    <n v="1343627"/>
    <m/>
    <m/>
  </r>
  <r>
    <x v="16"/>
    <x v="1"/>
    <s v="C:\Users\andre\Desktop\REACTIV CEFAS\Tamoxifen\Tamoxifen/20201210_Cefas_Test9_Run3/Plate 3/@18/A9_03.tif "/>
    <s v=" 38284.9135 "/>
    <s v=" 35.1153 "/>
    <x v="0"/>
    <n v="1344384"/>
    <m/>
    <m/>
  </r>
  <r>
    <x v="16"/>
    <x v="1"/>
    <s v="C:\Users\andre\Desktop\REACTIV CEFAS\Tamoxifen\Tamoxifen/20201210_Cefas_Test9_Run3/Plate 3/@18/A9_04.tif "/>
    <s v=" 41702.4368 "/>
    <s v=" 34.0508 "/>
    <x v="0"/>
    <n v="1420003"/>
    <m/>
    <m/>
  </r>
  <r>
    <x v="16"/>
    <x v="2"/>
    <s v="C:\Users\andre\Desktop\REACTIV CEFAS\Tamoxifen\Tamoxifen/20201210_Cefas_Test9_Run3/Plate 3/@18/B9_01.tif "/>
    <s v=" 11269.1751 "/>
    <s v=" 31.8637 "/>
    <x v="0"/>
    <n v="359078"/>
    <m/>
    <m/>
  </r>
  <r>
    <x v="16"/>
    <x v="2"/>
    <s v="C:\Users\andre\Desktop\REACTIV CEFAS\Tamoxifen\Tamoxifen/20201210_Cefas_Test9_Run3/Plate 3/@18/B9_02.tif "/>
    <s v=" 4174.5697 "/>
    <s v=" 31.1244 "/>
    <x v="0"/>
    <n v="129931"/>
    <m/>
    <m/>
  </r>
  <r>
    <x v="16"/>
    <x v="2"/>
    <s v="C:\Users\andre\Desktop\REACTIV CEFAS\Tamoxifen\Tamoxifen/20201210_Cefas_Test9_Run3/Plate 3/@18/B9_03.tif "/>
    <s v=" 3439.1532 "/>
    <s v=" 31.4025 "/>
    <x v="0"/>
    <n v="107998"/>
    <m/>
    <m/>
  </r>
  <r>
    <x v="16"/>
    <x v="2"/>
    <s v="C:\Users\andre\Desktop\REACTIV CEFAS\Tamoxifen\Tamoxifen/20201210_Cefas_Test9_Run3/Plate 3/@18/B9_04.tif "/>
    <s v=" 11745.0328 "/>
    <s v=" 31.8692 "/>
    <x v="0"/>
    <n v="374305"/>
    <m/>
    <m/>
  </r>
  <r>
    <x v="16"/>
    <x v="3"/>
    <s v="C:\Users\andre\Desktop\REACTIV CEFAS\Tamoxifen\Tamoxifen/20201210_Cefas_Test9_Run3/Plate 3/@18/C9_01.tif "/>
    <s v=" 50873.5122 "/>
    <s v=" 37.3244 "/>
    <x v="0"/>
    <n v="1898824"/>
    <m/>
    <m/>
  </r>
  <r>
    <x v="16"/>
    <x v="3"/>
    <s v="C:\Users\andre\Desktop\REACTIV CEFAS\Tamoxifen\Tamoxifen/20201210_Cefas_Test9_Run3/Plate 3/@18/C9_02.tif "/>
    <s v=" 38414.6929 "/>
    <s v=" 35.826 "/>
    <x v="0"/>
    <n v="1376245"/>
    <m/>
    <m/>
  </r>
  <r>
    <x v="16"/>
    <x v="3"/>
    <s v="C:\Users\andre\Desktop\REACTIV CEFAS\Tamoxifen\Tamoxifen/20201210_Cefas_Test9_Run3/Plate 3/@18/C9_03.tif "/>
    <s v=" 38609.3619 "/>
    <s v=" 35.8437 "/>
    <x v="0"/>
    <n v="1383902"/>
    <m/>
    <m/>
  </r>
  <r>
    <x v="16"/>
    <x v="3"/>
    <s v="C:\Users\andre\Desktop\REACTIV CEFAS\Tamoxifen\Tamoxifen/20201210_Cefas_Test9_Run3/Plate 3/@18/C9_04.tif "/>
    <s v=" 32077.1337 "/>
    <s v=" 34.708 "/>
    <x v="0"/>
    <n v="1113334"/>
    <m/>
    <m/>
  </r>
  <r>
    <x v="16"/>
    <x v="4"/>
    <s v="C:\Users\andre\Desktop\REACTIV CEFAS\Tamoxifen\Tamoxifen/20201210_Cefas_Test9_Run3/Plate 3/@18/D9_01.tif "/>
    <s v=" 67723.2001 "/>
    <s v=" 43.205 "/>
    <x v="0"/>
    <n v="2925984"/>
    <m/>
    <m/>
  </r>
  <r>
    <x v="16"/>
    <x v="4"/>
    <s v="C:\Users\andre\Desktop\REACTIV CEFAS\Tamoxifen\Tamoxifen/20201210_Cefas_Test9_Run3/Plate 3/@18/D9_02.tif "/>
    <s v=" 67831.3496 "/>
    <s v=" 45.1859 "/>
    <x v="0"/>
    <n v="3065021"/>
    <m/>
    <m/>
  </r>
  <r>
    <x v="16"/>
    <x v="4"/>
    <s v="C:\Users\andre\Desktop\REACTIV CEFAS\Tamoxifen\Tamoxifen/20201210_Cefas_Test9_Run3/Plate 3/@18/D9_03.tif "/>
    <s v=" 70989.3142 "/>
    <s v=" 47.6368 "/>
    <x v="0"/>
    <n v="3381704"/>
    <m/>
    <m/>
  </r>
  <r>
    <x v="16"/>
    <x v="4"/>
    <s v="C:\Users\andre\Desktop\REACTIV CEFAS\Tamoxifen\Tamoxifen/20201210_Cefas_Test9_Run3/Plate 3/@18/D9_04.tif "/>
    <s v=" 66576.8157 "/>
    <s v=" 44.8109 "/>
    <x v="0"/>
    <n v="2983368"/>
    <m/>
    <m/>
  </r>
  <r>
    <x v="16"/>
    <x v="5"/>
    <s v="C:\Users\andre\Desktop\REACTIV CEFAS\Tamoxifen\Tamoxifen/20201210_Cefas_Test9_Run3/Plate 3/@18/E9_01.tif "/>
    <s v=" 41140.0596 "/>
    <s v=" 35.9947 "/>
    <x v="0"/>
    <n v="1480826"/>
    <m/>
    <m/>
  </r>
  <r>
    <x v="16"/>
    <x v="5"/>
    <s v="C:\Users\andre\Desktop\REACTIV CEFAS\Tamoxifen\Tamoxifen/20201210_Cefas_Test9_Run3/Plate 3/@18/E9_02.tif "/>
    <s v=" 23641.4748 "/>
    <s v=" 34.344 "/>
    <x v="0"/>
    <n v="811943"/>
    <m/>
    <m/>
  </r>
  <r>
    <x v="16"/>
    <x v="5"/>
    <s v="C:\Users\andre\Desktop\REACTIV CEFAS\Tamoxifen\Tamoxifen/20201210_Cefas_Test9_Run3/Plate 3/@18/E9_03- exclu.tif"/>
    <m/>
    <m/>
    <x v="1"/>
    <m/>
    <m/>
    <m/>
  </r>
  <r>
    <x v="16"/>
    <x v="5"/>
    <s v="C:\Users\andre\Desktop\REACTIV CEFAS\Tamoxifen\Tamoxifen/20201210_Cefas_Test9_Run3/Plate 3/@18/E9_04.tif "/>
    <s v=" 40793.9813 "/>
    <s v=" 35.6495 "/>
    <x v="0"/>
    <n v="1454286"/>
    <m/>
    <m/>
  </r>
  <r>
    <x v="16"/>
    <x v="6"/>
    <s v="C:\Users\andre\Desktop\REACTIV CEFAS\Tamoxifen\Tamoxifen/20201210_Cefas_Test9_Run3/Plate 3/@18/F9_01.tif "/>
    <s v=" 59871.5483 "/>
    <s v=" 44.4483 "/>
    <x v="0"/>
    <n v="2661191"/>
    <m/>
    <m/>
  </r>
  <r>
    <x v="16"/>
    <x v="6"/>
    <s v="C:\Users\andre\Desktop\REACTIV CEFAS\Tamoxifen\Tamoxifen/20201210_Cefas_Test9_Run3/Plate 3/@18/F9_02.tif "/>
    <s v=" 71054.2039 "/>
    <s v=" 47.5406 "/>
    <x v="0"/>
    <n v="3377962"/>
    <m/>
    <m/>
  </r>
  <r>
    <x v="16"/>
    <x v="6"/>
    <s v="C:\Users\andre\Desktop\REACTIV CEFAS\Tamoxifen\Tamoxifen/20201210_Cefas_Test9_Run3/Plate 3/@18/F9_03- exclu.tif"/>
    <m/>
    <m/>
    <x v="1"/>
    <m/>
    <m/>
    <m/>
  </r>
  <r>
    <x v="16"/>
    <x v="6"/>
    <s v="C:\Users\andre\Desktop\REACTIV CEFAS\Tamoxifen\Tamoxifen/20201210_Cefas_Test9_Run3/Plate 3/@18/F9_04.tif "/>
    <s v=" 71486.8017 "/>
    <s v=" 48.7734 "/>
    <x v="0"/>
    <n v="3486652"/>
    <m/>
    <m/>
  </r>
  <r>
    <x v="16"/>
    <x v="7"/>
    <s v="C:\Users\andre\Desktop\REACTIV CEFAS\Tamoxifen\Tamoxifen/20201210_Cefas_Test9_Run3/Plate 3/@18/G9_01.tif "/>
    <s v=" 66858.0043 "/>
    <s v=" 45.1734 "/>
    <x v="0"/>
    <n v="3020204"/>
    <m/>
    <m/>
  </r>
  <r>
    <x v="16"/>
    <x v="7"/>
    <s v="C:\Users\andre\Desktop\REACTIV CEFAS\Tamoxifen\Tamoxifen/20201210_Cefas_Test9_Run3/Plate 3/@18/G9_02.tif "/>
    <s v=" 71941.0295 "/>
    <s v=" 43.1843 "/>
    <x v="0"/>
    <n v="3106723"/>
    <m/>
    <m/>
  </r>
  <r>
    <x v="16"/>
    <x v="7"/>
    <s v="C:\Users\andre\Desktop\REACTIV CEFAS\Tamoxifen\Tamoxifen/20201210_Cefas_Test9_Run3/Plate 3/@18/G9_03.tif "/>
    <s v=" 73455.1222 "/>
    <s v=" 44.4644 "/>
    <x v="0"/>
    <n v="3266136"/>
    <m/>
    <m/>
  </r>
  <r>
    <x v="16"/>
    <x v="7"/>
    <s v="C:\Users\andre\Desktop\REACTIV CEFAS\Tamoxifen\Tamoxifen/20201210_Cefas_Test9_Run3/Plate 3/@18/G9_04.tif "/>
    <s v=" 66338.8868 "/>
    <s v=" 49.0756 "/>
    <x v="0"/>
    <n v="3255624"/>
    <m/>
    <m/>
  </r>
  <r>
    <x v="16"/>
    <x v="8"/>
    <s v="C:\Users\andre\Desktop\REACTIV CEFAS\Tamoxifen\Tamoxifen/20201210_Cefas_Test9_Run3/Plate 3/@18/H9_01.tif "/>
    <s v=" 39452.9278 "/>
    <s v=" 37.7034 "/>
    <x v="0"/>
    <n v="1487509"/>
    <m/>
    <m/>
  </r>
  <r>
    <x v="16"/>
    <x v="8"/>
    <s v="C:\Users\andre\Desktop\REACTIV CEFAS\Tamoxifen\Tamoxifen/20201210_Cefas_Test9_Run3/Plate 3/@18/H9_02.tif "/>
    <s v=" 39258.2588 "/>
    <s v=" 37.0006 "/>
    <x v="0"/>
    <n v="1452577"/>
    <m/>
    <m/>
  </r>
  <r>
    <x v="16"/>
    <x v="8"/>
    <s v="C:\Users\andre\Desktop\REACTIV CEFAS\Tamoxifen\Tamoxifen/20201210_Cefas_Test9_Run3/Plate 3/@18/H9_03.tif "/>
    <s v=" 38025.3548 "/>
    <s v=" 36.7827 "/>
    <x v="0"/>
    <n v="1398676"/>
    <m/>
    <m/>
  </r>
  <r>
    <x v="16"/>
    <x v="8"/>
    <s v="C:\Users\andre\Desktop\REACTIV CEFAS\Tamoxifen\Tamoxifen/20201210_Cefas_Test9_Run3/Plate 3/@18/H9_04.tif "/>
    <s v=" 38176.764 "/>
    <s v=" 37.6266 "/>
    <x v="0"/>
    <n v="1436463"/>
    <m/>
    <m/>
  </r>
  <r>
    <x v="0"/>
    <x v="0"/>
    <s v=" "/>
    <m/>
    <m/>
    <x v="1"/>
    <m/>
    <m/>
    <m/>
  </r>
  <r>
    <x v="0"/>
    <x v="0"/>
    <s v="group "/>
    <s v=" "/>
    <s v=" mean of mean fluo "/>
    <x v="2"/>
    <s v=" mean of total fluo "/>
    <s v=" SD total fluo "/>
    <m/>
  </r>
  <r>
    <x v="16"/>
    <x v="9"/>
    <s v="C:\Users\andre\Desktop\REACTIV CEFAS\Tamoxifen\Tamoxifen/20201210_Cefas_Test9_Run3/Plate 3/@18/ "/>
    <s v=" "/>
    <s v=" 39.1747 "/>
    <x v="18"/>
    <s v=" 1898385.53 "/>
    <s v=" 1091331.46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Tamoxifen\Tamoxifen/20201210_Cefas_Test9_Run3/Plate 3/@19/A10_01.tif "/>
    <s v=" 64024.4881 "/>
    <s v=" 42.5311 "/>
    <x v="0"/>
    <n v="2723031"/>
    <m/>
    <m/>
  </r>
  <r>
    <x v="17"/>
    <x v="1"/>
    <s v="C:\Users\andre\Desktop\REACTIV CEFAS\Tamoxifen\Tamoxifen/20201210_Cefas_Test9_Run3/Plate 3/@19/A10_02.tif "/>
    <s v=" 72243.8481 "/>
    <s v=" 46.7778 "/>
    <x v="0"/>
    <n v="3379411"/>
    <m/>
    <m/>
  </r>
  <r>
    <x v="17"/>
    <x v="1"/>
    <s v="C:\Users\andre\Desktop\REACTIV CEFAS\Tamoxifen\Tamoxifen/20201210_Cefas_Test9_Run3/Plate 3/@19/A10_03.tif "/>
    <s v=" 56151.2065 "/>
    <s v=" 40.7685 "/>
    <x v="0"/>
    <n v="2289200"/>
    <m/>
    <m/>
  </r>
  <r>
    <x v="17"/>
    <x v="1"/>
    <s v="C:\Users\andre\Desktop\REACTIV CEFAS\Tamoxifen\Tamoxifen/20201210_Cefas_Test9_Run3/Plate 3/@19/A10_04.tif "/>
    <s v=" 56410.7652 "/>
    <s v=" 39.5134 "/>
    <x v="0"/>
    <n v="2228982"/>
    <m/>
    <m/>
  </r>
  <r>
    <x v="17"/>
    <x v="2"/>
    <s v="C:\Users\andre\Desktop\REACTIV CEFAS\Tamoxifen\Tamoxifen/20201210_Cefas_Test9_Run3/Plate 3/@19/B10_01.tif "/>
    <s v=" 49554.0886 "/>
    <s v=" 34.7254 "/>
    <x v="0"/>
    <n v="1720788"/>
    <m/>
    <m/>
  </r>
  <r>
    <x v="17"/>
    <x v="2"/>
    <s v="C:\Users\andre\Desktop\REACTIV CEFAS\Tamoxifen\Tamoxifen/20201210_Cefas_Test9_Run3/Plate 3/@19/B10_02.tif "/>
    <s v=" 41442.8781 "/>
    <s v=" 35.1576 "/>
    <x v="0"/>
    <n v="1457033"/>
    <m/>
    <m/>
  </r>
  <r>
    <x v="17"/>
    <x v="2"/>
    <s v="C:\Users\andre\Desktop\REACTIV CEFAS\Tamoxifen\Tamoxifen/20201210_Cefas_Test9_Run3/Plate 3/@19/B10_03.tif "/>
    <s v=" 41486.1379 "/>
    <s v=" 34.8597 "/>
    <x v="0"/>
    <n v="1446196"/>
    <m/>
    <m/>
  </r>
  <r>
    <x v="17"/>
    <x v="2"/>
    <s v="C:\Users\andre\Desktop\REACTIV CEFAS\Tamoxifen\Tamoxifen/20201210_Cefas_Test9_Run3/Plate 3/@19/B10_04.tif "/>
    <s v=" 47996.7362 "/>
    <s v=" 36.3389 "/>
    <x v="0"/>
    <n v="1744148"/>
    <m/>
    <m/>
  </r>
  <r>
    <x v="17"/>
    <x v="3"/>
    <s v="C:\Users\andre\Desktop\REACTIV CEFAS\Tamoxifen\Tamoxifen/20201210_Cefas_Test9_Run3/Plate 3/@19/C10_01.tif "/>
    <s v=" 54031.4768 "/>
    <s v=" 41.9408 "/>
    <x v="0"/>
    <n v="2266121"/>
    <m/>
    <m/>
  </r>
  <r>
    <x v="17"/>
    <x v="3"/>
    <s v="C:\Users\andre\Desktop\REACTIV CEFAS\Tamoxifen\Tamoxifen/20201210_Cefas_Test9_Run3/Plate 3/@19/C10_02.tif "/>
    <s v=" 67571.7908 "/>
    <s v=" 45.3428 "/>
    <x v="0"/>
    <n v="3063896"/>
    <m/>
    <m/>
  </r>
  <r>
    <x v="17"/>
    <x v="3"/>
    <s v="C:\Users\andre\Desktop\REACTIV CEFAS\Tamoxifen\Tamoxifen/20201210_Cefas_Test9_Run3/Plate 3/@19/C10_03.tif "/>
    <s v=" 69951.0792 "/>
    <s v=" 46.0748 "/>
    <x v="0"/>
    <n v="3222984"/>
    <m/>
    <m/>
  </r>
  <r>
    <x v="17"/>
    <x v="3"/>
    <s v="C:\Users\andre\Desktop\REACTIV CEFAS\Tamoxifen\Tamoxifen/20201210_Cefas_Test9_Run3/Plate 3/@19/C10_04.tif "/>
    <s v=" 65668.3601 "/>
    <s v=" 42.9908 "/>
    <x v="0"/>
    <n v="2823134"/>
    <m/>
    <m/>
  </r>
  <r>
    <x v="17"/>
    <x v="4"/>
    <s v="C:\Users\andre\Desktop\REACTIV CEFAS\Tamoxifen\Tamoxifen/20201210_Cefas_Test9_Run3/Plate 3/@19/D10_01.tif "/>
    <s v=" 77024.0548 "/>
    <s v=" 43.3409 "/>
    <x v="0"/>
    <n v="3338293"/>
    <m/>
    <m/>
  </r>
  <r>
    <x v="17"/>
    <x v="4"/>
    <s v="C:\Users\andre\Desktop\REACTIV CEFAS\Tamoxifen\Tamoxifen/20201210_Cefas_Test9_Run3/Plate 3/@19/D10_02.tif "/>
    <s v=" 73909.3499 "/>
    <s v=" 46.6658 "/>
    <x v="0"/>
    <n v="3449038"/>
    <m/>
    <m/>
  </r>
  <r>
    <x v="17"/>
    <x v="4"/>
    <s v="C:\Users\andre\Desktop\REACTIV CEFAS\Tamoxifen\Tamoxifen/20201210_Cefas_Test9_Run3/Plate 3/@19/D10_03.tif "/>
    <s v=" 76353.528 "/>
    <s v=" 48.8683 "/>
    <x v="0"/>
    <n v="3731265"/>
    <m/>
    <m/>
  </r>
  <r>
    <x v="17"/>
    <x v="4"/>
    <s v="C:\Users\andre\Desktop\REACTIV CEFAS\Tamoxifen\Tamoxifen/20201210_Cefas_Test9_Run3/Plate 3/@19/D10_04.tif "/>
    <s v=" 73152.3036 "/>
    <s v=" 45.7646 "/>
    <x v="0"/>
    <n v="3347789"/>
    <m/>
    <m/>
  </r>
  <r>
    <x v="17"/>
    <x v="5"/>
    <s v="C:\Users\andre\Desktop\REACTIV CEFAS\Tamoxifen\Tamoxifen/20201210_Cefas_Test9_Run3/Plate 3/@19/E10_01.tif "/>
    <s v=" 14297.3603 "/>
    <s v=" 33.7398 "/>
    <x v="0"/>
    <n v="482390"/>
    <m/>
    <m/>
  </r>
  <r>
    <x v="17"/>
    <x v="5"/>
    <s v="C:\Users\andre\Desktop\REACTIV CEFAS\Tamoxifen\Tamoxifen/20201210_Cefas_Test9_Run3/Plate 3/@19/E10_02.tif "/>
    <s v=" 25717.9447 "/>
    <s v=" 38.8015 "/>
    <x v="0"/>
    <n v="997895"/>
    <m/>
    <m/>
  </r>
  <r>
    <x v="17"/>
    <x v="5"/>
    <s v="C:\Users\andre\Desktop\REACTIV CEFAS\Tamoxifen\Tamoxifen/20201210_Cefas_Test9_Run3/Plate 3/@19/E10_03.tif "/>
    <s v=" 22019.2327 "/>
    <s v=" 38.1601 "/>
    <x v="0"/>
    <n v="840257"/>
    <m/>
    <m/>
  </r>
  <r>
    <x v="17"/>
    <x v="5"/>
    <s v="C:\Users\andre\Desktop\REACTIV CEFAS\Tamoxifen\Tamoxifen/20201210_Cefas_Test9_Run3/Plate 3/@19/E10_04.tif "/>
    <s v=" 18428.6702 "/>
    <s v=" 36.5716 "/>
    <x v="0"/>
    <n v="673966"/>
    <m/>
    <m/>
  </r>
  <r>
    <x v="17"/>
    <x v="6"/>
    <s v="C:\Users\andre\Desktop\REACTIV CEFAS\Tamoxifen\Tamoxifen/20201210_Cefas_Test9_Run3/Plate 3/@19/F10_01.tif "/>
    <s v=" 47218.06 "/>
    <s v=" 38.2112 "/>
    <x v="0"/>
    <n v="1804258"/>
    <m/>
    <m/>
  </r>
  <r>
    <x v="17"/>
    <x v="6"/>
    <s v="C:\Users\andre\Desktop\REACTIV CEFAS\Tamoxifen\Tamoxifen/20201210_Cefas_Test9_Run3/Plate 3/@19/F10_02.tif "/>
    <s v=" 49597.3484 "/>
    <s v=" 37.9799 "/>
    <x v="0"/>
    <n v="1883704"/>
    <m/>
    <m/>
  </r>
  <r>
    <x v="17"/>
    <x v="6"/>
    <s v="C:\Users\andre\Desktop\REACTIV CEFAS\Tamoxifen\Tamoxifen/20201210_Cefas_Test9_Run3/Plate 3/@19/F10_03.tif "/>
    <s v=" 51435.8894 "/>
    <s v=" 42.3461 "/>
    <x v="0"/>
    <n v="2178109"/>
    <m/>
    <m/>
  </r>
  <r>
    <x v="17"/>
    <x v="6"/>
    <s v="C:\Users\andre\Desktop\REACTIV CEFAS\Tamoxifen\Tamoxifen/20201210_Cefas_Test9_Run3/Plate 3/@19/F10_04.tif "/>
    <s v=" 48537.4835 "/>
    <s v=" 38.2843 "/>
    <x v="0"/>
    <n v="1858224"/>
    <m/>
    <m/>
  </r>
  <r>
    <x v="17"/>
    <x v="7"/>
    <s v="C:\Users\andre\Desktop\REACTIV CEFAS\Tamoxifen\Tamoxifen/20201210_Cefas_Test9_Run3/Plate 3/@19/G10_01.tif "/>
    <s v=" 80939.0657 "/>
    <s v=" 41.299 "/>
    <x v="0"/>
    <n v="3342706"/>
    <m/>
    <m/>
  </r>
  <r>
    <x v="17"/>
    <x v="7"/>
    <s v="C:\Users\andre\Desktop\REACTIV CEFAS\Tamoxifen\Tamoxifen/20201210_Cefas_Test9_Run3/Plate 3/@19/G10_02.tif "/>
    <s v=" 74731.2859 "/>
    <s v=" 41.6098 "/>
    <x v="0"/>
    <n v="3109557"/>
    <m/>
    <m/>
  </r>
  <r>
    <x v="17"/>
    <x v="7"/>
    <s v="C:\Users\andre\Desktop\REACTIV CEFAS\Tamoxifen\Tamoxifen/20201210_Cefas_Test9_Run3/Plate 3/@19/G10_03.tif "/>
    <s v=" 82258.4893 "/>
    <s v=" 42.8906 "/>
    <x v="0"/>
    <n v="3528117"/>
    <m/>
    <m/>
  </r>
  <r>
    <x v="17"/>
    <x v="7"/>
    <s v="C:\Users\andre\Desktop\REACTIV CEFAS\Tamoxifen\Tamoxifen/20201210_Cefas_Test9_Run3/Plate 3/@19/G10_04.tif "/>
    <s v=" 85654.3827 "/>
    <s v=" 41.5242 "/>
    <x v="0"/>
    <n v="3556733"/>
    <m/>
    <m/>
  </r>
  <r>
    <x v="17"/>
    <x v="8"/>
    <s v="C:\Users\andre\Desktop\REACTIV CEFAS\Tamoxifen\Tamoxifen/20201210_Cefas_Test9_Run3/Plate 3/@19/H10_01.tif "/>
    <s v=" 70902.7946 "/>
    <s v=" 40.1354 "/>
    <x v="0"/>
    <n v="2845715"/>
    <m/>
    <m/>
  </r>
  <r>
    <x v="17"/>
    <x v="8"/>
    <s v="C:\Users\andre\Desktop\REACTIV CEFAS\Tamoxifen\Tamoxifen/20201210_Cefas_Test9_Run3/Plate 3/@19/H10_02.tif "/>
    <s v=" 78559.7773 "/>
    <s v=" 40.1434 "/>
    <x v="0"/>
    <n v="3153660"/>
    <m/>
    <m/>
  </r>
  <r>
    <x v="17"/>
    <x v="8"/>
    <s v="C:\Users\andre\Desktop\REACTIV CEFAS\Tamoxifen\Tamoxifen/20201210_Cefas_Test9_Run3/Plate 3/@19/H10_03.tif "/>
    <s v=" 77672.9516 "/>
    <s v=" 41.5135 "/>
    <x v="0"/>
    <n v="3224477"/>
    <m/>
    <m/>
  </r>
  <r>
    <x v="17"/>
    <x v="8"/>
    <s v="C:\Users\andre\Desktop\REACTIV CEFAS\Tamoxifen\Tamoxifen/20201210_Cefas_Test9_Run3/Plate 3/@19/H10_04.tif "/>
    <s v=" 77997.4 "/>
    <s v=" 40.784 "/>
    <x v="0"/>
    <n v="3181044"/>
    <m/>
    <m/>
  </r>
  <r>
    <x v="0"/>
    <x v="0"/>
    <s v=" "/>
    <m/>
    <m/>
    <x v="1"/>
    <m/>
    <m/>
    <m/>
  </r>
  <r>
    <x v="0"/>
    <x v="0"/>
    <s v="group "/>
    <s v=" "/>
    <s v=" mean of mean fluo "/>
    <x v="2"/>
    <s v=" mean of total fluo "/>
    <s v=" SD total fluo "/>
    <m/>
  </r>
  <r>
    <x v="17"/>
    <x v="9"/>
    <s v="C:\Users\andre\Desktop\REACTIV CEFAS\Tamoxifen\Tamoxifen/20201210_Cefas_Test9_Run3/Plate 3/@19/ "/>
    <s v=" "/>
    <s v=" 40.8017 "/>
    <x v="19"/>
    <s v=" 2465378.78 "/>
    <s v=" 945342.69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Tamoxifen\Tamoxifen/20201210_Cefas_Test9_Run3/Plate 3/@20/A11_01.tif "/>
    <s v=" 33547.9666 "/>
    <s v=" 40.4197 "/>
    <x v="0"/>
    <n v="1356000"/>
    <m/>
    <m/>
  </r>
  <r>
    <x v="18"/>
    <x v="1"/>
    <s v="C:\Users\andre\Desktop\REACTIV CEFAS\Tamoxifen\Tamoxifen/20201210_Cefas_Test9_Run3/Plate 3/@20/A11_02.tif "/>
    <s v=" 28400.0516 "/>
    <s v=" 37.543 "/>
    <x v="0"/>
    <n v="1066224"/>
    <m/>
    <m/>
  </r>
  <r>
    <x v="18"/>
    <x v="1"/>
    <s v="C:\Users\andre\Desktop\REACTIV CEFAS\Tamoxifen\Tamoxifen/20201210_Cefas_Test9_Run3/Plate 3/@20/A11_03.tif "/>
    <s v=" 38652.6217 "/>
    <s v=" 41.8165 "/>
    <x v="0"/>
    <n v="1616316"/>
    <m/>
    <m/>
  </r>
  <r>
    <x v="18"/>
    <x v="1"/>
    <s v="C:\Users\andre\Desktop\REACTIV CEFAS\Tamoxifen\Tamoxifen/20201210_Cefas_Test9_Run3/Plate 3/@20/A11_04.tif "/>
    <s v=" 44795.5118 "/>
    <s v=" 39.3095 "/>
    <x v="0"/>
    <n v="1760890"/>
    <m/>
    <m/>
  </r>
  <r>
    <x v="18"/>
    <x v="2"/>
    <s v="C:\Users\andre\Desktop\REACTIV CEFAS\Tamoxifen\Tamoxifen/20201210_Cefas_Test9_Run3/Plate 3/@20/B11_01.tif "/>
    <s v=" 70599.9761 "/>
    <s v=" 41.1131 "/>
    <x v="0"/>
    <n v="2902580"/>
    <m/>
    <m/>
  </r>
  <r>
    <x v="18"/>
    <x v="2"/>
    <s v="C:\Users\andre\Desktop\REACTIV CEFAS\Tamoxifen\Tamoxifen/20201210_Cefas_Test9_Run3/Plate 3/@20/B11_02.tif "/>
    <s v=" 54875.0427 "/>
    <s v=" 40.188 "/>
    <x v="0"/>
    <n v="2205319"/>
    <m/>
    <m/>
  </r>
  <r>
    <x v="18"/>
    <x v="2"/>
    <s v="C:\Users\andre\Desktop\REACTIV CEFAS\Tamoxifen\Tamoxifen/20201210_Cefas_Test9_Run3/Plate 3/@20/B11_03.tif "/>
    <s v=" 62380.6161 "/>
    <s v=" 40.4924 "/>
    <x v="0"/>
    <n v="2525939"/>
    <m/>
    <m/>
  </r>
  <r>
    <x v="18"/>
    <x v="2"/>
    <s v="C:\Users\andre\Desktop\REACTIV CEFAS\Tamoxifen\Tamoxifen/20201210_Cefas_Test9_Run3/Plate 3/@20/B11_04.tif "/>
    <s v=" 56562.1745 "/>
    <s v=" 38.3893 "/>
    <x v="0"/>
    <n v="2171382"/>
    <m/>
    <m/>
  </r>
  <r>
    <x v="18"/>
    <x v="3"/>
    <s v="C:\Users\andre\Desktop\REACTIV CEFAS\Tamoxifen\Tamoxifen/20201210_Cefas_Test9_Run3/Plate 3/@20/C11_01- exclu.tif"/>
    <m/>
    <m/>
    <x v="1"/>
    <m/>
    <m/>
    <m/>
  </r>
  <r>
    <x v="18"/>
    <x v="3"/>
    <s v="C:\Users\andre\Desktop\REACTIV CEFAS\Tamoxifen\Tamoxifen/20201210_Cefas_Test9_Run3/Plate 3/@20/C11_02- exclu.tif"/>
    <m/>
    <m/>
    <x v="1"/>
    <m/>
    <m/>
    <m/>
  </r>
  <r>
    <x v="18"/>
    <x v="3"/>
    <s v="C:\Users\andre\Desktop\REACTIV CEFAS\Tamoxifen\Tamoxifen/20201210_Cefas_Test9_Run3/Plate 3/@20/C11_03.tif "/>
    <s v=" 36057.0343 "/>
    <s v=" 40.811 "/>
    <x v="0"/>
    <n v="1471525"/>
    <m/>
    <m/>
  </r>
  <r>
    <x v="18"/>
    <x v="3"/>
    <s v="C:\Users\andre\Desktop\REACTIV CEFAS\Tamoxifen\Tamoxifen/20201210_Cefas_Test9_Run3/Plate 3/@20/C11_04.tif "/>
    <s v=" 48775.4124 "/>
    <s v=" 39.9854 "/>
    <x v="0"/>
    <n v="1950303"/>
    <m/>
    <m/>
  </r>
  <r>
    <x v="18"/>
    <x v="4"/>
    <s v="C:\Users\andre\Desktop\REACTIV CEFAS\Tamoxifen\Tamoxifen/20201210_Cefas_Test9_Run3/Plate 3/@20/D11_01.tif "/>
    <s v=" 47823.697 "/>
    <s v=" 37.6106 "/>
    <x v="0"/>
    <n v="1798677"/>
    <m/>
    <m/>
  </r>
  <r>
    <x v="18"/>
    <x v="4"/>
    <s v="C:\Users\andre\Desktop\REACTIV CEFAS\Tamoxifen\Tamoxifen/20201210_Cefas_Test9_Run3/Plate 3/@20/D11_02.tif "/>
    <s v=" 41334.7286 "/>
    <s v=" 37.0905 "/>
    <x v="0"/>
    <n v="1533127"/>
    <m/>
    <m/>
  </r>
  <r>
    <x v="18"/>
    <x v="4"/>
    <s v="C:\Users\andre\Desktop\REACTIV CEFAS\Tamoxifen\Tamoxifen/20201210_Cefas_Test9_Run3/Plate 3/@20/D11_03.tif "/>
    <s v=" 54745.2633 "/>
    <s v=" 41.1885 "/>
    <x v="0"/>
    <n v="2254873"/>
    <m/>
    <m/>
  </r>
  <r>
    <x v="18"/>
    <x v="4"/>
    <s v="C:\Users\andre\Desktop\REACTIV CEFAS\Tamoxifen\Tamoxifen/20201210_Cefas_Test9_Run3/Plate 3/@20/D11_04.tif "/>
    <s v=" 51868.4873 "/>
    <s v=" 43.8632 "/>
    <x v="0"/>
    <n v="2275119"/>
    <m/>
    <m/>
  </r>
  <r>
    <x v="18"/>
    <x v="5"/>
    <s v="C:\Users\andre\Desktop\REACTIV CEFAS\Tamoxifen\Tamoxifen/20201210_Cefas_Test9_Run3/Plate 3/@20/E11_01.tif "/>
    <s v=" 45228.1097 "/>
    <s v=" 35.7293 "/>
    <x v="0"/>
    <n v="1615969"/>
    <m/>
    <m/>
  </r>
  <r>
    <x v="18"/>
    <x v="5"/>
    <s v="C:\Users\andre\Desktop\REACTIV CEFAS\Tamoxifen\Tamoxifen/20201210_Cefas_Test9_Run3/Plate 3/@20/E11_02.tif "/>
    <s v=" 48342.8145 "/>
    <s v=" 37.1119 "/>
    <x v="0"/>
    <n v="1794092"/>
    <m/>
    <m/>
  </r>
  <r>
    <x v="18"/>
    <x v="5"/>
    <s v="C:\Users\andre\Desktop\REACTIV CEFAS\Tamoxifen\Tamoxifen/20201210_Cefas_Test9_Run3/Plate 3/@20/E11_03.tif "/>
    <s v=" 48710.5227 "/>
    <s v=" 35.8139 "/>
    <x v="0"/>
    <n v="1744516"/>
    <m/>
    <m/>
  </r>
  <r>
    <x v="18"/>
    <x v="5"/>
    <s v="C:\Users\andre\Desktop\REACTIV CEFAS\Tamoxifen\Tamoxifen/20201210_Cefas_Test9_Run3/Plate 3/@20/E11_04.tif "/>
    <s v=" 41053.54 "/>
    <s v=" 36.235 "/>
    <x v="0"/>
    <n v="1487574"/>
    <m/>
    <m/>
  </r>
  <r>
    <x v="18"/>
    <x v="6"/>
    <s v="C:\Users\andre\Desktop\REACTIV CEFAS\Tamoxifen\Tamoxifen/20201210_Cefas_Test9_Run3/Plate 3/@20/F11_01.tif "/>
    <s v=" 57297.5909 "/>
    <s v=" 40.5949 "/>
    <x v="0"/>
    <n v="2325992"/>
    <m/>
    <m/>
  </r>
  <r>
    <x v="18"/>
    <x v="6"/>
    <s v="C:\Users\andre\Desktop\REACTIV CEFAS\Tamoxifen\Tamoxifen/20201210_Cefas_Test9_Run3/Plate 3/@20/F11_02.tif "/>
    <s v=" 49986.6865 "/>
    <s v=" 38.7923 "/>
    <x v="0"/>
    <n v="1939098"/>
    <m/>
    <m/>
  </r>
  <r>
    <x v="18"/>
    <x v="6"/>
    <s v="C:\Users\andre\Desktop\REACTIV CEFAS\Tamoxifen\Tamoxifen/20201210_Cefas_Test9_Run3/Plate 3/@20/F11_03.tif "/>
    <s v=" 60520.4452 "/>
    <s v=" 41.7802 "/>
    <x v="0"/>
    <n v="2528556"/>
    <m/>
    <m/>
  </r>
  <r>
    <x v="18"/>
    <x v="6"/>
    <s v="C:\Users\andre\Desktop\REACTIV CEFAS\Tamoxifen\Tamoxifen/20201210_Cefas_Test9_Run3/Plate 3/@20/F11_04.tif "/>
    <s v=" 54117.9964 "/>
    <s v=" 40.4257 "/>
    <x v="0"/>
    <n v="2187756"/>
    <m/>
    <m/>
  </r>
  <r>
    <x v="18"/>
    <x v="7"/>
    <s v="C:\Users\andre\Desktop\REACTIV CEFAS\Tamoxifen\Tamoxifen/20201210_Cefas_Test9_Run3/Plate 3/@20/G11_01.tif "/>
    <s v=" 84572.888 "/>
    <s v=" 48.545 "/>
    <x v="0"/>
    <n v="4105592"/>
    <m/>
    <m/>
  </r>
  <r>
    <x v="18"/>
    <x v="7"/>
    <s v="C:\Users\andre\Desktop\REACTIV CEFAS\Tamoxifen\Tamoxifen/20201210_Cefas_Test9_Run3/Plate 3/@20/G11_02.tif "/>
    <s v=" 63202.5521 "/>
    <s v=" 50.7122 "/>
    <x v="0"/>
    <n v="3205139"/>
    <m/>
    <m/>
  </r>
  <r>
    <x v="18"/>
    <x v="7"/>
    <s v="C:\Users\andre\Desktop\REACTIV CEFAS\Tamoxifen\Tamoxifen/20201210_Cefas_Test9_Run3/Plate 3/@20/G11_03- exclu.tif"/>
    <m/>
    <m/>
    <x v="1"/>
    <m/>
    <m/>
    <m/>
  </r>
  <r>
    <x v="18"/>
    <x v="7"/>
    <s v="C:\Users\andre\Desktop\REACTIV CEFAS\Tamoxifen\Tamoxifen/20201210_Cefas_Test9_Run3/Plate 3/@20/G11_04- exclu.tif"/>
    <m/>
    <m/>
    <x v="1"/>
    <m/>
    <m/>
    <m/>
  </r>
  <r>
    <x v="18"/>
    <x v="8"/>
    <s v="C:\Users\andre\Desktop\REACTIV CEFAS\Tamoxifen\Tamoxifen/20201210_Cefas_Test9_Run3/Plate 3/@20/H11_01.tif "/>
    <s v=" 4044.7903 "/>
    <s v=" 33.107 "/>
    <x v="0"/>
    <n v="133911"/>
    <m/>
    <m/>
  </r>
  <r>
    <x v="18"/>
    <x v="8"/>
    <s v="C:\Users\andre\Desktop\REACTIV CEFAS\Tamoxifen\Tamoxifen/20201210_Cefas_Test9_Run3/Plate 3/@20/H11_02.tif "/>
    <s v=" 4607.1676 "/>
    <s v=" 31.6667 "/>
    <x v="0"/>
    <n v="145894"/>
    <m/>
    <m/>
  </r>
  <r>
    <x v="18"/>
    <x v="8"/>
    <s v="C:\Users\andre\Desktop\REACTIV CEFAS\Tamoxifen\Tamoxifen/20201210_Cefas_Test9_Run3/Plate 3/@20/H11_03.tif "/>
    <s v=" 5515.6231 "/>
    <s v=" 31.5373 "/>
    <x v="0"/>
    <n v="173948"/>
    <m/>
    <m/>
  </r>
  <r>
    <x v="18"/>
    <x v="8"/>
    <s v="C:\Users\andre\Desktop\REACTIV CEFAS\Tamoxifen\Tamoxifen/20201210_Cefas_Test9_Run3/Plate 3/@20/H11_04.tif "/>
    <s v=" 17282.2858 "/>
    <s v=" 31.9124 "/>
    <x v="0"/>
    <n v="551519"/>
    <m/>
    <m/>
  </r>
  <r>
    <x v="0"/>
    <x v="0"/>
    <s v=" "/>
    <m/>
    <m/>
    <x v="1"/>
    <m/>
    <m/>
    <m/>
  </r>
  <r>
    <x v="0"/>
    <x v="0"/>
    <s v="group "/>
    <s v=" "/>
    <s v=" mean of mean fluo "/>
    <x v="2"/>
    <s v=" mean of total fluo "/>
    <s v=" SD total fluo "/>
    <m/>
  </r>
  <r>
    <x v="18"/>
    <x v="9"/>
    <s v="C:\Users\andre\Desktop\REACTIV CEFAS\Tamoxifen\Tamoxifen/20201210_Cefas_Test9_Run3/Plate 3/@20/ "/>
    <s v=" "/>
    <s v=" 39.6772 "/>
    <x v="20"/>
    <s v=" 1846626.56 "/>
    <s v=" 888713.017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Tamoxifen\Tamoxifen/20201210_Cefas_Test9_Run3/Plate 3/@21/A12_01.tif "/>
    <s v=" 12631.8585 "/>
    <s v=" 32.8784 "/>
    <x v="0"/>
    <n v="415316"/>
    <m/>
    <m/>
  </r>
  <r>
    <x v="19"/>
    <x v="1"/>
    <s v="C:\Users\andre\Desktop\REACTIV CEFAS\Tamoxifen\Tamoxifen/20201210_Cefas_Test9_Run3/Plate 3/@21/A12_02.tif "/>
    <s v=" 17671.6239 "/>
    <s v=" 32.9449 "/>
    <x v="0"/>
    <n v="582190"/>
    <m/>
    <m/>
  </r>
  <r>
    <x v="19"/>
    <x v="1"/>
    <s v="C:\Users\andre\Desktop\REACTIV CEFAS\Tamoxifen\Tamoxifen/20201210_Cefas_Test9_Run3/Plate 3/@21/A12_03.tif "/>
    <s v=" 19791.3536 "/>
    <s v=" 33.3432 "/>
    <x v="0"/>
    <n v="659906"/>
    <m/>
    <m/>
  </r>
  <r>
    <x v="19"/>
    <x v="1"/>
    <s v="C:\Users\andre\Desktop\REACTIV CEFAS\Tamoxifen\Tamoxifen/20201210_Cefas_Test9_Run3/Plate 3/@21/A12_04- exclu.tif"/>
    <m/>
    <m/>
    <x v="1"/>
    <m/>
    <m/>
    <m/>
  </r>
  <r>
    <x v="19"/>
    <x v="2"/>
    <s v="C:\Users\andre\Desktop\REACTIV CEFAS\Tamoxifen\Tamoxifen/20201210_Cefas_Test9_Run3/Plate 3/@21/B12_01.tif "/>
    <s v=" 20980.9978 "/>
    <s v=" 35.9845 "/>
    <x v="0"/>
    <n v="754991"/>
    <m/>
    <m/>
  </r>
  <r>
    <x v="19"/>
    <x v="2"/>
    <s v="C:\Users\andre\Desktop\REACTIV CEFAS\Tamoxifen\Tamoxifen/20201210_Cefas_Test9_Run3/Plate 3/@21/B12_02.tif "/>
    <s v=" 21586.6348 "/>
    <s v=" 35.0952 "/>
    <x v="0"/>
    <n v="757587"/>
    <m/>
    <m/>
  </r>
  <r>
    <x v="19"/>
    <x v="2"/>
    <s v="C:\Users\andre\Desktop\REACTIV CEFAS\Tamoxifen\Tamoxifen/20201210_Cefas_Test9_Run3/Plate 3/@21/B12_03.tif "/>
    <s v=" 26042.3931 "/>
    <s v=" 35.3904 "/>
    <x v="0"/>
    <n v="921650"/>
    <m/>
    <m/>
  </r>
  <r>
    <x v="19"/>
    <x v="2"/>
    <s v="C:\Users\andre\Desktop\REACTIV CEFAS\Tamoxifen\Tamoxifen/20201210_Cefas_Test9_Run3/Plate 3/@21/B12_04.tif "/>
    <s v=" 36230.0735 "/>
    <s v=" 38.3278 "/>
    <x v="0"/>
    <n v="1388618"/>
    <m/>
    <m/>
  </r>
  <r>
    <x v="19"/>
    <x v="3"/>
    <s v="C:\Users\andre\Desktop\REACTIV CEFAS\Tamoxifen\Tamoxifen/20201210_Cefas_Test9_Run3/Plate 3/@21/C12_01.tif "/>
    <s v=" 49337.7896 "/>
    <s v=" 37.0285 "/>
    <x v="0"/>
    <n v="1826904"/>
    <m/>
    <m/>
  </r>
  <r>
    <x v="19"/>
    <x v="3"/>
    <s v="C:\Users\andre\Desktop\REACTIV CEFAS\Tamoxifen\Tamoxifen/20201210_Cefas_Test9_Run3/Plate 3/@21/C12_02.tif "/>
    <s v=" 45055.0705 "/>
    <s v=" 37.8963 "/>
    <x v="0"/>
    <n v="1707421"/>
    <m/>
    <m/>
  </r>
  <r>
    <x v="19"/>
    <x v="3"/>
    <s v="C:\Users\andre\Desktop\REACTIV CEFAS\Tamoxifen\Tamoxifen/20201210_Cefas_Test9_Run3/Plate 3/@21/C12_03.tif "/>
    <s v=" 40469.5329 "/>
    <s v=" 34.8739 "/>
    <x v="0"/>
    <n v="1411329"/>
    <m/>
    <m/>
  </r>
  <r>
    <x v="19"/>
    <x v="3"/>
    <s v="C:\Users\andre\Desktop\REACTIV CEFAS\Tamoxifen\Tamoxifen/20201210_Cefas_Test9_Run3/Plate 3/@21/C12_04.tif "/>
    <s v=" 42113.4048 "/>
    <s v=" 35.9666 "/>
    <x v="0"/>
    <n v="1514677"/>
    <m/>
    <m/>
  </r>
  <r>
    <x v="19"/>
    <x v="4"/>
    <s v="C:\Users\andre\Desktop\REACTIV CEFAS\Tamoxifen\Tamoxifen/20201210_Cefas_Test9_Run3/Plate 3/@21/D12_01.tif "/>
    <s v=" 13107.7161 "/>
    <s v=" 36.6287 "/>
    <x v="0"/>
    <n v="480119"/>
    <m/>
    <m/>
  </r>
  <r>
    <x v="19"/>
    <x v="4"/>
    <s v="C:\Users\andre\Desktop\REACTIV CEFAS\Tamoxifen\Tamoxifen/20201210_Cefas_Test9_Run3/Plate 3/@21/D12_02.tif "/>
    <s v=" 17087.6168 "/>
    <s v=" 36.6633 "/>
    <x v="0"/>
    <n v="626488"/>
    <m/>
    <m/>
  </r>
  <r>
    <x v="19"/>
    <x v="4"/>
    <s v="C:\Users\andre\Desktop\REACTIV CEFAS\Tamoxifen\Tamoxifen/20201210_Cefas_Test9_Run3/Plate 3/@21/D12_03.tif "/>
    <s v=" 14405.5098 "/>
    <s v=" 36.5931 "/>
    <x v="0"/>
    <n v="527142"/>
    <m/>
    <m/>
  </r>
  <r>
    <x v="19"/>
    <x v="4"/>
    <s v="C:\Users\andre\Desktop\REACTIV CEFAS\Tamoxifen\Tamoxifen/20201210_Cefas_Test9_Run3/Plate 3/@21/D12_04.tif "/>
    <s v=" 20959.3679 "/>
    <s v=" 36.7296 "/>
    <x v="0"/>
    <n v="769830"/>
    <m/>
    <m/>
  </r>
  <r>
    <x v="19"/>
    <x v="5"/>
    <s v="C:\Users\andre\Desktop\REACTIV CEFAS\Tamoxifen\Tamoxifen/20201210_Cefas_Test9_Run3/Plate 3/@21/E12_01.tif "/>
    <s v=" 57665.2991 "/>
    <s v=" 37.5716 "/>
    <x v="0"/>
    <n v="2166580"/>
    <m/>
    <m/>
  </r>
  <r>
    <x v="19"/>
    <x v="5"/>
    <s v="C:\Users\andre\Desktop\REACTIV CEFAS\Tamoxifen\Tamoxifen/20201210_Cefas_Test9_Run3/Plate 3/@21/E12_02.tif "/>
    <s v=" 46569.1631 "/>
    <s v=" 35.0873 "/>
    <x v="0"/>
    <n v="1633987"/>
    <m/>
    <m/>
  </r>
  <r>
    <x v="19"/>
    <x v="5"/>
    <s v="C:\Users\andre\Desktop\REACTIV CEFAS\Tamoxifen\Tamoxifen/20201210_Cefas_Test9_Run3/Plate 3/@21/E12_03.tif "/>
    <s v=" 55134.6014 "/>
    <s v=" 37.4774 "/>
    <x v="0"/>
    <n v="2066304"/>
    <m/>
    <m/>
  </r>
  <r>
    <x v="19"/>
    <x v="5"/>
    <s v="C:\Users\andre\Desktop\REACTIV CEFAS\Tamoxifen\Tamoxifen/20201210_Cefas_Test9_Run3/Plate 3/@21/E12_04.tif "/>
    <s v=" 43432.8284 "/>
    <s v=" 34.9552 "/>
    <x v="0"/>
    <n v="1518202"/>
    <m/>
    <m/>
  </r>
  <r>
    <x v="19"/>
    <x v="6"/>
    <s v="C:\Users\andre\Desktop\REACTIV CEFAS\Tamoxifen\Tamoxifen/20201210_Cefas_Test9_Run3/Plate 3/@21/F12_01.tif "/>
    <s v=" 9171.0753 "/>
    <s v=" 38.0142 "/>
    <x v="0"/>
    <n v="348631"/>
    <m/>
    <m/>
  </r>
  <r>
    <x v="19"/>
    <x v="6"/>
    <s v="C:\Users\andre\Desktop\REACTIV CEFAS\Tamoxifen\Tamoxifen/20201210_Cefas_Test9_Run3/Plate 3/@21/F12_02.tif "/>
    <s v=" 10966.3566 "/>
    <s v=" 38.1696 "/>
    <x v="0"/>
    <n v="418582"/>
    <m/>
    <m/>
  </r>
  <r>
    <x v="19"/>
    <x v="6"/>
    <s v="C:\Users\andre\Desktop\REACTIV CEFAS\Tamoxifen\Tamoxifen/20201210_Cefas_Test9_Run3/Plate 3/@21/F12_03.tif "/>
    <s v=" 5969.8509 "/>
    <s v=" 36.4891 "/>
    <x v="0"/>
    <n v="217835"/>
    <m/>
    <m/>
  </r>
  <r>
    <x v="19"/>
    <x v="6"/>
    <s v="C:\Users\andre\Desktop\REACTIV CEFAS\Tamoxifen\Tamoxifen/20201210_Cefas_Test9_Run3/Plate 3/@21/F12_04.tif "/>
    <s v=" 9603.6732 "/>
    <s v=" 36.8176 "/>
    <x v="0"/>
    <n v="353584"/>
    <m/>
    <m/>
  </r>
  <r>
    <x v="19"/>
    <x v="7"/>
    <s v="C:\Users\andre\Desktop\REACTIV CEFAS\Tamoxifen\Tamoxifen/20201210_Cefas_Test9_Run3/Plate 3/@21/G12_01.tif "/>
    <s v=" 26172.1725 "/>
    <s v=" 41.8603 "/>
    <x v="0"/>
    <n v="1095576"/>
    <m/>
    <m/>
  </r>
  <r>
    <x v="19"/>
    <x v="7"/>
    <s v="C:\Users\andre\Desktop\REACTIV CEFAS\Tamoxifen\Tamoxifen/20201210_Cefas_Test9_Run3/Plate 3/@21/G12_02.tif "/>
    <s v=" 24182.2222 "/>
    <s v=" 39.9517 "/>
    <x v="0"/>
    <n v="966121"/>
    <m/>
    <m/>
  </r>
  <r>
    <x v="19"/>
    <x v="7"/>
    <s v="C:\Users\andre\Desktop\REACTIV CEFAS\Tamoxifen\Tamoxifen/20201210_Cefas_Test9_Run3/Plate 3/@21/G12_03- exclu.tif"/>
    <m/>
    <m/>
    <x v="1"/>
    <m/>
    <m/>
    <m/>
  </r>
  <r>
    <x v="19"/>
    <x v="7"/>
    <s v="C:\Users\andre\Desktop\REACTIV CEFAS\Tamoxifen\Tamoxifen/20201210_Cefas_Test9_Run3/Plate 3/@21/G12_04.tif "/>
    <s v=" 22992.578 "/>
    <s v=" 38.4073 "/>
    <x v="0"/>
    <n v="883084"/>
    <m/>
    <m/>
  </r>
  <r>
    <x v="19"/>
    <x v="8"/>
    <s v="C:\Users\andre\Desktop\REACTIV CEFAS\Tamoxifen\Tamoxifen/20201210_Cefas_Test9_Run3/Plate 3/@21/H12_01.tif "/>
    <s v=" 63808.1892 "/>
    <s v=" 36.2851 "/>
    <x v="0"/>
    <n v="2315286"/>
    <m/>
    <m/>
  </r>
  <r>
    <x v="19"/>
    <x v="8"/>
    <s v="C:\Users\andre\Desktop\REACTIV CEFAS\Tamoxifen\Tamoxifen/20201210_Cefas_Test9_Run3/Plate 3/@21/H12_02.tif "/>
    <s v=" 55221.121 "/>
    <s v=" 35.3651 "/>
    <x v="0"/>
    <n v="1952898"/>
    <m/>
    <m/>
  </r>
  <r>
    <x v="19"/>
    <x v="8"/>
    <s v="C:\Users\andre\Desktop\REACTIV CEFAS\Tamoxifen\Tamoxifen/20201210_Cefas_Test9_Run3/Plate 3/@21/H12_03.tif "/>
    <s v=" 57232.7012 "/>
    <s v=" 35.4872 "/>
    <x v="0"/>
    <n v="2031025"/>
    <m/>
    <m/>
  </r>
  <r>
    <x v="19"/>
    <x v="8"/>
    <s v="C:\Users\andre\Desktop\REACTIV CEFAS\Tamoxifen\Tamoxifen/20201210_Cefas_Test9_Run3/Plate 3/@21/H12_04.tif "/>
    <s v=" 64197.5273 "/>
    <s v=" 37.1715 "/>
    <x v="0"/>
    <n v="2386318"/>
    <m/>
    <m/>
  </r>
  <r>
    <x v="0"/>
    <x v="0"/>
    <s v=" "/>
    <m/>
    <m/>
    <x v="1"/>
    <m/>
    <m/>
    <m/>
  </r>
  <r>
    <x v="0"/>
    <x v="0"/>
    <s v="group "/>
    <s v=" "/>
    <s v=" mean of mean fluo "/>
    <x v="2"/>
    <s v=" mean of total fluo "/>
    <s v=" SD total fluo "/>
    <m/>
  </r>
  <r>
    <x v="19"/>
    <x v="9"/>
    <s v="C:\Users\andre\Desktop\REACTIV CEFAS\Tamoxifen\Tamoxifen/20201210_Cefas_Test9_Run3/Plate 3/@21/ "/>
    <s v=" "/>
    <s v=" 36.794 "/>
    <x v="21"/>
    <s v=" 1175194.81 "/>
    <s v=" 654553.081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Tamoxifen\Tamoxifen/20201210_Cefas_Test9_Run3/Plate 3/@8/A2_01.tif "/>
    <s v=" 8651.9579 "/>
    <s v=" 35.5425 "/>
    <x v="0"/>
    <n v="307512"/>
    <m/>
    <m/>
  </r>
  <r>
    <x v="20"/>
    <x v="1"/>
    <s v="C:\Users\andre\Desktop\REACTIV CEFAS\Tamoxifen\Tamoxifen/20201210_Cefas_Test9_Run3/Plate 3/@8/A2_02- exclu.tif"/>
    <m/>
    <m/>
    <x v="1"/>
    <m/>
    <m/>
    <m/>
  </r>
  <r>
    <x v="20"/>
    <x v="1"/>
    <s v="C:\Users\andre\Desktop\REACTIV CEFAS\Tamoxifen\Tamoxifen/20201210_Cefas_Test9_Run3/Plate 3/@8/A2_03- exclu.tif"/>
    <m/>
    <m/>
    <x v="1"/>
    <m/>
    <m/>
    <m/>
  </r>
  <r>
    <x v="20"/>
    <x v="1"/>
    <s v="C:\Users\andre\Desktop\REACTIV CEFAS\Tamoxifen\Tamoxifen/20201210_Cefas_Test9_Run3/Plate 3/@8/A2_04.tif "/>
    <s v=" 4174.5697 "/>
    <s v=" 34.456 "/>
    <x v="0"/>
    <n v="143839"/>
    <m/>
    <m/>
  </r>
  <r>
    <x v="20"/>
    <x v="2"/>
    <s v="C:\Users\andre\Desktop\REACTIV CEFAS\Tamoxifen\Tamoxifen/20201210_Cefas_Test9_Run3/Plate 3/@8/B2_01.tif "/>
    <s v=" 5948.221 "/>
    <s v=" 34.5709 "/>
    <x v="0"/>
    <n v="205635"/>
    <m/>
    <m/>
  </r>
  <r>
    <x v="20"/>
    <x v="2"/>
    <s v="C:\Users\andre\Desktop\REACTIV CEFAS\Tamoxifen\Tamoxifen/20201210_Cefas_Test9_Run3/Plate 3/@8/B2_02.tif "/>
    <s v=" 4044.7903 "/>
    <s v=" 35.738 "/>
    <x v="0"/>
    <n v="144553"/>
    <m/>
    <m/>
  </r>
  <r>
    <x v="20"/>
    <x v="2"/>
    <s v="C:\Users\andre\Desktop\REACTIV CEFAS\Tamoxifen\Tamoxifen/20201210_Cefas_Test9_Run3/Plate 3/@8/B2_03.tif "/>
    <s v=" 3958.2707 "/>
    <s v=" 34.7541 "/>
    <x v="0"/>
    <n v="137566"/>
    <m/>
    <m/>
  </r>
  <r>
    <x v="20"/>
    <x v="2"/>
    <s v="C:\Users\andre\Desktop\REACTIV CEFAS\Tamoxifen\Tamoxifen/20201210_Cefas_Test9_Run3/Plate 3/@8/B2_04.tif "/>
    <s v=" 4823.4665 "/>
    <s v=" 35.3004 "/>
    <x v="0"/>
    <n v="170271"/>
    <m/>
    <m/>
  </r>
  <r>
    <x v="20"/>
    <x v="3"/>
    <s v="C:\Users\andre\Desktop\REACTIV CEFAS\Tamoxifen\Tamoxifen/20201210_Cefas_Test9_Run3/Plate 3/@8/C2_01.tif "/>
    <s v=" 6142.8901 "/>
    <s v=" 35.0246 "/>
    <x v="0"/>
    <n v="215153"/>
    <m/>
    <m/>
  </r>
  <r>
    <x v="20"/>
    <x v="3"/>
    <s v="C:\Users\andre\Desktop\REACTIV CEFAS\Tamoxifen\Tamoxifen/20201210_Cefas_Test9_Run3/Plate 3/@8/C2_02.tif "/>
    <s v=" 4152.9398 "/>
    <s v=" 35.5417 "/>
    <x v="0"/>
    <n v="147602"/>
    <m/>
    <m/>
  </r>
  <r>
    <x v="20"/>
    <x v="3"/>
    <s v="C:\Users\andre\Desktop\REACTIV CEFAS\Tamoxifen\Tamoxifen/20201210_Cefas_Test9_Run3/Plate 3/@8/C2_03.tif "/>
    <s v=" 2703.7368 "/>
    <s v=" 34.672 "/>
    <x v="0"/>
    <n v="93744"/>
    <m/>
    <m/>
  </r>
  <r>
    <x v="20"/>
    <x v="3"/>
    <s v="C:\Users\andre\Desktop\REACTIV CEFAS\Tamoxifen\Tamoxifen/20201210_Cefas_Test9_Run3/Plate 3/@8/C2_04.tif "/>
    <s v=" 43.2598 "/>
    <n v="30"/>
    <x v="0"/>
    <n v="1298"/>
    <m/>
    <m/>
  </r>
  <r>
    <x v="20"/>
    <x v="4"/>
    <s v="C:\Users\andre\Desktop\REACTIV CEFAS\Tamoxifen\Tamoxifen/20201210_Cefas_Test9_Run3/Plate 3/@8/D2_01.tif "/>
    <s v=" 6705.2673 "/>
    <s v=" 34.4032 "/>
    <x v="0"/>
    <n v="230683"/>
    <m/>
    <m/>
  </r>
  <r>
    <x v="20"/>
    <x v="4"/>
    <s v="C:\Users\andre\Desktop\REACTIV CEFAS\Tamoxifen\Tamoxifen/20201210_Cefas_Test9_Run3/Plate 3/@8/D2_02- exclu.tif"/>
    <m/>
    <m/>
    <x v="1"/>
    <m/>
    <m/>
    <m/>
  </r>
  <r>
    <x v="20"/>
    <x v="4"/>
    <s v="C:\Users\andre\Desktop\REACTIV CEFAS\Tamoxifen\Tamoxifen/20201210_Cefas_Test9_Run3/Plate 3/@8/D2_03.tif "/>
    <s v=" 8998.0362 "/>
    <s v=" 34.125 "/>
    <x v="0"/>
    <n v="307058"/>
    <m/>
    <m/>
  </r>
  <r>
    <x v="20"/>
    <x v="4"/>
    <s v="C:\Users\andre\Desktop\REACTIV CEFAS\Tamoxifen\Tamoxifen/20201210_Cefas_Test9_Run3/Plate 3/@8/D2_04.tif "/>
    <s v=" 9971.3814 "/>
    <s v=" 35.5531 "/>
    <x v="0"/>
    <n v="354514"/>
    <m/>
    <m/>
  </r>
  <r>
    <x v="20"/>
    <x v="5"/>
    <s v="C:\Users\andre\Desktop\REACTIV CEFAS\Tamoxifen\Tamoxifen/20201210_Cefas_Test9_Run3/Plate 3/@8/E2_01.tif "/>
    <s v=" 8370.7692 "/>
    <s v=" 41.1266 "/>
    <x v="0"/>
    <n v="344261"/>
    <m/>
    <m/>
  </r>
  <r>
    <x v="20"/>
    <x v="5"/>
    <s v="C:\Users\andre\Desktop\REACTIV CEFAS\Tamoxifen\Tamoxifen/20201210_Cefas_Test9_Run3/Plate 3/@8/E2_02.tif "/>
    <s v=" 10728.4277 "/>
    <s v=" 44.3367 "/>
    <x v="0"/>
    <n v="475663"/>
    <m/>
    <m/>
  </r>
  <r>
    <x v="20"/>
    <x v="5"/>
    <s v="C:\Users\andre\Desktop\REACTIV CEFAS\Tamoxifen\Tamoxifen/20201210_Cefas_Test9_Run3/Plate 3/@8/E2_03.tif "/>
    <s v=" 7137.8652 "/>
    <s v=" 42.203 "/>
    <x v="0"/>
    <n v="301240"/>
    <m/>
    <m/>
  </r>
  <r>
    <x v="20"/>
    <x v="5"/>
    <s v="C:\Users\andre\Desktop\REACTIV CEFAS\Tamoxifen\Tamoxifen/20201210_Cefas_Test9_Run3/Plate 3/@8/E2_04.tif "/>
    <s v=" 8262.6197 "/>
    <s v=" 43.6754 "/>
    <x v="0"/>
    <n v="360873"/>
    <m/>
    <m/>
  </r>
  <r>
    <x v="20"/>
    <x v="6"/>
    <s v="C:\Users\andre\Desktop\REACTIV CEFAS\Tamoxifen\Tamoxifen/20201210_Cefas_Test9_Run3/Plate 3/@8/F2_01.tif "/>
    <s v=" 7894.9115 "/>
    <s v=" 36.737 "/>
    <x v="0"/>
    <n v="290035"/>
    <m/>
    <m/>
  </r>
  <r>
    <x v="20"/>
    <x v="6"/>
    <s v="C:\Users\andre\Desktop\REACTIV CEFAS\Tamoxifen\Tamoxifen/20201210_Cefas_Test9_Run3/Plate 3/@8/F2_02.tif "/>
    <s v=" 4628.7975 "/>
    <s v=" 37.1308 "/>
    <x v="0"/>
    <n v="171871"/>
    <m/>
    <m/>
  </r>
  <r>
    <x v="20"/>
    <x v="6"/>
    <s v="C:\Users\andre\Desktop\REACTIV CEFAS\Tamoxifen\Tamoxifen/20201210_Cefas_Test9_Run3/Plate 3/@8/F2_03.tif "/>
    <s v=" 8435.6589 "/>
    <s v=" 36.741 "/>
    <x v="0"/>
    <n v="309935"/>
    <m/>
    <m/>
  </r>
  <r>
    <x v="20"/>
    <x v="6"/>
    <s v="C:\Users\andre\Desktop\REACTIV CEFAS\Tamoxifen\Tamoxifen/20201210_Cefas_Test9_Run3/Plate 3/@8/F2_04.tif "/>
    <s v=" 5104.6551 "/>
    <s v=" 34.7881 "/>
    <x v="0"/>
    <n v="177581"/>
    <m/>
    <m/>
  </r>
  <r>
    <x v="20"/>
    <x v="7"/>
    <s v="C:\Users\andre\Desktop\REACTIV CEFAS\Tamoxifen\Tamoxifen/20201210_Cefas_Test9_Run3/Plate 3/@8/G2_01.tif "/>
    <s v=" 2855.1461 "/>
    <s v=" 35.8182 "/>
    <x v="0"/>
    <n v="102266"/>
    <m/>
    <m/>
  </r>
  <r>
    <x v="20"/>
    <x v="7"/>
    <s v="C:\Users\andre\Desktop\REACTIV CEFAS\Tamoxifen\Tamoxifen/20201210_Cefas_Test9_Run3/Plate 3/@8/G2_02.tif "/>
    <s v=" 6532.2282 "/>
    <s v=" 40.1523 "/>
    <x v="0"/>
    <n v="262284"/>
    <m/>
    <m/>
  </r>
  <r>
    <x v="20"/>
    <x v="7"/>
    <s v="C:\Users\andre\Desktop\REACTIV CEFAS\Tamoxifen\Tamoxifen/20201210_Cefas_Test9_Run3/Plate 3/@8/G2_03.tif "/>
    <s v=" 4499.0181 "/>
    <s v=" 37.0577 "/>
    <x v="0"/>
    <n v="166723"/>
    <m/>
    <m/>
  </r>
  <r>
    <x v="20"/>
    <x v="7"/>
    <s v="C:\Users\andre\Desktop\REACTIV CEFAS\Tamoxifen\Tamoxifen/20201210_Cefas_Test9_Run3/Plate 3/@8/G2_04.tif "/>
    <s v=" 8760.1073 "/>
    <s v=" 40.7358 "/>
    <x v="0"/>
    <n v="356850"/>
    <m/>
    <m/>
  </r>
  <r>
    <x v="20"/>
    <x v="8"/>
    <s v="C:\Users\andre\Desktop\REACTIV CEFAS\Tamoxifen\Tamoxifen/20201210_Cefas_Test9_Run3/Plate 3/@8/H2_01.tif "/>
    <s v=" 9300.8547 "/>
    <s v=" 43.2093 "/>
    <x v="0"/>
    <n v="401883"/>
    <m/>
    <m/>
  </r>
  <r>
    <x v="20"/>
    <x v="8"/>
    <s v="C:\Users\andre\Desktop\REACTIV CEFAS\Tamoxifen\Tamoxifen/20201210_Cefas_Test9_Run3/Plate 3/@8/H2_02.tif "/>
    <s v=" 4542.2779 "/>
    <s v=" 37.5238 "/>
    <x v="0"/>
    <n v="170444"/>
    <m/>
    <m/>
  </r>
  <r>
    <x v="20"/>
    <x v="8"/>
    <s v="C:\Users\andre\Desktop\REACTIV CEFAS\Tamoxifen\Tamoxifen/20201210_Cefas_Test9_Run3/Plate 3/@8/H2_03.tif "/>
    <s v=" 6467.3385 "/>
    <s v=" 37.5753 "/>
    <x v="0"/>
    <n v="243012"/>
    <m/>
    <m/>
  </r>
  <r>
    <x v="20"/>
    <x v="8"/>
    <s v="C:\Users\andre\Desktop\REACTIV CEFAS\Tamoxifen\Tamoxifen/20201210_Cefas_Test9_Run3/Plate 3/@8/H2_04.tif "/>
    <s v=" 6964.8261 "/>
    <s v=" 42.5155 "/>
    <x v="0"/>
    <n v="296113"/>
    <m/>
    <m/>
  </r>
  <r>
    <x v="0"/>
    <x v="0"/>
    <s v=" "/>
    <m/>
    <m/>
    <x v="1"/>
    <m/>
    <m/>
    <m/>
  </r>
  <r>
    <x v="0"/>
    <x v="0"/>
    <s v="group "/>
    <s v=" "/>
    <s v=" mean of mean fluo "/>
    <x v="2"/>
    <s v=" mean of total fluo "/>
    <s v=" SD total fluo "/>
    <m/>
  </r>
  <r>
    <x v="20"/>
    <x v="9"/>
    <s v="C:\Users\andre\Desktop\REACTIV CEFAS\Tamoxifen\Tamoxifen/20201210_Cefas_Test9_Run3/Plate 3/@8/ "/>
    <s v=" "/>
    <s v=" 37.8092 "/>
    <x v="22"/>
    <s v=" 267721.312 "/>
    <s v=" 146445.869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Tamoxifen\Tamoxifen/20201210_Cefas_Test9_Run3/Plate 3/@9/A3_01.tif "/>
    <s v=" 4736.9469 "/>
    <s v=" 36.1416 "/>
    <x v="0"/>
    <n v="171201"/>
    <m/>
    <m/>
  </r>
  <r>
    <x v="21"/>
    <x v="1"/>
    <s v="C:\Users\andre\Desktop\REACTIV CEFAS\Tamoxifen\Tamoxifen/20201210_Cefas_Test9_Run3/Plate 3/@9/A3_02.tif "/>
    <s v=" 281.1886 "/>
    <s v=" 32.6154 "/>
    <x v="0"/>
    <n v="9171"/>
    <m/>
    <m/>
  </r>
  <r>
    <x v="21"/>
    <x v="1"/>
    <s v="C:\Users\andre\Desktop\REACTIV CEFAS\Tamoxifen\Tamoxifen/20201210_Cefas_Test9_Run3/Plate 3/@9/A3_03.tif "/>
    <s v=" 14427.1397 "/>
    <s v=" 48.7826 "/>
    <x v="0"/>
    <n v="703794"/>
    <m/>
    <m/>
  </r>
  <r>
    <x v="21"/>
    <x v="1"/>
    <s v="C:\Users\andre\Desktop\REACTIV CEFAS\Tamoxifen\Tamoxifen/20201210_Cefas_Test9_Run3/Plate 3/@9/A3_04.tif "/>
    <s v=" 1860.1709 "/>
    <s v=" 34.7907 "/>
    <x v="0"/>
    <n v="64717"/>
    <m/>
    <m/>
  </r>
  <r>
    <x v="21"/>
    <x v="2"/>
    <s v="C:\Users\andre\Desktop\REACTIV CEFAS\Tamoxifen\Tamoxifen/20201210_Cefas_Test9_Run3/Plate 3/@9/B3_01.tif "/>
    <s v=" 6683.6374 "/>
    <s v=" 35.1812 "/>
    <x v="0"/>
    <n v="235139"/>
    <m/>
    <m/>
  </r>
  <r>
    <x v="21"/>
    <x v="2"/>
    <s v="C:\Users\andre\Desktop\REACTIV CEFAS\Tamoxifen\Tamoxifen/20201210_Cefas_Test9_Run3/Plate 3/@9/B3_02.tif "/>
    <s v=" 129.7794 "/>
    <s v=" 31.8333 "/>
    <x v="0"/>
    <n v="4131"/>
    <m/>
    <m/>
  </r>
  <r>
    <x v="21"/>
    <x v="2"/>
    <s v="C:\Users\andre\Desktop\REACTIV CEFAS\Tamoxifen\Tamoxifen/20201210_Cefas_Test9_Run3/Plate 3/@9/B3_03.tif "/>
    <s v=" 5948.221 "/>
    <s v=" 35.6618 "/>
    <x v="0"/>
    <n v="212124"/>
    <m/>
    <m/>
  </r>
  <r>
    <x v="21"/>
    <x v="2"/>
    <s v="C:\Users\andre\Desktop\REACTIV CEFAS\Tamoxifen\Tamoxifen/20201210_Cefas_Test9_Run3/Plate 3/@9/B3_04.tif "/>
    <s v=" 1449.2029 "/>
    <s v=" 32.6866 "/>
    <x v="0"/>
    <n v="47369"/>
    <m/>
    <m/>
  </r>
  <r>
    <x v="21"/>
    <x v="3"/>
    <s v="C:\Users\andre\Desktop\REACTIV CEFAS\Tamoxifen\Tamoxifen/20201210_Cefas_Test9_Run3/Plate 3/@9/C3_01.tif "/>
    <s v=" 86.5196 "/>
    <n v="31"/>
    <x v="0"/>
    <n v="2682"/>
    <m/>
    <m/>
  </r>
  <r>
    <x v="21"/>
    <x v="3"/>
    <s v="C:\Users\andre\Desktop\REACTIV CEFAS\Tamoxifen\Tamoxifen/20201210_Cefas_Test9_Run3/Plate 3/@9/C3_02.tif "/>
    <s v=" 12177.6307 "/>
    <s v=" 47.286 "/>
    <x v="0"/>
    <n v="575831"/>
    <m/>
    <m/>
  </r>
  <r>
    <x v="21"/>
    <x v="3"/>
    <s v="C:\Users\andre\Desktop\REACTIV CEFAS\Tamoxifen\Tamoxifen/20201210_Cefas_Test9_Run3/Plate 3/@9/C3_03.tif "/>
    <s v=" 11420.5844 "/>
    <s v=" 41.6534 "/>
    <x v="0"/>
    <n v="475706"/>
    <m/>
    <m/>
  </r>
  <r>
    <x v="21"/>
    <x v="3"/>
    <s v="C:\Users\andre\Desktop\REACTIV CEFAS\Tamoxifen\Tamoxifen/20201210_Cefas_Test9_Run3/Plate 3/@9/C3_04.tif "/>
    <s v=" 7570.4631 "/>
    <s v=" 44.7429 "/>
    <x v="0"/>
    <n v="338724"/>
    <m/>
    <m/>
  </r>
  <r>
    <x v="21"/>
    <x v="4"/>
    <s v="C:\Users\andre\Desktop\REACTIV CEFAS\Tamoxifen\Tamoxifen/20201210_Cefas_Test9_Run3/Plate 3/@9/D3_01.tif "/>
    <s v=" 1189.6442 "/>
    <s v=" 31.5455 "/>
    <x v="0"/>
    <n v="37528"/>
    <m/>
    <m/>
  </r>
  <r>
    <x v="21"/>
    <x v="4"/>
    <s v="C:\Users\andre\Desktop\REACTIV CEFAS\Tamoxifen\Tamoxifen/20201210_Cefas_Test9_Run3/Plate 3/@9/D3_02.tif "/>
    <s v=" 2552.3276 "/>
    <s v=" 33.2542 "/>
    <x v="0"/>
    <n v="84876"/>
    <m/>
    <m/>
  </r>
  <r>
    <x v="21"/>
    <x v="4"/>
    <s v="C:\Users\andre\Desktop\REACTIV CEFAS\Tamoxifen\Tamoxifen/20201210_Cefas_Test9_Run3/Plate 3/@9/D3_03.tif "/>
    <s v=" 2292.7688 "/>
    <s v=" 33.9811 "/>
    <x v="0"/>
    <n v="77911"/>
    <m/>
    <m/>
  </r>
  <r>
    <x v="21"/>
    <x v="4"/>
    <s v="C:\Users\andre\Desktop\REACTIV CEFAS\Tamoxifen\Tamoxifen/20201210_Cefas_Test9_Run3/Plate 3/@9/D3_04.tif "/>
    <s v=" 86.5196 "/>
    <s v=" 30.75 "/>
    <x v="0"/>
    <n v="2660"/>
    <m/>
    <m/>
  </r>
  <r>
    <x v="21"/>
    <x v="5"/>
    <s v="C:\Users\andre\Desktop\REACTIV CEFAS\Tamoxifen\Tamoxifen/20201210_Cefas_Test9_Run3/Plate 3/@9/E3_01.tif "/>
    <s v=" 1103.1246 "/>
    <s v=" 31.7255 "/>
    <x v="0"/>
    <n v="34997"/>
    <m/>
    <m/>
  </r>
  <r>
    <x v="21"/>
    <x v="5"/>
    <s v="C:\Users\andre\Desktop\REACTIV CEFAS\Tamoxifen\Tamoxifen/20201210_Cefas_Test9_Run3/Plate 3/@9/E3_02.tif "/>
    <n v="0"/>
    <n v="0"/>
    <x v="0"/>
    <n v="0"/>
    <m/>
    <m/>
  </r>
  <r>
    <x v="21"/>
    <x v="5"/>
    <s v="C:\Users\andre\Desktop\REACTIV CEFAS\Tamoxifen\Tamoxifen/20201210_Cefas_Test9_Run3/Plate 3/@9/E3_03.tif "/>
    <s v=" 129.7794 "/>
    <s v=" 30.3333 "/>
    <x v="0"/>
    <n v="3937"/>
    <m/>
    <m/>
  </r>
  <r>
    <x v="21"/>
    <x v="5"/>
    <s v="C:\Users\andre\Desktop\REACTIV CEFAS\Tamoxifen\Tamoxifen/20201210_Cefas_Test9_Run3/Plate 3/@9/E3_04.tif "/>
    <s v=" 151.4093 "/>
    <n v="31"/>
    <x v="0"/>
    <n v="4694"/>
    <m/>
    <m/>
  </r>
  <r>
    <x v="21"/>
    <x v="6"/>
    <s v="C:\Users\andre\Desktop\REACTIV CEFAS\Tamoxifen\Tamoxifen/20201210_Cefas_Test9_Run3/Plate 3/@9/F3_01.tif "/>
    <s v=" 7094.6054 "/>
    <s v=" 40.5305 "/>
    <x v="0"/>
    <n v="287548"/>
    <m/>
    <m/>
  </r>
  <r>
    <x v="21"/>
    <x v="6"/>
    <s v="C:\Users\andre\Desktop\REACTIV CEFAS\Tamoxifen\Tamoxifen/20201210_Cefas_Test9_Run3/Plate 3/@9/F3_02.tif "/>
    <s v=" 7743.5023 "/>
    <s v=" 40.3631 "/>
    <x v="0"/>
    <n v="312552"/>
    <m/>
    <m/>
  </r>
  <r>
    <x v="21"/>
    <x v="6"/>
    <s v="C:\Users\andre\Desktop\REACTIV CEFAS\Tamoxifen\Tamoxifen/20201210_Cefas_Test9_Run3/Plate 3/@9/F3_03.tif "/>
    <s v=" 10339.0896 "/>
    <s v=" 44.613 "/>
    <x v="0"/>
    <n v="461258"/>
    <m/>
    <m/>
  </r>
  <r>
    <x v="21"/>
    <x v="6"/>
    <s v="C:\Users\andre\Desktop\REACTIV CEFAS\Tamoxifen\Tamoxifen/20201210_Cefas_Test9_Run3/Plate 3/@9/F3_04.tif "/>
    <s v=" 2552.3276 "/>
    <s v=" 35.0678 "/>
    <x v="0"/>
    <n v="89505"/>
    <m/>
    <m/>
  </r>
  <r>
    <x v="21"/>
    <x v="7"/>
    <s v="C:\Users\andre\Desktop\REACTIV CEFAS\Tamoxifen\Tamoxifen/20201210_Cefas_Test9_Run3/Plate 3/@9/G3_01- exclu.tif"/>
    <m/>
    <m/>
    <x v="1"/>
    <m/>
    <m/>
    <m/>
  </r>
  <r>
    <x v="21"/>
    <x v="7"/>
    <s v="C:\Users\andre\Desktop\REACTIV CEFAS\Tamoxifen\Tamoxifen/20201210_Cefas_Test9_Run3/Plate 3/@9/G3_02- exclu.tif"/>
    <m/>
    <m/>
    <x v="1"/>
    <m/>
    <m/>
    <m/>
  </r>
  <r>
    <x v="21"/>
    <x v="7"/>
    <s v="C:\Users\andre\Desktop\REACTIV CEFAS\Tamoxifen\Tamoxifen/20201210_Cefas_Test9_Run3/Plate 3/@9/G3_03.tif "/>
    <s v=" 7894.9115 "/>
    <n v="42"/>
    <x v="0"/>
    <n v="331586"/>
    <m/>
    <m/>
  </r>
  <r>
    <x v="21"/>
    <x v="7"/>
    <s v="C:\Users\andre\Desktop\REACTIV CEFAS\Tamoxifen\Tamoxifen/20201210_Cefas_Test9_Run3/Plate 3/@9/G3_04.tif "/>
    <s v=" 12004.5915 "/>
    <s v=" 47.1586 "/>
    <x v="0"/>
    <n v="566119"/>
    <m/>
    <m/>
  </r>
  <r>
    <x v="21"/>
    <x v="8"/>
    <s v="C:\Users\andre\Desktop\REACTIV CEFAS\Tamoxifen\Tamoxifen/20201210_Cefas_Test9_Run3/Plate 3/@9/H3_01.tif "/>
    <s v=" 7916.5414 "/>
    <s v=" 39.4208 "/>
    <x v="0"/>
    <n v="312076"/>
    <m/>
    <m/>
  </r>
  <r>
    <x v="21"/>
    <x v="8"/>
    <s v="C:\Users\andre\Desktop\REACTIV CEFAS\Tamoxifen\Tamoxifen/20201210_Cefas_Test9_Run3/Plate 3/@9/H3_02.tif "/>
    <s v=" 6099.6303 "/>
    <s v=" 39.0248 "/>
    <x v="0"/>
    <n v="238037"/>
    <m/>
    <m/>
  </r>
  <r>
    <x v="21"/>
    <x v="8"/>
    <s v="C:\Users\andre\Desktop\REACTIV CEFAS\Tamoxifen\Tamoxifen/20201210_Cefas_Test9_Run3/Plate 3/@9/H3_03.tif "/>
    <s v=" 5212.8046 "/>
    <s v=" 39.3278 "/>
    <x v="0"/>
    <n v="205008"/>
    <m/>
    <m/>
  </r>
  <r>
    <x v="21"/>
    <x v="8"/>
    <s v="C:\Users\andre\Desktop\REACTIV CEFAS\Tamoxifen\Tamoxifen/20201210_Cefas_Test9_Run3/Plate 3/@9/H3_04.tif "/>
    <s v=" 6013.1107 "/>
    <s v=" 38.7122 "/>
    <x v="0"/>
    <n v="232781"/>
    <m/>
    <m/>
  </r>
  <r>
    <x v="0"/>
    <x v="0"/>
    <s v=" "/>
    <m/>
    <m/>
    <x v="1"/>
    <m/>
    <m/>
    <m/>
  </r>
  <r>
    <x v="0"/>
    <x v="0"/>
    <s v="group "/>
    <s v=" "/>
    <s v=" mean of mean fluo "/>
    <x v="2"/>
    <s v=" mean of total fluo "/>
    <s v=" SD total fluo "/>
    <m/>
  </r>
  <r>
    <x v="21"/>
    <x v="9"/>
    <s v="C:\Users\andre\Desktop\REACTIV CEFAS\Tamoxifen\Tamoxifen/20201210_Cefas_Test9_Run3/Plate 3/@9/ "/>
    <s v=" "/>
    <s v=" 36.8981 "/>
    <x v="23"/>
    <s v=" 242298.094 "/>
    <s v=" 244650.547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10"/>
    <x v="0"/>
    <n v="30"/>
    <s v="µg/L"/>
    <s v="Testo "/>
    <x v="0"/>
  </r>
  <r>
    <x v="11"/>
    <x v="0"/>
    <n v="64"/>
    <s v="ng/L"/>
    <s v="Testo 30µg/L + EE2 "/>
    <x v="0"/>
  </r>
  <r>
    <x v="12"/>
    <x v="0"/>
    <n v="10"/>
    <s v="mg/L"/>
    <s v="Testo 30µg/L + FAD"/>
    <x v="0"/>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8"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0"/>
        <item x="1"/>
        <item x="2"/>
        <item x="3"/>
        <item x="4"/>
        <item x="5"/>
        <item x="6"/>
        <item x="7"/>
        <item x="8"/>
        <item x="9"/>
        <item x="10"/>
        <item x="11"/>
        <item x="12"/>
        <item x="13"/>
        <item x="14"/>
        <item x="15"/>
        <item x="16"/>
        <item x="17"/>
        <item x="18"/>
        <item x="19"/>
        <item x="20"/>
        <item x="21"/>
        <item t="default"/>
      </items>
    </pivotField>
    <pivotField axis="axisRow" subtotalTop="0" showAll="0" sortType="ascending">
      <items count="12">
        <item h="1" x="9"/>
        <item x="1"/>
        <item x="2"/>
        <item x="3"/>
        <item x="4"/>
        <item x="5"/>
        <item x="6"/>
        <item x="7"/>
        <item x="8"/>
        <item h="1" x="10"/>
        <item h="1" x="0"/>
        <item t="default"/>
      </items>
    </pivotField>
    <pivotField subtotalTop="0" showAll="0"/>
    <pivotField subtotalTop="0" showAll="0"/>
    <pivotField subtotalTop="0" showAll="0"/>
    <pivotField axis="axisPage" subtotalTop="0" showAll="0">
      <items count="46">
        <item x="1"/>
        <item x="0"/>
        <item x="2"/>
        <item m="1" x="34"/>
        <item m="1" x="25"/>
        <item m="1" x="36"/>
        <item m="1" x="43"/>
        <item m="1" x="42"/>
        <item m="1" x="32"/>
        <item m="1" x="24"/>
        <item m="1" x="29"/>
        <item m="1" x="28"/>
        <item m="1" x="37"/>
        <item m="1" x="33"/>
        <item m="1" x="41"/>
        <item m="1" x="44"/>
        <item m="1" x="31"/>
        <item m="1" x="35"/>
        <item m="1" x="40"/>
        <item m="1" x="38"/>
        <item m="1" x="27"/>
        <item m="1" x="39"/>
        <item m="1" x="26"/>
        <item m="1" x="30"/>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formats count="2">
    <format dxfId="32">
      <pivotArea field="1" type="button" dataOnly="0" labelOnly="1" outline="0" axis="axisRow" fieldPosition="0"/>
    </format>
    <format dxfId="31">
      <pivotArea dataOnly="0" labelOnly="1" fieldPosition="0">
        <references count="1">
          <reference field="0" count="21">
            <x v="2"/>
            <x v="3"/>
            <x v="4"/>
            <x v="5"/>
            <x v="6"/>
            <x v="7"/>
            <x v="8"/>
            <x v="9"/>
            <x v="10"/>
            <x v="11"/>
            <x v="12"/>
            <x v="13"/>
            <x v="14"/>
            <x v="15"/>
            <x v="16"/>
            <x v="17"/>
            <x v="18"/>
            <x v="19"/>
            <x v="20"/>
            <x v="21"/>
            <x v="2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9"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35">
        <item x="1"/>
        <item x="0"/>
        <item x="2"/>
        <item x="3"/>
        <item x="4"/>
        <item x="5"/>
        <item x="6"/>
        <item x="7"/>
        <item x="8"/>
        <item x="9"/>
        <item x="10"/>
        <item x="11"/>
        <item x="12"/>
        <item x="13"/>
        <item m="1" x="30"/>
        <item m="1" x="31"/>
        <item m="1" x="28"/>
        <item m="1" x="27"/>
        <item m="1" x="33"/>
        <item m="1" x="32"/>
        <item m="1" x="26"/>
        <item m="1" x="25"/>
        <item m="1" x="24"/>
        <item m="1" x="29"/>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46">
        <item x="1"/>
        <item x="0"/>
        <item x="2"/>
        <item m="1" x="38"/>
        <item m="1" x="41"/>
        <item m="1" x="28"/>
        <item m="1" x="34"/>
        <item m="1" x="29"/>
        <item m="1" x="32"/>
        <item m="1" x="25"/>
        <item m="1" x="26"/>
        <item m="1" x="27"/>
        <item m="1" x="35"/>
        <item m="1" x="37"/>
        <item m="1" x="33"/>
        <item m="1" x="44"/>
        <item m="1" x="39"/>
        <item m="1" x="24"/>
        <item m="1" x="31"/>
        <item m="1" x="43"/>
        <item m="1" x="40"/>
        <item m="1" x="36"/>
        <item m="1" x="42"/>
        <item m="1" x="30"/>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1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7" firstHeaderRow="1" firstDataRow="1" firstDataCol="1" rowPageCount="2" colPageCount="1"/>
  <pivotFields count="6">
    <pivotField axis="axisRow" showAll="0" defaultSubtotal="0">
      <items count="24">
        <item x="13"/>
        <item x="9"/>
        <item x="1"/>
        <item x="2"/>
        <item x="3"/>
        <item x="4"/>
        <item x="5"/>
        <item x="6"/>
        <item x="7"/>
        <item x="11"/>
        <item x="12"/>
        <item x="10"/>
        <item x="0"/>
        <item m="1" x="22"/>
        <item m="1" x="20"/>
        <item m="1" x="21"/>
        <item m="1" x="16"/>
        <item m="1" x="14"/>
        <item m="1" x="17"/>
        <item m="1" x="18"/>
        <item m="1" x="19"/>
        <item m="1" x="15"/>
        <item m="1" x="23"/>
        <item x="8"/>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2">
    <i>
      <x v="1"/>
    </i>
    <i>
      <x v="23"/>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1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24">
        <item x="13"/>
        <item x="9"/>
        <item x="1"/>
        <item x="2"/>
        <item x="3"/>
        <item x="4"/>
        <item x="5"/>
        <item x="6"/>
        <item x="7"/>
        <item x="11"/>
        <item x="12"/>
        <item x="10"/>
        <item x="0"/>
        <item m="1" x="22"/>
        <item m="1" x="20"/>
        <item m="1" x="21"/>
        <item m="1" x="16"/>
        <item m="1" x="14"/>
        <item m="1" x="17"/>
        <item m="1" x="18"/>
        <item m="1" x="19"/>
        <item m="1" x="15"/>
        <item m="1" x="23"/>
        <item x="8"/>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3" dataDxfId="42" tableBorderDxfId="41">
  <autoFilter ref="A6:F58" xr:uid="{00000000-0009-0000-0100-000001000000}"/>
  <tableColumns count="6">
    <tableColumn id="4" xr3:uid="{00000000-0010-0000-0000-000004000000}" name="Nom sur le graphique" dataDxfId="40">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9">
      <calculatedColumnFormula>A2</calculatedColumnFormula>
    </tableColumn>
    <tableColumn id="2" xr3:uid="{00000000-0010-0000-0000-000002000000}" name="Concentration" dataDxfId="38">
      <calculatedColumnFormula>B2</calculatedColumnFormula>
    </tableColumn>
    <tableColumn id="10" xr3:uid="{00000000-0010-0000-0000-00000A000000}" name="Unité" dataDxfId="37"/>
    <tableColumn id="3" xr3:uid="{00000000-0010-0000-0000-000003000000}" name="Nom de l'échantillon donné par le client" dataDxfId="36">
      <calculatedColumnFormula>C2</calculatedColumnFormula>
    </tableColumn>
    <tableColumn id="9" xr3:uid="{00000000-0010-0000-0000-000009000000}" name="Dopage (+Testostérone / + EE2, ….)" dataDxfId="35"/>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7" zoomScale="55" zoomScaleNormal="55" workbookViewId="0">
      <selection activeCell="A15" sqref="A15:E19"/>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1"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8" t="s">
        <v>36</v>
      </c>
      <c r="B1" s="199"/>
      <c r="C1" s="199"/>
      <c r="D1" s="199"/>
      <c r="E1" s="199"/>
      <c r="F1" s="199"/>
      <c r="G1" s="199"/>
      <c r="H1" s="199"/>
      <c r="I1" s="200"/>
    </row>
    <row r="2" spans="1:9" ht="21" x14ac:dyDescent="0.5">
      <c r="A2" s="190" t="s">
        <v>17</v>
      </c>
      <c r="B2" s="42" t="s">
        <v>115</v>
      </c>
      <c r="C2" s="201"/>
      <c r="D2" s="202"/>
      <c r="E2" s="42" t="s">
        <v>21</v>
      </c>
      <c r="F2" s="213"/>
      <c r="G2" s="214"/>
      <c r="H2" s="214"/>
      <c r="I2" s="215"/>
    </row>
    <row r="3" spans="1:9" ht="21" x14ac:dyDescent="0.5">
      <c r="A3" s="191" t="s">
        <v>18</v>
      </c>
      <c r="B3" s="43" t="s">
        <v>115</v>
      </c>
      <c r="C3" s="203"/>
      <c r="D3" s="204"/>
      <c r="E3" s="43" t="s">
        <v>21</v>
      </c>
      <c r="F3" s="210"/>
      <c r="G3" s="211"/>
      <c r="H3" s="211"/>
      <c r="I3" s="212"/>
    </row>
    <row r="4" spans="1:9" ht="21.5" thickBot="1" x14ac:dyDescent="0.55000000000000004">
      <c r="A4" s="192" t="s">
        <v>22</v>
      </c>
      <c r="B4" s="180" t="s">
        <v>115</v>
      </c>
      <c r="C4" s="205"/>
      <c r="D4" s="206"/>
      <c r="E4" s="180" t="s">
        <v>21</v>
      </c>
      <c r="F4" s="207"/>
      <c r="G4" s="208"/>
      <c r="H4" s="208"/>
      <c r="I4" s="209"/>
    </row>
    <row r="5" spans="1:9" s="1" customFormat="1" ht="65.25" customHeight="1" thickBot="1" x14ac:dyDescent="0.4">
      <c r="A5" s="198" t="s">
        <v>37</v>
      </c>
      <c r="B5" s="199"/>
      <c r="C5" s="199"/>
      <c r="D5" s="199"/>
      <c r="E5" s="199"/>
      <c r="F5" s="199"/>
      <c r="G5" s="199"/>
      <c r="H5" s="199"/>
      <c r="I5" s="200"/>
    </row>
    <row r="6" spans="1:9" s="110" customFormat="1" ht="39" customHeight="1" x14ac:dyDescent="0.5">
      <c r="A6" s="76" t="s">
        <v>35</v>
      </c>
      <c r="B6" s="101" t="s">
        <v>7</v>
      </c>
      <c r="C6" s="64" t="s">
        <v>19</v>
      </c>
      <c r="D6" s="64" t="s">
        <v>75</v>
      </c>
      <c r="E6" s="158" t="s">
        <v>51</v>
      </c>
      <c r="F6" s="109" t="s">
        <v>78</v>
      </c>
    </row>
    <row r="7" spans="1:9" s="167" customFormat="1" ht="39" customHeight="1" x14ac:dyDescent="0.5">
      <c r="A7"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3" t="s">
        <v>123</v>
      </c>
      <c r="C7" s="164"/>
      <c r="D7" s="165"/>
      <c r="E7" s="166" t="s">
        <v>125</v>
      </c>
      <c r="F7" s="111"/>
    </row>
    <row r="8" spans="1:9" s="167" customFormat="1" ht="39" customHeight="1" x14ac:dyDescent="0.5">
      <c r="A8"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3" t="s">
        <v>123</v>
      </c>
      <c r="C8" s="164">
        <v>22.5</v>
      </c>
      <c r="D8" s="165" t="s">
        <v>124</v>
      </c>
      <c r="E8" s="166" t="s">
        <v>126</v>
      </c>
      <c r="F8" s="111"/>
    </row>
    <row r="9" spans="1:9" s="167" customFormat="1" ht="39" customHeight="1" x14ac:dyDescent="0.5">
      <c r="A9"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3" t="s">
        <v>123</v>
      </c>
      <c r="C9" s="164">
        <v>33.799999999999997</v>
      </c>
      <c r="D9" s="165" t="s">
        <v>124</v>
      </c>
      <c r="E9" s="166" t="s">
        <v>126</v>
      </c>
      <c r="F9" s="111"/>
    </row>
    <row r="10" spans="1:9" s="167" customFormat="1" ht="39" customHeight="1" x14ac:dyDescent="0.5">
      <c r="A10"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3" t="s">
        <v>123</v>
      </c>
      <c r="C10" s="164">
        <v>50.6</v>
      </c>
      <c r="D10" s="165" t="s">
        <v>124</v>
      </c>
      <c r="E10" s="166" t="s">
        <v>126</v>
      </c>
      <c r="F10" s="111"/>
    </row>
    <row r="11" spans="1:9" s="167" customFormat="1" ht="39" customHeight="1" x14ac:dyDescent="0.5">
      <c r="A11"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3" t="s">
        <v>123</v>
      </c>
      <c r="C11" s="164">
        <v>76</v>
      </c>
      <c r="D11" s="165" t="s">
        <v>124</v>
      </c>
      <c r="E11" s="166" t="s">
        <v>126</v>
      </c>
      <c r="F11" s="111"/>
    </row>
    <row r="12" spans="1:9" s="167" customFormat="1" ht="39" customHeight="1" x14ac:dyDescent="0.5">
      <c r="A12"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3" t="s">
        <v>123</v>
      </c>
      <c r="C12" s="164">
        <v>114</v>
      </c>
      <c r="D12" s="165" t="s">
        <v>124</v>
      </c>
      <c r="E12" s="166" t="s">
        <v>126</v>
      </c>
      <c r="F12" s="111"/>
    </row>
    <row r="13" spans="1:9" s="167" customFormat="1" ht="39" customHeight="1" x14ac:dyDescent="0.5">
      <c r="A13"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3" t="s">
        <v>123</v>
      </c>
      <c r="C13" s="164">
        <v>170.9</v>
      </c>
      <c r="D13" s="165" t="s">
        <v>124</v>
      </c>
      <c r="E13" s="166" t="s">
        <v>126</v>
      </c>
      <c r="F13" s="111"/>
    </row>
    <row r="14" spans="1:9" s="167" customFormat="1" ht="39" customHeight="1" x14ac:dyDescent="0.5">
      <c r="A14"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3" t="s">
        <v>123</v>
      </c>
      <c r="C14" s="164">
        <v>488</v>
      </c>
      <c r="D14" s="165" t="s">
        <v>124</v>
      </c>
      <c r="E14" s="166" t="s">
        <v>126</v>
      </c>
      <c r="F14" s="111"/>
    </row>
    <row r="15" spans="1:9" s="167" customFormat="1" ht="39" customHeight="1" x14ac:dyDescent="0.5">
      <c r="A15" s="162" t="s">
        <v>5264</v>
      </c>
      <c r="B15" s="163" t="s">
        <v>5265</v>
      </c>
      <c r="C15" s="164">
        <v>30.2</v>
      </c>
      <c r="D15" s="165" t="s">
        <v>127</v>
      </c>
      <c r="E15" s="166" t="s">
        <v>5266</v>
      </c>
      <c r="F15" s="111"/>
    </row>
    <row r="16" spans="1:9" s="112" customFormat="1" ht="39" customHeight="1" x14ac:dyDescent="0.35">
      <c r="A16" s="65" t="s">
        <v>5267</v>
      </c>
      <c r="B16" s="40" t="s">
        <v>5265</v>
      </c>
      <c r="C16" s="106">
        <v>60.4</v>
      </c>
      <c r="D16" s="106" t="s">
        <v>127</v>
      </c>
      <c r="E16" s="40" t="s">
        <v>5266</v>
      </c>
      <c r="F16" s="111"/>
    </row>
    <row r="17" spans="1:6" s="112" customFormat="1" ht="39" customHeight="1" x14ac:dyDescent="0.35">
      <c r="A17" s="65" t="s">
        <v>5268</v>
      </c>
      <c r="B17" s="102" t="s">
        <v>5265</v>
      </c>
      <c r="C17" s="106">
        <v>121</v>
      </c>
      <c r="D17" s="106" t="s">
        <v>127</v>
      </c>
      <c r="E17" s="102" t="s">
        <v>5266</v>
      </c>
      <c r="F17" s="111"/>
    </row>
    <row r="18" spans="1:6" s="112" customFormat="1" ht="39" customHeight="1" x14ac:dyDescent="0.35">
      <c r="A18" s="65" t="s">
        <v>5269</v>
      </c>
      <c r="B18" s="40" t="s">
        <v>5265</v>
      </c>
      <c r="C18" s="106">
        <v>242</v>
      </c>
      <c r="D18" s="106" t="s">
        <v>127</v>
      </c>
      <c r="E18" s="40" t="s">
        <v>5266</v>
      </c>
      <c r="F18" s="111"/>
    </row>
    <row r="19" spans="1:6" s="112" customFormat="1" ht="39" customHeight="1" x14ac:dyDescent="0.35">
      <c r="A19" s="65" t="s">
        <v>5270</v>
      </c>
      <c r="B19" s="102" t="s">
        <v>5265</v>
      </c>
      <c r="C19" s="106">
        <v>483</v>
      </c>
      <c r="D19" s="106" t="s">
        <v>127</v>
      </c>
      <c r="E19" s="102" t="s">
        <v>5266</v>
      </c>
      <c r="F19" s="111"/>
    </row>
    <row r="20" spans="1:6" s="112"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6"/>
      <c r="D20" s="106"/>
      <c r="E20" s="40"/>
      <c r="F20" s="111"/>
    </row>
    <row r="21" spans="1:6" s="112"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2"/>
      <c r="C21" s="106"/>
      <c r="D21" s="106"/>
      <c r="E21" s="102"/>
      <c r="F21" s="111"/>
    </row>
    <row r="22" spans="1:6" s="112"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6"/>
      <c r="D22" s="106"/>
      <c r="E22" s="40"/>
      <c r="F22" s="111"/>
    </row>
    <row r="23" spans="1:6" s="112"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2"/>
      <c r="C23" s="106"/>
      <c r="D23" s="106"/>
      <c r="E23" s="102"/>
      <c r="F23" s="111"/>
    </row>
    <row r="24" spans="1:6" s="112"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6"/>
      <c r="D24" s="106"/>
      <c r="E24" s="40"/>
      <c r="F24" s="111"/>
    </row>
    <row r="25" spans="1:6" s="112"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2"/>
      <c r="C25" s="106"/>
      <c r="D25" s="106"/>
      <c r="E25" s="102"/>
      <c r="F25" s="111"/>
    </row>
    <row r="26" spans="1:6" s="112"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6"/>
      <c r="D26" s="106"/>
      <c r="E26" s="40"/>
      <c r="F26" s="111"/>
    </row>
    <row r="27" spans="1:6" s="112"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2"/>
      <c r="C27" s="106"/>
      <c r="D27" s="106"/>
      <c r="E27" s="102"/>
      <c r="F27" s="111"/>
    </row>
    <row r="28" spans="1:6" s="112"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6"/>
      <c r="D28" s="106"/>
      <c r="E28" s="40"/>
      <c r="F28" s="111"/>
    </row>
    <row r="29" spans="1:6" s="112"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2"/>
      <c r="C29" s="106"/>
      <c r="D29" s="106"/>
      <c r="E29" s="102"/>
      <c r="F29" s="111"/>
    </row>
    <row r="30" spans="1:6" s="112"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6"/>
      <c r="D30" s="115"/>
      <c r="E30" s="40"/>
      <c r="F30" s="111"/>
    </row>
    <row r="31" spans="1:6" s="112"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2"/>
      <c r="C31" s="106"/>
      <c r="D31" s="115"/>
      <c r="E31" s="102"/>
      <c r="F31" s="111"/>
    </row>
    <row r="32" spans="1:6" s="112"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6"/>
      <c r="D32" s="115"/>
      <c r="E32" s="40"/>
      <c r="F32" s="111"/>
    </row>
    <row r="33" spans="1:6" s="112"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2"/>
      <c r="C33" s="106"/>
      <c r="D33" s="115"/>
      <c r="E33" s="102"/>
      <c r="F33" s="111"/>
    </row>
    <row r="34" spans="1:6" s="112"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6"/>
      <c r="D34" s="115"/>
      <c r="E34" s="40"/>
      <c r="F34" s="111"/>
    </row>
    <row r="35" spans="1:6" s="112" customFormat="1" ht="39" customHeight="1" thickBot="1" x14ac:dyDescent="0.4">
      <c r="A3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8"/>
      <c r="C35" s="169"/>
      <c r="D35" s="116"/>
      <c r="E35" s="168"/>
      <c r="F35" s="111"/>
    </row>
    <row r="36" spans="1:6" s="112" customFormat="1" ht="39" customHeight="1" x14ac:dyDescent="0.35">
      <c r="A36"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3" t="s">
        <v>123</v>
      </c>
      <c r="C36" s="107">
        <v>30</v>
      </c>
      <c r="D36" s="117" t="s">
        <v>127</v>
      </c>
      <c r="E36" s="159" t="s">
        <v>20</v>
      </c>
      <c r="F36" s="171"/>
    </row>
    <row r="37" spans="1:6" s="112" customFormat="1" ht="39" customHeight="1" x14ac:dyDescent="0.35">
      <c r="A37"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4" t="s">
        <v>123</v>
      </c>
      <c r="C37" s="108">
        <v>64</v>
      </c>
      <c r="D37" s="118" t="s">
        <v>124</v>
      </c>
      <c r="E37" s="160" t="s">
        <v>128</v>
      </c>
      <c r="F37" s="173"/>
    </row>
    <row r="38" spans="1:6" s="112" customFormat="1" ht="39" customHeight="1" thickBot="1" x14ac:dyDescent="0.4">
      <c r="A38" s="1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5" t="s">
        <v>123</v>
      </c>
      <c r="C38" s="176">
        <v>10</v>
      </c>
      <c r="D38" s="177" t="s">
        <v>129</v>
      </c>
      <c r="E38" s="178" t="s">
        <v>130</v>
      </c>
      <c r="F38" s="179"/>
    </row>
    <row r="39" spans="1:6" s="112"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TAM-30,2µg/L + Testostérone</v>
      </c>
      <c r="B39" s="193" t="str">
        <f>B15</f>
        <v>Chemical</v>
      </c>
      <c r="C39" s="193">
        <f t="shared" ref="C39:E39" si="0">C15</f>
        <v>30.2</v>
      </c>
      <c r="D39" s="193" t="str">
        <f t="shared" si="0"/>
        <v>µg/L</v>
      </c>
      <c r="E39" s="193" t="str">
        <f t="shared" si="0"/>
        <v>TAM</v>
      </c>
      <c r="F39" s="113" t="s">
        <v>50</v>
      </c>
    </row>
    <row r="40" spans="1:6" s="112" customFormat="1" ht="39" customHeight="1" x14ac:dyDescent="0.3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TAM-60,4µg/L + Testostérone</v>
      </c>
      <c r="B40" s="195" t="str">
        <f t="shared" ref="B40:E40" si="1">B16</f>
        <v>Chemical</v>
      </c>
      <c r="C40" s="195">
        <f t="shared" si="1"/>
        <v>60.4</v>
      </c>
      <c r="D40" s="195" t="str">
        <f t="shared" si="1"/>
        <v>µg/L</v>
      </c>
      <c r="E40" s="195" t="str">
        <f t="shared" si="1"/>
        <v>TAM</v>
      </c>
      <c r="F40" s="114" t="s">
        <v>50</v>
      </c>
    </row>
    <row r="41" spans="1:6" s="112" customFormat="1" ht="39" customHeight="1" x14ac:dyDescent="0.3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TAM-121µg/L + Testostérone</v>
      </c>
      <c r="B41" s="195" t="str">
        <f t="shared" ref="B41:E41" si="2">B17</f>
        <v>Chemical</v>
      </c>
      <c r="C41" s="195">
        <f t="shared" si="2"/>
        <v>121</v>
      </c>
      <c r="D41" s="195" t="str">
        <f t="shared" si="2"/>
        <v>µg/L</v>
      </c>
      <c r="E41" s="195" t="str">
        <f t="shared" si="2"/>
        <v>TAM</v>
      </c>
      <c r="F41" s="114" t="s">
        <v>50</v>
      </c>
    </row>
    <row r="42" spans="1:6" s="112" customFormat="1" ht="39" customHeight="1" x14ac:dyDescent="0.3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TAM-242µg/L + Testostérone</v>
      </c>
      <c r="B42" s="195" t="str">
        <f t="shared" ref="B42:E42" si="3">B18</f>
        <v>Chemical</v>
      </c>
      <c r="C42" s="195">
        <f t="shared" si="3"/>
        <v>242</v>
      </c>
      <c r="D42" s="195" t="str">
        <f t="shared" si="3"/>
        <v>µg/L</v>
      </c>
      <c r="E42" s="195" t="str">
        <f t="shared" si="3"/>
        <v>TAM</v>
      </c>
      <c r="F42" s="114" t="s">
        <v>50</v>
      </c>
    </row>
    <row r="43" spans="1:6" s="112" customFormat="1" ht="39" customHeight="1" x14ac:dyDescent="0.35">
      <c r="A4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TAM-483µg/L + Testostérone</v>
      </c>
      <c r="B43" s="195" t="str">
        <f t="shared" ref="B43:E43" si="4">B19</f>
        <v>Chemical</v>
      </c>
      <c r="C43" s="195">
        <f t="shared" si="4"/>
        <v>483</v>
      </c>
      <c r="D43" s="195" t="str">
        <f t="shared" si="4"/>
        <v>µg/L</v>
      </c>
      <c r="E43" s="195" t="str">
        <f t="shared" si="4"/>
        <v>TAM</v>
      </c>
      <c r="F43" s="114" t="s">
        <v>50</v>
      </c>
    </row>
    <row r="44" spans="1:6" s="112" customFormat="1" ht="39" customHeight="1" x14ac:dyDescent="0.35">
      <c r="A4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5">
        <f t="shared" ref="B44:E44" si="5">B20</f>
        <v>0</v>
      </c>
      <c r="C44" s="195">
        <f t="shared" si="5"/>
        <v>0</v>
      </c>
      <c r="D44" s="195">
        <f t="shared" si="5"/>
        <v>0</v>
      </c>
      <c r="E44" s="195">
        <f t="shared" si="5"/>
        <v>0</v>
      </c>
      <c r="F44" s="114" t="s">
        <v>50</v>
      </c>
    </row>
    <row r="45" spans="1:6" s="112" customFormat="1" ht="39" customHeight="1" x14ac:dyDescent="0.35">
      <c r="A4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5">
        <f t="shared" ref="B45:E45" si="6">B21</f>
        <v>0</v>
      </c>
      <c r="C45" s="195">
        <f t="shared" si="6"/>
        <v>0</v>
      </c>
      <c r="D45" s="195">
        <f t="shared" si="6"/>
        <v>0</v>
      </c>
      <c r="E45" s="195">
        <f t="shared" si="6"/>
        <v>0</v>
      </c>
      <c r="F45" s="114" t="s">
        <v>50</v>
      </c>
    </row>
    <row r="46" spans="1:6" s="112" customFormat="1" ht="39" customHeight="1" x14ac:dyDescent="0.35">
      <c r="A4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5">
        <f t="shared" ref="B46:E46" si="7">B22</f>
        <v>0</v>
      </c>
      <c r="C46" s="195">
        <f t="shared" si="7"/>
        <v>0</v>
      </c>
      <c r="D46" s="195">
        <f t="shared" si="7"/>
        <v>0</v>
      </c>
      <c r="E46" s="195">
        <f t="shared" si="7"/>
        <v>0</v>
      </c>
      <c r="F46" s="114" t="s">
        <v>50</v>
      </c>
    </row>
    <row r="47" spans="1:6" s="112" customFormat="1" ht="39" customHeight="1" x14ac:dyDescent="0.35">
      <c r="A4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5">
        <f t="shared" ref="B47:E47" si="8">B23</f>
        <v>0</v>
      </c>
      <c r="C47" s="195">
        <f t="shared" si="8"/>
        <v>0</v>
      </c>
      <c r="D47" s="195">
        <f t="shared" si="8"/>
        <v>0</v>
      </c>
      <c r="E47" s="195">
        <f t="shared" si="8"/>
        <v>0</v>
      </c>
      <c r="F47" s="114" t="s">
        <v>50</v>
      </c>
    </row>
    <row r="48" spans="1:6" s="112" customFormat="1" ht="39" customHeight="1" x14ac:dyDescent="0.35">
      <c r="A48"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5">
        <f t="shared" ref="B48:E48" si="9">B24</f>
        <v>0</v>
      </c>
      <c r="C48" s="195">
        <f t="shared" si="9"/>
        <v>0</v>
      </c>
      <c r="D48" s="195">
        <f t="shared" si="9"/>
        <v>0</v>
      </c>
      <c r="E48" s="195">
        <f t="shared" si="9"/>
        <v>0</v>
      </c>
      <c r="F48" s="114" t="s">
        <v>50</v>
      </c>
    </row>
    <row r="49" spans="1:6" s="112" customFormat="1" ht="39" customHeight="1" x14ac:dyDescent="0.35">
      <c r="A4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5">
        <f t="shared" ref="B49:E49" si="10">B25</f>
        <v>0</v>
      </c>
      <c r="C49" s="195">
        <f t="shared" si="10"/>
        <v>0</v>
      </c>
      <c r="D49" s="195">
        <f t="shared" si="10"/>
        <v>0</v>
      </c>
      <c r="E49" s="195">
        <f t="shared" si="10"/>
        <v>0</v>
      </c>
      <c r="F49" s="114" t="s">
        <v>50</v>
      </c>
    </row>
    <row r="50" spans="1:6" s="112" customFormat="1" ht="39" customHeight="1" x14ac:dyDescent="0.35">
      <c r="A5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5">
        <f t="shared" ref="B50:E50" si="11">B26</f>
        <v>0</v>
      </c>
      <c r="C50" s="195">
        <f t="shared" si="11"/>
        <v>0</v>
      </c>
      <c r="D50" s="195">
        <f t="shared" si="11"/>
        <v>0</v>
      </c>
      <c r="E50" s="195">
        <f t="shared" si="11"/>
        <v>0</v>
      </c>
      <c r="F50" s="114" t="s">
        <v>50</v>
      </c>
    </row>
    <row r="51" spans="1:6" s="112" customFormat="1" ht="39" customHeight="1" x14ac:dyDescent="0.35">
      <c r="A5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5">
        <f t="shared" ref="B51:E51" si="12">B27</f>
        <v>0</v>
      </c>
      <c r="C51" s="195">
        <f t="shared" si="12"/>
        <v>0</v>
      </c>
      <c r="D51" s="195">
        <f t="shared" si="12"/>
        <v>0</v>
      </c>
      <c r="E51" s="195">
        <f t="shared" si="12"/>
        <v>0</v>
      </c>
      <c r="F51" s="114" t="s">
        <v>50</v>
      </c>
    </row>
    <row r="52" spans="1:6" s="112" customFormat="1" ht="39" customHeight="1" x14ac:dyDescent="0.35">
      <c r="A5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5">
        <f t="shared" ref="B52:E52" si="13">B28</f>
        <v>0</v>
      </c>
      <c r="C52" s="195">
        <f t="shared" si="13"/>
        <v>0</v>
      </c>
      <c r="D52" s="195">
        <f t="shared" si="13"/>
        <v>0</v>
      </c>
      <c r="E52" s="195">
        <f t="shared" si="13"/>
        <v>0</v>
      </c>
      <c r="F52" s="114" t="s">
        <v>50</v>
      </c>
    </row>
    <row r="53" spans="1:6" s="112" customFormat="1" ht="39" customHeight="1" x14ac:dyDescent="0.35">
      <c r="A5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5">
        <f t="shared" ref="B53:E53" si="14">B29</f>
        <v>0</v>
      </c>
      <c r="C53" s="195">
        <f t="shared" si="14"/>
        <v>0</v>
      </c>
      <c r="D53" s="195">
        <f t="shared" si="14"/>
        <v>0</v>
      </c>
      <c r="E53" s="195">
        <f t="shared" si="14"/>
        <v>0</v>
      </c>
      <c r="F53" s="114" t="s">
        <v>50</v>
      </c>
    </row>
    <row r="54" spans="1:6" s="112" customFormat="1" ht="39" customHeight="1" x14ac:dyDescent="0.35">
      <c r="A5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5">
        <f t="shared" ref="B54:E54" si="15">B30</f>
        <v>0</v>
      </c>
      <c r="C54" s="195">
        <f t="shared" si="15"/>
        <v>0</v>
      </c>
      <c r="D54" s="195">
        <f t="shared" si="15"/>
        <v>0</v>
      </c>
      <c r="E54" s="195">
        <f t="shared" si="15"/>
        <v>0</v>
      </c>
      <c r="F54" s="114" t="s">
        <v>50</v>
      </c>
    </row>
    <row r="55" spans="1:6" s="112" customFormat="1" ht="39" customHeight="1" x14ac:dyDescent="0.35">
      <c r="A5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5">
        <f t="shared" ref="B55:E55" si="16">B31</f>
        <v>0</v>
      </c>
      <c r="C55" s="195">
        <f t="shared" si="16"/>
        <v>0</v>
      </c>
      <c r="D55" s="195">
        <f t="shared" si="16"/>
        <v>0</v>
      </c>
      <c r="E55" s="195">
        <f t="shared" si="16"/>
        <v>0</v>
      </c>
      <c r="F55" s="114" t="s">
        <v>50</v>
      </c>
    </row>
    <row r="56" spans="1:6" s="112" customFormat="1" ht="39" customHeight="1" x14ac:dyDescent="0.35">
      <c r="A5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5">
        <f t="shared" ref="B56:E56" si="17">B32</f>
        <v>0</v>
      </c>
      <c r="C56" s="195">
        <f t="shared" si="17"/>
        <v>0</v>
      </c>
      <c r="D56" s="195">
        <f t="shared" si="17"/>
        <v>0</v>
      </c>
      <c r="E56" s="195">
        <f t="shared" si="17"/>
        <v>0</v>
      </c>
      <c r="F56" s="114" t="s">
        <v>50</v>
      </c>
    </row>
    <row r="57" spans="1:6" s="112" customFormat="1" ht="39" customHeight="1" x14ac:dyDescent="0.35">
      <c r="A5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5">
        <f t="shared" ref="B57:E57" si="18">B33</f>
        <v>0</v>
      </c>
      <c r="C57" s="195">
        <f t="shared" si="18"/>
        <v>0</v>
      </c>
      <c r="D57" s="195">
        <f t="shared" si="18"/>
        <v>0</v>
      </c>
      <c r="E57" s="195">
        <f t="shared" si="18"/>
        <v>0</v>
      </c>
      <c r="F57" s="114" t="s">
        <v>50</v>
      </c>
    </row>
    <row r="58" spans="1:6" s="112" customFormat="1" ht="39" customHeight="1" x14ac:dyDescent="0.35">
      <c r="A58" s="10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4">
        <f t="shared" ref="B58:E58" si="19">B34</f>
        <v>0</v>
      </c>
      <c r="C58" s="194">
        <f t="shared" si="19"/>
        <v>0</v>
      </c>
      <c r="D58" s="194">
        <f t="shared" si="19"/>
        <v>0</v>
      </c>
      <c r="E58" s="194">
        <f t="shared" si="19"/>
        <v>0</v>
      </c>
      <c r="F58" s="114" t="s">
        <v>50</v>
      </c>
    </row>
  </sheetData>
  <protectedRanges>
    <protectedRange sqref="C16:D38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P4" zoomScale="70" zoomScaleNormal="70" workbookViewId="0">
      <selection activeCell="Z5" sqref="Z5:AD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3" t="s">
        <v>172</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3448</v>
      </c>
      <c r="D3" s="1" t="s">
        <v>1150</v>
      </c>
      <c r="E3" s="1" t="s">
        <v>3449</v>
      </c>
      <c r="F3" s="1" t="s">
        <v>112</v>
      </c>
      <c r="G3" s="1">
        <v>528873</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s="3" customFormat="1" x14ac:dyDescent="0.35">
      <c r="A4" s="3" t="str">
        <f t="shared" si="0"/>
        <v>1</v>
      </c>
      <c r="B4" s="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3" t="s">
        <v>3450</v>
      </c>
      <c r="D4" s="3" t="s">
        <v>539</v>
      </c>
      <c r="E4" s="3" t="s">
        <v>3451</v>
      </c>
      <c r="F4" s="3" t="s">
        <v>112</v>
      </c>
      <c r="G4" s="3">
        <v>454444</v>
      </c>
      <c r="K4" s="197" t="s">
        <v>100</v>
      </c>
      <c r="L4" s="3" t="s">
        <v>1646</v>
      </c>
      <c r="M4" s="3" t="s">
        <v>1647</v>
      </c>
      <c r="N4" s="3" t="s">
        <v>1648</v>
      </c>
      <c r="O4" s="3" t="s">
        <v>1649</v>
      </c>
      <c r="P4" s="3" t="s">
        <v>1650</v>
      </c>
      <c r="Q4" s="3" t="s">
        <v>1651</v>
      </c>
      <c r="R4" s="3" t="s">
        <v>1652</v>
      </c>
      <c r="S4" s="3" t="s">
        <v>1653</v>
      </c>
      <c r="T4" s="3" t="s">
        <v>1654</v>
      </c>
      <c r="U4" s="3" t="s">
        <v>1655</v>
      </c>
      <c r="V4" s="3" t="s">
        <v>1656</v>
      </c>
      <c r="W4" s="3" t="s">
        <v>1657</v>
      </c>
      <c r="X4" s="3" t="s">
        <v>1658</v>
      </c>
      <c r="Y4" s="3" t="s">
        <v>1659</v>
      </c>
      <c r="Z4" s="3" t="s">
        <v>1660</v>
      </c>
      <c r="AA4" s="3" t="s">
        <v>1661</v>
      </c>
      <c r="AB4" s="3" t="s">
        <v>1662</v>
      </c>
      <c r="AC4" s="3" t="s">
        <v>1663</v>
      </c>
      <c r="AD4" s="3" t="s">
        <v>1664</v>
      </c>
      <c r="AE4" s="3" t="s">
        <v>1665</v>
      </c>
      <c r="AF4" s="3" t="s">
        <v>1666</v>
      </c>
    </row>
    <row r="5" spans="1:144" x14ac:dyDescent="0.3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 s="1" t="s">
        <v>3452</v>
      </c>
      <c r="D5" s="1" t="s">
        <v>3453</v>
      </c>
      <c r="E5" s="1" t="s">
        <v>3454</v>
      </c>
      <c r="F5" s="1" t="s">
        <v>112</v>
      </c>
      <c r="G5" s="1">
        <v>337448</v>
      </c>
      <c r="K5" s="146" t="s">
        <v>164</v>
      </c>
      <c r="L5" s="44">
        <v>335631.25</v>
      </c>
      <c r="M5" s="44">
        <v>970896</v>
      </c>
      <c r="N5" s="44">
        <v>1131189.25</v>
      </c>
      <c r="O5" s="44">
        <v>4204083.75</v>
      </c>
      <c r="P5" s="44">
        <v>441925.75</v>
      </c>
      <c r="Q5" s="44">
        <v>460940</v>
      </c>
      <c r="R5" s="44">
        <v>299476.75</v>
      </c>
      <c r="S5" s="44">
        <v>298995.5</v>
      </c>
      <c r="T5" s="44">
        <v>2255601.3333333335</v>
      </c>
      <c r="U5" s="44">
        <v>3212780.25</v>
      </c>
      <c r="V5" s="44">
        <v>4556424</v>
      </c>
      <c r="W5" s="44">
        <v>331362.66666666669</v>
      </c>
      <c r="X5" s="44">
        <v>987678.66666666663</v>
      </c>
      <c r="Y5" s="44">
        <v>299330.5</v>
      </c>
      <c r="Z5" s="44">
        <v>2414529</v>
      </c>
      <c r="AA5" s="44">
        <v>1600691.3333333333</v>
      </c>
      <c r="AB5" s="44">
        <v>2141705.5</v>
      </c>
      <c r="AC5" s="44">
        <v>1631180.5</v>
      </c>
      <c r="AD5" s="44">
        <v>998775</v>
      </c>
      <c r="AE5" s="44">
        <v>317315.75</v>
      </c>
      <c r="AF5" s="44">
        <v>305594.33333333331</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 s="1" t="s">
        <v>3455</v>
      </c>
      <c r="D6" s="1" t="s">
        <v>3456</v>
      </c>
      <c r="E6" s="1" t="s">
        <v>3457</v>
      </c>
      <c r="F6" s="1" t="s">
        <v>112</v>
      </c>
      <c r="G6" s="1">
        <v>21760</v>
      </c>
      <c r="K6" s="146" t="s">
        <v>1667</v>
      </c>
      <c r="L6" s="44">
        <v>271839.25</v>
      </c>
      <c r="M6" s="44">
        <v>2614027</v>
      </c>
      <c r="N6" s="44">
        <v>1410680</v>
      </c>
      <c r="O6" s="44">
        <v>2320395.75</v>
      </c>
      <c r="P6" s="44">
        <v>80079.25</v>
      </c>
      <c r="Q6" s="44">
        <v>373245.5</v>
      </c>
      <c r="R6" s="44">
        <v>203465.33333333334</v>
      </c>
      <c r="S6" s="44">
        <v>285969</v>
      </c>
      <c r="T6" s="44">
        <v>1389126</v>
      </c>
      <c r="U6" s="44">
        <v>3494821.3333333335</v>
      </c>
      <c r="V6" s="44">
        <v>3553402</v>
      </c>
      <c r="W6" s="44">
        <v>463777</v>
      </c>
      <c r="X6" s="44">
        <v>514647.33333333331</v>
      </c>
      <c r="Y6" s="44">
        <v>272174.25</v>
      </c>
      <c r="Z6" s="44">
        <v>3445366.5</v>
      </c>
      <c r="AA6" s="44">
        <v>2009682</v>
      </c>
      <c r="AB6" s="44">
        <v>2164098</v>
      </c>
      <c r="AC6" s="44">
        <v>1280825</v>
      </c>
      <c r="AD6" s="44">
        <v>1779745.5</v>
      </c>
      <c r="AE6" s="44">
        <v>209842.5</v>
      </c>
      <c r="AF6" s="44">
        <v>570387.66666666663</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3458</v>
      </c>
      <c r="D7" s="1" t="s">
        <v>3459</v>
      </c>
      <c r="E7" s="1" t="s">
        <v>3460</v>
      </c>
      <c r="F7" s="1" t="s">
        <v>112</v>
      </c>
      <c r="G7" s="1">
        <v>398228</v>
      </c>
      <c r="K7" s="146" t="s">
        <v>1668</v>
      </c>
      <c r="L7" s="44">
        <v>322555.75</v>
      </c>
      <c r="M7" s="44">
        <v>2082082.75</v>
      </c>
      <c r="N7" s="44">
        <v>3761005.75</v>
      </c>
      <c r="O7" s="44">
        <v>3922727.25</v>
      </c>
      <c r="P7" s="44">
        <v>274980.75</v>
      </c>
      <c r="Q7" s="44">
        <v>156088.33333333334</v>
      </c>
      <c r="R7" s="44">
        <v>552389.75</v>
      </c>
      <c r="S7" s="44">
        <v>745366</v>
      </c>
      <c r="T7" s="44">
        <v>1011646.25</v>
      </c>
      <c r="U7" s="44">
        <v>3477995</v>
      </c>
      <c r="V7" s="44">
        <v>3691439</v>
      </c>
      <c r="W7" s="44"/>
      <c r="X7" s="44">
        <v>219103.66666666666</v>
      </c>
      <c r="Y7" s="44">
        <v>988361.75</v>
      </c>
      <c r="Z7" s="44">
        <v>3418637.25</v>
      </c>
      <c r="AA7" s="44">
        <v>3014239.25</v>
      </c>
      <c r="AB7" s="44">
        <v>2326560.25</v>
      </c>
      <c r="AC7" s="44">
        <v>1618868</v>
      </c>
      <c r="AD7" s="44">
        <v>466064.75</v>
      </c>
      <c r="AE7" s="44">
        <v>397000.75</v>
      </c>
      <c r="AF7" s="44">
        <v>169556.75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 s="1" t="s">
        <v>3461</v>
      </c>
      <c r="D8" s="1" t="s">
        <v>3462</v>
      </c>
      <c r="E8" s="1" t="s">
        <v>3463</v>
      </c>
      <c r="F8" s="1" t="s">
        <v>112</v>
      </c>
      <c r="G8" s="1">
        <v>363361</v>
      </c>
      <c r="K8" s="146" t="s">
        <v>1669</v>
      </c>
      <c r="L8" s="44">
        <v>421869.33333333331</v>
      </c>
      <c r="M8" s="44">
        <v>3170158.25</v>
      </c>
      <c r="N8" s="44">
        <v>3425072</v>
      </c>
      <c r="O8" s="44">
        <v>2979036.75</v>
      </c>
      <c r="P8" s="44">
        <v>427255.25</v>
      </c>
      <c r="Q8" s="44">
        <v>365637.25</v>
      </c>
      <c r="R8" s="44">
        <v>87060</v>
      </c>
      <c r="S8" s="44">
        <v>166231.25</v>
      </c>
      <c r="T8" s="44">
        <v>1988054</v>
      </c>
      <c r="U8" s="44">
        <v>3604751.75</v>
      </c>
      <c r="V8" s="44">
        <v>4888107.5</v>
      </c>
      <c r="W8" s="44">
        <v>498233.75</v>
      </c>
      <c r="X8" s="44">
        <v>1404609.3333333333</v>
      </c>
      <c r="Y8" s="44">
        <v>52290.25</v>
      </c>
      <c r="Z8" s="44">
        <v>3793445.25</v>
      </c>
      <c r="AA8" s="44">
        <v>3425353.25</v>
      </c>
      <c r="AB8" s="44">
        <v>2275600.25</v>
      </c>
      <c r="AC8" s="44">
        <v>2701628</v>
      </c>
      <c r="AD8" s="44">
        <v>635902.75</v>
      </c>
      <c r="AE8" s="44">
        <v>420117.5</v>
      </c>
      <c r="AF8" s="44">
        <v>431322</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9" s="1" t="s">
        <v>3464</v>
      </c>
      <c r="D9" s="1" t="s">
        <v>3420</v>
      </c>
      <c r="E9" s="1" t="s">
        <v>3465</v>
      </c>
      <c r="F9" s="1" t="s">
        <v>112</v>
      </c>
      <c r="G9" s="1">
        <v>325768</v>
      </c>
      <c r="K9" s="146" t="s">
        <v>1670</v>
      </c>
      <c r="L9" s="44">
        <v>311562.25</v>
      </c>
      <c r="M9" s="44">
        <v>921168.5</v>
      </c>
      <c r="N9" s="44">
        <v>1280003</v>
      </c>
      <c r="O9" s="44">
        <v>4203402.333333333</v>
      </c>
      <c r="P9" s="44">
        <v>475241</v>
      </c>
      <c r="Q9" s="44">
        <v>249446.75</v>
      </c>
      <c r="R9" s="44">
        <v>441855.5</v>
      </c>
      <c r="S9" s="44">
        <v>56156.5</v>
      </c>
      <c r="T9" s="44">
        <v>2842627.75</v>
      </c>
      <c r="U9" s="44">
        <v>2876024.25</v>
      </c>
      <c r="V9" s="44">
        <v>3873189.5</v>
      </c>
      <c r="W9" s="44">
        <v>645841.5</v>
      </c>
      <c r="X9" s="44">
        <v>184357</v>
      </c>
      <c r="Y9" s="44">
        <v>342026.33333333331</v>
      </c>
      <c r="Z9" s="44">
        <v>3766132.5</v>
      </c>
      <c r="AA9" s="44">
        <v>2815958</v>
      </c>
      <c r="AB9" s="44">
        <v>3211163.25</v>
      </c>
      <c r="AC9" s="44">
        <v>817653.25</v>
      </c>
      <c r="AD9" s="44">
        <v>148710.75</v>
      </c>
      <c r="AE9" s="44">
        <v>558565</v>
      </c>
      <c r="AF9" s="44">
        <v>307063.5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 s="1" t="s">
        <v>3466</v>
      </c>
      <c r="D10" s="1">
        <v>0</v>
      </c>
      <c r="E10" s="1">
        <v>0</v>
      </c>
      <c r="F10" s="1" t="s">
        <v>112</v>
      </c>
      <c r="G10" s="1">
        <v>0</v>
      </c>
      <c r="K10" s="146" t="s">
        <v>1671</v>
      </c>
      <c r="L10" s="44">
        <v>444321.25</v>
      </c>
      <c r="M10" s="44">
        <v>2815925.75</v>
      </c>
      <c r="N10" s="44">
        <v>2808225.25</v>
      </c>
      <c r="O10" s="44">
        <v>4175380.75</v>
      </c>
      <c r="P10" s="44">
        <v>354638.25</v>
      </c>
      <c r="Q10" s="44">
        <v>106909.33333333333</v>
      </c>
      <c r="R10" s="44">
        <v>374451.25</v>
      </c>
      <c r="S10" s="44">
        <v>1112198.25</v>
      </c>
      <c r="T10" s="44">
        <v>3187121.6666666665</v>
      </c>
      <c r="U10" s="44">
        <v>2766955.75</v>
      </c>
      <c r="V10" s="44">
        <v>3266730.75</v>
      </c>
      <c r="W10" s="44">
        <v>35824.75</v>
      </c>
      <c r="X10" s="44">
        <v>255481.5</v>
      </c>
      <c r="Y10" s="44">
        <v>386629</v>
      </c>
      <c r="Z10" s="44">
        <v>2875559.25</v>
      </c>
      <c r="AA10" s="44">
        <v>3331171.5</v>
      </c>
      <c r="AB10" s="44">
        <v>765119.75</v>
      </c>
      <c r="AC10" s="44">
        <v>2389076</v>
      </c>
      <c r="AD10" s="44">
        <v>652844.25</v>
      </c>
      <c r="AE10" s="44">
        <v>387694</v>
      </c>
      <c r="AF10" s="44">
        <v>170638</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1" s="1" t="s">
        <v>3467</v>
      </c>
      <c r="D11" s="1" t="s">
        <v>2237</v>
      </c>
      <c r="E11" s="1" t="s">
        <v>3468</v>
      </c>
      <c r="F11" s="1" t="s">
        <v>112</v>
      </c>
      <c r="G11" s="1">
        <v>344672</v>
      </c>
      <c r="K11" s="146" t="s">
        <v>1672</v>
      </c>
      <c r="L11" s="44">
        <v>505090.5</v>
      </c>
      <c r="M11" s="44">
        <v>2417827.5</v>
      </c>
      <c r="N11" s="44">
        <v>3065286</v>
      </c>
      <c r="O11" s="44">
        <v>3226504.5</v>
      </c>
      <c r="P11" s="44">
        <v>305731.33333333331</v>
      </c>
      <c r="Q11" s="44">
        <v>301212.5</v>
      </c>
      <c r="R11" s="44">
        <v>316002</v>
      </c>
      <c r="S11" s="44">
        <v>119083.5</v>
      </c>
      <c r="T11" s="44">
        <v>1232276.75</v>
      </c>
      <c r="U11" s="44">
        <v>2535488.5</v>
      </c>
      <c r="V11" s="44">
        <v>2892684.75</v>
      </c>
      <c r="W11" s="44">
        <v>1226647.5</v>
      </c>
      <c r="X11" s="44">
        <v>600402.5</v>
      </c>
      <c r="Y11" s="44">
        <v>284325</v>
      </c>
      <c r="Z11" s="44">
        <v>2786108.75</v>
      </c>
      <c r="AA11" s="44">
        <v>2954265.25</v>
      </c>
      <c r="AB11" s="44">
        <v>1443309</v>
      </c>
      <c r="AC11" s="44">
        <v>1505510.75</v>
      </c>
      <c r="AD11" s="44">
        <v>732799.33333333337</v>
      </c>
      <c r="AE11" s="44">
        <v>342785</v>
      </c>
      <c r="AF11" s="44">
        <v>234495</v>
      </c>
      <c r="AG11"/>
    </row>
    <row r="12" spans="1:144" x14ac:dyDescent="0.3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2" s="1" t="s">
        <v>3469</v>
      </c>
      <c r="D12" s="1" t="s">
        <v>3328</v>
      </c>
      <c r="E12" s="1" t="s">
        <v>3470</v>
      </c>
      <c r="F12" s="1" t="s">
        <v>112</v>
      </c>
      <c r="G12" s="1">
        <v>307880</v>
      </c>
      <c r="K12" s="146" t="s">
        <v>1673</v>
      </c>
      <c r="L12" s="44">
        <v>200222.5</v>
      </c>
      <c r="M12" s="44">
        <v>2438278.75</v>
      </c>
      <c r="N12" s="44">
        <v>2653447.5</v>
      </c>
      <c r="O12" s="44">
        <v>2587157</v>
      </c>
      <c r="P12" s="44">
        <v>180820.5</v>
      </c>
      <c r="Q12" s="44">
        <v>150841.75</v>
      </c>
      <c r="R12" s="44">
        <v>228786.33333333334</v>
      </c>
      <c r="S12" s="44">
        <v>508937</v>
      </c>
      <c r="T12" s="44">
        <v>1331158</v>
      </c>
      <c r="U12" s="44">
        <v>1212436.5</v>
      </c>
      <c r="V12" s="44">
        <v>4698267.5</v>
      </c>
      <c r="W12" s="44">
        <v>725147.75</v>
      </c>
      <c r="X12" s="44">
        <v>251065.66666666666</v>
      </c>
      <c r="Y12" s="44">
        <v>550545.75</v>
      </c>
      <c r="Z12" s="44">
        <v>2414848</v>
      </c>
      <c r="AA12" s="44">
        <v>4028221.75</v>
      </c>
      <c r="AB12" s="44">
        <v>1287773.75</v>
      </c>
      <c r="AC12" s="44">
        <v>206132.75</v>
      </c>
      <c r="AD12" s="44">
        <v>630992.75</v>
      </c>
      <c r="AE12" s="44">
        <v>315266.75</v>
      </c>
      <c r="AF12" s="44">
        <v>281821</v>
      </c>
      <c r="AG12"/>
    </row>
    <row r="13" spans="1:144" x14ac:dyDescent="0.3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3" s="1" t="s">
        <v>3471</v>
      </c>
      <c r="D13" s="1" t="s">
        <v>3328</v>
      </c>
      <c r="E13" s="1" t="s">
        <v>3472</v>
      </c>
      <c r="F13" s="1" t="s">
        <v>112</v>
      </c>
      <c r="G13" s="1">
        <v>307837</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 s="1" t="s">
        <v>3473</v>
      </c>
      <c r="D14" s="1" t="s">
        <v>1523</v>
      </c>
      <c r="E14" s="1" t="s">
        <v>3474</v>
      </c>
      <c r="F14" s="1" t="s">
        <v>112</v>
      </c>
      <c r="G14" s="1">
        <v>329834</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5" s="1" t="s">
        <v>3475</v>
      </c>
    </row>
    <row r="16" spans="1:144" x14ac:dyDescent="0.3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6" s="1" t="s">
        <v>3476</v>
      </c>
      <c r="D16" s="1" t="s">
        <v>3477</v>
      </c>
      <c r="E16" s="1" t="s">
        <v>3478</v>
      </c>
      <c r="F16" s="1" t="s">
        <v>112</v>
      </c>
      <c r="G16" s="1">
        <v>488338</v>
      </c>
      <c r="M16"/>
      <c r="N16"/>
      <c r="O16"/>
      <c r="P16"/>
      <c r="Q16"/>
      <c r="R16"/>
      <c r="S16"/>
      <c r="T16"/>
      <c r="U16"/>
      <c r="V16"/>
      <c r="W16"/>
      <c r="X16"/>
      <c r="Y16"/>
      <c r="Z16"/>
      <c r="AA16"/>
      <c r="AB16"/>
      <c r="AC16"/>
      <c r="AD16"/>
      <c r="AE16"/>
      <c r="AF16"/>
      <c r="AG16"/>
      <c r="AH16"/>
    </row>
    <row r="17" spans="1:34" x14ac:dyDescent="0.3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 s="1" t="s">
        <v>3479</v>
      </c>
      <c r="D17" s="1" t="s">
        <v>199</v>
      </c>
      <c r="E17" s="1" t="s">
        <v>3480</v>
      </c>
      <c r="F17" s="1" t="s">
        <v>112</v>
      </c>
      <c r="G17" s="1">
        <v>377593</v>
      </c>
      <c r="M17"/>
      <c r="N17"/>
      <c r="O17"/>
      <c r="P17"/>
      <c r="Q17"/>
      <c r="R17"/>
      <c r="S17"/>
      <c r="T17"/>
      <c r="U17"/>
      <c r="V17"/>
      <c r="W17"/>
      <c r="X17"/>
      <c r="Y17"/>
      <c r="Z17"/>
      <c r="AA17"/>
      <c r="AB17"/>
      <c r="AC17"/>
      <c r="AD17"/>
      <c r="AE17"/>
      <c r="AF17"/>
      <c r="AG17"/>
      <c r="AH17"/>
    </row>
    <row r="18" spans="1:34" x14ac:dyDescent="0.3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8" s="1" t="s">
        <v>3481</v>
      </c>
      <c r="D18" s="1" t="s">
        <v>2677</v>
      </c>
      <c r="E18" s="1" t="s">
        <v>3482</v>
      </c>
      <c r="F18" s="1" t="s">
        <v>112</v>
      </c>
      <c r="G18" s="1">
        <v>399677</v>
      </c>
      <c r="M18"/>
      <c r="N18"/>
      <c r="O18"/>
      <c r="P18"/>
      <c r="Q18"/>
      <c r="R18"/>
      <c r="S18"/>
      <c r="T18"/>
      <c r="U18"/>
      <c r="V18"/>
      <c r="W18"/>
      <c r="X18"/>
      <c r="Y18"/>
      <c r="Z18"/>
      <c r="AA18"/>
      <c r="AB18"/>
      <c r="AC18"/>
      <c r="AD18"/>
      <c r="AE18"/>
      <c r="AF18"/>
      <c r="AG18"/>
      <c r="AH18"/>
    </row>
    <row r="19" spans="1:34" x14ac:dyDescent="0.3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9" s="1" t="s">
        <v>3483</v>
      </c>
      <c r="D19" s="1" t="s">
        <v>3484</v>
      </c>
      <c r="E19" s="1" t="s">
        <v>3485</v>
      </c>
      <c r="F19" s="1" t="s">
        <v>112</v>
      </c>
      <c r="G19" s="1">
        <v>363663</v>
      </c>
      <c r="K19"/>
      <c r="L19"/>
      <c r="M19"/>
      <c r="N19"/>
      <c r="O19"/>
      <c r="P19"/>
      <c r="Q19"/>
      <c r="R19"/>
      <c r="S19"/>
      <c r="T19"/>
      <c r="U19"/>
      <c r="V19"/>
      <c r="W19"/>
      <c r="X19"/>
      <c r="Y19"/>
      <c r="Z19"/>
      <c r="AA19"/>
      <c r="AB19"/>
      <c r="AC19"/>
      <c r="AD19"/>
      <c r="AE19"/>
      <c r="AF19"/>
      <c r="AG19"/>
      <c r="AH19"/>
    </row>
    <row r="20" spans="1:34" x14ac:dyDescent="0.3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0" s="1" t="s">
        <v>3486</v>
      </c>
      <c r="D20" s="1" t="s">
        <v>1153</v>
      </c>
      <c r="E20" s="1" t="s">
        <v>3487</v>
      </c>
      <c r="F20" s="1" t="s">
        <v>112</v>
      </c>
      <c r="G20" s="1">
        <v>233408</v>
      </c>
      <c r="K20"/>
      <c r="L20"/>
      <c r="M20"/>
      <c r="N20"/>
      <c r="O20"/>
      <c r="P20"/>
      <c r="Q20"/>
      <c r="R20"/>
      <c r="S20"/>
      <c r="T20"/>
      <c r="U20"/>
      <c r="V20"/>
      <c r="W20"/>
      <c r="X20"/>
      <c r="Y20"/>
      <c r="Z20"/>
      <c r="AA20"/>
      <c r="AB20"/>
      <c r="AC20"/>
      <c r="AD20"/>
      <c r="AE20"/>
      <c r="AF20"/>
      <c r="AG20"/>
      <c r="AH20"/>
    </row>
    <row r="21" spans="1:34" x14ac:dyDescent="0.3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 s="1" t="s">
        <v>3488</v>
      </c>
      <c r="D21" s="1" t="s">
        <v>3489</v>
      </c>
      <c r="E21" s="1" t="s">
        <v>3490</v>
      </c>
      <c r="F21" s="1" t="s">
        <v>112</v>
      </c>
      <c r="G21" s="1">
        <v>241368</v>
      </c>
      <c r="K21"/>
      <c r="L21"/>
      <c r="M21"/>
      <c r="N21"/>
      <c r="O21"/>
      <c r="P21"/>
      <c r="Q21"/>
      <c r="R21"/>
      <c r="S21"/>
      <c r="T21"/>
      <c r="U21"/>
      <c r="V21"/>
      <c r="W21"/>
      <c r="X21"/>
      <c r="Y21"/>
      <c r="Z21"/>
      <c r="AA21"/>
      <c r="AB21"/>
      <c r="AC21"/>
      <c r="AD21"/>
      <c r="AE21"/>
      <c r="AF21"/>
      <c r="AG21"/>
      <c r="AH21"/>
    </row>
    <row r="22" spans="1:34" x14ac:dyDescent="0.3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2" s="1" t="s">
        <v>3491</v>
      </c>
      <c r="D22" s="1" t="s">
        <v>1706</v>
      </c>
      <c r="E22" s="1" t="s">
        <v>3492</v>
      </c>
      <c r="F22" s="1" t="s">
        <v>112</v>
      </c>
      <c r="G22" s="1">
        <v>407810</v>
      </c>
      <c r="K22"/>
      <c r="L22"/>
      <c r="M22"/>
      <c r="N22"/>
      <c r="O22"/>
      <c r="P22"/>
      <c r="Q22"/>
      <c r="R22"/>
      <c r="S22"/>
      <c r="T22"/>
      <c r="U22"/>
      <c r="V22"/>
      <c r="W22"/>
      <c r="X22"/>
      <c r="Y22"/>
      <c r="Z22"/>
      <c r="AA22"/>
      <c r="AB22"/>
      <c r="AC22"/>
      <c r="AD22"/>
      <c r="AE22"/>
      <c r="AF22"/>
      <c r="AG22"/>
      <c r="AH22"/>
    </row>
    <row r="23" spans="1:34" x14ac:dyDescent="0.3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3" s="1" t="s">
        <v>3493</v>
      </c>
      <c r="D23" s="1" t="s">
        <v>3494</v>
      </c>
      <c r="E23" s="1" t="s">
        <v>3495</v>
      </c>
      <c r="F23" s="1" t="s">
        <v>112</v>
      </c>
      <c r="G23" s="1">
        <v>641153</v>
      </c>
      <c r="K23"/>
      <c r="L23"/>
      <c r="M23"/>
      <c r="N23"/>
      <c r="O23"/>
      <c r="P23"/>
      <c r="Q23"/>
      <c r="R23"/>
      <c r="S23"/>
      <c r="T23"/>
      <c r="U23"/>
      <c r="V23"/>
      <c r="W23"/>
      <c r="X23"/>
      <c r="Y23"/>
      <c r="Z23"/>
      <c r="AA23"/>
      <c r="AB23"/>
      <c r="AC23"/>
      <c r="AD23"/>
      <c r="AE23"/>
      <c r="AF23"/>
      <c r="AG23"/>
      <c r="AH23"/>
    </row>
    <row r="24" spans="1:34" x14ac:dyDescent="0.3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 s="1" t="s">
        <v>3496</v>
      </c>
      <c r="D24" s="1" t="s">
        <v>3497</v>
      </c>
      <c r="E24" s="1" t="s">
        <v>3498</v>
      </c>
      <c r="F24" s="1" t="s">
        <v>112</v>
      </c>
      <c r="G24" s="1">
        <v>205830</v>
      </c>
      <c r="K24"/>
      <c r="L24"/>
      <c r="M24"/>
      <c r="N24"/>
      <c r="O24"/>
      <c r="P24"/>
      <c r="Q24"/>
      <c r="R24"/>
      <c r="S24"/>
      <c r="T24"/>
      <c r="U24"/>
      <c r="V24"/>
      <c r="W24"/>
      <c r="X24"/>
      <c r="Y24"/>
      <c r="Z24"/>
      <c r="AA24"/>
      <c r="AB24"/>
      <c r="AC24"/>
      <c r="AD24"/>
      <c r="AE24"/>
      <c r="AF24"/>
      <c r="AG24"/>
      <c r="AH24"/>
    </row>
    <row r="25" spans="1:34" x14ac:dyDescent="0.3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 s="1" t="s">
        <v>3499</v>
      </c>
      <c r="D25" s="1" t="s">
        <v>619</v>
      </c>
      <c r="E25" s="1" t="s">
        <v>3500</v>
      </c>
      <c r="F25" s="1" t="s">
        <v>112</v>
      </c>
      <c r="G25" s="1">
        <v>367730</v>
      </c>
      <c r="K25"/>
      <c r="L25"/>
      <c r="M25"/>
      <c r="N25"/>
      <c r="O25"/>
      <c r="P25"/>
      <c r="Q25"/>
      <c r="R25"/>
      <c r="S25"/>
      <c r="T25"/>
      <c r="U25"/>
      <c r="V25"/>
      <c r="W25"/>
      <c r="X25"/>
      <c r="Y25"/>
      <c r="Z25"/>
      <c r="AA25"/>
      <c r="AB25"/>
      <c r="AC25"/>
      <c r="AD25"/>
      <c r="AE25"/>
      <c r="AF25"/>
      <c r="AG25"/>
      <c r="AH25"/>
    </row>
    <row r="26" spans="1:34" x14ac:dyDescent="0.35">
      <c r="A26" s="1" t="str">
        <f t="shared" si="0"/>
        <v>1</v>
      </c>
      <c r="B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6" s="1" t="s">
        <v>3501</v>
      </c>
      <c r="D26" s="1" t="s">
        <v>3502</v>
      </c>
      <c r="E26" s="1" t="s">
        <v>3503</v>
      </c>
      <c r="F26" s="1" t="s">
        <v>112</v>
      </c>
      <c r="G26" s="1">
        <v>562572</v>
      </c>
      <c r="K26"/>
      <c r="L26"/>
      <c r="M26"/>
      <c r="N26"/>
      <c r="O26"/>
      <c r="P26"/>
      <c r="Q26"/>
      <c r="R26"/>
      <c r="S26"/>
      <c r="T26"/>
      <c r="U26"/>
      <c r="V26"/>
      <c r="W26"/>
      <c r="X26"/>
      <c r="Y26"/>
      <c r="Z26"/>
      <c r="AA26"/>
      <c r="AB26"/>
      <c r="AC26"/>
      <c r="AD26"/>
      <c r="AE26"/>
      <c r="AF26"/>
      <c r="AG26"/>
      <c r="AH26"/>
    </row>
    <row r="27" spans="1:34" x14ac:dyDescent="0.35">
      <c r="A27" s="1" t="str">
        <f t="shared" si="0"/>
        <v>1</v>
      </c>
      <c r="B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 s="1" t="s">
        <v>3504</v>
      </c>
      <c r="D27" s="1" t="s">
        <v>2317</v>
      </c>
      <c r="E27" s="1" t="s">
        <v>3505</v>
      </c>
      <c r="F27" s="1" t="s">
        <v>112</v>
      </c>
      <c r="G27" s="1">
        <v>546869</v>
      </c>
      <c r="K27"/>
      <c r="L27"/>
      <c r="M27"/>
      <c r="N27"/>
      <c r="O27"/>
      <c r="P27"/>
      <c r="Q27"/>
      <c r="R27"/>
      <c r="S27"/>
      <c r="T27"/>
      <c r="U27"/>
      <c r="V27"/>
      <c r="W27"/>
      <c r="X27"/>
      <c r="Y27"/>
      <c r="Z27"/>
      <c r="AA27"/>
      <c r="AB27"/>
      <c r="AC27"/>
      <c r="AD27"/>
      <c r="AE27"/>
      <c r="AF27"/>
      <c r="AG27"/>
      <c r="AH27"/>
    </row>
    <row r="28" spans="1:34" x14ac:dyDescent="0.35">
      <c r="A28" s="1" t="str">
        <f t="shared" si="0"/>
        <v>1</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 s="1" t="s">
        <v>3506</v>
      </c>
      <c r="D28" s="1" t="s">
        <v>3507</v>
      </c>
      <c r="E28" s="1" t="s">
        <v>3508</v>
      </c>
      <c r="F28" s="1" t="s">
        <v>112</v>
      </c>
      <c r="G28" s="1">
        <v>597353</v>
      </c>
      <c r="K28"/>
      <c r="L28"/>
      <c r="M28"/>
      <c r="N28"/>
      <c r="O28"/>
      <c r="P28"/>
      <c r="Q28"/>
      <c r="R28"/>
      <c r="S28"/>
      <c r="T28"/>
      <c r="U28"/>
      <c r="V28"/>
      <c r="W28"/>
      <c r="X28"/>
      <c r="Y28"/>
      <c r="Z28"/>
      <c r="AA28"/>
      <c r="AB28"/>
      <c r="AC28"/>
      <c r="AD28"/>
      <c r="AE28"/>
      <c r="AF28"/>
      <c r="AG28"/>
      <c r="AH28"/>
    </row>
    <row r="29" spans="1:34" x14ac:dyDescent="0.35">
      <c r="A29" s="1" t="str">
        <f t="shared" si="0"/>
        <v>1</v>
      </c>
      <c r="B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9" s="1" t="s">
        <v>3509</v>
      </c>
      <c r="D29" s="1" t="s">
        <v>296</v>
      </c>
      <c r="E29" s="1" t="s">
        <v>3510</v>
      </c>
      <c r="F29" s="1" t="s">
        <v>112</v>
      </c>
      <c r="G29" s="1">
        <v>534734</v>
      </c>
      <c r="K29"/>
      <c r="L29"/>
      <c r="M29"/>
      <c r="N29"/>
      <c r="O29"/>
      <c r="P29"/>
      <c r="Q29"/>
      <c r="R29"/>
      <c r="S29"/>
      <c r="T29"/>
      <c r="U29"/>
      <c r="V29"/>
      <c r="W29"/>
      <c r="X29"/>
      <c r="Y29"/>
      <c r="Z29"/>
      <c r="AA29"/>
      <c r="AB29"/>
      <c r="AC29"/>
      <c r="AD29"/>
      <c r="AE29"/>
      <c r="AF29"/>
      <c r="AG29"/>
      <c r="AH29"/>
    </row>
    <row r="30" spans="1:34" x14ac:dyDescent="0.35">
      <c r="A30" s="1" t="str">
        <f t="shared" si="0"/>
        <v>1</v>
      </c>
      <c r="B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0" s="1" t="s">
        <v>3511</v>
      </c>
      <c r="D30" s="1" t="s">
        <v>3512</v>
      </c>
      <c r="E30" s="1" t="s">
        <v>3513</v>
      </c>
      <c r="F30" s="1" t="s">
        <v>112</v>
      </c>
      <c r="G30" s="1">
        <v>341406</v>
      </c>
      <c r="K30"/>
      <c r="L30"/>
      <c r="M30"/>
      <c r="N30"/>
      <c r="O30"/>
      <c r="P30"/>
      <c r="Q30"/>
      <c r="R30"/>
      <c r="S30"/>
      <c r="T30"/>
      <c r="U30"/>
      <c r="V30"/>
      <c r="W30"/>
      <c r="X30"/>
      <c r="Y30"/>
      <c r="Z30"/>
      <c r="AA30"/>
      <c r="AB30"/>
      <c r="AC30"/>
      <c r="AD30"/>
      <c r="AE30"/>
      <c r="AF30"/>
      <c r="AG30"/>
      <c r="AH30"/>
    </row>
    <row r="31" spans="1:34" x14ac:dyDescent="0.35">
      <c r="A31" s="1" t="str">
        <f t="shared" si="0"/>
        <v>1</v>
      </c>
      <c r="B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1" s="1" t="s">
        <v>3514</v>
      </c>
      <c r="D31" s="1" t="s">
        <v>174</v>
      </c>
      <c r="E31" s="1" t="s">
        <v>3515</v>
      </c>
      <c r="F31" s="1" t="s">
        <v>112</v>
      </c>
      <c r="G31" s="1">
        <v>337708</v>
      </c>
      <c r="K31"/>
      <c r="L31"/>
      <c r="M31"/>
      <c r="N31"/>
      <c r="O31"/>
      <c r="P31"/>
      <c r="Q31"/>
      <c r="R31"/>
      <c r="S31"/>
      <c r="T31"/>
      <c r="U31"/>
      <c r="V31"/>
      <c r="W31"/>
      <c r="X31"/>
      <c r="Y31"/>
      <c r="Z31"/>
      <c r="AA31"/>
      <c r="AB31"/>
      <c r="AC31"/>
      <c r="AD31"/>
      <c r="AE31"/>
      <c r="AF31"/>
      <c r="AG31"/>
      <c r="AH31"/>
    </row>
    <row r="32" spans="1:34" x14ac:dyDescent="0.35">
      <c r="A32" s="1" t="str">
        <f t="shared" si="0"/>
        <v>1</v>
      </c>
      <c r="B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 s="1" t="s">
        <v>3516</v>
      </c>
      <c r="D32" s="1" t="s">
        <v>1534</v>
      </c>
      <c r="E32" s="1" t="s">
        <v>3517</v>
      </c>
      <c r="F32" s="1" t="s">
        <v>112</v>
      </c>
      <c r="G32" s="1">
        <v>199882</v>
      </c>
      <c r="K32"/>
      <c r="L32"/>
      <c r="M32"/>
      <c r="N32"/>
      <c r="O32"/>
      <c r="P32"/>
      <c r="Q32"/>
      <c r="R32"/>
      <c r="S32"/>
      <c r="T32"/>
      <c r="U32"/>
      <c r="V32"/>
      <c r="W32"/>
      <c r="X32"/>
      <c r="Y32"/>
      <c r="Z32"/>
      <c r="AA32"/>
      <c r="AB32"/>
      <c r="AC32"/>
      <c r="AD32"/>
      <c r="AE32"/>
      <c r="AF32"/>
      <c r="AG32"/>
      <c r="AH32"/>
    </row>
    <row r="33" spans="1:34" x14ac:dyDescent="0.35">
      <c r="A33" s="1" t="str">
        <f t="shared" si="0"/>
        <v>1</v>
      </c>
      <c r="B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3" s="1" t="s">
        <v>3518</v>
      </c>
      <c r="D33" s="1" t="s">
        <v>2076</v>
      </c>
      <c r="E33" s="1" t="s">
        <v>3519</v>
      </c>
      <c r="F33" s="1" t="s">
        <v>112</v>
      </c>
      <c r="G33" s="1">
        <v>261332</v>
      </c>
      <c r="K33"/>
      <c r="L33"/>
      <c r="M33"/>
      <c r="N33"/>
      <c r="O33"/>
      <c r="P33"/>
      <c r="Q33"/>
      <c r="R33"/>
      <c r="S33"/>
      <c r="T33"/>
      <c r="U33"/>
      <c r="V33"/>
      <c r="W33"/>
      <c r="X33"/>
      <c r="Y33"/>
      <c r="Z33"/>
      <c r="AA33"/>
      <c r="AB33"/>
      <c r="AC33"/>
      <c r="AD33"/>
      <c r="AE33"/>
      <c r="AF33"/>
      <c r="AG33"/>
      <c r="AH33"/>
    </row>
    <row r="34" spans="1:34" x14ac:dyDescent="0.35">
      <c r="A34" s="1" t="str">
        <f t="shared" si="0"/>
        <v>1</v>
      </c>
      <c r="B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4" s="1" t="s">
        <v>3520</v>
      </c>
      <c r="D34" s="1" t="s">
        <v>1675</v>
      </c>
      <c r="E34" s="1" t="s">
        <v>3414</v>
      </c>
      <c r="F34" s="1" t="s">
        <v>112</v>
      </c>
      <c r="G34" s="1">
        <v>1968</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 s="1" t="s">
        <v>112</v>
      </c>
      <c r="K35"/>
      <c r="L35"/>
      <c r="M35"/>
      <c r="N35"/>
      <c r="O35"/>
      <c r="P35"/>
      <c r="Q35"/>
      <c r="R35"/>
      <c r="S35"/>
      <c r="T35"/>
      <c r="U35"/>
      <c r="V35"/>
      <c r="W35"/>
      <c r="X35"/>
      <c r="Y35"/>
      <c r="Z35"/>
      <c r="AA35"/>
      <c r="AB35"/>
      <c r="AC35"/>
      <c r="AD35"/>
      <c r="AE35"/>
      <c r="AF35"/>
      <c r="AG35"/>
      <c r="AH35"/>
    </row>
    <row r="36" spans="1:34" x14ac:dyDescent="0.35">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 s="1" t="s">
        <v>242</v>
      </c>
      <c r="D36" s="1" t="s">
        <v>112</v>
      </c>
      <c r="E36" s="1" t="s">
        <v>243</v>
      </c>
      <c r="F36" s="1" t="s">
        <v>244</v>
      </c>
      <c r="G36" s="1" t="s">
        <v>245</v>
      </c>
      <c r="H36" s="1" t="s">
        <v>246</v>
      </c>
      <c r="K36"/>
      <c r="L36"/>
      <c r="M36"/>
      <c r="N36"/>
      <c r="O36"/>
      <c r="P36"/>
      <c r="Q36"/>
      <c r="R36"/>
      <c r="S36"/>
      <c r="T36"/>
      <c r="U36"/>
      <c r="V36"/>
      <c r="W36"/>
      <c r="X36"/>
      <c r="Y36"/>
      <c r="Z36"/>
      <c r="AA36"/>
      <c r="AB36"/>
      <c r="AC36"/>
      <c r="AD36"/>
      <c r="AE36"/>
      <c r="AF36"/>
      <c r="AG36"/>
      <c r="AH36"/>
    </row>
    <row r="37" spans="1:34" x14ac:dyDescent="0.35">
      <c r="A37" s="1" t="str">
        <f t="shared" si="0"/>
        <v>1</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7" s="1" t="s">
        <v>3521</v>
      </c>
      <c r="D37" s="1" t="s">
        <v>112</v>
      </c>
      <c r="E37" s="1" t="s">
        <v>3522</v>
      </c>
      <c r="F37" s="1" t="s">
        <v>3523</v>
      </c>
      <c r="G37" s="1" t="s">
        <v>3524</v>
      </c>
      <c r="H37" s="1" t="s">
        <v>3525</v>
      </c>
      <c r="K37"/>
      <c r="L37"/>
      <c r="M37"/>
      <c r="N37"/>
      <c r="O37"/>
      <c r="P37"/>
      <c r="Q37"/>
      <c r="R37"/>
      <c r="S37"/>
      <c r="T37"/>
      <c r="U37"/>
      <c r="V37"/>
      <c r="W37"/>
      <c r="X37"/>
      <c r="Y37"/>
      <c r="Z37"/>
      <c r="AA37"/>
      <c r="AB37"/>
      <c r="AC37"/>
      <c r="AD37"/>
      <c r="AE37"/>
      <c r="AF37"/>
      <c r="AG37"/>
      <c r="AH37"/>
    </row>
    <row r="38" spans="1:34" x14ac:dyDescent="0.35">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 s="1" t="s">
        <v>112</v>
      </c>
      <c r="K38"/>
      <c r="L38"/>
      <c r="M38"/>
      <c r="N38"/>
      <c r="O38"/>
      <c r="P38"/>
      <c r="Q38"/>
      <c r="R38"/>
      <c r="S38"/>
      <c r="T38"/>
      <c r="U38"/>
      <c r="V38"/>
      <c r="W38"/>
      <c r="X38"/>
      <c r="Y38"/>
      <c r="Z38"/>
      <c r="AA38"/>
      <c r="AB38"/>
      <c r="AC38"/>
      <c r="AD38"/>
      <c r="AE38"/>
      <c r="AF38"/>
      <c r="AG38"/>
      <c r="AH38"/>
    </row>
    <row r="39" spans="1:34" x14ac:dyDescent="0.35">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 s="1" t="s">
        <v>112</v>
      </c>
    </row>
    <row r="40" spans="1:34" x14ac:dyDescent="0.35">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 s="1" t="s">
        <v>112</v>
      </c>
    </row>
    <row r="41" spans="1:34" x14ac:dyDescent="0.35">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 s="1" t="s">
        <v>112</v>
      </c>
    </row>
    <row r="42" spans="1:34" x14ac:dyDescent="0.35">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 s="1" t="s">
        <v>112</v>
      </c>
    </row>
    <row r="43" spans="1:34" x14ac:dyDescent="0.35">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 s="1" t="s">
        <v>172</v>
      </c>
      <c r="D43" s="1" t="s">
        <v>110</v>
      </c>
      <c r="E43" s="1" t="s">
        <v>111</v>
      </c>
      <c r="F43" s="1" t="s">
        <v>112</v>
      </c>
      <c r="G43" s="1" t="s">
        <v>113</v>
      </c>
    </row>
    <row r="44" spans="1:34" x14ac:dyDescent="0.3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4" s="1" t="s">
        <v>3526</v>
      </c>
      <c r="D44" s="1" t="s">
        <v>3527</v>
      </c>
      <c r="E44" s="1" t="s">
        <v>3528</v>
      </c>
      <c r="F44" s="1" t="s">
        <v>112</v>
      </c>
      <c r="G44" s="1">
        <v>779066</v>
      </c>
    </row>
    <row r="45" spans="1:34" x14ac:dyDescent="0.3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 s="1" t="s">
        <v>3529</v>
      </c>
      <c r="D45" s="1" t="s">
        <v>3530</v>
      </c>
      <c r="E45" s="1" t="s">
        <v>3531</v>
      </c>
      <c r="F45" s="1" t="s">
        <v>112</v>
      </c>
      <c r="G45" s="1">
        <v>1010960</v>
      </c>
    </row>
    <row r="46" spans="1:34" x14ac:dyDescent="0.3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 s="1" t="s">
        <v>3532</v>
      </c>
      <c r="D46" s="1" t="s">
        <v>3533</v>
      </c>
      <c r="E46" s="1" t="s">
        <v>3534</v>
      </c>
      <c r="F46" s="1" t="s">
        <v>112</v>
      </c>
      <c r="G46" s="1">
        <v>835347</v>
      </c>
    </row>
    <row r="47" spans="1:34" x14ac:dyDescent="0.3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7" s="1" t="s">
        <v>3535</v>
      </c>
      <c r="D47" s="1" t="s">
        <v>3536</v>
      </c>
      <c r="E47" s="1" t="s">
        <v>3537</v>
      </c>
      <c r="F47" s="1" t="s">
        <v>112</v>
      </c>
      <c r="G47" s="1">
        <v>1258211</v>
      </c>
    </row>
    <row r="48" spans="1:34" x14ac:dyDescent="0.3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8" s="1" t="s">
        <v>3538</v>
      </c>
      <c r="D48" s="1" t="s">
        <v>3539</v>
      </c>
      <c r="E48" s="1" t="s">
        <v>3540</v>
      </c>
      <c r="F48" s="1" t="s">
        <v>112</v>
      </c>
      <c r="G48" s="1">
        <v>2502968</v>
      </c>
    </row>
    <row r="49" spans="1:7" x14ac:dyDescent="0.3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9" s="1" t="s">
        <v>3541</v>
      </c>
      <c r="D49" s="1" t="s">
        <v>3542</v>
      </c>
      <c r="E49" s="1" t="s">
        <v>3543</v>
      </c>
      <c r="F49" s="1" t="s">
        <v>112</v>
      </c>
      <c r="G49" s="1">
        <v>2771460</v>
      </c>
    </row>
    <row r="50" spans="1:7" x14ac:dyDescent="0.3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 s="1" t="s">
        <v>3544</v>
      </c>
      <c r="D50" s="1" t="s">
        <v>3545</v>
      </c>
      <c r="E50" s="1" t="s">
        <v>3546</v>
      </c>
      <c r="F50" s="1" t="s">
        <v>112</v>
      </c>
      <c r="G50" s="1">
        <v>2695107</v>
      </c>
    </row>
    <row r="51" spans="1:7" x14ac:dyDescent="0.3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1" s="1" t="s">
        <v>3547</v>
      </c>
      <c r="D51" s="1" t="s">
        <v>3548</v>
      </c>
      <c r="E51" s="1" t="s">
        <v>3549</v>
      </c>
      <c r="F51" s="1" t="s">
        <v>112</v>
      </c>
      <c r="G51" s="1">
        <v>2486573</v>
      </c>
    </row>
    <row r="52" spans="1:7" x14ac:dyDescent="0.3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2" s="1" t="s">
        <v>3550</v>
      </c>
      <c r="D52" s="1" t="s">
        <v>3551</v>
      </c>
      <c r="E52" s="1" t="s">
        <v>3552</v>
      </c>
      <c r="F52" s="1" t="s">
        <v>112</v>
      </c>
      <c r="G52" s="1">
        <v>2196775</v>
      </c>
    </row>
    <row r="53" spans="1:7" x14ac:dyDescent="0.3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 s="1" t="s">
        <v>3553</v>
      </c>
      <c r="D53" s="1" t="s">
        <v>3554</v>
      </c>
      <c r="E53" s="1" t="s">
        <v>3555</v>
      </c>
      <c r="F53" s="1" t="s">
        <v>112</v>
      </c>
      <c r="G53" s="1">
        <v>2339403</v>
      </c>
    </row>
    <row r="54" spans="1:7" x14ac:dyDescent="0.3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4" s="1" t="s">
        <v>3556</v>
      </c>
      <c r="D54" s="1" t="s">
        <v>3557</v>
      </c>
      <c r="E54" s="1" t="s">
        <v>3558</v>
      </c>
      <c r="F54" s="1" t="s">
        <v>112</v>
      </c>
      <c r="G54" s="1">
        <v>1771315</v>
      </c>
    </row>
    <row r="55" spans="1:7" x14ac:dyDescent="0.3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5" s="1" t="s">
        <v>3559</v>
      </c>
      <c r="D55" s="1" t="s">
        <v>3560</v>
      </c>
      <c r="E55" s="1" t="s">
        <v>3561</v>
      </c>
      <c r="F55" s="1" t="s">
        <v>112</v>
      </c>
      <c r="G55" s="1">
        <v>2020838</v>
      </c>
    </row>
    <row r="56" spans="1:7" x14ac:dyDescent="0.3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6" s="1" t="s">
        <v>3562</v>
      </c>
      <c r="D56" s="1" t="s">
        <v>3563</v>
      </c>
      <c r="E56" s="1" t="s">
        <v>3564</v>
      </c>
      <c r="F56" s="1" t="s">
        <v>112</v>
      </c>
      <c r="G56" s="1">
        <v>3417523</v>
      </c>
    </row>
    <row r="57" spans="1:7" x14ac:dyDescent="0.3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 s="1" t="s">
        <v>3565</v>
      </c>
      <c r="D57" s="1" t="s">
        <v>3566</v>
      </c>
      <c r="E57" s="1" t="s">
        <v>3567</v>
      </c>
      <c r="F57" s="1" t="s">
        <v>112</v>
      </c>
      <c r="G57" s="1">
        <v>2929228</v>
      </c>
    </row>
    <row r="58" spans="1:7" x14ac:dyDescent="0.3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8" s="1" t="s">
        <v>3568</v>
      </c>
      <c r="D58" s="1" t="s">
        <v>3569</v>
      </c>
      <c r="E58" s="1" t="s">
        <v>3570</v>
      </c>
      <c r="F58" s="1" t="s">
        <v>112</v>
      </c>
      <c r="G58" s="1">
        <v>2910237</v>
      </c>
    </row>
    <row r="59" spans="1:7" x14ac:dyDescent="0.35">
      <c r="A59" s="1" t="str">
        <f t="shared" si="0"/>
        <v>13</v>
      </c>
      <c r="B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 s="1" t="s">
        <v>3571</v>
      </c>
      <c r="D59" s="1" t="s">
        <v>3572</v>
      </c>
      <c r="E59" s="1" t="s">
        <v>3573</v>
      </c>
      <c r="F59" s="1" t="s">
        <v>112</v>
      </c>
      <c r="G59" s="1">
        <v>3423645</v>
      </c>
    </row>
    <row r="60" spans="1:7" x14ac:dyDescent="0.35">
      <c r="A60" s="1" t="str">
        <f t="shared" si="0"/>
        <v>13</v>
      </c>
      <c r="B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 s="1" t="s">
        <v>3574</v>
      </c>
      <c r="D60" s="1" t="s">
        <v>3575</v>
      </c>
      <c r="E60" s="1" t="s">
        <v>3576</v>
      </c>
      <c r="F60" s="1" t="s">
        <v>112</v>
      </c>
      <c r="G60" s="1">
        <v>538022</v>
      </c>
    </row>
    <row r="61" spans="1:7" x14ac:dyDescent="0.35">
      <c r="A61" s="1" t="str">
        <f t="shared" si="0"/>
        <v>13</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 s="1" t="s">
        <v>3577</v>
      </c>
      <c r="D61" s="1" t="s">
        <v>3578</v>
      </c>
      <c r="E61" s="1" t="s">
        <v>3579</v>
      </c>
      <c r="F61" s="1" t="s">
        <v>112</v>
      </c>
      <c r="G61" s="1">
        <v>764617</v>
      </c>
    </row>
    <row r="62" spans="1:7" x14ac:dyDescent="0.35">
      <c r="A62" s="1" t="str">
        <f t="shared" si="0"/>
        <v>13</v>
      </c>
      <c r="B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2" s="1" t="s">
        <v>3580</v>
      </c>
      <c r="D62" s="1" t="s">
        <v>3581</v>
      </c>
      <c r="E62" s="1" t="s">
        <v>3582</v>
      </c>
      <c r="F62" s="1" t="s">
        <v>112</v>
      </c>
      <c r="G62" s="1">
        <v>1341053</v>
      </c>
    </row>
    <row r="63" spans="1:7" x14ac:dyDescent="0.35">
      <c r="A63" s="1" t="str">
        <f t="shared" si="0"/>
        <v>13</v>
      </c>
      <c r="B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3" s="1" t="s">
        <v>3583</v>
      </c>
      <c r="D63" s="1" t="s">
        <v>3584</v>
      </c>
      <c r="E63" s="1" t="s">
        <v>3585</v>
      </c>
      <c r="F63" s="1" t="s">
        <v>112</v>
      </c>
      <c r="G63" s="1">
        <v>1040982</v>
      </c>
    </row>
    <row r="64" spans="1:7" x14ac:dyDescent="0.35">
      <c r="A64" s="1" t="str">
        <f t="shared" si="0"/>
        <v>13</v>
      </c>
      <c r="B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 s="1" t="s">
        <v>3586</v>
      </c>
      <c r="D64" s="1" t="s">
        <v>3587</v>
      </c>
      <c r="E64" s="1" t="s">
        <v>3588</v>
      </c>
      <c r="F64" s="1" t="s">
        <v>112</v>
      </c>
      <c r="G64" s="1">
        <v>3351120</v>
      </c>
    </row>
    <row r="65" spans="1:8" x14ac:dyDescent="0.35">
      <c r="A65" s="1" t="str">
        <f t="shared" si="0"/>
        <v>13</v>
      </c>
      <c r="B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5" s="1" t="s">
        <v>3589</v>
      </c>
      <c r="D65" s="1" t="s">
        <v>3590</v>
      </c>
      <c r="E65" s="1" t="s">
        <v>3591</v>
      </c>
      <c r="F65" s="1" t="s">
        <v>112</v>
      </c>
      <c r="G65" s="1">
        <v>2619229</v>
      </c>
    </row>
    <row r="66" spans="1:8" x14ac:dyDescent="0.35">
      <c r="A66" s="1" t="str">
        <f t="shared" ref="A66:A129" si="1">IFERROR(LEFT(RIGHT(C66,LEN(C66)-SEARCH("@",C66)),SEARCH("/",RIGHT(C66,LEN(C66)-SEARCH("@",C66)-1))),"")</f>
        <v>13</v>
      </c>
      <c r="B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6" s="1" t="s">
        <v>3592</v>
      </c>
      <c r="D66" s="1" t="s">
        <v>3593</v>
      </c>
      <c r="E66" s="1" t="s">
        <v>3594</v>
      </c>
      <c r="F66" s="1" t="s">
        <v>112</v>
      </c>
      <c r="G66" s="1">
        <v>2503444</v>
      </c>
    </row>
    <row r="67" spans="1:8" x14ac:dyDescent="0.35">
      <c r="A67" s="1" t="str">
        <f t="shared" si="1"/>
        <v>13</v>
      </c>
      <c r="B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 s="1" t="s">
        <v>3595</v>
      </c>
      <c r="D67" s="1" t="s">
        <v>3596</v>
      </c>
      <c r="E67" s="1" t="s">
        <v>3597</v>
      </c>
      <c r="F67" s="1" t="s">
        <v>112</v>
      </c>
      <c r="G67" s="1">
        <v>2789910</v>
      </c>
    </row>
    <row r="68" spans="1:8" x14ac:dyDescent="0.35">
      <c r="A68" s="1" t="str">
        <f t="shared" si="1"/>
        <v>13</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 s="1" t="s">
        <v>3598</v>
      </c>
      <c r="D68" s="1" t="s">
        <v>3599</v>
      </c>
      <c r="E68" s="1" t="s">
        <v>3600</v>
      </c>
      <c r="F68" s="1" t="s">
        <v>112</v>
      </c>
      <c r="G68" s="1">
        <v>2106254</v>
      </c>
    </row>
    <row r="69" spans="1:8" x14ac:dyDescent="0.35">
      <c r="A69" s="1" t="str">
        <f t="shared" si="1"/>
        <v>13</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9" s="1" t="s">
        <v>3601</v>
      </c>
      <c r="D69" s="1" t="s">
        <v>3602</v>
      </c>
      <c r="E69" s="1" t="s">
        <v>3603</v>
      </c>
      <c r="F69" s="1" t="s">
        <v>112</v>
      </c>
      <c r="G69" s="1">
        <v>1973079</v>
      </c>
    </row>
    <row r="70" spans="1:8" x14ac:dyDescent="0.35">
      <c r="A70" s="1" t="str">
        <f t="shared" si="1"/>
        <v>13</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0" s="1" t="s">
        <v>3604</v>
      </c>
      <c r="D70" s="1" t="s">
        <v>3605</v>
      </c>
      <c r="E70" s="1" t="s">
        <v>3606</v>
      </c>
      <c r="F70" s="1" t="s">
        <v>112</v>
      </c>
      <c r="G70" s="1">
        <v>2883698</v>
      </c>
    </row>
    <row r="71" spans="1:8" x14ac:dyDescent="0.35">
      <c r="A71" s="1" t="str">
        <f t="shared" si="1"/>
        <v>13</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1" s="1" t="s">
        <v>3607</v>
      </c>
      <c r="D71" s="1" t="s">
        <v>3608</v>
      </c>
      <c r="E71" s="1" t="s">
        <v>3609</v>
      </c>
      <c r="F71" s="1" t="s">
        <v>112</v>
      </c>
      <c r="G71" s="1">
        <v>2708279</v>
      </c>
    </row>
    <row r="72" spans="1:8" x14ac:dyDescent="0.35">
      <c r="A72" s="1" t="str">
        <f t="shared" si="1"/>
        <v>13</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2" s="1" t="s">
        <v>3610</v>
      </c>
      <c r="D72" s="1" t="s">
        <v>3611</v>
      </c>
      <c r="E72" s="1" t="s">
        <v>354</v>
      </c>
      <c r="F72" s="1" t="s">
        <v>112</v>
      </c>
      <c r="G72" s="1">
        <v>2239430</v>
      </c>
    </row>
    <row r="73" spans="1:8" x14ac:dyDescent="0.35">
      <c r="A73" s="1" t="str">
        <f t="shared" si="1"/>
        <v>13</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3" s="1" t="s">
        <v>3612</v>
      </c>
      <c r="D73" s="1" t="s">
        <v>3613</v>
      </c>
      <c r="E73" s="1" t="s">
        <v>3614</v>
      </c>
      <c r="F73" s="1" t="s">
        <v>112</v>
      </c>
      <c r="G73" s="1">
        <v>2190503</v>
      </c>
    </row>
    <row r="74" spans="1:8" x14ac:dyDescent="0.35">
      <c r="A74" s="1" t="str">
        <f t="shared" si="1"/>
        <v>13</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4" s="1" t="s">
        <v>3615</v>
      </c>
      <c r="D74" s="1" t="s">
        <v>3616</v>
      </c>
      <c r="E74" s="1" t="s">
        <v>3617</v>
      </c>
      <c r="F74" s="1" t="s">
        <v>112</v>
      </c>
      <c r="G74" s="1">
        <v>2814049</v>
      </c>
    </row>
    <row r="75" spans="1:8" x14ac:dyDescent="0.35">
      <c r="A75" s="1" t="str">
        <f t="shared" si="1"/>
        <v>13</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5" s="1" t="s">
        <v>3618</v>
      </c>
      <c r="D75" s="1" t="s">
        <v>3619</v>
      </c>
      <c r="E75" s="1" t="s">
        <v>3620</v>
      </c>
      <c r="F75" s="1" t="s">
        <v>112</v>
      </c>
      <c r="G75" s="1">
        <v>2509133</v>
      </c>
    </row>
    <row r="76" spans="1:8" x14ac:dyDescent="0.35">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6" s="1" t="s">
        <v>112</v>
      </c>
    </row>
    <row r="77" spans="1:8" x14ac:dyDescent="0.35">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 s="1" t="s">
        <v>242</v>
      </c>
      <c r="D77" s="1" t="s">
        <v>112</v>
      </c>
      <c r="E77" s="1" t="s">
        <v>243</v>
      </c>
      <c r="F77" s="1" t="s">
        <v>244</v>
      </c>
      <c r="G77" s="1" t="s">
        <v>245</v>
      </c>
      <c r="H77" s="1" t="s">
        <v>246</v>
      </c>
    </row>
    <row r="78" spans="1:8" x14ac:dyDescent="0.35">
      <c r="A78" s="1" t="str">
        <f t="shared" si="1"/>
        <v>13</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78" s="1" t="s">
        <v>3621</v>
      </c>
      <c r="D78" s="1" t="s">
        <v>112</v>
      </c>
      <c r="E78" s="1" t="s">
        <v>3622</v>
      </c>
      <c r="F78" s="1" t="s">
        <v>3623</v>
      </c>
      <c r="G78" s="1" t="s">
        <v>3624</v>
      </c>
      <c r="H78" s="1" t="s">
        <v>3625</v>
      </c>
    </row>
    <row r="79" spans="1:8" x14ac:dyDescent="0.35">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9" s="1" t="s">
        <v>112</v>
      </c>
    </row>
    <row r="80" spans="1:8" x14ac:dyDescent="0.35">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0" s="1" t="s">
        <v>112</v>
      </c>
    </row>
    <row r="81" spans="1:7" x14ac:dyDescent="0.35">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1" s="1" t="s">
        <v>112</v>
      </c>
    </row>
    <row r="82" spans="1:7" x14ac:dyDescent="0.35">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 s="1" t="s">
        <v>112</v>
      </c>
    </row>
    <row r="83" spans="1:7" x14ac:dyDescent="0.35">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3" s="1" t="s">
        <v>112</v>
      </c>
    </row>
    <row r="84" spans="1:7" x14ac:dyDescent="0.35">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4" s="1" t="s">
        <v>172</v>
      </c>
      <c r="D84" s="1" t="s">
        <v>110</v>
      </c>
      <c r="E84" s="1" t="s">
        <v>111</v>
      </c>
      <c r="F84" s="1" t="s">
        <v>112</v>
      </c>
      <c r="G84" s="1" t="s">
        <v>113</v>
      </c>
    </row>
    <row r="85" spans="1:7" x14ac:dyDescent="0.3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5" s="1" t="s">
        <v>3626</v>
      </c>
      <c r="D85" s="1" t="s">
        <v>3627</v>
      </c>
      <c r="E85" s="1" t="s">
        <v>3628</v>
      </c>
      <c r="F85" s="1" t="s">
        <v>112</v>
      </c>
      <c r="G85" s="1">
        <v>1016540</v>
      </c>
    </row>
    <row r="86" spans="1:7" x14ac:dyDescent="0.3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6" s="1" t="s">
        <v>3629</v>
      </c>
      <c r="D86" s="1" t="s">
        <v>3630</v>
      </c>
      <c r="E86" s="1" t="s">
        <v>3631</v>
      </c>
      <c r="F86" s="1" t="s">
        <v>112</v>
      </c>
      <c r="G86" s="1">
        <v>1298875</v>
      </c>
    </row>
    <row r="87" spans="1:7" x14ac:dyDescent="0.3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7" s="1" t="s">
        <v>3632</v>
      </c>
      <c r="D87" s="1" t="s">
        <v>3633</v>
      </c>
      <c r="E87" s="1" t="s">
        <v>3634</v>
      </c>
      <c r="F87" s="1" t="s">
        <v>112</v>
      </c>
      <c r="G87" s="1">
        <v>1001442</v>
      </c>
    </row>
    <row r="88" spans="1:7" x14ac:dyDescent="0.3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8" s="1" t="s">
        <v>3635</v>
      </c>
      <c r="D88" s="1" t="s">
        <v>3636</v>
      </c>
      <c r="E88" s="1" t="s">
        <v>3637</v>
      </c>
      <c r="F88" s="1" t="s">
        <v>112</v>
      </c>
      <c r="G88" s="1">
        <v>1207900</v>
      </c>
    </row>
    <row r="89" spans="1:7" x14ac:dyDescent="0.3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9" s="1" t="s">
        <v>3638</v>
      </c>
      <c r="D89" s="1" t="s">
        <v>3639</v>
      </c>
      <c r="E89" s="1" t="s">
        <v>3640</v>
      </c>
      <c r="F89" s="1" t="s">
        <v>112</v>
      </c>
      <c r="G89" s="1">
        <v>1439837</v>
      </c>
    </row>
    <row r="90" spans="1:7" x14ac:dyDescent="0.3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90" s="1" t="s">
        <v>3641</v>
      </c>
      <c r="D90" s="1" t="s">
        <v>3642</v>
      </c>
      <c r="E90" s="1" t="s">
        <v>3643</v>
      </c>
      <c r="F90" s="1" t="s">
        <v>112</v>
      </c>
      <c r="G90" s="1">
        <v>1084912</v>
      </c>
    </row>
    <row r="91" spans="1:7" x14ac:dyDescent="0.3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91" s="1" t="s">
        <v>3644</v>
      </c>
    </row>
    <row r="92" spans="1:7" x14ac:dyDescent="0.35">
      <c r="A92" s="1" t="str">
        <f t="shared" si="1"/>
        <v>14</v>
      </c>
      <c r="B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92" s="1" t="s">
        <v>3645</v>
      </c>
      <c r="D92" s="1" t="s">
        <v>3646</v>
      </c>
      <c r="E92" s="1" t="s">
        <v>3647</v>
      </c>
      <c r="F92" s="1" t="s">
        <v>112</v>
      </c>
      <c r="G92" s="1">
        <v>1707291</v>
      </c>
    </row>
    <row r="93" spans="1:7" x14ac:dyDescent="0.35">
      <c r="A93" s="1" t="str">
        <f t="shared" si="1"/>
        <v>14</v>
      </c>
      <c r="B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3" s="1" t="s">
        <v>3648</v>
      </c>
      <c r="D93" s="1" t="s">
        <v>3649</v>
      </c>
      <c r="E93" s="1" t="s">
        <v>3650</v>
      </c>
      <c r="F93" s="1" t="s">
        <v>112</v>
      </c>
      <c r="G93" s="1">
        <v>4189321</v>
      </c>
    </row>
    <row r="94" spans="1:7" x14ac:dyDescent="0.35">
      <c r="A94" s="1" t="str">
        <f t="shared" si="1"/>
        <v>14</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4" s="1" t="s">
        <v>3651</v>
      </c>
      <c r="D94" s="1" t="s">
        <v>3652</v>
      </c>
      <c r="E94" s="1" t="s">
        <v>3653</v>
      </c>
      <c r="F94" s="1" t="s">
        <v>112</v>
      </c>
      <c r="G94" s="1">
        <v>3651753</v>
      </c>
    </row>
    <row r="95" spans="1:7" x14ac:dyDescent="0.35">
      <c r="A95" s="1" t="str">
        <f t="shared" si="1"/>
        <v>14</v>
      </c>
      <c r="B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5" s="1" t="s">
        <v>3654</v>
      </c>
      <c r="D95" s="1" t="s">
        <v>3655</v>
      </c>
      <c r="E95" s="1" t="s">
        <v>3656</v>
      </c>
      <c r="F95" s="1" t="s">
        <v>112</v>
      </c>
      <c r="G95" s="1">
        <v>3437855</v>
      </c>
    </row>
    <row r="96" spans="1:7" x14ac:dyDescent="0.35">
      <c r="A96" s="1" t="str">
        <f t="shared" si="1"/>
        <v>14</v>
      </c>
      <c r="B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6" s="1" t="s">
        <v>3657</v>
      </c>
      <c r="D96" s="1" t="s">
        <v>881</v>
      </c>
      <c r="E96" s="1" t="s">
        <v>3658</v>
      </c>
      <c r="F96" s="1" t="s">
        <v>112</v>
      </c>
      <c r="G96" s="1">
        <v>3765094</v>
      </c>
    </row>
    <row r="97" spans="1:7" x14ac:dyDescent="0.35">
      <c r="A97" s="1" t="str">
        <f t="shared" si="1"/>
        <v>14</v>
      </c>
      <c r="B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97" s="1" t="s">
        <v>3659</v>
      </c>
      <c r="D97" s="1" t="s">
        <v>3660</v>
      </c>
      <c r="E97" s="1" t="s">
        <v>3661</v>
      </c>
      <c r="F97" s="1" t="s">
        <v>112</v>
      </c>
      <c r="G97" s="1">
        <v>3174814</v>
      </c>
    </row>
    <row r="98" spans="1:7" x14ac:dyDescent="0.35">
      <c r="A98" s="1" t="str">
        <f t="shared" si="1"/>
        <v>14</v>
      </c>
      <c r="B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98" s="1" t="s">
        <v>3662</v>
      </c>
      <c r="D98" s="1" t="s">
        <v>3663</v>
      </c>
      <c r="E98" s="1" t="s">
        <v>3664</v>
      </c>
      <c r="F98" s="1" t="s">
        <v>112</v>
      </c>
      <c r="G98" s="1">
        <v>2971277</v>
      </c>
    </row>
    <row r="99" spans="1:7" x14ac:dyDescent="0.35">
      <c r="A99" s="1" t="str">
        <f t="shared" si="1"/>
        <v>14</v>
      </c>
      <c r="B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99" s="1" t="s">
        <v>3665</v>
      </c>
      <c r="D99" s="1" t="s">
        <v>3666</v>
      </c>
      <c r="E99" s="1" t="s">
        <v>3667</v>
      </c>
      <c r="F99" s="1" t="s">
        <v>112</v>
      </c>
      <c r="G99" s="1">
        <v>3239877</v>
      </c>
    </row>
    <row r="100" spans="1:7" x14ac:dyDescent="0.35">
      <c r="A100" s="1" t="str">
        <f t="shared" si="1"/>
        <v>14</v>
      </c>
      <c r="B1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00" s="1" t="s">
        <v>3668</v>
      </c>
      <c r="D100" s="1" t="s">
        <v>3669</v>
      </c>
      <c r="E100" s="1" t="s">
        <v>3670</v>
      </c>
      <c r="F100" s="1" t="s">
        <v>112</v>
      </c>
      <c r="G100" s="1">
        <v>4314320</v>
      </c>
    </row>
    <row r="101" spans="1:7" x14ac:dyDescent="0.35">
      <c r="A101" s="1" t="str">
        <f t="shared" si="1"/>
        <v>14</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01" s="1" t="s">
        <v>3671</v>
      </c>
      <c r="D101" s="1" t="s">
        <v>3672</v>
      </c>
      <c r="E101" s="1" t="s">
        <v>3673</v>
      </c>
      <c r="F101" s="1" t="s">
        <v>112</v>
      </c>
      <c r="G101" s="1">
        <v>1495880</v>
      </c>
    </row>
    <row r="102" spans="1:7" x14ac:dyDescent="0.35">
      <c r="A102" s="1" t="str">
        <f t="shared" si="1"/>
        <v>14</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02" s="1" t="s">
        <v>3674</v>
      </c>
      <c r="D102" s="1" t="s">
        <v>3675</v>
      </c>
      <c r="E102" s="1" t="s">
        <v>3676</v>
      </c>
      <c r="F102" s="1" t="s">
        <v>112</v>
      </c>
      <c r="G102" s="1">
        <v>934087</v>
      </c>
    </row>
    <row r="103" spans="1:7" x14ac:dyDescent="0.35">
      <c r="A103" s="1" t="str">
        <f t="shared" si="1"/>
        <v>14</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03" s="1" t="s">
        <v>3677</v>
      </c>
      <c r="D103" s="1" t="s">
        <v>3678</v>
      </c>
      <c r="E103" s="1" t="s">
        <v>3679</v>
      </c>
      <c r="F103" s="1" t="s">
        <v>112</v>
      </c>
      <c r="G103" s="1">
        <v>1492874</v>
      </c>
    </row>
    <row r="104" spans="1:7" x14ac:dyDescent="0.35">
      <c r="A104" s="1" t="str">
        <f t="shared" si="1"/>
        <v>14</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04" s="1" t="s">
        <v>3680</v>
      </c>
      <c r="D104" s="1" t="s">
        <v>3681</v>
      </c>
      <c r="E104" s="1" t="s">
        <v>3682</v>
      </c>
      <c r="F104" s="1" t="s">
        <v>112</v>
      </c>
      <c r="G104" s="1">
        <v>1197171</v>
      </c>
    </row>
    <row r="105" spans="1:7" x14ac:dyDescent="0.35">
      <c r="A105" s="1" t="str">
        <f t="shared" si="1"/>
        <v>14</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5" s="1" t="s">
        <v>3683</v>
      </c>
      <c r="D105" s="1" t="s">
        <v>3684</v>
      </c>
      <c r="E105" s="1" t="s">
        <v>3685</v>
      </c>
      <c r="F105" s="1" t="s">
        <v>112</v>
      </c>
      <c r="G105" s="1">
        <v>2516681</v>
      </c>
    </row>
    <row r="106" spans="1:7" x14ac:dyDescent="0.35">
      <c r="A106" s="1" t="str">
        <f t="shared" si="1"/>
        <v>14</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6" s="1" t="s">
        <v>3686</v>
      </c>
      <c r="D106" s="1" t="s">
        <v>3687</v>
      </c>
      <c r="E106" s="1" t="s">
        <v>3688</v>
      </c>
      <c r="F106" s="1" t="s">
        <v>112</v>
      </c>
      <c r="G106" s="1">
        <v>3149486</v>
      </c>
    </row>
    <row r="107" spans="1:7" x14ac:dyDescent="0.35">
      <c r="A107" s="1" t="str">
        <f t="shared" si="1"/>
        <v>14</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7" s="1" t="s">
        <v>3689</v>
      </c>
      <c r="D107" s="1" t="s">
        <v>3690</v>
      </c>
      <c r="E107" s="1" t="s">
        <v>3691</v>
      </c>
      <c r="F107" s="1" t="s">
        <v>112</v>
      </c>
      <c r="G107" s="1">
        <v>2556307</v>
      </c>
    </row>
    <row r="108" spans="1:7" x14ac:dyDescent="0.35">
      <c r="A108" s="1" t="str">
        <f t="shared" si="1"/>
        <v>14</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8" s="1" t="s">
        <v>3692</v>
      </c>
      <c r="D108" s="1" t="s">
        <v>3693</v>
      </c>
      <c r="E108" s="1" t="s">
        <v>3694</v>
      </c>
      <c r="F108" s="1" t="s">
        <v>112</v>
      </c>
      <c r="G108" s="1">
        <v>3010427</v>
      </c>
    </row>
    <row r="109" spans="1:7" x14ac:dyDescent="0.35">
      <c r="A109" s="1" t="str">
        <f t="shared" si="1"/>
        <v>14</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09" s="1" t="s">
        <v>3695</v>
      </c>
      <c r="D109" s="1" t="s">
        <v>3696</v>
      </c>
      <c r="E109" s="1" t="s">
        <v>3697</v>
      </c>
      <c r="F109" s="1" t="s">
        <v>112</v>
      </c>
      <c r="G109" s="1">
        <v>3039238</v>
      </c>
    </row>
    <row r="110" spans="1:7" x14ac:dyDescent="0.35">
      <c r="A110" s="1" t="str">
        <f t="shared" si="1"/>
        <v>14</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0" s="1" t="s">
        <v>3698</v>
      </c>
      <c r="D110" s="1" t="s">
        <v>3699</v>
      </c>
      <c r="E110" s="1" t="s">
        <v>3700</v>
      </c>
      <c r="F110" s="1" t="s">
        <v>112</v>
      </c>
      <c r="G110" s="1">
        <v>3130819</v>
      </c>
    </row>
    <row r="111" spans="1:7" x14ac:dyDescent="0.35">
      <c r="A111" s="1" t="str">
        <f t="shared" si="1"/>
        <v>14</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1" s="1" t="s">
        <v>3701</v>
      </c>
      <c r="D111" s="1" t="s">
        <v>1483</v>
      </c>
      <c r="E111" s="1" t="s">
        <v>3702</v>
      </c>
      <c r="F111" s="1" t="s">
        <v>112</v>
      </c>
      <c r="G111" s="1">
        <v>2922891</v>
      </c>
    </row>
    <row r="112" spans="1:7" x14ac:dyDescent="0.35">
      <c r="A112" s="1" t="str">
        <f t="shared" si="1"/>
        <v>14</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2" s="1" t="s">
        <v>3703</v>
      </c>
      <c r="D112" s="1" t="s">
        <v>3704</v>
      </c>
      <c r="E112" s="1" t="s">
        <v>3705</v>
      </c>
      <c r="F112" s="1" t="s">
        <v>112</v>
      </c>
      <c r="G112" s="1">
        <v>3168196</v>
      </c>
    </row>
    <row r="113" spans="1:8" x14ac:dyDescent="0.35">
      <c r="A113" s="1" t="str">
        <f t="shared" si="1"/>
        <v>14</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13" s="1" t="s">
        <v>3706</v>
      </c>
      <c r="D113" s="1" t="s">
        <v>3707</v>
      </c>
      <c r="E113" s="1" t="s">
        <v>3708</v>
      </c>
      <c r="F113" s="1" t="s">
        <v>112</v>
      </c>
      <c r="G113" s="1">
        <v>2525939</v>
      </c>
    </row>
    <row r="114" spans="1:8" x14ac:dyDescent="0.35">
      <c r="A114" s="1" t="str">
        <f t="shared" si="1"/>
        <v>14</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14" s="1" t="s">
        <v>3709</v>
      </c>
      <c r="D114" s="1" t="s">
        <v>3710</v>
      </c>
      <c r="E114" s="1" t="s">
        <v>3711</v>
      </c>
      <c r="F114" s="1" t="s">
        <v>112</v>
      </c>
      <c r="G114" s="1">
        <v>2481576</v>
      </c>
    </row>
    <row r="115" spans="1:8" x14ac:dyDescent="0.35">
      <c r="A115" s="1" t="str">
        <f t="shared" si="1"/>
        <v>14</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15" s="1" t="s">
        <v>3712</v>
      </c>
      <c r="D115" s="1" t="s">
        <v>867</v>
      </c>
      <c r="E115" s="1" t="s">
        <v>3713</v>
      </c>
      <c r="F115" s="1" t="s">
        <v>112</v>
      </c>
      <c r="G115" s="1">
        <v>2829407</v>
      </c>
    </row>
    <row r="116" spans="1:8" x14ac:dyDescent="0.35">
      <c r="A116" s="1" t="str">
        <f t="shared" si="1"/>
        <v>14</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16" s="1" t="s">
        <v>3714</v>
      </c>
      <c r="D116" s="1" t="s">
        <v>3715</v>
      </c>
      <c r="E116" s="1" t="s">
        <v>3716</v>
      </c>
      <c r="F116" s="1" t="s">
        <v>112</v>
      </c>
      <c r="G116" s="1">
        <v>2776868</v>
      </c>
    </row>
    <row r="117" spans="1:8" x14ac:dyDescent="0.35">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7" s="1" t="s">
        <v>112</v>
      </c>
    </row>
    <row r="118" spans="1:8" x14ac:dyDescent="0.35">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8" s="1" t="s">
        <v>242</v>
      </c>
      <c r="D118" s="1" t="s">
        <v>112</v>
      </c>
      <c r="E118" s="1" t="s">
        <v>243</v>
      </c>
      <c r="F118" s="1" t="s">
        <v>244</v>
      </c>
      <c r="G118" s="1" t="s">
        <v>245</v>
      </c>
      <c r="H118" s="1" t="s">
        <v>246</v>
      </c>
    </row>
    <row r="119" spans="1:8" x14ac:dyDescent="0.35">
      <c r="A119" s="1" t="str">
        <f t="shared" si="1"/>
        <v>14</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19" s="1" t="s">
        <v>3717</v>
      </c>
      <c r="D119" s="1" t="s">
        <v>112</v>
      </c>
      <c r="E119" s="1" t="s">
        <v>3718</v>
      </c>
      <c r="F119" s="1" t="s">
        <v>3719</v>
      </c>
      <c r="G119" s="1" t="s">
        <v>3720</v>
      </c>
      <c r="H119" s="1" t="s">
        <v>3721</v>
      </c>
    </row>
    <row r="120" spans="1:8" x14ac:dyDescent="0.35">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0" s="1" t="s">
        <v>112</v>
      </c>
    </row>
    <row r="121" spans="1:8" x14ac:dyDescent="0.35">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1" s="1" t="s">
        <v>112</v>
      </c>
    </row>
    <row r="122" spans="1:8" x14ac:dyDescent="0.35">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2" s="1" t="s">
        <v>112</v>
      </c>
    </row>
    <row r="123" spans="1:8" x14ac:dyDescent="0.35">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3" s="1" t="s">
        <v>112</v>
      </c>
    </row>
    <row r="124" spans="1:8" x14ac:dyDescent="0.35">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4" s="1" t="s">
        <v>112</v>
      </c>
    </row>
    <row r="125" spans="1:8"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172</v>
      </c>
      <c r="D125" s="1" t="s">
        <v>110</v>
      </c>
      <c r="E125" s="1" t="s">
        <v>111</v>
      </c>
      <c r="F125" s="1" t="s">
        <v>112</v>
      </c>
      <c r="G125" s="1" t="s">
        <v>113</v>
      </c>
    </row>
    <row r="126" spans="1:8" x14ac:dyDescent="0.35">
      <c r="A126" s="1" t="str">
        <f t="shared" si="1"/>
        <v>15</v>
      </c>
      <c r="B1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26" s="1" t="s">
        <v>3722</v>
      </c>
      <c r="D126" s="1" t="s">
        <v>3723</v>
      </c>
      <c r="E126" s="1" t="s">
        <v>3724</v>
      </c>
      <c r="F126" s="1" t="s">
        <v>112</v>
      </c>
      <c r="G126" s="1">
        <v>4086990</v>
      </c>
    </row>
    <row r="127" spans="1:8" x14ac:dyDescent="0.35">
      <c r="A127" s="1" t="str">
        <f t="shared" si="1"/>
        <v>15</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27" s="1" t="s">
        <v>3725</v>
      </c>
      <c r="D127" s="1" t="s">
        <v>3726</v>
      </c>
      <c r="E127" s="1" t="s">
        <v>3727</v>
      </c>
      <c r="F127" s="1" t="s">
        <v>112</v>
      </c>
      <c r="G127" s="1">
        <v>4141325</v>
      </c>
    </row>
    <row r="128" spans="1:8" x14ac:dyDescent="0.35">
      <c r="A128" s="1" t="str">
        <f t="shared" si="1"/>
        <v>15</v>
      </c>
      <c r="B1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28" s="1" t="s">
        <v>3728</v>
      </c>
      <c r="D128" s="1" t="s">
        <v>3729</v>
      </c>
      <c r="E128" s="1" t="s">
        <v>3730</v>
      </c>
      <c r="F128" s="1" t="s">
        <v>112</v>
      </c>
      <c r="G128" s="1">
        <v>4740559</v>
      </c>
    </row>
    <row r="129" spans="1:7" x14ac:dyDescent="0.35">
      <c r="A129" s="1" t="str">
        <f t="shared" si="1"/>
        <v>15</v>
      </c>
      <c r="B1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29" s="1" t="s">
        <v>3731</v>
      </c>
      <c r="D129" s="1" t="s">
        <v>3732</v>
      </c>
      <c r="E129" s="1" t="s">
        <v>3733</v>
      </c>
      <c r="F129" s="1" t="s">
        <v>112</v>
      </c>
      <c r="G129" s="1">
        <v>3847461</v>
      </c>
    </row>
    <row r="130" spans="1:7" x14ac:dyDescent="0.35">
      <c r="A130" s="1" t="str">
        <f t="shared" ref="A130:A193" si="2">IFERROR(LEFT(RIGHT(C130,LEN(C130)-SEARCH("@",C130)),SEARCH("/",RIGHT(C130,LEN(C130)-SEARCH("@",C130)-1))),"")</f>
        <v>15</v>
      </c>
      <c r="B1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0" s="1" t="s">
        <v>3734</v>
      </c>
      <c r="D130" s="1" t="s">
        <v>3735</v>
      </c>
      <c r="E130" s="1" t="s">
        <v>3736</v>
      </c>
      <c r="F130" s="1" t="s">
        <v>112</v>
      </c>
      <c r="G130" s="1">
        <v>2252105</v>
      </c>
    </row>
    <row r="131" spans="1:7" x14ac:dyDescent="0.35">
      <c r="A131" s="1" t="str">
        <f t="shared" si="2"/>
        <v>15</v>
      </c>
      <c r="B1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1" s="1" t="s">
        <v>3737</v>
      </c>
      <c r="D131" s="1" t="s">
        <v>2481</v>
      </c>
      <c r="E131" s="1" t="s">
        <v>3738</v>
      </c>
      <c r="F131" s="1" t="s">
        <v>112</v>
      </c>
      <c r="G131" s="1">
        <v>2430551</v>
      </c>
    </row>
    <row r="132" spans="1:7" x14ac:dyDescent="0.35">
      <c r="A132" s="1" t="str">
        <f t="shared" si="2"/>
        <v>15</v>
      </c>
      <c r="B1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2" s="1" t="s">
        <v>3739</v>
      </c>
      <c r="D132" s="1" t="s">
        <v>3740</v>
      </c>
      <c r="E132" s="1" t="s">
        <v>3741</v>
      </c>
      <c r="F132" s="1" t="s">
        <v>112</v>
      </c>
      <c r="G132" s="1">
        <v>2411647</v>
      </c>
    </row>
    <row r="133" spans="1:7" x14ac:dyDescent="0.35">
      <c r="A133" s="1" t="str">
        <f t="shared" si="2"/>
        <v>15</v>
      </c>
      <c r="B1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3" s="1" t="s">
        <v>3742</v>
      </c>
      <c r="D133" s="1" t="s">
        <v>3743</v>
      </c>
      <c r="E133" s="1" t="s">
        <v>3744</v>
      </c>
      <c r="F133" s="1" t="s">
        <v>112</v>
      </c>
      <c r="G133" s="1">
        <v>2187280</v>
      </c>
    </row>
    <row r="134" spans="1:7" x14ac:dyDescent="0.35">
      <c r="A134" s="1" t="str">
        <f t="shared" si="2"/>
        <v>15</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34" s="1" t="s">
        <v>3745</v>
      </c>
      <c r="D134" s="1" t="s">
        <v>3746</v>
      </c>
      <c r="E134" s="1" t="s">
        <v>3747</v>
      </c>
      <c r="F134" s="1" t="s">
        <v>112</v>
      </c>
      <c r="G134" s="1">
        <v>3734747</v>
      </c>
    </row>
    <row r="135" spans="1:7" x14ac:dyDescent="0.35">
      <c r="A135" s="1" t="str">
        <f t="shared" si="2"/>
        <v>15</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35" s="1" t="s">
        <v>3748</v>
      </c>
      <c r="D135" s="1" t="s">
        <v>3749</v>
      </c>
      <c r="E135" s="1" t="s">
        <v>3750</v>
      </c>
      <c r="F135" s="1" t="s">
        <v>112</v>
      </c>
      <c r="G135" s="1">
        <v>4168924</v>
      </c>
    </row>
    <row r="136" spans="1:7" x14ac:dyDescent="0.35">
      <c r="A136" s="1" t="str">
        <f t="shared" si="2"/>
        <v>15</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36" s="1" t="s">
        <v>3751</v>
      </c>
      <c r="D136" s="1" t="s">
        <v>3752</v>
      </c>
      <c r="E136" s="1" t="s">
        <v>3753</v>
      </c>
      <c r="F136" s="1" t="s">
        <v>112</v>
      </c>
      <c r="G136" s="1">
        <v>3567570</v>
      </c>
    </row>
    <row r="137" spans="1:7" x14ac:dyDescent="0.35">
      <c r="A137" s="1" t="str">
        <f t="shared" si="2"/>
        <v>15</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37" s="1" t="s">
        <v>3754</v>
      </c>
      <c r="D137" s="1" t="s">
        <v>3755</v>
      </c>
      <c r="E137" s="1" t="s">
        <v>3756</v>
      </c>
      <c r="F137" s="1" t="s">
        <v>112</v>
      </c>
      <c r="G137" s="1">
        <v>4219668</v>
      </c>
    </row>
    <row r="138" spans="1:7" x14ac:dyDescent="0.35">
      <c r="A138" s="1" t="str">
        <f t="shared" si="2"/>
        <v>15</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8" s="1" t="s">
        <v>3757</v>
      </c>
      <c r="D138" s="1" t="s">
        <v>3758</v>
      </c>
      <c r="E138" s="1" t="s">
        <v>3759</v>
      </c>
      <c r="F138" s="1" t="s">
        <v>112</v>
      </c>
      <c r="G138" s="1">
        <v>2886574</v>
      </c>
    </row>
    <row r="139" spans="1:7" x14ac:dyDescent="0.35">
      <c r="A139" s="1" t="str">
        <f t="shared" si="2"/>
        <v>15</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9" s="1" t="s">
        <v>3760</v>
      </c>
      <c r="D139" s="1" t="s">
        <v>893</v>
      </c>
      <c r="E139" s="1" t="s">
        <v>3761</v>
      </c>
      <c r="F139" s="1" t="s">
        <v>112</v>
      </c>
      <c r="G139" s="1">
        <v>3005020</v>
      </c>
    </row>
    <row r="140" spans="1:7" x14ac:dyDescent="0.35">
      <c r="A140" s="1" t="str">
        <f t="shared" si="2"/>
        <v>15</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0" s="1" t="s">
        <v>3762</v>
      </c>
      <c r="D140" s="1" t="s">
        <v>3763</v>
      </c>
      <c r="E140" s="1" t="s">
        <v>3764</v>
      </c>
      <c r="F140" s="1" t="s">
        <v>112</v>
      </c>
      <c r="G140" s="1">
        <v>3206654</v>
      </c>
    </row>
    <row r="141" spans="1:7" x14ac:dyDescent="0.35">
      <c r="A141" s="1" t="str">
        <f t="shared" si="2"/>
        <v>15</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1" s="1" t="s">
        <v>3765</v>
      </c>
      <c r="D141" s="1" t="s">
        <v>3766</v>
      </c>
      <c r="E141" s="1" t="s">
        <v>3767</v>
      </c>
      <c r="F141" s="1" t="s">
        <v>112</v>
      </c>
      <c r="G141" s="1">
        <v>2817899</v>
      </c>
    </row>
    <row r="142" spans="1:7" x14ac:dyDescent="0.35">
      <c r="A142" s="1" t="str">
        <f t="shared" si="2"/>
        <v>15</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2" s="1" t="s">
        <v>3768</v>
      </c>
      <c r="D142" s="1" t="s">
        <v>3769</v>
      </c>
      <c r="E142" s="1" t="s">
        <v>3770</v>
      </c>
      <c r="F142" s="1" t="s">
        <v>112</v>
      </c>
      <c r="G142" s="1">
        <v>3856978</v>
      </c>
    </row>
    <row r="143" spans="1:7" x14ac:dyDescent="0.35">
      <c r="A143" s="1" t="str">
        <f t="shared" si="2"/>
        <v>15</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3" s="1" t="s">
        <v>3771</v>
      </c>
      <c r="D143" s="1" t="s">
        <v>3772</v>
      </c>
      <c r="E143" s="1" t="s">
        <v>3773</v>
      </c>
      <c r="F143" s="1" t="s">
        <v>112</v>
      </c>
      <c r="G143" s="1">
        <v>4091619</v>
      </c>
    </row>
    <row r="144" spans="1:7" x14ac:dyDescent="0.35">
      <c r="A144" s="1" t="str">
        <f t="shared" si="2"/>
        <v>15</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4" s="1" t="s">
        <v>3774</v>
      </c>
    </row>
    <row r="145" spans="1:8" x14ac:dyDescent="0.35">
      <c r="A145" s="1" t="str">
        <f t="shared" si="2"/>
        <v>15</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5" s="1" t="s">
        <v>3775</v>
      </c>
      <c r="D145" s="1" t="s">
        <v>3776</v>
      </c>
      <c r="E145" s="1" t="s">
        <v>3777</v>
      </c>
      <c r="F145" s="1" t="s">
        <v>112</v>
      </c>
      <c r="G145" s="1">
        <v>4661610</v>
      </c>
    </row>
    <row r="146" spans="1:8" x14ac:dyDescent="0.35">
      <c r="A146" s="1" t="str">
        <f t="shared" si="2"/>
        <v>15</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6" s="1" t="s">
        <v>3778</v>
      </c>
      <c r="D146" s="1" t="s">
        <v>3779</v>
      </c>
      <c r="E146" s="1" t="s">
        <v>3780</v>
      </c>
      <c r="F146" s="1" t="s">
        <v>112</v>
      </c>
      <c r="G146" s="1">
        <v>4450805</v>
      </c>
    </row>
    <row r="147" spans="1:8" x14ac:dyDescent="0.35">
      <c r="A147" s="1" t="str">
        <f t="shared" si="2"/>
        <v>15</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7" s="1" t="s">
        <v>3781</v>
      </c>
      <c r="D147" s="1" t="s">
        <v>3782</v>
      </c>
      <c r="E147" s="1" t="s">
        <v>3783</v>
      </c>
      <c r="F147" s="1" t="s">
        <v>112</v>
      </c>
      <c r="G147" s="1">
        <v>3602221</v>
      </c>
    </row>
    <row r="148" spans="1:8" x14ac:dyDescent="0.35">
      <c r="A148" s="1" t="str">
        <f t="shared" si="2"/>
        <v>15</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8" s="1" t="s">
        <v>3784</v>
      </c>
      <c r="D148" s="1" t="s">
        <v>3785</v>
      </c>
      <c r="E148" s="1" t="s">
        <v>3786</v>
      </c>
      <c r="F148" s="1" t="s">
        <v>112</v>
      </c>
      <c r="G148" s="1">
        <v>4645171</v>
      </c>
    </row>
    <row r="149" spans="1:8" x14ac:dyDescent="0.35">
      <c r="A149" s="1" t="str">
        <f t="shared" si="2"/>
        <v>15</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3787</v>
      </c>
      <c r="D149" s="1" t="s">
        <v>3788</v>
      </c>
      <c r="E149" s="1" t="s">
        <v>3789</v>
      </c>
      <c r="F149" s="1" t="s">
        <v>112</v>
      </c>
      <c r="G149" s="1">
        <v>4003326</v>
      </c>
    </row>
    <row r="150" spans="1:8" x14ac:dyDescent="0.35">
      <c r="A150" s="1" t="str">
        <f t="shared" si="2"/>
        <v>15</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0" s="1" t="s">
        <v>3790</v>
      </c>
      <c r="D150" s="1" t="s">
        <v>3791</v>
      </c>
      <c r="E150" s="1" t="s">
        <v>3792</v>
      </c>
      <c r="F150" s="1" t="s">
        <v>112</v>
      </c>
      <c r="G150" s="1">
        <v>3358950</v>
      </c>
    </row>
    <row r="151" spans="1:8" x14ac:dyDescent="0.35">
      <c r="A151" s="1" t="str">
        <f t="shared" si="2"/>
        <v>15</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1" s="1" t="s">
        <v>3793</v>
      </c>
      <c r="D151" s="1" t="s">
        <v>3794</v>
      </c>
      <c r="E151" s="1" t="s">
        <v>3795</v>
      </c>
      <c r="F151" s="1" t="s">
        <v>112</v>
      </c>
      <c r="G151" s="1">
        <v>3022259</v>
      </c>
    </row>
    <row r="152" spans="1:8" x14ac:dyDescent="0.35">
      <c r="A152" s="1" t="str">
        <f t="shared" si="2"/>
        <v>15</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3796</v>
      </c>
      <c r="D152" s="1" t="s">
        <v>3797</v>
      </c>
      <c r="E152" s="1" t="s">
        <v>3798</v>
      </c>
      <c r="F152" s="1" t="s">
        <v>112</v>
      </c>
      <c r="G152" s="1">
        <v>3487691</v>
      </c>
    </row>
    <row r="153" spans="1:8" x14ac:dyDescent="0.35">
      <c r="A153" s="1" t="str">
        <f t="shared" si="2"/>
        <v>15</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3799</v>
      </c>
      <c r="D153" s="1" t="s">
        <v>3800</v>
      </c>
      <c r="E153" s="1" t="s">
        <v>3801</v>
      </c>
      <c r="F153" s="1" t="s">
        <v>112</v>
      </c>
      <c r="G153" s="1">
        <v>3037118</v>
      </c>
    </row>
    <row r="154" spans="1:8" x14ac:dyDescent="0.35">
      <c r="A154" s="1" t="str">
        <f t="shared" si="2"/>
        <v>15</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4" s="1" t="s">
        <v>3802</v>
      </c>
      <c r="D154" s="1" t="s">
        <v>3599</v>
      </c>
      <c r="E154" s="1" t="s">
        <v>3803</v>
      </c>
      <c r="F154" s="1" t="s">
        <v>112</v>
      </c>
      <c r="G154" s="1">
        <v>2339511</v>
      </c>
    </row>
    <row r="155" spans="1:8" x14ac:dyDescent="0.35">
      <c r="A155" s="1" t="str">
        <f t="shared" si="2"/>
        <v>15</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3804</v>
      </c>
      <c r="D155" s="1" t="s">
        <v>3805</v>
      </c>
      <c r="E155" s="1" t="s">
        <v>2908</v>
      </c>
      <c r="F155" s="1" t="s">
        <v>112</v>
      </c>
      <c r="G155" s="1">
        <v>2534375</v>
      </c>
    </row>
    <row r="156" spans="1:8" x14ac:dyDescent="0.35">
      <c r="A156" s="1" t="str">
        <f t="shared" si="2"/>
        <v>15</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3806</v>
      </c>
      <c r="D156" s="1" t="s">
        <v>3807</v>
      </c>
      <c r="E156" s="1" t="s">
        <v>3808</v>
      </c>
      <c r="F156" s="1" t="s">
        <v>112</v>
      </c>
      <c r="G156" s="1">
        <v>2481208</v>
      </c>
    </row>
    <row r="157" spans="1:8" x14ac:dyDescent="0.35">
      <c r="A157" s="1" t="str">
        <f t="shared" si="2"/>
        <v>15</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3809</v>
      </c>
      <c r="D157" s="1" t="s">
        <v>3810</v>
      </c>
      <c r="E157" s="1" t="s">
        <v>3811</v>
      </c>
      <c r="F157" s="1" t="s">
        <v>112</v>
      </c>
      <c r="G157" s="1">
        <v>2993534</v>
      </c>
    </row>
    <row r="158" spans="1:8"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8"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242</v>
      </c>
      <c r="D159" s="1" t="s">
        <v>112</v>
      </c>
      <c r="E159" s="1" t="s">
        <v>243</v>
      </c>
      <c r="F159" s="1" t="s">
        <v>244</v>
      </c>
      <c r="G159" s="1" t="s">
        <v>245</v>
      </c>
      <c r="H159" s="1" t="s">
        <v>246</v>
      </c>
    </row>
    <row r="160" spans="1:8" x14ac:dyDescent="0.35">
      <c r="A160" s="1" t="str">
        <f t="shared" si="2"/>
        <v>15</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3812</v>
      </c>
      <c r="D160" s="1" t="s">
        <v>112</v>
      </c>
      <c r="E160" s="1" t="s">
        <v>3813</v>
      </c>
      <c r="F160" s="1" t="s">
        <v>3814</v>
      </c>
      <c r="G160" s="1" t="s">
        <v>3815</v>
      </c>
      <c r="H160" s="1" t="s">
        <v>3816</v>
      </c>
    </row>
    <row r="161" spans="1:7"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172</v>
      </c>
      <c r="D166" s="1" t="s">
        <v>110</v>
      </c>
      <c r="E166" s="1" t="s">
        <v>111</v>
      </c>
      <c r="F166" s="1" t="s">
        <v>112</v>
      </c>
      <c r="G166" s="1" t="s">
        <v>113</v>
      </c>
    </row>
    <row r="167" spans="1:7" x14ac:dyDescent="0.35">
      <c r="A167" s="1" t="str">
        <f t="shared" si="2"/>
        <v>16</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3817</v>
      </c>
      <c r="D167" s="1" t="s">
        <v>338</v>
      </c>
      <c r="E167" s="1" t="s">
        <v>3818</v>
      </c>
      <c r="F167" s="1" t="s">
        <v>112</v>
      </c>
      <c r="G167" s="1">
        <v>651644</v>
      </c>
    </row>
    <row r="168" spans="1:7" x14ac:dyDescent="0.35">
      <c r="A168" s="1" t="str">
        <f t="shared" si="2"/>
        <v>16</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3819</v>
      </c>
      <c r="D168" s="1" t="s">
        <v>1539</v>
      </c>
      <c r="E168" s="1" t="s">
        <v>3820</v>
      </c>
      <c r="F168" s="1" t="s">
        <v>112</v>
      </c>
      <c r="G168" s="1">
        <v>258369</v>
      </c>
    </row>
    <row r="169" spans="1:7" x14ac:dyDescent="0.35">
      <c r="A169" s="1" t="str">
        <f t="shared" si="2"/>
        <v>16</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3821</v>
      </c>
      <c r="D169" s="1" t="s">
        <v>3822</v>
      </c>
      <c r="E169" s="1" t="s">
        <v>3823</v>
      </c>
      <c r="F169" s="1" t="s">
        <v>112</v>
      </c>
      <c r="G169" s="1">
        <v>481719</v>
      </c>
    </row>
    <row r="170" spans="1:7" x14ac:dyDescent="0.35">
      <c r="A170" s="1" t="str">
        <f t="shared" si="2"/>
        <v>16</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70" s="1" t="s">
        <v>3824</v>
      </c>
      <c r="D170" s="1" t="s">
        <v>174</v>
      </c>
      <c r="E170" s="1" t="s">
        <v>3825</v>
      </c>
      <c r="F170" s="1" t="s">
        <v>112</v>
      </c>
      <c r="G170" s="1">
        <v>375971</v>
      </c>
    </row>
    <row r="171" spans="1:7" x14ac:dyDescent="0.35">
      <c r="A171" s="1" t="str">
        <f t="shared" si="2"/>
        <v>16</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3826</v>
      </c>
      <c r="D171" s="1" t="s">
        <v>2776</v>
      </c>
      <c r="E171" s="1" t="s">
        <v>3827</v>
      </c>
      <c r="F171" s="1" t="s">
        <v>112</v>
      </c>
      <c r="G171" s="1">
        <v>30996</v>
      </c>
    </row>
    <row r="172" spans="1:7" x14ac:dyDescent="0.35">
      <c r="A172" s="1" t="str">
        <f t="shared" si="2"/>
        <v>16</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3828</v>
      </c>
      <c r="D172" s="1" t="s">
        <v>515</v>
      </c>
      <c r="E172" s="1" t="s">
        <v>3829</v>
      </c>
      <c r="F172" s="1" t="s">
        <v>112</v>
      </c>
      <c r="G172" s="1">
        <v>88812</v>
      </c>
    </row>
    <row r="173" spans="1:7" x14ac:dyDescent="0.35">
      <c r="A173" s="1" t="str">
        <f t="shared" si="2"/>
        <v>16</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3" s="1" t="s">
        <v>3830</v>
      </c>
      <c r="D173" s="1" t="s">
        <v>2058</v>
      </c>
      <c r="E173" s="1" t="s">
        <v>3831</v>
      </c>
      <c r="F173" s="1" t="s">
        <v>112</v>
      </c>
      <c r="G173" s="1">
        <v>111783</v>
      </c>
    </row>
    <row r="174" spans="1:7" x14ac:dyDescent="0.35">
      <c r="A174" s="1" t="str">
        <f t="shared" si="2"/>
        <v>16</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4" s="1" t="s">
        <v>3832</v>
      </c>
      <c r="D174" s="1" t="s">
        <v>3833</v>
      </c>
      <c r="E174" s="1" t="s">
        <v>3834</v>
      </c>
      <c r="F174" s="1" t="s">
        <v>112</v>
      </c>
      <c r="G174" s="1">
        <v>88726</v>
      </c>
    </row>
    <row r="175" spans="1:7" x14ac:dyDescent="0.35">
      <c r="A175" s="1" t="str">
        <f t="shared" si="2"/>
        <v>16</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3835</v>
      </c>
      <c r="D175" s="1" t="s">
        <v>3836</v>
      </c>
      <c r="E175" s="1" t="s">
        <v>3837</v>
      </c>
      <c r="F175" s="1" t="s">
        <v>112</v>
      </c>
      <c r="G175" s="1">
        <v>374457</v>
      </c>
    </row>
    <row r="176" spans="1:7" x14ac:dyDescent="0.35">
      <c r="A176" s="1" t="str">
        <f t="shared" si="2"/>
        <v>16</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6" s="1" t="s">
        <v>3838</v>
      </c>
      <c r="D176" s="1" t="s">
        <v>2175</v>
      </c>
      <c r="E176" s="1" t="s">
        <v>3839</v>
      </c>
      <c r="F176" s="1" t="s">
        <v>112</v>
      </c>
      <c r="G176" s="1">
        <v>217034</v>
      </c>
    </row>
    <row r="177" spans="1:7" x14ac:dyDescent="0.35">
      <c r="A177" s="1" t="str">
        <f t="shared" si="2"/>
        <v>16</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7" s="1" t="s">
        <v>3840</v>
      </c>
      <c r="D177" s="1" t="s">
        <v>3841</v>
      </c>
      <c r="E177" s="1" t="s">
        <v>3842</v>
      </c>
      <c r="F177" s="1" t="s">
        <v>112</v>
      </c>
      <c r="G177" s="1">
        <v>312487</v>
      </c>
    </row>
    <row r="178" spans="1:7" x14ac:dyDescent="0.35">
      <c r="A178" s="1" t="str">
        <f t="shared" si="2"/>
        <v>16</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8" s="1" t="s">
        <v>3843</v>
      </c>
      <c r="D178" s="1" t="s">
        <v>3844</v>
      </c>
      <c r="E178" s="1" t="s">
        <v>3845</v>
      </c>
      <c r="F178" s="1" t="s">
        <v>112</v>
      </c>
      <c r="G178" s="1">
        <v>195945</v>
      </c>
    </row>
    <row r="179" spans="1:7" x14ac:dyDescent="0.35">
      <c r="A179" s="1" t="str">
        <f t="shared" si="2"/>
        <v>16</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9" s="1" t="s">
        <v>3846</v>
      </c>
      <c r="D179" s="1" t="s">
        <v>3847</v>
      </c>
      <c r="E179" s="1" t="s">
        <v>3848</v>
      </c>
      <c r="F179" s="1" t="s">
        <v>112</v>
      </c>
      <c r="G179" s="1">
        <v>474473</v>
      </c>
    </row>
    <row r="180" spans="1:7" x14ac:dyDescent="0.35">
      <c r="A180" s="1" t="str">
        <f t="shared" si="2"/>
        <v>16</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80" s="1" t="s">
        <v>3849</v>
      </c>
      <c r="D180" s="1" t="s">
        <v>3850</v>
      </c>
      <c r="E180" s="1" t="s">
        <v>3851</v>
      </c>
      <c r="F180" s="1" t="s">
        <v>112</v>
      </c>
      <c r="G180" s="1">
        <v>529586</v>
      </c>
    </row>
    <row r="181" spans="1:7" x14ac:dyDescent="0.35">
      <c r="A181" s="1" t="str">
        <f t="shared" si="2"/>
        <v>16</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81" s="1" t="s">
        <v>3852</v>
      </c>
      <c r="D181" s="1" t="s">
        <v>3853</v>
      </c>
      <c r="E181" s="1" t="s">
        <v>3854</v>
      </c>
      <c r="F181" s="1" t="s">
        <v>112</v>
      </c>
      <c r="G181" s="1">
        <v>525823</v>
      </c>
    </row>
    <row r="182" spans="1:7" x14ac:dyDescent="0.35">
      <c r="A182" s="1" t="str">
        <f t="shared" si="2"/>
        <v>16</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82" s="1" t="s">
        <v>3855</v>
      </c>
      <c r="D182" s="1" t="s">
        <v>472</v>
      </c>
      <c r="E182" s="1" t="s">
        <v>3856</v>
      </c>
      <c r="F182" s="1" t="s">
        <v>112</v>
      </c>
      <c r="G182" s="1">
        <v>179139</v>
      </c>
    </row>
    <row r="183" spans="1:7" x14ac:dyDescent="0.35">
      <c r="A183" s="1" t="str">
        <f t="shared" si="2"/>
        <v>16</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3" s="1" t="s">
        <v>3857</v>
      </c>
      <c r="D183" s="1" t="s">
        <v>3858</v>
      </c>
      <c r="E183" s="1" t="s">
        <v>3859</v>
      </c>
      <c r="F183" s="1" t="s">
        <v>112</v>
      </c>
      <c r="G183" s="1">
        <v>598715</v>
      </c>
    </row>
    <row r="184" spans="1:7" x14ac:dyDescent="0.35">
      <c r="A184" s="1" t="str">
        <f t="shared" si="2"/>
        <v>16</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4" s="1" t="s">
        <v>3860</v>
      </c>
    </row>
    <row r="185" spans="1:7" x14ac:dyDescent="0.35">
      <c r="A185" s="1" t="str">
        <f t="shared" si="2"/>
        <v>16</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5" s="1" t="s">
        <v>3861</v>
      </c>
      <c r="D185" s="1" t="s">
        <v>341</v>
      </c>
      <c r="E185" s="1" t="s">
        <v>3862</v>
      </c>
      <c r="F185" s="1" t="s">
        <v>112</v>
      </c>
      <c r="G185" s="1">
        <v>351767</v>
      </c>
    </row>
    <row r="186" spans="1:7" x14ac:dyDescent="0.35">
      <c r="A186" s="1" t="str">
        <f t="shared" si="2"/>
        <v>16</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6" s="1" t="s">
        <v>3863</v>
      </c>
    </row>
    <row r="187" spans="1:7" x14ac:dyDescent="0.35">
      <c r="A187" s="1" t="str">
        <f t="shared" si="2"/>
        <v>16</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7" s="1" t="s">
        <v>3864</v>
      </c>
      <c r="D187" s="1" t="s">
        <v>3865</v>
      </c>
      <c r="E187" s="1" t="s">
        <v>3866</v>
      </c>
      <c r="F187" s="1" t="s">
        <v>112</v>
      </c>
      <c r="G187" s="1">
        <v>388257</v>
      </c>
    </row>
    <row r="188" spans="1:7" x14ac:dyDescent="0.35">
      <c r="A188" s="1" t="str">
        <f t="shared" si="2"/>
        <v>16</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8" s="1" t="s">
        <v>3867</v>
      </c>
      <c r="D188" s="1" t="s">
        <v>296</v>
      </c>
      <c r="E188" s="1" t="s">
        <v>3868</v>
      </c>
      <c r="F188" s="1" t="s">
        <v>112</v>
      </c>
      <c r="G188" s="1">
        <v>502073</v>
      </c>
    </row>
    <row r="189" spans="1:7" x14ac:dyDescent="0.35">
      <c r="A189" s="1" t="str">
        <f t="shared" si="2"/>
        <v>16</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9" s="1" t="s">
        <v>3869</v>
      </c>
      <c r="D189" s="1" t="s">
        <v>3870</v>
      </c>
      <c r="E189" s="1" t="s">
        <v>3871</v>
      </c>
      <c r="F189" s="1" t="s">
        <v>112</v>
      </c>
      <c r="G189" s="1">
        <v>352740</v>
      </c>
    </row>
    <row r="190" spans="1:7" x14ac:dyDescent="0.35">
      <c r="A190" s="1" t="str">
        <f t="shared" si="2"/>
        <v>16</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0" s="1" t="s">
        <v>3872</v>
      </c>
      <c r="D190" s="1" t="s">
        <v>3873</v>
      </c>
      <c r="E190" s="1" t="s">
        <v>3874</v>
      </c>
      <c r="F190" s="1" t="s">
        <v>112</v>
      </c>
      <c r="G190" s="1">
        <v>175483</v>
      </c>
    </row>
    <row r="191" spans="1:7" x14ac:dyDescent="0.35">
      <c r="A191" s="1" t="str">
        <f t="shared" si="2"/>
        <v>16</v>
      </c>
      <c r="B1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91" s="1" t="s">
        <v>3875</v>
      </c>
      <c r="D191" s="1" t="s">
        <v>3876</v>
      </c>
      <c r="E191" s="1" t="s">
        <v>3877</v>
      </c>
      <c r="F191" s="1" t="s">
        <v>112</v>
      </c>
      <c r="G191" s="1">
        <v>180415</v>
      </c>
    </row>
    <row r="192" spans="1:7" x14ac:dyDescent="0.35">
      <c r="A192" s="1" t="str">
        <f t="shared" si="2"/>
        <v>16</v>
      </c>
      <c r="B1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92" s="1" t="s">
        <v>3878</v>
      </c>
      <c r="D192" s="1" t="s">
        <v>3879</v>
      </c>
      <c r="E192" s="1" t="s">
        <v>3880</v>
      </c>
      <c r="F192" s="1" t="s">
        <v>112</v>
      </c>
      <c r="G192" s="1">
        <v>389706</v>
      </c>
    </row>
    <row r="193" spans="1:8" x14ac:dyDescent="0.35">
      <c r="A193" s="1" t="str">
        <f t="shared" si="2"/>
        <v>16</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93" s="1" t="s">
        <v>3881</v>
      </c>
    </row>
    <row r="194" spans="1:8" x14ac:dyDescent="0.35">
      <c r="A194" s="1" t="str">
        <f t="shared" ref="A194:A257" si="3">IFERROR(LEFT(RIGHT(C194,LEN(C194)-SEARCH("@",C194)),SEARCH("/",RIGHT(C194,LEN(C194)-SEARCH("@",C194)-1))),"")</f>
        <v>16</v>
      </c>
      <c r="B1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94" s="1" t="s">
        <v>3882</v>
      </c>
      <c r="D194" s="1" t="s">
        <v>3883</v>
      </c>
      <c r="E194" s="1" t="s">
        <v>3884</v>
      </c>
      <c r="F194" s="1" t="s">
        <v>112</v>
      </c>
      <c r="G194" s="1">
        <v>347073</v>
      </c>
    </row>
    <row r="195" spans="1:8" x14ac:dyDescent="0.35">
      <c r="A195" s="1" t="str">
        <f t="shared" si="3"/>
        <v>16</v>
      </c>
      <c r="B1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5" s="1" t="s">
        <v>3885</v>
      </c>
      <c r="D195" s="1" t="s">
        <v>234</v>
      </c>
      <c r="E195" s="1" t="s">
        <v>1682</v>
      </c>
      <c r="F195" s="1" t="s">
        <v>112</v>
      </c>
      <c r="G195" s="1">
        <v>1363</v>
      </c>
    </row>
    <row r="196" spans="1:8" x14ac:dyDescent="0.35">
      <c r="A196" s="1" t="str">
        <f t="shared" si="3"/>
        <v>16</v>
      </c>
      <c r="B1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6" s="1" t="s">
        <v>3886</v>
      </c>
      <c r="D196" s="1" t="s">
        <v>3887</v>
      </c>
      <c r="E196" s="1" t="s">
        <v>3888</v>
      </c>
      <c r="F196" s="1" t="s">
        <v>112</v>
      </c>
      <c r="G196" s="1">
        <v>211302</v>
      </c>
    </row>
    <row r="197" spans="1:8" x14ac:dyDescent="0.35">
      <c r="A197" s="1" t="str">
        <f t="shared" si="3"/>
        <v>16</v>
      </c>
      <c r="B1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7" s="1" t="s">
        <v>3889</v>
      </c>
      <c r="D197" s="1" t="s">
        <v>2229</v>
      </c>
      <c r="E197" s="1" t="s">
        <v>3890</v>
      </c>
      <c r="F197" s="1" t="s">
        <v>112</v>
      </c>
      <c r="G197" s="1">
        <v>157725</v>
      </c>
    </row>
    <row r="198" spans="1:8" x14ac:dyDescent="0.35">
      <c r="A198" s="1" t="str">
        <f t="shared" si="3"/>
        <v>16</v>
      </c>
      <c r="B1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8" s="1" t="s">
        <v>3891</v>
      </c>
      <c r="D198" s="1" t="s">
        <v>3892</v>
      </c>
      <c r="E198" s="1" t="s">
        <v>3893</v>
      </c>
      <c r="F198" s="1" t="s">
        <v>112</v>
      </c>
      <c r="G198" s="1">
        <v>352892</v>
      </c>
    </row>
    <row r="199" spans="1:8"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112</v>
      </c>
    </row>
    <row r="200" spans="1:8"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0" s="1" t="s">
        <v>242</v>
      </c>
      <c r="D200" s="1" t="s">
        <v>112</v>
      </c>
      <c r="E200" s="1" t="s">
        <v>243</v>
      </c>
      <c r="F200" s="1" t="s">
        <v>244</v>
      </c>
      <c r="G200" s="1" t="s">
        <v>245</v>
      </c>
      <c r="H200" s="1" t="s">
        <v>246</v>
      </c>
    </row>
    <row r="201" spans="1:8" x14ac:dyDescent="0.35">
      <c r="A201" s="1" t="str">
        <f t="shared" si="3"/>
        <v>16</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01" s="1" t="s">
        <v>3894</v>
      </c>
      <c r="D201" s="1" t="s">
        <v>112</v>
      </c>
      <c r="E201" s="1" t="s">
        <v>3895</v>
      </c>
      <c r="F201" s="1" t="s">
        <v>3896</v>
      </c>
      <c r="G201" s="1" t="s">
        <v>3897</v>
      </c>
      <c r="H201" s="1" t="s">
        <v>3898</v>
      </c>
    </row>
    <row r="202" spans="1:8" x14ac:dyDescent="0.35">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2" s="1" t="s">
        <v>112</v>
      </c>
    </row>
    <row r="203" spans="1:8" x14ac:dyDescent="0.35">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3" s="1" t="s">
        <v>112</v>
      </c>
    </row>
    <row r="204" spans="1:8" x14ac:dyDescent="0.35">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4" s="1" t="s">
        <v>112</v>
      </c>
    </row>
    <row r="205" spans="1:8" x14ac:dyDescent="0.35">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5" s="1" t="s">
        <v>112</v>
      </c>
    </row>
    <row r="206" spans="1:8" x14ac:dyDescent="0.35">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6" s="1" t="s">
        <v>112</v>
      </c>
    </row>
    <row r="207" spans="1:8" x14ac:dyDescent="0.35">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7" s="1" t="s">
        <v>172</v>
      </c>
      <c r="D207" s="1" t="s">
        <v>110</v>
      </c>
      <c r="E207" s="1" t="s">
        <v>111</v>
      </c>
      <c r="F207" s="1" t="s">
        <v>112</v>
      </c>
      <c r="G207" s="1" t="s">
        <v>113</v>
      </c>
    </row>
    <row r="208" spans="1:8" x14ac:dyDescent="0.35">
      <c r="A208" s="1" t="str">
        <f t="shared" si="3"/>
        <v>2</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8" s="1" t="s">
        <v>3899</v>
      </c>
      <c r="D208" s="1" t="s">
        <v>3900</v>
      </c>
      <c r="E208" s="1" t="s">
        <v>3901</v>
      </c>
      <c r="F208" s="1" t="s">
        <v>112</v>
      </c>
      <c r="G208" s="1">
        <v>548750</v>
      </c>
    </row>
    <row r="209" spans="1:7" x14ac:dyDescent="0.35">
      <c r="A209" s="1" t="str">
        <f t="shared" si="3"/>
        <v>2</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9" s="1" t="s">
        <v>3902</v>
      </c>
      <c r="D209" s="1" t="s">
        <v>3903</v>
      </c>
      <c r="E209" s="1" t="s">
        <v>3904</v>
      </c>
      <c r="F209" s="1" t="s">
        <v>112</v>
      </c>
      <c r="G209" s="1">
        <v>412287</v>
      </c>
    </row>
    <row r="210" spans="1:7" x14ac:dyDescent="0.35">
      <c r="A210" s="1" t="str">
        <f t="shared" si="3"/>
        <v>2</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10" s="1" t="s">
        <v>3905</v>
      </c>
      <c r="D210" s="1" t="s">
        <v>3906</v>
      </c>
      <c r="E210" s="1" t="s">
        <v>3907</v>
      </c>
      <c r="F210" s="1" t="s">
        <v>112</v>
      </c>
      <c r="G210" s="1">
        <v>421783</v>
      </c>
    </row>
    <row r="211" spans="1:7" x14ac:dyDescent="0.35">
      <c r="A211" s="1" t="str">
        <f t="shared" si="3"/>
        <v>2</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11" s="1" t="s">
        <v>3908</v>
      </c>
    </row>
    <row r="212" spans="1:7" x14ac:dyDescent="0.35">
      <c r="A212" s="1" t="str">
        <f t="shared" si="3"/>
        <v>2</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12" s="1" t="s">
        <v>3909</v>
      </c>
      <c r="D212" s="1" t="s">
        <v>3910</v>
      </c>
      <c r="E212" s="1" t="s">
        <v>3911</v>
      </c>
      <c r="F212" s="1" t="s">
        <v>112</v>
      </c>
      <c r="G212" s="1">
        <v>492469</v>
      </c>
    </row>
    <row r="213" spans="1:7" x14ac:dyDescent="0.35">
      <c r="A213" s="1" t="str">
        <f t="shared" si="3"/>
        <v>2</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13" s="1" t="s">
        <v>3912</v>
      </c>
      <c r="D213" s="1" t="s">
        <v>3913</v>
      </c>
      <c r="E213" s="1" t="s">
        <v>3914</v>
      </c>
      <c r="F213" s="1" t="s">
        <v>112</v>
      </c>
      <c r="G213" s="1">
        <v>427818</v>
      </c>
    </row>
    <row r="214" spans="1:7" x14ac:dyDescent="0.35">
      <c r="A214" s="1" t="str">
        <f t="shared" si="3"/>
        <v>2</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14" s="1" t="s">
        <v>3915</v>
      </c>
      <c r="D214" s="1" t="s">
        <v>3916</v>
      </c>
      <c r="E214" s="1" t="s">
        <v>3917</v>
      </c>
      <c r="F214" s="1" t="s">
        <v>112</v>
      </c>
      <c r="G214" s="1">
        <v>9647</v>
      </c>
    </row>
    <row r="215" spans="1:7" x14ac:dyDescent="0.35">
      <c r="A215" s="1" t="str">
        <f t="shared" si="3"/>
        <v>2</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15" s="1" t="s">
        <v>3918</v>
      </c>
      <c r="D215" s="1" t="s">
        <v>3919</v>
      </c>
      <c r="E215" s="1" t="s">
        <v>3920</v>
      </c>
      <c r="F215" s="1" t="s">
        <v>112</v>
      </c>
      <c r="G215" s="1">
        <v>563048</v>
      </c>
    </row>
    <row r="216" spans="1:7" x14ac:dyDescent="0.35">
      <c r="A216" s="1" t="str">
        <f t="shared" si="3"/>
        <v>2</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16" s="1" t="s">
        <v>3921</v>
      </c>
      <c r="D216" s="1" t="s">
        <v>147</v>
      </c>
      <c r="E216" s="1" t="s">
        <v>3922</v>
      </c>
      <c r="F216" s="1" t="s">
        <v>112</v>
      </c>
      <c r="G216" s="1">
        <v>186385</v>
      </c>
    </row>
    <row r="217" spans="1:7" x14ac:dyDescent="0.35">
      <c r="A217" s="1" t="str">
        <f t="shared" si="3"/>
        <v>2</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17" s="1" t="s">
        <v>3923</v>
      </c>
      <c r="D217" s="1" t="s">
        <v>331</v>
      </c>
      <c r="E217" s="1" t="s">
        <v>3924</v>
      </c>
      <c r="F217" s="1" t="s">
        <v>112</v>
      </c>
      <c r="G217" s="1">
        <v>154329</v>
      </c>
    </row>
    <row r="218" spans="1:7" x14ac:dyDescent="0.35">
      <c r="A218" s="1" t="str">
        <f t="shared" si="3"/>
        <v>2</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18" s="1" t="s">
        <v>3925</v>
      </c>
      <c r="D218" s="1" t="s">
        <v>3926</v>
      </c>
      <c r="E218" s="1" t="s">
        <v>3927</v>
      </c>
      <c r="F218" s="1" t="s">
        <v>112</v>
      </c>
      <c r="G218" s="1">
        <v>127551</v>
      </c>
    </row>
    <row r="219" spans="1:7" x14ac:dyDescent="0.35">
      <c r="A219" s="1" t="str">
        <f t="shared" si="3"/>
        <v>2</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19" s="1" t="s">
        <v>3928</v>
      </c>
    </row>
    <row r="220" spans="1:7" x14ac:dyDescent="0.35">
      <c r="A220" s="1" t="str">
        <f t="shared" si="3"/>
        <v>2</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0" s="1" t="s">
        <v>3929</v>
      </c>
      <c r="D220" s="1" t="s">
        <v>3919</v>
      </c>
      <c r="E220" s="1" t="s">
        <v>3930</v>
      </c>
      <c r="F220" s="1" t="s">
        <v>112</v>
      </c>
      <c r="G220" s="1">
        <v>564389</v>
      </c>
    </row>
    <row r="221" spans="1:7" x14ac:dyDescent="0.35">
      <c r="A221" s="1" t="str">
        <f t="shared" si="3"/>
        <v>2</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1" s="1" t="s">
        <v>3931</v>
      </c>
      <c r="D221" s="1" t="s">
        <v>3870</v>
      </c>
      <c r="E221" s="1" t="s">
        <v>3932</v>
      </c>
      <c r="F221" s="1" t="s">
        <v>112</v>
      </c>
      <c r="G221" s="1">
        <v>276495</v>
      </c>
    </row>
    <row r="222" spans="1:7" x14ac:dyDescent="0.35">
      <c r="A222" s="1" t="str">
        <f t="shared" si="3"/>
        <v>2</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2" s="1" t="s">
        <v>3933</v>
      </c>
      <c r="D222" s="1" t="s">
        <v>3934</v>
      </c>
      <c r="E222" s="1" t="s">
        <v>3935</v>
      </c>
      <c r="F222" s="1" t="s">
        <v>112</v>
      </c>
      <c r="G222" s="1">
        <v>239616</v>
      </c>
    </row>
    <row r="223" spans="1:7" x14ac:dyDescent="0.35">
      <c r="A223" s="1" t="str">
        <f t="shared" si="3"/>
        <v>2</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3" s="1" t="s">
        <v>3936</v>
      </c>
      <c r="D223" s="1" t="s">
        <v>3937</v>
      </c>
      <c r="E223" s="1" t="s">
        <v>3938</v>
      </c>
      <c r="F223" s="1" t="s">
        <v>112</v>
      </c>
      <c r="G223" s="1">
        <v>382049</v>
      </c>
    </row>
    <row r="224" spans="1:7" x14ac:dyDescent="0.35">
      <c r="A224" s="1" t="str">
        <f t="shared" si="3"/>
        <v>2</v>
      </c>
      <c r="B2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24" s="1" t="s">
        <v>3939</v>
      </c>
      <c r="D224" s="1" t="s">
        <v>3940</v>
      </c>
      <c r="E224" s="1" t="s">
        <v>3941</v>
      </c>
      <c r="F224" s="1" t="s">
        <v>112</v>
      </c>
      <c r="G224" s="1">
        <v>429180</v>
      </c>
    </row>
    <row r="225" spans="1:7" x14ac:dyDescent="0.35">
      <c r="A225" s="1" t="str">
        <f t="shared" si="3"/>
        <v>2</v>
      </c>
      <c r="B2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25" s="1" t="s">
        <v>3942</v>
      </c>
      <c r="D225" s="1" t="s">
        <v>686</v>
      </c>
      <c r="E225" s="1" t="s">
        <v>3943</v>
      </c>
      <c r="F225" s="1" t="s">
        <v>112</v>
      </c>
      <c r="G225" s="1">
        <v>110918</v>
      </c>
    </row>
    <row r="226" spans="1:7" x14ac:dyDescent="0.35">
      <c r="A226" s="1" t="str">
        <f t="shared" si="3"/>
        <v>2</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26" s="1" t="s">
        <v>3944</v>
      </c>
      <c r="D226" s="1" t="s">
        <v>3945</v>
      </c>
      <c r="E226" s="1" t="s">
        <v>3946</v>
      </c>
      <c r="F226" s="1" t="s">
        <v>112</v>
      </c>
      <c r="G226" s="1">
        <v>301283</v>
      </c>
    </row>
    <row r="227" spans="1:7" x14ac:dyDescent="0.35">
      <c r="A227" s="1" t="str">
        <f t="shared" si="3"/>
        <v>2</v>
      </c>
      <c r="B2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27" s="1" t="s">
        <v>3947</v>
      </c>
      <c r="D227" s="1" t="s">
        <v>3948</v>
      </c>
      <c r="E227" s="1" t="s">
        <v>1222</v>
      </c>
      <c r="F227" s="1" t="s">
        <v>112</v>
      </c>
      <c r="G227" s="1">
        <v>156406</v>
      </c>
    </row>
    <row r="228" spans="1:7" x14ac:dyDescent="0.35">
      <c r="A228" s="1" t="str">
        <f t="shared" si="3"/>
        <v>2</v>
      </c>
      <c r="B2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28" s="1" t="s">
        <v>3949</v>
      </c>
    </row>
    <row r="229" spans="1:7" x14ac:dyDescent="0.35">
      <c r="A229" s="1" t="str">
        <f t="shared" si="3"/>
        <v>2</v>
      </c>
      <c r="B2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29" s="1" t="s">
        <v>3950</v>
      </c>
      <c r="D229" s="1">
        <v>0</v>
      </c>
      <c r="E229" s="1">
        <v>0</v>
      </c>
      <c r="F229" s="1" t="s">
        <v>112</v>
      </c>
      <c r="G229" s="1">
        <v>0</v>
      </c>
    </row>
    <row r="230" spans="1:7" x14ac:dyDescent="0.35">
      <c r="A230" s="1" t="str">
        <f t="shared" si="3"/>
        <v>2</v>
      </c>
      <c r="B2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30" s="1" t="s">
        <v>3951</v>
      </c>
      <c r="D230" s="1" t="s">
        <v>3952</v>
      </c>
      <c r="E230" s="1" t="s">
        <v>3953</v>
      </c>
      <c r="F230" s="1" t="s">
        <v>112</v>
      </c>
      <c r="G230" s="1">
        <v>134430</v>
      </c>
    </row>
    <row r="231" spans="1:7" x14ac:dyDescent="0.35">
      <c r="A231" s="1" t="str">
        <f t="shared" si="3"/>
        <v>2</v>
      </c>
      <c r="B2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31" s="1" t="s">
        <v>3954</v>
      </c>
      <c r="D231" s="1" t="s">
        <v>3955</v>
      </c>
      <c r="E231" s="1" t="s">
        <v>3956</v>
      </c>
      <c r="F231" s="1" t="s">
        <v>112</v>
      </c>
      <c r="G231" s="1">
        <v>186298</v>
      </c>
    </row>
    <row r="232" spans="1:7" x14ac:dyDescent="0.35">
      <c r="A232" s="1" t="str">
        <f t="shared" si="3"/>
        <v>2</v>
      </c>
      <c r="B2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2" s="1" t="s">
        <v>3957</v>
      </c>
      <c r="D232" s="1" t="s">
        <v>1475</v>
      </c>
      <c r="E232" s="1" t="s">
        <v>3958</v>
      </c>
      <c r="F232" s="1" t="s">
        <v>112</v>
      </c>
      <c r="G232" s="1">
        <v>470969</v>
      </c>
    </row>
    <row r="233" spans="1:7" x14ac:dyDescent="0.35">
      <c r="A233" s="1" t="str">
        <f t="shared" si="3"/>
        <v>2</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3" s="1" t="s">
        <v>3959</v>
      </c>
      <c r="D233" s="1" t="s">
        <v>3836</v>
      </c>
      <c r="E233" s="1" t="s">
        <v>3960</v>
      </c>
      <c r="F233" s="1" t="s">
        <v>112</v>
      </c>
      <c r="G233" s="1">
        <v>402576</v>
      </c>
    </row>
    <row r="234" spans="1:7" x14ac:dyDescent="0.35">
      <c r="A234" s="1" t="str">
        <f t="shared" si="3"/>
        <v>2</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4" s="1" t="s">
        <v>3961</v>
      </c>
      <c r="D234" s="1" t="s">
        <v>3962</v>
      </c>
      <c r="E234" s="1" t="s">
        <v>3963</v>
      </c>
      <c r="F234" s="1" t="s">
        <v>112</v>
      </c>
      <c r="G234" s="1">
        <v>315667</v>
      </c>
    </row>
    <row r="235" spans="1:7" x14ac:dyDescent="0.35">
      <c r="A235" s="1" t="str">
        <f t="shared" si="3"/>
        <v>2</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5" s="1" t="s">
        <v>3964</v>
      </c>
      <c r="D235" s="1" t="s">
        <v>545</v>
      </c>
      <c r="E235" s="1" t="s">
        <v>3965</v>
      </c>
      <c r="F235" s="1" t="s">
        <v>112</v>
      </c>
      <c r="G235" s="1">
        <v>15638</v>
      </c>
    </row>
    <row r="236" spans="1:7" x14ac:dyDescent="0.35">
      <c r="A236" s="1" t="str">
        <f t="shared" si="3"/>
        <v>2</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6" s="1" t="s">
        <v>3966</v>
      </c>
      <c r="D236" s="1" t="s">
        <v>2580</v>
      </c>
      <c r="E236" s="1" t="s">
        <v>3967</v>
      </c>
      <c r="F236" s="1" t="s">
        <v>112</v>
      </c>
      <c r="G236" s="1">
        <v>44904</v>
      </c>
    </row>
    <row r="237" spans="1:7" x14ac:dyDescent="0.35">
      <c r="A237" s="1" t="str">
        <f t="shared" si="3"/>
        <v>2</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7" s="1" t="s">
        <v>3968</v>
      </c>
      <c r="D237" s="1" t="s">
        <v>1555</v>
      </c>
      <c r="E237" s="1" t="s">
        <v>3969</v>
      </c>
      <c r="F237" s="1" t="s">
        <v>112</v>
      </c>
      <c r="G237" s="1">
        <v>6835</v>
      </c>
    </row>
    <row r="238" spans="1:7" x14ac:dyDescent="0.35">
      <c r="A238" s="1" t="str">
        <f t="shared" si="3"/>
        <v>2</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8" s="1" t="s">
        <v>3970</v>
      </c>
      <c r="D238" s="1" t="s">
        <v>174</v>
      </c>
      <c r="E238" s="1" t="s">
        <v>3971</v>
      </c>
      <c r="F238" s="1" t="s">
        <v>112</v>
      </c>
      <c r="G238" s="1">
        <v>364594</v>
      </c>
    </row>
    <row r="239" spans="1:7" x14ac:dyDescent="0.35">
      <c r="A239" s="1" t="str">
        <f t="shared" si="3"/>
        <v>2</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9" s="1" t="s">
        <v>3972</v>
      </c>
      <c r="D239" s="1" t="s">
        <v>3844</v>
      </c>
      <c r="E239" s="1" t="s">
        <v>3973</v>
      </c>
      <c r="F239" s="1" t="s">
        <v>112</v>
      </c>
      <c r="G239" s="1">
        <v>187034</v>
      </c>
    </row>
    <row r="240" spans="1:7" x14ac:dyDescent="0.35">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0" s="1" t="s">
        <v>112</v>
      </c>
    </row>
    <row r="241" spans="1:8" x14ac:dyDescent="0.35">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1" s="1" t="s">
        <v>242</v>
      </c>
      <c r="D241" s="1" t="s">
        <v>112</v>
      </c>
      <c r="E241" s="1" t="s">
        <v>243</v>
      </c>
      <c r="F241" s="1" t="s">
        <v>244</v>
      </c>
      <c r="G241" s="1" t="s">
        <v>245</v>
      </c>
      <c r="H241" s="1" t="s">
        <v>246</v>
      </c>
    </row>
    <row r="242" spans="1:8" x14ac:dyDescent="0.35">
      <c r="A242" s="1" t="str">
        <f t="shared" si="3"/>
        <v>2</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42" s="1" t="s">
        <v>3974</v>
      </c>
      <c r="D242" s="1" t="s">
        <v>112</v>
      </c>
      <c r="E242" s="1" t="s">
        <v>3975</v>
      </c>
      <c r="F242" s="1" t="s">
        <v>3976</v>
      </c>
      <c r="G242" s="1" t="s">
        <v>3977</v>
      </c>
      <c r="H242" s="1" t="s">
        <v>3978</v>
      </c>
    </row>
    <row r="243" spans="1:8" x14ac:dyDescent="0.35">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3" s="1" t="s">
        <v>112</v>
      </c>
    </row>
    <row r="244" spans="1:8" x14ac:dyDescent="0.35">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4" s="1" t="s">
        <v>112</v>
      </c>
    </row>
    <row r="245" spans="1:8" x14ac:dyDescent="0.35">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5" s="1" t="s">
        <v>112</v>
      </c>
    </row>
    <row r="246" spans="1:8" x14ac:dyDescent="0.35">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6" s="1" t="s">
        <v>112</v>
      </c>
    </row>
    <row r="247" spans="1:8" x14ac:dyDescent="0.35">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7" s="1" t="s">
        <v>112</v>
      </c>
    </row>
    <row r="248" spans="1:8" x14ac:dyDescent="0.35">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8" s="1" t="s">
        <v>172</v>
      </c>
      <c r="D248" s="1" t="s">
        <v>110</v>
      </c>
      <c r="E248" s="1" t="s">
        <v>111</v>
      </c>
      <c r="F248" s="1" t="s">
        <v>112</v>
      </c>
      <c r="G248" s="1" t="s">
        <v>113</v>
      </c>
    </row>
    <row r="249" spans="1:8" x14ac:dyDescent="0.35">
      <c r="A249" s="1" t="str">
        <f t="shared" si="3"/>
        <v>3</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49" s="1" t="s">
        <v>3979</v>
      </c>
      <c r="D249" s="1" t="s">
        <v>3980</v>
      </c>
      <c r="E249" s="1" t="s">
        <v>3981</v>
      </c>
      <c r="F249" s="1" t="s">
        <v>112</v>
      </c>
      <c r="G249" s="1">
        <v>227763</v>
      </c>
    </row>
    <row r="250" spans="1:8" x14ac:dyDescent="0.35">
      <c r="A250" s="1" t="str">
        <f t="shared" si="3"/>
        <v>3</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50" s="1" t="s">
        <v>3982</v>
      </c>
      <c r="D250" s="1" t="s">
        <v>3983</v>
      </c>
      <c r="E250" s="1" t="s">
        <v>3984</v>
      </c>
      <c r="F250" s="1" t="s">
        <v>112</v>
      </c>
      <c r="G250" s="1">
        <v>280799</v>
      </c>
    </row>
    <row r="251" spans="1:8" x14ac:dyDescent="0.35">
      <c r="A251" s="1" t="str">
        <f t="shared" si="3"/>
        <v>3</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51" s="1" t="s">
        <v>3985</v>
      </c>
      <c r="D251" s="1" t="s">
        <v>3986</v>
      </c>
      <c r="E251" s="1" t="s">
        <v>3987</v>
      </c>
      <c r="F251" s="1" t="s">
        <v>112</v>
      </c>
      <c r="G251" s="1">
        <v>413499</v>
      </c>
    </row>
    <row r="252" spans="1:8" x14ac:dyDescent="0.35">
      <c r="A252" s="1" t="str">
        <f t="shared" si="3"/>
        <v>3</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52" s="1" t="s">
        <v>3988</v>
      </c>
      <c r="D252" s="1" t="s">
        <v>1546</v>
      </c>
      <c r="E252" s="1" t="s">
        <v>3989</v>
      </c>
      <c r="F252" s="1" t="s">
        <v>112</v>
      </c>
      <c r="G252" s="1">
        <v>275846</v>
      </c>
    </row>
    <row r="253" spans="1:8" x14ac:dyDescent="0.35">
      <c r="A253" s="1" t="str">
        <f t="shared" si="3"/>
        <v>3</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3" s="1" t="s">
        <v>3990</v>
      </c>
    </row>
    <row r="254" spans="1:8" x14ac:dyDescent="0.35">
      <c r="A254" s="1" t="str">
        <f t="shared" si="3"/>
        <v>3</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4" s="1" t="s">
        <v>3991</v>
      </c>
      <c r="D254" s="1" t="s">
        <v>3992</v>
      </c>
      <c r="E254" s="1" t="s">
        <v>3993</v>
      </c>
      <c r="F254" s="1" t="s">
        <v>112</v>
      </c>
      <c r="G254" s="1">
        <v>177668</v>
      </c>
    </row>
    <row r="255" spans="1:8" x14ac:dyDescent="0.35">
      <c r="A255" s="1" t="str">
        <f t="shared" si="3"/>
        <v>3</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5" s="1" t="s">
        <v>3994</v>
      </c>
      <c r="D255" s="1" t="s">
        <v>3995</v>
      </c>
      <c r="E255" s="1" t="s">
        <v>3996</v>
      </c>
      <c r="F255" s="1" t="s">
        <v>112</v>
      </c>
      <c r="G255" s="1">
        <v>203905</v>
      </c>
    </row>
    <row r="256" spans="1:8" x14ac:dyDescent="0.35">
      <c r="A256" s="1" t="str">
        <f t="shared" si="3"/>
        <v>3</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6" s="1" t="s">
        <v>3997</v>
      </c>
      <c r="D256" s="1" t="s">
        <v>3998</v>
      </c>
      <c r="E256" s="1" t="s">
        <v>3999</v>
      </c>
      <c r="F256" s="1" t="s">
        <v>112</v>
      </c>
      <c r="G256" s="1">
        <v>228823</v>
      </c>
    </row>
    <row r="257" spans="1:7" x14ac:dyDescent="0.35">
      <c r="A257" s="1" t="str">
        <f t="shared" si="3"/>
        <v>3</v>
      </c>
      <c r="B2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57" s="1" t="s">
        <v>4000</v>
      </c>
      <c r="D257" s="1" t="s">
        <v>4001</v>
      </c>
      <c r="E257" s="1" t="s">
        <v>4002</v>
      </c>
      <c r="F257" s="1" t="s">
        <v>112</v>
      </c>
      <c r="G257" s="1">
        <v>525477</v>
      </c>
    </row>
    <row r="258" spans="1:7" x14ac:dyDescent="0.35">
      <c r="A258" s="1" t="str">
        <f t="shared" ref="A258:A321" si="4">IFERROR(LEFT(RIGHT(C258,LEN(C258)-SEARCH("@",C258)),SEARCH("/",RIGHT(C258,LEN(C258)-SEARCH("@",C258)-1))),"")</f>
        <v>3</v>
      </c>
      <c r="B2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58" s="1" t="s">
        <v>4003</v>
      </c>
      <c r="D258" s="1" t="s">
        <v>4004</v>
      </c>
      <c r="E258" s="1" t="s">
        <v>4005</v>
      </c>
      <c r="F258" s="1" t="s">
        <v>112</v>
      </c>
      <c r="G258" s="1">
        <v>464589</v>
      </c>
    </row>
    <row r="259" spans="1:7" x14ac:dyDescent="0.35">
      <c r="A259" s="1" t="str">
        <f t="shared" si="4"/>
        <v>3</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59" s="1" t="s">
        <v>4006</v>
      </c>
      <c r="D259" s="1" t="s">
        <v>619</v>
      </c>
      <c r="E259" s="1" t="s">
        <v>4007</v>
      </c>
      <c r="F259" s="1" t="s">
        <v>112</v>
      </c>
      <c r="G259" s="1">
        <v>337556</v>
      </c>
    </row>
    <row r="260" spans="1:7" x14ac:dyDescent="0.35">
      <c r="A260" s="1" t="str">
        <f t="shared" si="4"/>
        <v>3</v>
      </c>
      <c r="B2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60" s="1" t="s">
        <v>4008</v>
      </c>
      <c r="D260" s="1" t="s">
        <v>4009</v>
      </c>
      <c r="E260" s="1" t="s">
        <v>4010</v>
      </c>
      <c r="F260" s="1" t="s">
        <v>112</v>
      </c>
      <c r="G260" s="1">
        <v>881937</v>
      </c>
    </row>
    <row r="261" spans="1:7" x14ac:dyDescent="0.35">
      <c r="A261" s="1" t="str">
        <f t="shared" si="4"/>
        <v>3</v>
      </c>
      <c r="B2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1" s="1" t="s">
        <v>4011</v>
      </c>
      <c r="D261" s="1" t="s">
        <v>4012</v>
      </c>
      <c r="E261" s="1" t="s">
        <v>2125</v>
      </c>
      <c r="F261" s="1" t="s">
        <v>112</v>
      </c>
      <c r="G261" s="1">
        <v>23706</v>
      </c>
    </row>
    <row r="262" spans="1:7" x14ac:dyDescent="0.35">
      <c r="A262" s="1" t="str">
        <f t="shared" si="4"/>
        <v>3</v>
      </c>
      <c r="B2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2" s="1" t="s">
        <v>4013</v>
      </c>
    </row>
    <row r="263" spans="1:7" x14ac:dyDescent="0.35">
      <c r="A263" s="1" t="str">
        <f t="shared" si="4"/>
        <v>3</v>
      </c>
      <c r="B2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3" s="1" t="s">
        <v>4014</v>
      </c>
    </row>
    <row r="264" spans="1:7" x14ac:dyDescent="0.35">
      <c r="A264" s="1" t="str">
        <f t="shared" si="4"/>
        <v>3</v>
      </c>
      <c r="B2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4" s="1" t="s">
        <v>4015</v>
      </c>
      <c r="D264" s="1" t="s">
        <v>3952</v>
      </c>
      <c r="E264" s="1" t="s">
        <v>4016</v>
      </c>
      <c r="F264" s="1" t="s">
        <v>112</v>
      </c>
      <c r="G264" s="1">
        <v>150414</v>
      </c>
    </row>
    <row r="265" spans="1:7" x14ac:dyDescent="0.35">
      <c r="A265" s="1" t="str">
        <f t="shared" si="4"/>
        <v>3</v>
      </c>
      <c r="B2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5" s="1" t="s">
        <v>4017</v>
      </c>
      <c r="D265" s="1" t="s">
        <v>4018</v>
      </c>
      <c r="E265" s="1" t="s">
        <v>4019</v>
      </c>
      <c r="F265" s="1" t="s">
        <v>112</v>
      </c>
      <c r="G265" s="1">
        <v>404825</v>
      </c>
    </row>
    <row r="266" spans="1:7" x14ac:dyDescent="0.35">
      <c r="A266" s="1" t="str">
        <f t="shared" si="4"/>
        <v>3</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6" s="1" t="s">
        <v>4020</v>
      </c>
      <c r="D266" s="1" t="s">
        <v>1687</v>
      </c>
      <c r="E266" s="1" t="s">
        <v>4021</v>
      </c>
      <c r="F266" s="1" t="s">
        <v>112</v>
      </c>
      <c r="G266" s="1">
        <v>378285</v>
      </c>
    </row>
    <row r="267" spans="1:7" x14ac:dyDescent="0.35">
      <c r="A267" s="1" t="str">
        <f t="shared" si="4"/>
        <v>3</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7" s="1" t="s">
        <v>4022</v>
      </c>
      <c r="D267" s="1" t="s">
        <v>1687</v>
      </c>
      <c r="E267" s="1" t="s">
        <v>4023</v>
      </c>
      <c r="F267" s="1" t="s">
        <v>112</v>
      </c>
      <c r="G267" s="1">
        <v>383736</v>
      </c>
    </row>
    <row r="268" spans="1:7" x14ac:dyDescent="0.35">
      <c r="A268" s="1" t="str">
        <f t="shared" si="4"/>
        <v>3</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8" s="1" t="s">
        <v>4024</v>
      </c>
      <c r="D268" s="1" t="s">
        <v>4025</v>
      </c>
      <c r="E268" s="1" t="s">
        <v>4026</v>
      </c>
      <c r="F268" s="1" t="s">
        <v>112</v>
      </c>
      <c r="G268" s="1">
        <v>600576</v>
      </c>
    </row>
    <row r="269" spans="1:7" x14ac:dyDescent="0.35">
      <c r="A269" s="1" t="str">
        <f t="shared" si="4"/>
        <v>3</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69" s="1" t="s">
        <v>4027</v>
      </c>
      <c r="D269" s="1" t="s">
        <v>4028</v>
      </c>
      <c r="E269" s="1" t="s">
        <v>4029</v>
      </c>
      <c r="F269" s="1" t="s">
        <v>112</v>
      </c>
      <c r="G269" s="1">
        <v>13064</v>
      </c>
    </row>
    <row r="270" spans="1:7" x14ac:dyDescent="0.35">
      <c r="A270" s="1" t="str">
        <f t="shared" si="4"/>
        <v>3</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70" s="1" t="s">
        <v>4030</v>
      </c>
      <c r="D270" s="1" t="s">
        <v>4031</v>
      </c>
      <c r="E270" s="1" t="s">
        <v>4032</v>
      </c>
      <c r="F270" s="1" t="s">
        <v>112</v>
      </c>
      <c r="G270" s="1">
        <v>533631</v>
      </c>
    </row>
    <row r="271" spans="1:7" x14ac:dyDescent="0.35">
      <c r="A271" s="1" t="str">
        <f t="shared" si="4"/>
        <v>3</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71" s="1" t="s">
        <v>4033</v>
      </c>
      <c r="D271" s="1" t="s">
        <v>4034</v>
      </c>
      <c r="E271" s="1" t="s">
        <v>4035</v>
      </c>
      <c r="F271" s="1" t="s">
        <v>112</v>
      </c>
      <c r="G271" s="1">
        <v>420550</v>
      </c>
    </row>
    <row r="272" spans="1:7" x14ac:dyDescent="0.35">
      <c r="A272" s="1" t="str">
        <f t="shared" si="4"/>
        <v>3</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72" s="1" t="s">
        <v>4036</v>
      </c>
      <c r="D272" s="1" t="s">
        <v>4037</v>
      </c>
      <c r="E272" s="1" t="s">
        <v>4038</v>
      </c>
      <c r="F272" s="1" t="s">
        <v>112</v>
      </c>
      <c r="G272" s="1">
        <v>530560</v>
      </c>
    </row>
    <row r="273" spans="1:8" x14ac:dyDescent="0.35">
      <c r="A273" s="1" t="str">
        <f t="shared" si="4"/>
        <v>3</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3" s="1" t="s">
        <v>4039</v>
      </c>
      <c r="D273" s="1" t="s">
        <v>1523</v>
      </c>
      <c r="E273" s="1" t="s">
        <v>4040</v>
      </c>
      <c r="F273" s="1" t="s">
        <v>112</v>
      </c>
      <c r="G273" s="1">
        <v>315234</v>
      </c>
    </row>
    <row r="274" spans="1:8" x14ac:dyDescent="0.35">
      <c r="A274" s="1" t="str">
        <f t="shared" si="4"/>
        <v>3</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4" s="1" t="s">
        <v>4041</v>
      </c>
      <c r="D274" s="1" t="s">
        <v>2083</v>
      </c>
      <c r="E274" s="1" t="s">
        <v>4042</v>
      </c>
      <c r="F274" s="1" t="s">
        <v>112</v>
      </c>
      <c r="G274" s="1">
        <v>336323</v>
      </c>
    </row>
    <row r="275" spans="1:8" x14ac:dyDescent="0.35">
      <c r="A275" s="1" t="str">
        <f t="shared" si="4"/>
        <v>3</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5" s="1" t="s">
        <v>4043</v>
      </c>
      <c r="D275" s="1" t="s">
        <v>4044</v>
      </c>
      <c r="E275" s="1" t="s">
        <v>4045</v>
      </c>
      <c r="F275" s="1" t="s">
        <v>112</v>
      </c>
      <c r="G275" s="1">
        <v>229515</v>
      </c>
    </row>
    <row r="276" spans="1:8" x14ac:dyDescent="0.35">
      <c r="A276" s="1" t="str">
        <f t="shared" si="4"/>
        <v>3</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6" s="1" t="s">
        <v>4046</v>
      </c>
      <c r="D276" s="1" t="s">
        <v>2100</v>
      </c>
      <c r="E276" s="1" t="s">
        <v>4047</v>
      </c>
      <c r="F276" s="1" t="s">
        <v>112</v>
      </c>
      <c r="G276" s="1">
        <v>382936</v>
      </c>
    </row>
    <row r="277" spans="1:8" x14ac:dyDescent="0.35">
      <c r="A277" s="1" t="str">
        <f t="shared" si="4"/>
        <v>3</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77" s="1" t="s">
        <v>4048</v>
      </c>
      <c r="D277" s="1" t="s">
        <v>4049</v>
      </c>
      <c r="E277" s="1" t="s">
        <v>4050</v>
      </c>
      <c r="F277" s="1" t="s">
        <v>112</v>
      </c>
      <c r="G277" s="1">
        <v>191965</v>
      </c>
    </row>
    <row r="278" spans="1:8" x14ac:dyDescent="0.35">
      <c r="A278" s="1" t="str">
        <f t="shared" si="4"/>
        <v>3</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78" s="1" t="s">
        <v>4051</v>
      </c>
    </row>
    <row r="279" spans="1:8" x14ac:dyDescent="0.35">
      <c r="A279" s="1" t="str">
        <f t="shared" si="4"/>
        <v>3</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79" s="1" t="s">
        <v>4052</v>
      </c>
      <c r="D279" s="1" t="s">
        <v>2104</v>
      </c>
      <c r="E279" s="1" t="s">
        <v>4053</v>
      </c>
      <c r="F279" s="1" t="s">
        <v>112</v>
      </c>
      <c r="G279" s="1">
        <v>209745</v>
      </c>
    </row>
    <row r="280" spans="1:8" x14ac:dyDescent="0.35">
      <c r="A280" s="1" t="str">
        <f t="shared" si="4"/>
        <v>3</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0" s="1" t="s">
        <v>4054</v>
      </c>
      <c r="D280" s="1" t="s">
        <v>4055</v>
      </c>
      <c r="E280" s="1" t="s">
        <v>4056</v>
      </c>
      <c r="F280" s="1" t="s">
        <v>112</v>
      </c>
      <c r="G280" s="1">
        <v>284649</v>
      </c>
    </row>
    <row r="281" spans="1:8" x14ac:dyDescent="0.35">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1" s="1" t="s">
        <v>112</v>
      </c>
    </row>
    <row r="282" spans="1:8" x14ac:dyDescent="0.35">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2" s="1" t="s">
        <v>242</v>
      </c>
      <c r="D282" s="1" t="s">
        <v>112</v>
      </c>
      <c r="E282" s="1" t="s">
        <v>243</v>
      </c>
      <c r="F282" s="1" t="s">
        <v>244</v>
      </c>
      <c r="G282" s="1" t="s">
        <v>245</v>
      </c>
      <c r="H282" s="1" t="s">
        <v>246</v>
      </c>
    </row>
    <row r="283" spans="1:8" x14ac:dyDescent="0.35">
      <c r="A283" s="1" t="str">
        <f t="shared" si="4"/>
        <v>3</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3" s="1" t="s">
        <v>4057</v>
      </c>
      <c r="D283" s="1" t="s">
        <v>112</v>
      </c>
      <c r="E283" s="1" t="s">
        <v>4058</v>
      </c>
      <c r="F283" s="1" t="s">
        <v>4059</v>
      </c>
      <c r="G283" s="1" t="s">
        <v>4060</v>
      </c>
      <c r="H283" s="1" t="s">
        <v>4061</v>
      </c>
    </row>
    <row r="284" spans="1:8" x14ac:dyDescent="0.35">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4" s="1" t="s">
        <v>112</v>
      </c>
    </row>
    <row r="285" spans="1:8" x14ac:dyDescent="0.35">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5" s="1" t="s">
        <v>112</v>
      </c>
    </row>
    <row r="286" spans="1:8" x14ac:dyDescent="0.35">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6" s="1" t="s">
        <v>112</v>
      </c>
    </row>
    <row r="287" spans="1:8" x14ac:dyDescent="0.35">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7" s="1" t="s">
        <v>112</v>
      </c>
    </row>
    <row r="288" spans="1:8" x14ac:dyDescent="0.35">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8" s="1" t="s">
        <v>112</v>
      </c>
    </row>
    <row r="289" spans="1:7" x14ac:dyDescent="0.35">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9" s="1" t="s">
        <v>172</v>
      </c>
      <c r="D289" s="1" t="s">
        <v>110</v>
      </c>
      <c r="E289" s="1" t="s">
        <v>111</v>
      </c>
      <c r="F289" s="1" t="s">
        <v>112</v>
      </c>
      <c r="G289" s="1" t="s">
        <v>113</v>
      </c>
    </row>
    <row r="290" spans="1:7" x14ac:dyDescent="0.35">
      <c r="A290" s="1" t="str">
        <f t="shared" si="4"/>
        <v>4</v>
      </c>
      <c r="B2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0" s="1" t="s">
        <v>4062</v>
      </c>
      <c r="D290" s="1" t="s">
        <v>4063</v>
      </c>
      <c r="E290" s="1" t="s">
        <v>4064</v>
      </c>
      <c r="F290" s="1" t="s">
        <v>112</v>
      </c>
      <c r="G290" s="1">
        <v>358602</v>
      </c>
    </row>
    <row r="291" spans="1:7" x14ac:dyDescent="0.35">
      <c r="A291" s="1" t="str">
        <f t="shared" si="4"/>
        <v>4</v>
      </c>
      <c r="B2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1" s="1" t="s">
        <v>4065</v>
      </c>
      <c r="D291" s="1" t="s">
        <v>3883</v>
      </c>
      <c r="E291" s="1" t="s">
        <v>4066</v>
      </c>
      <c r="F291" s="1" t="s">
        <v>112</v>
      </c>
      <c r="G291" s="1">
        <v>336237</v>
      </c>
    </row>
    <row r="292" spans="1:7" x14ac:dyDescent="0.35">
      <c r="A292" s="1" t="str">
        <f t="shared" si="4"/>
        <v>4</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2" s="1" t="s">
        <v>4067</v>
      </c>
      <c r="D292" s="1" t="s">
        <v>4068</v>
      </c>
      <c r="E292" s="1" t="s">
        <v>4069</v>
      </c>
      <c r="F292" s="1" t="s">
        <v>112</v>
      </c>
      <c r="G292" s="1">
        <v>186904</v>
      </c>
    </row>
    <row r="293" spans="1:7" x14ac:dyDescent="0.35">
      <c r="A293" s="1" t="str">
        <f t="shared" si="4"/>
        <v>4</v>
      </c>
      <c r="B2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3" s="1" t="s">
        <v>4070</v>
      </c>
      <c r="D293" s="1" t="s">
        <v>196</v>
      </c>
      <c r="E293" s="1" t="s">
        <v>4071</v>
      </c>
      <c r="F293" s="1" t="s">
        <v>112</v>
      </c>
      <c r="G293" s="1">
        <v>314239</v>
      </c>
    </row>
    <row r="294" spans="1:7" x14ac:dyDescent="0.35">
      <c r="A294" s="1" t="str">
        <f t="shared" si="4"/>
        <v>4</v>
      </c>
      <c r="B2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94" s="1" t="s">
        <v>4072</v>
      </c>
      <c r="D294" s="1" t="s">
        <v>4073</v>
      </c>
      <c r="E294" s="1" t="s">
        <v>4074</v>
      </c>
      <c r="F294" s="1" t="s">
        <v>112</v>
      </c>
      <c r="G294" s="1">
        <v>326655</v>
      </c>
    </row>
    <row r="295" spans="1:7" x14ac:dyDescent="0.35">
      <c r="A295" s="1" t="str">
        <f t="shared" si="4"/>
        <v>4</v>
      </c>
      <c r="B2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95" s="1" t="s">
        <v>4075</v>
      </c>
      <c r="D295" s="1" t="s">
        <v>1069</v>
      </c>
      <c r="E295" s="1" t="s">
        <v>4076</v>
      </c>
      <c r="F295" s="1" t="s">
        <v>112</v>
      </c>
      <c r="G295" s="1">
        <v>208491</v>
      </c>
    </row>
    <row r="296" spans="1:7" x14ac:dyDescent="0.35">
      <c r="A296" s="1" t="str">
        <f t="shared" si="4"/>
        <v>4</v>
      </c>
      <c r="B2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96" s="1" t="s">
        <v>4077</v>
      </c>
      <c r="D296" s="1" t="s">
        <v>988</v>
      </c>
      <c r="E296" s="1" t="s">
        <v>4078</v>
      </c>
      <c r="F296" s="1" t="s">
        <v>112</v>
      </c>
      <c r="G296" s="1">
        <v>318565</v>
      </c>
    </row>
    <row r="297" spans="1:7" x14ac:dyDescent="0.35">
      <c r="A297" s="1" t="str">
        <f t="shared" si="4"/>
        <v>4</v>
      </c>
      <c r="B2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97" s="1" t="s">
        <v>4079</v>
      </c>
      <c r="D297" s="1" t="s">
        <v>3983</v>
      </c>
      <c r="E297" s="1" t="s">
        <v>4080</v>
      </c>
      <c r="F297" s="1" t="s">
        <v>112</v>
      </c>
      <c r="G297" s="1">
        <v>290165</v>
      </c>
    </row>
    <row r="298" spans="1:7" x14ac:dyDescent="0.35">
      <c r="A298" s="1" t="str">
        <f t="shared" si="4"/>
        <v>4</v>
      </c>
      <c r="B2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98" s="1" t="s">
        <v>4081</v>
      </c>
      <c r="D298" s="1" t="s">
        <v>4082</v>
      </c>
      <c r="E298" s="1" t="s">
        <v>4083</v>
      </c>
      <c r="F298" s="1" t="s">
        <v>112</v>
      </c>
      <c r="G298" s="1">
        <v>942588</v>
      </c>
    </row>
    <row r="299" spans="1:7" x14ac:dyDescent="0.35">
      <c r="A299" s="1" t="str">
        <f t="shared" si="4"/>
        <v>4</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99" s="1" t="s">
        <v>4084</v>
      </c>
      <c r="D299" s="1" t="s">
        <v>565</v>
      </c>
      <c r="E299" s="1" t="s">
        <v>4085</v>
      </c>
      <c r="F299" s="1" t="s">
        <v>112</v>
      </c>
      <c r="G299" s="1">
        <v>477804</v>
      </c>
    </row>
    <row r="300" spans="1:7" x14ac:dyDescent="0.35">
      <c r="A300" s="1" t="str">
        <f t="shared" si="4"/>
        <v>4</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0" s="1" t="s">
        <v>4086</v>
      </c>
      <c r="D300" s="1" t="s">
        <v>4087</v>
      </c>
      <c r="E300" s="1" t="s">
        <v>4088</v>
      </c>
      <c r="F300" s="1" t="s">
        <v>112</v>
      </c>
      <c r="G300" s="1">
        <v>599299</v>
      </c>
    </row>
    <row r="301" spans="1:7" x14ac:dyDescent="0.35">
      <c r="A301" s="1" t="str">
        <f t="shared" si="4"/>
        <v>4</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1" s="1" t="s">
        <v>4089</v>
      </c>
      <c r="D301" s="1" t="s">
        <v>4090</v>
      </c>
      <c r="E301" s="1" t="s">
        <v>4091</v>
      </c>
      <c r="F301" s="1" t="s">
        <v>112</v>
      </c>
      <c r="G301" s="1">
        <v>961773</v>
      </c>
    </row>
    <row r="302" spans="1:7" x14ac:dyDescent="0.35">
      <c r="A302" s="1" t="str">
        <f t="shared" si="4"/>
        <v>4</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2" s="1" t="s">
        <v>4092</v>
      </c>
      <c r="D302" s="1" t="s">
        <v>211</v>
      </c>
      <c r="E302" s="1" t="s">
        <v>4093</v>
      </c>
      <c r="F302" s="1" t="s">
        <v>112</v>
      </c>
      <c r="G302" s="1">
        <v>222442</v>
      </c>
    </row>
    <row r="303" spans="1:7" x14ac:dyDescent="0.35">
      <c r="A303" s="1" t="str">
        <f t="shared" si="4"/>
        <v>4</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3" s="1" t="s">
        <v>4094</v>
      </c>
      <c r="D303" s="1" t="s">
        <v>4095</v>
      </c>
      <c r="E303" s="1" t="s">
        <v>4096</v>
      </c>
      <c r="F303" s="1" t="s">
        <v>112</v>
      </c>
      <c r="G303" s="1">
        <v>156449</v>
      </c>
    </row>
    <row r="304" spans="1:7" x14ac:dyDescent="0.35">
      <c r="A304" s="1" t="str">
        <f t="shared" si="4"/>
        <v>4</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4" s="1" t="s">
        <v>4097</v>
      </c>
      <c r="D304" s="1" t="s">
        <v>4098</v>
      </c>
      <c r="E304" s="1" t="s">
        <v>4099</v>
      </c>
      <c r="F304" s="1" t="s">
        <v>112</v>
      </c>
      <c r="G304" s="1">
        <v>142217</v>
      </c>
    </row>
    <row r="305" spans="1:7" x14ac:dyDescent="0.35">
      <c r="A305" s="1" t="str">
        <f t="shared" si="4"/>
        <v>4</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5" s="1" t="s">
        <v>4100</v>
      </c>
      <c r="D305" s="1" t="s">
        <v>3952</v>
      </c>
      <c r="E305" s="1" t="s">
        <v>4101</v>
      </c>
      <c r="F305" s="1" t="s">
        <v>112</v>
      </c>
      <c r="G305" s="1">
        <v>143817</v>
      </c>
    </row>
    <row r="306" spans="1:7" x14ac:dyDescent="0.35">
      <c r="A306" s="1" t="str">
        <f t="shared" si="4"/>
        <v>4</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06" s="1" t="s">
        <v>4102</v>
      </c>
      <c r="D306" s="1" t="s">
        <v>512</v>
      </c>
      <c r="E306" s="1" t="s">
        <v>4103</v>
      </c>
      <c r="F306" s="1" t="s">
        <v>112</v>
      </c>
      <c r="G306" s="1">
        <v>41118</v>
      </c>
    </row>
    <row r="307" spans="1:7" x14ac:dyDescent="0.35">
      <c r="A307" s="1" t="str">
        <f t="shared" si="4"/>
        <v>4</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07" s="1" t="s">
        <v>4104</v>
      </c>
      <c r="D307" s="1">
        <v>0</v>
      </c>
      <c r="E307" s="1">
        <v>0</v>
      </c>
      <c r="F307" s="1" t="s">
        <v>112</v>
      </c>
      <c r="G307" s="1">
        <v>0</v>
      </c>
    </row>
    <row r="308" spans="1:7" x14ac:dyDescent="0.35">
      <c r="A308" s="1" t="str">
        <f t="shared" si="4"/>
        <v>4</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08" s="1" t="s">
        <v>4105</v>
      </c>
      <c r="D308" s="1" t="s">
        <v>519</v>
      </c>
      <c r="E308" s="1" t="s">
        <v>4106</v>
      </c>
      <c r="F308" s="1" t="s">
        <v>112</v>
      </c>
      <c r="G308" s="1">
        <v>124242</v>
      </c>
    </row>
    <row r="309" spans="1:7" x14ac:dyDescent="0.35">
      <c r="A309" s="1" t="str">
        <f t="shared" si="4"/>
        <v>4</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09" s="1" t="s">
        <v>4107</v>
      </c>
      <c r="D309" s="1" t="s">
        <v>4108</v>
      </c>
      <c r="E309" s="1" t="s">
        <v>4109</v>
      </c>
      <c r="F309" s="1" t="s">
        <v>112</v>
      </c>
      <c r="G309" s="1">
        <v>59266</v>
      </c>
    </row>
    <row r="310" spans="1:7" x14ac:dyDescent="0.35">
      <c r="A310" s="1" t="str">
        <f t="shared" si="4"/>
        <v>4</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0" s="1" t="s">
        <v>4110</v>
      </c>
      <c r="D310" s="1" t="s">
        <v>4111</v>
      </c>
      <c r="E310" s="1" t="s">
        <v>4112</v>
      </c>
      <c r="F310" s="1" t="s">
        <v>112</v>
      </c>
      <c r="G310" s="1">
        <v>700830</v>
      </c>
    </row>
    <row r="311" spans="1:7" x14ac:dyDescent="0.35">
      <c r="A311" s="1" t="str">
        <f t="shared" si="4"/>
        <v>4</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1" s="1" t="s">
        <v>4113</v>
      </c>
      <c r="D311" s="1" t="s">
        <v>4114</v>
      </c>
      <c r="E311" s="1" t="s">
        <v>4115</v>
      </c>
      <c r="F311" s="1" t="s">
        <v>112</v>
      </c>
      <c r="G311" s="1">
        <v>1174373</v>
      </c>
    </row>
    <row r="312" spans="1:7" x14ac:dyDescent="0.35">
      <c r="A312" s="1" t="str">
        <f t="shared" si="4"/>
        <v>4</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2" s="1" t="s">
        <v>4116</v>
      </c>
      <c r="D312" s="1" t="s">
        <v>4117</v>
      </c>
      <c r="E312" s="1" t="s">
        <v>4118</v>
      </c>
      <c r="F312" s="1" t="s">
        <v>112</v>
      </c>
      <c r="G312" s="1">
        <v>1055604</v>
      </c>
    </row>
    <row r="313" spans="1:7" x14ac:dyDescent="0.35">
      <c r="A313" s="1" t="str">
        <f t="shared" si="4"/>
        <v>4</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3" s="1" t="s">
        <v>4119</v>
      </c>
      <c r="D313" s="1" t="s">
        <v>4120</v>
      </c>
      <c r="E313" s="1" t="s">
        <v>4121</v>
      </c>
      <c r="F313" s="1" t="s">
        <v>112</v>
      </c>
      <c r="G313" s="1">
        <v>1517986</v>
      </c>
    </row>
    <row r="314" spans="1:7" x14ac:dyDescent="0.35">
      <c r="A314" s="1" t="str">
        <f t="shared" si="4"/>
        <v>4</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4" s="1" t="s">
        <v>4122</v>
      </c>
      <c r="D314" s="1" t="s">
        <v>4123</v>
      </c>
      <c r="E314" s="1" t="s">
        <v>4124</v>
      </c>
      <c r="F314" s="1" t="s">
        <v>112</v>
      </c>
      <c r="G314" s="1">
        <v>237518</v>
      </c>
    </row>
    <row r="315" spans="1:7" x14ac:dyDescent="0.35">
      <c r="A315" s="1" t="str">
        <f t="shared" si="4"/>
        <v>4</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5" s="1" t="s">
        <v>4125</v>
      </c>
    </row>
    <row r="316" spans="1:7" x14ac:dyDescent="0.35">
      <c r="A316" s="1" t="str">
        <f t="shared" si="4"/>
        <v>4</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6" s="1" t="s">
        <v>4126</v>
      </c>
    </row>
    <row r="317" spans="1:7" x14ac:dyDescent="0.35">
      <c r="A317" s="1" t="str">
        <f t="shared" si="4"/>
        <v>4</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4127</v>
      </c>
      <c r="D317" s="1" t="s">
        <v>229</v>
      </c>
      <c r="E317" s="1">
        <v>30</v>
      </c>
      <c r="F317" s="1" t="s">
        <v>112</v>
      </c>
      <c r="G317" s="1">
        <v>649</v>
      </c>
    </row>
    <row r="318" spans="1:7" x14ac:dyDescent="0.35">
      <c r="A318" s="1" t="str">
        <f t="shared" si="4"/>
        <v>4</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18" s="1" t="s">
        <v>4128</v>
      </c>
      <c r="D318" s="1" t="s">
        <v>4129</v>
      </c>
      <c r="E318" s="1" t="s">
        <v>4130</v>
      </c>
      <c r="F318" s="1" t="s">
        <v>112</v>
      </c>
      <c r="G318" s="1">
        <v>511850</v>
      </c>
    </row>
    <row r="319" spans="1:7" x14ac:dyDescent="0.35">
      <c r="A319" s="1" t="str">
        <f t="shared" si="4"/>
        <v>4</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19" s="1" t="s">
        <v>4131</v>
      </c>
      <c r="D319" s="1" t="s">
        <v>4132</v>
      </c>
      <c r="E319" s="1" t="s">
        <v>4133</v>
      </c>
      <c r="F319" s="1" t="s">
        <v>112</v>
      </c>
      <c r="G319" s="1">
        <v>570207</v>
      </c>
    </row>
    <row r="320" spans="1:7" x14ac:dyDescent="0.35">
      <c r="A320" s="1" t="str">
        <f t="shared" si="4"/>
        <v>4</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4134</v>
      </c>
      <c r="D320" s="1" t="s">
        <v>608</v>
      </c>
      <c r="E320" s="1" t="s">
        <v>4135</v>
      </c>
      <c r="F320" s="1" t="s">
        <v>112</v>
      </c>
      <c r="G320" s="1">
        <v>444754</v>
      </c>
    </row>
    <row r="321" spans="1:8" x14ac:dyDescent="0.35">
      <c r="A321" s="1" t="str">
        <f t="shared" si="4"/>
        <v>4</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4136</v>
      </c>
    </row>
    <row r="322" spans="1:8" x14ac:dyDescent="0.35">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2" s="1" t="s">
        <v>112</v>
      </c>
    </row>
    <row r="323" spans="1:8"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242</v>
      </c>
      <c r="D323" s="1" t="s">
        <v>112</v>
      </c>
      <c r="E323" s="1" t="s">
        <v>243</v>
      </c>
      <c r="F323" s="1" t="s">
        <v>244</v>
      </c>
      <c r="G323" s="1" t="s">
        <v>245</v>
      </c>
      <c r="H323" s="1" t="s">
        <v>246</v>
      </c>
    </row>
    <row r="324" spans="1:8" x14ac:dyDescent="0.35">
      <c r="A324" s="1" t="str">
        <f t="shared" si="5"/>
        <v>4</v>
      </c>
      <c r="B3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4" s="1" t="s">
        <v>4137</v>
      </c>
      <c r="D324" s="1" t="s">
        <v>112</v>
      </c>
      <c r="E324" s="1" t="s">
        <v>4138</v>
      </c>
      <c r="F324" s="1" t="s">
        <v>4139</v>
      </c>
      <c r="G324" s="1" t="s">
        <v>4140</v>
      </c>
      <c r="H324" s="1" t="s">
        <v>4141</v>
      </c>
    </row>
    <row r="325" spans="1:8"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5" s="1" t="s">
        <v>112</v>
      </c>
    </row>
    <row r="326" spans="1:8"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8"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8"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8"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8"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172</v>
      </c>
      <c r="D330" s="1" t="s">
        <v>110</v>
      </c>
      <c r="E330" s="1" t="s">
        <v>111</v>
      </c>
      <c r="F330" s="1" t="s">
        <v>112</v>
      </c>
      <c r="G330" s="1" t="s">
        <v>113</v>
      </c>
    </row>
    <row r="331" spans="1:8" x14ac:dyDescent="0.35">
      <c r="A331" s="1" t="str">
        <f t="shared" si="5"/>
        <v>5</v>
      </c>
      <c r="B3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1" s="1" t="s">
        <v>4142</v>
      </c>
      <c r="D331" s="1" t="s">
        <v>4143</v>
      </c>
      <c r="E331" s="1" t="s">
        <v>4144</v>
      </c>
      <c r="F331" s="1" t="s">
        <v>112</v>
      </c>
      <c r="G331" s="1">
        <v>2648018</v>
      </c>
    </row>
    <row r="332" spans="1:8" x14ac:dyDescent="0.35">
      <c r="A332" s="1" t="str">
        <f t="shared" si="5"/>
        <v>5</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4145</v>
      </c>
      <c r="D332" s="1" t="s">
        <v>4146</v>
      </c>
      <c r="E332" s="1" t="s">
        <v>4147</v>
      </c>
      <c r="F332" s="1" t="s">
        <v>112</v>
      </c>
      <c r="G332" s="1">
        <v>2408337</v>
      </c>
    </row>
    <row r="333" spans="1:8" x14ac:dyDescent="0.35">
      <c r="A333" s="1" t="str">
        <f t="shared" si="5"/>
        <v>5</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4148</v>
      </c>
    </row>
    <row r="334" spans="1:8" x14ac:dyDescent="0.35">
      <c r="A334" s="1" t="str">
        <f t="shared" si="5"/>
        <v>5</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4149</v>
      </c>
      <c r="D334" s="1" t="s">
        <v>4150</v>
      </c>
      <c r="E334" s="1" t="s">
        <v>4151</v>
      </c>
      <c r="F334" s="1" t="s">
        <v>112</v>
      </c>
      <c r="G334" s="1">
        <v>1710449</v>
      </c>
    </row>
    <row r="335" spans="1:8" x14ac:dyDescent="0.35">
      <c r="A335" s="1" t="str">
        <f t="shared" si="5"/>
        <v>5</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4152</v>
      </c>
      <c r="D335" s="1" t="s">
        <v>4153</v>
      </c>
      <c r="E335" s="1" t="s">
        <v>4154</v>
      </c>
      <c r="F335" s="1" t="s">
        <v>112</v>
      </c>
      <c r="G335" s="1">
        <v>1481042</v>
      </c>
    </row>
    <row r="336" spans="1:8" x14ac:dyDescent="0.35">
      <c r="A336" s="1" t="str">
        <f t="shared" si="5"/>
        <v>5</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4155</v>
      </c>
      <c r="D336" s="1" t="s">
        <v>1472</v>
      </c>
      <c r="E336" s="1" t="s">
        <v>4156</v>
      </c>
      <c r="F336" s="1" t="s">
        <v>112</v>
      </c>
      <c r="G336" s="1">
        <v>1135721</v>
      </c>
    </row>
    <row r="337" spans="1:7" x14ac:dyDescent="0.35">
      <c r="A337" s="1" t="str">
        <f t="shared" si="5"/>
        <v>5</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4157</v>
      </c>
      <c r="D337" s="1" t="s">
        <v>4158</v>
      </c>
      <c r="E337" s="1" t="s">
        <v>4159</v>
      </c>
      <c r="F337" s="1" t="s">
        <v>112</v>
      </c>
      <c r="G337" s="1">
        <v>1222349</v>
      </c>
    </row>
    <row r="338" spans="1:7" x14ac:dyDescent="0.35">
      <c r="A338" s="1" t="str">
        <f t="shared" si="5"/>
        <v>5</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8" s="1" t="s">
        <v>4160</v>
      </c>
      <c r="D338" s="1" t="s">
        <v>4161</v>
      </c>
      <c r="E338" s="1" t="s">
        <v>4162</v>
      </c>
      <c r="F338" s="1" t="s">
        <v>112</v>
      </c>
      <c r="G338" s="1">
        <v>1717392</v>
      </c>
    </row>
    <row r="339" spans="1:7" x14ac:dyDescent="0.35">
      <c r="A339" s="1" t="str">
        <f t="shared" si="5"/>
        <v>5</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4163</v>
      </c>
      <c r="D339" s="1" t="s">
        <v>4164</v>
      </c>
      <c r="E339" s="1" t="s">
        <v>4165</v>
      </c>
      <c r="F339" s="1" t="s">
        <v>112</v>
      </c>
      <c r="G339" s="1">
        <v>942393</v>
      </c>
    </row>
    <row r="340" spans="1:7" x14ac:dyDescent="0.35">
      <c r="A340" s="1" t="str">
        <f t="shared" si="5"/>
        <v>5</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4166</v>
      </c>
      <c r="D340" s="1" t="s">
        <v>4167</v>
      </c>
      <c r="E340" s="1" t="s">
        <v>4168</v>
      </c>
      <c r="F340" s="1" t="s">
        <v>112</v>
      </c>
      <c r="G340" s="1">
        <v>867337</v>
      </c>
    </row>
    <row r="341" spans="1:7" x14ac:dyDescent="0.35">
      <c r="A341" s="1" t="str">
        <f t="shared" si="5"/>
        <v>5</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1" s="1" t="s">
        <v>4169</v>
      </c>
      <c r="D341" s="1" t="s">
        <v>4170</v>
      </c>
      <c r="E341" s="1" t="s">
        <v>4171</v>
      </c>
      <c r="F341" s="1" t="s">
        <v>112</v>
      </c>
      <c r="G341" s="1">
        <v>1098712</v>
      </c>
    </row>
    <row r="342" spans="1:7" x14ac:dyDescent="0.35">
      <c r="A342" s="1" t="str">
        <f t="shared" si="5"/>
        <v>5</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2" s="1" t="s">
        <v>4172</v>
      </c>
      <c r="D342" s="1" t="s">
        <v>1037</v>
      </c>
      <c r="E342" s="1" t="s">
        <v>4173</v>
      </c>
      <c r="F342" s="1" t="s">
        <v>112</v>
      </c>
      <c r="G342" s="1">
        <v>1138143</v>
      </c>
    </row>
    <row r="343" spans="1:7" x14ac:dyDescent="0.35">
      <c r="A343" s="1" t="str">
        <f t="shared" si="5"/>
        <v>5</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4174</v>
      </c>
      <c r="D343" s="1" t="s">
        <v>4175</v>
      </c>
      <c r="E343" s="1" t="s">
        <v>4176</v>
      </c>
      <c r="F343" s="1" t="s">
        <v>112</v>
      </c>
      <c r="G343" s="1">
        <v>1749664</v>
      </c>
    </row>
    <row r="344" spans="1:7" x14ac:dyDescent="0.35">
      <c r="A344" s="1" t="str">
        <f t="shared" si="5"/>
        <v>5</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4" s="1" t="s">
        <v>4177</v>
      </c>
    </row>
    <row r="345" spans="1:7" x14ac:dyDescent="0.35">
      <c r="A345" s="1" t="str">
        <f t="shared" si="5"/>
        <v>5</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5" s="1" t="s">
        <v>4178</v>
      </c>
      <c r="D345" s="1" t="s">
        <v>4179</v>
      </c>
      <c r="E345" s="1" t="s">
        <v>4180</v>
      </c>
      <c r="F345" s="1" t="s">
        <v>112</v>
      </c>
      <c r="G345" s="1">
        <v>2032453</v>
      </c>
    </row>
    <row r="346" spans="1:7" x14ac:dyDescent="0.35">
      <c r="A346" s="1" t="str">
        <f t="shared" si="5"/>
        <v>5</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6" s="1" t="s">
        <v>4181</v>
      </c>
      <c r="D346" s="1" t="s">
        <v>4182</v>
      </c>
      <c r="E346" s="1" t="s">
        <v>4183</v>
      </c>
      <c r="F346" s="1" t="s">
        <v>112</v>
      </c>
      <c r="G346" s="1">
        <v>2182045</v>
      </c>
    </row>
    <row r="347" spans="1:7" x14ac:dyDescent="0.35">
      <c r="A347" s="1" t="str">
        <f t="shared" si="5"/>
        <v>5</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7" s="1" t="s">
        <v>4184</v>
      </c>
      <c r="D347" s="1" t="s">
        <v>4185</v>
      </c>
      <c r="E347" s="1" t="s">
        <v>4186</v>
      </c>
      <c r="F347" s="1" t="s">
        <v>112</v>
      </c>
      <c r="G347" s="1">
        <v>2782751</v>
      </c>
    </row>
    <row r="348" spans="1:7" x14ac:dyDescent="0.35">
      <c r="A348" s="1" t="str">
        <f t="shared" si="5"/>
        <v>5</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8" s="1" t="s">
        <v>4187</v>
      </c>
      <c r="D348" s="1" t="s">
        <v>4188</v>
      </c>
      <c r="E348" s="1" t="s">
        <v>4189</v>
      </c>
      <c r="F348" s="1" t="s">
        <v>112</v>
      </c>
      <c r="G348" s="1">
        <v>3072894</v>
      </c>
    </row>
    <row r="349" spans="1:7" x14ac:dyDescent="0.35">
      <c r="A349" s="1" t="str">
        <f t="shared" si="5"/>
        <v>5</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9" s="1" t="s">
        <v>4190</v>
      </c>
      <c r="D349" s="1" t="s">
        <v>4191</v>
      </c>
      <c r="E349" s="1" t="s">
        <v>4192</v>
      </c>
      <c r="F349" s="1" t="s">
        <v>112</v>
      </c>
      <c r="G349" s="1">
        <v>2934787</v>
      </c>
    </row>
    <row r="350" spans="1:7" x14ac:dyDescent="0.35">
      <c r="A350" s="1" t="str">
        <f t="shared" si="5"/>
        <v>5</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50" s="1" t="s">
        <v>4193</v>
      </c>
      <c r="D350" s="1" t="s">
        <v>4194</v>
      </c>
      <c r="E350" s="1" t="s">
        <v>4195</v>
      </c>
      <c r="F350" s="1" t="s">
        <v>112</v>
      </c>
      <c r="G350" s="1">
        <v>2580079</v>
      </c>
    </row>
    <row r="351" spans="1:7" x14ac:dyDescent="0.35">
      <c r="A351" s="1" t="str">
        <f t="shared" si="5"/>
        <v>5</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1" s="1" t="s">
        <v>4196</v>
      </c>
      <c r="D351" s="1" t="s">
        <v>4197</v>
      </c>
      <c r="E351" s="1" t="s">
        <v>4198</v>
      </c>
      <c r="F351" s="1" t="s">
        <v>112</v>
      </c>
      <c r="G351" s="1">
        <v>3045619</v>
      </c>
    </row>
    <row r="352" spans="1:7" x14ac:dyDescent="0.35">
      <c r="A352" s="1" t="str">
        <f t="shared" si="5"/>
        <v>5</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2" s="1" t="s">
        <v>4199</v>
      </c>
    </row>
    <row r="353" spans="1:8" x14ac:dyDescent="0.35">
      <c r="A353" s="1" t="str">
        <f t="shared" si="5"/>
        <v>5</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3" s="1" t="s">
        <v>4200</v>
      </c>
      <c r="D353" s="1" t="s">
        <v>4201</v>
      </c>
      <c r="E353" s="1" t="s">
        <v>4202</v>
      </c>
      <c r="F353" s="1" t="s">
        <v>112</v>
      </c>
      <c r="G353" s="1">
        <v>3313505</v>
      </c>
    </row>
    <row r="354" spans="1:8" x14ac:dyDescent="0.35">
      <c r="A354" s="1" t="str">
        <f t="shared" si="5"/>
        <v>5</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4" s="1" t="s">
        <v>4203</v>
      </c>
      <c r="D354" s="1" t="s">
        <v>4204</v>
      </c>
      <c r="E354" s="1" t="s">
        <v>4205</v>
      </c>
      <c r="F354" s="1" t="s">
        <v>112</v>
      </c>
      <c r="G354" s="1">
        <v>3202241</v>
      </c>
    </row>
    <row r="355" spans="1:8" x14ac:dyDescent="0.35">
      <c r="A355" s="1" t="str">
        <f t="shared" si="5"/>
        <v>5</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5" s="1" t="s">
        <v>4206</v>
      </c>
      <c r="D355" s="1" t="s">
        <v>4207</v>
      </c>
      <c r="E355" s="1" t="s">
        <v>4208</v>
      </c>
      <c r="F355" s="1" t="s">
        <v>112</v>
      </c>
      <c r="G355" s="1">
        <v>1124928</v>
      </c>
    </row>
    <row r="356" spans="1:8" x14ac:dyDescent="0.35">
      <c r="A356" s="1" t="str">
        <f t="shared" si="5"/>
        <v>5</v>
      </c>
      <c r="B3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6" s="1" t="s">
        <v>4209</v>
      </c>
      <c r="D356" s="1" t="s">
        <v>4210</v>
      </c>
      <c r="E356" s="1" t="s">
        <v>4211</v>
      </c>
      <c r="F356" s="1" t="s">
        <v>112</v>
      </c>
      <c r="G356" s="1">
        <v>1802981</v>
      </c>
    </row>
    <row r="357" spans="1:8" x14ac:dyDescent="0.35">
      <c r="A357" s="1" t="str">
        <f t="shared" si="5"/>
        <v>5</v>
      </c>
      <c r="B3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7" s="1" t="s">
        <v>4212</v>
      </c>
      <c r="D357" s="1" t="s">
        <v>4213</v>
      </c>
      <c r="E357" s="1" t="s">
        <v>4214</v>
      </c>
      <c r="F357" s="1" t="s">
        <v>112</v>
      </c>
      <c r="G357" s="1">
        <v>1039338</v>
      </c>
    </row>
    <row r="358" spans="1:8" x14ac:dyDescent="0.35">
      <c r="A358" s="1" t="str">
        <f t="shared" si="5"/>
        <v>5</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8" s="1" t="s">
        <v>4215</v>
      </c>
      <c r="D358" s="1" t="s">
        <v>4216</v>
      </c>
      <c r="E358" s="1" t="s">
        <v>4217</v>
      </c>
      <c r="F358" s="1" t="s">
        <v>112</v>
      </c>
      <c r="G358" s="1">
        <v>961860</v>
      </c>
    </row>
    <row r="359" spans="1:8" x14ac:dyDescent="0.35">
      <c r="A359" s="1" t="str">
        <f t="shared" si="5"/>
        <v>5</v>
      </c>
      <c r="B3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9" s="1" t="s">
        <v>4218</v>
      </c>
      <c r="D359" s="1" t="s">
        <v>4219</v>
      </c>
      <c r="E359" s="1" t="s">
        <v>4220</v>
      </c>
      <c r="F359" s="1" t="s">
        <v>112</v>
      </c>
      <c r="G359" s="1">
        <v>1159103</v>
      </c>
    </row>
    <row r="360" spans="1:8" x14ac:dyDescent="0.35">
      <c r="A360" s="1" t="str">
        <f t="shared" si="5"/>
        <v>5</v>
      </c>
      <c r="B3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60" s="1" t="s">
        <v>4221</v>
      </c>
      <c r="D360" s="1" t="s">
        <v>1263</v>
      </c>
      <c r="E360" s="1" t="s">
        <v>4222</v>
      </c>
      <c r="F360" s="1" t="s">
        <v>112</v>
      </c>
      <c r="G360" s="1">
        <v>1326237</v>
      </c>
    </row>
    <row r="361" spans="1:8" x14ac:dyDescent="0.35">
      <c r="A361" s="1" t="str">
        <f t="shared" si="5"/>
        <v>5</v>
      </c>
      <c r="B3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61" s="1" t="s">
        <v>4223</v>
      </c>
      <c r="D361" s="1" t="s">
        <v>4224</v>
      </c>
      <c r="E361" s="1" t="s">
        <v>4225</v>
      </c>
      <c r="F361" s="1" t="s">
        <v>112</v>
      </c>
      <c r="G361" s="1">
        <v>1271319</v>
      </c>
    </row>
    <row r="362" spans="1:8" x14ac:dyDescent="0.35">
      <c r="A362" s="1" t="str">
        <f t="shared" si="5"/>
        <v>5</v>
      </c>
      <c r="B3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62" s="1" t="s">
        <v>4226</v>
      </c>
      <c r="D362" s="1" t="s">
        <v>4227</v>
      </c>
      <c r="E362" s="1" t="s">
        <v>4228</v>
      </c>
      <c r="F362" s="1" t="s">
        <v>112</v>
      </c>
      <c r="G362" s="1">
        <v>1567973</v>
      </c>
    </row>
    <row r="363" spans="1:8"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8"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242</v>
      </c>
      <c r="D364" s="1" t="s">
        <v>112</v>
      </c>
      <c r="E364" s="1" t="s">
        <v>243</v>
      </c>
      <c r="F364" s="1" t="s">
        <v>244</v>
      </c>
      <c r="G364" s="1" t="s">
        <v>245</v>
      </c>
      <c r="H364" s="1" t="s">
        <v>246</v>
      </c>
    </row>
    <row r="365" spans="1:8" x14ac:dyDescent="0.35">
      <c r="A365" s="1" t="str">
        <f t="shared" si="5"/>
        <v>5</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65" s="1" t="s">
        <v>4229</v>
      </c>
      <c r="D365" s="1" t="s">
        <v>112</v>
      </c>
      <c r="E365" s="1" t="s">
        <v>4230</v>
      </c>
      <c r="F365" s="1" t="s">
        <v>4231</v>
      </c>
      <c r="G365" s="1" t="s">
        <v>4232</v>
      </c>
      <c r="H365" s="1" t="s">
        <v>4233</v>
      </c>
    </row>
    <row r="366" spans="1:8" x14ac:dyDescent="0.35">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6" s="1" t="s">
        <v>112</v>
      </c>
    </row>
    <row r="367" spans="1:8" x14ac:dyDescent="0.35">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7" s="1" t="s">
        <v>112</v>
      </c>
    </row>
    <row r="368" spans="1:8" x14ac:dyDescent="0.35">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8" s="1" t="s">
        <v>112</v>
      </c>
    </row>
    <row r="369" spans="1:7" x14ac:dyDescent="0.35">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9" s="1" t="s">
        <v>112</v>
      </c>
    </row>
    <row r="370" spans="1:7" x14ac:dyDescent="0.35">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70" s="1" t="s">
        <v>112</v>
      </c>
    </row>
    <row r="371" spans="1:7" x14ac:dyDescent="0.35">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71" s="1" t="s">
        <v>172</v>
      </c>
      <c r="D371" s="1" t="s">
        <v>110</v>
      </c>
      <c r="E371" s="1" t="s">
        <v>111</v>
      </c>
      <c r="F371" s="1" t="s">
        <v>112</v>
      </c>
      <c r="G371" s="1" t="s">
        <v>113</v>
      </c>
    </row>
    <row r="372" spans="1:7" x14ac:dyDescent="0.35">
      <c r="A372" s="1" t="str">
        <f t="shared" si="5"/>
        <v>6</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2" s="1" t="s">
        <v>4234</v>
      </c>
      <c r="D372" s="1" t="s">
        <v>4235</v>
      </c>
      <c r="E372" s="1" t="s">
        <v>4236</v>
      </c>
      <c r="F372" s="1" t="s">
        <v>112</v>
      </c>
      <c r="G372" s="1">
        <v>3450228</v>
      </c>
    </row>
    <row r="373" spans="1:7" x14ac:dyDescent="0.35">
      <c r="A373" s="1" t="str">
        <f t="shared" si="5"/>
        <v>6</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3" s="1" t="s">
        <v>4237</v>
      </c>
      <c r="D373" s="1" t="s">
        <v>818</v>
      </c>
      <c r="E373" s="1" t="s">
        <v>4238</v>
      </c>
      <c r="F373" s="1" t="s">
        <v>112</v>
      </c>
      <c r="G373" s="1">
        <v>3015856</v>
      </c>
    </row>
    <row r="374" spans="1:7" x14ac:dyDescent="0.35">
      <c r="A374" s="1" t="str">
        <f t="shared" si="5"/>
        <v>6</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4" s="1" t="s">
        <v>4239</v>
      </c>
      <c r="D374" s="1" t="s">
        <v>4240</v>
      </c>
      <c r="E374" s="1" t="s">
        <v>4241</v>
      </c>
      <c r="F374" s="1" t="s">
        <v>112</v>
      </c>
      <c r="G374" s="1">
        <v>3074711</v>
      </c>
    </row>
    <row r="375" spans="1:7" x14ac:dyDescent="0.35">
      <c r="A375" s="1" t="str">
        <f t="shared" si="5"/>
        <v>6</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5" s="1" t="s">
        <v>4242</v>
      </c>
      <c r="D375" s="1" t="s">
        <v>4243</v>
      </c>
      <c r="E375" s="1" t="s">
        <v>4244</v>
      </c>
      <c r="F375" s="1" t="s">
        <v>112</v>
      </c>
      <c r="G375" s="1">
        <v>3310326</v>
      </c>
    </row>
    <row r="376" spans="1:7" x14ac:dyDescent="0.35">
      <c r="A376" s="1" t="str">
        <f t="shared" si="5"/>
        <v>6</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6" s="1" t="s">
        <v>4245</v>
      </c>
      <c r="D376" s="1" t="s">
        <v>4246</v>
      </c>
      <c r="E376" s="1" t="s">
        <v>4247</v>
      </c>
      <c r="F376" s="1" t="s">
        <v>112</v>
      </c>
      <c r="G376" s="1">
        <v>3578450</v>
      </c>
    </row>
    <row r="377" spans="1:7" x14ac:dyDescent="0.35">
      <c r="A377" s="1" t="str">
        <f t="shared" si="5"/>
        <v>6</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7" s="1" t="s">
        <v>4248</v>
      </c>
    </row>
    <row r="378" spans="1:7" x14ac:dyDescent="0.35">
      <c r="A378" s="1" t="str">
        <f t="shared" si="5"/>
        <v>6</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8" s="1" t="s">
        <v>4249</v>
      </c>
      <c r="D378" s="1" t="s">
        <v>4250</v>
      </c>
      <c r="E378" s="1" t="s">
        <v>4251</v>
      </c>
      <c r="F378" s="1" t="s">
        <v>112</v>
      </c>
      <c r="G378" s="1">
        <v>3013282</v>
      </c>
    </row>
    <row r="379" spans="1:7" x14ac:dyDescent="0.35">
      <c r="A379" s="1" t="str">
        <f t="shared" si="5"/>
        <v>6</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9" s="1" t="s">
        <v>4252</v>
      </c>
      <c r="D379" s="1" t="s">
        <v>4253</v>
      </c>
      <c r="E379" s="1" t="s">
        <v>4254</v>
      </c>
      <c r="F379" s="1" t="s">
        <v>112</v>
      </c>
      <c r="G379" s="1">
        <v>3892732</v>
      </c>
    </row>
    <row r="380" spans="1:7" x14ac:dyDescent="0.35">
      <c r="A380" s="1" t="str">
        <f t="shared" si="5"/>
        <v>6</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80" s="1" t="s">
        <v>4255</v>
      </c>
      <c r="D380" s="1" t="s">
        <v>4256</v>
      </c>
      <c r="E380" s="1" t="s">
        <v>4257</v>
      </c>
      <c r="F380" s="1" t="s">
        <v>112</v>
      </c>
      <c r="G380" s="1">
        <v>3648509</v>
      </c>
    </row>
    <row r="381" spans="1:7" x14ac:dyDescent="0.35">
      <c r="A381" s="1" t="str">
        <f t="shared" si="5"/>
        <v>6</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81" s="1" t="s">
        <v>4258</v>
      </c>
      <c r="D381" s="1" t="s">
        <v>4259</v>
      </c>
      <c r="E381" s="1" t="s">
        <v>4260</v>
      </c>
      <c r="F381" s="1" t="s">
        <v>112</v>
      </c>
      <c r="G381" s="1">
        <v>2975906</v>
      </c>
    </row>
    <row r="382" spans="1:7" x14ac:dyDescent="0.35">
      <c r="A382" s="1" t="str">
        <f t="shared" si="5"/>
        <v>6</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82" s="1" t="s">
        <v>4261</v>
      </c>
      <c r="D382" s="1" t="s">
        <v>4262</v>
      </c>
      <c r="E382" s="1" t="s">
        <v>4263</v>
      </c>
      <c r="F382" s="1" t="s">
        <v>112</v>
      </c>
      <c r="G382" s="1">
        <v>3622942</v>
      </c>
    </row>
    <row r="383" spans="1:7" x14ac:dyDescent="0.35">
      <c r="A383" s="1" t="str">
        <f t="shared" si="5"/>
        <v>6</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83" s="1" t="s">
        <v>4264</v>
      </c>
      <c r="D383" s="1" t="s">
        <v>4265</v>
      </c>
      <c r="E383" s="1" t="s">
        <v>4266</v>
      </c>
      <c r="F383" s="1" t="s">
        <v>112</v>
      </c>
      <c r="G383" s="1">
        <v>3664623</v>
      </c>
    </row>
    <row r="384" spans="1:7" x14ac:dyDescent="0.35">
      <c r="A384" s="1" t="str">
        <f t="shared" si="5"/>
        <v>6</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84" s="1" t="s">
        <v>4267</v>
      </c>
      <c r="D384" s="1" t="s">
        <v>4268</v>
      </c>
      <c r="E384" s="1" t="s">
        <v>4269</v>
      </c>
      <c r="F384" s="1" t="s">
        <v>112</v>
      </c>
      <c r="G384" s="1">
        <v>3536877</v>
      </c>
    </row>
    <row r="385" spans="1:7" x14ac:dyDescent="0.35">
      <c r="A385" s="1" t="str">
        <f t="shared" si="5"/>
        <v>6</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85" s="1" t="s">
        <v>4270</v>
      </c>
      <c r="D385" s="1" t="s">
        <v>4271</v>
      </c>
      <c r="E385" s="1" t="s">
        <v>4272</v>
      </c>
      <c r="F385" s="1" t="s">
        <v>112</v>
      </c>
      <c r="G385" s="1">
        <v>3891153</v>
      </c>
    </row>
    <row r="386" spans="1:7" x14ac:dyDescent="0.35">
      <c r="A386" s="1" t="str">
        <f t="shared" ref="A386:A449" si="6">IFERROR(LEFT(RIGHT(C386,LEN(C386)-SEARCH("@",C386)),SEARCH("/",RIGHT(C386,LEN(C386)-SEARCH("@",C386)-1))),"")</f>
        <v>6</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86" s="1" t="s">
        <v>4273</v>
      </c>
      <c r="D386" s="1" t="s">
        <v>4274</v>
      </c>
      <c r="E386" s="1" t="s">
        <v>4275</v>
      </c>
      <c r="F386" s="1" t="s">
        <v>112</v>
      </c>
      <c r="G386" s="1">
        <v>3244679</v>
      </c>
    </row>
    <row r="387" spans="1:7" x14ac:dyDescent="0.35">
      <c r="A387" s="1" t="str">
        <f t="shared" si="6"/>
        <v>6</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87" s="1" t="s">
        <v>4276</v>
      </c>
      <c r="D387" s="1" t="s">
        <v>4277</v>
      </c>
      <c r="E387" s="1" t="s">
        <v>4278</v>
      </c>
      <c r="F387" s="1" t="s">
        <v>112</v>
      </c>
      <c r="G387" s="1">
        <v>3746298</v>
      </c>
    </row>
    <row r="388" spans="1:7" x14ac:dyDescent="0.35">
      <c r="A388" s="1" t="str">
        <f t="shared" si="6"/>
        <v>6</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88" s="1" t="s">
        <v>4279</v>
      </c>
      <c r="D388" s="1" t="s">
        <v>4280</v>
      </c>
      <c r="E388" s="1" t="s">
        <v>4281</v>
      </c>
      <c r="F388" s="1" t="s">
        <v>112</v>
      </c>
      <c r="G388" s="1">
        <v>3015835</v>
      </c>
    </row>
    <row r="389" spans="1:7" x14ac:dyDescent="0.35">
      <c r="A389" s="1" t="str">
        <f t="shared" si="6"/>
        <v>6</v>
      </c>
      <c r="B3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89" s="1" t="s">
        <v>4282</v>
      </c>
      <c r="D389" s="1" t="s">
        <v>4283</v>
      </c>
      <c r="E389" s="1" t="s">
        <v>4284</v>
      </c>
      <c r="F389" s="1" t="s">
        <v>112</v>
      </c>
      <c r="G389" s="1">
        <v>3082260</v>
      </c>
    </row>
    <row r="390" spans="1:7" x14ac:dyDescent="0.35">
      <c r="A390" s="1" t="str">
        <f t="shared" si="6"/>
        <v>6</v>
      </c>
      <c r="B3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90" s="1" t="s">
        <v>4285</v>
      </c>
      <c r="D390" s="1" t="s">
        <v>4286</v>
      </c>
      <c r="E390" s="1" t="s">
        <v>4287</v>
      </c>
      <c r="F390" s="1" t="s">
        <v>112</v>
      </c>
      <c r="G390" s="1">
        <v>2615508</v>
      </c>
    </row>
    <row r="391" spans="1:7" x14ac:dyDescent="0.35">
      <c r="A391" s="1" t="str">
        <f t="shared" si="6"/>
        <v>6</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91" s="1" t="s">
        <v>4288</v>
      </c>
      <c r="D391" s="1" t="s">
        <v>4289</v>
      </c>
      <c r="E391" s="1" t="s">
        <v>4290</v>
      </c>
      <c r="F391" s="1" t="s">
        <v>112</v>
      </c>
      <c r="G391" s="1">
        <v>2790494</v>
      </c>
    </row>
    <row r="392" spans="1:7" x14ac:dyDescent="0.35">
      <c r="A392" s="1" t="str">
        <f t="shared" si="6"/>
        <v>6</v>
      </c>
      <c r="B3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92" s="1" t="s">
        <v>4291</v>
      </c>
      <c r="D392" s="1" t="s">
        <v>4292</v>
      </c>
      <c r="E392" s="1" t="s">
        <v>4293</v>
      </c>
      <c r="F392" s="1" t="s">
        <v>112</v>
      </c>
      <c r="G392" s="1">
        <v>2449110</v>
      </c>
    </row>
    <row r="393" spans="1:7" x14ac:dyDescent="0.35">
      <c r="A393" s="1" t="str">
        <f t="shared" si="6"/>
        <v>6</v>
      </c>
      <c r="B3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93" s="1" t="s">
        <v>4294</v>
      </c>
      <c r="D393" s="1" t="s">
        <v>4295</v>
      </c>
      <c r="E393" s="1" t="s">
        <v>4296</v>
      </c>
      <c r="F393" s="1" t="s">
        <v>112</v>
      </c>
      <c r="G393" s="1">
        <v>2629806</v>
      </c>
    </row>
    <row r="394" spans="1:7" x14ac:dyDescent="0.35">
      <c r="A394" s="1" t="str">
        <f t="shared" si="6"/>
        <v>6</v>
      </c>
      <c r="B3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94" s="1" t="s">
        <v>4297</v>
      </c>
      <c r="D394" s="1" t="s">
        <v>4298</v>
      </c>
      <c r="E394" s="1" t="s">
        <v>4299</v>
      </c>
      <c r="F394" s="1" t="s">
        <v>112</v>
      </c>
      <c r="G394" s="1">
        <v>3095195</v>
      </c>
    </row>
    <row r="395" spans="1:7" x14ac:dyDescent="0.35">
      <c r="A395" s="1" t="str">
        <f t="shared" si="6"/>
        <v>6</v>
      </c>
      <c r="B3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95" s="1" t="s">
        <v>4300</v>
      </c>
      <c r="D395" s="1" t="s">
        <v>1803</v>
      </c>
      <c r="E395" s="1" t="s">
        <v>4301</v>
      </c>
      <c r="F395" s="1" t="s">
        <v>112</v>
      </c>
      <c r="G395" s="1">
        <v>2893712</v>
      </c>
    </row>
    <row r="396" spans="1:7" x14ac:dyDescent="0.35">
      <c r="A396" s="1" t="str">
        <f t="shared" si="6"/>
        <v>6</v>
      </c>
      <c r="B3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96" s="1" t="s">
        <v>4302</v>
      </c>
      <c r="D396" s="1" t="s">
        <v>4303</v>
      </c>
      <c r="E396" s="1" t="s">
        <v>4304</v>
      </c>
      <c r="F396" s="1" t="s">
        <v>112</v>
      </c>
      <c r="G396" s="1">
        <v>2196083</v>
      </c>
    </row>
    <row r="397" spans="1:7" x14ac:dyDescent="0.35">
      <c r="A397" s="1" t="str">
        <f t="shared" si="6"/>
        <v>6</v>
      </c>
      <c r="B3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97" s="1" t="s">
        <v>4305</v>
      </c>
      <c r="D397" s="1" t="s">
        <v>3139</v>
      </c>
      <c r="E397" s="1" t="s">
        <v>4306</v>
      </c>
      <c r="F397" s="1" t="s">
        <v>112</v>
      </c>
      <c r="G397" s="1">
        <v>2397479</v>
      </c>
    </row>
    <row r="398" spans="1:7" x14ac:dyDescent="0.35">
      <c r="A398" s="1" t="str">
        <f t="shared" si="6"/>
        <v>6</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98" s="1" t="s">
        <v>4307</v>
      </c>
      <c r="D398" s="1" t="s">
        <v>935</v>
      </c>
      <c r="E398" s="1" t="s">
        <v>4308</v>
      </c>
      <c r="F398" s="1" t="s">
        <v>112</v>
      </c>
      <c r="G398" s="1">
        <v>2852680</v>
      </c>
    </row>
    <row r="399" spans="1:7" x14ac:dyDescent="0.35">
      <c r="A399" s="1" t="str">
        <f t="shared" si="6"/>
        <v>6</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99" s="1" t="s">
        <v>4309</v>
      </c>
      <c r="D399" s="1" t="s">
        <v>4310</v>
      </c>
      <c r="E399" s="1" t="s">
        <v>4311</v>
      </c>
      <c r="F399" s="1" t="s">
        <v>112</v>
      </c>
      <c r="G399" s="1">
        <v>2695712</v>
      </c>
    </row>
    <row r="400" spans="1:7" x14ac:dyDescent="0.35">
      <c r="A400" s="1" t="str">
        <f t="shared" si="6"/>
        <v>6</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0" s="1" t="s">
        <v>4312</v>
      </c>
      <c r="D400" s="1" t="s">
        <v>4313</v>
      </c>
      <c r="E400" s="1" t="s">
        <v>4314</v>
      </c>
      <c r="F400" s="1" t="s">
        <v>112</v>
      </c>
      <c r="G400" s="1">
        <v>967029</v>
      </c>
    </row>
    <row r="401" spans="1:8" x14ac:dyDescent="0.35">
      <c r="A401" s="1" t="str">
        <f t="shared" si="6"/>
        <v>6</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1" s="1" t="s">
        <v>4315</v>
      </c>
      <c r="D401" s="1" t="s">
        <v>2912</v>
      </c>
      <c r="E401" s="1" t="s">
        <v>4316</v>
      </c>
      <c r="F401" s="1" t="s">
        <v>112</v>
      </c>
      <c r="G401" s="1">
        <v>1080110</v>
      </c>
    </row>
    <row r="402" spans="1:8" x14ac:dyDescent="0.35">
      <c r="A402" s="1" t="str">
        <f t="shared" si="6"/>
        <v>6</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2" s="1" t="s">
        <v>4317</v>
      </c>
      <c r="D402" s="1" t="s">
        <v>1237</v>
      </c>
      <c r="E402" s="1" t="s">
        <v>4318</v>
      </c>
      <c r="F402" s="1" t="s">
        <v>112</v>
      </c>
      <c r="G402" s="1">
        <v>1092872</v>
      </c>
    </row>
    <row r="403" spans="1:8" x14ac:dyDescent="0.35">
      <c r="A403" s="1" t="str">
        <f t="shared" si="6"/>
        <v>6</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3" s="1" t="s">
        <v>4319</v>
      </c>
      <c r="D403" s="1" t="s">
        <v>4320</v>
      </c>
      <c r="E403" s="1" t="s">
        <v>4321</v>
      </c>
      <c r="F403" s="1" t="s">
        <v>112</v>
      </c>
      <c r="G403" s="1">
        <v>1709735</v>
      </c>
    </row>
    <row r="404" spans="1:8" x14ac:dyDescent="0.35">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4" s="1" t="s">
        <v>112</v>
      </c>
    </row>
    <row r="405" spans="1:8" x14ac:dyDescent="0.35">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5" s="1" t="s">
        <v>242</v>
      </c>
      <c r="D405" s="1" t="s">
        <v>112</v>
      </c>
      <c r="E405" s="1" t="s">
        <v>243</v>
      </c>
      <c r="F405" s="1" t="s">
        <v>244</v>
      </c>
      <c r="G405" s="1" t="s">
        <v>245</v>
      </c>
      <c r="H405" s="1" t="s">
        <v>246</v>
      </c>
    </row>
    <row r="406" spans="1:8" x14ac:dyDescent="0.35">
      <c r="A406" s="1" t="str">
        <f t="shared" si="6"/>
        <v>6</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06" s="1" t="s">
        <v>4322</v>
      </c>
      <c r="D406" s="1" t="s">
        <v>112</v>
      </c>
      <c r="E406" s="1" t="s">
        <v>4323</v>
      </c>
      <c r="F406" s="1" t="s">
        <v>4324</v>
      </c>
      <c r="G406" s="1" t="s">
        <v>4325</v>
      </c>
      <c r="H406" s="1" t="s">
        <v>4326</v>
      </c>
    </row>
    <row r="407" spans="1:8" x14ac:dyDescent="0.35">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7" s="1" t="s">
        <v>112</v>
      </c>
    </row>
    <row r="408" spans="1:8" x14ac:dyDescent="0.35">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8" s="1" t="s">
        <v>112</v>
      </c>
    </row>
    <row r="409" spans="1:8" x14ac:dyDescent="0.35">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9" s="1" t="s">
        <v>112</v>
      </c>
    </row>
    <row r="410" spans="1:8" x14ac:dyDescent="0.35">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0" s="1" t="s">
        <v>112</v>
      </c>
    </row>
    <row r="411" spans="1:8" x14ac:dyDescent="0.35">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1" s="1" t="s">
        <v>112</v>
      </c>
    </row>
    <row r="412" spans="1:8" x14ac:dyDescent="0.35">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2" s="1" t="s">
        <v>172</v>
      </c>
      <c r="D412" s="1" t="s">
        <v>110</v>
      </c>
      <c r="E412" s="1" t="s">
        <v>111</v>
      </c>
      <c r="F412" s="1" t="s">
        <v>112</v>
      </c>
      <c r="G412" s="1" t="s">
        <v>113</v>
      </c>
    </row>
    <row r="413" spans="1:8" x14ac:dyDescent="0.35">
      <c r="A413" s="1" t="str">
        <f t="shared" si="6"/>
        <v>7</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3" s="1" t="s">
        <v>4327</v>
      </c>
    </row>
    <row r="414" spans="1:8" x14ac:dyDescent="0.35">
      <c r="A414" s="1" t="str">
        <f t="shared" si="6"/>
        <v>7</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4" s="1" t="s">
        <v>4328</v>
      </c>
    </row>
    <row r="415" spans="1:8" x14ac:dyDescent="0.35">
      <c r="A415" s="1" t="str">
        <f t="shared" si="6"/>
        <v>7</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5" s="1" t="s">
        <v>4329</v>
      </c>
      <c r="D415" s="1" t="s">
        <v>4330</v>
      </c>
      <c r="E415" s="1" t="s">
        <v>4331</v>
      </c>
      <c r="F415" s="1" t="s">
        <v>112</v>
      </c>
      <c r="G415" s="1">
        <v>4556424</v>
      </c>
    </row>
    <row r="416" spans="1:8" x14ac:dyDescent="0.35">
      <c r="A416" s="1" t="str">
        <f t="shared" si="6"/>
        <v>7</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6" s="1" t="s">
        <v>4332</v>
      </c>
    </row>
    <row r="417" spans="1:7" x14ac:dyDescent="0.35">
      <c r="A417" s="1" t="str">
        <f t="shared" si="6"/>
        <v>7</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7" s="1" t="s">
        <v>4333</v>
      </c>
      <c r="D417" s="1" t="s">
        <v>4334</v>
      </c>
      <c r="E417" s="1" t="s">
        <v>4335</v>
      </c>
      <c r="F417" s="1" t="s">
        <v>112</v>
      </c>
      <c r="G417" s="1">
        <v>3553402</v>
      </c>
    </row>
    <row r="418" spans="1:7" x14ac:dyDescent="0.35">
      <c r="A418" s="1" t="str">
        <f t="shared" si="6"/>
        <v>7</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8" s="1" t="s">
        <v>4336</v>
      </c>
    </row>
    <row r="419" spans="1:7" x14ac:dyDescent="0.35">
      <c r="A419" s="1" t="str">
        <f t="shared" si="6"/>
        <v>7</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9" s="1" t="s">
        <v>4337</v>
      </c>
    </row>
    <row r="420" spans="1:7" x14ac:dyDescent="0.35">
      <c r="A420" s="1" t="str">
        <f t="shared" si="6"/>
        <v>7</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20" s="1" t="s">
        <v>4338</v>
      </c>
    </row>
    <row r="421" spans="1:7" x14ac:dyDescent="0.35">
      <c r="A421" s="1" t="str">
        <f t="shared" si="6"/>
        <v>7</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1" s="1" t="s">
        <v>4339</v>
      </c>
      <c r="D421" s="1" t="s">
        <v>4340</v>
      </c>
      <c r="E421" s="1" t="s">
        <v>4341</v>
      </c>
      <c r="F421" s="1" t="s">
        <v>112</v>
      </c>
      <c r="G421" s="1">
        <v>3819169</v>
      </c>
    </row>
    <row r="422" spans="1:7" x14ac:dyDescent="0.35">
      <c r="A422" s="1" t="str">
        <f t="shared" si="6"/>
        <v>7</v>
      </c>
      <c r="B4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2" s="1" t="s">
        <v>4342</v>
      </c>
      <c r="D422" s="1" t="s">
        <v>4343</v>
      </c>
      <c r="E422" s="1" t="s">
        <v>4344</v>
      </c>
      <c r="F422" s="1" t="s">
        <v>112</v>
      </c>
      <c r="G422" s="1">
        <v>3613187</v>
      </c>
    </row>
    <row r="423" spans="1:7" x14ac:dyDescent="0.35">
      <c r="A423" s="1" t="str">
        <f t="shared" si="6"/>
        <v>7</v>
      </c>
      <c r="B4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3" s="1" t="s">
        <v>4345</v>
      </c>
      <c r="D423" s="1" t="s">
        <v>4346</v>
      </c>
      <c r="E423" s="1" t="s">
        <v>4347</v>
      </c>
      <c r="F423" s="1" t="s">
        <v>112</v>
      </c>
      <c r="G423" s="1">
        <v>4002807</v>
      </c>
    </row>
    <row r="424" spans="1:7" x14ac:dyDescent="0.35">
      <c r="A424" s="1" t="str">
        <f t="shared" si="6"/>
        <v>7</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4" s="1" t="s">
        <v>4348</v>
      </c>
      <c r="D424" s="1" t="s">
        <v>4349</v>
      </c>
      <c r="E424" s="1" t="s">
        <v>4350</v>
      </c>
      <c r="F424" s="1" t="s">
        <v>112</v>
      </c>
      <c r="G424" s="1">
        <v>3330593</v>
      </c>
    </row>
    <row r="425" spans="1:7" x14ac:dyDescent="0.35">
      <c r="A425" s="1" t="str">
        <f t="shared" si="6"/>
        <v>7</v>
      </c>
      <c r="B4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5" s="1" t="s">
        <v>4351</v>
      </c>
      <c r="D425" s="1" t="s">
        <v>4352</v>
      </c>
      <c r="E425" s="1" t="s">
        <v>4353</v>
      </c>
      <c r="F425" s="1" t="s">
        <v>112</v>
      </c>
      <c r="G425" s="1">
        <v>5105996</v>
      </c>
    </row>
    <row r="426" spans="1:7" x14ac:dyDescent="0.35">
      <c r="A426" s="1" t="str">
        <f t="shared" si="6"/>
        <v>7</v>
      </c>
      <c r="B4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6" s="1" t="s">
        <v>4354</v>
      </c>
      <c r="D426" s="1" t="s">
        <v>4355</v>
      </c>
      <c r="E426" s="1" t="s">
        <v>4356</v>
      </c>
      <c r="F426" s="1" t="s">
        <v>112</v>
      </c>
      <c r="G426" s="1">
        <v>5117114</v>
      </c>
    </row>
    <row r="427" spans="1:7" x14ac:dyDescent="0.35">
      <c r="A427" s="1" t="str">
        <f t="shared" si="6"/>
        <v>7</v>
      </c>
      <c r="B4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7" s="1" t="s">
        <v>4357</v>
      </c>
      <c r="D427" s="1" t="s">
        <v>4358</v>
      </c>
      <c r="E427" s="1" t="s">
        <v>4359</v>
      </c>
      <c r="F427" s="1" t="s">
        <v>112</v>
      </c>
      <c r="G427" s="1">
        <v>4206820</v>
      </c>
    </row>
    <row r="428" spans="1:7" x14ac:dyDescent="0.35">
      <c r="A428" s="1" t="str">
        <f t="shared" si="6"/>
        <v>7</v>
      </c>
      <c r="B4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8" s="1" t="s">
        <v>4360</v>
      </c>
      <c r="D428" s="1" t="s">
        <v>4361</v>
      </c>
      <c r="E428" s="1" t="s">
        <v>4362</v>
      </c>
      <c r="F428" s="1" t="s">
        <v>112</v>
      </c>
      <c r="G428" s="1">
        <v>5122500</v>
      </c>
    </row>
    <row r="429" spans="1:7" x14ac:dyDescent="0.35">
      <c r="A429" s="1" t="str">
        <f t="shared" si="6"/>
        <v>7</v>
      </c>
      <c r="B4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29" s="1" t="s">
        <v>4363</v>
      </c>
      <c r="D429" s="1" t="s">
        <v>4364</v>
      </c>
      <c r="E429" s="1" t="s">
        <v>4365</v>
      </c>
      <c r="F429" s="1" t="s">
        <v>112</v>
      </c>
      <c r="G429" s="1">
        <v>3857129</v>
      </c>
    </row>
    <row r="430" spans="1:7" x14ac:dyDescent="0.35">
      <c r="A430" s="1" t="str">
        <f t="shared" si="6"/>
        <v>7</v>
      </c>
      <c r="B4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30" s="1" t="s">
        <v>4366</v>
      </c>
      <c r="D430" s="1" t="s">
        <v>4367</v>
      </c>
      <c r="E430" s="1" t="s">
        <v>4368</v>
      </c>
      <c r="F430" s="1" t="s">
        <v>112</v>
      </c>
      <c r="G430" s="1">
        <v>3623029</v>
      </c>
    </row>
    <row r="431" spans="1:7" x14ac:dyDescent="0.35">
      <c r="A431" s="1" t="str">
        <f t="shared" si="6"/>
        <v>7</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31" s="1" t="s">
        <v>4369</v>
      </c>
      <c r="D431" s="1" t="s">
        <v>4370</v>
      </c>
      <c r="E431" s="1" t="s">
        <v>4371</v>
      </c>
      <c r="F431" s="1" t="s">
        <v>112</v>
      </c>
      <c r="G431" s="1">
        <v>3639100</v>
      </c>
    </row>
    <row r="432" spans="1:7" x14ac:dyDescent="0.35">
      <c r="A432" s="1" t="str">
        <f t="shared" si="6"/>
        <v>7</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32" s="1" t="s">
        <v>4372</v>
      </c>
      <c r="D432" s="1" t="s">
        <v>4373</v>
      </c>
      <c r="E432" s="1" t="s">
        <v>4374</v>
      </c>
      <c r="F432" s="1" t="s">
        <v>112</v>
      </c>
      <c r="G432" s="1">
        <v>4373500</v>
      </c>
    </row>
    <row r="433" spans="1:8" x14ac:dyDescent="0.35">
      <c r="A433" s="1" t="str">
        <f t="shared" si="6"/>
        <v>7</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3" s="1" t="s">
        <v>4375</v>
      </c>
      <c r="D433" s="1" t="s">
        <v>3794</v>
      </c>
      <c r="E433" s="1" t="s">
        <v>4376</v>
      </c>
      <c r="F433" s="1" t="s">
        <v>112</v>
      </c>
      <c r="G433" s="1">
        <v>2889646</v>
      </c>
    </row>
    <row r="434" spans="1:8" x14ac:dyDescent="0.35">
      <c r="A434" s="1" t="str">
        <f t="shared" si="6"/>
        <v>7</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4" s="1" t="s">
        <v>4377</v>
      </c>
      <c r="D434" s="1" t="s">
        <v>4378</v>
      </c>
      <c r="E434" s="1" t="s">
        <v>4379</v>
      </c>
      <c r="F434" s="1" t="s">
        <v>112</v>
      </c>
      <c r="G434" s="1">
        <v>3112542</v>
      </c>
    </row>
    <row r="435" spans="1:8" x14ac:dyDescent="0.35">
      <c r="A435" s="1" t="str">
        <f t="shared" si="6"/>
        <v>7</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5" s="1" t="s">
        <v>4380</v>
      </c>
      <c r="D435" s="1" t="s">
        <v>3061</v>
      </c>
      <c r="E435" s="1" t="s">
        <v>4381</v>
      </c>
      <c r="F435" s="1" t="s">
        <v>112</v>
      </c>
      <c r="G435" s="1">
        <v>3690666</v>
      </c>
    </row>
    <row r="436" spans="1:8" x14ac:dyDescent="0.35">
      <c r="A436" s="1" t="str">
        <f t="shared" si="6"/>
        <v>7</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6" s="1" t="s">
        <v>4382</v>
      </c>
      <c r="D436" s="1" t="s">
        <v>4383</v>
      </c>
      <c r="E436" s="1" t="s">
        <v>4384</v>
      </c>
      <c r="F436" s="1" t="s">
        <v>112</v>
      </c>
      <c r="G436" s="1">
        <v>3374069</v>
      </c>
    </row>
    <row r="437" spans="1:8" x14ac:dyDescent="0.35">
      <c r="A437" s="1" t="str">
        <f t="shared" si="6"/>
        <v>7</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37" s="1" t="s">
        <v>4385</v>
      </c>
      <c r="D437" s="1" t="s">
        <v>4386</v>
      </c>
      <c r="E437" s="1" t="s">
        <v>4387</v>
      </c>
      <c r="F437" s="1" t="s">
        <v>112</v>
      </c>
      <c r="G437" s="1">
        <v>2724761</v>
      </c>
    </row>
    <row r="438" spans="1:8" x14ac:dyDescent="0.35">
      <c r="A438" s="1" t="str">
        <f t="shared" si="6"/>
        <v>7</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38" s="1" t="s">
        <v>4388</v>
      </c>
      <c r="D438" s="1" t="s">
        <v>4389</v>
      </c>
      <c r="E438" s="1" t="s">
        <v>4390</v>
      </c>
      <c r="F438" s="1" t="s">
        <v>112</v>
      </c>
      <c r="G438" s="1">
        <v>3300744</v>
      </c>
    </row>
    <row r="439" spans="1:8" x14ac:dyDescent="0.35">
      <c r="A439" s="1" t="str">
        <f t="shared" si="6"/>
        <v>7</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39" s="1" t="s">
        <v>4391</v>
      </c>
      <c r="D439" s="1" t="s">
        <v>2374</v>
      </c>
      <c r="E439" s="1" t="s">
        <v>4392</v>
      </c>
      <c r="F439" s="1" t="s">
        <v>112</v>
      </c>
      <c r="G439" s="1">
        <v>2769535</v>
      </c>
    </row>
    <row r="440" spans="1:8" x14ac:dyDescent="0.35">
      <c r="A440" s="1" t="str">
        <f t="shared" si="6"/>
        <v>7</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0" s="1" t="s">
        <v>4393</v>
      </c>
      <c r="D440" s="1" t="s">
        <v>1503</v>
      </c>
      <c r="E440" s="1" t="s">
        <v>4394</v>
      </c>
      <c r="F440" s="1" t="s">
        <v>112</v>
      </c>
      <c r="G440" s="1">
        <v>2775699</v>
      </c>
    </row>
    <row r="441" spans="1:8" x14ac:dyDescent="0.35">
      <c r="A441" s="1" t="str">
        <f t="shared" si="6"/>
        <v>7</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41" s="1" t="s">
        <v>4395</v>
      </c>
      <c r="D441" s="1" t="s">
        <v>4396</v>
      </c>
      <c r="E441" s="1" t="s">
        <v>4397</v>
      </c>
      <c r="F441" s="1" t="s">
        <v>112</v>
      </c>
      <c r="G441" s="1">
        <v>4433069</v>
      </c>
    </row>
    <row r="442" spans="1:8" x14ac:dyDescent="0.35">
      <c r="A442" s="1" t="str">
        <f t="shared" si="6"/>
        <v>7</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42" s="1" t="s">
        <v>4398</v>
      </c>
      <c r="D442" s="1" t="s">
        <v>4399</v>
      </c>
      <c r="E442" s="1" t="s">
        <v>4400</v>
      </c>
      <c r="F442" s="1" t="s">
        <v>112</v>
      </c>
      <c r="G442" s="1">
        <v>4617853</v>
      </c>
    </row>
    <row r="443" spans="1:8" x14ac:dyDescent="0.35">
      <c r="A443" s="1" t="str">
        <f t="shared" si="6"/>
        <v>7</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43" s="1" t="s">
        <v>4401</v>
      </c>
      <c r="D443" s="1" t="s">
        <v>4402</v>
      </c>
      <c r="E443" s="1" t="s">
        <v>4403</v>
      </c>
      <c r="F443" s="1" t="s">
        <v>112</v>
      </c>
      <c r="G443" s="1">
        <v>4471656</v>
      </c>
    </row>
    <row r="444" spans="1:8" x14ac:dyDescent="0.35">
      <c r="A444" s="1" t="str">
        <f t="shared" si="6"/>
        <v>7</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44" s="1" t="s">
        <v>4404</v>
      </c>
      <c r="D444" s="1" t="s">
        <v>4405</v>
      </c>
      <c r="E444" s="1" t="s">
        <v>4406</v>
      </c>
      <c r="F444" s="1" t="s">
        <v>112</v>
      </c>
      <c r="G444" s="1">
        <v>5270492</v>
      </c>
    </row>
    <row r="445" spans="1:8" x14ac:dyDescent="0.35">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5" s="1" t="s">
        <v>112</v>
      </c>
    </row>
    <row r="446" spans="1:8" x14ac:dyDescent="0.35">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6" s="1" t="s">
        <v>242</v>
      </c>
      <c r="D446" s="1" t="s">
        <v>112</v>
      </c>
      <c r="E446" s="1" t="s">
        <v>243</v>
      </c>
      <c r="F446" s="1" t="s">
        <v>244</v>
      </c>
      <c r="G446" s="1" t="s">
        <v>245</v>
      </c>
      <c r="H446" s="1" t="s">
        <v>246</v>
      </c>
    </row>
    <row r="447" spans="1:8" x14ac:dyDescent="0.35">
      <c r="A447" s="1" t="str">
        <f t="shared" si="6"/>
        <v>7</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47" s="1" t="s">
        <v>4407</v>
      </c>
      <c r="D447" s="1" t="s">
        <v>112</v>
      </c>
      <c r="E447" s="1" t="s">
        <v>4408</v>
      </c>
      <c r="F447" s="1" t="s">
        <v>4409</v>
      </c>
      <c r="G447" s="1" t="s">
        <v>4410</v>
      </c>
      <c r="H447" s="1" t="s">
        <v>4411</v>
      </c>
    </row>
    <row r="448" spans="1:8" x14ac:dyDescent="0.35">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8" s="1" t="s">
        <v>112</v>
      </c>
    </row>
    <row r="449" spans="1:7" x14ac:dyDescent="0.35">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9" s="1" t="s">
        <v>112</v>
      </c>
    </row>
    <row r="450" spans="1:7" x14ac:dyDescent="0.35">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0" s="1" t="s">
        <v>112</v>
      </c>
    </row>
    <row r="451" spans="1:7" x14ac:dyDescent="0.35">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1" s="1" t="s">
        <v>112</v>
      </c>
    </row>
    <row r="452" spans="1:7" x14ac:dyDescent="0.35">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2" s="1" t="s">
        <v>112</v>
      </c>
    </row>
    <row r="453" spans="1:7" x14ac:dyDescent="0.35">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3" s="1" t="s">
        <v>172</v>
      </c>
      <c r="D453" s="1" t="s">
        <v>110</v>
      </c>
      <c r="E453" s="1" t="s">
        <v>111</v>
      </c>
      <c r="F453" s="1" t="s">
        <v>112</v>
      </c>
      <c r="G453" s="1" t="s">
        <v>113</v>
      </c>
    </row>
    <row r="454" spans="1:7" x14ac:dyDescent="0.35">
      <c r="A454" s="1" t="str">
        <f t="shared" si="7"/>
        <v>10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4" s="1" t="s">
        <v>4412</v>
      </c>
    </row>
    <row r="455" spans="1:7" x14ac:dyDescent="0.35">
      <c r="A455" s="1" t="str">
        <f t="shared" si="7"/>
        <v>10</v>
      </c>
      <c r="B4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5" s="1" t="s">
        <v>4413</v>
      </c>
      <c r="D455" s="1" t="s">
        <v>4414</v>
      </c>
      <c r="E455" s="1" t="s">
        <v>4415</v>
      </c>
      <c r="F455" s="1" t="s">
        <v>112</v>
      </c>
      <c r="G455" s="1">
        <v>524785</v>
      </c>
    </row>
    <row r="456" spans="1:7" x14ac:dyDescent="0.35">
      <c r="A456" s="1" t="str">
        <f t="shared" si="7"/>
        <v>10</v>
      </c>
      <c r="B4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6" s="1" t="s">
        <v>4416</v>
      </c>
      <c r="D456" s="1" t="s">
        <v>554</v>
      </c>
      <c r="E456" s="1" t="s">
        <v>4417</v>
      </c>
      <c r="F456" s="1" t="s">
        <v>112</v>
      </c>
      <c r="G456" s="1">
        <v>23879</v>
      </c>
    </row>
    <row r="457" spans="1:7" x14ac:dyDescent="0.35">
      <c r="A457" s="1" t="str">
        <f t="shared" si="7"/>
        <v>10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7" s="1" t="s">
        <v>4418</v>
      </c>
      <c r="D457" s="1" t="s">
        <v>4419</v>
      </c>
      <c r="E457" s="1" t="s">
        <v>4420</v>
      </c>
      <c r="F457" s="1" t="s">
        <v>112</v>
      </c>
      <c r="G457" s="1">
        <v>445424</v>
      </c>
    </row>
    <row r="458" spans="1:7" x14ac:dyDescent="0.35">
      <c r="A458" s="1" t="str">
        <f t="shared" si="7"/>
        <v>10</v>
      </c>
      <c r="B4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58" s="1" t="s">
        <v>4421</v>
      </c>
      <c r="D458" s="1" t="s">
        <v>3331</v>
      </c>
      <c r="E458" s="1" t="s">
        <v>4422</v>
      </c>
      <c r="F458" s="1" t="s">
        <v>112</v>
      </c>
      <c r="G458" s="1">
        <v>359510</v>
      </c>
    </row>
    <row r="459" spans="1:7" x14ac:dyDescent="0.35">
      <c r="A459" s="1" t="str">
        <f t="shared" si="7"/>
        <v>10</v>
      </c>
      <c r="B4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59" s="1" t="s">
        <v>4423</v>
      </c>
      <c r="D459" s="1" t="s">
        <v>4424</v>
      </c>
      <c r="E459" s="1" t="s">
        <v>4425</v>
      </c>
      <c r="F459" s="1" t="s">
        <v>112</v>
      </c>
      <c r="G459" s="1">
        <v>492772</v>
      </c>
    </row>
    <row r="460" spans="1:7" x14ac:dyDescent="0.35">
      <c r="A460" s="1" t="str">
        <f t="shared" si="7"/>
        <v>10</v>
      </c>
      <c r="B4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0" s="1" t="s">
        <v>4426</v>
      </c>
      <c r="D460" s="1" t="s">
        <v>4427</v>
      </c>
      <c r="E460" s="1" t="s">
        <v>4428</v>
      </c>
      <c r="F460" s="1" t="s">
        <v>112</v>
      </c>
      <c r="G460" s="1">
        <v>569320</v>
      </c>
    </row>
    <row r="461" spans="1:7" x14ac:dyDescent="0.35">
      <c r="A461" s="1" t="str">
        <f t="shared" si="7"/>
        <v>10</v>
      </c>
      <c r="B4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1" s="1" t="s">
        <v>4429</v>
      </c>
      <c r="D461" s="1" t="s">
        <v>4430</v>
      </c>
      <c r="E461" s="1" t="s">
        <v>4431</v>
      </c>
      <c r="F461" s="1" t="s">
        <v>112</v>
      </c>
      <c r="G461" s="1">
        <v>433506</v>
      </c>
    </row>
    <row r="462" spans="1:7" x14ac:dyDescent="0.35">
      <c r="A462" s="1" t="str">
        <f t="shared" si="7"/>
        <v>10</v>
      </c>
      <c r="B4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62" s="1" t="s">
        <v>4432</v>
      </c>
    </row>
    <row r="463" spans="1:7" x14ac:dyDescent="0.35">
      <c r="A463" s="1" t="str">
        <f t="shared" si="7"/>
        <v>10</v>
      </c>
      <c r="B4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63" s="1" t="s">
        <v>4433</v>
      </c>
    </row>
    <row r="464" spans="1:7" x14ac:dyDescent="0.35">
      <c r="A464" s="1" t="str">
        <f t="shared" si="7"/>
        <v>10</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64" s="1" t="s">
        <v>4434</v>
      </c>
    </row>
    <row r="465" spans="1:7" x14ac:dyDescent="0.35">
      <c r="A465" s="1" t="str">
        <f t="shared" si="7"/>
        <v>10</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65" s="1" t="s">
        <v>4435</v>
      </c>
    </row>
    <row r="466" spans="1:7" x14ac:dyDescent="0.35">
      <c r="A466" s="1" t="str">
        <f t="shared" si="7"/>
        <v>10</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6" s="1" t="s">
        <v>4436</v>
      </c>
      <c r="D466" s="1" t="s">
        <v>4437</v>
      </c>
      <c r="E466" s="1" t="s">
        <v>4438</v>
      </c>
      <c r="F466" s="1" t="s">
        <v>112</v>
      </c>
      <c r="G466" s="1">
        <v>358840</v>
      </c>
    </row>
    <row r="467" spans="1:7" x14ac:dyDescent="0.35">
      <c r="A467" s="1" t="str">
        <f t="shared" si="7"/>
        <v>10</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7" s="1" t="s">
        <v>4439</v>
      </c>
      <c r="D467" s="1" t="s">
        <v>4440</v>
      </c>
      <c r="E467" s="1" t="s">
        <v>4441</v>
      </c>
      <c r="F467" s="1" t="s">
        <v>112</v>
      </c>
      <c r="G467" s="1">
        <v>584807</v>
      </c>
    </row>
    <row r="468" spans="1:7" x14ac:dyDescent="0.35">
      <c r="A468" s="1" t="str">
        <f t="shared" si="7"/>
        <v>10</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8" s="1" t="s">
        <v>4442</v>
      </c>
      <c r="D468" s="1" t="s">
        <v>3858</v>
      </c>
      <c r="E468" s="1" t="s">
        <v>4443</v>
      </c>
      <c r="F468" s="1" t="s">
        <v>112</v>
      </c>
      <c r="G468" s="1">
        <v>554634</v>
      </c>
    </row>
    <row r="469" spans="1:7" x14ac:dyDescent="0.35">
      <c r="A469" s="1" t="str">
        <f t="shared" si="7"/>
        <v>10</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9" s="1" t="s">
        <v>4444</v>
      </c>
      <c r="D469" s="1" t="s">
        <v>4445</v>
      </c>
      <c r="E469" s="1" t="s">
        <v>4446</v>
      </c>
      <c r="F469" s="1" t="s">
        <v>112</v>
      </c>
      <c r="G469" s="1">
        <v>494654</v>
      </c>
    </row>
    <row r="470" spans="1:7" x14ac:dyDescent="0.35">
      <c r="A470" s="1" t="str">
        <f t="shared" si="7"/>
        <v>10</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0" s="1" t="s">
        <v>4447</v>
      </c>
      <c r="D470" s="1" t="s">
        <v>4448</v>
      </c>
      <c r="E470" s="1" t="s">
        <v>4449</v>
      </c>
      <c r="F470" s="1" t="s">
        <v>112</v>
      </c>
      <c r="G470" s="1">
        <v>460133</v>
      </c>
    </row>
    <row r="471" spans="1:7" x14ac:dyDescent="0.35">
      <c r="A471" s="1" t="str">
        <f t="shared" si="7"/>
        <v>10</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1" s="1" t="s">
        <v>4450</v>
      </c>
      <c r="D471" s="1" t="s">
        <v>4451</v>
      </c>
      <c r="E471" s="1" t="s">
        <v>4452</v>
      </c>
      <c r="F471" s="1" t="s">
        <v>112</v>
      </c>
      <c r="G471" s="1">
        <v>395243</v>
      </c>
    </row>
    <row r="472" spans="1:7" x14ac:dyDescent="0.35">
      <c r="A472" s="1" t="str">
        <f t="shared" si="7"/>
        <v>10</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2" s="1" t="s">
        <v>4453</v>
      </c>
      <c r="D472" s="1" t="s">
        <v>4454</v>
      </c>
      <c r="E472" s="1" t="s">
        <v>4455</v>
      </c>
      <c r="F472" s="1" t="s">
        <v>112</v>
      </c>
      <c r="G472" s="1">
        <v>712986</v>
      </c>
    </row>
    <row r="473" spans="1:7" x14ac:dyDescent="0.35">
      <c r="A473" s="1" t="str">
        <f t="shared" si="7"/>
        <v>10</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3" s="1" t="s">
        <v>4456</v>
      </c>
      <c r="D473" s="1" t="s">
        <v>3075</v>
      </c>
      <c r="E473" s="1" t="s">
        <v>4457</v>
      </c>
      <c r="F473" s="1" t="s">
        <v>112</v>
      </c>
      <c r="G473" s="1">
        <v>1015004</v>
      </c>
    </row>
    <row r="474" spans="1:7" x14ac:dyDescent="0.35">
      <c r="A474" s="1" t="str">
        <f t="shared" si="7"/>
        <v>10</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4" s="1" t="s">
        <v>4458</v>
      </c>
      <c r="D474" s="1" t="s">
        <v>229</v>
      </c>
      <c r="E474" s="1">
        <v>31</v>
      </c>
      <c r="F474" s="1" t="s">
        <v>112</v>
      </c>
      <c r="G474" s="1">
        <v>671</v>
      </c>
    </row>
    <row r="475" spans="1:7" x14ac:dyDescent="0.35">
      <c r="A475" s="1" t="str">
        <f t="shared" si="7"/>
        <v>10</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5" s="1" t="s">
        <v>4459</v>
      </c>
      <c r="D475" s="1" t="s">
        <v>512</v>
      </c>
      <c r="E475" s="1" t="s">
        <v>4460</v>
      </c>
      <c r="F475" s="1" t="s">
        <v>112</v>
      </c>
      <c r="G475" s="1">
        <v>43195</v>
      </c>
    </row>
    <row r="476" spans="1:7" x14ac:dyDescent="0.35">
      <c r="A476" s="1" t="str">
        <f t="shared" si="7"/>
        <v>10</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6" s="1" t="s">
        <v>4461</v>
      </c>
      <c r="D476" s="1" t="s">
        <v>2162</v>
      </c>
      <c r="E476" s="1" t="s">
        <v>4462</v>
      </c>
      <c r="F476" s="1" t="s">
        <v>112</v>
      </c>
      <c r="G476" s="1">
        <v>99433</v>
      </c>
    </row>
    <row r="477" spans="1:7" x14ac:dyDescent="0.35">
      <c r="A477" s="1" t="str">
        <f t="shared" si="7"/>
        <v>10</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7" s="1" t="s">
        <v>4463</v>
      </c>
      <c r="D477" s="1">
        <v>0</v>
      </c>
      <c r="E477" s="1">
        <v>0</v>
      </c>
      <c r="F477" s="1" t="s">
        <v>112</v>
      </c>
      <c r="G477" s="1">
        <v>0</v>
      </c>
    </row>
    <row r="478" spans="1:7" x14ac:dyDescent="0.35">
      <c r="A478" s="1" t="str">
        <f t="shared" si="7"/>
        <v>10</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78" s="1" t="s">
        <v>4464</v>
      </c>
      <c r="D478" s="1" t="s">
        <v>4465</v>
      </c>
      <c r="E478" s="1" t="s">
        <v>4466</v>
      </c>
      <c r="F478" s="1" t="s">
        <v>112</v>
      </c>
      <c r="G478" s="1">
        <v>1570936</v>
      </c>
    </row>
    <row r="479" spans="1:7" x14ac:dyDescent="0.35">
      <c r="A479" s="1" t="str">
        <f t="shared" si="7"/>
        <v>10</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79" s="1" t="s">
        <v>4467</v>
      </c>
      <c r="D479" s="1" t="s">
        <v>4468</v>
      </c>
      <c r="E479" s="1" t="s">
        <v>712</v>
      </c>
      <c r="F479" s="1" t="s">
        <v>112</v>
      </c>
      <c r="G479" s="1">
        <v>1154820</v>
      </c>
    </row>
    <row r="480" spans="1:7" x14ac:dyDescent="0.35">
      <c r="A480" s="1" t="str">
        <f t="shared" si="7"/>
        <v>10</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0" s="1" t="s">
        <v>4469</v>
      </c>
      <c r="D480" s="1" t="s">
        <v>4470</v>
      </c>
      <c r="E480" s="1" t="s">
        <v>4471</v>
      </c>
      <c r="F480" s="1" t="s">
        <v>112</v>
      </c>
      <c r="G480" s="1">
        <v>1116427</v>
      </c>
    </row>
    <row r="481" spans="1:8" x14ac:dyDescent="0.35">
      <c r="A481" s="1" t="str">
        <f t="shared" si="7"/>
        <v>10</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1" s="1" t="s">
        <v>4472</v>
      </c>
      <c r="D481" s="1" t="s">
        <v>4473</v>
      </c>
      <c r="E481" s="1" t="s">
        <v>4474</v>
      </c>
      <c r="F481" s="1" t="s">
        <v>112</v>
      </c>
      <c r="G481" s="1">
        <v>1064407</v>
      </c>
    </row>
    <row r="482" spans="1:8" x14ac:dyDescent="0.35">
      <c r="A482" s="1" t="str">
        <f t="shared" si="7"/>
        <v>10</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2" s="1" t="s">
        <v>4475</v>
      </c>
      <c r="D482" s="1" t="s">
        <v>4476</v>
      </c>
      <c r="E482" s="1" t="s">
        <v>4477</v>
      </c>
      <c r="F482" s="1" t="s">
        <v>112</v>
      </c>
      <c r="G482" s="1">
        <v>880207</v>
      </c>
    </row>
    <row r="483" spans="1:8" x14ac:dyDescent="0.35">
      <c r="A483" s="1" t="str">
        <f t="shared" si="7"/>
        <v>10</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3" s="1" t="s">
        <v>4478</v>
      </c>
      <c r="D483" s="1" t="s">
        <v>4479</v>
      </c>
      <c r="E483" s="1" t="s">
        <v>4480</v>
      </c>
      <c r="F483" s="1" t="s">
        <v>112</v>
      </c>
      <c r="G483" s="1">
        <v>489701</v>
      </c>
    </row>
    <row r="484" spans="1:8" x14ac:dyDescent="0.35">
      <c r="A484" s="1" t="str">
        <f t="shared" si="7"/>
        <v>10</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4" s="1" t="s">
        <v>4481</v>
      </c>
      <c r="D484" s="1" t="s">
        <v>4482</v>
      </c>
      <c r="E484" s="1" t="s">
        <v>4483</v>
      </c>
      <c r="F484" s="1" t="s">
        <v>112</v>
      </c>
      <c r="G484" s="1">
        <v>766585</v>
      </c>
    </row>
    <row r="485" spans="1:8" x14ac:dyDescent="0.35">
      <c r="A485" s="1" t="str">
        <f t="shared" si="7"/>
        <v>10</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4484</v>
      </c>
      <c r="D485" s="1" t="s">
        <v>2904</v>
      </c>
      <c r="E485" s="1" t="s">
        <v>4485</v>
      </c>
      <c r="F485" s="1" t="s">
        <v>112</v>
      </c>
      <c r="G485" s="1">
        <v>764098</v>
      </c>
    </row>
    <row r="486" spans="1:8" x14ac:dyDescent="0.35">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6" s="1" t="s">
        <v>112</v>
      </c>
    </row>
    <row r="487" spans="1:8" x14ac:dyDescent="0.35">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7" s="1" t="s">
        <v>242</v>
      </c>
      <c r="D487" s="1" t="s">
        <v>112</v>
      </c>
      <c r="E487" s="1" t="s">
        <v>243</v>
      </c>
      <c r="F487" s="1" t="s">
        <v>244</v>
      </c>
      <c r="G487" s="1" t="s">
        <v>245</v>
      </c>
      <c r="H487" s="1" t="s">
        <v>246</v>
      </c>
    </row>
    <row r="488" spans="1:8" x14ac:dyDescent="0.35">
      <c r="A488" s="1" t="str">
        <f t="shared" si="7"/>
        <v>10</v>
      </c>
      <c r="B4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88" s="1" t="s">
        <v>4486</v>
      </c>
      <c r="D488" s="1" t="s">
        <v>112</v>
      </c>
      <c r="E488" s="1" t="s">
        <v>4487</v>
      </c>
      <c r="F488" s="1" t="s">
        <v>4488</v>
      </c>
      <c r="G488" s="1" t="s">
        <v>4489</v>
      </c>
      <c r="H488" s="1" t="s">
        <v>4490</v>
      </c>
    </row>
    <row r="489" spans="1:8"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112</v>
      </c>
    </row>
    <row r="490" spans="1:8"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0" s="1" t="s">
        <v>112</v>
      </c>
    </row>
    <row r="491" spans="1:8"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8"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8"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8"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172</v>
      </c>
      <c r="D494" s="1" t="s">
        <v>110</v>
      </c>
      <c r="E494" s="1" t="s">
        <v>111</v>
      </c>
      <c r="F494" s="1" t="s">
        <v>112</v>
      </c>
      <c r="G494" s="1" t="s">
        <v>113</v>
      </c>
    </row>
    <row r="495" spans="1:8" x14ac:dyDescent="0.35">
      <c r="A495" s="1" t="str">
        <f t="shared" si="7"/>
        <v>11</v>
      </c>
      <c r="B4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5" s="1" t="s">
        <v>4491</v>
      </c>
      <c r="D495" s="1" t="s">
        <v>4492</v>
      </c>
      <c r="E495" s="1" t="s">
        <v>4493</v>
      </c>
      <c r="F495" s="1" t="s">
        <v>112</v>
      </c>
      <c r="G495" s="1">
        <v>1205694</v>
      </c>
    </row>
    <row r="496" spans="1:8" x14ac:dyDescent="0.35">
      <c r="A496" s="1" t="str">
        <f t="shared" si="7"/>
        <v>11</v>
      </c>
      <c r="B4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6" s="1" t="s">
        <v>4494</v>
      </c>
      <c r="D496" s="1" t="s">
        <v>4495</v>
      </c>
      <c r="E496" s="1" t="s">
        <v>4496</v>
      </c>
      <c r="F496" s="1" t="s">
        <v>112</v>
      </c>
      <c r="G496" s="1">
        <v>959199</v>
      </c>
    </row>
    <row r="497" spans="1:7" x14ac:dyDescent="0.35">
      <c r="A497" s="1" t="str">
        <f t="shared" si="7"/>
        <v>11</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4497</v>
      </c>
      <c r="D497" s="1" t="s">
        <v>4498</v>
      </c>
      <c r="E497" s="1" t="s">
        <v>4499</v>
      </c>
      <c r="F497" s="1" t="s">
        <v>112</v>
      </c>
      <c r="G497" s="1">
        <v>798143</v>
      </c>
    </row>
    <row r="498" spans="1:7" x14ac:dyDescent="0.35">
      <c r="A498" s="1" t="str">
        <f t="shared" si="7"/>
        <v>11</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4500</v>
      </c>
    </row>
    <row r="499" spans="1:7" x14ac:dyDescent="0.35">
      <c r="A499" s="1" t="str">
        <f t="shared" si="7"/>
        <v>11</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99" s="1" t="s">
        <v>4501</v>
      </c>
      <c r="D499" s="1" t="s">
        <v>2320</v>
      </c>
      <c r="E499" s="1" t="s">
        <v>4502</v>
      </c>
      <c r="F499" s="1" t="s">
        <v>112</v>
      </c>
      <c r="G499" s="1">
        <v>545073</v>
      </c>
    </row>
    <row r="500" spans="1:7" x14ac:dyDescent="0.35">
      <c r="A500" s="1" t="str">
        <f t="shared" si="7"/>
        <v>11</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4503</v>
      </c>
      <c r="D500" s="1" t="s">
        <v>4504</v>
      </c>
      <c r="E500" s="1" t="s">
        <v>4505</v>
      </c>
      <c r="F500" s="1" t="s">
        <v>112</v>
      </c>
      <c r="G500" s="1">
        <v>562637</v>
      </c>
    </row>
    <row r="501" spans="1:7" x14ac:dyDescent="0.35">
      <c r="A501" s="1" t="str">
        <f t="shared" si="7"/>
        <v>11</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4506</v>
      </c>
      <c r="D501" s="1" t="s">
        <v>2820</v>
      </c>
      <c r="E501" s="1" t="s">
        <v>4507</v>
      </c>
      <c r="F501" s="1" t="s">
        <v>112</v>
      </c>
      <c r="G501" s="1">
        <v>436232</v>
      </c>
    </row>
    <row r="502" spans="1:7" x14ac:dyDescent="0.35">
      <c r="A502" s="1" t="str">
        <f t="shared" si="7"/>
        <v>11</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4508</v>
      </c>
    </row>
    <row r="503" spans="1:7" x14ac:dyDescent="0.35">
      <c r="A503" s="1" t="str">
        <f t="shared" si="7"/>
        <v>11</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4509</v>
      </c>
      <c r="D503" s="1" t="s">
        <v>3883</v>
      </c>
      <c r="E503" s="1" t="s">
        <v>4510</v>
      </c>
      <c r="F503" s="1" t="s">
        <v>112</v>
      </c>
      <c r="G503" s="1">
        <v>306041</v>
      </c>
    </row>
    <row r="504" spans="1:7" x14ac:dyDescent="0.35">
      <c r="A504" s="1" t="str">
        <f t="shared" si="7"/>
        <v>11</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4511</v>
      </c>
      <c r="D504" s="1" t="s">
        <v>962</v>
      </c>
      <c r="E504" s="1" t="s">
        <v>4512</v>
      </c>
      <c r="F504" s="1" t="s">
        <v>112</v>
      </c>
      <c r="G504" s="1">
        <v>67053</v>
      </c>
    </row>
    <row r="505" spans="1:7" x14ac:dyDescent="0.35">
      <c r="A505" s="1" t="str">
        <f t="shared" si="7"/>
        <v>11</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4513</v>
      </c>
    </row>
    <row r="506" spans="1:7" x14ac:dyDescent="0.35">
      <c r="A506" s="1" t="str">
        <f t="shared" si="7"/>
        <v>11</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6" s="1" t="s">
        <v>4514</v>
      </c>
      <c r="D506" s="1" t="s">
        <v>4515</v>
      </c>
      <c r="E506" s="1" t="s">
        <v>4516</v>
      </c>
      <c r="F506" s="1" t="s">
        <v>112</v>
      </c>
      <c r="G506" s="1">
        <v>284217</v>
      </c>
    </row>
    <row r="507" spans="1:7" x14ac:dyDescent="0.35">
      <c r="A507" s="1" t="str">
        <f t="shared" si="7"/>
        <v>11</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4517</v>
      </c>
      <c r="D507" s="1" t="s">
        <v>4518</v>
      </c>
      <c r="E507" s="1" t="s">
        <v>4519</v>
      </c>
      <c r="F507" s="1" t="s">
        <v>112</v>
      </c>
      <c r="G507" s="1">
        <v>1462484</v>
      </c>
    </row>
    <row r="508" spans="1:7" x14ac:dyDescent="0.35">
      <c r="A508" s="1" t="str">
        <f t="shared" si="7"/>
        <v>11</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4520</v>
      </c>
      <c r="D508" s="1" t="s">
        <v>2466</v>
      </c>
      <c r="E508" s="1" t="s">
        <v>4521</v>
      </c>
      <c r="F508" s="1" t="s">
        <v>112</v>
      </c>
      <c r="G508" s="1">
        <v>1550928</v>
      </c>
    </row>
    <row r="509" spans="1:7" x14ac:dyDescent="0.35">
      <c r="A509" s="1" t="str">
        <f t="shared" si="7"/>
        <v>11</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9" s="1" t="s">
        <v>4522</v>
      </c>
      <c r="D509" s="1" t="s">
        <v>4523</v>
      </c>
      <c r="E509" s="1" t="s">
        <v>4524</v>
      </c>
      <c r="F509" s="1" t="s">
        <v>112</v>
      </c>
      <c r="G509" s="1">
        <v>1200416</v>
      </c>
    </row>
    <row r="510" spans="1:7" x14ac:dyDescent="0.35">
      <c r="A510" s="1" t="str">
        <f t="shared" si="7"/>
        <v>11</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10" s="1" t="s">
        <v>4525</v>
      </c>
    </row>
    <row r="511" spans="1:7" x14ac:dyDescent="0.35">
      <c r="A511" s="1" t="str">
        <f t="shared" si="7"/>
        <v>11</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4526</v>
      </c>
      <c r="D511" s="1" t="s">
        <v>4527</v>
      </c>
      <c r="E511" s="1" t="s">
        <v>4528</v>
      </c>
      <c r="F511" s="1" t="s">
        <v>112</v>
      </c>
      <c r="G511" s="1">
        <v>297000</v>
      </c>
    </row>
    <row r="512" spans="1:7" x14ac:dyDescent="0.35">
      <c r="A512" s="1" t="str">
        <f t="shared" si="7"/>
        <v>11</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2" s="1" t="s">
        <v>4529</v>
      </c>
      <c r="D512" s="1" t="s">
        <v>3876</v>
      </c>
      <c r="E512" s="1" t="s">
        <v>4530</v>
      </c>
      <c r="F512" s="1" t="s">
        <v>112</v>
      </c>
      <c r="G512" s="1">
        <v>203040</v>
      </c>
    </row>
    <row r="513" spans="1:8" x14ac:dyDescent="0.35">
      <c r="A513" s="1" t="str">
        <f t="shared" si="7"/>
        <v>11</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3" s="1" t="s">
        <v>4531</v>
      </c>
      <c r="D513" s="1" t="s">
        <v>628</v>
      </c>
      <c r="E513" s="1" t="s">
        <v>4532</v>
      </c>
      <c r="F513" s="1" t="s">
        <v>112</v>
      </c>
      <c r="G513" s="1">
        <v>129239</v>
      </c>
    </row>
    <row r="514" spans="1:8" x14ac:dyDescent="0.35">
      <c r="A514" s="1" t="str">
        <f t="shared" ref="A514:A577" si="8">IFERROR(LEFT(RIGHT(C514,LEN(C514)-SEARCH("@",C514)),SEARCH("/",RIGHT(C514,LEN(C514)-SEARCH("@",C514)-1))),"")</f>
        <v>11</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4" s="1" t="s">
        <v>4533</v>
      </c>
      <c r="D514" s="1" t="s">
        <v>4534</v>
      </c>
      <c r="E514" s="1" t="s">
        <v>4535</v>
      </c>
      <c r="F514" s="1" t="s">
        <v>112</v>
      </c>
      <c r="G514" s="1">
        <v>108149</v>
      </c>
    </row>
    <row r="515" spans="1:8" x14ac:dyDescent="0.35">
      <c r="A515" s="1" t="str">
        <f t="shared" si="8"/>
        <v>11</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5" s="1" t="s">
        <v>4536</v>
      </c>
      <c r="D515" s="1" t="s">
        <v>1709</v>
      </c>
      <c r="E515" s="1" t="s">
        <v>4537</v>
      </c>
      <c r="F515" s="1" t="s">
        <v>112</v>
      </c>
      <c r="G515" s="1">
        <v>359143</v>
      </c>
    </row>
    <row r="516" spans="1:8" x14ac:dyDescent="0.35">
      <c r="A516" s="1" t="str">
        <f t="shared" si="8"/>
        <v>11</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6" s="1" t="s">
        <v>4538</v>
      </c>
      <c r="D516" s="1" t="s">
        <v>4539</v>
      </c>
      <c r="E516" s="1" t="s">
        <v>4540</v>
      </c>
      <c r="F516" s="1" t="s">
        <v>112</v>
      </c>
      <c r="G516" s="1">
        <v>255838</v>
      </c>
    </row>
    <row r="517" spans="1:8" x14ac:dyDescent="0.35">
      <c r="A517" s="1" t="str">
        <f t="shared" si="8"/>
        <v>11</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7" s="1" t="s">
        <v>4541</v>
      </c>
      <c r="D517" s="1" t="s">
        <v>4542</v>
      </c>
      <c r="E517" s="1" t="s">
        <v>4543</v>
      </c>
      <c r="F517" s="1" t="s">
        <v>112</v>
      </c>
      <c r="G517" s="1">
        <v>313179</v>
      </c>
    </row>
    <row r="518" spans="1:8" x14ac:dyDescent="0.35">
      <c r="A518" s="1" t="str">
        <f t="shared" si="8"/>
        <v>11</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8" s="1" t="s">
        <v>4544</v>
      </c>
      <c r="D518" s="1" t="s">
        <v>4545</v>
      </c>
      <c r="E518" s="1" t="s">
        <v>4546</v>
      </c>
      <c r="F518" s="1" t="s">
        <v>112</v>
      </c>
      <c r="G518" s="1">
        <v>93766</v>
      </c>
    </row>
    <row r="519" spans="1:8" x14ac:dyDescent="0.35">
      <c r="A519" s="1" t="str">
        <f t="shared" si="8"/>
        <v>11</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9" s="1" t="s">
        <v>4547</v>
      </c>
      <c r="D519" s="1" t="s">
        <v>4548</v>
      </c>
      <c r="E519" s="1" t="s">
        <v>4549</v>
      </c>
      <c r="F519" s="1" t="s">
        <v>112</v>
      </c>
      <c r="G519" s="1">
        <v>857971</v>
      </c>
    </row>
    <row r="520" spans="1:8" x14ac:dyDescent="0.35">
      <c r="A520" s="1" t="str">
        <f t="shared" si="8"/>
        <v>11</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20" s="1" t="s">
        <v>4550</v>
      </c>
      <c r="D520" s="1" t="s">
        <v>2724</v>
      </c>
      <c r="E520" s="1" t="s">
        <v>4551</v>
      </c>
      <c r="F520" s="1" t="s">
        <v>112</v>
      </c>
      <c r="G520" s="1">
        <v>389900</v>
      </c>
    </row>
    <row r="521" spans="1:8" x14ac:dyDescent="0.35">
      <c r="A521" s="1" t="str">
        <f t="shared" si="8"/>
        <v>11</v>
      </c>
      <c r="B5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21" s="1" t="s">
        <v>4552</v>
      </c>
      <c r="D521" s="1" t="s">
        <v>4553</v>
      </c>
      <c r="E521" s="1" t="s">
        <v>4554</v>
      </c>
      <c r="F521" s="1" t="s">
        <v>112</v>
      </c>
      <c r="G521" s="1">
        <v>275522</v>
      </c>
    </row>
    <row r="522" spans="1:8" x14ac:dyDescent="0.35">
      <c r="A522" s="1" t="str">
        <f t="shared" si="8"/>
        <v>11</v>
      </c>
      <c r="B5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22" s="1" t="s">
        <v>4555</v>
      </c>
      <c r="D522" s="1" t="s">
        <v>4556</v>
      </c>
      <c r="E522" s="1" t="s">
        <v>4557</v>
      </c>
      <c r="F522" s="1" t="s">
        <v>112</v>
      </c>
      <c r="G522" s="1">
        <v>878217</v>
      </c>
    </row>
    <row r="523" spans="1:8" x14ac:dyDescent="0.35">
      <c r="A523" s="1" t="str">
        <f t="shared" si="8"/>
        <v>11</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3" s="1" t="s">
        <v>4558</v>
      </c>
      <c r="D523" s="1" t="s">
        <v>237</v>
      </c>
      <c r="E523" s="1" t="s">
        <v>4559</v>
      </c>
      <c r="F523" s="1" t="s">
        <v>112</v>
      </c>
      <c r="G523" s="1">
        <v>87493</v>
      </c>
    </row>
    <row r="524" spans="1:8" x14ac:dyDescent="0.35">
      <c r="A524" s="1" t="str">
        <f t="shared" si="8"/>
        <v>11</v>
      </c>
      <c r="B5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4" s="1" t="s">
        <v>4560</v>
      </c>
      <c r="D524" s="1" t="s">
        <v>3822</v>
      </c>
      <c r="E524" s="1" t="s">
        <v>4561</v>
      </c>
      <c r="F524" s="1" t="s">
        <v>112</v>
      </c>
      <c r="G524" s="1">
        <v>485029</v>
      </c>
    </row>
    <row r="525" spans="1:8" x14ac:dyDescent="0.35">
      <c r="A525" s="1" t="str">
        <f t="shared" si="8"/>
        <v>11</v>
      </c>
      <c r="B5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5" s="1" t="s">
        <v>4562</v>
      </c>
    </row>
    <row r="526" spans="1:8" x14ac:dyDescent="0.35">
      <c r="A526" s="1" t="str">
        <f t="shared" si="8"/>
        <v>11</v>
      </c>
      <c r="B5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6" s="1" t="s">
        <v>4563</v>
      </c>
      <c r="D526" s="1" t="s">
        <v>4564</v>
      </c>
      <c r="E526" s="1" t="s">
        <v>4565</v>
      </c>
      <c r="F526" s="1" t="s">
        <v>112</v>
      </c>
      <c r="G526" s="1">
        <v>180675</v>
      </c>
    </row>
    <row r="527" spans="1:8"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8"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242</v>
      </c>
      <c r="D528" s="1" t="s">
        <v>112</v>
      </c>
      <c r="E528" s="1" t="s">
        <v>243</v>
      </c>
      <c r="F528" s="1" t="s">
        <v>244</v>
      </c>
      <c r="G528" s="1" t="s">
        <v>245</v>
      </c>
      <c r="H528" s="1" t="s">
        <v>246</v>
      </c>
    </row>
    <row r="529" spans="1:8" x14ac:dyDescent="0.35">
      <c r="A529" s="1" t="str">
        <f t="shared" si="8"/>
        <v>11</v>
      </c>
      <c r="B5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9" s="1" t="s">
        <v>4566</v>
      </c>
      <c r="D529" s="1" t="s">
        <v>112</v>
      </c>
      <c r="E529" s="1" t="s">
        <v>4567</v>
      </c>
      <c r="F529" s="1" t="s">
        <v>4568</v>
      </c>
      <c r="G529" s="1" t="s">
        <v>4569</v>
      </c>
      <c r="H529" s="1" t="s">
        <v>4570</v>
      </c>
    </row>
    <row r="530" spans="1:8"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0" s="1" t="s">
        <v>112</v>
      </c>
    </row>
    <row r="531" spans="1:8" x14ac:dyDescent="0.35">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1" s="1" t="s">
        <v>112</v>
      </c>
    </row>
    <row r="532" spans="1:8" x14ac:dyDescent="0.35">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2" s="1" t="s">
        <v>112</v>
      </c>
    </row>
    <row r="533" spans="1:8" x14ac:dyDescent="0.35">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3" s="1" t="s">
        <v>112</v>
      </c>
    </row>
    <row r="534" spans="1:8" x14ac:dyDescent="0.35">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4" s="1" t="s">
        <v>112</v>
      </c>
    </row>
    <row r="535" spans="1:8" x14ac:dyDescent="0.35">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5" s="1" t="s">
        <v>172</v>
      </c>
      <c r="D535" s="1" t="s">
        <v>110</v>
      </c>
      <c r="E535" s="1" t="s">
        <v>111</v>
      </c>
      <c r="F535" s="1" t="s">
        <v>112</v>
      </c>
      <c r="G535" s="1" t="s">
        <v>113</v>
      </c>
    </row>
    <row r="536" spans="1:8" x14ac:dyDescent="0.35">
      <c r="A536" s="1" t="str">
        <f t="shared" si="8"/>
        <v>12</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6" s="1" t="s">
        <v>4571</v>
      </c>
      <c r="D536" s="1" t="s">
        <v>211</v>
      </c>
      <c r="E536" s="1" t="s">
        <v>4572</v>
      </c>
      <c r="F536" s="1" t="s">
        <v>112</v>
      </c>
      <c r="G536" s="1">
        <v>218440</v>
      </c>
    </row>
    <row r="537" spans="1:8" x14ac:dyDescent="0.35">
      <c r="A537" s="1" t="str">
        <f t="shared" si="8"/>
        <v>12</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7" s="1" t="s">
        <v>4573</v>
      </c>
      <c r="D537" s="1" t="s">
        <v>1118</v>
      </c>
      <c r="E537" s="1" t="s">
        <v>4574</v>
      </c>
      <c r="F537" s="1" t="s">
        <v>112</v>
      </c>
      <c r="G537" s="1">
        <v>223523</v>
      </c>
    </row>
    <row r="538" spans="1:8" x14ac:dyDescent="0.35">
      <c r="A538" s="1" t="str">
        <f t="shared" si="8"/>
        <v>12</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8" s="1" t="s">
        <v>4575</v>
      </c>
      <c r="D538" s="1" t="s">
        <v>2628</v>
      </c>
      <c r="E538" s="1" t="s">
        <v>4576</v>
      </c>
      <c r="F538" s="1" t="s">
        <v>112</v>
      </c>
      <c r="G538" s="1">
        <v>208274</v>
      </c>
    </row>
    <row r="539" spans="1:8" x14ac:dyDescent="0.35">
      <c r="A539" s="1" t="str">
        <f t="shared" si="8"/>
        <v>12</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9" s="1" t="s">
        <v>4577</v>
      </c>
      <c r="D539" s="1" t="s">
        <v>4578</v>
      </c>
      <c r="E539" s="1" t="s">
        <v>4579</v>
      </c>
      <c r="F539" s="1" t="s">
        <v>112</v>
      </c>
      <c r="G539" s="1">
        <v>547085</v>
      </c>
    </row>
    <row r="540" spans="1:8" x14ac:dyDescent="0.35">
      <c r="A540" s="1" t="str">
        <f t="shared" si="8"/>
        <v>12</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40" s="1" t="s">
        <v>4580</v>
      </c>
      <c r="D540" s="1" t="s">
        <v>1118</v>
      </c>
      <c r="E540" s="1" t="s">
        <v>4581</v>
      </c>
      <c r="F540" s="1" t="s">
        <v>112</v>
      </c>
      <c r="G540" s="1">
        <v>215931</v>
      </c>
    </row>
    <row r="541" spans="1:8" x14ac:dyDescent="0.35">
      <c r="A541" s="1" t="str">
        <f t="shared" si="8"/>
        <v>12</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41" s="1" t="s">
        <v>4582</v>
      </c>
      <c r="D541" s="1" t="s">
        <v>183</v>
      </c>
      <c r="E541" s="1" t="s">
        <v>4583</v>
      </c>
      <c r="F541" s="1" t="s">
        <v>112</v>
      </c>
      <c r="G541" s="1">
        <v>235182</v>
      </c>
    </row>
    <row r="542" spans="1:8" x14ac:dyDescent="0.35">
      <c r="A542" s="1" t="str">
        <f t="shared" si="8"/>
        <v>12</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42" s="1" t="s">
        <v>4584</v>
      </c>
      <c r="D542" s="1" t="s">
        <v>571</v>
      </c>
      <c r="E542" s="1" t="s">
        <v>4585</v>
      </c>
      <c r="F542" s="1" t="s">
        <v>112</v>
      </c>
      <c r="G542" s="1">
        <v>243358</v>
      </c>
    </row>
    <row r="543" spans="1:8" x14ac:dyDescent="0.35">
      <c r="A543" s="1" t="str">
        <f t="shared" si="8"/>
        <v>12</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43" s="1" t="s">
        <v>4586</v>
      </c>
      <c r="D543" s="1" t="s">
        <v>4587</v>
      </c>
      <c r="E543" s="1" t="s">
        <v>4588</v>
      </c>
      <c r="F543" s="1" t="s">
        <v>112</v>
      </c>
      <c r="G543" s="1">
        <v>394226</v>
      </c>
    </row>
    <row r="544" spans="1:8" x14ac:dyDescent="0.35">
      <c r="A544" s="1" t="str">
        <f t="shared" si="8"/>
        <v>12</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44" s="1" t="s">
        <v>4589</v>
      </c>
      <c r="D544" s="1" t="s">
        <v>3220</v>
      </c>
      <c r="E544" s="1" t="s">
        <v>4590</v>
      </c>
      <c r="F544" s="1" t="s">
        <v>112</v>
      </c>
      <c r="G544" s="1">
        <v>877438</v>
      </c>
    </row>
    <row r="545" spans="1:7" x14ac:dyDescent="0.35">
      <c r="A545" s="1" t="str">
        <f t="shared" si="8"/>
        <v>12</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45" s="1" t="s">
        <v>4591</v>
      </c>
      <c r="D545" s="1" t="s">
        <v>4592</v>
      </c>
      <c r="E545" s="1" t="s">
        <v>4593</v>
      </c>
      <c r="F545" s="1" t="s">
        <v>112</v>
      </c>
      <c r="G545" s="1">
        <v>906184</v>
      </c>
    </row>
    <row r="546" spans="1:7" x14ac:dyDescent="0.35">
      <c r="A546" s="1" t="str">
        <f t="shared" si="8"/>
        <v>12</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46" s="1" t="s">
        <v>4594</v>
      </c>
      <c r="D546" s="1" t="s">
        <v>4595</v>
      </c>
      <c r="E546" s="1" t="s">
        <v>4596</v>
      </c>
      <c r="F546" s="1" t="s">
        <v>112</v>
      </c>
      <c r="G546" s="1">
        <v>1024976</v>
      </c>
    </row>
    <row r="547" spans="1:7" x14ac:dyDescent="0.35">
      <c r="A547" s="1" t="str">
        <f t="shared" si="8"/>
        <v>12</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47" s="1" t="s">
        <v>4597</v>
      </c>
      <c r="D547" s="1" t="s">
        <v>4598</v>
      </c>
      <c r="E547" s="1" t="s">
        <v>4599</v>
      </c>
      <c r="F547" s="1" t="s">
        <v>112</v>
      </c>
      <c r="G547" s="1">
        <v>1144849</v>
      </c>
    </row>
    <row r="548" spans="1:7" x14ac:dyDescent="0.35">
      <c r="A548" s="1" t="str">
        <f t="shared" si="8"/>
        <v>12</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8" s="1" t="s">
        <v>4600</v>
      </c>
      <c r="D548" s="1" t="s">
        <v>548</v>
      </c>
      <c r="E548" s="1" t="s">
        <v>1006</v>
      </c>
      <c r="F548" s="1" t="s">
        <v>112</v>
      </c>
      <c r="G548" s="1">
        <v>18277</v>
      </c>
    </row>
    <row r="549" spans="1:7" x14ac:dyDescent="0.35">
      <c r="A549" s="1" t="str">
        <f t="shared" si="8"/>
        <v>12</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9" s="1" t="s">
        <v>4601</v>
      </c>
      <c r="D549" s="1" t="s">
        <v>4602</v>
      </c>
      <c r="E549" s="1" t="s">
        <v>4603</v>
      </c>
      <c r="F549" s="1" t="s">
        <v>112</v>
      </c>
      <c r="G549" s="1">
        <v>110875</v>
      </c>
    </row>
    <row r="550" spans="1:7" x14ac:dyDescent="0.35">
      <c r="A550" s="1" t="str">
        <f t="shared" si="8"/>
        <v>12</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50" s="1" t="s">
        <v>4604</v>
      </c>
      <c r="D550" s="1" t="s">
        <v>530</v>
      </c>
      <c r="E550" s="1" t="s">
        <v>1064</v>
      </c>
      <c r="F550" s="1" t="s">
        <v>112</v>
      </c>
      <c r="G550" s="1">
        <v>3439</v>
      </c>
    </row>
    <row r="551" spans="1:7" x14ac:dyDescent="0.35">
      <c r="A551" s="1" t="str">
        <f t="shared" si="8"/>
        <v>12</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51" s="1" t="s">
        <v>4605</v>
      </c>
      <c r="D551" s="1" t="s">
        <v>717</v>
      </c>
      <c r="E551" s="1" t="s">
        <v>4606</v>
      </c>
      <c r="F551" s="1" t="s">
        <v>112</v>
      </c>
      <c r="G551" s="1">
        <v>76570</v>
      </c>
    </row>
    <row r="552" spans="1:7" x14ac:dyDescent="0.35">
      <c r="A552" s="1" t="str">
        <f t="shared" si="8"/>
        <v>12</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52" s="1" t="s">
        <v>4607</v>
      </c>
      <c r="D552" s="1" t="s">
        <v>1557</v>
      </c>
      <c r="E552" s="1" t="s">
        <v>4608</v>
      </c>
      <c r="F552" s="1" t="s">
        <v>112</v>
      </c>
      <c r="G552" s="1">
        <v>93614</v>
      </c>
    </row>
    <row r="553" spans="1:7" x14ac:dyDescent="0.35">
      <c r="A553" s="1" t="str">
        <f t="shared" si="8"/>
        <v>12</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53" s="1" t="s">
        <v>4609</v>
      </c>
    </row>
    <row r="554" spans="1:7" x14ac:dyDescent="0.35">
      <c r="A554" s="1" t="str">
        <f t="shared" si="8"/>
        <v>12</v>
      </c>
      <c r="B5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54" s="1" t="s">
        <v>4610</v>
      </c>
      <c r="D554" s="1" t="s">
        <v>4611</v>
      </c>
      <c r="E554" s="1" t="s">
        <v>4612</v>
      </c>
      <c r="F554" s="1" t="s">
        <v>112</v>
      </c>
      <c r="G554" s="1">
        <v>404371</v>
      </c>
    </row>
    <row r="555" spans="1:7" x14ac:dyDescent="0.35">
      <c r="A555" s="1" t="str">
        <f t="shared" si="8"/>
        <v>12</v>
      </c>
      <c r="B5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55" s="1" t="s">
        <v>4613</v>
      </c>
      <c r="D555" s="1" t="s">
        <v>4614</v>
      </c>
      <c r="E555" s="1" t="s">
        <v>4615</v>
      </c>
      <c r="F555" s="1" t="s">
        <v>112</v>
      </c>
      <c r="G555" s="1">
        <v>528094</v>
      </c>
    </row>
    <row r="556" spans="1:7" x14ac:dyDescent="0.35">
      <c r="A556" s="1" t="str">
        <f t="shared" si="8"/>
        <v>12</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56" s="1" t="s">
        <v>4616</v>
      </c>
      <c r="D556" s="1" t="s">
        <v>3507</v>
      </c>
      <c r="E556" s="1" t="s">
        <v>4617</v>
      </c>
      <c r="F556" s="1" t="s">
        <v>112</v>
      </c>
      <c r="G556" s="1">
        <v>493378</v>
      </c>
    </row>
    <row r="557" spans="1:7" x14ac:dyDescent="0.35">
      <c r="A557" s="1" t="str">
        <f t="shared" si="8"/>
        <v>12</v>
      </c>
      <c r="B5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57" s="1" t="s">
        <v>4618</v>
      </c>
      <c r="D557" s="1" t="s">
        <v>4619</v>
      </c>
      <c r="E557" s="1" t="s">
        <v>4620</v>
      </c>
      <c r="F557" s="1" t="s">
        <v>112</v>
      </c>
      <c r="G557" s="1">
        <v>320815</v>
      </c>
    </row>
    <row r="558" spans="1:7" x14ac:dyDescent="0.35">
      <c r="A558" s="1" t="str">
        <f t="shared" si="8"/>
        <v>12</v>
      </c>
      <c r="B5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58" s="1" t="s">
        <v>4621</v>
      </c>
      <c r="D558" s="1" t="s">
        <v>3417</v>
      </c>
      <c r="E558" s="1" t="s">
        <v>4622</v>
      </c>
      <c r="F558" s="1" t="s">
        <v>112</v>
      </c>
      <c r="G558" s="1">
        <v>265658</v>
      </c>
    </row>
    <row r="559" spans="1:7" x14ac:dyDescent="0.35">
      <c r="A559" s="1" t="str">
        <f t="shared" si="8"/>
        <v>12</v>
      </c>
      <c r="B5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59" s="1" t="s">
        <v>4623</v>
      </c>
      <c r="D559" s="1" t="s">
        <v>3237</v>
      </c>
      <c r="E559" s="1" t="s">
        <v>4624</v>
      </c>
      <c r="F559" s="1" t="s">
        <v>112</v>
      </c>
      <c r="G559" s="1">
        <v>466665</v>
      </c>
    </row>
    <row r="560" spans="1:7" x14ac:dyDescent="0.35">
      <c r="A560" s="1" t="str">
        <f t="shared" si="8"/>
        <v>12</v>
      </c>
      <c r="B5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0" s="1" t="s">
        <v>4625</v>
      </c>
      <c r="D560" s="1" t="s">
        <v>4626</v>
      </c>
      <c r="E560" s="1" t="s">
        <v>4627</v>
      </c>
      <c r="F560" s="1" t="s">
        <v>112</v>
      </c>
      <c r="G560" s="1">
        <v>271563</v>
      </c>
    </row>
    <row r="561" spans="1:8" x14ac:dyDescent="0.35">
      <c r="A561" s="1" t="str">
        <f t="shared" si="8"/>
        <v>12</v>
      </c>
      <c r="B5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1" s="1" t="s">
        <v>4628</v>
      </c>
      <c r="D561" s="1" t="s">
        <v>183</v>
      </c>
      <c r="E561" s="1" t="s">
        <v>4629</v>
      </c>
      <c r="F561" s="1" t="s">
        <v>112</v>
      </c>
      <c r="G561" s="1">
        <v>258629</v>
      </c>
    </row>
    <row r="562" spans="1:8" x14ac:dyDescent="0.35">
      <c r="A562" s="1" t="str">
        <f t="shared" si="8"/>
        <v>12</v>
      </c>
      <c r="B5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2" s="1" t="s">
        <v>4630</v>
      </c>
      <c r="D562" s="1" t="s">
        <v>3420</v>
      </c>
      <c r="E562" s="1" t="s">
        <v>4631</v>
      </c>
      <c r="F562" s="1" t="s">
        <v>112</v>
      </c>
      <c r="G562" s="1">
        <v>322783</v>
      </c>
    </row>
    <row r="563" spans="1:8" x14ac:dyDescent="0.35">
      <c r="A563" s="1" t="str">
        <f t="shared" si="8"/>
        <v>12</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3" s="1" t="s">
        <v>4632</v>
      </c>
    </row>
    <row r="564" spans="1:8" x14ac:dyDescent="0.35">
      <c r="A564" s="1" t="str">
        <f t="shared" si="8"/>
        <v>12</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4" s="1" t="s">
        <v>4633</v>
      </c>
      <c r="D564" s="1" t="s">
        <v>4634</v>
      </c>
      <c r="E564" s="1" t="s">
        <v>4635</v>
      </c>
      <c r="F564" s="1" t="s">
        <v>112</v>
      </c>
      <c r="G564" s="1">
        <v>555412</v>
      </c>
    </row>
    <row r="565" spans="1:8" x14ac:dyDescent="0.35">
      <c r="A565" s="1" t="str">
        <f t="shared" si="8"/>
        <v>12</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5" s="1" t="s">
        <v>4636</v>
      </c>
      <c r="D565" s="1" t="s">
        <v>4637</v>
      </c>
      <c r="E565" s="1" t="s">
        <v>4638</v>
      </c>
      <c r="F565" s="1" t="s">
        <v>112</v>
      </c>
      <c r="G565" s="1">
        <v>83751</v>
      </c>
    </row>
    <row r="566" spans="1:8" x14ac:dyDescent="0.35">
      <c r="A566" s="1" t="str">
        <f t="shared" si="8"/>
        <v>12</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6" s="1" t="s">
        <v>4639</v>
      </c>
      <c r="D566" s="1" t="s">
        <v>4640</v>
      </c>
      <c r="E566" s="1" t="s">
        <v>4641</v>
      </c>
      <c r="F566" s="1" t="s">
        <v>112</v>
      </c>
      <c r="G566" s="1">
        <v>586733</v>
      </c>
    </row>
    <row r="567" spans="1:8" x14ac:dyDescent="0.35">
      <c r="A567" s="1" t="str">
        <f t="shared" si="8"/>
        <v>12</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7" s="1" t="s">
        <v>4642</v>
      </c>
      <c r="D567" s="1" t="s">
        <v>4643</v>
      </c>
      <c r="E567" s="1" t="s">
        <v>4644</v>
      </c>
      <c r="F567" s="1" t="s">
        <v>112</v>
      </c>
      <c r="G567" s="1">
        <v>976287</v>
      </c>
    </row>
    <row r="568" spans="1:8" x14ac:dyDescent="0.35">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8" s="1" t="s">
        <v>112</v>
      </c>
    </row>
    <row r="569" spans="1:8" x14ac:dyDescent="0.35">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9" s="1" t="s">
        <v>242</v>
      </c>
      <c r="D569" s="1" t="s">
        <v>112</v>
      </c>
      <c r="E569" s="1" t="s">
        <v>243</v>
      </c>
      <c r="F569" s="1" t="s">
        <v>244</v>
      </c>
      <c r="G569" s="1" t="s">
        <v>245</v>
      </c>
      <c r="H569" s="1" t="s">
        <v>246</v>
      </c>
    </row>
    <row r="570" spans="1:8" x14ac:dyDescent="0.35">
      <c r="A570" s="1" t="str">
        <f t="shared" si="8"/>
        <v>12</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70" s="1" t="s">
        <v>4645</v>
      </c>
      <c r="D570" s="1" t="s">
        <v>112</v>
      </c>
      <c r="E570" s="1" t="s">
        <v>4646</v>
      </c>
      <c r="F570" s="1" t="s">
        <v>4647</v>
      </c>
      <c r="G570" s="1" t="s">
        <v>4648</v>
      </c>
      <c r="H570" s="1" t="s">
        <v>4649</v>
      </c>
    </row>
    <row r="571" spans="1:8" x14ac:dyDescent="0.35">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1" s="1" t="s">
        <v>112</v>
      </c>
    </row>
    <row r="572" spans="1:8" x14ac:dyDescent="0.35">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2" s="1" t="s">
        <v>112</v>
      </c>
    </row>
    <row r="573" spans="1:8" x14ac:dyDescent="0.35">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3" s="1" t="s">
        <v>112</v>
      </c>
    </row>
    <row r="574" spans="1:8" x14ac:dyDescent="0.35">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4" s="1" t="s">
        <v>112</v>
      </c>
    </row>
    <row r="575" spans="1:8" x14ac:dyDescent="0.35">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5" s="1" t="s">
        <v>112</v>
      </c>
    </row>
    <row r="576" spans="1:8" x14ac:dyDescent="0.35">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6" s="1" t="s">
        <v>172</v>
      </c>
      <c r="D576" s="1" t="s">
        <v>110</v>
      </c>
      <c r="E576" s="1" t="s">
        <v>111</v>
      </c>
      <c r="F576" s="1" t="s">
        <v>112</v>
      </c>
      <c r="G576" s="1" t="s">
        <v>113</v>
      </c>
    </row>
    <row r="577" spans="1:7" x14ac:dyDescent="0.35">
      <c r="A577" s="1" t="str">
        <f t="shared" si="8"/>
        <v>17</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77" s="1" t="s">
        <v>4650</v>
      </c>
      <c r="D577" s="1" t="s">
        <v>4651</v>
      </c>
      <c r="E577" s="1" t="s">
        <v>4652</v>
      </c>
      <c r="F577" s="1" t="s">
        <v>112</v>
      </c>
      <c r="G577" s="1">
        <v>2079044</v>
      </c>
    </row>
    <row r="578" spans="1:7" x14ac:dyDescent="0.35">
      <c r="A578" s="1" t="str">
        <f t="shared" ref="A578:A641" si="9">IFERROR(LEFT(RIGHT(C578,LEN(C578)-SEARCH("@",C578)),SEARCH("/",RIGHT(C578,LEN(C578)-SEARCH("@",C578)-1))),"")</f>
        <v>17</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78" s="1" t="s">
        <v>4653</v>
      </c>
      <c r="D578" s="1" t="s">
        <v>4654</v>
      </c>
      <c r="E578" s="1" t="s">
        <v>4655</v>
      </c>
      <c r="F578" s="1" t="s">
        <v>112</v>
      </c>
      <c r="G578" s="1">
        <v>2818202</v>
      </c>
    </row>
    <row r="579" spans="1:7" x14ac:dyDescent="0.35">
      <c r="A579" s="1" t="str">
        <f t="shared" si="9"/>
        <v>17</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79" s="1" t="s">
        <v>4656</v>
      </c>
      <c r="D579" s="1" t="s">
        <v>4657</v>
      </c>
      <c r="E579" s="1" t="s">
        <v>4658</v>
      </c>
      <c r="F579" s="1" t="s">
        <v>112</v>
      </c>
      <c r="G579" s="1">
        <v>2400767</v>
      </c>
    </row>
    <row r="580" spans="1:7" x14ac:dyDescent="0.35">
      <c r="A580" s="1" t="str">
        <f t="shared" si="9"/>
        <v>17</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80" s="1" t="s">
        <v>4659</v>
      </c>
      <c r="D580" s="1" t="s">
        <v>4660</v>
      </c>
      <c r="E580" s="1" t="s">
        <v>4661</v>
      </c>
      <c r="F580" s="1" t="s">
        <v>112</v>
      </c>
      <c r="G580" s="1">
        <v>2360103</v>
      </c>
    </row>
    <row r="581" spans="1:7" x14ac:dyDescent="0.35">
      <c r="A581" s="1" t="str">
        <f t="shared" si="9"/>
        <v>17</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1" s="1" t="s">
        <v>4662</v>
      </c>
      <c r="D581" s="1" t="s">
        <v>4663</v>
      </c>
      <c r="E581" s="1" t="s">
        <v>4664</v>
      </c>
      <c r="F581" s="1" t="s">
        <v>112</v>
      </c>
      <c r="G581" s="1">
        <v>3396715</v>
      </c>
    </row>
    <row r="582" spans="1:7" x14ac:dyDescent="0.35">
      <c r="A582" s="1" t="str">
        <f t="shared" si="9"/>
        <v>17</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2" s="1" t="s">
        <v>4665</v>
      </c>
      <c r="D582" s="1" t="s">
        <v>2433</v>
      </c>
      <c r="E582" s="1" t="s">
        <v>4666</v>
      </c>
      <c r="F582" s="1" t="s">
        <v>112</v>
      </c>
      <c r="G582" s="1">
        <v>3836992</v>
      </c>
    </row>
    <row r="583" spans="1:7" x14ac:dyDescent="0.35">
      <c r="A583" s="1" t="str">
        <f t="shared" si="9"/>
        <v>17</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3" s="1" t="s">
        <v>4667</v>
      </c>
      <c r="D583" s="1" t="s">
        <v>4668</v>
      </c>
      <c r="E583" s="1" t="s">
        <v>4669</v>
      </c>
      <c r="F583" s="1" t="s">
        <v>112</v>
      </c>
      <c r="G583" s="1">
        <v>3366196</v>
      </c>
    </row>
    <row r="584" spans="1:7" x14ac:dyDescent="0.35">
      <c r="A584" s="1" t="str">
        <f t="shared" si="9"/>
        <v>17</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4" s="1" t="s">
        <v>4670</v>
      </c>
      <c r="D584" s="1" t="s">
        <v>4671</v>
      </c>
      <c r="E584" s="1" t="s">
        <v>4672</v>
      </c>
      <c r="F584" s="1" t="s">
        <v>112</v>
      </c>
      <c r="G584" s="1">
        <v>3181563</v>
      </c>
    </row>
    <row r="585" spans="1:7" x14ac:dyDescent="0.35">
      <c r="A585" s="1" t="str">
        <f t="shared" si="9"/>
        <v>17</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5" s="1" t="s">
        <v>4673</v>
      </c>
      <c r="D585" s="1" t="s">
        <v>4674</v>
      </c>
      <c r="E585" s="1" t="s">
        <v>4675</v>
      </c>
      <c r="F585" s="1" t="s">
        <v>112</v>
      </c>
      <c r="G585" s="1">
        <v>3334551</v>
      </c>
    </row>
    <row r="586" spans="1:7" x14ac:dyDescent="0.35">
      <c r="A586" s="1" t="str">
        <f t="shared" si="9"/>
        <v>17</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6" s="1" t="s">
        <v>4676</v>
      </c>
      <c r="D586" s="1" t="s">
        <v>4677</v>
      </c>
      <c r="E586" s="1" t="s">
        <v>4678</v>
      </c>
      <c r="F586" s="1" t="s">
        <v>112</v>
      </c>
      <c r="G586" s="1">
        <v>3433097</v>
      </c>
    </row>
    <row r="587" spans="1:7" x14ac:dyDescent="0.35">
      <c r="A587" s="1" t="str">
        <f t="shared" si="9"/>
        <v>17</v>
      </c>
      <c r="B5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7" s="1" t="s">
        <v>4679</v>
      </c>
      <c r="D587" s="1" t="s">
        <v>4680</v>
      </c>
      <c r="E587" s="1" t="s">
        <v>4681</v>
      </c>
      <c r="F587" s="1" t="s">
        <v>112</v>
      </c>
      <c r="G587" s="1">
        <v>2915277</v>
      </c>
    </row>
    <row r="588" spans="1:7" x14ac:dyDescent="0.35">
      <c r="A588" s="1" t="str">
        <f t="shared" si="9"/>
        <v>17</v>
      </c>
      <c r="B5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8" s="1" t="s">
        <v>4682</v>
      </c>
      <c r="D588" s="1" t="s">
        <v>4683</v>
      </c>
      <c r="E588" s="1" t="s">
        <v>4684</v>
      </c>
      <c r="F588" s="1" t="s">
        <v>112</v>
      </c>
      <c r="G588" s="1">
        <v>3991624</v>
      </c>
    </row>
    <row r="589" spans="1:7" x14ac:dyDescent="0.35">
      <c r="A589" s="1" t="str">
        <f t="shared" si="9"/>
        <v>17</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89" s="1" t="s">
        <v>4685</v>
      </c>
      <c r="D589" s="1" t="s">
        <v>4686</v>
      </c>
      <c r="E589" s="1" t="s">
        <v>4687</v>
      </c>
      <c r="F589" s="1" t="s">
        <v>112</v>
      </c>
      <c r="G589" s="1">
        <v>3968675</v>
      </c>
    </row>
    <row r="590" spans="1:7" x14ac:dyDescent="0.35">
      <c r="A590" s="1" t="str">
        <f t="shared" si="9"/>
        <v>17</v>
      </c>
      <c r="B5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0" s="1" t="s">
        <v>4688</v>
      </c>
      <c r="D590" s="1" t="s">
        <v>4689</v>
      </c>
      <c r="E590" s="1" t="s">
        <v>4690</v>
      </c>
      <c r="F590" s="1" t="s">
        <v>112</v>
      </c>
      <c r="G590" s="1">
        <v>3906272</v>
      </c>
    </row>
    <row r="591" spans="1:7" x14ac:dyDescent="0.35">
      <c r="A591" s="1" t="str">
        <f t="shared" si="9"/>
        <v>17</v>
      </c>
      <c r="B5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1" s="1" t="s">
        <v>4691</v>
      </c>
      <c r="D591" s="1" t="s">
        <v>4692</v>
      </c>
      <c r="E591" s="1" t="s">
        <v>4693</v>
      </c>
      <c r="F591" s="1" t="s">
        <v>112</v>
      </c>
      <c r="G591" s="1">
        <v>3401971</v>
      </c>
    </row>
    <row r="592" spans="1:7" x14ac:dyDescent="0.35">
      <c r="A592" s="1" t="str">
        <f t="shared" si="9"/>
        <v>17</v>
      </c>
      <c r="B5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2" s="1" t="s">
        <v>4694</v>
      </c>
      <c r="D592" s="1" t="s">
        <v>2532</v>
      </c>
      <c r="E592" s="1" t="s">
        <v>4695</v>
      </c>
      <c r="F592" s="1" t="s">
        <v>112</v>
      </c>
      <c r="G592" s="1">
        <v>3896863</v>
      </c>
    </row>
    <row r="593" spans="1:7" x14ac:dyDescent="0.35">
      <c r="A593" s="1" t="str">
        <f t="shared" si="9"/>
        <v>17</v>
      </c>
      <c r="B5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3" s="1" t="s">
        <v>4696</v>
      </c>
      <c r="D593" s="1" t="s">
        <v>4697</v>
      </c>
      <c r="E593" s="1" t="s">
        <v>4698</v>
      </c>
      <c r="F593" s="1" t="s">
        <v>112</v>
      </c>
      <c r="G593" s="1">
        <v>3955437</v>
      </c>
    </row>
    <row r="594" spans="1:7" x14ac:dyDescent="0.35">
      <c r="A594" s="1" t="str">
        <f t="shared" si="9"/>
        <v>17</v>
      </c>
      <c r="B5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4" s="1" t="s">
        <v>4699</v>
      </c>
      <c r="D594" s="1" t="s">
        <v>4700</v>
      </c>
      <c r="E594" s="1" t="s">
        <v>4701</v>
      </c>
      <c r="F594" s="1" t="s">
        <v>112</v>
      </c>
      <c r="G594" s="1">
        <v>3487237</v>
      </c>
    </row>
    <row r="595" spans="1:7" x14ac:dyDescent="0.35">
      <c r="A595" s="1" t="str">
        <f t="shared" si="9"/>
        <v>17</v>
      </c>
      <c r="B5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5" s="1" t="s">
        <v>4702</v>
      </c>
      <c r="D595" s="1" t="s">
        <v>4703</v>
      </c>
      <c r="E595" s="1" t="s">
        <v>4704</v>
      </c>
      <c r="F595" s="1" t="s">
        <v>112</v>
      </c>
      <c r="G595" s="1">
        <v>3276367</v>
      </c>
    </row>
    <row r="596" spans="1:7" x14ac:dyDescent="0.35">
      <c r="A596" s="1" t="str">
        <f t="shared" si="9"/>
        <v>17</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6" s="1" t="s">
        <v>4705</v>
      </c>
      <c r="D596" s="1" t="s">
        <v>4706</v>
      </c>
      <c r="E596" s="1" t="s">
        <v>4707</v>
      </c>
      <c r="F596" s="1" t="s">
        <v>112</v>
      </c>
      <c r="G596" s="1">
        <v>4345489</v>
      </c>
    </row>
    <row r="597" spans="1:7" x14ac:dyDescent="0.35">
      <c r="A597" s="1" t="str">
        <f t="shared" si="9"/>
        <v>17</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97" s="1" t="s">
        <v>4708</v>
      </c>
      <c r="D597" s="1" t="s">
        <v>4709</v>
      </c>
      <c r="E597" s="1" t="s">
        <v>4710</v>
      </c>
      <c r="F597" s="1" t="s">
        <v>112</v>
      </c>
      <c r="G597" s="1">
        <v>2862154</v>
      </c>
    </row>
    <row r="598" spans="1:7" x14ac:dyDescent="0.35">
      <c r="A598" s="1" t="str">
        <f t="shared" si="9"/>
        <v>17</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98" s="1" t="s">
        <v>4711</v>
      </c>
      <c r="D598" s="1" t="s">
        <v>4712</v>
      </c>
      <c r="E598" s="1" t="s">
        <v>4713</v>
      </c>
      <c r="F598" s="1" t="s">
        <v>112</v>
      </c>
      <c r="G598" s="1">
        <v>2847770</v>
      </c>
    </row>
    <row r="599" spans="1:7" x14ac:dyDescent="0.35">
      <c r="A599" s="1" t="str">
        <f t="shared" si="9"/>
        <v>17</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99" s="1" t="s">
        <v>4714</v>
      </c>
      <c r="D599" s="1" t="s">
        <v>4240</v>
      </c>
      <c r="E599" s="1" t="s">
        <v>4715</v>
      </c>
      <c r="F599" s="1" t="s">
        <v>112</v>
      </c>
      <c r="G599" s="1">
        <v>3040839</v>
      </c>
    </row>
    <row r="600" spans="1:7" x14ac:dyDescent="0.35">
      <c r="A600" s="1" t="str">
        <f t="shared" si="9"/>
        <v>17</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00" s="1" t="s">
        <v>4716</v>
      </c>
      <c r="D600" s="1" t="s">
        <v>4717</v>
      </c>
      <c r="E600" s="1" t="s">
        <v>4718</v>
      </c>
      <c r="F600" s="1" t="s">
        <v>112</v>
      </c>
      <c r="G600" s="1">
        <v>2751474</v>
      </c>
    </row>
    <row r="601" spans="1:7" x14ac:dyDescent="0.35">
      <c r="A601" s="1" t="str">
        <f t="shared" si="9"/>
        <v>17</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01" s="1" t="s">
        <v>4719</v>
      </c>
      <c r="D601" s="1" t="s">
        <v>4720</v>
      </c>
      <c r="E601" s="1" t="s">
        <v>4721</v>
      </c>
      <c r="F601" s="1" t="s">
        <v>112</v>
      </c>
      <c r="G601" s="1">
        <v>2850344</v>
      </c>
    </row>
    <row r="602" spans="1:7" x14ac:dyDescent="0.35">
      <c r="A602" s="1" t="str">
        <f t="shared" si="9"/>
        <v>17</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02" s="1" t="s">
        <v>4722</v>
      </c>
      <c r="D602" s="1" t="s">
        <v>4723</v>
      </c>
      <c r="E602" s="1" t="s">
        <v>4724</v>
      </c>
      <c r="F602" s="1" t="s">
        <v>112</v>
      </c>
      <c r="G602" s="1">
        <v>3192464</v>
      </c>
    </row>
    <row r="603" spans="1:7" x14ac:dyDescent="0.35">
      <c r="A603" s="1" t="str">
        <f t="shared" si="9"/>
        <v>17</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03" s="1" t="s">
        <v>4725</v>
      </c>
      <c r="D603" s="1" t="s">
        <v>4726</v>
      </c>
      <c r="E603" s="1" t="s">
        <v>4727</v>
      </c>
      <c r="F603" s="1" t="s">
        <v>112</v>
      </c>
      <c r="G603" s="1">
        <v>2601276</v>
      </c>
    </row>
    <row r="604" spans="1:7" x14ac:dyDescent="0.35">
      <c r="A604" s="1" t="str">
        <f t="shared" si="9"/>
        <v>17</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04" s="1" t="s">
        <v>4728</v>
      </c>
      <c r="D604" s="1" t="s">
        <v>2357</v>
      </c>
      <c r="E604" s="1" t="s">
        <v>4729</v>
      </c>
      <c r="F604" s="1" t="s">
        <v>112</v>
      </c>
      <c r="G604" s="1">
        <v>2500351</v>
      </c>
    </row>
    <row r="605" spans="1:7" x14ac:dyDescent="0.35">
      <c r="A605" s="1" t="str">
        <f t="shared" si="9"/>
        <v>17</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5" s="1" t="s">
        <v>4730</v>
      </c>
    </row>
    <row r="606" spans="1:7" x14ac:dyDescent="0.35">
      <c r="A606" s="1" t="str">
        <f t="shared" si="9"/>
        <v>17</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6" s="1" t="s">
        <v>4731</v>
      </c>
      <c r="D606" s="1" t="s">
        <v>2380</v>
      </c>
      <c r="E606" s="1" t="s">
        <v>4732</v>
      </c>
      <c r="F606" s="1" t="s">
        <v>112</v>
      </c>
      <c r="G606" s="1">
        <v>2167878</v>
      </c>
    </row>
    <row r="607" spans="1:7" x14ac:dyDescent="0.35">
      <c r="A607" s="1" t="str">
        <f t="shared" si="9"/>
        <v>17</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7" s="1" t="s">
        <v>4733</v>
      </c>
      <c r="D607" s="1" t="s">
        <v>4734</v>
      </c>
      <c r="E607" s="1" t="s">
        <v>4735</v>
      </c>
      <c r="F607" s="1" t="s">
        <v>112</v>
      </c>
      <c r="G607" s="1">
        <v>2238261</v>
      </c>
    </row>
    <row r="608" spans="1:7" x14ac:dyDescent="0.35">
      <c r="A608" s="1" t="str">
        <f t="shared" si="9"/>
        <v>17</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8" s="1" t="s">
        <v>4736</v>
      </c>
      <c r="D608" s="1" t="s">
        <v>4737</v>
      </c>
      <c r="E608" s="1" t="s">
        <v>4738</v>
      </c>
      <c r="F608" s="1" t="s">
        <v>112</v>
      </c>
      <c r="G608" s="1">
        <v>2838405</v>
      </c>
    </row>
    <row r="609" spans="1:8" x14ac:dyDescent="0.35">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9" s="1" t="s">
        <v>112</v>
      </c>
    </row>
    <row r="610" spans="1:8" x14ac:dyDescent="0.35">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0" s="1" t="s">
        <v>242</v>
      </c>
      <c r="D610" s="1" t="s">
        <v>112</v>
      </c>
      <c r="E610" s="1" t="s">
        <v>243</v>
      </c>
      <c r="F610" s="1" t="s">
        <v>244</v>
      </c>
      <c r="G610" s="1" t="s">
        <v>245</v>
      </c>
      <c r="H610" s="1" t="s">
        <v>246</v>
      </c>
    </row>
    <row r="611" spans="1:8" x14ac:dyDescent="0.35">
      <c r="A611" s="1" t="str">
        <f t="shared" si="9"/>
        <v>17</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1" s="1" t="s">
        <v>4739</v>
      </c>
      <c r="D611" s="1" t="s">
        <v>112</v>
      </c>
      <c r="E611" s="1" t="s">
        <v>4740</v>
      </c>
      <c r="F611" s="1" t="s">
        <v>4741</v>
      </c>
      <c r="G611" s="1" t="s">
        <v>4742</v>
      </c>
      <c r="H611" s="1" t="s">
        <v>4743</v>
      </c>
    </row>
    <row r="612" spans="1:8" x14ac:dyDescent="0.35">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2" s="1" t="s">
        <v>112</v>
      </c>
    </row>
    <row r="613" spans="1:8" x14ac:dyDescent="0.35">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3" s="1" t="s">
        <v>112</v>
      </c>
    </row>
    <row r="614" spans="1:8" x14ac:dyDescent="0.35">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4" s="1" t="s">
        <v>112</v>
      </c>
    </row>
    <row r="615" spans="1:8" x14ac:dyDescent="0.35">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5" s="1" t="s">
        <v>112</v>
      </c>
    </row>
    <row r="616" spans="1:8" x14ac:dyDescent="0.35">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6" s="1" t="s">
        <v>112</v>
      </c>
    </row>
    <row r="617" spans="1:8" x14ac:dyDescent="0.35">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7" s="1" t="s">
        <v>172</v>
      </c>
      <c r="D617" s="1" t="s">
        <v>110</v>
      </c>
      <c r="E617" s="1" t="s">
        <v>111</v>
      </c>
      <c r="F617" s="1" t="s">
        <v>112</v>
      </c>
      <c r="G617" s="1" t="s">
        <v>113</v>
      </c>
    </row>
    <row r="618" spans="1:8" x14ac:dyDescent="0.35">
      <c r="A618" s="1" t="str">
        <f t="shared" si="9"/>
        <v>18</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18" s="1" t="s">
        <v>4744</v>
      </c>
      <c r="D618" s="1" t="s">
        <v>4745</v>
      </c>
      <c r="E618" s="1" t="s">
        <v>4746</v>
      </c>
      <c r="F618" s="1" t="s">
        <v>112</v>
      </c>
      <c r="G618" s="1">
        <v>1583589</v>
      </c>
    </row>
    <row r="619" spans="1:8" x14ac:dyDescent="0.35">
      <c r="A619" s="1" t="str">
        <f t="shared" si="9"/>
        <v>18</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19" s="1" t="s">
        <v>4747</v>
      </c>
      <c r="D619" s="1" t="s">
        <v>4748</v>
      </c>
      <c r="E619" s="1" t="s">
        <v>4749</v>
      </c>
      <c r="F619" s="1" t="s">
        <v>112</v>
      </c>
      <c r="G619" s="1">
        <v>1394133</v>
      </c>
    </row>
    <row r="620" spans="1:8" x14ac:dyDescent="0.35">
      <c r="A620" s="1" t="str">
        <f t="shared" si="9"/>
        <v>18</v>
      </c>
      <c r="B6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0" s="1" t="s">
        <v>4750</v>
      </c>
    </row>
    <row r="621" spans="1:8" x14ac:dyDescent="0.35">
      <c r="A621" s="1" t="str">
        <f t="shared" si="9"/>
        <v>18</v>
      </c>
      <c r="B6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1" s="1" t="s">
        <v>4751</v>
      </c>
      <c r="D621" s="1" t="s">
        <v>764</v>
      </c>
      <c r="E621" s="1" t="s">
        <v>4752</v>
      </c>
      <c r="F621" s="1" t="s">
        <v>112</v>
      </c>
      <c r="G621" s="1">
        <v>1824352</v>
      </c>
    </row>
    <row r="622" spans="1:8" x14ac:dyDescent="0.35">
      <c r="A622" s="1" t="str">
        <f t="shared" si="9"/>
        <v>18</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22" s="1" t="s">
        <v>4753</v>
      </c>
      <c r="D622" s="1" t="s">
        <v>4754</v>
      </c>
      <c r="E622" s="1" t="s">
        <v>4755</v>
      </c>
      <c r="F622" s="1" t="s">
        <v>112</v>
      </c>
      <c r="G622" s="1">
        <v>1444769</v>
      </c>
    </row>
    <row r="623" spans="1:8" x14ac:dyDescent="0.35">
      <c r="A623" s="1" t="str">
        <f t="shared" si="9"/>
        <v>18</v>
      </c>
      <c r="B6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23" s="1" t="s">
        <v>4756</v>
      </c>
      <c r="D623" s="1" t="s">
        <v>4757</v>
      </c>
      <c r="E623" s="1" t="s">
        <v>4758</v>
      </c>
      <c r="F623" s="1" t="s">
        <v>112</v>
      </c>
      <c r="G623" s="1">
        <v>2154164</v>
      </c>
    </row>
    <row r="624" spans="1:8" x14ac:dyDescent="0.35">
      <c r="A624" s="1" t="str">
        <f t="shared" si="9"/>
        <v>18</v>
      </c>
      <c r="B6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24" s="1" t="s">
        <v>4759</v>
      </c>
      <c r="D624" s="1" t="s">
        <v>4760</v>
      </c>
      <c r="E624" s="1" t="s">
        <v>4761</v>
      </c>
      <c r="F624" s="1" t="s">
        <v>112</v>
      </c>
      <c r="G624" s="1">
        <v>1864302</v>
      </c>
    </row>
    <row r="625" spans="1:7" x14ac:dyDescent="0.35">
      <c r="A625" s="1" t="str">
        <f t="shared" si="9"/>
        <v>18</v>
      </c>
      <c r="B6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25" s="1" t="s">
        <v>4762</v>
      </c>
      <c r="D625" s="1" t="s">
        <v>4763</v>
      </c>
      <c r="E625" s="1" t="s">
        <v>4764</v>
      </c>
      <c r="F625" s="1" t="s">
        <v>112</v>
      </c>
      <c r="G625" s="1">
        <v>2575493</v>
      </c>
    </row>
    <row r="626" spans="1:7" x14ac:dyDescent="0.35">
      <c r="A626" s="1" t="str">
        <f t="shared" si="9"/>
        <v>18</v>
      </c>
      <c r="B6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6" s="1" t="s">
        <v>4765</v>
      </c>
      <c r="D626" s="1" t="s">
        <v>4766</v>
      </c>
      <c r="E626" s="1" t="s">
        <v>4767</v>
      </c>
      <c r="F626" s="1" t="s">
        <v>112</v>
      </c>
      <c r="G626" s="1">
        <v>2687514</v>
      </c>
    </row>
    <row r="627" spans="1:7" x14ac:dyDescent="0.35">
      <c r="A627" s="1" t="str">
        <f t="shared" si="9"/>
        <v>18</v>
      </c>
      <c r="B6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7" s="1" t="s">
        <v>4768</v>
      </c>
      <c r="D627" s="1" t="s">
        <v>2886</v>
      </c>
      <c r="E627" s="1" t="s">
        <v>4769</v>
      </c>
      <c r="F627" s="1" t="s">
        <v>112</v>
      </c>
      <c r="G627" s="1">
        <v>2651847</v>
      </c>
    </row>
    <row r="628" spans="1:7" x14ac:dyDescent="0.35">
      <c r="A628" s="1" t="str">
        <f t="shared" si="9"/>
        <v>18</v>
      </c>
      <c r="B6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8" s="1" t="s">
        <v>4770</v>
      </c>
      <c r="D628" s="1" t="s">
        <v>1971</v>
      </c>
      <c r="E628" s="1" t="s">
        <v>4771</v>
      </c>
      <c r="F628" s="1" t="s">
        <v>112</v>
      </c>
      <c r="G628" s="1">
        <v>3365633</v>
      </c>
    </row>
    <row r="629" spans="1:7" x14ac:dyDescent="0.35">
      <c r="A629" s="1" t="str">
        <f t="shared" si="9"/>
        <v>18</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9" s="1" t="s">
        <v>4772</v>
      </c>
      <c r="D629" s="1" t="s">
        <v>4773</v>
      </c>
      <c r="E629" s="1" t="s">
        <v>4774</v>
      </c>
      <c r="F629" s="1" t="s">
        <v>112</v>
      </c>
      <c r="G629" s="1">
        <v>3351963</v>
      </c>
    </row>
    <row r="630" spans="1:7" x14ac:dyDescent="0.35">
      <c r="A630" s="1" t="str">
        <f t="shared" si="9"/>
        <v>18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0" s="1" t="s">
        <v>4775</v>
      </c>
      <c r="D630" s="1" t="s">
        <v>4776</v>
      </c>
      <c r="E630" s="1" t="s">
        <v>4777</v>
      </c>
      <c r="F630" s="1" t="s">
        <v>112</v>
      </c>
      <c r="G630" s="1">
        <v>3343895</v>
      </c>
    </row>
    <row r="631" spans="1:7" x14ac:dyDescent="0.35">
      <c r="A631" s="1" t="str">
        <f t="shared" si="9"/>
        <v>18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1" s="1" t="s">
        <v>4778</v>
      </c>
      <c r="D631" s="1" t="s">
        <v>3112</v>
      </c>
      <c r="E631" s="1" t="s">
        <v>4779</v>
      </c>
      <c r="F631" s="1" t="s">
        <v>112</v>
      </c>
      <c r="G631" s="1">
        <v>3639424</v>
      </c>
    </row>
    <row r="632" spans="1:7" x14ac:dyDescent="0.35">
      <c r="A632" s="1" t="str">
        <f t="shared" si="9"/>
        <v>18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2" s="1" t="s">
        <v>4780</v>
      </c>
      <c r="D632" s="1" t="s">
        <v>4781</v>
      </c>
      <c r="E632" s="1" t="s">
        <v>4782</v>
      </c>
      <c r="F632" s="1" t="s">
        <v>112</v>
      </c>
      <c r="G632" s="1">
        <v>3200359</v>
      </c>
    </row>
    <row r="633" spans="1:7" x14ac:dyDescent="0.35">
      <c r="A633" s="1" t="str">
        <f t="shared" si="9"/>
        <v>18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3" s="1" t="s">
        <v>4783</v>
      </c>
      <c r="D633" s="1" t="s">
        <v>4784</v>
      </c>
      <c r="E633" s="1" t="s">
        <v>4785</v>
      </c>
      <c r="F633" s="1" t="s">
        <v>112</v>
      </c>
      <c r="G633" s="1">
        <v>3517735</v>
      </c>
    </row>
    <row r="634" spans="1:7" x14ac:dyDescent="0.35">
      <c r="A634" s="1" t="str">
        <f t="shared" si="9"/>
        <v>18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34" s="1" t="s">
        <v>4786</v>
      </c>
      <c r="D634" s="1" t="s">
        <v>4787</v>
      </c>
      <c r="E634" s="1" t="s">
        <v>4788</v>
      </c>
      <c r="F634" s="1" t="s">
        <v>112</v>
      </c>
      <c r="G634" s="1">
        <v>2701898</v>
      </c>
    </row>
    <row r="635" spans="1:7" x14ac:dyDescent="0.35">
      <c r="A635" s="1" t="str">
        <f t="shared" si="9"/>
        <v>18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35" s="1" t="s">
        <v>4789</v>
      </c>
      <c r="D635" s="1" t="s">
        <v>1500</v>
      </c>
      <c r="E635" s="1" t="s">
        <v>4790</v>
      </c>
      <c r="F635" s="1" t="s">
        <v>112</v>
      </c>
      <c r="G635" s="1">
        <v>2719721</v>
      </c>
    </row>
    <row r="636" spans="1:7" x14ac:dyDescent="0.35">
      <c r="A636" s="1" t="str">
        <f t="shared" si="9"/>
        <v>18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36" s="1" t="s">
        <v>4791</v>
      </c>
      <c r="D636" s="1" t="s">
        <v>4792</v>
      </c>
      <c r="E636" s="1" t="s">
        <v>4793</v>
      </c>
      <c r="F636" s="1" t="s">
        <v>112</v>
      </c>
      <c r="G636" s="1">
        <v>2760688</v>
      </c>
    </row>
    <row r="637" spans="1:7" x14ac:dyDescent="0.35">
      <c r="A637" s="1" t="str">
        <f t="shared" si="9"/>
        <v>18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37" s="1" t="s">
        <v>4794</v>
      </c>
      <c r="D637" s="1" t="s">
        <v>4246</v>
      </c>
      <c r="E637" s="1" t="s">
        <v>4795</v>
      </c>
      <c r="F637" s="1" t="s">
        <v>112</v>
      </c>
      <c r="G637" s="1">
        <v>3081525</v>
      </c>
    </row>
    <row r="638" spans="1:7" x14ac:dyDescent="0.35">
      <c r="A638" s="1" t="str">
        <f t="shared" si="9"/>
        <v>18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38" s="1" t="s">
        <v>4796</v>
      </c>
      <c r="D638" s="1" t="s">
        <v>4797</v>
      </c>
      <c r="E638" s="1" t="s">
        <v>4798</v>
      </c>
      <c r="F638" s="1" t="s">
        <v>112</v>
      </c>
      <c r="G638" s="1">
        <v>3212558</v>
      </c>
    </row>
    <row r="639" spans="1:7" x14ac:dyDescent="0.35">
      <c r="A639" s="1" t="str">
        <f t="shared" si="9"/>
        <v>18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39" s="1" t="s">
        <v>4799</v>
      </c>
      <c r="D639" s="1" t="s">
        <v>4800</v>
      </c>
      <c r="E639" s="1" t="s">
        <v>4801</v>
      </c>
      <c r="F639" s="1" t="s">
        <v>112</v>
      </c>
      <c r="G639" s="1">
        <v>3567224</v>
      </c>
    </row>
    <row r="640" spans="1:7" x14ac:dyDescent="0.35">
      <c r="A640" s="1" t="str">
        <f t="shared" si="9"/>
        <v>18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0" s="1" t="s">
        <v>4802</v>
      </c>
      <c r="D640" s="1" t="s">
        <v>4773</v>
      </c>
      <c r="E640" s="1" t="s">
        <v>4803</v>
      </c>
      <c r="F640" s="1" t="s">
        <v>112</v>
      </c>
      <c r="G640" s="1">
        <v>3425743</v>
      </c>
    </row>
    <row r="641" spans="1:8" x14ac:dyDescent="0.35">
      <c r="A641" s="1" t="str">
        <f t="shared" si="9"/>
        <v>18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1" s="1" t="s">
        <v>4804</v>
      </c>
      <c r="D641" s="1" t="s">
        <v>4805</v>
      </c>
      <c r="E641" s="1" t="s">
        <v>4806</v>
      </c>
      <c r="F641" s="1" t="s">
        <v>112</v>
      </c>
      <c r="G641" s="1">
        <v>3119161</v>
      </c>
    </row>
    <row r="642" spans="1:8" x14ac:dyDescent="0.35">
      <c r="A642" s="1" t="str">
        <f t="shared" ref="A642:A705" si="10">IFERROR(LEFT(RIGHT(C642,LEN(C642)-SEARCH("@",C642)),SEARCH("/",RIGHT(C642,LEN(C642)-SEARCH("@",C642)-1))),"")</f>
        <v>18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2" s="1" t="s">
        <v>4807</v>
      </c>
      <c r="D642" s="1" t="s">
        <v>1974</v>
      </c>
      <c r="E642" s="1" t="s">
        <v>4808</v>
      </c>
      <c r="F642" s="1" t="s">
        <v>112</v>
      </c>
      <c r="G642" s="1">
        <v>3333621</v>
      </c>
    </row>
    <row r="643" spans="1:8" x14ac:dyDescent="0.35">
      <c r="A643" s="1" t="str">
        <f t="shared" si="10"/>
        <v>18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3" s="1" t="s">
        <v>4809</v>
      </c>
      <c r="D643" s="1" t="s">
        <v>4810</v>
      </c>
      <c r="E643" s="1" t="s">
        <v>4811</v>
      </c>
      <c r="F643" s="1" t="s">
        <v>112</v>
      </c>
      <c r="G643" s="1">
        <v>3038178</v>
      </c>
    </row>
    <row r="644" spans="1:8" x14ac:dyDescent="0.35">
      <c r="A644" s="1" t="str">
        <f t="shared" si="10"/>
        <v>18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4" s="1" t="s">
        <v>4812</v>
      </c>
      <c r="D644" s="1" t="s">
        <v>2445</v>
      </c>
      <c r="E644" s="1" t="s">
        <v>4813</v>
      </c>
      <c r="F644" s="1" t="s">
        <v>112</v>
      </c>
      <c r="G644" s="1">
        <v>2746240</v>
      </c>
    </row>
    <row r="645" spans="1:8" x14ac:dyDescent="0.35">
      <c r="A645" s="1" t="str">
        <f t="shared" si="10"/>
        <v>18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5" s="1" t="s">
        <v>4814</v>
      </c>
      <c r="D645" s="1" t="s">
        <v>4815</v>
      </c>
      <c r="E645" s="1" t="s">
        <v>4816</v>
      </c>
      <c r="F645" s="1" t="s">
        <v>112</v>
      </c>
      <c r="G645" s="1">
        <v>2699022</v>
      </c>
    </row>
    <row r="646" spans="1:8" x14ac:dyDescent="0.35">
      <c r="A646" s="1" t="str">
        <f t="shared" si="10"/>
        <v>18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46" s="1" t="s">
        <v>4817</v>
      </c>
      <c r="D646" s="1" t="s">
        <v>4818</v>
      </c>
      <c r="E646" s="1" t="s">
        <v>4819</v>
      </c>
      <c r="F646" s="1" t="s">
        <v>112</v>
      </c>
      <c r="G646" s="1">
        <v>4158455</v>
      </c>
    </row>
    <row r="647" spans="1:8" x14ac:dyDescent="0.35">
      <c r="A647" s="1" t="str">
        <f t="shared" si="10"/>
        <v>18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47" s="1" t="s">
        <v>4820</v>
      </c>
      <c r="D647" s="1" t="s">
        <v>4821</v>
      </c>
      <c r="E647" s="1" t="s">
        <v>4822</v>
      </c>
      <c r="F647" s="1" t="s">
        <v>112</v>
      </c>
      <c r="G647" s="1">
        <v>3841210</v>
      </c>
    </row>
    <row r="648" spans="1:8" x14ac:dyDescent="0.35">
      <c r="A648" s="1" t="str">
        <f t="shared" si="10"/>
        <v>18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48" s="1" t="s">
        <v>4823</v>
      </c>
      <c r="D648" s="1" t="s">
        <v>4824</v>
      </c>
      <c r="E648" s="1" t="s">
        <v>4825</v>
      </c>
      <c r="F648" s="1" t="s">
        <v>112</v>
      </c>
      <c r="G648" s="1">
        <v>4104683</v>
      </c>
    </row>
    <row r="649" spans="1:8" x14ac:dyDescent="0.35">
      <c r="A649" s="1" t="str">
        <f t="shared" si="10"/>
        <v>18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49" s="1" t="s">
        <v>4826</v>
      </c>
      <c r="D649" s="1" t="s">
        <v>4827</v>
      </c>
      <c r="E649" s="1" t="s">
        <v>4828</v>
      </c>
      <c r="F649" s="1" t="s">
        <v>112</v>
      </c>
      <c r="G649" s="1">
        <v>4008539</v>
      </c>
    </row>
    <row r="650" spans="1:8" x14ac:dyDescent="0.35">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0" s="1" t="s">
        <v>112</v>
      </c>
    </row>
    <row r="651" spans="1:8" x14ac:dyDescent="0.35">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1" s="1" t="s">
        <v>242</v>
      </c>
      <c r="D651" s="1" t="s">
        <v>112</v>
      </c>
      <c r="E651" s="1" t="s">
        <v>243</v>
      </c>
      <c r="F651" s="1" t="s">
        <v>244</v>
      </c>
      <c r="G651" s="1" t="s">
        <v>245</v>
      </c>
      <c r="H651" s="1" t="s">
        <v>246</v>
      </c>
    </row>
    <row r="652" spans="1:8" x14ac:dyDescent="0.35">
      <c r="A652" s="1" t="str">
        <f t="shared" si="10"/>
        <v>18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2" s="1" t="s">
        <v>4829</v>
      </c>
      <c r="D652" s="1" t="s">
        <v>112</v>
      </c>
      <c r="E652" s="1" t="s">
        <v>4830</v>
      </c>
      <c r="F652" s="1" t="s">
        <v>4831</v>
      </c>
      <c r="G652" s="1" t="s">
        <v>4832</v>
      </c>
      <c r="H652" s="1" t="s">
        <v>4833</v>
      </c>
    </row>
    <row r="653" spans="1:8"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8"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112</v>
      </c>
    </row>
    <row r="655" spans="1:8"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5" s="1" t="s">
        <v>112</v>
      </c>
    </row>
    <row r="656" spans="1:8"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172</v>
      </c>
      <c r="D658" s="1" t="s">
        <v>110</v>
      </c>
      <c r="E658" s="1" t="s">
        <v>111</v>
      </c>
      <c r="F658" s="1" t="s">
        <v>112</v>
      </c>
      <c r="G658" s="1" t="s">
        <v>113</v>
      </c>
    </row>
    <row r="659" spans="1:7" x14ac:dyDescent="0.35">
      <c r="A659" s="1" t="str">
        <f t="shared" si="10"/>
        <v>19</v>
      </c>
      <c r="B6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59" s="1" t="s">
        <v>4834</v>
      </c>
      <c r="D659" s="1" t="s">
        <v>4835</v>
      </c>
      <c r="E659" s="1" t="s">
        <v>4836</v>
      </c>
      <c r="F659" s="1" t="s">
        <v>112</v>
      </c>
      <c r="G659" s="1">
        <v>2042230</v>
      </c>
    </row>
    <row r="660" spans="1:7" x14ac:dyDescent="0.35">
      <c r="A660" s="1" t="str">
        <f t="shared" si="10"/>
        <v>19</v>
      </c>
      <c r="B6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0" s="1" t="s">
        <v>4837</v>
      </c>
      <c r="D660" s="1" t="s">
        <v>4838</v>
      </c>
      <c r="E660" s="1" t="s">
        <v>4839</v>
      </c>
      <c r="F660" s="1" t="s">
        <v>112</v>
      </c>
      <c r="G660" s="1">
        <v>2302783</v>
      </c>
    </row>
    <row r="661" spans="1:7" x14ac:dyDescent="0.35">
      <c r="A661" s="1" t="str">
        <f t="shared" si="10"/>
        <v>19</v>
      </c>
      <c r="B6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1" s="1" t="s">
        <v>4840</v>
      </c>
      <c r="D661" s="1" t="s">
        <v>4841</v>
      </c>
      <c r="E661" s="1" t="s">
        <v>4842</v>
      </c>
      <c r="F661" s="1" t="s">
        <v>112</v>
      </c>
      <c r="G661" s="1">
        <v>2445865</v>
      </c>
    </row>
    <row r="662" spans="1:7" x14ac:dyDescent="0.35">
      <c r="A662" s="1" t="str">
        <f t="shared" si="10"/>
        <v>19</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4843</v>
      </c>
      <c r="D662" s="1" t="s">
        <v>4844</v>
      </c>
      <c r="E662" s="1" t="s">
        <v>4845</v>
      </c>
      <c r="F662" s="1" t="s">
        <v>112</v>
      </c>
      <c r="G662" s="1">
        <v>1775944</v>
      </c>
    </row>
    <row r="663" spans="1:7" x14ac:dyDescent="0.35">
      <c r="A663" s="1" t="str">
        <f t="shared" si="10"/>
        <v>19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3" s="1" t="s">
        <v>4846</v>
      </c>
      <c r="D663" s="1" t="s">
        <v>2859</v>
      </c>
      <c r="E663" s="1" t="s">
        <v>4847</v>
      </c>
      <c r="F663" s="1" t="s">
        <v>112</v>
      </c>
      <c r="G663" s="1">
        <v>2417681</v>
      </c>
    </row>
    <row r="664" spans="1:7" x14ac:dyDescent="0.35">
      <c r="A664" s="1" t="str">
        <f t="shared" si="10"/>
        <v>19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4" s="1" t="s">
        <v>4848</v>
      </c>
      <c r="D664" s="1" t="s">
        <v>4849</v>
      </c>
      <c r="E664" s="1" t="s">
        <v>4850</v>
      </c>
      <c r="F664" s="1" t="s">
        <v>112</v>
      </c>
      <c r="G664" s="1">
        <v>2212306</v>
      </c>
    </row>
    <row r="665" spans="1:7" x14ac:dyDescent="0.35">
      <c r="A665" s="1" t="str">
        <f t="shared" si="10"/>
        <v>19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4851</v>
      </c>
      <c r="D665" s="1" t="s">
        <v>4852</v>
      </c>
      <c r="E665" s="1" t="s">
        <v>4853</v>
      </c>
      <c r="F665" s="1" t="s">
        <v>112</v>
      </c>
      <c r="G665" s="1">
        <v>2043138</v>
      </c>
    </row>
    <row r="666" spans="1:7" x14ac:dyDescent="0.35">
      <c r="A666" s="1" t="str">
        <f t="shared" si="10"/>
        <v>19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4854</v>
      </c>
      <c r="D666" s="1" t="s">
        <v>4838</v>
      </c>
      <c r="E666" s="1" t="s">
        <v>4855</v>
      </c>
      <c r="F666" s="1" t="s">
        <v>112</v>
      </c>
      <c r="G666" s="1">
        <v>1983267</v>
      </c>
    </row>
    <row r="667" spans="1:7" x14ac:dyDescent="0.35">
      <c r="A667" s="1" t="str">
        <f t="shared" si="10"/>
        <v>19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7" s="1" t="s">
        <v>4856</v>
      </c>
      <c r="D667" s="1" t="s">
        <v>4857</v>
      </c>
      <c r="E667" s="1" t="s">
        <v>4858</v>
      </c>
      <c r="F667" s="1" t="s">
        <v>112</v>
      </c>
      <c r="G667" s="1">
        <v>2721971</v>
      </c>
    </row>
    <row r="668" spans="1:7" x14ac:dyDescent="0.35">
      <c r="A668" s="1" t="str">
        <f t="shared" si="10"/>
        <v>19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4859</v>
      </c>
      <c r="D668" s="1" t="s">
        <v>4860</v>
      </c>
      <c r="E668" s="1" t="s">
        <v>4861</v>
      </c>
      <c r="F668" s="1" t="s">
        <v>112</v>
      </c>
      <c r="G668" s="1">
        <v>2095028</v>
      </c>
    </row>
    <row r="669" spans="1:7" x14ac:dyDescent="0.35">
      <c r="A669" s="1" t="str">
        <f t="shared" si="10"/>
        <v>19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4862</v>
      </c>
      <c r="D669" s="1" t="s">
        <v>4863</v>
      </c>
      <c r="E669" s="1" t="s">
        <v>4864</v>
      </c>
      <c r="F669" s="1" t="s">
        <v>112</v>
      </c>
      <c r="G669" s="1">
        <v>1788706</v>
      </c>
    </row>
    <row r="670" spans="1:7" x14ac:dyDescent="0.35">
      <c r="A670" s="1" t="str">
        <f t="shared" si="10"/>
        <v>19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4865</v>
      </c>
      <c r="D670" s="1" t="s">
        <v>4866</v>
      </c>
      <c r="E670" s="1" t="s">
        <v>4867</v>
      </c>
      <c r="F670" s="1" t="s">
        <v>112</v>
      </c>
      <c r="G670" s="1">
        <v>2700536</v>
      </c>
    </row>
    <row r="671" spans="1:7" x14ac:dyDescent="0.35">
      <c r="A671" s="1" t="str">
        <f t="shared" si="10"/>
        <v>19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4868</v>
      </c>
      <c r="D671" s="1" t="s">
        <v>4869</v>
      </c>
      <c r="E671" s="1" t="s">
        <v>4870</v>
      </c>
      <c r="F671" s="1" t="s">
        <v>112</v>
      </c>
      <c r="G671" s="1">
        <v>2162341</v>
      </c>
    </row>
    <row r="672" spans="1:7" x14ac:dyDescent="0.35">
      <c r="A672" s="1" t="str">
        <f t="shared" si="10"/>
        <v>19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4871</v>
      </c>
      <c r="D672" s="1" t="s">
        <v>4872</v>
      </c>
      <c r="E672" s="1" t="s">
        <v>4873</v>
      </c>
      <c r="F672" s="1" t="s">
        <v>112</v>
      </c>
      <c r="G672" s="1">
        <v>2409808</v>
      </c>
    </row>
    <row r="673" spans="1:7" x14ac:dyDescent="0.35">
      <c r="A673" s="1" t="str">
        <f t="shared" si="10"/>
        <v>19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4874</v>
      </c>
      <c r="D673" s="1" t="s">
        <v>4875</v>
      </c>
      <c r="E673" s="1" t="s">
        <v>4876</v>
      </c>
      <c r="F673" s="1" t="s">
        <v>112</v>
      </c>
      <c r="G673" s="1">
        <v>2429059</v>
      </c>
    </row>
    <row r="674" spans="1:7" x14ac:dyDescent="0.35">
      <c r="A674" s="1" t="str">
        <f t="shared" si="10"/>
        <v>19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4" s="1" t="s">
        <v>4877</v>
      </c>
      <c r="D674" s="1" t="s">
        <v>2485</v>
      </c>
      <c r="E674" s="1" t="s">
        <v>4878</v>
      </c>
      <c r="F674" s="1" t="s">
        <v>112</v>
      </c>
      <c r="G674" s="1">
        <v>2101193</v>
      </c>
    </row>
    <row r="675" spans="1:7" x14ac:dyDescent="0.35">
      <c r="A675" s="1" t="str">
        <f t="shared" si="10"/>
        <v>19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4879</v>
      </c>
      <c r="D675" s="1" t="s">
        <v>4880</v>
      </c>
      <c r="E675" s="1" t="s">
        <v>4881</v>
      </c>
      <c r="F675" s="1" t="s">
        <v>112</v>
      </c>
      <c r="G675" s="1">
        <v>3061430</v>
      </c>
    </row>
    <row r="676" spans="1:7" x14ac:dyDescent="0.35">
      <c r="A676" s="1" t="str">
        <f t="shared" si="10"/>
        <v>19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4882</v>
      </c>
      <c r="D676" s="1" t="s">
        <v>4883</v>
      </c>
      <c r="E676" s="1" t="s">
        <v>4884</v>
      </c>
      <c r="F676" s="1" t="s">
        <v>112</v>
      </c>
      <c r="G676" s="1">
        <v>3758930</v>
      </c>
    </row>
    <row r="677" spans="1:7" x14ac:dyDescent="0.35">
      <c r="A677" s="1" t="str">
        <f t="shared" si="10"/>
        <v>19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7" s="1" t="s">
        <v>4885</v>
      </c>
      <c r="D677" s="1" t="s">
        <v>4886</v>
      </c>
      <c r="E677" s="1" t="s">
        <v>4887</v>
      </c>
      <c r="F677" s="1" t="s">
        <v>112</v>
      </c>
      <c r="G677" s="1">
        <v>3092772</v>
      </c>
    </row>
    <row r="678" spans="1:7" x14ac:dyDescent="0.35">
      <c r="A678" s="1" t="str">
        <f t="shared" si="10"/>
        <v>19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8" s="1" t="s">
        <v>4888</v>
      </c>
      <c r="D678" s="1" t="s">
        <v>4889</v>
      </c>
      <c r="E678" s="1" t="s">
        <v>4890</v>
      </c>
      <c r="F678" s="1" t="s">
        <v>112</v>
      </c>
      <c r="G678" s="1">
        <v>2931521</v>
      </c>
    </row>
    <row r="679" spans="1:7" x14ac:dyDescent="0.35">
      <c r="A679" s="1" t="str">
        <f t="shared" si="10"/>
        <v>19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4891</v>
      </c>
      <c r="D679" s="1" t="s">
        <v>4090</v>
      </c>
      <c r="E679" s="1" t="s">
        <v>4892</v>
      </c>
      <c r="F679" s="1" t="s">
        <v>112</v>
      </c>
      <c r="G679" s="1">
        <v>1033801</v>
      </c>
    </row>
    <row r="680" spans="1:7" x14ac:dyDescent="0.35">
      <c r="A680" s="1" t="str">
        <f t="shared" si="10"/>
        <v>19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0" s="1" t="s">
        <v>4893</v>
      </c>
      <c r="D680" s="1" t="s">
        <v>4894</v>
      </c>
      <c r="E680" s="1" t="s">
        <v>4895</v>
      </c>
      <c r="F680" s="1" t="s">
        <v>112</v>
      </c>
      <c r="G680" s="1">
        <v>804892</v>
      </c>
    </row>
    <row r="681" spans="1:7" x14ac:dyDescent="0.35">
      <c r="A681" s="1" t="str">
        <f t="shared" si="10"/>
        <v>19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1" s="1" t="s">
        <v>4896</v>
      </c>
      <c r="D681" s="1" t="s">
        <v>4111</v>
      </c>
      <c r="E681" s="1" t="s">
        <v>4897</v>
      </c>
      <c r="F681" s="1" t="s">
        <v>112</v>
      </c>
      <c r="G681" s="1">
        <v>724342</v>
      </c>
    </row>
    <row r="682" spans="1:7" x14ac:dyDescent="0.35">
      <c r="A682" s="1" t="str">
        <f t="shared" si="10"/>
        <v>19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2" s="1" t="s">
        <v>4898</v>
      </c>
      <c r="D682" s="1" t="s">
        <v>4899</v>
      </c>
      <c r="E682" s="1" t="s">
        <v>4900</v>
      </c>
      <c r="F682" s="1" t="s">
        <v>112</v>
      </c>
      <c r="G682" s="1">
        <v>497444</v>
      </c>
    </row>
    <row r="683" spans="1:7" x14ac:dyDescent="0.35">
      <c r="A683" s="1" t="str">
        <f t="shared" si="10"/>
        <v>19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3" s="1" t="s">
        <v>4901</v>
      </c>
      <c r="D683" s="1" t="s">
        <v>4902</v>
      </c>
      <c r="E683" s="1" t="s">
        <v>4903</v>
      </c>
      <c r="F683" s="1" t="s">
        <v>112</v>
      </c>
      <c r="G683" s="1">
        <v>1231044</v>
      </c>
    </row>
    <row r="684" spans="1:7" x14ac:dyDescent="0.35">
      <c r="A684" s="1" t="str">
        <f t="shared" si="10"/>
        <v>19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4" s="1" t="s">
        <v>4904</v>
      </c>
      <c r="D684" s="1" t="s">
        <v>861</v>
      </c>
      <c r="E684" s="1" t="s">
        <v>4905</v>
      </c>
      <c r="F684" s="1" t="s">
        <v>112</v>
      </c>
      <c r="G684" s="1">
        <v>1285292</v>
      </c>
    </row>
    <row r="685" spans="1:7" x14ac:dyDescent="0.35">
      <c r="A685" s="1" t="str">
        <f t="shared" si="10"/>
        <v>19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5" s="1" t="s">
        <v>4906</v>
      </c>
      <c r="D685" s="1" t="s">
        <v>4907</v>
      </c>
      <c r="E685" s="1" t="s">
        <v>4908</v>
      </c>
      <c r="F685" s="1" t="s">
        <v>112</v>
      </c>
      <c r="G685" s="1">
        <v>1343368</v>
      </c>
    </row>
    <row r="686" spans="1:7" x14ac:dyDescent="0.35">
      <c r="A686" s="1" t="str">
        <f t="shared" si="10"/>
        <v>19</v>
      </c>
      <c r="B6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6" s="1" t="s">
        <v>4909</v>
      </c>
      <c r="D686" s="1" t="s">
        <v>4910</v>
      </c>
      <c r="E686" s="1" t="s">
        <v>4911</v>
      </c>
      <c r="F686" s="1" t="s">
        <v>112</v>
      </c>
      <c r="G686" s="1">
        <v>1913532</v>
      </c>
    </row>
    <row r="687" spans="1:7" x14ac:dyDescent="0.35">
      <c r="A687" s="1" t="str">
        <f t="shared" si="10"/>
        <v>19</v>
      </c>
      <c r="B6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7" s="1" t="s">
        <v>4912</v>
      </c>
      <c r="D687" s="1" t="s">
        <v>4913</v>
      </c>
      <c r="E687" s="1" t="s">
        <v>4914</v>
      </c>
      <c r="F687" s="1" t="s">
        <v>112</v>
      </c>
      <c r="G687" s="1">
        <v>1333872</v>
      </c>
    </row>
    <row r="688" spans="1:7" x14ac:dyDescent="0.35">
      <c r="A688" s="1" t="str">
        <f t="shared" si="10"/>
        <v>19</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8" s="1" t="s">
        <v>4915</v>
      </c>
      <c r="D688" s="1" t="s">
        <v>2760</v>
      </c>
      <c r="E688" s="1" t="s">
        <v>4916</v>
      </c>
      <c r="F688" s="1" t="s">
        <v>112</v>
      </c>
      <c r="G688" s="1">
        <v>1011782</v>
      </c>
    </row>
    <row r="689" spans="1:8" x14ac:dyDescent="0.35">
      <c r="A689" s="1" t="str">
        <f t="shared" si="10"/>
        <v>19</v>
      </c>
      <c r="B6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9" s="1" t="s">
        <v>4917</v>
      </c>
      <c r="D689" s="1" t="s">
        <v>2956</v>
      </c>
      <c r="E689" s="1" t="s">
        <v>4918</v>
      </c>
      <c r="F689" s="1" t="s">
        <v>112</v>
      </c>
      <c r="G689" s="1">
        <v>1532154</v>
      </c>
    </row>
    <row r="690" spans="1:8" x14ac:dyDescent="0.35">
      <c r="A690" s="1" t="str">
        <f t="shared" si="10"/>
        <v>19</v>
      </c>
      <c r="B6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90" s="1" t="s">
        <v>4919</v>
      </c>
      <c r="D690" s="1" t="s">
        <v>4920</v>
      </c>
      <c r="E690" s="1" t="s">
        <v>4921</v>
      </c>
      <c r="F690" s="1" t="s">
        <v>112</v>
      </c>
      <c r="G690" s="1">
        <v>1273287</v>
      </c>
    </row>
    <row r="691" spans="1:8"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8"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2" s="1" t="s">
        <v>242</v>
      </c>
      <c r="D692" s="1" t="s">
        <v>112</v>
      </c>
      <c r="E692" s="1" t="s">
        <v>243</v>
      </c>
      <c r="F692" s="1" t="s">
        <v>244</v>
      </c>
      <c r="G692" s="1" t="s">
        <v>245</v>
      </c>
      <c r="H692" s="1" t="s">
        <v>246</v>
      </c>
    </row>
    <row r="693" spans="1:8" x14ac:dyDescent="0.35">
      <c r="A693" s="1" t="str">
        <f t="shared" si="10"/>
        <v>19</v>
      </c>
      <c r="B6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93" s="1" t="s">
        <v>4922</v>
      </c>
      <c r="D693" s="1" t="s">
        <v>112</v>
      </c>
      <c r="E693" s="1" t="s">
        <v>4923</v>
      </c>
      <c r="F693" s="1" t="s">
        <v>4924</v>
      </c>
      <c r="G693" s="1" t="s">
        <v>4925</v>
      </c>
      <c r="H693" s="1" t="s">
        <v>4926</v>
      </c>
    </row>
    <row r="694" spans="1:8"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4" s="1" t="s">
        <v>112</v>
      </c>
    </row>
    <row r="695" spans="1:8"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5" s="1" t="s">
        <v>112</v>
      </c>
    </row>
    <row r="696" spans="1:8"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6" s="1" t="s">
        <v>112</v>
      </c>
    </row>
    <row r="697" spans="1:8"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7" s="1" t="s">
        <v>112</v>
      </c>
    </row>
    <row r="698" spans="1:8"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8" s="1" t="s">
        <v>112</v>
      </c>
    </row>
    <row r="699" spans="1:8"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9" s="1" t="s">
        <v>172</v>
      </c>
      <c r="D699" s="1" t="s">
        <v>110</v>
      </c>
      <c r="E699" s="1" t="s">
        <v>111</v>
      </c>
      <c r="F699" s="1" t="s">
        <v>112</v>
      </c>
      <c r="G699" s="1" t="s">
        <v>113</v>
      </c>
    </row>
    <row r="700" spans="1:8" x14ac:dyDescent="0.35">
      <c r="A700" s="1" t="str">
        <f t="shared" si="10"/>
        <v>20</v>
      </c>
      <c r="B7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0" s="1" t="s">
        <v>4927</v>
      </c>
      <c r="D700" s="1" t="s">
        <v>4928</v>
      </c>
      <c r="E700" s="1" t="s">
        <v>4929</v>
      </c>
      <c r="F700" s="1" t="s">
        <v>112</v>
      </c>
      <c r="G700" s="1">
        <v>1464365</v>
      </c>
    </row>
    <row r="701" spans="1:8" x14ac:dyDescent="0.35">
      <c r="A701" s="1" t="str">
        <f t="shared" si="10"/>
        <v>20</v>
      </c>
      <c r="B7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1" s="1" t="s">
        <v>4930</v>
      </c>
      <c r="D701" s="1" t="s">
        <v>4931</v>
      </c>
      <c r="E701" s="1" t="s">
        <v>4932</v>
      </c>
      <c r="F701" s="1" t="s">
        <v>112</v>
      </c>
      <c r="G701" s="1">
        <v>1735994</v>
      </c>
    </row>
    <row r="702" spans="1:8" x14ac:dyDescent="0.35">
      <c r="A702" s="1" t="str">
        <f t="shared" si="10"/>
        <v>20</v>
      </c>
      <c r="B7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2" s="1" t="s">
        <v>4933</v>
      </c>
      <c r="D702" s="1" t="s">
        <v>4934</v>
      </c>
      <c r="E702" s="1" t="s">
        <v>4935</v>
      </c>
      <c r="F702" s="1" t="s">
        <v>112</v>
      </c>
      <c r="G702" s="1">
        <v>1232233</v>
      </c>
    </row>
    <row r="703" spans="1:8" x14ac:dyDescent="0.35">
      <c r="A703" s="1" t="str">
        <f t="shared" si="10"/>
        <v>20</v>
      </c>
      <c r="B7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3" s="1" t="s">
        <v>4936</v>
      </c>
      <c r="D703" s="1" t="s">
        <v>4937</v>
      </c>
      <c r="E703" s="1" t="s">
        <v>4938</v>
      </c>
      <c r="F703" s="1" t="s">
        <v>112</v>
      </c>
      <c r="G703" s="1">
        <v>2092130</v>
      </c>
    </row>
    <row r="704" spans="1:8" x14ac:dyDescent="0.35">
      <c r="A704" s="1" t="str">
        <f t="shared" si="10"/>
        <v>20</v>
      </c>
      <c r="B7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04" s="1" t="s">
        <v>4939</v>
      </c>
      <c r="D704" s="1" t="s">
        <v>4940</v>
      </c>
      <c r="E704" s="1" t="s">
        <v>4941</v>
      </c>
      <c r="F704" s="1" t="s">
        <v>112</v>
      </c>
      <c r="G704" s="1">
        <v>1376829</v>
      </c>
    </row>
    <row r="705" spans="1:7" x14ac:dyDescent="0.35">
      <c r="A705" s="1" t="str">
        <f t="shared" si="10"/>
        <v>20</v>
      </c>
      <c r="B7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05" s="1" t="s">
        <v>4942</v>
      </c>
      <c r="D705" s="1" t="s">
        <v>4943</v>
      </c>
      <c r="E705" s="1" t="s">
        <v>4944</v>
      </c>
      <c r="F705" s="1" t="s">
        <v>112</v>
      </c>
      <c r="G705" s="1">
        <v>1557850</v>
      </c>
    </row>
    <row r="706" spans="1:7" x14ac:dyDescent="0.35">
      <c r="A706" s="1" t="str">
        <f t="shared" ref="A706:A769" si="11">IFERROR(LEFT(RIGHT(C706,LEN(C706)-SEARCH("@",C706)),SEARCH("/",RIGHT(C706,LEN(C706)-SEARCH("@",C706)-1))),"")</f>
        <v>20</v>
      </c>
      <c r="B7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06" s="1" t="s">
        <v>4945</v>
      </c>
      <c r="D706" s="1" t="s">
        <v>1234</v>
      </c>
      <c r="E706" s="1" t="s">
        <v>4946</v>
      </c>
      <c r="F706" s="1" t="s">
        <v>112</v>
      </c>
      <c r="G706" s="1">
        <v>1062071</v>
      </c>
    </row>
    <row r="707" spans="1:7" x14ac:dyDescent="0.35">
      <c r="A707" s="1" t="str">
        <f t="shared" si="11"/>
        <v>20</v>
      </c>
      <c r="B7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07" s="1" t="s">
        <v>4947</v>
      </c>
      <c r="D707" s="1" t="s">
        <v>4948</v>
      </c>
      <c r="E707" s="1" t="s">
        <v>4949</v>
      </c>
      <c r="F707" s="1" t="s">
        <v>112</v>
      </c>
      <c r="G707" s="1">
        <v>1126550</v>
      </c>
    </row>
    <row r="708" spans="1:7" x14ac:dyDescent="0.35">
      <c r="A708" s="1" t="str">
        <f t="shared" si="11"/>
        <v>20</v>
      </c>
      <c r="B7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08" s="1" t="s">
        <v>4950</v>
      </c>
      <c r="D708" s="1" t="s">
        <v>4951</v>
      </c>
      <c r="E708" s="1" t="s">
        <v>4952</v>
      </c>
      <c r="F708" s="1" t="s">
        <v>112</v>
      </c>
      <c r="G708" s="1">
        <v>1584433</v>
      </c>
    </row>
    <row r="709" spans="1:7" x14ac:dyDescent="0.35">
      <c r="A709" s="1" t="str">
        <f t="shared" si="11"/>
        <v>20</v>
      </c>
      <c r="B7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09" s="1" t="s">
        <v>4953</v>
      </c>
      <c r="D709" s="1" t="s">
        <v>4954</v>
      </c>
      <c r="E709" s="1" t="s">
        <v>552</v>
      </c>
      <c r="F709" s="1" t="s">
        <v>112</v>
      </c>
      <c r="G709" s="1">
        <v>1744581</v>
      </c>
    </row>
    <row r="710" spans="1:7" x14ac:dyDescent="0.35">
      <c r="A710" s="1" t="str">
        <f t="shared" si="11"/>
        <v>20</v>
      </c>
      <c r="B7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10" s="1" t="s">
        <v>4955</v>
      </c>
      <c r="D710" s="1" t="s">
        <v>4956</v>
      </c>
      <c r="E710" s="1" t="s">
        <v>4957</v>
      </c>
      <c r="F710" s="1" t="s">
        <v>112</v>
      </c>
      <c r="G710" s="1">
        <v>1649496</v>
      </c>
    </row>
    <row r="711" spans="1:7" x14ac:dyDescent="0.35">
      <c r="A711" s="1" t="str">
        <f t="shared" si="11"/>
        <v>20</v>
      </c>
      <c r="B7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11" s="1" t="s">
        <v>4958</v>
      </c>
      <c r="D711" s="1" t="s">
        <v>4959</v>
      </c>
      <c r="E711" s="1" t="s">
        <v>4960</v>
      </c>
      <c r="F711" s="1" t="s">
        <v>112</v>
      </c>
      <c r="G711" s="1">
        <v>1496962</v>
      </c>
    </row>
    <row r="712" spans="1:7" x14ac:dyDescent="0.35">
      <c r="A712" s="1" t="str">
        <f t="shared" si="11"/>
        <v>20</v>
      </c>
      <c r="B7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12" s="1" t="s">
        <v>4961</v>
      </c>
    </row>
    <row r="713" spans="1:7" x14ac:dyDescent="0.35">
      <c r="A713" s="1" t="str">
        <f t="shared" si="11"/>
        <v>20</v>
      </c>
      <c r="B7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13" s="1" t="s">
        <v>4962</v>
      </c>
      <c r="D713" s="1" t="s">
        <v>4963</v>
      </c>
      <c r="E713" s="1" t="s">
        <v>4964</v>
      </c>
      <c r="F713" s="1" t="s">
        <v>112</v>
      </c>
      <c r="G713" s="1">
        <v>2946770</v>
      </c>
    </row>
    <row r="714" spans="1:7" x14ac:dyDescent="0.35">
      <c r="A714" s="1" t="str">
        <f t="shared" si="11"/>
        <v>20</v>
      </c>
      <c r="B7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14" s="1" t="s">
        <v>4965</v>
      </c>
    </row>
    <row r="715" spans="1:7" x14ac:dyDescent="0.35">
      <c r="A715" s="1" t="str">
        <f t="shared" si="11"/>
        <v>20</v>
      </c>
      <c r="B7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15" s="1" t="s">
        <v>4966</v>
      </c>
      <c r="D715" s="1" t="s">
        <v>4967</v>
      </c>
      <c r="E715" s="1" t="s">
        <v>4968</v>
      </c>
      <c r="F715" s="1" t="s">
        <v>112</v>
      </c>
      <c r="G715" s="1">
        <v>2456486</v>
      </c>
    </row>
    <row r="716" spans="1:7" x14ac:dyDescent="0.35">
      <c r="A716" s="1" t="str">
        <f t="shared" si="11"/>
        <v>20</v>
      </c>
      <c r="B7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16" s="1" t="s">
        <v>4969</v>
      </c>
      <c r="D716" s="1" t="s">
        <v>4970</v>
      </c>
      <c r="E716" s="1" t="s">
        <v>4971</v>
      </c>
      <c r="F716" s="1" t="s">
        <v>112</v>
      </c>
      <c r="G716" s="1">
        <v>546955</v>
      </c>
    </row>
    <row r="717" spans="1:7" x14ac:dyDescent="0.35">
      <c r="A717" s="1" t="str">
        <f t="shared" si="11"/>
        <v>20</v>
      </c>
      <c r="B7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17" s="1" t="s">
        <v>4972</v>
      </c>
      <c r="D717" s="1" t="s">
        <v>4973</v>
      </c>
      <c r="E717" s="1" t="s">
        <v>4974</v>
      </c>
      <c r="F717" s="1" t="s">
        <v>112</v>
      </c>
      <c r="G717" s="1">
        <v>726981</v>
      </c>
    </row>
    <row r="718" spans="1:7" x14ac:dyDescent="0.35">
      <c r="A718" s="1" t="str">
        <f t="shared" si="11"/>
        <v>20</v>
      </c>
      <c r="B7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18" s="1" t="s">
        <v>4975</v>
      </c>
      <c r="D718" s="1" t="s">
        <v>2320</v>
      </c>
      <c r="E718" s="1" t="s">
        <v>4976</v>
      </c>
      <c r="F718" s="1" t="s">
        <v>112</v>
      </c>
      <c r="G718" s="1">
        <v>554893</v>
      </c>
    </row>
    <row r="719" spans="1:7" x14ac:dyDescent="0.35">
      <c r="A719" s="1" t="str">
        <f t="shared" si="11"/>
        <v>20</v>
      </c>
      <c r="B7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19" s="1" t="s">
        <v>4977</v>
      </c>
      <c r="D719" s="1" t="s">
        <v>4978</v>
      </c>
      <c r="E719" s="1" t="s">
        <v>4979</v>
      </c>
      <c r="F719" s="1" t="s">
        <v>112</v>
      </c>
      <c r="G719" s="1">
        <v>1441784</v>
      </c>
    </row>
    <row r="720" spans="1:7" x14ac:dyDescent="0.35">
      <c r="A720" s="1" t="str">
        <f t="shared" si="11"/>
        <v>20</v>
      </c>
      <c r="B7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20" s="1" t="s">
        <v>4980</v>
      </c>
      <c r="D720" s="1" t="s">
        <v>4981</v>
      </c>
      <c r="E720" s="1" t="s">
        <v>4982</v>
      </c>
      <c r="F720" s="1" t="s">
        <v>112</v>
      </c>
      <c r="G720" s="1">
        <v>2486724</v>
      </c>
    </row>
    <row r="721" spans="1:7" x14ac:dyDescent="0.35">
      <c r="A721" s="1" t="str">
        <f t="shared" si="11"/>
        <v>20</v>
      </c>
      <c r="B7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21" s="1" t="s">
        <v>4983</v>
      </c>
      <c r="D721" s="1" t="s">
        <v>4984</v>
      </c>
      <c r="E721" s="1" t="s">
        <v>4985</v>
      </c>
      <c r="F721" s="1" t="s">
        <v>112</v>
      </c>
      <c r="G721" s="1">
        <v>2816515</v>
      </c>
    </row>
    <row r="722" spans="1:7" x14ac:dyDescent="0.35">
      <c r="A722" s="1" t="str">
        <f t="shared" si="11"/>
        <v>20</v>
      </c>
      <c r="B7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22" s="1" t="s">
        <v>4986</v>
      </c>
      <c r="D722" s="1" t="s">
        <v>4987</v>
      </c>
      <c r="E722" s="1" t="s">
        <v>4988</v>
      </c>
      <c r="F722" s="1" t="s">
        <v>112</v>
      </c>
      <c r="G722" s="1">
        <v>2211895</v>
      </c>
    </row>
    <row r="723" spans="1:7" x14ac:dyDescent="0.35">
      <c r="A723" s="1" t="str">
        <f t="shared" si="11"/>
        <v>20</v>
      </c>
      <c r="B7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23" s="1" t="s">
        <v>4989</v>
      </c>
      <c r="D723" s="1" t="s">
        <v>4990</v>
      </c>
      <c r="E723" s="1" t="s">
        <v>4991</v>
      </c>
      <c r="F723" s="1" t="s">
        <v>112</v>
      </c>
      <c r="G723" s="1">
        <v>2041170</v>
      </c>
    </row>
    <row r="724" spans="1:7" x14ac:dyDescent="0.35">
      <c r="A724" s="1" t="str">
        <f t="shared" si="11"/>
        <v>20</v>
      </c>
      <c r="B7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24" s="1" t="s">
        <v>4992</v>
      </c>
      <c r="D724" s="1" t="s">
        <v>4993</v>
      </c>
      <c r="E724" s="1" t="s">
        <v>4994</v>
      </c>
      <c r="F724" s="1" t="s">
        <v>112</v>
      </c>
      <c r="G724" s="1">
        <v>1290915</v>
      </c>
    </row>
    <row r="725" spans="1:7" x14ac:dyDescent="0.35">
      <c r="A725" s="1" t="str">
        <f t="shared" si="11"/>
        <v>20</v>
      </c>
      <c r="B7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25" s="1" t="s">
        <v>4995</v>
      </c>
      <c r="D725" s="1" t="s">
        <v>4996</v>
      </c>
      <c r="E725" s="1" t="s">
        <v>4997</v>
      </c>
      <c r="F725" s="1" t="s">
        <v>112</v>
      </c>
      <c r="G725" s="1">
        <v>2008357</v>
      </c>
    </row>
    <row r="726" spans="1:7" x14ac:dyDescent="0.35">
      <c r="A726" s="1" t="str">
        <f t="shared" si="11"/>
        <v>20</v>
      </c>
      <c r="B7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26" s="1" t="s">
        <v>4998</v>
      </c>
      <c r="D726" s="1" t="s">
        <v>256</v>
      </c>
      <c r="E726" s="1" t="s">
        <v>4999</v>
      </c>
      <c r="F726" s="1" t="s">
        <v>112</v>
      </c>
      <c r="G726" s="1">
        <v>1239198</v>
      </c>
    </row>
    <row r="727" spans="1:7" x14ac:dyDescent="0.35">
      <c r="A727" s="1" t="str">
        <f t="shared" si="11"/>
        <v>20</v>
      </c>
      <c r="B7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27" s="1" t="s">
        <v>5000</v>
      </c>
      <c r="D727" s="1" t="s">
        <v>5001</v>
      </c>
      <c r="E727" s="1" t="s">
        <v>5002</v>
      </c>
      <c r="F727" s="1" t="s">
        <v>112</v>
      </c>
      <c r="G727" s="1">
        <v>1483573</v>
      </c>
    </row>
    <row r="728" spans="1:7" x14ac:dyDescent="0.35">
      <c r="A728" s="1" t="str">
        <f t="shared" si="11"/>
        <v>20</v>
      </c>
      <c r="B7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28" s="1" t="s">
        <v>5003</v>
      </c>
      <c r="D728" s="1" t="s">
        <v>3318</v>
      </c>
      <c r="E728" s="1" t="s">
        <v>5004</v>
      </c>
      <c r="F728" s="1" t="s">
        <v>112</v>
      </c>
      <c r="G728" s="1">
        <v>223761</v>
      </c>
    </row>
    <row r="729" spans="1:7" x14ac:dyDescent="0.35">
      <c r="A729" s="1" t="str">
        <f t="shared" si="11"/>
        <v>20</v>
      </c>
      <c r="B7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29" s="1" t="s">
        <v>5005</v>
      </c>
      <c r="D729" s="1" t="s">
        <v>4564</v>
      </c>
      <c r="E729" s="1" t="s">
        <v>5006</v>
      </c>
      <c r="F729" s="1" t="s">
        <v>112</v>
      </c>
      <c r="G729" s="1">
        <v>181410</v>
      </c>
    </row>
    <row r="730" spans="1:7" x14ac:dyDescent="0.35">
      <c r="A730" s="1" t="str">
        <f t="shared" si="11"/>
        <v>20</v>
      </c>
      <c r="B7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30" s="1" t="s">
        <v>5007</v>
      </c>
      <c r="D730" s="1" t="s">
        <v>503</v>
      </c>
      <c r="E730" s="1" t="s">
        <v>5008</v>
      </c>
      <c r="F730" s="1" t="s">
        <v>112</v>
      </c>
      <c r="G730" s="1">
        <v>234295</v>
      </c>
    </row>
    <row r="731" spans="1:7" x14ac:dyDescent="0.35">
      <c r="A731" s="1" t="str">
        <f t="shared" si="11"/>
        <v>20</v>
      </c>
      <c r="B7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31" s="1" t="s">
        <v>5009</v>
      </c>
      <c r="D731" s="1" t="s">
        <v>954</v>
      </c>
      <c r="E731" s="1" t="s">
        <v>5010</v>
      </c>
      <c r="F731" s="1" t="s">
        <v>112</v>
      </c>
      <c r="G731" s="1">
        <v>185065</v>
      </c>
    </row>
    <row r="732" spans="1:7" x14ac:dyDescent="0.35">
      <c r="A732" s="1" t="str">
        <f t="shared" si="11"/>
        <v>20</v>
      </c>
      <c r="B7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I</v>
      </c>
      <c r="C732" s="1" t="s">
        <v>5011</v>
      </c>
    </row>
    <row r="733" spans="1:7" x14ac:dyDescent="0.35">
      <c r="A733" s="1" t="str">
        <f t="shared" si="11"/>
        <v>20</v>
      </c>
      <c r="B7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I</v>
      </c>
      <c r="C733" s="1" t="s">
        <v>5012</v>
      </c>
    </row>
    <row r="734" spans="1:7" x14ac:dyDescent="0.35">
      <c r="A734" s="1" t="str">
        <f t="shared" si="11"/>
        <v>20</v>
      </c>
      <c r="B7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I</v>
      </c>
      <c r="C734" s="1" t="s">
        <v>5013</v>
      </c>
    </row>
    <row r="735" spans="1:7" x14ac:dyDescent="0.35">
      <c r="A735" s="1" t="str">
        <f t="shared" si="11"/>
        <v>20</v>
      </c>
      <c r="B7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I</v>
      </c>
      <c r="C735" s="1" t="s">
        <v>5014</v>
      </c>
    </row>
    <row r="736" spans="1:7"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36" s="1" t="s">
        <v>112</v>
      </c>
    </row>
    <row r="737" spans="1:8"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37" s="1" t="s">
        <v>242</v>
      </c>
      <c r="D737" s="1" t="s">
        <v>112</v>
      </c>
      <c r="E737" s="1" t="s">
        <v>243</v>
      </c>
      <c r="F737" s="1" t="s">
        <v>244</v>
      </c>
      <c r="G737" s="1" t="s">
        <v>245</v>
      </c>
      <c r="H737" s="1" t="s">
        <v>246</v>
      </c>
    </row>
    <row r="738" spans="1:8" x14ac:dyDescent="0.35">
      <c r="A738" s="1" t="str">
        <f t="shared" si="11"/>
        <v>20</v>
      </c>
      <c r="B7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738" s="1" t="s">
        <v>5015</v>
      </c>
      <c r="D738" s="1" t="s">
        <v>112</v>
      </c>
      <c r="E738" s="1" t="s">
        <v>5016</v>
      </c>
      <c r="F738" s="1" t="s">
        <v>5017</v>
      </c>
      <c r="G738" s="1" t="s">
        <v>5018</v>
      </c>
      <c r="H738" s="1" t="s">
        <v>5019</v>
      </c>
    </row>
    <row r="739" spans="1:8"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39" s="1" t="s">
        <v>112</v>
      </c>
    </row>
    <row r="740" spans="1:8"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40" s="1" t="s">
        <v>112</v>
      </c>
    </row>
    <row r="741" spans="1:8"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41" s="1" t="s">
        <v>112</v>
      </c>
    </row>
    <row r="742" spans="1:8"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42" s="1" t="s">
        <v>112</v>
      </c>
    </row>
    <row r="743" spans="1:8"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43" s="1" t="s">
        <v>112</v>
      </c>
    </row>
    <row r="744" spans="1:8"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44" s="1" t="s">
        <v>172</v>
      </c>
      <c r="D744" s="1" t="s">
        <v>110</v>
      </c>
      <c r="E744" s="1" t="s">
        <v>111</v>
      </c>
      <c r="F744" s="1" t="s">
        <v>112</v>
      </c>
      <c r="G744" s="1" t="s">
        <v>113</v>
      </c>
    </row>
    <row r="745" spans="1:8" x14ac:dyDescent="0.35">
      <c r="A745" s="1" t="str">
        <f t="shared" si="11"/>
        <v>21</v>
      </c>
      <c r="B7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45" s="1" t="s">
        <v>5020</v>
      </c>
      <c r="D745" s="1" t="s">
        <v>5021</v>
      </c>
      <c r="E745" s="1" t="s">
        <v>5022</v>
      </c>
      <c r="F745" s="1" t="s">
        <v>112</v>
      </c>
      <c r="G745" s="1">
        <v>691811</v>
      </c>
    </row>
    <row r="746" spans="1:8" x14ac:dyDescent="0.35">
      <c r="A746" s="1" t="str">
        <f t="shared" si="11"/>
        <v>21</v>
      </c>
      <c r="B7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46" s="1" t="s">
        <v>5023</v>
      </c>
      <c r="D746" s="1" t="s">
        <v>3072</v>
      </c>
      <c r="E746" s="1" t="s">
        <v>5024</v>
      </c>
      <c r="F746" s="1" t="s">
        <v>112</v>
      </c>
      <c r="G746" s="1">
        <v>848346</v>
      </c>
    </row>
    <row r="747" spans="1:8" x14ac:dyDescent="0.35">
      <c r="A747" s="1" t="str">
        <f t="shared" si="11"/>
        <v>21</v>
      </c>
      <c r="B7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47" s="1" t="s">
        <v>5025</v>
      </c>
      <c r="D747" s="1" t="s">
        <v>5026</v>
      </c>
      <c r="E747" s="1" t="s">
        <v>5027</v>
      </c>
      <c r="F747" s="1" t="s">
        <v>112</v>
      </c>
      <c r="G747" s="1">
        <v>1456168</v>
      </c>
    </row>
    <row r="748" spans="1:8" x14ac:dyDescent="0.35">
      <c r="A748" s="1" t="str">
        <f t="shared" si="11"/>
        <v>21</v>
      </c>
      <c r="B7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48" s="1" t="s">
        <v>5028</v>
      </c>
    </row>
    <row r="749" spans="1:8" x14ac:dyDescent="0.35">
      <c r="A749" s="1" t="str">
        <f t="shared" si="11"/>
        <v>21</v>
      </c>
      <c r="B7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49" s="1" t="s">
        <v>5029</v>
      </c>
      <c r="D749" s="1" t="s">
        <v>5030</v>
      </c>
      <c r="E749" s="1" t="s">
        <v>5031</v>
      </c>
      <c r="F749" s="1" t="s">
        <v>112</v>
      </c>
      <c r="G749" s="1">
        <v>1911996</v>
      </c>
    </row>
    <row r="750" spans="1:8" x14ac:dyDescent="0.35">
      <c r="A750" s="1" t="str">
        <f t="shared" si="11"/>
        <v>21</v>
      </c>
      <c r="B7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50" s="1" t="s">
        <v>5032</v>
      </c>
      <c r="D750" s="1" t="s">
        <v>5033</v>
      </c>
      <c r="E750" s="1" t="s">
        <v>5034</v>
      </c>
      <c r="F750" s="1" t="s">
        <v>112</v>
      </c>
      <c r="G750" s="1">
        <v>2201642</v>
      </c>
    </row>
    <row r="751" spans="1:8" x14ac:dyDescent="0.35">
      <c r="A751" s="1" t="str">
        <f t="shared" si="11"/>
        <v>21</v>
      </c>
      <c r="B7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51" s="1" t="s">
        <v>5035</v>
      </c>
      <c r="D751" s="1" t="s">
        <v>5036</v>
      </c>
      <c r="E751" s="1" t="s">
        <v>5037</v>
      </c>
      <c r="F751" s="1" t="s">
        <v>112</v>
      </c>
      <c r="G751" s="1">
        <v>1588564</v>
      </c>
    </row>
    <row r="752" spans="1:8" x14ac:dyDescent="0.35">
      <c r="A752" s="1" t="str">
        <f t="shared" si="11"/>
        <v>21</v>
      </c>
      <c r="B7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52" s="1" t="s">
        <v>5038</v>
      </c>
      <c r="D752" s="1" t="s">
        <v>5039</v>
      </c>
      <c r="E752" s="1" t="s">
        <v>5040</v>
      </c>
      <c r="F752" s="1" t="s">
        <v>112</v>
      </c>
      <c r="G752" s="1">
        <v>1416780</v>
      </c>
    </row>
    <row r="753" spans="1:7" x14ac:dyDescent="0.35">
      <c r="A753" s="1" t="str">
        <f t="shared" si="11"/>
        <v>21</v>
      </c>
      <c r="B7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3" s="1" t="s">
        <v>5041</v>
      </c>
      <c r="D753" s="1" t="s">
        <v>5042</v>
      </c>
      <c r="E753" s="1" t="s">
        <v>5043</v>
      </c>
      <c r="F753" s="1" t="s">
        <v>112</v>
      </c>
      <c r="G753" s="1">
        <v>538519</v>
      </c>
    </row>
    <row r="754" spans="1:7" x14ac:dyDescent="0.35">
      <c r="A754" s="1" t="str">
        <f t="shared" si="11"/>
        <v>21</v>
      </c>
      <c r="B7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4" s="1" t="s">
        <v>5044</v>
      </c>
      <c r="D754" s="1" t="s">
        <v>2811</v>
      </c>
      <c r="E754" s="1" t="s">
        <v>5045</v>
      </c>
      <c r="F754" s="1" t="s">
        <v>112</v>
      </c>
      <c r="G754" s="1">
        <v>540985</v>
      </c>
    </row>
    <row r="755" spans="1:7" x14ac:dyDescent="0.35">
      <c r="A755" s="1" t="str">
        <f t="shared" si="11"/>
        <v>21</v>
      </c>
      <c r="B7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5" s="1" t="s">
        <v>5046</v>
      </c>
      <c r="D755" s="1" t="s">
        <v>5047</v>
      </c>
      <c r="E755" s="1" t="s">
        <v>5048</v>
      </c>
      <c r="F755" s="1" t="s">
        <v>112</v>
      </c>
      <c r="G755" s="1">
        <v>714544</v>
      </c>
    </row>
    <row r="756" spans="1:7" x14ac:dyDescent="0.35">
      <c r="A756" s="1" t="str">
        <f t="shared" si="11"/>
        <v>21</v>
      </c>
      <c r="B7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6" s="1" t="s">
        <v>5049</v>
      </c>
      <c r="D756" s="1" t="s">
        <v>1014</v>
      </c>
      <c r="E756" s="1" t="s">
        <v>5050</v>
      </c>
      <c r="F756" s="1" t="s">
        <v>112</v>
      </c>
      <c r="G756" s="1">
        <v>70211</v>
      </c>
    </row>
    <row r="757" spans="1:7" x14ac:dyDescent="0.35">
      <c r="A757" s="1" t="str">
        <f t="shared" si="11"/>
        <v>21</v>
      </c>
      <c r="B7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57" s="1" t="s">
        <v>5051</v>
      </c>
      <c r="D757" s="1" t="s">
        <v>5052</v>
      </c>
      <c r="E757" s="1" t="s">
        <v>5053</v>
      </c>
      <c r="F757" s="1" t="s">
        <v>112</v>
      </c>
      <c r="G757" s="1">
        <v>913755</v>
      </c>
    </row>
    <row r="758" spans="1:7" x14ac:dyDescent="0.35">
      <c r="A758" s="1" t="str">
        <f t="shared" si="11"/>
        <v>21</v>
      </c>
      <c r="B7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58" s="1" t="s">
        <v>5054</v>
      </c>
      <c r="D758" s="1" t="s">
        <v>5055</v>
      </c>
      <c r="E758" s="1" t="s">
        <v>5056</v>
      </c>
      <c r="F758" s="1" t="s">
        <v>112</v>
      </c>
      <c r="G758" s="1">
        <v>606546</v>
      </c>
    </row>
    <row r="759" spans="1:7" x14ac:dyDescent="0.35">
      <c r="A759" s="1" t="str">
        <f t="shared" si="11"/>
        <v>21</v>
      </c>
      <c r="B7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59" s="1" t="s">
        <v>5057</v>
      </c>
      <c r="D759" s="1" t="s">
        <v>5058</v>
      </c>
      <c r="E759" s="1" t="s">
        <v>5059</v>
      </c>
      <c r="F759" s="1" t="s">
        <v>112</v>
      </c>
      <c r="G759" s="1">
        <v>506334</v>
      </c>
    </row>
    <row r="760" spans="1:7" x14ac:dyDescent="0.35">
      <c r="A760" s="1" t="str">
        <f t="shared" si="11"/>
        <v>21</v>
      </c>
      <c r="B7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60" s="1" t="s">
        <v>5060</v>
      </c>
      <c r="D760" s="1" t="s">
        <v>5042</v>
      </c>
      <c r="E760" s="1" t="s">
        <v>5061</v>
      </c>
      <c r="F760" s="1" t="s">
        <v>112</v>
      </c>
      <c r="G760" s="1">
        <v>516976</v>
      </c>
    </row>
    <row r="761" spans="1:7" x14ac:dyDescent="0.35">
      <c r="A761" s="1" t="str">
        <f t="shared" si="11"/>
        <v>21</v>
      </c>
      <c r="B7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61" s="1" t="s">
        <v>5062</v>
      </c>
      <c r="D761" s="1" t="s">
        <v>581</v>
      </c>
      <c r="E761" s="1" t="s">
        <v>5063</v>
      </c>
      <c r="F761" s="1" t="s">
        <v>112</v>
      </c>
      <c r="G761" s="1">
        <v>128135</v>
      </c>
    </row>
    <row r="762" spans="1:7" x14ac:dyDescent="0.35">
      <c r="A762" s="1" t="str">
        <f t="shared" si="11"/>
        <v>21</v>
      </c>
      <c r="B7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62" s="1" t="s">
        <v>5064</v>
      </c>
      <c r="D762" s="1" t="s">
        <v>5065</v>
      </c>
      <c r="E762" s="1" t="s">
        <v>5066</v>
      </c>
      <c r="F762" s="1" t="s">
        <v>112</v>
      </c>
      <c r="G762" s="1">
        <v>181713</v>
      </c>
    </row>
    <row r="763" spans="1:7" x14ac:dyDescent="0.35">
      <c r="A763" s="1" t="str">
        <f t="shared" si="11"/>
        <v>21</v>
      </c>
      <c r="B7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63" s="1" t="s">
        <v>5067</v>
      </c>
      <c r="D763" s="1" t="s">
        <v>2271</v>
      </c>
      <c r="E763" s="1" t="s">
        <v>5068</v>
      </c>
      <c r="F763" s="1" t="s">
        <v>112</v>
      </c>
      <c r="G763" s="1">
        <v>197978</v>
      </c>
    </row>
    <row r="764" spans="1:7" x14ac:dyDescent="0.35">
      <c r="A764" s="1" t="str">
        <f t="shared" si="11"/>
        <v>21</v>
      </c>
      <c r="B7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64" s="1" t="s">
        <v>5069</v>
      </c>
      <c r="D764" s="1" t="s">
        <v>5070</v>
      </c>
      <c r="E764" s="1" t="s">
        <v>5071</v>
      </c>
      <c r="F764" s="1" t="s">
        <v>112</v>
      </c>
      <c r="G764" s="1">
        <v>87017</v>
      </c>
    </row>
    <row r="765" spans="1:7" x14ac:dyDescent="0.35">
      <c r="A765" s="1" t="str">
        <f t="shared" si="11"/>
        <v>21</v>
      </c>
      <c r="B7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65" s="1" t="s">
        <v>5072</v>
      </c>
      <c r="D765" s="1" t="s">
        <v>5073</v>
      </c>
      <c r="E765" s="1" t="s">
        <v>5074</v>
      </c>
      <c r="F765" s="1" t="s">
        <v>112</v>
      </c>
      <c r="G765" s="1">
        <v>654066</v>
      </c>
    </row>
    <row r="766" spans="1:7" x14ac:dyDescent="0.35">
      <c r="A766" s="1" t="str">
        <f t="shared" si="11"/>
        <v>21</v>
      </c>
      <c r="B7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66" s="1" t="s">
        <v>5075</v>
      </c>
      <c r="D766" s="1" t="s">
        <v>5076</v>
      </c>
      <c r="E766" s="1" t="s">
        <v>5077</v>
      </c>
      <c r="F766" s="1" t="s">
        <v>112</v>
      </c>
      <c r="G766" s="1">
        <v>888037</v>
      </c>
    </row>
    <row r="767" spans="1:7" x14ac:dyDescent="0.35">
      <c r="A767" s="1" t="str">
        <f t="shared" si="11"/>
        <v>21</v>
      </c>
      <c r="B7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67" s="1" t="s">
        <v>5078</v>
      </c>
      <c r="D767" s="1" t="s">
        <v>5079</v>
      </c>
      <c r="E767" s="1" t="s">
        <v>5080</v>
      </c>
      <c r="F767" s="1" t="s">
        <v>112</v>
      </c>
      <c r="G767" s="1">
        <v>471380</v>
      </c>
    </row>
    <row r="768" spans="1:7" x14ac:dyDescent="0.35">
      <c r="A768" s="1" t="str">
        <f t="shared" si="11"/>
        <v>21</v>
      </c>
      <c r="B7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68" s="1" t="s">
        <v>5081</v>
      </c>
      <c r="D768" s="1" t="s">
        <v>5082</v>
      </c>
      <c r="E768" s="1" t="s">
        <v>5083</v>
      </c>
      <c r="F768" s="1" t="s">
        <v>112</v>
      </c>
      <c r="G768" s="1">
        <v>597894</v>
      </c>
    </row>
    <row r="769" spans="1:8" x14ac:dyDescent="0.35">
      <c r="A769" s="1" t="str">
        <f t="shared" si="11"/>
        <v>21</v>
      </c>
      <c r="B7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69" s="1" t="s">
        <v>5084</v>
      </c>
      <c r="D769" s="1" t="s">
        <v>5085</v>
      </c>
      <c r="E769" s="1" t="s">
        <v>5086</v>
      </c>
      <c r="F769" s="1" t="s">
        <v>112</v>
      </c>
      <c r="G769" s="1">
        <v>1033001</v>
      </c>
    </row>
    <row r="770" spans="1:8" x14ac:dyDescent="0.35">
      <c r="A770" s="1" t="str">
        <f t="shared" ref="A770:A833" si="12">IFERROR(LEFT(RIGHT(C770,LEN(C770)-SEARCH("@",C770)),SEARCH("/",RIGHT(C770,LEN(C770)-SEARCH("@",C770)-1))),"")</f>
        <v>21</v>
      </c>
      <c r="B7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70" s="1" t="s">
        <v>5087</v>
      </c>
      <c r="D770" s="1" t="s">
        <v>5088</v>
      </c>
      <c r="E770" s="1" t="s">
        <v>5089</v>
      </c>
      <c r="F770" s="1" t="s">
        <v>112</v>
      </c>
      <c r="G770" s="1">
        <v>544554</v>
      </c>
    </row>
    <row r="771" spans="1:8" x14ac:dyDescent="0.35">
      <c r="A771" s="1" t="str">
        <f t="shared" si="12"/>
        <v>21</v>
      </c>
      <c r="B7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71" s="1" t="s">
        <v>5090</v>
      </c>
    </row>
    <row r="772" spans="1:8" x14ac:dyDescent="0.35">
      <c r="A772" s="1" t="str">
        <f t="shared" si="12"/>
        <v>21</v>
      </c>
      <c r="B7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72" s="1" t="s">
        <v>5091</v>
      </c>
      <c r="D772" s="1" t="s">
        <v>5092</v>
      </c>
      <c r="E772" s="1" t="s">
        <v>5093</v>
      </c>
      <c r="F772" s="1" t="s">
        <v>112</v>
      </c>
      <c r="G772" s="1">
        <v>620843</v>
      </c>
    </row>
    <row r="773" spans="1:8" x14ac:dyDescent="0.35">
      <c r="A773" s="1" t="str">
        <f t="shared" si="12"/>
        <v>21</v>
      </c>
      <c r="B7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73" s="1" t="s">
        <v>5094</v>
      </c>
      <c r="D773" s="1" t="s">
        <v>5058</v>
      </c>
      <c r="E773" s="1" t="s">
        <v>5095</v>
      </c>
      <c r="F773" s="1" t="s">
        <v>112</v>
      </c>
      <c r="G773" s="1">
        <v>539147</v>
      </c>
    </row>
    <row r="774" spans="1:8" x14ac:dyDescent="0.35">
      <c r="A774" s="1" t="str">
        <f t="shared" si="12"/>
        <v>21</v>
      </c>
      <c r="B7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74" s="1" t="s">
        <v>5096</v>
      </c>
      <c r="D774" s="1" t="s">
        <v>5097</v>
      </c>
      <c r="E774" s="1" t="s">
        <v>5098</v>
      </c>
      <c r="F774" s="1" t="s">
        <v>112</v>
      </c>
      <c r="G774" s="1">
        <v>506875</v>
      </c>
    </row>
    <row r="775" spans="1:8" x14ac:dyDescent="0.35">
      <c r="A775" s="1" t="str">
        <f t="shared" si="12"/>
        <v>21</v>
      </c>
      <c r="B7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75" s="1" t="s">
        <v>5099</v>
      </c>
      <c r="D775" s="1" t="s">
        <v>1586</v>
      </c>
      <c r="E775" s="1" t="s">
        <v>5100</v>
      </c>
      <c r="F775" s="1" t="s">
        <v>112</v>
      </c>
      <c r="G775" s="1">
        <v>357153</v>
      </c>
    </row>
    <row r="776" spans="1:8" x14ac:dyDescent="0.35">
      <c r="A776" s="1" t="str">
        <f t="shared" si="12"/>
        <v>21</v>
      </c>
      <c r="B7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76" s="1" t="s">
        <v>5101</v>
      </c>
      <c r="D776" s="1" t="s">
        <v>2711</v>
      </c>
      <c r="E776" s="1" t="s">
        <v>5102</v>
      </c>
      <c r="F776" s="1" t="s">
        <v>112</v>
      </c>
      <c r="G776" s="1">
        <v>1120796</v>
      </c>
    </row>
    <row r="777" spans="1:8"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7" s="1" t="s">
        <v>112</v>
      </c>
    </row>
    <row r="778" spans="1:8"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8" s="1" t="s">
        <v>242</v>
      </c>
      <c r="D778" s="1" t="s">
        <v>112</v>
      </c>
      <c r="E778" s="1" t="s">
        <v>243</v>
      </c>
      <c r="F778" s="1" t="s">
        <v>244</v>
      </c>
      <c r="G778" s="1" t="s">
        <v>245</v>
      </c>
      <c r="H778" s="1" t="s">
        <v>246</v>
      </c>
    </row>
    <row r="779" spans="1:8" x14ac:dyDescent="0.35">
      <c r="A779" s="1" t="str">
        <f t="shared" si="12"/>
        <v>21</v>
      </c>
      <c r="B7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779" s="1" t="s">
        <v>5103</v>
      </c>
      <c r="D779" s="1" t="s">
        <v>112</v>
      </c>
      <c r="E779" s="1" t="s">
        <v>5104</v>
      </c>
      <c r="F779" s="1" t="s">
        <v>5105</v>
      </c>
      <c r="G779" s="1" t="s">
        <v>5106</v>
      </c>
      <c r="H779" s="1" t="s">
        <v>5107</v>
      </c>
    </row>
    <row r="780" spans="1:8"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80" s="1" t="s">
        <v>112</v>
      </c>
    </row>
    <row r="781" spans="1:8"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81" s="1" t="s">
        <v>112</v>
      </c>
    </row>
    <row r="782" spans="1:8"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82" s="1" t="s">
        <v>112</v>
      </c>
    </row>
    <row r="783" spans="1:8"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83" s="1" t="s">
        <v>112</v>
      </c>
    </row>
    <row r="784" spans="1:8"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84" s="1" t="s">
        <v>112</v>
      </c>
    </row>
    <row r="785" spans="1:7"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85" s="1" t="s">
        <v>172</v>
      </c>
      <c r="D785" s="1" t="s">
        <v>110</v>
      </c>
      <c r="E785" s="1" t="s">
        <v>111</v>
      </c>
      <c r="F785" s="1" t="s">
        <v>112</v>
      </c>
      <c r="G785" s="1" t="s">
        <v>113</v>
      </c>
    </row>
    <row r="786" spans="1:7" x14ac:dyDescent="0.35">
      <c r="A786" s="1" t="str">
        <f t="shared" si="12"/>
        <v>8</v>
      </c>
      <c r="B7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86" s="1" t="s">
        <v>5108</v>
      </c>
      <c r="D786" s="1" t="s">
        <v>5109</v>
      </c>
      <c r="E786" s="1" t="s">
        <v>5110</v>
      </c>
      <c r="F786" s="1" t="s">
        <v>112</v>
      </c>
      <c r="G786" s="1">
        <v>267994</v>
      </c>
    </row>
    <row r="787" spans="1:7" x14ac:dyDescent="0.35">
      <c r="A787" s="1" t="str">
        <f t="shared" si="12"/>
        <v>8</v>
      </c>
      <c r="B7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87" s="1" t="s">
        <v>5111</v>
      </c>
      <c r="D787" s="1" t="s">
        <v>3344</v>
      </c>
      <c r="E787" s="1" t="s">
        <v>5112</v>
      </c>
      <c r="F787" s="1" t="s">
        <v>112</v>
      </c>
      <c r="G787" s="1">
        <v>295226</v>
      </c>
    </row>
    <row r="788" spans="1:7" x14ac:dyDescent="0.35">
      <c r="A788" s="1" t="str">
        <f t="shared" si="12"/>
        <v>8</v>
      </c>
      <c r="B7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88" s="1" t="s">
        <v>5113</v>
      </c>
      <c r="D788" s="1" t="s">
        <v>5114</v>
      </c>
      <c r="E788" s="1" t="s">
        <v>5115</v>
      </c>
      <c r="F788" s="1" t="s">
        <v>112</v>
      </c>
      <c r="G788" s="1">
        <v>276041</v>
      </c>
    </row>
    <row r="789" spans="1:7" x14ac:dyDescent="0.35">
      <c r="A789" s="1" t="str">
        <f t="shared" si="12"/>
        <v>8</v>
      </c>
      <c r="B7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89" s="1" t="s">
        <v>5116</v>
      </c>
      <c r="D789" s="1" t="s">
        <v>193</v>
      </c>
      <c r="E789" s="1" t="s">
        <v>5117</v>
      </c>
      <c r="F789" s="1" t="s">
        <v>112</v>
      </c>
      <c r="G789" s="1">
        <v>430002</v>
      </c>
    </row>
    <row r="790" spans="1:7" x14ac:dyDescent="0.35">
      <c r="A790" s="1" t="str">
        <f t="shared" si="12"/>
        <v>8</v>
      </c>
      <c r="B7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90" s="1" t="s">
        <v>5118</v>
      </c>
      <c r="D790" s="1" t="s">
        <v>5119</v>
      </c>
      <c r="E790" s="1" t="s">
        <v>5120</v>
      </c>
      <c r="F790" s="1" t="s">
        <v>112</v>
      </c>
      <c r="G790" s="1">
        <v>256985</v>
      </c>
    </row>
    <row r="791" spans="1:7" x14ac:dyDescent="0.35">
      <c r="A791" s="1" t="str">
        <f t="shared" si="12"/>
        <v>8</v>
      </c>
      <c r="B7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91" s="1" t="s">
        <v>5121</v>
      </c>
      <c r="D791" s="1" t="s">
        <v>5122</v>
      </c>
      <c r="E791" s="1" t="s">
        <v>5123</v>
      </c>
      <c r="F791" s="1" t="s">
        <v>112</v>
      </c>
      <c r="G791" s="1">
        <v>221663</v>
      </c>
    </row>
    <row r="792" spans="1:7" x14ac:dyDescent="0.35">
      <c r="A792" s="1" t="str">
        <f t="shared" si="12"/>
        <v>8</v>
      </c>
      <c r="B7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92" s="1" t="s">
        <v>5124</v>
      </c>
      <c r="D792" s="1" t="s">
        <v>3934</v>
      </c>
      <c r="E792" s="1" t="s">
        <v>5125</v>
      </c>
      <c r="F792" s="1" t="s">
        <v>112</v>
      </c>
      <c r="G792" s="1">
        <v>250777</v>
      </c>
    </row>
    <row r="793" spans="1:7" x14ac:dyDescent="0.35">
      <c r="A793" s="1" t="str">
        <f t="shared" si="12"/>
        <v>8</v>
      </c>
      <c r="B7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93" s="1" t="s">
        <v>5126</v>
      </c>
      <c r="D793" s="1" t="s">
        <v>2268</v>
      </c>
      <c r="E793" s="1" t="s">
        <v>5127</v>
      </c>
      <c r="F793" s="1" t="s">
        <v>112</v>
      </c>
      <c r="G793" s="1">
        <v>109945</v>
      </c>
    </row>
    <row r="794" spans="1:7" x14ac:dyDescent="0.35">
      <c r="A794" s="1" t="str">
        <f t="shared" si="12"/>
        <v>8</v>
      </c>
      <c r="B7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94" s="1" t="s">
        <v>5128</v>
      </c>
      <c r="D794" s="1" t="s">
        <v>202</v>
      </c>
      <c r="E794" s="1" t="s">
        <v>5129</v>
      </c>
      <c r="F794" s="1" t="s">
        <v>112</v>
      </c>
      <c r="G794" s="1">
        <v>380643</v>
      </c>
    </row>
    <row r="795" spans="1:7" x14ac:dyDescent="0.35">
      <c r="A795" s="1" t="str">
        <f t="shared" si="12"/>
        <v>8</v>
      </c>
      <c r="B7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95" s="1" t="s">
        <v>5130</v>
      </c>
      <c r="D795" s="1" t="s">
        <v>3822</v>
      </c>
      <c r="E795" s="1" t="s">
        <v>5131</v>
      </c>
      <c r="F795" s="1" t="s">
        <v>112</v>
      </c>
      <c r="G795" s="1">
        <v>460068</v>
      </c>
    </row>
    <row r="796" spans="1:7" x14ac:dyDescent="0.35">
      <c r="A796" s="1" t="str">
        <f t="shared" si="12"/>
        <v>8</v>
      </c>
      <c r="B7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96" s="1" t="s">
        <v>5132</v>
      </c>
      <c r="D796" s="1" t="s">
        <v>5133</v>
      </c>
      <c r="E796" s="1" t="s">
        <v>5134</v>
      </c>
      <c r="F796" s="1" t="s">
        <v>112</v>
      </c>
      <c r="G796" s="1">
        <v>475339</v>
      </c>
    </row>
    <row r="797" spans="1:7" x14ac:dyDescent="0.35">
      <c r="A797" s="1" t="str">
        <f t="shared" si="12"/>
        <v>8</v>
      </c>
      <c r="B7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97" s="1" t="s">
        <v>5135</v>
      </c>
      <c r="D797" s="1" t="s">
        <v>3980</v>
      </c>
      <c r="E797" s="1" t="s">
        <v>5136</v>
      </c>
      <c r="F797" s="1" t="s">
        <v>112</v>
      </c>
      <c r="G797" s="1">
        <v>271953</v>
      </c>
    </row>
    <row r="798" spans="1:7" x14ac:dyDescent="0.35">
      <c r="A798" s="1" t="str">
        <f t="shared" si="12"/>
        <v>8</v>
      </c>
      <c r="B7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8" s="1" t="s">
        <v>5137</v>
      </c>
      <c r="D798" s="1" t="s">
        <v>3937</v>
      </c>
      <c r="E798" s="1" t="s">
        <v>5138</v>
      </c>
      <c r="F798" s="1" t="s">
        <v>112</v>
      </c>
      <c r="G798" s="1">
        <v>332387</v>
      </c>
    </row>
    <row r="799" spans="1:7" x14ac:dyDescent="0.35">
      <c r="A799" s="1" t="str">
        <f t="shared" si="12"/>
        <v>8</v>
      </c>
      <c r="B7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9" s="1" t="s">
        <v>5139</v>
      </c>
      <c r="D799" s="1" t="s">
        <v>2305</v>
      </c>
      <c r="E799" s="1" t="s">
        <v>5140</v>
      </c>
      <c r="F799" s="1" t="s">
        <v>112</v>
      </c>
      <c r="G799" s="1">
        <v>554828</v>
      </c>
    </row>
    <row r="800" spans="1:7" x14ac:dyDescent="0.35">
      <c r="A800" s="1" t="str">
        <f t="shared" si="12"/>
        <v>8</v>
      </c>
      <c r="B8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00" s="1" t="s">
        <v>5141</v>
      </c>
      <c r="D800" s="1" t="s">
        <v>3903</v>
      </c>
      <c r="E800" s="1" t="s">
        <v>5142</v>
      </c>
      <c r="F800" s="1" t="s">
        <v>112</v>
      </c>
      <c r="G800" s="1">
        <v>466665</v>
      </c>
    </row>
    <row r="801" spans="1:7" x14ac:dyDescent="0.35">
      <c r="A801" s="1" t="str">
        <f t="shared" si="12"/>
        <v>8</v>
      </c>
      <c r="B8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01" s="1" t="s">
        <v>5143</v>
      </c>
      <c r="D801" s="1" t="s">
        <v>214</v>
      </c>
      <c r="E801" s="1" t="s">
        <v>5144</v>
      </c>
      <c r="F801" s="1" t="s">
        <v>112</v>
      </c>
      <c r="G801" s="1">
        <v>326590</v>
      </c>
    </row>
    <row r="802" spans="1:7" x14ac:dyDescent="0.35">
      <c r="A802" s="1" t="str">
        <f t="shared" si="12"/>
        <v>8</v>
      </c>
      <c r="B8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2" s="1" t="s">
        <v>5145</v>
      </c>
      <c r="D802" s="1" t="s">
        <v>5146</v>
      </c>
      <c r="E802" s="1" t="s">
        <v>5147</v>
      </c>
      <c r="F802" s="1" t="s">
        <v>112</v>
      </c>
      <c r="G802" s="1">
        <v>718437</v>
      </c>
    </row>
    <row r="803" spans="1:7" x14ac:dyDescent="0.35">
      <c r="A803" s="1" t="str">
        <f t="shared" si="12"/>
        <v>8</v>
      </c>
      <c r="B8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3" s="1" t="s">
        <v>5148</v>
      </c>
      <c r="D803" s="1" t="s">
        <v>5149</v>
      </c>
      <c r="E803" s="1" t="s">
        <v>5150</v>
      </c>
      <c r="F803" s="1" t="s">
        <v>112</v>
      </c>
      <c r="G803" s="1">
        <v>374933</v>
      </c>
    </row>
    <row r="804" spans="1:7" x14ac:dyDescent="0.35">
      <c r="A804" s="1" t="str">
        <f t="shared" si="12"/>
        <v>8</v>
      </c>
      <c r="B8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4" s="1" t="s">
        <v>5151</v>
      </c>
      <c r="D804" s="1" t="s">
        <v>5152</v>
      </c>
      <c r="E804" s="1" t="s">
        <v>5153</v>
      </c>
      <c r="F804" s="1" t="s">
        <v>112</v>
      </c>
      <c r="G804" s="1">
        <v>695963</v>
      </c>
    </row>
    <row r="805" spans="1:7" x14ac:dyDescent="0.35">
      <c r="A805" s="1" t="str">
        <f t="shared" si="12"/>
        <v>8</v>
      </c>
      <c r="B8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5" s="1" t="s">
        <v>5154</v>
      </c>
      <c r="D805" s="1" t="s">
        <v>1709</v>
      </c>
      <c r="E805" s="1" t="s">
        <v>5155</v>
      </c>
      <c r="F805" s="1" t="s">
        <v>112</v>
      </c>
      <c r="G805" s="1">
        <v>444927</v>
      </c>
    </row>
    <row r="806" spans="1:7" x14ac:dyDescent="0.35">
      <c r="A806" s="1" t="str">
        <f t="shared" si="12"/>
        <v>8</v>
      </c>
      <c r="B8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06" s="1" t="s">
        <v>5156</v>
      </c>
      <c r="D806" s="1" t="s">
        <v>208</v>
      </c>
      <c r="E806" s="1" t="s">
        <v>5157</v>
      </c>
      <c r="F806" s="1" t="s">
        <v>112</v>
      </c>
      <c r="G806" s="1">
        <v>302256</v>
      </c>
    </row>
    <row r="807" spans="1:7" x14ac:dyDescent="0.35">
      <c r="A807" s="1" t="str">
        <f t="shared" si="12"/>
        <v>8</v>
      </c>
      <c r="B8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07" s="1" t="s">
        <v>5158</v>
      </c>
      <c r="D807" s="1" t="s">
        <v>2237</v>
      </c>
      <c r="E807" s="1" t="s">
        <v>5159</v>
      </c>
      <c r="F807" s="1" t="s">
        <v>112</v>
      </c>
      <c r="G807" s="1">
        <v>342509</v>
      </c>
    </row>
    <row r="808" spans="1:7" x14ac:dyDescent="0.35">
      <c r="A808" s="1" t="str">
        <f t="shared" si="12"/>
        <v>8</v>
      </c>
      <c r="B8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08" s="1" t="s">
        <v>5160</v>
      </c>
      <c r="D808" s="1" t="s">
        <v>4132</v>
      </c>
      <c r="E808" s="1" t="s">
        <v>5161</v>
      </c>
      <c r="F808" s="1" t="s">
        <v>112</v>
      </c>
      <c r="G808" s="1">
        <v>496882</v>
      </c>
    </row>
    <row r="809" spans="1:7" x14ac:dyDescent="0.35">
      <c r="A809" s="1" t="str">
        <f t="shared" si="12"/>
        <v>8</v>
      </c>
      <c r="B8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09" s="1" t="s">
        <v>5162</v>
      </c>
      <c r="D809" s="1" t="s">
        <v>1003</v>
      </c>
      <c r="E809" s="1" t="s">
        <v>5163</v>
      </c>
      <c r="F809" s="1" t="s">
        <v>112</v>
      </c>
      <c r="G809" s="1">
        <v>409129</v>
      </c>
    </row>
    <row r="810" spans="1:7" x14ac:dyDescent="0.35">
      <c r="A810" s="1" t="str">
        <f t="shared" si="12"/>
        <v>8</v>
      </c>
      <c r="B8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10" s="1" t="s">
        <v>5164</v>
      </c>
      <c r="D810" s="1" t="s">
        <v>619</v>
      </c>
      <c r="E810" s="1" t="s">
        <v>5165</v>
      </c>
      <c r="F810" s="1" t="s">
        <v>112</v>
      </c>
      <c r="G810" s="1">
        <v>321766</v>
      </c>
    </row>
    <row r="811" spans="1:7" x14ac:dyDescent="0.35">
      <c r="A811" s="1" t="str">
        <f t="shared" si="12"/>
        <v>8</v>
      </c>
      <c r="B8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11" s="1" t="s">
        <v>5166</v>
      </c>
      <c r="D811" s="1" t="s">
        <v>3841</v>
      </c>
      <c r="E811" s="1" t="s">
        <v>5167</v>
      </c>
      <c r="F811" s="1" t="s">
        <v>112</v>
      </c>
      <c r="G811" s="1">
        <v>319711</v>
      </c>
    </row>
    <row r="812" spans="1:7" x14ac:dyDescent="0.35">
      <c r="A812" s="1" t="str">
        <f t="shared" si="12"/>
        <v>8</v>
      </c>
      <c r="B8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12" s="1" t="s">
        <v>5168</v>
      </c>
      <c r="D812" s="1" t="s">
        <v>5169</v>
      </c>
      <c r="E812" s="1" t="s">
        <v>5170</v>
      </c>
      <c r="F812" s="1" t="s">
        <v>112</v>
      </c>
      <c r="G812" s="1">
        <v>314564</v>
      </c>
    </row>
    <row r="813" spans="1:7" x14ac:dyDescent="0.35">
      <c r="A813" s="1" t="str">
        <f t="shared" si="12"/>
        <v>8</v>
      </c>
      <c r="B8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13" s="1" t="s">
        <v>5171</v>
      </c>
      <c r="D813" s="1" t="s">
        <v>5172</v>
      </c>
      <c r="E813" s="1" t="s">
        <v>5173</v>
      </c>
      <c r="F813" s="1" t="s">
        <v>112</v>
      </c>
      <c r="G813" s="1">
        <v>415099</v>
      </c>
    </row>
    <row r="814" spans="1:7" x14ac:dyDescent="0.35">
      <c r="A814" s="1" t="str">
        <f t="shared" si="12"/>
        <v>8</v>
      </c>
      <c r="B8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14" s="1" t="s">
        <v>5174</v>
      </c>
      <c r="D814" s="1" t="s">
        <v>4553</v>
      </c>
      <c r="E814" s="1" t="s">
        <v>5175</v>
      </c>
      <c r="F814" s="1" t="s">
        <v>112</v>
      </c>
      <c r="G814" s="1">
        <v>326352</v>
      </c>
    </row>
    <row r="815" spans="1:7" x14ac:dyDescent="0.35">
      <c r="A815" s="1" t="str">
        <f t="shared" si="12"/>
        <v>8</v>
      </c>
      <c r="B8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15" s="1" t="s">
        <v>5176</v>
      </c>
      <c r="D815" s="1" t="s">
        <v>3318</v>
      </c>
      <c r="E815" s="1" t="s">
        <v>5177</v>
      </c>
      <c r="F815" s="1" t="s">
        <v>112</v>
      </c>
      <c r="G815" s="1">
        <v>280302</v>
      </c>
    </row>
    <row r="816" spans="1:7" x14ac:dyDescent="0.35">
      <c r="A816" s="1" t="str">
        <f t="shared" si="12"/>
        <v>8</v>
      </c>
      <c r="B8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16" s="1" t="s">
        <v>5178</v>
      </c>
      <c r="D816" s="1" t="s">
        <v>4587</v>
      </c>
      <c r="E816" s="1" t="s">
        <v>5179</v>
      </c>
      <c r="F816" s="1" t="s">
        <v>112</v>
      </c>
      <c r="G816" s="1">
        <v>397666</v>
      </c>
    </row>
    <row r="817" spans="1:8" x14ac:dyDescent="0.35">
      <c r="A817" s="1" t="str">
        <f t="shared" si="12"/>
        <v>8</v>
      </c>
      <c r="B8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17" s="1" t="s">
        <v>5180</v>
      </c>
      <c r="D817" s="1" t="s">
        <v>5181</v>
      </c>
      <c r="E817" s="1" t="s">
        <v>5182</v>
      </c>
      <c r="F817" s="1" t="s">
        <v>112</v>
      </c>
      <c r="G817" s="1">
        <v>256747</v>
      </c>
    </row>
    <row r="818" spans="1:8"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18" s="1" t="s">
        <v>112</v>
      </c>
    </row>
    <row r="819" spans="1:8"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19" s="1" t="s">
        <v>242</v>
      </c>
      <c r="D819" s="1" t="s">
        <v>112</v>
      </c>
      <c r="E819" s="1" t="s">
        <v>243</v>
      </c>
      <c r="F819" s="1" t="s">
        <v>244</v>
      </c>
      <c r="G819" s="1" t="s">
        <v>245</v>
      </c>
      <c r="H819" s="1" t="s">
        <v>246</v>
      </c>
    </row>
    <row r="820" spans="1:8" x14ac:dyDescent="0.35">
      <c r="A820" s="1" t="str">
        <f t="shared" si="12"/>
        <v>8</v>
      </c>
      <c r="B8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820" s="1" t="s">
        <v>5183</v>
      </c>
      <c r="D820" s="1" t="s">
        <v>112</v>
      </c>
      <c r="E820" s="1" t="s">
        <v>5184</v>
      </c>
      <c r="F820" s="1" t="s">
        <v>5185</v>
      </c>
      <c r="G820" s="1" t="s">
        <v>5186</v>
      </c>
      <c r="H820" s="1" t="s">
        <v>5187</v>
      </c>
    </row>
    <row r="821" spans="1:8"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1" s="1" t="s">
        <v>112</v>
      </c>
    </row>
    <row r="822" spans="1:8"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2" s="1" t="s">
        <v>112</v>
      </c>
    </row>
    <row r="823" spans="1:8"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3" s="1" t="s">
        <v>112</v>
      </c>
    </row>
    <row r="824" spans="1:8"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4" s="1" t="s">
        <v>112</v>
      </c>
    </row>
    <row r="825" spans="1:8"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5" s="1" t="s">
        <v>112</v>
      </c>
    </row>
    <row r="826" spans="1:8"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6" s="1" t="s">
        <v>172</v>
      </c>
      <c r="D826" s="1" t="s">
        <v>110</v>
      </c>
      <c r="E826" s="1" t="s">
        <v>111</v>
      </c>
      <c r="F826" s="1" t="s">
        <v>112</v>
      </c>
      <c r="G826" s="1" t="s">
        <v>113</v>
      </c>
    </row>
    <row r="827" spans="1:8" x14ac:dyDescent="0.35">
      <c r="A827" s="1" t="str">
        <f t="shared" si="12"/>
        <v>9</v>
      </c>
      <c r="B8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27" s="1" t="s">
        <v>5188</v>
      </c>
      <c r="D827" s="1" t="s">
        <v>5189</v>
      </c>
      <c r="E827" s="1" t="s">
        <v>5190</v>
      </c>
      <c r="F827" s="1" t="s">
        <v>112</v>
      </c>
      <c r="G827" s="1">
        <v>292047</v>
      </c>
    </row>
    <row r="828" spans="1:8" x14ac:dyDescent="0.35">
      <c r="A828" s="1" t="str">
        <f t="shared" si="12"/>
        <v>9</v>
      </c>
      <c r="B8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28" s="1" t="s">
        <v>5191</v>
      </c>
      <c r="D828" s="1" t="s">
        <v>3883</v>
      </c>
      <c r="E828" s="1" t="s">
        <v>5192</v>
      </c>
      <c r="F828" s="1" t="s">
        <v>112</v>
      </c>
      <c r="G828" s="1">
        <v>379626</v>
      </c>
    </row>
    <row r="829" spans="1:8" x14ac:dyDescent="0.35">
      <c r="A829" s="1" t="str">
        <f t="shared" si="12"/>
        <v>9</v>
      </c>
      <c r="B8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29" s="1" t="s">
        <v>5193</v>
      </c>
      <c r="D829" s="1" t="s">
        <v>1539</v>
      </c>
      <c r="E829" s="1" t="s">
        <v>5194</v>
      </c>
      <c r="F829" s="1" t="s">
        <v>112</v>
      </c>
      <c r="G829" s="1">
        <v>245110</v>
      </c>
    </row>
    <row r="830" spans="1:8" x14ac:dyDescent="0.35">
      <c r="A830" s="1" t="str">
        <f t="shared" si="12"/>
        <v>9</v>
      </c>
      <c r="B8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30" s="1" t="s">
        <v>5195</v>
      </c>
    </row>
    <row r="831" spans="1:8" x14ac:dyDescent="0.35">
      <c r="A831" s="1" t="str">
        <f t="shared" si="12"/>
        <v>9</v>
      </c>
      <c r="B8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31" s="1" t="s">
        <v>5196</v>
      </c>
    </row>
    <row r="832" spans="1:8" x14ac:dyDescent="0.35">
      <c r="A832" s="1" t="str">
        <f t="shared" si="12"/>
        <v>9</v>
      </c>
      <c r="B8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32" s="1" t="s">
        <v>5197</v>
      </c>
      <c r="D832" s="1" t="s">
        <v>5198</v>
      </c>
      <c r="E832" s="1" t="s">
        <v>5199</v>
      </c>
      <c r="F832" s="1" t="s">
        <v>112</v>
      </c>
      <c r="G832" s="1">
        <v>562767</v>
      </c>
    </row>
    <row r="833" spans="1:7" x14ac:dyDescent="0.35">
      <c r="A833" s="1" t="str">
        <f t="shared" si="12"/>
        <v>9</v>
      </c>
      <c r="B8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33" s="1" t="s">
        <v>5200</v>
      </c>
      <c r="D833" s="1" t="s">
        <v>5201</v>
      </c>
      <c r="E833" s="1" t="s">
        <v>5202</v>
      </c>
      <c r="F833" s="1" t="s">
        <v>112</v>
      </c>
      <c r="G833" s="1">
        <v>614008</v>
      </c>
    </row>
    <row r="834" spans="1:7" x14ac:dyDescent="0.35">
      <c r="A834" s="1" t="str">
        <f t="shared" ref="A834:A897" si="13">IFERROR(LEFT(RIGHT(C834,LEN(C834)-SEARCH("@",C834)),SEARCH("/",RIGHT(C834,LEN(C834)-SEARCH("@",C834)-1))),"")</f>
        <v>9</v>
      </c>
      <c r="B8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34" s="1" t="s">
        <v>5203</v>
      </c>
      <c r="D834" s="1" t="s">
        <v>4419</v>
      </c>
      <c r="E834" s="1" t="s">
        <v>5204</v>
      </c>
      <c r="F834" s="1" t="s">
        <v>112</v>
      </c>
      <c r="G834" s="1">
        <v>534388</v>
      </c>
    </row>
    <row r="835" spans="1:7" x14ac:dyDescent="0.35">
      <c r="A835" s="1" t="str">
        <f t="shared" si="13"/>
        <v>9</v>
      </c>
      <c r="B8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35" s="1" t="s">
        <v>5205</v>
      </c>
      <c r="D835" s="1" t="s">
        <v>2051</v>
      </c>
      <c r="E835" s="1" t="s">
        <v>5206</v>
      </c>
      <c r="F835" s="1" t="s">
        <v>112</v>
      </c>
      <c r="G835" s="1">
        <v>295659</v>
      </c>
    </row>
    <row r="836" spans="1:7" x14ac:dyDescent="0.35">
      <c r="A836" s="1" t="str">
        <f t="shared" si="13"/>
        <v>9</v>
      </c>
      <c r="B8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36" s="1" t="s">
        <v>5207</v>
      </c>
      <c r="D836" s="1" t="s">
        <v>5208</v>
      </c>
      <c r="E836" s="1" t="s">
        <v>5209</v>
      </c>
      <c r="F836" s="1" t="s">
        <v>112</v>
      </c>
      <c r="G836" s="1">
        <v>133543</v>
      </c>
    </row>
    <row r="837" spans="1:7" x14ac:dyDescent="0.35">
      <c r="A837" s="1" t="str">
        <f t="shared" si="13"/>
        <v>9</v>
      </c>
      <c r="B8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37" s="1" t="s">
        <v>5210</v>
      </c>
      <c r="D837" s="1" t="s">
        <v>5211</v>
      </c>
      <c r="E837" s="1" t="s">
        <v>5212</v>
      </c>
      <c r="F837" s="1" t="s">
        <v>112</v>
      </c>
      <c r="G837" s="1">
        <v>195448</v>
      </c>
    </row>
    <row r="838" spans="1:7" x14ac:dyDescent="0.35">
      <c r="A838" s="1" t="str">
        <f t="shared" si="13"/>
        <v>9</v>
      </c>
      <c r="B8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38" s="1" t="s">
        <v>5213</v>
      </c>
      <c r="D838" s="1" t="s">
        <v>1703</v>
      </c>
      <c r="E838" s="1" t="s">
        <v>5214</v>
      </c>
      <c r="F838" s="1" t="s">
        <v>112</v>
      </c>
      <c r="G838" s="1">
        <v>53577</v>
      </c>
    </row>
    <row r="839" spans="1:7" x14ac:dyDescent="0.35">
      <c r="A839" s="1" t="str">
        <f t="shared" si="13"/>
        <v>9</v>
      </c>
      <c r="B8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39" s="1" t="s">
        <v>5215</v>
      </c>
      <c r="D839" s="1" t="s">
        <v>783</v>
      </c>
      <c r="E839" s="1" t="s">
        <v>5216</v>
      </c>
      <c r="F839" s="1" t="s">
        <v>112</v>
      </c>
      <c r="G839" s="1">
        <v>565881</v>
      </c>
    </row>
    <row r="840" spans="1:7" x14ac:dyDescent="0.35">
      <c r="A840" s="1" t="str">
        <f t="shared" si="13"/>
        <v>9</v>
      </c>
      <c r="B8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40" s="1" t="s">
        <v>5217</v>
      </c>
      <c r="D840" s="1" t="s">
        <v>3365</v>
      </c>
      <c r="E840" s="1" t="s">
        <v>5218</v>
      </c>
      <c r="F840" s="1" t="s">
        <v>112</v>
      </c>
      <c r="G840" s="1">
        <v>246949</v>
      </c>
    </row>
    <row r="841" spans="1:7" x14ac:dyDescent="0.35">
      <c r="A841" s="1" t="str">
        <f t="shared" si="13"/>
        <v>9</v>
      </c>
      <c r="B8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41" s="1" t="s">
        <v>5219</v>
      </c>
      <c r="D841" s="1" t="s">
        <v>5220</v>
      </c>
      <c r="E841" s="1" t="s">
        <v>5221</v>
      </c>
      <c r="F841" s="1" t="s">
        <v>112</v>
      </c>
      <c r="G841" s="1">
        <v>571830</v>
      </c>
    </row>
    <row r="842" spans="1:7" x14ac:dyDescent="0.35">
      <c r="A842" s="1" t="str">
        <f t="shared" si="13"/>
        <v>9</v>
      </c>
      <c r="B8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42" s="1" t="s">
        <v>5222</v>
      </c>
      <c r="D842" s="1" t="s">
        <v>2083</v>
      </c>
      <c r="E842" s="1" t="s">
        <v>5223</v>
      </c>
      <c r="F842" s="1" t="s">
        <v>112</v>
      </c>
      <c r="G842" s="1">
        <v>340628</v>
      </c>
    </row>
    <row r="843" spans="1:7" x14ac:dyDescent="0.35">
      <c r="A843" s="1" t="str">
        <f t="shared" si="13"/>
        <v>9</v>
      </c>
      <c r="B8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43" s="1" t="s">
        <v>5224</v>
      </c>
      <c r="D843" s="1" t="s">
        <v>174</v>
      </c>
      <c r="E843" s="1" t="s">
        <v>5225</v>
      </c>
      <c r="F843" s="1" t="s">
        <v>112</v>
      </c>
      <c r="G843" s="1">
        <v>303446</v>
      </c>
    </row>
    <row r="844" spans="1:7" x14ac:dyDescent="0.35">
      <c r="A844" s="1" t="str">
        <f t="shared" si="13"/>
        <v>9</v>
      </c>
      <c r="B8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44" s="1" t="s">
        <v>5226</v>
      </c>
      <c r="D844" s="1" t="s">
        <v>2171</v>
      </c>
      <c r="E844" s="1" t="s">
        <v>5227</v>
      </c>
      <c r="F844" s="1" t="s">
        <v>112</v>
      </c>
      <c r="G844" s="1">
        <v>246581</v>
      </c>
    </row>
    <row r="845" spans="1:7" x14ac:dyDescent="0.35">
      <c r="A845" s="1" t="str">
        <f t="shared" si="13"/>
        <v>9</v>
      </c>
      <c r="B8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45" s="1" t="s">
        <v>5228</v>
      </c>
      <c r="D845" s="1" t="s">
        <v>5229</v>
      </c>
      <c r="E845" s="1" t="s">
        <v>5230</v>
      </c>
      <c r="F845" s="1" t="s">
        <v>112</v>
      </c>
      <c r="G845" s="1">
        <v>296697</v>
      </c>
    </row>
    <row r="846" spans="1:7" x14ac:dyDescent="0.35">
      <c r="A846" s="1" t="str">
        <f t="shared" si="13"/>
        <v>9</v>
      </c>
      <c r="B8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46" s="1" t="s">
        <v>5231</v>
      </c>
      <c r="D846" s="1" t="s">
        <v>5232</v>
      </c>
      <c r="E846" s="1" t="s">
        <v>5233</v>
      </c>
      <c r="F846" s="1" t="s">
        <v>112</v>
      </c>
      <c r="G846" s="1">
        <v>381530</v>
      </c>
    </row>
    <row r="847" spans="1:7" x14ac:dyDescent="0.35">
      <c r="A847" s="1" t="str">
        <f t="shared" si="13"/>
        <v>9</v>
      </c>
      <c r="B8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7" s="1" t="s">
        <v>5234</v>
      </c>
      <c r="D847" s="1" t="s">
        <v>1716</v>
      </c>
      <c r="E847" s="1" t="s">
        <v>5235</v>
      </c>
      <c r="F847" s="1" t="s">
        <v>112</v>
      </c>
      <c r="G847" s="1">
        <v>155281</v>
      </c>
    </row>
    <row r="848" spans="1:7" x14ac:dyDescent="0.35">
      <c r="A848" s="1" t="str">
        <f t="shared" si="13"/>
        <v>9</v>
      </c>
      <c r="B8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8" s="1" t="s">
        <v>5236</v>
      </c>
      <c r="D848" s="1" t="s">
        <v>4068</v>
      </c>
      <c r="E848" s="1" t="s">
        <v>5237</v>
      </c>
      <c r="F848" s="1" t="s">
        <v>112</v>
      </c>
      <c r="G848" s="1">
        <v>193306</v>
      </c>
    </row>
    <row r="849" spans="1:8" x14ac:dyDescent="0.35">
      <c r="A849" s="1" t="str">
        <f t="shared" si="13"/>
        <v>9</v>
      </c>
      <c r="B8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9" s="1" t="s">
        <v>5238</v>
      </c>
      <c r="D849" s="1" t="s">
        <v>2600</v>
      </c>
      <c r="E849" s="1" t="s">
        <v>5239</v>
      </c>
      <c r="F849" s="1" t="s">
        <v>112</v>
      </c>
      <c r="G849" s="1">
        <v>156146</v>
      </c>
    </row>
    <row r="850" spans="1:8" x14ac:dyDescent="0.35">
      <c r="A850" s="1" t="str">
        <f t="shared" si="13"/>
        <v>9</v>
      </c>
      <c r="B8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0" s="1" t="s">
        <v>5240</v>
      </c>
      <c r="D850" s="1" t="s">
        <v>3873</v>
      </c>
      <c r="E850" s="1" t="s">
        <v>5241</v>
      </c>
      <c r="F850" s="1" t="s">
        <v>112</v>
      </c>
      <c r="G850" s="1">
        <v>177819</v>
      </c>
    </row>
    <row r="851" spans="1:8" x14ac:dyDescent="0.35">
      <c r="A851" s="1" t="str">
        <f t="shared" si="13"/>
        <v>9</v>
      </c>
      <c r="B8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51" s="1" t="s">
        <v>5242</v>
      </c>
      <c r="D851" s="1" t="s">
        <v>5232</v>
      </c>
      <c r="E851" s="1" t="s">
        <v>5243</v>
      </c>
      <c r="F851" s="1" t="s">
        <v>112</v>
      </c>
      <c r="G851" s="1">
        <v>391847</v>
      </c>
    </row>
    <row r="852" spans="1:8" x14ac:dyDescent="0.35">
      <c r="A852" s="1" t="str">
        <f t="shared" si="13"/>
        <v>9</v>
      </c>
      <c r="B8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52" s="1" t="s">
        <v>5244</v>
      </c>
      <c r="D852" s="1" t="s">
        <v>5245</v>
      </c>
      <c r="E852" s="1" t="s">
        <v>5246</v>
      </c>
      <c r="F852" s="1" t="s">
        <v>112</v>
      </c>
      <c r="G852" s="1">
        <v>328039</v>
      </c>
    </row>
    <row r="853" spans="1:8" x14ac:dyDescent="0.35">
      <c r="A853" s="1" t="str">
        <f t="shared" si="13"/>
        <v>9</v>
      </c>
      <c r="B8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53" s="1" t="s">
        <v>5247</v>
      </c>
      <c r="D853" s="1" t="s">
        <v>3401</v>
      </c>
      <c r="E853" s="1" t="s">
        <v>5248</v>
      </c>
      <c r="F853" s="1" t="s">
        <v>112</v>
      </c>
      <c r="G853" s="1">
        <v>37117</v>
      </c>
    </row>
    <row r="854" spans="1:8" x14ac:dyDescent="0.35">
      <c r="A854" s="1" t="str">
        <f t="shared" si="13"/>
        <v>9</v>
      </c>
      <c r="B8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54" s="1" t="s">
        <v>5249</v>
      </c>
      <c r="D854" s="1" t="s">
        <v>2070</v>
      </c>
      <c r="E854" s="1" t="s">
        <v>5250</v>
      </c>
      <c r="F854" s="1" t="s">
        <v>112</v>
      </c>
      <c r="G854" s="1">
        <v>180977</v>
      </c>
    </row>
    <row r="855" spans="1:8" x14ac:dyDescent="0.35">
      <c r="A855" s="1" t="str">
        <f t="shared" si="13"/>
        <v>9</v>
      </c>
      <c r="B8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55" s="1" t="s">
        <v>5251</v>
      </c>
      <c r="D855" s="1" t="s">
        <v>2218</v>
      </c>
      <c r="E855" s="1" t="s">
        <v>5252</v>
      </c>
      <c r="F855" s="1" t="s">
        <v>112</v>
      </c>
      <c r="G855" s="1">
        <v>252767</v>
      </c>
    </row>
    <row r="856" spans="1:8" x14ac:dyDescent="0.35">
      <c r="A856" s="1" t="str">
        <f t="shared" si="13"/>
        <v>9</v>
      </c>
      <c r="B8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56" s="1" t="s">
        <v>5253</v>
      </c>
      <c r="D856" s="1" t="s">
        <v>503</v>
      </c>
      <c r="E856" s="1" t="s">
        <v>5254</v>
      </c>
      <c r="F856" s="1" t="s">
        <v>112</v>
      </c>
      <c r="G856" s="1">
        <v>299314</v>
      </c>
    </row>
    <row r="857" spans="1:8" x14ac:dyDescent="0.35">
      <c r="A857" s="1" t="str">
        <f t="shared" si="13"/>
        <v>9</v>
      </c>
      <c r="B8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57" s="1" t="s">
        <v>5255</v>
      </c>
      <c r="D857" s="1" t="s">
        <v>614</v>
      </c>
      <c r="E857" s="1" t="s">
        <v>5256</v>
      </c>
      <c r="F857" s="1" t="s">
        <v>112</v>
      </c>
      <c r="G857" s="1">
        <v>303229</v>
      </c>
    </row>
    <row r="858" spans="1:8" x14ac:dyDescent="0.35">
      <c r="A858" s="1" t="str">
        <f t="shared" si="13"/>
        <v>9</v>
      </c>
      <c r="B8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58" s="1" t="s">
        <v>5257</v>
      </c>
      <c r="D858" s="1" t="s">
        <v>183</v>
      </c>
      <c r="E858" s="1" t="s">
        <v>5258</v>
      </c>
      <c r="F858" s="1" t="s">
        <v>112</v>
      </c>
      <c r="G858" s="1">
        <v>271974</v>
      </c>
    </row>
    <row r="859" spans="1:8"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59" s="1" t="s">
        <v>112</v>
      </c>
    </row>
    <row r="860" spans="1:8"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60" s="1" t="s">
        <v>242</v>
      </c>
      <c r="D860" s="1" t="s">
        <v>112</v>
      </c>
      <c r="E860" s="1" t="s">
        <v>243</v>
      </c>
      <c r="F860" s="1" t="s">
        <v>244</v>
      </c>
      <c r="G860" s="1" t="s">
        <v>245</v>
      </c>
      <c r="H860" s="1" t="s">
        <v>246</v>
      </c>
    </row>
    <row r="861" spans="1:8" x14ac:dyDescent="0.35">
      <c r="A861" s="1" t="str">
        <f t="shared" si="13"/>
        <v>9</v>
      </c>
      <c r="B8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861" s="1" t="s">
        <v>5259</v>
      </c>
      <c r="D861" s="1" t="s">
        <v>112</v>
      </c>
      <c r="E861" s="1" t="s">
        <v>5260</v>
      </c>
      <c r="F861" s="1" t="s">
        <v>5261</v>
      </c>
      <c r="G861" s="1" t="s">
        <v>5262</v>
      </c>
      <c r="H861" s="1" t="s">
        <v>5263</v>
      </c>
    </row>
    <row r="862" spans="1:8"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8"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8"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4" priority="1" operator="containsText" text="ERREUR">
      <formula>NOT(ISERROR(SEARCH("ERREUR",A1)))</formula>
    </cfRule>
    <cfRule type="containsText" dxfId="33"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M1" activePane="topRight" state="frozen"/>
      <selection pane="topRight" activeCell="R5" sqref="R5:V12"/>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6" t="s">
        <v>40</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c r="A2"/>
      <c r="B2"/>
      <c r="C2"/>
      <c r="D2"/>
      <c r="E2"/>
      <c r="F2"/>
      <c r="G2"/>
      <c r="H2"/>
      <c r="I2"/>
      <c r="J2"/>
      <c r="K2"/>
      <c r="L2"/>
      <c r="M2"/>
      <c r="S2"/>
      <c r="T2"/>
      <c r="U2"/>
      <c r="V2"/>
    </row>
    <row r="3" spans="1:22" ht="15" thickBot="1" x14ac:dyDescent="0.4">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TAM-30.2µg/L</v>
      </c>
      <c r="J4" s="35" t="str">
        <f>'Page de garde'!A16</f>
        <v>TAM-60.4µg/L</v>
      </c>
      <c r="K4" s="35" t="str">
        <f>'Page de garde'!A17</f>
        <v>TAM-121µg/L</v>
      </c>
      <c r="L4" s="35" t="str">
        <f>'Page de garde'!A18</f>
        <v>TAM-242µg/L</v>
      </c>
      <c r="M4" s="35" t="str">
        <f>'Page de garde'!A19</f>
        <v>TAM-483µg/L</v>
      </c>
      <c r="N4" s="3"/>
      <c r="O4" s="36" t="str">
        <f>'Page de garde'!A36</f>
        <v>Testo -30µg/L</v>
      </c>
      <c r="P4" s="36" t="str">
        <f>'Page de garde'!A37</f>
        <v>Testo 30µg/L + EE2 -64ng/L</v>
      </c>
      <c r="Q4" s="36" t="str">
        <f>'Page de garde'!A38</f>
        <v>Testo 30µg/L + FAD-10mg/L</v>
      </c>
      <c r="R4" s="36" t="str">
        <f>'Page de garde'!A39</f>
        <v>TAM-30,2µg/L + Testostérone</v>
      </c>
      <c r="S4" s="36" t="str">
        <f>'Page de garde'!A40</f>
        <v>TAM-60,4µg/L + Testostérone</v>
      </c>
      <c r="T4" s="36" t="str">
        <f>'Page de garde'!A41</f>
        <v>TAM-121µg/L + Testostérone</v>
      </c>
      <c r="U4" s="36" t="str">
        <f>'Page de garde'!A42</f>
        <v>TAM-242µg/L + Testostérone</v>
      </c>
      <c r="V4" s="36" t="str">
        <f>'Page de garde'!A43</f>
        <v>TAM-483µg/L + Testostérone</v>
      </c>
    </row>
    <row r="5" spans="1:22" ht="16.5" x14ac:dyDescent="0.35">
      <c r="A5" s="220" t="s">
        <v>33</v>
      </c>
      <c r="B5" s="73">
        <v>335631.25</v>
      </c>
      <c r="C5" s="13">
        <v>460940</v>
      </c>
      <c r="D5" s="32">
        <v>299476.75</v>
      </c>
      <c r="E5" s="32">
        <v>298995.5</v>
      </c>
      <c r="F5" s="32">
        <v>2255601.3333333335</v>
      </c>
      <c r="G5" s="32">
        <v>3212780.25</v>
      </c>
      <c r="H5" s="32">
        <v>4556424</v>
      </c>
      <c r="I5" s="32">
        <v>317315.75</v>
      </c>
      <c r="J5" s="16">
        <v>305594.33333333331</v>
      </c>
      <c r="K5" s="13">
        <v>331362.66666666669</v>
      </c>
      <c r="L5" s="13">
        <v>987678.66666666663</v>
      </c>
      <c r="M5" s="13">
        <v>299330.5</v>
      </c>
      <c r="N5" s="3"/>
      <c r="O5" s="32">
        <v>970896</v>
      </c>
      <c r="P5" s="13">
        <v>4204083.75</v>
      </c>
      <c r="Q5" s="13">
        <v>441925.75</v>
      </c>
      <c r="R5" s="4">
        <v>2414529</v>
      </c>
      <c r="S5" s="32">
        <v>1600691.3333333333</v>
      </c>
      <c r="T5" s="32">
        <v>2141705.5</v>
      </c>
      <c r="U5" s="32">
        <v>1631180.5</v>
      </c>
      <c r="V5" s="32">
        <v>998775</v>
      </c>
    </row>
    <row r="6" spans="1:22" ht="16.5" x14ac:dyDescent="0.35">
      <c r="A6" s="221"/>
      <c r="B6" s="73">
        <v>271839.25</v>
      </c>
      <c r="C6" s="13">
        <v>373245.5</v>
      </c>
      <c r="D6" s="32">
        <v>203465.33333333334</v>
      </c>
      <c r="E6" s="32">
        <v>285969</v>
      </c>
      <c r="F6" s="32">
        <v>1389126</v>
      </c>
      <c r="G6" s="32">
        <v>3494821.3333333335</v>
      </c>
      <c r="H6" s="32">
        <v>3553402</v>
      </c>
      <c r="I6" s="32">
        <v>209842.5</v>
      </c>
      <c r="J6" s="16">
        <v>570387.66666666663</v>
      </c>
      <c r="K6" s="13">
        <v>463777</v>
      </c>
      <c r="L6" s="13">
        <v>514647.33333333331</v>
      </c>
      <c r="M6" s="13">
        <v>272174.25</v>
      </c>
      <c r="N6" s="3"/>
      <c r="O6" s="32">
        <v>2614027</v>
      </c>
      <c r="P6" s="13">
        <v>2320395.75</v>
      </c>
      <c r="Q6" s="13">
        <v>80079.25</v>
      </c>
      <c r="R6" s="4">
        <v>3445366.5</v>
      </c>
      <c r="S6" s="32">
        <v>2009682</v>
      </c>
      <c r="T6" s="32">
        <v>2164098</v>
      </c>
      <c r="U6" s="32">
        <v>1280825</v>
      </c>
      <c r="V6" s="32">
        <v>1779745.5</v>
      </c>
    </row>
    <row r="7" spans="1:22" ht="16.5" x14ac:dyDescent="0.35">
      <c r="A7" s="221"/>
      <c r="B7" s="73">
        <v>322555.75</v>
      </c>
      <c r="C7" s="13">
        <v>156088.33333333334</v>
      </c>
      <c r="D7" s="32">
        <v>552389.75</v>
      </c>
      <c r="E7" s="32">
        <v>745366</v>
      </c>
      <c r="F7" s="32">
        <v>1011646.25</v>
      </c>
      <c r="G7" s="32">
        <v>3477995</v>
      </c>
      <c r="H7" s="32">
        <v>3691439</v>
      </c>
      <c r="I7" s="32">
        <v>397000.75</v>
      </c>
      <c r="J7" s="16">
        <v>169556.75</v>
      </c>
      <c r="K7" s="13"/>
      <c r="L7" s="13">
        <v>219103.66666666666</v>
      </c>
      <c r="M7" s="13">
        <v>988361.75</v>
      </c>
      <c r="N7" s="3"/>
      <c r="O7" s="32">
        <v>2082082.75</v>
      </c>
      <c r="P7" s="13">
        <v>3922727.25</v>
      </c>
      <c r="Q7" s="13">
        <v>274980.75</v>
      </c>
      <c r="R7" s="4">
        <v>3418637.25</v>
      </c>
      <c r="S7" s="32">
        <v>3014239.25</v>
      </c>
      <c r="T7" s="32">
        <v>2326560.25</v>
      </c>
      <c r="U7" s="32">
        <v>1618868</v>
      </c>
      <c r="V7" s="32">
        <v>466064.75</v>
      </c>
    </row>
    <row r="8" spans="1:22" ht="16.5" x14ac:dyDescent="0.35">
      <c r="A8" s="221"/>
      <c r="B8" s="73">
        <v>421869.33333333331</v>
      </c>
      <c r="C8" s="13">
        <v>365637.25</v>
      </c>
      <c r="D8" s="32">
        <v>87060</v>
      </c>
      <c r="E8" s="32">
        <v>166231.25</v>
      </c>
      <c r="F8" s="32">
        <v>1988054</v>
      </c>
      <c r="G8" s="32">
        <v>3604751.75</v>
      </c>
      <c r="H8" s="32">
        <v>4888107.5</v>
      </c>
      <c r="I8" s="32">
        <v>420117.5</v>
      </c>
      <c r="J8" s="16">
        <v>431322</v>
      </c>
      <c r="K8" s="13">
        <v>498233.75</v>
      </c>
      <c r="L8" s="13">
        <v>1404609.3333333333</v>
      </c>
      <c r="M8" s="13">
        <v>52290.25</v>
      </c>
      <c r="N8" s="3"/>
      <c r="O8" s="32">
        <v>3170158.25</v>
      </c>
      <c r="P8" s="13">
        <v>2979036.75</v>
      </c>
      <c r="Q8" s="13">
        <v>427255.25</v>
      </c>
      <c r="R8" s="4">
        <v>3793445.25</v>
      </c>
      <c r="S8" s="32">
        <v>3425353.25</v>
      </c>
      <c r="T8" s="32">
        <v>2275600.25</v>
      </c>
      <c r="U8" s="32">
        <v>2701628</v>
      </c>
      <c r="V8" s="32">
        <v>635902.75</v>
      </c>
    </row>
    <row r="9" spans="1:22" ht="16.5" x14ac:dyDescent="0.35">
      <c r="A9" s="221"/>
      <c r="B9" s="73">
        <v>311562.25</v>
      </c>
      <c r="C9" s="13">
        <v>249446.75</v>
      </c>
      <c r="D9" s="32">
        <v>441855.5</v>
      </c>
      <c r="E9" s="32">
        <v>56156.5</v>
      </c>
      <c r="F9" s="32">
        <v>2842627.75</v>
      </c>
      <c r="G9" s="32">
        <v>2876024.25</v>
      </c>
      <c r="H9" s="32">
        <v>3873189.5</v>
      </c>
      <c r="I9" s="32">
        <v>558565</v>
      </c>
      <c r="J9" s="16">
        <v>307063.5</v>
      </c>
      <c r="K9" s="13">
        <v>645841.5</v>
      </c>
      <c r="L9" s="13">
        <v>184357</v>
      </c>
      <c r="M9" s="13">
        <v>342026.33333333331</v>
      </c>
      <c r="N9" s="3"/>
      <c r="O9" s="32">
        <v>921168.5</v>
      </c>
      <c r="P9" s="13">
        <v>4203402.333333333</v>
      </c>
      <c r="Q9" s="13">
        <v>475241</v>
      </c>
      <c r="R9" s="4">
        <v>3766132.5</v>
      </c>
      <c r="S9" s="32">
        <v>2815958</v>
      </c>
      <c r="T9" s="32">
        <v>3211163.25</v>
      </c>
      <c r="U9" s="32">
        <v>817653.25</v>
      </c>
      <c r="V9" s="32">
        <v>148710.75</v>
      </c>
    </row>
    <row r="10" spans="1:22" ht="16.5" x14ac:dyDescent="0.35">
      <c r="A10" s="221"/>
      <c r="B10" s="73">
        <v>444321.25</v>
      </c>
      <c r="C10" s="13">
        <v>106909.33333333333</v>
      </c>
      <c r="D10" s="32">
        <v>374451.25</v>
      </c>
      <c r="E10" s="32">
        <v>1112198.25</v>
      </c>
      <c r="F10" s="32">
        <v>3187121.6666666665</v>
      </c>
      <c r="G10" s="32">
        <v>2766955.75</v>
      </c>
      <c r="H10" s="32">
        <v>3266730.75</v>
      </c>
      <c r="I10" s="32">
        <v>387694</v>
      </c>
      <c r="J10" s="16">
        <v>170638</v>
      </c>
      <c r="K10" s="13">
        <v>35824.75</v>
      </c>
      <c r="L10" s="13">
        <v>255481.5</v>
      </c>
      <c r="M10" s="13">
        <v>386629</v>
      </c>
      <c r="N10" s="3"/>
      <c r="O10" s="32">
        <v>2815925.75</v>
      </c>
      <c r="P10" s="13">
        <v>4175380.75</v>
      </c>
      <c r="Q10" s="13">
        <v>354638.25</v>
      </c>
      <c r="R10" s="4">
        <v>2875559.25</v>
      </c>
      <c r="S10" s="32">
        <v>3331171.5</v>
      </c>
      <c r="T10" s="32">
        <v>765119.75</v>
      </c>
      <c r="U10" s="32">
        <v>2389076</v>
      </c>
      <c r="V10" s="32">
        <v>652844.25</v>
      </c>
    </row>
    <row r="11" spans="1:22" ht="16.5" x14ac:dyDescent="0.35">
      <c r="A11" s="221"/>
      <c r="B11" s="73">
        <v>505090.5</v>
      </c>
      <c r="C11" s="13">
        <v>301212.5</v>
      </c>
      <c r="D11" s="32">
        <v>316002</v>
      </c>
      <c r="E11" s="32">
        <v>119083.5</v>
      </c>
      <c r="F11" s="32">
        <v>1232276.75</v>
      </c>
      <c r="G11" s="32">
        <v>2535488.5</v>
      </c>
      <c r="H11" s="32">
        <v>2892684.75</v>
      </c>
      <c r="I11" s="32">
        <v>342785</v>
      </c>
      <c r="J11" s="16">
        <v>234495</v>
      </c>
      <c r="K11" s="13">
        <v>1226647.5</v>
      </c>
      <c r="L11" s="13">
        <v>600402.5</v>
      </c>
      <c r="M11" s="13">
        <v>284325</v>
      </c>
      <c r="N11" s="3"/>
      <c r="O11" s="32">
        <v>2417827.5</v>
      </c>
      <c r="P11" s="13">
        <v>3226504.5</v>
      </c>
      <c r="Q11" s="13">
        <v>305731.33333333331</v>
      </c>
      <c r="R11" s="4">
        <v>2786108.75</v>
      </c>
      <c r="S11" s="32">
        <v>2954265.25</v>
      </c>
      <c r="T11" s="32">
        <v>1443309</v>
      </c>
      <c r="U11" s="32">
        <v>1505510.75</v>
      </c>
      <c r="V11" s="32">
        <v>732799.33333333337</v>
      </c>
    </row>
    <row r="12" spans="1:22" ht="16.5" x14ac:dyDescent="0.35">
      <c r="A12" s="221"/>
      <c r="B12" s="73">
        <v>200222.5</v>
      </c>
      <c r="C12" s="13">
        <v>150841.75</v>
      </c>
      <c r="D12" s="32">
        <v>228786.33333333334</v>
      </c>
      <c r="E12" s="32">
        <v>508937</v>
      </c>
      <c r="F12" s="32">
        <v>1331158</v>
      </c>
      <c r="G12" s="32">
        <v>1212436.5</v>
      </c>
      <c r="H12" s="32">
        <v>4698267.5</v>
      </c>
      <c r="I12" s="32">
        <v>315266.75</v>
      </c>
      <c r="J12" s="16">
        <v>281821</v>
      </c>
      <c r="K12" s="13">
        <v>725147.75</v>
      </c>
      <c r="L12" s="13">
        <v>251065.66666666666</v>
      </c>
      <c r="M12" s="13">
        <v>550545.75</v>
      </c>
      <c r="N12" s="3"/>
      <c r="O12" s="32">
        <v>2438278.75</v>
      </c>
      <c r="P12" s="13">
        <v>2587157</v>
      </c>
      <c r="Q12" s="13">
        <v>180820.5</v>
      </c>
      <c r="R12" s="4">
        <v>2414848</v>
      </c>
      <c r="S12" s="32">
        <v>4028221.75</v>
      </c>
      <c r="T12" s="32">
        <v>1287773.75</v>
      </c>
      <c r="U12" s="32">
        <v>206132.75</v>
      </c>
      <c r="V12" s="32">
        <v>630992.75</v>
      </c>
    </row>
    <row r="13" spans="1:22" ht="16.5" x14ac:dyDescent="0.35">
      <c r="A13" s="221"/>
      <c r="B13" s="14"/>
      <c r="C13" s="13"/>
      <c r="D13" s="16"/>
      <c r="E13" s="16"/>
      <c r="F13" s="16"/>
      <c r="G13" s="16"/>
      <c r="H13" s="16"/>
      <c r="I13" s="32"/>
      <c r="J13" s="16"/>
      <c r="K13" s="13"/>
      <c r="L13" s="13"/>
      <c r="M13" s="13"/>
      <c r="N13" s="3"/>
      <c r="O13" s="32">
        <v>1131189.25</v>
      </c>
      <c r="P13" s="13"/>
      <c r="Q13" s="13"/>
      <c r="R13" s="4"/>
      <c r="S13" s="32"/>
      <c r="T13" s="32"/>
      <c r="U13" s="32"/>
      <c r="V13" s="32"/>
    </row>
    <row r="14" spans="1:22" ht="16.5" x14ac:dyDescent="0.35">
      <c r="A14" s="221"/>
      <c r="B14" s="14"/>
      <c r="C14" s="16"/>
      <c r="D14" s="16"/>
      <c r="E14" s="16"/>
      <c r="F14" s="16"/>
      <c r="G14" s="16"/>
      <c r="H14" s="16"/>
      <c r="I14" s="32"/>
      <c r="J14" s="16"/>
      <c r="K14" s="13"/>
      <c r="L14" s="13"/>
      <c r="M14" s="13"/>
      <c r="N14" s="3"/>
      <c r="O14" s="32">
        <v>1410680</v>
      </c>
      <c r="P14" s="13"/>
      <c r="Q14" s="13"/>
      <c r="R14" s="4"/>
      <c r="S14" s="32"/>
      <c r="T14" s="32"/>
      <c r="U14" s="32"/>
      <c r="V14" s="32"/>
    </row>
    <row r="15" spans="1:22" ht="16.5" x14ac:dyDescent="0.35">
      <c r="A15" s="221"/>
      <c r="B15" s="14"/>
      <c r="C15" s="16"/>
      <c r="D15" s="16"/>
      <c r="E15" s="16"/>
      <c r="F15" s="16"/>
      <c r="G15" s="16"/>
      <c r="H15" s="16"/>
      <c r="I15" s="32"/>
      <c r="J15" s="16"/>
      <c r="K15" s="13"/>
      <c r="L15" s="13"/>
      <c r="M15" s="13"/>
      <c r="N15" s="3"/>
      <c r="O15" s="32">
        <v>3761005.75</v>
      </c>
      <c r="P15" s="13"/>
      <c r="Q15" s="13"/>
      <c r="R15" s="4"/>
      <c r="S15" s="32"/>
      <c r="T15" s="32"/>
      <c r="U15" s="32"/>
      <c r="V15" s="32"/>
    </row>
    <row r="16" spans="1:22" ht="16.5" x14ac:dyDescent="0.35">
      <c r="A16" s="221"/>
      <c r="B16" s="14"/>
      <c r="C16" s="16"/>
      <c r="D16" s="16"/>
      <c r="E16" s="16"/>
      <c r="F16" s="16"/>
      <c r="G16" s="16"/>
      <c r="H16" s="16"/>
      <c r="I16" s="32"/>
      <c r="J16" s="16"/>
      <c r="K16" s="13"/>
      <c r="L16" s="13"/>
      <c r="M16" s="13"/>
      <c r="N16" s="3"/>
      <c r="O16" s="32">
        <v>3425072</v>
      </c>
      <c r="P16" s="13"/>
      <c r="Q16" s="13"/>
      <c r="R16" s="4"/>
      <c r="S16" s="32"/>
      <c r="T16" s="32"/>
      <c r="U16" s="32"/>
      <c r="V16" s="32"/>
    </row>
    <row r="17" spans="1:22" s="1" customFormat="1" ht="16.5" x14ac:dyDescent="0.35">
      <c r="A17" s="221"/>
      <c r="B17" s="14"/>
      <c r="C17" s="32"/>
      <c r="D17" s="32"/>
      <c r="E17" s="32"/>
      <c r="F17" s="32"/>
      <c r="G17" s="32"/>
      <c r="H17" s="32"/>
      <c r="I17" s="32"/>
      <c r="J17" s="32"/>
      <c r="K17" s="13"/>
      <c r="L17" s="13"/>
      <c r="M17" s="13"/>
      <c r="N17" s="3"/>
      <c r="O17" s="32">
        <v>1280003</v>
      </c>
      <c r="P17" s="13"/>
      <c r="Q17" s="13"/>
      <c r="R17" s="32"/>
      <c r="S17" s="32"/>
      <c r="T17" s="32"/>
      <c r="U17" s="32"/>
      <c r="V17" s="32"/>
    </row>
    <row r="18" spans="1:22" s="1" customFormat="1" ht="16.5" x14ac:dyDescent="0.35">
      <c r="A18" s="221"/>
      <c r="B18" s="14"/>
      <c r="C18" s="32"/>
      <c r="D18" s="32"/>
      <c r="E18" s="32"/>
      <c r="F18" s="32"/>
      <c r="G18" s="32"/>
      <c r="H18" s="32"/>
      <c r="I18" s="32"/>
      <c r="J18" s="32"/>
      <c r="K18" s="13"/>
      <c r="L18" s="13"/>
      <c r="M18" s="13"/>
      <c r="N18" s="3"/>
      <c r="O18" s="32">
        <v>2808225.25</v>
      </c>
      <c r="P18" s="13"/>
      <c r="Q18" s="13"/>
      <c r="R18" s="32"/>
      <c r="S18" s="32"/>
      <c r="T18" s="32"/>
      <c r="U18" s="32"/>
      <c r="V18" s="32"/>
    </row>
    <row r="19" spans="1:22" s="1" customFormat="1" ht="16.5" x14ac:dyDescent="0.35">
      <c r="A19" s="221"/>
      <c r="B19" s="14"/>
      <c r="C19" s="32"/>
      <c r="D19" s="32"/>
      <c r="E19" s="32"/>
      <c r="F19" s="32"/>
      <c r="G19" s="32"/>
      <c r="H19" s="32"/>
      <c r="I19" s="32"/>
      <c r="J19" s="32"/>
      <c r="K19" s="13"/>
      <c r="L19" s="13"/>
      <c r="M19" s="13"/>
      <c r="N19" s="3"/>
      <c r="O19" s="32">
        <v>3065286</v>
      </c>
      <c r="P19" s="13"/>
      <c r="Q19" s="13"/>
      <c r="R19" s="32"/>
      <c r="S19" s="32"/>
      <c r="T19" s="32"/>
      <c r="U19" s="32"/>
      <c r="V19" s="32"/>
    </row>
    <row r="20" spans="1:22" ht="16.5" x14ac:dyDescent="0.35">
      <c r="A20" s="221"/>
      <c r="B20" s="14"/>
      <c r="C20" s="16"/>
      <c r="D20" s="16"/>
      <c r="E20" s="16"/>
      <c r="F20" s="16"/>
      <c r="G20" s="16"/>
      <c r="H20" s="16"/>
      <c r="I20" s="32"/>
      <c r="J20" s="16"/>
      <c r="K20" s="13"/>
      <c r="L20" s="13"/>
      <c r="M20" s="13"/>
      <c r="N20" s="3"/>
      <c r="O20" s="32">
        <v>2653447.5</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TAM-30.2µg/L</v>
      </c>
      <c r="J22" s="68" t="str">
        <f t="shared" si="0"/>
        <v>TAM-60.4µg/L</v>
      </c>
      <c r="K22" s="68" t="str">
        <f t="shared" si="0"/>
        <v>TAM-121µg/L</v>
      </c>
      <c r="L22" s="68" t="str">
        <f t="shared" si="0"/>
        <v>TAM-242µg/L</v>
      </c>
      <c r="M22" s="68" t="str">
        <f t="shared" si="0"/>
        <v>TAM-483µg/L</v>
      </c>
      <c r="N22" s="68" t="s">
        <v>47</v>
      </c>
      <c r="O22" s="68" t="str">
        <f t="shared" ref="O22:V22" si="1">O4</f>
        <v>Testo -30µg/L</v>
      </c>
      <c r="P22" s="68" t="str">
        <f t="shared" si="1"/>
        <v>Testo 30µg/L + EE2 -64ng/L</v>
      </c>
      <c r="Q22" s="68" t="str">
        <f t="shared" si="1"/>
        <v>Testo 30µg/L + FAD-10mg/L</v>
      </c>
      <c r="R22" s="68" t="str">
        <f t="shared" si="1"/>
        <v>TAM-30,2µg/L + Testostérone</v>
      </c>
      <c r="S22" s="68" t="str">
        <f t="shared" si="1"/>
        <v>TAM-60,4µg/L + Testostérone</v>
      </c>
      <c r="T22" s="68" t="str">
        <f t="shared" si="1"/>
        <v>TAM-121µg/L + Testostérone</v>
      </c>
      <c r="U22" s="68" t="str">
        <f t="shared" si="1"/>
        <v>TAM-242µg/L + Testostérone</v>
      </c>
      <c r="V22" s="68" t="str">
        <f t="shared" si="1"/>
        <v>TAM-483µg/L + Testostérone</v>
      </c>
    </row>
    <row r="23" spans="1:22" x14ac:dyDescent="0.35">
      <c r="A23" s="5" t="s">
        <v>0</v>
      </c>
      <c r="B23" s="5">
        <f t="shared" ref="B23:M23" si="2">AVERAGE(B5:B20)</f>
        <v>351636.51041666663</v>
      </c>
      <c r="C23" s="5">
        <f t="shared" si="2"/>
        <v>270540.17708333337</v>
      </c>
      <c r="D23" s="5">
        <f t="shared" si="2"/>
        <v>312935.86458333337</v>
      </c>
      <c r="E23" s="5">
        <f t="shared" si="2"/>
        <v>411617.125</v>
      </c>
      <c r="F23" s="5">
        <f t="shared" si="2"/>
        <v>1904701.46875</v>
      </c>
      <c r="G23" s="5">
        <f t="shared" si="2"/>
        <v>2897656.666666667</v>
      </c>
      <c r="H23" s="5">
        <f t="shared" si="2"/>
        <v>3927530.625</v>
      </c>
      <c r="I23" s="5">
        <f t="shared" si="2"/>
        <v>368573.40625</v>
      </c>
      <c r="J23" s="5">
        <f t="shared" si="2"/>
        <v>308859.78125</v>
      </c>
      <c r="K23" s="5">
        <f t="shared" si="2"/>
        <v>560976.41666666674</v>
      </c>
      <c r="L23" s="5">
        <f t="shared" si="2"/>
        <v>552168.20833333337</v>
      </c>
      <c r="M23" s="5">
        <f t="shared" si="2"/>
        <v>396960.35416666663</v>
      </c>
      <c r="N23" s="5" t="s">
        <v>0</v>
      </c>
      <c r="O23" s="5">
        <f t="shared" ref="O23:V23" si="3">AVERAGE(O5:O20)</f>
        <v>2310329.578125</v>
      </c>
      <c r="P23" s="5">
        <f t="shared" si="3"/>
        <v>3452336.0104166665</v>
      </c>
      <c r="Q23" s="5">
        <f t="shared" si="3"/>
        <v>317584.01041666669</v>
      </c>
      <c r="R23" s="5">
        <f t="shared" si="3"/>
        <v>3114328.3125</v>
      </c>
      <c r="S23" s="5">
        <f t="shared" si="3"/>
        <v>2897447.7916666665</v>
      </c>
      <c r="T23" s="5">
        <f t="shared" si="3"/>
        <v>1951916.21875</v>
      </c>
      <c r="U23" s="5">
        <f t="shared" si="3"/>
        <v>1518859.28125</v>
      </c>
      <c r="V23" s="5">
        <f t="shared" si="3"/>
        <v>755729.38541666663</v>
      </c>
    </row>
    <row r="24" spans="1:22" x14ac:dyDescent="0.35">
      <c r="A24" s="3" t="s">
        <v>1</v>
      </c>
      <c r="B24" s="3">
        <f t="shared" ref="B24:M24" si="4">STDEV(B5:B20)</f>
        <v>99335.541000719662</v>
      </c>
      <c r="C24" s="3">
        <f t="shared" si="4"/>
        <v>126169.75201743777</v>
      </c>
      <c r="D24" s="3">
        <f t="shared" si="4"/>
        <v>145414.66533176583</v>
      </c>
      <c r="E24" s="3">
        <f t="shared" si="4"/>
        <v>361007.88859688176</v>
      </c>
      <c r="F24" s="3">
        <f t="shared" si="4"/>
        <v>801682.02042951528</v>
      </c>
      <c r="G24" s="3">
        <f t="shared" si="4"/>
        <v>782063.93893277191</v>
      </c>
      <c r="H24" s="3">
        <f t="shared" si="4"/>
        <v>718975.16761198267</v>
      </c>
      <c r="I24" s="3">
        <f t="shared" si="4"/>
        <v>100893.72038711059</v>
      </c>
      <c r="J24" s="3">
        <f t="shared" si="4"/>
        <v>135319.47983374036</v>
      </c>
      <c r="K24" s="3">
        <f t="shared" si="4"/>
        <v>369495.92155088263</v>
      </c>
      <c r="L24" s="3">
        <f t="shared" si="4"/>
        <v>438334.90315272711</v>
      </c>
      <c r="M24" s="3">
        <f t="shared" si="4"/>
        <v>275954.43005346815</v>
      </c>
      <c r="N24" s="3" t="s">
        <v>1</v>
      </c>
      <c r="O24" s="3">
        <f t="shared" ref="O24:V24" si="5">STDEV(O5:O20)</f>
        <v>910496.36799869931</v>
      </c>
      <c r="P24" s="3">
        <f t="shared" si="5"/>
        <v>772576.6197166692</v>
      </c>
      <c r="Q24" s="3">
        <f t="shared" si="5"/>
        <v>136688.21915176822</v>
      </c>
      <c r="R24" s="3">
        <f t="shared" si="5"/>
        <v>564670.47994294472</v>
      </c>
      <c r="S24" s="3">
        <f t="shared" si="5"/>
        <v>778153.91798181029</v>
      </c>
      <c r="T24" s="3">
        <f t="shared" si="5"/>
        <v>757828.29260616994</v>
      </c>
      <c r="U24" s="3">
        <f t="shared" si="5"/>
        <v>797372.1237467489</v>
      </c>
      <c r="V24" s="3">
        <f t="shared" si="5"/>
        <v>478253.69651283231</v>
      </c>
    </row>
    <row r="25" spans="1:22" ht="15" thickBot="1" x14ac:dyDescent="0.4"/>
    <row r="26" spans="1:22" ht="15" thickBot="1" x14ac:dyDescent="0.4">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TAM-30.2µg/L</v>
      </c>
      <c r="J27" s="35" t="str">
        <f t="shared" si="6"/>
        <v>TAM-60.4µg/L</v>
      </c>
      <c r="K27" s="35" t="str">
        <f t="shared" si="6"/>
        <v>TAM-121µg/L</v>
      </c>
      <c r="L27" s="35" t="str">
        <f t="shared" si="6"/>
        <v>TAM-242µg/L</v>
      </c>
      <c r="M27" s="35" t="str">
        <f t="shared" si="6"/>
        <v>TAM-483µg/L</v>
      </c>
      <c r="N27" s="3"/>
      <c r="O27" s="36" t="str">
        <f t="shared" ref="O27:V27" si="7">O4</f>
        <v>Testo -30µg/L</v>
      </c>
      <c r="P27" s="36" t="str">
        <f t="shared" si="7"/>
        <v>Testo 30µg/L + EE2 -64ng/L</v>
      </c>
      <c r="Q27" s="36" t="str">
        <f t="shared" si="7"/>
        <v>Testo 30µg/L + FAD-10mg/L</v>
      </c>
      <c r="R27" s="36" t="str">
        <f t="shared" si="7"/>
        <v>TAM-30,2µg/L + Testostérone</v>
      </c>
      <c r="S27" s="36" t="str">
        <f t="shared" si="7"/>
        <v>TAM-60,4µg/L + Testostérone</v>
      </c>
      <c r="T27" s="36" t="str">
        <f t="shared" si="7"/>
        <v>TAM-121µg/L + Testostérone</v>
      </c>
      <c r="U27" s="36" t="str">
        <f t="shared" si="7"/>
        <v>TAM-242µg/L + Testostérone</v>
      </c>
      <c r="V27" s="36" t="str">
        <f t="shared" si="7"/>
        <v>TAM-483µg/L + Testostérone</v>
      </c>
    </row>
    <row r="28" spans="1:22" x14ac:dyDescent="0.35">
      <c r="A28" s="222" t="s">
        <v>34</v>
      </c>
      <c r="B28" s="11">
        <f t="shared" ref="B28:M28" si="8">IF(B5="","",(B5/$O$23))</f>
        <v>0.14527418649610552</v>
      </c>
      <c r="C28" s="11">
        <f t="shared" si="8"/>
        <v>0.19951266016950112</v>
      </c>
      <c r="D28" s="11">
        <f t="shared" si="8"/>
        <v>0.12962512051767397</v>
      </c>
      <c r="E28" s="11">
        <f t="shared" si="8"/>
        <v>0.12941681690395729</v>
      </c>
      <c r="F28" s="11">
        <f t="shared" si="8"/>
        <v>0.97631149888316693</v>
      </c>
      <c r="G28" s="11">
        <f t="shared" si="8"/>
        <v>1.3906155556418076</v>
      </c>
      <c r="H28" s="11">
        <f t="shared" si="8"/>
        <v>1.9721965398970775</v>
      </c>
      <c r="I28" s="11">
        <f t="shared" si="8"/>
        <v>0.13734652969189129</v>
      </c>
      <c r="J28" s="11">
        <f t="shared" si="8"/>
        <v>0.13227304719932872</v>
      </c>
      <c r="K28" s="11">
        <f t="shared" si="8"/>
        <v>0.14342657852980073</v>
      </c>
      <c r="L28" s="11">
        <f t="shared" si="8"/>
        <v>0.42750552822348381</v>
      </c>
      <c r="M28" s="11">
        <f t="shared" si="8"/>
        <v>0.12956181786103799</v>
      </c>
      <c r="N28" s="6"/>
      <c r="O28" s="11">
        <f t="shared" ref="O28:V28" si="9">IF(O5="","",(O5/$O$23))</f>
        <v>0.42024134097263843</v>
      </c>
      <c r="P28" s="11">
        <f t="shared" si="9"/>
        <v>1.8196900519327286</v>
      </c>
      <c r="Q28" s="11">
        <f t="shared" si="9"/>
        <v>0.19128255733913721</v>
      </c>
      <c r="R28" s="11">
        <f t="shared" si="9"/>
        <v>1.0451015399974082</v>
      </c>
      <c r="S28" s="11">
        <f t="shared" si="9"/>
        <v>0.69284112037054491</v>
      </c>
      <c r="T28" s="11">
        <f t="shared" si="9"/>
        <v>0.92701297697021623</v>
      </c>
      <c r="U28" s="11">
        <f t="shared" si="9"/>
        <v>0.70603801095938068</v>
      </c>
      <c r="V28" s="11">
        <f t="shared" si="9"/>
        <v>0.43230845047249855</v>
      </c>
    </row>
    <row r="29" spans="1:22" x14ac:dyDescent="0.35">
      <c r="A29" s="223"/>
      <c r="B29" s="11">
        <f t="shared" ref="B29:M29" si="10">IF(B6="","",(B6/$O$23))</f>
        <v>0.11766254155851533</v>
      </c>
      <c r="C29" s="11">
        <f t="shared" si="10"/>
        <v>0.16155508873453275</v>
      </c>
      <c r="D29" s="11">
        <f t="shared" si="10"/>
        <v>8.8067665868893141E-2</v>
      </c>
      <c r="E29" s="11">
        <f t="shared" si="10"/>
        <v>0.1237784438669069</v>
      </c>
      <c r="F29" s="11">
        <f t="shared" si="10"/>
        <v>0.60126746121104357</v>
      </c>
      <c r="G29" s="11">
        <f t="shared" si="10"/>
        <v>1.5126938452519985</v>
      </c>
      <c r="H29" s="11">
        <f t="shared" si="10"/>
        <v>1.538049823559738</v>
      </c>
      <c r="I29" s="11">
        <f t="shared" si="10"/>
        <v>9.0827950257340515E-2</v>
      </c>
      <c r="J29" s="11">
        <f t="shared" si="10"/>
        <v>0.24688584350358253</v>
      </c>
      <c r="K29" s="11">
        <f t="shared" si="10"/>
        <v>0.20074062349856969</v>
      </c>
      <c r="L29" s="11">
        <f t="shared" si="10"/>
        <v>0.22275927132050438</v>
      </c>
      <c r="M29" s="11">
        <f t="shared" si="10"/>
        <v>0.11780754251559604</v>
      </c>
      <c r="N29" s="6"/>
      <c r="O29" s="11">
        <f t="shared" ref="O29:V29" si="11">IF(O6="","",(O6/$O$23))</f>
        <v>1.1314519905516998</v>
      </c>
      <c r="P29" s="11">
        <f t="shared" si="11"/>
        <v>1.0043570285254146</v>
      </c>
      <c r="Q29" s="11">
        <f t="shared" si="11"/>
        <v>3.4661396693449302E-2</v>
      </c>
      <c r="R29" s="11">
        <f t="shared" si="11"/>
        <v>1.4912878805785643</v>
      </c>
      <c r="S29" s="11">
        <f t="shared" si="11"/>
        <v>0.86986809978470803</v>
      </c>
      <c r="T29" s="11">
        <f t="shared" si="11"/>
        <v>0.93670531706403659</v>
      </c>
      <c r="U29" s="11">
        <f t="shared" si="11"/>
        <v>0.55439059956090009</v>
      </c>
      <c r="V29" s="11">
        <f t="shared" si="11"/>
        <v>0.77034268913459203</v>
      </c>
    </row>
    <row r="30" spans="1:22" x14ac:dyDescent="0.35">
      <c r="A30" s="223"/>
      <c r="B30" s="11">
        <f t="shared" ref="B30:M30" si="12">IF(B7="","",(B7/$O$23))</f>
        <v>0.13961460436384032</v>
      </c>
      <c r="C30" s="11">
        <f t="shared" si="12"/>
        <v>6.7561067828257798E-2</v>
      </c>
      <c r="D30" s="11">
        <f t="shared" si="12"/>
        <v>0.23909564904947644</v>
      </c>
      <c r="E30" s="11">
        <f t="shared" si="12"/>
        <v>0.32262323395648101</v>
      </c>
      <c r="F30" s="11">
        <f t="shared" si="12"/>
        <v>0.43787962530481228</v>
      </c>
      <c r="G30" s="11">
        <f t="shared" si="12"/>
        <v>1.5054107573788866</v>
      </c>
      <c r="H30" s="11">
        <f t="shared" si="12"/>
        <v>1.5977975761345142</v>
      </c>
      <c r="I30" s="11">
        <f t="shared" si="12"/>
        <v>0.1718372797365971</v>
      </c>
      <c r="J30" s="11">
        <f t="shared" si="12"/>
        <v>7.3390719491029321E-2</v>
      </c>
      <c r="K30" s="11" t="str">
        <f t="shared" si="12"/>
        <v/>
      </c>
      <c r="L30" s="11">
        <f t="shared" si="12"/>
        <v>9.4836541392715565E-2</v>
      </c>
      <c r="M30" s="11">
        <f t="shared" si="12"/>
        <v>0.42780119311034714</v>
      </c>
      <c r="N30" s="6"/>
      <c r="O30" s="11">
        <f t="shared" ref="O30:V30" si="13">IF(O7="","",(O7/$O$23))</f>
        <v>0.90120594469026416</v>
      </c>
      <c r="P30" s="11">
        <f t="shared" si="13"/>
        <v>1.6979080764674179</v>
      </c>
      <c r="Q30" s="11">
        <f t="shared" si="13"/>
        <v>0.11902230426499011</v>
      </c>
      <c r="R30" s="11">
        <f t="shared" si="13"/>
        <v>1.4797184273485655</v>
      </c>
      <c r="S30" s="11">
        <f t="shared" si="13"/>
        <v>1.3046793317022214</v>
      </c>
      <c r="T30" s="11">
        <f t="shared" si="13"/>
        <v>1.0070252625550387</v>
      </c>
      <c r="U30" s="11">
        <f t="shared" si="13"/>
        <v>0.70070868473831716</v>
      </c>
      <c r="V30" s="11">
        <f t="shared" si="13"/>
        <v>0.20173085018382761</v>
      </c>
    </row>
    <row r="31" spans="1:22" x14ac:dyDescent="0.35">
      <c r="A31" s="223"/>
      <c r="B31" s="11">
        <f t="shared" ref="B31:M31" si="14">IF(B8="","",(B8/$O$23))</f>
        <v>0.18260136446667097</v>
      </c>
      <c r="C31" s="11">
        <f t="shared" si="14"/>
        <v>0.15826194386375866</v>
      </c>
      <c r="D31" s="11">
        <f t="shared" si="14"/>
        <v>3.7682935293870713E-2</v>
      </c>
      <c r="E31" s="11">
        <f t="shared" si="14"/>
        <v>7.1951314467829611E-2</v>
      </c>
      <c r="F31" s="11">
        <f t="shared" si="14"/>
        <v>0.86050666486010619</v>
      </c>
      <c r="G31" s="11">
        <f t="shared" si="14"/>
        <v>1.5602759814578133</v>
      </c>
      <c r="H31" s="11">
        <f t="shared" si="14"/>
        <v>2.1157619875026894</v>
      </c>
      <c r="I31" s="11">
        <f t="shared" si="14"/>
        <v>0.18184310324285241</v>
      </c>
      <c r="J31" s="11">
        <f t="shared" si="14"/>
        <v>0.18669284420885487</v>
      </c>
      <c r="K31" s="11">
        <f t="shared" si="14"/>
        <v>0.21565483761167653</v>
      </c>
      <c r="L31" s="11">
        <f t="shared" si="14"/>
        <v>0.60796924673979869</v>
      </c>
      <c r="M31" s="11">
        <f t="shared" si="14"/>
        <v>2.2633242674595946E-2</v>
      </c>
      <c r="N31" s="6"/>
      <c r="O31" s="11">
        <f t="shared" ref="O31:V31" si="15">IF(O8="","",(O8/$O$23))</f>
        <v>1.3721671055143627</v>
      </c>
      <c r="P31" s="11">
        <f t="shared" si="15"/>
        <v>1.2894423281451057</v>
      </c>
      <c r="Q31" s="11">
        <f t="shared" si="15"/>
        <v>0.18493259751569671</v>
      </c>
      <c r="R31" s="11">
        <f t="shared" si="15"/>
        <v>1.6419498265172434</v>
      </c>
      <c r="S31" s="11">
        <f t="shared" si="15"/>
        <v>1.4826253719090254</v>
      </c>
      <c r="T31" s="11">
        <f t="shared" si="15"/>
        <v>0.98496780353165658</v>
      </c>
      <c r="U31" s="11">
        <f t="shared" si="15"/>
        <v>1.1693690915702888</v>
      </c>
      <c r="V31" s="11">
        <f t="shared" si="15"/>
        <v>0.27524330555300303</v>
      </c>
    </row>
    <row r="32" spans="1:22" x14ac:dyDescent="0.35">
      <c r="A32" s="223"/>
      <c r="B32" s="11">
        <f t="shared" ref="B32:M32" si="16">IF(B9="","",(B9/$O$23))</f>
        <v>0.13485619235886481</v>
      </c>
      <c r="C32" s="11">
        <f t="shared" si="16"/>
        <v>0.10797020146469498</v>
      </c>
      <c r="D32" s="11">
        <f t="shared" si="16"/>
        <v>0.19125215042201804</v>
      </c>
      <c r="E32" s="11">
        <f t="shared" si="16"/>
        <v>2.4306705212844597E-2</v>
      </c>
      <c r="F32" s="11">
        <f t="shared" si="16"/>
        <v>1.2303992369378738</v>
      </c>
      <c r="G32" s="11">
        <f t="shared" si="16"/>
        <v>1.2448545338427872</v>
      </c>
      <c r="H32" s="11">
        <f t="shared" si="16"/>
        <v>1.676466222253612</v>
      </c>
      <c r="I32" s="11">
        <f t="shared" si="16"/>
        <v>0.24176853609488738</v>
      </c>
      <c r="J32" s="11">
        <f t="shared" si="16"/>
        <v>0.13290895935687422</v>
      </c>
      <c r="K32" s="11">
        <f t="shared" si="16"/>
        <v>0.27954518096251324</v>
      </c>
      <c r="L32" s="11">
        <f t="shared" si="16"/>
        <v>7.9796840132921237E-2</v>
      </c>
      <c r="M32" s="11">
        <f t="shared" si="16"/>
        <v>0.14804222591086441</v>
      </c>
      <c r="N32" s="6"/>
      <c r="O32" s="11">
        <f t="shared" ref="O32:V32" si="17">IF(O9="","",(O9/$O$23))</f>
        <v>0.39871735561970989</v>
      </c>
      <c r="P32" s="11">
        <f t="shared" si="17"/>
        <v>1.8193951084436615</v>
      </c>
      <c r="Q32" s="11">
        <f t="shared" si="17"/>
        <v>0.20570268610147499</v>
      </c>
      <c r="R32" s="11">
        <f t="shared" si="17"/>
        <v>1.6301278119187175</v>
      </c>
      <c r="S32" s="11">
        <f t="shared" si="17"/>
        <v>1.2188555376092074</v>
      </c>
      <c r="T32" s="11">
        <f t="shared" si="17"/>
        <v>1.3899156554997196</v>
      </c>
      <c r="U32" s="11">
        <f t="shared" si="17"/>
        <v>0.35391195167210077</v>
      </c>
      <c r="V32" s="11">
        <f t="shared" si="17"/>
        <v>6.4367764412508438E-2</v>
      </c>
    </row>
    <row r="33" spans="1:22" x14ac:dyDescent="0.35">
      <c r="A33" s="223"/>
      <c r="B33" s="11">
        <f t="shared" ref="B33:M33" si="18">IF(B10="","",(B10/$O$23))</f>
        <v>0.19231942239193375</v>
      </c>
      <c r="C33" s="11">
        <f t="shared" si="18"/>
        <v>4.6274494490131581E-2</v>
      </c>
      <c r="D33" s="11">
        <f t="shared" si="18"/>
        <v>0.16207698397035386</v>
      </c>
      <c r="E33" s="11">
        <f t="shared" si="18"/>
        <v>0.48140242004027389</v>
      </c>
      <c r="F33" s="11">
        <f t="shared" si="18"/>
        <v>1.37950952835623</v>
      </c>
      <c r="G33" s="11">
        <f t="shared" si="18"/>
        <v>1.1976454685073916</v>
      </c>
      <c r="H33" s="11">
        <f t="shared" si="18"/>
        <v>1.4139674187313089</v>
      </c>
      <c r="I33" s="11">
        <f t="shared" si="18"/>
        <v>0.16780895837148993</v>
      </c>
      <c r="J33" s="11">
        <f t="shared" si="18"/>
        <v>7.3858726311457734E-2</v>
      </c>
      <c r="K33" s="11">
        <f t="shared" si="18"/>
        <v>1.5506337424409544E-2</v>
      </c>
      <c r="L33" s="11">
        <f t="shared" si="18"/>
        <v>0.11058227467586758</v>
      </c>
      <c r="M33" s="11">
        <f t="shared" si="18"/>
        <v>0.16734798517957661</v>
      </c>
      <c r="N33" s="6"/>
      <c r="O33" s="11">
        <f t="shared" ref="O33:V33" si="19">IF(O10="","",(O10/$O$23))</f>
        <v>1.2188415785618465</v>
      </c>
      <c r="P33" s="11">
        <f t="shared" si="19"/>
        <v>1.8072662833623176</v>
      </c>
      <c r="Q33" s="11">
        <f t="shared" si="19"/>
        <v>0.15350115124605498</v>
      </c>
      <c r="R33" s="11">
        <f t="shared" si="19"/>
        <v>1.2446532638575856</v>
      </c>
      <c r="S33" s="11">
        <f t="shared" si="19"/>
        <v>1.441859867761156</v>
      </c>
      <c r="T33" s="11">
        <f t="shared" si="19"/>
        <v>0.33117342098911712</v>
      </c>
      <c r="U33" s="11">
        <f t="shared" si="19"/>
        <v>1.0340844971300192</v>
      </c>
      <c r="V33" s="11">
        <f t="shared" si="19"/>
        <v>0.2825762420138474</v>
      </c>
    </row>
    <row r="34" spans="1:22" x14ac:dyDescent="0.35">
      <c r="A34" s="223"/>
      <c r="B34" s="11">
        <f t="shared" ref="B34:M34" si="20">IF(B11="","",(B11/$O$23))</f>
        <v>0.21862270421604418</v>
      </c>
      <c r="C34" s="11">
        <f t="shared" si="20"/>
        <v>0.13037642025275709</v>
      </c>
      <c r="D34" s="11">
        <f t="shared" si="20"/>
        <v>0.13677788787886208</v>
      </c>
      <c r="E34" s="11">
        <f t="shared" si="20"/>
        <v>5.1543944694092042E-2</v>
      </c>
      <c r="F34" s="11">
        <f t="shared" si="20"/>
        <v>0.53337703921882951</v>
      </c>
      <c r="G34" s="11">
        <f t="shared" si="20"/>
        <v>1.0974574900511522</v>
      </c>
      <c r="H34" s="11">
        <f t="shared" si="20"/>
        <v>1.252065842635155</v>
      </c>
      <c r="I34" s="11">
        <f t="shared" si="20"/>
        <v>0.14837060618779546</v>
      </c>
      <c r="J34" s="11">
        <f t="shared" si="20"/>
        <v>0.10149850576310836</v>
      </c>
      <c r="K34" s="11">
        <f t="shared" si="20"/>
        <v>0.53094048209152622</v>
      </c>
      <c r="L34" s="11">
        <f t="shared" si="20"/>
        <v>0.25987742427955673</v>
      </c>
      <c r="M34" s="11">
        <f t="shared" si="20"/>
        <v>0.12306685708051678</v>
      </c>
      <c r="N34" s="6"/>
      <c r="O34" s="11">
        <f t="shared" ref="O34:V34" si="21">IF(O11="","",(O11/$O$23))</f>
        <v>1.0465292583763059</v>
      </c>
      <c r="P34" s="11">
        <f t="shared" si="21"/>
        <v>1.3965559418663298</v>
      </c>
      <c r="Q34" s="11">
        <f t="shared" si="21"/>
        <v>0.13233234609819455</v>
      </c>
      <c r="R34" s="11">
        <f t="shared" si="21"/>
        <v>1.2059356277043076</v>
      </c>
      <c r="S34" s="11">
        <f t="shared" si="21"/>
        <v>1.2787202648366733</v>
      </c>
      <c r="T34" s="11">
        <f t="shared" si="21"/>
        <v>0.6247199592931455</v>
      </c>
      <c r="U34" s="11">
        <f t="shared" si="21"/>
        <v>0.65164328252328019</v>
      </c>
      <c r="V34" s="11">
        <f t="shared" si="21"/>
        <v>0.31718389457146334</v>
      </c>
    </row>
    <row r="35" spans="1:22" x14ac:dyDescent="0.35">
      <c r="A35" s="223"/>
      <c r="B35" s="11">
        <f t="shared" ref="B35:M35" si="22">IF(B12="","",(B12/$O$23))</f>
        <v>8.6664042176395922E-2</v>
      </c>
      <c r="C35" s="11">
        <f t="shared" si="22"/>
        <v>6.5290143635012898E-2</v>
      </c>
      <c r="D35" s="11">
        <f t="shared" si="22"/>
        <v>9.9027574030805615E-2</v>
      </c>
      <c r="E35" s="11">
        <f t="shared" si="22"/>
        <v>0.22028761819040524</v>
      </c>
      <c r="F35" s="11">
        <f t="shared" si="22"/>
        <v>0.57617666873326845</v>
      </c>
      <c r="G35" s="11">
        <f t="shared" si="22"/>
        <v>0.52478941164055914</v>
      </c>
      <c r="H35" s="11">
        <f t="shared" si="22"/>
        <v>2.0335918928991008</v>
      </c>
      <c r="I35" s="11">
        <f t="shared" si="22"/>
        <v>0.13645964324097076</v>
      </c>
      <c r="J35" s="11">
        <f t="shared" si="22"/>
        <v>0.1219830290311732</v>
      </c>
      <c r="K35" s="11">
        <f t="shared" si="22"/>
        <v>0.31387199335798227</v>
      </c>
      <c r="L35" s="11">
        <f t="shared" si="22"/>
        <v>0.10867093121424895</v>
      </c>
      <c r="M35" s="11">
        <f t="shared" si="22"/>
        <v>0.23829749452751578</v>
      </c>
      <c r="N35" s="6"/>
      <c r="O35" s="11">
        <f t="shared" ref="O35:V35" si="23">IF(O12="","",(O12/$O$23))</f>
        <v>1.0553813503867444</v>
      </c>
      <c r="P35" s="11">
        <f t="shared" si="23"/>
        <v>1.1198216152777931</v>
      </c>
      <c r="Q35" s="11">
        <f t="shared" si="23"/>
        <v>7.8266106148694572E-2</v>
      </c>
      <c r="R35" s="11">
        <f t="shared" si="23"/>
        <v>1.0452396155356434</v>
      </c>
      <c r="S35" s="11">
        <f t="shared" si="23"/>
        <v>1.7435701763681675</v>
      </c>
      <c r="T35" s="11">
        <f t="shared" si="23"/>
        <v>0.55739828732363017</v>
      </c>
      <c r="U35" s="11">
        <f t="shared" si="23"/>
        <v>8.9222226972175842E-2</v>
      </c>
      <c r="V35" s="11">
        <f t="shared" si="23"/>
        <v>0.27311806764474544</v>
      </c>
    </row>
    <row r="36" spans="1:22" s="1" customFormat="1" x14ac:dyDescent="0.3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0.48962245937137772</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0.61059686607348429</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1.6279087562270353</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1.4825036360308794</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0.55403480616770495</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1.2155085043230405</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1.3267743394809073</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1.1485147076519988</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TAM-30.2µg/L</v>
      </c>
      <c r="J45" s="70" t="str">
        <f t="shared" si="46"/>
        <v>TAM-60.4µg/L</v>
      </c>
      <c r="K45" s="70" t="str">
        <f t="shared" si="46"/>
        <v>TAM-121µg/L</v>
      </c>
      <c r="L45" s="70" t="str">
        <f t="shared" si="46"/>
        <v>TAM-242µg/L</v>
      </c>
      <c r="M45" s="70" t="str">
        <f t="shared" si="46"/>
        <v>TAM-483µg/L</v>
      </c>
      <c r="N45" s="70" t="str">
        <f>N22</f>
        <v>Nom des groupes</v>
      </c>
      <c r="O45" s="70" t="str">
        <f t="shared" ref="O45:V45" si="47">O4</f>
        <v>Testo -30µg/L</v>
      </c>
      <c r="P45" s="70" t="str">
        <f t="shared" si="47"/>
        <v>Testo 30µg/L + EE2 -64ng/L</v>
      </c>
      <c r="Q45" s="70" t="str">
        <f t="shared" si="47"/>
        <v>Testo 30µg/L + FAD-10mg/L</v>
      </c>
      <c r="R45" s="70" t="str">
        <f t="shared" si="47"/>
        <v>TAM-30,2µg/L + Testostérone</v>
      </c>
      <c r="S45" s="70" t="str">
        <f t="shared" si="47"/>
        <v>TAM-60,4µg/L + Testostérone</v>
      </c>
      <c r="T45" s="70" t="str">
        <f t="shared" si="47"/>
        <v>TAM-121µg/L + Testostérone</v>
      </c>
      <c r="U45" s="70" t="str">
        <f t="shared" si="47"/>
        <v>TAM-242µg/L + Testostérone</v>
      </c>
      <c r="V45" s="70" t="str">
        <f t="shared" si="47"/>
        <v>TAM-483µg/L + Testostérone</v>
      </c>
    </row>
    <row r="46" spans="1:22" x14ac:dyDescent="0.35">
      <c r="A46" s="8" t="s">
        <v>0</v>
      </c>
      <c r="B46" s="10">
        <f t="shared" ref="B46:H46" si="48">AVERAGE(B28:B43)</f>
        <v>0.15220188225354636</v>
      </c>
      <c r="C46" s="10">
        <f t="shared" si="48"/>
        <v>0.11710025255483086</v>
      </c>
      <c r="D46" s="10">
        <f t="shared" si="48"/>
        <v>0.13545074587899422</v>
      </c>
      <c r="E46" s="10">
        <f t="shared" si="48"/>
        <v>0.17816381216659882</v>
      </c>
      <c r="F46" s="10">
        <f t="shared" si="48"/>
        <v>0.82442846543816628</v>
      </c>
      <c r="G46" s="10">
        <f t="shared" si="48"/>
        <v>1.2542178804715496</v>
      </c>
      <c r="H46" s="10">
        <f t="shared" si="48"/>
        <v>1.6999871629516492</v>
      </c>
      <c r="I46" s="10">
        <f>AVERAGE(I28:I43)</f>
        <v>0.15953282585297809</v>
      </c>
      <c r="J46" s="9">
        <f>AVERAGE(J28:J43)</f>
        <v>0.13368645935817614</v>
      </c>
      <c r="K46" s="9">
        <f>AVERAGE(K28:K43)</f>
        <v>0.24281229049663974</v>
      </c>
      <c r="L46" s="9">
        <f t="shared" ref="L46:M46" si="49">AVERAGE(L28:L43)</f>
        <v>0.23899975724738709</v>
      </c>
      <c r="M46" s="9">
        <f t="shared" si="49"/>
        <v>0.17181979485750631</v>
      </c>
      <c r="N46" s="8" t="s">
        <v>0</v>
      </c>
      <c r="O46" s="10">
        <f>AVERAGE(O28:O43)</f>
        <v>1</v>
      </c>
      <c r="P46" s="10">
        <f>AVERAGE(P28:P43)</f>
        <v>1.4943045542525961</v>
      </c>
      <c r="Q46" s="10">
        <f>AVERAGE(Q28:Q43)</f>
        <v>0.13746264317596157</v>
      </c>
      <c r="R46" s="10">
        <f>AVERAGE(R28:R43)</f>
        <v>1.3480017491822545</v>
      </c>
      <c r="S46" s="10">
        <f t="shared" ref="S46:V46" si="50">AVERAGE(S28:S43)</f>
        <v>1.2541274712927131</v>
      </c>
      <c r="T46" s="10">
        <f t="shared" si="50"/>
        <v>0.84486483540332002</v>
      </c>
      <c r="U46" s="10">
        <f t="shared" si="50"/>
        <v>0.65742104314080785</v>
      </c>
      <c r="V46" s="10">
        <f t="shared" si="50"/>
        <v>0.32710890799831077</v>
      </c>
    </row>
    <row r="47" spans="1:22" x14ac:dyDescent="0.35">
      <c r="A47" s="8" t="s">
        <v>1</v>
      </c>
      <c r="B47" s="8">
        <f t="shared" ref="B47:K47" si="51">STDEV(B28:B43)</f>
        <v>4.2996264230550807E-2</v>
      </c>
      <c r="C47" s="8">
        <f t="shared" si="51"/>
        <v>5.4611148648252027E-2</v>
      </c>
      <c r="D47" s="8">
        <f t="shared" si="51"/>
        <v>6.2941091482618922E-2</v>
      </c>
      <c r="E47" s="8">
        <f t="shared" si="51"/>
        <v>0.15625817719472984</v>
      </c>
      <c r="F47" s="8">
        <f t="shared" si="51"/>
        <v>0.34699898578112787</v>
      </c>
      <c r="G47" s="8">
        <f t="shared" si="51"/>
        <v>0.33850752132406775</v>
      </c>
      <c r="H47" s="8">
        <f t="shared" si="51"/>
        <v>0.31120026095821646</v>
      </c>
      <c r="I47" s="8">
        <f>STDEV(I28:I43)</f>
        <v>4.3670704536014036E-2</v>
      </c>
      <c r="J47" s="8">
        <f t="shared" si="51"/>
        <v>5.8571504738974003E-2</v>
      </c>
      <c r="K47" s="8">
        <f t="shared" si="51"/>
        <v>0.15993212615611119</v>
      </c>
      <c r="L47" s="8">
        <f t="shared" ref="L47:M47" si="52">STDEV(L28:L43)</f>
        <v>0.18972829993739151</v>
      </c>
      <c r="M47" s="8">
        <f t="shared" si="52"/>
        <v>0.119443750651985</v>
      </c>
      <c r="N47" s="8" t="s">
        <v>1</v>
      </c>
      <c r="O47" s="8">
        <f>STDEV(O28:O43)</f>
        <v>0.39409804411439525</v>
      </c>
      <c r="P47" s="8">
        <f>STDEV(P28:P43)</f>
        <v>0.33440104261820036</v>
      </c>
      <c r="Q47" s="8">
        <f>STDEV(Q28:Q43)</f>
        <v>5.9163948055714378E-2</v>
      </c>
      <c r="R47" s="8">
        <f>STDEV(R28:R43)</f>
        <v>0.24441122396104889</v>
      </c>
      <c r="S47" s="8">
        <f t="shared" ref="S47:V47" si="53">STDEV(S28:S43)</f>
        <v>0.33681511302527617</v>
      </c>
      <c r="T47" s="8">
        <f t="shared" si="53"/>
        <v>0.32801739621115139</v>
      </c>
      <c r="U47" s="8">
        <f t="shared" si="53"/>
        <v>0.34513349579927638</v>
      </c>
      <c r="V47" s="8">
        <f t="shared" si="53"/>
        <v>0.20700669767686125</v>
      </c>
    </row>
    <row r="48" spans="1:22" x14ac:dyDescent="0.35">
      <c r="A48" s="8" t="s">
        <v>2</v>
      </c>
      <c r="B48" s="8">
        <f t="shared" ref="B48:K48" si="54" xml:space="preserve"> B47/SQRT(COUNT(B28:B43))</f>
        <v>1.5201475001555534E-2</v>
      </c>
      <c r="C48" s="8">
        <f t="shared" si="54"/>
        <v>1.9307956768782782E-2</v>
      </c>
      <c r="D48" s="8">
        <f t="shared" si="54"/>
        <v>2.2253036301321343E-2</v>
      </c>
      <c r="E48" s="8">
        <f t="shared" si="54"/>
        <v>5.5245608355121295E-2</v>
      </c>
      <c r="F48" s="8">
        <f t="shared" si="54"/>
        <v>0.12268266795534494</v>
      </c>
      <c r="G48" s="8">
        <f t="shared" si="54"/>
        <v>0.11968048190544907</v>
      </c>
      <c r="H48" s="8">
        <f t="shared" si="54"/>
        <v>0.11002590741528902</v>
      </c>
      <c r="I48" s="8">
        <f xml:space="preserve"> I47/SQRT(COUNT(I28:I43))</f>
        <v>1.5439925658304822E-2</v>
      </c>
      <c r="J48" s="8">
        <f t="shared" si="54"/>
        <v>2.0708154092614259E-2</v>
      </c>
      <c r="K48" s="8">
        <f t="shared" si="54"/>
        <v>6.0448661779839805E-2</v>
      </c>
      <c r="L48" s="8">
        <f t="shared" ref="L48:M48" si="55" xml:space="preserve"> L47/SQRT(COUNT(L28:L43))</f>
        <v>6.7079083734362374E-2</v>
      </c>
      <c r="M48" s="8">
        <f t="shared" si="55"/>
        <v>4.2229743028186849E-2</v>
      </c>
      <c r="N48" s="8" t="s">
        <v>2</v>
      </c>
      <c r="O48" s="8">
        <f xml:space="preserve"> O47/SQRT(COUNT(O28:O43))</f>
        <v>9.8524511028598813E-2</v>
      </c>
      <c r="P48" s="8">
        <f xml:space="preserve"> P47/SQRT(COUNT(P28:P43))</f>
        <v>0.11822862243559057</v>
      </c>
      <c r="Q48" s="8">
        <f xml:space="preserve"> Q47/SQRT(COUNT(Q28:Q43))</f>
        <v>2.0917614435982144E-2</v>
      </c>
      <c r="R48" s="8">
        <f xml:space="preserve"> R47/SQRT(COUNT(R28:R43))</f>
        <v>8.6412416930480823E-2</v>
      </c>
      <c r="S48" s="8">
        <f t="shared" ref="S48:V48" si="56" xml:space="preserve"> S47/SQRT(COUNT(S28:S43))</f>
        <v>0.11908212521314311</v>
      </c>
      <c r="T48" s="8">
        <f t="shared" si="56"/>
        <v>0.11597166260402984</v>
      </c>
      <c r="U48" s="8">
        <f t="shared" si="56"/>
        <v>0.12202311764714356</v>
      </c>
      <c r="V48" s="8">
        <f t="shared" si="56"/>
        <v>7.3187919839171056E-2</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TAM-30.2µg/L</v>
      </c>
      <c r="J52" s="46" t="str">
        <f>J4</f>
        <v>TAM-60.4µg/L</v>
      </c>
      <c r="K52" s="46" t="str">
        <f>K27</f>
        <v>TAM-121µg/L</v>
      </c>
      <c r="L52" s="46" t="str">
        <f t="shared" ref="L52:M52" si="58">L27</f>
        <v>TAM-242µg/L</v>
      </c>
      <c r="M52" s="46" t="str">
        <f t="shared" si="58"/>
        <v>TAM-483µg/L</v>
      </c>
      <c r="N52" s="47"/>
      <c r="O52" s="46" t="str">
        <f>O27</f>
        <v>Testo -30µg/L</v>
      </c>
      <c r="P52" s="46" t="str">
        <f>P27</f>
        <v>Testo 30µg/L + EE2 -64ng/L</v>
      </c>
      <c r="Q52" s="46" t="str">
        <f>Q27</f>
        <v>Testo 30µg/L + FAD-10mg/L</v>
      </c>
      <c r="R52" s="46" t="str">
        <f>R27</f>
        <v>TAM-30,2µg/L + Testostérone</v>
      </c>
      <c r="S52" s="46" t="str">
        <f t="shared" ref="S52:V52" si="59">S27</f>
        <v>TAM-60,4µg/L + Testostérone</v>
      </c>
      <c r="T52" s="46" t="str">
        <f t="shared" si="59"/>
        <v>TAM-121µg/L + Testostérone</v>
      </c>
      <c r="U52" s="46" t="str">
        <f t="shared" si="59"/>
        <v>TAM-242µg/L + Testostérone</v>
      </c>
      <c r="V52" s="46" t="str">
        <f t="shared" si="59"/>
        <v>TAM-483µg/L + Testostérone</v>
      </c>
    </row>
    <row r="53" spans="1:22" s="3" customFormat="1" x14ac:dyDescent="0.35">
      <c r="A53" s="61" t="s">
        <v>32</v>
      </c>
      <c r="B53" s="142">
        <f t="shared" ref="B53:M53" si="60">B46</f>
        <v>0.15220188225354636</v>
      </c>
      <c r="C53" s="142">
        <f t="shared" si="60"/>
        <v>0.11710025255483086</v>
      </c>
      <c r="D53" s="142">
        <f t="shared" si="60"/>
        <v>0.13545074587899422</v>
      </c>
      <c r="E53" s="142">
        <f t="shared" si="60"/>
        <v>0.17816381216659882</v>
      </c>
      <c r="F53" s="142">
        <f t="shared" si="60"/>
        <v>0.82442846543816628</v>
      </c>
      <c r="G53" s="142">
        <f t="shared" si="60"/>
        <v>1.2542178804715496</v>
      </c>
      <c r="H53" s="142">
        <f t="shared" si="60"/>
        <v>1.6999871629516492</v>
      </c>
      <c r="I53" s="142">
        <f t="shared" si="60"/>
        <v>0.15953282585297809</v>
      </c>
      <c r="J53" s="142">
        <f t="shared" si="60"/>
        <v>0.13368645935817614</v>
      </c>
      <c r="K53" s="142">
        <f t="shared" si="60"/>
        <v>0.24281229049663974</v>
      </c>
      <c r="L53" s="142">
        <f t="shared" si="60"/>
        <v>0.23899975724738709</v>
      </c>
      <c r="M53" s="142">
        <f t="shared" si="60"/>
        <v>0.17181979485750631</v>
      </c>
      <c r="N53" s="142"/>
      <c r="O53" s="142">
        <f t="shared" ref="O53:V53" si="61">O46</f>
        <v>1</v>
      </c>
      <c r="P53" s="142">
        <f t="shared" si="61"/>
        <v>1.4943045542525961</v>
      </c>
      <c r="Q53" s="142">
        <f t="shared" si="61"/>
        <v>0.13746264317596157</v>
      </c>
      <c r="R53" s="142">
        <f t="shared" si="61"/>
        <v>1.3480017491822545</v>
      </c>
      <c r="S53" s="142">
        <f t="shared" si="61"/>
        <v>1.2541274712927131</v>
      </c>
      <c r="T53" s="142">
        <f t="shared" si="61"/>
        <v>0.84486483540332002</v>
      </c>
      <c r="U53" s="142">
        <f t="shared" si="61"/>
        <v>0.65742104314080785</v>
      </c>
      <c r="V53" s="142">
        <f t="shared" si="61"/>
        <v>0.32710890799831077</v>
      </c>
    </row>
    <row r="54" spans="1:22" s="3" customFormat="1" x14ac:dyDescent="0.35">
      <c r="A54" s="61" t="s">
        <v>2</v>
      </c>
      <c r="B54" s="142">
        <f t="shared" ref="B54:M54" si="62">B48</f>
        <v>1.5201475001555534E-2</v>
      </c>
      <c r="C54" s="142">
        <f t="shared" si="62"/>
        <v>1.9307956768782782E-2</v>
      </c>
      <c r="D54" s="142">
        <f t="shared" si="62"/>
        <v>2.2253036301321343E-2</v>
      </c>
      <c r="E54" s="142">
        <f t="shared" si="62"/>
        <v>5.5245608355121295E-2</v>
      </c>
      <c r="F54" s="142">
        <f t="shared" si="62"/>
        <v>0.12268266795534494</v>
      </c>
      <c r="G54" s="142">
        <f t="shared" si="62"/>
        <v>0.11968048190544907</v>
      </c>
      <c r="H54" s="142">
        <f t="shared" si="62"/>
        <v>0.11002590741528902</v>
      </c>
      <c r="I54" s="142">
        <f t="shared" si="62"/>
        <v>1.5439925658304822E-2</v>
      </c>
      <c r="J54" s="142">
        <f t="shared" si="62"/>
        <v>2.0708154092614259E-2</v>
      </c>
      <c r="K54" s="142">
        <f t="shared" si="62"/>
        <v>6.0448661779839805E-2</v>
      </c>
      <c r="L54" s="142">
        <f t="shared" si="62"/>
        <v>6.7079083734362374E-2</v>
      </c>
      <c r="M54" s="142">
        <f t="shared" si="62"/>
        <v>4.2229743028186849E-2</v>
      </c>
      <c r="N54" s="142"/>
      <c r="O54" s="142">
        <f t="shared" ref="O54:V54" si="63">O48</f>
        <v>9.8524511028598813E-2</v>
      </c>
      <c r="P54" s="142">
        <f t="shared" si="63"/>
        <v>0.11822862243559057</v>
      </c>
      <c r="Q54" s="142">
        <f t="shared" si="63"/>
        <v>2.0917614435982144E-2</v>
      </c>
      <c r="R54" s="142">
        <f t="shared" si="63"/>
        <v>8.6412416930480823E-2</v>
      </c>
      <c r="S54" s="142">
        <f t="shared" si="63"/>
        <v>0.11908212521314311</v>
      </c>
      <c r="T54" s="142">
        <f t="shared" si="63"/>
        <v>0.11597166260402984</v>
      </c>
      <c r="U54" s="142">
        <f t="shared" si="63"/>
        <v>0.12202311764714356</v>
      </c>
      <c r="V54" s="142">
        <f t="shared" si="63"/>
        <v>7.3187919839171056E-2</v>
      </c>
    </row>
    <row r="55" spans="1:22" s="3" customFormat="1" x14ac:dyDescent="0.35">
      <c r="A55" s="61" t="s">
        <v>79</v>
      </c>
      <c r="B55" s="142">
        <f t="shared" ref="B55:M55" si="64">(B53*100/$B$53)-100</f>
        <v>0</v>
      </c>
      <c r="C55" s="142">
        <f t="shared" si="64"/>
        <v>-23.062546388382529</v>
      </c>
      <c r="D55" s="142">
        <f t="shared" si="64"/>
        <v>-11.005866764937352</v>
      </c>
      <c r="E55" s="142">
        <f t="shared" si="64"/>
        <v>17.057561659982383</v>
      </c>
      <c r="F55" s="142">
        <f t="shared" si="64"/>
        <v>441.667720025162</v>
      </c>
      <c r="G55" s="142">
        <f t="shared" si="64"/>
        <v>724.04886319487412</v>
      </c>
      <c r="H55" s="142">
        <f t="shared" si="64"/>
        <v>1016.9291324004232</v>
      </c>
      <c r="I55" s="142">
        <f t="shared" si="64"/>
        <v>4.816591944125534</v>
      </c>
      <c r="J55" s="142">
        <f t="shared" si="64"/>
        <v>-12.165041996344172</v>
      </c>
      <c r="K55" s="142">
        <f t="shared" si="64"/>
        <v>59.533040525838913</v>
      </c>
      <c r="L55" s="142">
        <f t="shared" si="64"/>
        <v>57.02812193166443</v>
      </c>
      <c r="M55" s="142">
        <f t="shared" si="64"/>
        <v>12.88940209772133</v>
      </c>
      <c r="N55" s="142"/>
      <c r="O55" s="142">
        <f>(O53*100/$O$53)-100</f>
        <v>0</v>
      </c>
      <c r="P55" s="142">
        <f t="shared" ref="P55:V55" si="65">(P53*100/$O$53)-100</f>
        <v>49.430455425259623</v>
      </c>
      <c r="Q55" s="142">
        <f t="shared" si="65"/>
        <v>-86.253735682403843</v>
      </c>
      <c r="R55" s="142">
        <f t="shared" si="65"/>
        <v>34.800174918225451</v>
      </c>
      <c r="S55" s="142">
        <f t="shared" si="65"/>
        <v>25.41274712927131</v>
      </c>
      <c r="T55" s="142">
        <f t="shared" si="65"/>
        <v>-15.513516459667997</v>
      </c>
      <c r="U55" s="142">
        <f t="shared" si="65"/>
        <v>-34.257895685919209</v>
      </c>
      <c r="V55" s="142">
        <f t="shared" si="65"/>
        <v>-67.289109200168923</v>
      </c>
    </row>
    <row r="56" spans="1:22" s="3" customFormat="1" x14ac:dyDescent="0.35">
      <c r="A56" s="61" t="s">
        <v>81</v>
      </c>
      <c r="B56" s="142">
        <f>[1]!SWTEST(B28:B43)</f>
        <v>0.91117447241631477</v>
      </c>
      <c r="C56" s="142">
        <f>[1]!SWTEST(C28:C43)</f>
        <v>0.64166066130114796</v>
      </c>
      <c r="D56" s="142">
        <f>[1]!SWTEST(D28:D43)</f>
        <v>0.99849546002100109</v>
      </c>
      <c r="E56" s="142">
        <f>[1]!SWTEST(E28:E43)</f>
        <v>0.20363389079242944</v>
      </c>
      <c r="F56" s="142">
        <f>[1]!SWTEST(F28:F43)</f>
        <v>0.34162920687252496</v>
      </c>
      <c r="G56" s="142">
        <f>[1]!SWTEST(G28:G43)</f>
        <v>7.2324383294136041E-2</v>
      </c>
      <c r="H56" s="142">
        <f>[1]!SWTEST(H28:H43)</f>
        <v>0.62898850580094878</v>
      </c>
      <c r="I56" s="142">
        <f>[1]!SWTEST(I28:I43)</f>
        <v>0.74594952251892011</v>
      </c>
      <c r="J56" s="142">
        <f>[1]!SWTEST(J28:J43)</f>
        <v>0.26994248534576148</v>
      </c>
      <c r="K56" s="142">
        <f>[1]!SWTEST(K28:K43)</f>
        <v>0.82314594908296645</v>
      </c>
      <c r="L56" s="142">
        <f>[1]!SWTEST(L28:L43)</f>
        <v>6.0906609674298173E-2</v>
      </c>
      <c r="M56" s="142">
        <f>[1]!SWTEST(M28:M43)</f>
        <v>0.10485554514204165</v>
      </c>
      <c r="N56" s="142"/>
      <c r="O56" s="142">
        <f>[1]!SWTEST(O28:O43)</f>
        <v>0.22751974566014155</v>
      </c>
      <c r="P56" s="142">
        <f>[1]!SWTEST(P28:P43)</f>
        <v>0.13106647044125774</v>
      </c>
      <c r="Q56" s="142">
        <f>[1]!SWTEST(Q28:Q43)</f>
        <v>0.63693392161900253</v>
      </c>
      <c r="R56" s="142">
        <f>[1]!SWTEST(R28:R43)</f>
        <v>0.22436886965836855</v>
      </c>
      <c r="S56" s="142">
        <f>[1]!SWTEST(S28:S43)</f>
        <v>0.74475806580487802</v>
      </c>
      <c r="T56" s="142">
        <f>[1]!SWTEST(T28:T43)</f>
        <v>0.72423152672489399</v>
      </c>
      <c r="U56" s="142">
        <f>[1]!SWTEST(U28:U43)</f>
        <v>0.87489106978869091</v>
      </c>
      <c r="V56" s="142">
        <f>[1]!SWTEST(V28:V43)</f>
        <v>0.12305352813338355</v>
      </c>
    </row>
    <row r="57" spans="1:22" s="3" customFormat="1" x14ac:dyDescent="0.35">
      <c r="A57" s="61" t="s">
        <v>85</v>
      </c>
      <c r="B57" s="142" t="str">
        <f t="shared" ref="B57:M57" si="66">IF(B56&gt;0.05,"Oui","Non")</f>
        <v>Oui</v>
      </c>
      <c r="C57" s="142" t="str">
        <f t="shared" si="66"/>
        <v>Oui</v>
      </c>
      <c r="D57" s="142" t="str">
        <f t="shared" si="66"/>
        <v>Oui</v>
      </c>
      <c r="E57" s="142" t="str">
        <f t="shared" si="66"/>
        <v>Oui</v>
      </c>
      <c r="F57" s="142" t="str">
        <f t="shared" si="66"/>
        <v>Oui</v>
      </c>
      <c r="G57" s="142" t="str">
        <f t="shared" si="66"/>
        <v>Oui</v>
      </c>
      <c r="H57" s="142" t="str">
        <f t="shared" si="66"/>
        <v>Oui</v>
      </c>
      <c r="I57" s="142" t="str">
        <f t="shared" si="66"/>
        <v>Oui</v>
      </c>
      <c r="J57" s="142" t="str">
        <f t="shared" si="66"/>
        <v>Oui</v>
      </c>
      <c r="K57" s="142" t="str">
        <f t="shared" si="66"/>
        <v>Oui</v>
      </c>
      <c r="L57" s="142" t="str">
        <f t="shared" si="66"/>
        <v>Oui</v>
      </c>
      <c r="M57" s="142" t="str">
        <f t="shared" si="66"/>
        <v>Oui</v>
      </c>
      <c r="N57" s="142"/>
      <c r="O57" s="142" t="str">
        <f t="shared" ref="O57:V57" si="67">IF(O56&gt;0.05,"Oui","Non")</f>
        <v>Oui</v>
      </c>
      <c r="P57" s="142" t="str">
        <f t="shared" si="67"/>
        <v>Oui</v>
      </c>
      <c r="Q57" s="142" t="str">
        <f t="shared" si="67"/>
        <v>Oui</v>
      </c>
      <c r="R57" s="142" t="str">
        <f t="shared" si="67"/>
        <v>Oui</v>
      </c>
      <c r="S57" s="142" t="str">
        <f t="shared" si="67"/>
        <v>Oui</v>
      </c>
      <c r="T57" s="142" t="str">
        <f t="shared" si="67"/>
        <v>Oui</v>
      </c>
      <c r="U57" s="142" t="str">
        <f t="shared" si="67"/>
        <v>Oui</v>
      </c>
      <c r="V57" s="142" t="str">
        <f t="shared" si="67"/>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M59" si="68">IF($B57="Non",IF(C$57="Non","Mann Withney",IF(C$57="Oui","Mann Withney","")),IF($B$57="Oui",IF(C$57="Oui","T-Test Welch",IF(C$57="Non","Mann Withney",""))))</f>
        <v>T-Test Welch</v>
      </c>
      <c r="D59" s="151" t="str">
        <f t="shared" si="68"/>
        <v>T-Test Welch</v>
      </c>
      <c r="E59" s="151" t="str">
        <f t="shared" si="68"/>
        <v>T-Test Welch</v>
      </c>
      <c r="F59" s="151" t="str">
        <f t="shared" si="68"/>
        <v>T-Test Welch</v>
      </c>
      <c r="G59" s="151" t="str">
        <f t="shared" si="68"/>
        <v>T-Test Welch</v>
      </c>
      <c r="H59" s="151" t="str">
        <f t="shared" si="68"/>
        <v>T-Test Welch</v>
      </c>
      <c r="I59" s="151" t="str">
        <f t="shared" si="68"/>
        <v>T-Test Welch</v>
      </c>
      <c r="J59" s="151" t="str">
        <f t="shared" si="68"/>
        <v>T-Test Welch</v>
      </c>
      <c r="K59" s="151" t="str">
        <f t="shared" si="68"/>
        <v>T-Test Welch</v>
      </c>
      <c r="L59" s="151" t="str">
        <f t="shared" si="68"/>
        <v>T-Test Welch</v>
      </c>
      <c r="M59" s="151" t="str">
        <f t="shared" si="68"/>
        <v>T-Test Welch</v>
      </c>
      <c r="N59" s="151"/>
      <c r="O59" s="151" t="str">
        <f>IF($B57="Non",IF(O$57="Non","Mann Withney",IF(O$57="Oui","Mann Withney","")),IF($B$57="Oui",IF(O$57="Oui","T-Test Welch",IF(O$57="Non","Mann Withney",""))))</f>
        <v>T-Test Welch</v>
      </c>
      <c r="P59" s="151" t="str">
        <f>IF($O57="Non",IF(P$57="Non","Mann Withney",IF(P$57="Oui","Mann Withney","")),IF($O$57="Oui",IF(P$57="Oui","T-Test Welch",IF(P$57="Non","Mann Withney",""))))</f>
        <v>T-Test Welch</v>
      </c>
      <c r="Q59" s="151" t="str">
        <f t="shared" ref="Q59:V59" si="69">IF($O57="Non",IF(Q$57="Non","Mann Withney",IF(Q$57="Oui","Mann Withney","")),IF($O$57="Oui",IF(Q$57="Oui","T-Test Welch",IF(Q$57="Non","Mann Withney",""))))</f>
        <v>T-Test Welch</v>
      </c>
      <c r="R59" s="151" t="str">
        <f t="shared" si="69"/>
        <v>T-Test Welch</v>
      </c>
      <c r="S59" s="151" t="str">
        <f t="shared" si="69"/>
        <v>T-Test Welch</v>
      </c>
      <c r="T59" s="151" t="str">
        <f t="shared" si="69"/>
        <v>T-Test Welch</v>
      </c>
      <c r="U59" s="151" t="str">
        <f t="shared" si="69"/>
        <v>T-Test Welch</v>
      </c>
      <c r="V59" s="151" t="str">
        <f t="shared" si="69"/>
        <v>T-Test Welch</v>
      </c>
    </row>
    <row r="60" spans="1:22" s="3" customFormat="1" x14ac:dyDescent="0.35">
      <c r="A60" s="61" t="s">
        <v>83</v>
      </c>
      <c r="B60" s="152"/>
      <c r="C60" s="152">
        <f>IF(C59="Mann Withney",[1]!MTEST($B28:$B43,C28:C43,2), IF(C59="T-Test Welch",_xlfn.T.TEST($B28:$B43,C28:C43,2,3),""))</f>
        <v>0.17628923153697801</v>
      </c>
      <c r="D60" s="152">
        <f>IF(D59="Mann Withney",[1]!MTEST($B28:$B43,D28:D43,2), IF(D59="T-Test Welch",_xlfn.T.TEST($B28:$B43,D28:D43,2,3),""))</f>
        <v>0.54551303056314104</v>
      </c>
      <c r="E60" s="152">
        <f>IF(E59="Mann Withney",[1]!MTEST($B28:$B43,E28:E43,2), IF(E59="T-Test Welch",_xlfn.T.TEST($B28:$B43,E28:E43,2,3),""))</f>
        <v>0.66243677916236077</v>
      </c>
      <c r="F60" s="152">
        <f>IF(F59="Mann Withney",[1]!MTEST($B28:$B43,F28:F43,2), IF(F59="T-Test Welch",_xlfn.T.TEST($B28:$B43,F28:F43,2,3),""))</f>
        <v>8.7547586813945823E-4</v>
      </c>
      <c r="G60" s="152">
        <f>IF(G59="Mann Withney",[1]!MTEST($B28:$B43,G28:G43,2), IF(G59="T-Test Welch",_xlfn.T.TEST($B28:$B43,G28:G43,2,3),""))</f>
        <v>3.1809264924903866E-5</v>
      </c>
      <c r="H60" s="152">
        <f>IF(H59="Mann Withney",[1]!MTEST($B28:$B43,H28:H43,2), IF(H59="T-Test Welch",_xlfn.T.TEST($B28:$B43,H28:H43,2,3),""))</f>
        <v>1.6597384606456851E-6</v>
      </c>
      <c r="I60" s="152">
        <f>IF(I59="Mann Withney",[1]!MTEST($B28:$B43,I28:I43,2), IF(I59="T-Test Welch",_xlfn.T.TEST($B28:$B43,I28:I43,2,3),""))</f>
        <v>0.74012876095562663</v>
      </c>
      <c r="J60" s="152">
        <f>IF(J59="Mann Withney",[1]!MTEST($B28:$B43,J28:J43,2), IF(J59="T-Test Welch",_xlfn.T.TEST($B28:$B43,J28:J43,2,3),""))</f>
        <v>0.48396766721607876</v>
      </c>
      <c r="K60" s="152">
        <f>IF(K59="Mann Withney",[1]!MTEST($B28:$B43,K28:K43,2), IF(K59="T-Test Welch",_xlfn.T.TEST($B28:$B43,K28:K43,2,3),""))</f>
        <v>0.1908271583076874</v>
      </c>
      <c r="L60" s="152">
        <f>IF(L59="Mann Withney",[1]!MTEST($B28:$B43,L28:L43,2), IF(L59="T-Test Welch",_xlfn.T.TEST($B28:$B43,L28:L43,2,3),""))</f>
        <v>0.24376447832732154</v>
      </c>
      <c r="M60" s="152">
        <f>IF(M59="Mann Withney",[1]!MTEST($B28:$B43,M28:M43,2), IF(M59="T-Test Welch",_xlfn.T.TEST($B28:$B43,M28:M43,2,3),""))</f>
        <v>0.672590195617084</v>
      </c>
      <c r="N60" s="152"/>
      <c r="O60" s="152">
        <f>IF(O59="Mann Withney",[1]!MTEST($B28:$B43,O28:O43,2), IF(O59="T-Test Welch",_xlfn.T.TEST($B28:$B43,O28:O43,2,3),""))</f>
        <v>2.8610234257027142E-7</v>
      </c>
      <c r="P60" s="152">
        <f>IF(P59="Mann Withney",[1]!MTEST($O28:$O43,P28:P43,2), IF(P59="T-Test Welch",_xlfn.T.TEST($O28:$O43,P28:P43,2,3),""))</f>
        <v>5.3023916054030134E-3</v>
      </c>
      <c r="Q60" s="152">
        <f>IF(Q59="Mann Withney",[1]!MTEST($O28:$O43,Q28:Q43,2), IF(Q59="T-Test Welch",_xlfn.T.TEST($O28:$O43,Q28:Q43,2,3),""))</f>
        <v>1.9581016526207453E-7</v>
      </c>
      <c r="R60" s="152">
        <f>IF(R59="Mann Withney",[1]!MTEST($O28:$O43,R28:R43,2), IF(R59="T-Test Welch",_xlfn.T.TEST($O28:$O43,R28:R43,2,3),""))</f>
        <v>1.4907972947685208E-2</v>
      </c>
      <c r="S60" s="152">
        <f>IF(S59="Mann Withney",[1]!MTEST($O28:$O43,S28:S43,2), IF(S59="T-Test Welch",_xlfn.T.TEST($O28:$O43,S28:S43,2,3),""))</f>
        <v>0.11927333980877482</v>
      </c>
      <c r="T60" s="152">
        <f>IF(T59="Mann Withney",[1]!MTEST($O28:$O43,T28:T43,2), IF(T59="T-Test Welch",_xlfn.T.TEST($O28:$O43,T28:T43,2,3),""))</f>
        <v>0.32252943197987649</v>
      </c>
      <c r="U60" s="152">
        <f>IF(U59="Mann Withney",[1]!MTEST($O28:$O43,U28:U43,2), IF(U59="T-Test Welch",_xlfn.T.TEST($O28:$O43,U28:U43,2,3),""))</f>
        <v>4.4224405366487772E-2</v>
      </c>
      <c r="V60" s="152">
        <f>IF(V59="Mann Withney",[1]!MTEST($O28:$O43,V28:V43,2), IF(V59="T-Test Welch",_xlfn.T.TEST($O28:$O43,V28:V43,2,3),""))</f>
        <v>1.688157322260217E-5</v>
      </c>
    </row>
    <row r="61" spans="1:22" s="3" customFormat="1" ht="15" thickBot="1" x14ac:dyDescent="0.4">
      <c r="A61" s="62" t="s">
        <v>84</v>
      </c>
      <c r="B61" s="143"/>
      <c r="C61" s="143" t="str">
        <f t="shared" ref="C61:M61" si="70">IF(C60&gt;0.05,"NS",IF(C60&gt;0.01,"*",IF(C60&gt;0.001,"**","***")))</f>
        <v>NS</v>
      </c>
      <c r="D61" s="143" t="str">
        <f t="shared" si="70"/>
        <v>NS</v>
      </c>
      <c r="E61" s="143" t="str">
        <f t="shared" si="70"/>
        <v>NS</v>
      </c>
      <c r="F61" s="143" t="str">
        <f t="shared" si="70"/>
        <v>***</v>
      </c>
      <c r="G61" s="143" t="str">
        <f t="shared" si="70"/>
        <v>***</v>
      </c>
      <c r="H61" s="143" t="str">
        <f t="shared" si="70"/>
        <v>***</v>
      </c>
      <c r="I61" s="143" t="str">
        <f t="shared" si="70"/>
        <v>NS</v>
      </c>
      <c r="J61" s="143" t="str">
        <f t="shared" si="70"/>
        <v>NS</v>
      </c>
      <c r="K61" s="143" t="str">
        <f t="shared" si="70"/>
        <v>NS</v>
      </c>
      <c r="L61" s="143" t="str">
        <f t="shared" si="70"/>
        <v>NS</v>
      </c>
      <c r="M61" s="143" t="str">
        <f t="shared" si="70"/>
        <v>NS</v>
      </c>
      <c r="N61" s="143"/>
      <c r="O61" s="143" t="str">
        <f>IF(O60&gt;0.05,"NS",IF(O60&gt;0.01,"*",IF(O60&gt;0.001,"**","***")))</f>
        <v>***</v>
      </c>
      <c r="P61" s="143" t="str">
        <f>IF(P60&gt;0.05,"NS",IF(P60&gt;0.01,"*",IF(P60&gt;0.001,"**","***")))</f>
        <v>**</v>
      </c>
      <c r="Q61" s="143" t="str">
        <f t="shared" ref="Q61" si="71">IF(Q60&gt;0.05,"NS",IF(Q60&gt;0.01,"*",IF(Q60&gt;0.001,"**","***")))</f>
        <v>***</v>
      </c>
      <c r="R61" s="143" t="str">
        <f t="shared" ref="R61" si="72">IF(R60&gt;0.05,"NS",IF(R60&gt;0.01,"*",IF(R60&gt;0.001,"**","***")))</f>
        <v>*</v>
      </c>
      <c r="S61" s="143" t="str">
        <f t="shared" ref="S61" si="73">IF(S60&gt;0.05,"NS",IF(S60&gt;0.01,"*",IF(S60&gt;0.001,"**","***")))</f>
        <v>NS</v>
      </c>
      <c r="T61" s="143" t="str">
        <f t="shared" ref="T61" si="74">IF(T60&gt;0.05,"NS",IF(T60&gt;0.01,"*",IF(T60&gt;0.001,"**","***")))</f>
        <v>NS</v>
      </c>
      <c r="U61" s="143" t="str">
        <f t="shared" ref="U61" si="75">IF(U60&gt;0.05,"NS",IF(U60&gt;0.01,"*",IF(U60&gt;0.001,"**","***")))</f>
        <v>*</v>
      </c>
      <c r="V61" s="143" t="str">
        <f t="shared" ref="V61" si="76">IF(V60&gt;0.05,"NS",IF(V60&gt;0.01,"*",IF(V60&gt;0.001,"**","***")))</f>
        <v>***</v>
      </c>
    </row>
    <row r="63" spans="1:22" x14ac:dyDescent="0.35">
      <c r="A63" s="2" t="s">
        <v>39</v>
      </c>
    </row>
    <row r="64" spans="1:22" x14ac:dyDescent="0.35">
      <c r="A64" s="1" t="s">
        <v>23</v>
      </c>
      <c r="B64" s="1">
        <f>B46+(3*B47)</f>
        <v>0.28119067494519878</v>
      </c>
    </row>
    <row r="65" spans="1:22" x14ac:dyDescent="0.35">
      <c r="A65" s="1" t="s">
        <v>24</v>
      </c>
      <c r="B65" s="1">
        <f>B46+(10*B47)</f>
        <v>0.58216452455905443</v>
      </c>
    </row>
    <row r="66" spans="1:22" ht="15" thickBot="1" x14ac:dyDescent="0.4"/>
    <row r="67" spans="1:22" s="1" customFormat="1" ht="26.5" thickBot="1" x14ac:dyDescent="0.6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U4"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3" t="s">
        <v>172</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173</v>
      </c>
      <c r="D3" s="1" t="s">
        <v>174</v>
      </c>
      <c r="E3" s="1" t="s">
        <v>175</v>
      </c>
      <c r="F3" s="1" t="s">
        <v>112</v>
      </c>
      <c r="G3" s="1">
        <v>323194</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176</v>
      </c>
      <c r="D4" s="1" t="s">
        <v>177</v>
      </c>
      <c r="E4" s="1" t="s">
        <v>178</v>
      </c>
      <c r="F4" s="1" t="s">
        <v>112</v>
      </c>
      <c r="G4" s="1">
        <v>325660</v>
      </c>
      <c r="K4" s="119" t="s">
        <v>100</v>
      </c>
      <c r="L4" s="1" t="s">
        <v>1646</v>
      </c>
      <c r="M4" s="1" t="s">
        <v>1647</v>
      </c>
      <c r="N4" s="1" t="s">
        <v>1648</v>
      </c>
      <c r="O4" s="1" t="s">
        <v>1649</v>
      </c>
      <c r="P4" s="1" t="s">
        <v>1650</v>
      </c>
      <c r="Q4" s="1" t="s">
        <v>1651</v>
      </c>
      <c r="R4" s="1" t="s">
        <v>1652</v>
      </c>
      <c r="S4" s="1" t="s">
        <v>1653</v>
      </c>
      <c r="T4" s="1" t="s">
        <v>1654</v>
      </c>
      <c r="U4" s="1" t="s">
        <v>1655</v>
      </c>
      <c r="V4" s="1" t="s">
        <v>1656</v>
      </c>
      <c r="W4" s="1" t="s">
        <v>1657</v>
      </c>
      <c r="X4" s="1" t="s">
        <v>1658</v>
      </c>
      <c r="Y4" s="1" t="s">
        <v>1659</v>
      </c>
      <c r="Z4" s="1" t="s">
        <v>1660</v>
      </c>
      <c r="AA4" s="1" t="s">
        <v>1661</v>
      </c>
      <c r="AB4" s="1" t="s">
        <v>1662</v>
      </c>
      <c r="AC4" s="1" t="s">
        <v>1663</v>
      </c>
      <c r="AD4" s="1" t="s">
        <v>1664</v>
      </c>
      <c r="AE4" s="1" t="s">
        <v>1665</v>
      </c>
      <c r="AF4" s="1" t="s">
        <v>1666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 s="1" t="s">
        <v>179</v>
      </c>
      <c r="D5" s="1" t="s">
        <v>180</v>
      </c>
      <c r="E5" s="1" t="s">
        <v>181</v>
      </c>
      <c r="F5" s="1" t="s">
        <v>112</v>
      </c>
      <c r="G5" s="1">
        <v>272039</v>
      </c>
      <c r="K5" s="146" t="s">
        <v>164</v>
      </c>
      <c r="L5" s="44">
        <v>306964.33333333331</v>
      </c>
      <c r="M5" s="44">
        <v>1240907</v>
      </c>
      <c r="N5" s="44">
        <v>70048.5</v>
      </c>
      <c r="O5" s="44"/>
      <c r="P5" s="44"/>
      <c r="Q5" s="44"/>
      <c r="R5" s="44">
        <v>41003.333333333336</v>
      </c>
      <c r="S5" s="44">
        <v>2007968</v>
      </c>
      <c r="T5" s="44">
        <v>2497935.6666666665</v>
      </c>
      <c r="U5" s="44">
        <v>364751.66666666669</v>
      </c>
      <c r="V5" s="44">
        <v>4675612</v>
      </c>
      <c r="W5" s="44">
        <v>226818.33333333334</v>
      </c>
      <c r="X5" s="44">
        <v>665508.66666666663</v>
      </c>
      <c r="Y5" s="44">
        <v>774011.33333333337</v>
      </c>
      <c r="Z5" s="44">
        <v>1921102.6666666667</v>
      </c>
      <c r="AA5" s="44">
        <v>1047528.6666666666</v>
      </c>
      <c r="AB5" s="44">
        <v>1143478.6666666667</v>
      </c>
      <c r="AC5" s="44">
        <v>1133763.5</v>
      </c>
      <c r="AD5" s="44">
        <v>1284772</v>
      </c>
      <c r="AE5" s="44">
        <v>89021.666666666672</v>
      </c>
      <c r="AF5" s="44">
        <v>420406</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182</v>
      </c>
      <c r="D6" s="1" t="s">
        <v>183</v>
      </c>
      <c r="E6" s="1" t="s">
        <v>184</v>
      </c>
      <c r="F6" s="1" t="s">
        <v>112</v>
      </c>
      <c r="G6" s="1">
        <v>242082</v>
      </c>
      <c r="K6" s="146" t="s">
        <v>1667</v>
      </c>
      <c r="L6" s="44">
        <v>253762</v>
      </c>
      <c r="M6" s="44">
        <v>2546585</v>
      </c>
      <c r="N6" s="44">
        <v>508951.33333333331</v>
      </c>
      <c r="O6" s="44">
        <v>3184548</v>
      </c>
      <c r="P6" s="44">
        <v>58955.666666666664</v>
      </c>
      <c r="Q6" s="44">
        <v>65084.333333333336</v>
      </c>
      <c r="R6" s="44">
        <v>57838.666666666664</v>
      </c>
      <c r="S6" s="44">
        <v>1593272.6666666667</v>
      </c>
      <c r="T6" s="44">
        <v>1361219.6666666667</v>
      </c>
      <c r="U6" s="44">
        <v>3187273</v>
      </c>
      <c r="V6" s="44"/>
      <c r="W6" s="44">
        <v>126989</v>
      </c>
      <c r="X6" s="44">
        <v>1295623.6666666667</v>
      </c>
      <c r="Y6" s="44">
        <v>249097</v>
      </c>
      <c r="Z6" s="44">
        <v>3559127</v>
      </c>
      <c r="AA6" s="44">
        <v>2474200.6666666665</v>
      </c>
      <c r="AB6" s="44">
        <v>2205449</v>
      </c>
      <c r="AC6" s="44">
        <v>2006757</v>
      </c>
      <c r="AD6" s="44">
        <v>1153133</v>
      </c>
      <c r="AE6" s="44">
        <v>378184.33333333331</v>
      </c>
      <c r="AF6" s="44">
        <v>486160.66666666669</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185</v>
      </c>
      <c r="D7" s="1" t="s">
        <v>186</v>
      </c>
      <c r="E7" s="1" t="s">
        <v>187</v>
      </c>
      <c r="F7" s="1" t="s">
        <v>112</v>
      </c>
      <c r="G7" s="1">
        <v>325379</v>
      </c>
      <c r="K7" s="146" t="s">
        <v>1668</v>
      </c>
      <c r="L7" s="44">
        <v>367784</v>
      </c>
      <c r="M7" s="44">
        <v>698227.33333333337</v>
      </c>
      <c r="N7" s="44">
        <v>992134.33333333337</v>
      </c>
      <c r="O7" s="44">
        <v>933070.33333333337</v>
      </c>
      <c r="P7" s="44">
        <v>142764.33333333334</v>
      </c>
      <c r="Q7" s="44">
        <v>279804.5</v>
      </c>
      <c r="R7" s="44">
        <v>217351.33333333334</v>
      </c>
      <c r="S7" s="44">
        <v>81739.666666666672</v>
      </c>
      <c r="T7" s="44"/>
      <c r="U7" s="44">
        <v>1686382</v>
      </c>
      <c r="V7" s="44">
        <v>3647103</v>
      </c>
      <c r="W7" s="44">
        <v>59287.666666666664</v>
      </c>
      <c r="X7" s="44">
        <v>1131820.3333333333</v>
      </c>
      <c r="Y7" s="44">
        <v>462404</v>
      </c>
      <c r="Z7" s="44">
        <v>1450111.3333333333</v>
      </c>
      <c r="AA7" s="44">
        <v>873927</v>
      </c>
      <c r="AB7" s="44">
        <v>2469413</v>
      </c>
      <c r="AC7" s="44">
        <v>1195902.3333333333</v>
      </c>
      <c r="AD7" s="44">
        <v>1994391.3333333333</v>
      </c>
      <c r="AE7" s="44">
        <v>468.66666666666669</v>
      </c>
      <c r="AF7" s="44">
        <v>65070</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 s="1" t="s">
        <v>188</v>
      </c>
      <c r="D8" s="1" t="s">
        <v>189</v>
      </c>
      <c r="E8" s="1" t="s">
        <v>190</v>
      </c>
      <c r="F8" s="1" t="s">
        <v>112</v>
      </c>
      <c r="G8" s="1">
        <v>193825</v>
      </c>
      <c r="K8" s="146" t="s">
        <v>1669</v>
      </c>
      <c r="L8" s="44">
        <v>286870</v>
      </c>
      <c r="M8" s="44">
        <v>1874843.3333333333</v>
      </c>
      <c r="N8" s="44">
        <v>1175498.5</v>
      </c>
      <c r="O8" s="44">
        <v>4217901.333333333</v>
      </c>
      <c r="P8" s="44">
        <v>319409</v>
      </c>
      <c r="Q8" s="44">
        <v>13079</v>
      </c>
      <c r="R8" s="44">
        <v>211908</v>
      </c>
      <c r="S8" s="44">
        <v>329250.33333333331</v>
      </c>
      <c r="T8" s="44">
        <v>1906999.3333333333</v>
      </c>
      <c r="U8" s="44">
        <v>1407695</v>
      </c>
      <c r="V8" s="44">
        <v>3287088</v>
      </c>
      <c r="W8" s="44">
        <v>156384</v>
      </c>
      <c r="X8" s="44">
        <v>475230.33333333331</v>
      </c>
      <c r="Y8" s="44">
        <v>243488</v>
      </c>
      <c r="Z8" s="44">
        <v>583986</v>
      </c>
      <c r="AA8" s="44">
        <v>1437104.6666666667</v>
      </c>
      <c r="AB8" s="44">
        <v>2129441.3333333335</v>
      </c>
      <c r="AC8" s="44">
        <v>1913034.6666666667</v>
      </c>
      <c r="AD8" s="44">
        <v>1258059.6666666667</v>
      </c>
      <c r="AE8" s="44">
        <v>263783.66666666669</v>
      </c>
      <c r="AF8" s="44">
        <v>219251.5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191</v>
      </c>
      <c r="K9" s="146" t="s">
        <v>1670</v>
      </c>
      <c r="L9" s="44">
        <v>262803</v>
      </c>
      <c r="M9" s="44">
        <v>592760.33333333337</v>
      </c>
      <c r="N9" s="44">
        <v>1956107</v>
      </c>
      <c r="O9" s="44">
        <v>2831230.6666666665</v>
      </c>
      <c r="P9" s="44">
        <v>73556</v>
      </c>
      <c r="Q9" s="44">
        <v>53959.333333333336</v>
      </c>
      <c r="R9" s="44">
        <v>100341.33333333333</v>
      </c>
      <c r="S9" s="44">
        <v>627173</v>
      </c>
      <c r="T9" s="44">
        <v>1628940</v>
      </c>
      <c r="U9" s="44">
        <v>3155650</v>
      </c>
      <c r="V9" s="44">
        <v>4862775.333333333</v>
      </c>
      <c r="W9" s="44">
        <v>216053.66666666666</v>
      </c>
      <c r="X9" s="44">
        <v>219608.33333333334</v>
      </c>
      <c r="Y9" s="44">
        <v>2200019.6666666665</v>
      </c>
      <c r="Z9" s="44">
        <v>606761.66666666663</v>
      </c>
      <c r="AA9" s="44">
        <v>1785101</v>
      </c>
      <c r="AB9" s="44">
        <v>1102735.3333333333</v>
      </c>
      <c r="AC9" s="44">
        <v>1472621</v>
      </c>
      <c r="AD9" s="44">
        <v>227517.33333333334</v>
      </c>
      <c r="AE9" s="44">
        <v>264058</v>
      </c>
      <c r="AF9" s="44">
        <v>131632.33333333334</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192</v>
      </c>
      <c r="D10" s="1" t="s">
        <v>193</v>
      </c>
      <c r="E10" s="1" t="s">
        <v>194</v>
      </c>
      <c r="F10" s="1" t="s">
        <v>112</v>
      </c>
      <c r="G10" s="1">
        <v>385315</v>
      </c>
      <c r="K10" s="146" t="s">
        <v>1671</v>
      </c>
      <c r="L10" s="44">
        <v>98509.666666666672</v>
      </c>
      <c r="M10" s="44">
        <v>489254</v>
      </c>
      <c r="N10" s="44"/>
      <c r="O10" s="44">
        <v>4321790</v>
      </c>
      <c r="P10" s="44">
        <v>413412.33333333331</v>
      </c>
      <c r="Q10" s="44">
        <v>558195.33333333337</v>
      </c>
      <c r="R10" s="44">
        <v>172130.66666666666</v>
      </c>
      <c r="S10" s="44">
        <v>529139.33333333337</v>
      </c>
      <c r="T10" s="44">
        <v>1515401</v>
      </c>
      <c r="U10" s="44">
        <v>2743276.3333333335</v>
      </c>
      <c r="V10" s="44">
        <v>2544829.3333333335</v>
      </c>
      <c r="W10" s="44">
        <v>155893.66666666666</v>
      </c>
      <c r="X10" s="44">
        <v>101163</v>
      </c>
      <c r="Y10" s="44">
        <v>1035949</v>
      </c>
      <c r="Z10" s="44">
        <v>261512.33333333334</v>
      </c>
      <c r="AA10" s="44">
        <v>0</v>
      </c>
      <c r="AB10" s="44">
        <v>3232104.6666666665</v>
      </c>
      <c r="AC10" s="44">
        <v>3149182.6666666665</v>
      </c>
      <c r="AD10" s="44">
        <v>2687312.3333333335</v>
      </c>
      <c r="AE10" s="44">
        <v>105287</v>
      </c>
      <c r="AF10" s="44">
        <v>118784.33333333333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 s="1" t="s">
        <v>195</v>
      </c>
      <c r="D11" s="1" t="s">
        <v>196</v>
      </c>
      <c r="E11" s="1" t="s">
        <v>197</v>
      </c>
      <c r="F11" s="1" t="s">
        <v>112</v>
      </c>
      <c r="G11" s="1">
        <v>350253</v>
      </c>
      <c r="K11" s="146" t="s">
        <v>1672</v>
      </c>
      <c r="L11" s="44">
        <v>61803.666666666664</v>
      </c>
      <c r="M11" s="44">
        <v>54456.666666666664</v>
      </c>
      <c r="N11" s="44">
        <v>1563747.6666666667</v>
      </c>
      <c r="O11" s="44">
        <v>3105295.6666666665</v>
      </c>
      <c r="P11" s="44">
        <v>133016.33333333334</v>
      </c>
      <c r="Q11" s="44">
        <v>262450</v>
      </c>
      <c r="R11" s="44">
        <v>294022.33333333331</v>
      </c>
      <c r="S11" s="44">
        <v>134617</v>
      </c>
      <c r="T11" s="44">
        <v>808056.66666666663</v>
      </c>
      <c r="U11" s="44">
        <v>1831129.3333333333</v>
      </c>
      <c r="V11" s="44">
        <v>4059643</v>
      </c>
      <c r="W11" s="44">
        <v>198339</v>
      </c>
      <c r="X11" s="44">
        <v>130926</v>
      </c>
      <c r="Y11" s="44">
        <v>163738.33333333334</v>
      </c>
      <c r="Z11" s="44">
        <v>2583864</v>
      </c>
      <c r="AA11" s="44">
        <v>3510467</v>
      </c>
      <c r="AB11" s="44">
        <v>1302184.3333333333</v>
      </c>
      <c r="AC11" s="44">
        <v>1928153.3333333333</v>
      </c>
      <c r="AD11" s="44">
        <v>2134596.6666666665</v>
      </c>
      <c r="AE11" s="44">
        <v>363382.33333333331</v>
      </c>
      <c r="AF11" s="44">
        <v>125525.33333333333</v>
      </c>
      <c r="AG11"/>
    </row>
    <row r="12" spans="1:144" x14ac:dyDescent="0.3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198</v>
      </c>
      <c r="D12" s="1" t="s">
        <v>199</v>
      </c>
      <c r="E12" s="1" t="s">
        <v>200</v>
      </c>
      <c r="F12" s="1" t="s">
        <v>112</v>
      </c>
      <c r="G12" s="1">
        <v>426909</v>
      </c>
      <c r="K12" s="146" t="s">
        <v>1673</v>
      </c>
      <c r="L12" s="44">
        <v>49871.333333333336</v>
      </c>
      <c r="M12" s="44">
        <v>1524612.3333333333</v>
      </c>
      <c r="N12" s="44">
        <v>525282</v>
      </c>
      <c r="O12" s="44">
        <v>2782159.6666666665</v>
      </c>
      <c r="P12" s="44">
        <v>74334.666666666672</v>
      </c>
      <c r="Q12" s="44">
        <v>79915</v>
      </c>
      <c r="R12" s="44">
        <v>486456.33333333331</v>
      </c>
      <c r="S12" s="44">
        <v>487602.66666666669</v>
      </c>
      <c r="T12" s="44">
        <v>2835051.6666666665</v>
      </c>
      <c r="U12" s="44">
        <v>2492297.3333333335</v>
      </c>
      <c r="V12" s="44">
        <v>3627491.6666666665</v>
      </c>
      <c r="W12" s="44">
        <v>70203.333333333328</v>
      </c>
      <c r="X12" s="44">
        <v>631766</v>
      </c>
      <c r="Y12" s="44">
        <v>339675.66666666669</v>
      </c>
      <c r="Z12" s="44">
        <v>1887122</v>
      </c>
      <c r="AA12" s="44">
        <v>2276979</v>
      </c>
      <c r="AB12" s="44">
        <v>2930886.6666666665</v>
      </c>
      <c r="AC12" s="44">
        <v>3043794.6666666665</v>
      </c>
      <c r="AD12" s="44">
        <v>2392641</v>
      </c>
      <c r="AE12" s="44">
        <v>53022</v>
      </c>
      <c r="AF12" s="44">
        <v>238448</v>
      </c>
      <c r="AG12"/>
    </row>
    <row r="13" spans="1:144" x14ac:dyDescent="0.3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201</v>
      </c>
      <c r="D13" s="1" t="s">
        <v>202</v>
      </c>
      <c r="E13" s="1" t="s">
        <v>203</v>
      </c>
      <c r="F13" s="1" t="s">
        <v>112</v>
      </c>
      <c r="G13" s="1">
        <v>424941</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 s="1" t="s">
        <v>204</v>
      </c>
      <c r="D14" s="1" t="s">
        <v>205</v>
      </c>
      <c r="E14" s="1" t="s">
        <v>206</v>
      </c>
      <c r="F14" s="1" t="s">
        <v>112</v>
      </c>
      <c r="G14" s="1">
        <v>8760</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207</v>
      </c>
      <c r="D15" s="1" t="s">
        <v>208</v>
      </c>
      <c r="E15" s="1" t="s">
        <v>209</v>
      </c>
      <c r="F15" s="1" t="s">
        <v>112</v>
      </c>
      <c r="G15" s="1">
        <v>295075</v>
      </c>
    </row>
    <row r="16" spans="1:144" x14ac:dyDescent="0.3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210</v>
      </c>
      <c r="D16" s="1" t="s">
        <v>211</v>
      </c>
      <c r="E16" s="1" t="s">
        <v>212</v>
      </c>
      <c r="F16" s="1" t="s">
        <v>112</v>
      </c>
      <c r="G16" s="1">
        <v>207106</v>
      </c>
    </row>
    <row r="17" spans="1:8" x14ac:dyDescent="0.3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 s="1" t="s">
        <v>213</v>
      </c>
      <c r="D17" s="1" t="s">
        <v>214</v>
      </c>
      <c r="E17" s="1" t="s">
        <v>215</v>
      </c>
      <c r="F17" s="1" t="s">
        <v>112</v>
      </c>
      <c r="G17" s="1">
        <v>286228</v>
      </c>
    </row>
    <row r="18" spans="1:8" x14ac:dyDescent="0.3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216</v>
      </c>
      <c r="D18" s="1" t="s">
        <v>217</v>
      </c>
      <c r="E18" s="1" t="s">
        <v>218</v>
      </c>
      <c r="F18" s="1" t="s">
        <v>112</v>
      </c>
      <c r="G18" s="1">
        <v>176370</v>
      </c>
    </row>
    <row r="19" spans="1:8" x14ac:dyDescent="0.3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219</v>
      </c>
      <c r="D19" s="1" t="s">
        <v>220</v>
      </c>
      <c r="E19" s="1" t="s">
        <v>221</v>
      </c>
      <c r="F19" s="1" t="s">
        <v>112</v>
      </c>
      <c r="G19" s="1">
        <v>78019</v>
      </c>
    </row>
    <row r="20" spans="1:8" x14ac:dyDescent="0.3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0" s="1" t="s">
        <v>222</v>
      </c>
      <c r="D20" s="1" t="s">
        <v>223</v>
      </c>
      <c r="E20" s="1" t="s">
        <v>224</v>
      </c>
      <c r="F20" s="1" t="s">
        <v>112</v>
      </c>
      <c r="G20" s="1">
        <v>41140</v>
      </c>
    </row>
    <row r="21" spans="1:8" x14ac:dyDescent="0.3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225</v>
      </c>
      <c r="D21" s="1" t="s">
        <v>226</v>
      </c>
      <c r="E21" s="1" t="s">
        <v>227</v>
      </c>
      <c r="F21" s="1" t="s">
        <v>112</v>
      </c>
      <c r="G21" s="1">
        <v>171568</v>
      </c>
    </row>
    <row r="22" spans="1:8" x14ac:dyDescent="0.3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228</v>
      </c>
      <c r="D22" s="1" t="s">
        <v>229</v>
      </c>
      <c r="E22" s="1">
        <v>30</v>
      </c>
      <c r="F22" s="1" t="s">
        <v>112</v>
      </c>
      <c r="G22" s="1">
        <v>649</v>
      </c>
    </row>
    <row r="23" spans="1:8" x14ac:dyDescent="0.3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3" s="1" t="s">
        <v>230</v>
      </c>
      <c r="D23" s="1" t="s">
        <v>231</v>
      </c>
      <c r="E23" s="1" t="s">
        <v>232</v>
      </c>
      <c r="F23" s="1" t="s">
        <v>112</v>
      </c>
      <c r="G23" s="1">
        <v>13194</v>
      </c>
    </row>
    <row r="24" spans="1:8" x14ac:dyDescent="0.3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233</v>
      </c>
      <c r="D24" s="1" t="s">
        <v>234</v>
      </c>
      <c r="E24" s="1" t="s">
        <v>235</v>
      </c>
      <c r="F24" s="1" t="s">
        <v>112</v>
      </c>
      <c r="G24" s="1">
        <v>1449</v>
      </c>
    </row>
    <row r="25" spans="1:8" x14ac:dyDescent="0.3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236</v>
      </c>
      <c r="D25" s="1" t="s">
        <v>237</v>
      </c>
      <c r="E25" s="1" t="s">
        <v>238</v>
      </c>
      <c r="F25" s="1" t="s">
        <v>112</v>
      </c>
      <c r="G25" s="1">
        <v>96448</v>
      </c>
    </row>
    <row r="26" spans="1:8" x14ac:dyDescent="0.35">
      <c r="A26" s="1" t="str">
        <f t="shared" si="0"/>
        <v>1</v>
      </c>
      <c r="B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6" s="1" t="s">
        <v>239</v>
      </c>
      <c r="D26" s="1" t="s">
        <v>240</v>
      </c>
      <c r="E26" s="1" t="s">
        <v>241</v>
      </c>
      <c r="F26" s="1" t="s">
        <v>112</v>
      </c>
      <c r="G26" s="1">
        <v>51717</v>
      </c>
    </row>
    <row r="27" spans="1:8"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112</v>
      </c>
    </row>
    <row r="28" spans="1:8"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 s="1" t="s">
        <v>242</v>
      </c>
      <c r="D28" s="1" t="s">
        <v>112</v>
      </c>
      <c r="E28" s="1" t="s">
        <v>243</v>
      </c>
      <c r="F28" s="1" t="s">
        <v>244</v>
      </c>
      <c r="G28" s="1" t="s">
        <v>245</v>
      </c>
      <c r="H28" s="1" t="s">
        <v>246</v>
      </c>
    </row>
    <row r="29" spans="1:8" x14ac:dyDescent="0.35">
      <c r="A29" s="1" t="str">
        <f t="shared" si="0"/>
        <v>1</v>
      </c>
      <c r="B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 s="1" t="s">
        <v>247</v>
      </c>
      <c r="D29" s="1" t="s">
        <v>112</v>
      </c>
      <c r="E29" s="1" t="s">
        <v>248</v>
      </c>
      <c r="F29" s="1" t="s">
        <v>249</v>
      </c>
      <c r="G29" s="1" t="s">
        <v>250</v>
      </c>
      <c r="H29" s="1" t="s">
        <v>251</v>
      </c>
    </row>
    <row r="30" spans="1:8"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8"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8"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112</v>
      </c>
    </row>
    <row r="35" spans="1:7"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 s="1" t="s">
        <v>172</v>
      </c>
      <c r="D35" s="1" t="s">
        <v>110</v>
      </c>
      <c r="E35" s="1" t="s">
        <v>111</v>
      </c>
      <c r="F35" s="1" t="s">
        <v>112</v>
      </c>
      <c r="G35" s="1" t="s">
        <v>113</v>
      </c>
    </row>
    <row r="36" spans="1:7" x14ac:dyDescent="0.35">
      <c r="A36" s="1" t="str">
        <f t="shared" si="0"/>
        <v>13</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252</v>
      </c>
      <c r="D36" s="1" t="s">
        <v>253</v>
      </c>
      <c r="E36" s="1" t="s">
        <v>254</v>
      </c>
      <c r="F36" s="1" t="s">
        <v>112</v>
      </c>
      <c r="G36" s="1">
        <v>1474618</v>
      </c>
    </row>
    <row r="37" spans="1:7" x14ac:dyDescent="0.35">
      <c r="A37" s="1" t="str">
        <f t="shared" si="0"/>
        <v>13</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255</v>
      </c>
      <c r="D37" s="1" t="s">
        <v>256</v>
      </c>
      <c r="E37" s="1" t="s">
        <v>257</v>
      </c>
      <c r="F37" s="1" t="s">
        <v>112</v>
      </c>
      <c r="G37" s="1">
        <v>1210193</v>
      </c>
    </row>
    <row r="38" spans="1:7" x14ac:dyDescent="0.35">
      <c r="A38" s="1" t="str">
        <f t="shared" si="0"/>
        <v>13</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8" s="1" t="s">
        <v>258</v>
      </c>
      <c r="D38" s="1" t="s">
        <v>259</v>
      </c>
      <c r="E38" s="1" t="s">
        <v>260</v>
      </c>
      <c r="F38" s="1" t="s">
        <v>112</v>
      </c>
      <c r="G38" s="1">
        <v>1037910</v>
      </c>
    </row>
    <row r="39" spans="1:7" x14ac:dyDescent="0.35">
      <c r="A39" s="1" t="str">
        <f t="shared" si="0"/>
        <v>13</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261</v>
      </c>
    </row>
    <row r="40" spans="1:7" x14ac:dyDescent="0.35">
      <c r="A40" s="1" t="str">
        <f t="shared" si="0"/>
        <v>13</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262</v>
      </c>
      <c r="D40" s="1" t="s">
        <v>263</v>
      </c>
      <c r="E40" s="1" t="s">
        <v>264</v>
      </c>
      <c r="F40" s="1" t="s">
        <v>112</v>
      </c>
      <c r="G40" s="1">
        <v>2677154</v>
      </c>
    </row>
    <row r="41" spans="1:7" x14ac:dyDescent="0.35">
      <c r="A41" s="1" t="str">
        <f t="shared" si="0"/>
        <v>13</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 s="1" t="s">
        <v>265</v>
      </c>
      <c r="D41" s="1" t="s">
        <v>266</v>
      </c>
      <c r="E41" s="1" t="s">
        <v>267</v>
      </c>
      <c r="F41" s="1" t="s">
        <v>112</v>
      </c>
      <c r="G41" s="1">
        <v>2416016</v>
      </c>
    </row>
    <row r="42" spans="1:7" x14ac:dyDescent="0.35">
      <c r="A42" s="1" t="str">
        <f t="shared" si="0"/>
        <v>13</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268</v>
      </c>
      <c r="D42" s="1" t="s">
        <v>269</v>
      </c>
      <c r="E42" s="1" t="s">
        <v>270</v>
      </c>
      <c r="F42" s="1" t="s">
        <v>112</v>
      </c>
      <c r="G42" s="1">
        <v>683916</v>
      </c>
    </row>
    <row r="43" spans="1:7" x14ac:dyDescent="0.35">
      <c r="A43" s="1" t="str">
        <f t="shared" si="0"/>
        <v>13</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271</v>
      </c>
      <c r="D43" s="1" t="s">
        <v>272</v>
      </c>
      <c r="E43" s="1" t="s">
        <v>273</v>
      </c>
      <c r="F43" s="1" t="s">
        <v>112</v>
      </c>
      <c r="G43" s="1">
        <v>741905</v>
      </c>
    </row>
    <row r="44" spans="1:7" x14ac:dyDescent="0.3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 s="1" t="s">
        <v>274</v>
      </c>
      <c r="D44" s="1" t="s">
        <v>275</v>
      </c>
      <c r="E44" s="1" t="s">
        <v>276</v>
      </c>
      <c r="F44" s="1" t="s">
        <v>112</v>
      </c>
      <c r="G44" s="1">
        <v>668861</v>
      </c>
    </row>
    <row r="45" spans="1:7" x14ac:dyDescent="0.3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277</v>
      </c>
      <c r="D45" s="1" t="s">
        <v>278</v>
      </c>
      <c r="E45" s="1" t="s">
        <v>279</v>
      </c>
      <c r="F45" s="1" t="s">
        <v>112</v>
      </c>
      <c r="G45" s="1">
        <v>1550215</v>
      </c>
    </row>
    <row r="46" spans="1:7" x14ac:dyDescent="0.3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280</v>
      </c>
      <c r="D46" s="1" t="s">
        <v>281</v>
      </c>
      <c r="E46" s="1" t="s">
        <v>282</v>
      </c>
      <c r="F46" s="1" t="s">
        <v>112</v>
      </c>
      <c r="G46" s="1">
        <v>2090832</v>
      </c>
    </row>
    <row r="47" spans="1:7" x14ac:dyDescent="0.3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 s="1" t="s">
        <v>283</v>
      </c>
      <c r="D47" s="1" t="s">
        <v>284</v>
      </c>
      <c r="E47" s="1" t="s">
        <v>285</v>
      </c>
      <c r="F47" s="1" t="s">
        <v>112</v>
      </c>
      <c r="G47" s="1">
        <v>1983483</v>
      </c>
    </row>
    <row r="48" spans="1:7" x14ac:dyDescent="0.3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286</v>
      </c>
      <c r="D48" s="1" t="s">
        <v>287</v>
      </c>
      <c r="E48" s="1" t="s">
        <v>288</v>
      </c>
      <c r="F48" s="1" t="s">
        <v>112</v>
      </c>
      <c r="G48" s="1">
        <v>637152</v>
      </c>
    </row>
    <row r="49" spans="1:8" x14ac:dyDescent="0.3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289</v>
      </c>
      <c r="D49" s="1" t="s">
        <v>290</v>
      </c>
      <c r="E49" s="1" t="s">
        <v>291</v>
      </c>
      <c r="F49" s="1" t="s">
        <v>112</v>
      </c>
      <c r="G49" s="1">
        <v>668602</v>
      </c>
    </row>
    <row r="50" spans="1:8" x14ac:dyDescent="0.3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 s="1" t="s">
        <v>292</v>
      </c>
      <c r="D50" s="1" t="s">
        <v>293</v>
      </c>
      <c r="E50" s="1" t="s">
        <v>294</v>
      </c>
      <c r="F50" s="1" t="s">
        <v>112</v>
      </c>
      <c r="G50" s="1">
        <v>472527</v>
      </c>
    </row>
    <row r="51" spans="1:8" x14ac:dyDescent="0.3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295</v>
      </c>
      <c r="D51" s="1" t="s">
        <v>296</v>
      </c>
      <c r="E51" s="1" t="s">
        <v>297</v>
      </c>
      <c r="F51" s="1" t="s">
        <v>112</v>
      </c>
      <c r="G51" s="1">
        <v>416138</v>
      </c>
    </row>
    <row r="52" spans="1:8" x14ac:dyDescent="0.3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298</v>
      </c>
      <c r="D52" s="1" t="s">
        <v>299</v>
      </c>
      <c r="E52" s="1" t="s">
        <v>300</v>
      </c>
      <c r="F52" s="1" t="s">
        <v>112</v>
      </c>
      <c r="G52" s="1">
        <v>575312</v>
      </c>
    </row>
    <row r="53" spans="1:8" x14ac:dyDescent="0.3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3" s="1" t="s">
        <v>301</v>
      </c>
      <c r="D53" s="1" t="s">
        <v>302</v>
      </c>
      <c r="E53" s="1" t="s">
        <v>303</v>
      </c>
      <c r="F53" s="1" t="s">
        <v>112</v>
      </c>
      <c r="G53" s="1">
        <v>476312</v>
      </c>
    </row>
    <row r="54" spans="1:8" x14ac:dyDescent="0.3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304</v>
      </c>
      <c r="D54" s="1" t="s">
        <v>305</v>
      </c>
      <c r="E54" s="1" t="s">
        <v>306</v>
      </c>
      <c r="F54" s="1" t="s">
        <v>112</v>
      </c>
      <c r="G54" s="1">
        <v>19402</v>
      </c>
    </row>
    <row r="55" spans="1:8" x14ac:dyDescent="0.3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307</v>
      </c>
      <c r="D55" s="1" t="s">
        <v>308</v>
      </c>
      <c r="E55" s="1" t="s">
        <v>309</v>
      </c>
      <c r="F55" s="1" t="s">
        <v>112</v>
      </c>
      <c r="G55" s="1">
        <v>72633</v>
      </c>
    </row>
    <row r="56" spans="1:8" x14ac:dyDescent="0.3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6" s="1" t="s">
        <v>310</v>
      </c>
      <c r="D56" s="1" t="s">
        <v>311</v>
      </c>
      <c r="E56" s="1" t="s">
        <v>312</v>
      </c>
      <c r="F56" s="1" t="s">
        <v>112</v>
      </c>
      <c r="G56" s="1">
        <v>71335</v>
      </c>
    </row>
    <row r="57" spans="1:8" x14ac:dyDescent="0.3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313</v>
      </c>
      <c r="D57" s="1" t="s">
        <v>314</v>
      </c>
      <c r="E57" s="1" t="s">
        <v>315</v>
      </c>
      <c r="F57" s="1" t="s">
        <v>112</v>
      </c>
      <c r="G57" s="1">
        <v>1613915</v>
      </c>
    </row>
    <row r="58" spans="1:8" x14ac:dyDescent="0.3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316</v>
      </c>
      <c r="D58" s="1" t="s">
        <v>317</v>
      </c>
      <c r="E58" s="1" t="s">
        <v>318</v>
      </c>
      <c r="F58" s="1" t="s">
        <v>112</v>
      </c>
      <c r="G58" s="1">
        <v>1575219</v>
      </c>
    </row>
    <row r="59" spans="1:8" x14ac:dyDescent="0.35">
      <c r="A59" s="1" t="str">
        <f t="shared" si="0"/>
        <v>13</v>
      </c>
      <c r="B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9" s="1" t="s">
        <v>319</v>
      </c>
      <c r="D59" s="1" t="s">
        <v>320</v>
      </c>
      <c r="E59" s="1" t="s">
        <v>321</v>
      </c>
      <c r="F59" s="1" t="s">
        <v>112</v>
      </c>
      <c r="G59" s="1">
        <v>1384703</v>
      </c>
    </row>
    <row r="60" spans="1:8"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112</v>
      </c>
    </row>
    <row r="61" spans="1:8"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 s="1" t="s">
        <v>242</v>
      </c>
      <c r="D61" s="1" t="s">
        <v>112</v>
      </c>
      <c r="E61" s="1" t="s">
        <v>243</v>
      </c>
      <c r="F61" s="1" t="s">
        <v>244</v>
      </c>
      <c r="G61" s="1" t="s">
        <v>245</v>
      </c>
      <c r="H61" s="1" t="s">
        <v>246</v>
      </c>
    </row>
    <row r="62" spans="1:8" x14ac:dyDescent="0.35">
      <c r="A62" s="1" t="str">
        <f t="shared" si="0"/>
        <v>13</v>
      </c>
      <c r="B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 s="1" t="s">
        <v>322</v>
      </c>
      <c r="D62" s="1" t="s">
        <v>112</v>
      </c>
      <c r="E62" s="1" t="s">
        <v>323</v>
      </c>
      <c r="F62" s="1" t="s">
        <v>324</v>
      </c>
      <c r="G62" s="1" t="s">
        <v>325</v>
      </c>
      <c r="H62" s="1" t="s">
        <v>326</v>
      </c>
    </row>
    <row r="63" spans="1:8"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8"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112</v>
      </c>
    </row>
    <row r="68" spans="1:7"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 s="1" t="s">
        <v>172</v>
      </c>
      <c r="D68" s="1" t="s">
        <v>110</v>
      </c>
      <c r="E68" s="1" t="s">
        <v>111</v>
      </c>
      <c r="F68" s="1" t="s">
        <v>112</v>
      </c>
      <c r="G68" s="1" t="s">
        <v>113</v>
      </c>
    </row>
    <row r="69" spans="1:7" x14ac:dyDescent="0.35">
      <c r="A69" s="1" t="str">
        <f t="shared" si="1"/>
        <v>14</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327</v>
      </c>
      <c r="D69" s="1" t="s">
        <v>328</v>
      </c>
      <c r="E69" s="1" t="s">
        <v>329</v>
      </c>
      <c r="F69" s="1" t="s">
        <v>112</v>
      </c>
      <c r="G69" s="1">
        <v>15033</v>
      </c>
    </row>
    <row r="70" spans="1:7" x14ac:dyDescent="0.35">
      <c r="A70" s="1" t="str">
        <f t="shared" si="1"/>
        <v>14</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330</v>
      </c>
      <c r="D70" s="1" t="s">
        <v>331</v>
      </c>
      <c r="E70" s="1" t="s">
        <v>332</v>
      </c>
      <c r="F70" s="1" t="s">
        <v>112</v>
      </c>
      <c r="G70" s="1">
        <v>125064</v>
      </c>
    </row>
    <row r="71" spans="1:7" x14ac:dyDescent="0.35">
      <c r="A71" s="1" t="str">
        <f t="shared" si="1"/>
        <v>14</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1" s="1" t="s">
        <v>333</v>
      </c>
    </row>
    <row r="72" spans="1:7" x14ac:dyDescent="0.35">
      <c r="A72" s="1" t="str">
        <f t="shared" si="1"/>
        <v>14</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334</v>
      </c>
      <c r="D72" s="1" t="s">
        <v>335</v>
      </c>
      <c r="E72" s="1" t="s">
        <v>336</v>
      </c>
      <c r="F72" s="1" t="s">
        <v>112</v>
      </c>
      <c r="G72" s="1">
        <v>648983</v>
      </c>
    </row>
    <row r="73" spans="1:7" x14ac:dyDescent="0.35">
      <c r="A73" s="1" t="str">
        <f t="shared" si="1"/>
        <v>14</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337</v>
      </c>
      <c r="D73" s="1" t="s">
        <v>338</v>
      </c>
      <c r="E73" s="1" t="s">
        <v>339</v>
      </c>
      <c r="F73" s="1" t="s">
        <v>112</v>
      </c>
      <c r="G73" s="1">
        <v>577713</v>
      </c>
    </row>
    <row r="74" spans="1:7" x14ac:dyDescent="0.35">
      <c r="A74" s="1" t="str">
        <f t="shared" si="1"/>
        <v>14</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4" s="1" t="s">
        <v>340</v>
      </c>
      <c r="D74" s="1" t="s">
        <v>341</v>
      </c>
      <c r="E74" s="1" t="s">
        <v>342</v>
      </c>
      <c r="F74" s="1" t="s">
        <v>112</v>
      </c>
      <c r="G74" s="1">
        <v>300158</v>
      </c>
    </row>
    <row r="75" spans="1:7" x14ac:dyDescent="0.35">
      <c r="A75" s="1" t="str">
        <f t="shared" si="1"/>
        <v>14</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343</v>
      </c>
      <c r="D75" s="1" t="s">
        <v>344</v>
      </c>
      <c r="E75" s="1" t="s">
        <v>345</v>
      </c>
      <c r="F75" s="1" t="s">
        <v>112</v>
      </c>
      <c r="G75" s="1">
        <v>1113788</v>
      </c>
    </row>
    <row r="76" spans="1:7" x14ac:dyDescent="0.35">
      <c r="A76" s="1" t="str">
        <f t="shared" si="1"/>
        <v>14</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346</v>
      </c>
      <c r="D76" s="1" t="s">
        <v>347</v>
      </c>
      <c r="E76" s="1" t="s">
        <v>348</v>
      </c>
      <c r="F76" s="1" t="s">
        <v>112</v>
      </c>
      <c r="G76" s="1">
        <v>831907</v>
      </c>
    </row>
    <row r="77" spans="1:7" x14ac:dyDescent="0.35">
      <c r="A77" s="1" t="str">
        <f t="shared" si="1"/>
        <v>14</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7" s="1" t="s">
        <v>349</v>
      </c>
      <c r="D77" s="1" t="s">
        <v>350</v>
      </c>
      <c r="E77" s="1" t="s">
        <v>351</v>
      </c>
      <c r="F77" s="1" t="s">
        <v>112</v>
      </c>
      <c r="G77" s="1">
        <v>1030708</v>
      </c>
    </row>
    <row r="78" spans="1:7" x14ac:dyDescent="0.35">
      <c r="A78" s="1" t="str">
        <f t="shared" si="1"/>
        <v>14</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352</v>
      </c>
      <c r="D78" s="1" t="s">
        <v>353</v>
      </c>
      <c r="E78" s="1" t="s">
        <v>354</v>
      </c>
      <c r="F78" s="1" t="s">
        <v>112</v>
      </c>
      <c r="G78" s="1">
        <v>1119715</v>
      </c>
    </row>
    <row r="79" spans="1:7" x14ac:dyDescent="0.35">
      <c r="A79" s="1" t="str">
        <f t="shared" si="1"/>
        <v>14</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355</v>
      </c>
      <c r="D79" s="1" t="s">
        <v>356</v>
      </c>
      <c r="E79" s="1" t="s">
        <v>357</v>
      </c>
      <c r="F79" s="1" t="s">
        <v>112</v>
      </c>
      <c r="G79" s="1">
        <v>1231282</v>
      </c>
    </row>
    <row r="80" spans="1:7" x14ac:dyDescent="0.35">
      <c r="A80" s="1" t="str">
        <f t="shared" si="1"/>
        <v>14</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0" s="1" t="s">
        <v>358</v>
      </c>
    </row>
    <row r="81" spans="1:8" x14ac:dyDescent="0.35">
      <c r="A81" s="1" t="str">
        <f t="shared" si="1"/>
        <v>14</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359</v>
      </c>
      <c r="D81" s="1" t="s">
        <v>360</v>
      </c>
      <c r="E81" s="1" t="s">
        <v>361</v>
      </c>
      <c r="F81" s="1" t="s">
        <v>112</v>
      </c>
      <c r="G81" s="1">
        <v>2051228</v>
      </c>
    </row>
    <row r="82" spans="1:8" x14ac:dyDescent="0.35">
      <c r="A82" s="1" t="str">
        <f t="shared" si="1"/>
        <v>14</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362</v>
      </c>
      <c r="D82" s="1" t="s">
        <v>363</v>
      </c>
      <c r="E82" s="1" t="s">
        <v>364</v>
      </c>
      <c r="F82" s="1" t="s">
        <v>112</v>
      </c>
      <c r="G82" s="1">
        <v>1995315</v>
      </c>
    </row>
    <row r="83" spans="1:8" x14ac:dyDescent="0.35">
      <c r="A83" s="1" t="str">
        <f t="shared" si="1"/>
        <v>14</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3" s="1" t="s">
        <v>365</v>
      </c>
      <c r="D83" s="1" t="s">
        <v>366</v>
      </c>
      <c r="E83" s="1" t="s">
        <v>367</v>
      </c>
      <c r="F83" s="1" t="s">
        <v>112</v>
      </c>
      <c r="G83" s="1">
        <v>1821778</v>
      </c>
    </row>
    <row r="84" spans="1:8" x14ac:dyDescent="0.35">
      <c r="A84" s="1" t="str">
        <f t="shared" si="1"/>
        <v>14</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368</v>
      </c>
    </row>
    <row r="85" spans="1:8" x14ac:dyDescent="0.3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369</v>
      </c>
    </row>
    <row r="86" spans="1:8" x14ac:dyDescent="0.3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6" s="1" t="s">
        <v>370</v>
      </c>
    </row>
    <row r="87" spans="1:8" x14ac:dyDescent="0.3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371</v>
      </c>
      <c r="D87" s="1" t="s">
        <v>372</v>
      </c>
      <c r="E87" s="1" t="s">
        <v>373</v>
      </c>
      <c r="F87" s="1" t="s">
        <v>112</v>
      </c>
      <c r="G87" s="1">
        <v>1464582</v>
      </c>
    </row>
    <row r="88" spans="1:8" x14ac:dyDescent="0.3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374</v>
      </c>
      <c r="D88" s="1" t="s">
        <v>375</v>
      </c>
      <c r="E88" s="1" t="s">
        <v>376</v>
      </c>
      <c r="F88" s="1" t="s">
        <v>112</v>
      </c>
      <c r="G88" s="1">
        <v>1677982</v>
      </c>
    </row>
    <row r="89" spans="1:8" x14ac:dyDescent="0.3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9" s="1" t="s">
        <v>377</v>
      </c>
      <c r="D89" s="1" t="s">
        <v>378</v>
      </c>
      <c r="E89" s="1" t="s">
        <v>379</v>
      </c>
      <c r="F89" s="1" t="s">
        <v>112</v>
      </c>
      <c r="G89" s="1">
        <v>1548679</v>
      </c>
    </row>
    <row r="90" spans="1:8" x14ac:dyDescent="0.3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380</v>
      </c>
      <c r="D90" s="1" t="s">
        <v>381</v>
      </c>
      <c r="E90" s="1" t="s">
        <v>382</v>
      </c>
      <c r="F90" s="1" t="s">
        <v>112</v>
      </c>
      <c r="G90" s="1">
        <v>677297</v>
      </c>
    </row>
    <row r="91" spans="1:8" x14ac:dyDescent="0.3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383</v>
      </c>
      <c r="D91" s="1" t="s">
        <v>384</v>
      </c>
      <c r="E91" s="1" t="s">
        <v>385</v>
      </c>
      <c r="F91" s="1" t="s">
        <v>112</v>
      </c>
      <c r="G91" s="1">
        <v>491323</v>
      </c>
    </row>
    <row r="92" spans="1:8" x14ac:dyDescent="0.35">
      <c r="A92" s="1" t="str">
        <f t="shared" si="1"/>
        <v>14</v>
      </c>
      <c r="B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2" s="1" t="s">
        <v>386</v>
      </c>
      <c r="D92" s="1" t="s">
        <v>387</v>
      </c>
      <c r="E92" s="1" t="s">
        <v>388</v>
      </c>
      <c r="F92" s="1" t="s">
        <v>112</v>
      </c>
      <c r="G92" s="1">
        <v>407226</v>
      </c>
    </row>
    <row r="93" spans="1:8"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112</v>
      </c>
    </row>
    <row r="94" spans="1:8"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4" s="1" t="s">
        <v>242</v>
      </c>
      <c r="D94" s="1" t="s">
        <v>112</v>
      </c>
      <c r="E94" s="1" t="s">
        <v>243</v>
      </c>
      <c r="F94" s="1" t="s">
        <v>244</v>
      </c>
      <c r="G94" s="1" t="s">
        <v>245</v>
      </c>
      <c r="H94" s="1" t="s">
        <v>246</v>
      </c>
    </row>
    <row r="95" spans="1:8" x14ac:dyDescent="0.35">
      <c r="A95" s="1" t="str">
        <f t="shared" si="1"/>
        <v>14</v>
      </c>
      <c r="B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5" s="1" t="s">
        <v>389</v>
      </c>
      <c r="D95" s="1" t="s">
        <v>112</v>
      </c>
      <c r="E95" s="1" t="s">
        <v>390</v>
      </c>
      <c r="F95" s="1" t="s">
        <v>391</v>
      </c>
      <c r="G95" s="1" t="s">
        <v>392</v>
      </c>
      <c r="H95" s="1" t="s">
        <v>393</v>
      </c>
    </row>
    <row r="96" spans="1:8"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112</v>
      </c>
    </row>
    <row r="101" spans="1:7"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1" s="1" t="s">
        <v>172</v>
      </c>
      <c r="D101" s="1" t="s">
        <v>110</v>
      </c>
      <c r="E101" s="1" t="s">
        <v>111</v>
      </c>
      <c r="F101" s="1" t="s">
        <v>112</v>
      </c>
      <c r="G101" s="1" t="s">
        <v>113</v>
      </c>
    </row>
    <row r="102" spans="1:7" x14ac:dyDescent="0.35">
      <c r="A102" s="1" t="str">
        <f t="shared" si="1"/>
        <v>15</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394</v>
      </c>
    </row>
    <row r="103" spans="1:7" x14ac:dyDescent="0.35">
      <c r="A103" s="1" t="str">
        <f t="shared" si="1"/>
        <v>15</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395</v>
      </c>
    </row>
    <row r="104" spans="1:7" x14ac:dyDescent="0.35">
      <c r="A104" s="1" t="str">
        <f t="shared" si="1"/>
        <v>15</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4" s="1" t="s">
        <v>396</v>
      </c>
    </row>
    <row r="105" spans="1:7" x14ac:dyDescent="0.35">
      <c r="A105" s="1" t="str">
        <f t="shared" si="1"/>
        <v>15</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397</v>
      </c>
      <c r="D105" s="1" t="s">
        <v>398</v>
      </c>
      <c r="E105" s="1" t="s">
        <v>399</v>
      </c>
      <c r="F105" s="1" t="s">
        <v>112</v>
      </c>
      <c r="G105" s="1">
        <v>3184548</v>
      </c>
    </row>
    <row r="106" spans="1:7" x14ac:dyDescent="0.35">
      <c r="A106" s="1" t="str">
        <f t="shared" si="1"/>
        <v>15</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400</v>
      </c>
    </row>
    <row r="107" spans="1:7" x14ac:dyDescent="0.35">
      <c r="A107" s="1" t="str">
        <f t="shared" si="1"/>
        <v>15</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7" s="1" t="s">
        <v>401</v>
      </c>
    </row>
    <row r="108" spans="1:7" x14ac:dyDescent="0.35">
      <c r="A108" s="1" t="str">
        <f t="shared" si="1"/>
        <v>15</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402</v>
      </c>
      <c r="D108" s="1" t="s">
        <v>403</v>
      </c>
      <c r="E108" s="1" t="s">
        <v>404</v>
      </c>
      <c r="F108" s="1" t="s">
        <v>112</v>
      </c>
      <c r="G108" s="1">
        <v>1078942</v>
      </c>
    </row>
    <row r="109" spans="1:7" x14ac:dyDescent="0.35">
      <c r="A109" s="1" t="str">
        <f t="shared" si="1"/>
        <v>15</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405</v>
      </c>
      <c r="D109" s="1" t="s">
        <v>406</v>
      </c>
      <c r="E109" s="1" t="s">
        <v>407</v>
      </c>
      <c r="F109" s="1" t="s">
        <v>112</v>
      </c>
      <c r="G109" s="1">
        <v>941009</v>
      </c>
    </row>
    <row r="110" spans="1:7" x14ac:dyDescent="0.35">
      <c r="A110" s="1" t="str">
        <f t="shared" si="1"/>
        <v>15</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0" s="1" t="s">
        <v>408</v>
      </c>
      <c r="D110" s="1" t="s">
        <v>409</v>
      </c>
      <c r="E110" s="1" t="s">
        <v>410</v>
      </c>
      <c r="F110" s="1" t="s">
        <v>112</v>
      </c>
      <c r="G110" s="1">
        <v>779260</v>
      </c>
    </row>
    <row r="111" spans="1:7" x14ac:dyDescent="0.35">
      <c r="A111" s="1" t="str">
        <f t="shared" si="1"/>
        <v>15</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411</v>
      </c>
      <c r="D111" s="1" t="s">
        <v>412</v>
      </c>
      <c r="E111" s="1" t="s">
        <v>413</v>
      </c>
      <c r="F111" s="1" t="s">
        <v>112</v>
      </c>
      <c r="G111" s="1">
        <v>4241103</v>
      </c>
    </row>
    <row r="112" spans="1:7" x14ac:dyDescent="0.35">
      <c r="A112" s="1" t="str">
        <f t="shared" si="1"/>
        <v>15</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414</v>
      </c>
      <c r="D112" s="1" t="s">
        <v>415</v>
      </c>
      <c r="E112" s="1" t="s">
        <v>416</v>
      </c>
      <c r="F112" s="1" t="s">
        <v>112</v>
      </c>
      <c r="G112" s="1">
        <v>4434604</v>
      </c>
    </row>
    <row r="113" spans="1:8" x14ac:dyDescent="0.35">
      <c r="A113" s="1" t="str">
        <f t="shared" si="1"/>
        <v>15</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3" s="1" t="s">
        <v>417</v>
      </c>
      <c r="D113" s="1" t="s">
        <v>418</v>
      </c>
      <c r="E113" s="1" t="s">
        <v>419</v>
      </c>
      <c r="F113" s="1" t="s">
        <v>112</v>
      </c>
      <c r="G113" s="1">
        <v>3977997</v>
      </c>
    </row>
    <row r="114" spans="1:8" x14ac:dyDescent="0.35">
      <c r="A114" s="1" t="str">
        <f t="shared" si="1"/>
        <v>15</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420</v>
      </c>
      <c r="D114" s="1" t="s">
        <v>421</v>
      </c>
      <c r="E114" s="1" t="s">
        <v>422</v>
      </c>
      <c r="F114" s="1" t="s">
        <v>112</v>
      </c>
      <c r="G114" s="1">
        <v>2606792</v>
      </c>
    </row>
    <row r="115" spans="1:8" x14ac:dyDescent="0.35">
      <c r="A115" s="1" t="str">
        <f t="shared" si="1"/>
        <v>15</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423</v>
      </c>
      <c r="D115" s="1" t="s">
        <v>424</v>
      </c>
      <c r="E115" s="1" t="s">
        <v>425</v>
      </c>
      <c r="F115" s="1" t="s">
        <v>112</v>
      </c>
      <c r="G115" s="1">
        <v>2963101</v>
      </c>
    </row>
    <row r="116" spans="1:8" x14ac:dyDescent="0.35">
      <c r="A116" s="1" t="str">
        <f t="shared" si="1"/>
        <v>15</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6" s="1" t="s">
        <v>426</v>
      </c>
      <c r="D116" s="1" t="s">
        <v>427</v>
      </c>
      <c r="E116" s="1" t="s">
        <v>428</v>
      </c>
      <c r="F116" s="1" t="s">
        <v>112</v>
      </c>
      <c r="G116" s="1">
        <v>2923799</v>
      </c>
    </row>
    <row r="117" spans="1:8" x14ac:dyDescent="0.35">
      <c r="A117" s="1" t="str">
        <f t="shared" si="1"/>
        <v>15</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429</v>
      </c>
      <c r="D117" s="1" t="s">
        <v>430</v>
      </c>
      <c r="E117" s="1" t="s">
        <v>431</v>
      </c>
      <c r="F117" s="1" t="s">
        <v>112</v>
      </c>
      <c r="G117" s="1">
        <v>4428159</v>
      </c>
    </row>
    <row r="118" spans="1:8" x14ac:dyDescent="0.35">
      <c r="A118" s="1" t="str">
        <f t="shared" si="1"/>
        <v>15</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432</v>
      </c>
      <c r="D118" s="1" t="s">
        <v>433</v>
      </c>
      <c r="E118" s="1" t="s">
        <v>434</v>
      </c>
      <c r="F118" s="1" t="s">
        <v>112</v>
      </c>
      <c r="G118" s="1">
        <v>4596266</v>
      </c>
    </row>
    <row r="119" spans="1:8" x14ac:dyDescent="0.35">
      <c r="A119" s="1" t="str">
        <f t="shared" si="1"/>
        <v>15</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9" s="1" t="s">
        <v>435</v>
      </c>
      <c r="D119" s="1" t="s">
        <v>436</v>
      </c>
      <c r="E119" s="1" t="s">
        <v>437</v>
      </c>
      <c r="F119" s="1" t="s">
        <v>112</v>
      </c>
      <c r="G119" s="1">
        <v>3940945</v>
      </c>
    </row>
    <row r="120" spans="1:8" x14ac:dyDescent="0.35">
      <c r="A120" s="1" t="str">
        <f t="shared" si="1"/>
        <v>15</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438</v>
      </c>
      <c r="D120" s="1" t="s">
        <v>439</v>
      </c>
      <c r="E120" s="1" t="s">
        <v>440</v>
      </c>
      <c r="F120" s="1" t="s">
        <v>112</v>
      </c>
      <c r="G120" s="1">
        <v>3162420</v>
      </c>
    </row>
    <row r="121" spans="1:8" x14ac:dyDescent="0.35">
      <c r="A121" s="1" t="str">
        <f t="shared" si="1"/>
        <v>15</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441</v>
      </c>
      <c r="D121" s="1" t="s">
        <v>442</v>
      </c>
      <c r="E121" s="1" t="s">
        <v>443</v>
      </c>
      <c r="F121" s="1" t="s">
        <v>112</v>
      </c>
      <c r="G121" s="1">
        <v>2768453</v>
      </c>
    </row>
    <row r="122" spans="1:8" x14ac:dyDescent="0.35">
      <c r="A122" s="1" t="str">
        <f t="shared" si="1"/>
        <v>15</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2" s="1" t="s">
        <v>444</v>
      </c>
      <c r="D122" s="1" t="s">
        <v>445</v>
      </c>
      <c r="E122" s="1" t="s">
        <v>446</v>
      </c>
      <c r="F122" s="1" t="s">
        <v>112</v>
      </c>
      <c r="G122" s="1">
        <v>3385014</v>
      </c>
    </row>
    <row r="123" spans="1:8" x14ac:dyDescent="0.35">
      <c r="A123" s="1" t="str">
        <f t="shared" si="1"/>
        <v>15</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447</v>
      </c>
      <c r="D123" s="1" t="s">
        <v>448</v>
      </c>
      <c r="E123" s="1" t="s">
        <v>449</v>
      </c>
      <c r="F123" s="1" t="s">
        <v>112</v>
      </c>
      <c r="G123" s="1">
        <v>2828563</v>
      </c>
    </row>
    <row r="124" spans="1:8" x14ac:dyDescent="0.35">
      <c r="A124" s="1" t="str">
        <f t="shared" si="1"/>
        <v>15</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450</v>
      </c>
      <c r="D124" s="1" t="s">
        <v>451</v>
      </c>
      <c r="E124" s="1" t="s">
        <v>452</v>
      </c>
      <c r="F124" s="1" t="s">
        <v>112</v>
      </c>
      <c r="G124" s="1">
        <v>2939157</v>
      </c>
    </row>
    <row r="125" spans="1:8" x14ac:dyDescent="0.35">
      <c r="A125" s="1" t="str">
        <f t="shared" si="1"/>
        <v>15</v>
      </c>
      <c r="B1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5" s="1" t="s">
        <v>453</v>
      </c>
      <c r="D125" s="1" t="s">
        <v>454</v>
      </c>
      <c r="E125" s="1" t="s">
        <v>455</v>
      </c>
      <c r="F125" s="1" t="s">
        <v>112</v>
      </c>
      <c r="G125" s="1">
        <v>2578759</v>
      </c>
    </row>
    <row r="126" spans="1:8"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112</v>
      </c>
    </row>
    <row r="127" spans="1:8"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7" s="1" t="s">
        <v>242</v>
      </c>
      <c r="D127" s="1" t="s">
        <v>112</v>
      </c>
      <c r="E127" s="1" t="s">
        <v>243</v>
      </c>
      <c r="F127" s="1" t="s">
        <v>244</v>
      </c>
      <c r="G127" s="1" t="s">
        <v>245</v>
      </c>
      <c r="H127" s="1" t="s">
        <v>246</v>
      </c>
    </row>
    <row r="128" spans="1:8" x14ac:dyDescent="0.35">
      <c r="A128" s="1" t="str">
        <f t="shared" si="1"/>
        <v>15</v>
      </c>
      <c r="B1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8" s="1" t="s">
        <v>456</v>
      </c>
      <c r="D128" s="1" t="s">
        <v>112</v>
      </c>
      <c r="E128" s="1" t="s">
        <v>457</v>
      </c>
      <c r="F128" s="1" t="s">
        <v>458</v>
      </c>
      <c r="G128" s="1" t="s">
        <v>459</v>
      </c>
      <c r="H128" s="1" t="s">
        <v>460</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112</v>
      </c>
    </row>
    <row r="134" spans="1:7"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4" s="1" t="s">
        <v>172</v>
      </c>
      <c r="D134" s="1" t="s">
        <v>110</v>
      </c>
      <c r="E134" s="1" t="s">
        <v>111</v>
      </c>
      <c r="F134" s="1" t="s">
        <v>112</v>
      </c>
      <c r="G134" s="1" t="s">
        <v>113</v>
      </c>
    </row>
    <row r="135" spans="1:7" x14ac:dyDescent="0.35">
      <c r="A135" s="1" t="str">
        <f t="shared" si="2"/>
        <v>16</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461</v>
      </c>
    </row>
    <row r="136" spans="1:7" x14ac:dyDescent="0.35">
      <c r="A136" s="1" t="str">
        <f t="shared" si="2"/>
        <v>16</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462</v>
      </c>
    </row>
    <row r="137" spans="1:7" x14ac:dyDescent="0.35">
      <c r="A137" s="1" t="str">
        <f t="shared" si="2"/>
        <v>16</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7" s="1" t="s">
        <v>463</v>
      </c>
    </row>
    <row r="138" spans="1:7" x14ac:dyDescent="0.35">
      <c r="A138" s="1" t="str">
        <f t="shared" si="2"/>
        <v>16</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464</v>
      </c>
      <c r="D138" s="1" t="s">
        <v>465</v>
      </c>
      <c r="E138" s="1" t="s">
        <v>466</v>
      </c>
      <c r="F138" s="1" t="s">
        <v>112</v>
      </c>
      <c r="G138" s="1">
        <v>17931</v>
      </c>
    </row>
    <row r="139" spans="1:7" x14ac:dyDescent="0.35">
      <c r="A139" s="1" t="str">
        <f t="shared" si="2"/>
        <v>16</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467</v>
      </c>
      <c r="D139" s="1">
        <v>0</v>
      </c>
      <c r="E139" s="1">
        <v>0</v>
      </c>
      <c r="F139" s="1" t="s">
        <v>112</v>
      </c>
      <c r="G139" s="1">
        <v>0</v>
      </c>
    </row>
    <row r="140" spans="1:7" x14ac:dyDescent="0.35">
      <c r="A140" s="1" t="str">
        <f t="shared" si="2"/>
        <v>16</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0" s="1" t="s">
        <v>468</v>
      </c>
      <c r="D140" s="1" t="s">
        <v>469</v>
      </c>
      <c r="E140" s="1" t="s">
        <v>470</v>
      </c>
      <c r="F140" s="1" t="s">
        <v>112</v>
      </c>
      <c r="G140" s="1">
        <v>158936</v>
      </c>
    </row>
    <row r="141" spans="1:7" x14ac:dyDescent="0.35">
      <c r="A141" s="1" t="str">
        <f t="shared" si="2"/>
        <v>16</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471</v>
      </c>
      <c r="D141" s="1" t="s">
        <v>472</v>
      </c>
      <c r="E141" s="1" t="s">
        <v>473</v>
      </c>
      <c r="F141" s="1" t="s">
        <v>112</v>
      </c>
      <c r="G141" s="1">
        <v>160602</v>
      </c>
    </row>
    <row r="142" spans="1:7" x14ac:dyDescent="0.35">
      <c r="A142" s="1" t="str">
        <f t="shared" si="2"/>
        <v>16</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474</v>
      </c>
      <c r="D142" s="1" t="s">
        <v>475</v>
      </c>
      <c r="E142" s="1" t="s">
        <v>476</v>
      </c>
      <c r="F142" s="1" t="s">
        <v>112</v>
      </c>
      <c r="G142" s="1">
        <v>66382</v>
      </c>
    </row>
    <row r="143" spans="1:7" x14ac:dyDescent="0.35">
      <c r="A143" s="1" t="str">
        <f t="shared" si="2"/>
        <v>16</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3" s="1" t="s">
        <v>477</v>
      </c>
      <c r="D143" s="1" t="s">
        <v>478</v>
      </c>
      <c r="E143" s="1" t="s">
        <v>479</v>
      </c>
      <c r="F143" s="1" t="s">
        <v>112</v>
      </c>
      <c r="G143" s="1">
        <v>201309</v>
      </c>
    </row>
    <row r="144" spans="1:7" x14ac:dyDescent="0.35">
      <c r="A144" s="1" t="str">
        <f t="shared" si="2"/>
        <v>16</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480</v>
      </c>
      <c r="D144" s="1" t="s">
        <v>481</v>
      </c>
      <c r="E144" s="1" t="s">
        <v>482</v>
      </c>
      <c r="F144" s="1" t="s">
        <v>112</v>
      </c>
      <c r="G144" s="1">
        <v>303857</v>
      </c>
    </row>
    <row r="145" spans="1:8" x14ac:dyDescent="0.35">
      <c r="A145" s="1" t="str">
        <f t="shared" si="2"/>
        <v>16</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483</v>
      </c>
      <c r="D145" s="1" t="s">
        <v>177</v>
      </c>
      <c r="E145" s="1" t="s">
        <v>484</v>
      </c>
      <c r="F145" s="1" t="s">
        <v>112</v>
      </c>
      <c r="G145" s="1">
        <v>384926</v>
      </c>
    </row>
    <row r="146" spans="1:8" x14ac:dyDescent="0.35">
      <c r="A146" s="1" t="str">
        <f t="shared" si="2"/>
        <v>16</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6" s="1" t="s">
        <v>485</v>
      </c>
      <c r="D146" s="1" t="s">
        <v>486</v>
      </c>
      <c r="E146" s="1" t="s">
        <v>487</v>
      </c>
      <c r="F146" s="1" t="s">
        <v>112</v>
      </c>
      <c r="G146" s="1">
        <v>269444</v>
      </c>
    </row>
    <row r="147" spans="1:8" x14ac:dyDescent="0.35">
      <c r="A147" s="1" t="str">
        <f t="shared" si="2"/>
        <v>16</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488</v>
      </c>
      <c r="D147" s="1" t="s">
        <v>489</v>
      </c>
      <c r="E147" s="1" t="s">
        <v>490</v>
      </c>
      <c r="F147" s="1" t="s">
        <v>112</v>
      </c>
      <c r="G147" s="1">
        <v>145850</v>
      </c>
    </row>
    <row r="148" spans="1:8" x14ac:dyDescent="0.35">
      <c r="A148" s="1" t="str">
        <f t="shared" si="2"/>
        <v>16</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491</v>
      </c>
      <c r="D148" s="1" t="s">
        <v>492</v>
      </c>
      <c r="E148" s="1">
        <v>33</v>
      </c>
      <c r="F148" s="1" t="s">
        <v>112</v>
      </c>
      <c r="G148" s="1">
        <v>36403</v>
      </c>
    </row>
    <row r="149" spans="1:8" x14ac:dyDescent="0.35">
      <c r="A149" s="1" t="str">
        <f t="shared" si="2"/>
        <v>16</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9" s="1" t="s">
        <v>493</v>
      </c>
      <c r="D149" s="1" t="s">
        <v>494</v>
      </c>
      <c r="E149" s="1" t="s">
        <v>495</v>
      </c>
      <c r="F149" s="1" t="s">
        <v>112</v>
      </c>
      <c r="G149" s="1">
        <v>38415</v>
      </c>
    </row>
    <row r="150" spans="1:8" x14ac:dyDescent="0.35">
      <c r="A150" s="1" t="str">
        <f t="shared" si="2"/>
        <v>16</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496</v>
      </c>
      <c r="D150" s="1" t="s">
        <v>497</v>
      </c>
      <c r="E150" s="1" t="s">
        <v>498</v>
      </c>
      <c r="F150" s="1" t="s">
        <v>112</v>
      </c>
      <c r="G150" s="1">
        <v>475685</v>
      </c>
    </row>
    <row r="151" spans="1:8" x14ac:dyDescent="0.35">
      <c r="A151" s="1" t="str">
        <f t="shared" si="2"/>
        <v>16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499</v>
      </c>
      <c r="D151" s="1" t="s">
        <v>500</v>
      </c>
      <c r="E151" s="1" t="s">
        <v>501</v>
      </c>
      <c r="F151" s="1" t="s">
        <v>112</v>
      </c>
      <c r="G151" s="1">
        <v>489182</v>
      </c>
    </row>
    <row r="152" spans="1:8" x14ac:dyDescent="0.35">
      <c r="A152" s="1" t="str">
        <f t="shared" si="2"/>
        <v>16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2" s="1" t="s">
        <v>502</v>
      </c>
      <c r="D152" s="1" t="s">
        <v>503</v>
      </c>
      <c r="E152" s="1" t="s">
        <v>504</v>
      </c>
      <c r="F152" s="1" t="s">
        <v>112</v>
      </c>
      <c r="G152" s="1">
        <v>275370</v>
      </c>
    </row>
    <row r="153" spans="1:8" x14ac:dyDescent="0.35">
      <c r="A153" s="1" t="str">
        <f t="shared" si="2"/>
        <v>16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505</v>
      </c>
      <c r="D153" s="1" t="s">
        <v>506</v>
      </c>
      <c r="E153" s="1" t="s">
        <v>507</v>
      </c>
      <c r="F153" s="1" t="s">
        <v>112</v>
      </c>
      <c r="G153" s="1">
        <v>179982</v>
      </c>
    </row>
    <row r="154" spans="1:8" x14ac:dyDescent="0.35">
      <c r="A154" s="1" t="str">
        <f t="shared" si="2"/>
        <v>16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508</v>
      </c>
      <c r="D154" s="1" t="s">
        <v>509</v>
      </c>
      <c r="E154" s="1" t="s">
        <v>510</v>
      </c>
      <c r="F154" s="1" t="s">
        <v>112</v>
      </c>
      <c r="G154" s="1">
        <v>176002</v>
      </c>
    </row>
    <row r="155" spans="1:8" x14ac:dyDescent="0.35">
      <c r="A155" s="1" t="str">
        <f t="shared" si="2"/>
        <v>16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5" s="1" t="s">
        <v>511</v>
      </c>
      <c r="D155" s="1" t="s">
        <v>512</v>
      </c>
      <c r="E155" s="1" t="s">
        <v>513</v>
      </c>
      <c r="F155" s="1" t="s">
        <v>112</v>
      </c>
      <c r="G155" s="1">
        <v>43065</v>
      </c>
    </row>
    <row r="156" spans="1:8" x14ac:dyDescent="0.35">
      <c r="A156" s="1" t="str">
        <f t="shared" si="2"/>
        <v>16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514</v>
      </c>
      <c r="D156" s="1" t="s">
        <v>515</v>
      </c>
      <c r="E156" s="1" t="s">
        <v>516</v>
      </c>
      <c r="F156" s="1" t="s">
        <v>112</v>
      </c>
      <c r="G156" s="1">
        <v>85049</v>
      </c>
    </row>
    <row r="157" spans="1:8" x14ac:dyDescent="0.35">
      <c r="A157" s="1" t="str">
        <f t="shared" si="2"/>
        <v>16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517</v>
      </c>
      <c r="D157" s="1">
        <v>0</v>
      </c>
      <c r="E157" s="1">
        <v>0</v>
      </c>
      <c r="F157" s="1" t="s">
        <v>112</v>
      </c>
      <c r="G157" s="1">
        <v>0</v>
      </c>
    </row>
    <row r="158" spans="1:8" x14ac:dyDescent="0.35">
      <c r="A158" s="1" t="str">
        <f t="shared" si="2"/>
        <v>16</v>
      </c>
      <c r="B1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8" s="1" t="s">
        <v>518</v>
      </c>
      <c r="D158" s="1" t="s">
        <v>519</v>
      </c>
      <c r="E158" s="1" t="s">
        <v>520</v>
      </c>
      <c r="F158" s="1" t="s">
        <v>112</v>
      </c>
      <c r="G158" s="1">
        <v>137955</v>
      </c>
    </row>
    <row r="159" spans="1:8"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112</v>
      </c>
    </row>
    <row r="160" spans="1:8"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0" s="1" t="s">
        <v>242</v>
      </c>
      <c r="D160" s="1" t="s">
        <v>112</v>
      </c>
      <c r="E160" s="1" t="s">
        <v>243</v>
      </c>
      <c r="F160" s="1" t="s">
        <v>244</v>
      </c>
      <c r="G160" s="1" t="s">
        <v>245</v>
      </c>
      <c r="H160" s="1" t="s">
        <v>246</v>
      </c>
    </row>
    <row r="161" spans="1:8" x14ac:dyDescent="0.35">
      <c r="A161" s="1" t="str">
        <f t="shared" si="2"/>
        <v>16</v>
      </c>
      <c r="B1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1" s="1" t="s">
        <v>521</v>
      </c>
      <c r="D161" s="1" t="s">
        <v>112</v>
      </c>
      <c r="E161" s="1" t="s">
        <v>522</v>
      </c>
      <c r="F161" s="1" t="s">
        <v>523</v>
      </c>
      <c r="G161" s="1" t="s">
        <v>524</v>
      </c>
      <c r="H161" s="1" t="s">
        <v>525</v>
      </c>
    </row>
    <row r="162" spans="1:8"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8"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8"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8"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8"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112</v>
      </c>
    </row>
    <row r="167" spans="1:8"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7" s="1" t="s">
        <v>172</v>
      </c>
      <c r="D167" s="1" t="s">
        <v>110</v>
      </c>
      <c r="E167" s="1" t="s">
        <v>111</v>
      </c>
      <c r="F167" s="1" t="s">
        <v>112</v>
      </c>
      <c r="G167" s="1" t="s">
        <v>113</v>
      </c>
    </row>
    <row r="168" spans="1:8" x14ac:dyDescent="0.35">
      <c r="A168" s="1" t="str">
        <f t="shared" si="2"/>
        <v>2</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526</v>
      </c>
    </row>
    <row r="169" spans="1:8" x14ac:dyDescent="0.35">
      <c r="A169" s="1" t="str">
        <f t="shared" si="2"/>
        <v>2</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527</v>
      </c>
    </row>
    <row r="170" spans="1:8" x14ac:dyDescent="0.35">
      <c r="A170" s="1" t="str">
        <f t="shared" si="2"/>
        <v>2</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70" s="1" t="s">
        <v>528</v>
      </c>
    </row>
    <row r="171" spans="1:8" x14ac:dyDescent="0.35">
      <c r="A171" s="1" t="str">
        <f t="shared" si="2"/>
        <v>2</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529</v>
      </c>
      <c r="D171" s="1" t="s">
        <v>530</v>
      </c>
      <c r="E171" s="1" t="s">
        <v>531</v>
      </c>
      <c r="F171" s="1" t="s">
        <v>112</v>
      </c>
      <c r="G171" s="1">
        <v>3288</v>
      </c>
    </row>
    <row r="172" spans="1:8" x14ac:dyDescent="0.35">
      <c r="A172" s="1" t="str">
        <f t="shared" si="2"/>
        <v>2</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532</v>
      </c>
      <c r="D172" s="1" t="s">
        <v>533</v>
      </c>
      <c r="E172" s="1">
        <v>33</v>
      </c>
      <c r="F172" s="1" t="s">
        <v>112</v>
      </c>
      <c r="G172" s="1">
        <v>75661</v>
      </c>
    </row>
    <row r="173" spans="1:8" x14ac:dyDescent="0.35">
      <c r="A173" s="1" t="str">
        <f t="shared" si="2"/>
        <v>2</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3" s="1" t="s">
        <v>534</v>
      </c>
      <c r="D173" s="1" t="s">
        <v>535</v>
      </c>
      <c r="E173" s="1" t="s">
        <v>536</v>
      </c>
      <c r="F173" s="1" t="s">
        <v>112</v>
      </c>
      <c r="G173" s="1">
        <v>116304</v>
      </c>
    </row>
    <row r="174" spans="1:8" x14ac:dyDescent="0.35">
      <c r="A174" s="1" t="str">
        <f t="shared" si="2"/>
        <v>2</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537</v>
      </c>
    </row>
    <row r="175" spans="1:8" x14ac:dyDescent="0.35">
      <c r="A175" s="1" t="str">
        <f t="shared" si="2"/>
        <v>2</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538</v>
      </c>
      <c r="D175" s="1" t="s">
        <v>539</v>
      </c>
      <c r="E175" s="1" t="s">
        <v>540</v>
      </c>
      <c r="F175" s="1" t="s">
        <v>112</v>
      </c>
      <c r="G175" s="1">
        <v>443608</v>
      </c>
    </row>
    <row r="176" spans="1:8" x14ac:dyDescent="0.35">
      <c r="A176" s="1" t="str">
        <f t="shared" si="2"/>
        <v>2</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6" s="1" t="s">
        <v>541</v>
      </c>
      <c r="D176" s="1" t="s">
        <v>542</v>
      </c>
      <c r="E176" s="1" t="s">
        <v>543</v>
      </c>
      <c r="F176" s="1" t="s">
        <v>112</v>
      </c>
      <c r="G176" s="1">
        <v>116001</v>
      </c>
    </row>
    <row r="177" spans="1:7" x14ac:dyDescent="0.35">
      <c r="A177" s="1" t="str">
        <f t="shared" si="2"/>
        <v>2</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544</v>
      </c>
      <c r="D177" s="1" t="s">
        <v>545</v>
      </c>
      <c r="E177" s="1" t="s">
        <v>546</v>
      </c>
      <c r="F177" s="1" t="s">
        <v>112</v>
      </c>
      <c r="G177" s="1">
        <v>15163</v>
      </c>
    </row>
    <row r="178" spans="1:7" x14ac:dyDescent="0.35">
      <c r="A178" s="1" t="str">
        <f t="shared" si="2"/>
        <v>2</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547</v>
      </c>
      <c r="D178" s="1" t="s">
        <v>548</v>
      </c>
      <c r="E178" s="1" t="s">
        <v>549</v>
      </c>
      <c r="F178" s="1" t="s">
        <v>112</v>
      </c>
      <c r="G178" s="1">
        <v>17931</v>
      </c>
    </row>
    <row r="179" spans="1:7" x14ac:dyDescent="0.35">
      <c r="A179" s="1" t="str">
        <f t="shared" si="2"/>
        <v>2</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9" s="1" t="s">
        <v>550</v>
      </c>
      <c r="D179" s="1" t="s">
        <v>551</v>
      </c>
      <c r="E179" s="1" t="s">
        <v>552</v>
      </c>
      <c r="F179" s="1" t="s">
        <v>112</v>
      </c>
      <c r="G179" s="1">
        <v>6143</v>
      </c>
    </row>
    <row r="180" spans="1:7" x14ac:dyDescent="0.35">
      <c r="A180" s="1" t="str">
        <f t="shared" si="2"/>
        <v>2</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553</v>
      </c>
      <c r="D180" s="1" t="s">
        <v>554</v>
      </c>
      <c r="E180" s="1" t="s">
        <v>555</v>
      </c>
      <c r="F180" s="1" t="s">
        <v>112</v>
      </c>
      <c r="G180" s="1">
        <v>25393</v>
      </c>
    </row>
    <row r="181" spans="1:7" x14ac:dyDescent="0.35">
      <c r="A181" s="1" t="str">
        <f t="shared" si="2"/>
        <v>2</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556</v>
      </c>
      <c r="D181" s="1" t="s">
        <v>533</v>
      </c>
      <c r="E181" s="1" t="s">
        <v>557</v>
      </c>
      <c r="F181" s="1" t="s">
        <v>112</v>
      </c>
      <c r="G181" s="1">
        <v>80550</v>
      </c>
    </row>
    <row r="182" spans="1:7" x14ac:dyDescent="0.35">
      <c r="A182" s="1" t="str">
        <f t="shared" si="2"/>
        <v>2</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2" s="1" t="s">
        <v>558</v>
      </c>
      <c r="D182" s="1" t="s">
        <v>559</v>
      </c>
      <c r="E182" s="1" t="s">
        <v>560</v>
      </c>
      <c r="F182" s="1" t="s">
        <v>112</v>
      </c>
      <c r="G182" s="1">
        <v>55935</v>
      </c>
    </row>
    <row r="183" spans="1:7" x14ac:dyDescent="0.35">
      <c r="A183" s="1" t="str">
        <f t="shared" si="2"/>
        <v>2</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561</v>
      </c>
      <c r="D183" s="1" t="s">
        <v>562</v>
      </c>
      <c r="E183" s="1" t="s">
        <v>563</v>
      </c>
      <c r="F183" s="1" t="s">
        <v>112</v>
      </c>
      <c r="G183" s="1">
        <v>711991</v>
      </c>
    </row>
    <row r="184" spans="1:7" x14ac:dyDescent="0.35">
      <c r="A184" s="1" t="str">
        <f t="shared" si="2"/>
        <v>2</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564</v>
      </c>
      <c r="D184" s="1" t="s">
        <v>565</v>
      </c>
      <c r="E184" s="1" t="s">
        <v>566</v>
      </c>
      <c r="F184" s="1" t="s">
        <v>112</v>
      </c>
      <c r="G184" s="1">
        <v>584418</v>
      </c>
    </row>
    <row r="185" spans="1:7" x14ac:dyDescent="0.35">
      <c r="A185" s="1" t="str">
        <f t="shared" si="2"/>
        <v>2</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5" s="1" t="s">
        <v>567</v>
      </c>
      <c r="D185" s="1" t="s">
        <v>568</v>
      </c>
      <c r="E185" s="1" t="s">
        <v>569</v>
      </c>
      <c r="F185" s="1" t="s">
        <v>112</v>
      </c>
      <c r="G185" s="1">
        <v>378177</v>
      </c>
    </row>
    <row r="186" spans="1:7" x14ac:dyDescent="0.35">
      <c r="A186" s="1" t="str">
        <f t="shared" si="2"/>
        <v>2</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570</v>
      </c>
      <c r="D186" s="1" t="s">
        <v>571</v>
      </c>
      <c r="E186" s="1" t="s">
        <v>572</v>
      </c>
      <c r="F186" s="1" t="s">
        <v>112</v>
      </c>
      <c r="G186" s="1">
        <v>231678</v>
      </c>
    </row>
    <row r="187" spans="1:7" x14ac:dyDescent="0.35">
      <c r="A187" s="1" t="str">
        <f t="shared" si="2"/>
        <v>2</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573</v>
      </c>
      <c r="D187" s="1" t="s">
        <v>530</v>
      </c>
      <c r="E187" s="1">
        <v>31</v>
      </c>
      <c r="F187" s="1" t="s">
        <v>112</v>
      </c>
      <c r="G187" s="1">
        <v>3353</v>
      </c>
    </row>
    <row r="188" spans="1:7" x14ac:dyDescent="0.35">
      <c r="A188" s="1" t="str">
        <f t="shared" si="2"/>
        <v>2</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8" s="1" t="s">
        <v>574</v>
      </c>
      <c r="D188" s="1" t="s">
        <v>575</v>
      </c>
      <c r="E188" s="1" t="s">
        <v>576</v>
      </c>
      <c r="F188" s="1" t="s">
        <v>112</v>
      </c>
      <c r="G188" s="1">
        <v>552319</v>
      </c>
    </row>
    <row r="189" spans="1:7" x14ac:dyDescent="0.35">
      <c r="A189" s="1" t="str">
        <f t="shared" si="2"/>
        <v>2</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577</v>
      </c>
      <c r="D189" s="1" t="s">
        <v>578</v>
      </c>
      <c r="E189" s="1" t="s">
        <v>579</v>
      </c>
      <c r="F189" s="1" t="s">
        <v>112</v>
      </c>
      <c r="G189" s="1">
        <v>65668</v>
      </c>
    </row>
    <row r="190" spans="1:7" x14ac:dyDescent="0.35">
      <c r="A190" s="1" t="str">
        <f t="shared" si="2"/>
        <v>2</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580</v>
      </c>
      <c r="D190" s="1" t="s">
        <v>581</v>
      </c>
      <c r="E190" s="1" t="s">
        <v>582</v>
      </c>
      <c r="F190" s="1" t="s">
        <v>112</v>
      </c>
      <c r="G190" s="1">
        <v>143514</v>
      </c>
    </row>
    <row r="191" spans="1:7" x14ac:dyDescent="0.35">
      <c r="A191" s="1" t="str">
        <f t="shared" si="2"/>
        <v>2</v>
      </c>
      <c r="B1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1" s="1" t="s">
        <v>583</v>
      </c>
      <c r="D191" s="1" t="s">
        <v>584</v>
      </c>
      <c r="E191" s="1" t="s">
        <v>585</v>
      </c>
      <c r="F191" s="1" t="s">
        <v>112</v>
      </c>
      <c r="G191" s="1">
        <v>30563</v>
      </c>
    </row>
    <row r="192" spans="1:7"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112</v>
      </c>
    </row>
    <row r="193" spans="1:8"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3" s="1" t="s">
        <v>242</v>
      </c>
      <c r="D193" s="1" t="s">
        <v>112</v>
      </c>
      <c r="E193" s="1" t="s">
        <v>243</v>
      </c>
      <c r="F193" s="1" t="s">
        <v>244</v>
      </c>
      <c r="G193" s="1" t="s">
        <v>245</v>
      </c>
      <c r="H193" s="1" t="s">
        <v>246</v>
      </c>
    </row>
    <row r="194" spans="1:8" x14ac:dyDescent="0.35">
      <c r="A194" s="1" t="str">
        <f t="shared" ref="A194:A257" si="3">IFERROR(LEFT(RIGHT(C194,LEN(C194)-SEARCH("@",C194)),SEARCH("/",RIGHT(C194,LEN(C194)-SEARCH("@",C194)-1))),"")</f>
        <v>2</v>
      </c>
      <c r="B1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4" s="1" t="s">
        <v>586</v>
      </c>
      <c r="D194" s="1" t="s">
        <v>112</v>
      </c>
      <c r="E194" s="1" t="s">
        <v>587</v>
      </c>
      <c r="F194" s="1" t="s">
        <v>588</v>
      </c>
      <c r="G194" s="1" t="s">
        <v>589</v>
      </c>
      <c r="H194" s="1" t="s">
        <v>590</v>
      </c>
    </row>
    <row r="195" spans="1:8"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8"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8"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8"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8"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112</v>
      </c>
    </row>
    <row r="200" spans="1:8"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0" s="1" t="s">
        <v>172</v>
      </c>
      <c r="D200" s="1" t="s">
        <v>110</v>
      </c>
      <c r="E200" s="1" t="s">
        <v>111</v>
      </c>
      <c r="F200" s="1" t="s">
        <v>112</v>
      </c>
      <c r="G200" s="1" t="s">
        <v>113</v>
      </c>
    </row>
    <row r="201" spans="1:8" x14ac:dyDescent="0.35">
      <c r="A201" s="1" t="str">
        <f t="shared" si="3"/>
        <v>3</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591</v>
      </c>
      <c r="D201" s="1" t="s">
        <v>592</v>
      </c>
      <c r="E201" s="1" t="s">
        <v>593</v>
      </c>
      <c r="F201" s="1" t="s">
        <v>112</v>
      </c>
      <c r="G201" s="1">
        <v>48408</v>
      </c>
    </row>
    <row r="202" spans="1:8" x14ac:dyDescent="0.35">
      <c r="A202" s="1" t="str">
        <f t="shared" si="3"/>
        <v>3</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594</v>
      </c>
      <c r="D202" s="1" t="s">
        <v>578</v>
      </c>
      <c r="E202" s="1" t="s">
        <v>595</v>
      </c>
      <c r="F202" s="1" t="s">
        <v>112</v>
      </c>
      <c r="G202" s="1">
        <v>63787</v>
      </c>
    </row>
    <row r="203" spans="1:8" x14ac:dyDescent="0.35">
      <c r="A203" s="1" t="str">
        <f t="shared" si="3"/>
        <v>3</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3" s="1" t="s">
        <v>596</v>
      </c>
      <c r="D203" s="1" t="s">
        <v>597</v>
      </c>
      <c r="E203" s="1" t="s">
        <v>598</v>
      </c>
      <c r="F203" s="1" t="s">
        <v>112</v>
      </c>
      <c r="G203" s="1">
        <v>10815</v>
      </c>
    </row>
    <row r="204" spans="1:8" x14ac:dyDescent="0.35">
      <c r="A204" s="1" t="str">
        <f t="shared" si="3"/>
        <v>3</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599</v>
      </c>
      <c r="D204" s="1" t="s">
        <v>600</v>
      </c>
      <c r="E204" s="1" t="s">
        <v>601</v>
      </c>
      <c r="F204" s="1" t="s">
        <v>112</v>
      </c>
      <c r="G204" s="1">
        <v>163371</v>
      </c>
    </row>
    <row r="205" spans="1:8" x14ac:dyDescent="0.35">
      <c r="A205" s="1" t="str">
        <f t="shared" si="3"/>
        <v>3</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602</v>
      </c>
      <c r="D205" s="1" t="s">
        <v>205</v>
      </c>
      <c r="E205" s="1" t="s">
        <v>603</v>
      </c>
      <c r="F205" s="1" t="s">
        <v>112</v>
      </c>
      <c r="G205" s="1">
        <v>8847</v>
      </c>
    </row>
    <row r="206" spans="1:8" x14ac:dyDescent="0.35">
      <c r="A206" s="1" t="str">
        <f t="shared" si="3"/>
        <v>3</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6" s="1" t="s">
        <v>604</v>
      </c>
      <c r="D206" s="1" t="s">
        <v>234</v>
      </c>
      <c r="E206" s="1">
        <v>30</v>
      </c>
      <c r="F206" s="1" t="s">
        <v>112</v>
      </c>
      <c r="G206" s="1">
        <v>1298</v>
      </c>
    </row>
    <row r="207" spans="1:8" x14ac:dyDescent="0.35">
      <c r="A207" s="1" t="str">
        <f t="shared" si="3"/>
        <v>3</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605</v>
      </c>
      <c r="D207" s="1" t="s">
        <v>311</v>
      </c>
      <c r="E207" s="1" t="s">
        <v>606</v>
      </c>
      <c r="F207" s="1" t="s">
        <v>112</v>
      </c>
      <c r="G207" s="1">
        <v>67009</v>
      </c>
    </row>
    <row r="208" spans="1:8" x14ac:dyDescent="0.35">
      <c r="A208" s="1" t="str">
        <f t="shared" si="3"/>
        <v>3</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607</v>
      </c>
      <c r="D208" s="1" t="s">
        <v>608</v>
      </c>
      <c r="E208" s="1" t="s">
        <v>609</v>
      </c>
      <c r="F208" s="1" t="s">
        <v>112</v>
      </c>
      <c r="G208" s="1">
        <v>459981</v>
      </c>
    </row>
    <row r="209" spans="1:7" x14ac:dyDescent="0.35">
      <c r="A209" s="1" t="str">
        <f t="shared" si="3"/>
        <v>3</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9" s="1" t="s">
        <v>610</v>
      </c>
      <c r="D209" s="1" t="s">
        <v>611</v>
      </c>
      <c r="E209" s="1" t="s">
        <v>612</v>
      </c>
      <c r="F209" s="1" t="s">
        <v>112</v>
      </c>
      <c r="G209" s="1">
        <v>125064</v>
      </c>
    </row>
    <row r="210" spans="1:7" x14ac:dyDescent="0.35">
      <c r="A210" s="1" t="str">
        <f t="shared" si="3"/>
        <v>3</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613</v>
      </c>
      <c r="D210" s="1" t="s">
        <v>614</v>
      </c>
      <c r="E210" s="1" t="s">
        <v>615</v>
      </c>
      <c r="F210" s="1" t="s">
        <v>112</v>
      </c>
      <c r="G210" s="1">
        <v>222052</v>
      </c>
    </row>
    <row r="211" spans="1:7" x14ac:dyDescent="0.35">
      <c r="A211" s="1" t="str">
        <f t="shared" si="3"/>
        <v>3</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616</v>
      </c>
      <c r="D211" s="1" t="s">
        <v>519</v>
      </c>
      <c r="E211" s="1" t="s">
        <v>617</v>
      </c>
      <c r="F211" s="1" t="s">
        <v>112</v>
      </c>
      <c r="G211" s="1">
        <v>118186</v>
      </c>
    </row>
    <row r="212" spans="1:7" x14ac:dyDescent="0.35">
      <c r="A212" s="1" t="str">
        <f t="shared" si="3"/>
        <v>3</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2" s="1" t="s">
        <v>618</v>
      </c>
      <c r="D212" s="1" t="s">
        <v>619</v>
      </c>
      <c r="E212" s="1" t="s">
        <v>620</v>
      </c>
      <c r="F212" s="1" t="s">
        <v>112</v>
      </c>
      <c r="G212" s="1">
        <v>295486</v>
      </c>
    </row>
    <row r="213" spans="1:7" x14ac:dyDescent="0.35">
      <c r="A213" s="1" t="str">
        <f t="shared" si="3"/>
        <v>3</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621</v>
      </c>
      <c r="D213" s="1" t="s">
        <v>622</v>
      </c>
      <c r="E213" s="1" t="s">
        <v>623</v>
      </c>
      <c r="F213" s="1" t="s">
        <v>112</v>
      </c>
      <c r="G213" s="1">
        <v>65344</v>
      </c>
    </row>
    <row r="214" spans="1:7" x14ac:dyDescent="0.35">
      <c r="A214" s="1" t="str">
        <f t="shared" si="3"/>
        <v>3</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624</v>
      </c>
      <c r="D214" s="1" t="s">
        <v>625</v>
      </c>
      <c r="E214" s="1" t="s">
        <v>626</v>
      </c>
      <c r="F214" s="1" t="s">
        <v>112</v>
      </c>
      <c r="G214" s="1">
        <v>114574</v>
      </c>
    </row>
    <row r="215" spans="1:7" x14ac:dyDescent="0.35">
      <c r="A215" s="1" t="str">
        <f t="shared" si="3"/>
        <v>3</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5" s="1" t="s">
        <v>627</v>
      </c>
      <c r="D215" s="1" t="s">
        <v>628</v>
      </c>
      <c r="E215" s="1" t="s">
        <v>629</v>
      </c>
      <c r="F215" s="1" t="s">
        <v>112</v>
      </c>
      <c r="G215" s="1">
        <v>121106</v>
      </c>
    </row>
    <row r="216" spans="1:7" x14ac:dyDescent="0.35">
      <c r="A216" s="1" t="str">
        <f t="shared" si="3"/>
        <v>3</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630</v>
      </c>
      <c r="D216" s="1" t="s">
        <v>180</v>
      </c>
      <c r="E216" s="1" t="s">
        <v>631</v>
      </c>
      <c r="F216" s="1" t="s">
        <v>112</v>
      </c>
      <c r="G216" s="1">
        <v>258218</v>
      </c>
    </row>
    <row r="217" spans="1:7" x14ac:dyDescent="0.35">
      <c r="A217" s="1" t="str">
        <f t="shared" si="3"/>
        <v>3</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632</v>
      </c>
      <c r="D217" s="1" t="s">
        <v>633</v>
      </c>
      <c r="E217" s="1" t="s">
        <v>634</v>
      </c>
      <c r="F217" s="1" t="s">
        <v>112</v>
      </c>
      <c r="G217" s="1">
        <v>166550</v>
      </c>
    </row>
    <row r="218" spans="1:7" x14ac:dyDescent="0.35">
      <c r="A218" s="1" t="str">
        <f t="shared" si="3"/>
        <v>3</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8" s="1" t="s">
        <v>635</v>
      </c>
      <c r="D218" s="1" t="s">
        <v>636</v>
      </c>
      <c r="E218" s="1" t="s">
        <v>637</v>
      </c>
      <c r="F218" s="1" t="s">
        <v>112</v>
      </c>
      <c r="G218" s="1">
        <v>91624</v>
      </c>
    </row>
    <row r="219" spans="1:7" x14ac:dyDescent="0.35">
      <c r="A219" s="1" t="str">
        <f t="shared" si="3"/>
        <v>3</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638</v>
      </c>
      <c r="D219" s="1" t="s">
        <v>639</v>
      </c>
      <c r="E219" s="1" t="s">
        <v>640</v>
      </c>
      <c r="F219" s="1" t="s">
        <v>112</v>
      </c>
      <c r="G219" s="1">
        <v>218635</v>
      </c>
    </row>
    <row r="220" spans="1:7" x14ac:dyDescent="0.35">
      <c r="A220" s="1" t="str">
        <f t="shared" si="3"/>
        <v>3</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641</v>
      </c>
      <c r="D220" s="1" t="s">
        <v>642</v>
      </c>
      <c r="E220" s="1" t="s">
        <v>643</v>
      </c>
      <c r="F220" s="1" t="s">
        <v>112</v>
      </c>
      <c r="G220" s="1">
        <v>325465</v>
      </c>
    </row>
    <row r="221" spans="1:7" x14ac:dyDescent="0.35">
      <c r="A221" s="1" t="str">
        <f t="shared" si="3"/>
        <v>3</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1" s="1" t="s">
        <v>644</v>
      </c>
      <c r="D221" s="1" t="s">
        <v>645</v>
      </c>
      <c r="E221" s="1" t="s">
        <v>646</v>
      </c>
      <c r="F221" s="1" t="s">
        <v>112</v>
      </c>
      <c r="G221" s="1">
        <v>337967</v>
      </c>
    </row>
    <row r="222" spans="1:7" x14ac:dyDescent="0.35">
      <c r="A222" s="1" t="str">
        <f t="shared" si="3"/>
        <v>3</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647</v>
      </c>
      <c r="D222" s="1" t="s">
        <v>648</v>
      </c>
      <c r="E222" s="1" t="s">
        <v>649</v>
      </c>
      <c r="F222" s="1" t="s">
        <v>112</v>
      </c>
      <c r="G222" s="1">
        <v>518923</v>
      </c>
    </row>
    <row r="223" spans="1:7" x14ac:dyDescent="0.35">
      <c r="A223" s="1" t="str">
        <f t="shared" si="3"/>
        <v>3</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650</v>
      </c>
      <c r="D223" s="1" t="s">
        <v>651</v>
      </c>
      <c r="E223" s="1" t="s">
        <v>652</v>
      </c>
      <c r="F223" s="1" t="s">
        <v>112</v>
      </c>
      <c r="G223" s="1">
        <v>433982</v>
      </c>
    </row>
    <row r="224" spans="1:7" x14ac:dyDescent="0.35">
      <c r="A224" s="1" t="str">
        <f t="shared" si="3"/>
        <v>3</v>
      </c>
      <c r="B2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4" s="1" t="s">
        <v>653</v>
      </c>
      <c r="D224" s="1" t="s">
        <v>387</v>
      </c>
      <c r="E224" s="1" t="s">
        <v>654</v>
      </c>
      <c r="F224" s="1" t="s">
        <v>112</v>
      </c>
      <c r="G224" s="1">
        <v>506464</v>
      </c>
    </row>
    <row r="225" spans="1:8"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112</v>
      </c>
    </row>
    <row r="226" spans="1:8"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6" s="1" t="s">
        <v>242</v>
      </c>
      <c r="D226" s="1" t="s">
        <v>112</v>
      </c>
      <c r="E226" s="1" t="s">
        <v>243</v>
      </c>
      <c r="F226" s="1" t="s">
        <v>244</v>
      </c>
      <c r="G226" s="1" t="s">
        <v>245</v>
      </c>
      <c r="H226" s="1" t="s">
        <v>246</v>
      </c>
    </row>
    <row r="227" spans="1:8" x14ac:dyDescent="0.35">
      <c r="A227" s="1" t="str">
        <f t="shared" si="3"/>
        <v>3</v>
      </c>
      <c r="B2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7" s="1" t="s">
        <v>655</v>
      </c>
      <c r="D227" s="1" t="s">
        <v>112</v>
      </c>
      <c r="E227" s="1" t="s">
        <v>656</v>
      </c>
      <c r="F227" s="1" t="s">
        <v>657</v>
      </c>
      <c r="G227" s="1" t="s">
        <v>658</v>
      </c>
      <c r="H227" s="1" t="s">
        <v>659</v>
      </c>
    </row>
    <row r="228" spans="1:8"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8"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8"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8"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8"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112</v>
      </c>
    </row>
    <row r="233" spans="1:8"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3" s="1" t="s">
        <v>172</v>
      </c>
      <c r="D233" s="1" t="s">
        <v>110</v>
      </c>
      <c r="E233" s="1" t="s">
        <v>111</v>
      </c>
      <c r="F233" s="1" t="s">
        <v>112</v>
      </c>
      <c r="G233" s="1" t="s">
        <v>113</v>
      </c>
    </row>
    <row r="234" spans="1:8" x14ac:dyDescent="0.35">
      <c r="A234" s="1" t="str">
        <f t="shared" si="3"/>
        <v>4</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660</v>
      </c>
      <c r="D234" s="1" t="s">
        <v>661</v>
      </c>
      <c r="E234" s="1" t="s">
        <v>662</v>
      </c>
      <c r="F234" s="1" t="s">
        <v>112</v>
      </c>
      <c r="G234" s="1">
        <v>1692691</v>
      </c>
    </row>
    <row r="235" spans="1:8" x14ac:dyDescent="0.35">
      <c r="A235" s="1" t="str">
        <f t="shared" si="3"/>
        <v>4</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663</v>
      </c>
      <c r="D235" s="1" t="s">
        <v>664</v>
      </c>
      <c r="E235" s="1" t="s">
        <v>665</v>
      </c>
      <c r="F235" s="1" t="s">
        <v>112</v>
      </c>
      <c r="G235" s="1">
        <v>2126305</v>
      </c>
    </row>
    <row r="236" spans="1:8" x14ac:dyDescent="0.35">
      <c r="A236" s="1" t="str">
        <f t="shared" si="3"/>
        <v>4</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6" s="1" t="s">
        <v>666</v>
      </c>
      <c r="D236" s="1" t="s">
        <v>667</v>
      </c>
      <c r="E236" s="1" t="s">
        <v>668</v>
      </c>
      <c r="F236" s="1" t="s">
        <v>112</v>
      </c>
      <c r="G236" s="1">
        <v>2204908</v>
      </c>
    </row>
    <row r="237" spans="1:8" x14ac:dyDescent="0.35">
      <c r="A237" s="1" t="str">
        <f t="shared" si="3"/>
        <v>4</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669</v>
      </c>
      <c r="D237" s="1" t="s">
        <v>670</v>
      </c>
      <c r="E237" s="1" t="s">
        <v>671</v>
      </c>
      <c r="F237" s="1" t="s">
        <v>112</v>
      </c>
      <c r="G237" s="1">
        <v>1550907</v>
      </c>
    </row>
    <row r="238" spans="1:8" x14ac:dyDescent="0.35">
      <c r="A238" s="1" t="str">
        <f t="shared" si="3"/>
        <v>4</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672</v>
      </c>
      <c r="D238" s="1" t="s">
        <v>673</v>
      </c>
      <c r="E238" s="1" t="s">
        <v>674</v>
      </c>
      <c r="F238" s="1" t="s">
        <v>112</v>
      </c>
      <c r="G238" s="1">
        <v>1722389</v>
      </c>
    </row>
    <row r="239" spans="1:8" x14ac:dyDescent="0.35">
      <c r="A239" s="1" t="str">
        <f t="shared" si="3"/>
        <v>4</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9" s="1" t="s">
        <v>675</v>
      </c>
      <c r="D239" s="1" t="s">
        <v>676</v>
      </c>
      <c r="E239" s="1" t="s">
        <v>677</v>
      </c>
      <c r="F239" s="1" t="s">
        <v>112</v>
      </c>
      <c r="G239" s="1">
        <v>1506522</v>
      </c>
    </row>
    <row r="240" spans="1:8" x14ac:dyDescent="0.35">
      <c r="A240" s="1" t="str">
        <f t="shared" si="3"/>
        <v>4</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678</v>
      </c>
      <c r="D240" s="1" t="s">
        <v>611</v>
      </c>
      <c r="E240" s="1" t="s">
        <v>679</v>
      </c>
      <c r="F240" s="1" t="s">
        <v>112</v>
      </c>
      <c r="G240" s="1">
        <v>104408</v>
      </c>
    </row>
    <row r="241" spans="1:7" x14ac:dyDescent="0.35">
      <c r="A241" s="1" t="str">
        <f t="shared" si="3"/>
        <v>4</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680</v>
      </c>
      <c r="D241" s="1" t="s">
        <v>519</v>
      </c>
      <c r="E241" s="1" t="s">
        <v>681</v>
      </c>
      <c r="F241" s="1" t="s">
        <v>112</v>
      </c>
      <c r="G241" s="1">
        <v>118056</v>
      </c>
    </row>
    <row r="242" spans="1:7" x14ac:dyDescent="0.35">
      <c r="A242" s="1" t="str">
        <f t="shared" si="3"/>
        <v>4</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2" s="1" t="s">
        <v>682</v>
      </c>
      <c r="D242" s="1" t="s">
        <v>683</v>
      </c>
      <c r="E242" s="1" t="s">
        <v>684</v>
      </c>
      <c r="F242" s="1" t="s">
        <v>112</v>
      </c>
      <c r="G242" s="1">
        <v>22755</v>
      </c>
    </row>
    <row r="243" spans="1:7" x14ac:dyDescent="0.35">
      <c r="A243" s="1" t="str">
        <f t="shared" si="3"/>
        <v>4</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685</v>
      </c>
      <c r="D243" s="1" t="s">
        <v>686</v>
      </c>
      <c r="E243" s="1" t="s">
        <v>687</v>
      </c>
      <c r="F243" s="1" t="s">
        <v>112</v>
      </c>
      <c r="G243" s="1">
        <v>102893</v>
      </c>
    </row>
    <row r="244" spans="1:7" x14ac:dyDescent="0.35">
      <c r="A244" s="1" t="str">
        <f t="shared" si="3"/>
        <v>4</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688</v>
      </c>
      <c r="D244" s="1" t="s">
        <v>497</v>
      </c>
      <c r="E244" s="1" t="s">
        <v>689</v>
      </c>
      <c r="F244" s="1" t="s">
        <v>112</v>
      </c>
      <c r="G244" s="1">
        <v>389252</v>
      </c>
    </row>
    <row r="245" spans="1:7" x14ac:dyDescent="0.35">
      <c r="A245" s="1" t="str">
        <f t="shared" si="3"/>
        <v>4</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5" s="1" t="s">
        <v>690</v>
      </c>
      <c r="D245" s="1" t="s">
        <v>691</v>
      </c>
      <c r="E245" s="1" t="s">
        <v>692</v>
      </c>
      <c r="F245" s="1" t="s">
        <v>112</v>
      </c>
      <c r="G245" s="1">
        <v>495606</v>
      </c>
    </row>
    <row r="246" spans="1:7" x14ac:dyDescent="0.35">
      <c r="A246" s="1" t="str">
        <f t="shared" si="3"/>
        <v>4</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693</v>
      </c>
      <c r="D246" s="1" t="s">
        <v>290</v>
      </c>
      <c r="E246" s="1" t="s">
        <v>694</v>
      </c>
      <c r="F246" s="1" t="s">
        <v>112</v>
      </c>
      <c r="G246" s="1">
        <v>617533</v>
      </c>
    </row>
    <row r="247" spans="1:7" x14ac:dyDescent="0.35">
      <c r="A247" s="1" t="str">
        <f t="shared" si="3"/>
        <v>4</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695</v>
      </c>
      <c r="D247" s="1" t="s">
        <v>696</v>
      </c>
      <c r="E247" s="1" t="s">
        <v>697</v>
      </c>
      <c r="F247" s="1" t="s">
        <v>112</v>
      </c>
      <c r="G247" s="1">
        <v>854078</v>
      </c>
    </row>
    <row r="248" spans="1:7" x14ac:dyDescent="0.35">
      <c r="A248" s="1" t="str">
        <f t="shared" si="3"/>
        <v>4</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8" s="1" t="s">
        <v>698</v>
      </c>
      <c r="D248" s="1" t="s">
        <v>699</v>
      </c>
      <c r="E248" s="1" t="s">
        <v>700</v>
      </c>
      <c r="F248" s="1" t="s">
        <v>112</v>
      </c>
      <c r="G248" s="1">
        <v>409908</v>
      </c>
    </row>
    <row r="249" spans="1:7" x14ac:dyDescent="0.35">
      <c r="A249" s="1" t="str">
        <f t="shared" si="3"/>
        <v>4</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701</v>
      </c>
      <c r="D249" s="1" t="s">
        <v>702</v>
      </c>
      <c r="E249" s="1" t="s">
        <v>703</v>
      </c>
      <c r="F249" s="1" t="s">
        <v>112</v>
      </c>
      <c r="G249" s="1">
        <v>497379</v>
      </c>
    </row>
    <row r="250" spans="1:7" x14ac:dyDescent="0.35">
      <c r="A250" s="1" t="str">
        <f t="shared" si="3"/>
        <v>4</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704</v>
      </c>
      <c r="D250" s="1" t="s">
        <v>705</v>
      </c>
      <c r="E250" s="1" t="s">
        <v>706</v>
      </c>
      <c r="F250" s="1" t="s">
        <v>112</v>
      </c>
      <c r="G250" s="1">
        <v>447458</v>
      </c>
    </row>
    <row r="251" spans="1:7" x14ac:dyDescent="0.35">
      <c r="A251" s="1" t="str">
        <f t="shared" si="3"/>
        <v>4</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1" s="1" t="s">
        <v>707</v>
      </c>
      <c r="D251" s="1" t="s">
        <v>708</v>
      </c>
      <c r="E251" s="1" t="s">
        <v>709</v>
      </c>
      <c r="F251" s="1" t="s">
        <v>112</v>
      </c>
      <c r="G251" s="1">
        <v>642581</v>
      </c>
    </row>
    <row r="252" spans="1:7" x14ac:dyDescent="0.35">
      <c r="A252" s="1" t="str">
        <f t="shared" si="3"/>
        <v>4</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710</v>
      </c>
      <c r="D252" s="1" t="s">
        <v>711</v>
      </c>
      <c r="E252" s="1" t="s">
        <v>712</v>
      </c>
      <c r="F252" s="1" t="s">
        <v>112</v>
      </c>
      <c r="G252" s="1">
        <v>149376</v>
      </c>
    </row>
    <row r="253" spans="1:7" x14ac:dyDescent="0.35">
      <c r="A253" s="1" t="str">
        <f t="shared" si="3"/>
        <v>4</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713</v>
      </c>
      <c r="D253" s="1" t="s">
        <v>714</v>
      </c>
      <c r="E253" s="1" t="s">
        <v>715</v>
      </c>
      <c r="F253" s="1" t="s">
        <v>112</v>
      </c>
      <c r="G253" s="1">
        <v>180393</v>
      </c>
    </row>
    <row r="254" spans="1:7" x14ac:dyDescent="0.35">
      <c r="A254" s="1" t="str">
        <f t="shared" si="3"/>
        <v>4</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4" s="1" t="s">
        <v>716</v>
      </c>
      <c r="D254" s="1" t="s">
        <v>717</v>
      </c>
      <c r="E254" s="1" t="s">
        <v>718</v>
      </c>
      <c r="F254" s="1" t="s">
        <v>112</v>
      </c>
      <c r="G254" s="1">
        <v>74082</v>
      </c>
    </row>
    <row r="255" spans="1:7" x14ac:dyDescent="0.35">
      <c r="A255" s="1" t="str">
        <f t="shared" si="3"/>
        <v>4</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719</v>
      </c>
      <c r="D255" s="1" t="s">
        <v>720</v>
      </c>
      <c r="E255" s="1" t="s">
        <v>721</v>
      </c>
      <c r="F255" s="1" t="s">
        <v>112</v>
      </c>
      <c r="G255" s="1">
        <v>523032</v>
      </c>
    </row>
    <row r="256" spans="1:7" x14ac:dyDescent="0.35">
      <c r="A256" s="1" t="str">
        <f t="shared" si="3"/>
        <v>4</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722</v>
      </c>
      <c r="D256" s="1" t="s">
        <v>723</v>
      </c>
      <c r="E256" s="1" t="s">
        <v>724</v>
      </c>
      <c r="F256" s="1" t="s">
        <v>112</v>
      </c>
      <c r="G256" s="1">
        <v>393556</v>
      </c>
    </row>
    <row r="257" spans="1:8" x14ac:dyDescent="0.35">
      <c r="A257" s="1" t="str">
        <f t="shared" si="3"/>
        <v>4</v>
      </c>
      <c r="B2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7" s="1" t="s">
        <v>725</v>
      </c>
      <c r="D257" s="1" t="s">
        <v>726</v>
      </c>
      <c r="E257" s="1" t="s">
        <v>727</v>
      </c>
      <c r="F257" s="1" t="s">
        <v>112</v>
      </c>
      <c r="G257" s="1">
        <v>546220</v>
      </c>
    </row>
    <row r="258" spans="1:8"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112</v>
      </c>
    </row>
    <row r="259" spans="1:8"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9" s="1" t="s">
        <v>242</v>
      </c>
      <c r="D259" s="1" t="s">
        <v>112</v>
      </c>
      <c r="E259" s="1" t="s">
        <v>243</v>
      </c>
      <c r="F259" s="1" t="s">
        <v>244</v>
      </c>
      <c r="G259" s="1" t="s">
        <v>245</v>
      </c>
      <c r="H259" s="1" t="s">
        <v>246</v>
      </c>
    </row>
    <row r="260" spans="1:8" x14ac:dyDescent="0.35">
      <c r="A260" s="1" t="str">
        <f t="shared" si="4"/>
        <v>4</v>
      </c>
      <c r="B2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60" s="1" t="s">
        <v>728</v>
      </c>
      <c r="D260" s="1" t="s">
        <v>112</v>
      </c>
      <c r="E260" s="1" t="s">
        <v>729</v>
      </c>
      <c r="F260" s="1" t="s">
        <v>730</v>
      </c>
      <c r="G260" s="1" t="s">
        <v>731</v>
      </c>
      <c r="H260" s="1" t="s">
        <v>732</v>
      </c>
    </row>
    <row r="261" spans="1:8"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8"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8"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8"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8"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112</v>
      </c>
    </row>
    <row r="266" spans="1:8"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6" s="1" t="s">
        <v>172</v>
      </c>
      <c r="D266" s="1" t="s">
        <v>110</v>
      </c>
      <c r="E266" s="1" t="s">
        <v>111</v>
      </c>
      <c r="F266" s="1" t="s">
        <v>112</v>
      </c>
      <c r="G266" s="1" t="s">
        <v>113</v>
      </c>
    </row>
    <row r="267" spans="1:8" x14ac:dyDescent="0.35">
      <c r="A267" s="1" t="str">
        <f t="shared" si="4"/>
        <v>5</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733</v>
      </c>
      <c r="D267" s="1" t="s">
        <v>734</v>
      </c>
      <c r="E267" s="1" t="s">
        <v>735</v>
      </c>
      <c r="F267" s="1" t="s">
        <v>112</v>
      </c>
      <c r="G267" s="1">
        <v>2758612</v>
      </c>
    </row>
    <row r="268" spans="1:8" x14ac:dyDescent="0.35">
      <c r="A268" s="1" t="str">
        <f t="shared" si="4"/>
        <v>5</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736</v>
      </c>
      <c r="D268" s="1" t="s">
        <v>737</v>
      </c>
      <c r="E268" s="1" t="s">
        <v>738</v>
      </c>
      <c r="F268" s="1" t="s">
        <v>112</v>
      </c>
      <c r="G268" s="1">
        <v>2351256</v>
      </c>
    </row>
    <row r="269" spans="1:8" x14ac:dyDescent="0.35">
      <c r="A269" s="1" t="str">
        <f t="shared" si="4"/>
        <v>5</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9" s="1" t="s">
        <v>739</v>
      </c>
      <c r="D269" s="1" t="s">
        <v>740</v>
      </c>
      <c r="E269" s="1" t="s">
        <v>741</v>
      </c>
      <c r="F269" s="1" t="s">
        <v>112</v>
      </c>
      <c r="G269" s="1">
        <v>2383939</v>
      </c>
    </row>
    <row r="270" spans="1:8" x14ac:dyDescent="0.35">
      <c r="A270" s="1" t="str">
        <f t="shared" si="4"/>
        <v>5</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742</v>
      </c>
      <c r="D270" s="1" t="s">
        <v>743</v>
      </c>
      <c r="E270" s="1" t="s">
        <v>744</v>
      </c>
      <c r="F270" s="1" t="s">
        <v>112</v>
      </c>
      <c r="G270" s="1">
        <v>1209154</v>
      </c>
    </row>
    <row r="271" spans="1:8" x14ac:dyDescent="0.35">
      <c r="A271" s="1" t="str">
        <f t="shared" si="4"/>
        <v>5</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745</v>
      </c>
      <c r="D271" s="1" t="s">
        <v>746</v>
      </c>
      <c r="E271" s="1" t="s">
        <v>747</v>
      </c>
      <c r="F271" s="1" t="s">
        <v>112</v>
      </c>
      <c r="G271" s="1">
        <v>1329957</v>
      </c>
    </row>
    <row r="272" spans="1:8" x14ac:dyDescent="0.35">
      <c r="A272" s="1" t="str">
        <f t="shared" si="4"/>
        <v>5</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2" s="1" t="s">
        <v>748</v>
      </c>
      <c r="D272" s="1" t="s">
        <v>749</v>
      </c>
      <c r="E272" s="1" t="s">
        <v>750</v>
      </c>
      <c r="F272" s="1" t="s">
        <v>112</v>
      </c>
      <c r="G272" s="1">
        <v>1544548</v>
      </c>
    </row>
    <row r="273" spans="1:7" x14ac:dyDescent="0.35">
      <c r="A273" s="1" t="str">
        <f t="shared" si="4"/>
        <v>5</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751</v>
      </c>
    </row>
    <row r="274" spans="1:7" x14ac:dyDescent="0.35">
      <c r="A274" s="1" t="str">
        <f t="shared" si="4"/>
        <v>5</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752</v>
      </c>
    </row>
    <row r="275" spans="1:7" x14ac:dyDescent="0.35">
      <c r="A275" s="1" t="str">
        <f t="shared" si="4"/>
        <v>5</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5" s="1" t="s">
        <v>753</v>
      </c>
    </row>
    <row r="276" spans="1:7" x14ac:dyDescent="0.35">
      <c r="A276" s="1" t="str">
        <f t="shared" si="4"/>
        <v>5</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754</v>
      </c>
      <c r="D276" s="1" t="s">
        <v>755</v>
      </c>
      <c r="E276" s="1" t="s">
        <v>756</v>
      </c>
      <c r="F276" s="1" t="s">
        <v>112</v>
      </c>
      <c r="G276" s="1">
        <v>2109931</v>
      </c>
    </row>
    <row r="277" spans="1:7" x14ac:dyDescent="0.35">
      <c r="A277" s="1" t="str">
        <f t="shared" si="4"/>
        <v>5</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757</v>
      </c>
      <c r="D277" s="1" t="s">
        <v>758</v>
      </c>
      <c r="E277" s="1" t="s">
        <v>759</v>
      </c>
      <c r="F277" s="1" t="s">
        <v>112</v>
      </c>
      <c r="G277" s="1">
        <v>1845008</v>
      </c>
    </row>
    <row r="278" spans="1:7" x14ac:dyDescent="0.35">
      <c r="A278" s="1" t="str">
        <f t="shared" si="4"/>
        <v>5</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8" s="1" t="s">
        <v>760</v>
      </c>
      <c r="D278" s="1" t="s">
        <v>761</v>
      </c>
      <c r="E278" s="1" t="s">
        <v>762</v>
      </c>
      <c r="F278" s="1" t="s">
        <v>112</v>
      </c>
      <c r="G278" s="1">
        <v>1766059</v>
      </c>
    </row>
    <row r="279" spans="1:7" x14ac:dyDescent="0.35">
      <c r="A279" s="1" t="str">
        <f t="shared" si="4"/>
        <v>5</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763</v>
      </c>
      <c r="D279" s="1" t="s">
        <v>764</v>
      </c>
      <c r="E279" s="1" t="s">
        <v>765</v>
      </c>
      <c r="F279" s="1" t="s">
        <v>112</v>
      </c>
      <c r="G279" s="1">
        <v>1826515</v>
      </c>
    </row>
    <row r="280" spans="1:7" x14ac:dyDescent="0.35">
      <c r="A280" s="1" t="str">
        <f t="shared" si="4"/>
        <v>5</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766</v>
      </c>
      <c r="D280" s="1" t="s">
        <v>767</v>
      </c>
      <c r="E280" s="1" t="s">
        <v>768</v>
      </c>
      <c r="F280" s="1" t="s">
        <v>112</v>
      </c>
      <c r="G280" s="1">
        <v>1551815</v>
      </c>
    </row>
    <row r="281" spans="1:7" x14ac:dyDescent="0.35">
      <c r="A281" s="1" t="str">
        <f t="shared" si="4"/>
        <v>5</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1" s="1" t="s">
        <v>769</v>
      </c>
      <c r="D281" s="1" t="s">
        <v>770</v>
      </c>
      <c r="E281" s="1" t="s">
        <v>771</v>
      </c>
      <c r="F281" s="1" t="s">
        <v>112</v>
      </c>
      <c r="G281" s="1">
        <v>1508490</v>
      </c>
    </row>
    <row r="282" spans="1:7" x14ac:dyDescent="0.35">
      <c r="A282" s="1" t="str">
        <f t="shared" si="4"/>
        <v>5</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772</v>
      </c>
      <c r="D282" s="1" t="s">
        <v>773</v>
      </c>
      <c r="E282" s="1" t="s">
        <v>774</v>
      </c>
      <c r="F282" s="1" t="s">
        <v>112</v>
      </c>
      <c r="G282" s="1">
        <v>1392792</v>
      </c>
    </row>
    <row r="283" spans="1:7" x14ac:dyDescent="0.35">
      <c r="A283" s="1" t="str">
        <f t="shared" si="4"/>
        <v>5</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775</v>
      </c>
    </row>
    <row r="284" spans="1:7" x14ac:dyDescent="0.35">
      <c r="A284" s="1" t="str">
        <f t="shared" si="4"/>
        <v>5</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4" s="1" t="s">
        <v>776</v>
      </c>
      <c r="D284" s="1" t="s">
        <v>777</v>
      </c>
      <c r="E284" s="1" t="s">
        <v>778</v>
      </c>
      <c r="F284" s="1" t="s">
        <v>112</v>
      </c>
      <c r="G284" s="1">
        <v>1638010</v>
      </c>
    </row>
    <row r="285" spans="1:7" x14ac:dyDescent="0.35">
      <c r="A285" s="1" t="str">
        <f t="shared" si="4"/>
        <v>5</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779</v>
      </c>
      <c r="D285" s="1" t="s">
        <v>780</v>
      </c>
      <c r="E285" s="1" t="s">
        <v>781</v>
      </c>
      <c r="F285" s="1" t="s">
        <v>112</v>
      </c>
      <c r="G285" s="1">
        <v>1202730</v>
      </c>
    </row>
    <row r="286" spans="1:7" x14ac:dyDescent="0.35">
      <c r="A286" s="1" t="str">
        <f t="shared" si="4"/>
        <v>5</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782</v>
      </c>
      <c r="D286" s="1" t="s">
        <v>783</v>
      </c>
      <c r="E286" s="1" t="s">
        <v>784</v>
      </c>
      <c r="F286" s="1" t="s">
        <v>112</v>
      </c>
      <c r="G286" s="1">
        <v>477069</v>
      </c>
    </row>
    <row r="287" spans="1:7" x14ac:dyDescent="0.35">
      <c r="A287" s="1" t="str">
        <f t="shared" si="4"/>
        <v>5</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7" s="1" t="s">
        <v>785</v>
      </c>
      <c r="D287" s="1" t="s">
        <v>786</v>
      </c>
      <c r="E287" s="1" t="s">
        <v>787</v>
      </c>
      <c r="F287" s="1" t="s">
        <v>112</v>
      </c>
      <c r="G287" s="1">
        <v>744371</v>
      </c>
    </row>
    <row r="288" spans="1:7" x14ac:dyDescent="0.35">
      <c r="A288" s="1" t="str">
        <f t="shared" si="4"/>
        <v>5</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788</v>
      </c>
      <c r="D288" s="1" t="s">
        <v>789</v>
      </c>
      <c r="E288" s="1" t="s">
        <v>790</v>
      </c>
      <c r="F288" s="1" t="s">
        <v>112</v>
      </c>
      <c r="G288" s="1">
        <v>2978458</v>
      </c>
    </row>
    <row r="289" spans="1:8" x14ac:dyDescent="0.35">
      <c r="A289" s="1" t="str">
        <f t="shared" si="4"/>
        <v>5</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791</v>
      </c>
      <c r="D289" s="1" t="s">
        <v>792</v>
      </c>
      <c r="E289" s="1" t="s">
        <v>793</v>
      </c>
      <c r="F289" s="1" t="s">
        <v>112</v>
      </c>
      <c r="G289" s="1">
        <v>3156991</v>
      </c>
    </row>
    <row r="290" spans="1:8" x14ac:dyDescent="0.35">
      <c r="A290" s="1" t="str">
        <f t="shared" si="4"/>
        <v>5</v>
      </c>
      <c r="B2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90" s="1" t="s">
        <v>794</v>
      </c>
      <c r="D290" s="1" t="s">
        <v>795</v>
      </c>
      <c r="E290" s="1" t="s">
        <v>796</v>
      </c>
      <c r="F290" s="1" t="s">
        <v>112</v>
      </c>
      <c r="G290" s="1">
        <v>2369706</v>
      </c>
    </row>
    <row r="291" spans="1:8"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112</v>
      </c>
    </row>
    <row r="292" spans="1:8"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2" s="1" t="s">
        <v>242</v>
      </c>
      <c r="D292" s="1" t="s">
        <v>112</v>
      </c>
      <c r="E292" s="1" t="s">
        <v>243</v>
      </c>
      <c r="F292" s="1" t="s">
        <v>244</v>
      </c>
      <c r="G292" s="1" t="s">
        <v>245</v>
      </c>
      <c r="H292" s="1" t="s">
        <v>246</v>
      </c>
    </row>
    <row r="293" spans="1:8" x14ac:dyDescent="0.35">
      <c r="A293" s="1" t="str">
        <f t="shared" si="4"/>
        <v>5</v>
      </c>
      <c r="B2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3" s="1" t="s">
        <v>797</v>
      </c>
      <c r="D293" s="1" t="s">
        <v>112</v>
      </c>
      <c r="E293" s="1" t="s">
        <v>798</v>
      </c>
      <c r="F293" s="1" t="s">
        <v>799</v>
      </c>
      <c r="G293" s="1" t="s">
        <v>800</v>
      </c>
      <c r="H293" s="1" t="s">
        <v>801</v>
      </c>
    </row>
    <row r="294" spans="1:8"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8"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8"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8"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8"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112</v>
      </c>
    </row>
    <row r="299" spans="1:8"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9" s="1" t="s">
        <v>172</v>
      </c>
      <c r="D299" s="1" t="s">
        <v>110</v>
      </c>
      <c r="E299" s="1" t="s">
        <v>111</v>
      </c>
      <c r="F299" s="1" t="s">
        <v>112</v>
      </c>
      <c r="G299" s="1" t="s">
        <v>113</v>
      </c>
    </row>
    <row r="300" spans="1:8" x14ac:dyDescent="0.35">
      <c r="A300" s="1" t="str">
        <f t="shared" si="4"/>
        <v>6</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802</v>
      </c>
      <c r="D300" s="1" t="s">
        <v>803</v>
      </c>
      <c r="E300" s="1" t="s">
        <v>804</v>
      </c>
      <c r="F300" s="1" t="s">
        <v>112</v>
      </c>
      <c r="G300" s="1">
        <v>553249</v>
      </c>
    </row>
    <row r="301" spans="1:8" x14ac:dyDescent="0.35">
      <c r="A301" s="1" t="str">
        <f t="shared" si="4"/>
        <v>6</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805</v>
      </c>
      <c r="D301" s="1" t="s">
        <v>806</v>
      </c>
      <c r="E301" s="1" t="s">
        <v>807</v>
      </c>
      <c r="F301" s="1" t="s">
        <v>112</v>
      </c>
      <c r="G301" s="1">
        <v>233624</v>
      </c>
    </row>
    <row r="302" spans="1:8" x14ac:dyDescent="0.35">
      <c r="A302" s="1" t="str">
        <f t="shared" si="4"/>
        <v>6</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2" s="1" t="s">
        <v>808</v>
      </c>
      <c r="D302" s="1" t="s">
        <v>809</v>
      </c>
      <c r="E302" s="1" t="s">
        <v>810</v>
      </c>
      <c r="F302" s="1" t="s">
        <v>112</v>
      </c>
      <c r="G302" s="1">
        <v>307382</v>
      </c>
    </row>
    <row r="303" spans="1:8" x14ac:dyDescent="0.35">
      <c r="A303" s="1" t="str">
        <f t="shared" si="4"/>
        <v>6</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811</v>
      </c>
      <c r="D303" s="1" t="s">
        <v>812</v>
      </c>
      <c r="E303" s="1" t="s">
        <v>813</v>
      </c>
      <c r="F303" s="1" t="s">
        <v>112</v>
      </c>
      <c r="G303" s="1">
        <v>3482889</v>
      </c>
    </row>
    <row r="304" spans="1:8" x14ac:dyDescent="0.35">
      <c r="A304" s="1" t="str">
        <f t="shared" si="4"/>
        <v>6</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814</v>
      </c>
      <c r="D304" s="1" t="s">
        <v>815</v>
      </c>
      <c r="E304" s="1" t="s">
        <v>816</v>
      </c>
      <c r="F304" s="1" t="s">
        <v>112</v>
      </c>
      <c r="G304" s="1">
        <v>3051870</v>
      </c>
    </row>
    <row r="305" spans="1:7" x14ac:dyDescent="0.35">
      <c r="A305" s="1" t="str">
        <f t="shared" si="4"/>
        <v>6</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5" s="1" t="s">
        <v>817</v>
      </c>
      <c r="D305" s="1" t="s">
        <v>818</v>
      </c>
      <c r="E305" s="1" t="s">
        <v>819</v>
      </c>
      <c r="F305" s="1" t="s">
        <v>112</v>
      </c>
      <c r="G305" s="1">
        <v>3027060</v>
      </c>
    </row>
    <row r="306" spans="1:7" x14ac:dyDescent="0.35">
      <c r="A306" s="1" t="str">
        <f t="shared" si="4"/>
        <v>6</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820</v>
      </c>
      <c r="D306" s="1" t="s">
        <v>821</v>
      </c>
      <c r="E306" s="1" t="s">
        <v>822</v>
      </c>
      <c r="F306" s="1" t="s">
        <v>112</v>
      </c>
      <c r="G306" s="1">
        <v>1620750</v>
      </c>
    </row>
    <row r="307" spans="1:7" x14ac:dyDescent="0.35">
      <c r="A307" s="1" t="str">
        <f t="shared" si="4"/>
        <v>6</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823</v>
      </c>
      <c r="D307" s="1" t="s">
        <v>824</v>
      </c>
      <c r="E307" s="1" t="s">
        <v>825</v>
      </c>
      <c r="F307" s="1" t="s">
        <v>112</v>
      </c>
      <c r="G307" s="1">
        <v>1622264</v>
      </c>
    </row>
    <row r="308" spans="1:7" x14ac:dyDescent="0.35">
      <c r="A308" s="1" t="str">
        <f t="shared" si="4"/>
        <v>6</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8" s="1" t="s">
        <v>826</v>
      </c>
      <c r="D308" s="1" t="s">
        <v>827</v>
      </c>
      <c r="E308" s="1" t="s">
        <v>828</v>
      </c>
      <c r="F308" s="1" t="s">
        <v>112</v>
      </c>
      <c r="G308" s="1">
        <v>1816132</v>
      </c>
    </row>
    <row r="309" spans="1:7" x14ac:dyDescent="0.35">
      <c r="A309" s="1" t="str">
        <f t="shared" si="4"/>
        <v>6</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829</v>
      </c>
      <c r="D309" s="1" t="s">
        <v>830</v>
      </c>
      <c r="E309" s="1" t="s">
        <v>831</v>
      </c>
      <c r="F309" s="1" t="s">
        <v>112</v>
      </c>
      <c r="G309" s="1">
        <v>1617894</v>
      </c>
    </row>
    <row r="310" spans="1:7" x14ac:dyDescent="0.35">
      <c r="A310" s="1" t="str">
        <f t="shared" si="4"/>
        <v>6</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832</v>
      </c>
      <c r="D310" s="1" t="s">
        <v>833</v>
      </c>
      <c r="E310" s="1" t="s">
        <v>834</v>
      </c>
      <c r="F310" s="1" t="s">
        <v>112</v>
      </c>
      <c r="G310" s="1">
        <v>1962545</v>
      </c>
    </row>
    <row r="311" spans="1:7" x14ac:dyDescent="0.35">
      <c r="A311" s="1" t="str">
        <f t="shared" si="4"/>
        <v>6</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1" s="1" t="s">
        <v>835</v>
      </c>
      <c r="D311" s="1" t="s">
        <v>836</v>
      </c>
      <c r="E311" s="1" t="s">
        <v>837</v>
      </c>
      <c r="F311" s="1" t="s">
        <v>112</v>
      </c>
      <c r="G311" s="1">
        <v>642646</v>
      </c>
    </row>
    <row r="312" spans="1:7" x14ac:dyDescent="0.35">
      <c r="A312" s="1" t="str">
        <f t="shared" si="4"/>
        <v>6</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838</v>
      </c>
      <c r="D312" s="1" t="s">
        <v>839</v>
      </c>
      <c r="E312" s="1" t="s">
        <v>840</v>
      </c>
      <c r="F312" s="1" t="s">
        <v>112</v>
      </c>
      <c r="G312" s="1">
        <v>2604239</v>
      </c>
    </row>
    <row r="313" spans="1:7" x14ac:dyDescent="0.35">
      <c r="A313" s="1" t="str">
        <f t="shared" si="4"/>
        <v>6</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841</v>
      </c>
    </row>
    <row r="314" spans="1:7" x14ac:dyDescent="0.35">
      <c r="A314" s="1" t="str">
        <f t="shared" si="4"/>
        <v>6</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4" s="1" t="s">
        <v>842</v>
      </c>
      <c r="D314" s="1" t="s">
        <v>843</v>
      </c>
      <c r="E314" s="1" t="s">
        <v>844</v>
      </c>
      <c r="F314" s="1" t="s">
        <v>112</v>
      </c>
      <c r="G314" s="1">
        <v>3707061</v>
      </c>
    </row>
    <row r="315" spans="1:7" x14ac:dyDescent="0.35">
      <c r="A315" s="1" t="str">
        <f t="shared" si="4"/>
        <v>6</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845</v>
      </c>
      <c r="D315" s="1" t="s">
        <v>846</v>
      </c>
      <c r="E315" s="1" t="s">
        <v>847</v>
      </c>
      <c r="F315" s="1" t="s">
        <v>112</v>
      </c>
      <c r="G315" s="1">
        <v>2737523</v>
      </c>
    </row>
    <row r="316" spans="1:7" x14ac:dyDescent="0.35">
      <c r="A316" s="1" t="str">
        <f t="shared" si="4"/>
        <v>6</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848</v>
      </c>
      <c r="D316" s="1" t="s">
        <v>849</v>
      </c>
      <c r="E316" s="1" t="s">
        <v>850</v>
      </c>
      <c r="F316" s="1" t="s">
        <v>112</v>
      </c>
      <c r="G316" s="1">
        <v>2767026</v>
      </c>
    </row>
    <row r="317" spans="1:7" x14ac:dyDescent="0.35">
      <c r="A317" s="1" t="str">
        <f t="shared" si="4"/>
        <v>6</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7" s="1" t="s">
        <v>851</v>
      </c>
      <c r="D317" s="1" t="s">
        <v>852</v>
      </c>
      <c r="E317" s="1" t="s">
        <v>853</v>
      </c>
      <c r="F317" s="1" t="s">
        <v>112</v>
      </c>
      <c r="G317" s="1">
        <v>2725280</v>
      </c>
    </row>
    <row r="318" spans="1:7" x14ac:dyDescent="0.35">
      <c r="A318" s="1" t="str">
        <f t="shared" si="4"/>
        <v>6</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854</v>
      </c>
      <c r="D318" s="1" t="s">
        <v>855</v>
      </c>
      <c r="E318" s="1" t="s">
        <v>856</v>
      </c>
      <c r="F318" s="1" t="s">
        <v>112</v>
      </c>
      <c r="G318" s="1">
        <v>1792902</v>
      </c>
    </row>
    <row r="319" spans="1:7" x14ac:dyDescent="0.35">
      <c r="A319" s="1" t="str">
        <f t="shared" si="4"/>
        <v>6</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857</v>
      </c>
      <c r="D319" s="1" t="s">
        <v>858</v>
      </c>
      <c r="E319" s="1" t="s">
        <v>859</v>
      </c>
      <c r="F319" s="1" t="s">
        <v>112</v>
      </c>
      <c r="G319" s="1">
        <v>2040024</v>
      </c>
    </row>
    <row r="320" spans="1:7" x14ac:dyDescent="0.35">
      <c r="A320" s="1" t="str">
        <f t="shared" si="4"/>
        <v>6</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20" s="1" t="s">
        <v>860</v>
      </c>
      <c r="D320" s="1" t="s">
        <v>861</v>
      </c>
      <c r="E320" s="1" t="s">
        <v>862</v>
      </c>
      <c r="F320" s="1" t="s">
        <v>112</v>
      </c>
      <c r="G320" s="1">
        <v>1660462</v>
      </c>
    </row>
    <row r="321" spans="1:8" x14ac:dyDescent="0.35">
      <c r="A321" s="1" t="str">
        <f t="shared" si="4"/>
        <v>6</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863</v>
      </c>
      <c r="D321" s="1" t="s">
        <v>864</v>
      </c>
      <c r="E321" s="1" t="s">
        <v>865</v>
      </c>
      <c r="F321" s="1" t="s">
        <v>112</v>
      </c>
      <c r="G321" s="1">
        <v>2564332</v>
      </c>
    </row>
    <row r="322" spans="1:8" x14ac:dyDescent="0.35">
      <c r="A322" s="1" t="str">
        <f t="shared" ref="A322:A385" si="5">IFERROR(LEFT(RIGHT(C322,LEN(C322)-SEARCH("@",C322)),SEARCH("/",RIGHT(C322,LEN(C322)-SEARCH("@",C322)-1))),"")</f>
        <v>6</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866</v>
      </c>
      <c r="D322" s="1" t="s">
        <v>867</v>
      </c>
      <c r="E322" s="1" t="s">
        <v>868</v>
      </c>
      <c r="F322" s="1" t="s">
        <v>112</v>
      </c>
      <c r="G322" s="1">
        <v>2734797</v>
      </c>
    </row>
    <row r="323" spans="1:8" x14ac:dyDescent="0.35">
      <c r="A323" s="1" t="str">
        <f t="shared" si="5"/>
        <v>6</v>
      </c>
      <c r="B3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3" s="1" t="s">
        <v>869</v>
      </c>
      <c r="D323" s="1" t="s">
        <v>870</v>
      </c>
      <c r="E323" s="1" t="s">
        <v>871</v>
      </c>
      <c r="F323" s="1" t="s">
        <v>112</v>
      </c>
      <c r="G323" s="1">
        <v>2177763</v>
      </c>
    </row>
    <row r="324" spans="1:8"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112</v>
      </c>
    </row>
    <row r="325" spans="1:8"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5" s="1" t="s">
        <v>242</v>
      </c>
      <c r="D325" s="1" t="s">
        <v>112</v>
      </c>
      <c r="E325" s="1" t="s">
        <v>243</v>
      </c>
      <c r="F325" s="1" t="s">
        <v>244</v>
      </c>
      <c r="G325" s="1" t="s">
        <v>245</v>
      </c>
      <c r="H325" s="1" t="s">
        <v>246</v>
      </c>
    </row>
    <row r="326" spans="1:8" x14ac:dyDescent="0.35">
      <c r="A326" s="1" t="str">
        <f t="shared" si="5"/>
        <v>6</v>
      </c>
      <c r="B3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6" s="1" t="s">
        <v>872</v>
      </c>
      <c r="D326" s="1" t="s">
        <v>112</v>
      </c>
      <c r="E326" s="1" t="s">
        <v>873</v>
      </c>
      <c r="F326" s="1" t="s">
        <v>874</v>
      </c>
      <c r="G326" s="1" t="s">
        <v>875</v>
      </c>
      <c r="H326" s="1" t="s">
        <v>876</v>
      </c>
    </row>
    <row r="327" spans="1:8"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8"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8"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8"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8"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112</v>
      </c>
    </row>
    <row r="332" spans="1:8"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2" s="1" t="s">
        <v>172</v>
      </c>
      <c r="D332" s="1" t="s">
        <v>110</v>
      </c>
      <c r="E332" s="1" t="s">
        <v>111</v>
      </c>
      <c r="F332" s="1" t="s">
        <v>112</v>
      </c>
      <c r="G332" s="1" t="s">
        <v>113</v>
      </c>
    </row>
    <row r="333" spans="1:8" x14ac:dyDescent="0.35">
      <c r="A333" s="1" t="str">
        <f t="shared" si="5"/>
        <v>7</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877</v>
      </c>
      <c r="D333" s="1" t="s">
        <v>878</v>
      </c>
      <c r="E333" s="1" t="s">
        <v>879</v>
      </c>
      <c r="F333" s="1" t="s">
        <v>112</v>
      </c>
      <c r="G333" s="1">
        <v>4881024</v>
      </c>
    </row>
    <row r="334" spans="1:8" x14ac:dyDescent="0.35">
      <c r="A334" s="1" t="str">
        <f t="shared" si="5"/>
        <v>7</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880</v>
      </c>
      <c r="D334" s="1" t="s">
        <v>881</v>
      </c>
      <c r="E334" s="1" t="s">
        <v>882</v>
      </c>
      <c r="F334" s="1" t="s">
        <v>112</v>
      </c>
      <c r="G334" s="1">
        <v>4649995</v>
      </c>
    </row>
    <row r="335" spans="1:8" x14ac:dyDescent="0.35">
      <c r="A335" s="1" t="str">
        <f t="shared" si="5"/>
        <v>7</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5" s="1" t="s">
        <v>883</v>
      </c>
      <c r="D335" s="1" t="s">
        <v>884</v>
      </c>
      <c r="E335" s="1" t="s">
        <v>885</v>
      </c>
      <c r="F335" s="1" t="s">
        <v>112</v>
      </c>
      <c r="G335" s="1">
        <v>4495817</v>
      </c>
    </row>
    <row r="336" spans="1:8" x14ac:dyDescent="0.35">
      <c r="A336" s="1" t="str">
        <f t="shared" si="5"/>
        <v>7</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886</v>
      </c>
    </row>
    <row r="337" spans="1:7" x14ac:dyDescent="0.35">
      <c r="A337" s="1" t="str">
        <f t="shared" si="5"/>
        <v>7</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887</v>
      </c>
    </row>
    <row r="338" spans="1:7" x14ac:dyDescent="0.35">
      <c r="A338" s="1" t="str">
        <f t="shared" si="5"/>
        <v>7</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8" s="1" t="s">
        <v>888</v>
      </c>
    </row>
    <row r="339" spans="1:7" x14ac:dyDescent="0.35">
      <c r="A339" s="1" t="str">
        <f t="shared" si="5"/>
        <v>7</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889</v>
      </c>
      <c r="D339" s="1" t="s">
        <v>890</v>
      </c>
      <c r="E339" s="1" t="s">
        <v>891</v>
      </c>
      <c r="F339" s="1" t="s">
        <v>112</v>
      </c>
      <c r="G339" s="1">
        <v>3652337</v>
      </c>
    </row>
    <row r="340" spans="1:7" x14ac:dyDescent="0.35">
      <c r="A340" s="1" t="str">
        <f t="shared" si="5"/>
        <v>7</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892</v>
      </c>
      <c r="D340" s="1" t="s">
        <v>893</v>
      </c>
      <c r="E340" s="1" t="s">
        <v>894</v>
      </c>
      <c r="F340" s="1" t="s">
        <v>112</v>
      </c>
      <c r="G340" s="1">
        <v>3799118</v>
      </c>
    </row>
    <row r="341" spans="1:7" x14ac:dyDescent="0.35">
      <c r="A341" s="1" t="str">
        <f t="shared" si="5"/>
        <v>7</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1" s="1" t="s">
        <v>895</v>
      </c>
      <c r="D341" s="1" t="s">
        <v>896</v>
      </c>
      <c r="E341" s="1" t="s">
        <v>897</v>
      </c>
      <c r="F341" s="1" t="s">
        <v>112</v>
      </c>
      <c r="G341" s="1">
        <v>3489854</v>
      </c>
    </row>
    <row r="342" spans="1:7" x14ac:dyDescent="0.35">
      <c r="A342" s="1" t="str">
        <f t="shared" si="5"/>
        <v>7</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898</v>
      </c>
      <c r="D342" s="1" t="s">
        <v>899</v>
      </c>
      <c r="E342" s="1" t="s">
        <v>900</v>
      </c>
      <c r="F342" s="1" t="s">
        <v>112</v>
      </c>
      <c r="G342" s="1">
        <v>3214246</v>
      </c>
    </row>
    <row r="343" spans="1:7" x14ac:dyDescent="0.35">
      <c r="A343" s="1" t="str">
        <f t="shared" si="5"/>
        <v>7</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901</v>
      </c>
      <c r="D343" s="1" t="s">
        <v>902</v>
      </c>
      <c r="E343" s="1" t="s">
        <v>903</v>
      </c>
      <c r="F343" s="1" t="s">
        <v>112</v>
      </c>
      <c r="G343" s="1">
        <v>3648812</v>
      </c>
    </row>
    <row r="344" spans="1:7" x14ac:dyDescent="0.35">
      <c r="A344" s="1" t="str">
        <f t="shared" si="5"/>
        <v>7</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4" s="1" t="s">
        <v>904</v>
      </c>
      <c r="D344" s="1" t="s">
        <v>905</v>
      </c>
      <c r="E344" s="1" t="s">
        <v>906</v>
      </c>
      <c r="F344" s="1" t="s">
        <v>112</v>
      </c>
      <c r="G344" s="1">
        <v>2998206</v>
      </c>
    </row>
    <row r="345" spans="1:7" x14ac:dyDescent="0.35">
      <c r="A345" s="1" t="str">
        <f t="shared" si="5"/>
        <v>7</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907</v>
      </c>
      <c r="D345" s="1" t="s">
        <v>908</v>
      </c>
      <c r="E345" s="1" t="s">
        <v>909</v>
      </c>
      <c r="F345" s="1" t="s">
        <v>112</v>
      </c>
      <c r="G345" s="1">
        <v>4813106</v>
      </c>
    </row>
    <row r="346" spans="1:7" x14ac:dyDescent="0.35">
      <c r="A346" s="1" t="str">
        <f t="shared" si="5"/>
        <v>7</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910</v>
      </c>
      <c r="D346" s="1" t="s">
        <v>911</v>
      </c>
      <c r="E346" s="1" t="s">
        <v>912</v>
      </c>
      <c r="F346" s="1" t="s">
        <v>112</v>
      </c>
      <c r="G346" s="1">
        <v>5311805</v>
      </c>
    </row>
    <row r="347" spans="1:7" x14ac:dyDescent="0.35">
      <c r="A347" s="1" t="str">
        <f t="shared" si="5"/>
        <v>7</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7" s="1" t="s">
        <v>913</v>
      </c>
      <c r="D347" s="1" t="s">
        <v>914</v>
      </c>
      <c r="E347" s="1" t="s">
        <v>915</v>
      </c>
      <c r="F347" s="1" t="s">
        <v>112</v>
      </c>
      <c r="G347" s="1">
        <v>4463415</v>
      </c>
    </row>
    <row r="348" spans="1:7" x14ac:dyDescent="0.35">
      <c r="A348" s="1" t="str">
        <f t="shared" si="5"/>
        <v>7</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916</v>
      </c>
      <c r="D348" s="1" t="s">
        <v>917</v>
      </c>
      <c r="E348" s="1" t="s">
        <v>918</v>
      </c>
      <c r="F348" s="1" t="s">
        <v>112</v>
      </c>
      <c r="G348" s="1">
        <v>2535846</v>
      </c>
    </row>
    <row r="349" spans="1:7" x14ac:dyDescent="0.35">
      <c r="A349" s="1" t="str">
        <f t="shared" si="5"/>
        <v>7</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919</v>
      </c>
      <c r="D349" s="1" t="s">
        <v>920</v>
      </c>
      <c r="E349" s="1" t="s">
        <v>921</v>
      </c>
      <c r="F349" s="1" t="s">
        <v>112</v>
      </c>
      <c r="G349" s="1">
        <v>2336245</v>
      </c>
    </row>
    <row r="350" spans="1:7" x14ac:dyDescent="0.35">
      <c r="A350" s="1" t="str">
        <f t="shared" si="5"/>
        <v>7</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50" s="1" t="s">
        <v>922</v>
      </c>
      <c r="D350" s="1" t="s">
        <v>923</v>
      </c>
      <c r="E350" s="1" t="s">
        <v>924</v>
      </c>
      <c r="F350" s="1" t="s">
        <v>112</v>
      </c>
      <c r="G350" s="1">
        <v>2762397</v>
      </c>
    </row>
    <row r="351" spans="1:7" x14ac:dyDescent="0.35">
      <c r="A351" s="1" t="str">
        <f t="shared" si="5"/>
        <v>7</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925</v>
      </c>
      <c r="D351" s="1" t="s">
        <v>926</v>
      </c>
      <c r="E351" s="1" t="s">
        <v>927</v>
      </c>
      <c r="F351" s="1" t="s">
        <v>112</v>
      </c>
      <c r="G351" s="1">
        <v>4069319</v>
      </c>
    </row>
    <row r="352" spans="1:7" x14ac:dyDescent="0.35">
      <c r="A352" s="1" t="str">
        <f t="shared" si="5"/>
        <v>7</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928</v>
      </c>
      <c r="D352" s="1" t="s">
        <v>929</v>
      </c>
      <c r="E352" s="1" t="s">
        <v>930</v>
      </c>
      <c r="F352" s="1" t="s">
        <v>112</v>
      </c>
      <c r="G352" s="1">
        <v>3975856</v>
      </c>
    </row>
    <row r="353" spans="1:8" x14ac:dyDescent="0.35">
      <c r="A353" s="1" t="str">
        <f t="shared" si="5"/>
        <v>7</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3" s="1" t="s">
        <v>931</v>
      </c>
      <c r="D353" s="1" t="s">
        <v>932</v>
      </c>
      <c r="E353" s="1" t="s">
        <v>933</v>
      </c>
      <c r="F353" s="1" t="s">
        <v>112</v>
      </c>
      <c r="G353" s="1">
        <v>4133754</v>
      </c>
    </row>
    <row r="354" spans="1:8" x14ac:dyDescent="0.35">
      <c r="A354" s="1" t="str">
        <f t="shared" si="5"/>
        <v>7</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934</v>
      </c>
      <c r="D354" s="1" t="s">
        <v>935</v>
      </c>
      <c r="E354" s="1" t="s">
        <v>936</v>
      </c>
      <c r="F354" s="1" t="s">
        <v>112</v>
      </c>
      <c r="G354" s="1">
        <v>3664169</v>
      </c>
    </row>
    <row r="355" spans="1:8" x14ac:dyDescent="0.35">
      <c r="A355" s="1" t="str">
        <f t="shared" si="5"/>
        <v>7</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937</v>
      </c>
      <c r="D355" s="1" t="s">
        <v>938</v>
      </c>
      <c r="E355" s="1" t="s">
        <v>939</v>
      </c>
      <c r="F355" s="1" t="s">
        <v>112</v>
      </c>
      <c r="G355" s="1">
        <v>3680456</v>
      </c>
    </row>
    <row r="356" spans="1:8" x14ac:dyDescent="0.35">
      <c r="A356" s="1" t="str">
        <f t="shared" si="5"/>
        <v>7</v>
      </c>
      <c r="B3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6" s="1" t="s">
        <v>940</v>
      </c>
      <c r="D356" s="1" t="s">
        <v>941</v>
      </c>
      <c r="E356" s="1" t="s">
        <v>942</v>
      </c>
      <c r="F356" s="1" t="s">
        <v>112</v>
      </c>
      <c r="G356" s="1">
        <v>3537850</v>
      </c>
    </row>
    <row r="357" spans="1:8"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112</v>
      </c>
    </row>
    <row r="358" spans="1:8"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8" s="1" t="s">
        <v>242</v>
      </c>
      <c r="D358" s="1" t="s">
        <v>112</v>
      </c>
      <c r="E358" s="1" t="s">
        <v>243</v>
      </c>
      <c r="F358" s="1" t="s">
        <v>244</v>
      </c>
      <c r="G358" s="1" t="s">
        <v>245</v>
      </c>
      <c r="H358" s="1" t="s">
        <v>246</v>
      </c>
    </row>
    <row r="359" spans="1:8" x14ac:dyDescent="0.35">
      <c r="A359" s="1" t="str">
        <f t="shared" si="5"/>
        <v>7</v>
      </c>
      <c r="B3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9" s="1" t="s">
        <v>943</v>
      </c>
      <c r="D359" s="1" t="s">
        <v>112</v>
      </c>
      <c r="E359" s="1" t="s">
        <v>944</v>
      </c>
      <c r="F359" s="1" t="s">
        <v>945</v>
      </c>
      <c r="G359" s="1" t="s">
        <v>946</v>
      </c>
      <c r="H359" s="1" t="s">
        <v>947</v>
      </c>
    </row>
    <row r="360" spans="1:8"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8"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8"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8"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8"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112</v>
      </c>
    </row>
    <row r="365" spans="1:8"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5" s="1" t="s">
        <v>172</v>
      </c>
      <c r="D365" s="1" t="s">
        <v>110</v>
      </c>
      <c r="E365" s="1" t="s">
        <v>111</v>
      </c>
      <c r="F365" s="1" t="s">
        <v>112</v>
      </c>
      <c r="G365" s="1" t="s">
        <v>113</v>
      </c>
    </row>
    <row r="366" spans="1:8" x14ac:dyDescent="0.35">
      <c r="A366" s="1" t="str">
        <f t="shared" si="5"/>
        <v>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948</v>
      </c>
      <c r="D366" s="1" t="s">
        <v>949</v>
      </c>
      <c r="E366" s="1" t="s">
        <v>950</v>
      </c>
      <c r="F366" s="1" t="s">
        <v>112</v>
      </c>
      <c r="G366" s="1">
        <v>242623</v>
      </c>
    </row>
    <row r="367" spans="1:8" x14ac:dyDescent="0.35">
      <c r="A367" s="1" t="str">
        <f t="shared" si="5"/>
        <v>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951</v>
      </c>
      <c r="D367" s="1" t="s">
        <v>503</v>
      </c>
      <c r="E367" s="1" t="s">
        <v>952</v>
      </c>
      <c r="F367" s="1" t="s">
        <v>112</v>
      </c>
      <c r="G367" s="1">
        <v>251577</v>
      </c>
    </row>
    <row r="368" spans="1:8" x14ac:dyDescent="0.35">
      <c r="A368" s="1" t="str">
        <f t="shared" si="5"/>
        <v>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8" s="1" t="s">
        <v>953</v>
      </c>
      <c r="D368" s="1" t="s">
        <v>954</v>
      </c>
      <c r="E368" s="1" t="s">
        <v>955</v>
      </c>
      <c r="F368" s="1" t="s">
        <v>112</v>
      </c>
      <c r="G368" s="1">
        <v>186255</v>
      </c>
    </row>
    <row r="369" spans="1:7" x14ac:dyDescent="0.35">
      <c r="A369" s="1" t="str">
        <f t="shared" si="5"/>
        <v>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956</v>
      </c>
      <c r="D369" s="1" t="s">
        <v>957</v>
      </c>
      <c r="E369" s="1" t="s">
        <v>958</v>
      </c>
      <c r="F369" s="1" t="s">
        <v>112</v>
      </c>
      <c r="G369" s="1">
        <v>190213</v>
      </c>
    </row>
    <row r="370" spans="1:7" x14ac:dyDescent="0.35">
      <c r="A370" s="1" t="str">
        <f t="shared" si="5"/>
        <v>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959</v>
      </c>
      <c r="D370" s="1" t="s">
        <v>151</v>
      </c>
      <c r="E370" s="1" t="s">
        <v>960</v>
      </c>
      <c r="F370" s="1" t="s">
        <v>112</v>
      </c>
      <c r="G370" s="1">
        <v>118402</v>
      </c>
    </row>
    <row r="371" spans="1:7" x14ac:dyDescent="0.35">
      <c r="A371" s="1" t="str">
        <f t="shared" si="5"/>
        <v>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1" s="1" t="s">
        <v>961</v>
      </c>
      <c r="D371" s="1" t="s">
        <v>962</v>
      </c>
      <c r="E371" s="1" t="s">
        <v>963</v>
      </c>
      <c r="F371" s="1" t="s">
        <v>112</v>
      </c>
      <c r="G371" s="1">
        <v>72352</v>
      </c>
    </row>
    <row r="372" spans="1:7" x14ac:dyDescent="0.35">
      <c r="A372" s="1" t="str">
        <f t="shared" si="5"/>
        <v>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964</v>
      </c>
      <c r="D372" s="1" t="s">
        <v>965</v>
      </c>
      <c r="E372" s="1" t="s">
        <v>966</v>
      </c>
      <c r="F372" s="1" t="s">
        <v>112</v>
      </c>
      <c r="G372" s="1">
        <v>20894</v>
      </c>
    </row>
    <row r="373" spans="1:7" x14ac:dyDescent="0.35">
      <c r="A373" s="1" t="str">
        <f t="shared" si="5"/>
        <v>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967</v>
      </c>
      <c r="D373" s="1" t="s">
        <v>968</v>
      </c>
      <c r="E373" s="1" t="s">
        <v>969</v>
      </c>
      <c r="F373" s="1" t="s">
        <v>112</v>
      </c>
      <c r="G373" s="1">
        <v>81848</v>
      </c>
    </row>
    <row r="374" spans="1:7" x14ac:dyDescent="0.35">
      <c r="A374" s="1" t="str">
        <f t="shared" si="5"/>
        <v>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4" s="1" t="s">
        <v>970</v>
      </c>
      <c r="D374" s="1" t="s">
        <v>308</v>
      </c>
      <c r="E374" s="1" t="s">
        <v>971</v>
      </c>
      <c r="F374" s="1" t="s">
        <v>112</v>
      </c>
      <c r="G374" s="1">
        <v>75121</v>
      </c>
    </row>
    <row r="375" spans="1:7" x14ac:dyDescent="0.35">
      <c r="A375" s="1" t="str">
        <f t="shared" si="5"/>
        <v>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972</v>
      </c>
      <c r="D375" s="1" t="s">
        <v>973</v>
      </c>
      <c r="E375" s="1" t="s">
        <v>974</v>
      </c>
      <c r="F375" s="1" t="s">
        <v>112</v>
      </c>
      <c r="G375" s="1">
        <v>105381</v>
      </c>
    </row>
    <row r="376" spans="1:7" x14ac:dyDescent="0.35">
      <c r="A376" s="1" t="str">
        <f t="shared" si="5"/>
        <v>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975</v>
      </c>
      <c r="D376" s="1" t="s">
        <v>976</v>
      </c>
      <c r="E376" s="1" t="s">
        <v>977</v>
      </c>
      <c r="F376" s="1" t="s">
        <v>112</v>
      </c>
      <c r="G376" s="1">
        <v>161986</v>
      </c>
    </row>
    <row r="377" spans="1:7" x14ac:dyDescent="0.35">
      <c r="A377" s="1" t="str">
        <f t="shared" si="5"/>
        <v>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7" s="1" t="s">
        <v>978</v>
      </c>
      <c r="D377" s="1" t="s">
        <v>979</v>
      </c>
      <c r="E377" s="1" t="s">
        <v>980</v>
      </c>
      <c r="F377" s="1" t="s">
        <v>112</v>
      </c>
      <c r="G377" s="1">
        <v>201785</v>
      </c>
    </row>
    <row r="378" spans="1:7" x14ac:dyDescent="0.35">
      <c r="A378" s="1" t="str">
        <f t="shared" si="5"/>
        <v>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981</v>
      </c>
      <c r="D378" s="1" t="s">
        <v>982</v>
      </c>
      <c r="E378" s="1" t="s">
        <v>983</v>
      </c>
      <c r="F378" s="1" t="s">
        <v>112</v>
      </c>
      <c r="G378" s="1">
        <v>259537</v>
      </c>
    </row>
    <row r="379" spans="1:7" x14ac:dyDescent="0.35">
      <c r="A379" s="1" t="str">
        <f t="shared" si="5"/>
        <v>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984</v>
      </c>
      <c r="D379" s="1" t="s">
        <v>985</v>
      </c>
      <c r="E379" s="1" t="s">
        <v>986</v>
      </c>
      <c r="F379" s="1" t="s">
        <v>112</v>
      </c>
      <c r="G379" s="1">
        <v>45293</v>
      </c>
    </row>
    <row r="380" spans="1:7" x14ac:dyDescent="0.35">
      <c r="A380" s="1" t="str">
        <f t="shared" si="5"/>
        <v>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80" s="1" t="s">
        <v>987</v>
      </c>
      <c r="D380" s="1" t="s">
        <v>988</v>
      </c>
      <c r="E380" s="1" t="s">
        <v>989</v>
      </c>
      <c r="F380" s="1" t="s">
        <v>112</v>
      </c>
      <c r="G380" s="1">
        <v>343331</v>
      </c>
    </row>
    <row r="381" spans="1:7" x14ac:dyDescent="0.35">
      <c r="A381" s="1" t="str">
        <f t="shared" si="5"/>
        <v>10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990</v>
      </c>
      <c r="D381" s="1" t="s">
        <v>991</v>
      </c>
      <c r="E381" s="1" t="s">
        <v>992</v>
      </c>
      <c r="F381" s="1" t="s">
        <v>112</v>
      </c>
      <c r="G381" s="1">
        <v>366778</v>
      </c>
    </row>
    <row r="382" spans="1:7" x14ac:dyDescent="0.35">
      <c r="A382" s="1" t="str">
        <f t="shared" si="5"/>
        <v>10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993</v>
      </c>
      <c r="D382" s="1" t="s">
        <v>994</v>
      </c>
      <c r="E382" s="1" t="s">
        <v>995</v>
      </c>
      <c r="F382" s="1" t="s">
        <v>112</v>
      </c>
      <c r="G382" s="1">
        <v>92662</v>
      </c>
    </row>
    <row r="383" spans="1:7" x14ac:dyDescent="0.35">
      <c r="A383" s="1" t="str">
        <f t="shared" si="5"/>
        <v>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3" s="1" t="s">
        <v>996</v>
      </c>
      <c r="D383" s="1" t="s">
        <v>997</v>
      </c>
      <c r="E383" s="1" t="s">
        <v>998</v>
      </c>
      <c r="F383" s="1" t="s">
        <v>112</v>
      </c>
      <c r="G383" s="1">
        <v>8241</v>
      </c>
    </row>
    <row r="384" spans="1:7" x14ac:dyDescent="0.35">
      <c r="A384" s="1" t="str">
        <f t="shared" si="5"/>
        <v>10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999</v>
      </c>
      <c r="D384" s="1" t="s">
        <v>1000</v>
      </c>
      <c r="E384" s="1" t="s">
        <v>1001</v>
      </c>
      <c r="F384" s="1" t="s">
        <v>112</v>
      </c>
      <c r="G384" s="1">
        <v>143363</v>
      </c>
    </row>
    <row r="385" spans="1:8" x14ac:dyDescent="0.35">
      <c r="A385" s="1" t="str">
        <f t="shared" si="5"/>
        <v>10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1002</v>
      </c>
      <c r="D385" s="1" t="s">
        <v>1003</v>
      </c>
      <c r="E385" s="1" t="s">
        <v>1004</v>
      </c>
      <c r="F385" s="1" t="s">
        <v>112</v>
      </c>
      <c r="G385" s="1">
        <v>450248</v>
      </c>
    </row>
    <row r="386" spans="1:8" x14ac:dyDescent="0.35">
      <c r="A386" s="1" t="str">
        <f t="shared" ref="A386:A449" si="6">IFERROR(LEFT(RIGHT(C386,LEN(C386)-SEARCH("@",C386)),SEARCH("/",RIGHT(C386,LEN(C386)-SEARCH("@",C386)-1))),"")</f>
        <v>10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6" s="1" t="s">
        <v>1005</v>
      </c>
      <c r="D386" s="1" t="s">
        <v>234</v>
      </c>
      <c r="E386" s="1" t="s">
        <v>1006</v>
      </c>
      <c r="F386" s="1" t="s">
        <v>112</v>
      </c>
      <c r="G386" s="1">
        <v>1406</v>
      </c>
    </row>
    <row r="387" spans="1:8" x14ac:dyDescent="0.35">
      <c r="A387" s="1" t="str">
        <f t="shared" si="6"/>
        <v>10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1007</v>
      </c>
      <c r="D387" s="1" t="s">
        <v>1008</v>
      </c>
      <c r="E387" s="1" t="s">
        <v>1009</v>
      </c>
      <c r="F387" s="1" t="s">
        <v>112</v>
      </c>
      <c r="G387" s="1">
        <v>40491</v>
      </c>
    </row>
    <row r="388" spans="1:8" x14ac:dyDescent="0.35">
      <c r="A388" s="1" t="str">
        <f t="shared" si="6"/>
        <v>10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1010</v>
      </c>
      <c r="D388" s="1" t="s">
        <v>1011</v>
      </c>
      <c r="E388" s="1" t="s">
        <v>1012</v>
      </c>
      <c r="F388" s="1" t="s">
        <v>112</v>
      </c>
      <c r="G388" s="1">
        <v>97572</v>
      </c>
    </row>
    <row r="389" spans="1:8" x14ac:dyDescent="0.35">
      <c r="A389" s="1" t="str">
        <f t="shared" si="6"/>
        <v>10</v>
      </c>
      <c r="B3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9" s="1" t="s">
        <v>1013</v>
      </c>
      <c r="D389" s="1" t="s">
        <v>1014</v>
      </c>
      <c r="E389" s="1" t="s">
        <v>1015</v>
      </c>
      <c r="F389" s="1" t="s">
        <v>112</v>
      </c>
      <c r="G389" s="1">
        <v>72547</v>
      </c>
    </row>
    <row r="390" spans="1:8"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112</v>
      </c>
    </row>
    <row r="391" spans="1:8"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1" s="1" t="s">
        <v>242</v>
      </c>
      <c r="D391" s="1" t="s">
        <v>112</v>
      </c>
      <c r="E391" s="1" t="s">
        <v>243</v>
      </c>
      <c r="F391" s="1" t="s">
        <v>244</v>
      </c>
      <c r="G391" s="1" t="s">
        <v>245</v>
      </c>
      <c r="H391" s="1" t="s">
        <v>246</v>
      </c>
    </row>
    <row r="392" spans="1:8" x14ac:dyDescent="0.35">
      <c r="A392" s="1" t="str">
        <f t="shared" si="6"/>
        <v>10</v>
      </c>
      <c r="B3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2" s="1" t="s">
        <v>1016</v>
      </c>
      <c r="D392" s="1" t="s">
        <v>112</v>
      </c>
      <c r="E392" s="1" t="s">
        <v>1017</v>
      </c>
      <c r="F392" s="1" t="s">
        <v>1018</v>
      </c>
      <c r="G392" s="1" t="s">
        <v>1019</v>
      </c>
      <c r="H392" s="1" t="s">
        <v>1020</v>
      </c>
    </row>
    <row r="393" spans="1:8"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8"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8"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8"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8"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112</v>
      </c>
    </row>
    <row r="398" spans="1:8"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8" s="1" t="s">
        <v>172</v>
      </c>
      <c r="D398" s="1" t="s">
        <v>110</v>
      </c>
      <c r="E398" s="1" t="s">
        <v>111</v>
      </c>
      <c r="F398" s="1" t="s">
        <v>112</v>
      </c>
      <c r="G398" s="1" t="s">
        <v>113</v>
      </c>
    </row>
    <row r="399" spans="1:8" x14ac:dyDescent="0.35">
      <c r="A399" s="1" t="str">
        <f t="shared" si="6"/>
        <v>11</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1021</v>
      </c>
      <c r="D399" s="1" t="s">
        <v>1022</v>
      </c>
      <c r="E399" s="1" t="s">
        <v>1023</v>
      </c>
      <c r="F399" s="1" t="s">
        <v>112</v>
      </c>
      <c r="G399" s="1">
        <v>551562</v>
      </c>
    </row>
    <row r="400" spans="1:8" x14ac:dyDescent="0.35">
      <c r="A400" s="1" t="str">
        <f t="shared" si="6"/>
        <v>11</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1024</v>
      </c>
      <c r="D400" s="1" t="s">
        <v>1025</v>
      </c>
      <c r="E400" s="1" t="s">
        <v>1026</v>
      </c>
      <c r="F400" s="1" t="s">
        <v>112</v>
      </c>
      <c r="G400" s="1">
        <v>586841</v>
      </c>
    </row>
    <row r="401" spans="1:7" x14ac:dyDescent="0.35">
      <c r="A401" s="1" t="str">
        <f t="shared" si="6"/>
        <v>11</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1" s="1" t="s">
        <v>1027</v>
      </c>
      <c r="D401" s="1" t="s">
        <v>1028</v>
      </c>
      <c r="E401" s="1" t="s">
        <v>1029</v>
      </c>
      <c r="F401" s="1" t="s">
        <v>112</v>
      </c>
      <c r="G401" s="1">
        <v>858123</v>
      </c>
    </row>
    <row r="402" spans="1:7" x14ac:dyDescent="0.35">
      <c r="A402" s="1" t="str">
        <f t="shared" si="6"/>
        <v>11</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1030</v>
      </c>
      <c r="D402" s="1" t="s">
        <v>1031</v>
      </c>
      <c r="E402" s="1" t="s">
        <v>1032</v>
      </c>
      <c r="F402" s="1" t="s">
        <v>112</v>
      </c>
      <c r="G402" s="1">
        <v>1611168</v>
      </c>
    </row>
    <row r="403" spans="1:7" x14ac:dyDescent="0.35">
      <c r="A403" s="1" t="str">
        <f t="shared" si="6"/>
        <v>11</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1033</v>
      </c>
      <c r="D403" s="1" t="s">
        <v>1034</v>
      </c>
      <c r="E403" s="1" t="s">
        <v>1035</v>
      </c>
      <c r="F403" s="1" t="s">
        <v>112</v>
      </c>
      <c r="G403" s="1">
        <v>1215622</v>
      </c>
    </row>
    <row r="404" spans="1:7" x14ac:dyDescent="0.35">
      <c r="A404" s="1" t="str">
        <f t="shared" si="6"/>
        <v>11</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4" s="1" t="s">
        <v>1036</v>
      </c>
      <c r="D404" s="1" t="s">
        <v>1037</v>
      </c>
      <c r="E404" s="1" t="s">
        <v>1038</v>
      </c>
      <c r="F404" s="1" t="s">
        <v>112</v>
      </c>
      <c r="G404" s="1">
        <v>1060081</v>
      </c>
    </row>
    <row r="405" spans="1:7" x14ac:dyDescent="0.35">
      <c r="A405" s="1" t="str">
        <f t="shared" si="6"/>
        <v>11</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1039</v>
      </c>
      <c r="D405" s="1" t="s">
        <v>1040</v>
      </c>
      <c r="E405" s="1" t="s">
        <v>1041</v>
      </c>
      <c r="F405" s="1" t="s">
        <v>112</v>
      </c>
      <c r="G405" s="1">
        <v>950201</v>
      </c>
    </row>
    <row r="406" spans="1:7" x14ac:dyDescent="0.35">
      <c r="A406" s="1" t="str">
        <f t="shared" si="6"/>
        <v>11</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1042</v>
      </c>
      <c r="D406" s="1" t="s">
        <v>1043</v>
      </c>
      <c r="E406" s="1" t="s">
        <v>1044</v>
      </c>
      <c r="F406" s="1" t="s">
        <v>112</v>
      </c>
      <c r="G406" s="1">
        <v>1030470</v>
      </c>
    </row>
    <row r="407" spans="1:7" x14ac:dyDescent="0.35">
      <c r="A407" s="1" t="str">
        <f t="shared" si="6"/>
        <v>11</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7" s="1" t="s">
        <v>1045</v>
      </c>
      <c r="D407" s="1" t="s">
        <v>1046</v>
      </c>
      <c r="E407" s="1" t="s">
        <v>1047</v>
      </c>
      <c r="F407" s="1" t="s">
        <v>112</v>
      </c>
      <c r="G407" s="1">
        <v>1414790</v>
      </c>
    </row>
    <row r="408" spans="1:7" x14ac:dyDescent="0.35">
      <c r="A408" s="1" t="str">
        <f t="shared" si="6"/>
        <v>11</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1048</v>
      </c>
      <c r="D408" s="1" t="s">
        <v>988</v>
      </c>
      <c r="E408" s="1" t="s">
        <v>1049</v>
      </c>
      <c r="F408" s="1" t="s">
        <v>112</v>
      </c>
      <c r="G408" s="1">
        <v>321247</v>
      </c>
    </row>
    <row r="409" spans="1:7" x14ac:dyDescent="0.35">
      <c r="A409" s="1" t="str">
        <f t="shared" si="6"/>
        <v>11</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1050</v>
      </c>
      <c r="D409" s="1" t="s">
        <v>1051</v>
      </c>
      <c r="E409" s="1" t="s">
        <v>1052</v>
      </c>
      <c r="F409" s="1" t="s">
        <v>112</v>
      </c>
      <c r="G409" s="1">
        <v>537070</v>
      </c>
    </row>
    <row r="410" spans="1:7" x14ac:dyDescent="0.35">
      <c r="A410" s="1" t="str">
        <f t="shared" si="6"/>
        <v>11</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10" s="1" t="s">
        <v>1053</v>
      </c>
      <c r="D410" s="1" t="s">
        <v>1054</v>
      </c>
      <c r="E410" s="1" t="s">
        <v>1055</v>
      </c>
      <c r="F410" s="1" t="s">
        <v>112</v>
      </c>
      <c r="G410" s="1">
        <v>567374</v>
      </c>
    </row>
    <row r="411" spans="1:7" x14ac:dyDescent="0.35">
      <c r="A411" s="1" t="str">
        <f t="shared" si="6"/>
        <v>11</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1056</v>
      </c>
      <c r="D411" s="1" t="s">
        <v>296</v>
      </c>
      <c r="E411" s="1" t="s">
        <v>1057</v>
      </c>
      <c r="F411" s="1" t="s">
        <v>112</v>
      </c>
      <c r="G411" s="1">
        <v>424422</v>
      </c>
    </row>
    <row r="412" spans="1:7" x14ac:dyDescent="0.35">
      <c r="A412" s="1" t="str">
        <f t="shared" si="6"/>
        <v>11</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1058</v>
      </c>
      <c r="D412" s="1" t="s">
        <v>535</v>
      </c>
      <c r="E412" s="1" t="s">
        <v>1059</v>
      </c>
      <c r="F412" s="1" t="s">
        <v>112</v>
      </c>
      <c r="G412" s="1">
        <v>112562</v>
      </c>
    </row>
    <row r="413" spans="1:7" x14ac:dyDescent="0.35">
      <c r="A413" s="1" t="str">
        <f t="shared" si="6"/>
        <v>11</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3" s="1" t="s">
        <v>1060</v>
      </c>
      <c r="D413" s="1" t="s">
        <v>1061</v>
      </c>
      <c r="E413" s="1" t="s">
        <v>1062</v>
      </c>
      <c r="F413" s="1" t="s">
        <v>112</v>
      </c>
      <c r="G413" s="1">
        <v>121841</v>
      </c>
    </row>
    <row r="414" spans="1:7" x14ac:dyDescent="0.35">
      <c r="A414" s="1" t="str">
        <f t="shared" si="6"/>
        <v>11</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1063</v>
      </c>
      <c r="D414" s="1" t="s">
        <v>530</v>
      </c>
      <c r="E414" s="1" t="s">
        <v>1064</v>
      </c>
      <c r="F414" s="1" t="s">
        <v>112</v>
      </c>
      <c r="G414" s="1">
        <v>3439</v>
      </c>
    </row>
    <row r="415" spans="1:7" x14ac:dyDescent="0.35">
      <c r="A415" s="1" t="str">
        <f t="shared" si="6"/>
        <v>11</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1065</v>
      </c>
      <c r="D415" s="1" t="s">
        <v>1066</v>
      </c>
      <c r="E415" s="1" t="s">
        <v>1067</v>
      </c>
      <c r="F415" s="1" t="s">
        <v>112</v>
      </c>
      <c r="G415" s="1">
        <v>100276</v>
      </c>
    </row>
    <row r="416" spans="1:7" x14ac:dyDescent="0.35">
      <c r="A416" s="1" t="str">
        <f t="shared" si="6"/>
        <v>11</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6" s="1" t="s">
        <v>1068</v>
      </c>
      <c r="D416" s="1" t="s">
        <v>1069</v>
      </c>
      <c r="E416" s="1" t="s">
        <v>1070</v>
      </c>
      <c r="F416" s="1" t="s">
        <v>112</v>
      </c>
      <c r="G416" s="1">
        <v>199774</v>
      </c>
    </row>
    <row r="417" spans="1:8" x14ac:dyDescent="0.35">
      <c r="A417" s="1" t="str">
        <f t="shared" si="6"/>
        <v>11</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1071</v>
      </c>
    </row>
    <row r="418" spans="1:8" x14ac:dyDescent="0.35">
      <c r="A418" s="1" t="str">
        <f t="shared" si="6"/>
        <v>11</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1072</v>
      </c>
    </row>
    <row r="419" spans="1:8" x14ac:dyDescent="0.35">
      <c r="A419" s="1" t="str">
        <f t="shared" si="6"/>
        <v>11</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9" s="1" t="s">
        <v>1073</v>
      </c>
      <c r="D419" s="1" t="s">
        <v>1074</v>
      </c>
      <c r="E419" s="1" t="s">
        <v>1075</v>
      </c>
      <c r="F419" s="1" t="s">
        <v>112</v>
      </c>
      <c r="G419" s="1">
        <v>130926</v>
      </c>
    </row>
    <row r="420" spans="1:8" x14ac:dyDescent="0.35">
      <c r="A420" s="1" t="str">
        <f t="shared" si="6"/>
        <v>11</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1076</v>
      </c>
      <c r="D420" s="1" t="s">
        <v>1077</v>
      </c>
      <c r="E420" s="1" t="s">
        <v>1078</v>
      </c>
      <c r="F420" s="1" t="s">
        <v>112</v>
      </c>
      <c r="G420" s="1">
        <v>376685</v>
      </c>
    </row>
    <row r="421" spans="1:8" x14ac:dyDescent="0.35">
      <c r="A421" s="1" t="str">
        <f t="shared" si="6"/>
        <v>11</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1079</v>
      </c>
      <c r="D421" s="1" t="s">
        <v>1080</v>
      </c>
      <c r="E421" s="1" t="s">
        <v>1081</v>
      </c>
      <c r="F421" s="1" t="s">
        <v>112</v>
      </c>
      <c r="G421" s="1">
        <v>779671</v>
      </c>
    </row>
    <row r="422" spans="1:8" x14ac:dyDescent="0.35">
      <c r="A422" s="1" t="str">
        <f t="shared" si="6"/>
        <v>11</v>
      </c>
      <c r="B4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2" s="1" t="s">
        <v>1082</v>
      </c>
      <c r="D422" s="1" t="s">
        <v>1083</v>
      </c>
      <c r="E422" s="1" t="s">
        <v>1084</v>
      </c>
      <c r="F422" s="1" t="s">
        <v>112</v>
      </c>
      <c r="G422" s="1">
        <v>738942</v>
      </c>
    </row>
    <row r="423" spans="1:8"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112</v>
      </c>
    </row>
    <row r="424" spans="1:8"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4" s="1" t="s">
        <v>242</v>
      </c>
      <c r="D424" s="1" t="s">
        <v>112</v>
      </c>
      <c r="E424" s="1" t="s">
        <v>243</v>
      </c>
      <c r="F424" s="1" t="s">
        <v>244</v>
      </c>
      <c r="G424" s="1" t="s">
        <v>245</v>
      </c>
      <c r="H424" s="1" t="s">
        <v>246</v>
      </c>
    </row>
    <row r="425" spans="1:8" x14ac:dyDescent="0.35">
      <c r="A425" s="1" t="str">
        <f t="shared" si="6"/>
        <v>11</v>
      </c>
      <c r="B4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5" s="1" t="s">
        <v>1085</v>
      </c>
      <c r="D425" s="1" t="s">
        <v>112</v>
      </c>
      <c r="E425" s="1" t="s">
        <v>1086</v>
      </c>
      <c r="F425" s="1" t="s">
        <v>1087</v>
      </c>
      <c r="G425" s="1" t="s">
        <v>1088</v>
      </c>
      <c r="H425" s="1" t="s">
        <v>1089</v>
      </c>
    </row>
    <row r="426" spans="1:8"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8"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8"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8"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8"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112</v>
      </c>
    </row>
    <row r="431" spans="1:8"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1" s="1" t="s">
        <v>172</v>
      </c>
      <c r="D431" s="1" t="s">
        <v>110</v>
      </c>
      <c r="E431" s="1" t="s">
        <v>111</v>
      </c>
      <c r="F431" s="1" t="s">
        <v>112</v>
      </c>
      <c r="G431" s="1" t="s">
        <v>113</v>
      </c>
    </row>
    <row r="432" spans="1:8" x14ac:dyDescent="0.35">
      <c r="A432" s="1" t="str">
        <f t="shared" si="6"/>
        <v>12</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1090</v>
      </c>
      <c r="D432" s="1" t="s">
        <v>1091</v>
      </c>
      <c r="E432" s="1" t="s">
        <v>1092</v>
      </c>
      <c r="F432" s="1" t="s">
        <v>112</v>
      </c>
      <c r="G432" s="1">
        <v>633626</v>
      </c>
    </row>
    <row r="433" spans="1:7" x14ac:dyDescent="0.35">
      <c r="A433" s="1" t="str">
        <f t="shared" si="6"/>
        <v>12</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1093</v>
      </c>
      <c r="D433" s="1" t="s">
        <v>1094</v>
      </c>
      <c r="E433" s="1" t="s">
        <v>1095</v>
      </c>
      <c r="F433" s="1" t="s">
        <v>112</v>
      </c>
      <c r="G433" s="1">
        <v>662740</v>
      </c>
    </row>
    <row r="434" spans="1:7" x14ac:dyDescent="0.35">
      <c r="A434" s="1" t="str">
        <f t="shared" si="6"/>
        <v>12</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4" s="1" t="s">
        <v>1096</v>
      </c>
      <c r="D434" s="1" t="s">
        <v>1097</v>
      </c>
      <c r="E434" s="1" t="s">
        <v>1098</v>
      </c>
      <c r="F434" s="1" t="s">
        <v>112</v>
      </c>
      <c r="G434" s="1">
        <v>1025668</v>
      </c>
    </row>
    <row r="435" spans="1:7" x14ac:dyDescent="0.35">
      <c r="A435" s="1" t="str">
        <f t="shared" si="6"/>
        <v>12</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1099</v>
      </c>
      <c r="D435" s="1" t="s">
        <v>1100</v>
      </c>
      <c r="E435" s="1" t="s">
        <v>1101</v>
      </c>
      <c r="F435" s="1" t="s">
        <v>112</v>
      </c>
      <c r="G435" s="1">
        <v>145915</v>
      </c>
    </row>
    <row r="436" spans="1:7" x14ac:dyDescent="0.35">
      <c r="A436" s="1" t="str">
        <f t="shared" si="6"/>
        <v>12</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1102</v>
      </c>
      <c r="D436" s="1" t="s">
        <v>1103</v>
      </c>
      <c r="E436" s="1" t="s">
        <v>1104</v>
      </c>
      <c r="F436" s="1" t="s">
        <v>112</v>
      </c>
      <c r="G436" s="1">
        <v>299834</v>
      </c>
    </row>
    <row r="437" spans="1:7" x14ac:dyDescent="0.35">
      <c r="A437" s="1" t="str">
        <f t="shared" si="6"/>
        <v>12</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7" s="1" t="s">
        <v>1105</v>
      </c>
      <c r="D437" s="1" t="s">
        <v>1106</v>
      </c>
      <c r="E437" s="1" t="s">
        <v>1107</v>
      </c>
      <c r="F437" s="1" t="s">
        <v>112</v>
      </c>
      <c r="G437" s="1">
        <v>301542</v>
      </c>
    </row>
    <row r="438" spans="1:7" x14ac:dyDescent="0.35">
      <c r="A438" s="1" t="str">
        <f t="shared" si="6"/>
        <v>12</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1108</v>
      </c>
      <c r="D438" s="1" t="s">
        <v>1109</v>
      </c>
      <c r="E438" s="1" t="s">
        <v>1110</v>
      </c>
      <c r="F438" s="1" t="s">
        <v>112</v>
      </c>
      <c r="G438" s="1">
        <v>316575</v>
      </c>
    </row>
    <row r="439" spans="1:7" x14ac:dyDescent="0.35">
      <c r="A439" s="1" t="str">
        <f t="shared" si="6"/>
        <v>12</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1111</v>
      </c>
      <c r="D439" s="1" t="s">
        <v>1112</v>
      </c>
      <c r="E439" s="1" t="s">
        <v>1113</v>
      </c>
      <c r="F439" s="1" t="s">
        <v>112</v>
      </c>
      <c r="G439" s="1">
        <v>360008</v>
      </c>
    </row>
    <row r="440" spans="1:7" x14ac:dyDescent="0.35">
      <c r="A440" s="1" t="str">
        <f t="shared" si="6"/>
        <v>12</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0" s="1" t="s">
        <v>1114</v>
      </c>
      <c r="D440" s="1" t="s">
        <v>1115</v>
      </c>
      <c r="E440" s="1" t="s">
        <v>1116</v>
      </c>
      <c r="F440" s="1" t="s">
        <v>112</v>
      </c>
      <c r="G440" s="1">
        <v>710629</v>
      </c>
    </row>
    <row r="441" spans="1:7" x14ac:dyDescent="0.35">
      <c r="A441" s="1" t="str">
        <f t="shared" si="6"/>
        <v>12</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1117</v>
      </c>
      <c r="D441" s="1" t="s">
        <v>1118</v>
      </c>
      <c r="E441" s="1" t="s">
        <v>1119</v>
      </c>
      <c r="F441" s="1" t="s">
        <v>112</v>
      </c>
      <c r="G441" s="1">
        <v>227071</v>
      </c>
    </row>
    <row r="442" spans="1:7" x14ac:dyDescent="0.35">
      <c r="A442" s="1" t="str">
        <f t="shared" si="6"/>
        <v>12</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1120</v>
      </c>
      <c r="D442" s="1" t="s">
        <v>486</v>
      </c>
      <c r="E442" s="1" t="s">
        <v>1121</v>
      </c>
      <c r="F442" s="1" t="s">
        <v>112</v>
      </c>
      <c r="G442" s="1">
        <v>259905</v>
      </c>
    </row>
    <row r="443" spans="1:7" x14ac:dyDescent="0.35">
      <c r="A443" s="1" t="str">
        <f t="shared" si="6"/>
        <v>12</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3" s="1" t="s">
        <v>1122</v>
      </c>
    </row>
    <row r="444" spans="1:7" x14ac:dyDescent="0.35">
      <c r="A444" s="1" t="str">
        <f t="shared" si="6"/>
        <v>12</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1123</v>
      </c>
      <c r="D444" s="1" t="s">
        <v>1124</v>
      </c>
      <c r="E444" s="1" t="s">
        <v>1125</v>
      </c>
      <c r="F444" s="1" t="s">
        <v>112</v>
      </c>
      <c r="G444" s="1">
        <v>2548261</v>
      </c>
    </row>
    <row r="445" spans="1:7" x14ac:dyDescent="0.35">
      <c r="A445" s="1" t="str">
        <f t="shared" si="6"/>
        <v>12</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1126</v>
      </c>
      <c r="D445" s="1" t="s">
        <v>1127</v>
      </c>
      <c r="E445" s="1" t="s">
        <v>1128</v>
      </c>
      <c r="F445" s="1" t="s">
        <v>112</v>
      </c>
      <c r="G445" s="1">
        <v>2246762</v>
      </c>
    </row>
    <row r="446" spans="1:7" x14ac:dyDescent="0.35">
      <c r="A446" s="1" t="str">
        <f t="shared" si="6"/>
        <v>12</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6" s="1" t="s">
        <v>1129</v>
      </c>
      <c r="D446" s="1" t="s">
        <v>1130</v>
      </c>
      <c r="E446" s="1" t="s">
        <v>1131</v>
      </c>
      <c r="F446" s="1" t="s">
        <v>112</v>
      </c>
      <c r="G446" s="1">
        <v>1805036</v>
      </c>
    </row>
    <row r="447" spans="1:7" x14ac:dyDescent="0.35">
      <c r="A447" s="1" t="str">
        <f t="shared" si="6"/>
        <v>12</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1132</v>
      </c>
      <c r="D447" s="1" t="s">
        <v>1133</v>
      </c>
      <c r="E447" s="1" t="s">
        <v>1134</v>
      </c>
      <c r="F447" s="1" t="s">
        <v>112</v>
      </c>
      <c r="G447" s="1">
        <v>833486</v>
      </c>
    </row>
    <row r="448" spans="1:7" x14ac:dyDescent="0.35">
      <c r="A448" s="1" t="str">
        <f t="shared" si="6"/>
        <v>12</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1135</v>
      </c>
      <c r="D448" s="1" t="s">
        <v>1136</v>
      </c>
      <c r="E448" s="1" t="s">
        <v>1137</v>
      </c>
      <c r="F448" s="1" t="s">
        <v>112</v>
      </c>
      <c r="G448" s="1">
        <v>1584238</v>
      </c>
    </row>
    <row r="449" spans="1:8" x14ac:dyDescent="0.35">
      <c r="A449" s="1" t="str">
        <f t="shared" si="6"/>
        <v>12</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9" s="1" t="s">
        <v>1138</v>
      </c>
      <c r="D449" s="1" t="s">
        <v>1139</v>
      </c>
      <c r="E449" s="1" t="s">
        <v>1140</v>
      </c>
      <c r="F449" s="1" t="s">
        <v>112</v>
      </c>
      <c r="G449" s="1">
        <v>690123</v>
      </c>
    </row>
    <row r="450" spans="1:8" x14ac:dyDescent="0.35">
      <c r="A450" s="1" t="str">
        <f t="shared" ref="A450:A513" si="7">IFERROR(LEFT(RIGHT(C450,LEN(C450)-SEARCH("@",C450)),SEARCH("/",RIGHT(C450,LEN(C450)-SEARCH("@",C450)-1))),"")</f>
        <v>12</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1141</v>
      </c>
      <c r="D450" s="1" t="s">
        <v>1142</v>
      </c>
      <c r="E450" s="1" t="s">
        <v>1143</v>
      </c>
      <c r="F450" s="1" t="s">
        <v>112</v>
      </c>
      <c r="G450" s="1">
        <v>126124</v>
      </c>
    </row>
    <row r="451" spans="1:8" x14ac:dyDescent="0.35">
      <c r="A451" s="1" t="str">
        <f t="shared" si="7"/>
        <v>12</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1144</v>
      </c>
      <c r="D451" s="1" t="s">
        <v>584</v>
      </c>
      <c r="E451" s="1" t="s">
        <v>1145</v>
      </c>
      <c r="F451" s="1" t="s">
        <v>112</v>
      </c>
      <c r="G451" s="1">
        <v>30130</v>
      </c>
    </row>
    <row r="452" spans="1:8" x14ac:dyDescent="0.35">
      <c r="A452" s="1" t="str">
        <f t="shared" si="7"/>
        <v>12</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2" s="1" t="s">
        <v>1146</v>
      </c>
      <c r="D452" s="1" t="s">
        <v>1147</v>
      </c>
      <c r="E452" s="1" t="s">
        <v>1148</v>
      </c>
      <c r="F452" s="1" t="s">
        <v>112</v>
      </c>
      <c r="G452" s="1">
        <v>334961</v>
      </c>
    </row>
    <row r="453" spans="1:8" x14ac:dyDescent="0.35">
      <c r="A453" s="1" t="str">
        <f t="shared" si="7"/>
        <v>12</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1149</v>
      </c>
      <c r="D453" s="1" t="s">
        <v>1150</v>
      </c>
      <c r="E453" s="1" t="s">
        <v>1151</v>
      </c>
      <c r="F453" s="1" t="s">
        <v>112</v>
      </c>
      <c r="G453" s="1">
        <v>471077</v>
      </c>
    </row>
    <row r="454" spans="1:8" x14ac:dyDescent="0.35">
      <c r="A454" s="1" t="str">
        <f t="shared" si="7"/>
        <v>12</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1152</v>
      </c>
      <c r="D454" s="1" t="s">
        <v>1153</v>
      </c>
      <c r="E454" s="1" t="s">
        <v>1154</v>
      </c>
      <c r="F454" s="1" t="s">
        <v>112</v>
      </c>
      <c r="G454" s="1">
        <v>189002</v>
      </c>
    </row>
    <row r="455" spans="1:8" x14ac:dyDescent="0.35">
      <c r="A455" s="1" t="str">
        <f t="shared" si="7"/>
        <v>12</v>
      </c>
      <c r="B4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5" s="1" t="s">
        <v>1155</v>
      </c>
      <c r="D455" s="1" t="s">
        <v>500</v>
      </c>
      <c r="E455" s="1" t="s">
        <v>1156</v>
      </c>
      <c r="F455" s="1" t="s">
        <v>112</v>
      </c>
      <c r="G455" s="1">
        <v>358948</v>
      </c>
    </row>
    <row r="456" spans="1:8"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112</v>
      </c>
    </row>
    <row r="457" spans="1:8"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7" s="1" t="s">
        <v>242</v>
      </c>
      <c r="D457" s="1" t="s">
        <v>112</v>
      </c>
      <c r="E457" s="1" t="s">
        <v>243</v>
      </c>
      <c r="F457" s="1" t="s">
        <v>244</v>
      </c>
      <c r="G457" s="1" t="s">
        <v>245</v>
      </c>
      <c r="H457" s="1" t="s">
        <v>246</v>
      </c>
    </row>
    <row r="458" spans="1:8" x14ac:dyDescent="0.35">
      <c r="A458" s="1" t="str">
        <f t="shared" si="7"/>
        <v>12</v>
      </c>
      <c r="B4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8" s="1" t="s">
        <v>1157</v>
      </c>
      <c r="D458" s="1" t="s">
        <v>112</v>
      </c>
      <c r="E458" s="1" t="s">
        <v>1158</v>
      </c>
      <c r="F458" s="1" t="s">
        <v>1159</v>
      </c>
      <c r="G458" s="1" t="s">
        <v>1160</v>
      </c>
      <c r="H458" s="1" t="s">
        <v>1161</v>
      </c>
    </row>
    <row r="459" spans="1:8"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8"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8"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8"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8"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112</v>
      </c>
    </row>
    <row r="464" spans="1:8"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4" s="1" t="s">
        <v>172</v>
      </c>
      <c r="D464" s="1" t="s">
        <v>110</v>
      </c>
      <c r="E464" s="1" t="s">
        <v>111</v>
      </c>
      <c r="F464" s="1" t="s">
        <v>112</v>
      </c>
      <c r="G464" s="1" t="s">
        <v>113</v>
      </c>
    </row>
    <row r="465" spans="1:7" x14ac:dyDescent="0.35">
      <c r="A465" s="1" t="str">
        <f t="shared" si="7"/>
        <v>17</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1162</v>
      </c>
      <c r="D465" s="1" t="s">
        <v>1163</v>
      </c>
      <c r="E465" s="1" t="s">
        <v>1164</v>
      </c>
      <c r="F465" s="1" t="s">
        <v>112</v>
      </c>
      <c r="G465" s="1">
        <v>2087934</v>
      </c>
    </row>
    <row r="466" spans="1:7" x14ac:dyDescent="0.35">
      <c r="A466" s="1" t="str">
        <f t="shared" si="7"/>
        <v>17</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1165</v>
      </c>
      <c r="D466" s="1" t="s">
        <v>1166</v>
      </c>
      <c r="E466" s="1" t="s">
        <v>1167</v>
      </c>
      <c r="F466" s="1" t="s">
        <v>112</v>
      </c>
      <c r="G466" s="1">
        <v>2196062</v>
      </c>
    </row>
    <row r="467" spans="1:7" x14ac:dyDescent="0.35">
      <c r="A467" s="1" t="str">
        <f t="shared" si="7"/>
        <v>17</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7" s="1" t="s">
        <v>1168</v>
      </c>
      <c r="D467" s="1" t="s">
        <v>1169</v>
      </c>
      <c r="E467" s="1" t="s">
        <v>1170</v>
      </c>
      <c r="F467" s="1" t="s">
        <v>112</v>
      </c>
      <c r="G467" s="1">
        <v>1479312</v>
      </c>
    </row>
    <row r="468" spans="1:7" x14ac:dyDescent="0.35">
      <c r="A468" s="1" t="str">
        <f t="shared" si="7"/>
        <v>17</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1171</v>
      </c>
      <c r="D468" s="1" t="s">
        <v>1172</v>
      </c>
      <c r="E468" s="1" t="s">
        <v>1173</v>
      </c>
      <c r="F468" s="1" t="s">
        <v>112</v>
      </c>
      <c r="G468" s="1">
        <v>3343506</v>
      </c>
    </row>
    <row r="469" spans="1:7" x14ac:dyDescent="0.35">
      <c r="A469" s="1" t="str">
        <f t="shared" si="7"/>
        <v>17</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1174</v>
      </c>
      <c r="D469" s="1" t="s">
        <v>1175</v>
      </c>
      <c r="E469" s="1" t="s">
        <v>1176</v>
      </c>
      <c r="F469" s="1" t="s">
        <v>112</v>
      </c>
      <c r="G469" s="1">
        <v>3859119</v>
      </c>
    </row>
    <row r="470" spans="1:7" x14ac:dyDescent="0.35">
      <c r="A470" s="1" t="str">
        <f t="shared" si="7"/>
        <v>17</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70" s="1" t="s">
        <v>1177</v>
      </c>
      <c r="D470" s="1" t="s">
        <v>1178</v>
      </c>
      <c r="E470" s="1" t="s">
        <v>1179</v>
      </c>
      <c r="F470" s="1" t="s">
        <v>112</v>
      </c>
      <c r="G470" s="1">
        <v>3474756</v>
      </c>
    </row>
    <row r="471" spans="1:7" x14ac:dyDescent="0.35">
      <c r="A471" s="1" t="str">
        <f t="shared" si="7"/>
        <v>17</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1180</v>
      </c>
      <c r="D471" s="1" t="s">
        <v>1181</v>
      </c>
      <c r="E471" s="1" t="s">
        <v>1182</v>
      </c>
      <c r="F471" s="1" t="s">
        <v>112</v>
      </c>
      <c r="G471" s="1">
        <v>1371573</v>
      </c>
    </row>
    <row r="472" spans="1:7" x14ac:dyDescent="0.35">
      <c r="A472" s="1" t="str">
        <f t="shared" si="7"/>
        <v>17</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1183</v>
      </c>
      <c r="D472" s="1" t="s">
        <v>1184</v>
      </c>
      <c r="E472" s="1" t="s">
        <v>1185</v>
      </c>
      <c r="F472" s="1" t="s">
        <v>112</v>
      </c>
      <c r="G472" s="1">
        <v>1651702</v>
      </c>
    </row>
    <row r="473" spans="1:7" x14ac:dyDescent="0.35">
      <c r="A473" s="1" t="str">
        <f t="shared" si="7"/>
        <v>17</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3" s="1" t="s">
        <v>1186</v>
      </c>
      <c r="D473" s="1" t="s">
        <v>1187</v>
      </c>
      <c r="E473" s="1" t="s">
        <v>1188</v>
      </c>
      <c r="F473" s="1" t="s">
        <v>112</v>
      </c>
      <c r="G473" s="1">
        <v>1327059</v>
      </c>
    </row>
    <row r="474" spans="1:7" x14ac:dyDescent="0.35">
      <c r="A474" s="1" t="str">
        <f t="shared" si="7"/>
        <v>17</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1189</v>
      </c>
    </row>
    <row r="475" spans="1:7" x14ac:dyDescent="0.35">
      <c r="A475" s="1" t="str">
        <f t="shared" si="7"/>
        <v>17</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1190</v>
      </c>
    </row>
    <row r="476" spans="1:7" x14ac:dyDescent="0.35">
      <c r="A476" s="1" t="str">
        <f t="shared" si="7"/>
        <v>17</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6" s="1" t="s">
        <v>1191</v>
      </c>
      <c r="D476" s="1" t="s">
        <v>1192</v>
      </c>
      <c r="E476" s="1" t="s">
        <v>1193</v>
      </c>
      <c r="F476" s="1" t="s">
        <v>112</v>
      </c>
      <c r="G476" s="1">
        <v>583986</v>
      </c>
    </row>
    <row r="477" spans="1:7" x14ac:dyDescent="0.35">
      <c r="A477" s="1" t="str">
        <f t="shared" si="7"/>
        <v>17</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1194</v>
      </c>
      <c r="D477" s="1" t="s">
        <v>1195</v>
      </c>
      <c r="E477" s="1" t="s">
        <v>1196</v>
      </c>
      <c r="F477" s="1" t="s">
        <v>112</v>
      </c>
      <c r="G477" s="1">
        <v>512650</v>
      </c>
    </row>
    <row r="478" spans="1:7" x14ac:dyDescent="0.35">
      <c r="A478" s="1" t="str">
        <f t="shared" si="7"/>
        <v>17</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1197</v>
      </c>
      <c r="D478" s="1" t="s">
        <v>1198</v>
      </c>
      <c r="E478" s="1" t="s">
        <v>1199</v>
      </c>
      <c r="F478" s="1" t="s">
        <v>112</v>
      </c>
      <c r="G478" s="1">
        <v>858577</v>
      </c>
    </row>
    <row r="479" spans="1:7" x14ac:dyDescent="0.35">
      <c r="A479" s="1" t="str">
        <f t="shared" si="7"/>
        <v>17</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9" s="1" t="s">
        <v>1200</v>
      </c>
      <c r="D479" s="1" t="s">
        <v>1201</v>
      </c>
      <c r="E479" s="1" t="s">
        <v>1202</v>
      </c>
      <c r="F479" s="1" t="s">
        <v>112</v>
      </c>
      <c r="G479" s="1">
        <v>449058</v>
      </c>
    </row>
    <row r="480" spans="1:7" x14ac:dyDescent="0.35">
      <c r="A480" s="1" t="str">
        <f t="shared" si="7"/>
        <v>17</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1203</v>
      </c>
      <c r="D480" s="1" t="s">
        <v>954</v>
      </c>
      <c r="E480" s="1" t="s">
        <v>1204</v>
      </c>
      <c r="F480" s="1" t="s">
        <v>112</v>
      </c>
      <c r="G480" s="1">
        <v>184243</v>
      </c>
    </row>
    <row r="481" spans="1:8" x14ac:dyDescent="0.35">
      <c r="A481" s="1" t="str">
        <f t="shared" si="7"/>
        <v>17</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1205</v>
      </c>
      <c r="D481" s="1" t="s">
        <v>1206</v>
      </c>
      <c r="E481" s="1" t="s">
        <v>1207</v>
      </c>
      <c r="F481" s="1" t="s">
        <v>112</v>
      </c>
      <c r="G481" s="1">
        <v>551973</v>
      </c>
    </row>
    <row r="482" spans="1:8" x14ac:dyDescent="0.35">
      <c r="A482" s="1" t="str">
        <f t="shared" si="7"/>
        <v>17</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2" s="1" t="s">
        <v>1208</v>
      </c>
      <c r="D482" s="1" t="s">
        <v>1209</v>
      </c>
      <c r="E482" s="1" t="s">
        <v>1210</v>
      </c>
      <c r="F482" s="1" t="s">
        <v>112</v>
      </c>
      <c r="G482" s="1">
        <v>48321</v>
      </c>
    </row>
    <row r="483" spans="1:8" x14ac:dyDescent="0.35">
      <c r="A483" s="1" t="str">
        <f t="shared" si="7"/>
        <v>17</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1211</v>
      </c>
      <c r="D483" s="1" t="s">
        <v>1212</v>
      </c>
      <c r="E483" s="1" t="s">
        <v>1213</v>
      </c>
      <c r="F483" s="1" t="s">
        <v>112</v>
      </c>
      <c r="G483" s="1">
        <v>2562732</v>
      </c>
    </row>
    <row r="484" spans="1:8" x14ac:dyDescent="0.35">
      <c r="A484" s="1" t="str">
        <f t="shared" si="7"/>
        <v>17</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1214</v>
      </c>
      <c r="D484" s="1" t="s">
        <v>1215</v>
      </c>
      <c r="E484" s="1" t="s">
        <v>1216</v>
      </c>
      <c r="F484" s="1" t="s">
        <v>112</v>
      </c>
      <c r="G484" s="1">
        <v>2834922</v>
      </c>
    </row>
    <row r="485" spans="1:8" x14ac:dyDescent="0.35">
      <c r="A485" s="1" t="str">
        <f t="shared" si="7"/>
        <v>17</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5" s="1" t="s">
        <v>1217</v>
      </c>
      <c r="D485" s="1" t="s">
        <v>1218</v>
      </c>
      <c r="E485" s="1" t="s">
        <v>1219</v>
      </c>
      <c r="F485" s="1" t="s">
        <v>112</v>
      </c>
      <c r="G485" s="1">
        <v>2353938</v>
      </c>
    </row>
    <row r="486" spans="1:8" x14ac:dyDescent="0.35">
      <c r="A486" s="1" t="str">
        <f t="shared" si="7"/>
        <v>17</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1220</v>
      </c>
      <c r="D486" s="1" t="s">
        <v>1221</v>
      </c>
      <c r="E486" s="1" t="s">
        <v>1222</v>
      </c>
      <c r="F486" s="1" t="s">
        <v>112</v>
      </c>
      <c r="G486" s="1">
        <v>1684666</v>
      </c>
    </row>
    <row r="487" spans="1:8" x14ac:dyDescent="0.35">
      <c r="A487" s="1" t="str">
        <f t="shared" si="7"/>
        <v>17</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1223</v>
      </c>
      <c r="D487" s="1" t="s">
        <v>1224</v>
      </c>
      <c r="E487" s="1" t="s">
        <v>1225</v>
      </c>
      <c r="F487" s="1" t="s">
        <v>112</v>
      </c>
      <c r="G487" s="1">
        <v>1940829</v>
      </c>
    </row>
    <row r="488" spans="1:8" x14ac:dyDescent="0.35">
      <c r="A488" s="1" t="str">
        <f t="shared" si="7"/>
        <v>17</v>
      </c>
      <c r="B4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8" s="1" t="s">
        <v>1226</v>
      </c>
      <c r="D488" s="1" t="s">
        <v>1227</v>
      </c>
      <c r="E488" s="1" t="s">
        <v>1228</v>
      </c>
      <c r="F488" s="1" t="s">
        <v>112</v>
      </c>
      <c r="G488" s="1">
        <v>2035871</v>
      </c>
    </row>
    <row r="489" spans="1:8"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112</v>
      </c>
    </row>
    <row r="490" spans="1:8"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0" s="1" t="s">
        <v>242</v>
      </c>
      <c r="D490" s="1" t="s">
        <v>112</v>
      </c>
      <c r="E490" s="1" t="s">
        <v>243</v>
      </c>
      <c r="F490" s="1" t="s">
        <v>244</v>
      </c>
      <c r="G490" s="1" t="s">
        <v>245</v>
      </c>
      <c r="H490" s="1" t="s">
        <v>246</v>
      </c>
    </row>
    <row r="491" spans="1:8" x14ac:dyDescent="0.35">
      <c r="A491" s="1" t="str">
        <f t="shared" si="7"/>
        <v>17</v>
      </c>
      <c r="B4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1" s="1" t="s">
        <v>1229</v>
      </c>
      <c r="D491" s="1" t="s">
        <v>112</v>
      </c>
      <c r="E491" s="1" t="s">
        <v>1230</v>
      </c>
      <c r="F491" s="1" t="s">
        <v>1231</v>
      </c>
      <c r="G491" s="1" t="s">
        <v>1232</v>
      </c>
      <c r="H491" s="1">
        <v>1060326</v>
      </c>
    </row>
    <row r="492" spans="1:8"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8"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8"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8"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8"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112</v>
      </c>
    </row>
    <row r="497" spans="1:7"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7" s="1" t="s">
        <v>172</v>
      </c>
      <c r="D497" s="1" t="s">
        <v>110</v>
      </c>
      <c r="E497" s="1" t="s">
        <v>111</v>
      </c>
      <c r="F497" s="1" t="s">
        <v>112</v>
      </c>
      <c r="G497" s="1" t="s">
        <v>113</v>
      </c>
    </row>
    <row r="498" spans="1:7" x14ac:dyDescent="0.35">
      <c r="A498" s="1" t="str">
        <f t="shared" si="7"/>
        <v>18</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1233</v>
      </c>
      <c r="D498" s="1" t="s">
        <v>1234</v>
      </c>
      <c r="E498" s="1" t="s">
        <v>1235</v>
      </c>
      <c r="F498" s="1" t="s">
        <v>112</v>
      </c>
      <c r="G498" s="1">
        <v>1101546</v>
      </c>
    </row>
    <row r="499" spans="1:7" x14ac:dyDescent="0.35">
      <c r="A499" s="1" t="str">
        <f t="shared" si="7"/>
        <v>18</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1236</v>
      </c>
      <c r="D499" s="1" t="s">
        <v>1237</v>
      </c>
      <c r="E499" s="1" t="s">
        <v>1238</v>
      </c>
      <c r="F499" s="1" t="s">
        <v>112</v>
      </c>
      <c r="G499" s="1">
        <v>1096354</v>
      </c>
    </row>
    <row r="500" spans="1:7" x14ac:dyDescent="0.35">
      <c r="A500" s="1" t="str">
        <f t="shared" si="7"/>
        <v>18</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00" s="1" t="s">
        <v>1239</v>
      </c>
      <c r="D500" s="1" t="s">
        <v>1240</v>
      </c>
      <c r="E500" s="1" t="s">
        <v>1241</v>
      </c>
      <c r="F500" s="1" t="s">
        <v>112</v>
      </c>
      <c r="G500" s="1">
        <v>944686</v>
      </c>
    </row>
    <row r="501" spans="1:7" x14ac:dyDescent="0.35">
      <c r="A501" s="1" t="str">
        <f t="shared" si="7"/>
        <v>18</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1242</v>
      </c>
      <c r="D501" s="1" t="s">
        <v>1243</v>
      </c>
      <c r="E501" s="1" t="s">
        <v>1244</v>
      </c>
      <c r="F501" s="1" t="s">
        <v>112</v>
      </c>
      <c r="G501" s="1">
        <v>2287167</v>
      </c>
    </row>
    <row r="502" spans="1:7" x14ac:dyDescent="0.35">
      <c r="A502" s="1" t="str">
        <f t="shared" si="7"/>
        <v>18</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1245</v>
      </c>
      <c r="D502" s="1" t="s">
        <v>1246</v>
      </c>
      <c r="E502" s="1" t="s">
        <v>1247</v>
      </c>
      <c r="F502" s="1" t="s">
        <v>112</v>
      </c>
      <c r="G502" s="1">
        <v>2426853</v>
      </c>
    </row>
    <row r="503" spans="1:7" x14ac:dyDescent="0.35">
      <c r="A503" s="1" t="str">
        <f t="shared" si="7"/>
        <v>18</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3" s="1" t="s">
        <v>1248</v>
      </c>
      <c r="D503" s="1" t="s">
        <v>1249</v>
      </c>
      <c r="E503" s="1" t="s">
        <v>1250</v>
      </c>
      <c r="F503" s="1" t="s">
        <v>112</v>
      </c>
      <c r="G503" s="1">
        <v>2708582</v>
      </c>
    </row>
    <row r="504" spans="1:7" x14ac:dyDescent="0.35">
      <c r="A504" s="1" t="str">
        <f t="shared" si="7"/>
        <v>18</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1251</v>
      </c>
      <c r="D504" s="1" t="s">
        <v>1252</v>
      </c>
      <c r="E504" s="1" t="s">
        <v>1253</v>
      </c>
      <c r="F504" s="1" t="s">
        <v>112</v>
      </c>
      <c r="G504" s="1">
        <v>544727</v>
      </c>
    </row>
    <row r="505" spans="1:7" x14ac:dyDescent="0.35">
      <c r="A505" s="1" t="str">
        <f t="shared" si="7"/>
        <v>18</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1254</v>
      </c>
      <c r="D505" s="1" t="s">
        <v>1255</v>
      </c>
      <c r="E505" s="1" t="s">
        <v>1256</v>
      </c>
      <c r="F505" s="1" t="s">
        <v>112</v>
      </c>
      <c r="G505" s="1">
        <v>1086621</v>
      </c>
    </row>
    <row r="506" spans="1:7" x14ac:dyDescent="0.35">
      <c r="A506" s="1" t="str">
        <f t="shared" si="7"/>
        <v>18</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6" s="1" t="s">
        <v>1257</v>
      </c>
      <c r="D506" s="1" t="s">
        <v>1258</v>
      </c>
      <c r="E506" s="1" t="s">
        <v>1259</v>
      </c>
      <c r="F506" s="1" t="s">
        <v>112</v>
      </c>
      <c r="G506" s="1">
        <v>990433</v>
      </c>
    </row>
    <row r="507" spans="1:7" x14ac:dyDescent="0.35">
      <c r="A507" s="1" t="str">
        <f t="shared" si="7"/>
        <v>18</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1260</v>
      </c>
      <c r="D507" s="1" t="s">
        <v>661</v>
      </c>
      <c r="E507" s="1" t="s">
        <v>1261</v>
      </c>
      <c r="F507" s="1" t="s">
        <v>112</v>
      </c>
      <c r="G507" s="1">
        <v>1638724</v>
      </c>
    </row>
    <row r="508" spans="1:7" x14ac:dyDescent="0.35">
      <c r="A508" s="1" t="str">
        <f t="shared" si="7"/>
        <v>18</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1262</v>
      </c>
      <c r="D508" s="1" t="s">
        <v>1263</v>
      </c>
      <c r="E508" s="1" t="s">
        <v>1264</v>
      </c>
      <c r="F508" s="1" t="s">
        <v>112</v>
      </c>
      <c r="G508" s="1">
        <v>1386541</v>
      </c>
    </row>
    <row r="509" spans="1:7" x14ac:dyDescent="0.35">
      <c r="A509" s="1" t="str">
        <f t="shared" si="7"/>
        <v>18</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9" s="1" t="s">
        <v>1265</v>
      </c>
      <c r="D509" s="1" t="s">
        <v>1266</v>
      </c>
      <c r="E509" s="1" t="s">
        <v>1267</v>
      </c>
      <c r="F509" s="1" t="s">
        <v>112</v>
      </c>
      <c r="G509" s="1">
        <v>1286049</v>
      </c>
    </row>
    <row r="510" spans="1:7" x14ac:dyDescent="0.35">
      <c r="A510" s="1" t="str">
        <f t="shared" si="7"/>
        <v>18</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1268</v>
      </c>
      <c r="D510" s="1" t="s">
        <v>858</v>
      </c>
      <c r="E510" s="1" t="s">
        <v>1269</v>
      </c>
      <c r="F510" s="1" t="s">
        <v>112</v>
      </c>
      <c r="G510" s="1">
        <v>1717933</v>
      </c>
    </row>
    <row r="511" spans="1:7" x14ac:dyDescent="0.35">
      <c r="A511" s="1" t="str">
        <f t="shared" si="7"/>
        <v>18</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1270</v>
      </c>
      <c r="D511" s="1" t="s">
        <v>1271</v>
      </c>
      <c r="E511" s="1" t="s">
        <v>1272</v>
      </c>
      <c r="F511" s="1" t="s">
        <v>112</v>
      </c>
      <c r="G511" s="1">
        <v>1890518</v>
      </c>
    </row>
    <row r="512" spans="1:7" x14ac:dyDescent="0.35">
      <c r="A512" s="1" t="str">
        <f t="shared" si="7"/>
        <v>18</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2" s="1" t="s">
        <v>1273</v>
      </c>
      <c r="D512" s="1" t="s">
        <v>1274</v>
      </c>
      <c r="E512" s="1" t="s">
        <v>1275</v>
      </c>
      <c r="F512" s="1" t="s">
        <v>112</v>
      </c>
      <c r="G512" s="1">
        <v>1746852</v>
      </c>
    </row>
    <row r="513" spans="1:8" x14ac:dyDescent="0.35">
      <c r="A513" s="1" t="str">
        <f t="shared" si="7"/>
        <v>18</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1276</v>
      </c>
      <c r="D513" s="1">
        <v>0</v>
      </c>
      <c r="E513" s="1">
        <v>0</v>
      </c>
      <c r="F513" s="1" t="s">
        <v>112</v>
      </c>
      <c r="G513" s="1">
        <v>0</v>
      </c>
    </row>
    <row r="514" spans="1:8" x14ac:dyDescent="0.35">
      <c r="A514" s="1" t="str">
        <f t="shared" ref="A514:A577" si="8">IFERROR(LEFT(RIGHT(C514,LEN(C514)-SEARCH("@",C514)),SEARCH("/",RIGHT(C514,LEN(C514)-SEARCH("@",C514)-1))),"")</f>
        <v>18</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1277</v>
      </c>
      <c r="D514" s="1">
        <v>0</v>
      </c>
      <c r="E514" s="1">
        <v>0</v>
      </c>
      <c r="F514" s="1" t="s">
        <v>112</v>
      </c>
      <c r="G514" s="1">
        <v>0</v>
      </c>
    </row>
    <row r="515" spans="1:8" x14ac:dyDescent="0.35">
      <c r="A515" s="1" t="str">
        <f t="shared" si="8"/>
        <v>18</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5" s="1" t="s">
        <v>1278</v>
      </c>
      <c r="D515" s="1">
        <v>0</v>
      </c>
      <c r="E515" s="1">
        <v>0</v>
      </c>
      <c r="F515" s="1" t="s">
        <v>112</v>
      </c>
      <c r="G515" s="1">
        <v>0</v>
      </c>
    </row>
    <row r="516" spans="1:8" x14ac:dyDescent="0.35">
      <c r="A516" s="1" t="str">
        <f t="shared" si="8"/>
        <v>18</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1279</v>
      </c>
      <c r="D516" s="1" t="s">
        <v>1280</v>
      </c>
      <c r="E516" s="1" t="s">
        <v>1281</v>
      </c>
      <c r="F516" s="1" t="s">
        <v>112</v>
      </c>
      <c r="G516" s="1">
        <v>3647903</v>
      </c>
    </row>
    <row r="517" spans="1:8" x14ac:dyDescent="0.35">
      <c r="A517" s="1" t="str">
        <f t="shared" si="8"/>
        <v>18</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1282</v>
      </c>
      <c r="D517" s="1" t="s">
        <v>1175</v>
      </c>
      <c r="E517" s="1" t="s">
        <v>1283</v>
      </c>
      <c r="F517" s="1" t="s">
        <v>112</v>
      </c>
      <c r="G517" s="1">
        <v>3735440</v>
      </c>
    </row>
    <row r="518" spans="1:8" x14ac:dyDescent="0.35">
      <c r="A518" s="1" t="str">
        <f t="shared" si="8"/>
        <v>18</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8" s="1" t="s">
        <v>1284</v>
      </c>
      <c r="D518" s="1" t="s">
        <v>1285</v>
      </c>
      <c r="E518" s="1" t="s">
        <v>1286</v>
      </c>
      <c r="F518" s="1" t="s">
        <v>112</v>
      </c>
      <c r="G518" s="1">
        <v>3148058</v>
      </c>
    </row>
    <row r="519" spans="1:8" x14ac:dyDescent="0.35">
      <c r="A519" s="1" t="str">
        <f t="shared" si="8"/>
        <v>18</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1287</v>
      </c>
      <c r="D519" s="1" t="s">
        <v>1288</v>
      </c>
      <c r="E519" s="1" t="s">
        <v>1289</v>
      </c>
      <c r="F519" s="1" t="s">
        <v>112</v>
      </c>
      <c r="G519" s="1">
        <v>1994168</v>
      </c>
    </row>
    <row r="520" spans="1:8" x14ac:dyDescent="0.35">
      <c r="A520" s="1" t="str">
        <f t="shared" si="8"/>
        <v>18</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1290</v>
      </c>
      <c r="D520" s="1" t="s">
        <v>1291</v>
      </c>
      <c r="E520" s="1" t="s">
        <v>1292</v>
      </c>
      <c r="F520" s="1" t="s">
        <v>112</v>
      </c>
      <c r="G520" s="1">
        <v>2562494</v>
      </c>
    </row>
    <row r="521" spans="1:8" x14ac:dyDescent="0.35">
      <c r="A521" s="1" t="str">
        <f t="shared" si="8"/>
        <v>18</v>
      </c>
      <c r="B5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1" s="1" t="s">
        <v>1293</v>
      </c>
      <c r="D521" s="1" t="s">
        <v>1294</v>
      </c>
      <c r="E521" s="1" t="s">
        <v>1295</v>
      </c>
      <c r="F521" s="1" t="s">
        <v>112</v>
      </c>
      <c r="G521" s="1">
        <v>2274275</v>
      </c>
    </row>
    <row r="522" spans="1:8"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112</v>
      </c>
    </row>
    <row r="523" spans="1:8"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3" s="1" t="s">
        <v>242</v>
      </c>
      <c r="D523" s="1" t="s">
        <v>112</v>
      </c>
      <c r="E523" s="1" t="s">
        <v>243</v>
      </c>
      <c r="F523" s="1" t="s">
        <v>244</v>
      </c>
      <c r="G523" s="1" t="s">
        <v>245</v>
      </c>
      <c r="H523" s="1" t="s">
        <v>246</v>
      </c>
    </row>
    <row r="524" spans="1:8" x14ac:dyDescent="0.35">
      <c r="A524" s="1" t="str">
        <f t="shared" si="8"/>
        <v>18</v>
      </c>
      <c r="B5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4" s="1" t="s">
        <v>1296</v>
      </c>
      <c r="D524" s="1" t="s">
        <v>112</v>
      </c>
      <c r="E524" s="1" t="s">
        <v>1297</v>
      </c>
      <c r="F524" s="1" t="s">
        <v>1298</v>
      </c>
      <c r="G524" s="1" t="s">
        <v>1299</v>
      </c>
      <c r="H524" s="1" t="s">
        <v>1300</v>
      </c>
    </row>
    <row r="525" spans="1:8"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8"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8"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8"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112</v>
      </c>
    </row>
    <row r="530" spans="1:7"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0" s="1" t="s">
        <v>172</v>
      </c>
      <c r="D530" s="1" t="s">
        <v>110</v>
      </c>
      <c r="E530" s="1" t="s">
        <v>111</v>
      </c>
      <c r="F530" s="1" t="s">
        <v>112</v>
      </c>
      <c r="G530" s="1" t="s">
        <v>113</v>
      </c>
    </row>
    <row r="531" spans="1:7" x14ac:dyDescent="0.35">
      <c r="A531" s="1" t="str">
        <f t="shared" si="8"/>
        <v>19</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1301</v>
      </c>
      <c r="D531" s="1" t="s">
        <v>1302</v>
      </c>
      <c r="E531" s="1" t="s">
        <v>1303</v>
      </c>
      <c r="F531" s="1" t="s">
        <v>112</v>
      </c>
      <c r="G531" s="1">
        <v>1193862</v>
      </c>
    </row>
    <row r="532" spans="1:7" x14ac:dyDescent="0.35">
      <c r="A532" s="1" t="str">
        <f t="shared" si="8"/>
        <v>19</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1304</v>
      </c>
      <c r="D532" s="1" t="s">
        <v>1305</v>
      </c>
      <c r="E532" s="1" t="s">
        <v>1306</v>
      </c>
      <c r="F532" s="1" t="s">
        <v>112</v>
      </c>
      <c r="G532" s="1">
        <v>1111863</v>
      </c>
    </row>
    <row r="533" spans="1:7" x14ac:dyDescent="0.35">
      <c r="A533" s="1" t="str">
        <f t="shared" si="8"/>
        <v>19</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3" s="1" t="s">
        <v>1307</v>
      </c>
      <c r="D533" s="1" t="s">
        <v>1308</v>
      </c>
      <c r="E533" s="1" t="s">
        <v>1309</v>
      </c>
      <c r="F533" s="1" t="s">
        <v>112</v>
      </c>
      <c r="G533" s="1">
        <v>1124711</v>
      </c>
    </row>
    <row r="534" spans="1:7" x14ac:dyDescent="0.35">
      <c r="A534" s="1" t="str">
        <f t="shared" si="8"/>
        <v>19</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1310</v>
      </c>
    </row>
    <row r="535" spans="1:7" x14ac:dyDescent="0.35">
      <c r="A535" s="1" t="str">
        <f t="shared" si="8"/>
        <v>19</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1311</v>
      </c>
    </row>
    <row r="536" spans="1:7" x14ac:dyDescent="0.35">
      <c r="A536" s="1" t="str">
        <f t="shared" si="8"/>
        <v>19</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6" s="1" t="s">
        <v>1312</v>
      </c>
      <c r="D536" s="1" t="s">
        <v>1313</v>
      </c>
      <c r="E536" s="1" t="s">
        <v>1314</v>
      </c>
      <c r="F536" s="1" t="s">
        <v>112</v>
      </c>
      <c r="G536" s="1">
        <v>2205449</v>
      </c>
    </row>
    <row r="537" spans="1:7" x14ac:dyDescent="0.35">
      <c r="A537" s="1" t="str">
        <f t="shared" si="8"/>
        <v>19</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1315</v>
      </c>
      <c r="D537" s="1" t="s">
        <v>1316</v>
      </c>
      <c r="E537" s="1" t="s">
        <v>1317</v>
      </c>
      <c r="F537" s="1" t="s">
        <v>112</v>
      </c>
      <c r="G537" s="1">
        <v>2527605</v>
      </c>
    </row>
    <row r="538" spans="1:7" x14ac:dyDescent="0.35">
      <c r="A538" s="1" t="str">
        <f t="shared" si="8"/>
        <v>19</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1318</v>
      </c>
      <c r="D538" s="1" t="s">
        <v>1319</v>
      </c>
      <c r="E538" s="1" t="s">
        <v>1320</v>
      </c>
      <c r="F538" s="1" t="s">
        <v>112</v>
      </c>
      <c r="G538" s="1">
        <v>2622300</v>
      </c>
    </row>
    <row r="539" spans="1:7" x14ac:dyDescent="0.35">
      <c r="A539" s="1" t="str">
        <f t="shared" si="8"/>
        <v>19</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9" s="1" t="s">
        <v>1321</v>
      </c>
      <c r="D539" s="1" t="s">
        <v>1322</v>
      </c>
      <c r="E539" s="1" t="s">
        <v>1323</v>
      </c>
      <c r="F539" s="1" t="s">
        <v>112</v>
      </c>
      <c r="G539" s="1">
        <v>2258334</v>
      </c>
    </row>
    <row r="540" spans="1:7" x14ac:dyDescent="0.35">
      <c r="A540" s="1" t="str">
        <f t="shared" si="8"/>
        <v>19</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1324</v>
      </c>
      <c r="D540" s="1" t="s">
        <v>923</v>
      </c>
      <c r="E540" s="1" t="s">
        <v>1325</v>
      </c>
      <c r="F540" s="1" t="s">
        <v>112</v>
      </c>
      <c r="G540" s="1">
        <v>1880243</v>
      </c>
    </row>
    <row r="541" spans="1:7" x14ac:dyDescent="0.35">
      <c r="A541" s="1" t="str">
        <f t="shared" si="8"/>
        <v>19</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1326</v>
      </c>
      <c r="D541" s="1" t="s">
        <v>1327</v>
      </c>
      <c r="E541" s="1" t="s">
        <v>1328</v>
      </c>
      <c r="F541" s="1" t="s">
        <v>112</v>
      </c>
      <c r="G541" s="1">
        <v>2571946</v>
      </c>
    </row>
    <row r="542" spans="1:7" x14ac:dyDescent="0.35">
      <c r="A542" s="1" t="str">
        <f t="shared" si="8"/>
        <v>19</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2" s="1" t="s">
        <v>1329</v>
      </c>
      <c r="D542" s="1" t="s">
        <v>1330</v>
      </c>
      <c r="E542" s="1" t="s">
        <v>1331</v>
      </c>
      <c r="F542" s="1" t="s">
        <v>112</v>
      </c>
      <c r="G542" s="1">
        <v>1936135</v>
      </c>
    </row>
    <row r="543" spans="1:7" x14ac:dyDescent="0.35">
      <c r="A543" s="1" t="str">
        <f t="shared" si="8"/>
        <v>19</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1332</v>
      </c>
      <c r="D543" s="1" t="s">
        <v>1333</v>
      </c>
      <c r="E543" s="1" t="s">
        <v>1334</v>
      </c>
      <c r="F543" s="1" t="s">
        <v>112</v>
      </c>
      <c r="G543" s="1">
        <v>1185340</v>
      </c>
    </row>
    <row r="544" spans="1:7" x14ac:dyDescent="0.35">
      <c r="A544" s="1" t="str">
        <f t="shared" si="8"/>
        <v>19</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1335</v>
      </c>
      <c r="D544" s="1" t="s">
        <v>1336</v>
      </c>
      <c r="E544" s="1" t="s">
        <v>1337</v>
      </c>
      <c r="F544" s="1" t="s">
        <v>112</v>
      </c>
      <c r="G544" s="1">
        <v>1076866</v>
      </c>
    </row>
    <row r="545" spans="1:8" x14ac:dyDescent="0.35">
      <c r="A545" s="1" t="str">
        <f t="shared" si="8"/>
        <v>19</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5" s="1" t="s">
        <v>1338</v>
      </c>
      <c r="D545" s="1" t="s">
        <v>1339</v>
      </c>
      <c r="E545" s="1" t="s">
        <v>1340</v>
      </c>
      <c r="F545" s="1" t="s">
        <v>112</v>
      </c>
      <c r="G545" s="1">
        <v>1046000</v>
      </c>
    </row>
    <row r="546" spans="1:8" x14ac:dyDescent="0.35">
      <c r="A546" s="1" t="str">
        <f t="shared" si="8"/>
        <v>19</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1341</v>
      </c>
      <c r="D546" s="1" t="s">
        <v>1342</v>
      </c>
      <c r="E546" s="1" t="s">
        <v>1343</v>
      </c>
      <c r="F546" s="1" t="s">
        <v>112</v>
      </c>
      <c r="G546" s="1">
        <v>2921290</v>
      </c>
    </row>
    <row r="547" spans="1:8" x14ac:dyDescent="0.35">
      <c r="A547" s="1" t="str">
        <f t="shared" si="8"/>
        <v>19</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1344</v>
      </c>
      <c r="D547" s="1" t="s">
        <v>1345</v>
      </c>
      <c r="E547" s="1" t="s">
        <v>1346</v>
      </c>
      <c r="F547" s="1" t="s">
        <v>112</v>
      </c>
      <c r="G547" s="1">
        <v>3423926</v>
      </c>
    </row>
    <row r="548" spans="1:8" x14ac:dyDescent="0.35">
      <c r="A548" s="1" t="str">
        <f t="shared" si="8"/>
        <v>19</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8" s="1" t="s">
        <v>1347</v>
      </c>
      <c r="D548" s="1" t="s">
        <v>1348</v>
      </c>
      <c r="E548" s="1" t="s">
        <v>1349</v>
      </c>
      <c r="F548" s="1" t="s">
        <v>112</v>
      </c>
      <c r="G548" s="1">
        <v>3351098</v>
      </c>
    </row>
    <row r="549" spans="1:8" x14ac:dyDescent="0.35">
      <c r="A549" s="1" t="str">
        <f t="shared" si="8"/>
        <v>19</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1350</v>
      </c>
      <c r="D549" s="1" t="s">
        <v>1351</v>
      </c>
      <c r="E549" s="1" t="s">
        <v>1352</v>
      </c>
      <c r="F549" s="1" t="s">
        <v>112</v>
      </c>
      <c r="G549" s="1">
        <v>1269675</v>
      </c>
    </row>
    <row r="550" spans="1:8" x14ac:dyDescent="0.35">
      <c r="A550" s="1" t="str">
        <f t="shared" si="8"/>
        <v>19</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1353</v>
      </c>
      <c r="D550" s="1" t="s">
        <v>1354</v>
      </c>
      <c r="E550" s="1" t="s">
        <v>1355</v>
      </c>
      <c r="F550" s="1" t="s">
        <v>112</v>
      </c>
      <c r="G550" s="1">
        <v>1109570</v>
      </c>
    </row>
    <row r="551" spans="1:8" x14ac:dyDescent="0.35">
      <c r="A551" s="1" t="str">
        <f t="shared" si="8"/>
        <v>19</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1" s="1" t="s">
        <v>1356</v>
      </c>
      <c r="D551" s="1" t="s">
        <v>1357</v>
      </c>
      <c r="E551" s="1" t="s">
        <v>1358</v>
      </c>
      <c r="F551" s="1" t="s">
        <v>112</v>
      </c>
      <c r="G551" s="1">
        <v>1527308</v>
      </c>
    </row>
    <row r="552" spans="1:8" x14ac:dyDescent="0.35">
      <c r="A552" s="1" t="str">
        <f t="shared" si="8"/>
        <v>19</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1359</v>
      </c>
      <c r="D552" s="1" t="s">
        <v>1360</v>
      </c>
      <c r="E552" s="1" t="s">
        <v>1361</v>
      </c>
      <c r="F552" s="1" t="s">
        <v>112</v>
      </c>
      <c r="G552" s="1">
        <v>2663743</v>
      </c>
    </row>
    <row r="553" spans="1:8" x14ac:dyDescent="0.35">
      <c r="A553" s="1" t="str">
        <f t="shared" si="8"/>
        <v>19</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1362</v>
      </c>
      <c r="D553" s="1" t="s">
        <v>1363</v>
      </c>
      <c r="E553" s="1" t="s">
        <v>1364</v>
      </c>
      <c r="F553" s="1" t="s">
        <v>112</v>
      </c>
      <c r="G553" s="1">
        <v>2855622</v>
      </c>
    </row>
    <row r="554" spans="1:8" x14ac:dyDescent="0.35">
      <c r="A554" s="1" t="str">
        <f t="shared" si="8"/>
        <v>19</v>
      </c>
      <c r="B5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4" s="1" t="s">
        <v>1365</v>
      </c>
      <c r="D554" s="1" t="s">
        <v>1366</v>
      </c>
      <c r="E554" s="1" t="s">
        <v>1367</v>
      </c>
      <c r="F554" s="1" t="s">
        <v>112</v>
      </c>
      <c r="G554" s="1">
        <v>3273295</v>
      </c>
    </row>
    <row r="555" spans="1:8"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112</v>
      </c>
    </row>
    <row r="556" spans="1:8"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6" s="1" t="s">
        <v>242</v>
      </c>
      <c r="D556" s="1" t="s">
        <v>112</v>
      </c>
      <c r="E556" s="1" t="s">
        <v>243</v>
      </c>
      <c r="F556" s="1" t="s">
        <v>244</v>
      </c>
      <c r="G556" s="1" t="s">
        <v>245</v>
      </c>
      <c r="H556" s="1" t="s">
        <v>246</v>
      </c>
    </row>
    <row r="557" spans="1:8" x14ac:dyDescent="0.35">
      <c r="A557" s="1" t="str">
        <f t="shared" si="8"/>
        <v>19</v>
      </c>
      <c r="B5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7" s="1" t="s">
        <v>1368</v>
      </c>
      <c r="D557" s="1" t="s">
        <v>112</v>
      </c>
      <c r="E557" s="1" t="s">
        <v>1369</v>
      </c>
      <c r="F557" s="1" t="s">
        <v>1370</v>
      </c>
      <c r="G557" s="1" t="s">
        <v>1371</v>
      </c>
      <c r="H557" s="1" t="s">
        <v>1372</v>
      </c>
    </row>
    <row r="558" spans="1:8"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8"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8"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112</v>
      </c>
    </row>
    <row r="563" spans="1:7"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3" s="1" t="s">
        <v>172</v>
      </c>
      <c r="D563" s="1" t="s">
        <v>110</v>
      </c>
      <c r="E563" s="1" t="s">
        <v>111</v>
      </c>
      <c r="F563" s="1" t="s">
        <v>112</v>
      </c>
      <c r="G563" s="1" t="s">
        <v>113</v>
      </c>
    </row>
    <row r="564" spans="1:7" x14ac:dyDescent="0.35">
      <c r="A564" s="1" t="str">
        <f t="shared" si="8"/>
        <v>20</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1373</v>
      </c>
      <c r="D564" s="1" t="s">
        <v>1374</v>
      </c>
      <c r="E564" s="1" t="s">
        <v>1375</v>
      </c>
      <c r="F564" s="1" t="s">
        <v>112</v>
      </c>
      <c r="G564" s="1">
        <v>1232104</v>
      </c>
    </row>
    <row r="565" spans="1:7" x14ac:dyDescent="0.35">
      <c r="A565" s="1" t="str">
        <f t="shared" si="8"/>
        <v>20</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1376</v>
      </c>
      <c r="D565" s="1" t="s">
        <v>1377</v>
      </c>
      <c r="E565" s="1" t="s">
        <v>1378</v>
      </c>
      <c r="F565" s="1" t="s">
        <v>112</v>
      </c>
      <c r="G565" s="1">
        <v>1035423</v>
      </c>
    </row>
    <row r="566" spans="1:7" x14ac:dyDescent="0.35">
      <c r="A566" s="1" t="str">
        <f t="shared" si="8"/>
        <v>20</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6" s="1" t="s">
        <v>1379</v>
      </c>
    </row>
    <row r="567" spans="1:7" x14ac:dyDescent="0.35">
      <c r="A567" s="1" t="str">
        <f t="shared" si="8"/>
        <v>20</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1380</v>
      </c>
    </row>
    <row r="568" spans="1:7" x14ac:dyDescent="0.35">
      <c r="A568" s="1" t="str">
        <f t="shared" si="8"/>
        <v>20</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1381</v>
      </c>
    </row>
    <row r="569" spans="1:7" x14ac:dyDescent="0.35">
      <c r="A569" s="1" t="str">
        <f t="shared" si="8"/>
        <v>20</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9" s="1" t="s">
        <v>1382</v>
      </c>
      <c r="D569" s="1" t="s">
        <v>1383</v>
      </c>
      <c r="E569" s="1" t="s">
        <v>1384</v>
      </c>
      <c r="F569" s="1" t="s">
        <v>112</v>
      </c>
      <c r="G569" s="1">
        <v>2006757</v>
      </c>
    </row>
    <row r="570" spans="1:7" x14ac:dyDescent="0.35">
      <c r="A570" s="1" t="str">
        <f t="shared" si="8"/>
        <v>20</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1385</v>
      </c>
      <c r="D570" s="1" t="s">
        <v>1386</v>
      </c>
      <c r="E570" s="1" t="s">
        <v>1387</v>
      </c>
      <c r="F570" s="1" t="s">
        <v>112</v>
      </c>
      <c r="G570" s="1">
        <v>1276185</v>
      </c>
    </row>
    <row r="571" spans="1:7" x14ac:dyDescent="0.35">
      <c r="A571" s="1" t="str">
        <f t="shared" si="8"/>
        <v>20</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1388</v>
      </c>
      <c r="D571" s="1" t="s">
        <v>1389</v>
      </c>
      <c r="E571" s="1" t="s">
        <v>1390</v>
      </c>
      <c r="F571" s="1" t="s">
        <v>112</v>
      </c>
      <c r="G571" s="1">
        <v>1154798</v>
      </c>
    </row>
    <row r="572" spans="1:7" x14ac:dyDescent="0.35">
      <c r="A572" s="1" t="str">
        <f t="shared" si="8"/>
        <v>20</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2" s="1" t="s">
        <v>1391</v>
      </c>
      <c r="D572" s="1" t="s">
        <v>1392</v>
      </c>
      <c r="E572" s="1" t="s">
        <v>1393</v>
      </c>
      <c r="F572" s="1" t="s">
        <v>112</v>
      </c>
      <c r="G572" s="1">
        <v>1156724</v>
      </c>
    </row>
    <row r="573" spans="1:7" x14ac:dyDescent="0.35">
      <c r="A573" s="1" t="str">
        <f t="shared" si="8"/>
        <v>20</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1394</v>
      </c>
      <c r="D573" s="1" t="s">
        <v>1395</v>
      </c>
      <c r="E573" s="1" t="s">
        <v>1396</v>
      </c>
      <c r="F573" s="1" t="s">
        <v>112</v>
      </c>
      <c r="G573" s="1">
        <v>2114690</v>
      </c>
    </row>
    <row r="574" spans="1:7" x14ac:dyDescent="0.35">
      <c r="A574" s="1" t="str">
        <f t="shared" si="8"/>
        <v>20</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1397</v>
      </c>
      <c r="D574" s="1" t="s">
        <v>1274</v>
      </c>
      <c r="E574" s="1" t="s">
        <v>1398</v>
      </c>
      <c r="F574" s="1" t="s">
        <v>112</v>
      </c>
      <c r="G574" s="1">
        <v>1806940</v>
      </c>
    </row>
    <row r="575" spans="1:7" x14ac:dyDescent="0.35">
      <c r="A575" s="1" t="str">
        <f t="shared" si="8"/>
        <v>20</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5" s="1" t="s">
        <v>1399</v>
      </c>
      <c r="D575" s="1" t="s">
        <v>1400</v>
      </c>
      <c r="E575" s="1" t="s">
        <v>1401</v>
      </c>
      <c r="F575" s="1" t="s">
        <v>112</v>
      </c>
      <c r="G575" s="1">
        <v>1817474</v>
      </c>
    </row>
    <row r="576" spans="1:7" x14ac:dyDescent="0.35">
      <c r="A576" s="1" t="str">
        <f t="shared" si="8"/>
        <v>20</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1402</v>
      </c>
      <c r="D576" s="1" t="s">
        <v>1403</v>
      </c>
      <c r="E576" s="1" t="s">
        <v>1404</v>
      </c>
      <c r="F576" s="1" t="s">
        <v>112</v>
      </c>
      <c r="G576" s="1">
        <v>1301882</v>
      </c>
    </row>
    <row r="577" spans="1:8" x14ac:dyDescent="0.35">
      <c r="A577" s="1" t="str">
        <f t="shared" si="8"/>
        <v>20</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1405</v>
      </c>
      <c r="D577" s="1" t="s">
        <v>1406</v>
      </c>
      <c r="E577" s="1" t="s">
        <v>1407</v>
      </c>
      <c r="F577" s="1" t="s">
        <v>112</v>
      </c>
      <c r="G577" s="1">
        <v>1503537</v>
      </c>
    </row>
    <row r="578" spans="1:8" x14ac:dyDescent="0.35">
      <c r="A578" s="1" t="str">
        <f t="shared" ref="A578:A641" si="9">IFERROR(LEFT(RIGHT(C578,LEN(C578)-SEARCH("@",C578)),SEARCH("/",RIGHT(C578,LEN(C578)-SEARCH("@",C578)-1))),"")</f>
        <v>20</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8" s="1" t="s">
        <v>1408</v>
      </c>
      <c r="D578" s="1" t="s">
        <v>1409</v>
      </c>
      <c r="E578" s="1" t="s">
        <v>1410</v>
      </c>
      <c r="F578" s="1" t="s">
        <v>112</v>
      </c>
      <c r="G578" s="1">
        <v>1612444</v>
      </c>
    </row>
    <row r="579" spans="1:8" x14ac:dyDescent="0.35">
      <c r="A579" s="1" t="str">
        <f t="shared" si="9"/>
        <v>20</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1411</v>
      </c>
      <c r="D579" s="1" t="s">
        <v>1412</v>
      </c>
      <c r="E579" s="1" t="s">
        <v>1413</v>
      </c>
      <c r="F579" s="1" t="s">
        <v>112</v>
      </c>
      <c r="G579" s="1">
        <v>3032100</v>
      </c>
    </row>
    <row r="580" spans="1:8" x14ac:dyDescent="0.35">
      <c r="A580" s="1" t="str">
        <f t="shared" si="9"/>
        <v>20</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1414</v>
      </c>
      <c r="D580" s="1" t="s">
        <v>1415</v>
      </c>
      <c r="E580" s="1" t="s">
        <v>1416</v>
      </c>
      <c r="F580" s="1" t="s">
        <v>112</v>
      </c>
      <c r="G580" s="1">
        <v>3133674</v>
      </c>
    </row>
    <row r="581" spans="1:8" x14ac:dyDescent="0.35">
      <c r="A581" s="1" t="str">
        <f t="shared" si="9"/>
        <v>20</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1" s="1" t="s">
        <v>1417</v>
      </c>
      <c r="D581" s="1" t="s">
        <v>1418</v>
      </c>
      <c r="E581" s="1" t="s">
        <v>1419</v>
      </c>
      <c r="F581" s="1" t="s">
        <v>112</v>
      </c>
      <c r="G581" s="1">
        <v>3281774</v>
      </c>
    </row>
    <row r="582" spans="1:8" x14ac:dyDescent="0.35">
      <c r="A582" s="1" t="str">
        <f t="shared" si="9"/>
        <v>20</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1420</v>
      </c>
      <c r="D582" s="1" t="s">
        <v>1421</v>
      </c>
      <c r="E582" s="1" t="s">
        <v>1422</v>
      </c>
      <c r="F582" s="1" t="s">
        <v>112</v>
      </c>
      <c r="G582" s="1">
        <v>2182283</v>
      </c>
    </row>
    <row r="583" spans="1:8" x14ac:dyDescent="0.35">
      <c r="A583" s="1" t="str">
        <f t="shared" si="9"/>
        <v>20</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1423</v>
      </c>
      <c r="D583" s="1" t="s">
        <v>1424</v>
      </c>
      <c r="E583" s="1" t="s">
        <v>1425</v>
      </c>
      <c r="F583" s="1" t="s">
        <v>112</v>
      </c>
      <c r="G583" s="1">
        <v>1989712</v>
      </c>
    </row>
    <row r="584" spans="1:8" x14ac:dyDescent="0.35">
      <c r="A584" s="1" t="str">
        <f t="shared" si="9"/>
        <v>20</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4" s="1" t="s">
        <v>1426</v>
      </c>
      <c r="D584" s="1" t="s">
        <v>1427</v>
      </c>
      <c r="E584" s="1" t="s">
        <v>1428</v>
      </c>
      <c r="F584" s="1" t="s">
        <v>112</v>
      </c>
      <c r="G584" s="1">
        <v>1612465</v>
      </c>
    </row>
    <row r="585" spans="1:8" x14ac:dyDescent="0.35">
      <c r="A585" s="1" t="str">
        <f t="shared" si="9"/>
        <v>20</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1429</v>
      </c>
      <c r="D585" s="1" t="s">
        <v>1430</v>
      </c>
      <c r="E585" s="1" t="s">
        <v>1431</v>
      </c>
      <c r="F585" s="1" t="s">
        <v>112</v>
      </c>
      <c r="G585" s="1">
        <v>3094243</v>
      </c>
    </row>
    <row r="586" spans="1:8" x14ac:dyDescent="0.35">
      <c r="A586" s="1" t="str">
        <f t="shared" si="9"/>
        <v>20</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1432</v>
      </c>
      <c r="D586" s="1" t="s">
        <v>1433</v>
      </c>
      <c r="E586" s="1" t="s">
        <v>1434</v>
      </c>
      <c r="F586" s="1" t="s">
        <v>112</v>
      </c>
      <c r="G586" s="1">
        <v>3010297</v>
      </c>
    </row>
    <row r="587" spans="1:8" x14ac:dyDescent="0.35">
      <c r="A587" s="1" t="str">
        <f t="shared" si="9"/>
        <v>20</v>
      </c>
      <c r="B5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7" s="1" t="s">
        <v>1435</v>
      </c>
      <c r="D587" s="1" t="s">
        <v>1436</v>
      </c>
      <c r="E587" s="1" t="s">
        <v>1437</v>
      </c>
      <c r="F587" s="1" t="s">
        <v>112</v>
      </c>
      <c r="G587" s="1">
        <v>3026844</v>
      </c>
    </row>
    <row r="588" spans="1:8"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112</v>
      </c>
    </row>
    <row r="589" spans="1:8"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9" s="1" t="s">
        <v>242</v>
      </c>
      <c r="D589" s="1" t="s">
        <v>112</v>
      </c>
      <c r="E589" s="1" t="s">
        <v>243</v>
      </c>
      <c r="F589" s="1" t="s">
        <v>244</v>
      </c>
      <c r="G589" s="1" t="s">
        <v>245</v>
      </c>
      <c r="H589" s="1" t="s">
        <v>246</v>
      </c>
    </row>
    <row r="590" spans="1:8" x14ac:dyDescent="0.35">
      <c r="A590" s="1" t="str">
        <f t="shared" si="9"/>
        <v>20</v>
      </c>
      <c r="B5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90" s="1" t="s">
        <v>1438</v>
      </c>
      <c r="D590" s="1" t="s">
        <v>112</v>
      </c>
      <c r="E590" s="1" t="s">
        <v>1439</v>
      </c>
      <c r="F590" s="1" t="s">
        <v>1440</v>
      </c>
      <c r="G590" s="1" t="s">
        <v>1441</v>
      </c>
      <c r="H590" s="1" t="s">
        <v>1442</v>
      </c>
    </row>
    <row r="591" spans="1:8"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8"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112</v>
      </c>
    </row>
    <row r="596" spans="1:7"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6" s="1" t="s">
        <v>172</v>
      </c>
      <c r="D596" s="1" t="s">
        <v>110</v>
      </c>
      <c r="E596" s="1" t="s">
        <v>111</v>
      </c>
      <c r="F596" s="1" t="s">
        <v>112</v>
      </c>
      <c r="G596" s="1" t="s">
        <v>113</v>
      </c>
    </row>
    <row r="597" spans="1:7" x14ac:dyDescent="0.35">
      <c r="A597" s="1" t="str">
        <f t="shared" si="9"/>
        <v>21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1443</v>
      </c>
    </row>
    <row r="598" spans="1:7" x14ac:dyDescent="0.35">
      <c r="A598" s="1" t="str">
        <f t="shared" si="9"/>
        <v>21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1444</v>
      </c>
    </row>
    <row r="599" spans="1:7" x14ac:dyDescent="0.35">
      <c r="A599" s="1" t="str">
        <f t="shared" si="9"/>
        <v>21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9" s="1" t="s">
        <v>1445</v>
      </c>
      <c r="D599" s="1" t="s">
        <v>1446</v>
      </c>
      <c r="E599" s="1" t="s">
        <v>1447</v>
      </c>
      <c r="F599" s="1" t="s">
        <v>112</v>
      </c>
      <c r="G599" s="1">
        <v>1284772</v>
      </c>
    </row>
    <row r="600" spans="1:7" x14ac:dyDescent="0.35">
      <c r="A600" s="1" t="str">
        <f t="shared" si="9"/>
        <v>21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1448</v>
      </c>
      <c r="D600" s="1" t="s">
        <v>1449</v>
      </c>
      <c r="E600" s="1" t="s">
        <v>1450</v>
      </c>
      <c r="F600" s="1" t="s">
        <v>112</v>
      </c>
      <c r="G600" s="1">
        <v>917519</v>
      </c>
    </row>
    <row r="601" spans="1:7" x14ac:dyDescent="0.35">
      <c r="A601" s="1" t="str">
        <f t="shared" si="9"/>
        <v>21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1451</v>
      </c>
      <c r="D601" s="1" t="s">
        <v>1452</v>
      </c>
      <c r="E601" s="1" t="s">
        <v>1453</v>
      </c>
      <c r="F601" s="1" t="s">
        <v>112</v>
      </c>
      <c r="G601" s="1">
        <v>1268117</v>
      </c>
    </row>
    <row r="602" spans="1:7" x14ac:dyDescent="0.35">
      <c r="A602" s="1" t="str">
        <f t="shared" si="9"/>
        <v>21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2" s="1" t="s">
        <v>1454</v>
      </c>
      <c r="D602" s="1" t="s">
        <v>1455</v>
      </c>
      <c r="E602" s="1" t="s">
        <v>1456</v>
      </c>
      <c r="F602" s="1" t="s">
        <v>112</v>
      </c>
      <c r="G602" s="1">
        <v>1273763</v>
      </c>
    </row>
    <row r="603" spans="1:7" x14ac:dyDescent="0.35">
      <c r="A603" s="1" t="str">
        <f t="shared" si="9"/>
        <v>21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1457</v>
      </c>
      <c r="D603" s="1" t="s">
        <v>1274</v>
      </c>
      <c r="E603" s="1" t="s">
        <v>1458</v>
      </c>
      <c r="F603" s="1" t="s">
        <v>112</v>
      </c>
      <c r="G603" s="1">
        <v>2093384</v>
      </c>
    </row>
    <row r="604" spans="1:7" x14ac:dyDescent="0.35">
      <c r="A604" s="1" t="str">
        <f t="shared" si="9"/>
        <v>21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1459</v>
      </c>
      <c r="D604" s="1" t="s">
        <v>1460</v>
      </c>
      <c r="E604" s="1" t="s">
        <v>1461</v>
      </c>
      <c r="F604" s="1" t="s">
        <v>112</v>
      </c>
      <c r="G604" s="1">
        <v>1983872</v>
      </c>
    </row>
    <row r="605" spans="1:7" x14ac:dyDescent="0.35">
      <c r="A605" s="1" t="str">
        <f t="shared" si="9"/>
        <v>21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5" s="1" t="s">
        <v>1462</v>
      </c>
      <c r="D605" s="1" t="s">
        <v>1463</v>
      </c>
      <c r="E605" s="1" t="s">
        <v>1464</v>
      </c>
      <c r="F605" s="1" t="s">
        <v>112</v>
      </c>
      <c r="G605" s="1">
        <v>1905918</v>
      </c>
    </row>
    <row r="606" spans="1:7" x14ac:dyDescent="0.35">
      <c r="A606" s="1" t="str">
        <f t="shared" si="9"/>
        <v>21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1465</v>
      </c>
      <c r="D606" s="1" t="s">
        <v>1466</v>
      </c>
      <c r="E606" s="1" t="s">
        <v>1467</v>
      </c>
      <c r="F606" s="1" t="s">
        <v>112</v>
      </c>
      <c r="G606" s="1">
        <v>1238290</v>
      </c>
    </row>
    <row r="607" spans="1:7" x14ac:dyDescent="0.35">
      <c r="A607" s="1" t="str">
        <f t="shared" si="9"/>
        <v>21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1468</v>
      </c>
      <c r="D607" s="1" t="s">
        <v>1469</v>
      </c>
      <c r="E607" s="1" t="s">
        <v>1470</v>
      </c>
      <c r="F607" s="1" t="s">
        <v>112</v>
      </c>
      <c r="G607" s="1">
        <v>1315530</v>
      </c>
    </row>
    <row r="608" spans="1:7" x14ac:dyDescent="0.35">
      <c r="A608" s="1" t="str">
        <f t="shared" si="9"/>
        <v>21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8" s="1" t="s">
        <v>1471</v>
      </c>
      <c r="D608" s="1" t="s">
        <v>1472</v>
      </c>
      <c r="E608" s="1" t="s">
        <v>1473</v>
      </c>
      <c r="F608" s="1" t="s">
        <v>112</v>
      </c>
      <c r="G608" s="1">
        <v>1220359</v>
      </c>
    </row>
    <row r="609" spans="1:8" x14ac:dyDescent="0.35">
      <c r="A609" s="1" t="str">
        <f t="shared" si="9"/>
        <v>21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1474</v>
      </c>
      <c r="D609" s="1" t="s">
        <v>1475</v>
      </c>
      <c r="E609" s="1" t="s">
        <v>1476</v>
      </c>
      <c r="F609" s="1" t="s">
        <v>112</v>
      </c>
      <c r="G609" s="1">
        <v>383130</v>
      </c>
    </row>
    <row r="610" spans="1:8" x14ac:dyDescent="0.35">
      <c r="A610" s="1" t="str">
        <f t="shared" si="9"/>
        <v>21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1477</v>
      </c>
      <c r="D610" s="1" t="s">
        <v>1478</v>
      </c>
      <c r="E610" s="1" t="s">
        <v>1479</v>
      </c>
      <c r="F610" s="1" t="s">
        <v>112</v>
      </c>
      <c r="G610" s="1">
        <v>295529</v>
      </c>
    </row>
    <row r="611" spans="1:8" x14ac:dyDescent="0.35">
      <c r="A611" s="1" t="str">
        <f t="shared" si="9"/>
        <v>21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1" s="1" t="s">
        <v>1480</v>
      </c>
      <c r="D611" s="1" t="s">
        <v>1481</v>
      </c>
      <c r="E611" s="1">
        <v>30</v>
      </c>
      <c r="F611" s="1" t="s">
        <v>112</v>
      </c>
      <c r="G611" s="1">
        <v>3893</v>
      </c>
    </row>
    <row r="612" spans="1:8" x14ac:dyDescent="0.35">
      <c r="A612" s="1" t="str">
        <f t="shared" si="9"/>
        <v>21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1482</v>
      </c>
      <c r="D612" s="1" t="s">
        <v>1483</v>
      </c>
      <c r="E612" s="1" t="s">
        <v>1484</v>
      </c>
      <c r="F612" s="1" t="s">
        <v>112</v>
      </c>
      <c r="G612" s="1">
        <v>2708495</v>
      </c>
    </row>
    <row r="613" spans="1:8" x14ac:dyDescent="0.35">
      <c r="A613" s="1" t="str">
        <f t="shared" si="9"/>
        <v>21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1485</v>
      </c>
      <c r="D613" s="1" t="s">
        <v>1486</v>
      </c>
      <c r="E613" s="1" t="s">
        <v>1487</v>
      </c>
      <c r="F613" s="1" t="s">
        <v>112</v>
      </c>
      <c r="G613" s="1">
        <v>2184360</v>
      </c>
    </row>
    <row r="614" spans="1:8" x14ac:dyDescent="0.35">
      <c r="A614" s="1" t="str">
        <f t="shared" si="9"/>
        <v>21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4" s="1" t="s">
        <v>1488</v>
      </c>
      <c r="D614" s="1" t="s">
        <v>1489</v>
      </c>
      <c r="E614" s="1" t="s">
        <v>1490</v>
      </c>
      <c r="F614" s="1" t="s">
        <v>112</v>
      </c>
      <c r="G614" s="1">
        <v>3169082</v>
      </c>
    </row>
    <row r="615" spans="1:8" x14ac:dyDescent="0.35">
      <c r="A615" s="1" t="str">
        <f t="shared" si="9"/>
        <v>21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1491</v>
      </c>
      <c r="D615" s="1" t="s">
        <v>1492</v>
      </c>
      <c r="E615" s="1" t="s">
        <v>1493</v>
      </c>
      <c r="F615" s="1" t="s">
        <v>112</v>
      </c>
      <c r="G615" s="1">
        <v>2243691</v>
      </c>
    </row>
    <row r="616" spans="1:8" x14ac:dyDescent="0.35">
      <c r="A616" s="1" t="str">
        <f t="shared" si="9"/>
        <v>21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1494</v>
      </c>
      <c r="D616" s="1" t="s">
        <v>740</v>
      </c>
      <c r="E616" s="1" t="s">
        <v>1495</v>
      </c>
      <c r="F616" s="1" t="s">
        <v>112</v>
      </c>
      <c r="G616" s="1">
        <v>2078265</v>
      </c>
    </row>
    <row r="617" spans="1:8" x14ac:dyDescent="0.35">
      <c r="A617" s="1" t="str">
        <f t="shared" si="9"/>
        <v>21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7" s="1" t="s">
        <v>1496</v>
      </c>
      <c r="D617" s="1" t="s">
        <v>1497</v>
      </c>
      <c r="E617" s="1" t="s">
        <v>1498</v>
      </c>
      <c r="F617" s="1" t="s">
        <v>112</v>
      </c>
      <c r="G617" s="1">
        <v>2081834</v>
      </c>
    </row>
    <row r="618" spans="1:8" x14ac:dyDescent="0.35">
      <c r="A618" s="1" t="str">
        <f t="shared" si="9"/>
        <v>21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1499</v>
      </c>
      <c r="D618" s="1" t="s">
        <v>1500</v>
      </c>
      <c r="E618" s="1" t="s">
        <v>1501</v>
      </c>
      <c r="F618" s="1" t="s">
        <v>112</v>
      </c>
      <c r="G618" s="1">
        <v>2739880</v>
      </c>
    </row>
    <row r="619" spans="1:8" x14ac:dyDescent="0.35">
      <c r="A619" s="1" t="str">
        <f t="shared" si="9"/>
        <v>21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1502</v>
      </c>
      <c r="D619" s="1" t="s">
        <v>1503</v>
      </c>
      <c r="E619" s="1" t="s">
        <v>1504</v>
      </c>
      <c r="F619" s="1" t="s">
        <v>112</v>
      </c>
      <c r="G619" s="1">
        <v>2320022</v>
      </c>
    </row>
    <row r="620" spans="1:8" x14ac:dyDescent="0.35">
      <c r="A620" s="1" t="str">
        <f t="shared" si="9"/>
        <v>21</v>
      </c>
      <c r="B6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20" s="1" t="s">
        <v>1505</v>
      </c>
      <c r="D620" s="1" t="s">
        <v>1506</v>
      </c>
      <c r="E620" s="1" t="s">
        <v>1507</v>
      </c>
      <c r="F620" s="1" t="s">
        <v>112</v>
      </c>
      <c r="G620" s="1">
        <v>2118021</v>
      </c>
    </row>
    <row r="621" spans="1:8"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112</v>
      </c>
    </row>
    <row r="622" spans="1:8"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2" s="1" t="s">
        <v>242</v>
      </c>
      <c r="D622" s="1" t="s">
        <v>112</v>
      </c>
      <c r="E622" s="1" t="s">
        <v>243</v>
      </c>
      <c r="F622" s="1" t="s">
        <v>244</v>
      </c>
      <c r="G622" s="1" t="s">
        <v>245</v>
      </c>
      <c r="H622" s="1" t="s">
        <v>246</v>
      </c>
    </row>
    <row r="623" spans="1:8" x14ac:dyDescent="0.35">
      <c r="A623" s="1" t="str">
        <f t="shared" si="9"/>
        <v>21</v>
      </c>
      <c r="B6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3" s="1" t="s">
        <v>1508</v>
      </c>
      <c r="D623" s="1" t="s">
        <v>112</v>
      </c>
      <c r="E623" s="1" t="s">
        <v>1509</v>
      </c>
      <c r="F623" s="1" t="s">
        <v>1510</v>
      </c>
      <c r="G623" s="1" t="s">
        <v>1511</v>
      </c>
      <c r="H623" s="1" t="s">
        <v>1512</v>
      </c>
    </row>
    <row r="624" spans="1:8"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112</v>
      </c>
    </row>
    <row r="629" spans="1:7"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9" s="1" t="s">
        <v>172</v>
      </c>
      <c r="D629" s="1" t="s">
        <v>110</v>
      </c>
      <c r="E629" s="1" t="s">
        <v>111</v>
      </c>
      <c r="F629" s="1" t="s">
        <v>112</v>
      </c>
      <c r="G629" s="1" t="s">
        <v>113</v>
      </c>
    </row>
    <row r="630" spans="1:7" x14ac:dyDescent="0.35">
      <c r="A630" s="1" t="str">
        <f t="shared" si="9"/>
        <v>8</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1513</v>
      </c>
      <c r="D630" s="1" t="s">
        <v>1514</v>
      </c>
      <c r="E630" s="1" t="s">
        <v>1515</v>
      </c>
      <c r="F630" s="1" t="s">
        <v>112</v>
      </c>
      <c r="G630" s="1">
        <v>33375</v>
      </c>
    </row>
    <row r="631" spans="1:7" x14ac:dyDescent="0.35">
      <c r="A631" s="1" t="str">
        <f t="shared" si="9"/>
        <v>8</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1516</v>
      </c>
      <c r="D631" s="1" t="s">
        <v>1517</v>
      </c>
      <c r="E631" s="1" t="s">
        <v>1518</v>
      </c>
      <c r="F631" s="1" t="s">
        <v>112</v>
      </c>
      <c r="G631" s="1">
        <v>121755</v>
      </c>
    </row>
    <row r="632" spans="1:7" x14ac:dyDescent="0.35">
      <c r="A632" s="1" t="str">
        <f t="shared" si="9"/>
        <v>8</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2" s="1" t="s">
        <v>1519</v>
      </c>
      <c r="D632" s="1" t="s">
        <v>1520</v>
      </c>
      <c r="E632" s="1" t="s">
        <v>1521</v>
      </c>
      <c r="F632" s="1" t="s">
        <v>112</v>
      </c>
      <c r="G632" s="1">
        <v>111935</v>
      </c>
    </row>
    <row r="633" spans="1:7" x14ac:dyDescent="0.35">
      <c r="A633" s="1" t="str">
        <f t="shared" si="9"/>
        <v>8</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1522</v>
      </c>
      <c r="D633" s="1" t="s">
        <v>1523</v>
      </c>
      <c r="E633" s="1" t="s">
        <v>1524</v>
      </c>
      <c r="F633" s="1" t="s">
        <v>112</v>
      </c>
      <c r="G633" s="1">
        <v>313785</v>
      </c>
    </row>
    <row r="634" spans="1:7" x14ac:dyDescent="0.35">
      <c r="A634" s="1" t="str">
        <f t="shared" si="9"/>
        <v>8</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1525</v>
      </c>
      <c r="D634" s="1" t="s">
        <v>1526</v>
      </c>
      <c r="E634" s="1" t="s">
        <v>1527</v>
      </c>
      <c r="F634" s="1" t="s">
        <v>112</v>
      </c>
      <c r="G634" s="1">
        <v>119916</v>
      </c>
    </row>
    <row r="635" spans="1:7" x14ac:dyDescent="0.35">
      <c r="A635" s="1" t="str">
        <f t="shared" si="9"/>
        <v>8</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5" s="1" t="s">
        <v>1528</v>
      </c>
      <c r="D635" s="1" t="s">
        <v>156</v>
      </c>
      <c r="E635" s="1" t="s">
        <v>1529</v>
      </c>
      <c r="F635" s="1" t="s">
        <v>112</v>
      </c>
      <c r="G635" s="1">
        <v>700852</v>
      </c>
    </row>
    <row r="636" spans="1:7" x14ac:dyDescent="0.35">
      <c r="A636" s="1" t="str">
        <f t="shared" si="9"/>
        <v>8</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1530</v>
      </c>
      <c r="D636" s="1" t="s">
        <v>229</v>
      </c>
      <c r="E636" s="1">
        <v>32</v>
      </c>
      <c r="F636" s="1" t="s">
        <v>112</v>
      </c>
      <c r="G636" s="1">
        <v>692</v>
      </c>
    </row>
    <row r="637" spans="1:7" x14ac:dyDescent="0.35">
      <c r="A637" s="1" t="str">
        <f t="shared" si="9"/>
        <v>8</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1531</v>
      </c>
      <c r="D637" s="1" t="s">
        <v>229</v>
      </c>
      <c r="E637" s="1">
        <v>33</v>
      </c>
      <c r="F637" s="1" t="s">
        <v>112</v>
      </c>
      <c r="G637" s="1">
        <v>714</v>
      </c>
    </row>
    <row r="638" spans="1:7" x14ac:dyDescent="0.35">
      <c r="A638" s="1" t="str">
        <f t="shared" si="9"/>
        <v>8</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8" s="1" t="s">
        <v>1532</v>
      </c>
      <c r="D638" s="1">
        <v>0</v>
      </c>
      <c r="E638" s="1">
        <v>0</v>
      </c>
      <c r="F638" s="1" t="s">
        <v>112</v>
      </c>
      <c r="G638" s="1">
        <v>0</v>
      </c>
    </row>
    <row r="639" spans="1:7" x14ac:dyDescent="0.35">
      <c r="A639" s="1" t="str">
        <f t="shared" si="9"/>
        <v>8</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1533</v>
      </c>
      <c r="D639" s="1" t="s">
        <v>1534</v>
      </c>
      <c r="E639" s="1" t="s">
        <v>1535</v>
      </c>
      <c r="F639" s="1" t="s">
        <v>112</v>
      </c>
      <c r="G639" s="1">
        <v>204424</v>
      </c>
    </row>
    <row r="640" spans="1:7" x14ac:dyDescent="0.35">
      <c r="A640" s="1" t="str">
        <f t="shared" si="9"/>
        <v>8</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1536</v>
      </c>
      <c r="D640" s="1" t="s">
        <v>196</v>
      </c>
      <c r="E640" s="1" t="s">
        <v>1537</v>
      </c>
      <c r="F640" s="1" t="s">
        <v>112</v>
      </c>
      <c r="G640" s="1">
        <v>337794</v>
      </c>
    </row>
    <row r="641" spans="1:8" x14ac:dyDescent="0.35">
      <c r="A641" s="1" t="str">
        <f t="shared" si="9"/>
        <v>8</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1" s="1" t="s">
        <v>1538</v>
      </c>
      <c r="D641" s="1" t="s">
        <v>1539</v>
      </c>
      <c r="E641" s="1" t="s">
        <v>1540</v>
      </c>
      <c r="F641" s="1" t="s">
        <v>112</v>
      </c>
      <c r="G641" s="1">
        <v>249133</v>
      </c>
    </row>
    <row r="642" spans="1:8" x14ac:dyDescent="0.35">
      <c r="A642" s="1" t="str">
        <f t="shared" ref="A642:A705" si="10">IFERROR(LEFT(RIGHT(C642,LEN(C642)-SEARCH("@",C642)),SEARCH("/",RIGHT(C642,LEN(C642)-SEARCH("@",C642)-1))),"")</f>
        <v>8</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1541</v>
      </c>
      <c r="D642" s="1" t="s">
        <v>954</v>
      </c>
      <c r="E642" s="1" t="s">
        <v>1542</v>
      </c>
      <c r="F642" s="1" t="s">
        <v>112</v>
      </c>
      <c r="G642" s="1">
        <v>205203</v>
      </c>
    </row>
    <row r="643" spans="1:8" x14ac:dyDescent="0.35">
      <c r="A643" s="1" t="str">
        <f t="shared" si="10"/>
        <v>8</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1543</v>
      </c>
      <c r="D643" s="1" t="s">
        <v>503</v>
      </c>
      <c r="E643" s="1" t="s">
        <v>1544</v>
      </c>
      <c r="F643" s="1" t="s">
        <v>112</v>
      </c>
      <c r="G643" s="1">
        <v>253957</v>
      </c>
    </row>
    <row r="644" spans="1:8" x14ac:dyDescent="0.35">
      <c r="A644" s="1" t="str">
        <f t="shared" si="10"/>
        <v>8</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4" s="1" t="s">
        <v>1545</v>
      </c>
      <c r="D644" s="1" t="s">
        <v>1546</v>
      </c>
      <c r="E644" s="1" t="s">
        <v>1547</v>
      </c>
      <c r="F644" s="1" t="s">
        <v>112</v>
      </c>
      <c r="G644" s="1">
        <v>333014</v>
      </c>
    </row>
    <row r="645" spans="1:8" x14ac:dyDescent="0.35">
      <c r="A645" s="1" t="str">
        <f t="shared" si="10"/>
        <v>8</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1548</v>
      </c>
      <c r="D645" s="1" t="s">
        <v>1549</v>
      </c>
      <c r="E645" s="1" t="s">
        <v>1550</v>
      </c>
      <c r="F645" s="1" t="s">
        <v>112</v>
      </c>
      <c r="G645" s="1">
        <v>138734</v>
      </c>
    </row>
    <row r="646" spans="1:8" x14ac:dyDescent="0.35">
      <c r="A646" s="1" t="str">
        <f t="shared" si="10"/>
        <v>8</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1551</v>
      </c>
      <c r="D646" s="1" t="s">
        <v>1552</v>
      </c>
      <c r="E646" s="1" t="s">
        <v>1553</v>
      </c>
      <c r="F646" s="1" t="s">
        <v>112</v>
      </c>
      <c r="G646" s="1">
        <v>170530</v>
      </c>
    </row>
    <row r="647" spans="1:8" x14ac:dyDescent="0.35">
      <c r="A647" s="1" t="str">
        <f t="shared" si="10"/>
        <v>8</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7" s="1" t="s">
        <v>1554</v>
      </c>
      <c r="D647" s="1" t="s">
        <v>1555</v>
      </c>
      <c r="E647" s="1" t="s">
        <v>232</v>
      </c>
      <c r="F647" s="1" t="s">
        <v>112</v>
      </c>
      <c r="G647" s="1">
        <v>6597</v>
      </c>
    </row>
    <row r="648" spans="1:8" x14ac:dyDescent="0.35">
      <c r="A648" s="1" t="str">
        <f t="shared" si="10"/>
        <v>8</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1556</v>
      </c>
      <c r="D648" s="1" t="s">
        <v>1557</v>
      </c>
      <c r="E648" s="1" t="s">
        <v>1558</v>
      </c>
      <c r="F648" s="1" t="s">
        <v>112</v>
      </c>
      <c r="G648" s="1">
        <v>106008</v>
      </c>
    </row>
    <row r="649" spans="1:8" x14ac:dyDescent="0.35">
      <c r="A649" s="1" t="str">
        <f t="shared" si="10"/>
        <v>8</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1559</v>
      </c>
      <c r="D649" s="1" t="s">
        <v>1560</v>
      </c>
      <c r="E649" s="1" t="s">
        <v>1561</v>
      </c>
      <c r="F649" s="1" t="s">
        <v>112</v>
      </c>
      <c r="G649" s="1">
        <v>475144</v>
      </c>
    </row>
    <row r="650" spans="1:8" x14ac:dyDescent="0.35">
      <c r="A650" s="1" t="str">
        <f t="shared" si="10"/>
        <v>8</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50" s="1" t="s">
        <v>1562</v>
      </c>
      <c r="D650" s="1" t="s">
        <v>1563</v>
      </c>
      <c r="E650" s="1" t="s">
        <v>1564</v>
      </c>
      <c r="F650" s="1" t="s">
        <v>112</v>
      </c>
      <c r="G650" s="1">
        <v>508995</v>
      </c>
    </row>
    <row r="651" spans="1:8" x14ac:dyDescent="0.35">
      <c r="A651" s="1" t="str">
        <f t="shared" si="10"/>
        <v>8</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1565</v>
      </c>
      <c r="D651" s="1" t="s">
        <v>1566</v>
      </c>
      <c r="E651" s="1" t="s">
        <v>1567</v>
      </c>
      <c r="F651" s="1" t="s">
        <v>112</v>
      </c>
      <c r="G651" s="1">
        <v>101336</v>
      </c>
    </row>
    <row r="652" spans="1:8" x14ac:dyDescent="0.35">
      <c r="A652" s="1" t="str">
        <f t="shared" si="10"/>
        <v>8</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1568</v>
      </c>
      <c r="D652" s="1">
        <v>0</v>
      </c>
      <c r="E652" s="1">
        <v>0</v>
      </c>
      <c r="F652" s="1" t="s">
        <v>112</v>
      </c>
      <c r="G652" s="1">
        <v>0</v>
      </c>
    </row>
    <row r="653" spans="1:8" x14ac:dyDescent="0.35">
      <c r="A653" s="1" t="str">
        <f t="shared" si="10"/>
        <v>8</v>
      </c>
      <c r="B6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3" s="1" t="s">
        <v>1569</v>
      </c>
      <c r="D653" s="1" t="s">
        <v>1570</v>
      </c>
      <c r="E653" s="1" t="s">
        <v>1571</v>
      </c>
      <c r="F653" s="1" t="s">
        <v>112</v>
      </c>
      <c r="G653" s="1">
        <v>57730</v>
      </c>
    </row>
    <row r="654" spans="1:8"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112</v>
      </c>
    </row>
    <row r="655" spans="1:8"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5" s="1" t="s">
        <v>242</v>
      </c>
      <c r="D655" s="1" t="s">
        <v>112</v>
      </c>
      <c r="E655" s="1" t="s">
        <v>243</v>
      </c>
      <c r="F655" s="1" t="s">
        <v>244</v>
      </c>
      <c r="G655" s="1" t="s">
        <v>245</v>
      </c>
      <c r="H655" s="1" t="s">
        <v>246</v>
      </c>
    </row>
    <row r="656" spans="1:8" x14ac:dyDescent="0.35">
      <c r="A656" s="1" t="str">
        <f t="shared" si="10"/>
        <v>8</v>
      </c>
      <c r="B6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6" s="1" t="s">
        <v>1572</v>
      </c>
      <c r="D656" s="1" t="s">
        <v>112</v>
      </c>
      <c r="E656" s="1" t="s">
        <v>1573</v>
      </c>
      <c r="F656" s="1" t="s">
        <v>1574</v>
      </c>
      <c r="G656" s="1" t="s">
        <v>1575</v>
      </c>
      <c r="H656" s="1" t="s">
        <v>1576</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112</v>
      </c>
    </row>
    <row r="662" spans="1:7"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2" s="1" t="s">
        <v>172</v>
      </c>
      <c r="D662" s="1" t="s">
        <v>110</v>
      </c>
      <c r="E662" s="1" t="s">
        <v>111</v>
      </c>
      <c r="F662" s="1" t="s">
        <v>112</v>
      </c>
      <c r="G662" s="1" t="s">
        <v>113</v>
      </c>
    </row>
    <row r="663" spans="1:7" x14ac:dyDescent="0.35">
      <c r="A663" s="1" t="str">
        <f t="shared" si="10"/>
        <v>9</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1577</v>
      </c>
      <c r="D663" s="1" t="s">
        <v>1578</v>
      </c>
      <c r="E663" s="1" t="s">
        <v>1579</v>
      </c>
      <c r="F663" s="1" t="s">
        <v>112</v>
      </c>
      <c r="G663" s="1">
        <v>338919</v>
      </c>
    </row>
    <row r="664" spans="1:7" x14ac:dyDescent="0.35">
      <c r="A664" s="1" t="str">
        <f t="shared" si="10"/>
        <v>9</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1580</v>
      </c>
      <c r="D664" s="1" t="s">
        <v>186</v>
      </c>
      <c r="E664" s="1" t="s">
        <v>1581</v>
      </c>
      <c r="F664" s="1" t="s">
        <v>112</v>
      </c>
      <c r="G664" s="1">
        <v>341947</v>
      </c>
    </row>
    <row r="665" spans="1:7" x14ac:dyDescent="0.35">
      <c r="A665" s="1" t="str">
        <f t="shared" si="10"/>
        <v>9</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5" s="1" t="s">
        <v>1582</v>
      </c>
      <c r="D665" s="1" t="s">
        <v>1583</v>
      </c>
      <c r="E665" s="1" t="s">
        <v>1584</v>
      </c>
      <c r="F665" s="1" t="s">
        <v>112</v>
      </c>
      <c r="G665" s="1">
        <v>580352</v>
      </c>
    </row>
    <row r="666" spans="1:7" x14ac:dyDescent="0.35">
      <c r="A666" s="1" t="str">
        <f t="shared" si="10"/>
        <v>9</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1585</v>
      </c>
      <c r="D666" s="1" t="s">
        <v>1586</v>
      </c>
      <c r="E666" s="1" t="s">
        <v>1587</v>
      </c>
      <c r="F666" s="1" t="s">
        <v>112</v>
      </c>
      <c r="G666" s="1">
        <v>421523</v>
      </c>
    </row>
    <row r="667" spans="1:7" x14ac:dyDescent="0.35">
      <c r="A667" s="1" t="str">
        <f t="shared" si="10"/>
        <v>9</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1588</v>
      </c>
      <c r="D667" s="1" t="s">
        <v>1589</v>
      </c>
      <c r="E667" s="1" t="s">
        <v>1590</v>
      </c>
      <c r="F667" s="1" t="s">
        <v>112</v>
      </c>
      <c r="G667" s="1">
        <v>401429</v>
      </c>
    </row>
    <row r="668" spans="1:7" x14ac:dyDescent="0.35">
      <c r="A668" s="1" t="str">
        <f t="shared" si="10"/>
        <v>9</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8" s="1" t="s">
        <v>1591</v>
      </c>
      <c r="D668" s="1" t="s">
        <v>1592</v>
      </c>
      <c r="E668" s="1" t="s">
        <v>1593</v>
      </c>
      <c r="F668" s="1" t="s">
        <v>112</v>
      </c>
      <c r="G668" s="1">
        <v>635530</v>
      </c>
    </row>
    <row r="669" spans="1:7" x14ac:dyDescent="0.35">
      <c r="A669" s="1" t="str">
        <f t="shared" si="10"/>
        <v>9</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1594</v>
      </c>
      <c r="D669" s="1" t="s">
        <v>559</v>
      </c>
      <c r="E669" s="1" t="s">
        <v>1595</v>
      </c>
      <c r="F669" s="1" t="s">
        <v>112</v>
      </c>
      <c r="G669" s="1">
        <v>59893</v>
      </c>
    </row>
    <row r="670" spans="1:7" x14ac:dyDescent="0.35">
      <c r="A670" s="1" t="str">
        <f t="shared" si="10"/>
        <v>9</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1596</v>
      </c>
      <c r="D670" s="1" t="s">
        <v>1597</v>
      </c>
      <c r="E670" s="1" t="s">
        <v>1598</v>
      </c>
      <c r="F670" s="1" t="s">
        <v>112</v>
      </c>
      <c r="G670" s="1">
        <v>70038</v>
      </c>
    </row>
    <row r="671" spans="1:7" x14ac:dyDescent="0.35">
      <c r="A671" s="1" t="str">
        <f t="shared" si="10"/>
        <v>9</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1" s="1" t="s">
        <v>1599</v>
      </c>
      <c r="D671" s="1" t="s">
        <v>1600</v>
      </c>
      <c r="E671" s="1" t="s">
        <v>1601</v>
      </c>
      <c r="F671" s="1" t="s">
        <v>112</v>
      </c>
      <c r="G671" s="1">
        <v>65279</v>
      </c>
    </row>
    <row r="672" spans="1:7" x14ac:dyDescent="0.35">
      <c r="A672" s="1" t="str">
        <f t="shared" si="10"/>
        <v>9</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1602</v>
      </c>
      <c r="D672" s="1" t="s">
        <v>1603</v>
      </c>
      <c r="E672" s="1" t="s">
        <v>1604</v>
      </c>
      <c r="F672" s="1" t="s">
        <v>112</v>
      </c>
      <c r="G672" s="1">
        <v>124177</v>
      </c>
    </row>
    <row r="673" spans="1:8" x14ac:dyDescent="0.35">
      <c r="A673" s="1" t="str">
        <f t="shared" si="10"/>
        <v>9</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1605</v>
      </c>
      <c r="D673" s="1" t="s">
        <v>1606</v>
      </c>
      <c r="E673" s="1" t="s">
        <v>1607</v>
      </c>
      <c r="F673" s="1" t="s">
        <v>112</v>
      </c>
      <c r="G673" s="1">
        <v>314326</v>
      </c>
    </row>
    <row r="674" spans="1:8" x14ac:dyDescent="0.35">
      <c r="A674" s="1" t="str">
        <f t="shared" si="10"/>
        <v>9</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4" s="1" t="s">
        <v>1608</v>
      </c>
    </row>
    <row r="675" spans="1:8" x14ac:dyDescent="0.35">
      <c r="A675" s="1" t="str">
        <f t="shared" si="10"/>
        <v>9</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1609</v>
      </c>
      <c r="D675" s="1">
        <v>0</v>
      </c>
      <c r="E675" s="1">
        <v>0</v>
      </c>
      <c r="F675" s="1" t="s">
        <v>112</v>
      </c>
      <c r="G675" s="1">
        <v>0</v>
      </c>
    </row>
    <row r="676" spans="1:8" x14ac:dyDescent="0.35">
      <c r="A676" s="1" t="str">
        <f t="shared" si="10"/>
        <v>9</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1610</v>
      </c>
      <c r="D676" s="1" t="s">
        <v>1611</v>
      </c>
      <c r="E676" s="1" t="s">
        <v>1612</v>
      </c>
      <c r="F676" s="1" t="s">
        <v>112</v>
      </c>
      <c r="G676" s="1">
        <v>112584</v>
      </c>
    </row>
    <row r="677" spans="1:8" x14ac:dyDescent="0.35">
      <c r="A677" s="1" t="str">
        <f t="shared" si="10"/>
        <v>9</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7" s="1" t="s">
        <v>1613</v>
      </c>
      <c r="D677" s="1" t="s">
        <v>1614</v>
      </c>
      <c r="E677" s="1" t="s">
        <v>1615</v>
      </c>
      <c r="F677" s="1" t="s">
        <v>112</v>
      </c>
      <c r="G677" s="1">
        <v>282313</v>
      </c>
    </row>
    <row r="678" spans="1:8" x14ac:dyDescent="0.35">
      <c r="A678" s="1" t="str">
        <f t="shared" si="10"/>
        <v>9</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1616</v>
      </c>
      <c r="D678" s="1" t="s">
        <v>1617</v>
      </c>
      <c r="E678" s="1" t="s">
        <v>1618</v>
      </c>
      <c r="F678" s="1" t="s">
        <v>112</v>
      </c>
      <c r="G678" s="1">
        <v>86498</v>
      </c>
    </row>
    <row r="679" spans="1:8" x14ac:dyDescent="0.35">
      <c r="A679" s="1" t="str">
        <f t="shared" si="10"/>
        <v>9</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1619</v>
      </c>
      <c r="D679" s="1" t="s">
        <v>1620</v>
      </c>
      <c r="E679" s="1" t="s">
        <v>1621</v>
      </c>
      <c r="F679" s="1" t="s">
        <v>112</v>
      </c>
      <c r="G679" s="1">
        <v>81372</v>
      </c>
    </row>
    <row r="680" spans="1:8" x14ac:dyDescent="0.35">
      <c r="A680" s="1" t="str">
        <f t="shared" si="10"/>
        <v>9</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80" s="1" t="s">
        <v>1622</v>
      </c>
      <c r="D680" s="1" t="s">
        <v>1623</v>
      </c>
      <c r="E680" s="1" t="s">
        <v>1624</v>
      </c>
      <c r="F680" s="1" t="s">
        <v>112</v>
      </c>
      <c r="G680" s="1">
        <v>188483</v>
      </c>
    </row>
    <row r="681" spans="1:8" x14ac:dyDescent="0.35">
      <c r="A681" s="1" t="str">
        <f t="shared" si="10"/>
        <v>9</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1625</v>
      </c>
      <c r="D681" s="1" t="s">
        <v>1520</v>
      </c>
      <c r="E681" s="1" t="s">
        <v>1626</v>
      </c>
      <c r="F681" s="1" t="s">
        <v>112</v>
      </c>
      <c r="G681" s="1">
        <v>120738</v>
      </c>
    </row>
    <row r="682" spans="1:8" x14ac:dyDescent="0.35">
      <c r="A682" s="1" t="str">
        <f t="shared" si="10"/>
        <v>9</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1627</v>
      </c>
      <c r="D682" s="1" t="s">
        <v>1628</v>
      </c>
      <c r="E682" s="1" t="s">
        <v>1629</v>
      </c>
      <c r="F682" s="1" t="s">
        <v>112</v>
      </c>
      <c r="G682" s="1">
        <v>111502</v>
      </c>
    </row>
    <row r="683" spans="1:8" x14ac:dyDescent="0.35">
      <c r="A683" s="1" t="str">
        <f t="shared" si="10"/>
        <v>9</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3" s="1" t="s">
        <v>1630</v>
      </c>
      <c r="D683" s="1" t="s">
        <v>1631</v>
      </c>
      <c r="E683" s="1" t="s">
        <v>1632</v>
      </c>
      <c r="F683" s="1" t="s">
        <v>112</v>
      </c>
      <c r="G683" s="1">
        <v>144336</v>
      </c>
    </row>
    <row r="684" spans="1:8" x14ac:dyDescent="0.35">
      <c r="A684" s="1" t="str">
        <f t="shared" si="10"/>
        <v>9</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1633</v>
      </c>
      <c r="D684" s="1" t="s">
        <v>1634</v>
      </c>
      <c r="E684" s="1" t="s">
        <v>1635</v>
      </c>
      <c r="F684" s="1" t="s">
        <v>112</v>
      </c>
      <c r="G684" s="1">
        <v>144661</v>
      </c>
    </row>
    <row r="685" spans="1:8" x14ac:dyDescent="0.35">
      <c r="A685" s="1" t="str">
        <f t="shared" si="10"/>
        <v>9</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1636</v>
      </c>
      <c r="D685" s="1" t="s">
        <v>954</v>
      </c>
      <c r="E685" s="1" t="s">
        <v>1637</v>
      </c>
      <c r="F685" s="1" t="s">
        <v>112</v>
      </c>
      <c r="G685" s="1">
        <v>208209</v>
      </c>
    </row>
    <row r="686" spans="1:8" x14ac:dyDescent="0.35">
      <c r="A686" s="1" t="str">
        <f t="shared" si="10"/>
        <v>9</v>
      </c>
      <c r="B6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6" s="1" t="s">
        <v>1638</v>
      </c>
      <c r="D686" s="1" t="s">
        <v>1639</v>
      </c>
      <c r="E686" s="1" t="s">
        <v>1640</v>
      </c>
      <c r="F686" s="1" t="s">
        <v>112</v>
      </c>
      <c r="G686" s="1">
        <v>362474</v>
      </c>
    </row>
    <row r="687" spans="1:8"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112</v>
      </c>
    </row>
    <row r="688" spans="1:8"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8" s="1" t="s">
        <v>242</v>
      </c>
      <c r="D688" s="1" t="s">
        <v>112</v>
      </c>
      <c r="E688" s="1" t="s">
        <v>243</v>
      </c>
      <c r="F688" s="1" t="s">
        <v>244</v>
      </c>
      <c r="G688" s="1" t="s">
        <v>245</v>
      </c>
      <c r="H688" s="1" t="s">
        <v>246</v>
      </c>
    </row>
    <row r="689" spans="1:8" x14ac:dyDescent="0.35">
      <c r="A689" s="1" t="str">
        <f t="shared" si="10"/>
        <v>9</v>
      </c>
      <c r="B6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9" s="1" t="s">
        <v>1641</v>
      </c>
      <c r="D689" s="1" t="s">
        <v>112</v>
      </c>
      <c r="E689" s="1" t="s">
        <v>1642</v>
      </c>
      <c r="F689" s="1" t="s">
        <v>1643</v>
      </c>
      <c r="G689" s="1" t="s">
        <v>1644</v>
      </c>
      <c r="H689" s="1" t="s">
        <v>1645</v>
      </c>
    </row>
    <row r="690" spans="1:8"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8"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8"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8"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8"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8"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8"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8"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8"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8"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8"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8"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8"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8"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8"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M1"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 thickBot="1" x14ac:dyDescent="0.4"/>
    <row r="3" spans="1:22" ht="15" thickBot="1" x14ac:dyDescent="0.4">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TAM-30.2µg/L</v>
      </c>
      <c r="J4" s="35" t="str">
        <f>'Page de garde'!A16</f>
        <v>TAM-60.4µg/L</v>
      </c>
      <c r="K4" s="35" t="str">
        <f>'Page de garde'!A17</f>
        <v>TAM-121µg/L</v>
      </c>
      <c r="L4" s="35" t="str">
        <f>'Page de garde'!A18</f>
        <v>TAM-242µg/L</v>
      </c>
      <c r="M4" s="35" t="str">
        <f>'Page de garde'!A19</f>
        <v>TAM-483µg/L</v>
      </c>
      <c r="N4" s="3"/>
      <c r="O4" s="36" t="str">
        <f>'Page de garde'!A36</f>
        <v>Testo -30µg/L</v>
      </c>
      <c r="P4" s="36" t="str">
        <f>'Page de garde'!A37</f>
        <v>Testo 30µg/L + EE2 -64ng/L</v>
      </c>
      <c r="Q4" s="36" t="str">
        <f>'Page de garde'!A38</f>
        <v>Testo 30µg/L + FAD-10mg/L</v>
      </c>
      <c r="R4" s="36" t="str">
        <f>'Page de garde'!A39</f>
        <v>TAM-30,2µg/L + Testostérone</v>
      </c>
      <c r="S4" s="36" t="str">
        <f>'Page de garde'!A40</f>
        <v>TAM-60,4µg/L + Testostérone</v>
      </c>
      <c r="T4" s="36" t="str">
        <f>'Page de garde'!A41</f>
        <v>TAM-121µg/L + Testostérone</v>
      </c>
      <c r="U4" s="36" t="str">
        <f>'Page de garde'!A42</f>
        <v>TAM-242µg/L + Testostérone</v>
      </c>
      <c r="V4" s="36" t="str">
        <f>'Page de garde'!A43</f>
        <v>TAM-483µg/L + Testostérone</v>
      </c>
    </row>
    <row r="5" spans="1:22" x14ac:dyDescent="0.35">
      <c r="A5" s="226" t="s">
        <v>33</v>
      </c>
      <c r="B5" s="32">
        <v>306964.33333333331</v>
      </c>
      <c r="C5" s="32"/>
      <c r="D5" s="32">
        <v>41003.333333333336</v>
      </c>
      <c r="E5" s="32">
        <v>2007968</v>
      </c>
      <c r="F5" s="32">
        <v>2497935.6666666665</v>
      </c>
      <c r="G5" s="32">
        <v>364751.66666666669</v>
      </c>
      <c r="H5" s="32">
        <v>4675612</v>
      </c>
      <c r="I5" s="32">
        <v>89021.666666666672</v>
      </c>
      <c r="J5" s="32">
        <v>420406</v>
      </c>
      <c r="K5" s="13">
        <v>226818.33333333334</v>
      </c>
      <c r="L5" s="13">
        <v>665508.66666666663</v>
      </c>
      <c r="M5" s="13">
        <v>774011.33333333337</v>
      </c>
      <c r="N5" s="3"/>
      <c r="O5" s="32">
        <v>1240907</v>
      </c>
      <c r="P5" s="13"/>
      <c r="Q5" s="13"/>
      <c r="R5" s="32">
        <v>1921102.6666666667</v>
      </c>
      <c r="S5" s="32">
        <v>1047528.6666666666</v>
      </c>
      <c r="T5" s="32">
        <v>1143478.6666666667</v>
      </c>
      <c r="U5" s="32">
        <v>1133763.5</v>
      </c>
      <c r="V5" s="32">
        <v>1284772</v>
      </c>
    </row>
    <row r="6" spans="1:22" ht="16.5" x14ac:dyDescent="0.35">
      <c r="A6" s="226"/>
      <c r="B6" s="14">
        <v>253762</v>
      </c>
      <c r="C6" s="13">
        <v>65084.333333333336</v>
      </c>
      <c r="D6" s="32">
        <v>57838.666666666664</v>
      </c>
      <c r="E6" s="32">
        <v>1593272.6666666667</v>
      </c>
      <c r="F6" s="32">
        <v>1361219.6666666667</v>
      </c>
      <c r="G6" s="32">
        <v>3187273</v>
      </c>
      <c r="H6" s="32"/>
      <c r="I6" s="32">
        <v>378184.33333333331</v>
      </c>
      <c r="J6" s="32">
        <v>486160.66666666669</v>
      </c>
      <c r="K6" s="13">
        <v>126989</v>
      </c>
      <c r="L6" s="13">
        <v>1295623.6666666667</v>
      </c>
      <c r="M6" s="13">
        <v>249097</v>
      </c>
      <c r="N6" s="3"/>
      <c r="O6" s="32">
        <v>2546585</v>
      </c>
      <c r="P6" s="13">
        <v>3184548</v>
      </c>
      <c r="Q6" s="13">
        <v>58955.666666666664</v>
      </c>
      <c r="R6" s="32">
        <v>3559127</v>
      </c>
      <c r="S6" s="32">
        <v>2474200.6666666665</v>
      </c>
      <c r="T6" s="32">
        <v>2205449</v>
      </c>
      <c r="U6" s="32">
        <v>2006757</v>
      </c>
      <c r="V6" s="32">
        <v>1153133</v>
      </c>
    </row>
    <row r="7" spans="1:22" ht="16.5" x14ac:dyDescent="0.35">
      <c r="A7" s="226"/>
      <c r="B7" s="14">
        <v>367784</v>
      </c>
      <c r="C7" s="13">
        <v>279804.5</v>
      </c>
      <c r="D7" s="32">
        <v>217351.33333333334</v>
      </c>
      <c r="E7" s="32">
        <v>81739.666666666672</v>
      </c>
      <c r="F7" s="32"/>
      <c r="G7" s="32">
        <v>1686382</v>
      </c>
      <c r="H7" s="32">
        <v>3647103</v>
      </c>
      <c r="I7" s="32">
        <v>468.66666666666669</v>
      </c>
      <c r="J7" s="32">
        <v>65070</v>
      </c>
      <c r="K7" s="13">
        <v>59287.666666666664</v>
      </c>
      <c r="L7" s="13">
        <v>1131820.3333333333</v>
      </c>
      <c r="M7" s="13">
        <v>462404</v>
      </c>
      <c r="N7" s="3"/>
      <c r="O7" s="32">
        <v>698227.33333333337</v>
      </c>
      <c r="P7" s="13">
        <v>933070.33333333337</v>
      </c>
      <c r="Q7" s="13">
        <v>142764.33333333334</v>
      </c>
      <c r="R7" s="32">
        <v>1450111.3333333333</v>
      </c>
      <c r="S7" s="32">
        <v>873927</v>
      </c>
      <c r="T7" s="32">
        <v>2469413</v>
      </c>
      <c r="U7" s="32">
        <v>1195902.3333333333</v>
      </c>
      <c r="V7" s="32">
        <v>1994391.3333333333</v>
      </c>
    </row>
    <row r="8" spans="1:22" ht="16.5" x14ac:dyDescent="0.35">
      <c r="A8" s="226"/>
      <c r="B8" s="14">
        <v>286870</v>
      </c>
      <c r="C8" s="13">
        <v>13079</v>
      </c>
      <c r="D8" s="32">
        <v>211908</v>
      </c>
      <c r="E8" s="32">
        <v>329250.33333333331</v>
      </c>
      <c r="F8" s="32">
        <v>1906999.3333333333</v>
      </c>
      <c r="G8" s="32">
        <v>1407695</v>
      </c>
      <c r="H8" s="32">
        <v>3287088</v>
      </c>
      <c r="I8" s="32">
        <v>263783.66666666669</v>
      </c>
      <c r="J8" s="32">
        <v>219251.5</v>
      </c>
      <c r="K8" s="13">
        <v>156384</v>
      </c>
      <c r="L8" s="13">
        <v>475230.33333333331</v>
      </c>
      <c r="M8" s="13">
        <v>243488</v>
      </c>
      <c r="N8" s="3"/>
      <c r="O8" s="32">
        <v>1874843.3333333333</v>
      </c>
      <c r="P8" s="13">
        <v>4217901.333333333</v>
      </c>
      <c r="Q8" s="13">
        <v>319409</v>
      </c>
      <c r="R8" s="32">
        <v>583986</v>
      </c>
      <c r="S8" s="32">
        <v>1437104.6666666667</v>
      </c>
      <c r="T8" s="32">
        <v>2129441.3333333335</v>
      </c>
      <c r="U8" s="32">
        <v>1913034.6666666667</v>
      </c>
      <c r="V8" s="32">
        <v>1258059.6666666667</v>
      </c>
    </row>
    <row r="9" spans="1:22" ht="16.5" x14ac:dyDescent="0.35">
      <c r="A9" s="226"/>
      <c r="B9" s="14">
        <v>262803</v>
      </c>
      <c r="C9" s="13">
        <v>53959.333333333336</v>
      </c>
      <c r="D9" s="32">
        <v>100341.33333333333</v>
      </c>
      <c r="E9" s="32">
        <v>627173</v>
      </c>
      <c r="F9" s="32">
        <v>1628940</v>
      </c>
      <c r="G9" s="32">
        <v>3155650</v>
      </c>
      <c r="H9" s="32">
        <v>4862775.333333333</v>
      </c>
      <c r="I9" s="32">
        <v>264058</v>
      </c>
      <c r="J9" s="32">
        <v>131632.33333333334</v>
      </c>
      <c r="K9" s="13">
        <v>216053.66666666666</v>
      </c>
      <c r="L9" s="13">
        <v>219608.33333333334</v>
      </c>
      <c r="M9" s="13">
        <v>2200019.6666666665</v>
      </c>
      <c r="N9" s="3"/>
      <c r="O9" s="32">
        <v>592760.33333333337</v>
      </c>
      <c r="P9" s="13">
        <v>2831230.6666666665</v>
      </c>
      <c r="Q9" s="13">
        <v>73556</v>
      </c>
      <c r="R9" s="32">
        <v>606761.66666666663</v>
      </c>
      <c r="S9" s="32">
        <v>1785101</v>
      </c>
      <c r="T9" s="32">
        <v>1102735.3333333333</v>
      </c>
      <c r="U9" s="32">
        <v>1472621</v>
      </c>
      <c r="V9" s="32">
        <v>227517.33333333334</v>
      </c>
    </row>
    <row r="10" spans="1:22" ht="16.5" x14ac:dyDescent="0.35">
      <c r="A10" s="226"/>
      <c r="B10" s="14">
        <v>98509.666666666672</v>
      </c>
      <c r="C10" s="13">
        <v>558195.33333333337</v>
      </c>
      <c r="D10" s="32">
        <v>172130.66666666666</v>
      </c>
      <c r="E10" s="32">
        <v>529139.33333333337</v>
      </c>
      <c r="F10" s="32">
        <v>1515401</v>
      </c>
      <c r="G10" s="32">
        <v>2743276.3333333335</v>
      </c>
      <c r="H10" s="32">
        <v>2544829.3333333335</v>
      </c>
      <c r="I10" s="32">
        <v>105287</v>
      </c>
      <c r="J10" s="32">
        <v>118784.33333333333</v>
      </c>
      <c r="K10" s="13">
        <v>155893.66666666666</v>
      </c>
      <c r="L10" s="13">
        <v>101163</v>
      </c>
      <c r="M10" s="13">
        <v>1035949</v>
      </c>
      <c r="N10" s="3"/>
      <c r="O10" s="32">
        <v>489254</v>
      </c>
      <c r="P10" s="13">
        <v>4321790</v>
      </c>
      <c r="Q10" s="13">
        <v>413412.33333333331</v>
      </c>
      <c r="R10" s="32">
        <v>261512.33333333334</v>
      </c>
      <c r="S10" s="32">
        <v>0</v>
      </c>
      <c r="T10" s="32">
        <v>3232104.6666666665</v>
      </c>
      <c r="U10" s="32">
        <v>3149182.6666666665</v>
      </c>
      <c r="V10" s="32">
        <v>2687312.3333333335</v>
      </c>
    </row>
    <row r="11" spans="1:22" ht="16.5" x14ac:dyDescent="0.35">
      <c r="A11" s="226"/>
      <c r="B11" s="14">
        <v>61803.666666666664</v>
      </c>
      <c r="C11" s="13">
        <v>262450</v>
      </c>
      <c r="D11" s="32">
        <v>294022.33333333331</v>
      </c>
      <c r="E11" s="32">
        <v>134617</v>
      </c>
      <c r="F11" s="32">
        <v>808056.66666666663</v>
      </c>
      <c r="G11" s="32">
        <v>1831129.3333333333</v>
      </c>
      <c r="H11" s="32">
        <v>4059643</v>
      </c>
      <c r="I11" s="32">
        <v>363382.33333333331</v>
      </c>
      <c r="J11" s="32">
        <v>125525.33333333333</v>
      </c>
      <c r="K11" s="13">
        <v>198339</v>
      </c>
      <c r="L11" s="13">
        <v>130926</v>
      </c>
      <c r="M11" s="13">
        <v>163738.33333333334</v>
      </c>
      <c r="N11" s="3"/>
      <c r="O11" s="32">
        <v>54456.666666666664</v>
      </c>
      <c r="P11" s="13">
        <v>3105295.6666666665</v>
      </c>
      <c r="Q11" s="13">
        <v>133016.33333333334</v>
      </c>
      <c r="R11" s="32">
        <v>2583864</v>
      </c>
      <c r="S11" s="32">
        <v>3510467</v>
      </c>
      <c r="T11" s="32">
        <v>1302184.3333333333</v>
      </c>
      <c r="U11" s="32">
        <v>1928153.3333333333</v>
      </c>
      <c r="V11" s="32">
        <v>2134596.6666666665</v>
      </c>
    </row>
    <row r="12" spans="1:22" ht="16.5" x14ac:dyDescent="0.35">
      <c r="A12" s="226"/>
      <c r="B12" s="14">
        <v>49871.333333333336</v>
      </c>
      <c r="C12" s="13">
        <v>79915</v>
      </c>
      <c r="D12" s="32">
        <v>486456.33333333331</v>
      </c>
      <c r="E12" s="32">
        <v>487602.66666666669</v>
      </c>
      <c r="F12" s="32">
        <v>2835051.6666666665</v>
      </c>
      <c r="G12" s="32">
        <v>2492297.3333333335</v>
      </c>
      <c r="H12" s="32">
        <v>3627491.6666666665</v>
      </c>
      <c r="I12" s="32">
        <v>53022</v>
      </c>
      <c r="J12" s="32">
        <v>238448</v>
      </c>
      <c r="K12" s="13">
        <v>70203.333333333328</v>
      </c>
      <c r="L12" s="13">
        <v>631766</v>
      </c>
      <c r="M12" s="13">
        <v>339675.66666666669</v>
      </c>
      <c r="N12" s="3"/>
      <c r="O12" s="32">
        <v>1524612.3333333333</v>
      </c>
      <c r="P12" s="13">
        <v>2782159.6666666665</v>
      </c>
      <c r="Q12" s="13">
        <v>74334.666666666672</v>
      </c>
      <c r="R12" s="32">
        <v>1887122</v>
      </c>
      <c r="S12" s="32">
        <v>2276979</v>
      </c>
      <c r="T12" s="32">
        <v>2930886.6666666665</v>
      </c>
      <c r="U12" s="32">
        <v>3043794.6666666665</v>
      </c>
      <c r="V12" s="32">
        <v>2392641</v>
      </c>
    </row>
    <row r="13" spans="1:22" ht="16.5" x14ac:dyDescent="0.35">
      <c r="A13" s="226"/>
      <c r="B13" s="14"/>
      <c r="C13" s="13"/>
      <c r="D13" s="32"/>
      <c r="E13" s="32"/>
      <c r="F13" s="32"/>
      <c r="G13" s="32"/>
      <c r="H13" s="32"/>
      <c r="I13" s="32"/>
      <c r="J13" s="32"/>
      <c r="K13" s="13"/>
      <c r="L13" s="13"/>
      <c r="M13" s="13"/>
      <c r="N13" s="3"/>
      <c r="O13" s="32">
        <v>70048.5</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508951.33333333331</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v>992134.33333333337</v>
      </c>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1175498.5</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1956107</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1563747.6666666667</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525282</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TAM-30.2µg/L</v>
      </c>
      <c r="J22" s="3" t="str">
        <f t="shared" si="0"/>
        <v>TAM-60.4µg/L</v>
      </c>
      <c r="K22" s="3" t="str">
        <f t="shared" si="0"/>
        <v>TAM-121µg/L</v>
      </c>
      <c r="L22" s="3" t="str">
        <f t="shared" si="0"/>
        <v>TAM-242µg/L</v>
      </c>
      <c r="M22" s="3" t="str">
        <f t="shared" si="0"/>
        <v>TAM-483µg/L</v>
      </c>
      <c r="N22" s="3" t="s">
        <v>41</v>
      </c>
      <c r="O22" s="3" t="str">
        <f t="shared" si="0"/>
        <v>Testo -30µg/L</v>
      </c>
      <c r="P22" s="3" t="str">
        <f t="shared" si="0"/>
        <v>Testo 30µg/L + EE2 -64ng/L</v>
      </c>
      <c r="Q22" s="3" t="str">
        <f t="shared" si="0"/>
        <v>Testo 30µg/L + FAD-10mg/L</v>
      </c>
      <c r="R22" s="3" t="str">
        <f t="shared" si="0"/>
        <v>TAM-30,2µg/L + Testostérone</v>
      </c>
      <c r="S22" s="3" t="str">
        <f t="shared" si="0"/>
        <v>TAM-60,4µg/L + Testostérone</v>
      </c>
      <c r="T22" s="3" t="str">
        <f t="shared" si="0"/>
        <v>TAM-121µg/L + Testostérone</v>
      </c>
      <c r="U22" s="3" t="str">
        <f t="shared" si="0"/>
        <v>TAM-242µg/L + Testostérone</v>
      </c>
      <c r="V22" s="3" t="str">
        <f t="shared" si="0"/>
        <v>TAM-483µg/L + Testostérone</v>
      </c>
    </row>
    <row r="23" spans="1:22" x14ac:dyDescent="0.35">
      <c r="A23" s="5" t="s">
        <v>0</v>
      </c>
      <c r="B23" s="5">
        <f t="shared" ref="B23:J23" si="1">AVERAGE(B5:B20)</f>
        <v>211046</v>
      </c>
      <c r="C23" s="5">
        <f t="shared" si="1"/>
        <v>187498.21428571429</v>
      </c>
      <c r="D23" s="5">
        <f t="shared" si="1"/>
        <v>197631.5</v>
      </c>
      <c r="E23" s="5">
        <f t="shared" si="1"/>
        <v>723845.33333333337</v>
      </c>
      <c r="F23" s="5">
        <f t="shared" si="1"/>
        <v>1793371.9999999998</v>
      </c>
      <c r="G23" s="5">
        <f t="shared" si="1"/>
        <v>2108556.8333333335</v>
      </c>
      <c r="H23" s="5">
        <f t="shared" si="1"/>
        <v>3814934.6190476189</v>
      </c>
      <c r="I23" s="5">
        <f t="shared" si="1"/>
        <v>189650.95833333334</v>
      </c>
      <c r="J23" s="5">
        <f t="shared" si="1"/>
        <v>225659.77083333331</v>
      </c>
      <c r="K23" s="5"/>
      <c r="L23" s="5">
        <f>AVERAGE(L5:L20)</f>
        <v>581455.79166666674</v>
      </c>
      <c r="M23" s="5"/>
      <c r="N23" s="5" t="s">
        <v>0</v>
      </c>
      <c r="O23" s="5">
        <f>AVERAGE(O5:O20)</f>
        <v>1054227.688888889</v>
      </c>
      <c r="P23" s="5">
        <f>AVERAGE(P5:P20)</f>
        <v>3053713.666666667</v>
      </c>
      <c r="Q23" s="5">
        <f>AVERAGE(Q5:Q20)</f>
        <v>173635.47619047618</v>
      </c>
      <c r="R23" s="5">
        <f>AVERAGE(R5:R20)</f>
        <v>1606698.375</v>
      </c>
      <c r="S23" s="5">
        <f>AVERAGE(S5:S20)</f>
        <v>1675663.5</v>
      </c>
      <c r="T23" s="5">
        <f t="shared" ref="T23:V23" si="2">AVERAGE(T5:T20)</f>
        <v>2064461.625</v>
      </c>
      <c r="U23" s="5">
        <f t="shared" si="2"/>
        <v>1980401.1458333333</v>
      </c>
      <c r="V23" s="5">
        <f t="shared" si="2"/>
        <v>1641552.9166666665</v>
      </c>
    </row>
    <row r="24" spans="1:22" x14ac:dyDescent="0.35">
      <c r="A24" s="3" t="s">
        <v>1</v>
      </c>
      <c r="B24" s="3">
        <f t="shared" ref="B24:J24" si="3">STDEV(B5:B20)</f>
        <v>122436.46956013232</v>
      </c>
      <c r="C24" s="3">
        <f t="shared" si="3"/>
        <v>194237.21576046385</v>
      </c>
      <c r="D24" s="3">
        <f t="shared" si="3"/>
        <v>145156.93736441215</v>
      </c>
      <c r="E24" s="3">
        <f t="shared" si="3"/>
        <v>699299.28244629619</v>
      </c>
      <c r="F24" s="3">
        <f t="shared" si="3"/>
        <v>689966.83060204936</v>
      </c>
      <c r="G24" s="3">
        <f t="shared" si="3"/>
        <v>970818.48084869294</v>
      </c>
      <c r="H24" s="3">
        <f t="shared" si="3"/>
        <v>801426.82251667033</v>
      </c>
      <c r="I24" s="3">
        <f t="shared" si="3"/>
        <v>145631.84207603202</v>
      </c>
      <c r="J24" s="3">
        <f t="shared" si="3"/>
        <v>152161.05821430252</v>
      </c>
      <c r="K24" s="3"/>
      <c r="L24" s="3">
        <f>STDEV(L5:L20)</f>
        <v>446959.34223386017</v>
      </c>
      <c r="M24" s="3"/>
      <c r="N24" s="3" t="s">
        <v>1</v>
      </c>
      <c r="O24" s="3">
        <f>STDEV(O5:O20)</f>
        <v>729596.49385472969</v>
      </c>
      <c r="P24" s="3">
        <f>STDEV(P5:P20)</f>
        <v>1125721.7864772929</v>
      </c>
      <c r="Q24" s="3">
        <f>STDEV(Q5:Q20)</f>
        <v>138066.29731881726</v>
      </c>
      <c r="R24" s="3">
        <f>STDEV(R5:R20)</f>
        <v>1122762.9614635613</v>
      </c>
      <c r="S24" s="3">
        <f>STDEV(S5:S20)</f>
        <v>1087580.2534315295</v>
      </c>
      <c r="T24" s="3">
        <f t="shared" ref="T24:V24" si="4">STDEV(T5:T20)</f>
        <v>815594.59319238283</v>
      </c>
      <c r="U24" s="3">
        <f t="shared" si="4"/>
        <v>764842.9435161968</v>
      </c>
      <c r="V24" s="3">
        <f t="shared" si="4"/>
        <v>805139.16236217343</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TAM-30.2µg/L</v>
      </c>
      <c r="J27" s="35" t="str">
        <f t="shared" si="5"/>
        <v>TAM-60.4µg/L</v>
      </c>
      <c r="K27" s="35" t="str">
        <f t="shared" si="5"/>
        <v>TAM-121µg/L</v>
      </c>
      <c r="L27" s="35" t="str">
        <f t="shared" si="5"/>
        <v>TAM-242µg/L</v>
      </c>
      <c r="M27" s="35" t="str">
        <f t="shared" si="5"/>
        <v>TAM-483µg/L</v>
      </c>
      <c r="N27" s="3"/>
      <c r="O27" s="36" t="str">
        <f>O4</f>
        <v>Testo -30µg/L</v>
      </c>
      <c r="P27" s="36" t="str">
        <f t="shared" ref="P27:R27" si="6">P4</f>
        <v>Testo 30µg/L + EE2 -64ng/L</v>
      </c>
      <c r="Q27" s="36" t="str">
        <f t="shared" si="6"/>
        <v>Testo 30µg/L + FAD-10mg/L</v>
      </c>
      <c r="R27" s="36" t="str">
        <f t="shared" si="6"/>
        <v>TAM-30,2µg/L + Testostérone</v>
      </c>
      <c r="S27" s="36" t="str">
        <f t="shared" ref="S27:V27" si="7">S4</f>
        <v>TAM-60,4µg/L + Testostérone</v>
      </c>
      <c r="T27" s="36" t="str">
        <f t="shared" si="7"/>
        <v>TAM-121µg/L + Testostérone</v>
      </c>
      <c r="U27" s="36" t="str">
        <f t="shared" si="7"/>
        <v>TAM-242µg/L + Testostérone</v>
      </c>
      <c r="V27" s="36" t="str">
        <f t="shared" si="7"/>
        <v>TAM-483µg/L + Testostérone</v>
      </c>
    </row>
    <row r="28" spans="1:22" x14ac:dyDescent="0.35">
      <c r="A28" s="227" t="s">
        <v>34</v>
      </c>
      <c r="B28" s="11">
        <f t="shared" ref="B28:M28" si="8">IF(B5="","",(B5/$O$23))</f>
        <v>0.29117460731548478</v>
      </c>
      <c r="C28" s="11" t="str">
        <f t="shared" si="8"/>
        <v/>
      </c>
      <c r="D28" s="11">
        <f t="shared" si="8"/>
        <v>3.8894191231639057E-2</v>
      </c>
      <c r="E28" s="11">
        <f t="shared" si="8"/>
        <v>1.9046815229415124</v>
      </c>
      <c r="F28" s="11">
        <f t="shared" si="8"/>
        <v>2.3694460817087664</v>
      </c>
      <c r="G28" s="11">
        <f t="shared" si="8"/>
        <v>0.3459894579804666</v>
      </c>
      <c r="H28" s="11">
        <f t="shared" si="8"/>
        <v>4.4351064284110153</v>
      </c>
      <c r="I28" s="11">
        <f t="shared" si="8"/>
        <v>8.4442542730490899E-2</v>
      </c>
      <c r="J28" s="11">
        <f t="shared" si="8"/>
        <v>0.39878102655707132</v>
      </c>
      <c r="K28" s="11">
        <f t="shared" si="8"/>
        <v>0.21515118197321317</v>
      </c>
      <c r="L28" s="11">
        <f t="shared" si="8"/>
        <v>0.63127602668839433</v>
      </c>
      <c r="M28" s="11">
        <f t="shared" si="8"/>
        <v>0.73419749973471882</v>
      </c>
      <c r="N28" s="6"/>
      <c r="O28" s="11">
        <f t="shared" ref="O28:S37" si="9">IF(O5="","",(O5/$O$23))</f>
        <v>1.1770768431512768</v>
      </c>
      <c r="P28" s="11" t="str">
        <f t="shared" si="9"/>
        <v/>
      </c>
      <c r="Q28" s="11" t="str">
        <f t="shared" si="9"/>
        <v/>
      </c>
      <c r="R28" s="11">
        <f t="shared" si="9"/>
        <v>1.8222843954055379</v>
      </c>
      <c r="S28" s="11">
        <f t="shared" si="9"/>
        <v>0.9936455641482127</v>
      </c>
      <c r="T28" s="11">
        <f t="shared" ref="T28:V28" si="10">IF(T5="","",(T5/$O$23))</f>
        <v>1.08466005846597</v>
      </c>
      <c r="U28" s="11">
        <f t="shared" si="10"/>
        <v>1.0754446235375759</v>
      </c>
      <c r="V28" s="11">
        <f t="shared" si="10"/>
        <v>1.2186855017573053</v>
      </c>
    </row>
    <row r="29" spans="1:22" x14ac:dyDescent="0.35">
      <c r="A29" s="227"/>
      <c r="B29" s="11">
        <f t="shared" ref="B29:M29" si="11">IF(B6="","",(B6/$O$23))</f>
        <v>0.2407089120069065</v>
      </c>
      <c r="C29" s="11">
        <f t="shared" si="11"/>
        <v>6.173650532925145E-2</v>
      </c>
      <c r="D29" s="11">
        <f t="shared" si="11"/>
        <v>5.4863543498488591E-2</v>
      </c>
      <c r="E29" s="11">
        <f t="shared" si="11"/>
        <v>1.5113174160184581</v>
      </c>
      <c r="F29" s="11">
        <f t="shared" si="11"/>
        <v>1.2912008297764728</v>
      </c>
      <c r="G29" s="11">
        <f t="shared" si="11"/>
        <v>3.0233250687612365</v>
      </c>
      <c r="H29" s="11" t="str">
        <f t="shared" si="11"/>
        <v/>
      </c>
      <c r="I29" s="11">
        <f t="shared" si="11"/>
        <v>0.358731170997722</v>
      </c>
      <c r="J29" s="11">
        <f t="shared" si="11"/>
        <v>0.46115338440698639</v>
      </c>
      <c r="K29" s="11">
        <f t="shared" si="11"/>
        <v>0.12045690066615589</v>
      </c>
      <c r="L29" s="11">
        <f t="shared" si="11"/>
        <v>1.2289789770483062</v>
      </c>
      <c r="M29" s="11">
        <f t="shared" si="11"/>
        <v>0.23628387171516771</v>
      </c>
      <c r="N29" s="6"/>
      <c r="O29" s="11">
        <f t="shared" si="9"/>
        <v>2.4155929756350756</v>
      </c>
      <c r="P29" s="11">
        <f t="shared" si="9"/>
        <v>3.0207402381513786</v>
      </c>
      <c r="Q29" s="11">
        <f t="shared" si="9"/>
        <v>5.592308690810751E-2</v>
      </c>
      <c r="R29" s="11">
        <f t="shared" si="9"/>
        <v>3.3760515280633236</v>
      </c>
      <c r="S29" s="11">
        <f t="shared" si="9"/>
        <v>2.3469319699564792</v>
      </c>
      <c r="T29" s="11">
        <f t="shared" ref="T29:V29" si="12">IF(T6="","",(T6/$O$23))</f>
        <v>2.0920044343783544</v>
      </c>
      <c r="U29" s="11">
        <f t="shared" si="12"/>
        <v>1.9035328147328745</v>
      </c>
      <c r="V29" s="11">
        <f t="shared" si="12"/>
        <v>1.093817789224786</v>
      </c>
    </row>
    <row r="30" spans="1:22" x14ac:dyDescent="0.35">
      <c r="A30" s="227"/>
      <c r="B30" s="11">
        <f t="shared" ref="B30:M30" si="13">IF(B7="","",(B7/$O$23))</f>
        <v>0.34886581321690441</v>
      </c>
      <c r="C30" s="11">
        <f t="shared" si="13"/>
        <v>0.2654118298627709</v>
      </c>
      <c r="D30" s="11">
        <f t="shared" si="13"/>
        <v>0.20617114843797393</v>
      </c>
      <c r="E30" s="11">
        <f t="shared" si="13"/>
        <v>7.7535116491596598E-2</v>
      </c>
      <c r="F30" s="11" t="str">
        <f t="shared" si="13"/>
        <v/>
      </c>
      <c r="G30" s="11">
        <f t="shared" si="13"/>
        <v>1.5996373627573515</v>
      </c>
      <c r="H30" s="11">
        <f t="shared" si="13"/>
        <v>3.459502191451536</v>
      </c>
      <c r="I30" s="11">
        <f t="shared" si="13"/>
        <v>4.4455924617254299E-4</v>
      </c>
      <c r="J30" s="11">
        <f t="shared" si="13"/>
        <v>6.1722909278337207E-2</v>
      </c>
      <c r="K30" s="11">
        <f t="shared" si="13"/>
        <v>5.623800938974894E-2</v>
      </c>
      <c r="L30" s="11">
        <f t="shared" si="13"/>
        <v>1.0736014100770048</v>
      </c>
      <c r="M30" s="11">
        <f t="shared" si="13"/>
        <v>0.43861872048471245</v>
      </c>
      <c r="N30" s="6"/>
      <c r="O30" s="11">
        <f t="shared" si="9"/>
        <v>0.66231170049160359</v>
      </c>
      <c r="P30" s="11">
        <f t="shared" si="9"/>
        <v>0.88507477385340705</v>
      </c>
      <c r="Q30" s="11">
        <f t="shared" si="9"/>
        <v>0.13542077753981291</v>
      </c>
      <c r="R30" s="11">
        <f t="shared" si="9"/>
        <v>1.3755200594870438</v>
      </c>
      <c r="S30" s="11">
        <f t="shared" si="9"/>
        <v>0.82897367353449214</v>
      </c>
      <c r="T30" s="11">
        <f t="shared" ref="T30:V30" si="14">IF(T7="","",(T7/$O$23))</f>
        <v>2.3423905727638932</v>
      </c>
      <c r="U30" s="11">
        <f t="shared" si="14"/>
        <v>1.1343871404039514</v>
      </c>
      <c r="V30" s="11">
        <f t="shared" si="14"/>
        <v>1.8918032170406534</v>
      </c>
    </row>
    <row r="31" spans="1:22" x14ac:dyDescent="0.35">
      <c r="A31" s="227"/>
      <c r="B31" s="11">
        <f t="shared" ref="B31:M31" si="15">IF(B8="","",(B8/$O$23))</f>
        <v>0.27211389249541407</v>
      </c>
      <c r="C31" s="11">
        <f t="shared" si="15"/>
        <v>1.240623836562736E-2</v>
      </c>
      <c r="D31" s="11">
        <f t="shared" si="15"/>
        <v>0.20100781096286893</v>
      </c>
      <c r="E31" s="11">
        <f t="shared" si="15"/>
        <v>0.31231425317651174</v>
      </c>
      <c r="F31" s="11">
        <f t="shared" si="15"/>
        <v>1.8089065136803884</v>
      </c>
      <c r="G31" s="11">
        <f t="shared" si="15"/>
        <v>1.3352855505850452</v>
      </c>
      <c r="H31" s="11">
        <f t="shared" si="15"/>
        <v>3.1180057540173798</v>
      </c>
      <c r="I31" s="11">
        <f t="shared" si="15"/>
        <v>0.25021508109380375</v>
      </c>
      <c r="J31" s="11">
        <f t="shared" si="15"/>
        <v>0.20797357374580222</v>
      </c>
      <c r="K31" s="11">
        <f t="shared" si="15"/>
        <v>0.14833987159341458</v>
      </c>
      <c r="L31" s="11">
        <f t="shared" si="15"/>
        <v>0.45078528892957248</v>
      </c>
      <c r="M31" s="11">
        <f t="shared" si="15"/>
        <v>0.23096338918647258</v>
      </c>
      <c r="N31" s="6"/>
      <c r="O31" s="11">
        <f t="shared" si="9"/>
        <v>1.7784045639223707</v>
      </c>
      <c r="P31" s="11">
        <f t="shared" si="9"/>
        <v>4.0009396241326396</v>
      </c>
      <c r="Q31" s="11">
        <f t="shared" si="9"/>
        <v>0.30297914138134946</v>
      </c>
      <c r="R31" s="11">
        <f t="shared" si="9"/>
        <v>0.55394674808389477</v>
      </c>
      <c r="S31" s="11">
        <f t="shared" si="9"/>
        <v>1.3631824337504488</v>
      </c>
      <c r="T31" s="11">
        <f t="shared" ref="T31:V31" si="16">IF(T8="","",(T8/$O$23))</f>
        <v>2.0199064735035308</v>
      </c>
      <c r="U31" s="11">
        <f t="shared" si="16"/>
        <v>1.8146313996769745</v>
      </c>
      <c r="V31" s="11">
        <f t="shared" si="16"/>
        <v>1.1933472056616232</v>
      </c>
    </row>
    <row r="32" spans="1:22" x14ac:dyDescent="0.35">
      <c r="A32" s="227"/>
      <c r="B32" s="11">
        <f t="shared" ref="B32:M32" si="17">IF(B9="","",(B9/$O$23))</f>
        <v>0.24928485826148536</v>
      </c>
      <c r="C32" s="11">
        <f t="shared" si="17"/>
        <v>5.1183756509188418E-2</v>
      </c>
      <c r="D32" s="11">
        <f t="shared" si="17"/>
        <v>9.5179944893203111E-2</v>
      </c>
      <c r="E32" s="11">
        <f t="shared" si="17"/>
        <v>0.59491228186295653</v>
      </c>
      <c r="F32" s="11">
        <f t="shared" si="17"/>
        <v>1.5451500820632336</v>
      </c>
      <c r="G32" s="11">
        <f t="shared" si="17"/>
        <v>2.9933287023848902</v>
      </c>
      <c r="H32" s="11">
        <f t="shared" si="17"/>
        <v>4.6126423965002195</v>
      </c>
      <c r="I32" s="11">
        <f t="shared" si="17"/>
        <v>0.25047530318455763</v>
      </c>
      <c r="J32" s="11">
        <f t="shared" si="17"/>
        <v>0.12486138878790805</v>
      </c>
      <c r="K32" s="11">
        <f t="shared" si="17"/>
        <v>0.20494023154938948</v>
      </c>
      <c r="L32" s="11">
        <f t="shared" si="17"/>
        <v>0.20831205217612064</v>
      </c>
      <c r="M32" s="11">
        <f t="shared" si="17"/>
        <v>2.086854376766933</v>
      </c>
      <c r="N32" s="6"/>
      <c r="O32" s="11">
        <f t="shared" si="9"/>
        <v>0.56226974455402268</v>
      </c>
      <c r="P32" s="11">
        <f t="shared" si="9"/>
        <v>2.6855969507409378</v>
      </c>
      <c r="Q32" s="11">
        <f t="shared" si="9"/>
        <v>6.9772403794027535E-2</v>
      </c>
      <c r="R32" s="11">
        <f t="shared" si="9"/>
        <v>0.57555087298661978</v>
      </c>
      <c r="S32" s="11">
        <f t="shared" si="9"/>
        <v>1.693278424399401</v>
      </c>
      <c r="T32" s="11">
        <f t="shared" ref="T32:V32" si="18">IF(T9="","",(T9/$O$23))</f>
        <v>1.0460124932741703</v>
      </c>
      <c r="U32" s="11">
        <f t="shared" si="18"/>
        <v>1.3968718669797791</v>
      </c>
      <c r="V32" s="11">
        <f t="shared" si="18"/>
        <v>0.21581422659570523</v>
      </c>
    </row>
    <row r="33" spans="1:22" x14ac:dyDescent="0.35">
      <c r="A33" s="227"/>
      <c r="B33" s="11">
        <f t="shared" ref="B33:M33" si="19">IF(B10="","",(B10/$O$23))</f>
        <v>9.3442496061255667E-2</v>
      </c>
      <c r="C33" s="11">
        <f t="shared" si="19"/>
        <v>0.52948270968072131</v>
      </c>
      <c r="D33" s="11">
        <f t="shared" si="19"/>
        <v>0.1632765563652431</v>
      </c>
      <c r="E33" s="11">
        <f t="shared" si="19"/>
        <v>0.50192130116694589</v>
      </c>
      <c r="F33" s="11">
        <f t="shared" si="19"/>
        <v>1.4374513361503225</v>
      </c>
      <c r="G33" s="11">
        <f t="shared" si="19"/>
        <v>2.6021668395227122</v>
      </c>
      <c r="H33" s="11">
        <f t="shared" si="19"/>
        <v>2.4139276174916966</v>
      </c>
      <c r="I33" s="11">
        <f t="shared" si="19"/>
        <v>9.9871214833076524E-2</v>
      </c>
      <c r="J33" s="11">
        <f t="shared" si="19"/>
        <v>0.11267426817306131</v>
      </c>
      <c r="K33" s="11">
        <f t="shared" si="19"/>
        <v>0.14787476017725537</v>
      </c>
      <c r="L33" s="11">
        <f t="shared" si="19"/>
        <v>9.5959346416542593E-2</v>
      </c>
      <c r="M33" s="11">
        <f t="shared" si="19"/>
        <v>0.98266153594566086</v>
      </c>
      <c r="N33" s="6"/>
      <c r="O33" s="11">
        <f t="shared" si="9"/>
        <v>0.46408760190661735</v>
      </c>
      <c r="P33" s="11">
        <f t="shared" si="9"/>
        <v>4.0994844335335019</v>
      </c>
      <c r="Q33" s="11">
        <f t="shared" si="9"/>
        <v>0.39214710227261462</v>
      </c>
      <c r="R33" s="11">
        <f t="shared" si="9"/>
        <v>0.24806058130474279</v>
      </c>
      <c r="S33" s="11">
        <f t="shared" si="9"/>
        <v>0</v>
      </c>
      <c r="T33" s="11">
        <f t="shared" ref="T33:V33" si="20">IF(T10="","",(T10/$O$23))</f>
        <v>3.0658506703358994</v>
      </c>
      <c r="U33" s="11">
        <f t="shared" si="20"/>
        <v>2.9871940377374933</v>
      </c>
      <c r="V33" s="11">
        <f t="shared" si="20"/>
        <v>2.5490815330089136</v>
      </c>
    </row>
    <row r="34" spans="1:22" x14ac:dyDescent="0.35">
      <c r="A34" s="227"/>
      <c r="B34" s="11">
        <f t="shared" ref="B34:M34" si="21">IF(B11="","",(B11/$O$23))</f>
        <v>5.8624590606043643E-2</v>
      </c>
      <c r="C34" s="11">
        <f t="shared" si="21"/>
        <v>0.24895001598431843</v>
      </c>
      <c r="D34" s="11">
        <f t="shared" si="21"/>
        <v>0.27889832190161906</v>
      </c>
      <c r="E34" s="11">
        <f t="shared" si="21"/>
        <v>0.12769252925037528</v>
      </c>
      <c r="F34" s="11">
        <f t="shared" si="21"/>
        <v>0.76649159871557149</v>
      </c>
      <c r="G34" s="11">
        <f t="shared" si="21"/>
        <v>1.7369391381317876</v>
      </c>
      <c r="H34" s="11">
        <f t="shared" si="21"/>
        <v>3.8508218317417655</v>
      </c>
      <c r="I34" s="11">
        <f t="shared" si="21"/>
        <v>0.34469056083731092</v>
      </c>
      <c r="J34" s="11">
        <f t="shared" si="21"/>
        <v>0.11906852253675074</v>
      </c>
      <c r="K34" s="11">
        <f t="shared" si="21"/>
        <v>0.18813677736831294</v>
      </c>
      <c r="L34" s="11">
        <f t="shared" si="21"/>
        <v>0.12419138804634358</v>
      </c>
      <c r="M34" s="11">
        <f t="shared" si="21"/>
        <v>0.15531591046134119</v>
      </c>
      <c r="N34" s="6"/>
      <c r="O34" s="11">
        <f t="shared" si="9"/>
        <v>5.1655507857189434E-2</v>
      </c>
      <c r="P34" s="11">
        <f t="shared" si="9"/>
        <v>2.9455645107742479</v>
      </c>
      <c r="Q34" s="11">
        <f t="shared" si="9"/>
        <v>0.12617419816920847</v>
      </c>
      <c r="R34" s="11">
        <f t="shared" si="9"/>
        <v>2.4509544069396263</v>
      </c>
      <c r="S34" s="11">
        <f t="shared" si="9"/>
        <v>3.3298945161456368</v>
      </c>
      <c r="T34" s="11">
        <f t="shared" ref="T34:V34" si="22">IF(T11="","",(T11/$O$23))</f>
        <v>1.2352021741202603</v>
      </c>
      <c r="U34" s="11">
        <f t="shared" si="22"/>
        <v>1.828972387706421</v>
      </c>
      <c r="V34" s="11">
        <f t="shared" si="22"/>
        <v>2.0247966252114287</v>
      </c>
    </row>
    <row r="35" spans="1:22" x14ac:dyDescent="0.35">
      <c r="A35" s="227"/>
      <c r="B35" s="11">
        <f t="shared" ref="B35:M35" si="23">IF(B12="","",(B12/$O$23))</f>
        <v>4.7306036313555365E-2</v>
      </c>
      <c r="C35" s="11">
        <f t="shared" si="23"/>
        <v>7.5804307591490983E-2</v>
      </c>
      <c r="D35" s="11">
        <f t="shared" si="23"/>
        <v>0.46143384248049635</v>
      </c>
      <c r="E35" s="11">
        <f t="shared" si="23"/>
        <v>0.46252121036640487</v>
      </c>
      <c r="F35" s="11">
        <f t="shared" si="23"/>
        <v>2.6892214049648895</v>
      </c>
      <c r="G35" s="11">
        <f t="shared" si="23"/>
        <v>2.3640977747037821</v>
      </c>
      <c r="H35" s="11">
        <f t="shared" si="23"/>
        <v>3.4408996319285521</v>
      </c>
      <c r="I35" s="11">
        <f t="shared" si="23"/>
        <v>5.0294638016843328E-2</v>
      </c>
      <c r="J35" s="11">
        <f t="shared" si="23"/>
        <v>0.22618263826034962</v>
      </c>
      <c r="K35" s="11">
        <f t="shared" si="23"/>
        <v>6.6592192629017971E-2</v>
      </c>
      <c r="L35" s="11">
        <f t="shared" si="23"/>
        <v>0.59926902571289353</v>
      </c>
      <c r="M35" s="11">
        <f t="shared" si="23"/>
        <v>0.32220332499962162</v>
      </c>
      <c r="N35" s="6"/>
      <c r="O35" s="11">
        <f t="shared" si="9"/>
        <v>1.4461888540797192</v>
      </c>
      <c r="P35" s="11">
        <f t="shared" si="9"/>
        <v>2.6390500799679657</v>
      </c>
      <c r="Q35" s="11">
        <f t="shared" si="9"/>
        <v>7.0511017164624309E-2</v>
      </c>
      <c r="R35" s="11">
        <f t="shared" si="9"/>
        <v>1.7900516367474146</v>
      </c>
      <c r="S35" s="11">
        <f t="shared" si="9"/>
        <v>2.1598550521850157</v>
      </c>
      <c r="T35" s="11">
        <f t="shared" ref="T35:V35" si="24">IF(T12="","",(T12/$O$23))</f>
        <v>2.780126814688102</v>
      </c>
      <c r="U35" s="11">
        <f t="shared" si="24"/>
        <v>2.8872270181735562</v>
      </c>
      <c r="V35" s="11">
        <f t="shared" si="24"/>
        <v>2.2695675945693869</v>
      </c>
    </row>
    <row r="36" spans="1:22" x14ac:dyDescent="0.3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6.6445323660421149E-2</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0.48277173773508669</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0.9411006216114477</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3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1.1150328457403023</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3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1.8554881650487223</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3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t="str">
        <f t="shared" ref="O41:V41" si="36">IF(O18="","",(O18/$O$23))</f>
        <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3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1.4833111320712795</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3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0.49826238253486282</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TAM-30.2µg/L</v>
      </c>
      <c r="J45" s="7" t="str">
        <f t="shared" si="41"/>
        <v>TAM-60.4µg/L</v>
      </c>
      <c r="K45" s="7" t="str">
        <f t="shared" ref="K45:M45" si="42">K4</f>
        <v>TAM-121µg/L</v>
      </c>
      <c r="L45" s="7" t="str">
        <f t="shared" si="42"/>
        <v>TAM-242µg/L</v>
      </c>
      <c r="M45" s="7" t="str">
        <f t="shared" si="42"/>
        <v>TAM-483µg/L</v>
      </c>
      <c r="N45" s="7"/>
      <c r="O45" s="7" t="str">
        <f t="shared" si="41"/>
        <v>Testo -30µg/L</v>
      </c>
      <c r="P45" s="7" t="str">
        <f t="shared" si="41"/>
        <v>Testo 30µg/L + EE2 -64ng/L</v>
      </c>
      <c r="Q45" s="7" t="str">
        <f t="shared" si="41"/>
        <v>Testo 30µg/L + FAD-10mg/L</v>
      </c>
      <c r="R45" s="7" t="str">
        <f t="shared" si="41"/>
        <v>TAM-30,2µg/L + Testostérone</v>
      </c>
      <c r="S45" s="7" t="str">
        <f t="shared" ref="S45:V45" si="43">S4</f>
        <v>TAM-60,4µg/L + Testostérone</v>
      </c>
      <c r="T45" s="7" t="str">
        <f t="shared" si="43"/>
        <v>TAM-121µg/L + Testostérone</v>
      </c>
      <c r="U45" s="7" t="str">
        <f t="shared" si="43"/>
        <v>TAM-242µg/L + Testostérone</v>
      </c>
      <c r="V45" s="7" t="str">
        <f t="shared" si="43"/>
        <v>TAM-483µg/L + Testostérone</v>
      </c>
    </row>
    <row r="46" spans="1:22" x14ac:dyDescent="0.35">
      <c r="A46" s="8" t="s">
        <v>0</v>
      </c>
      <c r="B46" s="10">
        <f t="shared" ref="B46:H46" si="44">AVERAGE(B28:B43)</f>
        <v>0.2001901507846312</v>
      </c>
      <c r="C46" s="10">
        <f t="shared" si="44"/>
        <v>0.17785362333190982</v>
      </c>
      <c r="D46" s="10">
        <f t="shared" si="44"/>
        <v>0.18746566997144154</v>
      </c>
      <c r="E46" s="10">
        <f t="shared" si="44"/>
        <v>0.68661195390934526</v>
      </c>
      <c r="F46" s="10">
        <f t="shared" si="44"/>
        <v>1.7011239781513778</v>
      </c>
      <c r="G46" s="10">
        <f t="shared" si="44"/>
        <v>2.000096236853409</v>
      </c>
      <c r="H46" s="10">
        <f t="shared" si="44"/>
        <v>3.6187008359345954</v>
      </c>
      <c r="I46" s="10">
        <f>AVERAGE(I28:I43)</f>
        <v>0.17989563386749721</v>
      </c>
      <c r="J46" s="9">
        <f>AVERAGE(J28:J43)</f>
        <v>0.21405221396828333</v>
      </c>
      <c r="K46" s="9">
        <f t="shared" ref="K46:M46" si="45">AVERAGE(K28:K43)</f>
        <v>0.14346624066831354</v>
      </c>
      <c r="L46" s="9">
        <f t="shared" si="45"/>
        <v>0.55154668938689733</v>
      </c>
      <c r="M46" s="9">
        <f t="shared" si="45"/>
        <v>0.64838732866182847</v>
      </c>
      <c r="N46" s="8" t="s">
        <v>0</v>
      </c>
      <c r="O46" s="10">
        <f t="shared" ref="O46:R46" si="46">AVERAGE(O28:O43)</f>
        <v>0.99999999999999978</v>
      </c>
      <c r="P46" s="10">
        <f t="shared" si="46"/>
        <v>2.8966358015934395</v>
      </c>
      <c r="Q46" s="10">
        <f t="shared" si="46"/>
        <v>0.1647039610328207</v>
      </c>
      <c r="R46" s="10">
        <f t="shared" si="46"/>
        <v>1.5240525286272755</v>
      </c>
      <c r="S46" s="10">
        <f t="shared" ref="S46:V46" si="47">AVERAGE(S28:S43)</f>
        <v>1.5894702042649609</v>
      </c>
      <c r="T46" s="10">
        <f t="shared" si="47"/>
        <v>1.9582692114412725</v>
      </c>
      <c r="U46" s="10">
        <f t="shared" si="47"/>
        <v>1.8785326611185782</v>
      </c>
      <c r="V46" s="10">
        <f t="shared" si="47"/>
        <v>1.5571142116337255</v>
      </c>
    </row>
    <row r="47" spans="1:22" x14ac:dyDescent="0.35">
      <c r="A47" s="8" t="s">
        <v>1</v>
      </c>
      <c r="B47" s="8">
        <f t="shared" ref="B47:J47" si="48">STDEV(B28:B43)</f>
        <v>0.11613854469063994</v>
      </c>
      <c r="C47" s="8">
        <f t="shared" si="48"/>
        <v>0.18424598197110684</v>
      </c>
      <c r="D47" s="8">
        <f t="shared" si="48"/>
        <v>0.13769031006707985</v>
      </c>
      <c r="E47" s="8">
        <f t="shared" si="48"/>
        <v>0.66332851035560247</v>
      </c>
      <c r="F47" s="8">
        <f t="shared" si="48"/>
        <v>0.65447610404659817</v>
      </c>
      <c r="G47" s="8">
        <f t="shared" si="48"/>
        <v>0.92088122051878019</v>
      </c>
      <c r="H47" s="8">
        <f t="shared" si="48"/>
        <v>0.760202782533</v>
      </c>
      <c r="I47" s="8">
        <f t="shared" si="48"/>
        <v>0.13814078648372605</v>
      </c>
      <c r="J47" s="8">
        <f t="shared" si="48"/>
        <v>0.14433415078926043</v>
      </c>
      <c r="K47" s="8">
        <f t="shared" ref="K47:M47" si="49">STDEV(K28:K43)</f>
        <v>5.9766497851130015E-2</v>
      </c>
      <c r="L47" s="8">
        <f t="shared" si="49"/>
        <v>0.42396850978647321</v>
      </c>
      <c r="M47" s="8">
        <f t="shared" si="49"/>
        <v>0.64651597933422367</v>
      </c>
      <c r="N47" s="8" t="s">
        <v>1</v>
      </c>
      <c r="O47" s="8">
        <f t="shared" ref="O47:R47" si="50">STDEV(O28:O43)</f>
        <v>0.69206728446270771</v>
      </c>
      <c r="P47" s="8">
        <f t="shared" si="50"/>
        <v>1.0678165621543845</v>
      </c>
      <c r="Q47" s="8">
        <f t="shared" si="50"/>
        <v>0.13096440055025799</v>
      </c>
      <c r="R47" s="8">
        <f t="shared" si="50"/>
        <v>1.065009934093939</v>
      </c>
      <c r="S47" s="8">
        <f t="shared" ref="S47:V47" si="51">STDEV(S28:S43)</f>
        <v>1.0316369650448023</v>
      </c>
      <c r="T47" s="8">
        <f t="shared" si="51"/>
        <v>0.77364178705264774</v>
      </c>
      <c r="U47" s="8">
        <f t="shared" si="51"/>
        <v>0.72550071637969216</v>
      </c>
      <c r="V47" s="8">
        <f t="shared" si="51"/>
        <v>0.76372416589698411</v>
      </c>
    </row>
    <row r="48" spans="1:22" x14ac:dyDescent="0.35">
      <c r="A48" s="8" t="s">
        <v>2</v>
      </c>
      <c r="B48" s="8">
        <f t="shared" ref="B48:J48" si="52" xml:space="preserve"> B47/SQRT(COUNT(B28:B43))</f>
        <v>4.1061176253944204E-2</v>
      </c>
      <c r="C48" s="8">
        <f t="shared" si="52"/>
        <v>6.9638435479776967E-2</v>
      </c>
      <c r="D48" s="8">
        <f t="shared" si="52"/>
        <v>4.8680875976055256E-2</v>
      </c>
      <c r="E48" s="8">
        <f t="shared" si="52"/>
        <v>0.23452204391340875</v>
      </c>
      <c r="F48" s="8">
        <f t="shared" si="52"/>
        <v>0.24736871576310462</v>
      </c>
      <c r="G48" s="8">
        <f t="shared" si="52"/>
        <v>0.32558067784808692</v>
      </c>
      <c r="H48" s="8">
        <f t="shared" si="52"/>
        <v>0.28732964408023348</v>
      </c>
      <c r="I48" s="8">
        <f t="shared" si="52"/>
        <v>4.8840143440542827E-2</v>
      </c>
      <c r="J48" s="8">
        <f t="shared" si="52"/>
        <v>5.1029828389943861E-2</v>
      </c>
      <c r="K48" s="8">
        <f t="shared" ref="K48:M48" si="53" xml:space="preserve"> K47/SQRT(COUNT(K28:K43))</f>
        <v>2.1130647959152624E-2</v>
      </c>
      <c r="L48" s="8">
        <f t="shared" si="53"/>
        <v>0.14989550413978517</v>
      </c>
      <c r="M48" s="8">
        <f t="shared" si="53"/>
        <v>0.22857791656634568</v>
      </c>
      <c r="N48" s="8" t="s">
        <v>2</v>
      </c>
      <c r="O48" s="8">
        <f t="shared" ref="O48:R48" si="54" xml:space="preserve"> O47/SQRT(COUNT(O28:O43))</f>
        <v>0.17869100447860387</v>
      </c>
      <c r="P48" s="8">
        <f t="shared" si="54"/>
        <v>0.40359672418520665</v>
      </c>
      <c r="Q48" s="8">
        <f t="shared" si="54"/>
        <v>4.9499890636947604E-2</v>
      </c>
      <c r="R48" s="8">
        <f t="shared" si="54"/>
        <v>0.37653787321443111</v>
      </c>
      <c r="S48" s="8">
        <f t="shared" ref="S48:V48" si="55" xml:space="preserve"> S47/SQRT(COUNT(S28:S43))</f>
        <v>0.3647387468529445</v>
      </c>
      <c r="T48" s="8">
        <f t="shared" si="55"/>
        <v>0.27352367691710305</v>
      </c>
      <c r="U48" s="8">
        <f t="shared" si="55"/>
        <v>0.2565032381538892</v>
      </c>
      <c r="V48" s="8">
        <f t="shared" si="55"/>
        <v>0.27001726833089862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 thickBot="1" x14ac:dyDescent="0.4"/>
    <row r="52" spans="1:22" x14ac:dyDescent="0.3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TAM-30.2µg/L</v>
      </c>
      <c r="J52" s="46" t="str">
        <f>J4</f>
        <v>TAM-60.4µg/L</v>
      </c>
      <c r="K52" s="46" t="str">
        <f t="shared" ref="K52:M52" si="57">K4</f>
        <v>TAM-121µg/L</v>
      </c>
      <c r="L52" s="46" t="str">
        <f t="shared" si="57"/>
        <v>TAM-242µg/L</v>
      </c>
      <c r="M52" s="46" t="str">
        <f t="shared" si="57"/>
        <v>TAM-483µg/L</v>
      </c>
      <c r="N52" s="47"/>
      <c r="O52" s="46" t="str">
        <f>O27</f>
        <v>Testo -30µg/L</v>
      </c>
      <c r="P52" s="46" t="str">
        <f>P27</f>
        <v>Testo 30µg/L + EE2 -64ng/L</v>
      </c>
      <c r="Q52" s="46" t="str">
        <f>Q27</f>
        <v>Testo 30µg/L + FAD-10mg/L</v>
      </c>
      <c r="R52" s="46" t="str">
        <f>R27</f>
        <v>TAM-30,2µg/L + Testostérone</v>
      </c>
      <c r="S52" s="46" t="str">
        <f t="shared" ref="S52:V52" si="58">S27</f>
        <v>TAM-60,4µg/L + Testostérone</v>
      </c>
      <c r="T52" s="46" t="str">
        <f t="shared" si="58"/>
        <v>TAM-121µg/L + Testostérone</v>
      </c>
      <c r="U52" s="46" t="str">
        <f t="shared" si="58"/>
        <v>TAM-242µg/L + Testostérone</v>
      </c>
      <c r="V52" s="46" t="str">
        <f t="shared" si="58"/>
        <v>TAM-483µg/L + Testostérone</v>
      </c>
    </row>
    <row r="53" spans="1:22" s="3" customFormat="1" x14ac:dyDescent="0.35">
      <c r="A53" s="61" t="s">
        <v>32</v>
      </c>
      <c r="B53" s="142">
        <f t="shared" ref="B53" si="59">B46</f>
        <v>0.2001901507846312</v>
      </c>
      <c r="C53" s="142">
        <f t="shared" ref="C53:V53" si="60">C46</f>
        <v>0.17785362333190982</v>
      </c>
      <c r="D53" s="142">
        <f t="shared" si="60"/>
        <v>0.18746566997144154</v>
      </c>
      <c r="E53" s="142">
        <f t="shared" si="60"/>
        <v>0.68661195390934526</v>
      </c>
      <c r="F53" s="142">
        <f t="shared" si="60"/>
        <v>1.7011239781513778</v>
      </c>
      <c r="G53" s="142">
        <f t="shared" si="60"/>
        <v>2.000096236853409</v>
      </c>
      <c r="H53" s="142">
        <f t="shared" si="60"/>
        <v>3.6187008359345954</v>
      </c>
      <c r="I53" s="142">
        <f t="shared" si="60"/>
        <v>0.17989563386749721</v>
      </c>
      <c r="J53" s="142">
        <f t="shared" si="60"/>
        <v>0.21405221396828333</v>
      </c>
      <c r="K53" s="142">
        <f t="shared" si="60"/>
        <v>0.14346624066831354</v>
      </c>
      <c r="L53" s="142">
        <f t="shared" si="60"/>
        <v>0.55154668938689733</v>
      </c>
      <c r="M53" s="142">
        <f t="shared" si="60"/>
        <v>0.64838732866182847</v>
      </c>
      <c r="N53" s="142"/>
      <c r="O53" s="142">
        <f t="shared" si="60"/>
        <v>0.99999999999999978</v>
      </c>
      <c r="P53" s="142">
        <f t="shared" si="60"/>
        <v>2.8966358015934395</v>
      </c>
      <c r="Q53" s="142">
        <f t="shared" si="60"/>
        <v>0.1647039610328207</v>
      </c>
      <c r="R53" s="142">
        <f t="shared" si="60"/>
        <v>1.5240525286272755</v>
      </c>
      <c r="S53" s="142">
        <f t="shared" si="60"/>
        <v>1.5894702042649609</v>
      </c>
      <c r="T53" s="142">
        <f t="shared" si="60"/>
        <v>1.9582692114412725</v>
      </c>
      <c r="U53" s="142">
        <f t="shared" si="60"/>
        <v>1.8785326611185782</v>
      </c>
      <c r="V53" s="142">
        <f t="shared" si="60"/>
        <v>1.5571142116337255</v>
      </c>
    </row>
    <row r="54" spans="1:22" s="3" customFormat="1" x14ac:dyDescent="0.35">
      <c r="A54" s="61" t="s">
        <v>2</v>
      </c>
      <c r="B54" s="142">
        <f t="shared" ref="B54" si="61">B48</f>
        <v>4.1061176253944204E-2</v>
      </c>
      <c r="C54" s="142">
        <f t="shared" ref="C54:V54" si="62">C48</f>
        <v>6.9638435479776967E-2</v>
      </c>
      <c r="D54" s="142">
        <f t="shared" si="62"/>
        <v>4.8680875976055256E-2</v>
      </c>
      <c r="E54" s="142">
        <f t="shared" si="62"/>
        <v>0.23452204391340875</v>
      </c>
      <c r="F54" s="142">
        <f t="shared" si="62"/>
        <v>0.24736871576310462</v>
      </c>
      <c r="G54" s="142">
        <f t="shared" si="62"/>
        <v>0.32558067784808692</v>
      </c>
      <c r="H54" s="142">
        <f t="shared" si="62"/>
        <v>0.28732964408023348</v>
      </c>
      <c r="I54" s="142">
        <f t="shared" si="62"/>
        <v>4.8840143440542827E-2</v>
      </c>
      <c r="J54" s="142">
        <f t="shared" si="62"/>
        <v>5.1029828389943861E-2</v>
      </c>
      <c r="K54" s="142">
        <f t="shared" si="62"/>
        <v>2.1130647959152624E-2</v>
      </c>
      <c r="L54" s="142">
        <f t="shared" si="62"/>
        <v>0.14989550413978517</v>
      </c>
      <c r="M54" s="142">
        <f t="shared" si="62"/>
        <v>0.22857791656634568</v>
      </c>
      <c r="N54" s="142"/>
      <c r="O54" s="142">
        <f t="shared" si="62"/>
        <v>0.17869100447860387</v>
      </c>
      <c r="P54" s="142">
        <f t="shared" si="62"/>
        <v>0.40359672418520665</v>
      </c>
      <c r="Q54" s="142">
        <f t="shared" si="62"/>
        <v>4.9499890636947604E-2</v>
      </c>
      <c r="R54" s="142">
        <f t="shared" si="62"/>
        <v>0.37653787321443111</v>
      </c>
      <c r="S54" s="142">
        <f t="shared" si="62"/>
        <v>0.3647387468529445</v>
      </c>
      <c r="T54" s="142">
        <f t="shared" si="62"/>
        <v>0.27352367691710305</v>
      </c>
      <c r="U54" s="142">
        <f t="shared" si="62"/>
        <v>0.2565032381538892</v>
      </c>
      <c r="V54" s="142">
        <f t="shared" si="62"/>
        <v>0.27001726833089862</v>
      </c>
    </row>
    <row r="55" spans="1:22" s="3" customFormat="1" x14ac:dyDescent="0.35">
      <c r="A55" s="61" t="s">
        <v>79</v>
      </c>
      <c r="B55" s="142">
        <f>(B53*100/$B53)-100</f>
        <v>0</v>
      </c>
      <c r="C55" s="142">
        <f t="shared" ref="C55:M55" si="63">(C53*100/$B53)-100</f>
        <v>-11.157655541581306</v>
      </c>
      <c r="D55" s="142">
        <f t="shared" si="63"/>
        <v>-6.3561972271447758</v>
      </c>
      <c r="E55" s="142">
        <f t="shared" si="63"/>
        <v>242.97988748108634</v>
      </c>
      <c r="F55" s="142">
        <f t="shared" si="63"/>
        <v>749.7540820484636</v>
      </c>
      <c r="G55" s="142">
        <f t="shared" si="63"/>
        <v>899.09822187264092</v>
      </c>
      <c r="H55" s="142">
        <f t="shared" si="63"/>
        <v>1707.6318049371321</v>
      </c>
      <c r="I55" s="142">
        <f t="shared" si="63"/>
        <v>-10.137620076507787</v>
      </c>
      <c r="J55" s="142">
        <f t="shared" si="63"/>
        <v>6.9244481455859699</v>
      </c>
      <c r="K55" s="142">
        <f t="shared" si="63"/>
        <v>-28.33501543107505</v>
      </c>
      <c r="L55" s="142">
        <f t="shared" si="63"/>
        <v>175.51140114793304</v>
      </c>
      <c r="M55" s="142">
        <f t="shared" si="63"/>
        <v>223.88572870369495</v>
      </c>
      <c r="N55" s="142"/>
      <c r="O55" s="142">
        <f>(O53*100/$O53)-100</f>
        <v>0</v>
      </c>
      <c r="P55" s="142">
        <f t="shared" ref="P55:V55" si="64">(P53*100/$O53)-100</f>
        <v>189.66358015934401</v>
      </c>
      <c r="Q55" s="142">
        <f t="shared" si="64"/>
        <v>-83.52960389671793</v>
      </c>
      <c r="R55" s="142">
        <f t="shared" si="64"/>
        <v>52.405252862727565</v>
      </c>
      <c r="S55" s="142">
        <f t="shared" si="64"/>
        <v>58.947020426496124</v>
      </c>
      <c r="T55" s="142">
        <f t="shared" si="64"/>
        <v>95.826921144127311</v>
      </c>
      <c r="U55" s="142">
        <f t="shared" si="64"/>
        <v>87.853266111857835</v>
      </c>
      <c r="V55" s="142">
        <f t="shared" si="64"/>
        <v>55.711421163372592</v>
      </c>
    </row>
    <row r="56" spans="1:22" s="3" customFormat="1" x14ac:dyDescent="0.35">
      <c r="A56" s="61" t="s">
        <v>81</v>
      </c>
      <c r="B56" s="142">
        <f>[1]!SWTEST(B28:B43)</f>
        <v>0.1770442219303523</v>
      </c>
      <c r="C56" s="142">
        <f>[1]!SWTEST(C28:C43)</f>
        <v>9.8485425577074182E-2</v>
      </c>
      <c r="D56" s="142">
        <f>[1]!SWTEST(D28:D43)</f>
        <v>0.37586363319943938</v>
      </c>
      <c r="E56" s="142">
        <f>[1]!SWTEST(E28:E43)</f>
        <v>5.3751507048092728E-2</v>
      </c>
      <c r="F56" s="142">
        <f>[1]!SWTEST(F28:F43)</f>
        <v>0.88316718531238037</v>
      </c>
      <c r="G56" s="142">
        <f>[1]!SWTEST(G28:G43)</f>
        <v>0.55860445149506877</v>
      </c>
      <c r="H56" s="142">
        <f>[1]!SWTEST(H28:H43)</f>
        <v>0.84103887577897862</v>
      </c>
      <c r="I56" s="142">
        <f>[1]!SWTEST(I28:I43)</f>
        <v>0.31271360796397096</v>
      </c>
      <c r="J56" s="142">
        <f>[1]!SWTEST(J28:J43)</f>
        <v>0.14171835128176002</v>
      </c>
      <c r="K56" s="142">
        <f>[1]!SWTEST(K28:K43)</f>
        <v>0.44172348508446779</v>
      </c>
      <c r="L56" s="142">
        <f>[1]!SWTEST(L28:L43)</f>
        <v>0.33360519045592774</v>
      </c>
      <c r="M56" s="142">
        <f>[1]!SWTEST(M28:M43)</f>
        <v>1.3294488103191449E-2</v>
      </c>
      <c r="N56" s="142"/>
      <c r="O56" s="142">
        <f>[1]!SWTEST(O28:O43)</f>
        <v>0.56063459038696362</v>
      </c>
      <c r="P56" s="142">
        <f>[1]!SWTEST(P28:P43)</f>
        <v>0.25759969947016448</v>
      </c>
      <c r="Q56" s="142">
        <f>[1]!SWTEST(Q28:Q43)</f>
        <v>5.549990365518831E-2</v>
      </c>
      <c r="R56" s="142">
        <f>[1]!SWTEST(R28:R43)</f>
        <v>0.62790031583903749</v>
      </c>
      <c r="S56" s="142">
        <f>[1]!SWTEST(S28:S43)</f>
        <v>0.99702195401104809</v>
      </c>
      <c r="T56" s="142">
        <f>[1]!SWTEST(T28:T43)</f>
        <v>0.37952769336057401</v>
      </c>
      <c r="U56" s="142">
        <f>[1]!SWTEST(U28:U43)</f>
        <v>0.18848625223988402</v>
      </c>
      <c r="V56" s="142">
        <f>[1]!SWTEST(V28:V43)</f>
        <v>0.68998931776043482</v>
      </c>
    </row>
    <row r="57" spans="1:22" s="3" customFormat="1" x14ac:dyDescent="0.35">
      <c r="A57" s="61" t="s">
        <v>85</v>
      </c>
      <c r="B57" s="142" t="str">
        <f>IF(B56&gt;0.05,"Oui","Non")</f>
        <v>Oui</v>
      </c>
      <c r="C57" s="142" t="str">
        <f t="shared" ref="C57:V57" si="65">IF(C56&gt;0.05,"Oui","Non")</f>
        <v>Oui</v>
      </c>
      <c r="D57" s="142" t="str">
        <f t="shared" si="65"/>
        <v>Oui</v>
      </c>
      <c r="E57" s="142" t="str">
        <f t="shared" si="65"/>
        <v>Oui</v>
      </c>
      <c r="F57" s="142" t="str">
        <f t="shared" si="65"/>
        <v>Oui</v>
      </c>
      <c r="G57" s="142" t="str">
        <f t="shared" si="65"/>
        <v>Oui</v>
      </c>
      <c r="H57" s="142" t="str">
        <f t="shared" si="65"/>
        <v>Oui</v>
      </c>
      <c r="I57" s="142" t="str">
        <f t="shared" si="65"/>
        <v>Oui</v>
      </c>
      <c r="J57" s="142" t="str">
        <f t="shared" si="65"/>
        <v>Oui</v>
      </c>
      <c r="K57" s="142" t="str">
        <f t="shared" si="65"/>
        <v>Oui</v>
      </c>
      <c r="L57" s="142" t="str">
        <f t="shared" si="65"/>
        <v>Oui</v>
      </c>
      <c r="M57" s="142" t="str">
        <f t="shared" si="65"/>
        <v>Non</v>
      </c>
      <c r="N57" s="142"/>
      <c r="O57" s="142" t="str">
        <f t="shared" si="65"/>
        <v>Oui</v>
      </c>
      <c r="P57" s="142" t="str">
        <f t="shared" si="65"/>
        <v>Oui</v>
      </c>
      <c r="Q57" s="142" t="str">
        <f t="shared" si="65"/>
        <v>Oui</v>
      </c>
      <c r="R57" s="142" t="str">
        <f t="shared" si="65"/>
        <v>Oui</v>
      </c>
      <c r="S57" s="142" t="str">
        <f t="shared" si="65"/>
        <v>Oui</v>
      </c>
      <c r="T57" s="142" t="str">
        <f t="shared" si="65"/>
        <v>Oui</v>
      </c>
      <c r="U57" s="142" t="str">
        <f t="shared" si="65"/>
        <v>Oui</v>
      </c>
      <c r="V57" s="142" t="str">
        <f t="shared" si="65"/>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66">IF($B57="Non",IF(C57="Non","MW",IF(C57="Oui","MW","")),IF($B57="Oui",IF(C57="Oui","T-Test Welch",IF(C57="Non","MW",""))))</f>
        <v>T-Test Welch</v>
      </c>
      <c r="D59" s="151" t="str">
        <f t="shared" si="66"/>
        <v>T-Test Welch</v>
      </c>
      <c r="E59" s="151" t="str">
        <f t="shared" si="66"/>
        <v>T-Test Welch</v>
      </c>
      <c r="F59" s="151" t="str">
        <f t="shared" si="66"/>
        <v>T-Test Welch</v>
      </c>
      <c r="G59" s="151" t="str">
        <f t="shared" si="66"/>
        <v>T-Test Welch</v>
      </c>
      <c r="H59" s="151" t="str">
        <f t="shared" si="66"/>
        <v>T-Test Welch</v>
      </c>
      <c r="I59" s="151" t="str">
        <f t="shared" si="66"/>
        <v>T-Test Welch</v>
      </c>
      <c r="J59" s="151" t="str">
        <f t="shared" si="66"/>
        <v>T-Test Welch</v>
      </c>
      <c r="K59" s="151" t="str">
        <f t="shared" si="66"/>
        <v>T-Test Welch</v>
      </c>
      <c r="L59" s="151" t="str">
        <f t="shared" si="66"/>
        <v>T-Test Welch</v>
      </c>
      <c r="M59" s="151" t="str">
        <f t="shared" si="66"/>
        <v>MW</v>
      </c>
      <c r="N59" s="151"/>
      <c r="O59" s="151" t="str">
        <f t="shared" si="66"/>
        <v>T-Test Welch</v>
      </c>
      <c r="P59" s="151" t="str">
        <f>IF($O57="Non",IF(P57="Non","MW",IF(P57="Oui","MW","")),IF($O57="Oui",IF(P57="Oui","T-Test Welch",IF(P57="Non","MW",""))))</f>
        <v>T-Test Welch</v>
      </c>
      <c r="Q59" s="151" t="str">
        <f t="shared" ref="Q59:V59" si="67">IF($O57="Non",IF(Q57="Non","MW",IF(Q57="Oui","MW","")),IF($O57="Oui",IF(Q57="Oui","T-Test Welch",IF(Q57="Non","MW",""))))</f>
        <v>T-Test Welch</v>
      </c>
      <c r="R59" s="151" t="str">
        <f t="shared" si="67"/>
        <v>T-Test Welch</v>
      </c>
      <c r="S59" s="151" t="str">
        <f t="shared" si="67"/>
        <v>T-Test Welch</v>
      </c>
      <c r="T59" s="151" t="str">
        <f t="shared" si="67"/>
        <v>T-Test Welch</v>
      </c>
      <c r="U59" s="151" t="str">
        <f t="shared" si="67"/>
        <v>T-Test Welch</v>
      </c>
      <c r="V59" s="151" t="str">
        <f t="shared" si="67"/>
        <v>T-Test Welch</v>
      </c>
    </row>
    <row r="60" spans="1:22" s="3" customFormat="1" x14ac:dyDescent="0.35">
      <c r="A60" s="61" t="s">
        <v>83</v>
      </c>
      <c r="B60" s="152"/>
      <c r="C60" s="152">
        <f>IF(C59="MW",[1]!MTEST($B28:$B43,C28:C43,2), IF(C59="T-Test Welch",_xlfn.T.TEST($B28:$B43,C28:C43,2,3),""))</f>
        <v>0.78801713091120229</v>
      </c>
      <c r="D60" s="152">
        <f>IF(D59="MW",[1]!MTEST($B28:$B43,D28:D43,2), IF(D59="T-Test Welch",_xlfn.T.TEST($B28:$B43,D28:D43,2,3),""))</f>
        <v>0.84458946452343997</v>
      </c>
      <c r="E60" s="152">
        <f>IF(E59="MW",[1]!MTEST($B28:$B43,E28:E43,2), IF(E59="T-Test Welch",_xlfn.T.TEST($B28:$B43,E28:E43,2,3),""))</f>
        <v>7.8027925455558242E-2</v>
      </c>
      <c r="F60" s="152">
        <f>IF(F59="MW",[1]!MTEST($B28:$B43,F28:F43,2), IF(F59="T-Test Welch",_xlfn.T.TEST($B28:$B43,F28:F43,2,3),""))</f>
        <v>8.0173503286412758E-4</v>
      </c>
      <c r="G60" s="152">
        <f>IF(G59="MW",[1]!MTEST($B28:$B43,G28:G43,2), IF(G59="T-Test Welch",_xlfn.T.TEST($B28:$B43,G28:G43,2,3),""))</f>
        <v>8.2867955174403308E-4</v>
      </c>
      <c r="H60" s="152">
        <f>IF(H59="MW",[1]!MTEST($B28:$B43,H28:H43,2), IF(H59="T-Test Welch",_xlfn.T.TEST($B28:$B43,H28:H43,2,3),""))</f>
        <v>1.6960135680395925E-5</v>
      </c>
      <c r="I60" s="152">
        <f>IF(I59="MW",[1]!MTEST($B28:$B43,I28:I43,2), IF(I59="T-Test Welch",_xlfn.T.TEST($B28:$B43,I28:I43,2,3),""))</f>
        <v>0.75527175012958514</v>
      </c>
      <c r="J60" s="152">
        <f>IF(J59="MW",[1]!MTEST($B28:$B43,J28:J43,2), IF(J59="T-Test Welch",_xlfn.T.TEST($B28:$B43,J28:J43,2,3),""))</f>
        <v>0.83557663314974762</v>
      </c>
      <c r="K60" s="152">
        <f>IF(K59="MW",[1]!MTEST($B28:$B43,K28:K43,2), IF(K59="T-Test Welch",_xlfn.T.TEST($B28:$B43,K28:K43,2,3),""))</f>
        <v>0.24622837534168016</v>
      </c>
      <c r="L60" s="152">
        <f>IF(L59="MW",[1]!MTEST($B28:$B43,L28:L43,2), IF(L59="T-Test Welch",_xlfn.T.TEST($B28:$B43,L28:L43,2,3),""))</f>
        <v>5.3483812274538856E-2</v>
      </c>
      <c r="M60" s="152">
        <f>IF(M59="MW",[1]!MTEST($B28:$B43,M28:M43,2), IF(M59="T-Test Welch",_xlfn.T.TEST($B28:$B43,M28:M43,2,3),""))</f>
        <v>9.2891940883705226E-2</v>
      </c>
      <c r="N60" s="152"/>
      <c r="O60" s="152">
        <f>IF(O59="MW",[1]!MTEST($B28:$B43,O28:O43,2), IF(O59="T-Test Welch",_xlfn.T.TEST($B28:$B43,O28:O43,2,3),""))</f>
        <v>5.2367247851163958E-4</v>
      </c>
      <c r="P60" s="152">
        <f>IF(P59="MW",[1]!MTEST($O28:$O43,P28:P43,2), IF(P59="T-Test Welch",_xlfn.T.TEST($O28:$O43,P28:P43,2,3),""))</f>
        <v>2.3173822717533384E-3</v>
      </c>
      <c r="Q60" s="152">
        <f>IF(Q59="MW",[1]!MTEST($O28:$O43,Q28:Q43,2), IF(Q59="T-Test Welch",_xlfn.T.TEST($O28:$O43,Q28:Q43,2,3),""))</f>
        <v>3.5930856060939991E-4</v>
      </c>
      <c r="R60" s="152">
        <f>IF(R59="MW",[1]!MTEST($O28:$O43,R28:R43,2), IF(R59="T-Test Welch",_xlfn.T.TEST($O28:$O43,R28:R43,2,3),""))</f>
        <v>0.23652043286506239</v>
      </c>
      <c r="S60" s="152">
        <f>IF(S59="MW",[1]!MTEST($O28:$O43,S28:S43,2), IF(S59="T-Test Welch",_xlfn.T.TEST($O28:$O43,S28:S43,2,3),""))</f>
        <v>0.17600430441055331</v>
      </c>
      <c r="T60" s="152">
        <f>IF(T59="MW",[1]!MTEST($O28:$O43,T28:T43,2), IF(T59="T-Test Welch",_xlfn.T.TEST($O28:$O43,T28:T43,2,3),""))</f>
        <v>1.1597352390384523E-2</v>
      </c>
      <c r="U60" s="152">
        <f>IF(U59="MW",[1]!MTEST($O28:$O43,U28:U43,2), IF(U59="T-Test Welch",_xlfn.T.TEST($O28:$O43,U28:U43,2,3),""))</f>
        <v>1.4039163321300525E-2</v>
      </c>
      <c r="V60" s="152">
        <f>IF(V59="MW",[1]!MTEST($O28:$O43,V28:V43,2), IF(V59="T-Test Welch",_xlfn.T.TEST($O28:$O43,V28:V43,2,3),""))</f>
        <v>0.10865052695297635</v>
      </c>
    </row>
    <row r="61" spans="1:22" s="3" customFormat="1" ht="15" thickBot="1" x14ac:dyDescent="0.4">
      <c r="A61" s="62" t="s">
        <v>84</v>
      </c>
      <c r="B61" s="143"/>
      <c r="C61" s="143" t="str">
        <f t="shared" ref="C61:O61" si="68">IF(C60&gt;0.05,"NS",IF(C60&gt;0.01,"*",IF(C60&gt;0.001,"**","***")))</f>
        <v>NS</v>
      </c>
      <c r="D61" s="143" t="str">
        <f t="shared" si="68"/>
        <v>NS</v>
      </c>
      <c r="E61" s="143" t="str">
        <f t="shared" si="68"/>
        <v>NS</v>
      </c>
      <c r="F61" s="143" t="str">
        <f t="shared" si="68"/>
        <v>***</v>
      </c>
      <c r="G61" s="143" t="str">
        <f t="shared" si="68"/>
        <v>***</v>
      </c>
      <c r="H61" s="143" t="str">
        <f t="shared" si="68"/>
        <v>***</v>
      </c>
      <c r="I61" s="143" t="str">
        <f t="shared" si="68"/>
        <v>NS</v>
      </c>
      <c r="J61" s="143" t="str">
        <f t="shared" si="68"/>
        <v>NS</v>
      </c>
      <c r="K61" s="143" t="str">
        <f t="shared" si="68"/>
        <v>NS</v>
      </c>
      <c r="L61" s="143" t="str">
        <f t="shared" si="68"/>
        <v>NS</v>
      </c>
      <c r="M61" s="143" t="str">
        <f t="shared" si="68"/>
        <v>NS</v>
      </c>
      <c r="N61" s="143"/>
      <c r="O61" s="143" t="str">
        <f t="shared" si="68"/>
        <v>***</v>
      </c>
      <c r="P61" s="143" t="str">
        <f>IF(P60&gt;0.05,"NS",IF(P60&gt;0.01,"*",IF(P60&gt;0.001,"**","***")))</f>
        <v>**</v>
      </c>
      <c r="Q61" s="143" t="str">
        <f t="shared" ref="Q61:V61" si="69">IF(Q60&gt;0.05,"NS",IF(Q60&gt;0.01,"*",IF(Q60&gt;0.001,"**","***")))</f>
        <v>***</v>
      </c>
      <c r="R61" s="143" t="str">
        <f t="shared" si="69"/>
        <v>NS</v>
      </c>
      <c r="S61" s="143" t="str">
        <f t="shared" si="69"/>
        <v>NS</v>
      </c>
      <c r="T61" s="143" t="str">
        <f t="shared" si="69"/>
        <v>*</v>
      </c>
      <c r="U61" s="143" t="str">
        <f t="shared" si="69"/>
        <v>*</v>
      </c>
      <c r="V61" s="143" t="str">
        <f t="shared" si="69"/>
        <v>NS</v>
      </c>
    </row>
    <row r="63" spans="1:22" x14ac:dyDescent="0.35">
      <c r="A63" s="2" t="s">
        <v>39</v>
      </c>
    </row>
    <row r="64" spans="1:22" x14ac:dyDescent="0.35">
      <c r="A64" s="1" t="s">
        <v>23</v>
      </c>
      <c r="B64" s="1">
        <f>B46+(3*B47)</f>
        <v>0.54860578485655109</v>
      </c>
    </row>
    <row r="65" spans="1:22" x14ac:dyDescent="0.35">
      <c r="A65" s="1" t="s">
        <v>24</v>
      </c>
      <c r="B65" s="1">
        <f>B46+(10*B47)</f>
        <v>1.3615755976910306</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V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3" t="s">
        <v>172</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1674</v>
      </c>
      <c r="D3" s="1" t="s">
        <v>1675</v>
      </c>
      <c r="E3" s="1">
        <v>30</v>
      </c>
      <c r="F3" s="1" t="s">
        <v>112</v>
      </c>
      <c r="G3" s="1">
        <v>1947</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1676</v>
      </c>
      <c r="D4" s="1" t="s">
        <v>1677</v>
      </c>
      <c r="E4" s="1" t="s">
        <v>1678</v>
      </c>
      <c r="F4" s="1" t="s">
        <v>112</v>
      </c>
      <c r="G4" s="1">
        <v>6100</v>
      </c>
      <c r="K4" s="119" t="s">
        <v>100</v>
      </c>
      <c r="L4" s="1" t="s">
        <v>1646</v>
      </c>
      <c r="M4" s="1" t="s">
        <v>1647</v>
      </c>
      <c r="N4" s="1" t="s">
        <v>1648</v>
      </c>
      <c r="O4" s="1" t="s">
        <v>1649</v>
      </c>
      <c r="P4" s="1" t="s">
        <v>1650</v>
      </c>
      <c r="Q4" s="1" t="s">
        <v>1651</v>
      </c>
      <c r="R4" s="1" t="s">
        <v>1652</v>
      </c>
      <c r="S4" s="1" t="s">
        <v>1653</v>
      </c>
      <c r="T4" s="1" t="s">
        <v>1654</v>
      </c>
      <c r="U4" s="1" t="s">
        <v>1655</v>
      </c>
      <c r="V4" s="1" t="s">
        <v>1656</v>
      </c>
      <c r="W4" s="1" t="s">
        <v>1657</v>
      </c>
      <c r="X4" s="1" t="s">
        <v>1658</v>
      </c>
      <c r="Y4" s="1" t="s">
        <v>1659</v>
      </c>
      <c r="Z4" s="1" t="s">
        <v>1660</v>
      </c>
      <c r="AA4" s="1" t="s">
        <v>1661</v>
      </c>
      <c r="AB4" s="1" t="s">
        <v>1662</v>
      </c>
      <c r="AC4" s="1" t="s">
        <v>1663</v>
      </c>
      <c r="AD4" s="1" t="s">
        <v>1664</v>
      </c>
      <c r="AE4" s="1" t="s">
        <v>1665</v>
      </c>
      <c r="AF4" s="1" t="s">
        <v>1666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 s="1" t="s">
        <v>1679</v>
      </c>
      <c r="D5" s="1" t="s">
        <v>551</v>
      </c>
      <c r="E5" s="1" t="s">
        <v>1680</v>
      </c>
      <c r="F5" s="1" t="s">
        <v>112</v>
      </c>
      <c r="G5" s="1">
        <v>5256</v>
      </c>
      <c r="K5" s="146" t="s">
        <v>164</v>
      </c>
      <c r="L5" s="44">
        <v>3666.5</v>
      </c>
      <c r="M5" s="44">
        <v>2591439.75</v>
      </c>
      <c r="N5" s="44">
        <v>2247481.5</v>
      </c>
      <c r="O5" s="44">
        <v>3216019.25</v>
      </c>
      <c r="P5" s="44">
        <v>68074.5</v>
      </c>
      <c r="Q5" s="44">
        <v>49370</v>
      </c>
      <c r="R5" s="44">
        <v>21484</v>
      </c>
      <c r="S5" s="44">
        <v>1106066</v>
      </c>
      <c r="T5" s="44">
        <v>787480</v>
      </c>
      <c r="U5" s="44">
        <v>3538050.5</v>
      </c>
      <c r="V5" s="44">
        <v>5698055.25</v>
      </c>
      <c r="W5" s="44">
        <v>86508.75</v>
      </c>
      <c r="X5" s="44">
        <v>1170080</v>
      </c>
      <c r="Y5" s="44">
        <v>268167.5</v>
      </c>
      <c r="Z5" s="44">
        <v>2867642.75</v>
      </c>
      <c r="AA5" s="44">
        <v>1350110.75</v>
      </c>
      <c r="AB5" s="44">
        <v>2655156</v>
      </c>
      <c r="AC5" s="44">
        <v>1449857.5</v>
      </c>
      <c r="AD5" s="44">
        <v>552470.66666666663</v>
      </c>
      <c r="AE5" s="44">
        <v>225675.5</v>
      </c>
      <c r="AF5" s="44">
        <v>237220.75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 s="1" t="s">
        <v>1681</v>
      </c>
      <c r="D6" s="1" t="s">
        <v>234</v>
      </c>
      <c r="E6" s="1" t="s">
        <v>1682</v>
      </c>
      <c r="F6" s="1" t="s">
        <v>112</v>
      </c>
      <c r="G6" s="1">
        <v>1363</v>
      </c>
      <c r="K6" s="146" t="s">
        <v>1667</v>
      </c>
      <c r="L6" s="44">
        <v>298476.5</v>
      </c>
      <c r="M6" s="44">
        <v>3532248</v>
      </c>
      <c r="N6" s="44">
        <v>2257896</v>
      </c>
      <c r="O6" s="44">
        <v>1651945.25</v>
      </c>
      <c r="P6" s="44">
        <v>310751.25</v>
      </c>
      <c r="Q6" s="44">
        <v>131482.5</v>
      </c>
      <c r="R6" s="44">
        <v>1047600.75</v>
      </c>
      <c r="S6" s="44">
        <v>132039.5</v>
      </c>
      <c r="T6" s="44">
        <v>2272631.25</v>
      </c>
      <c r="U6" s="44"/>
      <c r="V6" s="44">
        <v>6266007</v>
      </c>
      <c r="W6" s="44">
        <v>367908.5</v>
      </c>
      <c r="X6" s="44">
        <v>546603.75</v>
      </c>
      <c r="Y6" s="44">
        <v>783732.25</v>
      </c>
      <c r="Z6" s="44">
        <v>2445503</v>
      </c>
      <c r="AA6" s="44">
        <v>242828</v>
      </c>
      <c r="AB6" s="44">
        <v>1592041.25</v>
      </c>
      <c r="AC6" s="44">
        <v>2451305</v>
      </c>
      <c r="AD6" s="44">
        <v>955711.5</v>
      </c>
      <c r="AE6" s="44">
        <v>164506.25</v>
      </c>
      <c r="AF6" s="44">
        <v>124690.75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1683</v>
      </c>
      <c r="D7" s="1" t="s">
        <v>1684</v>
      </c>
      <c r="E7" s="1" t="s">
        <v>1685</v>
      </c>
      <c r="F7" s="1" t="s">
        <v>112</v>
      </c>
      <c r="G7" s="1">
        <v>240243</v>
      </c>
      <c r="K7" s="146" t="s">
        <v>1668</v>
      </c>
      <c r="L7" s="44">
        <v>34716</v>
      </c>
      <c r="M7" s="44">
        <v>707876.25</v>
      </c>
      <c r="N7" s="44">
        <v>906465.75</v>
      </c>
      <c r="O7" s="44">
        <v>3973022.5</v>
      </c>
      <c r="P7" s="44">
        <v>50911.25</v>
      </c>
      <c r="Q7" s="44">
        <v>50889.75</v>
      </c>
      <c r="R7" s="44">
        <v>178760.25</v>
      </c>
      <c r="S7" s="44">
        <v>120040.5</v>
      </c>
      <c r="T7" s="44">
        <v>2983281.75</v>
      </c>
      <c r="U7" s="44">
        <v>4073774.5</v>
      </c>
      <c r="V7" s="44">
        <v>3651039.75</v>
      </c>
      <c r="W7" s="44">
        <v>199281.5</v>
      </c>
      <c r="X7" s="44">
        <v>906487</v>
      </c>
      <c r="Y7" s="44">
        <v>41680.75</v>
      </c>
      <c r="Z7" s="44">
        <v>2175527.6666666665</v>
      </c>
      <c r="AA7" s="44">
        <v>1443076.25</v>
      </c>
      <c r="AB7" s="44">
        <v>2844033.75</v>
      </c>
      <c r="AC7" s="44">
        <v>1710914</v>
      </c>
      <c r="AD7" s="44">
        <v>1615082.75</v>
      </c>
      <c r="AE7" s="44">
        <v>114449.25</v>
      </c>
      <c r="AF7" s="44">
        <v>348235.75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 s="1" t="s">
        <v>1686</v>
      </c>
      <c r="D8" s="1" t="s">
        <v>1687</v>
      </c>
      <c r="E8" s="1" t="s">
        <v>1688</v>
      </c>
      <c r="F8" s="1" t="s">
        <v>112</v>
      </c>
      <c r="G8" s="1">
        <v>400824</v>
      </c>
      <c r="K8" s="146" t="s">
        <v>1669</v>
      </c>
      <c r="L8" s="44">
        <v>278744.5</v>
      </c>
      <c r="M8" s="44">
        <v>1279705.75</v>
      </c>
      <c r="N8" s="44">
        <v>1678723</v>
      </c>
      <c r="O8" s="44">
        <v>2614167.5</v>
      </c>
      <c r="P8" s="44">
        <v>176564.75</v>
      </c>
      <c r="Q8" s="44">
        <v>75520.75</v>
      </c>
      <c r="R8" s="44">
        <v>283481</v>
      </c>
      <c r="S8" s="44">
        <v>92071</v>
      </c>
      <c r="T8" s="44">
        <v>412876.75</v>
      </c>
      <c r="U8" s="44">
        <v>3620125.25</v>
      </c>
      <c r="V8" s="44">
        <v>4963925.75</v>
      </c>
      <c r="W8" s="44">
        <v>105008</v>
      </c>
      <c r="X8" s="44">
        <v>583574.5</v>
      </c>
      <c r="Y8" s="44">
        <v>823693.25</v>
      </c>
      <c r="Z8" s="44">
        <v>1185750.75</v>
      </c>
      <c r="AA8" s="44">
        <v>3089019.25</v>
      </c>
      <c r="AB8" s="44">
        <v>3466596.25</v>
      </c>
      <c r="AC8" s="44">
        <v>1965449</v>
      </c>
      <c r="AD8" s="44">
        <v>600894.75</v>
      </c>
      <c r="AE8" s="44">
        <v>297418.33333333331</v>
      </c>
      <c r="AF8" s="44">
        <v>50743.75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 s="1" t="s">
        <v>1689</v>
      </c>
      <c r="D9" s="1" t="s">
        <v>1690</v>
      </c>
      <c r="E9" s="1" t="s">
        <v>1691</v>
      </c>
      <c r="F9" s="1" t="s">
        <v>112</v>
      </c>
      <c r="G9" s="1">
        <v>175181</v>
      </c>
      <c r="K9" s="146" t="s">
        <v>1670</v>
      </c>
      <c r="L9" s="44">
        <v>70535</v>
      </c>
      <c r="M9" s="44">
        <v>2362168.5</v>
      </c>
      <c r="N9" s="44">
        <v>1868649.75</v>
      </c>
      <c r="O9" s="44">
        <v>4236809.75</v>
      </c>
      <c r="P9" s="44">
        <v>431213.66666666669</v>
      </c>
      <c r="Q9" s="44">
        <v>973.5</v>
      </c>
      <c r="R9" s="44">
        <v>156081</v>
      </c>
      <c r="S9" s="44">
        <v>320657.75</v>
      </c>
      <c r="T9" s="44">
        <v>2598063.75</v>
      </c>
      <c r="U9" s="44">
        <v>1125738.5</v>
      </c>
      <c r="V9" s="44">
        <v>3947661.25</v>
      </c>
      <c r="W9" s="44">
        <v>374570</v>
      </c>
      <c r="X9" s="44">
        <v>742309.33333333337</v>
      </c>
      <c r="Y9" s="44">
        <v>481730.25</v>
      </c>
      <c r="Z9" s="44">
        <v>3302501</v>
      </c>
      <c r="AA9" s="44">
        <v>1249018.3333333333</v>
      </c>
      <c r="AB9" s="44">
        <v>748627</v>
      </c>
      <c r="AC9" s="44">
        <v>1660537.75</v>
      </c>
      <c r="AD9" s="44">
        <v>1846268.25</v>
      </c>
      <c r="AE9" s="44">
        <v>370509.25</v>
      </c>
      <c r="AF9" s="44">
        <v>10907</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 s="1" t="s">
        <v>1692</v>
      </c>
      <c r="D10" s="1" t="s">
        <v>1693</v>
      </c>
      <c r="E10" s="1" t="s">
        <v>1694</v>
      </c>
      <c r="F10" s="1" t="s">
        <v>112</v>
      </c>
      <c r="G10" s="1">
        <v>377658</v>
      </c>
      <c r="K10" s="146" t="s">
        <v>1671</v>
      </c>
      <c r="L10" s="44">
        <v>143460.25</v>
      </c>
      <c r="M10" s="44">
        <v>1878669.75</v>
      </c>
      <c r="N10" s="44">
        <v>964947.25</v>
      </c>
      <c r="O10" s="44"/>
      <c r="P10" s="44">
        <v>370412</v>
      </c>
      <c r="Q10" s="44"/>
      <c r="R10" s="44">
        <v>93171</v>
      </c>
      <c r="S10" s="44">
        <v>399006.75</v>
      </c>
      <c r="T10" s="44">
        <v>328223</v>
      </c>
      <c r="U10" s="44">
        <v>1974539</v>
      </c>
      <c r="V10" s="44"/>
      <c r="W10" s="44">
        <v>159181.66666666666</v>
      </c>
      <c r="X10" s="44">
        <v>577036.75</v>
      </c>
      <c r="Y10" s="44">
        <v>593162</v>
      </c>
      <c r="Z10" s="44">
        <v>702328.25</v>
      </c>
      <c r="AA10" s="44">
        <v>3175268.3333333335</v>
      </c>
      <c r="AB10" s="44">
        <v>1931073.75</v>
      </c>
      <c r="AC10" s="44">
        <v>2245350.5</v>
      </c>
      <c r="AD10" s="44">
        <v>334658</v>
      </c>
      <c r="AE10" s="44">
        <v>237355.5</v>
      </c>
      <c r="AF10" s="44">
        <v>287715.75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 s="1" t="s">
        <v>1695</v>
      </c>
      <c r="D11" s="1" t="s">
        <v>1696</v>
      </c>
      <c r="E11" s="1" t="s">
        <v>1697</v>
      </c>
      <c r="F11" s="1" t="s">
        <v>112</v>
      </c>
      <c r="G11" s="1">
        <v>47953</v>
      </c>
      <c r="K11" s="146" t="s">
        <v>1672</v>
      </c>
      <c r="L11" s="44">
        <v>202969.75</v>
      </c>
      <c r="M11" s="44">
        <v>1856688.75</v>
      </c>
      <c r="N11" s="44">
        <v>811647.33333333337</v>
      </c>
      <c r="O11" s="44">
        <v>2351672.5</v>
      </c>
      <c r="P11" s="44">
        <v>13464.5</v>
      </c>
      <c r="Q11" s="44">
        <v>90153.666666666672</v>
      </c>
      <c r="R11" s="44">
        <v>244598</v>
      </c>
      <c r="S11" s="44">
        <v>700446.25</v>
      </c>
      <c r="T11" s="44">
        <v>1573683</v>
      </c>
      <c r="U11" s="44">
        <v>2736188.6666666665</v>
      </c>
      <c r="V11" s="44">
        <v>3210249.25</v>
      </c>
      <c r="W11" s="44">
        <v>1120996.25</v>
      </c>
      <c r="X11" s="44">
        <v>1509074</v>
      </c>
      <c r="Y11" s="44">
        <v>527488.5</v>
      </c>
      <c r="Z11" s="44">
        <v>1296355.25</v>
      </c>
      <c r="AA11" s="44">
        <v>3162171.75</v>
      </c>
      <c r="AB11" s="44">
        <v>3384278.25</v>
      </c>
      <c r="AC11" s="44">
        <v>3655365.5</v>
      </c>
      <c r="AD11" s="44">
        <v>981593.66666666663</v>
      </c>
      <c r="AE11" s="44">
        <v>222030.75</v>
      </c>
      <c r="AF11" s="44">
        <v>448852.5</v>
      </c>
      <c r="AG11"/>
    </row>
    <row r="12" spans="1:144" x14ac:dyDescent="0.3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2" s="1" t="s">
        <v>1698</v>
      </c>
      <c r="D12" s="1" t="s">
        <v>1699</v>
      </c>
      <c r="E12" s="1" t="s">
        <v>1700</v>
      </c>
      <c r="F12" s="1" t="s">
        <v>112</v>
      </c>
      <c r="G12" s="1">
        <v>38285</v>
      </c>
      <c r="K12" s="146" t="s">
        <v>1673</v>
      </c>
      <c r="L12" s="44">
        <v>517776.5</v>
      </c>
      <c r="M12" s="44">
        <v>2110131.25</v>
      </c>
      <c r="N12" s="44">
        <v>241460.25</v>
      </c>
      <c r="O12" s="44">
        <v>1540102.5</v>
      </c>
      <c r="P12" s="44">
        <v>185038.5</v>
      </c>
      <c r="Q12" s="44">
        <v>191451.5</v>
      </c>
      <c r="R12" s="44">
        <v>78956.333333333328</v>
      </c>
      <c r="S12" s="44">
        <v>485012.5</v>
      </c>
      <c r="T12" s="44">
        <v>1624713.25</v>
      </c>
      <c r="U12" s="44">
        <v>2699113.25</v>
      </c>
      <c r="V12" s="44"/>
      <c r="W12" s="44">
        <v>336096</v>
      </c>
      <c r="X12" s="44">
        <v>1831219.5</v>
      </c>
      <c r="Y12" s="44">
        <v>1590089.5</v>
      </c>
      <c r="Z12" s="44">
        <v>2769694</v>
      </c>
      <c r="AA12" s="44">
        <v>1443806.25</v>
      </c>
      <c r="AB12" s="44">
        <v>3101224</v>
      </c>
      <c r="AC12" s="44">
        <v>251318</v>
      </c>
      <c r="AD12" s="44">
        <v>2171381.75</v>
      </c>
      <c r="AE12" s="44">
        <v>277863</v>
      </c>
      <c r="AF12" s="44">
        <v>246975.5</v>
      </c>
      <c r="AG12"/>
    </row>
    <row r="13" spans="1:144" x14ac:dyDescent="0.3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 s="1" t="s">
        <v>1701</v>
      </c>
      <c r="D13" s="1">
        <v>0</v>
      </c>
      <c r="E13" s="1">
        <v>0</v>
      </c>
      <c r="F13" s="1" t="s">
        <v>112</v>
      </c>
      <c r="G13" s="1">
        <v>0</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 s="1" t="s">
        <v>1702</v>
      </c>
      <c r="D14" s="1" t="s">
        <v>1703</v>
      </c>
      <c r="E14" s="1" t="s">
        <v>1704</v>
      </c>
      <c r="F14" s="1" t="s">
        <v>112</v>
      </c>
      <c r="G14" s="1">
        <v>52626</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5" s="1" t="s">
        <v>1705</v>
      </c>
      <c r="D15" s="1" t="s">
        <v>1706</v>
      </c>
      <c r="E15" s="1" t="s">
        <v>1707</v>
      </c>
      <c r="F15" s="1" t="s">
        <v>112</v>
      </c>
      <c r="G15" s="1">
        <v>369352</v>
      </c>
    </row>
    <row r="16" spans="1:144" x14ac:dyDescent="0.3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6" s="1" t="s">
        <v>1708</v>
      </c>
      <c r="D16" s="1" t="s">
        <v>1709</v>
      </c>
      <c r="E16" s="1" t="s">
        <v>1710</v>
      </c>
      <c r="F16" s="1" t="s">
        <v>112</v>
      </c>
      <c r="G16" s="1">
        <v>369698</v>
      </c>
    </row>
    <row r="17" spans="1:7" x14ac:dyDescent="0.3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 s="1" t="s">
        <v>1711</v>
      </c>
      <c r="D17" s="1" t="s">
        <v>1684</v>
      </c>
      <c r="E17" s="1" t="s">
        <v>1712</v>
      </c>
      <c r="F17" s="1" t="s">
        <v>112</v>
      </c>
      <c r="G17" s="1">
        <v>213098</v>
      </c>
    </row>
    <row r="18" spans="1:7" x14ac:dyDescent="0.3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8" s="1" t="s">
        <v>1713</v>
      </c>
      <c r="D18" s="1" t="s">
        <v>489</v>
      </c>
      <c r="E18" s="1" t="s">
        <v>1714</v>
      </c>
      <c r="F18" s="1" t="s">
        <v>112</v>
      </c>
      <c r="G18" s="1">
        <v>162830</v>
      </c>
    </row>
    <row r="19" spans="1:7" x14ac:dyDescent="0.3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9" s="1" t="s">
        <v>1715</v>
      </c>
      <c r="D19" s="1" t="s">
        <v>1716</v>
      </c>
      <c r="E19" s="1" t="s">
        <v>1717</v>
      </c>
      <c r="F19" s="1" t="s">
        <v>112</v>
      </c>
      <c r="G19" s="1">
        <v>151366</v>
      </c>
    </row>
    <row r="20" spans="1:7" x14ac:dyDescent="0.3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0" s="1" t="s">
        <v>1718</v>
      </c>
      <c r="D20" s="1">
        <v>0</v>
      </c>
      <c r="E20" s="1">
        <v>0</v>
      </c>
      <c r="F20" s="1" t="s">
        <v>112</v>
      </c>
      <c r="G20" s="1">
        <v>0</v>
      </c>
    </row>
    <row r="21" spans="1:7" x14ac:dyDescent="0.3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 s="1" t="s">
        <v>1719</v>
      </c>
      <c r="D21" s="1">
        <v>0</v>
      </c>
      <c r="E21" s="1">
        <v>0</v>
      </c>
      <c r="F21" s="1" t="s">
        <v>112</v>
      </c>
      <c r="G21" s="1">
        <v>0</v>
      </c>
    </row>
    <row r="22" spans="1:7" x14ac:dyDescent="0.3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 s="1" t="s">
        <v>1720</v>
      </c>
      <c r="D22" s="1" t="s">
        <v>1721</v>
      </c>
      <c r="E22" s="1" t="s">
        <v>1722</v>
      </c>
      <c r="F22" s="1" t="s">
        <v>112</v>
      </c>
      <c r="G22" s="1">
        <v>130774</v>
      </c>
    </row>
    <row r="23" spans="1:7" x14ac:dyDescent="0.3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3" s="1" t="s">
        <v>1723</v>
      </c>
      <c r="D23" s="1" t="s">
        <v>985</v>
      </c>
      <c r="E23" s="1" t="s">
        <v>1724</v>
      </c>
      <c r="F23" s="1" t="s">
        <v>112</v>
      </c>
      <c r="G23" s="1">
        <v>46245</v>
      </c>
    </row>
    <row r="24" spans="1:7" x14ac:dyDescent="0.3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 s="1" t="s">
        <v>1725</v>
      </c>
      <c r="D24" s="1" t="s">
        <v>1726</v>
      </c>
      <c r="E24" s="1" t="s">
        <v>1727</v>
      </c>
      <c r="F24" s="1" t="s">
        <v>112</v>
      </c>
      <c r="G24" s="1">
        <v>139859</v>
      </c>
    </row>
    <row r="25" spans="1:7" x14ac:dyDescent="0.3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 s="1" t="s">
        <v>1728</v>
      </c>
      <c r="D25" s="1" t="s">
        <v>1729</v>
      </c>
      <c r="E25" s="1" t="s">
        <v>1730</v>
      </c>
      <c r="F25" s="1" t="s">
        <v>112</v>
      </c>
      <c r="G25" s="1">
        <v>194647</v>
      </c>
    </row>
    <row r="26" spans="1:7" x14ac:dyDescent="0.35">
      <c r="A26" s="1" t="str">
        <f t="shared" si="0"/>
        <v>1</v>
      </c>
      <c r="B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6" s="1" t="s">
        <v>1731</v>
      </c>
      <c r="D26" s="1" t="s">
        <v>1732</v>
      </c>
      <c r="E26" s="1" t="s">
        <v>1733</v>
      </c>
      <c r="F26" s="1" t="s">
        <v>112</v>
      </c>
      <c r="G26" s="1">
        <v>193090</v>
      </c>
    </row>
    <row r="27" spans="1:7" x14ac:dyDescent="0.35">
      <c r="A27" s="1" t="str">
        <f t="shared" si="0"/>
        <v>1</v>
      </c>
      <c r="B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 s="1" t="s">
        <v>1734</v>
      </c>
      <c r="D27" s="1" t="s">
        <v>229</v>
      </c>
      <c r="E27" s="1">
        <v>30</v>
      </c>
      <c r="F27" s="1" t="s">
        <v>112</v>
      </c>
      <c r="G27" s="1">
        <v>649</v>
      </c>
    </row>
    <row r="28" spans="1:7" x14ac:dyDescent="0.35">
      <c r="A28" s="1" t="str">
        <f t="shared" si="0"/>
        <v>1</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 s="1" t="s">
        <v>1735</v>
      </c>
      <c r="D28" s="1" t="s">
        <v>1736</v>
      </c>
      <c r="E28" s="1" t="s">
        <v>1737</v>
      </c>
      <c r="F28" s="1" t="s">
        <v>112</v>
      </c>
      <c r="G28" s="1">
        <v>466514</v>
      </c>
    </row>
    <row r="29" spans="1:7" x14ac:dyDescent="0.35">
      <c r="A29" s="1" t="str">
        <f t="shared" si="0"/>
        <v>1</v>
      </c>
      <c r="B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9" s="1" t="s">
        <v>1738</v>
      </c>
      <c r="D29" s="1" t="s">
        <v>1739</v>
      </c>
      <c r="E29" s="1" t="s">
        <v>1740</v>
      </c>
      <c r="F29" s="1" t="s">
        <v>112</v>
      </c>
      <c r="G29" s="1">
        <v>250604</v>
      </c>
    </row>
    <row r="30" spans="1:7" x14ac:dyDescent="0.35">
      <c r="A30" s="1" t="str">
        <f t="shared" si="0"/>
        <v>1</v>
      </c>
      <c r="B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0" s="1" t="s">
        <v>1741</v>
      </c>
      <c r="D30" s="1" t="s">
        <v>1742</v>
      </c>
      <c r="E30" s="1" t="s">
        <v>1743</v>
      </c>
      <c r="F30" s="1" t="s">
        <v>112</v>
      </c>
      <c r="G30" s="1">
        <v>94112</v>
      </c>
    </row>
    <row r="31" spans="1:7" x14ac:dyDescent="0.35">
      <c r="A31" s="1" t="str">
        <f t="shared" si="0"/>
        <v>1</v>
      </c>
      <c r="B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 s="1" t="s">
        <v>1744</v>
      </c>
    </row>
    <row r="32" spans="1:7" x14ac:dyDescent="0.35">
      <c r="A32" s="1" t="str">
        <f t="shared" si="0"/>
        <v>1</v>
      </c>
      <c r="B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 s="1" t="s">
        <v>1745</v>
      </c>
    </row>
    <row r="33" spans="1:8" x14ac:dyDescent="0.35">
      <c r="A33" s="1" t="str">
        <f t="shared" si="0"/>
        <v>1</v>
      </c>
      <c r="B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3" s="1" t="s">
        <v>1746</v>
      </c>
      <c r="D33" s="1" t="s">
        <v>1747</v>
      </c>
      <c r="E33" s="1" t="s">
        <v>1748</v>
      </c>
      <c r="F33" s="1" t="s">
        <v>112</v>
      </c>
      <c r="G33" s="1">
        <v>525931</v>
      </c>
    </row>
    <row r="34" spans="1:8" x14ac:dyDescent="0.35">
      <c r="A34" s="1" t="str">
        <f t="shared" si="0"/>
        <v>1</v>
      </c>
      <c r="B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4" s="1" t="s">
        <v>1749</v>
      </c>
      <c r="D34" s="1" t="s">
        <v>1750</v>
      </c>
      <c r="E34" s="1" t="s">
        <v>1751</v>
      </c>
      <c r="F34" s="1" t="s">
        <v>112</v>
      </c>
      <c r="G34" s="1">
        <v>509622</v>
      </c>
    </row>
    <row r="35" spans="1:8"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 s="1" t="s">
        <v>112</v>
      </c>
    </row>
    <row r="36" spans="1:8" x14ac:dyDescent="0.35">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 s="1" t="s">
        <v>242</v>
      </c>
      <c r="D36" s="1" t="s">
        <v>112</v>
      </c>
      <c r="E36" s="1" t="s">
        <v>243</v>
      </c>
      <c r="F36" s="1" t="s">
        <v>244</v>
      </c>
      <c r="G36" s="1" t="s">
        <v>245</v>
      </c>
      <c r="H36" s="1" t="s">
        <v>246</v>
      </c>
    </row>
    <row r="37" spans="1:8" x14ac:dyDescent="0.35">
      <c r="A37" s="1" t="str">
        <f t="shared" si="0"/>
        <v>1</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7" s="1" t="s">
        <v>1752</v>
      </c>
      <c r="D37" s="1" t="s">
        <v>112</v>
      </c>
      <c r="E37" s="1" t="s">
        <v>1753</v>
      </c>
      <c r="F37" s="1" t="s">
        <v>1754</v>
      </c>
      <c r="G37" s="1" t="s">
        <v>1755</v>
      </c>
      <c r="H37" s="1" t="s">
        <v>1756</v>
      </c>
    </row>
    <row r="38" spans="1:8" x14ac:dyDescent="0.35">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 s="1" t="s">
        <v>112</v>
      </c>
    </row>
    <row r="39" spans="1:8" x14ac:dyDescent="0.35">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 s="1" t="s">
        <v>112</v>
      </c>
    </row>
    <row r="40" spans="1:8" x14ac:dyDescent="0.35">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 s="1" t="s">
        <v>112</v>
      </c>
    </row>
    <row r="41" spans="1:8" x14ac:dyDescent="0.35">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 s="1" t="s">
        <v>112</v>
      </c>
    </row>
    <row r="42" spans="1:8" x14ac:dyDescent="0.35">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 s="1" t="s">
        <v>112</v>
      </c>
    </row>
    <row r="43" spans="1:8" x14ac:dyDescent="0.35">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 s="1" t="s">
        <v>172</v>
      </c>
      <c r="D43" s="1" t="s">
        <v>110</v>
      </c>
      <c r="E43" s="1" t="s">
        <v>111</v>
      </c>
      <c r="F43" s="1" t="s">
        <v>112</v>
      </c>
      <c r="G43" s="1" t="s">
        <v>113</v>
      </c>
    </row>
    <row r="44" spans="1:8" x14ac:dyDescent="0.3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4" s="1" t="s">
        <v>1757</v>
      </c>
      <c r="D44" s="1" t="s">
        <v>1383</v>
      </c>
      <c r="E44" s="1" t="s">
        <v>1758</v>
      </c>
      <c r="F44" s="1" t="s">
        <v>112</v>
      </c>
      <c r="G44" s="1">
        <v>2313620</v>
      </c>
    </row>
    <row r="45" spans="1:8" x14ac:dyDescent="0.3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 s="1" t="s">
        <v>1759</v>
      </c>
      <c r="D45" s="1" t="s">
        <v>932</v>
      </c>
      <c r="E45" s="1" t="s">
        <v>1760</v>
      </c>
      <c r="F45" s="1" t="s">
        <v>112</v>
      </c>
      <c r="G45" s="1">
        <v>2857785</v>
      </c>
    </row>
    <row r="46" spans="1:8" x14ac:dyDescent="0.3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 s="1" t="s">
        <v>1761</v>
      </c>
      <c r="D46" s="1" t="s">
        <v>1762</v>
      </c>
      <c r="E46" s="1" t="s">
        <v>1763</v>
      </c>
      <c r="F46" s="1" t="s">
        <v>112</v>
      </c>
      <c r="G46" s="1">
        <v>2150660</v>
      </c>
    </row>
    <row r="47" spans="1:8" x14ac:dyDescent="0.3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7" s="1" t="s">
        <v>1764</v>
      </c>
      <c r="D47" s="1" t="s">
        <v>1765</v>
      </c>
      <c r="E47" s="1" t="s">
        <v>1766</v>
      </c>
      <c r="F47" s="1" t="s">
        <v>112</v>
      </c>
      <c r="G47" s="1">
        <v>3043694</v>
      </c>
    </row>
    <row r="48" spans="1:8" x14ac:dyDescent="0.3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8" s="1" t="s">
        <v>1767</v>
      </c>
    </row>
    <row r="49" spans="1:7" x14ac:dyDescent="0.3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9" s="1" t="s">
        <v>1768</v>
      </c>
      <c r="D49" s="1" t="s">
        <v>1769</v>
      </c>
      <c r="E49" s="1" t="s">
        <v>1770</v>
      </c>
      <c r="F49" s="1" t="s">
        <v>112</v>
      </c>
      <c r="G49" s="1">
        <v>3532248</v>
      </c>
    </row>
    <row r="50" spans="1:7" x14ac:dyDescent="0.3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 s="1" t="s">
        <v>1771</v>
      </c>
    </row>
    <row r="51" spans="1:7" x14ac:dyDescent="0.3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1" s="1" t="s">
        <v>1772</v>
      </c>
    </row>
    <row r="52" spans="1:7" x14ac:dyDescent="0.3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2" s="1" t="s">
        <v>1773</v>
      </c>
      <c r="D52" s="1" t="s">
        <v>1774</v>
      </c>
      <c r="E52" s="1" t="s">
        <v>1775</v>
      </c>
      <c r="F52" s="1" t="s">
        <v>112</v>
      </c>
      <c r="G52" s="1">
        <v>898463</v>
      </c>
    </row>
    <row r="53" spans="1:7" x14ac:dyDescent="0.3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 s="1" t="s">
        <v>1776</v>
      </c>
      <c r="D53" s="1" t="s">
        <v>1777</v>
      </c>
      <c r="E53" s="1" t="s">
        <v>1778</v>
      </c>
      <c r="F53" s="1" t="s">
        <v>112</v>
      </c>
      <c r="G53" s="1">
        <v>482714</v>
      </c>
    </row>
    <row r="54" spans="1:7" x14ac:dyDescent="0.3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 s="1" t="s">
        <v>1779</v>
      </c>
      <c r="D54" s="1" t="s">
        <v>1780</v>
      </c>
      <c r="E54" s="1" t="s">
        <v>1781</v>
      </c>
      <c r="F54" s="1" t="s">
        <v>112</v>
      </c>
      <c r="G54" s="1">
        <v>717464</v>
      </c>
    </row>
    <row r="55" spans="1:7" x14ac:dyDescent="0.3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5" s="1" t="s">
        <v>1782</v>
      </c>
      <c r="D55" s="1" t="s">
        <v>1783</v>
      </c>
      <c r="E55" s="1" t="s">
        <v>1784</v>
      </c>
      <c r="F55" s="1" t="s">
        <v>112</v>
      </c>
      <c r="G55" s="1">
        <v>732864</v>
      </c>
    </row>
    <row r="56" spans="1:7" x14ac:dyDescent="0.3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6" s="1" t="s">
        <v>1785</v>
      </c>
      <c r="D56" s="1" t="s">
        <v>1786</v>
      </c>
      <c r="E56" s="1" t="s">
        <v>1787</v>
      </c>
      <c r="F56" s="1" t="s">
        <v>112</v>
      </c>
      <c r="G56" s="1">
        <v>1094040</v>
      </c>
    </row>
    <row r="57" spans="1:7" x14ac:dyDescent="0.3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 s="1" t="s">
        <v>1788</v>
      </c>
      <c r="D57" s="1" t="s">
        <v>1789</v>
      </c>
      <c r="E57" s="1" t="s">
        <v>1790</v>
      </c>
      <c r="F57" s="1" t="s">
        <v>112</v>
      </c>
      <c r="G57" s="1">
        <v>1401985</v>
      </c>
    </row>
    <row r="58" spans="1:7" x14ac:dyDescent="0.3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8" s="1" t="s">
        <v>1791</v>
      </c>
      <c r="D58" s="1" t="s">
        <v>1792</v>
      </c>
      <c r="E58" s="1" t="s">
        <v>1793</v>
      </c>
      <c r="F58" s="1" t="s">
        <v>112</v>
      </c>
      <c r="G58" s="1">
        <v>1374385</v>
      </c>
    </row>
    <row r="59" spans="1:7" x14ac:dyDescent="0.35">
      <c r="A59" s="1" t="str">
        <f t="shared" si="0"/>
        <v>13</v>
      </c>
      <c r="B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9" s="1" t="s">
        <v>1794</v>
      </c>
      <c r="D59" s="1" t="s">
        <v>1795</v>
      </c>
      <c r="E59" s="1" t="s">
        <v>1796</v>
      </c>
      <c r="F59" s="1" t="s">
        <v>112</v>
      </c>
      <c r="G59" s="1">
        <v>1248413</v>
      </c>
    </row>
    <row r="60" spans="1:7" x14ac:dyDescent="0.35">
      <c r="A60" s="1" t="str">
        <f t="shared" si="0"/>
        <v>13</v>
      </c>
      <c r="B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 s="1" t="s">
        <v>1797</v>
      </c>
      <c r="D60" s="1" t="s">
        <v>758</v>
      </c>
      <c r="E60" s="1" t="s">
        <v>1798</v>
      </c>
      <c r="F60" s="1" t="s">
        <v>112</v>
      </c>
      <c r="G60" s="1">
        <v>2114171</v>
      </c>
    </row>
    <row r="61" spans="1:7" x14ac:dyDescent="0.35">
      <c r="A61" s="1" t="str">
        <f t="shared" si="0"/>
        <v>13</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 s="1" t="s">
        <v>1799</v>
      </c>
      <c r="D61" s="1" t="s">
        <v>1800</v>
      </c>
      <c r="E61" s="1" t="s">
        <v>1801</v>
      </c>
      <c r="F61" s="1" t="s">
        <v>112</v>
      </c>
      <c r="G61" s="1">
        <v>2223683</v>
      </c>
    </row>
    <row r="62" spans="1:7" x14ac:dyDescent="0.35">
      <c r="A62" s="1" t="str">
        <f t="shared" si="0"/>
        <v>13</v>
      </c>
      <c r="B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2" s="1" t="s">
        <v>1802</v>
      </c>
      <c r="D62" s="1" t="s">
        <v>1803</v>
      </c>
      <c r="E62" s="1" t="s">
        <v>1804</v>
      </c>
      <c r="F62" s="1" t="s">
        <v>112</v>
      </c>
      <c r="G62" s="1">
        <v>2687428</v>
      </c>
    </row>
    <row r="63" spans="1:7" x14ac:dyDescent="0.35">
      <c r="A63" s="1" t="str">
        <f t="shared" si="0"/>
        <v>13</v>
      </c>
      <c r="B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 s="1" t="s">
        <v>1805</v>
      </c>
      <c r="D63" s="1" t="s">
        <v>1806</v>
      </c>
      <c r="E63" s="1" t="s">
        <v>1807</v>
      </c>
      <c r="F63" s="1" t="s">
        <v>112</v>
      </c>
      <c r="G63" s="1">
        <v>2423392</v>
      </c>
    </row>
    <row r="64" spans="1:7" x14ac:dyDescent="0.35">
      <c r="A64" s="1" t="str">
        <f t="shared" si="0"/>
        <v>13</v>
      </c>
      <c r="B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 s="1" t="s">
        <v>1808</v>
      </c>
      <c r="D64" s="1" t="s">
        <v>1809</v>
      </c>
      <c r="E64" s="1" t="s">
        <v>1810</v>
      </c>
      <c r="F64" s="1" t="s">
        <v>112</v>
      </c>
      <c r="G64" s="1">
        <v>2025726</v>
      </c>
    </row>
    <row r="65" spans="1:8" x14ac:dyDescent="0.35">
      <c r="A65" s="1" t="str">
        <f t="shared" si="0"/>
        <v>13</v>
      </c>
      <c r="B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5" s="1" t="s">
        <v>1811</v>
      </c>
      <c r="D65" s="1" t="s">
        <v>1812</v>
      </c>
      <c r="E65" s="1" t="s">
        <v>1813</v>
      </c>
      <c r="F65" s="1" t="s">
        <v>112</v>
      </c>
      <c r="G65" s="1">
        <v>2208758</v>
      </c>
    </row>
    <row r="66" spans="1:8" x14ac:dyDescent="0.35">
      <c r="A66" s="1" t="str">
        <f t="shared" ref="A66:A129" si="1">IFERROR(LEFT(RIGHT(C66,LEN(C66)-SEARCH("@",C66)),SEARCH("/",RIGHT(C66,LEN(C66)-SEARCH("@",C66)-1))),"")</f>
        <v>13</v>
      </c>
      <c r="B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6" s="1" t="s">
        <v>1814</v>
      </c>
      <c r="D66" s="1" t="s">
        <v>1815</v>
      </c>
      <c r="E66" s="1" t="s">
        <v>1816</v>
      </c>
      <c r="F66" s="1" t="s">
        <v>112</v>
      </c>
      <c r="G66" s="1">
        <v>1537042</v>
      </c>
    </row>
    <row r="67" spans="1:8" x14ac:dyDescent="0.35">
      <c r="A67" s="1" t="str">
        <f t="shared" si="1"/>
        <v>13</v>
      </c>
      <c r="B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 s="1" t="s">
        <v>1817</v>
      </c>
      <c r="D67" s="1" t="s">
        <v>1818</v>
      </c>
      <c r="E67" s="1" t="s">
        <v>1819</v>
      </c>
      <c r="F67" s="1" t="s">
        <v>112</v>
      </c>
      <c r="G67" s="1">
        <v>1743153</v>
      </c>
    </row>
    <row r="68" spans="1:8" x14ac:dyDescent="0.35">
      <c r="A68" s="1" t="str">
        <f t="shared" si="1"/>
        <v>13</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 s="1" t="s">
        <v>1820</v>
      </c>
      <c r="D68" s="1" t="s">
        <v>1821</v>
      </c>
      <c r="E68" s="1" t="s">
        <v>1822</v>
      </c>
      <c r="F68" s="1" t="s">
        <v>112</v>
      </c>
      <c r="G68" s="1">
        <v>1877259</v>
      </c>
    </row>
    <row r="69" spans="1:8" x14ac:dyDescent="0.35">
      <c r="A69" s="1" t="str">
        <f t="shared" si="1"/>
        <v>13</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9" s="1" t="s">
        <v>1823</v>
      </c>
      <c r="D69" s="1" t="s">
        <v>1824</v>
      </c>
      <c r="E69" s="1" t="s">
        <v>1825</v>
      </c>
      <c r="F69" s="1" t="s">
        <v>112</v>
      </c>
      <c r="G69" s="1">
        <v>1892854</v>
      </c>
    </row>
    <row r="70" spans="1:8" x14ac:dyDescent="0.35">
      <c r="A70" s="1" t="str">
        <f t="shared" si="1"/>
        <v>13</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0" s="1" t="s">
        <v>1826</v>
      </c>
      <c r="D70" s="1" t="s">
        <v>917</v>
      </c>
      <c r="E70" s="1" t="s">
        <v>1827</v>
      </c>
      <c r="F70" s="1" t="s">
        <v>112</v>
      </c>
      <c r="G70" s="1">
        <v>1853401</v>
      </c>
    </row>
    <row r="71" spans="1:8" x14ac:dyDescent="0.35">
      <c r="A71" s="1" t="str">
        <f t="shared" si="1"/>
        <v>13</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1" s="1" t="s">
        <v>1828</v>
      </c>
      <c r="D71" s="1" t="s">
        <v>1829</v>
      </c>
      <c r="E71" s="1" t="s">
        <v>1830</v>
      </c>
      <c r="F71" s="1" t="s">
        <v>112</v>
      </c>
      <c r="G71" s="1">
        <v>1803241</v>
      </c>
    </row>
    <row r="72" spans="1:8" x14ac:dyDescent="0.35">
      <c r="A72" s="1" t="str">
        <f t="shared" si="1"/>
        <v>13</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2" s="1" t="s">
        <v>1831</v>
      </c>
      <c r="D72" s="1" t="s">
        <v>1832</v>
      </c>
      <c r="E72" s="1" t="s">
        <v>1833</v>
      </c>
      <c r="F72" s="1" t="s">
        <v>112</v>
      </c>
      <c r="G72" s="1">
        <v>1977643</v>
      </c>
    </row>
    <row r="73" spans="1:8" x14ac:dyDescent="0.35">
      <c r="A73" s="1" t="str">
        <f t="shared" si="1"/>
        <v>13</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3" s="1" t="s">
        <v>1834</v>
      </c>
      <c r="D73" s="1" t="s">
        <v>1835</v>
      </c>
      <c r="E73" s="1" t="s">
        <v>1836</v>
      </c>
      <c r="F73" s="1" t="s">
        <v>112</v>
      </c>
      <c r="G73" s="1">
        <v>2063665</v>
      </c>
    </row>
    <row r="74" spans="1:8" x14ac:dyDescent="0.35">
      <c r="A74" s="1" t="str">
        <f t="shared" si="1"/>
        <v>13</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4" s="1" t="s">
        <v>1837</v>
      </c>
      <c r="D74" s="1" t="s">
        <v>1838</v>
      </c>
      <c r="E74" s="1" t="s">
        <v>1839</v>
      </c>
      <c r="F74" s="1" t="s">
        <v>112</v>
      </c>
      <c r="G74" s="1">
        <v>2101452</v>
      </c>
    </row>
    <row r="75" spans="1:8" x14ac:dyDescent="0.35">
      <c r="A75" s="1" t="str">
        <f t="shared" si="1"/>
        <v>13</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5" s="1" t="s">
        <v>1840</v>
      </c>
      <c r="D75" s="1" t="s">
        <v>1841</v>
      </c>
      <c r="E75" s="1" t="s">
        <v>1842</v>
      </c>
      <c r="F75" s="1" t="s">
        <v>112</v>
      </c>
      <c r="G75" s="1">
        <v>2297765</v>
      </c>
    </row>
    <row r="76" spans="1:8" x14ac:dyDescent="0.35">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6" s="1" t="s">
        <v>112</v>
      </c>
    </row>
    <row r="77" spans="1:8" x14ac:dyDescent="0.35">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 s="1" t="s">
        <v>242</v>
      </c>
      <c r="D77" s="1" t="s">
        <v>112</v>
      </c>
      <c r="E77" s="1" t="s">
        <v>243</v>
      </c>
      <c r="F77" s="1" t="s">
        <v>244</v>
      </c>
      <c r="G77" s="1" t="s">
        <v>245</v>
      </c>
      <c r="H77" s="1" t="s">
        <v>246</v>
      </c>
    </row>
    <row r="78" spans="1:8" x14ac:dyDescent="0.35">
      <c r="A78" s="1" t="str">
        <f t="shared" si="1"/>
        <v>13</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8" s="1" t="s">
        <v>1843</v>
      </c>
      <c r="D78" s="1" t="s">
        <v>112</v>
      </c>
      <c r="E78" s="1" t="s">
        <v>1844</v>
      </c>
      <c r="F78" s="1" t="s">
        <v>1845</v>
      </c>
      <c r="G78" s="1" t="s">
        <v>1846</v>
      </c>
      <c r="H78" s="1" t="s">
        <v>1847</v>
      </c>
    </row>
    <row r="79" spans="1:8" x14ac:dyDescent="0.35">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9" s="1" t="s">
        <v>112</v>
      </c>
    </row>
    <row r="80" spans="1:8" x14ac:dyDescent="0.35">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0" s="1" t="s">
        <v>112</v>
      </c>
    </row>
    <row r="81" spans="1:7" x14ac:dyDescent="0.35">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 s="1" t="s">
        <v>112</v>
      </c>
    </row>
    <row r="82" spans="1:7" x14ac:dyDescent="0.35">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2" s="1" t="s">
        <v>112</v>
      </c>
    </row>
    <row r="83" spans="1:7" x14ac:dyDescent="0.35">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3" s="1" t="s">
        <v>112</v>
      </c>
    </row>
    <row r="84" spans="1:7" x14ac:dyDescent="0.35">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4" s="1" t="s">
        <v>172</v>
      </c>
      <c r="D84" s="1" t="s">
        <v>110</v>
      </c>
      <c r="E84" s="1" t="s">
        <v>111</v>
      </c>
      <c r="F84" s="1" t="s">
        <v>112</v>
      </c>
      <c r="G84" s="1" t="s">
        <v>113</v>
      </c>
    </row>
    <row r="85" spans="1:7" x14ac:dyDescent="0.3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5" s="1" t="s">
        <v>1848</v>
      </c>
      <c r="D85" s="1" t="s">
        <v>1849</v>
      </c>
      <c r="E85" s="1" t="s">
        <v>1850</v>
      </c>
      <c r="F85" s="1" t="s">
        <v>112</v>
      </c>
      <c r="G85" s="1">
        <v>1836227</v>
      </c>
    </row>
    <row r="86" spans="1:7" x14ac:dyDescent="0.3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6" s="1" t="s">
        <v>1851</v>
      </c>
      <c r="D86" s="1" t="s">
        <v>1852</v>
      </c>
      <c r="E86" s="1" t="s">
        <v>1853</v>
      </c>
      <c r="F86" s="1" t="s">
        <v>112</v>
      </c>
      <c r="G86" s="1">
        <v>2285891</v>
      </c>
    </row>
    <row r="87" spans="1:7" x14ac:dyDescent="0.3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7" s="1" t="s">
        <v>1854</v>
      </c>
      <c r="D87" s="1" t="s">
        <v>1855</v>
      </c>
      <c r="E87" s="1" t="s">
        <v>1856</v>
      </c>
      <c r="F87" s="1" t="s">
        <v>112</v>
      </c>
      <c r="G87" s="1">
        <v>2310657</v>
      </c>
    </row>
    <row r="88" spans="1:7" x14ac:dyDescent="0.3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8" s="1" t="s">
        <v>1857</v>
      </c>
      <c r="D88" s="1" t="s">
        <v>1858</v>
      </c>
      <c r="E88" s="1" t="s">
        <v>1859</v>
      </c>
      <c r="F88" s="1" t="s">
        <v>112</v>
      </c>
      <c r="G88" s="1">
        <v>2557151</v>
      </c>
    </row>
    <row r="89" spans="1:7" x14ac:dyDescent="0.3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9" s="1" t="s">
        <v>1860</v>
      </c>
      <c r="D89" s="1" t="s">
        <v>1861</v>
      </c>
      <c r="E89" s="1" t="s">
        <v>1862</v>
      </c>
      <c r="F89" s="1" t="s">
        <v>112</v>
      </c>
      <c r="G89" s="1">
        <v>1923460</v>
      </c>
    </row>
    <row r="90" spans="1:7" x14ac:dyDescent="0.3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0" s="1" t="s">
        <v>1863</v>
      </c>
      <c r="D90" s="1" t="s">
        <v>1864</v>
      </c>
      <c r="E90" s="1" t="s">
        <v>1865</v>
      </c>
      <c r="F90" s="1" t="s">
        <v>112</v>
      </c>
      <c r="G90" s="1">
        <v>2380500</v>
      </c>
    </row>
    <row r="91" spans="1:7" x14ac:dyDescent="0.3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1" s="1" t="s">
        <v>1866</v>
      </c>
      <c r="D91" s="1" t="s">
        <v>1867</v>
      </c>
      <c r="E91" s="1" t="s">
        <v>1868</v>
      </c>
      <c r="F91" s="1" t="s">
        <v>112</v>
      </c>
      <c r="G91" s="1">
        <v>2442058</v>
      </c>
    </row>
    <row r="92" spans="1:7" x14ac:dyDescent="0.35">
      <c r="A92" s="1" t="str">
        <f t="shared" si="1"/>
        <v>14</v>
      </c>
      <c r="B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2" s="1" t="s">
        <v>1869</v>
      </c>
      <c r="D92" s="1" t="s">
        <v>1870</v>
      </c>
      <c r="E92" s="1" t="s">
        <v>1871</v>
      </c>
      <c r="F92" s="1" t="s">
        <v>112</v>
      </c>
      <c r="G92" s="1">
        <v>2285566</v>
      </c>
    </row>
    <row r="93" spans="1:7" x14ac:dyDescent="0.35">
      <c r="A93" s="1" t="str">
        <f t="shared" si="1"/>
        <v>14</v>
      </c>
      <c r="B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3" s="1" t="s">
        <v>1872</v>
      </c>
      <c r="D93" s="1" t="s">
        <v>1873</v>
      </c>
      <c r="E93" s="1" t="s">
        <v>1874</v>
      </c>
      <c r="F93" s="1" t="s">
        <v>112</v>
      </c>
      <c r="G93" s="1">
        <v>1017730</v>
      </c>
    </row>
    <row r="94" spans="1:7" x14ac:dyDescent="0.35">
      <c r="A94" s="1" t="str">
        <f t="shared" si="1"/>
        <v>14</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4" s="1" t="s">
        <v>1875</v>
      </c>
      <c r="D94" s="1" t="s">
        <v>1876</v>
      </c>
      <c r="E94" s="1" t="s">
        <v>1877</v>
      </c>
      <c r="F94" s="1" t="s">
        <v>112</v>
      </c>
      <c r="G94" s="1">
        <v>808352</v>
      </c>
    </row>
    <row r="95" spans="1:7" x14ac:dyDescent="0.35">
      <c r="A95" s="1" t="str">
        <f t="shared" si="1"/>
        <v>14</v>
      </c>
      <c r="B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5" s="1" t="s">
        <v>1878</v>
      </c>
      <c r="D95" s="1" t="s">
        <v>1879</v>
      </c>
      <c r="E95" s="1" t="s">
        <v>1880</v>
      </c>
      <c r="F95" s="1" t="s">
        <v>112</v>
      </c>
      <c r="G95" s="1">
        <v>962509</v>
      </c>
    </row>
    <row r="96" spans="1:7" x14ac:dyDescent="0.35">
      <c r="A96" s="1" t="str">
        <f t="shared" si="1"/>
        <v>14</v>
      </c>
      <c r="B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6" s="1" t="s">
        <v>1881</v>
      </c>
      <c r="D96" s="1" t="s">
        <v>1882</v>
      </c>
      <c r="E96" s="1" t="s">
        <v>1883</v>
      </c>
      <c r="F96" s="1" t="s">
        <v>112</v>
      </c>
      <c r="G96" s="1">
        <v>837272</v>
      </c>
    </row>
    <row r="97" spans="1:7" x14ac:dyDescent="0.35">
      <c r="A97" s="1" t="str">
        <f t="shared" si="1"/>
        <v>14</v>
      </c>
      <c r="B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97" s="1" t="s">
        <v>1884</v>
      </c>
      <c r="D97" s="1" t="s">
        <v>1885</v>
      </c>
      <c r="E97" s="1" t="s">
        <v>1886</v>
      </c>
      <c r="F97" s="1" t="s">
        <v>112</v>
      </c>
      <c r="G97" s="1">
        <v>1562587</v>
      </c>
    </row>
    <row r="98" spans="1:7" x14ac:dyDescent="0.35">
      <c r="A98" s="1" t="str">
        <f t="shared" si="1"/>
        <v>14</v>
      </c>
      <c r="B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98" s="1" t="s">
        <v>1887</v>
      </c>
      <c r="D98" s="1" t="s">
        <v>1888</v>
      </c>
      <c r="E98" s="1" t="s">
        <v>1889</v>
      </c>
      <c r="F98" s="1" t="s">
        <v>112</v>
      </c>
      <c r="G98" s="1">
        <v>1430947</v>
      </c>
    </row>
    <row r="99" spans="1:7" x14ac:dyDescent="0.35">
      <c r="A99" s="1" t="str">
        <f t="shared" si="1"/>
        <v>14</v>
      </c>
      <c r="B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99" s="1" t="s">
        <v>1890</v>
      </c>
      <c r="D99" s="1" t="s">
        <v>1891</v>
      </c>
      <c r="E99" s="1" t="s">
        <v>1892</v>
      </c>
      <c r="F99" s="1" t="s">
        <v>112</v>
      </c>
      <c r="G99" s="1">
        <v>1772959</v>
      </c>
    </row>
    <row r="100" spans="1:7" x14ac:dyDescent="0.35">
      <c r="A100" s="1" t="str">
        <f t="shared" si="1"/>
        <v>14</v>
      </c>
      <c r="B1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00" s="1" t="s">
        <v>1893</v>
      </c>
      <c r="D100" s="1" t="s">
        <v>1894</v>
      </c>
      <c r="E100" s="1" t="s">
        <v>1895</v>
      </c>
      <c r="F100" s="1" t="s">
        <v>112</v>
      </c>
      <c r="G100" s="1">
        <v>1948399</v>
      </c>
    </row>
    <row r="101" spans="1:7" x14ac:dyDescent="0.35">
      <c r="A101" s="1" t="str">
        <f t="shared" si="1"/>
        <v>14</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1" s="1" t="s">
        <v>1896</v>
      </c>
      <c r="D101" s="1" t="s">
        <v>1897</v>
      </c>
      <c r="E101" s="1" t="s">
        <v>1898</v>
      </c>
      <c r="F101" s="1" t="s">
        <v>112</v>
      </c>
      <c r="G101" s="1">
        <v>1825239</v>
      </c>
    </row>
    <row r="102" spans="1:7" x14ac:dyDescent="0.35">
      <c r="A102" s="1" t="str">
        <f t="shared" si="1"/>
        <v>14</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2" s="1" t="s">
        <v>1899</v>
      </c>
      <c r="D102" s="1" t="s">
        <v>1900</v>
      </c>
      <c r="E102" s="1" t="s">
        <v>1901</v>
      </c>
      <c r="F102" s="1" t="s">
        <v>112</v>
      </c>
      <c r="G102" s="1">
        <v>1568751</v>
      </c>
    </row>
    <row r="103" spans="1:7" x14ac:dyDescent="0.35">
      <c r="A103" s="1" t="str">
        <f t="shared" si="1"/>
        <v>14</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3" s="1" t="s">
        <v>1902</v>
      </c>
      <c r="D103" s="1" t="s">
        <v>1903</v>
      </c>
      <c r="E103" s="1" t="s">
        <v>1904</v>
      </c>
      <c r="F103" s="1" t="s">
        <v>112</v>
      </c>
      <c r="G103" s="1">
        <v>1935032</v>
      </c>
    </row>
    <row r="104" spans="1:7" x14ac:dyDescent="0.35">
      <c r="A104" s="1" t="str">
        <f t="shared" si="1"/>
        <v>14</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4" s="1" t="s">
        <v>1905</v>
      </c>
      <c r="D104" s="1" t="s">
        <v>1906</v>
      </c>
      <c r="E104" s="1" t="s">
        <v>1907</v>
      </c>
      <c r="F104" s="1" t="s">
        <v>112</v>
      </c>
      <c r="G104" s="1">
        <v>2145577</v>
      </c>
    </row>
    <row r="105" spans="1:7" x14ac:dyDescent="0.35">
      <c r="A105" s="1" t="str">
        <f t="shared" si="1"/>
        <v>14</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5" s="1" t="s">
        <v>1908</v>
      </c>
      <c r="D105" s="1" t="s">
        <v>1909</v>
      </c>
      <c r="E105" s="1" t="s">
        <v>1910</v>
      </c>
      <c r="F105" s="1" t="s">
        <v>112</v>
      </c>
      <c r="G105" s="1">
        <v>994629</v>
      </c>
    </row>
    <row r="106" spans="1:7" x14ac:dyDescent="0.35">
      <c r="A106" s="1" t="str">
        <f t="shared" si="1"/>
        <v>14</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6" s="1" t="s">
        <v>1911</v>
      </c>
      <c r="D106" s="1" t="s">
        <v>1912</v>
      </c>
      <c r="E106" s="1" t="s">
        <v>1913</v>
      </c>
      <c r="F106" s="1" t="s">
        <v>112</v>
      </c>
      <c r="G106" s="1">
        <v>805389</v>
      </c>
    </row>
    <row r="107" spans="1:7" x14ac:dyDescent="0.35">
      <c r="A107" s="1" t="str">
        <f t="shared" si="1"/>
        <v>14</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7" s="1" t="s">
        <v>1914</v>
      </c>
      <c r="D107" s="1" t="s">
        <v>1915</v>
      </c>
      <c r="E107" s="1" t="s">
        <v>1916</v>
      </c>
      <c r="F107" s="1" t="s">
        <v>112</v>
      </c>
      <c r="G107" s="1">
        <v>836298</v>
      </c>
    </row>
    <row r="108" spans="1:7" x14ac:dyDescent="0.35">
      <c r="A108" s="1" t="str">
        <f t="shared" si="1"/>
        <v>14</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8" s="1" t="s">
        <v>1917</v>
      </c>
      <c r="D108" s="1" t="s">
        <v>1918</v>
      </c>
      <c r="E108" s="1" t="s">
        <v>1919</v>
      </c>
      <c r="F108" s="1" t="s">
        <v>112</v>
      </c>
      <c r="G108" s="1">
        <v>1223473</v>
      </c>
    </row>
    <row r="109" spans="1:7" x14ac:dyDescent="0.35">
      <c r="A109" s="1" t="str">
        <f t="shared" si="1"/>
        <v>14</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09" s="1" t="s">
        <v>1920</v>
      </c>
      <c r="D109" s="1" t="s">
        <v>1921</v>
      </c>
      <c r="E109" s="1" t="s">
        <v>1922</v>
      </c>
      <c r="F109" s="1" t="s">
        <v>112</v>
      </c>
      <c r="G109" s="1">
        <v>673836</v>
      </c>
    </row>
    <row r="110" spans="1:7" x14ac:dyDescent="0.35">
      <c r="A110" s="1" t="str">
        <f t="shared" si="1"/>
        <v>14</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0" s="1" t="s">
        <v>1923</v>
      </c>
      <c r="D110" s="1" t="s">
        <v>1924</v>
      </c>
      <c r="E110" s="1" t="s">
        <v>1925</v>
      </c>
      <c r="F110" s="1" t="s">
        <v>112</v>
      </c>
      <c r="G110" s="1">
        <v>731069</v>
      </c>
    </row>
    <row r="111" spans="1:7" x14ac:dyDescent="0.35">
      <c r="A111" s="1" t="str">
        <f t="shared" si="1"/>
        <v>14</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1" s="1" t="s">
        <v>1926</v>
      </c>
      <c r="D111" s="1" t="s">
        <v>1927</v>
      </c>
      <c r="E111" s="1" t="s">
        <v>1928</v>
      </c>
      <c r="F111" s="1" t="s">
        <v>112</v>
      </c>
      <c r="G111" s="1">
        <v>1030037</v>
      </c>
    </row>
    <row r="112" spans="1:7" x14ac:dyDescent="0.35">
      <c r="A112" s="1" t="str">
        <f t="shared" si="1"/>
        <v>14</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2" s="1" t="s">
        <v>1929</v>
      </c>
    </row>
    <row r="113" spans="1:8" x14ac:dyDescent="0.35">
      <c r="A113" s="1" t="str">
        <f t="shared" si="1"/>
        <v>14</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3" s="1" t="s">
        <v>1930</v>
      </c>
      <c r="D113" s="1" t="s">
        <v>1931</v>
      </c>
      <c r="E113" s="1" t="s">
        <v>1932</v>
      </c>
      <c r="F113" s="1" t="s">
        <v>112</v>
      </c>
      <c r="G113" s="1">
        <v>131229</v>
      </c>
    </row>
    <row r="114" spans="1:8" x14ac:dyDescent="0.35">
      <c r="A114" s="1" t="str">
        <f t="shared" si="1"/>
        <v>14</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4" s="1" t="s">
        <v>1933</v>
      </c>
      <c r="D114" s="1" t="s">
        <v>1934</v>
      </c>
      <c r="E114" s="1" t="s">
        <v>1935</v>
      </c>
      <c r="F114" s="1" t="s">
        <v>112</v>
      </c>
      <c r="G114" s="1">
        <v>347225</v>
      </c>
    </row>
    <row r="115" spans="1:8" x14ac:dyDescent="0.35">
      <c r="A115" s="1" t="str">
        <f t="shared" si="1"/>
        <v>14</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5" s="1" t="s">
        <v>1936</v>
      </c>
      <c r="D115" s="1" t="s">
        <v>1557</v>
      </c>
      <c r="E115" s="1" t="s">
        <v>1937</v>
      </c>
      <c r="F115" s="1" t="s">
        <v>112</v>
      </c>
      <c r="G115" s="1">
        <v>95583</v>
      </c>
    </row>
    <row r="116" spans="1:8" x14ac:dyDescent="0.35">
      <c r="A116" s="1" t="str">
        <f t="shared" si="1"/>
        <v>14</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6" s="1" t="s">
        <v>1938</v>
      </c>
      <c r="D116" s="1" t="s">
        <v>1939</v>
      </c>
      <c r="E116" s="1" t="s">
        <v>1940</v>
      </c>
      <c r="F116" s="1" t="s">
        <v>112</v>
      </c>
      <c r="G116" s="1">
        <v>391804</v>
      </c>
    </row>
    <row r="117" spans="1:8" x14ac:dyDescent="0.35">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17" s="1" t="s">
        <v>112</v>
      </c>
    </row>
    <row r="118" spans="1:8" x14ac:dyDescent="0.35">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18" s="1" t="s">
        <v>242</v>
      </c>
      <c r="D118" s="1" t="s">
        <v>112</v>
      </c>
      <c r="E118" s="1" t="s">
        <v>243</v>
      </c>
      <c r="F118" s="1" t="s">
        <v>244</v>
      </c>
      <c r="G118" s="1" t="s">
        <v>245</v>
      </c>
      <c r="H118" s="1" t="s">
        <v>246</v>
      </c>
    </row>
    <row r="119" spans="1:8" x14ac:dyDescent="0.35">
      <c r="A119" s="1" t="str">
        <f t="shared" si="1"/>
        <v>14</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19" s="1" t="s">
        <v>1941</v>
      </c>
      <c r="D119" s="1" t="s">
        <v>112</v>
      </c>
      <c r="E119" s="1" t="s">
        <v>1942</v>
      </c>
      <c r="F119" s="1" t="s">
        <v>1943</v>
      </c>
      <c r="G119" s="1" t="s">
        <v>1944</v>
      </c>
      <c r="H119" s="1" t="s">
        <v>1945</v>
      </c>
    </row>
    <row r="120" spans="1:8" x14ac:dyDescent="0.35">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0" s="1" t="s">
        <v>112</v>
      </c>
    </row>
    <row r="121" spans="1:8" x14ac:dyDescent="0.35">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1" s="1" t="s">
        <v>112</v>
      </c>
    </row>
    <row r="122" spans="1:8" x14ac:dyDescent="0.35">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2" s="1" t="s">
        <v>112</v>
      </c>
    </row>
    <row r="123" spans="1:8" x14ac:dyDescent="0.35">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3" s="1" t="s">
        <v>112</v>
      </c>
    </row>
    <row r="124" spans="1:8" x14ac:dyDescent="0.35">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4" s="1" t="s">
        <v>112</v>
      </c>
    </row>
    <row r="125" spans="1:8"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172</v>
      </c>
      <c r="D125" s="1" t="s">
        <v>110</v>
      </c>
      <c r="E125" s="1" t="s">
        <v>111</v>
      </c>
      <c r="F125" s="1" t="s">
        <v>112</v>
      </c>
      <c r="G125" s="1" t="s">
        <v>113</v>
      </c>
    </row>
    <row r="126" spans="1:8" x14ac:dyDescent="0.35">
      <c r="A126" s="1" t="str">
        <f t="shared" si="1"/>
        <v>15</v>
      </c>
      <c r="B1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6" s="1" t="s">
        <v>1946</v>
      </c>
      <c r="D126" s="1" t="s">
        <v>1947</v>
      </c>
      <c r="E126" s="1" t="s">
        <v>1948</v>
      </c>
      <c r="F126" s="1" t="s">
        <v>112</v>
      </c>
      <c r="G126" s="1">
        <v>2987370</v>
      </c>
    </row>
    <row r="127" spans="1:8" x14ac:dyDescent="0.35">
      <c r="A127" s="1" t="str">
        <f t="shared" si="1"/>
        <v>15</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7" s="1" t="s">
        <v>1949</v>
      </c>
      <c r="D127" s="1" t="s">
        <v>1950</v>
      </c>
      <c r="E127" s="1" t="s">
        <v>1951</v>
      </c>
      <c r="F127" s="1" t="s">
        <v>112</v>
      </c>
      <c r="G127" s="1">
        <v>3266222</v>
      </c>
    </row>
    <row r="128" spans="1:8" x14ac:dyDescent="0.35">
      <c r="A128" s="1" t="str">
        <f t="shared" si="1"/>
        <v>15</v>
      </c>
      <c r="B1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8" s="1" t="s">
        <v>1952</v>
      </c>
      <c r="D128" s="1" t="s">
        <v>1953</v>
      </c>
      <c r="E128" s="1" t="s">
        <v>1954</v>
      </c>
      <c r="F128" s="1" t="s">
        <v>112</v>
      </c>
      <c r="G128" s="1">
        <v>3542631</v>
      </c>
    </row>
    <row r="129" spans="1:7" x14ac:dyDescent="0.35">
      <c r="A129" s="1" t="str">
        <f t="shared" si="1"/>
        <v>15</v>
      </c>
      <c r="B1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9" s="1" t="s">
        <v>1955</v>
      </c>
      <c r="D129" s="1" t="s">
        <v>1956</v>
      </c>
      <c r="E129" s="1" t="s">
        <v>1957</v>
      </c>
      <c r="F129" s="1" t="s">
        <v>112</v>
      </c>
      <c r="G129" s="1">
        <v>3067854</v>
      </c>
    </row>
    <row r="130" spans="1:7" x14ac:dyDescent="0.35">
      <c r="A130" s="1" t="str">
        <f t="shared" ref="A130:A193" si="2">IFERROR(LEFT(RIGHT(C130,LEN(C130)-SEARCH("@",C130)),SEARCH("/",RIGHT(C130,LEN(C130)-SEARCH("@",C130)-1))),"")</f>
        <v>15</v>
      </c>
      <c r="B1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0" s="1" t="s">
        <v>1958</v>
      </c>
      <c r="D130" s="1" t="s">
        <v>1959</v>
      </c>
      <c r="E130" s="1" t="s">
        <v>1960</v>
      </c>
      <c r="F130" s="1" t="s">
        <v>112</v>
      </c>
      <c r="G130" s="1">
        <v>1373563</v>
      </c>
    </row>
    <row r="131" spans="1:7" x14ac:dyDescent="0.35">
      <c r="A131" s="1" t="str">
        <f t="shared" si="2"/>
        <v>15</v>
      </c>
      <c r="B1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1" s="1" t="s">
        <v>1961</v>
      </c>
      <c r="D131" s="1" t="s">
        <v>1962</v>
      </c>
      <c r="E131" s="1" t="s">
        <v>1963</v>
      </c>
      <c r="F131" s="1" t="s">
        <v>112</v>
      </c>
      <c r="G131" s="1">
        <v>1755071</v>
      </c>
    </row>
    <row r="132" spans="1:7" x14ac:dyDescent="0.35">
      <c r="A132" s="1" t="str">
        <f t="shared" si="2"/>
        <v>15</v>
      </c>
      <c r="B1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2" s="1" t="s">
        <v>1964</v>
      </c>
      <c r="D132" s="1" t="s">
        <v>1965</v>
      </c>
      <c r="E132" s="1" t="s">
        <v>1966</v>
      </c>
      <c r="F132" s="1" t="s">
        <v>112</v>
      </c>
      <c r="G132" s="1">
        <v>1817452</v>
      </c>
    </row>
    <row r="133" spans="1:7" x14ac:dyDescent="0.35">
      <c r="A133" s="1" t="str">
        <f t="shared" si="2"/>
        <v>15</v>
      </c>
      <c r="B1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3" s="1" t="s">
        <v>1967</v>
      </c>
      <c r="D133" s="1" t="s">
        <v>1968</v>
      </c>
      <c r="E133" s="1" t="s">
        <v>1969</v>
      </c>
      <c r="F133" s="1" t="s">
        <v>112</v>
      </c>
      <c r="G133" s="1">
        <v>1661695</v>
      </c>
    </row>
    <row r="134" spans="1:7" x14ac:dyDescent="0.35">
      <c r="A134" s="1" t="str">
        <f t="shared" si="2"/>
        <v>15</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4" s="1" t="s">
        <v>1970</v>
      </c>
      <c r="D134" s="1" t="s">
        <v>1971</v>
      </c>
      <c r="E134" s="1" t="s">
        <v>1972</v>
      </c>
      <c r="F134" s="1" t="s">
        <v>112</v>
      </c>
      <c r="G134" s="1">
        <v>3829768</v>
      </c>
    </row>
    <row r="135" spans="1:7" x14ac:dyDescent="0.35">
      <c r="A135" s="1" t="str">
        <f t="shared" si="2"/>
        <v>15</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5" s="1" t="s">
        <v>1973</v>
      </c>
      <c r="D135" s="1" t="s">
        <v>1974</v>
      </c>
      <c r="E135" s="1" t="s">
        <v>1975</v>
      </c>
      <c r="F135" s="1" t="s">
        <v>112</v>
      </c>
      <c r="G135" s="1">
        <v>4000211</v>
      </c>
    </row>
    <row r="136" spans="1:7" x14ac:dyDescent="0.35">
      <c r="A136" s="1" t="str">
        <f t="shared" si="2"/>
        <v>15</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6" s="1" t="s">
        <v>1976</v>
      </c>
      <c r="D136" s="1" t="s">
        <v>1977</v>
      </c>
      <c r="E136" s="1" t="s">
        <v>1978</v>
      </c>
      <c r="F136" s="1" t="s">
        <v>112</v>
      </c>
      <c r="G136" s="1">
        <v>4045980</v>
      </c>
    </row>
    <row r="137" spans="1:7" x14ac:dyDescent="0.35">
      <c r="A137" s="1" t="str">
        <f t="shared" si="2"/>
        <v>15</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7" s="1" t="s">
        <v>1979</v>
      </c>
      <c r="D137" s="1" t="s">
        <v>1980</v>
      </c>
      <c r="E137" s="1" t="s">
        <v>1981</v>
      </c>
      <c r="F137" s="1" t="s">
        <v>112</v>
      </c>
      <c r="G137" s="1">
        <v>4016131</v>
      </c>
    </row>
    <row r="138" spans="1:7" x14ac:dyDescent="0.35">
      <c r="A138" s="1" t="str">
        <f t="shared" si="2"/>
        <v>15</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8" s="1" t="s">
        <v>1982</v>
      </c>
      <c r="D138" s="1" t="s">
        <v>1983</v>
      </c>
      <c r="E138" s="1" t="s">
        <v>1984</v>
      </c>
      <c r="F138" s="1" t="s">
        <v>112</v>
      </c>
      <c r="G138" s="1">
        <v>2959727</v>
      </c>
    </row>
    <row r="139" spans="1:7" x14ac:dyDescent="0.35">
      <c r="A139" s="1" t="str">
        <f t="shared" si="2"/>
        <v>15</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9" s="1" t="s">
        <v>1985</v>
      </c>
      <c r="D139" s="1" t="s">
        <v>1986</v>
      </c>
      <c r="E139" s="1" t="s">
        <v>1987</v>
      </c>
      <c r="F139" s="1" t="s">
        <v>112</v>
      </c>
      <c r="G139" s="1">
        <v>2953973</v>
      </c>
    </row>
    <row r="140" spans="1:7" x14ac:dyDescent="0.35">
      <c r="A140" s="1" t="str">
        <f t="shared" si="2"/>
        <v>15</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0" s="1" t="s">
        <v>1988</v>
      </c>
      <c r="D140" s="1" t="s">
        <v>1989</v>
      </c>
      <c r="E140" s="1" t="s">
        <v>1990</v>
      </c>
      <c r="F140" s="1" t="s">
        <v>112</v>
      </c>
      <c r="G140" s="1">
        <v>2347190</v>
      </c>
    </row>
    <row r="141" spans="1:7" x14ac:dyDescent="0.35">
      <c r="A141" s="1" t="str">
        <f t="shared" si="2"/>
        <v>15</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1" s="1" t="s">
        <v>1991</v>
      </c>
      <c r="D141" s="1" t="s">
        <v>1992</v>
      </c>
      <c r="E141" s="1" t="s">
        <v>1993</v>
      </c>
      <c r="F141" s="1" t="s">
        <v>112</v>
      </c>
      <c r="G141" s="1">
        <v>2195780</v>
      </c>
    </row>
    <row r="142" spans="1:7" x14ac:dyDescent="0.35">
      <c r="A142" s="1" t="str">
        <f t="shared" si="2"/>
        <v>15</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2" s="1" t="s">
        <v>1994</v>
      </c>
      <c r="D142" s="1" t="s">
        <v>1995</v>
      </c>
      <c r="E142" s="1" t="s">
        <v>1996</v>
      </c>
      <c r="F142" s="1" t="s">
        <v>112</v>
      </c>
      <c r="G142" s="1">
        <v>3905234</v>
      </c>
    </row>
    <row r="143" spans="1:7" x14ac:dyDescent="0.35">
      <c r="A143" s="1" t="str">
        <f t="shared" si="2"/>
        <v>15</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3" s="1" t="s">
        <v>1997</v>
      </c>
      <c r="D143" s="1" t="s">
        <v>1998</v>
      </c>
      <c r="E143" s="1" t="s">
        <v>1999</v>
      </c>
      <c r="F143" s="1" t="s">
        <v>112</v>
      </c>
      <c r="G143" s="1">
        <v>4651228</v>
      </c>
    </row>
    <row r="144" spans="1:7" x14ac:dyDescent="0.35">
      <c r="A144" s="1" t="str">
        <f t="shared" si="2"/>
        <v>15</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4" s="1" t="s">
        <v>2000</v>
      </c>
      <c r="D144" s="1" t="s">
        <v>1974</v>
      </c>
      <c r="E144" s="1" t="s">
        <v>2001</v>
      </c>
      <c r="F144" s="1" t="s">
        <v>112</v>
      </c>
      <c r="G144" s="1">
        <v>4306339</v>
      </c>
    </row>
    <row r="145" spans="1:8" x14ac:dyDescent="0.35">
      <c r="A145" s="1" t="str">
        <f t="shared" si="2"/>
        <v>15</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5" s="1" t="s">
        <v>2002</v>
      </c>
      <c r="D145" s="1" t="s">
        <v>2003</v>
      </c>
      <c r="E145" s="1" t="s">
        <v>2004</v>
      </c>
      <c r="F145" s="1" t="s">
        <v>112</v>
      </c>
      <c r="G145" s="1">
        <v>4084438</v>
      </c>
    </row>
    <row r="146" spans="1:8" x14ac:dyDescent="0.35">
      <c r="A146" s="1" t="str">
        <f t="shared" si="2"/>
        <v>15</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6" s="1" t="s">
        <v>2005</v>
      </c>
    </row>
    <row r="147" spans="1:8" x14ac:dyDescent="0.35">
      <c r="A147" s="1" t="str">
        <f t="shared" si="2"/>
        <v>15</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7" s="1" t="s">
        <v>2006</v>
      </c>
    </row>
    <row r="148" spans="1:8" x14ac:dyDescent="0.35">
      <c r="A148" s="1" t="str">
        <f t="shared" si="2"/>
        <v>15</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8" s="1" t="s">
        <v>2007</v>
      </c>
    </row>
    <row r="149" spans="1:8" x14ac:dyDescent="0.35">
      <c r="A149" s="1" t="str">
        <f t="shared" si="2"/>
        <v>15</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2008</v>
      </c>
    </row>
    <row r="150" spans="1:8" x14ac:dyDescent="0.35">
      <c r="A150" s="1" t="str">
        <f t="shared" si="2"/>
        <v>15</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0" s="1" t="s">
        <v>2009</v>
      </c>
      <c r="D150" s="1" t="s">
        <v>2010</v>
      </c>
      <c r="E150" s="1" t="s">
        <v>2011</v>
      </c>
      <c r="F150" s="1" t="s">
        <v>112</v>
      </c>
      <c r="G150" s="1">
        <v>2724328</v>
      </c>
    </row>
    <row r="151" spans="1:8" x14ac:dyDescent="0.35">
      <c r="A151" s="1" t="str">
        <f t="shared" si="2"/>
        <v>15</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1" s="1" t="s">
        <v>2012</v>
      </c>
      <c r="D151" s="1" t="s">
        <v>2013</v>
      </c>
      <c r="E151" s="1" t="s">
        <v>2014</v>
      </c>
      <c r="F151" s="1" t="s">
        <v>112</v>
      </c>
      <c r="G151" s="1">
        <v>2453349</v>
      </c>
    </row>
    <row r="152" spans="1:8" x14ac:dyDescent="0.35">
      <c r="A152" s="1" t="str">
        <f t="shared" si="2"/>
        <v>15</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2015</v>
      </c>
      <c r="D152" s="1" t="s">
        <v>2016</v>
      </c>
      <c r="E152" s="1" t="s">
        <v>2017</v>
      </c>
      <c r="F152" s="1" t="s">
        <v>112</v>
      </c>
      <c r="G152" s="1">
        <v>2195067</v>
      </c>
    </row>
    <row r="153" spans="1:8" x14ac:dyDescent="0.35">
      <c r="A153" s="1" t="str">
        <f t="shared" si="2"/>
        <v>15</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2018</v>
      </c>
      <c r="D153" s="1" t="s">
        <v>2019</v>
      </c>
      <c r="E153" s="1" t="s">
        <v>2020</v>
      </c>
      <c r="F153" s="1" t="s">
        <v>112</v>
      </c>
      <c r="G153" s="1">
        <v>2033946</v>
      </c>
    </row>
    <row r="154" spans="1:8" x14ac:dyDescent="0.35">
      <c r="A154" s="1" t="str">
        <f t="shared" si="2"/>
        <v>15</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4" s="1" t="s">
        <v>2021</v>
      </c>
    </row>
    <row r="155" spans="1:8" x14ac:dyDescent="0.35">
      <c r="A155" s="1" t="str">
        <f t="shared" si="2"/>
        <v>15</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2022</v>
      </c>
    </row>
    <row r="156" spans="1:8" x14ac:dyDescent="0.35">
      <c r="A156" s="1" t="str">
        <f t="shared" si="2"/>
        <v>15</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2023</v>
      </c>
      <c r="D156" s="1" t="s">
        <v>2024</v>
      </c>
      <c r="E156" s="1" t="s">
        <v>2025</v>
      </c>
      <c r="F156" s="1" t="s">
        <v>112</v>
      </c>
      <c r="G156" s="1">
        <v>1589473</v>
      </c>
    </row>
    <row r="157" spans="1:8" x14ac:dyDescent="0.35">
      <c r="A157" s="1" t="str">
        <f t="shared" si="2"/>
        <v>15</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2026</v>
      </c>
      <c r="D157" s="1" t="s">
        <v>2027</v>
      </c>
      <c r="E157" s="1" t="s">
        <v>2028</v>
      </c>
      <c r="F157" s="1" t="s">
        <v>112</v>
      </c>
      <c r="G157" s="1">
        <v>1490732</v>
      </c>
    </row>
    <row r="158" spans="1:8"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8"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242</v>
      </c>
      <c r="D159" s="1" t="s">
        <v>112</v>
      </c>
      <c r="E159" s="1" t="s">
        <v>243</v>
      </c>
      <c r="F159" s="1" t="s">
        <v>244</v>
      </c>
      <c r="G159" s="1" t="s">
        <v>245</v>
      </c>
      <c r="H159" s="1" t="s">
        <v>246</v>
      </c>
    </row>
    <row r="160" spans="1:8" x14ac:dyDescent="0.35">
      <c r="A160" s="1" t="str">
        <f t="shared" si="2"/>
        <v>15</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2029</v>
      </c>
      <c r="D160" s="1" t="s">
        <v>112</v>
      </c>
      <c r="E160" s="1" t="s">
        <v>2030</v>
      </c>
      <c r="F160" s="1" t="s">
        <v>2031</v>
      </c>
      <c r="G160" s="1" t="s">
        <v>2032</v>
      </c>
      <c r="H160" s="1" t="s">
        <v>2033</v>
      </c>
    </row>
    <row r="161" spans="1:7"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172</v>
      </c>
      <c r="D166" s="1" t="s">
        <v>110</v>
      </c>
      <c r="E166" s="1" t="s">
        <v>111</v>
      </c>
      <c r="F166" s="1" t="s">
        <v>112</v>
      </c>
      <c r="G166" s="1" t="s">
        <v>113</v>
      </c>
    </row>
    <row r="167" spans="1:7" x14ac:dyDescent="0.35">
      <c r="A167" s="1" t="str">
        <f t="shared" si="2"/>
        <v>16</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2034</v>
      </c>
      <c r="D167" s="1" t="s">
        <v>533</v>
      </c>
      <c r="E167" s="1" t="s">
        <v>2035</v>
      </c>
      <c r="F167" s="1" t="s">
        <v>112</v>
      </c>
      <c r="G167" s="1">
        <v>75012</v>
      </c>
    </row>
    <row r="168" spans="1:7" x14ac:dyDescent="0.35">
      <c r="A168" s="1" t="str">
        <f t="shared" si="2"/>
        <v>16</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2036</v>
      </c>
      <c r="D168" s="1" t="s">
        <v>2037</v>
      </c>
      <c r="E168" s="1" t="s">
        <v>2038</v>
      </c>
      <c r="F168" s="1" t="s">
        <v>112</v>
      </c>
      <c r="G168" s="1">
        <v>47456</v>
      </c>
    </row>
    <row r="169" spans="1:7" x14ac:dyDescent="0.35">
      <c r="A169" s="1" t="str">
        <f t="shared" si="2"/>
        <v>16</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2039</v>
      </c>
      <c r="D169" s="1">
        <v>0</v>
      </c>
      <c r="E169" s="1">
        <v>0</v>
      </c>
      <c r="F169" s="1" t="s">
        <v>112</v>
      </c>
      <c r="G169" s="1">
        <v>0</v>
      </c>
    </row>
    <row r="170" spans="1:7" x14ac:dyDescent="0.35">
      <c r="A170" s="1" t="str">
        <f t="shared" si="2"/>
        <v>16</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70" s="1" t="s">
        <v>2040</v>
      </c>
      <c r="D170" s="1" t="s">
        <v>1552</v>
      </c>
      <c r="E170" s="1" t="s">
        <v>2041</v>
      </c>
      <c r="F170" s="1" t="s">
        <v>112</v>
      </c>
      <c r="G170" s="1">
        <v>149830</v>
      </c>
    </row>
    <row r="171" spans="1:7" x14ac:dyDescent="0.35">
      <c r="A171" s="1" t="str">
        <f t="shared" si="2"/>
        <v>16</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2042</v>
      </c>
      <c r="D171" s="1" t="s">
        <v>2043</v>
      </c>
      <c r="E171" s="1" t="s">
        <v>2044</v>
      </c>
      <c r="F171" s="1" t="s">
        <v>112</v>
      </c>
      <c r="G171" s="1">
        <v>276992</v>
      </c>
    </row>
    <row r="172" spans="1:7" x14ac:dyDescent="0.35">
      <c r="A172" s="1" t="str">
        <f t="shared" si="2"/>
        <v>16</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2045</v>
      </c>
      <c r="D172" s="1" t="s">
        <v>2046</v>
      </c>
      <c r="E172" s="1" t="s">
        <v>2047</v>
      </c>
      <c r="F172" s="1" t="s">
        <v>112</v>
      </c>
      <c r="G172" s="1">
        <v>283741</v>
      </c>
    </row>
    <row r="173" spans="1:7" x14ac:dyDescent="0.35">
      <c r="A173" s="1" t="str">
        <f t="shared" si="2"/>
        <v>16</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3" s="1" t="s">
        <v>2048</v>
      </c>
      <c r="D173" s="1" t="s">
        <v>619</v>
      </c>
      <c r="E173" s="1" t="s">
        <v>2049</v>
      </c>
      <c r="F173" s="1" t="s">
        <v>112</v>
      </c>
      <c r="G173" s="1">
        <v>360830</v>
      </c>
    </row>
    <row r="174" spans="1:7" x14ac:dyDescent="0.35">
      <c r="A174" s="1" t="str">
        <f t="shared" si="2"/>
        <v>16</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4" s="1" t="s">
        <v>2050</v>
      </c>
      <c r="D174" s="1" t="s">
        <v>2051</v>
      </c>
      <c r="E174" s="1" t="s">
        <v>2052</v>
      </c>
      <c r="F174" s="1" t="s">
        <v>112</v>
      </c>
      <c r="G174" s="1">
        <v>321442</v>
      </c>
    </row>
    <row r="175" spans="1:7" x14ac:dyDescent="0.35">
      <c r="A175" s="1" t="str">
        <f t="shared" si="2"/>
        <v>16</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2053</v>
      </c>
      <c r="D175" s="1" t="s">
        <v>305</v>
      </c>
      <c r="E175" s="1" t="s">
        <v>2054</v>
      </c>
      <c r="F175" s="1" t="s">
        <v>112</v>
      </c>
      <c r="G175" s="1">
        <v>19510</v>
      </c>
    </row>
    <row r="176" spans="1:7" x14ac:dyDescent="0.35">
      <c r="A176" s="1" t="str">
        <f t="shared" si="2"/>
        <v>16</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6" s="1" t="s">
        <v>2055</v>
      </c>
      <c r="D176" s="1" t="s">
        <v>1677</v>
      </c>
      <c r="E176" s="1" t="s">
        <v>2056</v>
      </c>
      <c r="F176" s="1" t="s">
        <v>112</v>
      </c>
      <c r="G176" s="1">
        <v>5948</v>
      </c>
    </row>
    <row r="177" spans="1:7" x14ac:dyDescent="0.35">
      <c r="A177" s="1" t="str">
        <f t="shared" si="2"/>
        <v>16</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7" s="1" t="s">
        <v>2057</v>
      </c>
      <c r="D177" s="1" t="s">
        <v>2058</v>
      </c>
      <c r="E177" s="1" t="s">
        <v>2059</v>
      </c>
      <c r="F177" s="1" t="s">
        <v>112</v>
      </c>
      <c r="G177" s="1">
        <v>107501</v>
      </c>
    </row>
    <row r="178" spans="1:7" x14ac:dyDescent="0.35">
      <c r="A178" s="1" t="str">
        <f t="shared" si="2"/>
        <v>16</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8" s="1" t="s">
        <v>2060</v>
      </c>
      <c r="D178" s="1" t="s">
        <v>2061</v>
      </c>
      <c r="E178" s="1" t="s">
        <v>2062</v>
      </c>
      <c r="F178" s="1" t="s">
        <v>112</v>
      </c>
      <c r="G178" s="1">
        <v>70686</v>
      </c>
    </row>
    <row r="179" spans="1:7" x14ac:dyDescent="0.35">
      <c r="A179" s="1" t="str">
        <f t="shared" si="2"/>
        <v>16</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9" s="1" t="s">
        <v>2063</v>
      </c>
      <c r="D179" s="1" t="s">
        <v>472</v>
      </c>
      <c r="E179" s="1" t="s">
        <v>2064</v>
      </c>
      <c r="F179" s="1" t="s">
        <v>112</v>
      </c>
      <c r="G179" s="1">
        <v>178858</v>
      </c>
    </row>
    <row r="180" spans="1:7" x14ac:dyDescent="0.35">
      <c r="A180" s="1" t="str">
        <f t="shared" si="2"/>
        <v>16</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80" s="1" t="s">
        <v>2065</v>
      </c>
      <c r="D180" s="1" t="s">
        <v>1069</v>
      </c>
      <c r="E180" s="1" t="s">
        <v>2066</v>
      </c>
      <c r="F180" s="1" t="s">
        <v>112</v>
      </c>
      <c r="G180" s="1">
        <v>194020</v>
      </c>
    </row>
    <row r="181" spans="1:7" x14ac:dyDescent="0.35">
      <c r="A181" s="1" t="str">
        <f t="shared" si="2"/>
        <v>16</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81" s="1" t="s">
        <v>2067</v>
      </c>
      <c r="D181" s="1" t="s">
        <v>600</v>
      </c>
      <c r="E181" s="1" t="s">
        <v>2068</v>
      </c>
      <c r="F181" s="1" t="s">
        <v>112</v>
      </c>
      <c r="G181" s="1">
        <v>165836</v>
      </c>
    </row>
    <row r="182" spans="1:7" x14ac:dyDescent="0.35">
      <c r="A182" s="1" t="str">
        <f t="shared" si="2"/>
        <v>16</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82" s="1" t="s">
        <v>2069</v>
      </c>
      <c r="D182" s="1" t="s">
        <v>2070</v>
      </c>
      <c r="E182" s="1" t="s">
        <v>2071</v>
      </c>
      <c r="F182" s="1" t="s">
        <v>112</v>
      </c>
      <c r="G182" s="1">
        <v>167545</v>
      </c>
    </row>
    <row r="183" spans="1:7" x14ac:dyDescent="0.35">
      <c r="A183" s="1" t="str">
        <f t="shared" si="2"/>
        <v>16</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3" s="1" t="s">
        <v>2072</v>
      </c>
      <c r="D183" s="1" t="s">
        <v>2073</v>
      </c>
      <c r="E183" s="1" t="s">
        <v>2074</v>
      </c>
      <c r="F183" s="1" t="s">
        <v>112</v>
      </c>
      <c r="G183" s="1">
        <v>485570</v>
      </c>
    </row>
    <row r="184" spans="1:7" x14ac:dyDescent="0.35">
      <c r="A184" s="1" t="str">
        <f t="shared" si="2"/>
        <v>16</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4" s="1" t="s">
        <v>2075</v>
      </c>
      <c r="D184" s="1" t="s">
        <v>2076</v>
      </c>
      <c r="E184" s="1" t="s">
        <v>2077</v>
      </c>
      <c r="F184" s="1" t="s">
        <v>112</v>
      </c>
      <c r="G184" s="1">
        <v>238145</v>
      </c>
    </row>
    <row r="185" spans="1:7" x14ac:dyDescent="0.35">
      <c r="A185" s="1" t="str">
        <f t="shared" si="2"/>
        <v>16</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5" s="1" t="s">
        <v>2078</v>
      </c>
      <c r="D185" s="1" t="s">
        <v>2079</v>
      </c>
      <c r="E185" s="1" t="s">
        <v>2080</v>
      </c>
      <c r="F185" s="1" t="s">
        <v>112</v>
      </c>
      <c r="G185" s="1">
        <v>569926</v>
      </c>
    </row>
    <row r="186" spans="1:7" x14ac:dyDescent="0.35">
      <c r="A186" s="1" t="str">
        <f t="shared" si="2"/>
        <v>16</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6" s="1" t="s">
        <v>2081</v>
      </c>
    </row>
    <row r="187" spans="1:7" x14ac:dyDescent="0.35">
      <c r="A187" s="1" t="str">
        <f t="shared" si="2"/>
        <v>16</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7" s="1" t="s">
        <v>2082</v>
      </c>
      <c r="D187" s="1" t="s">
        <v>2083</v>
      </c>
      <c r="E187" s="1" t="s">
        <v>2084</v>
      </c>
      <c r="F187" s="1" t="s">
        <v>112</v>
      </c>
      <c r="G187" s="1">
        <v>370412</v>
      </c>
    </row>
    <row r="188" spans="1:7" x14ac:dyDescent="0.35">
      <c r="A188" s="1" t="str">
        <f t="shared" si="2"/>
        <v>16</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8" s="1" t="s">
        <v>2085</v>
      </c>
    </row>
    <row r="189" spans="1:7" x14ac:dyDescent="0.35">
      <c r="A189" s="1" t="str">
        <f t="shared" si="2"/>
        <v>16</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9" s="1" t="s">
        <v>2086</v>
      </c>
    </row>
    <row r="190" spans="1:7" x14ac:dyDescent="0.35">
      <c r="A190" s="1" t="str">
        <f t="shared" si="2"/>
        <v>16</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0" s="1" t="s">
        <v>2087</v>
      </c>
    </row>
    <row r="191" spans="1:7" x14ac:dyDescent="0.35">
      <c r="A191" s="1" t="str">
        <f t="shared" si="2"/>
        <v>16</v>
      </c>
      <c r="B1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1" s="1" t="s">
        <v>2088</v>
      </c>
      <c r="D191" s="1" t="s">
        <v>465</v>
      </c>
      <c r="E191" s="1" t="s">
        <v>2089</v>
      </c>
      <c r="F191" s="1" t="s">
        <v>112</v>
      </c>
      <c r="G191" s="1">
        <v>17390</v>
      </c>
    </row>
    <row r="192" spans="1:7" x14ac:dyDescent="0.35">
      <c r="A192" s="1" t="str">
        <f t="shared" si="2"/>
        <v>16</v>
      </c>
      <c r="B1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2" s="1" t="s">
        <v>2090</v>
      </c>
      <c r="D192" s="1">
        <v>0</v>
      </c>
      <c r="E192" s="1">
        <v>0</v>
      </c>
      <c r="F192" s="1" t="s">
        <v>112</v>
      </c>
      <c r="G192" s="1">
        <v>0</v>
      </c>
    </row>
    <row r="193" spans="1:8" x14ac:dyDescent="0.35">
      <c r="A193" s="1" t="str">
        <f t="shared" si="2"/>
        <v>16</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3" s="1" t="s">
        <v>2091</v>
      </c>
      <c r="D193" s="1" t="s">
        <v>2092</v>
      </c>
      <c r="E193" s="1" t="s">
        <v>2093</v>
      </c>
      <c r="F193" s="1" t="s">
        <v>112</v>
      </c>
      <c r="G193" s="1">
        <v>4867</v>
      </c>
    </row>
    <row r="194" spans="1:8" x14ac:dyDescent="0.35">
      <c r="A194" s="1" t="str">
        <f t="shared" ref="A194:A257" si="3">IFERROR(LEFT(RIGHT(C194,LEN(C194)-SEARCH("@",C194)),SEARCH("/",RIGHT(C194,LEN(C194)-SEARCH("@",C194)-1))),"")</f>
        <v>16</v>
      </c>
      <c r="B1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4" s="1" t="s">
        <v>2094</v>
      </c>
      <c r="D194" s="1" t="s">
        <v>2095</v>
      </c>
      <c r="E194" s="1" t="s">
        <v>2096</v>
      </c>
      <c r="F194" s="1" t="s">
        <v>112</v>
      </c>
      <c r="G194" s="1">
        <v>31601</v>
      </c>
    </row>
    <row r="195" spans="1:8" x14ac:dyDescent="0.35">
      <c r="A195" s="1" t="str">
        <f t="shared" si="3"/>
        <v>16</v>
      </c>
      <c r="B1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5" s="1" t="s">
        <v>2097</v>
      </c>
      <c r="D195" s="1" t="s">
        <v>1549</v>
      </c>
      <c r="E195" s="1" t="s">
        <v>2098</v>
      </c>
      <c r="F195" s="1" t="s">
        <v>112</v>
      </c>
      <c r="G195" s="1">
        <v>140811</v>
      </c>
    </row>
    <row r="196" spans="1:8" x14ac:dyDescent="0.35">
      <c r="A196" s="1" t="str">
        <f t="shared" si="3"/>
        <v>16</v>
      </c>
      <c r="B1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6" s="1" t="s">
        <v>2099</v>
      </c>
      <c r="D196" s="1" t="s">
        <v>2100</v>
      </c>
      <c r="E196" s="1" t="s">
        <v>2101</v>
      </c>
      <c r="F196" s="1" t="s">
        <v>112</v>
      </c>
      <c r="G196" s="1">
        <v>395568</v>
      </c>
    </row>
    <row r="197" spans="1:8" x14ac:dyDescent="0.35">
      <c r="A197" s="1" t="str">
        <f t="shared" si="3"/>
        <v>16</v>
      </c>
      <c r="B1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7" s="1" t="s">
        <v>2102</v>
      </c>
      <c r="D197" s="1">
        <v>0</v>
      </c>
      <c r="E197" s="1">
        <v>0</v>
      </c>
      <c r="F197" s="1" t="s">
        <v>112</v>
      </c>
      <c r="G197" s="1">
        <v>0</v>
      </c>
    </row>
    <row r="198" spans="1:8" x14ac:dyDescent="0.35">
      <c r="A198" s="1" t="str">
        <f t="shared" si="3"/>
        <v>16</v>
      </c>
      <c r="B1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8" s="1" t="s">
        <v>2103</v>
      </c>
      <c r="D198" s="1" t="s">
        <v>2104</v>
      </c>
      <c r="E198" s="1" t="s">
        <v>2105</v>
      </c>
      <c r="F198" s="1" t="s">
        <v>112</v>
      </c>
      <c r="G198" s="1">
        <v>203775</v>
      </c>
    </row>
    <row r="199" spans="1:8"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112</v>
      </c>
    </row>
    <row r="200" spans="1:8"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0" s="1" t="s">
        <v>242</v>
      </c>
      <c r="D200" s="1" t="s">
        <v>112</v>
      </c>
      <c r="E200" s="1" t="s">
        <v>243</v>
      </c>
      <c r="F200" s="1" t="s">
        <v>244</v>
      </c>
      <c r="G200" s="1" t="s">
        <v>245</v>
      </c>
      <c r="H200" s="1" t="s">
        <v>246</v>
      </c>
    </row>
    <row r="201" spans="1:8" x14ac:dyDescent="0.35">
      <c r="A201" s="1" t="str">
        <f t="shared" si="3"/>
        <v>16</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01" s="1" t="s">
        <v>2106</v>
      </c>
      <c r="D201" s="1" t="s">
        <v>112</v>
      </c>
      <c r="E201" s="1" t="s">
        <v>2107</v>
      </c>
      <c r="F201" s="1" t="s">
        <v>2108</v>
      </c>
      <c r="G201" s="1" t="s">
        <v>2109</v>
      </c>
      <c r="H201" s="1" t="s">
        <v>2110</v>
      </c>
    </row>
    <row r="202" spans="1:8" x14ac:dyDescent="0.35">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2" s="1" t="s">
        <v>112</v>
      </c>
    </row>
    <row r="203" spans="1:8" x14ac:dyDescent="0.35">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3" s="1" t="s">
        <v>112</v>
      </c>
    </row>
    <row r="204" spans="1:8" x14ac:dyDescent="0.35">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4" s="1" t="s">
        <v>112</v>
      </c>
    </row>
    <row r="205" spans="1:8" x14ac:dyDescent="0.35">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5" s="1" t="s">
        <v>112</v>
      </c>
    </row>
    <row r="206" spans="1:8" x14ac:dyDescent="0.35">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6" s="1" t="s">
        <v>112</v>
      </c>
    </row>
    <row r="207" spans="1:8" x14ac:dyDescent="0.35">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7" s="1" t="s">
        <v>172</v>
      </c>
      <c r="D207" s="1" t="s">
        <v>110</v>
      </c>
      <c r="E207" s="1" t="s">
        <v>111</v>
      </c>
      <c r="F207" s="1" t="s">
        <v>112</v>
      </c>
      <c r="G207" s="1" t="s">
        <v>113</v>
      </c>
    </row>
    <row r="208" spans="1:8" x14ac:dyDescent="0.35">
      <c r="A208" s="1" t="str">
        <f t="shared" si="3"/>
        <v>2</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8" s="1" t="s">
        <v>2111</v>
      </c>
      <c r="D208" s="1" t="s">
        <v>2112</v>
      </c>
      <c r="E208" s="1" t="s">
        <v>2113</v>
      </c>
      <c r="F208" s="1" t="s">
        <v>112</v>
      </c>
      <c r="G208" s="1">
        <v>82150</v>
      </c>
    </row>
    <row r="209" spans="1:7" x14ac:dyDescent="0.35">
      <c r="A209" s="1" t="str">
        <f t="shared" si="3"/>
        <v>2</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9" s="1" t="s">
        <v>2114</v>
      </c>
      <c r="D209" s="1" t="s">
        <v>2115</v>
      </c>
      <c r="E209" s="1">
        <v>34</v>
      </c>
      <c r="F209" s="1" t="s">
        <v>112</v>
      </c>
      <c r="G209" s="1">
        <v>56627</v>
      </c>
    </row>
    <row r="210" spans="1:7" x14ac:dyDescent="0.35">
      <c r="A210" s="1" t="str">
        <f t="shared" si="3"/>
        <v>2</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10" s="1" t="s">
        <v>2116</v>
      </c>
      <c r="D210" s="1" t="s">
        <v>530</v>
      </c>
      <c r="E210" s="1" t="s">
        <v>2117</v>
      </c>
      <c r="F210" s="1" t="s">
        <v>112</v>
      </c>
      <c r="G210" s="1">
        <v>3504</v>
      </c>
    </row>
    <row r="211" spans="1:7" x14ac:dyDescent="0.35">
      <c r="A211" s="1" t="str">
        <f t="shared" si="3"/>
        <v>2</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11" s="1" t="s">
        <v>2118</v>
      </c>
      <c r="D211" s="1" t="s">
        <v>1703</v>
      </c>
      <c r="E211" s="1" t="s">
        <v>2119</v>
      </c>
      <c r="F211" s="1" t="s">
        <v>112</v>
      </c>
      <c r="G211" s="1">
        <v>55199</v>
      </c>
    </row>
    <row r="212" spans="1:7" x14ac:dyDescent="0.35">
      <c r="A212" s="1" t="str">
        <f t="shared" si="3"/>
        <v>2</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2" s="1" t="s">
        <v>2120</v>
      </c>
      <c r="D212" s="1" t="s">
        <v>2121</v>
      </c>
      <c r="E212" s="1" t="s">
        <v>2122</v>
      </c>
      <c r="F212" s="1" t="s">
        <v>112</v>
      </c>
      <c r="G212" s="1">
        <v>130601</v>
      </c>
    </row>
    <row r="213" spans="1:7" x14ac:dyDescent="0.35">
      <c r="A213" s="1" t="str">
        <f t="shared" si="3"/>
        <v>2</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3" s="1" t="s">
        <v>2123</v>
      </c>
      <c r="D213" s="1" t="s">
        <v>2124</v>
      </c>
      <c r="E213" s="1" t="s">
        <v>2125</v>
      </c>
      <c r="F213" s="1" t="s">
        <v>112</v>
      </c>
      <c r="G213" s="1">
        <v>11853</v>
      </c>
    </row>
    <row r="214" spans="1:7" x14ac:dyDescent="0.35">
      <c r="A214" s="1" t="str">
        <f t="shared" si="3"/>
        <v>2</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4" s="1" t="s">
        <v>2126</v>
      </c>
      <c r="D214" s="1" t="s">
        <v>2127</v>
      </c>
      <c r="E214" s="1" t="s">
        <v>2128</v>
      </c>
      <c r="F214" s="1" t="s">
        <v>112</v>
      </c>
      <c r="G214" s="1">
        <v>287742</v>
      </c>
    </row>
    <row r="215" spans="1:7" x14ac:dyDescent="0.35">
      <c r="A215" s="1" t="str">
        <f t="shared" si="3"/>
        <v>2</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5" s="1" t="s">
        <v>2129</v>
      </c>
      <c r="D215" s="1" t="s">
        <v>237</v>
      </c>
      <c r="E215" s="1" t="s">
        <v>2130</v>
      </c>
      <c r="F215" s="1" t="s">
        <v>112</v>
      </c>
      <c r="G215" s="1">
        <v>95734</v>
      </c>
    </row>
    <row r="216" spans="1:7" x14ac:dyDescent="0.35">
      <c r="A216" s="1" t="str">
        <f t="shared" si="3"/>
        <v>2</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6" s="1" t="s">
        <v>2131</v>
      </c>
      <c r="D216" s="1" t="s">
        <v>2132</v>
      </c>
      <c r="E216" s="1" t="s">
        <v>2133</v>
      </c>
      <c r="F216" s="1" t="s">
        <v>112</v>
      </c>
      <c r="G216" s="1">
        <v>50679</v>
      </c>
    </row>
    <row r="217" spans="1:7" x14ac:dyDescent="0.35">
      <c r="A217" s="1" t="str">
        <f t="shared" si="3"/>
        <v>2</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7" s="1" t="s">
        <v>2134</v>
      </c>
      <c r="D217" s="1" t="s">
        <v>1597</v>
      </c>
      <c r="E217" s="1" t="s">
        <v>2135</v>
      </c>
      <c r="F217" s="1" t="s">
        <v>112</v>
      </c>
      <c r="G217" s="1">
        <v>69302</v>
      </c>
    </row>
    <row r="218" spans="1:7" x14ac:dyDescent="0.35">
      <c r="A218" s="1" t="str">
        <f t="shared" si="3"/>
        <v>2</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8" s="1" t="s">
        <v>2136</v>
      </c>
      <c r="D218" s="1" t="s">
        <v>997</v>
      </c>
      <c r="E218" s="1" t="s">
        <v>2137</v>
      </c>
      <c r="F218" s="1" t="s">
        <v>112</v>
      </c>
      <c r="G218" s="1">
        <v>7938</v>
      </c>
    </row>
    <row r="219" spans="1:7" x14ac:dyDescent="0.35">
      <c r="A219" s="1" t="str">
        <f t="shared" si="3"/>
        <v>2</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9" s="1" t="s">
        <v>2138</v>
      </c>
      <c r="D219" s="1" t="s">
        <v>2139</v>
      </c>
      <c r="E219" s="1" t="s">
        <v>2140</v>
      </c>
      <c r="F219" s="1" t="s">
        <v>112</v>
      </c>
      <c r="G219" s="1">
        <v>75640</v>
      </c>
    </row>
    <row r="220" spans="1:7" x14ac:dyDescent="0.35">
      <c r="A220" s="1" t="str">
        <f t="shared" si="3"/>
        <v>2</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0" s="1" t="s">
        <v>2141</v>
      </c>
      <c r="D220" s="1" t="s">
        <v>1620</v>
      </c>
      <c r="E220" s="1" t="s">
        <v>2142</v>
      </c>
      <c r="F220" s="1" t="s">
        <v>112</v>
      </c>
      <c r="G220" s="1">
        <v>84573</v>
      </c>
    </row>
    <row r="221" spans="1:7" x14ac:dyDescent="0.35">
      <c r="A221" s="1" t="str">
        <f t="shared" si="3"/>
        <v>2</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1" s="1" t="s">
        <v>2143</v>
      </c>
      <c r="D221" s="1" t="s">
        <v>1696</v>
      </c>
      <c r="E221" s="1" t="s">
        <v>2144</v>
      </c>
      <c r="F221" s="1" t="s">
        <v>112</v>
      </c>
      <c r="G221" s="1">
        <v>45639</v>
      </c>
    </row>
    <row r="222" spans="1:7" x14ac:dyDescent="0.35">
      <c r="A222" s="1" t="str">
        <f t="shared" si="3"/>
        <v>2</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2" s="1" t="s">
        <v>2145</v>
      </c>
      <c r="D222" s="1" t="s">
        <v>2146</v>
      </c>
      <c r="E222" s="1" t="s">
        <v>2147</v>
      </c>
      <c r="F222" s="1" t="s">
        <v>112</v>
      </c>
      <c r="G222" s="1">
        <v>168562</v>
      </c>
    </row>
    <row r="223" spans="1:7" x14ac:dyDescent="0.35">
      <c r="A223" s="1" t="str">
        <f t="shared" si="3"/>
        <v>2</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3" s="1" t="s">
        <v>2148</v>
      </c>
      <c r="D223" s="1" t="s">
        <v>530</v>
      </c>
      <c r="E223" s="1" t="s">
        <v>2149</v>
      </c>
      <c r="F223" s="1" t="s">
        <v>112</v>
      </c>
      <c r="G223" s="1">
        <v>3309</v>
      </c>
    </row>
    <row r="224" spans="1:7" x14ac:dyDescent="0.35">
      <c r="A224" s="1" t="str">
        <f t="shared" si="3"/>
        <v>2</v>
      </c>
      <c r="B2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4" s="1" t="s">
        <v>2150</v>
      </c>
      <c r="D224" s="1" t="s">
        <v>229</v>
      </c>
      <c r="E224" s="1">
        <v>30</v>
      </c>
      <c r="F224" s="1" t="s">
        <v>112</v>
      </c>
      <c r="G224" s="1">
        <v>649</v>
      </c>
    </row>
    <row r="225" spans="1:7" x14ac:dyDescent="0.35">
      <c r="A225" s="1" t="str">
        <f t="shared" si="3"/>
        <v>2</v>
      </c>
      <c r="B2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5" s="1" t="s">
        <v>2151</v>
      </c>
      <c r="D225" s="1" t="s">
        <v>234</v>
      </c>
      <c r="E225" s="1">
        <v>30</v>
      </c>
      <c r="F225" s="1" t="s">
        <v>112</v>
      </c>
      <c r="G225" s="1">
        <v>1298</v>
      </c>
    </row>
    <row r="226" spans="1:7" x14ac:dyDescent="0.35">
      <c r="A226" s="1" t="str">
        <f t="shared" si="3"/>
        <v>2</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6" s="1" t="s">
        <v>2152</v>
      </c>
      <c r="D226" s="1" t="s">
        <v>1675</v>
      </c>
      <c r="E226" s="1">
        <v>30</v>
      </c>
      <c r="F226" s="1" t="s">
        <v>112</v>
      </c>
      <c r="G226" s="1">
        <v>1947</v>
      </c>
    </row>
    <row r="227" spans="1:7" x14ac:dyDescent="0.35">
      <c r="A227" s="1" t="str">
        <f t="shared" si="3"/>
        <v>2</v>
      </c>
      <c r="B2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7" s="1" t="s">
        <v>2153</v>
      </c>
      <c r="D227" s="1">
        <v>0</v>
      </c>
      <c r="E227" s="1">
        <v>0</v>
      </c>
      <c r="F227" s="1" t="s">
        <v>112</v>
      </c>
      <c r="G227" s="1">
        <v>0</v>
      </c>
    </row>
    <row r="228" spans="1:7" x14ac:dyDescent="0.35">
      <c r="A228" s="1" t="str">
        <f t="shared" si="3"/>
        <v>2</v>
      </c>
      <c r="B2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28" s="1" t="s">
        <v>2154</v>
      </c>
    </row>
    <row r="229" spans="1:7" x14ac:dyDescent="0.35">
      <c r="A229" s="1" t="str">
        <f t="shared" si="3"/>
        <v>2</v>
      </c>
      <c r="B2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29" s="1" t="s">
        <v>2155</v>
      </c>
    </row>
    <row r="230" spans="1:7" x14ac:dyDescent="0.35">
      <c r="A230" s="1" t="str">
        <f t="shared" si="3"/>
        <v>2</v>
      </c>
      <c r="B2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30" s="1" t="s">
        <v>2156</v>
      </c>
    </row>
    <row r="231" spans="1:7" x14ac:dyDescent="0.35">
      <c r="A231" s="1" t="str">
        <f t="shared" si="3"/>
        <v>2</v>
      </c>
      <c r="B2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31" s="1" t="s">
        <v>2157</v>
      </c>
    </row>
    <row r="232" spans="1:7" x14ac:dyDescent="0.35">
      <c r="A232" s="1" t="str">
        <f t="shared" si="3"/>
        <v>2</v>
      </c>
      <c r="B2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2" s="1" t="s">
        <v>2158</v>
      </c>
      <c r="D232" s="1" t="s">
        <v>2159</v>
      </c>
      <c r="E232" s="1" t="s">
        <v>2160</v>
      </c>
      <c r="F232" s="1" t="s">
        <v>112</v>
      </c>
      <c r="G232" s="1">
        <v>46072</v>
      </c>
    </row>
    <row r="233" spans="1:7" x14ac:dyDescent="0.35">
      <c r="A233" s="1" t="str">
        <f t="shared" si="3"/>
        <v>2</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3" s="1" t="s">
        <v>2161</v>
      </c>
      <c r="D233" s="1" t="s">
        <v>2162</v>
      </c>
      <c r="E233" s="1" t="s">
        <v>2163</v>
      </c>
      <c r="F233" s="1" t="s">
        <v>112</v>
      </c>
      <c r="G233" s="1">
        <v>95215</v>
      </c>
    </row>
    <row r="234" spans="1:7" x14ac:dyDescent="0.35">
      <c r="A234" s="1" t="str">
        <f t="shared" si="3"/>
        <v>2</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4" s="1" t="s">
        <v>2164</v>
      </c>
      <c r="D234" s="1" t="s">
        <v>519</v>
      </c>
      <c r="E234" s="1" t="s">
        <v>2165</v>
      </c>
      <c r="F234" s="1" t="s">
        <v>112</v>
      </c>
      <c r="G234" s="1">
        <v>129174</v>
      </c>
    </row>
    <row r="235" spans="1:7" x14ac:dyDescent="0.35">
      <c r="A235" s="1" t="str">
        <f t="shared" si="3"/>
        <v>2</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5" s="1" t="s">
        <v>2166</v>
      </c>
    </row>
    <row r="236" spans="1:7" x14ac:dyDescent="0.35">
      <c r="A236" s="1" t="str">
        <f t="shared" si="3"/>
        <v>2</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6" s="1" t="s">
        <v>2167</v>
      </c>
      <c r="D236" s="1" t="s">
        <v>2168</v>
      </c>
      <c r="E236" s="1" t="s">
        <v>2169</v>
      </c>
      <c r="F236" s="1" t="s">
        <v>112</v>
      </c>
      <c r="G236" s="1">
        <v>291722</v>
      </c>
    </row>
    <row r="237" spans="1:7" x14ac:dyDescent="0.35">
      <c r="A237" s="1" t="str">
        <f t="shared" si="3"/>
        <v>2</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7" s="1" t="s">
        <v>2170</v>
      </c>
      <c r="D237" s="1" t="s">
        <v>2171</v>
      </c>
      <c r="E237" s="1" t="s">
        <v>2172</v>
      </c>
      <c r="F237" s="1" t="s">
        <v>112</v>
      </c>
      <c r="G237" s="1">
        <v>241022</v>
      </c>
    </row>
    <row r="238" spans="1:7" x14ac:dyDescent="0.35">
      <c r="A238" s="1" t="str">
        <f t="shared" si="3"/>
        <v>2</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8" s="1" t="s">
        <v>2173</v>
      </c>
      <c r="D238" s="1">
        <v>0</v>
      </c>
      <c r="E238" s="1">
        <v>0</v>
      </c>
      <c r="F238" s="1" t="s">
        <v>112</v>
      </c>
      <c r="G238" s="1">
        <v>0</v>
      </c>
    </row>
    <row r="239" spans="1:7" x14ac:dyDescent="0.35">
      <c r="A239" s="1" t="str">
        <f t="shared" si="3"/>
        <v>2</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9" s="1" t="s">
        <v>2174</v>
      </c>
      <c r="D239" s="1" t="s">
        <v>2175</v>
      </c>
      <c r="E239" s="1" t="s">
        <v>2176</v>
      </c>
      <c r="F239" s="1" t="s">
        <v>112</v>
      </c>
      <c r="G239" s="1">
        <v>233062</v>
      </c>
    </row>
    <row r="240" spans="1:7" x14ac:dyDescent="0.35">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0" s="1" t="s">
        <v>112</v>
      </c>
    </row>
    <row r="241" spans="1:8" x14ac:dyDescent="0.35">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1" s="1" t="s">
        <v>242</v>
      </c>
      <c r="D241" s="1" t="s">
        <v>112</v>
      </c>
      <c r="E241" s="1" t="s">
        <v>243</v>
      </c>
      <c r="F241" s="1" t="s">
        <v>244</v>
      </c>
      <c r="G241" s="1" t="s">
        <v>245</v>
      </c>
      <c r="H241" s="1" t="s">
        <v>246</v>
      </c>
    </row>
    <row r="242" spans="1:8" x14ac:dyDescent="0.35">
      <c r="A242" s="1" t="str">
        <f t="shared" si="3"/>
        <v>2</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42" s="1" t="s">
        <v>2177</v>
      </c>
      <c r="D242" s="1" t="s">
        <v>112</v>
      </c>
      <c r="E242" s="1" t="s">
        <v>2178</v>
      </c>
      <c r="F242" s="1" t="s">
        <v>2179</v>
      </c>
      <c r="G242" s="1" t="s">
        <v>2180</v>
      </c>
      <c r="H242" s="1" t="s">
        <v>2181</v>
      </c>
    </row>
    <row r="243" spans="1:8" x14ac:dyDescent="0.35">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3" s="1" t="s">
        <v>112</v>
      </c>
    </row>
    <row r="244" spans="1:8" x14ac:dyDescent="0.35">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4" s="1" t="s">
        <v>112</v>
      </c>
    </row>
    <row r="245" spans="1:8" x14ac:dyDescent="0.35">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5" s="1" t="s">
        <v>112</v>
      </c>
    </row>
    <row r="246" spans="1:8" x14ac:dyDescent="0.35">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6" s="1" t="s">
        <v>112</v>
      </c>
    </row>
    <row r="247" spans="1:8" x14ac:dyDescent="0.35">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7" s="1" t="s">
        <v>112</v>
      </c>
    </row>
    <row r="248" spans="1:8" x14ac:dyDescent="0.35">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8" s="1" t="s">
        <v>172</v>
      </c>
      <c r="D248" s="1" t="s">
        <v>110</v>
      </c>
      <c r="E248" s="1" t="s">
        <v>111</v>
      </c>
      <c r="F248" s="1" t="s">
        <v>112</v>
      </c>
      <c r="G248" s="1" t="s">
        <v>113</v>
      </c>
    </row>
    <row r="249" spans="1:8" x14ac:dyDescent="0.35">
      <c r="A249" s="1" t="str">
        <f t="shared" si="3"/>
        <v>3</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49" s="1" t="s">
        <v>2182</v>
      </c>
      <c r="D249" s="1" t="s">
        <v>205</v>
      </c>
      <c r="E249" s="1">
        <v>31</v>
      </c>
      <c r="F249" s="1" t="s">
        <v>112</v>
      </c>
      <c r="G249" s="1">
        <v>8717</v>
      </c>
    </row>
    <row r="250" spans="1:8" x14ac:dyDescent="0.35">
      <c r="A250" s="1" t="str">
        <f t="shared" si="3"/>
        <v>3</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50" s="1" t="s">
        <v>2183</v>
      </c>
      <c r="D250" s="1" t="s">
        <v>1675</v>
      </c>
      <c r="E250" s="1">
        <v>31</v>
      </c>
      <c r="F250" s="1" t="s">
        <v>112</v>
      </c>
      <c r="G250" s="1">
        <v>2012</v>
      </c>
    </row>
    <row r="251" spans="1:8" x14ac:dyDescent="0.35">
      <c r="A251" s="1" t="str">
        <f t="shared" si="3"/>
        <v>3</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51" s="1" t="s">
        <v>2184</v>
      </c>
      <c r="D251" s="1" t="s">
        <v>1014</v>
      </c>
      <c r="E251" s="1" t="s">
        <v>2185</v>
      </c>
      <c r="F251" s="1" t="s">
        <v>112</v>
      </c>
      <c r="G251" s="1">
        <v>70578</v>
      </c>
    </row>
    <row r="252" spans="1:8" x14ac:dyDescent="0.35">
      <c r="A252" s="1" t="str">
        <f t="shared" si="3"/>
        <v>3</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52" s="1" t="s">
        <v>2186</v>
      </c>
      <c r="D252" s="1" t="s">
        <v>2092</v>
      </c>
      <c r="E252" s="1" t="s">
        <v>2187</v>
      </c>
      <c r="F252" s="1" t="s">
        <v>112</v>
      </c>
      <c r="G252" s="1">
        <v>4629</v>
      </c>
    </row>
    <row r="253" spans="1:8" x14ac:dyDescent="0.35">
      <c r="A253" s="1" t="str">
        <f t="shared" si="3"/>
        <v>3</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3" s="1" t="s">
        <v>2188</v>
      </c>
      <c r="D253" s="1" t="s">
        <v>2189</v>
      </c>
      <c r="E253" s="1" t="s">
        <v>2190</v>
      </c>
      <c r="F253" s="1" t="s">
        <v>112</v>
      </c>
      <c r="G253" s="1">
        <v>832556</v>
      </c>
    </row>
    <row r="254" spans="1:8" x14ac:dyDescent="0.35">
      <c r="A254" s="1" t="str">
        <f t="shared" si="3"/>
        <v>3</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4" s="1" t="s">
        <v>2191</v>
      </c>
      <c r="D254" s="1" t="s">
        <v>2192</v>
      </c>
      <c r="E254" s="1" t="s">
        <v>2193</v>
      </c>
      <c r="F254" s="1" t="s">
        <v>112</v>
      </c>
      <c r="G254" s="1">
        <v>1238614</v>
      </c>
    </row>
    <row r="255" spans="1:8" x14ac:dyDescent="0.35">
      <c r="A255" s="1" t="str">
        <f t="shared" si="3"/>
        <v>3</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5" s="1" t="s">
        <v>2194</v>
      </c>
      <c r="D255" s="1" t="s">
        <v>2195</v>
      </c>
      <c r="E255" s="1" t="s">
        <v>2196</v>
      </c>
      <c r="F255" s="1" t="s">
        <v>112</v>
      </c>
      <c r="G255" s="1">
        <v>1007802</v>
      </c>
    </row>
    <row r="256" spans="1:8" x14ac:dyDescent="0.35">
      <c r="A256" s="1" t="str">
        <f t="shared" si="3"/>
        <v>3</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6" s="1" t="s">
        <v>2197</v>
      </c>
      <c r="D256" s="1" t="s">
        <v>2198</v>
      </c>
      <c r="E256" s="1" t="s">
        <v>2199</v>
      </c>
      <c r="F256" s="1" t="s">
        <v>112</v>
      </c>
      <c r="G256" s="1">
        <v>1111431</v>
      </c>
    </row>
    <row r="257" spans="1:7" x14ac:dyDescent="0.35">
      <c r="A257" s="1" t="str">
        <f t="shared" si="3"/>
        <v>3</v>
      </c>
      <c r="B2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57" s="1" t="s">
        <v>2200</v>
      </c>
      <c r="D257" s="1" t="s">
        <v>2201</v>
      </c>
      <c r="E257" s="1" t="s">
        <v>2202</v>
      </c>
      <c r="F257" s="1" t="s">
        <v>112</v>
      </c>
      <c r="G257" s="1">
        <v>255363</v>
      </c>
    </row>
    <row r="258" spans="1:7" x14ac:dyDescent="0.35">
      <c r="A258" s="1" t="str">
        <f t="shared" ref="A258:A321" si="4">IFERROR(LEFT(RIGHT(C258,LEN(C258)-SEARCH("@",C258)),SEARCH("/",RIGHT(C258,LEN(C258)-SEARCH("@",C258)-1))),"")</f>
        <v>3</v>
      </c>
      <c r="B2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58" s="1" t="s">
        <v>2203</v>
      </c>
      <c r="D258" s="1" t="s">
        <v>1597</v>
      </c>
      <c r="E258" s="1" t="s">
        <v>2204</v>
      </c>
      <c r="F258" s="1" t="s">
        <v>112</v>
      </c>
      <c r="G258" s="1">
        <v>63895</v>
      </c>
    </row>
    <row r="259" spans="1:7" x14ac:dyDescent="0.35">
      <c r="A259" s="1" t="str">
        <f t="shared" si="4"/>
        <v>3</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59" s="1" t="s">
        <v>2205</v>
      </c>
      <c r="D259" s="1" t="s">
        <v>2206</v>
      </c>
      <c r="E259" s="1" t="s">
        <v>2207</v>
      </c>
      <c r="F259" s="1" t="s">
        <v>112</v>
      </c>
      <c r="G259" s="1">
        <v>177235</v>
      </c>
    </row>
    <row r="260" spans="1:7" x14ac:dyDescent="0.35">
      <c r="A260" s="1" t="str">
        <f t="shared" si="4"/>
        <v>3</v>
      </c>
      <c r="B2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60" s="1" t="s">
        <v>2208</v>
      </c>
      <c r="D260" s="1" t="s">
        <v>1739</v>
      </c>
      <c r="E260" s="1" t="s">
        <v>2209</v>
      </c>
      <c r="F260" s="1" t="s">
        <v>112</v>
      </c>
      <c r="G260" s="1">
        <v>218548</v>
      </c>
    </row>
    <row r="261" spans="1:7" x14ac:dyDescent="0.35">
      <c r="A261" s="1" t="str">
        <f t="shared" si="4"/>
        <v>3</v>
      </c>
      <c r="B2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1" s="1" t="s">
        <v>2210</v>
      </c>
      <c r="D261" s="1" t="s">
        <v>982</v>
      </c>
      <c r="E261" s="1" t="s">
        <v>2211</v>
      </c>
      <c r="F261" s="1" t="s">
        <v>112</v>
      </c>
      <c r="G261" s="1">
        <v>283481</v>
      </c>
    </row>
    <row r="262" spans="1:7" x14ac:dyDescent="0.35">
      <c r="A262" s="1" t="str">
        <f t="shared" si="4"/>
        <v>3</v>
      </c>
      <c r="B2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2" s="1" t="s">
        <v>2212</v>
      </c>
    </row>
    <row r="263" spans="1:7" x14ac:dyDescent="0.35">
      <c r="A263" s="1" t="str">
        <f t="shared" si="4"/>
        <v>3</v>
      </c>
      <c r="B2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3" s="1" t="s">
        <v>2213</v>
      </c>
    </row>
    <row r="264" spans="1:7" x14ac:dyDescent="0.35">
      <c r="A264" s="1" t="str">
        <f t="shared" si="4"/>
        <v>3</v>
      </c>
      <c r="B2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4" s="1" t="s">
        <v>2214</v>
      </c>
    </row>
    <row r="265" spans="1:7" x14ac:dyDescent="0.35">
      <c r="A265" s="1" t="str">
        <f t="shared" si="4"/>
        <v>3</v>
      </c>
      <c r="B2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5" s="1" t="s">
        <v>2215</v>
      </c>
      <c r="D265" s="1" t="s">
        <v>2159</v>
      </c>
      <c r="E265" s="1" t="s">
        <v>2216</v>
      </c>
      <c r="F265" s="1" t="s">
        <v>112</v>
      </c>
      <c r="G265" s="1">
        <v>42935</v>
      </c>
    </row>
    <row r="266" spans="1:7" x14ac:dyDescent="0.35">
      <c r="A266" s="1" t="str">
        <f t="shared" si="4"/>
        <v>3</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6" s="1" t="s">
        <v>2217</v>
      </c>
      <c r="D266" s="1" t="s">
        <v>2218</v>
      </c>
      <c r="E266" s="1" t="s">
        <v>2219</v>
      </c>
      <c r="F266" s="1" t="s">
        <v>112</v>
      </c>
      <c r="G266" s="1">
        <v>235095</v>
      </c>
    </row>
    <row r="267" spans="1:7" x14ac:dyDescent="0.35">
      <c r="A267" s="1" t="str">
        <f t="shared" si="4"/>
        <v>3</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7" s="1" t="s">
        <v>2220</v>
      </c>
      <c r="D267" s="1" t="s">
        <v>581</v>
      </c>
      <c r="E267" s="1" t="s">
        <v>2221</v>
      </c>
      <c r="F267" s="1" t="s">
        <v>112</v>
      </c>
      <c r="G267" s="1">
        <v>132872</v>
      </c>
    </row>
    <row r="268" spans="1:7" x14ac:dyDescent="0.35">
      <c r="A268" s="1" t="str">
        <f t="shared" si="4"/>
        <v>3</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8" s="1" t="s">
        <v>2222</v>
      </c>
      <c r="D268" s="1" t="s">
        <v>954</v>
      </c>
      <c r="E268" s="1" t="s">
        <v>2223</v>
      </c>
      <c r="F268" s="1" t="s">
        <v>112</v>
      </c>
      <c r="G268" s="1">
        <v>213422</v>
      </c>
    </row>
    <row r="269" spans="1:7" x14ac:dyDescent="0.35">
      <c r="A269" s="1" t="str">
        <f t="shared" si="4"/>
        <v>3</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69" s="1" t="s">
        <v>2224</v>
      </c>
      <c r="D269" s="1" t="s">
        <v>506</v>
      </c>
      <c r="E269" s="1" t="s">
        <v>2225</v>
      </c>
      <c r="F269" s="1" t="s">
        <v>112</v>
      </c>
      <c r="G269" s="1">
        <v>159153</v>
      </c>
    </row>
    <row r="270" spans="1:7" x14ac:dyDescent="0.35">
      <c r="A270" s="1" t="str">
        <f t="shared" si="4"/>
        <v>3</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70" s="1" t="s">
        <v>2226</v>
      </c>
      <c r="D270" s="1" t="s">
        <v>2159</v>
      </c>
      <c r="E270" s="1" t="s">
        <v>2227</v>
      </c>
      <c r="F270" s="1" t="s">
        <v>112</v>
      </c>
      <c r="G270" s="1">
        <v>46483</v>
      </c>
    </row>
    <row r="271" spans="1:7" x14ac:dyDescent="0.35">
      <c r="A271" s="1" t="str">
        <f t="shared" si="4"/>
        <v>3</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71" s="1" t="s">
        <v>2228</v>
      </c>
      <c r="D271" s="1" t="s">
        <v>2229</v>
      </c>
      <c r="E271" s="1" t="s">
        <v>2230</v>
      </c>
      <c r="F271" s="1" t="s">
        <v>112</v>
      </c>
      <c r="G271" s="1">
        <v>167048</v>
      </c>
    </row>
    <row r="272" spans="1:7" x14ac:dyDescent="0.35">
      <c r="A272" s="1" t="str">
        <f t="shared" si="4"/>
        <v>3</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72" s="1" t="s">
        <v>2231</v>
      </c>
      <c r="D272" s="1">
        <v>0</v>
      </c>
      <c r="E272" s="1">
        <v>0</v>
      </c>
      <c r="F272" s="1" t="s">
        <v>112</v>
      </c>
      <c r="G272" s="1">
        <v>0</v>
      </c>
    </row>
    <row r="273" spans="1:8" x14ac:dyDescent="0.35">
      <c r="A273" s="1" t="str">
        <f t="shared" si="4"/>
        <v>3</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3" s="1" t="s">
        <v>2232</v>
      </c>
      <c r="D273" s="1">
        <v>0</v>
      </c>
      <c r="E273" s="1">
        <v>0</v>
      </c>
      <c r="F273" s="1" t="s">
        <v>112</v>
      </c>
      <c r="G273" s="1">
        <v>0</v>
      </c>
    </row>
    <row r="274" spans="1:8" x14ac:dyDescent="0.35">
      <c r="A274" s="1" t="str">
        <f t="shared" si="4"/>
        <v>3</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4" s="1" t="s">
        <v>2233</v>
      </c>
      <c r="D274" s="1" t="s">
        <v>568</v>
      </c>
      <c r="E274" s="1" t="s">
        <v>2234</v>
      </c>
      <c r="F274" s="1" t="s">
        <v>112</v>
      </c>
      <c r="G274" s="1">
        <v>371731</v>
      </c>
    </row>
    <row r="275" spans="1:8" x14ac:dyDescent="0.35">
      <c r="A275" s="1" t="str">
        <f t="shared" si="4"/>
        <v>3</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5" s="1" t="s">
        <v>2235</v>
      </c>
    </row>
    <row r="276" spans="1:8" x14ac:dyDescent="0.35">
      <c r="A276" s="1" t="str">
        <f t="shared" si="4"/>
        <v>3</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6" s="1" t="s">
        <v>2236</v>
      </c>
      <c r="D276" s="1" t="s">
        <v>2237</v>
      </c>
      <c r="E276" s="1" t="s">
        <v>2238</v>
      </c>
      <c r="F276" s="1" t="s">
        <v>112</v>
      </c>
      <c r="G276" s="1">
        <v>362063</v>
      </c>
    </row>
    <row r="277" spans="1:8" x14ac:dyDescent="0.35">
      <c r="A277" s="1" t="str">
        <f t="shared" si="4"/>
        <v>3</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77" s="1" t="s">
        <v>2239</v>
      </c>
      <c r="D277" s="1" t="s">
        <v>1742</v>
      </c>
      <c r="E277" s="1" t="s">
        <v>2240</v>
      </c>
      <c r="F277" s="1" t="s">
        <v>112</v>
      </c>
      <c r="G277" s="1">
        <v>88920</v>
      </c>
    </row>
    <row r="278" spans="1:8" x14ac:dyDescent="0.35">
      <c r="A278" s="1" t="str">
        <f t="shared" si="4"/>
        <v>3</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78" s="1" t="s">
        <v>2241</v>
      </c>
      <c r="D278" s="1" t="s">
        <v>578</v>
      </c>
      <c r="E278" s="1" t="s">
        <v>2242</v>
      </c>
      <c r="F278" s="1" t="s">
        <v>112</v>
      </c>
      <c r="G278" s="1">
        <v>66231</v>
      </c>
    </row>
    <row r="279" spans="1:8" x14ac:dyDescent="0.35">
      <c r="A279" s="1" t="str">
        <f t="shared" si="4"/>
        <v>3</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79" s="1" t="s">
        <v>2243</v>
      </c>
      <c r="D279" s="1" t="s">
        <v>2244</v>
      </c>
      <c r="E279" s="1" t="s">
        <v>2245</v>
      </c>
      <c r="F279" s="1" t="s">
        <v>112</v>
      </c>
      <c r="G279" s="1">
        <v>81718</v>
      </c>
    </row>
    <row r="280" spans="1:8" x14ac:dyDescent="0.35">
      <c r="A280" s="1" t="str">
        <f t="shared" si="4"/>
        <v>3</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0" s="1" t="s">
        <v>2246</v>
      </c>
    </row>
    <row r="281" spans="1:8" x14ac:dyDescent="0.35">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1" s="1" t="s">
        <v>112</v>
      </c>
    </row>
    <row r="282" spans="1:8" x14ac:dyDescent="0.35">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2" s="1" t="s">
        <v>242</v>
      </c>
      <c r="D282" s="1" t="s">
        <v>112</v>
      </c>
      <c r="E282" s="1" t="s">
        <v>243</v>
      </c>
      <c r="F282" s="1" t="s">
        <v>244</v>
      </c>
      <c r="G282" s="1" t="s">
        <v>245</v>
      </c>
      <c r="H282" s="1" t="s">
        <v>246</v>
      </c>
    </row>
    <row r="283" spans="1:8" x14ac:dyDescent="0.35">
      <c r="A283" s="1" t="str">
        <f t="shared" si="4"/>
        <v>3</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3" s="1" t="s">
        <v>2247</v>
      </c>
      <c r="D283" s="1" t="s">
        <v>112</v>
      </c>
      <c r="E283" s="1" t="s">
        <v>2248</v>
      </c>
      <c r="F283" s="1" t="s">
        <v>2249</v>
      </c>
      <c r="G283" s="1">
        <v>271735</v>
      </c>
      <c r="H283" s="1" t="s">
        <v>2250</v>
      </c>
    </row>
    <row r="284" spans="1:8" x14ac:dyDescent="0.35">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4" s="1" t="s">
        <v>112</v>
      </c>
    </row>
    <row r="285" spans="1:8" x14ac:dyDescent="0.35">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5" s="1" t="s">
        <v>112</v>
      </c>
    </row>
    <row r="286" spans="1:8" x14ac:dyDescent="0.35">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6" s="1" t="s">
        <v>112</v>
      </c>
    </row>
    <row r="287" spans="1:8" x14ac:dyDescent="0.35">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7" s="1" t="s">
        <v>112</v>
      </c>
    </row>
    <row r="288" spans="1:8" x14ac:dyDescent="0.35">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8" s="1" t="s">
        <v>112</v>
      </c>
    </row>
    <row r="289" spans="1:7" x14ac:dyDescent="0.35">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9" s="1" t="s">
        <v>172</v>
      </c>
      <c r="D289" s="1" t="s">
        <v>110</v>
      </c>
      <c r="E289" s="1" t="s">
        <v>111</v>
      </c>
      <c r="F289" s="1" t="s">
        <v>112</v>
      </c>
      <c r="G289" s="1" t="s">
        <v>113</v>
      </c>
    </row>
    <row r="290" spans="1:7" x14ac:dyDescent="0.35">
      <c r="A290" s="1" t="str">
        <f t="shared" si="4"/>
        <v>4</v>
      </c>
      <c r="B2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0" s="1" t="s">
        <v>2251</v>
      </c>
      <c r="D290" s="1" t="s">
        <v>2252</v>
      </c>
      <c r="E290" s="1" t="s">
        <v>2253</v>
      </c>
      <c r="F290" s="1" t="s">
        <v>112</v>
      </c>
      <c r="G290" s="1">
        <v>1001226</v>
      </c>
    </row>
    <row r="291" spans="1:7" x14ac:dyDescent="0.35">
      <c r="A291" s="1" t="str">
        <f t="shared" si="4"/>
        <v>4</v>
      </c>
      <c r="B2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1" s="1" t="s">
        <v>2254</v>
      </c>
      <c r="D291" s="1" t="s">
        <v>2192</v>
      </c>
      <c r="E291" s="1" t="s">
        <v>2255</v>
      </c>
      <c r="F291" s="1" t="s">
        <v>112</v>
      </c>
      <c r="G291" s="1">
        <v>1210906</v>
      </c>
    </row>
    <row r="292" spans="1:7" x14ac:dyDescent="0.35">
      <c r="A292" s="1" t="str">
        <f t="shared" si="4"/>
        <v>4</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2" s="1" t="s">
        <v>2256</v>
      </c>
    </row>
    <row r="293" spans="1:7" x14ac:dyDescent="0.35">
      <c r="A293" s="1" t="str">
        <f t="shared" si="4"/>
        <v>4</v>
      </c>
      <c r="B2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3" s="1" t="s">
        <v>2257</v>
      </c>
    </row>
    <row r="294" spans="1:7" x14ac:dyDescent="0.35">
      <c r="A294" s="1" t="str">
        <f t="shared" si="4"/>
        <v>4</v>
      </c>
      <c r="B2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4" s="1" t="s">
        <v>2258</v>
      </c>
      <c r="D294" s="1" t="s">
        <v>2244</v>
      </c>
      <c r="E294" s="1" t="s">
        <v>2259</v>
      </c>
      <c r="F294" s="1" t="s">
        <v>112</v>
      </c>
      <c r="G294" s="1">
        <v>75856</v>
      </c>
    </row>
    <row r="295" spans="1:7" x14ac:dyDescent="0.35">
      <c r="A295" s="1" t="str">
        <f t="shared" si="4"/>
        <v>4</v>
      </c>
      <c r="B2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5" s="1" t="s">
        <v>2260</v>
      </c>
    </row>
    <row r="296" spans="1:7" x14ac:dyDescent="0.35">
      <c r="A296" s="1" t="str">
        <f t="shared" si="4"/>
        <v>4</v>
      </c>
      <c r="B2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6" s="1" t="s">
        <v>2261</v>
      </c>
      <c r="D296" s="1" t="s">
        <v>2262</v>
      </c>
      <c r="E296" s="1" t="s">
        <v>2263</v>
      </c>
      <c r="F296" s="1" t="s">
        <v>112</v>
      </c>
      <c r="G296" s="1">
        <v>188223</v>
      </c>
    </row>
    <row r="297" spans="1:7" x14ac:dyDescent="0.35">
      <c r="A297" s="1" t="str">
        <f t="shared" si="4"/>
        <v>4</v>
      </c>
      <c r="B2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7" s="1" t="s">
        <v>2264</v>
      </c>
    </row>
    <row r="298" spans="1:7" x14ac:dyDescent="0.35">
      <c r="A298" s="1" t="str">
        <f t="shared" si="4"/>
        <v>4</v>
      </c>
      <c r="B2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98" s="1" t="s">
        <v>2265</v>
      </c>
      <c r="D298" s="1" t="s">
        <v>1066</v>
      </c>
      <c r="E298" s="1" t="s">
        <v>2266</v>
      </c>
      <c r="F298" s="1" t="s">
        <v>112</v>
      </c>
      <c r="G298" s="1">
        <v>95496</v>
      </c>
    </row>
    <row r="299" spans="1:7" x14ac:dyDescent="0.35">
      <c r="A299" s="1" t="str">
        <f t="shared" si="4"/>
        <v>4</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99" s="1" t="s">
        <v>2267</v>
      </c>
      <c r="D299" s="1" t="s">
        <v>2268</v>
      </c>
      <c r="E299" s="1" t="s">
        <v>2269</v>
      </c>
      <c r="F299" s="1" t="s">
        <v>112</v>
      </c>
      <c r="G299" s="1">
        <v>96383</v>
      </c>
    </row>
    <row r="300" spans="1:7" x14ac:dyDescent="0.35">
      <c r="A300" s="1" t="str">
        <f t="shared" si="4"/>
        <v>4</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0" s="1" t="s">
        <v>2270</v>
      </c>
      <c r="D300" s="1" t="s">
        <v>2271</v>
      </c>
      <c r="E300" s="1" t="s">
        <v>2272</v>
      </c>
      <c r="F300" s="1" t="s">
        <v>112</v>
      </c>
      <c r="G300" s="1">
        <v>179636</v>
      </c>
    </row>
    <row r="301" spans="1:7" x14ac:dyDescent="0.35">
      <c r="A301" s="1" t="str">
        <f t="shared" si="4"/>
        <v>4</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1" s="1" t="s">
        <v>2273</v>
      </c>
      <c r="D301" s="1" t="s">
        <v>1074</v>
      </c>
      <c r="E301" s="1" t="s">
        <v>2274</v>
      </c>
      <c r="F301" s="1" t="s">
        <v>112</v>
      </c>
      <c r="G301" s="1">
        <v>108647</v>
      </c>
    </row>
    <row r="302" spans="1:7" x14ac:dyDescent="0.35">
      <c r="A302" s="1" t="str">
        <f t="shared" si="4"/>
        <v>4</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2" s="1" t="s">
        <v>2275</v>
      </c>
    </row>
    <row r="303" spans="1:7" x14ac:dyDescent="0.35">
      <c r="A303" s="1" t="str">
        <f t="shared" si="4"/>
        <v>4</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3" s="1" t="s">
        <v>2276</v>
      </c>
      <c r="D303" s="1" t="s">
        <v>2277</v>
      </c>
      <c r="E303" s="1" t="s">
        <v>2278</v>
      </c>
      <c r="F303" s="1" t="s">
        <v>112</v>
      </c>
      <c r="G303" s="1">
        <v>158655</v>
      </c>
    </row>
    <row r="304" spans="1:7" x14ac:dyDescent="0.35">
      <c r="A304" s="1" t="str">
        <f t="shared" si="4"/>
        <v>4</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4" s="1" t="s">
        <v>2279</v>
      </c>
      <c r="D304" s="1" t="s">
        <v>686</v>
      </c>
      <c r="E304" s="1" t="s">
        <v>2280</v>
      </c>
      <c r="F304" s="1" t="s">
        <v>112</v>
      </c>
      <c r="G304" s="1">
        <v>107976</v>
      </c>
    </row>
    <row r="305" spans="1:7" x14ac:dyDescent="0.35">
      <c r="A305" s="1" t="str">
        <f t="shared" si="4"/>
        <v>4</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5" s="1" t="s">
        <v>2281</v>
      </c>
      <c r="D305" s="1" t="s">
        <v>205</v>
      </c>
      <c r="E305" s="1" t="s">
        <v>2282</v>
      </c>
      <c r="F305" s="1" t="s">
        <v>112</v>
      </c>
      <c r="G305" s="1">
        <v>9582</v>
      </c>
    </row>
    <row r="306" spans="1:7" x14ac:dyDescent="0.35">
      <c r="A306" s="1" t="str">
        <f t="shared" si="4"/>
        <v>4</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6" s="1" t="s">
        <v>2283</v>
      </c>
      <c r="D306" s="1" t="s">
        <v>2058</v>
      </c>
      <c r="E306" s="1" t="s">
        <v>2284</v>
      </c>
      <c r="F306" s="1" t="s">
        <v>112</v>
      </c>
      <c r="G306" s="1">
        <v>108928</v>
      </c>
    </row>
    <row r="307" spans="1:7" x14ac:dyDescent="0.35">
      <c r="A307" s="1" t="str">
        <f t="shared" si="4"/>
        <v>4</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7" s="1" t="s">
        <v>2285</v>
      </c>
      <c r="D307" s="1" t="s">
        <v>2286</v>
      </c>
      <c r="E307" s="1" t="s">
        <v>2287</v>
      </c>
      <c r="F307" s="1" t="s">
        <v>112</v>
      </c>
      <c r="G307" s="1">
        <v>58163</v>
      </c>
    </row>
    <row r="308" spans="1:7" x14ac:dyDescent="0.35">
      <c r="A308" s="1" t="str">
        <f t="shared" si="4"/>
        <v>4</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8" s="1" t="s">
        <v>2288</v>
      </c>
      <c r="D308" s="1" t="s">
        <v>2289</v>
      </c>
      <c r="E308" s="1" t="s">
        <v>2290</v>
      </c>
      <c r="F308" s="1" t="s">
        <v>112</v>
      </c>
      <c r="G308" s="1">
        <v>483709</v>
      </c>
    </row>
    <row r="309" spans="1:7" x14ac:dyDescent="0.35">
      <c r="A309" s="1" t="str">
        <f t="shared" si="4"/>
        <v>4</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9" s="1" t="s">
        <v>2291</v>
      </c>
      <c r="D309" s="1" t="s">
        <v>2292</v>
      </c>
      <c r="E309" s="1" t="s">
        <v>2293</v>
      </c>
      <c r="F309" s="1" t="s">
        <v>112</v>
      </c>
      <c r="G309" s="1">
        <v>631831</v>
      </c>
    </row>
    <row r="310" spans="1:7" x14ac:dyDescent="0.35">
      <c r="A310" s="1" t="str">
        <f t="shared" si="4"/>
        <v>4</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0" s="1" t="s">
        <v>2294</v>
      </c>
      <c r="D310" s="1" t="s">
        <v>2051</v>
      </c>
      <c r="E310" s="1" t="s">
        <v>2295</v>
      </c>
      <c r="F310" s="1" t="s">
        <v>112</v>
      </c>
      <c r="G310" s="1">
        <v>315883</v>
      </c>
    </row>
    <row r="311" spans="1:7" x14ac:dyDescent="0.35">
      <c r="A311" s="1" t="str">
        <f t="shared" si="4"/>
        <v>4</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1" s="1" t="s">
        <v>2296</v>
      </c>
      <c r="D311" s="1" t="s">
        <v>174</v>
      </c>
      <c r="E311" s="1" t="s">
        <v>2297</v>
      </c>
      <c r="F311" s="1" t="s">
        <v>112</v>
      </c>
      <c r="G311" s="1">
        <v>358429</v>
      </c>
    </row>
    <row r="312" spans="1:7" x14ac:dyDescent="0.35">
      <c r="A312" s="1" t="str">
        <f t="shared" si="4"/>
        <v>4</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2" s="1" t="s">
        <v>2298</v>
      </c>
      <c r="D312" s="1" t="s">
        <v>2299</v>
      </c>
      <c r="E312" s="1" t="s">
        <v>2300</v>
      </c>
      <c r="F312" s="1" t="s">
        <v>112</v>
      </c>
      <c r="G312" s="1">
        <v>432555</v>
      </c>
    </row>
    <row r="313" spans="1:7" x14ac:dyDescent="0.35">
      <c r="A313" s="1" t="str">
        <f t="shared" si="4"/>
        <v>4</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3" s="1" t="s">
        <v>2301</v>
      </c>
      <c r="D313" s="1" t="s">
        <v>2302</v>
      </c>
      <c r="E313" s="1" t="s">
        <v>2303</v>
      </c>
      <c r="F313" s="1" t="s">
        <v>112</v>
      </c>
      <c r="G313" s="1">
        <v>489160</v>
      </c>
    </row>
    <row r="314" spans="1:7" x14ac:dyDescent="0.35">
      <c r="A314" s="1" t="str">
        <f t="shared" si="4"/>
        <v>4</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4" s="1" t="s">
        <v>2304</v>
      </c>
      <c r="D314" s="1" t="s">
        <v>2305</v>
      </c>
      <c r="E314" s="1" t="s">
        <v>2306</v>
      </c>
      <c r="F314" s="1" t="s">
        <v>112</v>
      </c>
      <c r="G314" s="1">
        <v>432728</v>
      </c>
    </row>
    <row r="315" spans="1:7" x14ac:dyDescent="0.35">
      <c r="A315" s="1" t="str">
        <f t="shared" si="4"/>
        <v>4</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5" s="1" t="s">
        <v>2307</v>
      </c>
      <c r="D315" s="1" t="s">
        <v>2308</v>
      </c>
      <c r="E315" s="1" t="s">
        <v>2309</v>
      </c>
      <c r="F315" s="1" t="s">
        <v>112</v>
      </c>
      <c r="G315" s="1">
        <v>559933</v>
      </c>
    </row>
    <row r="316" spans="1:7" x14ac:dyDescent="0.35">
      <c r="A316" s="1" t="str">
        <f t="shared" si="4"/>
        <v>4</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6" s="1" t="s">
        <v>2310</v>
      </c>
      <c r="D316" s="1" t="s">
        <v>2311</v>
      </c>
      <c r="E316" s="1" t="s">
        <v>2312</v>
      </c>
      <c r="F316" s="1" t="s">
        <v>112</v>
      </c>
      <c r="G316" s="1">
        <v>837055</v>
      </c>
    </row>
    <row r="317" spans="1:7" x14ac:dyDescent="0.35">
      <c r="A317" s="1" t="str">
        <f t="shared" si="4"/>
        <v>4</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2313</v>
      </c>
      <c r="D317" s="1" t="s">
        <v>2314</v>
      </c>
      <c r="E317" s="1" t="s">
        <v>2315</v>
      </c>
      <c r="F317" s="1" t="s">
        <v>112</v>
      </c>
      <c r="G317" s="1">
        <v>972069</v>
      </c>
    </row>
    <row r="318" spans="1:7" x14ac:dyDescent="0.35">
      <c r="A318" s="1" t="str">
        <f t="shared" si="4"/>
        <v>4</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8" s="1" t="s">
        <v>2316</v>
      </c>
      <c r="D318" s="1" t="s">
        <v>2317</v>
      </c>
      <c r="E318" s="1" t="s">
        <v>2318</v>
      </c>
      <c r="F318" s="1" t="s">
        <v>112</v>
      </c>
      <c r="G318" s="1">
        <v>426217</v>
      </c>
    </row>
    <row r="319" spans="1:7" x14ac:dyDescent="0.35">
      <c r="A319" s="1" t="str">
        <f t="shared" si="4"/>
        <v>4</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9" s="1" t="s">
        <v>2319</v>
      </c>
      <c r="D319" s="1" t="s">
        <v>2320</v>
      </c>
      <c r="E319" s="1" t="s">
        <v>2321</v>
      </c>
      <c r="F319" s="1" t="s">
        <v>112</v>
      </c>
      <c r="G319" s="1">
        <v>562550</v>
      </c>
    </row>
    <row r="320" spans="1:7" x14ac:dyDescent="0.35">
      <c r="A320" s="1" t="str">
        <f t="shared" si="4"/>
        <v>4</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2322</v>
      </c>
      <c r="D320" s="1" t="s">
        <v>2323</v>
      </c>
      <c r="E320" s="1" t="s">
        <v>2324</v>
      </c>
      <c r="F320" s="1" t="s">
        <v>112</v>
      </c>
      <c r="G320" s="1">
        <v>434588</v>
      </c>
    </row>
    <row r="321" spans="1:8" x14ac:dyDescent="0.35">
      <c r="A321" s="1" t="str">
        <f t="shared" si="4"/>
        <v>4</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2325</v>
      </c>
      <c r="D321" s="1" t="s">
        <v>2326</v>
      </c>
      <c r="E321" s="1" t="s">
        <v>2327</v>
      </c>
      <c r="F321" s="1" t="s">
        <v>112</v>
      </c>
      <c r="G321" s="1">
        <v>516695</v>
      </c>
    </row>
    <row r="322" spans="1:8" x14ac:dyDescent="0.35">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2" s="1" t="s">
        <v>112</v>
      </c>
    </row>
    <row r="323" spans="1:8"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242</v>
      </c>
      <c r="D323" s="1" t="s">
        <v>112</v>
      </c>
      <c r="E323" s="1" t="s">
        <v>243</v>
      </c>
      <c r="F323" s="1" t="s">
        <v>244</v>
      </c>
      <c r="G323" s="1" t="s">
        <v>245</v>
      </c>
      <c r="H323" s="1" t="s">
        <v>246</v>
      </c>
    </row>
    <row r="324" spans="1:8" x14ac:dyDescent="0.35">
      <c r="A324" s="1" t="str">
        <f t="shared" si="5"/>
        <v>4</v>
      </c>
      <c r="B3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4" s="1" t="s">
        <v>2328</v>
      </c>
      <c r="D324" s="1" t="s">
        <v>112</v>
      </c>
      <c r="E324" s="1" t="s">
        <v>2329</v>
      </c>
      <c r="F324" s="1" t="s">
        <v>2330</v>
      </c>
      <c r="G324" s="1" t="s">
        <v>2331</v>
      </c>
      <c r="H324" s="1" t="s">
        <v>2332</v>
      </c>
    </row>
    <row r="325" spans="1:8"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5" s="1" t="s">
        <v>112</v>
      </c>
    </row>
    <row r="326" spans="1:8"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8"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8"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8"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8"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172</v>
      </c>
      <c r="D330" s="1" t="s">
        <v>110</v>
      </c>
      <c r="E330" s="1" t="s">
        <v>111</v>
      </c>
      <c r="F330" s="1" t="s">
        <v>112</v>
      </c>
      <c r="G330" s="1" t="s">
        <v>113</v>
      </c>
    </row>
    <row r="331" spans="1:8" x14ac:dyDescent="0.35">
      <c r="A331" s="1" t="str">
        <f t="shared" si="5"/>
        <v>5</v>
      </c>
      <c r="B3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1" s="1" t="s">
        <v>2333</v>
      </c>
    </row>
    <row r="332" spans="1:8" x14ac:dyDescent="0.35">
      <c r="A332" s="1" t="str">
        <f t="shared" si="5"/>
        <v>5</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2334</v>
      </c>
      <c r="D332" s="1" t="s">
        <v>1080</v>
      </c>
      <c r="E332" s="1" t="s">
        <v>2335</v>
      </c>
      <c r="F332" s="1" t="s">
        <v>112</v>
      </c>
      <c r="G332" s="1">
        <v>787480</v>
      </c>
    </row>
    <row r="333" spans="1:8" x14ac:dyDescent="0.35">
      <c r="A333" s="1" t="str">
        <f t="shared" si="5"/>
        <v>5</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2336</v>
      </c>
    </row>
    <row r="334" spans="1:8" x14ac:dyDescent="0.35">
      <c r="A334" s="1" t="str">
        <f t="shared" si="5"/>
        <v>5</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2337</v>
      </c>
    </row>
    <row r="335" spans="1:8" x14ac:dyDescent="0.35">
      <c r="A335" s="1" t="str">
        <f t="shared" si="5"/>
        <v>5</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2338</v>
      </c>
      <c r="D335" s="1" t="s">
        <v>2339</v>
      </c>
      <c r="E335" s="1" t="s">
        <v>2340</v>
      </c>
      <c r="F335" s="1" t="s">
        <v>112</v>
      </c>
      <c r="G335" s="1">
        <v>2603136</v>
      </c>
    </row>
    <row r="336" spans="1:8" x14ac:dyDescent="0.35">
      <c r="A336" s="1" t="str">
        <f t="shared" si="5"/>
        <v>5</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2341</v>
      </c>
      <c r="D336" s="1" t="s">
        <v>2342</v>
      </c>
      <c r="E336" s="1" t="s">
        <v>2343</v>
      </c>
      <c r="F336" s="1" t="s">
        <v>112</v>
      </c>
      <c r="G336" s="1">
        <v>2139824</v>
      </c>
    </row>
    <row r="337" spans="1:7" x14ac:dyDescent="0.35">
      <c r="A337" s="1" t="str">
        <f t="shared" si="5"/>
        <v>5</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2344</v>
      </c>
      <c r="D337" s="1" t="s">
        <v>2345</v>
      </c>
      <c r="E337" s="1" t="s">
        <v>2346</v>
      </c>
      <c r="F337" s="1" t="s">
        <v>112</v>
      </c>
      <c r="G337" s="1">
        <v>2163054</v>
      </c>
    </row>
    <row r="338" spans="1:7" x14ac:dyDescent="0.35">
      <c r="A338" s="1" t="str">
        <f t="shared" si="5"/>
        <v>5</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8" s="1" t="s">
        <v>2347</v>
      </c>
      <c r="D338" s="1" t="s">
        <v>2348</v>
      </c>
      <c r="E338" s="1" t="s">
        <v>2349</v>
      </c>
      <c r="F338" s="1" t="s">
        <v>112</v>
      </c>
      <c r="G338" s="1">
        <v>2184511</v>
      </c>
    </row>
    <row r="339" spans="1:7" x14ac:dyDescent="0.35">
      <c r="A339" s="1" t="str">
        <f t="shared" si="5"/>
        <v>5</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2350</v>
      </c>
      <c r="D339" s="1" t="s">
        <v>2351</v>
      </c>
      <c r="E339" s="1" t="s">
        <v>2352</v>
      </c>
      <c r="F339" s="1" t="s">
        <v>112</v>
      </c>
      <c r="G339" s="1">
        <v>3210309</v>
      </c>
    </row>
    <row r="340" spans="1:7" x14ac:dyDescent="0.35">
      <c r="A340" s="1" t="str">
        <f t="shared" si="5"/>
        <v>5</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2353</v>
      </c>
      <c r="D340" s="1" t="s">
        <v>2354</v>
      </c>
      <c r="E340" s="1" t="s">
        <v>2355</v>
      </c>
      <c r="F340" s="1" t="s">
        <v>112</v>
      </c>
      <c r="G340" s="1">
        <v>2810394</v>
      </c>
    </row>
    <row r="341" spans="1:7" x14ac:dyDescent="0.35">
      <c r="A341" s="1" t="str">
        <f t="shared" si="5"/>
        <v>5</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1" s="1" t="s">
        <v>2356</v>
      </c>
      <c r="D341" s="1" t="s">
        <v>2357</v>
      </c>
      <c r="E341" s="1" t="s">
        <v>2358</v>
      </c>
      <c r="F341" s="1" t="s">
        <v>112</v>
      </c>
      <c r="G341" s="1">
        <v>3075490</v>
      </c>
    </row>
    <row r="342" spans="1:7" x14ac:dyDescent="0.35">
      <c r="A342" s="1" t="str">
        <f t="shared" si="5"/>
        <v>5</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2" s="1" t="s">
        <v>2359</v>
      </c>
      <c r="D342" s="1" t="s">
        <v>421</v>
      </c>
      <c r="E342" s="1" t="s">
        <v>2360</v>
      </c>
      <c r="F342" s="1" t="s">
        <v>112</v>
      </c>
      <c r="G342" s="1">
        <v>2836934</v>
      </c>
    </row>
    <row r="343" spans="1:7" x14ac:dyDescent="0.35">
      <c r="A343" s="1" t="str">
        <f t="shared" si="5"/>
        <v>5</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2361</v>
      </c>
      <c r="D343" s="1" t="s">
        <v>2362</v>
      </c>
      <c r="E343" s="1" t="s">
        <v>2363</v>
      </c>
      <c r="F343" s="1" t="s">
        <v>112</v>
      </c>
      <c r="G343" s="1">
        <v>118013</v>
      </c>
    </row>
    <row r="344" spans="1:7" x14ac:dyDescent="0.35">
      <c r="A344" s="1" t="str">
        <f t="shared" si="5"/>
        <v>5</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4" s="1" t="s">
        <v>2364</v>
      </c>
      <c r="D344" s="1" t="s">
        <v>2365</v>
      </c>
      <c r="E344" s="1" t="s">
        <v>2366</v>
      </c>
      <c r="F344" s="1" t="s">
        <v>112</v>
      </c>
      <c r="G344" s="1">
        <v>854056</v>
      </c>
    </row>
    <row r="345" spans="1:7" x14ac:dyDescent="0.35">
      <c r="A345" s="1" t="str">
        <f t="shared" si="5"/>
        <v>5</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5" s="1" t="s">
        <v>2367</v>
      </c>
      <c r="D345" s="1" t="s">
        <v>2368</v>
      </c>
      <c r="E345" s="1" t="s">
        <v>2369</v>
      </c>
      <c r="F345" s="1" t="s">
        <v>112</v>
      </c>
      <c r="G345" s="1">
        <v>99130</v>
      </c>
    </row>
    <row r="346" spans="1:7" x14ac:dyDescent="0.35">
      <c r="A346" s="1" t="str">
        <f t="shared" si="5"/>
        <v>5</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6" s="1" t="s">
        <v>2370</v>
      </c>
      <c r="D346" s="1" t="s">
        <v>2371</v>
      </c>
      <c r="E346" s="1" t="s">
        <v>2372</v>
      </c>
      <c r="F346" s="1" t="s">
        <v>112</v>
      </c>
      <c r="G346" s="1">
        <v>580308</v>
      </c>
    </row>
    <row r="347" spans="1:7" x14ac:dyDescent="0.35">
      <c r="A347" s="1" t="str">
        <f t="shared" si="5"/>
        <v>5</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7" s="1" t="s">
        <v>2373</v>
      </c>
      <c r="D347" s="1" t="s">
        <v>2374</v>
      </c>
      <c r="E347" s="1" t="s">
        <v>2375</v>
      </c>
      <c r="F347" s="1" t="s">
        <v>112</v>
      </c>
      <c r="G347" s="1">
        <v>2593316</v>
      </c>
    </row>
    <row r="348" spans="1:7" x14ac:dyDescent="0.35">
      <c r="A348" s="1" t="str">
        <f t="shared" si="5"/>
        <v>5</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8" s="1" t="s">
        <v>2376</v>
      </c>
      <c r="D348" s="1" t="s">
        <v>2377</v>
      </c>
      <c r="E348" s="1" t="s">
        <v>2378</v>
      </c>
      <c r="F348" s="1" t="s">
        <v>112</v>
      </c>
      <c r="G348" s="1">
        <v>3066535</v>
      </c>
    </row>
    <row r="349" spans="1:7" x14ac:dyDescent="0.35">
      <c r="A349" s="1" t="str">
        <f t="shared" si="5"/>
        <v>5</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9" s="1" t="s">
        <v>2379</v>
      </c>
      <c r="D349" s="1" t="s">
        <v>2380</v>
      </c>
      <c r="E349" s="1" t="s">
        <v>2381</v>
      </c>
      <c r="F349" s="1" t="s">
        <v>112</v>
      </c>
      <c r="G349" s="1">
        <v>2210229</v>
      </c>
    </row>
    <row r="350" spans="1:7" x14ac:dyDescent="0.35">
      <c r="A350" s="1" t="str">
        <f t="shared" si="5"/>
        <v>5</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50" s="1" t="s">
        <v>2382</v>
      </c>
      <c r="D350" s="1" t="s">
        <v>2383</v>
      </c>
      <c r="E350" s="1" t="s">
        <v>2384</v>
      </c>
      <c r="F350" s="1" t="s">
        <v>112</v>
      </c>
      <c r="G350" s="1">
        <v>2522175</v>
      </c>
    </row>
    <row r="351" spans="1:7" x14ac:dyDescent="0.35">
      <c r="A351" s="1" t="str">
        <f t="shared" si="5"/>
        <v>5</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1" s="1" t="s">
        <v>2385</v>
      </c>
    </row>
    <row r="352" spans="1:7" x14ac:dyDescent="0.35">
      <c r="A352" s="1" t="str">
        <f t="shared" si="5"/>
        <v>5</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2" s="1" t="s">
        <v>2386</v>
      </c>
      <c r="D352" s="1" t="s">
        <v>2305</v>
      </c>
      <c r="E352" s="1" t="s">
        <v>2387</v>
      </c>
      <c r="F352" s="1" t="s">
        <v>112</v>
      </c>
      <c r="G352" s="1">
        <v>459116</v>
      </c>
    </row>
    <row r="353" spans="1:8" x14ac:dyDescent="0.35">
      <c r="A353" s="1" t="str">
        <f t="shared" si="5"/>
        <v>5</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3" s="1" t="s">
        <v>2388</v>
      </c>
    </row>
    <row r="354" spans="1:8" x14ac:dyDescent="0.35">
      <c r="A354" s="1" t="str">
        <f t="shared" si="5"/>
        <v>5</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4" s="1" t="s">
        <v>2389</v>
      </c>
      <c r="D354" s="1" t="s">
        <v>2390</v>
      </c>
      <c r="E354" s="1" t="s">
        <v>2391</v>
      </c>
      <c r="F354" s="1" t="s">
        <v>112</v>
      </c>
      <c r="G354" s="1">
        <v>197330</v>
      </c>
    </row>
    <row r="355" spans="1:8" x14ac:dyDescent="0.35">
      <c r="A355" s="1" t="str">
        <f t="shared" si="5"/>
        <v>5</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5" s="1" t="s">
        <v>2392</v>
      </c>
      <c r="D355" s="1" t="s">
        <v>2393</v>
      </c>
      <c r="E355" s="1" t="s">
        <v>2394</v>
      </c>
      <c r="F355" s="1" t="s">
        <v>112</v>
      </c>
      <c r="G355" s="1">
        <v>1573683</v>
      </c>
    </row>
    <row r="356" spans="1:8" x14ac:dyDescent="0.35">
      <c r="A356" s="1" t="str">
        <f t="shared" si="5"/>
        <v>5</v>
      </c>
      <c r="B3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6" s="1" t="s">
        <v>2395</v>
      </c>
    </row>
    <row r="357" spans="1:8" x14ac:dyDescent="0.35">
      <c r="A357" s="1" t="str">
        <f t="shared" si="5"/>
        <v>5</v>
      </c>
      <c r="B3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7" s="1" t="s">
        <v>2396</v>
      </c>
    </row>
    <row r="358" spans="1:8" x14ac:dyDescent="0.35">
      <c r="A358" s="1" t="str">
        <f t="shared" si="5"/>
        <v>5</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8" s="1" t="s">
        <v>2397</v>
      </c>
    </row>
    <row r="359" spans="1:8" x14ac:dyDescent="0.35">
      <c r="A359" s="1" t="str">
        <f t="shared" si="5"/>
        <v>5</v>
      </c>
      <c r="B3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9" s="1" t="s">
        <v>2398</v>
      </c>
      <c r="D359" s="1" t="s">
        <v>2399</v>
      </c>
      <c r="E359" s="1" t="s">
        <v>2400</v>
      </c>
      <c r="F359" s="1" t="s">
        <v>112</v>
      </c>
      <c r="G359" s="1">
        <v>1796795</v>
      </c>
    </row>
    <row r="360" spans="1:8" x14ac:dyDescent="0.35">
      <c r="A360" s="1" t="str">
        <f t="shared" si="5"/>
        <v>5</v>
      </c>
      <c r="B3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60" s="1" t="s">
        <v>2401</v>
      </c>
      <c r="D360" s="1" t="s">
        <v>1463</v>
      </c>
      <c r="E360" s="1" t="s">
        <v>2402</v>
      </c>
      <c r="F360" s="1" t="s">
        <v>112</v>
      </c>
      <c r="G360" s="1">
        <v>1392792</v>
      </c>
    </row>
    <row r="361" spans="1:8" x14ac:dyDescent="0.35">
      <c r="A361" s="1" t="str">
        <f t="shared" si="5"/>
        <v>5</v>
      </c>
      <c r="B3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61" s="1" t="s">
        <v>2403</v>
      </c>
      <c r="D361" s="1" t="s">
        <v>1406</v>
      </c>
      <c r="E361" s="1" t="s">
        <v>2404</v>
      </c>
      <c r="F361" s="1" t="s">
        <v>112</v>
      </c>
      <c r="G361" s="1">
        <v>1465317</v>
      </c>
    </row>
    <row r="362" spans="1:8" x14ac:dyDescent="0.35">
      <c r="A362" s="1" t="str">
        <f t="shared" si="5"/>
        <v>5</v>
      </c>
      <c r="B3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62" s="1" t="s">
        <v>2405</v>
      </c>
      <c r="D362" s="1" t="s">
        <v>2406</v>
      </c>
      <c r="E362" s="1" t="s">
        <v>2407</v>
      </c>
      <c r="F362" s="1" t="s">
        <v>112</v>
      </c>
      <c r="G362" s="1">
        <v>1843949</v>
      </c>
    </row>
    <row r="363" spans="1:8"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8"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242</v>
      </c>
      <c r="D364" s="1" t="s">
        <v>112</v>
      </c>
      <c r="E364" s="1" t="s">
        <v>243</v>
      </c>
      <c r="F364" s="1" t="s">
        <v>244</v>
      </c>
      <c r="G364" s="1" t="s">
        <v>245</v>
      </c>
      <c r="H364" s="1" t="s">
        <v>246</v>
      </c>
    </row>
    <row r="365" spans="1:8" x14ac:dyDescent="0.35">
      <c r="A365" s="1" t="str">
        <f t="shared" si="5"/>
        <v>5</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65" s="1" t="s">
        <v>2408</v>
      </c>
      <c r="D365" s="1" t="s">
        <v>112</v>
      </c>
      <c r="E365" s="1" t="s">
        <v>2409</v>
      </c>
      <c r="F365" s="1" t="s">
        <v>2410</v>
      </c>
      <c r="G365" s="1" t="s">
        <v>2411</v>
      </c>
      <c r="H365" s="1" t="s">
        <v>2412</v>
      </c>
    </row>
    <row r="366" spans="1:8" x14ac:dyDescent="0.35">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6" s="1" t="s">
        <v>112</v>
      </c>
    </row>
    <row r="367" spans="1:8" x14ac:dyDescent="0.35">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7" s="1" t="s">
        <v>112</v>
      </c>
    </row>
    <row r="368" spans="1:8" x14ac:dyDescent="0.35">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8" s="1" t="s">
        <v>112</v>
      </c>
    </row>
    <row r="369" spans="1:7" x14ac:dyDescent="0.35">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9" s="1" t="s">
        <v>112</v>
      </c>
    </row>
    <row r="370" spans="1:7" x14ac:dyDescent="0.35">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70" s="1" t="s">
        <v>112</v>
      </c>
    </row>
    <row r="371" spans="1:7" x14ac:dyDescent="0.35">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71" s="1" t="s">
        <v>172</v>
      </c>
      <c r="D371" s="1" t="s">
        <v>110</v>
      </c>
      <c r="E371" s="1" t="s">
        <v>111</v>
      </c>
      <c r="F371" s="1" t="s">
        <v>112</v>
      </c>
      <c r="G371" s="1" t="s">
        <v>113</v>
      </c>
    </row>
    <row r="372" spans="1:7" x14ac:dyDescent="0.35">
      <c r="A372" s="1" t="str">
        <f t="shared" si="5"/>
        <v>6</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2" s="1" t="s">
        <v>2413</v>
      </c>
      <c r="D372" s="1" t="s">
        <v>2414</v>
      </c>
      <c r="E372" s="1" t="s">
        <v>2415</v>
      </c>
      <c r="F372" s="1" t="s">
        <v>112</v>
      </c>
      <c r="G372" s="1">
        <v>3658783</v>
      </c>
    </row>
    <row r="373" spans="1:7" x14ac:dyDescent="0.35">
      <c r="A373" s="1" t="str">
        <f t="shared" si="5"/>
        <v>6</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3" s="1" t="s">
        <v>2416</v>
      </c>
      <c r="D373" s="1" t="s">
        <v>2417</v>
      </c>
      <c r="E373" s="1" t="s">
        <v>2418</v>
      </c>
      <c r="F373" s="1" t="s">
        <v>112</v>
      </c>
      <c r="G373" s="1">
        <v>3199689</v>
      </c>
    </row>
    <row r="374" spans="1:7" x14ac:dyDescent="0.35">
      <c r="A374" s="1" t="str">
        <f t="shared" si="5"/>
        <v>6</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4" s="1" t="s">
        <v>2419</v>
      </c>
      <c r="D374" s="1" t="s">
        <v>2420</v>
      </c>
      <c r="E374" s="1" t="s">
        <v>2421</v>
      </c>
      <c r="F374" s="1" t="s">
        <v>112</v>
      </c>
      <c r="G374" s="1">
        <v>3345582</v>
      </c>
    </row>
    <row r="375" spans="1:7" x14ac:dyDescent="0.35">
      <c r="A375" s="1" t="str">
        <f t="shared" si="5"/>
        <v>6</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5" s="1" t="s">
        <v>2422</v>
      </c>
      <c r="D375" s="1" t="s">
        <v>2423</v>
      </c>
      <c r="E375" s="1" t="s">
        <v>2424</v>
      </c>
      <c r="F375" s="1" t="s">
        <v>112</v>
      </c>
      <c r="G375" s="1">
        <v>3948148</v>
      </c>
    </row>
    <row r="376" spans="1:7" x14ac:dyDescent="0.35">
      <c r="A376" s="1" t="str">
        <f t="shared" si="5"/>
        <v>6</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6" s="1" t="s">
        <v>2425</v>
      </c>
    </row>
    <row r="377" spans="1:7" x14ac:dyDescent="0.35">
      <c r="A377" s="1" t="str">
        <f t="shared" si="5"/>
        <v>6</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7" s="1" t="s">
        <v>2426</v>
      </c>
    </row>
    <row r="378" spans="1:7" x14ac:dyDescent="0.35">
      <c r="A378" s="1" t="str">
        <f t="shared" si="5"/>
        <v>6</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8" s="1" t="s">
        <v>2427</v>
      </c>
    </row>
    <row r="379" spans="1:7" x14ac:dyDescent="0.35">
      <c r="A379" s="1" t="str">
        <f t="shared" si="5"/>
        <v>6</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9" s="1" t="s">
        <v>2428</v>
      </c>
    </row>
    <row r="380" spans="1:7" x14ac:dyDescent="0.35">
      <c r="A380" s="1" t="str">
        <f t="shared" si="5"/>
        <v>6</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0" s="1" t="s">
        <v>2429</v>
      </c>
      <c r="D380" s="1" t="s">
        <v>2430</v>
      </c>
      <c r="E380" s="1" t="s">
        <v>2431</v>
      </c>
      <c r="F380" s="1" t="s">
        <v>112</v>
      </c>
      <c r="G380" s="1">
        <v>3920397</v>
      </c>
    </row>
    <row r="381" spans="1:7" x14ac:dyDescent="0.35">
      <c r="A381" s="1" t="str">
        <f t="shared" si="5"/>
        <v>6</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1" s="1" t="s">
        <v>2432</v>
      </c>
      <c r="D381" s="1" t="s">
        <v>2433</v>
      </c>
      <c r="E381" s="1" t="s">
        <v>2434</v>
      </c>
      <c r="F381" s="1" t="s">
        <v>112</v>
      </c>
      <c r="G381" s="1">
        <v>4018229</v>
      </c>
    </row>
    <row r="382" spans="1:7" x14ac:dyDescent="0.35">
      <c r="A382" s="1" t="str">
        <f t="shared" si="5"/>
        <v>6</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2" s="1" t="s">
        <v>2435</v>
      </c>
      <c r="D382" s="1" t="s">
        <v>2436</v>
      </c>
      <c r="E382" s="1" t="s">
        <v>2437</v>
      </c>
      <c r="F382" s="1" t="s">
        <v>112</v>
      </c>
      <c r="G382" s="1">
        <v>3933980</v>
      </c>
    </row>
    <row r="383" spans="1:7" x14ac:dyDescent="0.35">
      <c r="A383" s="1" t="str">
        <f t="shared" si="5"/>
        <v>6</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3" s="1" t="s">
        <v>2438</v>
      </c>
      <c r="D383" s="1" t="s">
        <v>2439</v>
      </c>
      <c r="E383" s="1" t="s">
        <v>2440</v>
      </c>
      <c r="F383" s="1" t="s">
        <v>112</v>
      </c>
      <c r="G383" s="1">
        <v>4422492</v>
      </c>
    </row>
    <row r="384" spans="1:7" x14ac:dyDescent="0.35">
      <c r="A384" s="1" t="str">
        <f t="shared" si="5"/>
        <v>6</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4" s="1" t="s">
        <v>2441</v>
      </c>
      <c r="D384" s="1" t="s">
        <v>2442</v>
      </c>
      <c r="E384" s="1" t="s">
        <v>2443</v>
      </c>
      <c r="F384" s="1" t="s">
        <v>112</v>
      </c>
      <c r="G384" s="1">
        <v>3270613</v>
      </c>
    </row>
    <row r="385" spans="1:7" x14ac:dyDescent="0.35">
      <c r="A385" s="1" t="str">
        <f t="shared" si="5"/>
        <v>6</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5" s="1" t="s">
        <v>2444</v>
      </c>
      <c r="D385" s="1" t="s">
        <v>2445</v>
      </c>
      <c r="E385" s="1" t="s">
        <v>2446</v>
      </c>
      <c r="F385" s="1" t="s">
        <v>112</v>
      </c>
      <c r="G385" s="1">
        <v>3805975</v>
      </c>
    </row>
    <row r="386" spans="1:7" x14ac:dyDescent="0.35">
      <c r="A386" s="1" t="str">
        <f t="shared" ref="A386:A449" si="6">IFERROR(LEFT(RIGHT(C386,LEN(C386)-SEARCH("@",C386)),SEARCH("/",RIGHT(C386,LEN(C386)-SEARCH("@",C386)-1))),"")</f>
        <v>6</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6" s="1" t="s">
        <v>2447</v>
      </c>
      <c r="D386" s="1" t="s">
        <v>2448</v>
      </c>
      <c r="E386" s="1" t="s">
        <v>2449</v>
      </c>
      <c r="F386" s="1" t="s">
        <v>112</v>
      </c>
      <c r="G386" s="1">
        <v>3607737</v>
      </c>
    </row>
    <row r="387" spans="1:7" x14ac:dyDescent="0.35">
      <c r="A387" s="1" t="str">
        <f t="shared" si="6"/>
        <v>6</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7" s="1" t="s">
        <v>2450</v>
      </c>
      <c r="D387" s="1" t="s">
        <v>2451</v>
      </c>
      <c r="E387" s="1" t="s">
        <v>2452</v>
      </c>
      <c r="F387" s="1" t="s">
        <v>112</v>
      </c>
      <c r="G387" s="1">
        <v>3796176</v>
      </c>
    </row>
    <row r="388" spans="1:7" x14ac:dyDescent="0.35">
      <c r="A388" s="1" t="str">
        <f t="shared" si="6"/>
        <v>6</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88" s="1" t="s">
        <v>2453</v>
      </c>
      <c r="D388" s="1" t="s">
        <v>2454</v>
      </c>
      <c r="E388" s="1" t="s">
        <v>2455</v>
      </c>
      <c r="F388" s="1" t="s">
        <v>112</v>
      </c>
      <c r="G388" s="1">
        <v>982040</v>
      </c>
    </row>
    <row r="389" spans="1:7" x14ac:dyDescent="0.35">
      <c r="A389" s="1" t="str">
        <f t="shared" si="6"/>
        <v>6</v>
      </c>
      <c r="B3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89" s="1" t="s">
        <v>2456</v>
      </c>
      <c r="D389" s="1" t="s">
        <v>2457</v>
      </c>
      <c r="E389" s="1" t="s">
        <v>2458</v>
      </c>
      <c r="F389" s="1" t="s">
        <v>112</v>
      </c>
      <c r="G389" s="1">
        <v>1409577</v>
      </c>
    </row>
    <row r="390" spans="1:7" x14ac:dyDescent="0.35">
      <c r="A390" s="1" t="str">
        <f t="shared" si="6"/>
        <v>6</v>
      </c>
      <c r="B3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90" s="1" t="s">
        <v>2459</v>
      </c>
      <c r="D390" s="1" t="s">
        <v>2460</v>
      </c>
      <c r="E390" s="1" t="s">
        <v>2461</v>
      </c>
      <c r="F390" s="1" t="s">
        <v>112</v>
      </c>
      <c r="G390" s="1">
        <v>1360239</v>
      </c>
    </row>
    <row r="391" spans="1:7" x14ac:dyDescent="0.35">
      <c r="A391" s="1" t="str">
        <f t="shared" si="6"/>
        <v>6</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91" s="1" t="s">
        <v>2462</v>
      </c>
      <c r="D391" s="1" t="s">
        <v>2463</v>
      </c>
      <c r="E391" s="1" t="s">
        <v>2464</v>
      </c>
      <c r="F391" s="1" t="s">
        <v>112</v>
      </c>
      <c r="G391" s="1">
        <v>751098</v>
      </c>
    </row>
    <row r="392" spans="1:7" x14ac:dyDescent="0.35">
      <c r="A392" s="1" t="str">
        <f t="shared" si="6"/>
        <v>6</v>
      </c>
      <c r="B3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2" s="1" t="s">
        <v>2465</v>
      </c>
      <c r="D392" s="1" t="s">
        <v>2466</v>
      </c>
      <c r="E392" s="1" t="s">
        <v>2467</v>
      </c>
      <c r="F392" s="1" t="s">
        <v>112</v>
      </c>
      <c r="G392" s="1">
        <v>1842716</v>
      </c>
    </row>
    <row r="393" spans="1:7" x14ac:dyDescent="0.35">
      <c r="A393" s="1" t="str">
        <f t="shared" si="6"/>
        <v>6</v>
      </c>
      <c r="B3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3" s="1" t="s">
        <v>2468</v>
      </c>
      <c r="D393" s="1" t="s">
        <v>1400</v>
      </c>
      <c r="E393" s="1" t="s">
        <v>2469</v>
      </c>
      <c r="F393" s="1" t="s">
        <v>112</v>
      </c>
      <c r="G393" s="1">
        <v>1991919</v>
      </c>
    </row>
    <row r="394" spans="1:7" x14ac:dyDescent="0.35">
      <c r="A394" s="1" t="str">
        <f t="shared" si="6"/>
        <v>6</v>
      </c>
      <c r="B3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4" s="1" t="s">
        <v>2470</v>
      </c>
      <c r="D394" s="1" t="s">
        <v>2471</v>
      </c>
      <c r="E394" s="1" t="s">
        <v>2472</v>
      </c>
      <c r="F394" s="1" t="s">
        <v>112</v>
      </c>
      <c r="G394" s="1">
        <v>2081055</v>
      </c>
    </row>
    <row r="395" spans="1:7" x14ac:dyDescent="0.35">
      <c r="A395" s="1" t="str">
        <f t="shared" si="6"/>
        <v>6</v>
      </c>
      <c r="B3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5" s="1" t="s">
        <v>2473</v>
      </c>
      <c r="D395" s="1" t="s">
        <v>827</v>
      </c>
      <c r="E395" s="1" t="s">
        <v>2474</v>
      </c>
      <c r="F395" s="1" t="s">
        <v>112</v>
      </c>
      <c r="G395" s="1">
        <v>1982466</v>
      </c>
    </row>
    <row r="396" spans="1:7" x14ac:dyDescent="0.35">
      <c r="A396" s="1" t="str">
        <f t="shared" si="6"/>
        <v>6</v>
      </c>
      <c r="B3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6" s="1" t="s">
        <v>2475</v>
      </c>
      <c r="D396" s="1" t="s">
        <v>1316</v>
      </c>
      <c r="E396" s="1" t="s">
        <v>2476</v>
      </c>
      <c r="F396" s="1" t="s">
        <v>112</v>
      </c>
      <c r="G396" s="1">
        <v>3035128</v>
      </c>
    </row>
    <row r="397" spans="1:7" x14ac:dyDescent="0.35">
      <c r="A397" s="1" t="str">
        <f t="shared" si="6"/>
        <v>6</v>
      </c>
      <c r="B3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7" s="1" t="s">
        <v>2477</v>
      </c>
      <c r="D397" s="1" t="s">
        <v>2478</v>
      </c>
      <c r="E397" s="1" t="s">
        <v>2479</v>
      </c>
      <c r="F397" s="1" t="s">
        <v>112</v>
      </c>
      <c r="G397" s="1">
        <v>2356469</v>
      </c>
    </row>
    <row r="398" spans="1:7" x14ac:dyDescent="0.35">
      <c r="A398" s="1" t="str">
        <f t="shared" si="6"/>
        <v>6</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8" s="1" t="s">
        <v>2480</v>
      </c>
      <c r="D398" s="1" t="s">
        <v>2481</v>
      </c>
      <c r="E398" s="1" t="s">
        <v>2482</v>
      </c>
      <c r="F398" s="1" t="s">
        <v>112</v>
      </c>
      <c r="G398" s="1">
        <v>2816969</v>
      </c>
    </row>
    <row r="399" spans="1:7" x14ac:dyDescent="0.35">
      <c r="A399" s="1" t="str">
        <f t="shared" si="6"/>
        <v>6</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9" s="1" t="s">
        <v>2483</v>
      </c>
    </row>
    <row r="400" spans="1:7" x14ac:dyDescent="0.35">
      <c r="A400" s="1" t="str">
        <f t="shared" si="6"/>
        <v>6</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0" s="1" t="s">
        <v>2484</v>
      </c>
      <c r="D400" s="1" t="s">
        <v>2485</v>
      </c>
      <c r="E400" s="1" t="s">
        <v>2486</v>
      </c>
      <c r="F400" s="1" t="s">
        <v>112</v>
      </c>
      <c r="G400" s="1">
        <v>2595652</v>
      </c>
    </row>
    <row r="401" spans="1:8" x14ac:dyDescent="0.35">
      <c r="A401" s="1" t="str">
        <f t="shared" si="6"/>
        <v>6</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1" s="1" t="s">
        <v>2487</v>
      </c>
      <c r="D401" s="1" t="s">
        <v>2488</v>
      </c>
      <c r="E401" s="1" t="s">
        <v>2489</v>
      </c>
      <c r="F401" s="1" t="s">
        <v>112</v>
      </c>
      <c r="G401" s="1">
        <v>2687276</v>
      </c>
    </row>
    <row r="402" spans="1:8" x14ac:dyDescent="0.35">
      <c r="A402" s="1" t="str">
        <f t="shared" si="6"/>
        <v>6</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2" s="1" t="s">
        <v>2490</v>
      </c>
      <c r="D402" s="1" t="s">
        <v>2491</v>
      </c>
      <c r="E402" s="1" t="s">
        <v>2492</v>
      </c>
      <c r="F402" s="1" t="s">
        <v>112</v>
      </c>
      <c r="G402" s="1">
        <v>2628140</v>
      </c>
    </row>
    <row r="403" spans="1:8" x14ac:dyDescent="0.35">
      <c r="A403" s="1" t="str">
        <f t="shared" si="6"/>
        <v>6</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3" s="1" t="s">
        <v>2493</v>
      </c>
      <c r="D403" s="1" t="s">
        <v>2494</v>
      </c>
      <c r="E403" s="1" t="s">
        <v>2495</v>
      </c>
      <c r="F403" s="1" t="s">
        <v>112</v>
      </c>
      <c r="G403" s="1">
        <v>2885385</v>
      </c>
    </row>
    <row r="404" spans="1:8" x14ac:dyDescent="0.35">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4" s="1" t="s">
        <v>112</v>
      </c>
    </row>
    <row r="405" spans="1:8" x14ac:dyDescent="0.35">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5" s="1" t="s">
        <v>242</v>
      </c>
      <c r="D405" s="1" t="s">
        <v>112</v>
      </c>
      <c r="E405" s="1" t="s">
        <v>243</v>
      </c>
      <c r="F405" s="1" t="s">
        <v>244</v>
      </c>
      <c r="G405" s="1" t="s">
        <v>245</v>
      </c>
      <c r="H405" s="1" t="s">
        <v>246</v>
      </c>
    </row>
    <row r="406" spans="1:8" x14ac:dyDescent="0.35">
      <c r="A406" s="1" t="str">
        <f t="shared" si="6"/>
        <v>6</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06" s="1" t="s">
        <v>2496</v>
      </c>
      <c r="D406" s="1" t="s">
        <v>112</v>
      </c>
      <c r="E406" s="1" t="s">
        <v>2497</v>
      </c>
      <c r="F406" s="1" t="s">
        <v>2498</v>
      </c>
      <c r="G406" s="1" t="s">
        <v>2499</v>
      </c>
      <c r="H406" s="1" t="s">
        <v>2500</v>
      </c>
    </row>
    <row r="407" spans="1:8" x14ac:dyDescent="0.35">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7" s="1" t="s">
        <v>112</v>
      </c>
    </row>
    <row r="408" spans="1:8" x14ac:dyDescent="0.35">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8" s="1" t="s">
        <v>112</v>
      </c>
    </row>
    <row r="409" spans="1:8" x14ac:dyDescent="0.35">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9" s="1" t="s">
        <v>112</v>
      </c>
    </row>
    <row r="410" spans="1:8" x14ac:dyDescent="0.35">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0" s="1" t="s">
        <v>112</v>
      </c>
    </row>
    <row r="411" spans="1:8" x14ac:dyDescent="0.35">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1" s="1" t="s">
        <v>112</v>
      </c>
    </row>
    <row r="412" spans="1:8" x14ac:dyDescent="0.35">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2" s="1" t="s">
        <v>172</v>
      </c>
      <c r="D412" s="1" t="s">
        <v>110</v>
      </c>
      <c r="E412" s="1" t="s">
        <v>111</v>
      </c>
      <c r="F412" s="1" t="s">
        <v>112</v>
      </c>
      <c r="G412" s="1" t="s">
        <v>113</v>
      </c>
    </row>
    <row r="413" spans="1:8" x14ac:dyDescent="0.35">
      <c r="A413" s="1" t="str">
        <f t="shared" si="6"/>
        <v>7</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3" s="1" t="s">
        <v>2501</v>
      </c>
      <c r="D413" s="1" t="s">
        <v>2502</v>
      </c>
      <c r="E413" s="1" t="s">
        <v>2503</v>
      </c>
      <c r="F413" s="1" t="s">
        <v>112</v>
      </c>
      <c r="G413" s="1">
        <v>5583628</v>
      </c>
    </row>
    <row r="414" spans="1:8" x14ac:dyDescent="0.35">
      <c r="A414" s="1" t="str">
        <f t="shared" si="6"/>
        <v>7</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4" s="1" t="s">
        <v>2504</v>
      </c>
      <c r="D414" s="1" t="s">
        <v>2505</v>
      </c>
      <c r="E414" s="1" t="s">
        <v>2506</v>
      </c>
      <c r="F414" s="1" t="s">
        <v>112</v>
      </c>
      <c r="G414" s="1">
        <v>5769342</v>
      </c>
    </row>
    <row r="415" spans="1:8" x14ac:dyDescent="0.35">
      <c r="A415" s="1" t="str">
        <f t="shared" si="6"/>
        <v>7</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5" s="1" t="s">
        <v>2507</v>
      </c>
      <c r="D415" s="1" t="s">
        <v>2508</v>
      </c>
      <c r="E415" s="1" t="s">
        <v>2509</v>
      </c>
      <c r="F415" s="1" t="s">
        <v>112</v>
      </c>
      <c r="G415" s="1">
        <v>5884110</v>
      </c>
    </row>
    <row r="416" spans="1:8" x14ac:dyDescent="0.35">
      <c r="A416" s="1" t="str">
        <f t="shared" si="6"/>
        <v>7</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6" s="1" t="s">
        <v>2510</v>
      </c>
      <c r="D416" s="1" t="s">
        <v>2511</v>
      </c>
      <c r="E416" s="1" t="s">
        <v>2512</v>
      </c>
      <c r="F416" s="1" t="s">
        <v>112</v>
      </c>
      <c r="G416" s="1">
        <v>5555141</v>
      </c>
    </row>
    <row r="417" spans="1:7" x14ac:dyDescent="0.35">
      <c r="A417" s="1" t="str">
        <f t="shared" si="6"/>
        <v>7</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7" s="1" t="s">
        <v>2513</v>
      </c>
    </row>
    <row r="418" spans="1:7" x14ac:dyDescent="0.35">
      <c r="A418" s="1" t="str">
        <f t="shared" si="6"/>
        <v>7</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8" s="1" t="s">
        <v>2514</v>
      </c>
    </row>
    <row r="419" spans="1:7" x14ac:dyDescent="0.35">
      <c r="A419" s="1" t="str">
        <f t="shared" si="6"/>
        <v>7</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9" s="1" t="s">
        <v>2515</v>
      </c>
    </row>
    <row r="420" spans="1:7" x14ac:dyDescent="0.35">
      <c r="A420" s="1" t="str">
        <f t="shared" si="6"/>
        <v>7</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20" s="1" t="s">
        <v>2516</v>
      </c>
      <c r="D420" s="1" t="s">
        <v>2517</v>
      </c>
      <c r="E420" s="1" t="s">
        <v>2518</v>
      </c>
      <c r="F420" s="1" t="s">
        <v>112</v>
      </c>
      <c r="G420" s="1">
        <v>6266007</v>
      </c>
    </row>
    <row r="421" spans="1:7" x14ac:dyDescent="0.35">
      <c r="A421" s="1" t="str">
        <f t="shared" si="6"/>
        <v>7</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1" s="1" t="s">
        <v>2519</v>
      </c>
      <c r="D421" s="1" t="s">
        <v>2520</v>
      </c>
      <c r="E421" s="1" t="s">
        <v>2521</v>
      </c>
      <c r="F421" s="1" t="s">
        <v>112</v>
      </c>
      <c r="G421" s="1">
        <v>3551110</v>
      </c>
    </row>
    <row r="422" spans="1:7" x14ac:dyDescent="0.35">
      <c r="A422" s="1" t="str">
        <f t="shared" si="6"/>
        <v>7</v>
      </c>
      <c r="B4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2" s="1" t="s">
        <v>2522</v>
      </c>
      <c r="D422" s="1" t="s">
        <v>2523</v>
      </c>
      <c r="E422" s="1" t="s">
        <v>2524</v>
      </c>
      <c r="F422" s="1" t="s">
        <v>112</v>
      </c>
      <c r="G422" s="1">
        <v>4101006</v>
      </c>
    </row>
    <row r="423" spans="1:7" x14ac:dyDescent="0.35">
      <c r="A423" s="1" t="str">
        <f t="shared" si="6"/>
        <v>7</v>
      </c>
      <c r="B4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3" s="1" t="s">
        <v>2525</v>
      </c>
      <c r="D423" s="1" t="s">
        <v>2526</v>
      </c>
      <c r="E423" s="1" t="s">
        <v>2527</v>
      </c>
      <c r="F423" s="1" t="s">
        <v>112</v>
      </c>
      <c r="G423" s="1">
        <v>3526300</v>
      </c>
    </row>
    <row r="424" spans="1:7" x14ac:dyDescent="0.35">
      <c r="A424" s="1" t="str">
        <f t="shared" si="6"/>
        <v>7</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4" s="1" t="s">
        <v>2528</v>
      </c>
      <c r="D424" s="1" t="s">
        <v>2529</v>
      </c>
      <c r="E424" s="1" t="s">
        <v>2530</v>
      </c>
      <c r="F424" s="1" t="s">
        <v>112</v>
      </c>
      <c r="G424" s="1">
        <v>3425743</v>
      </c>
    </row>
    <row r="425" spans="1:7" x14ac:dyDescent="0.35">
      <c r="A425" s="1" t="str">
        <f t="shared" si="6"/>
        <v>7</v>
      </c>
      <c r="B4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5" s="1" t="s">
        <v>2531</v>
      </c>
      <c r="D425" s="1" t="s">
        <v>2532</v>
      </c>
      <c r="E425" s="1" t="s">
        <v>2533</v>
      </c>
      <c r="F425" s="1" t="s">
        <v>112</v>
      </c>
      <c r="G425" s="1">
        <v>5087762</v>
      </c>
    </row>
    <row r="426" spans="1:7" x14ac:dyDescent="0.35">
      <c r="A426" s="1" t="str">
        <f t="shared" si="6"/>
        <v>7</v>
      </c>
      <c r="B4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6" s="1" t="s">
        <v>2534</v>
      </c>
      <c r="D426" s="1" t="s">
        <v>2423</v>
      </c>
      <c r="E426" s="1" t="s">
        <v>2535</v>
      </c>
      <c r="F426" s="1" t="s">
        <v>112</v>
      </c>
      <c r="G426" s="1">
        <v>4818427</v>
      </c>
    </row>
    <row r="427" spans="1:7" x14ac:dyDescent="0.35">
      <c r="A427" s="1" t="str">
        <f t="shared" si="6"/>
        <v>7</v>
      </c>
      <c r="B4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7" s="1" t="s">
        <v>2536</v>
      </c>
      <c r="D427" s="1" t="s">
        <v>2537</v>
      </c>
      <c r="E427" s="1" t="s">
        <v>2538</v>
      </c>
      <c r="F427" s="1" t="s">
        <v>112</v>
      </c>
      <c r="G427" s="1">
        <v>5183972</v>
      </c>
    </row>
    <row r="428" spans="1:7" x14ac:dyDescent="0.35">
      <c r="A428" s="1" t="str">
        <f t="shared" si="6"/>
        <v>7</v>
      </c>
      <c r="B4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8" s="1" t="s">
        <v>2539</v>
      </c>
      <c r="D428" s="1" t="s">
        <v>2540</v>
      </c>
      <c r="E428" s="1" t="s">
        <v>2541</v>
      </c>
      <c r="F428" s="1" t="s">
        <v>112</v>
      </c>
      <c r="G428" s="1">
        <v>4765542</v>
      </c>
    </row>
    <row r="429" spans="1:7" x14ac:dyDescent="0.35">
      <c r="A429" s="1" t="str">
        <f t="shared" si="6"/>
        <v>7</v>
      </c>
      <c r="B4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29" s="1" t="s">
        <v>2542</v>
      </c>
      <c r="D429" s="1" t="s">
        <v>2543</v>
      </c>
      <c r="E429" s="1" t="s">
        <v>2544</v>
      </c>
      <c r="F429" s="1" t="s">
        <v>112</v>
      </c>
      <c r="G429" s="1">
        <v>3891845</v>
      </c>
    </row>
    <row r="430" spans="1:7" x14ac:dyDescent="0.35">
      <c r="A430" s="1" t="str">
        <f t="shared" si="6"/>
        <v>7</v>
      </c>
      <c r="B4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30" s="1" t="s">
        <v>2545</v>
      </c>
      <c r="D430" s="1" t="s">
        <v>2546</v>
      </c>
      <c r="E430" s="1" t="s">
        <v>2547</v>
      </c>
      <c r="F430" s="1" t="s">
        <v>112</v>
      </c>
      <c r="G430" s="1">
        <v>3804807</v>
      </c>
    </row>
    <row r="431" spans="1:7" x14ac:dyDescent="0.35">
      <c r="A431" s="1" t="str">
        <f t="shared" si="6"/>
        <v>7</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31" s="1" t="s">
        <v>2548</v>
      </c>
      <c r="D431" s="1" t="s">
        <v>2549</v>
      </c>
      <c r="E431" s="1" t="s">
        <v>2550</v>
      </c>
      <c r="F431" s="1" t="s">
        <v>112</v>
      </c>
      <c r="G431" s="1">
        <v>4048402</v>
      </c>
    </row>
    <row r="432" spans="1:7" x14ac:dyDescent="0.35">
      <c r="A432" s="1" t="str">
        <f t="shared" si="6"/>
        <v>7</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32" s="1" t="s">
        <v>2551</v>
      </c>
      <c r="D432" s="1" t="s">
        <v>2552</v>
      </c>
      <c r="E432" s="1" t="s">
        <v>2553</v>
      </c>
      <c r="F432" s="1" t="s">
        <v>112</v>
      </c>
      <c r="G432" s="1">
        <v>4045591</v>
      </c>
    </row>
    <row r="433" spans="1:8" x14ac:dyDescent="0.35">
      <c r="A433" s="1" t="str">
        <f t="shared" si="6"/>
        <v>7</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3" s="1" t="s">
        <v>2554</v>
      </c>
    </row>
    <row r="434" spans="1:8" x14ac:dyDescent="0.35">
      <c r="A434" s="1" t="str">
        <f t="shared" si="6"/>
        <v>7</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4" s="1" t="s">
        <v>2555</v>
      </c>
    </row>
    <row r="435" spans="1:8" x14ac:dyDescent="0.35">
      <c r="A435" s="1" t="str">
        <f t="shared" si="6"/>
        <v>7</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5" s="1" t="s">
        <v>2556</v>
      </c>
    </row>
    <row r="436" spans="1:8" x14ac:dyDescent="0.35">
      <c r="A436" s="1" t="str">
        <f t="shared" si="6"/>
        <v>7</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6" s="1" t="s">
        <v>2557</v>
      </c>
    </row>
    <row r="437" spans="1:8" x14ac:dyDescent="0.35">
      <c r="A437" s="1" t="str">
        <f t="shared" si="6"/>
        <v>7</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37" s="1" t="s">
        <v>2558</v>
      </c>
      <c r="D437" s="1" t="s">
        <v>2559</v>
      </c>
      <c r="E437" s="1" t="s">
        <v>2560</v>
      </c>
      <c r="F437" s="1" t="s">
        <v>112</v>
      </c>
      <c r="G437" s="1">
        <v>3259084</v>
      </c>
    </row>
    <row r="438" spans="1:8" x14ac:dyDescent="0.35">
      <c r="A438" s="1" t="str">
        <f t="shared" si="6"/>
        <v>7</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38" s="1" t="s">
        <v>2561</v>
      </c>
      <c r="D438" s="1" t="s">
        <v>2562</v>
      </c>
      <c r="E438" s="1" t="s">
        <v>2563</v>
      </c>
      <c r="F438" s="1" t="s">
        <v>112</v>
      </c>
      <c r="G438" s="1">
        <v>3042266</v>
      </c>
    </row>
    <row r="439" spans="1:8" x14ac:dyDescent="0.35">
      <c r="A439" s="1" t="str">
        <f t="shared" si="6"/>
        <v>7</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39" s="1" t="s">
        <v>2564</v>
      </c>
      <c r="D439" s="1" t="s">
        <v>2565</v>
      </c>
      <c r="E439" s="1" t="s">
        <v>2566</v>
      </c>
      <c r="F439" s="1" t="s">
        <v>112</v>
      </c>
      <c r="G439" s="1">
        <v>3029440</v>
      </c>
    </row>
    <row r="440" spans="1:8" x14ac:dyDescent="0.35">
      <c r="A440" s="1" t="str">
        <f t="shared" si="6"/>
        <v>7</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0" s="1" t="s">
        <v>2567</v>
      </c>
      <c r="D440" s="1" t="s">
        <v>2568</v>
      </c>
      <c r="E440" s="1" t="s">
        <v>2569</v>
      </c>
      <c r="F440" s="1" t="s">
        <v>112</v>
      </c>
      <c r="G440" s="1">
        <v>3510207</v>
      </c>
    </row>
    <row r="441" spans="1:8" x14ac:dyDescent="0.35">
      <c r="A441" s="1" t="str">
        <f t="shared" si="6"/>
        <v>7</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1" s="1" t="s">
        <v>2570</v>
      </c>
    </row>
    <row r="442" spans="1:8" x14ac:dyDescent="0.35">
      <c r="A442" s="1" t="str">
        <f t="shared" si="6"/>
        <v>7</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2" s="1" t="s">
        <v>2571</v>
      </c>
    </row>
    <row r="443" spans="1:8" x14ac:dyDescent="0.35">
      <c r="A443" s="1" t="str">
        <f t="shared" si="6"/>
        <v>7</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3" s="1" t="s">
        <v>2572</v>
      </c>
    </row>
    <row r="444" spans="1:8" x14ac:dyDescent="0.35">
      <c r="A444" s="1" t="str">
        <f t="shared" si="6"/>
        <v>7</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4" s="1" t="s">
        <v>2573</v>
      </c>
    </row>
    <row r="445" spans="1:8" x14ac:dyDescent="0.3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5" s="1" t="s">
        <v>112</v>
      </c>
    </row>
    <row r="446" spans="1:8" x14ac:dyDescent="0.35">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6" s="1" t="s">
        <v>242</v>
      </c>
      <c r="D446" s="1" t="s">
        <v>112</v>
      </c>
      <c r="E446" s="1" t="s">
        <v>243</v>
      </c>
      <c r="F446" s="1" t="s">
        <v>244</v>
      </c>
      <c r="G446" s="1" t="s">
        <v>245</v>
      </c>
      <c r="H446" s="1" t="s">
        <v>246</v>
      </c>
    </row>
    <row r="447" spans="1:8" x14ac:dyDescent="0.35">
      <c r="A447" s="1" t="str">
        <f t="shared" si="6"/>
        <v>7</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47" s="1" t="s">
        <v>2574</v>
      </c>
      <c r="D447" s="1" t="s">
        <v>112</v>
      </c>
      <c r="E447" s="1" t="s">
        <v>2575</v>
      </c>
      <c r="F447" s="1" t="s">
        <v>2576</v>
      </c>
      <c r="G447" s="1" t="s">
        <v>2577</v>
      </c>
      <c r="H447" s="1" t="s">
        <v>2578</v>
      </c>
    </row>
    <row r="448" spans="1:8" x14ac:dyDescent="0.3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8" s="1" t="s">
        <v>112</v>
      </c>
    </row>
    <row r="449" spans="1:7" x14ac:dyDescent="0.3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9" s="1" t="s">
        <v>112</v>
      </c>
    </row>
    <row r="450" spans="1:7" x14ac:dyDescent="0.3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0" s="1" t="s">
        <v>112</v>
      </c>
    </row>
    <row r="451" spans="1:7" x14ac:dyDescent="0.3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1" s="1" t="s">
        <v>112</v>
      </c>
    </row>
    <row r="452" spans="1:7" x14ac:dyDescent="0.3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2" s="1" t="s">
        <v>112</v>
      </c>
    </row>
    <row r="453" spans="1:7" x14ac:dyDescent="0.3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3" s="1" t="s">
        <v>172</v>
      </c>
      <c r="D453" s="1" t="s">
        <v>110</v>
      </c>
      <c r="E453" s="1" t="s">
        <v>111</v>
      </c>
      <c r="F453" s="1" t="s">
        <v>112</v>
      </c>
      <c r="G453" s="1" t="s">
        <v>113</v>
      </c>
    </row>
    <row r="454" spans="1:7" x14ac:dyDescent="0.35">
      <c r="A454" s="1" t="str">
        <f t="shared" si="7"/>
        <v>10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4" s="1" t="s">
        <v>2579</v>
      </c>
      <c r="D454" s="1" t="s">
        <v>2580</v>
      </c>
      <c r="E454" s="1" t="s">
        <v>2581</v>
      </c>
      <c r="F454" s="1" t="s">
        <v>112</v>
      </c>
      <c r="G454" s="1">
        <v>42546</v>
      </c>
    </row>
    <row r="455" spans="1:7" x14ac:dyDescent="0.35">
      <c r="A455" s="1" t="str">
        <f t="shared" si="7"/>
        <v>10</v>
      </c>
      <c r="B4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5" s="1" t="s">
        <v>2582</v>
      </c>
      <c r="D455" s="1" t="s">
        <v>625</v>
      </c>
      <c r="E455" s="1" t="s">
        <v>2583</v>
      </c>
      <c r="F455" s="1" t="s">
        <v>112</v>
      </c>
      <c r="G455" s="1">
        <v>102526</v>
      </c>
    </row>
    <row r="456" spans="1:7" x14ac:dyDescent="0.35">
      <c r="A456" s="1" t="str">
        <f t="shared" si="7"/>
        <v>10</v>
      </c>
      <c r="B4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6" s="1" t="s">
        <v>2584</v>
      </c>
      <c r="D456" s="1" t="s">
        <v>2585</v>
      </c>
      <c r="E456" s="1" t="s">
        <v>2586</v>
      </c>
      <c r="F456" s="1" t="s">
        <v>112</v>
      </c>
      <c r="G456" s="1">
        <v>122966</v>
      </c>
    </row>
    <row r="457" spans="1:7" x14ac:dyDescent="0.35">
      <c r="A457" s="1" t="str">
        <f t="shared" si="7"/>
        <v>10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7" s="1" t="s">
        <v>2587</v>
      </c>
      <c r="D457" s="1" t="s">
        <v>968</v>
      </c>
      <c r="E457" s="1" t="s">
        <v>2588</v>
      </c>
      <c r="F457" s="1" t="s">
        <v>112</v>
      </c>
      <c r="G457" s="1">
        <v>77997</v>
      </c>
    </row>
    <row r="458" spans="1:7" x14ac:dyDescent="0.35">
      <c r="A458" s="1" t="str">
        <f t="shared" si="7"/>
        <v>10</v>
      </c>
      <c r="B4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58" s="1" t="s">
        <v>2589</v>
      </c>
      <c r="D458" s="1" t="s">
        <v>1549</v>
      </c>
      <c r="E458" s="1" t="s">
        <v>2590</v>
      </c>
      <c r="F458" s="1" t="s">
        <v>112</v>
      </c>
      <c r="G458" s="1">
        <v>118662</v>
      </c>
    </row>
    <row r="459" spans="1:7" x14ac:dyDescent="0.35">
      <c r="A459" s="1" t="str">
        <f t="shared" si="7"/>
        <v>10</v>
      </c>
      <c r="B4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59" s="1" t="s">
        <v>2591</v>
      </c>
      <c r="D459" s="1" t="s">
        <v>608</v>
      </c>
      <c r="E459" s="1" t="s">
        <v>2592</v>
      </c>
      <c r="F459" s="1" t="s">
        <v>112</v>
      </c>
      <c r="G459" s="1">
        <v>324535</v>
      </c>
    </row>
    <row r="460" spans="1:7" x14ac:dyDescent="0.35">
      <c r="A460" s="1" t="str">
        <f t="shared" si="7"/>
        <v>10</v>
      </c>
      <c r="B4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0" s="1" t="s">
        <v>2593</v>
      </c>
      <c r="D460" s="1" t="s">
        <v>2594</v>
      </c>
      <c r="E460" s="1" t="s">
        <v>2595</v>
      </c>
      <c r="F460" s="1" t="s">
        <v>112</v>
      </c>
      <c r="G460" s="1">
        <v>476896</v>
      </c>
    </row>
    <row r="461" spans="1:7" x14ac:dyDescent="0.35">
      <c r="A461" s="1" t="str">
        <f t="shared" si="7"/>
        <v>10</v>
      </c>
      <c r="B4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1" s="1" t="s">
        <v>2596</v>
      </c>
      <c r="D461" s="1" t="s">
        <v>2597</v>
      </c>
      <c r="E461" s="1" t="s">
        <v>2598</v>
      </c>
      <c r="F461" s="1" t="s">
        <v>112</v>
      </c>
      <c r="G461" s="1">
        <v>551541</v>
      </c>
    </row>
    <row r="462" spans="1:7" x14ac:dyDescent="0.35">
      <c r="A462" s="1" t="str">
        <f t="shared" si="7"/>
        <v>10</v>
      </c>
      <c r="B4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2" s="1" t="s">
        <v>2599</v>
      </c>
      <c r="D462" s="1" t="s">
        <v>2600</v>
      </c>
      <c r="E462" s="1" t="s">
        <v>2601</v>
      </c>
      <c r="F462" s="1" t="s">
        <v>112</v>
      </c>
      <c r="G462" s="1">
        <v>125670</v>
      </c>
    </row>
    <row r="463" spans="1:7" x14ac:dyDescent="0.35">
      <c r="A463" s="1" t="str">
        <f t="shared" si="7"/>
        <v>10</v>
      </c>
      <c r="B4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3" s="1" t="s">
        <v>2602</v>
      </c>
      <c r="D463" s="1" t="s">
        <v>2603</v>
      </c>
      <c r="E463" s="1" t="s">
        <v>2604</v>
      </c>
      <c r="F463" s="1" t="s">
        <v>112</v>
      </c>
      <c r="G463" s="1">
        <v>116801</v>
      </c>
    </row>
    <row r="464" spans="1:7" x14ac:dyDescent="0.35">
      <c r="A464" s="1" t="str">
        <f t="shared" si="7"/>
        <v>10</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4" s="1" t="s">
        <v>2605</v>
      </c>
      <c r="D464" s="1" t="s">
        <v>2218</v>
      </c>
      <c r="E464" s="1" t="s">
        <v>2606</v>
      </c>
      <c r="F464" s="1" t="s">
        <v>112</v>
      </c>
      <c r="G464" s="1">
        <v>225405</v>
      </c>
    </row>
    <row r="465" spans="1:7" x14ac:dyDescent="0.35">
      <c r="A465" s="1" t="str">
        <f t="shared" si="7"/>
        <v>10</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5" s="1" t="s">
        <v>2607</v>
      </c>
      <c r="D465" s="1" t="s">
        <v>2608</v>
      </c>
      <c r="E465" s="1" t="s">
        <v>2609</v>
      </c>
      <c r="F465" s="1" t="s">
        <v>112</v>
      </c>
      <c r="G465" s="1">
        <v>329250</v>
      </c>
    </row>
    <row r="466" spans="1:7" x14ac:dyDescent="0.35">
      <c r="A466" s="1" t="str">
        <f t="shared" si="7"/>
        <v>10</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6" s="1" t="s">
        <v>2610</v>
      </c>
      <c r="D466" s="1" t="s">
        <v>2611</v>
      </c>
      <c r="E466" s="1" t="s">
        <v>2612</v>
      </c>
      <c r="F466" s="1" t="s">
        <v>112</v>
      </c>
      <c r="G466" s="1">
        <v>139102</v>
      </c>
    </row>
    <row r="467" spans="1:7" x14ac:dyDescent="0.35">
      <c r="A467" s="1" t="str">
        <f t="shared" si="7"/>
        <v>10</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7" s="1" t="s">
        <v>2613</v>
      </c>
      <c r="D467" s="1" t="s">
        <v>305</v>
      </c>
      <c r="E467" s="1" t="s">
        <v>2614</v>
      </c>
      <c r="F467" s="1" t="s">
        <v>112</v>
      </c>
      <c r="G467" s="1">
        <v>19662</v>
      </c>
    </row>
    <row r="468" spans="1:7" x14ac:dyDescent="0.35">
      <c r="A468" s="1" t="str">
        <f t="shared" si="7"/>
        <v>10</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8" s="1" t="s">
        <v>2615</v>
      </c>
      <c r="D468" s="1" t="s">
        <v>2616</v>
      </c>
      <c r="E468" s="1" t="s">
        <v>2617</v>
      </c>
      <c r="F468" s="1" t="s">
        <v>112</v>
      </c>
      <c r="G468" s="1">
        <v>61256</v>
      </c>
    </row>
    <row r="469" spans="1:7" x14ac:dyDescent="0.35">
      <c r="A469" s="1" t="str">
        <f t="shared" si="7"/>
        <v>10</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9" s="1" t="s">
        <v>2618</v>
      </c>
      <c r="D469" s="1" t="s">
        <v>2104</v>
      </c>
      <c r="E469" s="1" t="s">
        <v>2619</v>
      </c>
      <c r="F469" s="1" t="s">
        <v>112</v>
      </c>
      <c r="G469" s="1">
        <v>200012</v>
      </c>
    </row>
    <row r="470" spans="1:7" x14ac:dyDescent="0.35">
      <c r="A470" s="1" t="str">
        <f t="shared" si="7"/>
        <v>10</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0" s="1" t="s">
        <v>2620</v>
      </c>
      <c r="D470" s="1" t="s">
        <v>2621</v>
      </c>
      <c r="E470" s="1" t="s">
        <v>2622</v>
      </c>
      <c r="F470" s="1" t="s">
        <v>112</v>
      </c>
      <c r="G470" s="1">
        <v>366886</v>
      </c>
    </row>
    <row r="471" spans="1:7" x14ac:dyDescent="0.35">
      <c r="A471" s="1" t="str">
        <f t="shared" si="7"/>
        <v>10</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1" s="1" t="s">
        <v>2623</v>
      </c>
      <c r="D471" s="1" t="s">
        <v>702</v>
      </c>
      <c r="E471" s="1" t="s">
        <v>2624</v>
      </c>
      <c r="F471" s="1" t="s">
        <v>112</v>
      </c>
      <c r="G471" s="1">
        <v>554590</v>
      </c>
    </row>
    <row r="472" spans="1:7" x14ac:dyDescent="0.35">
      <c r="A472" s="1" t="str">
        <f t="shared" si="7"/>
        <v>10</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2" s="1" t="s">
        <v>2625</v>
      </c>
      <c r="D472" s="1" t="s">
        <v>619</v>
      </c>
      <c r="E472" s="1" t="s">
        <v>2626</v>
      </c>
      <c r="F472" s="1" t="s">
        <v>112</v>
      </c>
      <c r="G472" s="1">
        <v>351226</v>
      </c>
    </row>
    <row r="473" spans="1:7" x14ac:dyDescent="0.35">
      <c r="A473" s="1" t="str">
        <f t="shared" si="7"/>
        <v>10</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3" s="1" t="s">
        <v>2627</v>
      </c>
      <c r="D473" s="1" t="s">
        <v>2628</v>
      </c>
      <c r="E473" s="1" t="s">
        <v>2629</v>
      </c>
      <c r="F473" s="1" t="s">
        <v>112</v>
      </c>
      <c r="G473" s="1">
        <v>225578</v>
      </c>
    </row>
    <row r="474" spans="1:7" x14ac:dyDescent="0.35">
      <c r="A474" s="1" t="str">
        <f t="shared" si="7"/>
        <v>10</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4" s="1" t="s">
        <v>2630</v>
      </c>
      <c r="D474" s="1" t="s">
        <v>2631</v>
      </c>
      <c r="E474" s="1" t="s">
        <v>2632</v>
      </c>
      <c r="F474" s="1" t="s">
        <v>112</v>
      </c>
      <c r="G474" s="1">
        <v>73023</v>
      </c>
    </row>
    <row r="475" spans="1:7" x14ac:dyDescent="0.35">
      <c r="A475" s="1" t="str">
        <f t="shared" si="7"/>
        <v>10</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5" s="1" t="s">
        <v>2633</v>
      </c>
    </row>
    <row r="476" spans="1:7" x14ac:dyDescent="0.35">
      <c r="A476" s="1" t="str">
        <f t="shared" si="7"/>
        <v>10</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6" s="1" t="s">
        <v>2634</v>
      </c>
      <c r="D476" s="1" t="s">
        <v>2201</v>
      </c>
      <c r="E476" s="1" t="s">
        <v>2635</v>
      </c>
      <c r="F476" s="1" t="s">
        <v>112</v>
      </c>
      <c r="G476" s="1">
        <v>279891</v>
      </c>
    </row>
    <row r="477" spans="1:7" x14ac:dyDescent="0.35">
      <c r="A477" s="1" t="str">
        <f t="shared" si="7"/>
        <v>10</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7" s="1" t="s">
        <v>2636</v>
      </c>
      <c r="D477" s="1" t="s">
        <v>535</v>
      </c>
      <c r="E477" s="1" t="s">
        <v>2637</v>
      </c>
      <c r="F477" s="1" t="s">
        <v>112</v>
      </c>
      <c r="G477" s="1">
        <v>124631</v>
      </c>
    </row>
    <row r="478" spans="1:7" x14ac:dyDescent="0.35">
      <c r="A478" s="1" t="str">
        <f t="shared" si="7"/>
        <v>10</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78" s="1" t="s">
        <v>2638</v>
      </c>
      <c r="D478" s="1" t="s">
        <v>2639</v>
      </c>
      <c r="E478" s="1" t="s">
        <v>2640</v>
      </c>
      <c r="F478" s="1" t="s">
        <v>112</v>
      </c>
      <c r="G478" s="1">
        <v>905060</v>
      </c>
    </row>
    <row r="479" spans="1:7" x14ac:dyDescent="0.35">
      <c r="A479" s="1" t="str">
        <f t="shared" si="7"/>
        <v>10</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79" s="1" t="s">
        <v>2641</v>
      </c>
      <c r="D479" s="1" t="s">
        <v>2642</v>
      </c>
      <c r="E479" s="1" t="s">
        <v>2643</v>
      </c>
      <c r="F479" s="1" t="s">
        <v>112</v>
      </c>
      <c r="G479" s="1">
        <v>1226523</v>
      </c>
    </row>
    <row r="480" spans="1:7" x14ac:dyDescent="0.35">
      <c r="A480" s="1" t="str">
        <f t="shared" si="7"/>
        <v>10</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0" s="1" t="s">
        <v>2644</v>
      </c>
      <c r="D480" s="1" t="s">
        <v>2645</v>
      </c>
      <c r="E480" s="1" t="s">
        <v>2646</v>
      </c>
      <c r="F480" s="1" t="s">
        <v>112</v>
      </c>
      <c r="G480" s="1">
        <v>979250</v>
      </c>
    </row>
    <row r="481" spans="1:8" x14ac:dyDescent="0.35">
      <c r="A481" s="1" t="str">
        <f t="shared" si="7"/>
        <v>10</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1" s="1" t="s">
        <v>2647</v>
      </c>
      <c r="D481" s="1" t="s">
        <v>2648</v>
      </c>
      <c r="E481" s="1" t="s">
        <v>2649</v>
      </c>
      <c r="F481" s="1" t="s">
        <v>112</v>
      </c>
      <c r="G481" s="1">
        <v>1373152</v>
      </c>
    </row>
    <row r="482" spans="1:8" x14ac:dyDescent="0.35">
      <c r="A482" s="1" t="str">
        <f t="shared" si="7"/>
        <v>10</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2" s="1" t="s">
        <v>2650</v>
      </c>
      <c r="D482" s="1" t="s">
        <v>2651</v>
      </c>
      <c r="E482" s="1" t="s">
        <v>2652</v>
      </c>
      <c r="F482" s="1" t="s">
        <v>112</v>
      </c>
      <c r="G482" s="1">
        <v>526363</v>
      </c>
    </row>
    <row r="483" spans="1:8" x14ac:dyDescent="0.35">
      <c r="A483" s="1" t="str">
        <f t="shared" si="7"/>
        <v>10</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3" s="1" t="s">
        <v>2653</v>
      </c>
      <c r="D483" s="1" t="s">
        <v>503</v>
      </c>
      <c r="E483" s="1" t="s">
        <v>2654</v>
      </c>
      <c r="F483" s="1" t="s">
        <v>112</v>
      </c>
      <c r="G483" s="1">
        <v>273878</v>
      </c>
    </row>
    <row r="484" spans="1:8" x14ac:dyDescent="0.35">
      <c r="A484" s="1" t="str">
        <f t="shared" si="7"/>
        <v>10</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4" s="1" t="s">
        <v>2655</v>
      </c>
      <c r="D484" s="1" t="s">
        <v>2656</v>
      </c>
      <c r="E484" s="1" t="s">
        <v>2657</v>
      </c>
      <c r="F484" s="1" t="s">
        <v>112</v>
      </c>
      <c r="G484" s="1">
        <v>262219</v>
      </c>
    </row>
    <row r="485" spans="1:8" x14ac:dyDescent="0.35">
      <c r="A485" s="1" t="str">
        <f t="shared" si="7"/>
        <v>10</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2658</v>
      </c>
      <c r="D485" s="1" t="s">
        <v>645</v>
      </c>
      <c r="E485" s="1" t="s">
        <v>2659</v>
      </c>
      <c r="F485" s="1" t="s">
        <v>112</v>
      </c>
      <c r="G485" s="1">
        <v>281924</v>
      </c>
    </row>
    <row r="486" spans="1:8" x14ac:dyDescent="0.3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6" s="1" t="s">
        <v>112</v>
      </c>
    </row>
    <row r="487" spans="1:8" x14ac:dyDescent="0.35">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7" s="1" t="s">
        <v>242</v>
      </c>
      <c r="D487" s="1" t="s">
        <v>112</v>
      </c>
      <c r="E487" s="1" t="s">
        <v>243</v>
      </c>
      <c r="F487" s="1" t="s">
        <v>244</v>
      </c>
      <c r="G487" s="1" t="s">
        <v>245</v>
      </c>
      <c r="H487" s="1" t="s">
        <v>246</v>
      </c>
    </row>
    <row r="488" spans="1:8" x14ac:dyDescent="0.35">
      <c r="A488" s="1" t="str">
        <f t="shared" si="7"/>
        <v>10</v>
      </c>
      <c r="B4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88" s="1" t="s">
        <v>2660</v>
      </c>
      <c r="D488" s="1" t="s">
        <v>112</v>
      </c>
      <c r="E488" s="1" t="s">
        <v>1131</v>
      </c>
      <c r="F488" s="1" t="s">
        <v>2661</v>
      </c>
      <c r="G488" s="1" t="s">
        <v>2662</v>
      </c>
      <c r="H488" s="1" t="s">
        <v>2663</v>
      </c>
    </row>
    <row r="489" spans="1:8"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112</v>
      </c>
    </row>
    <row r="490" spans="1:8"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0" s="1" t="s">
        <v>112</v>
      </c>
    </row>
    <row r="491" spans="1:8"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8"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8"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8"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172</v>
      </c>
      <c r="D494" s="1" t="s">
        <v>110</v>
      </c>
      <c r="E494" s="1" t="s">
        <v>111</v>
      </c>
      <c r="F494" s="1" t="s">
        <v>112</v>
      </c>
      <c r="G494" s="1" t="s">
        <v>113</v>
      </c>
    </row>
    <row r="495" spans="1:8" x14ac:dyDescent="0.35">
      <c r="A495" s="1" t="str">
        <f t="shared" si="7"/>
        <v>11</v>
      </c>
      <c r="B4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5" s="1" t="s">
        <v>2664</v>
      </c>
      <c r="D495" s="1" t="s">
        <v>2665</v>
      </c>
      <c r="E495" s="1" t="s">
        <v>2666</v>
      </c>
      <c r="F495" s="1" t="s">
        <v>112</v>
      </c>
      <c r="G495" s="1">
        <v>1002351</v>
      </c>
    </row>
    <row r="496" spans="1:8" x14ac:dyDescent="0.35">
      <c r="A496" s="1" t="str">
        <f t="shared" si="7"/>
        <v>11</v>
      </c>
      <c r="B4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6" s="1" t="s">
        <v>2667</v>
      </c>
      <c r="D496" s="1" t="s">
        <v>2668</v>
      </c>
      <c r="E496" s="1" t="s">
        <v>2669</v>
      </c>
      <c r="F496" s="1" t="s">
        <v>112</v>
      </c>
      <c r="G496" s="1">
        <v>1573056</v>
      </c>
    </row>
    <row r="497" spans="1:7" x14ac:dyDescent="0.35">
      <c r="A497" s="1" t="str">
        <f t="shared" si="7"/>
        <v>11</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2670</v>
      </c>
      <c r="D497" s="1" t="s">
        <v>2671</v>
      </c>
      <c r="E497" s="1" t="s">
        <v>2672</v>
      </c>
      <c r="F497" s="1" t="s">
        <v>112</v>
      </c>
      <c r="G497" s="1">
        <v>1144243</v>
      </c>
    </row>
    <row r="498" spans="1:7" x14ac:dyDescent="0.35">
      <c r="A498" s="1" t="str">
        <f t="shared" si="7"/>
        <v>11</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2673</v>
      </c>
      <c r="D498" s="1" t="s">
        <v>2674</v>
      </c>
      <c r="E498" s="1" t="s">
        <v>2675</v>
      </c>
      <c r="F498" s="1" t="s">
        <v>112</v>
      </c>
      <c r="G498" s="1">
        <v>960670</v>
      </c>
    </row>
    <row r="499" spans="1:7" x14ac:dyDescent="0.35">
      <c r="A499" s="1" t="str">
        <f t="shared" si="7"/>
        <v>11</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99" s="1" t="s">
        <v>2676</v>
      </c>
      <c r="D499" s="1" t="s">
        <v>2677</v>
      </c>
      <c r="E499" s="1" t="s">
        <v>2678</v>
      </c>
      <c r="F499" s="1" t="s">
        <v>112</v>
      </c>
      <c r="G499" s="1">
        <v>306993</v>
      </c>
    </row>
    <row r="500" spans="1:7" x14ac:dyDescent="0.35">
      <c r="A500" s="1" t="str">
        <f t="shared" si="7"/>
        <v>11</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2679</v>
      </c>
      <c r="D500" s="1" t="s">
        <v>1150</v>
      </c>
      <c r="E500" s="1" t="s">
        <v>2680</v>
      </c>
      <c r="F500" s="1" t="s">
        <v>112</v>
      </c>
      <c r="G500" s="1">
        <v>445857</v>
      </c>
    </row>
    <row r="501" spans="1:7" x14ac:dyDescent="0.35">
      <c r="A501" s="1" t="str">
        <f t="shared" si="7"/>
        <v>11</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2681</v>
      </c>
      <c r="D501" s="1" t="s">
        <v>2682</v>
      </c>
      <c r="E501" s="1" t="s">
        <v>2683</v>
      </c>
      <c r="F501" s="1" t="s">
        <v>112</v>
      </c>
      <c r="G501" s="1">
        <v>394205</v>
      </c>
    </row>
    <row r="502" spans="1:7" x14ac:dyDescent="0.35">
      <c r="A502" s="1" t="str">
        <f t="shared" si="7"/>
        <v>11</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2684</v>
      </c>
      <c r="D502" s="1" t="s">
        <v>2685</v>
      </c>
      <c r="E502" s="1" t="s">
        <v>2686</v>
      </c>
      <c r="F502" s="1" t="s">
        <v>112</v>
      </c>
      <c r="G502" s="1">
        <v>1039360</v>
      </c>
    </row>
    <row r="503" spans="1:7" x14ac:dyDescent="0.35">
      <c r="A503" s="1" t="str">
        <f t="shared" si="7"/>
        <v>11</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2687</v>
      </c>
      <c r="D503" s="1" t="s">
        <v>156</v>
      </c>
      <c r="E503" s="1" t="s">
        <v>2688</v>
      </c>
      <c r="F503" s="1" t="s">
        <v>112</v>
      </c>
      <c r="G503" s="1">
        <v>522924</v>
      </c>
    </row>
    <row r="504" spans="1:7" x14ac:dyDescent="0.35">
      <c r="A504" s="1" t="str">
        <f t="shared" si="7"/>
        <v>11</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2689</v>
      </c>
    </row>
    <row r="505" spans="1:7" x14ac:dyDescent="0.35">
      <c r="A505" s="1" t="str">
        <f t="shared" si="7"/>
        <v>11</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2690</v>
      </c>
      <c r="D505" s="1" t="s">
        <v>2691</v>
      </c>
      <c r="E505" s="1" t="s">
        <v>2692</v>
      </c>
      <c r="F505" s="1" t="s">
        <v>112</v>
      </c>
      <c r="G505" s="1">
        <v>1254620</v>
      </c>
    </row>
    <row r="506" spans="1:7" x14ac:dyDescent="0.35">
      <c r="A506" s="1" t="str">
        <f t="shared" si="7"/>
        <v>11</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6" s="1" t="s">
        <v>2693</v>
      </c>
      <c r="D506" s="1" t="s">
        <v>2694</v>
      </c>
      <c r="E506" s="1" t="s">
        <v>2695</v>
      </c>
      <c r="F506" s="1" t="s">
        <v>112</v>
      </c>
      <c r="G506" s="1">
        <v>941917</v>
      </c>
    </row>
    <row r="507" spans="1:7" x14ac:dyDescent="0.35">
      <c r="A507" s="1" t="str">
        <f t="shared" si="7"/>
        <v>11</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2696</v>
      </c>
      <c r="D507" s="1" t="s">
        <v>2697</v>
      </c>
      <c r="E507" s="1" t="s">
        <v>2698</v>
      </c>
      <c r="F507" s="1" t="s">
        <v>112</v>
      </c>
      <c r="G507" s="1">
        <v>629170</v>
      </c>
    </row>
    <row r="508" spans="1:7" x14ac:dyDescent="0.35">
      <c r="A508" s="1" t="str">
        <f t="shared" si="7"/>
        <v>11</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2699</v>
      </c>
      <c r="D508" s="1" t="s">
        <v>2700</v>
      </c>
      <c r="E508" s="1" t="s">
        <v>2701</v>
      </c>
      <c r="F508" s="1" t="s">
        <v>112</v>
      </c>
      <c r="G508" s="1">
        <v>540726</v>
      </c>
    </row>
    <row r="509" spans="1:7" x14ac:dyDescent="0.35">
      <c r="A509" s="1" t="str">
        <f t="shared" si="7"/>
        <v>11</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9" s="1" t="s">
        <v>2702</v>
      </c>
      <c r="D509" s="1" t="s">
        <v>1094</v>
      </c>
      <c r="E509" s="1" t="s">
        <v>2703</v>
      </c>
      <c r="F509" s="1" t="s">
        <v>112</v>
      </c>
      <c r="G509" s="1">
        <v>614202</v>
      </c>
    </row>
    <row r="510" spans="1:7" x14ac:dyDescent="0.35">
      <c r="A510" s="1" t="str">
        <f t="shared" si="7"/>
        <v>11</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10" s="1" t="s">
        <v>2704</v>
      </c>
      <c r="D510" s="1" t="s">
        <v>2705</v>
      </c>
      <c r="E510" s="1" t="s">
        <v>2706</v>
      </c>
      <c r="F510" s="1" t="s">
        <v>112</v>
      </c>
      <c r="G510" s="1">
        <v>550200</v>
      </c>
    </row>
    <row r="511" spans="1:7" x14ac:dyDescent="0.35">
      <c r="A511" s="1" t="str">
        <f t="shared" si="7"/>
        <v>11</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2707</v>
      </c>
      <c r="D511" s="1" t="s">
        <v>2708</v>
      </c>
      <c r="E511" s="1" t="s">
        <v>2709</v>
      </c>
      <c r="F511" s="1" t="s">
        <v>112</v>
      </c>
      <c r="G511" s="1">
        <v>661464</v>
      </c>
    </row>
    <row r="512" spans="1:7" x14ac:dyDescent="0.35">
      <c r="A512" s="1" t="str">
        <f t="shared" si="7"/>
        <v>11</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2" s="1" t="s">
        <v>2710</v>
      </c>
      <c r="D512" s="1" t="s">
        <v>2711</v>
      </c>
      <c r="E512" s="1" t="s">
        <v>2712</v>
      </c>
      <c r="F512" s="1" t="s">
        <v>112</v>
      </c>
      <c r="G512" s="1">
        <v>1249754</v>
      </c>
    </row>
    <row r="513" spans="1:8" x14ac:dyDescent="0.35">
      <c r="A513" s="1" t="str">
        <f t="shared" si="7"/>
        <v>11</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3" s="1" t="s">
        <v>2713</v>
      </c>
    </row>
    <row r="514" spans="1:8" x14ac:dyDescent="0.35">
      <c r="A514" s="1" t="str">
        <f t="shared" ref="A514:A577" si="8">IFERROR(LEFT(RIGHT(C514,LEN(C514)-SEARCH("@",C514)),SEARCH("/",RIGHT(C514,LEN(C514)-SEARCH("@",C514)-1))),"")</f>
        <v>11</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4" s="1" t="s">
        <v>2714</v>
      </c>
      <c r="D514" s="1" t="s">
        <v>2715</v>
      </c>
      <c r="E514" s="1" t="s">
        <v>2716</v>
      </c>
      <c r="F514" s="1" t="s">
        <v>112</v>
      </c>
      <c r="G514" s="1">
        <v>315710</v>
      </c>
    </row>
    <row r="515" spans="1:8" x14ac:dyDescent="0.35">
      <c r="A515" s="1" t="str">
        <f t="shared" si="8"/>
        <v>11</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5" s="1" t="s">
        <v>2717</v>
      </c>
      <c r="D515" s="1" t="s">
        <v>2718</v>
      </c>
      <c r="E515" s="1" t="s">
        <v>2719</v>
      </c>
      <c r="F515" s="1" t="s">
        <v>112</v>
      </c>
      <c r="G515" s="1">
        <v>530819</v>
      </c>
    </row>
    <row r="516" spans="1:8" x14ac:dyDescent="0.35">
      <c r="A516" s="1" t="str">
        <f t="shared" si="8"/>
        <v>11</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6" s="1" t="s">
        <v>2720</v>
      </c>
      <c r="D516" s="1" t="s">
        <v>2721</v>
      </c>
      <c r="E516" s="1" t="s">
        <v>2722</v>
      </c>
      <c r="F516" s="1" t="s">
        <v>112</v>
      </c>
      <c r="G516" s="1">
        <v>588203</v>
      </c>
    </row>
    <row r="517" spans="1:8" x14ac:dyDescent="0.35">
      <c r="A517" s="1" t="str">
        <f t="shared" si="8"/>
        <v>11</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7" s="1" t="s">
        <v>2723</v>
      </c>
      <c r="D517" s="1" t="s">
        <v>2724</v>
      </c>
      <c r="E517" s="1" t="s">
        <v>2725</v>
      </c>
      <c r="F517" s="1" t="s">
        <v>112</v>
      </c>
      <c r="G517" s="1">
        <v>358126</v>
      </c>
    </row>
    <row r="518" spans="1:8" x14ac:dyDescent="0.35">
      <c r="A518" s="1" t="str">
        <f t="shared" si="8"/>
        <v>11</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8" s="1" t="s">
        <v>2726</v>
      </c>
      <c r="D518" s="1" t="s">
        <v>2727</v>
      </c>
      <c r="E518" s="1" t="s">
        <v>2728</v>
      </c>
      <c r="F518" s="1" t="s">
        <v>112</v>
      </c>
      <c r="G518" s="1">
        <v>830999</v>
      </c>
    </row>
    <row r="519" spans="1:8" x14ac:dyDescent="0.35">
      <c r="A519" s="1" t="str">
        <f t="shared" si="8"/>
        <v>11</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9" s="1" t="s">
        <v>2729</v>
      </c>
    </row>
    <row r="520" spans="1:8" x14ac:dyDescent="0.35">
      <c r="A520" s="1" t="str">
        <f t="shared" si="8"/>
        <v>11</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0" s="1" t="s">
        <v>2730</v>
      </c>
    </row>
    <row r="521" spans="1:8" x14ac:dyDescent="0.35">
      <c r="A521" s="1" t="str">
        <f t="shared" si="8"/>
        <v>11</v>
      </c>
      <c r="B5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1" s="1" t="s">
        <v>2731</v>
      </c>
    </row>
    <row r="522" spans="1:8" x14ac:dyDescent="0.35">
      <c r="A522" s="1" t="str">
        <f t="shared" si="8"/>
        <v>11</v>
      </c>
      <c r="B5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2" s="1" t="s">
        <v>2732</v>
      </c>
      <c r="D522" s="1" t="s">
        <v>2733</v>
      </c>
      <c r="E522" s="1" t="s">
        <v>2734</v>
      </c>
      <c r="F522" s="1" t="s">
        <v>112</v>
      </c>
      <c r="G522" s="1">
        <v>1509074</v>
      </c>
    </row>
    <row r="523" spans="1:8" x14ac:dyDescent="0.35">
      <c r="A523" s="1" t="str">
        <f t="shared" si="8"/>
        <v>11</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3" s="1" t="s">
        <v>2735</v>
      </c>
      <c r="D523" s="1" t="s">
        <v>363</v>
      </c>
      <c r="E523" s="1" t="s">
        <v>2736</v>
      </c>
      <c r="F523" s="1" t="s">
        <v>112</v>
      </c>
      <c r="G523" s="1">
        <v>1977946</v>
      </c>
    </row>
    <row r="524" spans="1:8" x14ac:dyDescent="0.35">
      <c r="A524" s="1" t="str">
        <f t="shared" si="8"/>
        <v>11</v>
      </c>
      <c r="B5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4" s="1" t="s">
        <v>2737</v>
      </c>
      <c r="D524" s="1" t="s">
        <v>2738</v>
      </c>
      <c r="E524" s="1" t="s">
        <v>2739</v>
      </c>
      <c r="F524" s="1" t="s">
        <v>112</v>
      </c>
      <c r="G524" s="1">
        <v>1705842</v>
      </c>
    </row>
    <row r="525" spans="1:8" x14ac:dyDescent="0.35">
      <c r="A525" s="1" t="str">
        <f t="shared" si="8"/>
        <v>11</v>
      </c>
      <c r="B5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5" s="1" t="s">
        <v>2740</v>
      </c>
      <c r="D525" s="1" t="s">
        <v>2741</v>
      </c>
      <c r="E525" s="1" t="s">
        <v>2742</v>
      </c>
      <c r="F525" s="1" t="s">
        <v>112</v>
      </c>
      <c r="G525" s="1">
        <v>1722237</v>
      </c>
    </row>
    <row r="526" spans="1:8" x14ac:dyDescent="0.35">
      <c r="A526" s="1" t="str">
        <f t="shared" si="8"/>
        <v>11</v>
      </c>
      <c r="B5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6" s="1" t="s">
        <v>2743</v>
      </c>
      <c r="D526" s="1" t="s">
        <v>1809</v>
      </c>
      <c r="E526" s="1" t="s">
        <v>2744</v>
      </c>
      <c r="F526" s="1" t="s">
        <v>112</v>
      </c>
      <c r="G526" s="1">
        <v>1918853</v>
      </c>
    </row>
    <row r="527" spans="1:8"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8"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242</v>
      </c>
      <c r="D528" s="1" t="s">
        <v>112</v>
      </c>
      <c r="E528" s="1" t="s">
        <v>243</v>
      </c>
      <c r="F528" s="1" t="s">
        <v>244</v>
      </c>
      <c r="G528" s="1" t="s">
        <v>245</v>
      </c>
      <c r="H528" s="1" t="s">
        <v>246</v>
      </c>
    </row>
    <row r="529" spans="1:8" x14ac:dyDescent="0.35">
      <c r="A529" s="1" t="str">
        <f t="shared" si="8"/>
        <v>11</v>
      </c>
      <c r="B5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9" s="1" t="s">
        <v>2745</v>
      </c>
      <c r="D529" s="1" t="s">
        <v>112</v>
      </c>
      <c r="E529" s="1" t="s">
        <v>2746</v>
      </c>
      <c r="F529" s="1" t="s">
        <v>2747</v>
      </c>
      <c r="G529" s="1" t="s">
        <v>2748</v>
      </c>
      <c r="H529" s="1" t="s">
        <v>2749</v>
      </c>
    </row>
    <row r="530" spans="1:8"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0" s="1" t="s">
        <v>112</v>
      </c>
    </row>
    <row r="531" spans="1:8" x14ac:dyDescent="0.35">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1" s="1" t="s">
        <v>112</v>
      </c>
    </row>
    <row r="532" spans="1:8" x14ac:dyDescent="0.35">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2" s="1" t="s">
        <v>112</v>
      </c>
    </row>
    <row r="533" spans="1:8" x14ac:dyDescent="0.3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3" s="1" t="s">
        <v>112</v>
      </c>
    </row>
    <row r="534" spans="1:8" x14ac:dyDescent="0.3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4" s="1" t="s">
        <v>112</v>
      </c>
    </row>
    <row r="535" spans="1:8" x14ac:dyDescent="0.35">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5" s="1" t="s">
        <v>172</v>
      </c>
      <c r="D535" s="1" t="s">
        <v>110</v>
      </c>
      <c r="E535" s="1" t="s">
        <v>111</v>
      </c>
      <c r="F535" s="1" t="s">
        <v>112</v>
      </c>
      <c r="G535" s="1" t="s">
        <v>113</v>
      </c>
    </row>
    <row r="536" spans="1:8" x14ac:dyDescent="0.35">
      <c r="A536" s="1" t="str">
        <f t="shared" si="8"/>
        <v>12</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6" s="1" t="s">
        <v>2750</v>
      </c>
      <c r="D536" s="1" t="s">
        <v>2132</v>
      </c>
      <c r="E536" s="1" t="s">
        <v>2751</v>
      </c>
      <c r="F536" s="1" t="s">
        <v>112</v>
      </c>
      <c r="G536" s="1">
        <v>50484</v>
      </c>
    </row>
    <row r="537" spans="1:8" x14ac:dyDescent="0.35">
      <c r="A537" s="1" t="str">
        <f t="shared" si="8"/>
        <v>12</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7" s="1" t="s">
        <v>2752</v>
      </c>
      <c r="D537" s="1" t="s">
        <v>2083</v>
      </c>
      <c r="E537" s="1" t="s">
        <v>2753</v>
      </c>
      <c r="F537" s="1" t="s">
        <v>112</v>
      </c>
      <c r="G537" s="1">
        <v>297887</v>
      </c>
    </row>
    <row r="538" spans="1:8" x14ac:dyDescent="0.35">
      <c r="A538" s="1" t="str">
        <f t="shared" si="8"/>
        <v>12</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8" s="1" t="s">
        <v>2754</v>
      </c>
      <c r="D538" s="1" t="s">
        <v>2755</v>
      </c>
      <c r="E538" s="1" t="s">
        <v>2756</v>
      </c>
      <c r="F538" s="1" t="s">
        <v>112</v>
      </c>
      <c r="G538" s="1">
        <v>412677</v>
      </c>
    </row>
    <row r="539" spans="1:8" x14ac:dyDescent="0.35">
      <c r="A539" s="1" t="str">
        <f t="shared" si="8"/>
        <v>12</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9" s="1" t="s">
        <v>2757</v>
      </c>
      <c r="D539" s="1" t="s">
        <v>1109</v>
      </c>
      <c r="E539" s="1" t="s">
        <v>2758</v>
      </c>
      <c r="F539" s="1" t="s">
        <v>112</v>
      </c>
      <c r="G539" s="1">
        <v>311622</v>
      </c>
    </row>
    <row r="540" spans="1:8" x14ac:dyDescent="0.35">
      <c r="A540" s="1" t="str">
        <f t="shared" si="8"/>
        <v>12</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0" s="1" t="s">
        <v>2759</v>
      </c>
      <c r="D540" s="1" t="s">
        <v>2760</v>
      </c>
      <c r="E540" s="1" t="s">
        <v>2761</v>
      </c>
      <c r="F540" s="1" t="s">
        <v>112</v>
      </c>
      <c r="G540" s="1">
        <v>969798</v>
      </c>
    </row>
    <row r="541" spans="1:8" x14ac:dyDescent="0.35">
      <c r="A541" s="1" t="str">
        <f t="shared" si="8"/>
        <v>12</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1" s="1" t="s">
        <v>2762</v>
      </c>
      <c r="D541" s="1" t="s">
        <v>2763</v>
      </c>
      <c r="E541" s="1" t="s">
        <v>2764</v>
      </c>
      <c r="F541" s="1" t="s">
        <v>112</v>
      </c>
      <c r="G541" s="1">
        <v>382460</v>
      </c>
    </row>
    <row r="542" spans="1:8" x14ac:dyDescent="0.35">
      <c r="A542" s="1" t="str">
        <f t="shared" si="8"/>
        <v>12</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2" s="1" t="s">
        <v>2765</v>
      </c>
      <c r="D542" s="1" t="s">
        <v>2766</v>
      </c>
      <c r="E542" s="1" t="s">
        <v>2767</v>
      </c>
      <c r="F542" s="1" t="s">
        <v>112</v>
      </c>
      <c r="G542" s="1">
        <v>864374</v>
      </c>
    </row>
    <row r="543" spans="1:8" x14ac:dyDescent="0.35">
      <c r="A543" s="1" t="str">
        <f t="shared" si="8"/>
        <v>12</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3" s="1" t="s">
        <v>2768</v>
      </c>
      <c r="D543" s="1" t="s">
        <v>2769</v>
      </c>
      <c r="E543" s="1" t="s">
        <v>2770</v>
      </c>
      <c r="F543" s="1" t="s">
        <v>112</v>
      </c>
      <c r="G543" s="1">
        <v>918297</v>
      </c>
    </row>
    <row r="544" spans="1:8" x14ac:dyDescent="0.35">
      <c r="A544" s="1" t="str">
        <f t="shared" si="8"/>
        <v>12</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4" s="1" t="s">
        <v>2771</v>
      </c>
      <c r="D544" s="1" t="s">
        <v>985</v>
      </c>
      <c r="E544" s="1" t="s">
        <v>2772</v>
      </c>
      <c r="F544" s="1" t="s">
        <v>112</v>
      </c>
      <c r="G544" s="1">
        <v>42762</v>
      </c>
    </row>
    <row r="545" spans="1:7" x14ac:dyDescent="0.35">
      <c r="A545" s="1" t="str">
        <f t="shared" si="8"/>
        <v>12</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5" s="1" t="s">
        <v>2773</v>
      </c>
      <c r="D545" s="1" t="s">
        <v>2580</v>
      </c>
      <c r="E545" s="1" t="s">
        <v>2774</v>
      </c>
      <c r="F545" s="1" t="s">
        <v>112</v>
      </c>
      <c r="G545" s="1">
        <v>44860</v>
      </c>
    </row>
    <row r="546" spans="1:7" x14ac:dyDescent="0.35">
      <c r="A546" s="1" t="str">
        <f t="shared" si="8"/>
        <v>12</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6" s="1" t="s">
        <v>2775</v>
      </c>
      <c r="D546" s="1" t="s">
        <v>2776</v>
      </c>
      <c r="E546" s="1" t="s">
        <v>2777</v>
      </c>
      <c r="F546" s="1" t="s">
        <v>112</v>
      </c>
      <c r="G546" s="1">
        <v>31104</v>
      </c>
    </row>
    <row r="547" spans="1:7" x14ac:dyDescent="0.35">
      <c r="A547" s="1" t="str">
        <f t="shared" si="8"/>
        <v>12</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7" s="1" t="s">
        <v>2778</v>
      </c>
      <c r="D547" s="1" t="s">
        <v>592</v>
      </c>
      <c r="E547" s="1" t="s">
        <v>2779</v>
      </c>
      <c r="F547" s="1" t="s">
        <v>112</v>
      </c>
      <c r="G547" s="1">
        <v>47997</v>
      </c>
    </row>
    <row r="548" spans="1:7" x14ac:dyDescent="0.35">
      <c r="A548" s="1" t="str">
        <f t="shared" si="8"/>
        <v>12</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8" s="1" t="s">
        <v>2780</v>
      </c>
      <c r="D548" s="1" t="s">
        <v>2781</v>
      </c>
      <c r="E548" s="1" t="s">
        <v>2782</v>
      </c>
      <c r="F548" s="1" t="s">
        <v>112</v>
      </c>
      <c r="G548" s="1">
        <v>636373</v>
      </c>
    </row>
    <row r="549" spans="1:7" x14ac:dyDescent="0.35">
      <c r="A549" s="1" t="str">
        <f t="shared" si="8"/>
        <v>12</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9" s="1" t="s">
        <v>2783</v>
      </c>
      <c r="D549" s="1" t="s">
        <v>2784</v>
      </c>
      <c r="E549" s="1" t="s">
        <v>2785</v>
      </c>
      <c r="F549" s="1" t="s">
        <v>112</v>
      </c>
      <c r="G549" s="1">
        <v>701760</v>
      </c>
    </row>
    <row r="550" spans="1:7" x14ac:dyDescent="0.35">
      <c r="A550" s="1" t="str">
        <f t="shared" si="8"/>
        <v>12</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50" s="1" t="s">
        <v>2786</v>
      </c>
      <c r="D550" s="1" t="s">
        <v>2787</v>
      </c>
      <c r="E550" s="1" t="s">
        <v>2788</v>
      </c>
      <c r="F550" s="1" t="s">
        <v>112</v>
      </c>
      <c r="G550" s="1">
        <v>1101913</v>
      </c>
    </row>
    <row r="551" spans="1:7" x14ac:dyDescent="0.35">
      <c r="A551" s="1" t="str">
        <f t="shared" si="8"/>
        <v>12</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51" s="1" t="s">
        <v>2789</v>
      </c>
      <c r="D551" s="1" t="s">
        <v>2790</v>
      </c>
      <c r="E551" s="1" t="s">
        <v>2791</v>
      </c>
      <c r="F551" s="1" t="s">
        <v>112</v>
      </c>
      <c r="G551" s="1">
        <v>854727</v>
      </c>
    </row>
    <row r="552" spans="1:7" x14ac:dyDescent="0.35">
      <c r="A552" s="1" t="str">
        <f t="shared" si="8"/>
        <v>12</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2" s="1" t="s">
        <v>2792</v>
      </c>
      <c r="D552" s="1" t="s">
        <v>539</v>
      </c>
      <c r="E552" s="1" t="s">
        <v>2793</v>
      </c>
      <c r="F552" s="1" t="s">
        <v>112</v>
      </c>
      <c r="G552" s="1">
        <v>401386</v>
      </c>
    </row>
    <row r="553" spans="1:7" x14ac:dyDescent="0.35">
      <c r="A553" s="1" t="str">
        <f t="shared" si="8"/>
        <v>12</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3" s="1" t="s">
        <v>2794</v>
      </c>
      <c r="D553" s="1" t="s">
        <v>2795</v>
      </c>
      <c r="E553" s="1" t="s">
        <v>2796</v>
      </c>
      <c r="F553" s="1" t="s">
        <v>112</v>
      </c>
      <c r="G553" s="1">
        <v>488403</v>
      </c>
    </row>
    <row r="554" spans="1:7" x14ac:dyDescent="0.35">
      <c r="A554" s="1" t="str">
        <f t="shared" si="8"/>
        <v>12</v>
      </c>
      <c r="B5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4" s="1" t="s">
        <v>2797</v>
      </c>
      <c r="D554" s="1" t="s">
        <v>2798</v>
      </c>
      <c r="E554" s="1" t="s">
        <v>2799</v>
      </c>
      <c r="F554" s="1" t="s">
        <v>112</v>
      </c>
      <c r="G554" s="1">
        <v>676086</v>
      </c>
    </row>
    <row r="555" spans="1:7" x14ac:dyDescent="0.35">
      <c r="A555" s="1" t="str">
        <f t="shared" si="8"/>
        <v>12</v>
      </c>
      <c r="B5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5" s="1" t="s">
        <v>2800</v>
      </c>
      <c r="D555" s="1" t="s">
        <v>2801</v>
      </c>
      <c r="E555" s="1" t="s">
        <v>2802</v>
      </c>
      <c r="F555" s="1" t="s">
        <v>112</v>
      </c>
      <c r="G555" s="1">
        <v>361046</v>
      </c>
    </row>
    <row r="556" spans="1:7" x14ac:dyDescent="0.35">
      <c r="A556" s="1" t="str">
        <f t="shared" si="8"/>
        <v>12</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6" s="1" t="s">
        <v>2803</v>
      </c>
      <c r="D556" s="1" t="s">
        <v>720</v>
      </c>
      <c r="E556" s="1" t="s">
        <v>2804</v>
      </c>
      <c r="F556" s="1" t="s">
        <v>112</v>
      </c>
      <c r="G556" s="1">
        <v>530668</v>
      </c>
    </row>
    <row r="557" spans="1:7" x14ac:dyDescent="0.35">
      <c r="A557" s="1" t="str">
        <f t="shared" si="8"/>
        <v>12</v>
      </c>
      <c r="B5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7" s="1" t="s">
        <v>2805</v>
      </c>
      <c r="D557" s="1" t="s">
        <v>338</v>
      </c>
      <c r="E557" s="1" t="s">
        <v>2806</v>
      </c>
      <c r="F557" s="1" t="s">
        <v>112</v>
      </c>
      <c r="G557" s="1">
        <v>559457</v>
      </c>
    </row>
    <row r="558" spans="1:7" x14ac:dyDescent="0.35">
      <c r="A558" s="1" t="str">
        <f t="shared" si="8"/>
        <v>12</v>
      </c>
      <c r="B5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8" s="1" t="s">
        <v>2807</v>
      </c>
      <c r="D558" s="1" t="s">
        <v>2808</v>
      </c>
      <c r="E558" s="1" t="s">
        <v>2809</v>
      </c>
      <c r="F558" s="1" t="s">
        <v>112</v>
      </c>
      <c r="G558" s="1">
        <v>780061</v>
      </c>
    </row>
    <row r="559" spans="1:7" x14ac:dyDescent="0.35">
      <c r="A559" s="1" t="str">
        <f t="shared" si="8"/>
        <v>12</v>
      </c>
      <c r="B5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9" s="1" t="s">
        <v>2810</v>
      </c>
      <c r="D559" s="1" t="s">
        <v>2811</v>
      </c>
      <c r="E559" s="1" t="s">
        <v>2812</v>
      </c>
      <c r="F559" s="1" t="s">
        <v>112</v>
      </c>
      <c r="G559" s="1">
        <v>502462</v>
      </c>
    </row>
    <row r="560" spans="1:7" x14ac:dyDescent="0.35">
      <c r="A560" s="1" t="str">
        <f t="shared" si="8"/>
        <v>12</v>
      </c>
      <c r="B5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0" s="1" t="s">
        <v>2813</v>
      </c>
      <c r="D560" s="1" t="s">
        <v>2814</v>
      </c>
      <c r="E560" s="1" t="s">
        <v>2815</v>
      </c>
      <c r="F560" s="1" t="s">
        <v>112</v>
      </c>
      <c r="G560" s="1">
        <v>405150</v>
      </c>
    </row>
    <row r="561" spans="1:8" x14ac:dyDescent="0.35">
      <c r="A561" s="1" t="str">
        <f t="shared" si="8"/>
        <v>12</v>
      </c>
      <c r="B5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1" s="1" t="s">
        <v>2816</v>
      </c>
      <c r="D561" s="1" t="s">
        <v>2817</v>
      </c>
      <c r="E561" s="1" t="s">
        <v>2818</v>
      </c>
      <c r="F561" s="1" t="s">
        <v>112</v>
      </c>
      <c r="G561" s="1">
        <v>502506</v>
      </c>
    </row>
    <row r="562" spans="1:8" x14ac:dyDescent="0.35">
      <c r="A562" s="1" t="str">
        <f t="shared" si="8"/>
        <v>12</v>
      </c>
      <c r="B5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2" s="1" t="s">
        <v>2819</v>
      </c>
      <c r="D562" s="1" t="s">
        <v>2820</v>
      </c>
      <c r="E562" s="1" t="s">
        <v>2821</v>
      </c>
      <c r="F562" s="1" t="s">
        <v>112</v>
      </c>
      <c r="G562" s="1">
        <v>439390</v>
      </c>
    </row>
    <row r="563" spans="1:8" x14ac:dyDescent="0.35">
      <c r="A563" s="1" t="str">
        <f t="shared" si="8"/>
        <v>12</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3" s="1" t="s">
        <v>2822</v>
      </c>
      <c r="D563" s="1" t="s">
        <v>2823</v>
      </c>
      <c r="E563" s="1" t="s">
        <v>2824</v>
      </c>
      <c r="F563" s="1" t="s">
        <v>112</v>
      </c>
      <c r="G563" s="1">
        <v>762908</v>
      </c>
    </row>
    <row r="564" spans="1:8" x14ac:dyDescent="0.35">
      <c r="A564" s="1" t="str">
        <f t="shared" si="8"/>
        <v>12</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4" s="1" t="s">
        <v>2825</v>
      </c>
    </row>
    <row r="565" spans="1:8" x14ac:dyDescent="0.35">
      <c r="A565" s="1" t="str">
        <f t="shared" si="8"/>
        <v>12</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5" s="1" t="s">
        <v>2826</v>
      </c>
      <c r="D565" s="1" t="s">
        <v>777</v>
      </c>
      <c r="E565" s="1" t="s">
        <v>2827</v>
      </c>
      <c r="F565" s="1" t="s">
        <v>112</v>
      </c>
      <c r="G565" s="1">
        <v>1706296</v>
      </c>
    </row>
    <row r="566" spans="1:8" x14ac:dyDescent="0.35">
      <c r="A566" s="1" t="str">
        <f t="shared" si="8"/>
        <v>12</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6" s="1" t="s">
        <v>2828</v>
      </c>
    </row>
    <row r="567" spans="1:8" x14ac:dyDescent="0.35">
      <c r="A567" s="1" t="str">
        <f t="shared" si="8"/>
        <v>12</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7" s="1" t="s">
        <v>2829</v>
      </c>
      <c r="D567" s="1" t="s">
        <v>2830</v>
      </c>
      <c r="E567" s="1" t="s">
        <v>2831</v>
      </c>
      <c r="F567" s="1" t="s">
        <v>112</v>
      </c>
      <c r="G567" s="1">
        <v>1473883</v>
      </c>
    </row>
    <row r="568" spans="1:8" x14ac:dyDescent="0.35">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8" s="1" t="s">
        <v>112</v>
      </c>
    </row>
    <row r="569" spans="1:8" x14ac:dyDescent="0.35">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9" s="1" t="s">
        <v>242</v>
      </c>
      <c r="D569" s="1" t="s">
        <v>112</v>
      </c>
      <c r="E569" s="1" t="s">
        <v>243</v>
      </c>
      <c r="F569" s="1" t="s">
        <v>244</v>
      </c>
      <c r="G569" s="1" t="s">
        <v>245</v>
      </c>
      <c r="H569" s="1" t="s">
        <v>246</v>
      </c>
    </row>
    <row r="570" spans="1:8" x14ac:dyDescent="0.35">
      <c r="A570" s="1" t="str">
        <f t="shared" si="8"/>
        <v>12</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70" s="1" t="s">
        <v>2832</v>
      </c>
      <c r="D570" s="1" t="s">
        <v>112</v>
      </c>
      <c r="E570" s="1" t="s">
        <v>2833</v>
      </c>
      <c r="F570" s="1" t="s">
        <v>2834</v>
      </c>
      <c r="G570" s="1" t="s">
        <v>2835</v>
      </c>
      <c r="H570" s="1" t="s">
        <v>2836</v>
      </c>
    </row>
    <row r="571" spans="1:8" x14ac:dyDescent="0.3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1" s="1" t="s">
        <v>112</v>
      </c>
    </row>
    <row r="572" spans="1:8" x14ac:dyDescent="0.3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2" s="1" t="s">
        <v>112</v>
      </c>
    </row>
    <row r="573" spans="1:8" x14ac:dyDescent="0.3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3" s="1" t="s">
        <v>112</v>
      </c>
    </row>
    <row r="574" spans="1:8" x14ac:dyDescent="0.3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4" s="1" t="s">
        <v>112</v>
      </c>
    </row>
    <row r="575" spans="1:8" x14ac:dyDescent="0.35">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5" s="1" t="s">
        <v>112</v>
      </c>
    </row>
    <row r="576" spans="1:8" x14ac:dyDescent="0.35">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6" s="1" t="s">
        <v>172</v>
      </c>
      <c r="D576" s="1" t="s">
        <v>110</v>
      </c>
      <c r="E576" s="1" t="s">
        <v>111</v>
      </c>
      <c r="F576" s="1" t="s">
        <v>112</v>
      </c>
      <c r="G576" s="1" t="s">
        <v>113</v>
      </c>
    </row>
    <row r="577" spans="1:7" x14ac:dyDescent="0.35">
      <c r="A577" s="1" t="str">
        <f t="shared" si="8"/>
        <v>17</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7" s="1" t="s">
        <v>2837</v>
      </c>
      <c r="D577" s="1" t="s">
        <v>2838</v>
      </c>
      <c r="E577" s="1" t="s">
        <v>2839</v>
      </c>
      <c r="F577" s="1" t="s">
        <v>112</v>
      </c>
      <c r="G577" s="1">
        <v>2930678</v>
      </c>
    </row>
    <row r="578" spans="1:7" x14ac:dyDescent="0.35">
      <c r="A578" s="1" t="str">
        <f t="shared" ref="A578:A641" si="9">IFERROR(LEFT(RIGHT(C578,LEN(C578)-SEARCH("@",C578)),SEARCH("/",RIGHT(C578,LEN(C578)-SEARCH("@",C578)-1))),"")</f>
        <v>17</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8" s="1" t="s">
        <v>2840</v>
      </c>
      <c r="D578" s="1" t="s">
        <v>2841</v>
      </c>
      <c r="E578" s="1" t="s">
        <v>2842</v>
      </c>
      <c r="F578" s="1" t="s">
        <v>112</v>
      </c>
      <c r="G578" s="1">
        <v>2731445</v>
      </c>
    </row>
    <row r="579" spans="1:7" x14ac:dyDescent="0.35">
      <c r="A579" s="1" t="str">
        <f t="shared" si="9"/>
        <v>17</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9" s="1" t="s">
        <v>2843</v>
      </c>
      <c r="D579" s="1" t="s">
        <v>2844</v>
      </c>
      <c r="E579" s="1" t="s">
        <v>2845</v>
      </c>
      <c r="F579" s="1" t="s">
        <v>112</v>
      </c>
      <c r="G579" s="1">
        <v>2595890</v>
      </c>
    </row>
    <row r="580" spans="1:7" x14ac:dyDescent="0.35">
      <c r="A580" s="1" t="str">
        <f t="shared" si="9"/>
        <v>17</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80" s="1" t="s">
        <v>2846</v>
      </c>
      <c r="D580" s="1" t="s">
        <v>2847</v>
      </c>
      <c r="E580" s="1" t="s">
        <v>2848</v>
      </c>
      <c r="F580" s="1" t="s">
        <v>112</v>
      </c>
      <c r="G580" s="1">
        <v>3212558</v>
      </c>
    </row>
    <row r="581" spans="1:7" x14ac:dyDescent="0.35">
      <c r="A581" s="1" t="str">
        <f t="shared" si="9"/>
        <v>17</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1" s="1" t="s">
        <v>2849</v>
      </c>
      <c r="D581" s="1" t="s">
        <v>2850</v>
      </c>
      <c r="E581" s="1" t="s">
        <v>2851</v>
      </c>
      <c r="F581" s="1" t="s">
        <v>112</v>
      </c>
      <c r="G581" s="1">
        <v>2315610</v>
      </c>
    </row>
    <row r="582" spans="1:7" x14ac:dyDescent="0.35">
      <c r="A582" s="1" t="str">
        <f t="shared" si="9"/>
        <v>17</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2" s="1" t="s">
        <v>2852</v>
      </c>
      <c r="D582" s="1" t="s">
        <v>2853</v>
      </c>
      <c r="E582" s="1" t="s">
        <v>2854</v>
      </c>
      <c r="F582" s="1" t="s">
        <v>112</v>
      </c>
      <c r="G582" s="1">
        <v>2590461</v>
      </c>
    </row>
    <row r="583" spans="1:7" x14ac:dyDescent="0.35">
      <c r="A583" s="1" t="str">
        <f t="shared" si="9"/>
        <v>17</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3" s="1" t="s">
        <v>2855</v>
      </c>
      <c r="D583" s="1" t="s">
        <v>2856</v>
      </c>
      <c r="E583" s="1" t="s">
        <v>2857</v>
      </c>
      <c r="F583" s="1" t="s">
        <v>112</v>
      </c>
      <c r="G583" s="1">
        <v>2450905</v>
      </c>
    </row>
    <row r="584" spans="1:7" x14ac:dyDescent="0.35">
      <c r="A584" s="1" t="str">
        <f t="shared" si="9"/>
        <v>17</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4" s="1" t="s">
        <v>2858</v>
      </c>
      <c r="D584" s="1" t="s">
        <v>2859</v>
      </c>
      <c r="E584" s="1" t="s">
        <v>2860</v>
      </c>
      <c r="F584" s="1" t="s">
        <v>112</v>
      </c>
      <c r="G584" s="1">
        <v>2425036</v>
      </c>
    </row>
    <row r="585" spans="1:7" x14ac:dyDescent="0.35">
      <c r="A585" s="1" t="str">
        <f t="shared" si="9"/>
        <v>17</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5" s="1" t="s">
        <v>2861</v>
      </c>
    </row>
    <row r="586" spans="1:7" x14ac:dyDescent="0.35">
      <c r="A586" s="1" t="str">
        <f t="shared" si="9"/>
        <v>17</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6" s="1" t="s">
        <v>2862</v>
      </c>
      <c r="D586" s="1" t="s">
        <v>2863</v>
      </c>
      <c r="E586" s="1" t="s">
        <v>2864</v>
      </c>
      <c r="F586" s="1" t="s">
        <v>112</v>
      </c>
      <c r="G586" s="1">
        <v>1963843</v>
      </c>
    </row>
    <row r="587" spans="1:7" x14ac:dyDescent="0.35">
      <c r="A587" s="1" t="str">
        <f t="shared" si="9"/>
        <v>17</v>
      </c>
      <c r="B5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7" s="1" t="s">
        <v>2865</v>
      </c>
      <c r="D587" s="1" t="s">
        <v>2866</v>
      </c>
      <c r="E587" s="1" t="s">
        <v>2867</v>
      </c>
      <c r="F587" s="1" t="s">
        <v>112</v>
      </c>
      <c r="G587" s="1">
        <v>2087090</v>
      </c>
    </row>
    <row r="588" spans="1:7" x14ac:dyDescent="0.35">
      <c r="A588" s="1" t="str">
        <f t="shared" si="9"/>
        <v>17</v>
      </c>
      <c r="B5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8" s="1" t="s">
        <v>2868</v>
      </c>
      <c r="D588" s="1" t="s">
        <v>2869</v>
      </c>
      <c r="E588" s="1" t="s">
        <v>2870</v>
      </c>
      <c r="F588" s="1" t="s">
        <v>112</v>
      </c>
      <c r="G588" s="1">
        <v>2475650</v>
      </c>
    </row>
    <row r="589" spans="1:7" x14ac:dyDescent="0.35">
      <c r="A589" s="1" t="str">
        <f t="shared" si="9"/>
        <v>17</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89" s="1" t="s">
        <v>2871</v>
      </c>
      <c r="D589" s="1" t="s">
        <v>743</v>
      </c>
      <c r="E589" s="1" t="s">
        <v>2872</v>
      </c>
      <c r="F589" s="1" t="s">
        <v>112</v>
      </c>
      <c r="G589" s="1">
        <v>1258600</v>
      </c>
    </row>
    <row r="590" spans="1:7" x14ac:dyDescent="0.35">
      <c r="A590" s="1" t="str">
        <f t="shared" si="9"/>
        <v>17</v>
      </c>
      <c r="B5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90" s="1" t="s">
        <v>2873</v>
      </c>
      <c r="D590" s="1" t="s">
        <v>2874</v>
      </c>
      <c r="E590" s="1" t="s">
        <v>2875</v>
      </c>
      <c r="F590" s="1" t="s">
        <v>112</v>
      </c>
      <c r="G590" s="1">
        <v>1390910</v>
      </c>
    </row>
    <row r="591" spans="1:7" x14ac:dyDescent="0.35">
      <c r="A591" s="1" t="str">
        <f t="shared" si="9"/>
        <v>17</v>
      </c>
      <c r="B5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91" s="1" t="s">
        <v>2876</v>
      </c>
      <c r="D591" s="1" t="s">
        <v>2877</v>
      </c>
      <c r="E591" s="1" t="s">
        <v>2878</v>
      </c>
      <c r="F591" s="1" t="s">
        <v>112</v>
      </c>
      <c r="G591" s="1">
        <v>1129751</v>
      </c>
    </row>
    <row r="592" spans="1:7" x14ac:dyDescent="0.35">
      <c r="A592" s="1" t="str">
        <f t="shared" si="9"/>
        <v>17</v>
      </c>
      <c r="B5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92" s="1" t="s">
        <v>2879</v>
      </c>
      <c r="D592" s="1" t="s">
        <v>2880</v>
      </c>
      <c r="E592" s="1" t="s">
        <v>2881</v>
      </c>
      <c r="F592" s="1" t="s">
        <v>112</v>
      </c>
      <c r="G592" s="1">
        <v>963742</v>
      </c>
    </row>
    <row r="593" spans="1:7" x14ac:dyDescent="0.35">
      <c r="A593" s="1" t="str">
        <f t="shared" si="9"/>
        <v>17</v>
      </c>
      <c r="B5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3" s="1" t="s">
        <v>2882</v>
      </c>
      <c r="D593" s="1" t="s">
        <v>2883</v>
      </c>
      <c r="E593" s="1" t="s">
        <v>2884</v>
      </c>
      <c r="F593" s="1" t="s">
        <v>112</v>
      </c>
      <c r="G593" s="1">
        <v>3023297</v>
      </c>
    </row>
    <row r="594" spans="1:7" x14ac:dyDescent="0.35">
      <c r="A594" s="1" t="str">
        <f t="shared" si="9"/>
        <v>17</v>
      </c>
      <c r="B5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4" s="1" t="s">
        <v>2885</v>
      </c>
      <c r="D594" s="1" t="s">
        <v>2886</v>
      </c>
      <c r="E594" s="1" t="s">
        <v>2887</v>
      </c>
      <c r="F594" s="1" t="s">
        <v>112</v>
      </c>
      <c r="G594" s="1">
        <v>3353672</v>
      </c>
    </row>
    <row r="595" spans="1:7" x14ac:dyDescent="0.35">
      <c r="A595" s="1" t="str">
        <f t="shared" si="9"/>
        <v>17</v>
      </c>
      <c r="B5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5" s="1" t="s">
        <v>2888</v>
      </c>
      <c r="D595" s="1" t="s">
        <v>2889</v>
      </c>
      <c r="E595" s="1" t="s">
        <v>2890</v>
      </c>
      <c r="F595" s="1" t="s">
        <v>112</v>
      </c>
      <c r="G595" s="1">
        <v>3359880</v>
      </c>
    </row>
    <row r="596" spans="1:7" x14ac:dyDescent="0.35">
      <c r="A596" s="1" t="str">
        <f t="shared" si="9"/>
        <v>17</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6" s="1" t="s">
        <v>2891</v>
      </c>
      <c r="D596" s="1" t="s">
        <v>2892</v>
      </c>
      <c r="E596" s="1" t="s">
        <v>2893</v>
      </c>
      <c r="F596" s="1" t="s">
        <v>112</v>
      </c>
      <c r="G596" s="1">
        <v>3473155</v>
      </c>
    </row>
    <row r="597" spans="1:7" x14ac:dyDescent="0.35">
      <c r="A597" s="1" t="str">
        <f t="shared" si="9"/>
        <v>17</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7" s="1" t="s">
        <v>2894</v>
      </c>
      <c r="D597" s="1" t="s">
        <v>2895</v>
      </c>
      <c r="E597" s="1" t="s">
        <v>2896</v>
      </c>
      <c r="F597" s="1" t="s">
        <v>112</v>
      </c>
      <c r="G597" s="1">
        <v>700052</v>
      </c>
    </row>
    <row r="598" spans="1:7" x14ac:dyDescent="0.35">
      <c r="A598" s="1" t="str">
        <f t="shared" si="9"/>
        <v>17</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8" s="1" t="s">
        <v>2897</v>
      </c>
      <c r="D598" s="1" t="s">
        <v>2898</v>
      </c>
      <c r="E598" s="1" t="s">
        <v>2899</v>
      </c>
      <c r="F598" s="1" t="s">
        <v>112</v>
      </c>
      <c r="G598" s="1">
        <v>568369</v>
      </c>
    </row>
    <row r="599" spans="1:7" x14ac:dyDescent="0.35">
      <c r="A599" s="1" t="str">
        <f t="shared" si="9"/>
        <v>17</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9" s="1" t="s">
        <v>2900</v>
      </c>
      <c r="D599" s="1" t="s">
        <v>2901</v>
      </c>
      <c r="E599" s="1" t="s">
        <v>2902</v>
      </c>
      <c r="F599" s="1" t="s">
        <v>112</v>
      </c>
      <c r="G599" s="1">
        <v>703512</v>
      </c>
    </row>
    <row r="600" spans="1:7" x14ac:dyDescent="0.35">
      <c r="A600" s="1" t="str">
        <f t="shared" si="9"/>
        <v>17</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00" s="1" t="s">
        <v>2903</v>
      </c>
      <c r="D600" s="1" t="s">
        <v>2904</v>
      </c>
      <c r="E600" s="1" t="s">
        <v>2905</v>
      </c>
      <c r="F600" s="1" t="s">
        <v>112</v>
      </c>
      <c r="G600" s="1">
        <v>837380</v>
      </c>
    </row>
    <row r="601" spans="1:7" x14ac:dyDescent="0.35">
      <c r="A601" s="1" t="str">
        <f t="shared" si="9"/>
        <v>17</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1" s="1" t="s">
        <v>2906</v>
      </c>
      <c r="D601" s="1" t="s">
        <v>2907</v>
      </c>
      <c r="E601" s="1" t="s">
        <v>2908</v>
      </c>
      <c r="F601" s="1" t="s">
        <v>112</v>
      </c>
      <c r="G601" s="1">
        <v>1256827</v>
      </c>
    </row>
    <row r="602" spans="1:7" x14ac:dyDescent="0.35">
      <c r="A602" s="1" t="str">
        <f t="shared" si="9"/>
        <v>17</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2" s="1" t="s">
        <v>2909</v>
      </c>
      <c r="D602" s="1" t="s">
        <v>2027</v>
      </c>
      <c r="E602" s="1" t="s">
        <v>2910</v>
      </c>
      <c r="F602" s="1" t="s">
        <v>112</v>
      </c>
      <c r="G602" s="1">
        <v>1430471</v>
      </c>
    </row>
    <row r="603" spans="1:7" x14ac:dyDescent="0.35">
      <c r="A603" s="1" t="str">
        <f t="shared" si="9"/>
        <v>17</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3" s="1" t="s">
        <v>2911</v>
      </c>
      <c r="D603" s="1" t="s">
        <v>2912</v>
      </c>
      <c r="E603" s="1" t="s">
        <v>2913</v>
      </c>
      <c r="F603" s="1" t="s">
        <v>112</v>
      </c>
      <c r="G603" s="1">
        <v>1237857</v>
      </c>
    </row>
    <row r="604" spans="1:7" x14ac:dyDescent="0.35">
      <c r="A604" s="1" t="str">
        <f t="shared" si="9"/>
        <v>17</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4" s="1" t="s">
        <v>2914</v>
      </c>
      <c r="D604" s="1" t="s">
        <v>2915</v>
      </c>
      <c r="E604" s="1" t="s">
        <v>2916</v>
      </c>
      <c r="F604" s="1" t="s">
        <v>112</v>
      </c>
      <c r="G604" s="1">
        <v>1260266</v>
      </c>
    </row>
    <row r="605" spans="1:7" x14ac:dyDescent="0.35">
      <c r="A605" s="1" t="str">
        <f t="shared" si="9"/>
        <v>17</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5" s="1" t="s">
        <v>2917</v>
      </c>
    </row>
    <row r="606" spans="1:7" x14ac:dyDescent="0.35">
      <c r="A606" s="1" t="str">
        <f t="shared" si="9"/>
        <v>17</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6" s="1" t="s">
        <v>2918</v>
      </c>
      <c r="D606" s="1" t="s">
        <v>2919</v>
      </c>
      <c r="E606" s="1" t="s">
        <v>2920</v>
      </c>
      <c r="F606" s="1" t="s">
        <v>112</v>
      </c>
      <c r="G606" s="1">
        <v>2835485</v>
      </c>
    </row>
    <row r="607" spans="1:7" x14ac:dyDescent="0.35">
      <c r="A607" s="1" t="str">
        <f t="shared" si="9"/>
        <v>17</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7" s="1" t="s">
        <v>2921</v>
      </c>
      <c r="D607" s="1" t="s">
        <v>2922</v>
      </c>
      <c r="E607" s="1" t="s">
        <v>2923</v>
      </c>
      <c r="F607" s="1" t="s">
        <v>112</v>
      </c>
      <c r="G607" s="1">
        <v>2947636</v>
      </c>
    </row>
    <row r="608" spans="1:7" x14ac:dyDescent="0.35">
      <c r="A608" s="1" t="str">
        <f t="shared" si="9"/>
        <v>17</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8" s="1" t="s">
        <v>2924</v>
      </c>
      <c r="D608" s="1" t="s">
        <v>2925</v>
      </c>
      <c r="E608" s="1" t="s">
        <v>2926</v>
      </c>
      <c r="F608" s="1" t="s">
        <v>112</v>
      </c>
      <c r="G608" s="1">
        <v>2525961</v>
      </c>
    </row>
    <row r="609" spans="1:8" x14ac:dyDescent="0.35">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9" s="1" t="s">
        <v>112</v>
      </c>
    </row>
    <row r="610" spans="1:8" x14ac:dyDescent="0.35">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0" s="1" t="s">
        <v>242</v>
      </c>
      <c r="D610" s="1" t="s">
        <v>112</v>
      </c>
      <c r="E610" s="1" t="s">
        <v>243</v>
      </c>
      <c r="F610" s="1" t="s">
        <v>244</v>
      </c>
      <c r="G610" s="1" t="s">
        <v>245</v>
      </c>
      <c r="H610" s="1" t="s">
        <v>246</v>
      </c>
    </row>
    <row r="611" spans="1:8" x14ac:dyDescent="0.35">
      <c r="A611" s="1" t="str">
        <f t="shared" si="9"/>
        <v>17</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1" s="1" t="s">
        <v>2927</v>
      </c>
      <c r="D611" s="1" t="s">
        <v>112</v>
      </c>
      <c r="E611" s="1" t="s">
        <v>2928</v>
      </c>
      <c r="F611" s="1" t="s">
        <v>2929</v>
      </c>
      <c r="G611" s="1" t="s">
        <v>2930</v>
      </c>
      <c r="H611" s="1" t="s">
        <v>2931</v>
      </c>
    </row>
    <row r="612" spans="1:8" x14ac:dyDescent="0.35">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2" s="1" t="s">
        <v>112</v>
      </c>
    </row>
    <row r="613" spans="1:8" x14ac:dyDescent="0.35">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3" s="1" t="s">
        <v>112</v>
      </c>
    </row>
    <row r="614" spans="1:8" x14ac:dyDescent="0.35">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4" s="1" t="s">
        <v>112</v>
      </c>
    </row>
    <row r="615" spans="1:8" x14ac:dyDescent="0.35">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5" s="1" t="s">
        <v>112</v>
      </c>
    </row>
    <row r="616" spans="1:8" x14ac:dyDescent="0.35">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6" s="1" t="s">
        <v>112</v>
      </c>
    </row>
    <row r="617" spans="1:8" x14ac:dyDescent="0.35">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7" s="1" t="s">
        <v>172</v>
      </c>
      <c r="D617" s="1" t="s">
        <v>110</v>
      </c>
      <c r="E617" s="1" t="s">
        <v>111</v>
      </c>
      <c r="F617" s="1" t="s">
        <v>112</v>
      </c>
      <c r="G617" s="1" t="s">
        <v>113</v>
      </c>
    </row>
    <row r="618" spans="1:8" x14ac:dyDescent="0.35">
      <c r="A618" s="1" t="str">
        <f t="shared" si="9"/>
        <v>18</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18" s="1" t="s">
        <v>2932</v>
      </c>
      <c r="D618" s="1" t="s">
        <v>2933</v>
      </c>
      <c r="E618" s="1" t="s">
        <v>2934</v>
      </c>
      <c r="F618" s="1" t="s">
        <v>112</v>
      </c>
      <c r="G618" s="1">
        <v>1292429</v>
      </c>
    </row>
    <row r="619" spans="1:8" x14ac:dyDescent="0.35">
      <c r="A619" s="1" t="str">
        <f t="shared" si="9"/>
        <v>18</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19" s="1" t="s">
        <v>2935</v>
      </c>
      <c r="D619" s="1" t="s">
        <v>2936</v>
      </c>
      <c r="E619" s="1" t="s">
        <v>2937</v>
      </c>
      <c r="F619" s="1" t="s">
        <v>112</v>
      </c>
      <c r="G619" s="1">
        <v>1343627</v>
      </c>
    </row>
    <row r="620" spans="1:8" x14ac:dyDescent="0.35">
      <c r="A620" s="1" t="str">
        <f t="shared" si="9"/>
        <v>18</v>
      </c>
      <c r="B6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0" s="1" t="s">
        <v>2938</v>
      </c>
      <c r="D620" s="1" t="s">
        <v>2939</v>
      </c>
      <c r="E620" s="1" t="s">
        <v>2940</v>
      </c>
      <c r="F620" s="1" t="s">
        <v>112</v>
      </c>
      <c r="G620" s="1">
        <v>1344384</v>
      </c>
    </row>
    <row r="621" spans="1:8" x14ac:dyDescent="0.35">
      <c r="A621" s="1" t="str">
        <f t="shared" si="9"/>
        <v>18</v>
      </c>
      <c r="B6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1" s="1" t="s">
        <v>2941</v>
      </c>
      <c r="D621" s="1" t="s">
        <v>2942</v>
      </c>
      <c r="E621" s="1" t="s">
        <v>2943</v>
      </c>
      <c r="F621" s="1" t="s">
        <v>112</v>
      </c>
      <c r="G621" s="1">
        <v>1420003</v>
      </c>
    </row>
    <row r="622" spans="1:8" x14ac:dyDescent="0.35">
      <c r="A622" s="1" t="str">
        <f t="shared" si="9"/>
        <v>18</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2" s="1" t="s">
        <v>2944</v>
      </c>
      <c r="D622" s="1" t="s">
        <v>1563</v>
      </c>
      <c r="E622" s="1" t="s">
        <v>2945</v>
      </c>
      <c r="F622" s="1" t="s">
        <v>112</v>
      </c>
      <c r="G622" s="1">
        <v>359078</v>
      </c>
    </row>
    <row r="623" spans="1:8" x14ac:dyDescent="0.35">
      <c r="A623" s="1" t="str">
        <f t="shared" si="9"/>
        <v>18</v>
      </c>
      <c r="B6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3" s="1" t="s">
        <v>2946</v>
      </c>
      <c r="D623" s="1" t="s">
        <v>1634</v>
      </c>
      <c r="E623" s="1" t="s">
        <v>2947</v>
      </c>
      <c r="F623" s="1" t="s">
        <v>112</v>
      </c>
      <c r="G623" s="1">
        <v>129931</v>
      </c>
    </row>
    <row r="624" spans="1:8" x14ac:dyDescent="0.35">
      <c r="A624" s="1" t="str">
        <f t="shared" si="9"/>
        <v>18</v>
      </c>
      <c r="B6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4" s="1" t="s">
        <v>2948</v>
      </c>
      <c r="D624" s="1" t="s">
        <v>1520</v>
      </c>
      <c r="E624" s="1" t="s">
        <v>2949</v>
      </c>
      <c r="F624" s="1" t="s">
        <v>112</v>
      </c>
      <c r="G624" s="1">
        <v>107998</v>
      </c>
    </row>
    <row r="625" spans="1:7" x14ac:dyDescent="0.35">
      <c r="A625" s="1" t="str">
        <f t="shared" si="9"/>
        <v>18</v>
      </c>
      <c r="B6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5" s="1" t="s">
        <v>2950</v>
      </c>
      <c r="D625" s="1" t="s">
        <v>1560</v>
      </c>
      <c r="E625" s="1" t="s">
        <v>2951</v>
      </c>
      <c r="F625" s="1" t="s">
        <v>112</v>
      </c>
      <c r="G625" s="1">
        <v>374305</v>
      </c>
    </row>
    <row r="626" spans="1:7" x14ac:dyDescent="0.35">
      <c r="A626" s="1" t="str">
        <f t="shared" si="9"/>
        <v>18</v>
      </c>
      <c r="B6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6" s="1" t="s">
        <v>2952</v>
      </c>
      <c r="D626" s="1" t="s">
        <v>2953</v>
      </c>
      <c r="E626" s="1" t="s">
        <v>2954</v>
      </c>
      <c r="F626" s="1" t="s">
        <v>112</v>
      </c>
      <c r="G626" s="1">
        <v>1898824</v>
      </c>
    </row>
    <row r="627" spans="1:7" x14ac:dyDescent="0.35">
      <c r="A627" s="1" t="str">
        <f t="shared" si="9"/>
        <v>18</v>
      </c>
      <c r="B6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7" s="1" t="s">
        <v>2955</v>
      </c>
      <c r="D627" s="1" t="s">
        <v>2956</v>
      </c>
      <c r="E627" s="1" t="s">
        <v>2957</v>
      </c>
      <c r="F627" s="1" t="s">
        <v>112</v>
      </c>
      <c r="G627" s="1">
        <v>1376245</v>
      </c>
    </row>
    <row r="628" spans="1:7" x14ac:dyDescent="0.35">
      <c r="A628" s="1" t="str">
        <f t="shared" si="9"/>
        <v>18</v>
      </c>
      <c r="B6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8" s="1" t="s">
        <v>2958</v>
      </c>
      <c r="D628" s="1" t="s">
        <v>2959</v>
      </c>
      <c r="E628" s="1" t="s">
        <v>2960</v>
      </c>
      <c r="F628" s="1" t="s">
        <v>112</v>
      </c>
      <c r="G628" s="1">
        <v>1383902</v>
      </c>
    </row>
    <row r="629" spans="1:7" x14ac:dyDescent="0.35">
      <c r="A629" s="1" t="str">
        <f t="shared" si="9"/>
        <v>18</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9" s="1" t="s">
        <v>2961</v>
      </c>
      <c r="D629" s="1" t="s">
        <v>2962</v>
      </c>
      <c r="E629" s="1" t="s">
        <v>2963</v>
      </c>
      <c r="F629" s="1" t="s">
        <v>112</v>
      </c>
      <c r="G629" s="1">
        <v>1113334</v>
      </c>
    </row>
    <row r="630" spans="1:7" x14ac:dyDescent="0.35">
      <c r="A630" s="1" t="str">
        <f t="shared" si="9"/>
        <v>18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0" s="1" t="s">
        <v>2964</v>
      </c>
      <c r="D630" s="1" t="s">
        <v>2965</v>
      </c>
      <c r="E630" s="1" t="s">
        <v>2966</v>
      </c>
      <c r="F630" s="1" t="s">
        <v>112</v>
      </c>
      <c r="G630" s="1">
        <v>2925984</v>
      </c>
    </row>
    <row r="631" spans="1:7" x14ac:dyDescent="0.35">
      <c r="A631" s="1" t="str">
        <f t="shared" si="9"/>
        <v>18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1" s="1" t="s">
        <v>2967</v>
      </c>
      <c r="D631" s="1" t="s">
        <v>2968</v>
      </c>
      <c r="E631" s="1" t="s">
        <v>2969</v>
      </c>
      <c r="F631" s="1" t="s">
        <v>112</v>
      </c>
      <c r="G631" s="1">
        <v>3065021</v>
      </c>
    </row>
    <row r="632" spans="1:7" x14ac:dyDescent="0.35">
      <c r="A632" s="1" t="str">
        <f t="shared" si="9"/>
        <v>18</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2" s="1" t="s">
        <v>2970</v>
      </c>
      <c r="D632" s="1" t="s">
        <v>2971</v>
      </c>
      <c r="E632" s="1" t="s">
        <v>2972</v>
      </c>
      <c r="F632" s="1" t="s">
        <v>112</v>
      </c>
      <c r="G632" s="1">
        <v>3381704</v>
      </c>
    </row>
    <row r="633" spans="1:7" x14ac:dyDescent="0.35">
      <c r="A633" s="1" t="str">
        <f t="shared" si="9"/>
        <v>18</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3" s="1" t="s">
        <v>2973</v>
      </c>
      <c r="D633" s="1" t="s">
        <v>2974</v>
      </c>
      <c r="E633" s="1" t="s">
        <v>2975</v>
      </c>
      <c r="F633" s="1" t="s">
        <v>112</v>
      </c>
      <c r="G633" s="1">
        <v>2983368</v>
      </c>
    </row>
    <row r="634" spans="1:7" x14ac:dyDescent="0.35">
      <c r="A634" s="1" t="str">
        <f t="shared" si="9"/>
        <v>18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4" s="1" t="s">
        <v>2976</v>
      </c>
      <c r="D634" s="1" t="s">
        <v>2977</v>
      </c>
      <c r="E634" s="1" t="s">
        <v>2978</v>
      </c>
      <c r="F634" s="1" t="s">
        <v>112</v>
      </c>
      <c r="G634" s="1">
        <v>1480826</v>
      </c>
    </row>
    <row r="635" spans="1:7" x14ac:dyDescent="0.35">
      <c r="A635" s="1" t="str">
        <f t="shared" si="9"/>
        <v>18</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5" s="1" t="s">
        <v>2979</v>
      </c>
      <c r="D635" s="1" t="s">
        <v>2980</v>
      </c>
      <c r="E635" s="1" t="s">
        <v>2981</v>
      </c>
      <c r="F635" s="1" t="s">
        <v>112</v>
      </c>
      <c r="G635" s="1">
        <v>811943</v>
      </c>
    </row>
    <row r="636" spans="1:7" x14ac:dyDescent="0.35">
      <c r="A636" s="1" t="str">
        <f t="shared" si="9"/>
        <v>18</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6" s="1" t="s">
        <v>2982</v>
      </c>
    </row>
    <row r="637" spans="1:7" x14ac:dyDescent="0.35">
      <c r="A637" s="1" t="str">
        <f t="shared" si="9"/>
        <v>18</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7" s="1" t="s">
        <v>2983</v>
      </c>
      <c r="D637" s="1" t="s">
        <v>2984</v>
      </c>
      <c r="E637" s="1" t="s">
        <v>2985</v>
      </c>
      <c r="F637" s="1" t="s">
        <v>112</v>
      </c>
      <c r="G637" s="1">
        <v>1454286</v>
      </c>
    </row>
    <row r="638" spans="1:7" x14ac:dyDescent="0.35">
      <c r="A638" s="1" t="str">
        <f t="shared" si="9"/>
        <v>18</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38" s="1" t="s">
        <v>2986</v>
      </c>
      <c r="D638" s="1" t="s">
        <v>2987</v>
      </c>
      <c r="E638" s="1" t="s">
        <v>2988</v>
      </c>
      <c r="F638" s="1" t="s">
        <v>112</v>
      </c>
      <c r="G638" s="1">
        <v>2661191</v>
      </c>
    </row>
    <row r="639" spans="1:7" x14ac:dyDescent="0.35">
      <c r="A639" s="1" t="str">
        <f t="shared" si="9"/>
        <v>18</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39" s="1" t="s">
        <v>2989</v>
      </c>
      <c r="D639" s="1" t="s">
        <v>2990</v>
      </c>
      <c r="E639" s="1" t="s">
        <v>2991</v>
      </c>
      <c r="F639" s="1" t="s">
        <v>112</v>
      </c>
      <c r="G639" s="1">
        <v>3377962</v>
      </c>
    </row>
    <row r="640" spans="1:7" x14ac:dyDescent="0.35">
      <c r="A640" s="1" t="str">
        <f t="shared" si="9"/>
        <v>18</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0" s="1" t="s">
        <v>2992</v>
      </c>
    </row>
    <row r="641" spans="1:8" x14ac:dyDescent="0.35">
      <c r="A641" s="1" t="str">
        <f t="shared" si="9"/>
        <v>18</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1" s="1" t="s">
        <v>2993</v>
      </c>
      <c r="D641" s="1" t="s">
        <v>2994</v>
      </c>
      <c r="E641" s="1" t="s">
        <v>2995</v>
      </c>
      <c r="F641" s="1" t="s">
        <v>112</v>
      </c>
      <c r="G641" s="1">
        <v>3486652</v>
      </c>
    </row>
    <row r="642" spans="1:8" x14ac:dyDescent="0.35">
      <c r="A642" s="1" t="str">
        <f t="shared" ref="A642:A705" si="10">IFERROR(LEFT(RIGHT(C642,LEN(C642)-SEARCH("@",C642)),SEARCH("/",RIGHT(C642,LEN(C642)-SEARCH("@",C642)-1))),"")</f>
        <v>18</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2" s="1" t="s">
        <v>2996</v>
      </c>
      <c r="D642" s="1" t="s">
        <v>926</v>
      </c>
      <c r="E642" s="1" t="s">
        <v>2997</v>
      </c>
      <c r="F642" s="1" t="s">
        <v>112</v>
      </c>
      <c r="G642" s="1">
        <v>3020204</v>
      </c>
    </row>
    <row r="643" spans="1:8" x14ac:dyDescent="0.35">
      <c r="A643" s="1" t="str">
        <f t="shared" si="10"/>
        <v>18</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3" s="1" t="s">
        <v>2998</v>
      </c>
      <c r="D643" s="1" t="s">
        <v>2999</v>
      </c>
      <c r="E643" s="1" t="s">
        <v>3000</v>
      </c>
      <c r="F643" s="1" t="s">
        <v>112</v>
      </c>
      <c r="G643" s="1">
        <v>3106723</v>
      </c>
    </row>
    <row r="644" spans="1:8" x14ac:dyDescent="0.35">
      <c r="A644" s="1" t="str">
        <f t="shared" si="10"/>
        <v>18</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4" s="1" t="s">
        <v>3001</v>
      </c>
      <c r="D644" s="1" t="s">
        <v>3002</v>
      </c>
      <c r="E644" s="1" t="s">
        <v>3003</v>
      </c>
      <c r="F644" s="1" t="s">
        <v>112</v>
      </c>
      <c r="G644" s="1">
        <v>3266136</v>
      </c>
    </row>
    <row r="645" spans="1:8" x14ac:dyDescent="0.35">
      <c r="A645" s="1" t="str">
        <f t="shared" si="10"/>
        <v>18</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5" s="1" t="s">
        <v>3004</v>
      </c>
      <c r="D645" s="1" t="s">
        <v>3005</v>
      </c>
      <c r="E645" s="1" t="s">
        <v>3006</v>
      </c>
      <c r="F645" s="1" t="s">
        <v>112</v>
      </c>
      <c r="G645" s="1">
        <v>3255624</v>
      </c>
    </row>
    <row r="646" spans="1:8" x14ac:dyDescent="0.35">
      <c r="A646" s="1" t="str">
        <f t="shared" si="10"/>
        <v>18</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6" s="1" t="s">
        <v>3007</v>
      </c>
      <c r="D646" s="1" t="s">
        <v>3008</v>
      </c>
      <c r="E646" s="1" t="s">
        <v>3009</v>
      </c>
      <c r="F646" s="1" t="s">
        <v>112</v>
      </c>
      <c r="G646" s="1">
        <v>1487509</v>
      </c>
    </row>
    <row r="647" spans="1:8" x14ac:dyDescent="0.35">
      <c r="A647" s="1" t="str">
        <f t="shared" si="10"/>
        <v>18</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7" s="1" t="s">
        <v>3010</v>
      </c>
      <c r="D647" s="1" t="s">
        <v>3011</v>
      </c>
      <c r="E647" s="1" t="s">
        <v>3012</v>
      </c>
      <c r="F647" s="1" t="s">
        <v>112</v>
      </c>
      <c r="G647" s="1">
        <v>1452577</v>
      </c>
    </row>
    <row r="648" spans="1:8" x14ac:dyDescent="0.35">
      <c r="A648" s="1" t="str">
        <f t="shared" si="10"/>
        <v>18</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8" s="1" t="s">
        <v>3013</v>
      </c>
      <c r="D648" s="1" t="s">
        <v>3014</v>
      </c>
      <c r="E648" s="1" t="s">
        <v>3015</v>
      </c>
      <c r="F648" s="1" t="s">
        <v>112</v>
      </c>
      <c r="G648" s="1">
        <v>1398676</v>
      </c>
    </row>
    <row r="649" spans="1:8" x14ac:dyDescent="0.35">
      <c r="A649" s="1" t="str">
        <f t="shared" si="10"/>
        <v>18</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9" s="1" t="s">
        <v>3016</v>
      </c>
      <c r="D649" s="1" t="s">
        <v>3017</v>
      </c>
      <c r="E649" s="1" t="s">
        <v>3018</v>
      </c>
      <c r="F649" s="1" t="s">
        <v>112</v>
      </c>
      <c r="G649" s="1">
        <v>1436463</v>
      </c>
    </row>
    <row r="650" spans="1:8" x14ac:dyDescent="0.35">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0" s="1" t="s">
        <v>112</v>
      </c>
    </row>
    <row r="651" spans="1:8" x14ac:dyDescent="0.35">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1" s="1" t="s">
        <v>242</v>
      </c>
      <c r="D651" s="1" t="s">
        <v>112</v>
      </c>
      <c r="E651" s="1" t="s">
        <v>243</v>
      </c>
      <c r="F651" s="1" t="s">
        <v>244</v>
      </c>
      <c r="G651" s="1" t="s">
        <v>245</v>
      </c>
      <c r="H651" s="1" t="s">
        <v>246</v>
      </c>
    </row>
    <row r="652" spans="1:8" x14ac:dyDescent="0.35">
      <c r="A652" s="1" t="str">
        <f t="shared" si="10"/>
        <v>18</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2" s="1" t="s">
        <v>3019</v>
      </c>
      <c r="D652" s="1" t="s">
        <v>112</v>
      </c>
      <c r="E652" s="1" t="s">
        <v>3020</v>
      </c>
      <c r="F652" s="1" t="s">
        <v>3021</v>
      </c>
      <c r="G652" s="1" t="s">
        <v>3022</v>
      </c>
      <c r="H652" s="1" t="s">
        <v>3023</v>
      </c>
    </row>
    <row r="653" spans="1:8"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8"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112</v>
      </c>
    </row>
    <row r="655" spans="1:8"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5" s="1" t="s">
        <v>112</v>
      </c>
    </row>
    <row r="656" spans="1:8"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172</v>
      </c>
      <c r="D658" s="1" t="s">
        <v>110</v>
      </c>
      <c r="E658" s="1" t="s">
        <v>111</v>
      </c>
      <c r="F658" s="1" t="s">
        <v>112</v>
      </c>
      <c r="G658" s="1" t="s">
        <v>113</v>
      </c>
    </row>
    <row r="659" spans="1:7" x14ac:dyDescent="0.35">
      <c r="A659" s="1" t="str">
        <f t="shared" si="10"/>
        <v>19</v>
      </c>
      <c r="B6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59" s="1" t="s">
        <v>3024</v>
      </c>
      <c r="D659" s="1" t="s">
        <v>3025</v>
      </c>
      <c r="E659" s="1" t="s">
        <v>3026</v>
      </c>
      <c r="F659" s="1" t="s">
        <v>112</v>
      </c>
      <c r="G659" s="1">
        <v>2723031</v>
      </c>
    </row>
    <row r="660" spans="1:7" x14ac:dyDescent="0.35">
      <c r="A660" s="1" t="str">
        <f t="shared" si="10"/>
        <v>19</v>
      </c>
      <c r="B6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0" s="1" t="s">
        <v>3027</v>
      </c>
      <c r="D660" s="1" t="s">
        <v>3028</v>
      </c>
      <c r="E660" s="1" t="s">
        <v>3029</v>
      </c>
      <c r="F660" s="1" t="s">
        <v>112</v>
      </c>
      <c r="G660" s="1">
        <v>3379411</v>
      </c>
    </row>
    <row r="661" spans="1:7" x14ac:dyDescent="0.35">
      <c r="A661" s="1" t="str">
        <f t="shared" si="10"/>
        <v>19</v>
      </c>
      <c r="B6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1" s="1" t="s">
        <v>3030</v>
      </c>
      <c r="D661" s="1" t="s">
        <v>3031</v>
      </c>
      <c r="E661" s="1" t="s">
        <v>3032</v>
      </c>
      <c r="F661" s="1" t="s">
        <v>112</v>
      </c>
      <c r="G661" s="1">
        <v>2289200</v>
      </c>
    </row>
    <row r="662" spans="1:7" x14ac:dyDescent="0.35">
      <c r="A662" s="1" t="str">
        <f t="shared" si="10"/>
        <v>19</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3033</v>
      </c>
      <c r="D662" s="1" t="s">
        <v>3034</v>
      </c>
      <c r="E662" s="1" t="s">
        <v>3035</v>
      </c>
      <c r="F662" s="1" t="s">
        <v>112</v>
      </c>
      <c r="G662" s="1">
        <v>2228982</v>
      </c>
    </row>
    <row r="663" spans="1:7" x14ac:dyDescent="0.35">
      <c r="A663" s="1" t="str">
        <f t="shared" si="10"/>
        <v>19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3" s="1" t="s">
        <v>3036</v>
      </c>
      <c r="D663" s="1" t="s">
        <v>3037</v>
      </c>
      <c r="E663" s="1" t="s">
        <v>3038</v>
      </c>
      <c r="F663" s="1" t="s">
        <v>112</v>
      </c>
      <c r="G663" s="1">
        <v>1720788</v>
      </c>
    </row>
    <row r="664" spans="1:7" x14ac:dyDescent="0.35">
      <c r="A664" s="1" t="str">
        <f t="shared" si="10"/>
        <v>19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4" s="1" t="s">
        <v>3039</v>
      </c>
      <c r="D664" s="1" t="s">
        <v>3040</v>
      </c>
      <c r="E664" s="1" t="s">
        <v>3041</v>
      </c>
      <c r="F664" s="1" t="s">
        <v>112</v>
      </c>
      <c r="G664" s="1">
        <v>1457033</v>
      </c>
    </row>
    <row r="665" spans="1:7" x14ac:dyDescent="0.35">
      <c r="A665" s="1" t="str">
        <f t="shared" si="10"/>
        <v>19</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3042</v>
      </c>
      <c r="D665" s="1" t="s">
        <v>253</v>
      </c>
      <c r="E665" s="1" t="s">
        <v>3043</v>
      </c>
      <c r="F665" s="1" t="s">
        <v>112</v>
      </c>
      <c r="G665" s="1">
        <v>1446196</v>
      </c>
    </row>
    <row r="666" spans="1:7" x14ac:dyDescent="0.35">
      <c r="A666" s="1" t="str">
        <f t="shared" si="10"/>
        <v>19</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3044</v>
      </c>
      <c r="D666" s="1" t="s">
        <v>3045</v>
      </c>
      <c r="E666" s="1" t="s">
        <v>3046</v>
      </c>
      <c r="F666" s="1" t="s">
        <v>112</v>
      </c>
      <c r="G666" s="1">
        <v>1744148</v>
      </c>
    </row>
    <row r="667" spans="1:7" x14ac:dyDescent="0.35">
      <c r="A667" s="1" t="str">
        <f t="shared" si="10"/>
        <v>19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7" s="1" t="s">
        <v>3047</v>
      </c>
      <c r="D667" s="1" t="s">
        <v>3048</v>
      </c>
      <c r="E667" s="1" t="s">
        <v>3049</v>
      </c>
      <c r="F667" s="1" t="s">
        <v>112</v>
      </c>
      <c r="G667" s="1">
        <v>2266121</v>
      </c>
    </row>
    <row r="668" spans="1:7" x14ac:dyDescent="0.35">
      <c r="A668" s="1" t="str">
        <f t="shared" si="10"/>
        <v>19</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3050</v>
      </c>
      <c r="D668" s="1" t="s">
        <v>3051</v>
      </c>
      <c r="E668" s="1" t="s">
        <v>3052</v>
      </c>
      <c r="F668" s="1" t="s">
        <v>112</v>
      </c>
      <c r="G668" s="1">
        <v>3063896</v>
      </c>
    </row>
    <row r="669" spans="1:7" x14ac:dyDescent="0.35">
      <c r="A669" s="1" t="str">
        <f t="shared" si="10"/>
        <v>19</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3053</v>
      </c>
      <c r="D669" s="1" t="s">
        <v>1436</v>
      </c>
      <c r="E669" s="1" t="s">
        <v>3054</v>
      </c>
      <c r="F669" s="1" t="s">
        <v>112</v>
      </c>
      <c r="G669" s="1">
        <v>3222984</v>
      </c>
    </row>
    <row r="670" spans="1:7" x14ac:dyDescent="0.35">
      <c r="A670" s="1" t="str">
        <f t="shared" si="10"/>
        <v>19</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3055</v>
      </c>
      <c r="D670" s="1" t="s">
        <v>445</v>
      </c>
      <c r="E670" s="1" t="s">
        <v>3056</v>
      </c>
      <c r="F670" s="1" t="s">
        <v>112</v>
      </c>
      <c r="G670" s="1">
        <v>2823134</v>
      </c>
    </row>
    <row r="671" spans="1:7" x14ac:dyDescent="0.35">
      <c r="A671" s="1" t="str">
        <f t="shared" si="10"/>
        <v>19</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3057</v>
      </c>
      <c r="D671" s="1" t="s">
        <v>3058</v>
      </c>
      <c r="E671" s="1" t="s">
        <v>3059</v>
      </c>
      <c r="F671" s="1" t="s">
        <v>112</v>
      </c>
      <c r="G671" s="1">
        <v>3338293</v>
      </c>
    </row>
    <row r="672" spans="1:7" x14ac:dyDescent="0.35">
      <c r="A672" s="1" t="str">
        <f t="shared" si="10"/>
        <v>19</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3060</v>
      </c>
      <c r="D672" s="1" t="s">
        <v>3061</v>
      </c>
      <c r="E672" s="1" t="s">
        <v>3062</v>
      </c>
      <c r="F672" s="1" t="s">
        <v>112</v>
      </c>
      <c r="G672" s="1">
        <v>3449038</v>
      </c>
    </row>
    <row r="673" spans="1:7" x14ac:dyDescent="0.35">
      <c r="A673" s="1" t="str">
        <f t="shared" si="10"/>
        <v>19</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3063</v>
      </c>
      <c r="D673" s="1" t="s">
        <v>3064</v>
      </c>
      <c r="E673" s="1" t="s">
        <v>3065</v>
      </c>
      <c r="F673" s="1" t="s">
        <v>112</v>
      </c>
      <c r="G673" s="1">
        <v>3731265</v>
      </c>
    </row>
    <row r="674" spans="1:7" x14ac:dyDescent="0.35">
      <c r="A674" s="1" t="str">
        <f t="shared" si="10"/>
        <v>19</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4" s="1" t="s">
        <v>3066</v>
      </c>
      <c r="D674" s="1" t="s">
        <v>3067</v>
      </c>
      <c r="E674" s="1" t="s">
        <v>3068</v>
      </c>
      <c r="F674" s="1" t="s">
        <v>112</v>
      </c>
      <c r="G674" s="1">
        <v>3347789</v>
      </c>
    </row>
    <row r="675" spans="1:7" x14ac:dyDescent="0.35">
      <c r="A675" s="1" t="str">
        <f t="shared" si="10"/>
        <v>19</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3069</v>
      </c>
      <c r="D675" s="1" t="s">
        <v>702</v>
      </c>
      <c r="E675" s="1" t="s">
        <v>3070</v>
      </c>
      <c r="F675" s="1" t="s">
        <v>112</v>
      </c>
      <c r="G675" s="1">
        <v>482390</v>
      </c>
    </row>
    <row r="676" spans="1:7" x14ac:dyDescent="0.35">
      <c r="A676" s="1" t="str">
        <f t="shared" si="10"/>
        <v>19</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3071</v>
      </c>
      <c r="D676" s="1" t="s">
        <v>3072</v>
      </c>
      <c r="E676" s="1" t="s">
        <v>3073</v>
      </c>
      <c r="F676" s="1" t="s">
        <v>112</v>
      </c>
      <c r="G676" s="1">
        <v>997895</v>
      </c>
    </row>
    <row r="677" spans="1:7" x14ac:dyDescent="0.35">
      <c r="A677" s="1" t="str">
        <f t="shared" si="10"/>
        <v>19</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7" s="1" t="s">
        <v>3074</v>
      </c>
      <c r="D677" s="1" t="s">
        <v>3075</v>
      </c>
      <c r="E677" s="1" t="s">
        <v>3076</v>
      </c>
      <c r="F677" s="1" t="s">
        <v>112</v>
      </c>
      <c r="G677" s="1">
        <v>840257</v>
      </c>
    </row>
    <row r="678" spans="1:7" x14ac:dyDescent="0.35">
      <c r="A678" s="1" t="str">
        <f t="shared" si="10"/>
        <v>19</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8" s="1" t="s">
        <v>3077</v>
      </c>
      <c r="D678" s="1" t="s">
        <v>3078</v>
      </c>
      <c r="E678" s="1" t="s">
        <v>3079</v>
      </c>
      <c r="F678" s="1" t="s">
        <v>112</v>
      </c>
      <c r="G678" s="1">
        <v>673966</v>
      </c>
    </row>
    <row r="679" spans="1:7" x14ac:dyDescent="0.35">
      <c r="A679" s="1" t="str">
        <f t="shared" si="10"/>
        <v>19</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3080</v>
      </c>
      <c r="D679" s="1" t="s">
        <v>1424</v>
      </c>
      <c r="E679" s="1" t="s">
        <v>3081</v>
      </c>
      <c r="F679" s="1" t="s">
        <v>112</v>
      </c>
      <c r="G679" s="1">
        <v>1804258</v>
      </c>
    </row>
    <row r="680" spans="1:7" x14ac:dyDescent="0.35">
      <c r="A680" s="1" t="str">
        <f t="shared" si="10"/>
        <v>19</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0" s="1" t="s">
        <v>3082</v>
      </c>
      <c r="D680" s="1" t="s">
        <v>3083</v>
      </c>
      <c r="E680" s="1" t="s">
        <v>3084</v>
      </c>
      <c r="F680" s="1" t="s">
        <v>112</v>
      </c>
      <c r="G680" s="1">
        <v>1883704</v>
      </c>
    </row>
    <row r="681" spans="1:7" x14ac:dyDescent="0.35">
      <c r="A681" s="1" t="str">
        <f t="shared" si="10"/>
        <v>19</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1" s="1" t="s">
        <v>3085</v>
      </c>
      <c r="D681" s="1" t="s">
        <v>3086</v>
      </c>
      <c r="E681" s="1" t="s">
        <v>3087</v>
      </c>
      <c r="F681" s="1" t="s">
        <v>112</v>
      </c>
      <c r="G681" s="1">
        <v>2178109</v>
      </c>
    </row>
    <row r="682" spans="1:7" x14ac:dyDescent="0.35">
      <c r="A682" s="1" t="str">
        <f t="shared" si="10"/>
        <v>19</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2" s="1" t="s">
        <v>3088</v>
      </c>
      <c r="D682" s="1" t="s">
        <v>3089</v>
      </c>
      <c r="E682" s="1" t="s">
        <v>3090</v>
      </c>
      <c r="F682" s="1" t="s">
        <v>112</v>
      </c>
      <c r="G682" s="1">
        <v>1858224</v>
      </c>
    </row>
    <row r="683" spans="1:7" x14ac:dyDescent="0.35">
      <c r="A683" s="1" t="str">
        <f t="shared" si="10"/>
        <v>19</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3" s="1" t="s">
        <v>3091</v>
      </c>
      <c r="D683" s="1" t="s">
        <v>3092</v>
      </c>
      <c r="E683" s="1" t="s">
        <v>3093</v>
      </c>
      <c r="F683" s="1" t="s">
        <v>112</v>
      </c>
      <c r="G683" s="1">
        <v>3342706</v>
      </c>
    </row>
    <row r="684" spans="1:7" x14ac:dyDescent="0.35">
      <c r="A684" s="1" t="str">
        <f t="shared" si="10"/>
        <v>19</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4" s="1" t="s">
        <v>3094</v>
      </c>
      <c r="D684" s="1" t="s">
        <v>3095</v>
      </c>
      <c r="E684" s="1" t="s">
        <v>3096</v>
      </c>
      <c r="F684" s="1" t="s">
        <v>112</v>
      </c>
      <c r="G684" s="1">
        <v>3109557</v>
      </c>
    </row>
    <row r="685" spans="1:7" x14ac:dyDescent="0.35">
      <c r="A685" s="1" t="str">
        <f t="shared" si="10"/>
        <v>19</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5" s="1" t="s">
        <v>3097</v>
      </c>
      <c r="D685" s="1" t="s">
        <v>3098</v>
      </c>
      <c r="E685" s="1" t="s">
        <v>3099</v>
      </c>
      <c r="F685" s="1" t="s">
        <v>112</v>
      </c>
      <c r="G685" s="1">
        <v>3528117</v>
      </c>
    </row>
    <row r="686" spans="1:7" x14ac:dyDescent="0.35">
      <c r="A686" s="1" t="str">
        <f t="shared" si="10"/>
        <v>19</v>
      </c>
      <c r="B6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6" s="1" t="s">
        <v>3100</v>
      </c>
      <c r="D686" s="1" t="s">
        <v>3101</v>
      </c>
      <c r="E686" s="1" t="s">
        <v>3102</v>
      </c>
      <c r="F686" s="1" t="s">
        <v>112</v>
      </c>
      <c r="G686" s="1">
        <v>3556733</v>
      </c>
    </row>
    <row r="687" spans="1:7" x14ac:dyDescent="0.35">
      <c r="A687" s="1" t="str">
        <f t="shared" si="10"/>
        <v>19</v>
      </c>
      <c r="B6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7" s="1" t="s">
        <v>3103</v>
      </c>
      <c r="D687" s="1" t="s">
        <v>3104</v>
      </c>
      <c r="E687" s="1" t="s">
        <v>3105</v>
      </c>
      <c r="F687" s="1" t="s">
        <v>112</v>
      </c>
      <c r="G687" s="1">
        <v>2845715</v>
      </c>
    </row>
    <row r="688" spans="1:7" x14ac:dyDescent="0.35">
      <c r="A688" s="1" t="str">
        <f t="shared" si="10"/>
        <v>19</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8" s="1" t="s">
        <v>3106</v>
      </c>
      <c r="D688" s="1" t="s">
        <v>2423</v>
      </c>
      <c r="E688" s="1" t="s">
        <v>3107</v>
      </c>
      <c r="F688" s="1" t="s">
        <v>112</v>
      </c>
      <c r="G688" s="1">
        <v>3153660</v>
      </c>
    </row>
    <row r="689" spans="1:8" x14ac:dyDescent="0.35">
      <c r="A689" s="1" t="str">
        <f t="shared" si="10"/>
        <v>19</v>
      </c>
      <c r="B6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9" s="1" t="s">
        <v>3108</v>
      </c>
      <c r="D689" s="1" t="s">
        <v>3109</v>
      </c>
      <c r="E689" s="1" t="s">
        <v>3110</v>
      </c>
      <c r="F689" s="1" t="s">
        <v>112</v>
      </c>
      <c r="G689" s="1">
        <v>3224477</v>
      </c>
    </row>
    <row r="690" spans="1:8" x14ac:dyDescent="0.35">
      <c r="A690" s="1" t="str">
        <f t="shared" si="10"/>
        <v>19</v>
      </c>
      <c r="B6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90" s="1" t="s">
        <v>3111</v>
      </c>
      <c r="D690" s="1" t="s">
        <v>3112</v>
      </c>
      <c r="E690" s="1" t="s">
        <v>3113</v>
      </c>
      <c r="F690" s="1" t="s">
        <v>112</v>
      </c>
      <c r="G690" s="1">
        <v>3181044</v>
      </c>
    </row>
    <row r="691" spans="1:8"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112</v>
      </c>
    </row>
    <row r="692" spans="1:8"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2" s="1" t="s">
        <v>242</v>
      </c>
      <c r="D692" s="1" t="s">
        <v>112</v>
      </c>
      <c r="E692" s="1" t="s">
        <v>243</v>
      </c>
      <c r="F692" s="1" t="s">
        <v>244</v>
      </c>
      <c r="G692" s="1" t="s">
        <v>245</v>
      </c>
      <c r="H692" s="1" t="s">
        <v>246</v>
      </c>
    </row>
    <row r="693" spans="1:8" x14ac:dyDescent="0.35">
      <c r="A693" s="1" t="str">
        <f t="shared" si="10"/>
        <v>19</v>
      </c>
      <c r="B6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93" s="1" t="s">
        <v>3114</v>
      </c>
      <c r="D693" s="1" t="s">
        <v>112</v>
      </c>
      <c r="E693" s="1" t="s">
        <v>3115</v>
      </c>
      <c r="F693" s="1" t="s">
        <v>3116</v>
      </c>
      <c r="G693" s="1" t="s">
        <v>3117</v>
      </c>
      <c r="H693" s="1" t="s">
        <v>3118</v>
      </c>
    </row>
    <row r="694" spans="1:8"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4" s="1" t="s">
        <v>112</v>
      </c>
    </row>
    <row r="695" spans="1:8"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5" s="1" t="s">
        <v>112</v>
      </c>
    </row>
    <row r="696" spans="1:8"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6" s="1" t="s">
        <v>112</v>
      </c>
    </row>
    <row r="697" spans="1:8"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7" s="1" t="s">
        <v>112</v>
      </c>
    </row>
    <row r="698" spans="1:8"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8" s="1" t="s">
        <v>112</v>
      </c>
    </row>
    <row r="699" spans="1:8"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9" s="1" t="s">
        <v>172</v>
      </c>
      <c r="D699" s="1" t="s">
        <v>110</v>
      </c>
      <c r="E699" s="1" t="s">
        <v>111</v>
      </c>
      <c r="F699" s="1" t="s">
        <v>112</v>
      </c>
      <c r="G699" s="1" t="s">
        <v>113</v>
      </c>
    </row>
    <row r="700" spans="1:8" x14ac:dyDescent="0.35">
      <c r="A700" s="1" t="str">
        <f t="shared" si="10"/>
        <v>20</v>
      </c>
      <c r="B7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0" s="1" t="s">
        <v>3119</v>
      </c>
      <c r="D700" s="1" t="s">
        <v>3120</v>
      </c>
      <c r="E700" s="1" t="s">
        <v>3121</v>
      </c>
      <c r="F700" s="1" t="s">
        <v>112</v>
      </c>
      <c r="G700" s="1">
        <v>1356000</v>
      </c>
    </row>
    <row r="701" spans="1:8" x14ac:dyDescent="0.35">
      <c r="A701" s="1" t="str">
        <f t="shared" si="10"/>
        <v>20</v>
      </c>
      <c r="B7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1" s="1" t="s">
        <v>3122</v>
      </c>
      <c r="D701" s="1" t="s">
        <v>1909</v>
      </c>
      <c r="E701" s="1" t="s">
        <v>3123</v>
      </c>
      <c r="F701" s="1" t="s">
        <v>112</v>
      </c>
      <c r="G701" s="1">
        <v>1066224</v>
      </c>
    </row>
    <row r="702" spans="1:8" x14ac:dyDescent="0.35">
      <c r="A702" s="1" t="str">
        <f t="shared" si="10"/>
        <v>20</v>
      </c>
      <c r="B7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2" s="1" t="s">
        <v>3124</v>
      </c>
      <c r="D702" s="1" t="s">
        <v>3125</v>
      </c>
      <c r="E702" s="1" t="s">
        <v>3126</v>
      </c>
      <c r="F702" s="1" t="s">
        <v>112</v>
      </c>
      <c r="G702" s="1">
        <v>1616316</v>
      </c>
    </row>
    <row r="703" spans="1:8" x14ac:dyDescent="0.35">
      <c r="A703" s="1" t="str">
        <f t="shared" si="10"/>
        <v>20</v>
      </c>
      <c r="B7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3" s="1" t="s">
        <v>3127</v>
      </c>
      <c r="D703" s="1" t="s">
        <v>3128</v>
      </c>
      <c r="E703" s="1" t="s">
        <v>3129</v>
      </c>
      <c r="F703" s="1" t="s">
        <v>112</v>
      </c>
      <c r="G703" s="1">
        <v>1760890</v>
      </c>
    </row>
    <row r="704" spans="1:8" x14ac:dyDescent="0.35">
      <c r="A704" s="1" t="str">
        <f t="shared" si="10"/>
        <v>20</v>
      </c>
      <c r="B7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4" s="1" t="s">
        <v>3130</v>
      </c>
      <c r="D704" s="1" t="s">
        <v>3131</v>
      </c>
      <c r="E704" s="1" t="s">
        <v>3132</v>
      </c>
      <c r="F704" s="1" t="s">
        <v>112</v>
      </c>
      <c r="G704" s="1">
        <v>2902580</v>
      </c>
    </row>
    <row r="705" spans="1:7" x14ac:dyDescent="0.35">
      <c r="A705" s="1" t="str">
        <f t="shared" si="10"/>
        <v>20</v>
      </c>
      <c r="B7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5" s="1" t="s">
        <v>3133</v>
      </c>
      <c r="D705" s="1" t="s">
        <v>1806</v>
      </c>
      <c r="E705" s="1" t="s">
        <v>3134</v>
      </c>
      <c r="F705" s="1" t="s">
        <v>112</v>
      </c>
      <c r="G705" s="1">
        <v>2205319</v>
      </c>
    </row>
    <row r="706" spans="1:7" x14ac:dyDescent="0.35">
      <c r="A706" s="1" t="str">
        <f t="shared" ref="A706:A769" si="11">IFERROR(LEFT(RIGHT(C706,LEN(C706)-SEARCH("@",C706)),SEARCH("/",RIGHT(C706,LEN(C706)-SEARCH("@",C706)-1))),"")</f>
        <v>20</v>
      </c>
      <c r="B7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6" s="1" t="s">
        <v>3135</v>
      </c>
      <c r="D706" s="1" t="s">
        <v>3136</v>
      </c>
      <c r="E706" s="1" t="s">
        <v>3137</v>
      </c>
      <c r="F706" s="1" t="s">
        <v>112</v>
      </c>
      <c r="G706" s="1">
        <v>2525939</v>
      </c>
    </row>
    <row r="707" spans="1:7" x14ac:dyDescent="0.35">
      <c r="A707" s="1" t="str">
        <f t="shared" si="11"/>
        <v>20</v>
      </c>
      <c r="B7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7" s="1" t="s">
        <v>3138</v>
      </c>
      <c r="D707" s="1" t="s">
        <v>3139</v>
      </c>
      <c r="E707" s="1" t="s">
        <v>3140</v>
      </c>
      <c r="F707" s="1" t="s">
        <v>112</v>
      </c>
      <c r="G707" s="1">
        <v>2171382</v>
      </c>
    </row>
    <row r="708" spans="1:7" x14ac:dyDescent="0.35">
      <c r="A708" s="1" t="str">
        <f t="shared" si="11"/>
        <v>20</v>
      </c>
      <c r="B7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08" s="1" t="s">
        <v>3141</v>
      </c>
    </row>
    <row r="709" spans="1:7" x14ac:dyDescent="0.35">
      <c r="A709" s="1" t="str">
        <f t="shared" si="11"/>
        <v>20</v>
      </c>
      <c r="B7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09" s="1" t="s">
        <v>3142</v>
      </c>
    </row>
    <row r="710" spans="1:7" x14ac:dyDescent="0.35">
      <c r="A710" s="1" t="str">
        <f t="shared" si="11"/>
        <v>20</v>
      </c>
      <c r="B7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10" s="1" t="s">
        <v>3143</v>
      </c>
      <c r="D710" s="1" t="s">
        <v>3144</v>
      </c>
      <c r="E710" s="1" t="s">
        <v>3145</v>
      </c>
      <c r="F710" s="1" t="s">
        <v>112</v>
      </c>
      <c r="G710" s="1">
        <v>1471525</v>
      </c>
    </row>
    <row r="711" spans="1:7" x14ac:dyDescent="0.35">
      <c r="A711" s="1" t="str">
        <f t="shared" si="11"/>
        <v>20</v>
      </c>
      <c r="B7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11" s="1" t="s">
        <v>3146</v>
      </c>
      <c r="D711" s="1" t="s">
        <v>3147</v>
      </c>
      <c r="E711" s="1" t="s">
        <v>3148</v>
      </c>
      <c r="F711" s="1" t="s">
        <v>112</v>
      </c>
      <c r="G711" s="1">
        <v>1950303</v>
      </c>
    </row>
    <row r="712" spans="1:7" x14ac:dyDescent="0.35">
      <c r="A712" s="1" t="str">
        <f t="shared" si="11"/>
        <v>20</v>
      </c>
      <c r="B7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12" s="1" t="s">
        <v>3149</v>
      </c>
      <c r="D712" s="1" t="s">
        <v>3150</v>
      </c>
      <c r="E712" s="1" t="s">
        <v>3151</v>
      </c>
      <c r="F712" s="1" t="s">
        <v>112</v>
      </c>
      <c r="G712" s="1">
        <v>1798677</v>
      </c>
    </row>
    <row r="713" spans="1:7" x14ac:dyDescent="0.35">
      <c r="A713" s="1" t="str">
        <f t="shared" si="11"/>
        <v>20</v>
      </c>
      <c r="B7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13" s="1" t="s">
        <v>3152</v>
      </c>
      <c r="D713" s="1" t="s">
        <v>3153</v>
      </c>
      <c r="E713" s="1" t="s">
        <v>3154</v>
      </c>
      <c r="F713" s="1" t="s">
        <v>112</v>
      </c>
      <c r="G713" s="1">
        <v>1533127</v>
      </c>
    </row>
    <row r="714" spans="1:7" x14ac:dyDescent="0.35">
      <c r="A714" s="1" t="str">
        <f t="shared" si="11"/>
        <v>20</v>
      </c>
      <c r="B7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14" s="1" t="s">
        <v>3155</v>
      </c>
      <c r="D714" s="1" t="s">
        <v>3156</v>
      </c>
      <c r="E714" s="1" t="s">
        <v>3157</v>
      </c>
      <c r="F714" s="1" t="s">
        <v>112</v>
      </c>
      <c r="G714" s="1">
        <v>2254873</v>
      </c>
    </row>
    <row r="715" spans="1:7" x14ac:dyDescent="0.35">
      <c r="A715" s="1" t="str">
        <f t="shared" si="11"/>
        <v>20</v>
      </c>
      <c r="B7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15" s="1" t="s">
        <v>3158</v>
      </c>
      <c r="D715" s="1" t="s">
        <v>3159</v>
      </c>
      <c r="E715" s="1" t="s">
        <v>3160</v>
      </c>
      <c r="F715" s="1" t="s">
        <v>112</v>
      </c>
      <c r="G715" s="1">
        <v>2275119</v>
      </c>
    </row>
    <row r="716" spans="1:7" x14ac:dyDescent="0.35">
      <c r="A716" s="1" t="str">
        <f t="shared" si="11"/>
        <v>20</v>
      </c>
      <c r="B7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16" s="1" t="s">
        <v>3161</v>
      </c>
      <c r="D716" s="1" t="s">
        <v>3162</v>
      </c>
      <c r="E716" s="1" t="s">
        <v>3163</v>
      </c>
      <c r="F716" s="1" t="s">
        <v>112</v>
      </c>
      <c r="G716" s="1">
        <v>1615969</v>
      </c>
    </row>
    <row r="717" spans="1:7" x14ac:dyDescent="0.35">
      <c r="A717" s="1" t="str">
        <f t="shared" si="11"/>
        <v>20</v>
      </c>
      <c r="B7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17" s="1" t="s">
        <v>3164</v>
      </c>
      <c r="D717" s="1" t="s">
        <v>3165</v>
      </c>
      <c r="E717" s="1" t="s">
        <v>3166</v>
      </c>
      <c r="F717" s="1" t="s">
        <v>112</v>
      </c>
      <c r="G717" s="1">
        <v>1794092</v>
      </c>
    </row>
    <row r="718" spans="1:7" x14ac:dyDescent="0.35">
      <c r="A718" s="1" t="str">
        <f t="shared" si="11"/>
        <v>20</v>
      </c>
      <c r="B7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18" s="1" t="s">
        <v>3167</v>
      </c>
      <c r="D718" s="1" t="s">
        <v>3168</v>
      </c>
      <c r="E718" s="1" t="s">
        <v>3169</v>
      </c>
      <c r="F718" s="1" t="s">
        <v>112</v>
      </c>
      <c r="G718" s="1">
        <v>1744516</v>
      </c>
    </row>
    <row r="719" spans="1:7" x14ac:dyDescent="0.35">
      <c r="A719" s="1" t="str">
        <f t="shared" si="11"/>
        <v>20</v>
      </c>
      <c r="B7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19" s="1" t="s">
        <v>3170</v>
      </c>
      <c r="D719" s="1" t="s">
        <v>3171</v>
      </c>
      <c r="E719" s="1" t="s">
        <v>3172</v>
      </c>
      <c r="F719" s="1" t="s">
        <v>112</v>
      </c>
      <c r="G719" s="1">
        <v>1487574</v>
      </c>
    </row>
    <row r="720" spans="1:7" x14ac:dyDescent="0.35">
      <c r="A720" s="1" t="str">
        <f t="shared" si="11"/>
        <v>20</v>
      </c>
      <c r="B7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20" s="1" t="s">
        <v>3173</v>
      </c>
      <c r="D720" s="1" t="s">
        <v>3174</v>
      </c>
      <c r="E720" s="1" t="s">
        <v>3175</v>
      </c>
      <c r="F720" s="1" t="s">
        <v>112</v>
      </c>
      <c r="G720" s="1">
        <v>2325992</v>
      </c>
    </row>
    <row r="721" spans="1:8" x14ac:dyDescent="0.35">
      <c r="A721" s="1" t="str">
        <f t="shared" si="11"/>
        <v>20</v>
      </c>
      <c r="B7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21" s="1" t="s">
        <v>3176</v>
      </c>
      <c r="D721" s="1" t="s">
        <v>923</v>
      </c>
      <c r="E721" s="1" t="s">
        <v>3177</v>
      </c>
      <c r="F721" s="1" t="s">
        <v>112</v>
      </c>
      <c r="G721" s="1">
        <v>1939098</v>
      </c>
    </row>
    <row r="722" spans="1:8" x14ac:dyDescent="0.35">
      <c r="A722" s="1" t="str">
        <f t="shared" si="11"/>
        <v>20</v>
      </c>
      <c r="B7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22" s="1" t="s">
        <v>3178</v>
      </c>
      <c r="D722" s="1" t="s">
        <v>2494</v>
      </c>
      <c r="E722" s="1" t="s">
        <v>3179</v>
      </c>
      <c r="F722" s="1" t="s">
        <v>112</v>
      </c>
      <c r="G722" s="1">
        <v>2528556</v>
      </c>
    </row>
    <row r="723" spans="1:8" x14ac:dyDescent="0.35">
      <c r="A723" s="1" t="str">
        <f t="shared" si="11"/>
        <v>20</v>
      </c>
      <c r="B7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23" s="1" t="s">
        <v>3180</v>
      </c>
      <c r="D723" s="1" t="s">
        <v>3181</v>
      </c>
      <c r="E723" s="1" t="s">
        <v>3182</v>
      </c>
      <c r="F723" s="1" t="s">
        <v>112</v>
      </c>
      <c r="G723" s="1">
        <v>2187756</v>
      </c>
    </row>
    <row r="724" spans="1:8" x14ac:dyDescent="0.35">
      <c r="A724" s="1" t="str">
        <f t="shared" si="11"/>
        <v>20</v>
      </c>
      <c r="B7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24" s="1" t="s">
        <v>3183</v>
      </c>
      <c r="D724" s="1" t="s">
        <v>3184</v>
      </c>
      <c r="E724" s="1" t="s">
        <v>3185</v>
      </c>
      <c r="F724" s="1" t="s">
        <v>112</v>
      </c>
      <c r="G724" s="1">
        <v>4105592</v>
      </c>
    </row>
    <row r="725" spans="1:8" x14ac:dyDescent="0.35">
      <c r="A725" s="1" t="str">
        <f t="shared" si="11"/>
        <v>20</v>
      </c>
      <c r="B7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25" s="1" t="s">
        <v>3186</v>
      </c>
      <c r="D725" s="1" t="s">
        <v>3187</v>
      </c>
      <c r="E725" s="1" t="s">
        <v>3188</v>
      </c>
      <c r="F725" s="1" t="s">
        <v>112</v>
      </c>
      <c r="G725" s="1">
        <v>3205139</v>
      </c>
    </row>
    <row r="726" spans="1:8" x14ac:dyDescent="0.35">
      <c r="A726" s="1" t="str">
        <f t="shared" si="11"/>
        <v>20</v>
      </c>
      <c r="B7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26" s="1" t="s">
        <v>3189</v>
      </c>
    </row>
    <row r="727" spans="1:8" x14ac:dyDescent="0.35">
      <c r="A727" s="1" t="str">
        <f t="shared" si="11"/>
        <v>20</v>
      </c>
      <c r="B7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27" s="1" t="s">
        <v>3190</v>
      </c>
    </row>
    <row r="728" spans="1:8" x14ac:dyDescent="0.35">
      <c r="A728" s="1" t="str">
        <f t="shared" si="11"/>
        <v>20</v>
      </c>
      <c r="B7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28" s="1" t="s">
        <v>3191</v>
      </c>
      <c r="D728" s="1" t="s">
        <v>3192</v>
      </c>
      <c r="E728" s="1" t="s">
        <v>3193</v>
      </c>
      <c r="F728" s="1" t="s">
        <v>112</v>
      </c>
      <c r="G728" s="1">
        <v>133911</v>
      </c>
    </row>
    <row r="729" spans="1:8" x14ac:dyDescent="0.35">
      <c r="A729" s="1" t="str">
        <f t="shared" si="11"/>
        <v>20</v>
      </c>
      <c r="B7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29" s="1" t="s">
        <v>3194</v>
      </c>
      <c r="D729" s="1" t="s">
        <v>2146</v>
      </c>
      <c r="E729" s="1" t="s">
        <v>3195</v>
      </c>
      <c r="F729" s="1" t="s">
        <v>112</v>
      </c>
      <c r="G729" s="1">
        <v>145894</v>
      </c>
    </row>
    <row r="730" spans="1:8" x14ac:dyDescent="0.35">
      <c r="A730" s="1" t="str">
        <f t="shared" si="11"/>
        <v>20</v>
      </c>
      <c r="B7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30" s="1" t="s">
        <v>3196</v>
      </c>
      <c r="D730" s="1" t="s">
        <v>1732</v>
      </c>
      <c r="E730" s="1" t="s">
        <v>3197</v>
      </c>
      <c r="F730" s="1" t="s">
        <v>112</v>
      </c>
      <c r="G730" s="1">
        <v>173948</v>
      </c>
    </row>
    <row r="731" spans="1:8" x14ac:dyDescent="0.35">
      <c r="A731" s="1" t="str">
        <f t="shared" si="11"/>
        <v>20</v>
      </c>
      <c r="B7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31" s="1" t="s">
        <v>3198</v>
      </c>
      <c r="D731" s="1" t="s">
        <v>3199</v>
      </c>
      <c r="E731" s="1" t="s">
        <v>3200</v>
      </c>
      <c r="F731" s="1" t="s">
        <v>112</v>
      </c>
      <c r="G731" s="1">
        <v>551519</v>
      </c>
    </row>
    <row r="732" spans="1:8"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2" s="1" t="s">
        <v>112</v>
      </c>
    </row>
    <row r="733" spans="1:8"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3" s="1" t="s">
        <v>242</v>
      </c>
      <c r="D733" s="1" t="s">
        <v>112</v>
      </c>
      <c r="E733" s="1" t="s">
        <v>243</v>
      </c>
      <c r="F733" s="1" t="s">
        <v>244</v>
      </c>
      <c r="G733" s="1" t="s">
        <v>245</v>
      </c>
      <c r="H733" s="1" t="s">
        <v>246</v>
      </c>
    </row>
    <row r="734" spans="1:8" x14ac:dyDescent="0.35">
      <c r="A734" s="1" t="str">
        <f t="shared" si="11"/>
        <v>20</v>
      </c>
      <c r="B7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34" s="1" t="s">
        <v>3201</v>
      </c>
      <c r="D734" s="1" t="s">
        <v>112</v>
      </c>
      <c r="E734" s="1" t="s">
        <v>3202</v>
      </c>
      <c r="F734" s="1" t="s">
        <v>3203</v>
      </c>
      <c r="G734" s="1" t="s">
        <v>3204</v>
      </c>
      <c r="H734" s="1" t="s">
        <v>3205</v>
      </c>
    </row>
    <row r="735" spans="1:8"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5" s="1" t="s">
        <v>112</v>
      </c>
    </row>
    <row r="736" spans="1:8"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6" s="1" t="s">
        <v>112</v>
      </c>
    </row>
    <row r="737" spans="1:7"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7" s="1" t="s">
        <v>112</v>
      </c>
    </row>
    <row r="738" spans="1:7"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8" s="1" t="s">
        <v>112</v>
      </c>
    </row>
    <row r="739" spans="1:7"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39" s="1" t="s">
        <v>112</v>
      </c>
    </row>
    <row r="740" spans="1:7"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40" s="1" t="s">
        <v>172</v>
      </c>
      <c r="D740" s="1" t="s">
        <v>110</v>
      </c>
      <c r="E740" s="1" t="s">
        <v>111</v>
      </c>
      <c r="F740" s="1" t="s">
        <v>112</v>
      </c>
      <c r="G740" s="1" t="s">
        <v>113</v>
      </c>
    </row>
    <row r="741" spans="1:7" x14ac:dyDescent="0.35">
      <c r="A741" s="1" t="str">
        <f t="shared" si="11"/>
        <v>21</v>
      </c>
      <c r="B7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41" s="1" t="s">
        <v>3206</v>
      </c>
      <c r="D741" s="1" t="s">
        <v>3207</v>
      </c>
      <c r="E741" s="1" t="s">
        <v>1704</v>
      </c>
      <c r="F741" s="1" t="s">
        <v>112</v>
      </c>
      <c r="G741" s="1">
        <v>415316</v>
      </c>
    </row>
    <row r="742" spans="1:7" x14ac:dyDescent="0.35">
      <c r="A742" s="1" t="str">
        <f t="shared" si="11"/>
        <v>21</v>
      </c>
      <c r="B7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42" s="1" t="s">
        <v>3208</v>
      </c>
      <c r="D742" s="1" t="s">
        <v>2697</v>
      </c>
      <c r="E742" s="1" t="s">
        <v>3209</v>
      </c>
      <c r="F742" s="1" t="s">
        <v>112</v>
      </c>
      <c r="G742" s="1">
        <v>582190</v>
      </c>
    </row>
    <row r="743" spans="1:7" x14ac:dyDescent="0.35">
      <c r="A743" s="1" t="str">
        <f t="shared" si="11"/>
        <v>21</v>
      </c>
      <c r="B7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43" s="1" t="s">
        <v>3210</v>
      </c>
      <c r="D743" s="1" t="s">
        <v>3211</v>
      </c>
      <c r="E743" s="1" t="s">
        <v>3212</v>
      </c>
      <c r="F743" s="1" t="s">
        <v>112</v>
      </c>
      <c r="G743" s="1">
        <v>659906</v>
      </c>
    </row>
    <row r="744" spans="1:7" x14ac:dyDescent="0.35">
      <c r="A744" s="1" t="str">
        <f t="shared" si="11"/>
        <v>21</v>
      </c>
      <c r="B7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44" s="1" t="s">
        <v>3213</v>
      </c>
    </row>
    <row r="745" spans="1:7" x14ac:dyDescent="0.35">
      <c r="A745" s="1" t="str">
        <f t="shared" si="11"/>
        <v>21</v>
      </c>
      <c r="B7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5" s="1" t="s">
        <v>3214</v>
      </c>
      <c r="D745" s="1" t="s">
        <v>3215</v>
      </c>
      <c r="E745" s="1" t="s">
        <v>3216</v>
      </c>
      <c r="F745" s="1" t="s">
        <v>112</v>
      </c>
      <c r="G745" s="1">
        <v>754991</v>
      </c>
    </row>
    <row r="746" spans="1:7" x14ac:dyDescent="0.35">
      <c r="A746" s="1" t="str">
        <f t="shared" si="11"/>
        <v>21</v>
      </c>
      <c r="B7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6" s="1" t="s">
        <v>3217</v>
      </c>
      <c r="D746" s="1" t="s">
        <v>159</v>
      </c>
      <c r="E746" s="1" t="s">
        <v>3218</v>
      </c>
      <c r="F746" s="1" t="s">
        <v>112</v>
      </c>
      <c r="G746" s="1">
        <v>757587</v>
      </c>
    </row>
    <row r="747" spans="1:7" x14ac:dyDescent="0.35">
      <c r="A747" s="1" t="str">
        <f t="shared" si="11"/>
        <v>21</v>
      </c>
      <c r="B7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7" s="1" t="s">
        <v>3219</v>
      </c>
      <c r="D747" s="1" t="s">
        <v>3220</v>
      </c>
      <c r="E747" s="1" t="s">
        <v>3221</v>
      </c>
      <c r="F747" s="1" t="s">
        <v>112</v>
      </c>
      <c r="G747" s="1">
        <v>921650</v>
      </c>
    </row>
    <row r="748" spans="1:7" x14ac:dyDescent="0.35">
      <c r="A748" s="1" t="str">
        <f t="shared" si="11"/>
        <v>21</v>
      </c>
      <c r="B7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8" s="1" t="s">
        <v>3222</v>
      </c>
      <c r="D748" s="1" t="s">
        <v>3223</v>
      </c>
      <c r="E748" s="1" t="s">
        <v>3224</v>
      </c>
      <c r="F748" s="1" t="s">
        <v>112</v>
      </c>
      <c r="G748" s="1">
        <v>1388618</v>
      </c>
    </row>
    <row r="749" spans="1:7" x14ac:dyDescent="0.35">
      <c r="A749" s="1" t="str">
        <f t="shared" si="11"/>
        <v>21</v>
      </c>
      <c r="B7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9" s="1" t="s">
        <v>3225</v>
      </c>
      <c r="D749" s="1" t="s">
        <v>3226</v>
      </c>
      <c r="E749" s="1" t="s">
        <v>3227</v>
      </c>
      <c r="F749" s="1" t="s">
        <v>112</v>
      </c>
      <c r="G749" s="1">
        <v>1826904</v>
      </c>
    </row>
    <row r="750" spans="1:7" x14ac:dyDescent="0.35">
      <c r="A750" s="1" t="str">
        <f t="shared" si="11"/>
        <v>21</v>
      </c>
      <c r="B7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0" s="1" t="s">
        <v>3228</v>
      </c>
      <c r="D750" s="1" t="s">
        <v>3229</v>
      </c>
      <c r="E750" s="1" t="s">
        <v>3230</v>
      </c>
      <c r="F750" s="1" t="s">
        <v>112</v>
      </c>
      <c r="G750" s="1">
        <v>1707421</v>
      </c>
    </row>
    <row r="751" spans="1:7" x14ac:dyDescent="0.35">
      <c r="A751" s="1" t="str">
        <f t="shared" si="11"/>
        <v>21</v>
      </c>
      <c r="B7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1" s="1" t="s">
        <v>3231</v>
      </c>
      <c r="D751" s="1" t="s">
        <v>855</v>
      </c>
      <c r="E751" s="1" t="s">
        <v>3232</v>
      </c>
      <c r="F751" s="1" t="s">
        <v>112</v>
      </c>
      <c r="G751" s="1">
        <v>1411329</v>
      </c>
    </row>
    <row r="752" spans="1:7" x14ac:dyDescent="0.35">
      <c r="A752" s="1" t="str">
        <f t="shared" si="11"/>
        <v>21</v>
      </c>
      <c r="B7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2" s="1" t="s">
        <v>3233</v>
      </c>
      <c r="D752" s="1" t="s">
        <v>3234</v>
      </c>
      <c r="E752" s="1" t="s">
        <v>3235</v>
      </c>
      <c r="F752" s="1" t="s">
        <v>112</v>
      </c>
      <c r="G752" s="1">
        <v>1514677</v>
      </c>
    </row>
    <row r="753" spans="1:7" x14ac:dyDescent="0.35">
      <c r="A753" s="1" t="str">
        <f t="shared" si="11"/>
        <v>21</v>
      </c>
      <c r="B7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53" s="1" t="s">
        <v>3236</v>
      </c>
      <c r="D753" s="1" t="s">
        <v>3237</v>
      </c>
      <c r="E753" s="1" t="s">
        <v>3238</v>
      </c>
      <c r="F753" s="1" t="s">
        <v>112</v>
      </c>
      <c r="G753" s="1">
        <v>480119</v>
      </c>
    </row>
    <row r="754" spans="1:7" x14ac:dyDescent="0.35">
      <c r="A754" s="1" t="str">
        <f t="shared" si="11"/>
        <v>21</v>
      </c>
      <c r="B7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54" s="1" t="s">
        <v>3239</v>
      </c>
      <c r="D754" s="1" t="s">
        <v>3240</v>
      </c>
      <c r="E754" s="1" t="s">
        <v>3241</v>
      </c>
      <c r="F754" s="1" t="s">
        <v>112</v>
      </c>
      <c r="G754" s="1">
        <v>626488</v>
      </c>
    </row>
    <row r="755" spans="1:7" x14ac:dyDescent="0.35">
      <c r="A755" s="1" t="str">
        <f t="shared" si="11"/>
        <v>21</v>
      </c>
      <c r="B7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55" s="1" t="s">
        <v>3242</v>
      </c>
      <c r="D755" s="1" t="s">
        <v>2594</v>
      </c>
      <c r="E755" s="1" t="s">
        <v>3243</v>
      </c>
      <c r="F755" s="1" t="s">
        <v>112</v>
      </c>
      <c r="G755" s="1">
        <v>527142</v>
      </c>
    </row>
    <row r="756" spans="1:7" x14ac:dyDescent="0.35">
      <c r="A756" s="1" t="str">
        <f t="shared" si="11"/>
        <v>21</v>
      </c>
      <c r="B7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56" s="1" t="s">
        <v>3244</v>
      </c>
      <c r="D756" s="1" t="s">
        <v>3245</v>
      </c>
      <c r="E756" s="1" t="s">
        <v>3246</v>
      </c>
      <c r="F756" s="1" t="s">
        <v>112</v>
      </c>
      <c r="G756" s="1">
        <v>769830</v>
      </c>
    </row>
    <row r="757" spans="1:7" x14ac:dyDescent="0.35">
      <c r="A757" s="1" t="str">
        <f t="shared" si="11"/>
        <v>21</v>
      </c>
      <c r="B7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57" s="1" t="s">
        <v>3247</v>
      </c>
      <c r="D757" s="1" t="s">
        <v>3248</v>
      </c>
      <c r="E757" s="1" t="s">
        <v>3249</v>
      </c>
      <c r="F757" s="1" t="s">
        <v>112</v>
      </c>
      <c r="G757" s="1">
        <v>2166580</v>
      </c>
    </row>
    <row r="758" spans="1:7" x14ac:dyDescent="0.35">
      <c r="A758" s="1" t="str">
        <f t="shared" si="11"/>
        <v>21</v>
      </c>
      <c r="B7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58" s="1" t="s">
        <v>3250</v>
      </c>
      <c r="D758" s="1" t="s">
        <v>3251</v>
      </c>
      <c r="E758" s="1" t="s">
        <v>3252</v>
      </c>
      <c r="F758" s="1" t="s">
        <v>112</v>
      </c>
      <c r="G758" s="1">
        <v>1633987</v>
      </c>
    </row>
    <row r="759" spans="1:7" x14ac:dyDescent="0.35">
      <c r="A759" s="1" t="str">
        <f t="shared" si="11"/>
        <v>21</v>
      </c>
      <c r="B7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59" s="1" t="s">
        <v>3253</v>
      </c>
      <c r="D759" s="1" t="s">
        <v>1852</v>
      </c>
      <c r="E759" s="1" t="s">
        <v>3254</v>
      </c>
      <c r="F759" s="1" t="s">
        <v>112</v>
      </c>
      <c r="G759" s="1">
        <v>2066304</v>
      </c>
    </row>
    <row r="760" spans="1:7" x14ac:dyDescent="0.35">
      <c r="A760" s="1" t="str">
        <f t="shared" si="11"/>
        <v>21</v>
      </c>
      <c r="B7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60" s="1" t="s">
        <v>3255</v>
      </c>
      <c r="D760" s="1" t="s">
        <v>3256</v>
      </c>
      <c r="E760" s="1" t="s">
        <v>3257</v>
      </c>
      <c r="F760" s="1" t="s">
        <v>112</v>
      </c>
      <c r="G760" s="1">
        <v>1518202</v>
      </c>
    </row>
    <row r="761" spans="1:7" x14ac:dyDescent="0.35">
      <c r="A761" s="1" t="str">
        <f t="shared" si="11"/>
        <v>21</v>
      </c>
      <c r="B7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61" s="1" t="s">
        <v>3258</v>
      </c>
      <c r="D761" s="1" t="s">
        <v>2677</v>
      </c>
      <c r="E761" s="1" t="s">
        <v>3259</v>
      </c>
      <c r="F761" s="1" t="s">
        <v>112</v>
      </c>
      <c r="G761" s="1">
        <v>348631</v>
      </c>
    </row>
    <row r="762" spans="1:7" x14ac:dyDescent="0.35">
      <c r="A762" s="1" t="str">
        <f t="shared" si="11"/>
        <v>21</v>
      </c>
      <c r="B7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62" s="1" t="s">
        <v>3260</v>
      </c>
      <c r="D762" s="1" t="s">
        <v>723</v>
      </c>
      <c r="E762" s="1" t="s">
        <v>3261</v>
      </c>
      <c r="F762" s="1" t="s">
        <v>112</v>
      </c>
      <c r="G762" s="1">
        <v>418582</v>
      </c>
    </row>
    <row r="763" spans="1:7" x14ac:dyDescent="0.35">
      <c r="A763" s="1" t="str">
        <f t="shared" si="11"/>
        <v>21</v>
      </c>
      <c r="B7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63" s="1" t="s">
        <v>3262</v>
      </c>
      <c r="D763" s="1" t="s">
        <v>2390</v>
      </c>
      <c r="E763" s="1" t="s">
        <v>3263</v>
      </c>
      <c r="F763" s="1" t="s">
        <v>112</v>
      </c>
      <c r="G763" s="1">
        <v>217835</v>
      </c>
    </row>
    <row r="764" spans="1:7" x14ac:dyDescent="0.35">
      <c r="A764" s="1" t="str">
        <f t="shared" si="11"/>
        <v>21</v>
      </c>
      <c r="B7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64" s="1" t="s">
        <v>3264</v>
      </c>
      <c r="D764" s="1" t="s">
        <v>3265</v>
      </c>
      <c r="E764" s="1" t="s">
        <v>3266</v>
      </c>
      <c r="F764" s="1" t="s">
        <v>112</v>
      </c>
      <c r="G764" s="1">
        <v>353584</v>
      </c>
    </row>
    <row r="765" spans="1:7" x14ac:dyDescent="0.35">
      <c r="A765" s="1" t="str">
        <f t="shared" si="11"/>
        <v>21</v>
      </c>
      <c r="B7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65" s="1" t="s">
        <v>3267</v>
      </c>
      <c r="D765" s="1" t="s">
        <v>3268</v>
      </c>
      <c r="E765" s="1" t="s">
        <v>3269</v>
      </c>
      <c r="F765" s="1" t="s">
        <v>112</v>
      </c>
      <c r="G765" s="1">
        <v>1095576</v>
      </c>
    </row>
    <row r="766" spans="1:7" x14ac:dyDescent="0.35">
      <c r="A766" s="1" t="str">
        <f t="shared" si="11"/>
        <v>21</v>
      </c>
      <c r="B7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66" s="1" t="s">
        <v>3270</v>
      </c>
      <c r="D766" s="1" t="s">
        <v>3271</v>
      </c>
      <c r="E766" s="1" t="s">
        <v>3272</v>
      </c>
      <c r="F766" s="1" t="s">
        <v>112</v>
      </c>
      <c r="G766" s="1">
        <v>966121</v>
      </c>
    </row>
    <row r="767" spans="1:7" x14ac:dyDescent="0.35">
      <c r="A767" s="1" t="str">
        <f t="shared" si="11"/>
        <v>21</v>
      </c>
      <c r="B7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67" s="1" t="s">
        <v>3273</v>
      </c>
    </row>
    <row r="768" spans="1:7" x14ac:dyDescent="0.35">
      <c r="A768" s="1" t="str">
        <f t="shared" si="11"/>
        <v>21</v>
      </c>
      <c r="B7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68" s="1" t="s">
        <v>3274</v>
      </c>
      <c r="D768" s="1" t="s">
        <v>3275</v>
      </c>
      <c r="E768" s="1" t="s">
        <v>3276</v>
      </c>
      <c r="F768" s="1" t="s">
        <v>112</v>
      </c>
      <c r="G768" s="1">
        <v>883084</v>
      </c>
    </row>
    <row r="769" spans="1:8" x14ac:dyDescent="0.35">
      <c r="A769" s="1" t="str">
        <f t="shared" si="11"/>
        <v>21</v>
      </c>
      <c r="B7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69" s="1" t="s">
        <v>3277</v>
      </c>
      <c r="D769" s="1" t="s">
        <v>1503</v>
      </c>
      <c r="E769" s="1" t="s">
        <v>3278</v>
      </c>
      <c r="F769" s="1" t="s">
        <v>112</v>
      </c>
      <c r="G769" s="1">
        <v>2315286</v>
      </c>
    </row>
    <row r="770" spans="1:8" x14ac:dyDescent="0.35">
      <c r="A770" s="1" t="str">
        <f t="shared" ref="A770:A833" si="12">IFERROR(LEFT(RIGHT(C770,LEN(C770)-SEARCH("@",C770)),SEARCH("/",RIGHT(C770,LEN(C770)-SEARCH("@",C770)-1))),"")</f>
        <v>21</v>
      </c>
      <c r="B7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70" s="1" t="s">
        <v>3279</v>
      </c>
      <c r="D770" s="1" t="s">
        <v>3280</v>
      </c>
      <c r="E770" s="1" t="s">
        <v>3281</v>
      </c>
      <c r="F770" s="1" t="s">
        <v>112</v>
      </c>
      <c r="G770" s="1">
        <v>1952898</v>
      </c>
    </row>
    <row r="771" spans="1:8" x14ac:dyDescent="0.35">
      <c r="A771" s="1" t="str">
        <f t="shared" si="12"/>
        <v>21</v>
      </c>
      <c r="B7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71" s="1" t="s">
        <v>3282</v>
      </c>
      <c r="D771" s="1" t="s">
        <v>3283</v>
      </c>
      <c r="E771" s="1" t="s">
        <v>3284</v>
      </c>
      <c r="F771" s="1" t="s">
        <v>112</v>
      </c>
      <c r="G771" s="1">
        <v>2031025</v>
      </c>
    </row>
    <row r="772" spans="1:8" x14ac:dyDescent="0.35">
      <c r="A772" s="1" t="str">
        <f t="shared" si="12"/>
        <v>21</v>
      </c>
      <c r="B7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72" s="1" t="s">
        <v>3285</v>
      </c>
      <c r="D772" s="1" t="s">
        <v>3286</v>
      </c>
      <c r="E772" s="1" t="s">
        <v>3287</v>
      </c>
      <c r="F772" s="1" t="s">
        <v>112</v>
      </c>
      <c r="G772" s="1">
        <v>2386318</v>
      </c>
    </row>
    <row r="773" spans="1:8"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3" s="1" t="s">
        <v>112</v>
      </c>
    </row>
    <row r="774" spans="1:8"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4" s="1" t="s">
        <v>242</v>
      </c>
      <c r="D774" s="1" t="s">
        <v>112</v>
      </c>
      <c r="E774" s="1" t="s">
        <v>243</v>
      </c>
      <c r="F774" s="1" t="s">
        <v>244</v>
      </c>
      <c r="G774" s="1" t="s">
        <v>245</v>
      </c>
      <c r="H774" s="1" t="s">
        <v>246</v>
      </c>
    </row>
    <row r="775" spans="1:8" x14ac:dyDescent="0.35">
      <c r="A775" s="1" t="str">
        <f t="shared" si="12"/>
        <v>21</v>
      </c>
      <c r="B7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75" s="1" t="s">
        <v>3288</v>
      </c>
      <c r="D775" s="1" t="s">
        <v>112</v>
      </c>
      <c r="E775" s="1" t="s">
        <v>3289</v>
      </c>
      <c r="F775" s="1" t="s">
        <v>3290</v>
      </c>
      <c r="G775" s="1" t="s">
        <v>3291</v>
      </c>
      <c r="H775" s="1" t="s">
        <v>3292</v>
      </c>
    </row>
    <row r="776" spans="1:8"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6" s="1" t="s">
        <v>112</v>
      </c>
    </row>
    <row r="777" spans="1:8"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7" s="1" t="s">
        <v>112</v>
      </c>
    </row>
    <row r="778" spans="1:8"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8" s="1" t="s">
        <v>112</v>
      </c>
    </row>
    <row r="779" spans="1:8"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9" s="1" t="s">
        <v>112</v>
      </c>
    </row>
    <row r="780" spans="1:8"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80" s="1" t="s">
        <v>112</v>
      </c>
    </row>
    <row r="781" spans="1:8"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81" s="1" t="s">
        <v>172</v>
      </c>
      <c r="D781" s="1" t="s">
        <v>110</v>
      </c>
      <c r="E781" s="1" t="s">
        <v>111</v>
      </c>
      <c r="F781" s="1" t="s">
        <v>112</v>
      </c>
      <c r="G781" s="1" t="s">
        <v>113</v>
      </c>
    </row>
    <row r="782" spans="1:8" x14ac:dyDescent="0.35">
      <c r="A782" s="1" t="str">
        <f t="shared" si="12"/>
        <v>8</v>
      </c>
      <c r="B7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82" s="1" t="s">
        <v>3293</v>
      </c>
      <c r="D782" s="1" t="s">
        <v>2083</v>
      </c>
      <c r="E782" s="1" t="s">
        <v>3294</v>
      </c>
      <c r="F782" s="1" t="s">
        <v>112</v>
      </c>
      <c r="G782" s="1">
        <v>307512</v>
      </c>
    </row>
    <row r="783" spans="1:8" x14ac:dyDescent="0.35">
      <c r="A783" s="1" t="str">
        <f t="shared" si="12"/>
        <v>8</v>
      </c>
      <c r="B7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83" s="1" t="s">
        <v>3295</v>
      </c>
    </row>
    <row r="784" spans="1:8" x14ac:dyDescent="0.35">
      <c r="A784" s="1" t="str">
        <f t="shared" si="12"/>
        <v>8</v>
      </c>
      <c r="B7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84" s="1" t="s">
        <v>3296</v>
      </c>
    </row>
    <row r="785" spans="1:7" x14ac:dyDescent="0.35">
      <c r="A785" s="1" t="str">
        <f t="shared" si="12"/>
        <v>8</v>
      </c>
      <c r="B7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85" s="1" t="s">
        <v>3297</v>
      </c>
      <c r="D785" s="1" t="s">
        <v>1634</v>
      </c>
      <c r="E785" s="1" t="s">
        <v>3298</v>
      </c>
      <c r="F785" s="1" t="s">
        <v>112</v>
      </c>
      <c r="G785" s="1">
        <v>143839</v>
      </c>
    </row>
    <row r="786" spans="1:7" x14ac:dyDescent="0.35">
      <c r="A786" s="1" t="str">
        <f t="shared" si="12"/>
        <v>8</v>
      </c>
      <c r="B7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86" s="1" t="s">
        <v>3299</v>
      </c>
      <c r="D786" s="1" t="s">
        <v>211</v>
      </c>
      <c r="E786" s="1" t="s">
        <v>3300</v>
      </c>
      <c r="F786" s="1" t="s">
        <v>112</v>
      </c>
      <c r="G786" s="1">
        <v>205635</v>
      </c>
    </row>
    <row r="787" spans="1:7" x14ac:dyDescent="0.35">
      <c r="A787" s="1" t="str">
        <f t="shared" si="12"/>
        <v>8</v>
      </c>
      <c r="B7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87" s="1" t="s">
        <v>3301</v>
      </c>
      <c r="D787" s="1" t="s">
        <v>3192</v>
      </c>
      <c r="E787" s="1" t="s">
        <v>3302</v>
      </c>
      <c r="F787" s="1" t="s">
        <v>112</v>
      </c>
      <c r="G787" s="1">
        <v>144553</v>
      </c>
    </row>
    <row r="788" spans="1:7" x14ac:dyDescent="0.35">
      <c r="A788" s="1" t="str">
        <f t="shared" si="12"/>
        <v>8</v>
      </c>
      <c r="B7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88" s="1" t="s">
        <v>3303</v>
      </c>
      <c r="D788" s="1" t="s">
        <v>3304</v>
      </c>
      <c r="E788" s="1" t="s">
        <v>3305</v>
      </c>
      <c r="F788" s="1" t="s">
        <v>112</v>
      </c>
      <c r="G788" s="1">
        <v>137566</v>
      </c>
    </row>
    <row r="789" spans="1:7" x14ac:dyDescent="0.35">
      <c r="A789" s="1" t="str">
        <f t="shared" si="12"/>
        <v>8</v>
      </c>
      <c r="B7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89" s="1" t="s">
        <v>3306</v>
      </c>
      <c r="D789" s="1" t="s">
        <v>3307</v>
      </c>
      <c r="E789" s="1" t="s">
        <v>3308</v>
      </c>
      <c r="F789" s="1" t="s">
        <v>112</v>
      </c>
      <c r="G789" s="1">
        <v>170271</v>
      </c>
    </row>
    <row r="790" spans="1:7" x14ac:dyDescent="0.35">
      <c r="A790" s="1" t="str">
        <f t="shared" si="12"/>
        <v>8</v>
      </c>
      <c r="B7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90" s="1" t="s">
        <v>3309</v>
      </c>
      <c r="D790" s="1" t="s">
        <v>3310</v>
      </c>
      <c r="E790" s="1" t="s">
        <v>3311</v>
      </c>
      <c r="F790" s="1" t="s">
        <v>112</v>
      </c>
      <c r="G790" s="1">
        <v>215153</v>
      </c>
    </row>
    <row r="791" spans="1:7" x14ac:dyDescent="0.35">
      <c r="A791" s="1" t="str">
        <f t="shared" si="12"/>
        <v>8</v>
      </c>
      <c r="B7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91" s="1" t="s">
        <v>3312</v>
      </c>
      <c r="D791" s="1" t="s">
        <v>1931</v>
      </c>
      <c r="E791" s="1" t="s">
        <v>3313</v>
      </c>
      <c r="F791" s="1" t="s">
        <v>112</v>
      </c>
      <c r="G791" s="1">
        <v>147602</v>
      </c>
    </row>
    <row r="792" spans="1:7" x14ac:dyDescent="0.35">
      <c r="A792" s="1" t="str">
        <f t="shared" si="12"/>
        <v>8</v>
      </c>
      <c r="B7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92" s="1" t="s">
        <v>3314</v>
      </c>
      <c r="D792" s="1" t="s">
        <v>2162</v>
      </c>
      <c r="E792" s="1" t="s">
        <v>3315</v>
      </c>
      <c r="F792" s="1" t="s">
        <v>112</v>
      </c>
      <c r="G792" s="1">
        <v>93744</v>
      </c>
    </row>
    <row r="793" spans="1:7" x14ac:dyDescent="0.35">
      <c r="A793" s="1" t="str">
        <f t="shared" si="12"/>
        <v>8</v>
      </c>
      <c r="B7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93" s="1" t="s">
        <v>3316</v>
      </c>
      <c r="D793" s="1" t="s">
        <v>234</v>
      </c>
      <c r="E793" s="1">
        <v>30</v>
      </c>
      <c r="F793" s="1" t="s">
        <v>112</v>
      </c>
      <c r="G793" s="1">
        <v>1298</v>
      </c>
    </row>
    <row r="794" spans="1:7" x14ac:dyDescent="0.35">
      <c r="A794" s="1" t="str">
        <f t="shared" si="12"/>
        <v>8</v>
      </c>
      <c r="B7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4" s="1" t="s">
        <v>3317</v>
      </c>
      <c r="D794" s="1" t="s">
        <v>3318</v>
      </c>
      <c r="E794" s="1" t="s">
        <v>3319</v>
      </c>
      <c r="F794" s="1" t="s">
        <v>112</v>
      </c>
      <c r="G794" s="1">
        <v>230683</v>
      </c>
    </row>
    <row r="795" spans="1:7" x14ac:dyDescent="0.35">
      <c r="A795" s="1" t="str">
        <f t="shared" si="12"/>
        <v>8</v>
      </c>
      <c r="B7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5" s="1" t="s">
        <v>3320</v>
      </c>
    </row>
    <row r="796" spans="1:7" x14ac:dyDescent="0.35">
      <c r="A796" s="1" t="str">
        <f t="shared" si="12"/>
        <v>8</v>
      </c>
      <c r="B7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6" s="1" t="s">
        <v>3321</v>
      </c>
      <c r="D796" s="1" t="s">
        <v>3322</v>
      </c>
      <c r="E796" s="1" t="s">
        <v>3323</v>
      </c>
      <c r="F796" s="1" t="s">
        <v>112</v>
      </c>
      <c r="G796" s="1">
        <v>307058</v>
      </c>
    </row>
    <row r="797" spans="1:7" x14ac:dyDescent="0.35">
      <c r="A797" s="1" t="str">
        <f t="shared" si="12"/>
        <v>8</v>
      </c>
      <c r="B7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7" s="1" t="s">
        <v>3324</v>
      </c>
      <c r="D797" s="1" t="s">
        <v>3325</v>
      </c>
      <c r="E797" s="1" t="s">
        <v>3326</v>
      </c>
      <c r="F797" s="1" t="s">
        <v>112</v>
      </c>
      <c r="G797" s="1">
        <v>354514</v>
      </c>
    </row>
    <row r="798" spans="1:7" x14ac:dyDescent="0.35">
      <c r="A798" s="1" t="str">
        <f t="shared" si="12"/>
        <v>8</v>
      </c>
      <c r="B7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98" s="1" t="s">
        <v>3327</v>
      </c>
      <c r="D798" s="1" t="s">
        <v>3328</v>
      </c>
      <c r="E798" s="1" t="s">
        <v>3329</v>
      </c>
      <c r="F798" s="1" t="s">
        <v>112</v>
      </c>
      <c r="G798" s="1">
        <v>344261</v>
      </c>
    </row>
    <row r="799" spans="1:7" x14ac:dyDescent="0.35">
      <c r="A799" s="1" t="str">
        <f t="shared" si="12"/>
        <v>8</v>
      </c>
      <c r="B7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99" s="1" t="s">
        <v>3330</v>
      </c>
      <c r="D799" s="1" t="s">
        <v>3331</v>
      </c>
      <c r="E799" s="1" t="s">
        <v>3332</v>
      </c>
      <c r="F799" s="1" t="s">
        <v>112</v>
      </c>
      <c r="G799" s="1">
        <v>475663</v>
      </c>
    </row>
    <row r="800" spans="1:7" x14ac:dyDescent="0.35">
      <c r="A800" s="1" t="str">
        <f t="shared" si="12"/>
        <v>8</v>
      </c>
      <c r="B8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0" s="1" t="s">
        <v>3333</v>
      </c>
      <c r="D800" s="1" t="s">
        <v>1614</v>
      </c>
      <c r="E800" s="1" t="s">
        <v>3334</v>
      </c>
      <c r="F800" s="1" t="s">
        <v>112</v>
      </c>
      <c r="G800" s="1">
        <v>301240</v>
      </c>
    </row>
    <row r="801" spans="1:8" x14ac:dyDescent="0.35">
      <c r="A801" s="1" t="str">
        <f t="shared" si="12"/>
        <v>8</v>
      </c>
      <c r="B8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1" s="1" t="s">
        <v>3335</v>
      </c>
      <c r="D801" s="1" t="s">
        <v>3336</v>
      </c>
      <c r="E801" s="1" t="s">
        <v>3337</v>
      </c>
      <c r="F801" s="1" t="s">
        <v>112</v>
      </c>
      <c r="G801" s="1">
        <v>360873</v>
      </c>
    </row>
    <row r="802" spans="1:8" x14ac:dyDescent="0.35">
      <c r="A802" s="1" t="str">
        <f t="shared" si="12"/>
        <v>8</v>
      </c>
      <c r="B8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02" s="1" t="s">
        <v>3338</v>
      </c>
      <c r="D802" s="1" t="s">
        <v>3339</v>
      </c>
      <c r="E802" s="1" t="s">
        <v>3340</v>
      </c>
      <c r="F802" s="1" t="s">
        <v>112</v>
      </c>
      <c r="G802" s="1">
        <v>290035</v>
      </c>
    </row>
    <row r="803" spans="1:8" x14ac:dyDescent="0.35">
      <c r="A803" s="1" t="str">
        <f t="shared" si="12"/>
        <v>8</v>
      </c>
      <c r="B8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03" s="1" t="s">
        <v>3341</v>
      </c>
      <c r="D803" s="1" t="s">
        <v>469</v>
      </c>
      <c r="E803" s="1" t="s">
        <v>3342</v>
      </c>
      <c r="F803" s="1" t="s">
        <v>112</v>
      </c>
      <c r="G803" s="1">
        <v>171871</v>
      </c>
    </row>
    <row r="804" spans="1:8" x14ac:dyDescent="0.35">
      <c r="A804" s="1" t="str">
        <f t="shared" si="12"/>
        <v>8</v>
      </c>
      <c r="B8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04" s="1" t="s">
        <v>3343</v>
      </c>
      <c r="D804" s="1" t="s">
        <v>3344</v>
      </c>
      <c r="E804" s="1" t="s">
        <v>3345</v>
      </c>
      <c r="F804" s="1" t="s">
        <v>112</v>
      </c>
      <c r="G804" s="1">
        <v>309935</v>
      </c>
    </row>
    <row r="805" spans="1:8" x14ac:dyDescent="0.35">
      <c r="A805" s="1" t="str">
        <f t="shared" si="12"/>
        <v>8</v>
      </c>
      <c r="B8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05" s="1" t="s">
        <v>3346</v>
      </c>
      <c r="D805" s="1" t="s">
        <v>3347</v>
      </c>
      <c r="E805" s="1" t="s">
        <v>3348</v>
      </c>
      <c r="F805" s="1" t="s">
        <v>112</v>
      </c>
      <c r="G805" s="1">
        <v>177581</v>
      </c>
    </row>
    <row r="806" spans="1:8" x14ac:dyDescent="0.35">
      <c r="A806" s="1" t="str">
        <f t="shared" si="12"/>
        <v>8</v>
      </c>
      <c r="B8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06" s="1" t="s">
        <v>3349</v>
      </c>
      <c r="D806" s="1" t="s">
        <v>636</v>
      </c>
      <c r="E806" s="1" t="s">
        <v>3350</v>
      </c>
      <c r="F806" s="1" t="s">
        <v>112</v>
      </c>
      <c r="G806" s="1">
        <v>102266</v>
      </c>
    </row>
    <row r="807" spans="1:8" x14ac:dyDescent="0.35">
      <c r="A807" s="1" t="str">
        <f t="shared" si="12"/>
        <v>8</v>
      </c>
      <c r="B8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07" s="1" t="s">
        <v>3351</v>
      </c>
      <c r="D807" s="1" t="s">
        <v>183</v>
      </c>
      <c r="E807" s="1" t="s">
        <v>3352</v>
      </c>
      <c r="F807" s="1" t="s">
        <v>112</v>
      </c>
      <c r="G807" s="1">
        <v>262284</v>
      </c>
    </row>
    <row r="808" spans="1:8" x14ac:dyDescent="0.35">
      <c r="A808" s="1" t="str">
        <f t="shared" si="12"/>
        <v>8</v>
      </c>
      <c r="B8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08" s="1" t="s">
        <v>3353</v>
      </c>
      <c r="D808" s="1" t="s">
        <v>2229</v>
      </c>
      <c r="E808" s="1" t="s">
        <v>3354</v>
      </c>
      <c r="F808" s="1" t="s">
        <v>112</v>
      </c>
      <c r="G808" s="1">
        <v>166723</v>
      </c>
    </row>
    <row r="809" spans="1:8" x14ac:dyDescent="0.35">
      <c r="A809" s="1" t="str">
        <f t="shared" si="12"/>
        <v>8</v>
      </c>
      <c r="B8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09" s="1" t="s">
        <v>3355</v>
      </c>
      <c r="D809" s="1" t="s">
        <v>1693</v>
      </c>
      <c r="E809" s="1" t="s">
        <v>3356</v>
      </c>
      <c r="F809" s="1" t="s">
        <v>112</v>
      </c>
      <c r="G809" s="1">
        <v>356850</v>
      </c>
    </row>
    <row r="810" spans="1:8" x14ac:dyDescent="0.35">
      <c r="A810" s="1" t="str">
        <f t="shared" si="12"/>
        <v>8</v>
      </c>
      <c r="B8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10" s="1" t="s">
        <v>3357</v>
      </c>
      <c r="D810" s="1" t="s">
        <v>1103</v>
      </c>
      <c r="E810" s="1" t="s">
        <v>3358</v>
      </c>
      <c r="F810" s="1" t="s">
        <v>112</v>
      </c>
      <c r="G810" s="1">
        <v>401883</v>
      </c>
    </row>
    <row r="811" spans="1:8" x14ac:dyDescent="0.35">
      <c r="A811" s="1" t="str">
        <f t="shared" si="12"/>
        <v>8</v>
      </c>
      <c r="B8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11" s="1" t="s">
        <v>3359</v>
      </c>
      <c r="D811" s="1" t="s">
        <v>226</v>
      </c>
      <c r="E811" s="1" t="s">
        <v>3360</v>
      </c>
      <c r="F811" s="1" t="s">
        <v>112</v>
      </c>
      <c r="G811" s="1">
        <v>170444</v>
      </c>
    </row>
    <row r="812" spans="1:8" x14ac:dyDescent="0.35">
      <c r="A812" s="1" t="str">
        <f t="shared" si="12"/>
        <v>8</v>
      </c>
      <c r="B8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12" s="1" t="s">
        <v>3361</v>
      </c>
      <c r="D812" s="1" t="s">
        <v>3362</v>
      </c>
      <c r="E812" s="1" t="s">
        <v>3363</v>
      </c>
      <c r="F812" s="1" t="s">
        <v>112</v>
      </c>
      <c r="G812" s="1">
        <v>243012</v>
      </c>
    </row>
    <row r="813" spans="1:8" x14ac:dyDescent="0.35">
      <c r="A813" s="1" t="str">
        <f t="shared" si="12"/>
        <v>8</v>
      </c>
      <c r="B8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13" s="1" t="s">
        <v>3364</v>
      </c>
      <c r="D813" s="1" t="s">
        <v>3365</v>
      </c>
      <c r="E813" s="1" t="s">
        <v>3366</v>
      </c>
      <c r="F813" s="1" t="s">
        <v>112</v>
      </c>
      <c r="G813" s="1">
        <v>296113</v>
      </c>
    </row>
    <row r="814" spans="1:8"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4" s="1" t="s">
        <v>112</v>
      </c>
    </row>
    <row r="815" spans="1:8"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5" s="1" t="s">
        <v>242</v>
      </c>
      <c r="D815" s="1" t="s">
        <v>112</v>
      </c>
      <c r="E815" s="1" t="s">
        <v>243</v>
      </c>
      <c r="F815" s="1" t="s">
        <v>244</v>
      </c>
      <c r="G815" s="1" t="s">
        <v>245</v>
      </c>
      <c r="H815" s="1" t="s">
        <v>246</v>
      </c>
    </row>
    <row r="816" spans="1:8" x14ac:dyDescent="0.35">
      <c r="A816" s="1" t="str">
        <f t="shared" si="12"/>
        <v>8</v>
      </c>
      <c r="B8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816" s="1" t="s">
        <v>3367</v>
      </c>
      <c r="D816" s="1" t="s">
        <v>112</v>
      </c>
      <c r="E816" s="1" t="s">
        <v>3368</v>
      </c>
      <c r="F816" s="1" t="s">
        <v>3369</v>
      </c>
      <c r="G816" s="1" t="s">
        <v>3370</v>
      </c>
      <c r="H816" s="1" t="s">
        <v>3371</v>
      </c>
    </row>
    <row r="817" spans="1:7"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7" s="1" t="s">
        <v>112</v>
      </c>
    </row>
    <row r="818" spans="1:7"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8" s="1" t="s">
        <v>112</v>
      </c>
    </row>
    <row r="819" spans="1:7"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9" s="1" t="s">
        <v>112</v>
      </c>
    </row>
    <row r="820" spans="1:7"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20" s="1" t="s">
        <v>112</v>
      </c>
    </row>
    <row r="821" spans="1:7"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21" s="1" t="s">
        <v>112</v>
      </c>
    </row>
    <row r="822" spans="1:7"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22" s="1" t="s">
        <v>172</v>
      </c>
      <c r="D822" s="1" t="s">
        <v>110</v>
      </c>
      <c r="E822" s="1" t="s">
        <v>111</v>
      </c>
      <c r="F822" s="1" t="s">
        <v>112</v>
      </c>
      <c r="G822" s="1" t="s">
        <v>113</v>
      </c>
    </row>
    <row r="823" spans="1:7" x14ac:dyDescent="0.35">
      <c r="A823" s="1" t="str">
        <f t="shared" si="12"/>
        <v>9</v>
      </c>
      <c r="B8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23" s="1" t="s">
        <v>3372</v>
      </c>
      <c r="D823" s="1" t="s">
        <v>472</v>
      </c>
      <c r="E823" s="1" t="s">
        <v>3373</v>
      </c>
      <c r="F823" s="1" t="s">
        <v>112</v>
      </c>
      <c r="G823" s="1">
        <v>171201</v>
      </c>
    </row>
    <row r="824" spans="1:7" x14ac:dyDescent="0.35">
      <c r="A824" s="1" t="str">
        <f t="shared" si="12"/>
        <v>9</v>
      </c>
      <c r="B8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24" s="1" t="s">
        <v>3374</v>
      </c>
      <c r="D824" s="1" t="s">
        <v>205</v>
      </c>
      <c r="E824" s="1" t="s">
        <v>3375</v>
      </c>
      <c r="F824" s="1" t="s">
        <v>112</v>
      </c>
      <c r="G824" s="1">
        <v>9171</v>
      </c>
    </row>
    <row r="825" spans="1:7" x14ac:dyDescent="0.35">
      <c r="A825" s="1" t="str">
        <f t="shared" si="12"/>
        <v>9</v>
      </c>
      <c r="B8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25" s="1" t="s">
        <v>3376</v>
      </c>
      <c r="D825" s="1" t="s">
        <v>3377</v>
      </c>
      <c r="E825" s="1" t="s">
        <v>3378</v>
      </c>
      <c r="F825" s="1" t="s">
        <v>112</v>
      </c>
      <c r="G825" s="1">
        <v>703794</v>
      </c>
    </row>
    <row r="826" spans="1:7" x14ac:dyDescent="0.35">
      <c r="A826" s="1" t="str">
        <f t="shared" si="12"/>
        <v>9</v>
      </c>
      <c r="B8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26" s="1" t="s">
        <v>3379</v>
      </c>
      <c r="D826" s="1" t="s">
        <v>3380</v>
      </c>
      <c r="E826" s="1" t="s">
        <v>3381</v>
      </c>
      <c r="F826" s="1" t="s">
        <v>112</v>
      </c>
      <c r="G826" s="1">
        <v>64717</v>
      </c>
    </row>
    <row r="827" spans="1:7" x14ac:dyDescent="0.35">
      <c r="A827" s="1" t="str">
        <f t="shared" si="12"/>
        <v>9</v>
      </c>
      <c r="B8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27" s="1" t="s">
        <v>3382</v>
      </c>
      <c r="D827" s="1" t="s">
        <v>2076</v>
      </c>
      <c r="E827" s="1" t="s">
        <v>3383</v>
      </c>
      <c r="F827" s="1" t="s">
        <v>112</v>
      </c>
      <c r="G827" s="1">
        <v>235139</v>
      </c>
    </row>
    <row r="828" spans="1:7" x14ac:dyDescent="0.35">
      <c r="A828" s="1" t="str">
        <f t="shared" si="12"/>
        <v>9</v>
      </c>
      <c r="B8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28" s="1" t="s">
        <v>3384</v>
      </c>
      <c r="D828" s="1" t="s">
        <v>1481</v>
      </c>
      <c r="E828" s="1" t="s">
        <v>3385</v>
      </c>
      <c r="F828" s="1" t="s">
        <v>112</v>
      </c>
      <c r="G828" s="1">
        <v>4131</v>
      </c>
    </row>
    <row r="829" spans="1:7" x14ac:dyDescent="0.35">
      <c r="A829" s="1" t="str">
        <f t="shared" si="12"/>
        <v>9</v>
      </c>
      <c r="B8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29" s="1" t="s">
        <v>3386</v>
      </c>
      <c r="D829" s="1" t="s">
        <v>211</v>
      </c>
      <c r="E829" s="1" t="s">
        <v>3387</v>
      </c>
      <c r="F829" s="1" t="s">
        <v>112</v>
      </c>
      <c r="G829" s="1">
        <v>212124</v>
      </c>
    </row>
    <row r="830" spans="1:7" x14ac:dyDescent="0.35">
      <c r="A830" s="1" t="str">
        <f t="shared" si="12"/>
        <v>9</v>
      </c>
      <c r="B8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30" s="1" t="s">
        <v>3388</v>
      </c>
      <c r="D830" s="1" t="s">
        <v>3389</v>
      </c>
      <c r="E830" s="1" t="s">
        <v>3390</v>
      </c>
      <c r="F830" s="1" t="s">
        <v>112</v>
      </c>
      <c r="G830" s="1">
        <v>47369</v>
      </c>
    </row>
    <row r="831" spans="1:7" x14ac:dyDescent="0.35">
      <c r="A831" s="1" t="str">
        <f t="shared" si="12"/>
        <v>9</v>
      </c>
      <c r="B8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31" s="1" t="s">
        <v>3391</v>
      </c>
      <c r="D831" s="1" t="s">
        <v>3392</v>
      </c>
      <c r="E831" s="1">
        <v>31</v>
      </c>
      <c r="F831" s="1" t="s">
        <v>112</v>
      </c>
      <c r="G831" s="1">
        <v>2682</v>
      </c>
    </row>
    <row r="832" spans="1:7" x14ac:dyDescent="0.35">
      <c r="A832" s="1" t="str">
        <f t="shared" si="12"/>
        <v>9</v>
      </c>
      <c r="B8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32" s="1" t="s">
        <v>3393</v>
      </c>
      <c r="D832" s="1" t="s">
        <v>539</v>
      </c>
      <c r="E832" s="1" t="s">
        <v>3394</v>
      </c>
      <c r="F832" s="1" t="s">
        <v>112</v>
      </c>
      <c r="G832" s="1">
        <v>575831</v>
      </c>
    </row>
    <row r="833" spans="1:7" x14ac:dyDescent="0.35">
      <c r="A833" s="1" t="str">
        <f t="shared" si="12"/>
        <v>9</v>
      </c>
      <c r="B8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33" s="1" t="s">
        <v>3395</v>
      </c>
      <c r="D833" s="1" t="s">
        <v>3396</v>
      </c>
      <c r="E833" s="1" t="s">
        <v>3397</v>
      </c>
      <c r="F833" s="1" t="s">
        <v>112</v>
      </c>
      <c r="G833" s="1">
        <v>475706</v>
      </c>
    </row>
    <row r="834" spans="1:7" x14ac:dyDescent="0.35">
      <c r="A834" s="1" t="str">
        <f t="shared" ref="A834:A897" si="13">IFERROR(LEFT(RIGHT(C834,LEN(C834)-SEARCH("@",C834)),SEARCH("/",RIGHT(C834,LEN(C834)-SEARCH("@",C834)-1))),"")</f>
        <v>9</v>
      </c>
      <c r="B8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34" s="1" t="s">
        <v>3398</v>
      </c>
      <c r="D834" s="1" t="s">
        <v>1606</v>
      </c>
      <c r="E834" s="1" t="s">
        <v>3399</v>
      </c>
      <c r="F834" s="1" t="s">
        <v>112</v>
      </c>
      <c r="G834" s="1">
        <v>338724</v>
      </c>
    </row>
    <row r="835" spans="1:7" x14ac:dyDescent="0.35">
      <c r="A835" s="1" t="str">
        <f t="shared" si="13"/>
        <v>9</v>
      </c>
      <c r="B8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35" s="1" t="s">
        <v>3400</v>
      </c>
      <c r="D835" s="1" t="s">
        <v>3401</v>
      </c>
      <c r="E835" s="1" t="s">
        <v>3402</v>
      </c>
      <c r="F835" s="1" t="s">
        <v>112</v>
      </c>
      <c r="G835" s="1">
        <v>37528</v>
      </c>
    </row>
    <row r="836" spans="1:7" x14ac:dyDescent="0.35">
      <c r="A836" s="1" t="str">
        <f t="shared" si="13"/>
        <v>9</v>
      </c>
      <c r="B8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36" s="1" t="s">
        <v>3403</v>
      </c>
      <c r="D836" s="1" t="s">
        <v>3404</v>
      </c>
      <c r="E836" s="1" t="s">
        <v>3405</v>
      </c>
      <c r="F836" s="1" t="s">
        <v>112</v>
      </c>
      <c r="G836" s="1">
        <v>84876</v>
      </c>
    </row>
    <row r="837" spans="1:7" x14ac:dyDescent="0.35">
      <c r="A837" s="1" t="str">
        <f t="shared" si="13"/>
        <v>9</v>
      </c>
      <c r="B8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37" s="1" t="s">
        <v>3406</v>
      </c>
      <c r="D837" s="1" t="s">
        <v>533</v>
      </c>
      <c r="E837" s="1" t="s">
        <v>3407</v>
      </c>
      <c r="F837" s="1" t="s">
        <v>112</v>
      </c>
      <c r="G837" s="1">
        <v>77911</v>
      </c>
    </row>
    <row r="838" spans="1:7" x14ac:dyDescent="0.35">
      <c r="A838" s="1" t="str">
        <f t="shared" si="13"/>
        <v>9</v>
      </c>
      <c r="B8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38" s="1" t="s">
        <v>3408</v>
      </c>
      <c r="D838" s="1" t="s">
        <v>3392</v>
      </c>
      <c r="E838" s="1" t="s">
        <v>3409</v>
      </c>
      <c r="F838" s="1" t="s">
        <v>112</v>
      </c>
      <c r="G838" s="1">
        <v>2660</v>
      </c>
    </row>
    <row r="839" spans="1:7" x14ac:dyDescent="0.35">
      <c r="A839" s="1" t="str">
        <f t="shared" si="13"/>
        <v>9</v>
      </c>
      <c r="B8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39" s="1" t="s">
        <v>3410</v>
      </c>
      <c r="D839" s="1" t="s">
        <v>492</v>
      </c>
      <c r="E839" s="1" t="s">
        <v>3411</v>
      </c>
      <c r="F839" s="1" t="s">
        <v>112</v>
      </c>
      <c r="G839" s="1">
        <v>34997</v>
      </c>
    </row>
    <row r="840" spans="1:7" x14ac:dyDescent="0.35">
      <c r="A840" s="1" t="str">
        <f t="shared" si="13"/>
        <v>9</v>
      </c>
      <c r="B8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40" s="1" t="s">
        <v>3412</v>
      </c>
      <c r="D840" s="1">
        <v>0</v>
      </c>
      <c r="E840" s="1">
        <v>0</v>
      </c>
      <c r="F840" s="1" t="s">
        <v>112</v>
      </c>
      <c r="G840" s="1">
        <v>0</v>
      </c>
    </row>
    <row r="841" spans="1:7" x14ac:dyDescent="0.35">
      <c r="A841" s="1" t="str">
        <f t="shared" si="13"/>
        <v>9</v>
      </c>
      <c r="B8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41" s="1" t="s">
        <v>3413</v>
      </c>
      <c r="D841" s="1" t="s">
        <v>1481</v>
      </c>
      <c r="E841" s="1" t="s">
        <v>3414</v>
      </c>
      <c r="F841" s="1" t="s">
        <v>112</v>
      </c>
      <c r="G841" s="1">
        <v>3937</v>
      </c>
    </row>
    <row r="842" spans="1:7" x14ac:dyDescent="0.35">
      <c r="A842" s="1" t="str">
        <f t="shared" si="13"/>
        <v>9</v>
      </c>
      <c r="B8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42" s="1" t="s">
        <v>3415</v>
      </c>
      <c r="D842" s="1" t="s">
        <v>2092</v>
      </c>
      <c r="E842" s="1">
        <v>31</v>
      </c>
      <c r="F842" s="1" t="s">
        <v>112</v>
      </c>
      <c r="G842" s="1">
        <v>4694</v>
      </c>
    </row>
    <row r="843" spans="1:7" x14ac:dyDescent="0.35">
      <c r="A843" s="1" t="str">
        <f t="shared" si="13"/>
        <v>9</v>
      </c>
      <c r="B8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3" s="1" t="s">
        <v>3416</v>
      </c>
      <c r="D843" s="1" t="s">
        <v>3417</v>
      </c>
      <c r="E843" s="1" t="s">
        <v>3418</v>
      </c>
      <c r="F843" s="1" t="s">
        <v>112</v>
      </c>
      <c r="G843" s="1">
        <v>287548</v>
      </c>
    </row>
    <row r="844" spans="1:7" x14ac:dyDescent="0.35">
      <c r="A844" s="1" t="str">
        <f t="shared" si="13"/>
        <v>9</v>
      </c>
      <c r="B8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4" s="1" t="s">
        <v>3419</v>
      </c>
      <c r="D844" s="1" t="s">
        <v>3420</v>
      </c>
      <c r="E844" s="1" t="s">
        <v>3421</v>
      </c>
      <c r="F844" s="1" t="s">
        <v>112</v>
      </c>
      <c r="G844" s="1">
        <v>312552</v>
      </c>
    </row>
    <row r="845" spans="1:7" x14ac:dyDescent="0.35">
      <c r="A845" s="1" t="str">
        <f t="shared" si="13"/>
        <v>9</v>
      </c>
      <c r="B8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5" s="1" t="s">
        <v>3422</v>
      </c>
      <c r="D845" s="1" t="s">
        <v>3423</v>
      </c>
      <c r="E845" s="1" t="s">
        <v>3424</v>
      </c>
      <c r="F845" s="1" t="s">
        <v>112</v>
      </c>
      <c r="G845" s="1">
        <v>461258</v>
      </c>
    </row>
    <row r="846" spans="1:7" x14ac:dyDescent="0.35">
      <c r="A846" s="1" t="str">
        <f t="shared" si="13"/>
        <v>9</v>
      </c>
      <c r="B8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6" s="1" t="s">
        <v>3425</v>
      </c>
      <c r="D846" s="1" t="s">
        <v>3404</v>
      </c>
      <c r="E846" s="1" t="s">
        <v>3426</v>
      </c>
      <c r="F846" s="1" t="s">
        <v>112</v>
      </c>
      <c r="G846" s="1">
        <v>89505</v>
      </c>
    </row>
    <row r="847" spans="1:7" x14ac:dyDescent="0.35">
      <c r="A847" s="1" t="str">
        <f t="shared" si="13"/>
        <v>9</v>
      </c>
      <c r="B8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47" s="1" t="s">
        <v>3427</v>
      </c>
    </row>
    <row r="848" spans="1:7" x14ac:dyDescent="0.35">
      <c r="A848" s="1" t="str">
        <f t="shared" si="13"/>
        <v>9</v>
      </c>
      <c r="B8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48" s="1" t="s">
        <v>3428</v>
      </c>
    </row>
    <row r="849" spans="1:8" x14ac:dyDescent="0.35">
      <c r="A849" s="1" t="str">
        <f t="shared" si="13"/>
        <v>9</v>
      </c>
      <c r="B8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49" s="1" t="s">
        <v>3429</v>
      </c>
      <c r="D849" s="1" t="s">
        <v>3339</v>
      </c>
      <c r="E849" s="1">
        <v>42</v>
      </c>
      <c r="F849" s="1" t="s">
        <v>112</v>
      </c>
      <c r="G849" s="1">
        <v>331586</v>
      </c>
    </row>
    <row r="850" spans="1:8" x14ac:dyDescent="0.35">
      <c r="A850" s="1" t="str">
        <f t="shared" si="13"/>
        <v>9</v>
      </c>
      <c r="B8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50" s="1" t="s">
        <v>3430</v>
      </c>
      <c r="D850" s="1" t="s">
        <v>3431</v>
      </c>
      <c r="E850" s="1" t="s">
        <v>3432</v>
      </c>
      <c r="F850" s="1" t="s">
        <v>112</v>
      </c>
      <c r="G850" s="1">
        <v>566119</v>
      </c>
    </row>
    <row r="851" spans="1:8" x14ac:dyDescent="0.35">
      <c r="A851" s="1" t="str">
        <f t="shared" si="13"/>
        <v>9</v>
      </c>
      <c r="B8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51" s="1" t="s">
        <v>3433</v>
      </c>
      <c r="D851" s="1" t="s">
        <v>214</v>
      </c>
      <c r="E851" s="1" t="s">
        <v>3434</v>
      </c>
      <c r="F851" s="1" t="s">
        <v>112</v>
      </c>
      <c r="G851" s="1">
        <v>312076</v>
      </c>
    </row>
    <row r="852" spans="1:8" x14ac:dyDescent="0.35">
      <c r="A852" s="1" t="str">
        <f t="shared" si="13"/>
        <v>9</v>
      </c>
      <c r="B8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52" s="1" t="s">
        <v>3435</v>
      </c>
      <c r="D852" s="1" t="s">
        <v>3436</v>
      </c>
      <c r="E852" s="1" t="s">
        <v>3437</v>
      </c>
      <c r="F852" s="1" t="s">
        <v>112</v>
      </c>
      <c r="G852" s="1">
        <v>238037</v>
      </c>
    </row>
    <row r="853" spans="1:8" x14ac:dyDescent="0.35">
      <c r="A853" s="1" t="str">
        <f t="shared" si="13"/>
        <v>9</v>
      </c>
      <c r="B8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53" s="1" t="s">
        <v>3438</v>
      </c>
      <c r="D853" s="1" t="s">
        <v>2104</v>
      </c>
      <c r="E853" s="1" t="s">
        <v>3439</v>
      </c>
      <c r="F853" s="1" t="s">
        <v>112</v>
      </c>
      <c r="G853" s="1">
        <v>205008</v>
      </c>
    </row>
    <row r="854" spans="1:8" x14ac:dyDescent="0.35">
      <c r="A854" s="1" t="str">
        <f t="shared" si="13"/>
        <v>9</v>
      </c>
      <c r="B8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54" s="1" t="s">
        <v>3440</v>
      </c>
      <c r="D854" s="1" t="s">
        <v>3441</v>
      </c>
      <c r="E854" s="1" t="s">
        <v>3442</v>
      </c>
      <c r="F854" s="1" t="s">
        <v>112</v>
      </c>
      <c r="G854" s="1">
        <v>232781</v>
      </c>
    </row>
    <row r="855" spans="1:8"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55" s="1" t="s">
        <v>112</v>
      </c>
    </row>
    <row r="856" spans="1:8"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56" s="1" t="s">
        <v>242</v>
      </c>
      <c r="D856" s="1" t="s">
        <v>112</v>
      </c>
      <c r="E856" s="1" t="s">
        <v>243</v>
      </c>
      <c r="F856" s="1" t="s">
        <v>244</v>
      </c>
      <c r="G856" s="1" t="s">
        <v>245</v>
      </c>
      <c r="H856" s="1" t="s">
        <v>246</v>
      </c>
    </row>
    <row r="857" spans="1:8" x14ac:dyDescent="0.35">
      <c r="A857" s="1" t="str">
        <f t="shared" si="13"/>
        <v>9</v>
      </c>
      <c r="B8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857" s="1" t="s">
        <v>3443</v>
      </c>
      <c r="D857" s="1" t="s">
        <v>112</v>
      </c>
      <c r="E857" s="1" t="s">
        <v>3444</v>
      </c>
      <c r="F857" s="1" t="s">
        <v>3445</v>
      </c>
      <c r="G857" s="1" t="s">
        <v>3446</v>
      </c>
      <c r="H857" s="1" t="s">
        <v>3447</v>
      </c>
    </row>
    <row r="858" spans="1:8"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8"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8"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8"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8"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8"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8"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M1"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row r="3" spans="1:22" ht="15" thickBot="1" x14ac:dyDescent="0.4">
      <c r="A3" s="154"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TAM-30.2µg/L</v>
      </c>
      <c r="J4" s="35" t="str">
        <f>'Page de garde'!A16</f>
        <v>TAM-60.4µg/L</v>
      </c>
      <c r="K4" s="35" t="str">
        <f>'Page de garde'!A17</f>
        <v>TAM-121µg/L</v>
      </c>
      <c r="L4" s="35" t="str">
        <f>'Page de garde'!A18</f>
        <v>TAM-242µg/L</v>
      </c>
      <c r="M4" s="35" t="str">
        <f>'Page de garde'!A19</f>
        <v>TAM-483µg/L</v>
      </c>
      <c r="N4" s="3"/>
      <c r="O4" s="36" t="str">
        <f>'Page de garde'!A36</f>
        <v>Testo -30µg/L</v>
      </c>
      <c r="P4" s="36" t="str">
        <f>'Page de garde'!A37</f>
        <v>Testo 30µg/L + EE2 -64ng/L</v>
      </c>
      <c r="Q4" s="36" t="str">
        <f>'Page de garde'!A38</f>
        <v>Testo 30µg/L + FAD-10mg/L</v>
      </c>
      <c r="R4" s="36" t="str">
        <f>'Page de garde'!A39</f>
        <v>TAM-30,2µg/L + Testostérone</v>
      </c>
      <c r="S4" s="36" t="str">
        <f>'Page de garde'!A40</f>
        <v>TAM-60,4µg/L + Testostérone</v>
      </c>
      <c r="T4" s="36" t="str">
        <f>'Page de garde'!A41</f>
        <v>TAM-121µg/L + Testostérone</v>
      </c>
      <c r="U4" s="36" t="str">
        <f>'Page de garde'!A42</f>
        <v>TAM-242µg/L + Testostérone</v>
      </c>
      <c r="V4" s="36" t="str">
        <f>'Page de garde'!A43</f>
        <v>TAM-483µg/L + Testostérone</v>
      </c>
    </row>
    <row r="5" spans="1:22" x14ac:dyDescent="0.35">
      <c r="A5" s="226" t="s">
        <v>33</v>
      </c>
      <c r="B5" s="32">
        <v>3666.5</v>
      </c>
      <c r="C5" s="32">
        <v>49370</v>
      </c>
      <c r="D5" s="32">
        <v>21484</v>
      </c>
      <c r="E5" s="32">
        <v>1106066</v>
      </c>
      <c r="F5" s="32">
        <v>787480</v>
      </c>
      <c r="G5" s="32">
        <v>3538050.5</v>
      </c>
      <c r="H5" s="32">
        <v>5698055.25</v>
      </c>
      <c r="I5" s="32">
        <v>225675.5</v>
      </c>
      <c r="J5" s="32">
        <v>237220.75</v>
      </c>
      <c r="K5" s="13">
        <v>86508.75</v>
      </c>
      <c r="L5" s="13">
        <v>1170080</v>
      </c>
      <c r="M5" s="13">
        <v>268167.5</v>
      </c>
      <c r="N5" s="3"/>
      <c r="O5" s="32">
        <v>2591439.75</v>
      </c>
      <c r="P5" s="13">
        <v>3216019.25</v>
      </c>
      <c r="Q5" s="13">
        <v>68074.5</v>
      </c>
      <c r="R5" s="32">
        <v>2867642.75</v>
      </c>
      <c r="S5" s="32">
        <v>1350110.75</v>
      </c>
      <c r="T5" s="32">
        <v>2655156</v>
      </c>
      <c r="U5" s="32">
        <v>1449857.5</v>
      </c>
      <c r="V5" s="32">
        <v>552470.66666666663</v>
      </c>
    </row>
    <row r="6" spans="1:22" ht="16.5" x14ac:dyDescent="0.35">
      <c r="A6" s="226"/>
      <c r="B6" s="14">
        <v>298476.5</v>
      </c>
      <c r="C6" s="13">
        <v>131482.5</v>
      </c>
      <c r="D6" s="32">
        <v>1047600.75</v>
      </c>
      <c r="E6" s="32">
        <v>132039.5</v>
      </c>
      <c r="F6" s="32">
        <v>2272631.25</v>
      </c>
      <c r="G6" s="32"/>
      <c r="H6" s="32">
        <v>6266007</v>
      </c>
      <c r="I6" s="32">
        <v>164506.25</v>
      </c>
      <c r="J6" s="32">
        <v>124690.75</v>
      </c>
      <c r="K6" s="13">
        <v>367908.5</v>
      </c>
      <c r="L6" s="13">
        <v>546603.75</v>
      </c>
      <c r="M6" s="13">
        <v>783732.25</v>
      </c>
      <c r="N6" s="3"/>
      <c r="O6" s="32">
        <v>3532248</v>
      </c>
      <c r="P6" s="13">
        <v>1651945.25</v>
      </c>
      <c r="Q6" s="13">
        <v>310751.25</v>
      </c>
      <c r="R6" s="32">
        <v>2445503</v>
      </c>
      <c r="S6" s="32">
        <v>242828</v>
      </c>
      <c r="T6" s="32">
        <v>1592041.25</v>
      </c>
      <c r="U6" s="32">
        <v>2451305</v>
      </c>
      <c r="V6" s="32">
        <v>955711.5</v>
      </c>
    </row>
    <row r="7" spans="1:22" ht="16.5" x14ac:dyDescent="0.35">
      <c r="A7" s="226"/>
      <c r="B7" s="14">
        <v>34716</v>
      </c>
      <c r="C7" s="13">
        <v>50889.75</v>
      </c>
      <c r="D7" s="32">
        <v>178760.25</v>
      </c>
      <c r="E7" s="32">
        <v>120040.5</v>
      </c>
      <c r="F7" s="32">
        <v>2983281.75</v>
      </c>
      <c r="G7" s="32">
        <v>4073774.5</v>
      </c>
      <c r="H7" s="32">
        <v>3651039.75</v>
      </c>
      <c r="I7" s="32">
        <v>114449.25</v>
      </c>
      <c r="J7" s="32">
        <v>348235.75</v>
      </c>
      <c r="K7" s="13">
        <v>199281.5</v>
      </c>
      <c r="L7" s="13">
        <v>906487</v>
      </c>
      <c r="M7" s="13">
        <v>41680.75</v>
      </c>
      <c r="N7" s="3"/>
      <c r="O7" s="32">
        <v>707876.25</v>
      </c>
      <c r="P7" s="13">
        <v>3973022.5</v>
      </c>
      <c r="Q7" s="13">
        <v>50911.25</v>
      </c>
      <c r="R7" s="32">
        <v>2175527.6666666665</v>
      </c>
      <c r="S7" s="32">
        <v>1443076.25</v>
      </c>
      <c r="T7" s="32">
        <v>2844033.75</v>
      </c>
      <c r="U7" s="32">
        <v>1710914</v>
      </c>
      <c r="V7" s="32">
        <v>1615082.75</v>
      </c>
    </row>
    <row r="8" spans="1:22" ht="16.5" x14ac:dyDescent="0.35">
      <c r="A8" s="226"/>
      <c r="B8" s="14">
        <v>278744.5</v>
      </c>
      <c r="C8" s="13">
        <v>75520.75</v>
      </c>
      <c r="D8" s="32">
        <v>283481</v>
      </c>
      <c r="E8" s="32">
        <v>92071</v>
      </c>
      <c r="F8" s="32">
        <v>412876.75</v>
      </c>
      <c r="G8" s="32">
        <v>3620125.25</v>
      </c>
      <c r="H8" s="32">
        <v>4963925.75</v>
      </c>
      <c r="I8" s="32">
        <v>297418.33333333331</v>
      </c>
      <c r="J8" s="32">
        <v>50743.75</v>
      </c>
      <c r="K8" s="13">
        <v>105008</v>
      </c>
      <c r="L8" s="13">
        <v>583574.5</v>
      </c>
      <c r="M8" s="13">
        <v>823693.25</v>
      </c>
      <c r="N8" s="3"/>
      <c r="O8" s="32">
        <v>1279705.75</v>
      </c>
      <c r="P8" s="13">
        <v>2614167.5</v>
      </c>
      <c r="Q8" s="13">
        <v>176564.75</v>
      </c>
      <c r="R8" s="32">
        <v>1185750.75</v>
      </c>
      <c r="S8" s="32">
        <v>3089019.25</v>
      </c>
      <c r="T8" s="32">
        <v>3466596.25</v>
      </c>
      <c r="U8" s="32">
        <v>1965449</v>
      </c>
      <c r="V8" s="32">
        <v>600894.75</v>
      </c>
    </row>
    <row r="9" spans="1:22" ht="16.5" x14ac:dyDescent="0.35">
      <c r="A9" s="226"/>
      <c r="B9" s="14">
        <v>70535</v>
      </c>
      <c r="C9" s="13">
        <v>973.5</v>
      </c>
      <c r="D9" s="32">
        <v>156081</v>
      </c>
      <c r="E9" s="32">
        <v>320657.75</v>
      </c>
      <c r="F9" s="32">
        <v>2598063.75</v>
      </c>
      <c r="G9" s="32">
        <v>1125738.5</v>
      </c>
      <c r="H9" s="32">
        <v>3947661.25</v>
      </c>
      <c r="I9" s="32">
        <v>370509.25</v>
      </c>
      <c r="J9" s="32">
        <v>10907</v>
      </c>
      <c r="K9" s="13">
        <v>374570</v>
      </c>
      <c r="L9" s="13">
        <v>742309.33333333337</v>
      </c>
      <c r="M9" s="13">
        <v>481730.25</v>
      </c>
      <c r="N9" s="3"/>
      <c r="O9" s="32">
        <v>2362168.5</v>
      </c>
      <c r="P9" s="13">
        <v>4236809.75</v>
      </c>
      <c r="Q9" s="13">
        <v>431213.66666666669</v>
      </c>
      <c r="R9" s="32">
        <v>3302501</v>
      </c>
      <c r="S9" s="32">
        <v>1249018.3333333333</v>
      </c>
      <c r="T9" s="32">
        <v>748627</v>
      </c>
      <c r="U9" s="32">
        <v>1660537.75</v>
      </c>
      <c r="V9" s="32">
        <v>1846268.25</v>
      </c>
    </row>
    <row r="10" spans="1:22" ht="16.5" x14ac:dyDescent="0.35">
      <c r="A10" s="226"/>
      <c r="B10" s="14">
        <v>143460.25</v>
      </c>
      <c r="C10" s="13"/>
      <c r="D10" s="32">
        <v>93171</v>
      </c>
      <c r="E10" s="32">
        <v>399006.75</v>
      </c>
      <c r="F10" s="32">
        <v>328223</v>
      </c>
      <c r="G10" s="32">
        <v>1974539</v>
      </c>
      <c r="H10" s="32"/>
      <c r="I10" s="32">
        <v>237355.5</v>
      </c>
      <c r="J10" s="32">
        <v>287715.75</v>
      </c>
      <c r="K10" s="13">
        <v>159181.66666666666</v>
      </c>
      <c r="L10" s="13">
        <v>577036.75</v>
      </c>
      <c r="M10" s="13">
        <v>593162</v>
      </c>
      <c r="N10" s="3"/>
      <c r="O10" s="32">
        <v>1878669.75</v>
      </c>
      <c r="P10" s="13"/>
      <c r="Q10" s="13">
        <v>370412</v>
      </c>
      <c r="R10" s="32">
        <v>702328.25</v>
      </c>
      <c r="S10" s="32">
        <v>3175268.3333333335</v>
      </c>
      <c r="T10" s="32">
        <v>1931073.75</v>
      </c>
      <c r="U10" s="32">
        <v>2245350.5</v>
      </c>
      <c r="V10" s="32">
        <v>334658</v>
      </c>
    </row>
    <row r="11" spans="1:22" ht="16.5" x14ac:dyDescent="0.35">
      <c r="A11" s="226"/>
      <c r="B11" s="14">
        <v>202969.75</v>
      </c>
      <c r="C11" s="13">
        <v>90153.666666666672</v>
      </c>
      <c r="D11" s="32">
        <v>244598</v>
      </c>
      <c r="E11" s="32">
        <v>700446.25</v>
      </c>
      <c r="F11" s="32">
        <v>1573683</v>
      </c>
      <c r="G11" s="32">
        <v>2736188.6666666665</v>
      </c>
      <c r="H11" s="32">
        <v>3210249.25</v>
      </c>
      <c r="I11" s="32">
        <v>222030.75</v>
      </c>
      <c r="J11" s="32">
        <v>448852.5</v>
      </c>
      <c r="K11" s="13">
        <v>1120996.25</v>
      </c>
      <c r="L11" s="13">
        <v>1509074</v>
      </c>
      <c r="M11" s="13">
        <v>527488.5</v>
      </c>
      <c r="N11" s="3"/>
      <c r="O11" s="32">
        <v>1856688.75</v>
      </c>
      <c r="P11" s="13">
        <v>2351672.5</v>
      </c>
      <c r="Q11" s="13">
        <v>13464.5</v>
      </c>
      <c r="R11" s="32">
        <v>1296355.25</v>
      </c>
      <c r="S11" s="32">
        <v>3162171.75</v>
      </c>
      <c r="T11" s="32">
        <v>3384278.25</v>
      </c>
      <c r="U11" s="32">
        <v>3655365.5</v>
      </c>
      <c r="V11" s="32">
        <v>981593.66666666663</v>
      </c>
    </row>
    <row r="12" spans="1:22" ht="16.5" x14ac:dyDescent="0.35">
      <c r="A12" s="226"/>
      <c r="B12" s="14">
        <v>517776.5</v>
      </c>
      <c r="C12" s="13">
        <v>191451.5</v>
      </c>
      <c r="D12" s="32">
        <v>78956.333333333328</v>
      </c>
      <c r="E12" s="32">
        <v>485012.5</v>
      </c>
      <c r="F12" s="32">
        <v>1624713.25</v>
      </c>
      <c r="G12" s="32">
        <v>2699113.25</v>
      </c>
      <c r="H12" s="32"/>
      <c r="I12" s="32">
        <v>277863</v>
      </c>
      <c r="J12" s="32">
        <v>246975.5</v>
      </c>
      <c r="K12" s="13">
        <v>336096</v>
      </c>
      <c r="L12" s="13">
        <v>1831219.5</v>
      </c>
      <c r="M12" s="13">
        <v>1590089.5</v>
      </c>
      <c r="N12" s="3"/>
      <c r="O12" s="32">
        <v>2110131.25</v>
      </c>
      <c r="P12" s="13">
        <v>1540102.5</v>
      </c>
      <c r="Q12" s="13">
        <v>185038.5</v>
      </c>
      <c r="R12" s="32">
        <v>2769694</v>
      </c>
      <c r="S12" s="32">
        <v>1443806.25</v>
      </c>
      <c r="T12" s="32">
        <v>3101224</v>
      </c>
      <c r="U12" s="32">
        <v>251318</v>
      </c>
      <c r="V12" s="32">
        <v>2171381.75</v>
      </c>
    </row>
    <row r="13" spans="1:22" ht="16.5" x14ac:dyDescent="0.35">
      <c r="A13" s="226"/>
      <c r="B13" s="14"/>
      <c r="C13" s="13"/>
      <c r="D13" s="32"/>
      <c r="E13" s="32"/>
      <c r="F13" s="32"/>
      <c r="G13" s="32"/>
      <c r="H13" s="32"/>
      <c r="I13" s="32"/>
      <c r="J13" s="32"/>
      <c r="K13" s="13"/>
      <c r="L13" s="13"/>
      <c r="M13" s="13"/>
      <c r="N13" s="3"/>
      <c r="O13" s="32">
        <v>2247481.5</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2257896</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v>906465.75</v>
      </c>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1678723</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1868649.75</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v>964947.25</v>
      </c>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811647.33333333337</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241460.25</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TAM-30.2µg/L</v>
      </c>
      <c r="J22" s="3" t="str">
        <f t="shared" si="0"/>
        <v>TAM-60.4µg/L</v>
      </c>
      <c r="K22" s="3" t="str">
        <f t="shared" si="0"/>
        <v>TAM-121µg/L</v>
      </c>
      <c r="L22" s="3" t="str">
        <f t="shared" si="0"/>
        <v>TAM-242µg/L</v>
      </c>
      <c r="M22" s="3" t="str">
        <f t="shared" si="0"/>
        <v>TAM-483µg/L</v>
      </c>
      <c r="N22" s="3" t="s">
        <v>41</v>
      </c>
      <c r="O22" s="3" t="str">
        <f t="shared" si="0"/>
        <v>Testo -30µg/L</v>
      </c>
      <c r="P22" s="3" t="str">
        <f t="shared" si="0"/>
        <v>Testo 30µg/L + EE2 -64ng/L</v>
      </c>
      <c r="Q22" s="3" t="str">
        <f t="shared" si="0"/>
        <v>Testo 30µg/L + FAD-10mg/L</v>
      </c>
      <c r="R22" s="3" t="str">
        <f t="shared" si="0"/>
        <v>TAM-30,2µg/L + Testostérone</v>
      </c>
      <c r="S22" s="3" t="str">
        <f t="shared" si="0"/>
        <v>TAM-60,4µg/L + Testostérone</v>
      </c>
      <c r="T22" s="3" t="str">
        <f t="shared" si="0"/>
        <v>TAM-121µg/L + Testostérone</v>
      </c>
      <c r="U22" s="3" t="str">
        <f t="shared" si="0"/>
        <v>TAM-242µg/L + Testostérone</v>
      </c>
      <c r="V22" s="3" t="str">
        <f t="shared" si="0"/>
        <v>TAM-483µg/L + Testostérone</v>
      </c>
    </row>
    <row r="23" spans="1:22" x14ac:dyDescent="0.35">
      <c r="A23" s="5" t="s">
        <v>0</v>
      </c>
      <c r="B23" s="5">
        <f t="shared" ref="B23:J23" si="1">AVERAGE(B5:B20)</f>
        <v>193793.125</v>
      </c>
      <c r="C23" s="5">
        <f t="shared" si="1"/>
        <v>84263.095238095251</v>
      </c>
      <c r="D23" s="5">
        <f t="shared" si="1"/>
        <v>263016.54166666669</v>
      </c>
      <c r="E23" s="5">
        <f t="shared" si="1"/>
        <v>419417.53125</v>
      </c>
      <c r="F23" s="5">
        <f t="shared" si="1"/>
        <v>1572619.09375</v>
      </c>
      <c r="G23" s="5">
        <f t="shared" si="1"/>
        <v>2823932.8095238097</v>
      </c>
      <c r="H23" s="5">
        <f t="shared" si="1"/>
        <v>4622823.041666667</v>
      </c>
      <c r="I23" s="5">
        <f t="shared" si="1"/>
        <v>238725.97916666666</v>
      </c>
      <c r="J23" s="5">
        <f t="shared" si="1"/>
        <v>219417.71875</v>
      </c>
      <c r="K23" s="5"/>
      <c r="L23" s="5">
        <f>AVERAGE(L5:L20)</f>
        <v>983298.10416666674</v>
      </c>
      <c r="M23" s="5"/>
      <c r="N23" s="5" t="s">
        <v>0</v>
      </c>
      <c r="O23" s="5">
        <f>AVERAGE(O5:O20)</f>
        <v>1706012.4270833333</v>
      </c>
      <c r="P23" s="5">
        <f>AVERAGE(P5:P20)</f>
        <v>2797677.0357142859</v>
      </c>
      <c r="Q23" s="5">
        <f>AVERAGE(Q5:Q20)</f>
        <v>200803.80208333334</v>
      </c>
      <c r="R23" s="5">
        <f>AVERAGE(R5:R20)</f>
        <v>2093162.8333333333</v>
      </c>
      <c r="S23" s="5">
        <f>AVERAGE(S5:S20)</f>
        <v>1894412.3645833333</v>
      </c>
      <c r="T23" s="5">
        <f t="shared" ref="T23:V23" si="2">AVERAGE(T5:T20)</f>
        <v>2465378.78125</v>
      </c>
      <c r="U23" s="5">
        <f t="shared" si="2"/>
        <v>1923762.15625</v>
      </c>
      <c r="V23" s="5">
        <f t="shared" si="2"/>
        <v>1132257.6666666665</v>
      </c>
    </row>
    <row r="24" spans="1:22" x14ac:dyDescent="0.35">
      <c r="A24" s="3" t="s">
        <v>1</v>
      </c>
      <c r="B24" s="3">
        <f t="shared" ref="B24:J24" si="3">STDEV(B5:B20)</f>
        <v>170043.86482610891</v>
      </c>
      <c r="C24" s="3">
        <f t="shared" si="3"/>
        <v>62046.513031339739</v>
      </c>
      <c r="D24" s="3">
        <f t="shared" si="3"/>
        <v>328617.9689145615</v>
      </c>
      <c r="E24" s="3">
        <f t="shared" si="3"/>
        <v>347296.6097310317</v>
      </c>
      <c r="F24" s="3">
        <f t="shared" si="3"/>
        <v>1003152.5423983022</v>
      </c>
      <c r="G24" s="3">
        <f t="shared" si="3"/>
        <v>1027505.3481593763</v>
      </c>
      <c r="H24" s="3">
        <f t="shared" si="3"/>
        <v>1213927.4943905268</v>
      </c>
      <c r="I24" s="3">
        <f t="shared" si="3"/>
        <v>79054.706930759276</v>
      </c>
      <c r="J24" s="3">
        <f t="shared" si="3"/>
        <v>149224.77317321376</v>
      </c>
      <c r="K24" s="3"/>
      <c r="L24" s="3">
        <f>STDEV(L5:L20)</f>
        <v>479553.8406733335</v>
      </c>
      <c r="M24" s="3"/>
      <c r="N24" s="3" t="s">
        <v>1</v>
      </c>
      <c r="O24" s="3">
        <f>STDEV(O5:O20)</f>
        <v>844658.20210869843</v>
      </c>
      <c r="P24" s="3">
        <f>STDEV(P5:P20)</f>
        <v>1061001.1758748337</v>
      </c>
      <c r="Q24" s="3">
        <f>STDEV(Q5:Q20)</f>
        <v>155820.87843948463</v>
      </c>
      <c r="R24" s="3">
        <f>STDEV(R5:R20)</f>
        <v>929182.4188882889</v>
      </c>
      <c r="S24" s="3">
        <f>STDEV(S5:S20)</f>
        <v>1103382.4785665604</v>
      </c>
      <c r="T24" s="3">
        <f t="shared" ref="T24:V24" si="4">STDEV(T5:T20)</f>
        <v>958118.97278364655</v>
      </c>
      <c r="U24" s="3">
        <f t="shared" si="4"/>
        <v>964968.90790107974</v>
      </c>
      <c r="V24" s="3">
        <f t="shared" si="4"/>
        <v>668820.17308478896</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TAM-30.2µg/L</v>
      </c>
      <c r="J27" s="35" t="str">
        <f t="shared" si="5"/>
        <v>TAM-60.4µg/L</v>
      </c>
      <c r="K27" s="35" t="str">
        <f t="shared" si="5"/>
        <v>TAM-121µg/L</v>
      </c>
      <c r="L27" s="35" t="str">
        <f t="shared" si="5"/>
        <v>TAM-242µg/L</v>
      </c>
      <c r="M27" s="35" t="str">
        <f t="shared" si="5"/>
        <v>TAM-483µg/L</v>
      </c>
      <c r="N27" s="3"/>
      <c r="O27" s="36" t="str">
        <f>O4</f>
        <v>Testo -30µg/L</v>
      </c>
      <c r="P27" s="36" t="str">
        <f t="shared" ref="P27:V27" si="6">P4</f>
        <v>Testo 30µg/L + EE2 -64ng/L</v>
      </c>
      <c r="Q27" s="36" t="str">
        <f t="shared" si="6"/>
        <v>Testo 30µg/L + FAD-10mg/L</v>
      </c>
      <c r="R27" s="36" t="str">
        <f t="shared" si="6"/>
        <v>TAM-30,2µg/L + Testostérone</v>
      </c>
      <c r="S27" s="36" t="str">
        <f t="shared" si="6"/>
        <v>TAM-60,4µg/L + Testostérone</v>
      </c>
      <c r="T27" s="36" t="str">
        <f t="shared" si="6"/>
        <v>TAM-121µg/L + Testostérone</v>
      </c>
      <c r="U27" s="36" t="str">
        <f t="shared" si="6"/>
        <v>TAM-242µg/L + Testostérone</v>
      </c>
      <c r="V27" s="36" t="str">
        <f t="shared" si="6"/>
        <v>TAM-483µg/L + Testostérone</v>
      </c>
    </row>
    <row r="28" spans="1:22" x14ac:dyDescent="0.35">
      <c r="A28" s="227" t="s">
        <v>34</v>
      </c>
      <c r="B28" s="11">
        <f t="shared" ref="B28:M28" si="7">IF(B5="","",(B5/$O$23))</f>
        <v>2.1491637117019096E-3</v>
      </c>
      <c r="C28" s="11">
        <f t="shared" si="7"/>
        <v>2.8938827886737566E-2</v>
      </c>
      <c r="D28" s="11">
        <f t="shared" si="7"/>
        <v>1.2593108736452701E-2</v>
      </c>
      <c r="E28" s="11">
        <f t="shared" si="7"/>
        <v>0.64833408153478367</v>
      </c>
      <c r="F28" s="11">
        <f t="shared" si="7"/>
        <v>0.46159101041620615</v>
      </c>
      <c r="G28" s="11">
        <f t="shared" si="7"/>
        <v>2.073871470003763</v>
      </c>
      <c r="H28" s="11">
        <f t="shared" si="7"/>
        <v>3.3399846094565806</v>
      </c>
      <c r="I28" s="11">
        <f t="shared" si="7"/>
        <v>0.13228244789859112</v>
      </c>
      <c r="J28" s="11">
        <f t="shared" si="7"/>
        <v>0.13904983705515089</v>
      </c>
      <c r="K28" s="11">
        <f t="shared" si="7"/>
        <v>5.0708159346704647E-2</v>
      </c>
      <c r="L28" s="11">
        <f t="shared" si="7"/>
        <v>0.68585666869989648</v>
      </c>
      <c r="M28" s="11">
        <f t="shared" si="7"/>
        <v>0.15718965216359521</v>
      </c>
      <c r="N28" s="6"/>
      <c r="O28" s="11">
        <f t="shared" ref="O28:V39" si="8">IF(O5="","",(O5/$O$23))</f>
        <v>1.5190040288454572</v>
      </c>
      <c r="P28" s="11">
        <f t="shared" si="8"/>
        <v>1.8851089235605596</v>
      </c>
      <c r="Q28" s="11">
        <f t="shared" si="8"/>
        <v>3.9902698784195188E-2</v>
      </c>
      <c r="R28" s="11">
        <f t="shared" si="8"/>
        <v>1.6809037873789912</v>
      </c>
      <c r="S28" s="11">
        <f t="shared" si="8"/>
        <v>0.79138388945278848</v>
      </c>
      <c r="T28" s="11">
        <f t="shared" si="8"/>
        <v>1.5563520862150813</v>
      </c>
      <c r="U28" s="11">
        <f t="shared" si="8"/>
        <v>0.84985166402259693</v>
      </c>
      <c r="V28" s="11">
        <f t="shared" si="8"/>
        <v>0.32383742222276335</v>
      </c>
    </row>
    <row r="29" spans="1:22" x14ac:dyDescent="0.35">
      <c r="A29" s="227"/>
      <c r="B29" s="11">
        <f t="shared" ref="B29:M29" si="9">IF(B6="","",(B6/$O$23))</f>
        <v>0.17495564232804992</v>
      </c>
      <c r="C29" s="11">
        <f t="shared" si="9"/>
        <v>7.707007165521515E-2</v>
      </c>
      <c r="D29" s="11">
        <f t="shared" si="9"/>
        <v>0.61406396188509593</v>
      </c>
      <c r="E29" s="11">
        <f t="shared" si="9"/>
        <v>7.7396564001435783E-2</v>
      </c>
      <c r="F29" s="11">
        <f t="shared" si="9"/>
        <v>1.3321305366370519</v>
      </c>
      <c r="G29" s="11" t="str">
        <f t="shared" si="9"/>
        <v/>
      </c>
      <c r="H29" s="11">
        <f t="shared" si="9"/>
        <v>3.6728964575672025</v>
      </c>
      <c r="I29" s="11">
        <f t="shared" si="9"/>
        <v>9.6427345656119531E-2</v>
      </c>
      <c r="J29" s="11">
        <f t="shared" si="9"/>
        <v>7.3089004523358758E-2</v>
      </c>
      <c r="K29" s="11">
        <f t="shared" si="9"/>
        <v>0.21565405630074513</v>
      </c>
      <c r="L29" s="11">
        <f t="shared" si="9"/>
        <v>0.32039845743356954</v>
      </c>
      <c r="M29" s="11">
        <f t="shared" si="9"/>
        <v>0.45939422102563454</v>
      </c>
      <c r="N29" s="6"/>
      <c r="O29" s="11">
        <f t="shared" si="8"/>
        <v>2.0704702638297143</v>
      </c>
      <c r="P29" s="11">
        <f t="shared" si="8"/>
        <v>0.96830786445338579</v>
      </c>
      <c r="Q29" s="11">
        <f t="shared" si="8"/>
        <v>0.18215063681058449</v>
      </c>
      <c r="R29" s="11">
        <f t="shared" si="8"/>
        <v>1.4334614221895965</v>
      </c>
      <c r="S29" s="11">
        <f t="shared" si="8"/>
        <v>0.14233659505936214</v>
      </c>
      <c r="T29" s="11">
        <f t="shared" si="8"/>
        <v>0.93319440393632835</v>
      </c>
      <c r="U29" s="11">
        <f t="shared" si="8"/>
        <v>1.4368623352825445</v>
      </c>
      <c r="V29" s="11">
        <f t="shared" si="8"/>
        <v>0.56020195681336415</v>
      </c>
    </row>
    <row r="30" spans="1:22" x14ac:dyDescent="0.35">
      <c r="A30" s="227"/>
      <c r="B30" s="11">
        <f t="shared" ref="B30:M30" si="10">IF(B7="","",(B7/$O$23))</f>
        <v>2.0349206986347606E-2</v>
      </c>
      <c r="C30" s="11">
        <f t="shared" si="10"/>
        <v>2.9829647892426633E-2</v>
      </c>
      <c r="D30" s="11">
        <f t="shared" si="10"/>
        <v>0.10478250167592017</v>
      </c>
      <c r="E30" s="11">
        <f t="shared" si="10"/>
        <v>7.0363203745957476E-2</v>
      </c>
      <c r="F30" s="11">
        <f t="shared" si="10"/>
        <v>1.7486869981951638</v>
      </c>
      <c r="G30" s="11">
        <f t="shared" si="10"/>
        <v>2.3878926292258531</v>
      </c>
      <c r="H30" s="11">
        <f t="shared" si="10"/>
        <v>2.1401014975265817</v>
      </c>
      <c r="I30" s="11">
        <f t="shared" si="10"/>
        <v>6.7085824336969802E-2</v>
      </c>
      <c r="J30" s="11">
        <f t="shared" si="10"/>
        <v>0.20412263385171098</v>
      </c>
      <c r="K30" s="11">
        <f t="shared" si="10"/>
        <v>0.11681128275290444</v>
      </c>
      <c r="L30" s="11">
        <f t="shared" si="10"/>
        <v>0.5313484155269409</v>
      </c>
      <c r="M30" s="11">
        <f t="shared" si="10"/>
        <v>2.4431680179058876E-2</v>
      </c>
      <c r="N30" s="6"/>
      <c r="O30" s="11">
        <f t="shared" si="8"/>
        <v>0.41493030107067475</v>
      </c>
      <c r="P30" s="11">
        <f t="shared" si="8"/>
        <v>2.3288356151030141</v>
      </c>
      <c r="Q30" s="11">
        <f t="shared" si="8"/>
        <v>2.9842250379758312E-2</v>
      </c>
      <c r="R30" s="11">
        <f t="shared" si="8"/>
        <v>1.2752120864594376</v>
      </c>
      <c r="S30" s="11">
        <f t="shared" si="8"/>
        <v>0.845876751593856</v>
      </c>
      <c r="T30" s="11">
        <f t="shared" si="8"/>
        <v>1.6670650839644077</v>
      </c>
      <c r="U30" s="11">
        <f t="shared" si="8"/>
        <v>1.0028731167715152</v>
      </c>
      <c r="V30" s="11">
        <f t="shared" si="8"/>
        <v>0.94670046030157573</v>
      </c>
    </row>
    <row r="31" spans="1:22" x14ac:dyDescent="0.35">
      <c r="A31" s="227"/>
      <c r="B31" s="11">
        <f t="shared" ref="B31:M31" si="11">IF(B8="","",(B8/$O$23))</f>
        <v>0.16338948976857848</v>
      </c>
      <c r="C31" s="11">
        <f t="shared" si="11"/>
        <v>4.4267409076915856E-2</v>
      </c>
      <c r="D31" s="11">
        <f t="shared" si="11"/>
        <v>0.16616584703585682</v>
      </c>
      <c r="E31" s="11">
        <f t="shared" si="11"/>
        <v>5.3968540051849589E-2</v>
      </c>
      <c r="F31" s="11">
        <f t="shared" si="11"/>
        <v>0.24201274471714754</v>
      </c>
      <c r="G31" s="11">
        <f t="shared" si="11"/>
        <v>2.1219805861491352</v>
      </c>
      <c r="H31" s="11">
        <f t="shared" si="11"/>
        <v>2.9096656455700765</v>
      </c>
      <c r="I31" s="11">
        <f t="shared" si="11"/>
        <v>0.17433538502519089</v>
      </c>
      <c r="J31" s="11">
        <f t="shared" si="11"/>
        <v>2.974406821101153E-2</v>
      </c>
      <c r="K31" s="11">
        <f t="shared" si="11"/>
        <v>6.1551720452309867E-2</v>
      </c>
      <c r="L31" s="11">
        <f t="shared" si="11"/>
        <v>0.34206931364368909</v>
      </c>
      <c r="M31" s="11">
        <f t="shared" si="11"/>
        <v>0.48281784875870964</v>
      </c>
      <c r="N31" s="6"/>
      <c r="O31" s="11">
        <f t="shared" si="8"/>
        <v>0.75011513965805976</v>
      </c>
      <c r="P31" s="11">
        <f t="shared" si="8"/>
        <v>1.5323261768199923</v>
      </c>
      <c r="Q31" s="11">
        <f t="shared" si="8"/>
        <v>0.10349558256258551</v>
      </c>
      <c r="R31" s="11">
        <f t="shared" si="8"/>
        <v>0.69504227001863439</v>
      </c>
      <c r="S31" s="11">
        <f t="shared" si="8"/>
        <v>1.8106663239734486</v>
      </c>
      <c r="T31" s="11">
        <f t="shared" si="8"/>
        <v>2.0319876895191387</v>
      </c>
      <c r="U31" s="11">
        <f t="shared" si="8"/>
        <v>1.1520719127235257</v>
      </c>
      <c r="V31" s="11">
        <f t="shared" si="8"/>
        <v>0.35222178951375727</v>
      </c>
    </row>
    <row r="32" spans="1:22" x14ac:dyDescent="0.35">
      <c r="A32" s="227"/>
      <c r="B32" s="11">
        <f t="shared" ref="B32:M32" si="12">IF(B9="","",(B9/$O$23))</f>
        <v>4.134495088092028E-2</v>
      </c>
      <c r="C32" s="11">
        <f t="shared" si="12"/>
        <v>5.7062890313427223E-4</v>
      </c>
      <c r="D32" s="11">
        <f t="shared" si="12"/>
        <v>9.1488782568156485E-2</v>
      </c>
      <c r="E32" s="11">
        <f t="shared" si="12"/>
        <v>0.18795745265947988</v>
      </c>
      <c r="F32" s="11">
        <f t="shared" si="12"/>
        <v>1.5228867672680164</v>
      </c>
      <c r="G32" s="11">
        <f t="shared" si="12"/>
        <v>0.65986535744326746</v>
      </c>
      <c r="H32" s="11">
        <f t="shared" si="12"/>
        <v>2.3139698089708989</v>
      </c>
      <c r="I32" s="11">
        <f t="shared" si="12"/>
        <v>0.21717851764622687</v>
      </c>
      <c r="J32" s="11">
        <f t="shared" si="12"/>
        <v>6.3932711314694472E-3</v>
      </c>
      <c r="K32" s="11">
        <f t="shared" si="12"/>
        <v>0.21955877580585961</v>
      </c>
      <c r="L32" s="11">
        <f t="shared" si="12"/>
        <v>0.43511367300085552</v>
      </c>
      <c r="M32" s="11">
        <f t="shared" si="12"/>
        <v>0.28237206385629043</v>
      </c>
      <c r="N32" s="6"/>
      <c r="O32" s="11">
        <f t="shared" si="8"/>
        <v>1.3846138882109185</v>
      </c>
      <c r="P32" s="11">
        <f t="shared" si="8"/>
        <v>2.4834577302836056</v>
      </c>
      <c r="Q32" s="11">
        <f t="shared" si="8"/>
        <v>0.25276115215871359</v>
      </c>
      <c r="R32" s="11">
        <f t="shared" si="8"/>
        <v>1.9358012565278244</v>
      </c>
      <c r="S32" s="11">
        <f t="shared" si="8"/>
        <v>0.73212733594719748</v>
      </c>
      <c r="T32" s="11">
        <f t="shared" si="8"/>
        <v>0.43881685040236346</v>
      </c>
      <c r="U32" s="11">
        <f t="shared" si="8"/>
        <v>0.97334446316954526</v>
      </c>
      <c r="V32" s="11">
        <f t="shared" si="8"/>
        <v>1.0822126619302848</v>
      </c>
    </row>
    <row r="33" spans="1:22" x14ac:dyDescent="0.35">
      <c r="A33" s="227"/>
      <c r="B33" s="11">
        <f t="shared" ref="B33:M33" si="13">IF(B10="","",(B10/$O$23))</f>
        <v>8.4090975963912143E-2</v>
      </c>
      <c r="C33" s="11" t="str">
        <f t="shared" si="13"/>
        <v/>
      </c>
      <c r="D33" s="11">
        <f t="shared" si="13"/>
        <v>5.4613318473470236E-2</v>
      </c>
      <c r="E33" s="11">
        <f t="shared" si="13"/>
        <v>0.23388267498271265</v>
      </c>
      <c r="F33" s="11">
        <f t="shared" si="13"/>
        <v>0.1923919162541759</v>
      </c>
      <c r="G33" s="11">
        <f t="shared" si="13"/>
        <v>1.1574001271349181</v>
      </c>
      <c r="H33" s="11" t="str">
        <f t="shared" si="13"/>
        <v/>
      </c>
      <c r="I33" s="11">
        <f t="shared" si="13"/>
        <v>0.13912882241179944</v>
      </c>
      <c r="J33" s="11">
        <f t="shared" si="13"/>
        <v>0.16864809741854594</v>
      </c>
      <c r="K33" s="11">
        <f t="shared" si="13"/>
        <v>9.3306276167524738E-2</v>
      </c>
      <c r="L33" s="11">
        <f t="shared" si="13"/>
        <v>0.33823713171100694</v>
      </c>
      <c r="M33" s="11">
        <f t="shared" si="13"/>
        <v>0.34768914375031451</v>
      </c>
      <c r="N33" s="6"/>
      <c r="O33" s="11">
        <f t="shared" si="8"/>
        <v>1.1012051965013225</v>
      </c>
      <c r="P33" s="11" t="str">
        <f t="shared" si="8"/>
        <v/>
      </c>
      <c r="Q33" s="11">
        <f t="shared" si="8"/>
        <v>0.21712151337213359</v>
      </c>
      <c r="R33" s="11">
        <f t="shared" si="8"/>
        <v>0.41167827317690081</v>
      </c>
      <c r="S33" s="11">
        <f t="shared" si="8"/>
        <v>1.8612222765351707</v>
      </c>
      <c r="T33" s="11">
        <f t="shared" si="8"/>
        <v>1.13192244050733</v>
      </c>
      <c r="U33" s="11">
        <f t="shared" si="8"/>
        <v>1.3161395921592087</v>
      </c>
      <c r="V33" s="11">
        <f t="shared" si="8"/>
        <v>0.19616387002065666</v>
      </c>
    </row>
    <row r="34" spans="1:22" x14ac:dyDescent="0.35">
      <c r="A34" s="227"/>
      <c r="B34" s="11">
        <f t="shared" ref="B34:M34" si="14">IF(B11="","",(B11/$O$23))</f>
        <v>0.11897319549248839</v>
      </c>
      <c r="C34" s="11">
        <f t="shared" si="14"/>
        <v>5.2844671724224759E-2</v>
      </c>
      <c r="D34" s="11">
        <f t="shared" si="14"/>
        <v>0.14337410215596991</v>
      </c>
      <c r="E34" s="11">
        <f t="shared" si="14"/>
        <v>0.41057511591372803</v>
      </c>
      <c r="F34" s="11">
        <f t="shared" si="14"/>
        <v>0.92243349170113087</v>
      </c>
      <c r="G34" s="11">
        <f t="shared" si="14"/>
        <v>1.6038503724996678</v>
      </c>
      <c r="H34" s="11">
        <f t="shared" si="14"/>
        <v>1.8817267676580585</v>
      </c>
      <c r="I34" s="11">
        <f t="shared" si="14"/>
        <v>0.13014603321477125</v>
      </c>
      <c r="J34" s="11">
        <f t="shared" si="14"/>
        <v>0.26310036953680116</v>
      </c>
      <c r="K34" s="11">
        <f t="shared" si="14"/>
        <v>0.65708562974333062</v>
      </c>
      <c r="L34" s="11">
        <f t="shared" si="14"/>
        <v>0.88456213802614148</v>
      </c>
      <c r="M34" s="11">
        <f t="shared" si="14"/>
        <v>0.30919382041185672</v>
      </c>
      <c r="N34" s="6"/>
      <c r="O34" s="11">
        <f t="shared" si="8"/>
        <v>1.0883207651507374</v>
      </c>
      <c r="P34" s="11">
        <f t="shared" si="8"/>
        <v>1.3784615297442544</v>
      </c>
      <c r="Q34" s="11">
        <f t="shared" si="8"/>
        <v>7.892380961737451E-3</v>
      </c>
      <c r="R34" s="11">
        <f t="shared" si="8"/>
        <v>0.75987444723148967</v>
      </c>
      <c r="S34" s="11">
        <f t="shared" si="8"/>
        <v>1.8535455544167252</v>
      </c>
      <c r="T34" s="11">
        <f t="shared" si="8"/>
        <v>1.983735989418258</v>
      </c>
      <c r="U34" s="11">
        <f t="shared" si="8"/>
        <v>2.1426370886696051</v>
      </c>
      <c r="V34" s="11">
        <f t="shared" si="8"/>
        <v>0.57537310460559665</v>
      </c>
    </row>
    <row r="35" spans="1:22" x14ac:dyDescent="0.35">
      <c r="A35" s="227"/>
      <c r="B35" s="11">
        <f t="shared" ref="B35:M35" si="15">IF(B12="","",(B12/$O$23))</f>
        <v>0.30350101311114791</v>
      </c>
      <c r="C35" s="11">
        <f t="shared" si="15"/>
        <v>0.11222163271536838</v>
      </c>
      <c r="D35" s="11">
        <f t="shared" si="15"/>
        <v>4.6281218166927554E-2</v>
      </c>
      <c r="E35" s="11">
        <f t="shared" si="15"/>
        <v>0.28429599474207623</v>
      </c>
      <c r="F35" s="11">
        <f t="shared" si="15"/>
        <v>0.9523454953828645</v>
      </c>
      <c r="G35" s="11">
        <f t="shared" si="15"/>
        <v>1.5821181646457942</v>
      </c>
      <c r="H35" s="11" t="str">
        <f t="shared" si="15"/>
        <v/>
      </c>
      <c r="I35" s="11">
        <f t="shared" si="15"/>
        <v>0.16287278778797973</v>
      </c>
      <c r="J35" s="11">
        <f t="shared" si="15"/>
        <v>0.14476770278997272</v>
      </c>
      <c r="K35" s="11">
        <f t="shared" si="15"/>
        <v>0.19700677126637531</v>
      </c>
      <c r="L35" s="11">
        <f t="shared" si="15"/>
        <v>1.0733916535008632</v>
      </c>
      <c r="M35" s="11">
        <f t="shared" si="15"/>
        <v>0.93205036185960277</v>
      </c>
      <c r="N35" s="6"/>
      <c r="O35" s="11">
        <f t="shared" si="8"/>
        <v>1.2368791788976381</v>
      </c>
      <c r="P35" s="11">
        <f t="shared" si="8"/>
        <v>0.90274987189455624</v>
      </c>
      <c r="Q35" s="11">
        <f t="shared" si="8"/>
        <v>0.10846257451732001</v>
      </c>
      <c r="R35" s="11">
        <f t="shared" si="8"/>
        <v>1.6234899324474319</v>
      </c>
      <c r="S35" s="11">
        <f t="shared" si="8"/>
        <v>0.84630465000093147</v>
      </c>
      <c r="T35" s="11">
        <f t="shared" si="8"/>
        <v>1.81782028710188</v>
      </c>
      <c r="U35" s="11">
        <f t="shared" si="8"/>
        <v>0.14731311214987058</v>
      </c>
      <c r="V35" s="11">
        <f t="shared" si="8"/>
        <v>1.2727819068189794</v>
      </c>
    </row>
    <row r="36" spans="1:22" x14ac:dyDescent="0.3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1.3173887038105483</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1.3234932900577923</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0.53133595958015967</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7"/>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0.9840039693438879</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1.0953318512425598</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7"/>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0.56561560436562131</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7"/>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0.47575698772661223</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7"/>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0.14153487170829701</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TAM-30.2µg/L</v>
      </c>
      <c r="J45" s="7" t="str">
        <f t="shared" si="26"/>
        <v>TAM-60.4µg/L</v>
      </c>
      <c r="K45" s="7" t="str">
        <f t="shared" si="26"/>
        <v>TAM-121µg/L</v>
      </c>
      <c r="L45" s="7" t="str">
        <f t="shared" si="26"/>
        <v>TAM-242µg/L</v>
      </c>
      <c r="M45" s="7" t="str">
        <f t="shared" si="26"/>
        <v>TAM-483µg/L</v>
      </c>
      <c r="N45" s="7"/>
      <c r="O45" s="7" t="str">
        <f t="shared" si="26"/>
        <v>Testo -30µg/L</v>
      </c>
      <c r="P45" s="7" t="str">
        <f t="shared" si="26"/>
        <v>Testo 30µg/L + EE2 -64ng/L</v>
      </c>
      <c r="Q45" s="7" t="str">
        <f t="shared" si="26"/>
        <v>Testo 30µg/L + FAD-10mg/L</v>
      </c>
      <c r="R45" s="7" t="str">
        <f t="shared" si="26"/>
        <v>TAM-30,2µg/L + Testostérone</v>
      </c>
      <c r="S45" s="7" t="str">
        <f t="shared" si="26"/>
        <v>TAM-60,4µg/L + Testostérone</v>
      </c>
      <c r="T45" s="7" t="str">
        <f t="shared" si="26"/>
        <v>TAM-121µg/L + Testostérone</v>
      </c>
      <c r="U45" s="7" t="str">
        <f t="shared" si="26"/>
        <v>TAM-242µg/L + Testostérone</v>
      </c>
      <c r="V45" s="7" t="str">
        <f t="shared" si="26"/>
        <v>TAM-483µg/L + Testostérone</v>
      </c>
    </row>
    <row r="46" spans="1:22" x14ac:dyDescent="0.35">
      <c r="A46" s="8" t="s">
        <v>0</v>
      </c>
      <c r="B46" s="10">
        <f t="shared" ref="B46:H46" si="27">AVERAGE(B28:B43)</f>
        <v>0.11359420478039334</v>
      </c>
      <c r="C46" s="10">
        <f t="shared" si="27"/>
        <v>4.9391841407717518E-2</v>
      </c>
      <c r="D46" s="10">
        <f t="shared" si="27"/>
        <v>0.15417035508723126</v>
      </c>
      <c r="E46" s="10">
        <f t="shared" si="27"/>
        <v>0.24584670345400292</v>
      </c>
      <c r="F46" s="10">
        <f t="shared" si="27"/>
        <v>0.92180987007146975</v>
      </c>
      <c r="G46" s="10">
        <f t="shared" si="27"/>
        <v>1.6552826724431999</v>
      </c>
      <c r="H46" s="10">
        <f t="shared" si="27"/>
        <v>2.7097241311248994</v>
      </c>
      <c r="I46" s="10">
        <f>AVERAGE(I28:I43)</f>
        <v>0.13993214549720609</v>
      </c>
      <c r="J46" s="9">
        <f>AVERAGE(J28:J43)</f>
        <v>0.12861437306475268</v>
      </c>
      <c r="K46" s="9">
        <f t="shared" ref="K46:M46" si="28">AVERAGE(K28:K43)</f>
        <v>0.20146033397946927</v>
      </c>
      <c r="L46" s="9">
        <f t="shared" si="28"/>
        <v>0.57637218144287039</v>
      </c>
      <c r="M46" s="9">
        <f t="shared" si="28"/>
        <v>0.3743923490006329</v>
      </c>
      <c r="N46" s="8" t="s">
        <v>0</v>
      </c>
      <c r="O46" s="10">
        <f t="shared" ref="O46:V46" si="29">AVERAGE(O28:O43)</f>
        <v>1.0000000000000002</v>
      </c>
      <c r="P46" s="10">
        <f t="shared" si="29"/>
        <v>1.6398925302656242</v>
      </c>
      <c r="Q46" s="10">
        <f t="shared" si="29"/>
        <v>0.11770359869337851</v>
      </c>
      <c r="R46" s="10">
        <f t="shared" si="29"/>
        <v>1.2269329344287883</v>
      </c>
      <c r="S46" s="10">
        <f t="shared" si="29"/>
        <v>1.1104329221224349</v>
      </c>
      <c r="T46" s="10">
        <f t="shared" si="29"/>
        <v>1.4451118538830985</v>
      </c>
      <c r="U46" s="10">
        <f t="shared" si="29"/>
        <v>1.1276366606185515</v>
      </c>
      <c r="V46" s="10">
        <f t="shared" si="29"/>
        <v>0.66368664652837228</v>
      </c>
    </row>
    <row r="47" spans="1:22" x14ac:dyDescent="0.35">
      <c r="A47" s="8" t="s">
        <v>1</v>
      </c>
      <c r="B47" s="8">
        <f t="shared" ref="B47:M47" si="30">STDEV(B28:B43)</f>
        <v>9.9673286153502808E-2</v>
      </c>
      <c r="C47" s="8">
        <f t="shared" si="30"/>
        <v>3.6369320672192847E-2</v>
      </c>
      <c r="D47" s="8">
        <f t="shared" si="30"/>
        <v>0.19262343210264879</v>
      </c>
      <c r="E47" s="8">
        <f t="shared" si="30"/>
        <v>0.20357214532416024</v>
      </c>
      <c r="F47" s="8">
        <f t="shared" si="30"/>
        <v>0.58801010266574172</v>
      </c>
      <c r="G47" s="8">
        <f t="shared" si="30"/>
        <v>0.60228479690270442</v>
      </c>
      <c r="H47" s="8">
        <f t="shared" si="30"/>
        <v>0.71155841254093743</v>
      </c>
      <c r="I47" s="8">
        <f t="shared" si="30"/>
        <v>4.6338881051361497E-2</v>
      </c>
      <c r="J47" s="8">
        <f t="shared" si="30"/>
        <v>8.7469921557567054E-2</v>
      </c>
      <c r="K47" s="8">
        <f t="shared" si="30"/>
        <v>0.19614377383548057</v>
      </c>
      <c r="L47" s="8">
        <f t="shared" si="30"/>
        <v>0.28109633497406467</v>
      </c>
      <c r="M47" s="8">
        <f t="shared" si="30"/>
        <v>0.27072521386757559</v>
      </c>
      <c r="N47" s="8" t="s">
        <v>1</v>
      </c>
      <c r="O47" s="8">
        <f t="shared" ref="O47:V47" si="31">STDEV(O28:O43)</f>
        <v>0.49510671124052641</v>
      </c>
      <c r="P47" s="8">
        <f t="shared" si="31"/>
        <v>0.62191878501656817</v>
      </c>
      <c r="Q47" s="8">
        <f t="shared" si="31"/>
        <v>9.133630914159413E-2</v>
      </c>
      <c r="R47" s="8">
        <f t="shared" si="31"/>
        <v>0.54465161222585956</v>
      </c>
      <c r="S47" s="8">
        <f t="shared" si="31"/>
        <v>0.64676110270365827</v>
      </c>
      <c r="T47" s="8">
        <f t="shared" si="31"/>
        <v>0.56161312636021321</v>
      </c>
      <c r="U47" s="8">
        <f t="shared" si="31"/>
        <v>0.5656282994085976</v>
      </c>
      <c r="V47" s="8">
        <f t="shared" si="31"/>
        <v>0.39203710504514322</v>
      </c>
    </row>
    <row r="48" spans="1:22" x14ac:dyDescent="0.35">
      <c r="A48" s="8" t="s">
        <v>2</v>
      </c>
      <c r="B48" s="8">
        <f t="shared" ref="B48:M48" si="32" xml:space="preserve"> B47/SQRT(COUNT(B28:B43))</f>
        <v>3.5239828271144524E-2</v>
      </c>
      <c r="C48" s="8">
        <f t="shared" si="32"/>
        <v>1.3746311121568962E-2</v>
      </c>
      <c r="D48" s="8">
        <f t="shared" si="32"/>
        <v>6.8102667527604729E-2</v>
      </c>
      <c r="E48" s="8">
        <f t="shared" si="32"/>
        <v>7.1973622209703506E-2</v>
      </c>
      <c r="F48" s="8">
        <f t="shared" si="32"/>
        <v>0.20789296550057199</v>
      </c>
      <c r="G48" s="8">
        <f t="shared" si="32"/>
        <v>0.22764225586280012</v>
      </c>
      <c r="H48" s="8">
        <f t="shared" si="32"/>
        <v>0.29049250548501793</v>
      </c>
      <c r="I48" s="8">
        <f t="shared" si="32"/>
        <v>1.6383268512007262E-2</v>
      </c>
      <c r="J48" s="8">
        <f t="shared" si="32"/>
        <v>3.0925287341605521E-2</v>
      </c>
      <c r="K48" s="8">
        <f t="shared" si="32"/>
        <v>6.9347296283294405E-2</v>
      </c>
      <c r="L48" s="8">
        <f t="shared" si="32"/>
        <v>9.9382562313423198E-2</v>
      </c>
      <c r="M48" s="8">
        <f t="shared" si="32"/>
        <v>9.5715817281970525E-2</v>
      </c>
      <c r="N48" s="8" t="s">
        <v>2</v>
      </c>
      <c r="O48" s="8">
        <f t="shared" ref="O48:V48" si="33" xml:space="preserve"> O47/SQRT(COUNT(O28:O43))</f>
        <v>0.1237766778101316</v>
      </c>
      <c r="P48" s="8">
        <f t="shared" si="33"/>
        <v>0.23506320583332604</v>
      </c>
      <c r="Q48" s="8">
        <f t="shared" si="33"/>
        <v>3.2292261781286025E-2</v>
      </c>
      <c r="R48" s="8">
        <f t="shared" si="33"/>
        <v>0.19256342419454558</v>
      </c>
      <c r="S48" s="8">
        <f t="shared" si="33"/>
        <v>0.22866458076472293</v>
      </c>
      <c r="T48" s="8">
        <f t="shared" si="33"/>
        <v>0.19856022502634207</v>
      </c>
      <c r="U48" s="8">
        <f t="shared" si="33"/>
        <v>0.19997980307141711</v>
      </c>
      <c r="V48" s="8">
        <f t="shared" si="33"/>
        <v>0.13860604772708179</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TAM-30.2µg/L</v>
      </c>
      <c r="J52" s="46" t="str">
        <f>J4</f>
        <v>TAM-60.4µg/L</v>
      </c>
      <c r="K52" s="46" t="str">
        <f t="shared" ref="K52:M52" si="35">K4</f>
        <v>TAM-121µg/L</v>
      </c>
      <c r="L52" s="46" t="str">
        <f t="shared" si="35"/>
        <v>TAM-242µg/L</v>
      </c>
      <c r="M52" s="46" t="str">
        <f t="shared" si="35"/>
        <v>TAM-483µg/L</v>
      </c>
      <c r="N52" s="47"/>
      <c r="O52" s="46" t="str">
        <f>O27</f>
        <v>Testo -30µg/L</v>
      </c>
      <c r="P52" s="46" t="str">
        <f>P27</f>
        <v>Testo 30µg/L + EE2 -64ng/L</v>
      </c>
      <c r="Q52" s="46" t="str">
        <f>Q27</f>
        <v>Testo 30µg/L + FAD-10mg/L</v>
      </c>
      <c r="R52" s="46" t="str">
        <f>R27</f>
        <v>TAM-30,2µg/L + Testostérone</v>
      </c>
      <c r="S52" s="46" t="str">
        <f t="shared" ref="S52:V52" si="36">S27</f>
        <v>TAM-60,4µg/L + Testostérone</v>
      </c>
      <c r="T52" s="46" t="str">
        <f t="shared" si="36"/>
        <v>TAM-121µg/L + Testostérone</v>
      </c>
      <c r="U52" s="46" t="str">
        <f t="shared" si="36"/>
        <v>TAM-242µg/L + Testostérone</v>
      </c>
      <c r="V52" s="46" t="str">
        <f t="shared" si="36"/>
        <v>TAM-483µg/L + Testostérone</v>
      </c>
    </row>
    <row r="53" spans="1:22" s="3" customFormat="1" x14ac:dyDescent="0.35">
      <c r="A53" s="61" t="s">
        <v>32</v>
      </c>
      <c r="B53" s="142">
        <f t="shared" ref="B53:V53" si="37">B46</f>
        <v>0.11359420478039334</v>
      </c>
      <c r="C53" s="142">
        <f t="shared" si="37"/>
        <v>4.9391841407717518E-2</v>
      </c>
      <c r="D53" s="142">
        <f t="shared" si="37"/>
        <v>0.15417035508723126</v>
      </c>
      <c r="E53" s="142">
        <f t="shared" si="37"/>
        <v>0.24584670345400292</v>
      </c>
      <c r="F53" s="142">
        <f t="shared" si="37"/>
        <v>0.92180987007146975</v>
      </c>
      <c r="G53" s="142">
        <f t="shared" si="37"/>
        <v>1.6552826724431999</v>
      </c>
      <c r="H53" s="142">
        <f t="shared" si="37"/>
        <v>2.7097241311248994</v>
      </c>
      <c r="I53" s="142">
        <f t="shared" si="37"/>
        <v>0.13993214549720609</v>
      </c>
      <c r="J53" s="142">
        <f t="shared" si="37"/>
        <v>0.12861437306475268</v>
      </c>
      <c r="K53" s="142">
        <f t="shared" si="37"/>
        <v>0.20146033397946927</v>
      </c>
      <c r="L53" s="142">
        <f t="shared" si="37"/>
        <v>0.57637218144287039</v>
      </c>
      <c r="M53" s="142">
        <f t="shared" si="37"/>
        <v>0.3743923490006329</v>
      </c>
      <c r="N53" s="142"/>
      <c r="O53" s="142">
        <f t="shared" si="37"/>
        <v>1.0000000000000002</v>
      </c>
      <c r="P53" s="142">
        <f t="shared" si="37"/>
        <v>1.6398925302656242</v>
      </c>
      <c r="Q53" s="142">
        <f t="shared" si="37"/>
        <v>0.11770359869337851</v>
      </c>
      <c r="R53" s="142">
        <f t="shared" si="37"/>
        <v>1.2269329344287883</v>
      </c>
      <c r="S53" s="142">
        <f t="shared" si="37"/>
        <v>1.1104329221224349</v>
      </c>
      <c r="T53" s="142">
        <f t="shared" si="37"/>
        <v>1.4451118538830985</v>
      </c>
      <c r="U53" s="142">
        <f t="shared" si="37"/>
        <v>1.1276366606185515</v>
      </c>
      <c r="V53" s="142">
        <f t="shared" si="37"/>
        <v>0.66368664652837228</v>
      </c>
    </row>
    <row r="54" spans="1:22" s="3" customFormat="1" x14ac:dyDescent="0.35">
      <c r="A54" s="61" t="s">
        <v>2</v>
      </c>
      <c r="B54" s="142">
        <f t="shared" ref="B54:V54" si="38">B48</f>
        <v>3.5239828271144524E-2</v>
      </c>
      <c r="C54" s="142">
        <f t="shared" si="38"/>
        <v>1.3746311121568962E-2</v>
      </c>
      <c r="D54" s="142">
        <f t="shared" si="38"/>
        <v>6.8102667527604729E-2</v>
      </c>
      <c r="E54" s="142">
        <f t="shared" si="38"/>
        <v>7.1973622209703506E-2</v>
      </c>
      <c r="F54" s="142">
        <f t="shared" si="38"/>
        <v>0.20789296550057199</v>
      </c>
      <c r="G54" s="142">
        <f t="shared" si="38"/>
        <v>0.22764225586280012</v>
      </c>
      <c r="H54" s="142">
        <f t="shared" si="38"/>
        <v>0.29049250548501793</v>
      </c>
      <c r="I54" s="142">
        <f t="shared" si="38"/>
        <v>1.6383268512007262E-2</v>
      </c>
      <c r="J54" s="142">
        <f t="shared" si="38"/>
        <v>3.0925287341605521E-2</v>
      </c>
      <c r="K54" s="142">
        <f t="shared" si="38"/>
        <v>6.9347296283294405E-2</v>
      </c>
      <c r="L54" s="142">
        <f t="shared" si="38"/>
        <v>9.9382562313423198E-2</v>
      </c>
      <c r="M54" s="142">
        <f t="shared" si="38"/>
        <v>9.5715817281970525E-2</v>
      </c>
      <c r="N54" s="142"/>
      <c r="O54" s="142">
        <f t="shared" si="38"/>
        <v>0.1237766778101316</v>
      </c>
      <c r="P54" s="142">
        <f t="shared" si="38"/>
        <v>0.23506320583332604</v>
      </c>
      <c r="Q54" s="142">
        <f t="shared" si="38"/>
        <v>3.2292261781286025E-2</v>
      </c>
      <c r="R54" s="142">
        <f t="shared" si="38"/>
        <v>0.19256342419454558</v>
      </c>
      <c r="S54" s="142">
        <f t="shared" si="38"/>
        <v>0.22866458076472293</v>
      </c>
      <c r="T54" s="142">
        <f t="shared" si="38"/>
        <v>0.19856022502634207</v>
      </c>
      <c r="U54" s="142">
        <f t="shared" si="38"/>
        <v>0.19997980307141711</v>
      </c>
      <c r="V54" s="142">
        <f t="shared" si="38"/>
        <v>0.13860604772708179</v>
      </c>
    </row>
    <row r="55" spans="1:22" s="3" customFormat="1" x14ac:dyDescent="0.35">
      <c r="A55" s="61" t="s">
        <v>79</v>
      </c>
      <c r="B55" s="142">
        <f>(B53*100/$B53)-100</f>
        <v>0</v>
      </c>
      <c r="C55" s="142">
        <f t="shared" ref="C55:M55" si="39">(C53*100/$B53)-100</f>
        <v>-56.519048217992648</v>
      </c>
      <c r="D55" s="142">
        <f t="shared" si="39"/>
        <v>35.72026441426479</v>
      </c>
      <c r="E55" s="142">
        <f t="shared" si="39"/>
        <v>116.42539241265652</v>
      </c>
      <c r="F55" s="142">
        <f t="shared" si="39"/>
        <v>711.49374816573095</v>
      </c>
      <c r="G55" s="142">
        <f t="shared" si="39"/>
        <v>1357.1893659921163</v>
      </c>
      <c r="H55" s="142">
        <f t="shared" si="39"/>
        <v>2285.4422295252557</v>
      </c>
      <c r="I55" s="142">
        <f t="shared" si="39"/>
        <v>23.185989785069339</v>
      </c>
      <c r="J55" s="142">
        <f t="shared" si="39"/>
        <v>13.222653667409517</v>
      </c>
      <c r="K55" s="142">
        <f t="shared" si="39"/>
        <v>77.350890715722358</v>
      </c>
      <c r="L55" s="142">
        <f t="shared" si="39"/>
        <v>407.39576244857324</v>
      </c>
      <c r="M55" s="142">
        <f t="shared" si="39"/>
        <v>229.58754341775546</v>
      </c>
      <c r="N55" s="142"/>
      <c r="O55" s="142">
        <f>(O53*100/$O53)-100</f>
        <v>0</v>
      </c>
      <c r="P55" s="142">
        <f t="shared" ref="P55:V55" si="40">(P53*100/$O53)-100</f>
        <v>63.98925302656238</v>
      </c>
      <c r="Q55" s="142">
        <f t="shared" si="40"/>
        <v>-88.229640130662148</v>
      </c>
      <c r="R55" s="142">
        <f t="shared" si="40"/>
        <v>22.693293442878797</v>
      </c>
      <c r="S55" s="142">
        <f t="shared" si="40"/>
        <v>11.043292212243472</v>
      </c>
      <c r="T55" s="142">
        <f t="shared" si="40"/>
        <v>44.511185388309826</v>
      </c>
      <c r="U55" s="142">
        <f t="shared" si="40"/>
        <v>12.763666061855119</v>
      </c>
      <c r="V55" s="142">
        <f t="shared" si="40"/>
        <v>-33.631335347162789</v>
      </c>
    </row>
    <row r="56" spans="1:22" s="3" customFormat="1" x14ac:dyDescent="0.35">
      <c r="A56" s="61" t="s">
        <v>81</v>
      </c>
      <c r="B56" s="142">
        <f>[1]!SWTEST(B28:B43)</f>
        <v>0.53400835310210448</v>
      </c>
      <c r="C56" s="142">
        <f>[1]!SWTEST(C28:C43)</f>
        <v>0.84048098453255082</v>
      </c>
      <c r="D56" s="142">
        <f>[1]!SWTEST(D28:D43)</f>
        <v>1.1160520292053944E-3</v>
      </c>
      <c r="E56" s="142">
        <f>[1]!SWTEST(E28:E43)</f>
        <v>0.20034282196303832</v>
      </c>
      <c r="F56" s="142">
        <f>[1]!SWTEST(F28:F43)</f>
        <v>0.5232869543768377</v>
      </c>
      <c r="G56" s="142">
        <f>[1]!SWTEST(G28:G43)</f>
        <v>0.73567901051678697</v>
      </c>
      <c r="H56" s="142">
        <f>[1]!SWTEST(H28:H43)</f>
        <v>0.64395256362642384</v>
      </c>
      <c r="I56" s="142">
        <f>[1]!SWTEST(I28:I43)</f>
        <v>0.97748781678394681</v>
      </c>
      <c r="J56" s="142">
        <f>[1]!SWTEST(J28:J43)</f>
        <v>0.87080667222487262</v>
      </c>
      <c r="K56" s="142">
        <f>[1]!SWTEST(K28:K43)</f>
        <v>4.6690335781334191E-3</v>
      </c>
      <c r="L56" s="142">
        <f>[1]!SWTEST(L28:L43)</f>
        <v>0.15382051884546011</v>
      </c>
      <c r="M56" s="142">
        <f>[1]!SWTEST(M28:M43)</f>
        <v>0.39428202124987588</v>
      </c>
      <c r="N56" s="142"/>
      <c r="O56" s="142">
        <f>[1]!SWTEST(O28:O43)</f>
        <v>0.79600045110632944</v>
      </c>
      <c r="P56" s="142">
        <f>[1]!SWTEST(P28:P43)</f>
        <v>0.54683394653289696</v>
      </c>
      <c r="Q56" s="142">
        <f>[1]!SWTEST(Q28:Q43)</f>
        <v>0.48367036448647738</v>
      </c>
      <c r="R56" s="142">
        <f>[1]!SWTEST(R28:R43)</f>
        <v>0.57279520138206785</v>
      </c>
      <c r="S56" s="142">
        <f>[1]!SWTEST(S28:S43)</f>
        <v>8.5336928199858941E-2</v>
      </c>
      <c r="T56" s="142">
        <f>[1]!SWTEST(T28:T43)</f>
        <v>0.40325824388988152</v>
      </c>
      <c r="U56" s="142">
        <f>[1]!SWTEST(U28:U43)</f>
        <v>0.74792094530194375</v>
      </c>
      <c r="V56" s="142">
        <f>[1]!SWTEST(V28:V43)</f>
        <v>0.45081842243616899</v>
      </c>
    </row>
    <row r="57" spans="1:22" s="3" customFormat="1" x14ac:dyDescent="0.35">
      <c r="A57" s="61" t="s">
        <v>85</v>
      </c>
      <c r="B57" s="142" t="str">
        <f>IF(B56&gt;0.05,"Oui","Non")</f>
        <v>Oui</v>
      </c>
      <c r="C57" s="142" t="str">
        <f t="shared" ref="C57:V57" si="41">IF(C56&gt;0.05,"Oui","Non")</f>
        <v>Oui</v>
      </c>
      <c r="D57" s="142" t="str">
        <f t="shared" si="41"/>
        <v>Non</v>
      </c>
      <c r="E57" s="142" t="str">
        <f t="shared" si="41"/>
        <v>Oui</v>
      </c>
      <c r="F57" s="142" t="str">
        <f t="shared" si="41"/>
        <v>Oui</v>
      </c>
      <c r="G57" s="142" t="str">
        <f t="shared" si="41"/>
        <v>Oui</v>
      </c>
      <c r="H57" s="142" t="str">
        <f t="shared" si="41"/>
        <v>Oui</v>
      </c>
      <c r="I57" s="142" t="str">
        <f t="shared" si="41"/>
        <v>Oui</v>
      </c>
      <c r="J57" s="142" t="str">
        <f t="shared" si="41"/>
        <v>Oui</v>
      </c>
      <c r="K57" s="142" t="str">
        <f t="shared" si="41"/>
        <v>Non</v>
      </c>
      <c r="L57" s="142" t="str">
        <f t="shared" si="41"/>
        <v>Oui</v>
      </c>
      <c r="M57" s="142" t="str">
        <f t="shared" si="41"/>
        <v>Oui</v>
      </c>
      <c r="N57" s="142"/>
      <c r="O57" s="142" t="str">
        <f t="shared" si="41"/>
        <v>Oui</v>
      </c>
      <c r="P57" s="142" t="str">
        <f t="shared" si="41"/>
        <v>Oui</v>
      </c>
      <c r="Q57" s="142" t="str">
        <f t="shared" si="41"/>
        <v>Oui</v>
      </c>
      <c r="R57" s="142" t="str">
        <f t="shared" si="41"/>
        <v>Oui</v>
      </c>
      <c r="S57" s="142" t="str">
        <f t="shared" si="41"/>
        <v>Oui</v>
      </c>
      <c r="T57" s="142" t="str">
        <f t="shared" si="41"/>
        <v>Oui</v>
      </c>
      <c r="U57" s="142" t="str">
        <f t="shared" si="41"/>
        <v>Oui</v>
      </c>
      <c r="V57" s="142" t="str">
        <f t="shared" si="41"/>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42">IF($B57="Non",IF(C57="Non","MW",IF(C57="Oui","MW","")),IF($B57="Oui",IF(C57="Oui","T-Test Welch",IF(C57="Non","MW",""))))</f>
        <v>T-Test Welch</v>
      </c>
      <c r="D59" s="151" t="str">
        <f t="shared" si="42"/>
        <v>MW</v>
      </c>
      <c r="E59" s="151" t="str">
        <f t="shared" si="42"/>
        <v>T-Test Welch</v>
      </c>
      <c r="F59" s="151" t="str">
        <f t="shared" si="42"/>
        <v>T-Test Welch</v>
      </c>
      <c r="G59" s="151" t="str">
        <f t="shared" si="42"/>
        <v>T-Test Welch</v>
      </c>
      <c r="H59" s="151" t="str">
        <f t="shared" si="42"/>
        <v>T-Test Welch</v>
      </c>
      <c r="I59" s="151" t="str">
        <f t="shared" si="42"/>
        <v>T-Test Welch</v>
      </c>
      <c r="J59" s="151" t="str">
        <f t="shared" si="42"/>
        <v>T-Test Welch</v>
      </c>
      <c r="K59" s="151" t="str">
        <f t="shared" si="42"/>
        <v>MW</v>
      </c>
      <c r="L59" s="151" t="str">
        <f t="shared" si="42"/>
        <v>T-Test Welch</v>
      </c>
      <c r="M59" s="151" t="str">
        <f t="shared" si="42"/>
        <v>T-Test Welch</v>
      </c>
      <c r="N59" s="151"/>
      <c r="O59" s="151" t="str">
        <f t="shared" si="42"/>
        <v>T-Test Welch</v>
      </c>
      <c r="P59" s="151" t="str">
        <f>IF($O57="Non",IF(P57="Non","MW",IF(P57="Oui","MW","")),IF($O57="Oui",IF(P57="Oui","T-Test Welch",IF(P57="Non","MW",""))))</f>
        <v>T-Test Welch</v>
      </c>
      <c r="Q59" s="151" t="str">
        <f t="shared" ref="Q59:V59" si="43">IF($O57="Non",IF(Q57="Non","MW",IF(Q57="Oui","MW","")),IF($O57="Oui",IF(Q57="Oui","T-Test Welch",IF(Q57="Non","MW",""))))</f>
        <v>T-Test Welch</v>
      </c>
      <c r="R59" s="151" t="str">
        <f t="shared" si="43"/>
        <v>T-Test Welch</v>
      </c>
      <c r="S59" s="151" t="str">
        <f t="shared" si="43"/>
        <v>T-Test Welch</v>
      </c>
      <c r="T59" s="151" t="str">
        <f t="shared" si="43"/>
        <v>T-Test Welch</v>
      </c>
      <c r="U59" s="151" t="str">
        <f t="shared" si="43"/>
        <v>T-Test Welch</v>
      </c>
      <c r="V59" s="151" t="str">
        <f t="shared" si="43"/>
        <v>T-Test Welch</v>
      </c>
    </row>
    <row r="60" spans="1:22" s="3" customFormat="1" x14ac:dyDescent="0.35">
      <c r="A60" s="61" t="s">
        <v>83</v>
      </c>
      <c r="B60" s="152"/>
      <c r="C60" s="152">
        <f>IF(C59="MW",[1]!MTEST($B28:$B43,C28:C43,2), IF(C59="T-Test Welch",_xlfn.T.TEST($B28:$B43,C28:C43,2,3),""))</f>
        <v>0.12368919400943043</v>
      </c>
      <c r="D60" s="152">
        <f>IF(D59="MW",[1]!MTEST($B28:$B43,D28:D43,2), IF(D59="T-Test Welch",_xlfn.T.TEST($B28:$B43,D28:D43,2,3),""))</f>
        <v>0.83363488302468225</v>
      </c>
      <c r="E60" s="152">
        <f>IF(E59="MW",[1]!MTEST($B28:$B43,E28:E43,2), IF(E59="T-Test Welch",_xlfn.T.TEST($B28:$B43,E28:E43,2,3),""))</f>
        <v>0.12936936219396258</v>
      </c>
      <c r="F60" s="152">
        <f>IF(F59="MW",[1]!MTEST($B28:$B43,F28:F43,2), IF(F59="T-Test Welch",_xlfn.T.TEST($B28:$B43,F28:F43,2,3),""))</f>
        <v>5.7862944754588173E-3</v>
      </c>
      <c r="G60" s="152">
        <f>IF(G59="MW",[1]!MTEST($B28:$B43,G28:G43,2), IF(G59="T-Test Welch",_xlfn.T.TEST($B28:$B43,G28:G43,2,3),""))</f>
        <v>4.4328519121508215E-4</v>
      </c>
      <c r="H60" s="152">
        <f>IF(H59="MW",[1]!MTEST($B28:$B43,H28:H43,2), IF(H59="T-Test Welch",_xlfn.T.TEST($B28:$B43,H28:H43,2,3),""))</f>
        <v>2.604839388053601E-4</v>
      </c>
      <c r="I60" s="152">
        <f>IF(I59="MW",[1]!MTEST($B28:$B43,I28:I43,2), IF(I59="T-Test Welch",_xlfn.T.TEST($B28:$B43,I28:I43,2,3),""))</f>
        <v>0.51348389461095767</v>
      </c>
      <c r="J60" s="152">
        <f>IF(J59="MW",[1]!MTEST($B28:$B43,J28:J43,2), IF(J59="T-Test Welch",_xlfn.T.TEST($B28:$B43,J28:J43,2,3),""))</f>
        <v>0.75350526739784518</v>
      </c>
      <c r="K60" s="152">
        <f>IF(K59="MW",[1]!MTEST($B28:$B43,K28:K43,2), IF(K59="T-Test Welch",_xlfn.T.TEST($B28:$B43,K28:K43,2,3),""))</f>
        <v>0.24799581483148536</v>
      </c>
      <c r="L60" s="152">
        <f>IF(L59="MW",[1]!MTEST($B28:$B43,L28:L43,2), IF(L59="T-Test Welch",_xlfn.T.TEST($B28:$B43,L28:L43,2,3),""))</f>
        <v>1.8799275132575257E-3</v>
      </c>
      <c r="M60" s="152">
        <f>IF(M59="MW",[1]!MTEST($B28:$B43,M28:M43,2), IF(M59="T-Test Welch",_xlfn.T.TEST($B28:$B43,M28:M43,2,3),""))</f>
        <v>3.1204057591185434E-2</v>
      </c>
      <c r="N60" s="152"/>
      <c r="O60" s="152">
        <f>IF(O59="MW",[1]!MTEST($B28:$B43,O28:O43,2), IF(O59="T-Test Welch",_xlfn.T.TEST($B28:$B43,O28:O43,2,3),""))</f>
        <v>2.4018961690658198E-6</v>
      </c>
      <c r="P60" s="152">
        <f>IF(P59="MW",[1]!MTEST($O28:$O43,P28:P43,2), IF(P59="T-Test Welch",_xlfn.T.TEST($O28:$O43,P28:P43,2,3),""))</f>
        <v>3.798613572258961E-2</v>
      </c>
      <c r="Q60" s="152">
        <f>IF(Q59="MW",[1]!MTEST($O28:$O43,Q28:Q43,2), IF(Q59="T-Test Welch",_xlfn.T.TEST($O28:$O43,Q28:Q43,2,3),""))</f>
        <v>2.6311784565129226E-6</v>
      </c>
      <c r="R60" s="152">
        <f>IF(R59="MW",[1]!MTEST($O28:$O43,R28:R43,2), IF(R59="T-Test Welch",_xlfn.T.TEST($O28:$O43,R28:R43,2,3),""))</f>
        <v>0.33968094759878831</v>
      </c>
      <c r="S60" s="152">
        <f>IF(S59="MW",[1]!MTEST($O28:$O43,S28:S43,2), IF(S59="T-Test Welch",_xlfn.T.TEST($O28:$O43,S28:S43,2,3),""))</f>
        <v>0.67905102893565383</v>
      </c>
      <c r="T60" s="152">
        <f>IF(T59="MW",[1]!MTEST($O28:$O43,T28:T43,2), IF(T59="T-Test Welch",_xlfn.T.TEST($O28:$O43,T28:T43,2,3),""))</f>
        <v>8.0211991736081428E-2</v>
      </c>
      <c r="U60" s="152">
        <f>IF(U59="MW",[1]!MTEST($O28:$O43,U28:U43,2), IF(U59="T-Test Welch",_xlfn.T.TEST($O28:$O43,U28:U43,2,3),""))</f>
        <v>0.59685292904242426</v>
      </c>
      <c r="V60" s="152">
        <f>IF(V59="MW",[1]!MTEST($O28:$O43,V28:V43,2), IF(V59="T-Test Welch",_xlfn.T.TEST($O28:$O43,V28:V43,2,3),""))</f>
        <v>8.7593429941998396E-2</v>
      </c>
    </row>
    <row r="61" spans="1:22" s="3" customFormat="1" ht="15" thickBot="1" x14ac:dyDescent="0.4">
      <c r="A61" s="62" t="s">
        <v>84</v>
      </c>
      <c r="B61" s="143"/>
      <c r="C61" s="143" t="str">
        <f t="shared" ref="C61:O61" si="44">IF(C60&gt;0.05,"NS",IF(C60&gt;0.01,"*",IF(C60&gt;0.001,"**","***")))</f>
        <v>NS</v>
      </c>
      <c r="D61" s="143" t="str">
        <f t="shared" si="44"/>
        <v>NS</v>
      </c>
      <c r="E61" s="143" t="str">
        <f t="shared" si="44"/>
        <v>NS</v>
      </c>
      <c r="F61" s="143" t="str">
        <f t="shared" si="44"/>
        <v>**</v>
      </c>
      <c r="G61" s="143" t="str">
        <f t="shared" si="44"/>
        <v>***</v>
      </c>
      <c r="H61" s="143" t="str">
        <f t="shared" si="44"/>
        <v>***</v>
      </c>
      <c r="I61" s="143" t="str">
        <f t="shared" si="44"/>
        <v>NS</v>
      </c>
      <c r="J61" s="143" t="str">
        <f t="shared" si="44"/>
        <v>NS</v>
      </c>
      <c r="K61" s="143" t="str">
        <f t="shared" si="44"/>
        <v>NS</v>
      </c>
      <c r="L61" s="143" t="str">
        <f t="shared" si="44"/>
        <v>**</v>
      </c>
      <c r="M61" s="143" t="str">
        <f t="shared" si="44"/>
        <v>*</v>
      </c>
      <c r="N61" s="143"/>
      <c r="O61" s="143" t="str">
        <f t="shared" si="44"/>
        <v>***</v>
      </c>
      <c r="P61" s="143" t="str">
        <f>IF(P60&gt;0.05,"NS",IF(P60&gt;0.01,"*",IF(P60&gt;0.001,"**","***")))</f>
        <v>*</v>
      </c>
      <c r="Q61" s="143" t="str">
        <f t="shared" ref="Q61:V61" si="45">IF(Q60&gt;0.05,"NS",IF(Q60&gt;0.01,"*",IF(Q60&gt;0.001,"**","***")))</f>
        <v>***</v>
      </c>
      <c r="R61" s="143" t="str">
        <f t="shared" si="45"/>
        <v>NS</v>
      </c>
      <c r="S61" s="143" t="str">
        <f t="shared" si="45"/>
        <v>NS</v>
      </c>
      <c r="T61" s="143" t="str">
        <f t="shared" si="45"/>
        <v>NS</v>
      </c>
      <c r="U61" s="143" t="str">
        <f t="shared" si="45"/>
        <v>NS</v>
      </c>
      <c r="V61" s="143" t="str">
        <f t="shared" si="45"/>
        <v>NS</v>
      </c>
    </row>
    <row r="63" spans="1:22" x14ac:dyDescent="0.35">
      <c r="A63" s="2" t="s">
        <v>39</v>
      </c>
    </row>
    <row r="64" spans="1:22" x14ac:dyDescent="0.35">
      <c r="A64" s="1" t="s">
        <v>23</v>
      </c>
      <c r="B64" s="1">
        <f>B46+(3*B47)</f>
        <v>0.41261406324090177</v>
      </c>
    </row>
    <row r="65" spans="1:22" x14ac:dyDescent="0.35">
      <c r="A65" s="1" t="s">
        <v>24</v>
      </c>
      <c r="B65" s="1">
        <f>B46+(10*B47)</f>
        <v>1.1103270663154214</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12"/>
  <sheetViews>
    <sheetView showGridLines="0" tabSelected="1" topLeftCell="F74" zoomScale="70" zoomScaleNormal="70"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TAM-30.2µg/L</v>
      </c>
      <c r="J4" s="35" t="str">
        <f>'R1'!J4</f>
        <v>TAM-60.4µg/L</v>
      </c>
      <c r="K4" s="35" t="str">
        <f>'R1'!K4</f>
        <v>TAM-121µg/L</v>
      </c>
      <c r="L4" s="35" t="str">
        <f>'R1'!L4</f>
        <v>TAM-242µg/L</v>
      </c>
      <c r="M4" s="35" t="str">
        <f>'R1'!M4</f>
        <v>TAM-483µg/L</v>
      </c>
      <c r="O4" s="35" t="str">
        <f>'R1'!O4</f>
        <v>Testo -30µg/L</v>
      </c>
      <c r="P4" s="35" t="str">
        <f>'R1'!P4</f>
        <v>Testo 30µg/L + EE2 -64ng/L</v>
      </c>
      <c r="Q4" s="35" t="str">
        <f>'R1'!Q4</f>
        <v>Testo 30µg/L + FAD-10mg/L</v>
      </c>
      <c r="R4" s="35" t="str">
        <f>'R1'!R4</f>
        <v>TAM-30,2µg/L + Testostérone</v>
      </c>
      <c r="S4" s="35" t="str">
        <f>'R1'!S4</f>
        <v>TAM-60,4µg/L + Testostérone</v>
      </c>
      <c r="T4" s="35" t="str">
        <f>'R1'!T4</f>
        <v>TAM-121µg/L + Testostérone</v>
      </c>
      <c r="U4" s="35" t="str">
        <f>'R1'!U4</f>
        <v>TAM-242µg/L + Testostérone</v>
      </c>
      <c r="V4" s="35" t="str">
        <f>'R1'!V4</f>
        <v>TAM-483µg/L + Testostérone</v>
      </c>
    </row>
    <row r="5" spans="1:22" s="1" customFormat="1" x14ac:dyDescent="0.35">
      <c r="A5" s="34"/>
      <c r="B5" s="35"/>
      <c r="C5" s="196"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0.14527418649610552</v>
      </c>
      <c r="C6" s="53">
        <f>'R1'!C28</f>
        <v>0.19951266016950112</v>
      </c>
      <c r="D6" s="53">
        <f>'R1'!D28</f>
        <v>0.12962512051767397</v>
      </c>
      <c r="E6" s="53">
        <f>'R1'!E28</f>
        <v>0.12941681690395729</v>
      </c>
      <c r="F6" s="53">
        <f>'R1'!F28</f>
        <v>0.97631149888316693</v>
      </c>
      <c r="G6" s="53">
        <f>'R1'!G28</f>
        <v>1.3906155556418076</v>
      </c>
      <c r="H6" s="53">
        <f>'R1'!H28</f>
        <v>1.9721965398970775</v>
      </c>
      <c r="I6" s="53">
        <f>'R1'!I28</f>
        <v>0.13734652969189129</v>
      </c>
      <c r="J6" s="53">
        <f>'R1'!J28</f>
        <v>0.13227304719932872</v>
      </c>
      <c r="K6" s="53">
        <f>'R1'!K28</f>
        <v>0.14342657852980073</v>
      </c>
      <c r="L6" s="53">
        <f>'R1'!L28</f>
        <v>0.42750552822348381</v>
      </c>
      <c r="M6" s="53">
        <f>'R1'!M28</f>
        <v>0.12956181786103799</v>
      </c>
      <c r="N6"/>
      <c r="O6" s="53">
        <f>'R1'!O28</f>
        <v>0.42024134097263843</v>
      </c>
      <c r="P6" s="53">
        <f>'R1'!P28</f>
        <v>1.8196900519327286</v>
      </c>
      <c r="Q6" s="53">
        <f>'R1'!Q28</f>
        <v>0.19128255733913721</v>
      </c>
      <c r="R6" s="53">
        <f>'R1'!R28</f>
        <v>1.0451015399974082</v>
      </c>
      <c r="S6" s="53">
        <f>'R1'!S28</f>
        <v>0.69284112037054491</v>
      </c>
      <c r="T6" s="53">
        <f>'R1'!T28</f>
        <v>0.92701297697021623</v>
      </c>
      <c r="U6" s="53">
        <f>'R1'!U28</f>
        <v>0.70603801095938068</v>
      </c>
      <c r="V6" s="53">
        <f>'R1'!V28</f>
        <v>0.43230845047249855</v>
      </c>
    </row>
    <row r="7" spans="1:22" s="1" customFormat="1" x14ac:dyDescent="0.35">
      <c r="A7" s="228" t="s">
        <v>34</v>
      </c>
      <c r="B7" s="53">
        <f>'R1'!B29</f>
        <v>0.11766254155851533</v>
      </c>
      <c r="C7" s="53">
        <f>'R1'!C29</f>
        <v>0.16155508873453275</v>
      </c>
      <c r="D7" s="53">
        <f>'R1'!D29</f>
        <v>8.8067665868893141E-2</v>
      </c>
      <c r="E7" s="53">
        <f>'R1'!E29</f>
        <v>0.1237784438669069</v>
      </c>
      <c r="F7" s="53">
        <f>'R1'!F29</f>
        <v>0.60126746121104357</v>
      </c>
      <c r="G7" s="53">
        <f>'R1'!G29</f>
        <v>1.5126938452519985</v>
      </c>
      <c r="H7" s="53">
        <f>'R1'!H29</f>
        <v>1.538049823559738</v>
      </c>
      <c r="I7" s="53">
        <f>'R1'!I29</f>
        <v>9.0827950257340515E-2</v>
      </c>
      <c r="J7" s="53">
        <f>'R1'!J29</f>
        <v>0.24688584350358253</v>
      </c>
      <c r="K7" s="53">
        <f>'R1'!K29</f>
        <v>0.20074062349856969</v>
      </c>
      <c r="L7" s="53">
        <f>'R1'!L29</f>
        <v>0.22275927132050438</v>
      </c>
      <c r="M7" s="53">
        <f>'R1'!M29</f>
        <v>0.11780754251559604</v>
      </c>
      <c r="N7"/>
      <c r="O7" s="53">
        <f>'R1'!O29</f>
        <v>1.1314519905516998</v>
      </c>
      <c r="P7" s="53">
        <f>'R1'!P29</f>
        <v>1.0043570285254146</v>
      </c>
      <c r="Q7" s="53">
        <f>'R1'!Q29</f>
        <v>3.4661396693449302E-2</v>
      </c>
      <c r="R7" s="53">
        <f>'R1'!R29</f>
        <v>1.4912878805785643</v>
      </c>
      <c r="S7" s="53">
        <f>'R1'!S29</f>
        <v>0.86986809978470803</v>
      </c>
      <c r="T7" s="53">
        <f>'R1'!T29</f>
        <v>0.93670531706403659</v>
      </c>
      <c r="U7" s="53">
        <f>'R1'!U29</f>
        <v>0.55439059956090009</v>
      </c>
      <c r="V7" s="53">
        <f>'R1'!V29</f>
        <v>0.77034268913459203</v>
      </c>
    </row>
    <row r="8" spans="1:22" s="1" customFormat="1" x14ac:dyDescent="0.35">
      <c r="A8" s="229"/>
      <c r="B8" s="53">
        <f>'R1'!B30</f>
        <v>0.13961460436384032</v>
      </c>
      <c r="C8" s="53">
        <f>'R1'!C30</f>
        <v>6.7561067828257798E-2</v>
      </c>
      <c r="D8" s="53">
        <f>'R1'!D30</f>
        <v>0.23909564904947644</v>
      </c>
      <c r="E8" s="53">
        <f>'R1'!E30</f>
        <v>0.32262323395648101</v>
      </c>
      <c r="F8" s="53">
        <f>'R1'!F30</f>
        <v>0.43787962530481228</v>
      </c>
      <c r="G8" s="53">
        <f>'R1'!G30</f>
        <v>1.5054107573788866</v>
      </c>
      <c r="H8" s="53">
        <f>'R1'!H30</f>
        <v>1.5977975761345142</v>
      </c>
      <c r="I8" s="53">
        <f>'R1'!I30</f>
        <v>0.1718372797365971</v>
      </c>
      <c r="J8" s="53">
        <f>'R1'!J30</f>
        <v>7.3390719491029321E-2</v>
      </c>
      <c r="K8" s="53" t="str">
        <f>'R1'!K30</f>
        <v/>
      </c>
      <c r="L8" s="53">
        <f>'R1'!L30</f>
        <v>9.4836541392715565E-2</v>
      </c>
      <c r="M8" s="53">
        <f>'R1'!M30</f>
        <v>0.42780119311034714</v>
      </c>
      <c r="N8"/>
      <c r="O8" s="53">
        <f>'R1'!O30</f>
        <v>0.90120594469026416</v>
      </c>
      <c r="P8" s="53">
        <f>'R1'!P30</f>
        <v>1.6979080764674179</v>
      </c>
      <c r="Q8" s="53">
        <f>'R1'!Q30</f>
        <v>0.11902230426499011</v>
      </c>
      <c r="R8" s="53">
        <f>'R1'!R30</f>
        <v>1.4797184273485655</v>
      </c>
      <c r="S8" s="53">
        <f>'R1'!S30</f>
        <v>1.3046793317022214</v>
      </c>
      <c r="T8" s="53">
        <f>'R1'!T30</f>
        <v>1.0070252625550387</v>
      </c>
      <c r="U8" s="53">
        <f>'R1'!U30</f>
        <v>0.70070868473831716</v>
      </c>
      <c r="V8" s="53">
        <f>'R1'!V30</f>
        <v>0.20173085018382761</v>
      </c>
    </row>
    <row r="9" spans="1:22" s="1" customFormat="1" x14ac:dyDescent="0.35">
      <c r="A9" s="229"/>
      <c r="B9" s="53">
        <f>'R1'!B31</f>
        <v>0.18260136446667097</v>
      </c>
      <c r="C9" s="53">
        <f>'R1'!C31</f>
        <v>0.15826194386375866</v>
      </c>
      <c r="D9" s="53">
        <f>'R1'!D31</f>
        <v>3.7682935293870713E-2</v>
      </c>
      <c r="E9" s="53">
        <f>'R1'!E31</f>
        <v>7.1951314467829611E-2</v>
      </c>
      <c r="F9" s="53">
        <f>'R1'!F31</f>
        <v>0.86050666486010619</v>
      </c>
      <c r="G9" s="53">
        <f>'R1'!G31</f>
        <v>1.5602759814578133</v>
      </c>
      <c r="H9" s="53">
        <f>'R1'!H31</f>
        <v>2.1157619875026894</v>
      </c>
      <c r="I9" s="53">
        <f>'R1'!I31</f>
        <v>0.18184310324285241</v>
      </c>
      <c r="J9" s="53">
        <f>'R1'!J31</f>
        <v>0.18669284420885487</v>
      </c>
      <c r="K9" s="53">
        <f>'R1'!K31</f>
        <v>0.21565483761167653</v>
      </c>
      <c r="L9" s="53">
        <f>'R1'!L31</f>
        <v>0.60796924673979869</v>
      </c>
      <c r="M9" s="53">
        <f>'R1'!M31</f>
        <v>2.2633242674595946E-2</v>
      </c>
      <c r="N9"/>
      <c r="O9" s="53">
        <f>'R1'!O31</f>
        <v>1.3721671055143627</v>
      </c>
      <c r="P9" s="53">
        <f>'R1'!P31</f>
        <v>1.2894423281451057</v>
      </c>
      <c r="Q9" s="53">
        <f>'R1'!Q31</f>
        <v>0.18493259751569671</v>
      </c>
      <c r="R9" s="53">
        <f>'R1'!R31</f>
        <v>1.6419498265172434</v>
      </c>
      <c r="S9" s="53">
        <f>'R1'!S31</f>
        <v>1.4826253719090254</v>
      </c>
      <c r="T9" s="53">
        <f>'R1'!T31</f>
        <v>0.98496780353165658</v>
      </c>
      <c r="U9" s="53">
        <f>'R1'!U31</f>
        <v>1.1693690915702888</v>
      </c>
      <c r="V9" s="53">
        <f>'R1'!V31</f>
        <v>0.27524330555300303</v>
      </c>
    </row>
    <row r="10" spans="1:22" s="1" customFormat="1" x14ac:dyDescent="0.35">
      <c r="A10" s="229"/>
      <c r="B10" s="53">
        <f>'R1'!B32</f>
        <v>0.13485619235886481</v>
      </c>
      <c r="C10" s="53">
        <f>'R1'!C32</f>
        <v>0.10797020146469498</v>
      </c>
      <c r="D10" s="53">
        <f>'R1'!D32</f>
        <v>0.19125215042201804</v>
      </c>
      <c r="E10" s="53">
        <f>'R1'!E32</f>
        <v>2.4306705212844597E-2</v>
      </c>
      <c r="F10" s="53">
        <f>'R1'!F32</f>
        <v>1.2303992369378738</v>
      </c>
      <c r="G10" s="53">
        <f>'R1'!G32</f>
        <v>1.2448545338427872</v>
      </c>
      <c r="H10" s="53">
        <f>'R1'!H32</f>
        <v>1.676466222253612</v>
      </c>
      <c r="I10" s="53">
        <f>'R1'!I32</f>
        <v>0.24176853609488738</v>
      </c>
      <c r="J10" s="53">
        <f>'R1'!J32</f>
        <v>0.13290895935687422</v>
      </c>
      <c r="K10" s="53">
        <f>'R1'!K32</f>
        <v>0.27954518096251324</v>
      </c>
      <c r="L10" s="53">
        <f>'R1'!L32</f>
        <v>7.9796840132921237E-2</v>
      </c>
      <c r="M10" s="53">
        <f>'R1'!M32</f>
        <v>0.14804222591086441</v>
      </c>
      <c r="N10"/>
      <c r="O10" s="53">
        <f>'R1'!O32</f>
        <v>0.39871735561970989</v>
      </c>
      <c r="P10" s="53">
        <f>'R1'!P32</f>
        <v>1.8193951084436615</v>
      </c>
      <c r="Q10" s="53">
        <f>'R1'!Q32</f>
        <v>0.20570268610147499</v>
      </c>
      <c r="R10" s="53">
        <f>'R1'!R32</f>
        <v>1.6301278119187175</v>
      </c>
      <c r="S10" s="53">
        <f>'R1'!S32</f>
        <v>1.2188555376092074</v>
      </c>
      <c r="T10" s="53">
        <f>'R1'!T32</f>
        <v>1.3899156554997196</v>
      </c>
      <c r="U10" s="53">
        <f>'R1'!U32</f>
        <v>0.35391195167210077</v>
      </c>
      <c r="V10" s="53">
        <f>'R1'!V32</f>
        <v>6.4367764412508438E-2</v>
      </c>
    </row>
    <row r="11" spans="1:22" s="1" customFormat="1" x14ac:dyDescent="0.35">
      <c r="A11" s="229"/>
      <c r="B11" s="53">
        <f>'R1'!B33</f>
        <v>0.19231942239193375</v>
      </c>
      <c r="C11" s="53">
        <f>'R1'!C33</f>
        <v>4.6274494490131581E-2</v>
      </c>
      <c r="D11" s="53">
        <f>'R1'!D33</f>
        <v>0.16207698397035386</v>
      </c>
      <c r="E11" s="53">
        <f>'R1'!E33</f>
        <v>0.48140242004027389</v>
      </c>
      <c r="F11" s="53">
        <f>'R1'!F33</f>
        <v>1.37950952835623</v>
      </c>
      <c r="G11" s="53">
        <f>'R1'!G33</f>
        <v>1.1976454685073916</v>
      </c>
      <c r="H11" s="53">
        <f>'R1'!H33</f>
        <v>1.4139674187313089</v>
      </c>
      <c r="I11" s="53">
        <f>'R1'!I33</f>
        <v>0.16780895837148993</v>
      </c>
      <c r="J11" s="53">
        <f>'R1'!J33</f>
        <v>7.3858726311457734E-2</v>
      </c>
      <c r="K11" s="53">
        <f>'R1'!K33</f>
        <v>1.5506337424409544E-2</v>
      </c>
      <c r="L11" s="53">
        <f>'R1'!L33</f>
        <v>0.11058227467586758</v>
      </c>
      <c r="M11" s="53">
        <f>'R1'!M33</f>
        <v>0.16734798517957661</v>
      </c>
      <c r="N11"/>
      <c r="O11" s="53">
        <f>'R1'!O33</f>
        <v>1.2188415785618465</v>
      </c>
      <c r="P11" s="53">
        <f>'R1'!P33</f>
        <v>1.8072662833623176</v>
      </c>
      <c r="Q11" s="53">
        <f>'R1'!Q33</f>
        <v>0.15350115124605498</v>
      </c>
      <c r="R11" s="53">
        <f>'R1'!R33</f>
        <v>1.2446532638575856</v>
      </c>
      <c r="S11" s="53">
        <f>'R1'!S33</f>
        <v>1.441859867761156</v>
      </c>
      <c r="T11" s="53">
        <f>'R1'!T33</f>
        <v>0.33117342098911712</v>
      </c>
      <c r="U11" s="53">
        <f>'R1'!U33</f>
        <v>1.0340844971300192</v>
      </c>
      <c r="V11" s="53">
        <f>'R1'!V33</f>
        <v>0.2825762420138474</v>
      </c>
    </row>
    <row r="12" spans="1:22" s="1" customFormat="1" x14ac:dyDescent="0.35">
      <c r="A12" s="229"/>
      <c r="B12" s="53">
        <f>'R1'!B34</f>
        <v>0.21862270421604418</v>
      </c>
      <c r="C12" s="53">
        <f>'R1'!C34</f>
        <v>0.13037642025275709</v>
      </c>
      <c r="D12" s="53">
        <f>'R1'!D34</f>
        <v>0.13677788787886208</v>
      </c>
      <c r="E12" s="53">
        <f>'R1'!E34</f>
        <v>5.1543944694092042E-2</v>
      </c>
      <c r="F12" s="53">
        <f>'R1'!F34</f>
        <v>0.53337703921882951</v>
      </c>
      <c r="G12" s="53">
        <f>'R1'!G34</f>
        <v>1.0974574900511522</v>
      </c>
      <c r="H12" s="53">
        <f>'R1'!H34</f>
        <v>1.252065842635155</v>
      </c>
      <c r="I12" s="53">
        <f>'R1'!I34</f>
        <v>0.14837060618779546</v>
      </c>
      <c r="J12" s="53">
        <f>'R1'!J34</f>
        <v>0.10149850576310836</v>
      </c>
      <c r="K12" s="53">
        <f>'R1'!K34</f>
        <v>0.53094048209152622</v>
      </c>
      <c r="L12" s="53">
        <f>'R1'!L34</f>
        <v>0.25987742427955673</v>
      </c>
      <c r="M12" s="53">
        <f>'R1'!M34</f>
        <v>0.12306685708051678</v>
      </c>
      <c r="N12"/>
      <c r="O12" s="53">
        <f>'R1'!O34</f>
        <v>1.0465292583763059</v>
      </c>
      <c r="P12" s="53">
        <f>'R1'!P34</f>
        <v>1.3965559418663298</v>
      </c>
      <c r="Q12" s="53">
        <f>'R1'!Q34</f>
        <v>0.13233234609819455</v>
      </c>
      <c r="R12" s="53">
        <f>'R1'!R34</f>
        <v>1.2059356277043076</v>
      </c>
      <c r="S12" s="53">
        <f>'R1'!S34</f>
        <v>1.2787202648366733</v>
      </c>
      <c r="T12" s="53">
        <f>'R1'!T34</f>
        <v>0.6247199592931455</v>
      </c>
      <c r="U12" s="53">
        <f>'R1'!U34</f>
        <v>0.65164328252328019</v>
      </c>
      <c r="V12" s="53">
        <f>'R1'!V34</f>
        <v>0.31718389457146334</v>
      </c>
    </row>
    <row r="13" spans="1:22" s="1" customFormat="1" x14ac:dyDescent="0.35">
      <c r="A13" s="229"/>
      <c r="B13" s="53">
        <f>'R1'!B35</f>
        <v>8.6664042176395922E-2</v>
      </c>
      <c r="C13" s="53">
        <f>'R1'!C35</f>
        <v>6.5290143635012898E-2</v>
      </c>
      <c r="D13" s="53">
        <f>'R1'!D35</f>
        <v>9.9027574030805615E-2</v>
      </c>
      <c r="E13" s="53">
        <f>'R1'!E35</f>
        <v>0.22028761819040524</v>
      </c>
      <c r="F13" s="53">
        <f>'R1'!F35</f>
        <v>0.57617666873326845</v>
      </c>
      <c r="G13" s="53">
        <f>'R1'!G35</f>
        <v>0.52478941164055914</v>
      </c>
      <c r="H13" s="53">
        <f>'R1'!H35</f>
        <v>2.0335918928991008</v>
      </c>
      <c r="I13" s="53">
        <f>'R1'!I35</f>
        <v>0.13645964324097076</v>
      </c>
      <c r="J13" s="53">
        <f>'R1'!J35</f>
        <v>0.1219830290311732</v>
      </c>
      <c r="K13" s="53">
        <f>'R1'!K35</f>
        <v>0.31387199335798227</v>
      </c>
      <c r="L13" s="53">
        <f>'R1'!L35</f>
        <v>0.10867093121424895</v>
      </c>
      <c r="M13" s="53">
        <f>'R1'!M35</f>
        <v>0.23829749452751578</v>
      </c>
      <c r="N13"/>
      <c r="O13" s="53">
        <f>'R1'!O35</f>
        <v>1.0553813503867444</v>
      </c>
      <c r="P13" s="53">
        <f>'R1'!P35</f>
        <v>1.1198216152777931</v>
      </c>
      <c r="Q13" s="53">
        <f>'R1'!Q35</f>
        <v>7.8266106148694572E-2</v>
      </c>
      <c r="R13" s="53">
        <f>'R1'!R35</f>
        <v>1.0452396155356434</v>
      </c>
      <c r="S13" s="53">
        <f>'R1'!S35</f>
        <v>1.7435701763681675</v>
      </c>
      <c r="T13" s="53">
        <f>'R1'!T35</f>
        <v>0.55739828732363017</v>
      </c>
      <c r="U13" s="53">
        <f>'R1'!U35</f>
        <v>8.9222226972175842E-2</v>
      </c>
      <c r="V13" s="53">
        <f>'R1'!V35</f>
        <v>0.27311806764474544</v>
      </c>
    </row>
    <row r="14" spans="1:22" s="1" customFormat="1" x14ac:dyDescent="0.3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0.48962245937137772</v>
      </c>
      <c r="P14" s="53" t="str">
        <f>'R1'!P36</f>
        <v/>
      </c>
      <c r="Q14" s="53" t="str">
        <f>'R1'!Q36</f>
        <v/>
      </c>
      <c r="R14" s="53" t="str">
        <f>'R1'!R36</f>
        <v/>
      </c>
      <c r="S14" s="53" t="str">
        <f>'R1'!S36</f>
        <v/>
      </c>
      <c r="T14" s="53" t="str">
        <f>'R1'!T36</f>
        <v/>
      </c>
      <c r="U14" s="53" t="str">
        <f>'R1'!U36</f>
        <v/>
      </c>
      <c r="V14" s="53" t="str">
        <f>'R1'!V36</f>
        <v/>
      </c>
    </row>
    <row r="15" spans="1:22" s="1" customFormat="1" x14ac:dyDescent="0.3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0.61059686607348429</v>
      </c>
      <c r="P15" s="53" t="str">
        <f>'R1'!P37</f>
        <v/>
      </c>
      <c r="Q15" s="53" t="str">
        <f>'R1'!Q37</f>
        <v/>
      </c>
      <c r="R15" s="53" t="str">
        <f>'R1'!R37</f>
        <v/>
      </c>
      <c r="S15" s="53" t="str">
        <f>'R1'!S37</f>
        <v/>
      </c>
      <c r="T15" s="53" t="str">
        <f>'R1'!T37</f>
        <v/>
      </c>
      <c r="U15" s="53" t="str">
        <f>'R1'!U37</f>
        <v/>
      </c>
      <c r="V15" s="53" t="str">
        <f>'R1'!V37</f>
        <v/>
      </c>
    </row>
    <row r="16" spans="1:22" s="1" customFormat="1" x14ac:dyDescent="0.3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1.6279087562270353</v>
      </c>
      <c r="P16" s="53" t="str">
        <f>'R1'!P38</f>
        <v/>
      </c>
      <c r="Q16" s="53" t="str">
        <f>'R1'!Q38</f>
        <v/>
      </c>
      <c r="R16" s="53" t="str">
        <f>'R1'!R38</f>
        <v/>
      </c>
      <c r="S16" s="53" t="str">
        <f>'R1'!S38</f>
        <v/>
      </c>
      <c r="T16" s="53" t="str">
        <f>'R1'!T38</f>
        <v/>
      </c>
      <c r="U16" s="53" t="str">
        <f>'R1'!U38</f>
        <v/>
      </c>
      <c r="V16" s="53" t="str">
        <f>'R1'!V38</f>
        <v/>
      </c>
    </row>
    <row r="17" spans="1:22" s="1" customFormat="1" x14ac:dyDescent="0.3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1.4825036360308794</v>
      </c>
      <c r="P17" s="53" t="str">
        <f>'R1'!P39</f>
        <v/>
      </c>
      <c r="Q17" s="53" t="str">
        <f>'R1'!Q39</f>
        <v/>
      </c>
      <c r="R17" s="53" t="str">
        <f>'R1'!R39</f>
        <v/>
      </c>
      <c r="S17" s="53" t="str">
        <f>'R1'!S39</f>
        <v/>
      </c>
      <c r="T17" s="53" t="str">
        <f>'R1'!T39</f>
        <v/>
      </c>
      <c r="U17" s="53" t="str">
        <f>'R1'!U39</f>
        <v/>
      </c>
      <c r="V17" s="53" t="str">
        <f>'R1'!V39</f>
        <v/>
      </c>
    </row>
    <row r="18" spans="1:22" s="1" customFormat="1" x14ac:dyDescent="0.3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0.55403480616770495</v>
      </c>
      <c r="P18" s="53" t="str">
        <f>'R1'!P40</f>
        <v/>
      </c>
      <c r="Q18" s="53" t="str">
        <f>'R1'!Q40</f>
        <v/>
      </c>
      <c r="R18" s="53" t="str">
        <f>'R1'!R40</f>
        <v/>
      </c>
      <c r="S18" s="53" t="str">
        <f>'R1'!S40</f>
        <v/>
      </c>
      <c r="T18" s="53" t="str">
        <f>'R1'!T40</f>
        <v/>
      </c>
      <c r="U18" s="53" t="str">
        <f>'R1'!U40</f>
        <v/>
      </c>
      <c r="V18" s="53" t="str">
        <f>'R1'!V40</f>
        <v/>
      </c>
    </row>
    <row r="19" spans="1:22" s="1" customFormat="1" x14ac:dyDescent="0.3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1.2155085043230405</v>
      </c>
      <c r="P19" s="53" t="str">
        <f>'R1'!P41</f>
        <v/>
      </c>
      <c r="Q19" s="53" t="str">
        <f>'R1'!Q41</f>
        <v/>
      </c>
      <c r="R19" s="53" t="str">
        <f>'R1'!R41</f>
        <v/>
      </c>
      <c r="S19" s="53" t="str">
        <f>'R1'!S41</f>
        <v/>
      </c>
      <c r="T19" s="53" t="str">
        <f>'R1'!T41</f>
        <v/>
      </c>
      <c r="U19" s="53" t="str">
        <f>'R1'!U41</f>
        <v/>
      </c>
      <c r="V19" s="53" t="str">
        <f>'R1'!V41</f>
        <v/>
      </c>
    </row>
    <row r="20" spans="1:22" s="1" customFormat="1" x14ac:dyDescent="0.3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1.3267743394809073</v>
      </c>
      <c r="P20" s="53" t="str">
        <f>'R1'!P42</f>
        <v/>
      </c>
      <c r="Q20" s="53" t="str">
        <f>'R1'!Q42</f>
        <v/>
      </c>
      <c r="R20" s="53" t="str">
        <f>'R1'!R42</f>
        <v/>
      </c>
      <c r="S20" s="53" t="str">
        <f>'R1'!S42</f>
        <v/>
      </c>
      <c r="T20" s="53" t="str">
        <f>'R1'!T42</f>
        <v/>
      </c>
      <c r="U20" s="53" t="str">
        <f>'R1'!U42</f>
        <v/>
      </c>
      <c r="V20" s="53" t="str">
        <f>'R1'!V42</f>
        <v/>
      </c>
    </row>
    <row r="21" spans="1:22" s="1" customFormat="1" x14ac:dyDescent="0.3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1.1485147076519988</v>
      </c>
      <c r="P21" s="53" t="str">
        <f>'R1'!P43</f>
        <v/>
      </c>
      <c r="Q21" s="53" t="str">
        <f>'R1'!Q43</f>
        <v/>
      </c>
      <c r="R21" s="53" t="str">
        <f>'R1'!R43</f>
        <v/>
      </c>
      <c r="S21" s="53" t="str">
        <f>'R1'!S43</f>
        <v/>
      </c>
      <c r="T21" s="53" t="str">
        <f>'R1'!T43</f>
        <v/>
      </c>
      <c r="U21" s="53" t="str">
        <f>'R1'!U43</f>
        <v/>
      </c>
      <c r="V21" s="53" t="str">
        <f>'R1'!V43</f>
        <v/>
      </c>
    </row>
    <row r="22" spans="1:22" x14ac:dyDescent="0.35">
      <c r="A22" s="39" t="s">
        <v>5</v>
      </c>
      <c r="B22" s="54">
        <f>'R2'!B28</f>
        <v>0.29117460731548478</v>
      </c>
      <c r="C22" s="54" t="str">
        <f>'R2'!C28</f>
        <v/>
      </c>
      <c r="D22" s="54">
        <f>'R2'!D28</f>
        <v>3.8894191231639057E-2</v>
      </c>
      <c r="E22" s="54">
        <f>'R2'!E28</f>
        <v>1.9046815229415124</v>
      </c>
      <c r="F22" s="54">
        <f>'R2'!F28</f>
        <v>2.3694460817087664</v>
      </c>
      <c r="G22" s="54">
        <f>'R2'!G28</f>
        <v>0.3459894579804666</v>
      </c>
      <c r="H22" s="54">
        <f>'R2'!H28</f>
        <v>4.4351064284110153</v>
      </c>
      <c r="I22" s="54">
        <f>'R2'!I28</f>
        <v>8.4442542730490899E-2</v>
      </c>
      <c r="J22" s="54">
        <f>'R2'!J28</f>
        <v>0.39878102655707132</v>
      </c>
      <c r="K22" s="54">
        <f>'R2'!K28</f>
        <v>0.21515118197321317</v>
      </c>
      <c r="L22" s="54">
        <f>'R2'!L28</f>
        <v>0.63127602668839433</v>
      </c>
      <c r="M22" s="54">
        <f>'R2'!M28</f>
        <v>0.73419749973471882</v>
      </c>
      <c r="O22" s="54">
        <f>'R2'!O28</f>
        <v>1.1770768431512768</v>
      </c>
      <c r="P22" s="54" t="str">
        <f>'R2'!P28</f>
        <v/>
      </c>
      <c r="Q22" s="54" t="str">
        <f>'R2'!Q28</f>
        <v/>
      </c>
      <c r="R22" s="54">
        <f>'R2'!R28</f>
        <v>1.8222843954055379</v>
      </c>
      <c r="S22" s="54">
        <f>'R2'!S28</f>
        <v>0.9936455641482127</v>
      </c>
      <c r="T22" s="54">
        <f>'R2'!T28</f>
        <v>1.08466005846597</v>
      </c>
      <c r="U22" s="54">
        <f>'R2'!U28</f>
        <v>1.0754446235375759</v>
      </c>
      <c r="V22" s="54">
        <f>'R2'!V28</f>
        <v>1.2186855017573053</v>
      </c>
    </row>
    <row r="23" spans="1:22" x14ac:dyDescent="0.35">
      <c r="A23" s="228" t="s">
        <v>34</v>
      </c>
      <c r="B23" s="54">
        <f>'R2'!B29</f>
        <v>0.2407089120069065</v>
      </c>
      <c r="C23" s="54">
        <f>'R2'!C29</f>
        <v>6.173650532925145E-2</v>
      </c>
      <c r="D23" s="54">
        <f>'R2'!D29</f>
        <v>5.4863543498488591E-2</v>
      </c>
      <c r="E23" s="54">
        <f>'R2'!E29</f>
        <v>1.5113174160184581</v>
      </c>
      <c r="F23" s="54">
        <f>'R2'!F29</f>
        <v>1.2912008297764728</v>
      </c>
      <c r="G23" s="54">
        <f>'R2'!G29</f>
        <v>3.0233250687612365</v>
      </c>
      <c r="H23" s="54" t="str">
        <f>'R2'!H29</f>
        <v/>
      </c>
      <c r="I23" s="54">
        <f>'R2'!I29</f>
        <v>0.358731170997722</v>
      </c>
      <c r="J23" s="54">
        <f>'R2'!J29</f>
        <v>0.46115338440698639</v>
      </c>
      <c r="K23" s="54">
        <f>'R2'!K29</f>
        <v>0.12045690066615589</v>
      </c>
      <c r="L23" s="54">
        <f>'R2'!L29</f>
        <v>1.2289789770483062</v>
      </c>
      <c r="M23" s="54">
        <f>'R2'!M29</f>
        <v>0.23628387171516771</v>
      </c>
      <c r="O23" s="54">
        <f>'R2'!O29</f>
        <v>2.4155929756350756</v>
      </c>
      <c r="P23" s="54">
        <f>'R2'!P29</f>
        <v>3.0207402381513786</v>
      </c>
      <c r="Q23" s="54">
        <f>'R2'!Q29</f>
        <v>5.592308690810751E-2</v>
      </c>
      <c r="R23" s="54">
        <f>'R2'!R29</f>
        <v>3.3760515280633236</v>
      </c>
      <c r="S23" s="54">
        <f>'R2'!S29</f>
        <v>2.3469319699564792</v>
      </c>
      <c r="T23" s="54">
        <f>'R2'!T29</f>
        <v>2.0920044343783544</v>
      </c>
      <c r="U23" s="54">
        <f>'R2'!U29</f>
        <v>1.9035328147328745</v>
      </c>
      <c r="V23" s="54">
        <f>'R2'!V29</f>
        <v>1.093817789224786</v>
      </c>
    </row>
    <row r="24" spans="1:22" x14ac:dyDescent="0.35">
      <c r="A24" s="229"/>
      <c r="B24" s="54">
        <f>'R2'!B30</f>
        <v>0.34886581321690441</v>
      </c>
      <c r="C24" s="54">
        <f>'R2'!C30</f>
        <v>0.2654118298627709</v>
      </c>
      <c r="D24" s="54">
        <f>'R2'!D30</f>
        <v>0.20617114843797393</v>
      </c>
      <c r="E24" s="54">
        <f>'R2'!E30</f>
        <v>7.7535116491596598E-2</v>
      </c>
      <c r="F24" s="54" t="str">
        <f>'R2'!F30</f>
        <v/>
      </c>
      <c r="G24" s="54">
        <f>'R2'!G30</f>
        <v>1.5996373627573515</v>
      </c>
      <c r="H24" s="54">
        <f>'R2'!H30</f>
        <v>3.459502191451536</v>
      </c>
      <c r="I24" s="54">
        <f>'R2'!I30</f>
        <v>4.4455924617254299E-4</v>
      </c>
      <c r="J24" s="54">
        <f>'R2'!J30</f>
        <v>6.1722909278337207E-2</v>
      </c>
      <c r="K24" s="54">
        <f>'R2'!K30</f>
        <v>5.623800938974894E-2</v>
      </c>
      <c r="L24" s="54">
        <f>'R2'!L30</f>
        <v>1.0736014100770048</v>
      </c>
      <c r="M24" s="54">
        <f>'R2'!M30</f>
        <v>0.43861872048471245</v>
      </c>
      <c r="O24" s="54">
        <f>'R2'!O30</f>
        <v>0.66231170049160359</v>
      </c>
      <c r="P24" s="54">
        <f>'R2'!P30</f>
        <v>0.88507477385340705</v>
      </c>
      <c r="Q24" s="54">
        <f>'R2'!Q30</f>
        <v>0.13542077753981291</v>
      </c>
      <c r="R24" s="54">
        <f>'R2'!R30</f>
        <v>1.3755200594870438</v>
      </c>
      <c r="S24" s="54">
        <f>'R2'!S30</f>
        <v>0.82897367353449214</v>
      </c>
      <c r="T24" s="54">
        <f>'R2'!T30</f>
        <v>2.3423905727638932</v>
      </c>
      <c r="U24" s="54">
        <f>'R2'!U30</f>
        <v>1.1343871404039514</v>
      </c>
      <c r="V24" s="54">
        <f>'R2'!V30</f>
        <v>1.8918032170406534</v>
      </c>
    </row>
    <row r="25" spans="1:22" x14ac:dyDescent="0.35">
      <c r="A25" s="229"/>
      <c r="B25" s="54">
        <f>'R2'!B31</f>
        <v>0.27211389249541407</v>
      </c>
      <c r="C25" s="54">
        <f>'R2'!C31</f>
        <v>1.240623836562736E-2</v>
      </c>
      <c r="D25" s="54">
        <f>'R2'!D31</f>
        <v>0.20100781096286893</v>
      </c>
      <c r="E25" s="54">
        <f>'R2'!E31</f>
        <v>0.31231425317651174</v>
      </c>
      <c r="F25" s="54">
        <f>'R2'!F31</f>
        <v>1.8089065136803884</v>
      </c>
      <c r="G25" s="54">
        <f>'R2'!G31</f>
        <v>1.3352855505850452</v>
      </c>
      <c r="H25" s="54">
        <f>'R2'!H31</f>
        <v>3.1180057540173798</v>
      </c>
      <c r="I25" s="54">
        <f>'R2'!I31</f>
        <v>0.25021508109380375</v>
      </c>
      <c r="J25" s="54">
        <f>'R2'!J31</f>
        <v>0.20797357374580222</v>
      </c>
      <c r="K25" s="54">
        <f>'R2'!K31</f>
        <v>0.14833987159341458</v>
      </c>
      <c r="L25" s="54">
        <f>'R2'!L31</f>
        <v>0.45078528892957248</v>
      </c>
      <c r="M25" s="54">
        <f>'R2'!M31</f>
        <v>0.23096338918647258</v>
      </c>
      <c r="O25" s="54">
        <f>'R2'!O31</f>
        <v>1.7784045639223707</v>
      </c>
      <c r="P25" s="54">
        <f>'R2'!P31</f>
        <v>4.0009396241326396</v>
      </c>
      <c r="Q25" s="54">
        <f>'R2'!Q31</f>
        <v>0.30297914138134946</v>
      </c>
      <c r="R25" s="54">
        <f>'R2'!R31</f>
        <v>0.55394674808389477</v>
      </c>
      <c r="S25" s="54">
        <f>'R2'!S31</f>
        <v>1.3631824337504488</v>
      </c>
      <c r="T25" s="54">
        <f>'R2'!T31</f>
        <v>2.0199064735035308</v>
      </c>
      <c r="U25" s="54">
        <f>'R2'!U31</f>
        <v>1.8146313996769745</v>
      </c>
      <c r="V25" s="54">
        <f>'R2'!V31</f>
        <v>1.1933472056616232</v>
      </c>
    </row>
    <row r="26" spans="1:22" x14ac:dyDescent="0.35">
      <c r="A26" s="229"/>
      <c r="B26" s="54">
        <f>'R2'!B32</f>
        <v>0.24928485826148536</v>
      </c>
      <c r="C26" s="54">
        <f>'R2'!C32</f>
        <v>5.1183756509188418E-2</v>
      </c>
      <c r="D26" s="54">
        <f>'R2'!D32</f>
        <v>9.5179944893203111E-2</v>
      </c>
      <c r="E26" s="54">
        <f>'R2'!E32</f>
        <v>0.59491228186295653</v>
      </c>
      <c r="F26" s="54">
        <f>'R2'!F32</f>
        <v>1.5451500820632336</v>
      </c>
      <c r="G26" s="54">
        <f>'R2'!G32</f>
        <v>2.9933287023848902</v>
      </c>
      <c r="H26" s="54">
        <f>'R2'!H32</f>
        <v>4.6126423965002195</v>
      </c>
      <c r="I26" s="54">
        <f>'R2'!I32</f>
        <v>0.25047530318455763</v>
      </c>
      <c r="J26" s="54">
        <f>'R2'!J32</f>
        <v>0.12486138878790805</v>
      </c>
      <c r="K26" s="54">
        <f>'R2'!K32</f>
        <v>0.20494023154938948</v>
      </c>
      <c r="L26" s="54">
        <f>'R2'!L32</f>
        <v>0.20831205217612064</v>
      </c>
      <c r="M26" s="54">
        <f>'R2'!M32</f>
        <v>2.086854376766933</v>
      </c>
      <c r="O26" s="54">
        <f>'R2'!O32</f>
        <v>0.56226974455402268</v>
      </c>
      <c r="P26" s="54">
        <f>'R2'!P32</f>
        <v>2.6855969507409378</v>
      </c>
      <c r="Q26" s="54">
        <f>'R2'!Q32</f>
        <v>6.9772403794027535E-2</v>
      </c>
      <c r="R26" s="54">
        <f>'R2'!R32</f>
        <v>0.57555087298661978</v>
      </c>
      <c r="S26" s="54">
        <f>'R2'!S32</f>
        <v>1.693278424399401</v>
      </c>
      <c r="T26" s="54">
        <f>'R2'!T32</f>
        <v>1.0460124932741703</v>
      </c>
      <c r="U26" s="54">
        <f>'R2'!U32</f>
        <v>1.3968718669797791</v>
      </c>
      <c r="V26" s="54">
        <f>'R2'!V32</f>
        <v>0.21581422659570523</v>
      </c>
    </row>
    <row r="27" spans="1:22" x14ac:dyDescent="0.35">
      <c r="A27" s="229"/>
      <c r="B27" s="54">
        <f>'R2'!B33</f>
        <v>9.3442496061255667E-2</v>
      </c>
      <c r="C27" s="54">
        <f>'R2'!C33</f>
        <v>0.52948270968072131</v>
      </c>
      <c r="D27" s="54">
        <f>'R2'!D33</f>
        <v>0.1632765563652431</v>
      </c>
      <c r="E27" s="54">
        <f>'R2'!E33</f>
        <v>0.50192130116694589</v>
      </c>
      <c r="F27" s="54">
        <f>'R2'!F33</f>
        <v>1.4374513361503225</v>
      </c>
      <c r="G27" s="54">
        <f>'R2'!G33</f>
        <v>2.6021668395227122</v>
      </c>
      <c r="H27" s="54">
        <f>'R2'!H33</f>
        <v>2.4139276174916966</v>
      </c>
      <c r="I27" s="54">
        <f>'R2'!I33</f>
        <v>9.9871214833076524E-2</v>
      </c>
      <c r="J27" s="54">
        <f>'R2'!J33</f>
        <v>0.11267426817306131</v>
      </c>
      <c r="K27" s="54">
        <f>'R2'!K33</f>
        <v>0.14787476017725537</v>
      </c>
      <c r="L27" s="54">
        <f>'R2'!L33</f>
        <v>9.5959346416542593E-2</v>
      </c>
      <c r="M27" s="54">
        <f>'R2'!M33</f>
        <v>0.98266153594566086</v>
      </c>
      <c r="O27" s="54">
        <f>'R2'!O33</f>
        <v>0.46408760190661735</v>
      </c>
      <c r="P27" s="54">
        <f>'R2'!P33</f>
        <v>4.0994844335335019</v>
      </c>
      <c r="Q27" s="54">
        <f>'R2'!Q33</f>
        <v>0.39214710227261462</v>
      </c>
      <c r="R27" s="54">
        <f>'R2'!R33</f>
        <v>0.24806058130474279</v>
      </c>
      <c r="S27" s="54">
        <f>'R2'!S33</f>
        <v>0</v>
      </c>
      <c r="T27" s="54">
        <f>'R2'!T33</f>
        <v>3.0658506703358994</v>
      </c>
      <c r="U27" s="54">
        <f>'R2'!U33</f>
        <v>2.9871940377374933</v>
      </c>
      <c r="V27" s="54">
        <f>'R2'!V33</f>
        <v>2.5490815330089136</v>
      </c>
    </row>
    <row r="28" spans="1:22" x14ac:dyDescent="0.35">
      <c r="A28" s="229"/>
      <c r="B28" s="54">
        <f>'R2'!B34</f>
        <v>5.8624590606043643E-2</v>
      </c>
      <c r="C28" s="54">
        <f>'R2'!C34</f>
        <v>0.24895001598431843</v>
      </c>
      <c r="D28" s="54">
        <f>'R2'!D34</f>
        <v>0.27889832190161906</v>
      </c>
      <c r="E28" s="54">
        <f>'R2'!E34</f>
        <v>0.12769252925037528</v>
      </c>
      <c r="F28" s="54">
        <f>'R2'!F34</f>
        <v>0.76649159871557149</v>
      </c>
      <c r="G28" s="54">
        <f>'R2'!G34</f>
        <v>1.7369391381317876</v>
      </c>
      <c r="H28" s="54">
        <f>'R2'!H34</f>
        <v>3.8508218317417655</v>
      </c>
      <c r="I28" s="54">
        <f>'R2'!I34</f>
        <v>0.34469056083731092</v>
      </c>
      <c r="J28" s="54">
        <f>'R2'!J34</f>
        <v>0.11906852253675074</v>
      </c>
      <c r="K28" s="54">
        <f>'R2'!K34</f>
        <v>0.18813677736831294</v>
      </c>
      <c r="L28" s="54">
        <f>'R2'!L34</f>
        <v>0.12419138804634358</v>
      </c>
      <c r="M28" s="54">
        <f>'R2'!M34</f>
        <v>0.15531591046134119</v>
      </c>
      <c r="O28" s="54">
        <f>'R2'!O34</f>
        <v>5.1655507857189434E-2</v>
      </c>
      <c r="P28" s="54">
        <f>'R2'!P34</f>
        <v>2.9455645107742479</v>
      </c>
      <c r="Q28" s="54">
        <f>'R2'!Q34</f>
        <v>0.12617419816920847</v>
      </c>
      <c r="R28" s="54">
        <f>'R2'!R34</f>
        <v>2.4509544069396263</v>
      </c>
      <c r="S28" s="54">
        <f>'R2'!S34</f>
        <v>3.3298945161456368</v>
      </c>
      <c r="T28" s="54">
        <f>'R2'!T34</f>
        <v>1.2352021741202603</v>
      </c>
      <c r="U28" s="54">
        <f>'R2'!U34</f>
        <v>1.828972387706421</v>
      </c>
      <c r="V28" s="54">
        <f>'R2'!V34</f>
        <v>2.0247966252114287</v>
      </c>
    </row>
    <row r="29" spans="1:22" x14ac:dyDescent="0.35">
      <c r="A29" s="229"/>
      <c r="B29" s="54">
        <f>'R2'!B35</f>
        <v>4.7306036313555365E-2</v>
      </c>
      <c r="C29" s="54">
        <f>'R2'!C35</f>
        <v>7.5804307591490983E-2</v>
      </c>
      <c r="D29" s="54">
        <f>'R2'!D35</f>
        <v>0.46143384248049635</v>
      </c>
      <c r="E29" s="54">
        <f>'R2'!E35</f>
        <v>0.46252121036640487</v>
      </c>
      <c r="F29" s="54">
        <f>'R2'!F35</f>
        <v>2.6892214049648895</v>
      </c>
      <c r="G29" s="54">
        <f>'R2'!G35</f>
        <v>2.3640977747037821</v>
      </c>
      <c r="H29" s="54">
        <f>'R2'!H35</f>
        <v>3.4408996319285521</v>
      </c>
      <c r="I29" s="54">
        <f>'R2'!I35</f>
        <v>5.0294638016843328E-2</v>
      </c>
      <c r="J29" s="54">
        <f>'R2'!J35</f>
        <v>0.22618263826034962</v>
      </c>
      <c r="K29" s="54">
        <f>'R2'!K35</f>
        <v>6.6592192629017971E-2</v>
      </c>
      <c r="L29" s="54">
        <f>'R2'!L35</f>
        <v>0.59926902571289353</v>
      </c>
      <c r="M29" s="54">
        <f>'R2'!M35</f>
        <v>0.32220332499962162</v>
      </c>
      <c r="O29" s="54">
        <f>'R2'!O35</f>
        <v>1.4461888540797192</v>
      </c>
      <c r="P29" s="54">
        <f>'R2'!P35</f>
        <v>2.6390500799679657</v>
      </c>
      <c r="Q29" s="54">
        <f>'R2'!Q35</f>
        <v>7.0511017164624309E-2</v>
      </c>
      <c r="R29" s="54">
        <f>'R2'!R35</f>
        <v>1.7900516367474146</v>
      </c>
      <c r="S29" s="54">
        <f>'R2'!S35</f>
        <v>2.1598550521850157</v>
      </c>
      <c r="T29" s="54">
        <f>'R2'!T35</f>
        <v>2.780126814688102</v>
      </c>
      <c r="U29" s="54">
        <f>'R2'!U35</f>
        <v>2.8872270181735562</v>
      </c>
      <c r="V29" s="54">
        <f>'R2'!V35</f>
        <v>2.2695675945693869</v>
      </c>
    </row>
    <row r="30" spans="1:22" x14ac:dyDescent="0.3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6.6445323660421149E-2</v>
      </c>
      <c r="P30" s="54" t="str">
        <f>'R2'!P36</f>
        <v/>
      </c>
      <c r="Q30" s="54" t="str">
        <f>'R2'!Q36</f>
        <v/>
      </c>
      <c r="R30" s="54" t="str">
        <f>'R2'!R36</f>
        <v/>
      </c>
      <c r="S30" s="54" t="str">
        <f>'R2'!S36</f>
        <v/>
      </c>
      <c r="T30" s="54" t="str">
        <f>'R2'!T36</f>
        <v/>
      </c>
      <c r="U30" s="54" t="str">
        <f>'R2'!U36</f>
        <v/>
      </c>
      <c r="V30" s="54" t="str">
        <f>'R2'!V36</f>
        <v/>
      </c>
    </row>
    <row r="31" spans="1:22" s="1" customFormat="1" x14ac:dyDescent="0.3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0.48277173773508669</v>
      </c>
      <c r="P31" s="54" t="str">
        <f>'R2'!P37</f>
        <v/>
      </c>
      <c r="Q31" s="54" t="str">
        <f>'R2'!Q37</f>
        <v/>
      </c>
      <c r="R31" s="54" t="str">
        <f>'R2'!R37</f>
        <v/>
      </c>
      <c r="S31" s="54" t="str">
        <f>'R2'!S37</f>
        <v/>
      </c>
      <c r="T31" s="54" t="str">
        <f>'R2'!T37</f>
        <v/>
      </c>
      <c r="U31" s="54" t="str">
        <f>'R2'!U37</f>
        <v/>
      </c>
      <c r="V31" s="54" t="str">
        <f>'R2'!V37</f>
        <v/>
      </c>
    </row>
    <row r="32" spans="1:22" s="1" customFormat="1" x14ac:dyDescent="0.3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0.9411006216114477</v>
      </c>
      <c r="P32" s="54" t="str">
        <f>'R2'!P38</f>
        <v/>
      </c>
      <c r="Q32" s="54" t="str">
        <f>'R2'!Q38</f>
        <v/>
      </c>
      <c r="R32" s="54" t="str">
        <f>'R2'!R38</f>
        <v/>
      </c>
      <c r="S32" s="54" t="str">
        <f>'R2'!S38</f>
        <v/>
      </c>
      <c r="T32" s="54" t="str">
        <f>'R2'!T38</f>
        <v/>
      </c>
      <c r="U32" s="54" t="str">
        <f>'R2'!U38</f>
        <v/>
      </c>
      <c r="V32" s="54" t="str">
        <f>'R2'!V38</f>
        <v/>
      </c>
    </row>
    <row r="33" spans="1:22" s="1" customFormat="1" x14ac:dyDescent="0.3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1.1150328457403023</v>
      </c>
      <c r="P33" s="54" t="str">
        <f>'R2'!P39</f>
        <v/>
      </c>
      <c r="Q33" s="54" t="str">
        <f>'R2'!Q39</f>
        <v/>
      </c>
      <c r="R33" s="54" t="str">
        <f>'R2'!R39</f>
        <v/>
      </c>
      <c r="S33" s="54" t="str">
        <f>'R2'!S39</f>
        <v/>
      </c>
      <c r="T33" s="54" t="str">
        <f>'R2'!T39</f>
        <v/>
      </c>
      <c r="U33" s="54" t="str">
        <f>'R2'!U39</f>
        <v/>
      </c>
      <c r="V33" s="54" t="str">
        <f>'R2'!V39</f>
        <v/>
      </c>
    </row>
    <row r="34" spans="1:22" s="1" customFormat="1" x14ac:dyDescent="0.3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1.8554881650487223</v>
      </c>
      <c r="P34" s="54" t="str">
        <f>'R2'!P40</f>
        <v/>
      </c>
      <c r="Q34" s="54" t="str">
        <f>'R2'!Q40</f>
        <v/>
      </c>
      <c r="R34" s="54" t="str">
        <f>'R2'!R40</f>
        <v/>
      </c>
      <c r="S34" s="54" t="str">
        <f>'R2'!S40</f>
        <v/>
      </c>
      <c r="T34" s="54" t="str">
        <f>'R2'!T40</f>
        <v/>
      </c>
      <c r="U34" s="54" t="str">
        <f>'R2'!U40</f>
        <v/>
      </c>
      <c r="V34" s="54" t="str">
        <f>'R2'!V40</f>
        <v/>
      </c>
    </row>
    <row r="35" spans="1:22" s="1" customFormat="1" x14ac:dyDescent="0.3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t="str">
        <f>'R2'!O41</f>
        <v/>
      </c>
      <c r="P35" s="54" t="str">
        <f>'R2'!P41</f>
        <v/>
      </c>
      <c r="Q35" s="54" t="str">
        <f>'R2'!Q41</f>
        <v/>
      </c>
      <c r="R35" s="54" t="str">
        <f>'R2'!R41</f>
        <v/>
      </c>
      <c r="S35" s="54" t="str">
        <f>'R2'!S41</f>
        <v/>
      </c>
      <c r="T35" s="54" t="str">
        <f>'R2'!T41</f>
        <v/>
      </c>
      <c r="U35" s="54" t="str">
        <f>'R2'!U41</f>
        <v/>
      </c>
      <c r="V35" s="54" t="str">
        <f>'R2'!V41</f>
        <v/>
      </c>
    </row>
    <row r="36" spans="1:22" x14ac:dyDescent="0.3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1.4833111320712795</v>
      </c>
      <c r="P36" s="54" t="str">
        <f>'R2'!P42</f>
        <v/>
      </c>
      <c r="Q36" s="54" t="str">
        <f>'R2'!Q42</f>
        <v/>
      </c>
      <c r="R36" s="54" t="str">
        <f>'R2'!R42</f>
        <v/>
      </c>
      <c r="S36" s="54" t="str">
        <f>'R2'!S42</f>
        <v/>
      </c>
      <c r="T36" s="54" t="str">
        <f>'R2'!T42</f>
        <v/>
      </c>
      <c r="U36" s="54" t="str">
        <f>'R2'!U42</f>
        <v/>
      </c>
      <c r="V36" s="54" t="str">
        <f>'R2'!V42</f>
        <v/>
      </c>
    </row>
    <row r="37" spans="1:22" x14ac:dyDescent="0.3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0.49826238253486282</v>
      </c>
      <c r="P37" s="54" t="str">
        <f>'R2'!P43</f>
        <v/>
      </c>
      <c r="Q37" s="54" t="str">
        <f>'R2'!Q43</f>
        <v/>
      </c>
      <c r="R37" s="54" t="str">
        <f>'R2'!R43</f>
        <v/>
      </c>
      <c r="S37" s="54" t="str">
        <f>'R2'!S43</f>
        <v/>
      </c>
      <c r="T37" s="54" t="str">
        <f>'R2'!T43</f>
        <v/>
      </c>
      <c r="U37" s="54" t="str">
        <f>'R2'!U43</f>
        <v/>
      </c>
      <c r="V37" s="54" t="str">
        <f>'R2'!V43</f>
        <v/>
      </c>
    </row>
    <row r="38" spans="1:22" s="1" customFormat="1" x14ac:dyDescent="0.35">
      <c r="A38" s="155" t="s">
        <v>116</v>
      </c>
      <c r="B38" s="156">
        <f>'R3'!B28</f>
        <v>2.1491637117019096E-3</v>
      </c>
      <c r="C38" s="156">
        <f>'R3'!C28</f>
        <v>2.8938827886737566E-2</v>
      </c>
      <c r="D38" s="156">
        <f>'R3'!D28</f>
        <v>1.2593108736452701E-2</v>
      </c>
      <c r="E38" s="156">
        <f>'R3'!E28</f>
        <v>0.64833408153478367</v>
      </c>
      <c r="F38" s="156">
        <f>'R3'!F28</f>
        <v>0.46159101041620615</v>
      </c>
      <c r="G38" s="156">
        <f>'R3'!G28</f>
        <v>2.073871470003763</v>
      </c>
      <c r="H38" s="156">
        <f>'R3'!H28</f>
        <v>3.3399846094565806</v>
      </c>
      <c r="I38" s="156">
        <f>'R3'!I28</f>
        <v>0.13228244789859112</v>
      </c>
      <c r="J38" s="156">
        <f>'R3'!J28</f>
        <v>0.13904983705515089</v>
      </c>
      <c r="K38" s="156">
        <f>'R3'!K28</f>
        <v>5.0708159346704647E-2</v>
      </c>
      <c r="L38" s="156">
        <f>'R3'!L28</f>
        <v>0.68585666869989648</v>
      </c>
      <c r="M38" s="156">
        <f>'R3'!M28</f>
        <v>0.15718965216359521</v>
      </c>
      <c r="N38"/>
      <c r="O38" s="156">
        <f>'R3'!O28</f>
        <v>1.5190040288454572</v>
      </c>
      <c r="P38" s="156">
        <f>'R3'!P28</f>
        <v>1.8851089235605596</v>
      </c>
      <c r="Q38" s="156">
        <f>'R3'!Q28</f>
        <v>3.9902698784195188E-2</v>
      </c>
      <c r="R38" s="156">
        <f>'R3'!R28</f>
        <v>1.6809037873789912</v>
      </c>
      <c r="S38" s="156">
        <f>'R3'!S28</f>
        <v>0.79138388945278848</v>
      </c>
      <c r="T38" s="156">
        <f>'R3'!T28</f>
        <v>1.5563520862150813</v>
      </c>
      <c r="U38" s="156">
        <f>'R3'!U28</f>
        <v>0.84985166402259693</v>
      </c>
      <c r="V38" s="156">
        <f>'R3'!V28</f>
        <v>0.32383742222276335</v>
      </c>
    </row>
    <row r="39" spans="1:22" s="1" customFormat="1" x14ac:dyDescent="0.35">
      <c r="A39" s="228" t="s">
        <v>34</v>
      </c>
      <c r="B39" s="156">
        <f>'R3'!B29</f>
        <v>0.17495564232804992</v>
      </c>
      <c r="C39" s="156">
        <f>'R3'!C29</f>
        <v>7.707007165521515E-2</v>
      </c>
      <c r="D39" s="156">
        <f>'R3'!D29</f>
        <v>0.61406396188509593</v>
      </c>
      <c r="E39" s="156">
        <f>'R3'!E29</f>
        <v>7.7396564001435783E-2</v>
      </c>
      <c r="F39" s="156">
        <f>'R3'!F29</f>
        <v>1.3321305366370519</v>
      </c>
      <c r="G39" s="156" t="str">
        <f>'R3'!G29</f>
        <v/>
      </c>
      <c r="H39" s="156">
        <f>'R3'!H29</f>
        <v>3.6728964575672025</v>
      </c>
      <c r="I39" s="156">
        <f>'R3'!I29</f>
        <v>9.6427345656119531E-2</v>
      </c>
      <c r="J39" s="156">
        <f>'R3'!J29</f>
        <v>7.3089004523358758E-2</v>
      </c>
      <c r="K39" s="156">
        <f>'R3'!K29</f>
        <v>0.21565405630074513</v>
      </c>
      <c r="L39" s="156">
        <f>'R3'!L29</f>
        <v>0.32039845743356954</v>
      </c>
      <c r="M39" s="156">
        <f>'R3'!M29</f>
        <v>0.45939422102563454</v>
      </c>
      <c r="N39"/>
      <c r="O39" s="156">
        <f>'R3'!O29</f>
        <v>2.0704702638297143</v>
      </c>
      <c r="P39" s="156">
        <f>'R3'!P29</f>
        <v>0.96830786445338579</v>
      </c>
      <c r="Q39" s="156">
        <f>'R3'!Q29</f>
        <v>0.18215063681058449</v>
      </c>
      <c r="R39" s="156">
        <f>'R3'!R29</f>
        <v>1.4334614221895965</v>
      </c>
      <c r="S39" s="156">
        <f>'R3'!S29</f>
        <v>0.14233659505936214</v>
      </c>
      <c r="T39" s="156">
        <f>'R3'!T29</f>
        <v>0.93319440393632835</v>
      </c>
      <c r="U39" s="156">
        <f>'R3'!U29</f>
        <v>1.4368623352825445</v>
      </c>
      <c r="V39" s="156">
        <f>'R3'!V29</f>
        <v>0.56020195681336415</v>
      </c>
    </row>
    <row r="40" spans="1:22" s="1" customFormat="1" x14ac:dyDescent="0.35">
      <c r="A40" s="229"/>
      <c r="B40" s="156">
        <f>'R3'!B30</f>
        <v>2.0349206986347606E-2</v>
      </c>
      <c r="C40" s="156">
        <f>'R3'!C30</f>
        <v>2.9829647892426633E-2</v>
      </c>
      <c r="D40" s="156">
        <f>'R3'!D30</f>
        <v>0.10478250167592017</v>
      </c>
      <c r="E40" s="156">
        <f>'R3'!E30</f>
        <v>7.0363203745957476E-2</v>
      </c>
      <c r="F40" s="156">
        <f>'R3'!F30</f>
        <v>1.7486869981951638</v>
      </c>
      <c r="G40" s="156">
        <f>'R3'!G30</f>
        <v>2.3878926292258531</v>
      </c>
      <c r="H40" s="156">
        <f>'R3'!H30</f>
        <v>2.1401014975265817</v>
      </c>
      <c r="I40" s="156">
        <f>'R3'!I30</f>
        <v>6.7085824336969802E-2</v>
      </c>
      <c r="J40" s="156">
        <f>'R3'!J30</f>
        <v>0.20412263385171098</v>
      </c>
      <c r="K40" s="156">
        <f>'R3'!K30</f>
        <v>0.11681128275290444</v>
      </c>
      <c r="L40" s="156">
        <f>'R3'!L30</f>
        <v>0.5313484155269409</v>
      </c>
      <c r="M40" s="156">
        <f>'R3'!M30</f>
        <v>2.4431680179058876E-2</v>
      </c>
      <c r="N40"/>
      <c r="O40" s="156">
        <f>'R3'!O30</f>
        <v>0.41493030107067475</v>
      </c>
      <c r="P40" s="156">
        <f>'R3'!P30</f>
        <v>2.3288356151030141</v>
      </c>
      <c r="Q40" s="156">
        <f>'R3'!Q30</f>
        <v>2.9842250379758312E-2</v>
      </c>
      <c r="R40" s="156">
        <f>'R3'!R30</f>
        <v>1.2752120864594376</v>
      </c>
      <c r="S40" s="156">
        <f>'R3'!S30</f>
        <v>0.845876751593856</v>
      </c>
      <c r="T40" s="156">
        <f>'R3'!T30</f>
        <v>1.6670650839644077</v>
      </c>
      <c r="U40" s="156">
        <f>'R3'!U30</f>
        <v>1.0028731167715152</v>
      </c>
      <c r="V40" s="156">
        <f>'R3'!V30</f>
        <v>0.94670046030157573</v>
      </c>
    </row>
    <row r="41" spans="1:22" s="1" customFormat="1" x14ac:dyDescent="0.35">
      <c r="A41" s="229"/>
      <c r="B41" s="156">
        <f>'R3'!B31</f>
        <v>0.16338948976857848</v>
      </c>
      <c r="C41" s="156">
        <f>'R3'!C31</f>
        <v>4.4267409076915856E-2</v>
      </c>
      <c r="D41" s="156">
        <f>'R3'!D31</f>
        <v>0.16616584703585682</v>
      </c>
      <c r="E41" s="156">
        <f>'R3'!E31</f>
        <v>5.3968540051849589E-2</v>
      </c>
      <c r="F41" s="156">
        <f>'R3'!F31</f>
        <v>0.24201274471714754</v>
      </c>
      <c r="G41" s="156">
        <f>'R3'!G31</f>
        <v>2.1219805861491352</v>
      </c>
      <c r="H41" s="156">
        <f>'R3'!H31</f>
        <v>2.9096656455700765</v>
      </c>
      <c r="I41" s="156">
        <f>'R3'!I31</f>
        <v>0.17433538502519089</v>
      </c>
      <c r="J41" s="156">
        <f>'R3'!J31</f>
        <v>2.974406821101153E-2</v>
      </c>
      <c r="K41" s="156">
        <f>'R3'!K31</f>
        <v>6.1551720452309867E-2</v>
      </c>
      <c r="L41" s="156">
        <f>'R3'!L31</f>
        <v>0.34206931364368909</v>
      </c>
      <c r="M41" s="156">
        <f>'R3'!M31</f>
        <v>0.48281784875870964</v>
      </c>
      <c r="N41"/>
      <c r="O41" s="156">
        <f>'R3'!O31</f>
        <v>0.75011513965805976</v>
      </c>
      <c r="P41" s="156">
        <f>'R3'!P31</f>
        <v>1.5323261768199923</v>
      </c>
      <c r="Q41" s="156">
        <f>'R3'!Q31</f>
        <v>0.10349558256258551</v>
      </c>
      <c r="R41" s="156">
        <f>'R3'!R31</f>
        <v>0.69504227001863439</v>
      </c>
      <c r="S41" s="156">
        <f>'R3'!S31</f>
        <v>1.8106663239734486</v>
      </c>
      <c r="T41" s="156">
        <f>'R3'!T31</f>
        <v>2.0319876895191387</v>
      </c>
      <c r="U41" s="156">
        <f>'R3'!U31</f>
        <v>1.1520719127235257</v>
      </c>
      <c r="V41" s="156">
        <f>'R3'!V31</f>
        <v>0.35222178951375727</v>
      </c>
    </row>
    <row r="42" spans="1:22" s="1" customFormat="1" x14ac:dyDescent="0.35">
      <c r="A42" s="229"/>
      <c r="B42" s="156">
        <f>'R3'!B32</f>
        <v>4.134495088092028E-2</v>
      </c>
      <c r="C42" s="156">
        <f>'R3'!C32</f>
        <v>5.7062890313427223E-4</v>
      </c>
      <c r="D42" s="156">
        <f>'R3'!D32</f>
        <v>9.1488782568156485E-2</v>
      </c>
      <c r="E42" s="156">
        <f>'R3'!E32</f>
        <v>0.18795745265947988</v>
      </c>
      <c r="F42" s="156">
        <f>'R3'!F32</f>
        <v>1.5228867672680164</v>
      </c>
      <c r="G42" s="156">
        <f>'R3'!G32</f>
        <v>0.65986535744326746</v>
      </c>
      <c r="H42" s="156">
        <f>'R3'!H32</f>
        <v>2.3139698089708989</v>
      </c>
      <c r="I42" s="156">
        <f>'R3'!I32</f>
        <v>0.21717851764622687</v>
      </c>
      <c r="J42" s="156">
        <f>'R3'!J32</f>
        <v>6.3932711314694472E-3</v>
      </c>
      <c r="K42" s="156">
        <f>'R3'!K32</f>
        <v>0.21955877580585961</v>
      </c>
      <c r="L42" s="156">
        <f>'R3'!L32</f>
        <v>0.43511367300085552</v>
      </c>
      <c r="M42" s="156">
        <f>'R3'!M32</f>
        <v>0.28237206385629043</v>
      </c>
      <c r="N42"/>
      <c r="O42" s="156">
        <f>'R3'!O32</f>
        <v>1.3846138882109185</v>
      </c>
      <c r="P42" s="156">
        <f>'R3'!P32</f>
        <v>2.4834577302836056</v>
      </c>
      <c r="Q42" s="156">
        <f>'R3'!Q32</f>
        <v>0.25276115215871359</v>
      </c>
      <c r="R42" s="156">
        <f>'R3'!R32</f>
        <v>1.9358012565278244</v>
      </c>
      <c r="S42" s="156">
        <f>'R3'!S32</f>
        <v>0.73212733594719748</v>
      </c>
      <c r="T42" s="156">
        <f>'R3'!T32</f>
        <v>0.43881685040236346</v>
      </c>
      <c r="U42" s="156">
        <f>'R3'!U32</f>
        <v>0.97334446316954526</v>
      </c>
      <c r="V42" s="156">
        <f>'R3'!V32</f>
        <v>1.0822126619302848</v>
      </c>
    </row>
    <row r="43" spans="1:22" s="1" customFormat="1" x14ac:dyDescent="0.35">
      <c r="A43" s="229"/>
      <c r="B43" s="156">
        <f>'R3'!B33</f>
        <v>8.4090975963912143E-2</v>
      </c>
      <c r="C43" s="156" t="str">
        <f>'R3'!C33</f>
        <v/>
      </c>
      <c r="D43" s="156">
        <f>'R3'!D33</f>
        <v>5.4613318473470236E-2</v>
      </c>
      <c r="E43" s="156">
        <f>'R3'!E33</f>
        <v>0.23388267498271265</v>
      </c>
      <c r="F43" s="156">
        <f>'R3'!F33</f>
        <v>0.1923919162541759</v>
      </c>
      <c r="G43" s="156">
        <f>'R3'!G33</f>
        <v>1.1574001271349181</v>
      </c>
      <c r="H43" s="156" t="str">
        <f>'R3'!H33</f>
        <v/>
      </c>
      <c r="I43" s="156">
        <f>'R3'!I33</f>
        <v>0.13912882241179944</v>
      </c>
      <c r="J43" s="156">
        <f>'R3'!J33</f>
        <v>0.16864809741854594</v>
      </c>
      <c r="K43" s="156">
        <f>'R3'!K33</f>
        <v>9.3306276167524738E-2</v>
      </c>
      <c r="L43" s="156">
        <f>'R3'!L33</f>
        <v>0.33823713171100694</v>
      </c>
      <c r="M43" s="156">
        <f>'R3'!M33</f>
        <v>0.34768914375031451</v>
      </c>
      <c r="N43"/>
      <c r="O43" s="156">
        <f>'R3'!O33</f>
        <v>1.1012051965013225</v>
      </c>
      <c r="P43" s="156" t="str">
        <f>'R3'!P33</f>
        <v/>
      </c>
      <c r="Q43" s="156">
        <f>'R3'!Q33</f>
        <v>0.21712151337213359</v>
      </c>
      <c r="R43" s="156">
        <f>'R3'!R33</f>
        <v>0.41167827317690081</v>
      </c>
      <c r="S43" s="156">
        <f>'R3'!S33</f>
        <v>1.8612222765351707</v>
      </c>
      <c r="T43" s="156">
        <f>'R3'!T33</f>
        <v>1.13192244050733</v>
      </c>
      <c r="U43" s="156">
        <f>'R3'!U33</f>
        <v>1.3161395921592087</v>
      </c>
      <c r="V43" s="156">
        <f>'R3'!V33</f>
        <v>0.19616387002065666</v>
      </c>
    </row>
    <row r="44" spans="1:22" s="1" customFormat="1" x14ac:dyDescent="0.35">
      <c r="A44" s="229"/>
      <c r="B44" s="156">
        <f>'R3'!B34</f>
        <v>0.11897319549248839</v>
      </c>
      <c r="C44" s="156">
        <f>'R3'!C34</f>
        <v>5.2844671724224759E-2</v>
      </c>
      <c r="D44" s="156">
        <f>'R3'!D34</f>
        <v>0.14337410215596991</v>
      </c>
      <c r="E44" s="156">
        <f>'R3'!E34</f>
        <v>0.41057511591372803</v>
      </c>
      <c r="F44" s="156">
        <f>'R3'!F34</f>
        <v>0.92243349170113087</v>
      </c>
      <c r="G44" s="156">
        <f>'R3'!G34</f>
        <v>1.6038503724996678</v>
      </c>
      <c r="H44" s="156">
        <f>'R3'!H34</f>
        <v>1.8817267676580585</v>
      </c>
      <c r="I44" s="156">
        <f>'R3'!I34</f>
        <v>0.13014603321477125</v>
      </c>
      <c r="J44" s="156">
        <f>'R3'!J34</f>
        <v>0.26310036953680116</v>
      </c>
      <c r="K44" s="156">
        <f>'R3'!K34</f>
        <v>0.65708562974333062</v>
      </c>
      <c r="L44" s="156">
        <f>'R3'!L34</f>
        <v>0.88456213802614148</v>
      </c>
      <c r="M44" s="156">
        <f>'R3'!M34</f>
        <v>0.30919382041185672</v>
      </c>
      <c r="N44"/>
      <c r="O44" s="156">
        <f>'R3'!O34</f>
        <v>1.0883207651507374</v>
      </c>
      <c r="P44" s="156">
        <f>'R3'!P34</f>
        <v>1.3784615297442544</v>
      </c>
      <c r="Q44" s="156">
        <f>'R3'!Q34</f>
        <v>7.892380961737451E-3</v>
      </c>
      <c r="R44" s="156">
        <f>'R3'!R34</f>
        <v>0.75987444723148967</v>
      </c>
      <c r="S44" s="156">
        <f>'R3'!S34</f>
        <v>1.8535455544167252</v>
      </c>
      <c r="T44" s="156">
        <f>'R3'!T34</f>
        <v>1.983735989418258</v>
      </c>
      <c r="U44" s="156">
        <f>'R3'!U34</f>
        <v>2.1426370886696051</v>
      </c>
      <c r="V44" s="156">
        <f>'R3'!V34</f>
        <v>0.57537310460559665</v>
      </c>
    </row>
    <row r="45" spans="1:22" s="1" customFormat="1" x14ac:dyDescent="0.35">
      <c r="A45" s="229"/>
      <c r="B45" s="156">
        <f>'R3'!B35</f>
        <v>0.30350101311114791</v>
      </c>
      <c r="C45" s="156">
        <f>'R3'!C35</f>
        <v>0.11222163271536838</v>
      </c>
      <c r="D45" s="156">
        <f>'R3'!D35</f>
        <v>4.6281218166927554E-2</v>
      </c>
      <c r="E45" s="156">
        <f>'R3'!E35</f>
        <v>0.28429599474207623</v>
      </c>
      <c r="F45" s="156">
        <f>'R3'!F35</f>
        <v>0.9523454953828645</v>
      </c>
      <c r="G45" s="156">
        <f>'R3'!G35</f>
        <v>1.5821181646457942</v>
      </c>
      <c r="H45" s="156" t="str">
        <f>'R3'!H35</f>
        <v/>
      </c>
      <c r="I45" s="156">
        <f>'R3'!I35</f>
        <v>0.16287278778797973</v>
      </c>
      <c r="J45" s="156">
        <f>'R3'!J35</f>
        <v>0.14476770278997272</v>
      </c>
      <c r="K45" s="156">
        <f>'R3'!K35</f>
        <v>0.19700677126637531</v>
      </c>
      <c r="L45" s="156">
        <f>'R3'!L35</f>
        <v>1.0733916535008632</v>
      </c>
      <c r="M45" s="156">
        <f>'R3'!M35</f>
        <v>0.93205036185960277</v>
      </c>
      <c r="N45"/>
      <c r="O45" s="156">
        <f>'R3'!O35</f>
        <v>1.2368791788976381</v>
      </c>
      <c r="P45" s="156">
        <f>'R3'!P35</f>
        <v>0.90274987189455624</v>
      </c>
      <c r="Q45" s="156">
        <f>'R3'!Q35</f>
        <v>0.10846257451732001</v>
      </c>
      <c r="R45" s="156">
        <f>'R3'!R35</f>
        <v>1.6234899324474319</v>
      </c>
      <c r="S45" s="156">
        <f>'R3'!S35</f>
        <v>0.84630465000093147</v>
      </c>
      <c r="T45" s="156">
        <f>'R3'!T35</f>
        <v>1.81782028710188</v>
      </c>
      <c r="U45" s="156">
        <f>'R3'!U35</f>
        <v>0.14731311214987058</v>
      </c>
      <c r="V45" s="156">
        <f>'R3'!V35</f>
        <v>1.2727819068189794</v>
      </c>
    </row>
    <row r="46" spans="1:22" s="1" customFormat="1" x14ac:dyDescent="0.35">
      <c r="A46" s="229"/>
      <c r="B46" s="156" t="str">
        <f>'R3'!B36</f>
        <v/>
      </c>
      <c r="C46" s="156" t="str">
        <f>'R3'!C36</f>
        <v/>
      </c>
      <c r="D46" s="156" t="str">
        <f>'R3'!D36</f>
        <v/>
      </c>
      <c r="E46" s="156" t="str">
        <f>'R3'!E36</f>
        <v/>
      </c>
      <c r="F46" s="156" t="str">
        <f>'R3'!F36</f>
        <v/>
      </c>
      <c r="G46" s="156" t="str">
        <f>'R3'!G36</f>
        <v/>
      </c>
      <c r="H46" s="156" t="str">
        <f>'R3'!H36</f>
        <v/>
      </c>
      <c r="I46" s="156" t="str">
        <f>'R3'!I36</f>
        <v/>
      </c>
      <c r="J46" s="156" t="str">
        <f>'R3'!J36</f>
        <v/>
      </c>
      <c r="K46" s="156" t="str">
        <f>'R3'!K36</f>
        <v/>
      </c>
      <c r="L46" s="156" t="str">
        <f>'R3'!L36</f>
        <v/>
      </c>
      <c r="M46" s="156" t="str">
        <f>'R3'!M36</f>
        <v/>
      </c>
      <c r="N46"/>
      <c r="O46" s="156">
        <f>'R3'!O36</f>
        <v>1.3173887038105483</v>
      </c>
      <c r="P46" s="156" t="str">
        <f>'R3'!P36</f>
        <v/>
      </c>
      <c r="Q46" s="156" t="str">
        <f>'R3'!Q36</f>
        <v/>
      </c>
      <c r="R46" s="156" t="str">
        <f>'R3'!R36</f>
        <v/>
      </c>
      <c r="S46" s="156" t="str">
        <f>'R3'!S36</f>
        <v/>
      </c>
      <c r="T46" s="156" t="str">
        <f>'R3'!T36</f>
        <v/>
      </c>
      <c r="U46" s="156" t="str">
        <f>'R3'!U36</f>
        <v/>
      </c>
      <c r="V46" s="156" t="str">
        <f>'R3'!V36</f>
        <v/>
      </c>
    </row>
    <row r="47" spans="1:22" s="1" customFormat="1" x14ac:dyDescent="0.35">
      <c r="A47" s="229"/>
      <c r="B47" s="156" t="str">
        <f>'R3'!B37</f>
        <v/>
      </c>
      <c r="C47" s="156" t="str">
        <f>'R3'!C37</f>
        <v/>
      </c>
      <c r="D47" s="156" t="str">
        <f>'R3'!D37</f>
        <v/>
      </c>
      <c r="E47" s="156" t="str">
        <f>'R3'!E37</f>
        <v/>
      </c>
      <c r="F47" s="156" t="str">
        <f>'R3'!F37</f>
        <v/>
      </c>
      <c r="G47" s="156" t="str">
        <f>'R3'!G37</f>
        <v/>
      </c>
      <c r="H47" s="156" t="str">
        <f>'R3'!H37</f>
        <v/>
      </c>
      <c r="I47" s="156" t="str">
        <f>'R3'!I37</f>
        <v/>
      </c>
      <c r="J47" s="156" t="str">
        <f>'R3'!J37</f>
        <v/>
      </c>
      <c r="K47" s="156" t="str">
        <f>'R3'!K37</f>
        <v/>
      </c>
      <c r="L47" s="156" t="str">
        <f>'R3'!L37</f>
        <v/>
      </c>
      <c r="M47" s="156" t="str">
        <f>'R3'!M37</f>
        <v/>
      </c>
      <c r="N47"/>
      <c r="O47" s="156">
        <f>'R3'!O37</f>
        <v>1.3234932900577923</v>
      </c>
      <c r="P47" s="156" t="str">
        <f>'R3'!P37</f>
        <v/>
      </c>
      <c r="Q47" s="156" t="str">
        <f>'R3'!Q37</f>
        <v/>
      </c>
      <c r="R47" s="156" t="str">
        <f>'R3'!R37</f>
        <v/>
      </c>
      <c r="S47" s="156" t="str">
        <f>'R3'!S37</f>
        <v/>
      </c>
      <c r="T47" s="156" t="str">
        <f>'R3'!T37</f>
        <v/>
      </c>
      <c r="U47" s="156" t="str">
        <f>'R3'!U37</f>
        <v/>
      </c>
      <c r="V47" s="156" t="str">
        <f>'R3'!V37</f>
        <v/>
      </c>
    </row>
    <row r="48" spans="1:22" s="1" customFormat="1" x14ac:dyDescent="0.35">
      <c r="A48" s="229"/>
      <c r="B48" s="156" t="str">
        <f>'R3'!B38</f>
        <v/>
      </c>
      <c r="C48" s="156" t="str">
        <f>'R3'!C38</f>
        <v/>
      </c>
      <c r="D48" s="156" t="str">
        <f>'R3'!D38</f>
        <v/>
      </c>
      <c r="E48" s="156" t="str">
        <f>'R3'!E38</f>
        <v/>
      </c>
      <c r="F48" s="156" t="str">
        <f>'R3'!F38</f>
        <v/>
      </c>
      <c r="G48" s="156" t="str">
        <f>'R3'!G38</f>
        <v/>
      </c>
      <c r="H48" s="156" t="str">
        <f>'R3'!H38</f>
        <v/>
      </c>
      <c r="I48" s="156" t="str">
        <f>'R3'!I38</f>
        <v/>
      </c>
      <c r="J48" s="156" t="str">
        <f>'R3'!J38</f>
        <v/>
      </c>
      <c r="K48" s="156" t="str">
        <f>'R3'!K38</f>
        <v/>
      </c>
      <c r="L48" s="156" t="str">
        <f>'R3'!L38</f>
        <v/>
      </c>
      <c r="M48" s="156" t="str">
        <f>'R3'!M38</f>
        <v/>
      </c>
      <c r="N48"/>
      <c r="O48" s="156">
        <f>'R3'!O38</f>
        <v>0.53133595958015967</v>
      </c>
      <c r="P48" s="156" t="str">
        <f>'R3'!P38</f>
        <v/>
      </c>
      <c r="Q48" s="156" t="str">
        <f>'R3'!Q38</f>
        <v/>
      </c>
      <c r="R48" s="156" t="str">
        <f>'R3'!R38</f>
        <v/>
      </c>
      <c r="S48" s="156" t="str">
        <f>'R3'!S38</f>
        <v/>
      </c>
      <c r="T48" s="156" t="str">
        <f>'R3'!T38</f>
        <v/>
      </c>
      <c r="U48" s="156" t="str">
        <f>'R3'!U38</f>
        <v/>
      </c>
      <c r="V48" s="156" t="str">
        <f>'R3'!V38</f>
        <v/>
      </c>
    </row>
    <row r="49" spans="1:24" s="1" customFormat="1" x14ac:dyDescent="0.35">
      <c r="A49" s="229"/>
      <c r="B49" s="156" t="str">
        <f>'R3'!B39</f>
        <v/>
      </c>
      <c r="C49" s="156" t="str">
        <f>'R3'!C39</f>
        <v/>
      </c>
      <c r="D49" s="156" t="str">
        <f>'R3'!D39</f>
        <v/>
      </c>
      <c r="E49" s="156" t="str">
        <f>'R3'!E39</f>
        <v/>
      </c>
      <c r="F49" s="156" t="str">
        <f>'R3'!F39</f>
        <v/>
      </c>
      <c r="G49" s="156" t="str">
        <f>'R3'!G39</f>
        <v/>
      </c>
      <c r="H49" s="156" t="str">
        <f>'R3'!H39</f>
        <v/>
      </c>
      <c r="I49" s="156" t="str">
        <f>'R3'!I39</f>
        <v/>
      </c>
      <c r="J49" s="156" t="str">
        <f>'R3'!J39</f>
        <v/>
      </c>
      <c r="K49" s="156" t="str">
        <f>'R3'!K39</f>
        <v/>
      </c>
      <c r="L49" s="156" t="str">
        <f>'R3'!L39</f>
        <v/>
      </c>
      <c r="M49" s="156" t="str">
        <f>'R3'!M39</f>
        <v/>
      </c>
      <c r="N49"/>
      <c r="O49" s="156">
        <f>'R3'!O39</f>
        <v>0.9840039693438879</v>
      </c>
      <c r="P49" s="156" t="str">
        <f>'R3'!P39</f>
        <v/>
      </c>
      <c r="Q49" s="156" t="str">
        <f>'R3'!Q39</f>
        <v/>
      </c>
      <c r="R49" s="156" t="str">
        <f>'R3'!R39</f>
        <v/>
      </c>
      <c r="S49" s="156" t="str">
        <f>'R3'!S39</f>
        <v/>
      </c>
      <c r="T49" s="156" t="str">
        <f>'R3'!T39</f>
        <v/>
      </c>
      <c r="U49" s="156" t="str">
        <f>'R3'!U39</f>
        <v/>
      </c>
      <c r="V49" s="156" t="str">
        <f>'R3'!V39</f>
        <v/>
      </c>
    </row>
    <row r="50" spans="1:24" s="1" customFormat="1" x14ac:dyDescent="0.35">
      <c r="A50" s="229"/>
      <c r="B50" s="156" t="str">
        <f>'R3'!B40</f>
        <v/>
      </c>
      <c r="C50" s="156" t="str">
        <f>'R3'!C40</f>
        <v/>
      </c>
      <c r="D50" s="156" t="str">
        <f>'R3'!D40</f>
        <v/>
      </c>
      <c r="E50" s="156" t="str">
        <f>'R3'!E40</f>
        <v/>
      </c>
      <c r="F50" s="156" t="str">
        <f>'R3'!F40</f>
        <v/>
      </c>
      <c r="G50" s="156" t="str">
        <f>'R3'!G40</f>
        <v/>
      </c>
      <c r="H50" s="156" t="str">
        <f>'R3'!H40</f>
        <v/>
      </c>
      <c r="I50" s="156" t="str">
        <f>'R3'!I40</f>
        <v/>
      </c>
      <c r="J50" s="156" t="str">
        <f>'R3'!J40</f>
        <v/>
      </c>
      <c r="K50" s="156" t="str">
        <f>'R3'!K40</f>
        <v/>
      </c>
      <c r="L50" s="156" t="str">
        <f>'R3'!L40</f>
        <v/>
      </c>
      <c r="M50" s="156" t="str">
        <f>'R3'!M40</f>
        <v/>
      </c>
      <c r="N50"/>
      <c r="O50" s="156">
        <f>'R3'!O40</f>
        <v>1.0953318512425598</v>
      </c>
      <c r="P50" s="156" t="str">
        <f>'R3'!P40</f>
        <v/>
      </c>
      <c r="Q50" s="156" t="str">
        <f>'R3'!Q40</f>
        <v/>
      </c>
      <c r="R50" s="156" t="str">
        <f>'R3'!R40</f>
        <v/>
      </c>
      <c r="S50" s="156" t="str">
        <f>'R3'!S40</f>
        <v/>
      </c>
      <c r="T50" s="156" t="str">
        <f>'R3'!T40</f>
        <v/>
      </c>
      <c r="U50" s="156" t="str">
        <f>'R3'!U40</f>
        <v/>
      </c>
      <c r="V50" s="156" t="str">
        <f>'R3'!V40</f>
        <v/>
      </c>
    </row>
    <row r="51" spans="1:24" s="1" customFormat="1" x14ac:dyDescent="0.35">
      <c r="A51" s="229"/>
      <c r="B51" s="156" t="str">
        <f>'R3'!B41</f>
        <v/>
      </c>
      <c r="C51" s="156" t="str">
        <f>'R3'!C41</f>
        <v/>
      </c>
      <c r="D51" s="156" t="str">
        <f>'R3'!D41</f>
        <v/>
      </c>
      <c r="E51" s="156" t="str">
        <f>'R3'!E41</f>
        <v/>
      </c>
      <c r="F51" s="156" t="str">
        <f>'R3'!F41</f>
        <v/>
      </c>
      <c r="G51" s="156" t="str">
        <f>'R3'!G41</f>
        <v/>
      </c>
      <c r="H51" s="156" t="str">
        <f>'R3'!H41</f>
        <v/>
      </c>
      <c r="I51" s="156" t="str">
        <f>'R3'!I41</f>
        <v/>
      </c>
      <c r="J51" s="156" t="str">
        <f>'R3'!J41</f>
        <v/>
      </c>
      <c r="K51" s="156" t="str">
        <f>'R3'!K41</f>
        <v/>
      </c>
      <c r="L51" s="156" t="str">
        <f>'R3'!L41</f>
        <v/>
      </c>
      <c r="M51" s="156" t="str">
        <f>'R3'!M41</f>
        <v/>
      </c>
      <c r="N51"/>
      <c r="O51" s="156">
        <f>'R3'!O41</f>
        <v>0.56561560436562131</v>
      </c>
      <c r="P51" s="156" t="str">
        <f>'R3'!P41</f>
        <v/>
      </c>
      <c r="Q51" s="156" t="str">
        <f>'R3'!Q41</f>
        <v/>
      </c>
      <c r="R51" s="156" t="str">
        <f>'R3'!R41</f>
        <v/>
      </c>
      <c r="S51" s="156" t="str">
        <f>'R3'!S41</f>
        <v/>
      </c>
      <c r="T51" s="156" t="str">
        <f>'R3'!T41</f>
        <v/>
      </c>
      <c r="U51" s="156" t="str">
        <f>'R3'!U41</f>
        <v/>
      </c>
      <c r="V51" s="156" t="str">
        <f>'R3'!V41</f>
        <v/>
      </c>
    </row>
    <row r="52" spans="1:24" s="1" customFormat="1" x14ac:dyDescent="0.35">
      <c r="A52" s="229"/>
      <c r="B52" s="156" t="str">
        <f>'R3'!B42</f>
        <v/>
      </c>
      <c r="C52" s="156" t="str">
        <f>'R3'!C42</f>
        <v/>
      </c>
      <c r="D52" s="156" t="str">
        <f>'R3'!D42</f>
        <v/>
      </c>
      <c r="E52" s="156" t="str">
        <f>'R3'!E42</f>
        <v/>
      </c>
      <c r="F52" s="156" t="str">
        <f>'R3'!F42</f>
        <v/>
      </c>
      <c r="G52" s="156" t="str">
        <f>'R3'!G42</f>
        <v/>
      </c>
      <c r="H52" s="156" t="str">
        <f>'R3'!H42</f>
        <v/>
      </c>
      <c r="I52" s="156" t="str">
        <f>'R3'!I42</f>
        <v/>
      </c>
      <c r="J52" s="156" t="str">
        <f>'R3'!J42</f>
        <v/>
      </c>
      <c r="K52" s="156" t="str">
        <f>'R3'!K42</f>
        <v/>
      </c>
      <c r="L52" s="156" t="str">
        <f>'R3'!L42</f>
        <v/>
      </c>
      <c r="M52" s="156" t="str">
        <f>'R3'!M42</f>
        <v/>
      </c>
      <c r="N52"/>
      <c r="O52" s="156">
        <f>'R3'!O42</f>
        <v>0.47575698772661223</v>
      </c>
      <c r="P52" s="156" t="str">
        <f>'R3'!P42</f>
        <v/>
      </c>
      <c r="Q52" s="156" t="str">
        <f>'R3'!Q42</f>
        <v/>
      </c>
      <c r="R52" s="156" t="str">
        <f>'R3'!R42</f>
        <v/>
      </c>
      <c r="S52" s="156" t="str">
        <f>'R3'!S42</f>
        <v/>
      </c>
      <c r="T52" s="156" t="str">
        <f>'R3'!T42</f>
        <v/>
      </c>
      <c r="U52" s="156" t="str">
        <f>'R3'!U42</f>
        <v/>
      </c>
      <c r="V52" s="156" t="str">
        <f>'R3'!V42</f>
        <v/>
      </c>
    </row>
    <row r="53" spans="1:24" s="1" customFormat="1" x14ac:dyDescent="0.35">
      <c r="A53" s="230"/>
      <c r="B53" s="156" t="str">
        <f>'R3'!B43</f>
        <v/>
      </c>
      <c r="C53" s="156" t="str">
        <f>'R3'!C43</f>
        <v/>
      </c>
      <c r="D53" s="156" t="str">
        <f>'R3'!D43</f>
        <v/>
      </c>
      <c r="E53" s="156" t="str">
        <f>'R3'!E43</f>
        <v/>
      </c>
      <c r="F53" s="156" t="str">
        <f>'R3'!F43</f>
        <v/>
      </c>
      <c r="G53" s="156" t="str">
        <f>'R3'!G43</f>
        <v/>
      </c>
      <c r="H53" s="156" t="str">
        <f>'R3'!H43</f>
        <v/>
      </c>
      <c r="I53" s="156" t="str">
        <f>'R3'!I43</f>
        <v/>
      </c>
      <c r="J53" s="156" t="str">
        <f>'R3'!J43</f>
        <v/>
      </c>
      <c r="K53" s="156" t="str">
        <f>'R3'!K43</f>
        <v/>
      </c>
      <c r="L53" s="156" t="str">
        <f>'R3'!L43</f>
        <v/>
      </c>
      <c r="M53" s="156" t="str">
        <f>'R3'!M43</f>
        <v/>
      </c>
      <c r="N53"/>
      <c r="O53" s="156">
        <f>'R3'!O43</f>
        <v>0.14153487170829701</v>
      </c>
      <c r="P53" s="156" t="str">
        <f>'R3'!P43</f>
        <v/>
      </c>
      <c r="Q53" s="156" t="str">
        <f>'R3'!Q43</f>
        <v/>
      </c>
      <c r="R53" s="156" t="str">
        <f>'R3'!R43</f>
        <v/>
      </c>
      <c r="S53" s="156" t="str">
        <f>'R3'!S43</f>
        <v/>
      </c>
      <c r="T53" s="156" t="str">
        <f>'R3'!T43</f>
        <v/>
      </c>
      <c r="U53" s="156" t="str">
        <f>'R3'!U43</f>
        <v/>
      </c>
      <c r="V53" s="156"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TAM-30.2µg/L</v>
      </c>
      <c r="J55" s="15" t="str">
        <f t="shared" si="0"/>
        <v>TAM-60.4µg/L</v>
      </c>
      <c r="K55" s="15" t="str">
        <f t="shared" si="0"/>
        <v>TAM-121µg/L</v>
      </c>
      <c r="L55" s="15" t="str">
        <f t="shared" si="0"/>
        <v>TAM-242µg/L</v>
      </c>
      <c r="M55" s="15" t="str">
        <f t="shared" si="0"/>
        <v>TAM-483µg/L</v>
      </c>
      <c r="O55" s="15" t="str">
        <f t="shared" ref="O55:V55" si="1">O4</f>
        <v>Testo -30µg/L</v>
      </c>
      <c r="P55" s="15" t="str">
        <f t="shared" si="1"/>
        <v>Testo 30µg/L + EE2 -64ng/L</v>
      </c>
      <c r="Q55" s="15" t="str">
        <f t="shared" si="1"/>
        <v>Testo 30µg/L + FAD-10mg/L</v>
      </c>
      <c r="R55" s="15" t="str">
        <f t="shared" si="1"/>
        <v>TAM-30,2µg/L + Testostérone</v>
      </c>
      <c r="S55" s="15" t="str">
        <f t="shared" si="1"/>
        <v>TAM-60,4µg/L + Testostérone</v>
      </c>
      <c r="T55" s="15" t="str">
        <f t="shared" si="1"/>
        <v>TAM-121µg/L + Testostérone</v>
      </c>
      <c r="U55" s="15" t="str">
        <f t="shared" si="1"/>
        <v>TAM-242µg/L + Testostérone</v>
      </c>
      <c r="V55" s="15" t="str">
        <f t="shared" si="1"/>
        <v>TAM-483µg/L + Testostérone</v>
      </c>
    </row>
    <row r="56" spans="1:24" x14ac:dyDescent="0.35">
      <c r="A56" t="s">
        <v>48</v>
      </c>
      <c r="B56" s="9">
        <f t="shared" ref="B56:V56" si="2">AVERAGE(B6:B53)</f>
        <v>0.15532874593952364</v>
      </c>
      <c r="C56" s="9">
        <f t="shared" si="2"/>
        <v>0.11488728516436537</v>
      </c>
      <c r="D56" s="9">
        <f t="shared" si="2"/>
        <v>0.159028923645889</v>
      </c>
      <c r="E56" s="9">
        <f t="shared" si="2"/>
        <v>0.37020748984331564</v>
      </c>
      <c r="F56" s="9">
        <f t="shared" si="2"/>
        <v>1.1251206317885538</v>
      </c>
      <c r="G56" s="9">
        <f t="shared" si="2"/>
        <v>1.6357170280740028</v>
      </c>
      <c r="H56" s="9">
        <f t="shared" si="2"/>
        <v>2.6280546639002265</v>
      </c>
      <c r="I56" s="9">
        <f t="shared" si="2"/>
        <v>0.15978686840589382</v>
      </c>
      <c r="J56" s="9">
        <f t="shared" si="2"/>
        <v>0.15878434879707071</v>
      </c>
      <c r="K56" s="9">
        <f t="shared" si="2"/>
        <v>0.19387385350690178</v>
      </c>
      <c r="L56" s="9">
        <f t="shared" si="2"/>
        <v>0.45563954269238494</v>
      </c>
      <c r="M56" s="9">
        <f t="shared" si="2"/>
        <v>0.39819982417332245</v>
      </c>
      <c r="N56" s="9"/>
      <c r="O56" s="9">
        <f t="shared" si="2"/>
        <v>1</v>
      </c>
      <c r="P56" s="9">
        <f t="shared" si="2"/>
        <v>1.9868243071379188</v>
      </c>
      <c r="Q56" s="9">
        <f t="shared" si="2"/>
        <v>0.13888076792106369</v>
      </c>
      <c r="R56" s="9">
        <f t="shared" si="2"/>
        <v>1.366329070746106</v>
      </c>
      <c r="S56" s="9">
        <f t="shared" si="2"/>
        <v>1.318010199226703</v>
      </c>
      <c r="T56" s="9">
        <f t="shared" si="2"/>
        <v>1.4160819669092304</v>
      </c>
      <c r="U56" s="9">
        <f t="shared" si="2"/>
        <v>1.221196788292646</v>
      </c>
      <c r="V56" s="9">
        <f t="shared" si="2"/>
        <v>0.84930325538680274</v>
      </c>
    </row>
    <row r="57" spans="1:24" x14ac:dyDescent="0.35">
      <c r="A57" t="s">
        <v>1</v>
      </c>
      <c r="B57" s="3">
        <f>STDEV(B6:B53)</f>
        <v>9.4871535266648613E-2</v>
      </c>
      <c r="C57" s="3">
        <f t="shared" ref="C57:V57" si="3">STDEV(C6:C53)</f>
        <v>0.1175772425161706</v>
      </c>
      <c r="D57" s="3">
        <f t="shared" si="3"/>
        <v>0.13693435449202795</v>
      </c>
      <c r="E57" s="3">
        <f t="shared" si="3"/>
        <v>0.4549584766653369</v>
      </c>
      <c r="F57" s="3">
        <f t="shared" si="3"/>
        <v>0.64700886626012899</v>
      </c>
      <c r="G57" s="3">
        <f t="shared" si="3"/>
        <v>0.71171811867590662</v>
      </c>
      <c r="H57" s="3">
        <f t="shared" si="3"/>
        <v>1.0118571609080538</v>
      </c>
      <c r="I57" s="3">
        <f t="shared" si="3"/>
        <v>8.5554506047837875E-2</v>
      </c>
      <c r="J57" s="3">
        <f t="shared" si="3"/>
        <v>0.10635360121160894</v>
      </c>
      <c r="K57" s="3">
        <f t="shared" si="3"/>
        <v>0.14852812116182107</v>
      </c>
      <c r="L57" s="3">
        <f t="shared" si="3"/>
        <v>0.33808846939945808</v>
      </c>
      <c r="M57" s="3">
        <f t="shared" si="3"/>
        <v>0.44006230019861253</v>
      </c>
      <c r="N57" s="3"/>
      <c r="O57" s="3">
        <f t="shared" si="3"/>
        <v>0.52568916724047476</v>
      </c>
      <c r="P57" s="3">
        <f t="shared" si="3"/>
        <v>0.93915604117341533</v>
      </c>
      <c r="Q57" s="3">
        <f t="shared" si="3"/>
        <v>9.3924687867147277E-2</v>
      </c>
      <c r="R57" s="3">
        <f t="shared" si="3"/>
        <v>0.68498015189699679</v>
      </c>
      <c r="S57" s="3">
        <f t="shared" si="3"/>
        <v>0.72648687440568904</v>
      </c>
      <c r="T57" s="3">
        <f t="shared" si="3"/>
        <v>0.72590196800445983</v>
      </c>
      <c r="U57" s="3">
        <f t="shared" si="3"/>
        <v>0.74679963122354787</v>
      </c>
      <c r="V57" s="3">
        <f t="shared" si="3"/>
        <v>0.72001904434434016</v>
      </c>
      <c r="W57" s="3"/>
      <c r="X57" s="3"/>
    </row>
    <row r="58" spans="1:24" x14ac:dyDescent="0.35">
      <c r="A58" t="s">
        <v>2</v>
      </c>
      <c r="B58" s="3">
        <f xml:space="preserve"> B57/SQRT(COUNT(B6:B53))</f>
        <v>1.9365571043145693E-2</v>
      </c>
      <c r="C58" s="3">
        <f t="shared" ref="C58:V58" si="4" xml:space="preserve"> C57/SQRT(COUNT(C6:C53))</f>
        <v>2.5067552331564907E-2</v>
      </c>
      <c r="D58" s="3">
        <f t="shared" si="4"/>
        <v>2.7951608063571508E-2</v>
      </c>
      <c r="E58" s="3">
        <f t="shared" si="4"/>
        <v>9.2868010165333553E-2</v>
      </c>
      <c r="F58" s="3">
        <f t="shared" si="4"/>
        <v>0.13491067463796305</v>
      </c>
      <c r="G58" s="3">
        <f t="shared" si="4"/>
        <v>0.14840348648951027</v>
      </c>
      <c r="H58" s="3">
        <f t="shared" si="4"/>
        <v>0.22080533487353657</v>
      </c>
      <c r="I58" s="3">
        <f t="shared" si="4"/>
        <v>1.7463740417755023E-2</v>
      </c>
      <c r="J58" s="3">
        <f t="shared" si="4"/>
        <v>2.1709337939657392E-2</v>
      </c>
      <c r="K58" s="3">
        <f t="shared" si="4"/>
        <v>3.0970254155055329E-2</v>
      </c>
      <c r="L58" s="3">
        <f t="shared" si="4"/>
        <v>6.9012019828936413E-2</v>
      </c>
      <c r="M58" s="3">
        <f t="shared" si="4"/>
        <v>8.982734087683944E-2</v>
      </c>
      <c r="N58" s="3"/>
      <c r="O58" s="3">
        <f t="shared" si="4"/>
        <v>7.6679645910067123E-2</v>
      </c>
      <c r="P58" s="3">
        <f t="shared" si="4"/>
        <v>0.20022874074787131</v>
      </c>
      <c r="Q58" s="3">
        <f t="shared" si="4"/>
        <v>1.9584651256111855E-2</v>
      </c>
      <c r="R58" s="3">
        <f t="shared" si="4"/>
        <v>0.13982098800681309</v>
      </c>
      <c r="S58" s="3">
        <f t="shared" si="4"/>
        <v>0.14829351226027887</v>
      </c>
      <c r="T58" s="3">
        <f t="shared" si="4"/>
        <v>0.14817411874108727</v>
      </c>
      <c r="U58" s="3">
        <f t="shared" si="4"/>
        <v>0.15243983638302838</v>
      </c>
      <c r="V58" s="3">
        <f t="shared" si="4"/>
        <v>0.14697327197750062</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TAM-30.2µg/L</v>
      </c>
      <c r="J62" s="3" t="str">
        <f t="shared" si="6"/>
        <v>TAM-60.4µg/L</v>
      </c>
      <c r="K62" s="3" t="str">
        <f t="shared" si="6"/>
        <v>TAM-121µg/L</v>
      </c>
      <c r="L62" s="3" t="str">
        <f t="shared" si="6"/>
        <v>TAM-242µg/L</v>
      </c>
      <c r="M62" s="3" t="str">
        <f t="shared" si="6"/>
        <v>TAM-483µg/L</v>
      </c>
      <c r="N62" s="3"/>
      <c r="O62" s="3" t="str">
        <f t="shared" si="6"/>
        <v>Testo -30µg/L</v>
      </c>
      <c r="P62" s="3" t="str">
        <f t="shared" si="6"/>
        <v>Testo 30µg/L + EE2 -64ng/L</v>
      </c>
      <c r="Q62" s="3" t="str">
        <f t="shared" si="6"/>
        <v>Testo 30µg/L + FAD-10mg/L</v>
      </c>
      <c r="R62" s="3" t="str">
        <f t="shared" si="6"/>
        <v>TAM-30,2µg/L + Testostérone</v>
      </c>
      <c r="S62" s="3" t="str">
        <f t="shared" si="6"/>
        <v>TAM-60,4µg/L + Testostérone</v>
      </c>
      <c r="T62" s="3" t="str">
        <f t="shared" si="6"/>
        <v>TAM-121µg/L + Testostérone</v>
      </c>
      <c r="U62" s="3" t="str">
        <f t="shared" si="6"/>
        <v>TAM-242µg/L + Testostérone</v>
      </c>
      <c r="V62" s="3" t="str">
        <f t="shared" si="6"/>
        <v>TAM-483µg/L + Testostérone</v>
      </c>
    </row>
    <row r="63" spans="1:24" s="1" customFormat="1" x14ac:dyDescent="0.35">
      <c r="A63" s="1" t="s">
        <v>49</v>
      </c>
      <c r="B63" s="3">
        <f>COUNT(B6:B53)</f>
        <v>24</v>
      </c>
      <c r="C63" s="3">
        <f t="shared" ref="C63:V63" si="7">COUNT(C6:C53)</f>
        <v>22</v>
      </c>
      <c r="D63" s="3">
        <f t="shared" si="7"/>
        <v>24</v>
      </c>
      <c r="E63" s="3">
        <f t="shared" si="7"/>
        <v>24</v>
      </c>
      <c r="F63" s="3">
        <f t="shared" si="7"/>
        <v>23</v>
      </c>
      <c r="G63" s="3">
        <f t="shared" si="7"/>
        <v>23</v>
      </c>
      <c r="H63" s="3">
        <f t="shared" si="7"/>
        <v>21</v>
      </c>
      <c r="I63" s="3">
        <f t="shared" si="7"/>
        <v>24</v>
      </c>
      <c r="J63" s="3">
        <f t="shared" si="7"/>
        <v>24</v>
      </c>
      <c r="K63" s="3">
        <f t="shared" si="7"/>
        <v>23</v>
      </c>
      <c r="L63" s="3">
        <f t="shared" si="7"/>
        <v>24</v>
      </c>
      <c r="M63" s="3">
        <f t="shared" si="7"/>
        <v>24</v>
      </c>
      <c r="N63" s="3"/>
      <c r="O63" s="3">
        <f t="shared" si="7"/>
        <v>47</v>
      </c>
      <c r="P63" s="3">
        <f t="shared" si="7"/>
        <v>22</v>
      </c>
      <c r="Q63" s="3">
        <f t="shared" si="7"/>
        <v>23</v>
      </c>
      <c r="R63" s="3">
        <f t="shared" si="7"/>
        <v>24</v>
      </c>
      <c r="S63" s="3">
        <f t="shared" si="7"/>
        <v>24</v>
      </c>
      <c r="T63" s="3">
        <f t="shared" si="7"/>
        <v>24</v>
      </c>
      <c r="U63" s="3">
        <f t="shared" si="7"/>
        <v>24</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 thickBot="1" x14ac:dyDescent="0.4"/>
    <row r="72" spans="1:22" s="48" customFormat="1" ht="26.5" thickBot="1" x14ac:dyDescent="0.4">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TAM-30.2µg/L</v>
      </c>
      <c r="J74" s="46" t="str">
        <f t="shared" si="9"/>
        <v>TAM-60.4µg/L</v>
      </c>
      <c r="K74" s="46" t="str">
        <f t="shared" si="9"/>
        <v>TAM-121µg/L</v>
      </c>
      <c r="L74" s="46" t="str">
        <f t="shared" si="9"/>
        <v>TAM-242µg/L</v>
      </c>
      <c r="M74" s="46" t="str">
        <f t="shared" si="9"/>
        <v>TAM-483µg/L</v>
      </c>
      <c r="N74" s="46"/>
      <c r="O74" s="46" t="str">
        <f t="shared" ref="O74:V74" si="10">O4</f>
        <v>Testo -30µg/L</v>
      </c>
      <c r="P74" s="46" t="str">
        <f t="shared" si="10"/>
        <v>Testo 30µg/L + EE2 -64ng/L</v>
      </c>
      <c r="Q74" s="46" t="str">
        <f t="shared" si="10"/>
        <v>Testo 30µg/L + FAD-10mg/L</v>
      </c>
      <c r="R74" s="46" t="str">
        <f t="shared" si="10"/>
        <v>TAM-30,2µg/L + Testostérone</v>
      </c>
      <c r="S74" s="46" t="str">
        <f t="shared" si="10"/>
        <v>TAM-60,4µg/L + Testostérone</v>
      </c>
      <c r="T74" s="46" t="str">
        <f t="shared" si="10"/>
        <v>TAM-121µg/L + Testostérone</v>
      </c>
      <c r="U74" s="46" t="str">
        <f t="shared" si="10"/>
        <v>TAM-242µg/L + Testostérone</v>
      </c>
      <c r="V74" s="46" t="str">
        <f t="shared" si="10"/>
        <v>TAM-483µg/L + Testostérone</v>
      </c>
    </row>
    <row r="75" spans="1:22" s="3" customFormat="1" x14ac:dyDescent="0.35">
      <c r="A75" s="61" t="s">
        <v>32</v>
      </c>
      <c r="B75" s="142">
        <f>B56</f>
        <v>0.15532874593952364</v>
      </c>
      <c r="C75" s="142">
        <f t="shared" ref="C75:V75" si="11">C56</f>
        <v>0.11488728516436537</v>
      </c>
      <c r="D75" s="142">
        <f t="shared" si="11"/>
        <v>0.159028923645889</v>
      </c>
      <c r="E75" s="142">
        <f t="shared" si="11"/>
        <v>0.37020748984331564</v>
      </c>
      <c r="F75" s="142">
        <f t="shared" si="11"/>
        <v>1.1251206317885538</v>
      </c>
      <c r="G75" s="142">
        <f t="shared" si="11"/>
        <v>1.6357170280740028</v>
      </c>
      <c r="H75" s="142">
        <f t="shared" si="11"/>
        <v>2.6280546639002265</v>
      </c>
      <c r="I75" s="142">
        <f t="shared" si="11"/>
        <v>0.15978686840589382</v>
      </c>
      <c r="J75" s="142">
        <f t="shared" si="11"/>
        <v>0.15878434879707071</v>
      </c>
      <c r="K75" s="142">
        <f t="shared" si="11"/>
        <v>0.19387385350690178</v>
      </c>
      <c r="L75" s="142">
        <f t="shared" si="11"/>
        <v>0.45563954269238494</v>
      </c>
      <c r="M75" s="142">
        <f t="shared" si="11"/>
        <v>0.39819982417332245</v>
      </c>
      <c r="N75" s="142"/>
      <c r="O75" s="142">
        <f t="shared" si="11"/>
        <v>1</v>
      </c>
      <c r="P75" s="142">
        <f t="shared" si="11"/>
        <v>1.9868243071379188</v>
      </c>
      <c r="Q75" s="142">
        <f t="shared" si="11"/>
        <v>0.13888076792106369</v>
      </c>
      <c r="R75" s="142">
        <f t="shared" si="11"/>
        <v>1.366329070746106</v>
      </c>
      <c r="S75" s="142">
        <f t="shared" si="11"/>
        <v>1.318010199226703</v>
      </c>
      <c r="T75" s="142">
        <f t="shared" si="11"/>
        <v>1.4160819669092304</v>
      </c>
      <c r="U75" s="142">
        <f t="shared" si="11"/>
        <v>1.221196788292646</v>
      </c>
      <c r="V75" s="142">
        <f t="shared" si="11"/>
        <v>0.84930325538680274</v>
      </c>
    </row>
    <row r="76" spans="1:22" s="3" customFormat="1" x14ac:dyDescent="0.35">
      <c r="A76" s="61" t="s">
        <v>2</v>
      </c>
      <c r="B76" s="142">
        <f>B58</f>
        <v>1.9365571043145693E-2</v>
      </c>
      <c r="C76" s="142">
        <f t="shared" ref="C76:V76" si="12">C58</f>
        <v>2.5067552331564907E-2</v>
      </c>
      <c r="D76" s="142">
        <f t="shared" si="12"/>
        <v>2.7951608063571508E-2</v>
      </c>
      <c r="E76" s="142">
        <f t="shared" si="12"/>
        <v>9.2868010165333553E-2</v>
      </c>
      <c r="F76" s="142">
        <f t="shared" si="12"/>
        <v>0.13491067463796305</v>
      </c>
      <c r="G76" s="142">
        <f t="shared" si="12"/>
        <v>0.14840348648951027</v>
      </c>
      <c r="H76" s="142">
        <f t="shared" si="12"/>
        <v>0.22080533487353657</v>
      </c>
      <c r="I76" s="142">
        <f t="shared" si="12"/>
        <v>1.7463740417755023E-2</v>
      </c>
      <c r="J76" s="142">
        <f t="shared" si="12"/>
        <v>2.1709337939657392E-2</v>
      </c>
      <c r="K76" s="142">
        <f t="shared" si="12"/>
        <v>3.0970254155055329E-2</v>
      </c>
      <c r="L76" s="142">
        <f t="shared" si="12"/>
        <v>6.9012019828936413E-2</v>
      </c>
      <c r="M76" s="142">
        <f t="shared" si="12"/>
        <v>8.982734087683944E-2</v>
      </c>
      <c r="N76" s="142"/>
      <c r="O76" s="142">
        <f t="shared" si="12"/>
        <v>7.6679645910067123E-2</v>
      </c>
      <c r="P76" s="142">
        <f t="shared" si="12"/>
        <v>0.20022874074787131</v>
      </c>
      <c r="Q76" s="142">
        <f t="shared" si="12"/>
        <v>1.9584651256111855E-2</v>
      </c>
      <c r="R76" s="142">
        <f t="shared" si="12"/>
        <v>0.13982098800681309</v>
      </c>
      <c r="S76" s="142">
        <f t="shared" si="12"/>
        <v>0.14829351226027887</v>
      </c>
      <c r="T76" s="142">
        <f t="shared" si="12"/>
        <v>0.14817411874108727</v>
      </c>
      <c r="U76" s="142">
        <f t="shared" si="12"/>
        <v>0.15243983638302838</v>
      </c>
      <c r="V76" s="142">
        <f t="shared" si="12"/>
        <v>0.14697327197750062</v>
      </c>
    </row>
    <row r="77" spans="1:22" s="3" customFormat="1" x14ac:dyDescent="0.35">
      <c r="A77" s="61" t="s">
        <v>79</v>
      </c>
      <c r="B77" s="142">
        <f>(B75*100/$B$75)-100</f>
        <v>0</v>
      </c>
      <c r="C77" s="142">
        <f t="shared" ref="C77:M77" si="13">(C75*100/$B$75)-100</f>
        <v>-26.036044088647898</v>
      </c>
      <c r="D77" s="142">
        <f t="shared" si="13"/>
        <v>2.3821590034635278</v>
      </c>
      <c r="E77" s="142">
        <f t="shared" si="13"/>
        <v>138.33804078187418</v>
      </c>
      <c r="F77" s="142">
        <f t="shared" si="13"/>
        <v>624.34797885164994</v>
      </c>
      <c r="G77" s="142">
        <f t="shared" si="13"/>
        <v>953.06781315987701</v>
      </c>
      <c r="H77" s="142">
        <f t="shared" si="13"/>
        <v>1591.9306519885538</v>
      </c>
      <c r="I77" s="142">
        <f t="shared" si="13"/>
        <v>2.8701206846193941</v>
      </c>
      <c r="J77" s="142">
        <f t="shared" si="13"/>
        <v>2.2247027339630279</v>
      </c>
      <c r="K77" s="142">
        <f t="shared" si="13"/>
        <v>24.815179788025489</v>
      </c>
      <c r="L77" s="142">
        <f t="shared" si="13"/>
        <v>193.33884075120619</v>
      </c>
      <c r="M77" s="142">
        <f t="shared" si="13"/>
        <v>156.35938909103101</v>
      </c>
      <c r="N77" s="142"/>
      <c r="O77" s="142">
        <f t="shared" ref="O77:V77" si="14">(O75*100/$O$75)-100</f>
        <v>0</v>
      </c>
      <c r="P77" s="142">
        <f t="shared" si="14"/>
        <v>98.682430713791888</v>
      </c>
      <c r="Q77" s="142">
        <f t="shared" si="14"/>
        <v>-86.111923207893625</v>
      </c>
      <c r="R77" s="142">
        <f t="shared" si="14"/>
        <v>36.632907074610586</v>
      </c>
      <c r="S77" s="142">
        <f t="shared" si="14"/>
        <v>31.801019922670292</v>
      </c>
      <c r="T77" s="142">
        <f t="shared" si="14"/>
        <v>41.608196690923052</v>
      </c>
      <c r="U77" s="142">
        <f t="shared" si="14"/>
        <v>22.1196788292646</v>
      </c>
      <c r="V77" s="142">
        <f t="shared" si="14"/>
        <v>-15.069674461319721</v>
      </c>
    </row>
    <row r="78" spans="1:22" s="3" customFormat="1" x14ac:dyDescent="0.35">
      <c r="A78" s="61" t="s">
        <v>81</v>
      </c>
      <c r="B78" s="142">
        <f>[1]!DPTEST(B6:B53)</f>
        <v>0.55504549019984839</v>
      </c>
      <c r="C78" s="142">
        <f>[1]!DPTEST(C6:C53)</f>
        <v>2.8999311635358183E-6</v>
      </c>
      <c r="D78" s="142">
        <f>[1]!DPTEST(D6:D53)</f>
        <v>1.734236986838944E-5</v>
      </c>
      <c r="E78" s="142">
        <f>[1]!DPTEST(E6:E53)</f>
        <v>1.4789463750330967E-6</v>
      </c>
      <c r="F78" s="142">
        <f>[1]!DPTEST(F6:F53)</f>
        <v>0.29297117744308343</v>
      </c>
      <c r="G78" s="142">
        <f>[1]!DPTEST(G6:G53)</f>
        <v>0.80343116844326579</v>
      </c>
      <c r="H78" s="142">
        <f>[1]!DPTEST(H6:H53)</f>
        <v>0.32672541162375457</v>
      </c>
      <c r="I78" s="142">
        <f>[1]!DPTEST(I6:I53)</f>
        <v>0.2295249768461517</v>
      </c>
      <c r="J78" s="142">
        <f>[1]!DPTEST(J6:J53)</f>
        <v>3.9777984433657654E-3</v>
      </c>
      <c r="K78" s="142">
        <f>[1]!DPTEST(K6:K53)</f>
        <v>1.1978459147854448E-4</v>
      </c>
      <c r="L78" s="142">
        <f>[1]!DPTEST(L6:L53)</f>
        <v>0.16594562051726924</v>
      </c>
      <c r="M78" s="142">
        <f>[1]!DPTEST(M6:M53)</f>
        <v>6.0975919646821808E-8</v>
      </c>
      <c r="N78" s="142"/>
      <c r="O78" s="142">
        <f>[1]!DPTEST(O6:O53)</f>
        <v>0.62829963550731416</v>
      </c>
      <c r="P78" s="142">
        <f>[1]!DPTEST(P6:P53)</f>
        <v>0.17434480238519168</v>
      </c>
      <c r="Q78" s="142">
        <f>[1]!DPTEST(Q6:Q53)</f>
        <v>7.1004531129137405E-2</v>
      </c>
      <c r="R78" s="142">
        <f>[1]!DPTEST(R6:R53)</f>
        <v>3.311377370679891E-2</v>
      </c>
      <c r="S78" s="142">
        <f>[1]!DPTEST(S6:S53)</f>
        <v>0.12292390120684693</v>
      </c>
      <c r="T78" s="142">
        <f>[1]!DPTEST(T6:T53)</f>
        <v>0.41562251988011834</v>
      </c>
      <c r="U78" s="142">
        <f>[1]!DPTEST(U6:U53)</f>
        <v>0.12991460754138195</v>
      </c>
      <c r="V78" s="142">
        <f>[1]!DPTEST(V6:V53)</f>
        <v>8.6674116207619001E-2</v>
      </c>
    </row>
    <row r="79" spans="1:22" s="3" customFormat="1" x14ac:dyDescent="0.35">
      <c r="A79" s="61" t="s">
        <v>85</v>
      </c>
      <c r="B79" s="142" t="str">
        <f>IF(B78&gt;0.05,"Oui","Non")</f>
        <v>Oui</v>
      </c>
      <c r="C79" s="142" t="str">
        <f t="shared" ref="C79:V79" si="15">IF(C78&gt;0.05,"Oui","Non")</f>
        <v>Non</v>
      </c>
      <c r="D79" s="142" t="str">
        <f t="shared" si="15"/>
        <v>Non</v>
      </c>
      <c r="E79" s="142" t="str">
        <f t="shared" si="15"/>
        <v>Non</v>
      </c>
      <c r="F79" s="142" t="str">
        <f t="shared" si="15"/>
        <v>Oui</v>
      </c>
      <c r="G79" s="142" t="str">
        <f t="shared" si="15"/>
        <v>Oui</v>
      </c>
      <c r="H79" s="142" t="str">
        <f t="shared" si="15"/>
        <v>Oui</v>
      </c>
      <c r="I79" s="142" t="str">
        <f t="shared" si="15"/>
        <v>Oui</v>
      </c>
      <c r="J79" s="142" t="str">
        <f t="shared" si="15"/>
        <v>Non</v>
      </c>
      <c r="K79" s="142" t="str">
        <f t="shared" si="15"/>
        <v>Non</v>
      </c>
      <c r="L79" s="142" t="str">
        <f t="shared" si="15"/>
        <v>Oui</v>
      </c>
      <c r="M79" s="142" t="str">
        <f t="shared" si="15"/>
        <v>Non</v>
      </c>
      <c r="N79" s="142"/>
      <c r="O79" s="142" t="str">
        <f t="shared" si="15"/>
        <v>Oui</v>
      </c>
      <c r="P79" s="142" t="str">
        <f t="shared" si="15"/>
        <v>Oui</v>
      </c>
      <c r="Q79" s="142" t="str">
        <f t="shared" si="15"/>
        <v>Oui</v>
      </c>
      <c r="R79" s="142" t="str">
        <f t="shared" si="15"/>
        <v>Non</v>
      </c>
      <c r="S79" s="142" t="str">
        <f t="shared" si="15"/>
        <v>Oui</v>
      </c>
      <c r="T79" s="142" t="str">
        <f t="shared" si="15"/>
        <v>Oui</v>
      </c>
      <c r="U79" s="142" t="str">
        <f t="shared" si="15"/>
        <v>Oui</v>
      </c>
      <c r="V79" s="142" t="str">
        <f t="shared" si="15"/>
        <v>Oui</v>
      </c>
    </row>
    <row r="80" spans="1:22" s="3" customFormat="1" x14ac:dyDescent="0.35">
      <c r="A80" s="61" t="s">
        <v>122</v>
      </c>
      <c r="B80" s="142"/>
      <c r="C80" s="142"/>
      <c r="D80" s="142"/>
      <c r="E80" s="142"/>
      <c r="F80" s="142"/>
      <c r="G80" s="142"/>
      <c r="H80" s="142"/>
      <c r="I80" s="142"/>
      <c r="J80" s="142" t="str">
        <f>IF(COUNTIF(J79:M79, "Non")&gt;0, "Oui","Non")</f>
        <v>Oui</v>
      </c>
      <c r="K80" s="142"/>
      <c r="L80" s="142"/>
      <c r="M80" s="142"/>
      <c r="N80" s="142"/>
      <c r="O80" s="142"/>
      <c r="P80" s="142"/>
      <c r="Q80" s="142"/>
      <c r="R80" s="142"/>
      <c r="S80" s="142"/>
      <c r="T80" s="142"/>
      <c r="U80" s="142"/>
      <c r="V80" s="142"/>
    </row>
    <row r="81" spans="1:22" s="3" customFormat="1" x14ac:dyDescent="0.35">
      <c r="A81" s="61" t="s">
        <v>82</v>
      </c>
      <c r="B81" s="142"/>
      <c r="C81" s="142" t="s">
        <v>171</v>
      </c>
      <c r="D81" s="142" t="s">
        <v>171</v>
      </c>
      <c r="E81" s="142" t="s">
        <v>171</v>
      </c>
      <c r="F81" s="142" t="s">
        <v>171</v>
      </c>
      <c r="G81" s="142" t="s">
        <v>171</v>
      </c>
      <c r="H81" s="142" t="s">
        <v>171</v>
      </c>
      <c r="I81" s="142" t="s">
        <v>171</v>
      </c>
      <c r="J81" s="142" t="s">
        <v>171</v>
      </c>
      <c r="K81" s="142" t="s">
        <v>171</v>
      </c>
      <c r="L81" s="142" t="s">
        <v>171</v>
      </c>
      <c r="M81" s="142" t="s">
        <v>171</v>
      </c>
      <c r="N81" s="142"/>
      <c r="O81" s="142" t="str">
        <f>IF($B79="Non",IF(O79="Non","Mann Withney",IF(O79="Oui","Mann Withney","")),IF($B79="Oui",IF(O79="Oui","T-Test Welch",IF(O79="Non","Mann Withney",""))))</f>
        <v>T-Test Welch</v>
      </c>
      <c r="P81" s="142" t="str">
        <f>IF($O79="Non",IF(P79="Non","Mann Withney",IF(P$79="Oui","Mann Withney","")),IF($O79="Oui",IF(P79="Oui","T-Test Welch",IF(P79="Non","Mann Withney",""))))</f>
        <v>T-Test Welch</v>
      </c>
      <c r="Q81" s="142" t="str">
        <f>IF($O79="Non",IF(Q79="Non","Mann Withney",IF(Q$79="Oui","Mann Withney","")),IF($O79="Oui",IF(Q79="Oui","T-Test Welch",IF(Q79="Non","Mann Withney",""))))</f>
        <v>T-Test Welch</v>
      </c>
      <c r="R81" s="142" t="s">
        <v>171</v>
      </c>
      <c r="S81" s="142" t="s">
        <v>171</v>
      </c>
      <c r="T81" s="142" t="s">
        <v>171</v>
      </c>
      <c r="U81" s="142" t="s">
        <v>171</v>
      </c>
      <c r="V81" s="142" t="s">
        <v>171</v>
      </c>
    </row>
    <row r="82" spans="1:22" s="3" customFormat="1" x14ac:dyDescent="0.35">
      <c r="A82" s="61" t="s">
        <v>83</v>
      </c>
      <c r="B82" s="142"/>
      <c r="C82" s="142" t="s">
        <v>167</v>
      </c>
      <c r="D82" s="142" t="s">
        <v>167</v>
      </c>
      <c r="E82" s="142" t="s">
        <v>167</v>
      </c>
      <c r="F82" s="142" t="s">
        <v>170</v>
      </c>
      <c r="G82" s="142" t="s">
        <v>170</v>
      </c>
      <c r="H82" s="142" t="s">
        <v>170</v>
      </c>
      <c r="I82" s="142" t="s">
        <v>167</v>
      </c>
      <c r="J82" s="142" t="s">
        <v>167</v>
      </c>
      <c r="K82" s="142" t="s">
        <v>167</v>
      </c>
      <c r="L82" s="142">
        <v>2E-3</v>
      </c>
      <c r="M82" s="142">
        <v>0.02</v>
      </c>
      <c r="N82" s="142"/>
      <c r="O82" s="142">
        <f>IF(O81="Mann Withney",[1]!MTEST($B6:$B37,O6:O53,2), IF(O81="T-Test Welch",_xlfn.T.TEST($B6:$B37,O6:O53,2,3),""))</f>
        <v>2.8315921150687568E-14</v>
      </c>
      <c r="P82" s="142">
        <f>IF(P81="Mann Withney",[1]!MTEST($O6:$O53,P6:P53,2), IF(P81="T-Test Welch",_xlfn.T.TEST($O6:$O53,P6:P53,2,3),""))</f>
        <v>8.6317153996442274E-5</v>
      </c>
      <c r="Q82" s="142">
        <f>IF(Q81="Mann Withney",[1]!MTEST($O6:$O53,Q6:Q53,2), IF(Q81="T-Test Welch",_xlfn.T.TEST($O6:$O53,Q6:Q53,2,3),""))</f>
        <v>5.5565757588023893E-15</v>
      </c>
      <c r="R82" s="142">
        <v>0.18</v>
      </c>
      <c r="S82" s="142">
        <v>0.44</v>
      </c>
      <c r="T82" s="142">
        <v>0.2</v>
      </c>
      <c r="U82" s="142" t="s">
        <v>167</v>
      </c>
      <c r="V82" s="142" t="s">
        <v>167</v>
      </c>
    </row>
    <row r="83" spans="1:22" s="3" customFormat="1" ht="15" thickBot="1" x14ac:dyDescent="0.4">
      <c r="A83" s="62" t="s">
        <v>84</v>
      </c>
      <c r="B83" s="143"/>
      <c r="C83" s="143" t="s">
        <v>166</v>
      </c>
      <c r="D83" s="143" t="s">
        <v>166</v>
      </c>
      <c r="E83" s="143" t="s">
        <v>166</v>
      </c>
      <c r="F83" s="143" t="s">
        <v>169</v>
      </c>
      <c r="G83" s="143" t="s">
        <v>169</v>
      </c>
      <c r="H83" s="143" t="s">
        <v>169</v>
      </c>
      <c r="I83" s="143" t="s">
        <v>166</v>
      </c>
      <c r="J83" s="143" t="s">
        <v>166</v>
      </c>
      <c r="K83" s="143" t="s">
        <v>166</v>
      </c>
      <c r="L83" s="143" t="s">
        <v>5271</v>
      </c>
      <c r="M83" s="143" t="s">
        <v>168</v>
      </c>
      <c r="N83" s="143"/>
      <c r="O83" s="143" t="str">
        <f t="shared" ref="O83" si="16">IF(O82&gt;0.05,"NS",IF(O82&gt;0.01,"*",IF(O82&gt;0.001,"**","***")))</f>
        <v>***</v>
      </c>
      <c r="P83" s="143" t="str">
        <f t="shared" ref="P83" si="17">IF(P82&gt;0.05,"NS",IF(P82&gt;0.01,"*",IF(P82&gt;0.001,"**","***")))</f>
        <v>***</v>
      </c>
      <c r="Q83" s="143" t="str">
        <f t="shared" ref="Q83" si="18">IF(Q82&gt;0.05,"NS",IF(Q82&gt;0.01,"*",IF(Q82&gt;0.001,"**","***")))</f>
        <v>***</v>
      </c>
      <c r="R83" s="143" t="s">
        <v>166</v>
      </c>
      <c r="S83" s="143" t="s">
        <v>166</v>
      </c>
      <c r="T83" s="143" t="s">
        <v>166</v>
      </c>
      <c r="U83" s="143" t="s">
        <v>166</v>
      </c>
      <c r="V83" s="143" t="s">
        <v>166</v>
      </c>
    </row>
    <row r="84" spans="1:22" s="1" customFormat="1" x14ac:dyDescent="0.35"/>
    <row r="85" spans="1:22" s="1" customFormat="1" x14ac:dyDescent="0.35">
      <c r="A85" s="2" t="s">
        <v>39</v>
      </c>
    </row>
    <row r="86" spans="1:22" x14ac:dyDescent="0.35">
      <c r="A86" s="1" t="s">
        <v>23</v>
      </c>
      <c r="B86" s="1">
        <f>B56+(3*B57)</f>
        <v>0.43994335173946952</v>
      </c>
    </row>
    <row r="87" spans="1:22" x14ac:dyDescent="0.35">
      <c r="A87" s="1" t="s">
        <v>24</v>
      </c>
      <c r="B87" s="1">
        <f>B56+(10*B57)</f>
        <v>1.1040440986060098</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4" spans="1:22" x14ac:dyDescent="0.35">
      <c r="B94" s="1">
        <f t="shared" ref="B94:V94" si="19">B75/$B$75</f>
        <v>1</v>
      </c>
      <c r="C94" s="1">
        <f t="shared" si="19"/>
        <v>0.73963955911352097</v>
      </c>
      <c r="D94" s="1">
        <f t="shared" si="19"/>
        <v>1.0238215900346352</v>
      </c>
      <c r="E94" s="1">
        <f t="shared" si="19"/>
        <v>2.3833804078187422</v>
      </c>
      <c r="F94" s="1">
        <f t="shared" si="19"/>
        <v>7.2434797885164999</v>
      </c>
      <c r="G94" s="1">
        <f t="shared" si="19"/>
        <v>10.530678131598769</v>
      </c>
      <c r="H94" s="1">
        <f>H75/$B$75</f>
        <v>16.919306519885538</v>
      </c>
      <c r="I94" s="1">
        <f t="shared" si="19"/>
        <v>1.028701206846194</v>
      </c>
      <c r="J94" s="1">
        <f t="shared" si="19"/>
        <v>1.0222470273396302</v>
      </c>
      <c r="K94" s="1">
        <f t="shared" si="19"/>
        <v>1.248151797880255</v>
      </c>
      <c r="L94" s="1">
        <f t="shared" si="19"/>
        <v>2.9333884075120622</v>
      </c>
      <c r="M94" s="1">
        <f t="shared" si="19"/>
        <v>2.56359389091031</v>
      </c>
      <c r="N94" s="1">
        <f t="shared" si="19"/>
        <v>0</v>
      </c>
      <c r="O94" s="1">
        <f t="shared" si="19"/>
        <v>6.4379583698521863</v>
      </c>
      <c r="P94" s="1">
        <f t="shared" si="19"/>
        <v>12.791092177564336</v>
      </c>
      <c r="Q94" s="1">
        <f t="shared" si="19"/>
        <v>0.89410860224891098</v>
      </c>
      <c r="R94" s="1">
        <f t="shared" si="19"/>
        <v>8.7963696769822519</v>
      </c>
      <c r="S94" s="1">
        <f t="shared" si="19"/>
        <v>8.4852947936620993</v>
      </c>
      <c r="T94" s="1">
        <f t="shared" si="19"/>
        <v>9.1166767512600266</v>
      </c>
      <c r="U94" s="1">
        <f t="shared" si="19"/>
        <v>7.8620140844252484</v>
      </c>
      <c r="V94" s="1">
        <f t="shared" si="19"/>
        <v>5.4677790015601753</v>
      </c>
    </row>
    <row r="98" spans="6:25" x14ac:dyDescent="0.35">
      <c r="F98" s="1"/>
      <c r="G98" s="1"/>
      <c r="U98" s="1"/>
      <c r="V98" s="1"/>
      <c r="W98" s="1"/>
      <c r="X98" s="1"/>
      <c r="Y98" s="1"/>
    </row>
    <row r="99" spans="6:25" x14ac:dyDescent="0.35">
      <c r="F99" s="1"/>
      <c r="G99" s="1"/>
      <c r="H99" s="1"/>
      <c r="I99" s="1"/>
      <c r="J99" s="1"/>
      <c r="K99" s="1"/>
      <c r="L99" s="1"/>
      <c r="M99" s="1"/>
      <c r="N99" s="1"/>
      <c r="O99" s="1"/>
      <c r="P99" s="1"/>
      <c r="Q99" s="1"/>
      <c r="S99" s="1"/>
      <c r="U99" s="1"/>
      <c r="V99" s="1"/>
      <c r="W99" s="1"/>
      <c r="X99" s="1"/>
      <c r="Y99" s="1"/>
    </row>
    <row r="100" spans="6:25" x14ac:dyDescent="0.35">
      <c r="F100" s="1"/>
      <c r="G100" s="1"/>
      <c r="H100" s="1"/>
      <c r="I100" s="1"/>
      <c r="J100" s="1"/>
      <c r="K100" s="1"/>
      <c r="L100" s="1"/>
      <c r="M100" s="1"/>
      <c r="N100" s="1"/>
      <c r="O100" s="1"/>
      <c r="P100" s="1"/>
      <c r="Q100" s="1"/>
      <c r="S100" s="1"/>
      <c r="U100" s="1"/>
      <c r="V100" s="1"/>
    </row>
    <row r="101" spans="6:25" x14ac:dyDescent="0.35">
      <c r="F101" s="1"/>
      <c r="G101" s="1"/>
      <c r="I101" s="1"/>
      <c r="J101" s="1"/>
      <c r="K101" s="1"/>
      <c r="L101" s="1"/>
      <c r="M101" s="1"/>
      <c r="N101" s="1"/>
      <c r="O101" s="1"/>
      <c r="P101" s="1"/>
      <c r="Q101" s="1"/>
      <c r="R101" s="1"/>
      <c r="S101" s="1"/>
      <c r="U101" s="1"/>
      <c r="V101" s="1"/>
    </row>
    <row r="102" spans="6:25" x14ac:dyDescent="0.35">
      <c r="F102" s="1"/>
      <c r="G102" s="1"/>
      <c r="I102" s="1"/>
      <c r="J102" s="1"/>
      <c r="K102" s="1"/>
      <c r="L102" s="1"/>
      <c r="M102" s="1"/>
      <c r="N102" s="1"/>
      <c r="O102" s="1"/>
      <c r="P102" s="1"/>
      <c r="Q102" s="1"/>
      <c r="R102" s="1"/>
      <c r="S102" s="1"/>
      <c r="U102" s="1"/>
      <c r="V102" s="1"/>
    </row>
    <row r="103" spans="6:25" x14ac:dyDescent="0.35">
      <c r="F103" s="1"/>
      <c r="G103" s="1"/>
      <c r="P103" s="1"/>
      <c r="Q103" s="1"/>
      <c r="R103" s="1"/>
      <c r="S103" s="1"/>
      <c r="T103" s="1"/>
    </row>
    <row r="104" spans="6:25" x14ac:dyDescent="0.35">
      <c r="F104" s="1"/>
      <c r="G104" s="1"/>
      <c r="P104" s="1"/>
      <c r="Q104" s="1"/>
      <c r="R104" s="1"/>
      <c r="S104" s="1"/>
      <c r="T104" s="1"/>
    </row>
    <row r="105" spans="6:25" x14ac:dyDescent="0.35">
      <c r="F105" s="1"/>
      <c r="G105" s="1"/>
    </row>
    <row r="106" spans="6:25" x14ac:dyDescent="0.35">
      <c r="F106" s="1"/>
      <c r="G106" s="1"/>
    </row>
    <row r="107" spans="6:25" x14ac:dyDescent="0.35">
      <c r="F107" s="1"/>
      <c r="G107" s="1"/>
    </row>
    <row r="108" spans="6:25" x14ac:dyDescent="0.35">
      <c r="F108" s="1"/>
      <c r="G108" s="1"/>
    </row>
    <row r="109" spans="6:25" x14ac:dyDescent="0.35">
      <c r="F109" s="1"/>
      <c r="G109" s="1"/>
    </row>
    <row r="110" spans="6:25" x14ac:dyDescent="0.35">
      <c r="F110" s="1"/>
      <c r="G110" s="1"/>
    </row>
    <row r="111" spans="6:25" x14ac:dyDescent="0.35">
      <c r="F111" s="1"/>
      <c r="G111" s="1"/>
    </row>
    <row r="112" spans="6:25" x14ac:dyDescent="0.35">
      <c r="F112" s="1"/>
      <c r="G112"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31" t="s">
        <v>104</v>
      </c>
      <c r="B1" s="232"/>
      <c r="C1" s="232"/>
      <c r="D1" s="232"/>
      <c r="E1" s="232"/>
      <c r="F1" s="232"/>
      <c r="G1" s="232"/>
      <c r="H1" s="232"/>
      <c r="I1" s="232"/>
      <c r="J1" s="232"/>
      <c r="K1" s="232"/>
      <c r="L1" s="232"/>
      <c r="M1" s="232"/>
      <c r="N1" s="232"/>
      <c r="O1" s="233"/>
    </row>
    <row r="2" spans="1:15" s="48" customFormat="1" ht="26.5" thickBot="1" x14ac:dyDescent="0.4">
      <c r="A2" s="231" t="s">
        <v>105</v>
      </c>
      <c r="B2" s="232"/>
      <c r="C2" s="232"/>
      <c r="D2" s="232"/>
      <c r="E2" s="232"/>
      <c r="F2" s="232"/>
      <c r="G2" s="232"/>
      <c r="H2" s="232"/>
      <c r="I2" s="232"/>
      <c r="J2" s="232"/>
      <c r="K2" s="232"/>
      <c r="L2" s="232"/>
      <c r="M2" s="232"/>
      <c r="N2" s="232"/>
      <c r="O2" s="233"/>
    </row>
    <row r="3" spans="1:15" s="77" customFormat="1" ht="15.5" x14ac:dyDescent="0.35">
      <c r="H3" s="78"/>
      <c r="I3" s="78"/>
      <c r="J3" s="78"/>
      <c r="K3" s="78"/>
      <c r="L3" s="78"/>
      <c r="M3" s="78"/>
      <c r="N3" s="78"/>
    </row>
    <row r="4" spans="1:15" s="77" customFormat="1" ht="15.5" x14ac:dyDescent="0.35">
      <c r="O4"/>
    </row>
    <row r="5" spans="1:15" s="77" customFormat="1" ht="45.75" customHeight="1" thickBot="1" x14ac:dyDescent="0.4">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5" x14ac:dyDescent="0.35">
      <c r="A6" s="80" t="s">
        <v>28</v>
      </c>
      <c r="B6" s="100">
        <v>64</v>
      </c>
      <c r="C6" s="80"/>
      <c r="D6" s="80"/>
      <c r="E6" s="90"/>
      <c r="F6" s="91"/>
      <c r="G6" s="129">
        <f>IF(F6="NS","NC",ROUND(B6,2-(1+INT(LOG10(ABS(B6))))))</f>
        <v>64</v>
      </c>
      <c r="H6" s="121"/>
      <c r="I6" s="121"/>
      <c r="J6" s="122"/>
      <c r="K6" s="123"/>
      <c r="L6" s="125"/>
      <c r="M6" s="122"/>
      <c r="N6" s="92"/>
      <c r="O6"/>
    </row>
    <row r="7" spans="1:15" s="77" customFormat="1" ht="15.5" x14ac:dyDescent="0.35">
      <c r="A7" s="80" t="str">
        <f>'Page de garde'!A15</f>
        <v>TAM-30.2µg/L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TAM-30,2µg/L : 0%</v>
      </c>
      <c r="O7"/>
    </row>
    <row r="8" spans="1:15" s="77" customFormat="1" ht="15.5" x14ac:dyDescent="0.35">
      <c r="A8" s="80" t="str">
        <f>'Page de garde'!A16</f>
        <v>TAM-60.4µg/L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TAM-60,4µg/L : 0%</v>
      </c>
      <c r="O8"/>
    </row>
    <row r="9" spans="1:15" s="77" customFormat="1" ht="15.5" x14ac:dyDescent="0.35">
      <c r="A9" s="80" t="str">
        <f>'Page de garde'!A17</f>
        <v>TAM-121µg/L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TAM-121µg/L : 0%</v>
      </c>
      <c r="O9"/>
    </row>
    <row r="10" spans="1:15" s="77" customFormat="1" ht="15.5" x14ac:dyDescent="0.35">
      <c r="A10" s="80" t="str">
        <f>'Page de garde'!A18</f>
        <v>TAM-242µg/L</v>
      </c>
      <c r="B10" s="100"/>
      <c r="C10" s="80"/>
      <c r="D10" s="85"/>
      <c r="E10" s="82"/>
      <c r="F10" s="98" t="str">
        <f>HLOOKUP(A10,'pooled normalised values'!$B$74:$V$83,10,FALSE)</f>
        <v>**</v>
      </c>
      <c r="G10" s="129" t="e">
        <f t="shared" si="0"/>
        <v>#NUM!</v>
      </c>
      <c r="H10" s="120" t="str">
        <f>IF(VLOOKUP(A10,liste_groupe[],4,FALSE)="%",VLOOKUP(A10,liste_groupe[],3,FALSE)/100,IF(ISBLANK(VLOOKUP(A10,liste_groupe[],4,FALSE)),"Non","Non"))</f>
        <v>Non</v>
      </c>
      <c r="I10" s="129" t="e">
        <f t="shared" si="1"/>
        <v>#NUM!</v>
      </c>
      <c r="J10" s="130">
        <v>64</v>
      </c>
      <c r="K10" s="131" t="e">
        <f t="shared" si="2"/>
        <v>#NUM!</v>
      </c>
      <c r="L10" s="126"/>
      <c r="M10" s="132" t="e">
        <f t="shared" si="3"/>
        <v>#NUM!</v>
      </c>
      <c r="N10" s="93" t="e">
        <f>IF(H10="Non",CONCATENATE(VLOOKUP(A10,liste_groupe[],5,FALSE),"-",VLOOKUP(A10,liste_groupe[],3,FALSE),VLOOKUP(A10,liste_groupe[],4,FALSE)," : ",ROUND(K10,0),"%"),CONCATENATE(VLOOKUP(A10,liste_groupe[],5,FALSE)," : ",ROUND(K10,0),"%"))</f>
        <v>#NUM!</v>
      </c>
      <c r="O10"/>
    </row>
    <row r="11" spans="1:15" s="77" customFormat="1" ht="15.5" x14ac:dyDescent="0.35">
      <c r="A11" s="80" t="str">
        <f>'Page de garde'!A19</f>
        <v>TAM-483µg/L</v>
      </c>
      <c r="B11" s="100"/>
      <c r="C11" s="80"/>
      <c r="D11" s="85"/>
      <c r="E11" s="82"/>
      <c r="F11" s="98" t="str">
        <f>HLOOKUP(A11,'pooled normalised values'!$B$74:$V$83,10,FALSE)</f>
        <v>*</v>
      </c>
      <c r="G11" s="129" t="e">
        <f t="shared" si="0"/>
        <v>#NUM!</v>
      </c>
      <c r="H11" s="120" t="str">
        <f>IF(VLOOKUP(A11,liste_groupe[],4,FALSE)="%",VLOOKUP(A11,liste_groupe[],3,FALSE)/100,IF(ISBLANK(VLOOKUP(A11,liste_groupe[],4,FALSE)),"Non","Non"))</f>
        <v>Non</v>
      </c>
      <c r="I11" s="129" t="e">
        <f t="shared" si="1"/>
        <v>#NUM!</v>
      </c>
      <c r="J11" s="130">
        <v>64</v>
      </c>
      <c r="K11" s="131" t="e">
        <f t="shared" si="2"/>
        <v>#NUM!</v>
      </c>
      <c r="L11" s="126"/>
      <c r="M11" s="132" t="e">
        <f t="shared" si="3"/>
        <v>#NUM!</v>
      </c>
      <c r="N11" s="93" t="e">
        <f>IF(H11="Non",CONCATENATE(VLOOKUP(A11,liste_groupe[],5,FALSE),"-",VLOOKUP(A11,liste_groupe[],3,FALSE),VLOOKUP(A11,liste_groupe[],4,FALSE)," : ",ROUND(K11,0),"%"),CONCATENATE(VLOOKUP(A11,liste_groupe[],5,FALSE)," : ",ROUND(K11,0),"%"))</f>
        <v>#NUM!</v>
      </c>
      <c r="O11"/>
    </row>
    <row r="12" spans="1:15" s="77" customFormat="1" ht="15.5" x14ac:dyDescent="0.35">
      <c r="A12" s="80" t="str">
        <f>'Page de garde'!A20</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5" x14ac:dyDescent="0.35">
      <c r="A13" s="80" t="str">
        <f>'Page de garde'!A21</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5" x14ac:dyDescent="0.35">
      <c r="A14" s="80" t="str">
        <f>'Page de garde'!A22</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5" x14ac:dyDescent="0.35">
      <c r="A15" s="80" t="str">
        <f>'Page de garde'!A23</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5" x14ac:dyDescent="0.35">
      <c r="A16" s="80" t="str">
        <f>'Page de garde'!A24</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5" x14ac:dyDescent="0.35">
      <c r="A17" s="80" t="str">
        <f>'Page de garde'!A25</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5" x14ac:dyDescent="0.35">
      <c r="A18" s="80" t="str">
        <f>'Page de garde'!A26</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5" x14ac:dyDescent="0.35">
      <c r="A19" s="80" t="str">
        <f>'Page de garde'!A27</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5" x14ac:dyDescent="0.35">
      <c r="A20" s="80" t="str">
        <f>'Page de garde'!A28</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5" x14ac:dyDescent="0.35">
      <c r="A21" s="80" t="str">
        <f>'Page de garde'!A29</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5" x14ac:dyDescent="0.35">
      <c r="A22" s="80" t="str">
        <f>'Page de garde'!A30</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5" x14ac:dyDescent="0.35">
      <c r="A23" s="80" t="str">
        <f>'Page de garde'!A31</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5" x14ac:dyDescent="0.35">
      <c r="A24" s="80" t="str">
        <f>'Page de garde'!A32</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5" x14ac:dyDescent="0.35">
      <c r="A25" s="80" t="str">
        <f>'Page de garde'!A33</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5" x14ac:dyDescent="0.35">
      <c r="A26" s="80" t="str">
        <f>'Page de garde'!A34</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5" x14ac:dyDescent="0.35">
      <c r="A27"/>
      <c r="B27"/>
      <c r="C27"/>
      <c r="D27"/>
      <c r="E27"/>
      <c r="F27"/>
      <c r="G27"/>
      <c r="H27"/>
      <c r="I27"/>
      <c r="J27"/>
      <c r="K27"/>
      <c r="L27"/>
      <c r="M27"/>
      <c r="N27"/>
      <c r="O27" s="1"/>
    </row>
    <row r="28" spans="1:15" s="77" customFormat="1" ht="31.5" thickBot="1" x14ac:dyDescent="0.4">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5" x14ac:dyDescent="0.35">
      <c r="A29" s="84" t="s">
        <v>29</v>
      </c>
      <c r="B29" s="100"/>
      <c r="C29" s="80"/>
      <c r="D29" s="80"/>
      <c r="E29" s="82"/>
      <c r="F29" s="91"/>
      <c r="G29" s="134"/>
      <c r="H29" s="121"/>
      <c r="I29" s="121"/>
      <c r="J29" s="122"/>
      <c r="K29" s="123"/>
      <c r="L29" s="125"/>
      <c r="M29" s="122"/>
      <c r="N29" s="92"/>
      <c r="O29"/>
    </row>
    <row r="30" spans="1:15" s="77" customFormat="1" ht="15.5" x14ac:dyDescent="0.35">
      <c r="A30" s="84" t="s">
        <v>31</v>
      </c>
      <c r="B30" s="100"/>
      <c r="C30" s="80"/>
      <c r="D30" s="80"/>
      <c r="E30" s="82"/>
      <c r="F30" s="91"/>
      <c r="G30" s="133" t="e">
        <f>IF(F30="NS","NC",ROUND(B30-$B$29,2-(1+INT(LOG10(ABS(B30-$B$29))))))</f>
        <v>#NUM!</v>
      </c>
      <c r="H30" s="121"/>
      <c r="I30" s="134"/>
      <c r="J30" s="135"/>
      <c r="K30" s="136"/>
      <c r="L30" s="135"/>
      <c r="M30" s="135"/>
      <c r="N30" s="137"/>
      <c r="O30"/>
    </row>
    <row r="31" spans="1:15" s="77" customFormat="1" ht="15.5" x14ac:dyDescent="0.3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5" x14ac:dyDescent="0.35">
      <c r="A32" s="128" t="str">
        <f>'Page de garde'!A39</f>
        <v>TAM-30,2µg/L + Testostérone</v>
      </c>
      <c r="B32" s="100"/>
      <c r="C32" s="80"/>
      <c r="D32" s="80"/>
      <c r="E32" s="82"/>
      <c r="F32" s="94" t="str">
        <f>HLOOKUP(A32,'pooled normalised values'!$B$74:$V$83,10,FALSE)</f>
        <v>ns</v>
      </c>
      <c r="G32" s="133" t="str">
        <f t="shared" si="6"/>
        <v>NC</v>
      </c>
      <c r="H32" s="124" t="str">
        <f>IF(VLOOKUP(A32,liste_groupe[],4,FALSE)="%",VLOOKUP(A32,liste_groupe[],3,FALSE)/100,IF(ISBLANK(VLOOKUP(A32,liste_groupe[],4,FALSE)),"Non","Non"))</f>
        <v>Non</v>
      </c>
      <c r="I32" s="133" t="str">
        <f>IF(F32="NS","NC",IF(H32="Non",G32,G32*(1/H32)))</f>
        <v>NC</v>
      </c>
      <c r="J32" s="138" t="e">
        <f>IF(G32&lt;0,$G$31,$G$30)</f>
        <v>#NUM!</v>
      </c>
      <c r="K32" s="139">
        <f>IF(F32="NS",0,IF(I32&lt;0,-ROUND(I32/J32*100,0),ROUND(I32/J32*100,0)))</f>
        <v>0</v>
      </c>
      <c r="L32" s="140">
        <v>1</v>
      </c>
      <c r="M32" s="132">
        <f>IF(I32&lt;0,IF(K32&lt;-100,-125,K32),IF(K32&gt;100,125,K32))</f>
        <v>0</v>
      </c>
      <c r="N32" s="141" t="str">
        <f>IF(H32="Non",CONCATENATE(VLOOKUP(A32,liste_groupe[],5,FALSE),"-",VLOOKUP(A32,liste_groupe[],3,FALSE),VLOOKUP(A32,liste_groupe[],4,FALSE)," : ",ROUND(K32,0),"%"),CONCATENATE(VLOOKUP(A32,liste_groupe[],5,FALSE)," : ",ROUND(K32,0),"%"))</f>
        <v>TAM-30,2µg/L : 0%</v>
      </c>
    </row>
    <row r="33" spans="1:14" s="77" customFormat="1" ht="15.5" x14ac:dyDescent="0.35">
      <c r="A33" s="128" t="str">
        <f>'Page de garde'!A40</f>
        <v>TAM-60,4µg/L + Testostérone</v>
      </c>
      <c r="B33" s="99"/>
      <c r="C33" s="87"/>
      <c r="D33" s="87"/>
      <c r="E33" s="82"/>
      <c r="F33" s="94" t="str">
        <f>HLOOKUP(A33,'pooled normalised values'!$B$74:$V$83,10,FALSE)</f>
        <v>ns</v>
      </c>
      <c r="G33" s="133" t="str">
        <f>IF(F33="NS","NC",ROUND(B33-$B$29,2-(1+INT(LOG10(ABS(B33-$B$29))))))</f>
        <v>NC</v>
      </c>
      <c r="H33" s="124" t="str">
        <f>IF(VLOOKUP(A33,liste_groupe[],4,FALSE)="%",VLOOKUP(A33,liste_groupe[],3,FALSE)/100,IF(ISBLANK(VLOOKUP(A33,liste_groupe[],4,FALSE)),"Non","Non"))</f>
        <v>Non</v>
      </c>
      <c r="I33" s="133" t="str">
        <f t="shared" ref="I33:I51" si="7">IF(F33="NS","NC",IF(H33="Non",G33,G33*(1/H33)))</f>
        <v>NC</v>
      </c>
      <c r="J33" s="138" t="e">
        <f t="shared" ref="J33:J51" si="8">IF(G33&lt;0,$G$31,$G$30)</f>
        <v>#NUM!</v>
      </c>
      <c r="K33" s="139">
        <f t="shared" ref="K33:K51" si="9">IF(F33="NS",0,IF(I33&lt;0,-ROUND(I33/J33*100,0),ROUND(I33/J33*100,0)))</f>
        <v>0</v>
      </c>
      <c r="L33" s="140"/>
      <c r="M33" s="132">
        <f t="shared" ref="M33:M51" si="10">IF(I33&lt;0,IF(K33&lt;-100,-125,K33),IF(K33&gt;100,125,K33))</f>
        <v>0</v>
      </c>
      <c r="N33" s="141" t="str">
        <f>IF(H33="Non",CONCATENATE(VLOOKUP(A33,liste_groupe[],5,FALSE),"-",VLOOKUP(A33,liste_groupe[],3,FALSE),VLOOKUP(A33,liste_groupe[],4,FALSE)," : ",ROUND(K33,0),"%"),CONCATENATE(VLOOKUP(A33,liste_groupe[],5,FALSE)," : ",ROUND(K33,0),"%"))</f>
        <v>TAM-60,4µg/L : 0%</v>
      </c>
    </row>
    <row r="34" spans="1:14" s="77" customFormat="1" ht="15.5" x14ac:dyDescent="0.35">
      <c r="A34" s="128" t="str">
        <f>'Page de garde'!A41</f>
        <v>TAM-121µg/L + Testostérone</v>
      </c>
      <c r="B34" s="100"/>
      <c r="C34" s="80"/>
      <c r="D34" s="80"/>
      <c r="E34" s="82"/>
      <c r="F34" s="94" t="str">
        <f>HLOOKUP(A34,'pooled normalised values'!$B$74:$V$83,10,FALSE)</f>
        <v>ns</v>
      </c>
      <c r="G34" s="133" t="str">
        <f t="shared" si="6"/>
        <v>NC</v>
      </c>
      <c r="H34" s="124" t="str">
        <f>IF(VLOOKUP(A34,liste_groupe[],4,FALSE)="%",VLOOKUP(A34,liste_groupe[],3,FALSE)/100,IF(ISBLANK(VLOOKUP(A34,liste_groupe[],4,FALSE)),"Non","Non"))</f>
        <v>Non</v>
      </c>
      <c r="I34" s="133" t="str">
        <f t="shared" si="7"/>
        <v>NC</v>
      </c>
      <c r="J34" s="138" t="e">
        <f t="shared" si="8"/>
        <v>#NUM!</v>
      </c>
      <c r="K34" s="139">
        <f t="shared" si="9"/>
        <v>0</v>
      </c>
      <c r="L34" s="140"/>
      <c r="M34" s="132">
        <f t="shared" si="10"/>
        <v>0</v>
      </c>
      <c r="N34" s="141" t="str">
        <f>IF(H34="Non",CONCATENATE(VLOOKUP(A34,liste_groupe[],5,FALSE),"-",VLOOKUP(A34,liste_groupe[],3,FALSE),VLOOKUP(A34,liste_groupe[],4,FALSE)," : ",ROUND(K34,0),"%"),CONCATENATE(VLOOKUP(A34,liste_groupe[],5,FALSE)," : ",ROUND(K34,0),"%"))</f>
        <v>TAM-121µg/L : 0%</v>
      </c>
    </row>
    <row r="35" spans="1:14" s="77" customFormat="1" ht="15.5" x14ac:dyDescent="0.35">
      <c r="A35" s="128" t="str">
        <f>'Page de garde'!A42</f>
        <v>TAM-242µg/L + Testostérone</v>
      </c>
      <c r="B35" s="99"/>
      <c r="C35" s="87"/>
      <c r="D35" s="87"/>
      <c r="E35" s="82"/>
      <c r="F35" s="94" t="str">
        <f>HLOOKUP(A35,'pooled normalised values'!$B$74:$V$83,10,FALSE)</f>
        <v>ns</v>
      </c>
      <c r="G35" s="133" t="str">
        <f t="shared" si="6"/>
        <v>NC</v>
      </c>
      <c r="H35" s="124" t="str">
        <f>IF(VLOOKUP(A35,liste_groupe[],4,FALSE)="%",VLOOKUP(A35,liste_groupe[],3,FALSE)/100,IF(ISBLANK(VLOOKUP(A35,liste_groupe[],4,FALSE)),"Non","Non"))</f>
        <v>Non</v>
      </c>
      <c r="I35" s="133" t="str">
        <f t="shared" si="7"/>
        <v>NC</v>
      </c>
      <c r="J35" s="138" t="e">
        <f t="shared" si="8"/>
        <v>#NUM!</v>
      </c>
      <c r="K35" s="139">
        <f t="shared" si="9"/>
        <v>0</v>
      </c>
      <c r="L35" s="140"/>
      <c r="M35" s="132">
        <f t="shared" si="10"/>
        <v>0</v>
      </c>
      <c r="N35" s="141" t="str">
        <f>IF(H35="Non",CONCATENATE(VLOOKUP(A35,liste_groupe[],5,FALSE),"-",VLOOKUP(A35,liste_groupe[],3,FALSE),VLOOKUP(A35,liste_groupe[],4,FALSE)," : ",ROUND(K35,0),"%"),CONCATENATE(VLOOKUP(A35,liste_groupe[],5,FALSE)," : ",ROUND(K35,0),"%"))</f>
        <v>TAM-242µg/L : 0%</v>
      </c>
    </row>
    <row r="36" spans="1:14" s="77" customFormat="1" ht="15.5" x14ac:dyDescent="0.35">
      <c r="A36" s="128" t="str">
        <f>'Page de garde'!A43</f>
        <v>TAM-483µg/L + Testostérone</v>
      </c>
      <c r="B36" s="99"/>
      <c r="C36" s="87"/>
      <c r="D36" s="87"/>
      <c r="E36" s="82"/>
      <c r="F36" s="94" t="str">
        <f>HLOOKUP(A36,'pooled normalised values'!$B$74:$V$83,10,FALSE)</f>
        <v>ns</v>
      </c>
      <c r="G36" s="133" t="str">
        <f t="shared" si="6"/>
        <v>NC</v>
      </c>
      <c r="H36" s="124" t="str">
        <f>IF(VLOOKUP(A36,liste_groupe[],4,FALSE)="%",VLOOKUP(A36,liste_groupe[],3,FALSE)/100,IF(ISBLANK(VLOOKUP(A36,liste_groupe[],4,FALSE)),"Non","Non"))</f>
        <v>Non</v>
      </c>
      <c r="I36" s="133" t="str">
        <f t="shared" si="7"/>
        <v>NC</v>
      </c>
      <c r="J36" s="138" t="e">
        <f t="shared" si="8"/>
        <v>#NUM!</v>
      </c>
      <c r="K36" s="139">
        <f t="shared" si="9"/>
        <v>0</v>
      </c>
      <c r="L36" s="140"/>
      <c r="M36" s="132">
        <f t="shared" si="10"/>
        <v>0</v>
      </c>
      <c r="N36" s="141" t="str">
        <f>IF(H36="Non",CONCATENATE(VLOOKUP(A36,liste_groupe[],5,FALSE),"-",VLOOKUP(A36,liste_groupe[],3,FALSE),VLOOKUP(A36,liste_groupe[],4,FALSE)," : ",ROUND(K36,0),"%"),CONCATENATE(VLOOKUP(A36,liste_groupe[],5,FALSE)," : ",ROUND(K36,0),"%"))</f>
        <v>TAM-483µg/L : 0%</v>
      </c>
    </row>
    <row r="37" spans="1:14" s="77" customFormat="1" ht="15.5" x14ac:dyDescent="0.35">
      <c r="A37" s="128" t="str">
        <f>'Page de garde'!A44</f>
        <v>0-00 + Testostérone</v>
      </c>
      <c r="B37" s="99"/>
      <c r="C37" s="87"/>
      <c r="D37" s="87"/>
      <c r="E37" s="82"/>
      <c r="F37" s="94" t="e">
        <f>HLOOKUP(A37,'pooled normalised values'!$B$74:$V$83,10,FALSE)</f>
        <v>#N/A</v>
      </c>
      <c r="G37" s="133" t="e">
        <f t="shared" si="6"/>
        <v>#N/A</v>
      </c>
      <c r="H37" s="124" t="str">
        <f>IF(VLOOKUP(A37,liste_groupe[],4,FALSE)="%",VLOOKUP(A37,liste_groupe[],3,FALSE)/100,IF(ISBLANK(VLOOKUP(A37,liste_groupe[],4,FALSE)),"Non","Non"))</f>
        <v>Non</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5" x14ac:dyDescent="0.35">
      <c r="A38" s="128" t="str">
        <f>'Page de garde'!A45</f>
        <v>0-00 + Testostérone</v>
      </c>
      <c r="B38" s="99"/>
      <c r="C38" s="87"/>
      <c r="D38" s="87"/>
      <c r="E38" s="82"/>
      <c r="F38" s="94" t="e">
        <f>HLOOKUP(A38,'pooled normalised values'!$B$74:$V$83,10,FALSE)</f>
        <v>#N/A</v>
      </c>
      <c r="G38" s="133" t="e">
        <f t="shared" si="6"/>
        <v>#N/A</v>
      </c>
      <c r="H38" s="124" t="str">
        <f>IF(VLOOKUP(A38,liste_groupe[],4,FALSE)="%",VLOOKUP(A38,liste_groupe[],3,FALSE)/100,IF(ISBLANK(VLOOKUP(A38,liste_groupe[],4,FALSE)),"Non","Non"))</f>
        <v>Non</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5" x14ac:dyDescent="0.35">
      <c r="A39" s="128" t="str">
        <f>'Page de garde'!A46</f>
        <v>0-00 + Testostérone</v>
      </c>
      <c r="B39" s="99"/>
      <c r="C39" s="87"/>
      <c r="D39" s="87"/>
      <c r="E39" s="82"/>
      <c r="F39" s="94" t="e">
        <f>HLOOKUP(A39,'pooled normalised values'!$B$74:$V$83,10,FALSE)</f>
        <v>#N/A</v>
      </c>
      <c r="G39" s="133" t="e">
        <f t="shared" ref="G39:G50" si="11">IF(F39="NS","NC",ROUND(B39-$B$29,2-(1+INT(LOG10(ABS(B39-$B$29))))))</f>
        <v>#N/A</v>
      </c>
      <c r="H39" s="124" t="str">
        <f>IF(VLOOKUP(A39,liste_groupe[],4,FALSE)="%",VLOOKUP(A39,liste_groupe[],3,FALSE)/100,IF(ISBLANK(VLOOKUP(A39,liste_groupe[],4,FALSE)),"Non","Non"))</f>
        <v>Non</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5" x14ac:dyDescent="0.35">
      <c r="A40" s="128" t="str">
        <f>'Page de garde'!A47</f>
        <v>0-00 + Testostérone</v>
      </c>
      <c r="B40" s="99"/>
      <c r="C40" s="87"/>
      <c r="D40" s="87"/>
      <c r="E40" s="82"/>
      <c r="F40" s="94" t="e">
        <f>HLOOKUP(A40,'pooled normalised values'!$B$74:$V$83,10,FALSE)</f>
        <v>#N/A</v>
      </c>
      <c r="G40" s="133" t="e">
        <f t="shared" si="11"/>
        <v>#N/A</v>
      </c>
      <c r="H40" s="124" t="str">
        <f>IF(VLOOKUP(A40,liste_groupe[],4,FALSE)="%",VLOOKUP(A40,liste_groupe[],3,FALSE)/100,IF(ISBLANK(VLOOKUP(A40,liste_groupe[],4,FALSE)),"Non","Non"))</f>
        <v>Non</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5" x14ac:dyDescent="0.35">
      <c r="A41" s="128" t="str">
        <f>'Page de garde'!A48</f>
        <v>0-00 + Testostérone</v>
      </c>
      <c r="B41" s="99"/>
      <c r="C41" s="87"/>
      <c r="D41" s="87"/>
      <c r="E41" s="82"/>
      <c r="F41" s="94" t="e">
        <f>HLOOKUP(A41,'pooled normalised values'!$B$74:$V$83,10,FALSE)</f>
        <v>#N/A</v>
      </c>
      <c r="G41" s="133" t="e">
        <f t="shared" si="11"/>
        <v>#N/A</v>
      </c>
      <c r="H41" s="124" t="str">
        <f>IF(VLOOKUP(A41,liste_groupe[],4,FALSE)="%",VLOOKUP(A41,liste_groupe[],3,FALSE)/100,IF(ISBLANK(VLOOKUP(A41,liste_groupe[],4,FALSE)),"Non","Non"))</f>
        <v>Non</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5" x14ac:dyDescent="0.35">
      <c r="A42" s="128" t="str">
        <f>'Page de garde'!A49</f>
        <v>0-00 + Testostérone</v>
      </c>
      <c r="B42" s="99"/>
      <c r="C42" s="87"/>
      <c r="D42" s="87"/>
      <c r="E42" s="82"/>
      <c r="F42" s="94" t="e">
        <f>HLOOKUP(A42,'pooled normalised values'!$B$74:$V$83,10,FALSE)</f>
        <v>#N/A</v>
      </c>
      <c r="G42" s="133" t="e">
        <f t="shared" si="11"/>
        <v>#N/A</v>
      </c>
      <c r="H42" s="124" t="str">
        <f>IF(VLOOKUP(A42,liste_groupe[],4,FALSE)="%",VLOOKUP(A42,liste_groupe[],3,FALSE)/100,IF(ISBLANK(VLOOKUP(A42,liste_groupe[],4,FALSE)),"Non","Non"))</f>
        <v>Non</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5" x14ac:dyDescent="0.35">
      <c r="A43" s="128" t="str">
        <f>'Page de garde'!A50</f>
        <v>0-00 + Testostérone</v>
      </c>
      <c r="B43" s="99"/>
      <c r="C43" s="87"/>
      <c r="D43" s="87"/>
      <c r="E43" s="82"/>
      <c r="F43" s="94" t="e">
        <f>HLOOKUP(A43,'pooled normalised values'!$B$74:$V$83,10,FALSE)</f>
        <v>#N/A</v>
      </c>
      <c r="G43" s="133" t="e">
        <f t="shared" si="11"/>
        <v>#N/A</v>
      </c>
      <c r="H43" s="124" t="str">
        <f>IF(VLOOKUP(A43,liste_groupe[],4,FALSE)="%",VLOOKUP(A43,liste_groupe[],3,FALSE)/100,IF(ISBLANK(VLOOKUP(A43,liste_groupe[],4,FALSE)),"Non","Non"))</f>
        <v>Non</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5" x14ac:dyDescent="0.35">
      <c r="A44" s="128" t="str">
        <f>'Page de garde'!A51</f>
        <v>0-00 + Testostérone</v>
      </c>
      <c r="B44" s="99"/>
      <c r="C44" s="87"/>
      <c r="D44" s="87"/>
      <c r="E44" s="82"/>
      <c r="F44" s="94" t="e">
        <f>HLOOKUP(A44,'pooled normalised values'!$B$74:$V$83,10,FALSE)</f>
        <v>#N/A</v>
      </c>
      <c r="G44" s="133" t="e">
        <f t="shared" si="11"/>
        <v>#N/A</v>
      </c>
      <c r="H44" s="124" t="str">
        <f>IF(VLOOKUP(A44,liste_groupe[],4,FALSE)="%",VLOOKUP(A44,liste_groupe[],3,FALSE)/100,IF(ISBLANK(VLOOKUP(A44,liste_groupe[],4,FALSE)),"Non","Non"))</f>
        <v>Non</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5" x14ac:dyDescent="0.35">
      <c r="A45" s="128" t="str">
        <f>'Page de garde'!A52</f>
        <v>0-00 + Testostérone</v>
      </c>
      <c r="B45" s="99"/>
      <c r="C45" s="87"/>
      <c r="D45" s="87"/>
      <c r="E45" s="82"/>
      <c r="F45" s="94" t="e">
        <f>HLOOKUP(A45,'pooled normalised values'!$B$74:$V$83,10,FALSE)</f>
        <v>#N/A</v>
      </c>
      <c r="G45" s="133" t="e">
        <f t="shared" si="11"/>
        <v>#N/A</v>
      </c>
      <c r="H45" s="124" t="str">
        <f>IF(VLOOKUP(A45,liste_groupe[],4,FALSE)="%",VLOOKUP(A45,liste_groupe[],3,FALSE)/100,IF(ISBLANK(VLOOKUP(A45,liste_groupe[],4,FALSE)),"Non","Non"))</f>
        <v>Non</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5" x14ac:dyDescent="0.35">
      <c r="A46" s="128" t="str">
        <f>'Page de garde'!A53</f>
        <v>0-00 + Testostérone</v>
      </c>
      <c r="B46" s="99"/>
      <c r="C46" s="87"/>
      <c r="D46" s="87"/>
      <c r="E46" s="82"/>
      <c r="F46" s="94" t="e">
        <f>HLOOKUP(A46,'pooled normalised values'!$B$74:$V$83,10,FALSE)</f>
        <v>#N/A</v>
      </c>
      <c r="G46" s="133" t="e">
        <f t="shared" si="11"/>
        <v>#N/A</v>
      </c>
      <c r="H46" s="124" t="str">
        <f>IF(VLOOKUP(A46,liste_groupe[],4,FALSE)="%",VLOOKUP(A46,liste_groupe[],3,FALSE)/100,IF(ISBLANK(VLOOKUP(A46,liste_groupe[],4,FALSE)),"Non","Non"))</f>
        <v>Non</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5" x14ac:dyDescent="0.35">
      <c r="A47" s="128" t="str">
        <f>'Page de garde'!A54</f>
        <v>0-00 + Testostérone</v>
      </c>
      <c r="B47" s="99"/>
      <c r="C47" s="87"/>
      <c r="D47" s="87"/>
      <c r="E47" s="82"/>
      <c r="F47" s="94" t="e">
        <f>HLOOKUP(A47,'pooled normalised values'!$B$74:$V$83,10,FALSE)</f>
        <v>#N/A</v>
      </c>
      <c r="G47" s="133" t="e">
        <f t="shared" si="11"/>
        <v>#N/A</v>
      </c>
      <c r="H47" s="124" t="str">
        <f>IF(VLOOKUP(A47,liste_groupe[],4,FALSE)="%",VLOOKUP(A47,liste_groupe[],3,FALSE)/100,IF(ISBLANK(VLOOKUP(A47,liste_groupe[],4,FALSE)),"Non","Non"))</f>
        <v>Non</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5" x14ac:dyDescent="0.35">
      <c r="A48" s="128" t="str">
        <f>'Page de garde'!A55</f>
        <v>0-00 + Testostérone</v>
      </c>
      <c r="B48" s="99"/>
      <c r="C48" s="87"/>
      <c r="D48" s="87"/>
      <c r="E48" s="82"/>
      <c r="F48" s="94" t="e">
        <f>HLOOKUP(A48,'pooled normalised values'!$B$74:$V$83,10,FALSE)</f>
        <v>#N/A</v>
      </c>
      <c r="G48" s="133" t="e">
        <f t="shared" si="11"/>
        <v>#N/A</v>
      </c>
      <c r="H48" s="124" t="str">
        <f>IF(VLOOKUP(A48,liste_groupe[],4,FALSE)="%",VLOOKUP(A48,liste_groupe[],3,FALSE)/100,IF(ISBLANK(VLOOKUP(A48,liste_groupe[],4,FALSE)),"Non","Non"))</f>
        <v>Non</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5" x14ac:dyDescent="0.35">
      <c r="A49" s="128" t="str">
        <f>'Page de garde'!A56</f>
        <v>0-00 + Testostérone</v>
      </c>
      <c r="B49" s="99"/>
      <c r="C49" s="87"/>
      <c r="D49" s="87"/>
      <c r="E49" s="82"/>
      <c r="F49" s="94" t="e">
        <f>HLOOKUP(A49,'pooled normalised values'!$B$74:$V$83,10,FALSE)</f>
        <v>#N/A</v>
      </c>
      <c r="G49" s="133" t="e">
        <f t="shared" si="11"/>
        <v>#N/A</v>
      </c>
      <c r="H49" s="124" t="str">
        <f>IF(VLOOKUP(A49,liste_groupe[],4,FALSE)="%",VLOOKUP(A49,liste_groupe[],3,FALSE)/100,IF(ISBLANK(VLOOKUP(A49,liste_groupe[],4,FALSE)),"Non","Non"))</f>
        <v>Non</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5" x14ac:dyDescent="0.35">
      <c r="A50" s="128" t="str">
        <f>'Page de garde'!A57</f>
        <v>0-00 + Testostérone</v>
      </c>
      <c r="B50" s="99"/>
      <c r="C50" s="87"/>
      <c r="D50" s="87"/>
      <c r="E50" s="82"/>
      <c r="F50" s="94" t="e">
        <f>HLOOKUP(A50,'pooled normalised values'!$B$74:$V$83,10,FALSE)</f>
        <v>#N/A</v>
      </c>
      <c r="G50" s="133" t="e">
        <f t="shared" si="11"/>
        <v>#N/A</v>
      </c>
      <c r="H50" s="124" t="str">
        <f>IF(VLOOKUP(A50,liste_groupe[],4,FALSE)="%",VLOOKUP(A50,liste_groupe[],3,FALSE)/100,IF(ISBLANK(VLOOKUP(A50,liste_groupe[],4,FALSE)),"Non","Non"))</f>
        <v>Non</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5" x14ac:dyDescent="0.35">
      <c r="A51" s="128" t="str">
        <f>'Page de garde'!A58</f>
        <v>0-00 + Testostérone</v>
      </c>
      <c r="B51" s="99"/>
      <c r="C51" s="87"/>
      <c r="D51" s="87"/>
      <c r="E51" s="82"/>
      <c r="F51" s="94" t="e">
        <f>HLOOKUP(A51,'pooled normalised values'!$B$74:$V$83,10,FALSE)</f>
        <v>#N/A</v>
      </c>
      <c r="G51" s="133" t="e">
        <f t="shared" si="6"/>
        <v>#N/A</v>
      </c>
      <c r="H51" s="124" t="str">
        <f>IF(VLOOKUP(A51,liste_groupe[],4,FALSE)="%",VLOOKUP(A51,liste_groupe[],3,FALSE)/100,IF(ISBLANK(VLOOKUP(A51,liste_groupe[],4,FALSE)),"Non","Non"))</f>
        <v>Non</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 thickBot="1" x14ac:dyDescent="0.4">
      <c r="E52" s="78"/>
      <c r="F52" s="78"/>
      <c r="G52" s="78"/>
      <c r="H52" s="78"/>
      <c r="I52" s="78"/>
      <c r="J52" s="78"/>
      <c r="K52" s="78"/>
      <c r="L52" s="78"/>
      <c r="M52" s="78"/>
      <c r="N52" s="78"/>
    </row>
    <row r="53" spans="1:15" s="48" customFormat="1" ht="26.5" thickBot="1" x14ac:dyDescent="0.4">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1" customWidth="1"/>
    <col min="2" max="2" width="46.26953125" style="181" customWidth="1"/>
    <col min="3" max="3" width="15.26953125" style="181" customWidth="1"/>
    <col min="4" max="4" width="24.7265625" style="181" customWidth="1"/>
    <col min="5" max="5" width="24.453125" style="181" customWidth="1"/>
    <col min="6" max="6" width="23.1796875" style="181" customWidth="1"/>
    <col min="7" max="7" width="21.26953125" style="181" customWidth="1"/>
    <col min="8" max="16384" width="11.453125" style="181"/>
  </cols>
  <sheetData>
    <row r="1" spans="1:7" ht="29.5" thickBot="1" x14ac:dyDescent="0.4">
      <c r="A1" s="186" t="s">
        <v>132</v>
      </c>
      <c r="B1" s="187" t="s">
        <v>133</v>
      </c>
      <c r="C1" s="187" t="s">
        <v>139</v>
      </c>
      <c r="D1" s="187" t="s">
        <v>138</v>
      </c>
      <c r="E1" s="187" t="s">
        <v>140</v>
      </c>
      <c r="F1" s="188" t="s">
        <v>141</v>
      </c>
      <c r="G1" s="189" t="s">
        <v>142</v>
      </c>
    </row>
    <row r="2" spans="1:7" ht="58" x14ac:dyDescent="0.35">
      <c r="A2" s="182" t="s">
        <v>134</v>
      </c>
      <c r="B2" s="183" t="s">
        <v>135</v>
      </c>
      <c r="C2" s="183" t="s">
        <v>136</v>
      </c>
      <c r="D2" s="183" t="s">
        <v>143</v>
      </c>
      <c r="E2" s="183" t="s">
        <v>137</v>
      </c>
      <c r="F2" s="184" t="s">
        <v>136</v>
      </c>
      <c r="G2" s="185"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0.15532874593952364</v>
      </c>
      <c r="D2" s="17" t="s">
        <v>9</v>
      </c>
      <c r="E2" s="18"/>
      <c r="F2" s="19" t="str">
        <f>'pooled normalised values'!J74</f>
        <v>TAM-60.4µg/L</v>
      </c>
      <c r="G2" s="19" t="str">
        <f>'pooled normalised values'!K74</f>
        <v>TAM-121µg/L</v>
      </c>
      <c r="H2" s="19" t="str">
        <f>'pooled normalised values'!L74</f>
        <v>TAM-242µg/L</v>
      </c>
      <c r="I2" s="19" t="str">
        <f>'pooled normalised values'!M74</f>
        <v>TAM-483µg/L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TAM-30,2µg/L + Testostérone</v>
      </c>
      <c r="W2" s="19" t="str">
        <f>'pooled normalised values'!S74</f>
        <v>TAM-60,4µg/L + Testostérone</v>
      </c>
      <c r="X2" s="19" t="str">
        <f>'pooled normalised values'!T74</f>
        <v>TAM-121µg/L + Testostérone</v>
      </c>
      <c r="Y2" s="19" t="str">
        <f>'pooled normalised values'!U74</f>
        <v>TAM-242µg/L + Testostérone</v>
      </c>
      <c r="Z2" s="19" t="str">
        <f>'pooled normalised values'!V74</f>
        <v>TAM-483µg/L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0.15878434879707071</v>
      </c>
      <c r="G3" s="19">
        <f>HLOOKUP(G2,'pooled normalised values'!C74:W83,2,FALSE)</f>
        <v>0.19387385350690178</v>
      </c>
      <c r="H3" s="19">
        <f>HLOOKUP(H2,'pooled normalised values'!C74:X83,2,FALSE)</f>
        <v>0.45563954269238494</v>
      </c>
      <c r="I3" s="19">
        <f>HLOOKUP(I2,'pooled normalised values'!D74:Y83,2,FALSE)</f>
        <v>0.39819982417332245</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1.366329070746106</v>
      </c>
      <c r="W3" s="19">
        <f>HLOOKUP(W2,'pooled normalised values'!N74:AM83,2,FALSE)</f>
        <v>1.318010199226703</v>
      </c>
      <c r="X3" s="19">
        <f>HLOOKUP(X2,'pooled normalised values'!N74:AN83,2,FALSE)</f>
        <v>1.4160819669092304</v>
      </c>
      <c r="Y3" s="19">
        <f>HLOOKUP(Y2,'pooled normalised values'!N74:AO83,2,FALSE)</f>
        <v>1.221196788292646</v>
      </c>
      <c r="Z3" s="19">
        <f>HLOOKUP(Z2,'pooled normalised values'!N74:AP83,2,FALSE)</f>
        <v>0.84930325538680274</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v>
      </c>
      <c r="D4" s="21" t="s">
        <v>2</v>
      </c>
      <c r="E4" s="22"/>
      <c r="F4" s="19">
        <f>HLOOKUP(F2,'pooled normalised values'!B74:V83,3,FALSE)</f>
        <v>2.1709337939657392E-2</v>
      </c>
      <c r="G4" s="19">
        <f>HLOOKUP(G2,'pooled normalised values'!C74:W83,3,FALSE)</f>
        <v>3.0970254155055329E-2</v>
      </c>
      <c r="H4" s="19">
        <f>HLOOKUP(H2,'pooled normalised values'!C74:X83,3,FALSE)</f>
        <v>6.9012019828936413E-2</v>
      </c>
      <c r="I4" s="19">
        <f>HLOOKUP(I2,'pooled normalised values'!D74:Y83,3,FALSE)</f>
        <v>8.982734087683944E-2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0.13982098800681309</v>
      </c>
      <c r="W4" s="19">
        <f>HLOOKUP(W2,'pooled normalised values'!N74:AM83,3,FALSE)</f>
        <v>0.14829351226027887</v>
      </c>
      <c r="X4" s="19">
        <f>HLOOKUP(X2,'pooled normalised values'!N74:AN83,3,FALSE)</f>
        <v>0.14817411874108727</v>
      </c>
      <c r="Y4" s="19">
        <f>HLOOKUP(Y2,'pooled normalised values'!N74:AO83,3,FALSE)</f>
        <v>0.15243983638302838</v>
      </c>
      <c r="Z4" s="19">
        <f>HLOOKUP(Z2,'pooled normalised values'!N74:AP83,3,FALSE)</f>
        <v>0.14697327197750062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1.9868243071379188</v>
      </c>
      <c r="D5" s="23" t="s">
        <v>11</v>
      </c>
      <c r="E5" s="22"/>
      <c r="F5" s="19" t="str">
        <f>HLOOKUP(F2,'pooled normalised values'!B74:V83,10,FALSE)</f>
        <v>ns</v>
      </c>
      <c r="G5" s="19" t="str">
        <f>HLOOKUP(G2,'pooled normalised values'!C74:W83,10,FALSE)</f>
        <v>ns</v>
      </c>
      <c r="H5" s="19" t="str">
        <f>HLOOKUP(H2,'pooled normalised values'!C74:X83,10,FALSE)</f>
        <v>**</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0.13888076792106369</v>
      </c>
      <c r="D6" s="21" t="s">
        <v>12</v>
      </c>
      <c r="E6" s="24">
        <f>$B$2</f>
        <v>0.15532874593952364</v>
      </c>
      <c r="F6" s="24">
        <f>$B$2</f>
        <v>0.15532874593952364</v>
      </c>
      <c r="G6" s="24">
        <f t="shared" ref="G6:R6" si="0">$B$2</f>
        <v>0.15532874593952364</v>
      </c>
      <c r="H6" s="24">
        <f t="shared" si="0"/>
        <v>0.15532874593952364</v>
      </c>
      <c r="I6" s="24">
        <f t="shared" si="0"/>
        <v>0.15532874593952364</v>
      </c>
      <c r="J6" s="24">
        <f t="shared" si="0"/>
        <v>0.15532874593952364</v>
      </c>
      <c r="K6" s="24">
        <f t="shared" si="0"/>
        <v>0.15532874593952364</v>
      </c>
      <c r="L6" s="24">
        <f t="shared" si="0"/>
        <v>0.15532874593952364</v>
      </c>
      <c r="M6" s="24">
        <f t="shared" si="0"/>
        <v>0.15532874593952364</v>
      </c>
      <c r="N6" s="24">
        <f t="shared" si="0"/>
        <v>0.15532874593952364</v>
      </c>
      <c r="O6" s="24">
        <f t="shared" si="0"/>
        <v>0.15532874593952364</v>
      </c>
      <c r="P6" s="24">
        <f t="shared" si="0"/>
        <v>0.15532874593952364</v>
      </c>
      <c r="Q6" s="24">
        <f t="shared" si="0"/>
        <v>0.15532874593952364</v>
      </c>
      <c r="R6" s="24">
        <f t="shared" si="0"/>
        <v>0.15532874593952364</v>
      </c>
      <c r="S6" s="24">
        <f>$B$2</f>
        <v>0.15532874593952364</v>
      </c>
      <c r="T6" s="24">
        <f>$B$2</f>
        <v>0.15532874593952364</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0.13888076792106369</v>
      </c>
      <c r="V8" s="25">
        <f t="shared" ref="V8:AJ8" si="2">$B$6</f>
        <v>0.13888076792106369</v>
      </c>
      <c r="W8" s="25">
        <f t="shared" si="2"/>
        <v>0.13888076792106369</v>
      </c>
      <c r="X8" s="25">
        <f t="shared" si="2"/>
        <v>0.13888076792106369</v>
      </c>
      <c r="Y8" s="25">
        <f t="shared" si="2"/>
        <v>0.13888076792106369</v>
      </c>
      <c r="Z8" s="25">
        <f t="shared" si="2"/>
        <v>0.13888076792106369</v>
      </c>
      <c r="AA8" s="25">
        <f t="shared" si="2"/>
        <v>0.13888076792106369</v>
      </c>
      <c r="AB8" s="25">
        <f t="shared" si="2"/>
        <v>0.13888076792106369</v>
      </c>
      <c r="AC8" s="25">
        <f t="shared" si="2"/>
        <v>0.13888076792106369</v>
      </c>
      <c r="AD8" s="25">
        <f t="shared" si="2"/>
        <v>0.13888076792106369</v>
      </c>
      <c r="AE8" s="25">
        <f t="shared" si="2"/>
        <v>0.13888076792106369</v>
      </c>
      <c r="AF8" s="25">
        <f t="shared" si="2"/>
        <v>0.13888076792106369</v>
      </c>
      <c r="AG8" s="25">
        <f t="shared" si="2"/>
        <v>0.13888076792106369</v>
      </c>
      <c r="AH8" s="25">
        <f t="shared" si="2"/>
        <v>0.13888076792106369</v>
      </c>
      <c r="AI8" s="25">
        <f t="shared" si="2"/>
        <v>0.13888076792106369</v>
      </c>
      <c r="AJ8" s="25">
        <f t="shared" si="2"/>
        <v>0.13888076792106369</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1.8479435392168551</v>
      </c>
      <c r="V9" s="25">
        <f>$B$5-V8</f>
        <v>1.8479435392168551</v>
      </c>
      <c r="W9" s="25">
        <f t="shared" ref="W9:AH9" si="4">$B$5-W8</f>
        <v>1.8479435392168551</v>
      </c>
      <c r="X9" s="25">
        <f t="shared" si="4"/>
        <v>1.8479435392168551</v>
      </c>
      <c r="Y9" s="25">
        <f t="shared" si="4"/>
        <v>1.8479435392168551</v>
      </c>
      <c r="Z9" s="25">
        <f t="shared" si="4"/>
        <v>1.8479435392168551</v>
      </c>
      <c r="AA9" s="25">
        <f t="shared" si="4"/>
        <v>1.8479435392168551</v>
      </c>
      <c r="AB9" s="25">
        <f t="shared" si="4"/>
        <v>1.8479435392168551</v>
      </c>
      <c r="AC9" s="25">
        <f t="shared" si="4"/>
        <v>1.8479435392168551</v>
      </c>
      <c r="AD9" s="25">
        <f t="shared" si="4"/>
        <v>1.8479435392168551</v>
      </c>
      <c r="AE9" s="25">
        <f t="shared" si="4"/>
        <v>1.8479435392168551</v>
      </c>
      <c r="AF9" s="25">
        <f t="shared" si="4"/>
        <v>1.8479435392168551</v>
      </c>
      <c r="AG9" s="25">
        <f t="shared" si="4"/>
        <v>1.8479435392168551</v>
      </c>
      <c r="AH9" s="25">
        <f t="shared" si="4"/>
        <v>1.8479435392168551</v>
      </c>
      <c r="AI9" s="25">
        <f>$B$5-AI8</f>
        <v>1.8479435392168551</v>
      </c>
      <c r="AJ9" s="25">
        <f>$B$5-AJ8</f>
        <v>1.8479435392168551</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0.65205646078314494</v>
      </c>
      <c r="V10" s="25">
        <f>2.5-V9</f>
        <v>0.65205646078314494</v>
      </c>
      <c r="W10" s="25">
        <f t="shared" ref="W10:AH10" si="6">2.5-W9</f>
        <v>0.65205646078314494</v>
      </c>
      <c r="X10" s="25">
        <f t="shared" si="6"/>
        <v>0.65205646078314494</v>
      </c>
      <c r="Y10" s="25">
        <f t="shared" si="6"/>
        <v>0.65205646078314494</v>
      </c>
      <c r="Z10" s="25">
        <f t="shared" si="6"/>
        <v>0.65205646078314494</v>
      </c>
      <c r="AA10" s="25">
        <f t="shared" si="6"/>
        <v>0.65205646078314494</v>
      </c>
      <c r="AB10" s="25">
        <f t="shared" si="6"/>
        <v>0.65205646078314494</v>
      </c>
      <c r="AC10" s="25">
        <f t="shared" si="6"/>
        <v>0.65205646078314494</v>
      </c>
      <c r="AD10" s="25">
        <f t="shared" si="6"/>
        <v>0.65205646078314494</v>
      </c>
      <c r="AE10" s="25">
        <f t="shared" si="6"/>
        <v>0.65205646078314494</v>
      </c>
      <c r="AF10" s="25">
        <f t="shared" si="6"/>
        <v>0.65205646078314494</v>
      </c>
      <c r="AG10" s="25">
        <f t="shared" si="6"/>
        <v>0.65205646078314494</v>
      </c>
      <c r="AH10" s="25">
        <f t="shared" si="6"/>
        <v>0.65205646078314494</v>
      </c>
      <c r="AI10" s="25">
        <f>2.5-AI9</f>
        <v>0.65205646078314494</v>
      </c>
      <c r="AJ10" s="25">
        <f>2.5-AJ9</f>
        <v>0.65205646078314494</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0.15532874593952364</v>
      </c>
      <c r="D2" s="17" t="s">
        <v>9</v>
      </c>
      <c r="E2" s="18"/>
      <c r="F2" s="19" t="str">
        <f>'pooled normalised values'!J74</f>
        <v>TAM-60.4µg/L</v>
      </c>
      <c r="G2" s="18"/>
      <c r="H2" s="20"/>
      <c r="I2" s="19" t="str">
        <f>'pooled normalised values'!R74</f>
        <v>TAM-30,2µg/L + Testostérone</v>
      </c>
      <c r="J2" s="20"/>
      <c r="K2" s="17" t="s">
        <v>9</v>
      </c>
    </row>
    <row r="3" spans="1:11" x14ac:dyDescent="0.25">
      <c r="A3" s="17" t="s">
        <v>71</v>
      </c>
      <c r="B3" s="63">
        <f>'summary results'!E6</f>
        <v>0</v>
      </c>
      <c r="D3" s="21" t="s">
        <v>10</v>
      </c>
      <c r="E3" s="22"/>
      <c r="F3" s="19">
        <f>HLOOKUP(F2,'pooled normalised values'!B74:V83,2,FALSE)</f>
        <v>0.15878434879707071</v>
      </c>
      <c r="G3" s="22"/>
      <c r="H3" s="20"/>
      <c r="I3" s="19">
        <f>HLOOKUP(I2,'pooled normalised values'!N74:AL83,2,FALSE)</f>
        <v>1.366329070746106</v>
      </c>
      <c r="J3" s="20"/>
      <c r="K3" s="21" t="s">
        <v>10</v>
      </c>
    </row>
    <row r="4" spans="1:11" x14ac:dyDescent="0.25">
      <c r="A4" s="17" t="s">
        <v>72</v>
      </c>
      <c r="B4" s="63">
        <f>'pooled normalised values'!O75</f>
        <v>1</v>
      </c>
      <c r="D4" s="21" t="s">
        <v>2</v>
      </c>
      <c r="E4" s="22"/>
      <c r="F4" s="19">
        <f>HLOOKUP(F2,'pooled normalised values'!B74:V83,3,FALSE)</f>
        <v>2.1709337939657392E-2</v>
      </c>
      <c r="G4" s="22"/>
      <c r="H4" s="20"/>
      <c r="I4" s="19">
        <f>HLOOKUP(I2,'pooled normalised values'!N74:AL83,3,FALSE)</f>
        <v>0.13982098800681309</v>
      </c>
      <c r="J4" s="20"/>
      <c r="K4" s="21" t="s">
        <v>2</v>
      </c>
    </row>
    <row r="5" spans="1:11" x14ac:dyDescent="0.25">
      <c r="A5" s="17" t="s">
        <v>73</v>
      </c>
      <c r="B5" s="63">
        <f>'pooled normalised values'!P75</f>
        <v>1.9868243071379188</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0.13888076792106369</v>
      </c>
      <c r="D6" s="21" t="s">
        <v>12</v>
      </c>
      <c r="E6" s="24">
        <f>$B$2</f>
        <v>0.15532874593952364</v>
      </c>
      <c r="F6" s="24">
        <f>$B$2</f>
        <v>0.15532874593952364</v>
      </c>
      <c r="G6" s="24">
        <f>$B$2</f>
        <v>0.15532874593952364</v>
      </c>
      <c r="H6" s="25"/>
      <c r="I6" s="25"/>
      <c r="J6" s="25"/>
      <c r="K6" s="21" t="s">
        <v>12</v>
      </c>
    </row>
    <row r="7" spans="1:11" x14ac:dyDescent="0.25">
      <c r="B7" s="26"/>
      <c r="D7" s="26" t="s">
        <v>13</v>
      </c>
      <c r="E7" s="24"/>
      <c r="F7" s="24"/>
      <c r="G7" s="27"/>
      <c r="H7" s="25">
        <f t="shared" ref="H7:J7" si="0">$B$4</f>
        <v>1</v>
      </c>
      <c r="I7" s="25">
        <f t="shared" si="0"/>
        <v>1</v>
      </c>
      <c r="J7" s="25">
        <f t="shared" si="0"/>
        <v>1</v>
      </c>
      <c r="K7" s="26" t="s">
        <v>13</v>
      </c>
    </row>
    <row r="8" spans="1:11" x14ac:dyDescent="0.25">
      <c r="D8" s="28" t="s">
        <v>14</v>
      </c>
      <c r="E8" s="24">
        <v>0</v>
      </c>
      <c r="F8" s="24">
        <v>0</v>
      </c>
      <c r="G8" s="27">
        <v>0</v>
      </c>
      <c r="H8" s="25">
        <f>$B$6</f>
        <v>0.13888076792106369</v>
      </c>
      <c r="I8" s="25">
        <f t="shared" ref="I8:J8" si="1">$B$6</f>
        <v>0.13888076792106369</v>
      </c>
      <c r="J8" s="25">
        <f t="shared" si="1"/>
        <v>0.13888076792106369</v>
      </c>
      <c r="K8" s="28" t="s">
        <v>14</v>
      </c>
    </row>
    <row r="9" spans="1:11" x14ac:dyDescent="0.25">
      <c r="D9" s="28" t="s">
        <v>15</v>
      </c>
      <c r="E9" s="29">
        <f>$B$3-E8</f>
        <v>0</v>
      </c>
      <c r="F9" s="29">
        <f>$B$3-F8</f>
        <v>0</v>
      </c>
      <c r="G9" s="29">
        <f>$B$3-G8</f>
        <v>0</v>
      </c>
      <c r="H9" s="25">
        <f>$B$5-H8</f>
        <v>1.8479435392168551</v>
      </c>
      <c r="I9" s="25">
        <f>$B$5-I8</f>
        <v>1.8479435392168551</v>
      </c>
      <c r="J9" s="25">
        <f>$B$5-J8</f>
        <v>1.8479435392168551</v>
      </c>
      <c r="K9" s="28" t="s">
        <v>15</v>
      </c>
    </row>
    <row r="10" spans="1:11" x14ac:dyDescent="0.25">
      <c r="D10" s="28" t="s">
        <v>16</v>
      </c>
      <c r="E10" s="27">
        <f t="shared" ref="E10:J10" si="2">2.5-E9</f>
        <v>2.5</v>
      </c>
      <c r="F10" s="27">
        <f t="shared" si="2"/>
        <v>2.5</v>
      </c>
      <c r="G10" s="27">
        <f t="shared" si="2"/>
        <v>2.5</v>
      </c>
      <c r="H10" s="25">
        <f t="shared" si="2"/>
        <v>0.65205646078314494</v>
      </c>
      <c r="I10" s="25">
        <f t="shared" si="2"/>
        <v>0.65205646078314494</v>
      </c>
      <c r="J10" s="25">
        <f t="shared" si="2"/>
        <v>0.65205646078314494</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7" t="s">
        <v>102</v>
      </c>
      <c r="B1" s="147" t="s">
        <v>103</v>
      </c>
      <c r="C1" s="144" t="s">
        <v>86</v>
      </c>
      <c r="D1" s="144" t="s">
        <v>87</v>
      </c>
      <c r="E1" s="145" t="s">
        <v>88</v>
      </c>
      <c r="F1" s="145" t="s">
        <v>89</v>
      </c>
      <c r="G1" s="144" t="s">
        <v>90</v>
      </c>
      <c r="H1" s="144" t="s">
        <v>91</v>
      </c>
      <c r="I1" s="144" t="s">
        <v>92</v>
      </c>
      <c r="J1" s="144" t="s">
        <v>93</v>
      </c>
      <c r="K1" s="144" t="s">
        <v>94</v>
      </c>
      <c r="L1" s="144" t="s">
        <v>95</v>
      </c>
      <c r="M1" s="144" t="s">
        <v>96</v>
      </c>
      <c r="N1" s="144" t="s">
        <v>97</v>
      </c>
      <c r="Q1" s="234" t="s">
        <v>99</v>
      </c>
      <c r="R1" s="234"/>
      <c r="S1" s="234"/>
      <c r="U1" s="234" t="s">
        <v>98</v>
      </c>
      <c r="V1" s="234"/>
      <c r="W1" s="234"/>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131</v>
      </c>
      <c r="U2" s="119" t="s">
        <v>7</v>
      </c>
      <c r="V2" s="1" t="s">
        <v>131</v>
      </c>
    </row>
    <row r="3" spans="1:23" x14ac:dyDescent="0.35">
      <c r="A3" s="1" t="str">
        <f>Q7</f>
        <v>(vide)</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106</v>
      </c>
      <c r="U3" s="119"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112</v>
      </c>
      <c r="U6" s="146"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c r="Q7" s="146" t="s">
        <v>106</v>
      </c>
    </row>
    <row r="8" spans="1:23" x14ac:dyDescent="0.3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464535-4150-4479-AC66-2ABA23F67EE5}"/>
</file>

<file path=customXml/itemProps2.xml><?xml version="1.0" encoding="utf-8"?>
<ds:datastoreItem xmlns:ds="http://schemas.openxmlformats.org/officeDocument/2006/customXml" ds:itemID="{E59B8829-57AC-4CC0-B963-B9A0E1C73C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2022-10-05T13:59:20Z</dcterms:modified>
</cp:coreProperties>
</file>